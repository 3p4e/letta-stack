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X1.xml" ContentType="application/vnd.openxmlformats-officedocument.spreadsheetml.worksheet+xml"/>
  <Override PartName="/xl/worksheets/sheetX2.xml" ContentType="application/vnd.openxmlformats-officedocument.spreadsheetml.worksheet+xml"/>
  <Override PartName="/xl/worksheets/sheetX3.xml" ContentType="application/vnd.openxmlformats-officedocument.spreadsheetml.worksheet+xml"/>
  <Override PartName="/xl/worksheets/sheetY1.xml" ContentType="application/vnd.openxmlformats-officedocument.spreadsheetml.worksheet+xml"/>
  <Override PartName="/xl/worksheets/sheetY2.xml" ContentType="application/vnd.openxmlformats-officedocument.spreadsheetml.worksheet+xml"/>
  <Override PartName="/xl/worksheets/sheetY3.xml" ContentType="application/vnd.openxmlformats-officedocument.spreadsheetml.worksheet+xml"/>
  <Override PartName="/xl/worksheets/sheetY4.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gent Zero\My Drive\1. PP\DATA_B\QC_eCoA\"/>
    </mc:Choice>
  </mc:AlternateContent>
  <xr:revisionPtr revIDLastSave="0" documentId="13_ncr:1_{9679FF51-3960-4EFD-A296-0EB81E7B99C6}" xr6:coauthVersionLast="47" xr6:coauthVersionMax="47" xr10:uidLastSave="{00000000-0000-0000-0000-000000000000}"/>
  <bookViews>
    <workbookView xWindow="-108" yWindow="-108" windowWidth="23256" windowHeight="12456" tabRatio="687" xr2:uid="{00000000-000D-0000-FFFF-FFFF00000000}"/>
  </bookViews>
  <sheets>
    <sheet name="Batch Coverage v16" sheetId="24" r:id="rId1"/>
    <sheet name="CoQ Parameter Tracker v13" sheetId="5" r:id="rId2"/>
    <sheet name="iCoA Register" sheetId="12" r:id="rId3"/>
    <sheet name="iCoA Issuance" sheetId="10" r:id="rId4"/>
    <sheet name="CoQ Register" sheetId="13" r:id="rId5"/>
    <sheet name="Delivery T1–T3" sheetId="3" r:id="rId6"/>
    <sheet name="Parameters" sheetId="14" r:id="rId7"/>
    <sheet name="Credit Audit" sheetId="7" r:id="rId8"/>
    <sheet name="Credit Corrections" sheetId="8" r:id="rId9"/>
    <sheet name="Work Order" sheetId="9" r:id="rId10"/>
    <sheet name="Batch Dates" sheetId="11" r:id="rId11"/>
    <sheet name="Read Me" sheetId="1" r:id="rId12"/>
    <sheet name="Summary Dashboard" sheetId="15" r:id="rId13"/>
    <sheet name="eCoA Split 09.09.2026" sheetId="16" state="hidden" r:id="rId14"/>
    <sheet name="Split Findings" sheetId="17" state="hidden" r:id="rId15"/>
    <sheet name="FHM 220 Retest" sheetId="20" state="hidden" r:id="rId16"/>
    <sheet name="FHM 220 Coverage" sheetId="21" state="hidden" r:id="rId17"/>
    <sheet name="Batch Coverage v15" sheetId="22" state="hidden" r:id="rId18"/>
    <sheet name="Split Reconciliation" sheetId="18" state="hidden" r:id="rId19"/>
    <sheet name="Coverage Update 09.09" sheetId="19" state="hidden" r:id="rId20"/>
    <sheet name="eCoA_OLD Reconciliation" sheetId="23" state="hidden" r:id="rId21"/>
    <sheet state="visible" name="Truth Check 09.09" sheetId="25" r:id="rId27"/>
    <sheet state="visible" name="FHM Retest Pairing" sheetId="26" r:id="rId28"/>
    <sheet state="visible" name="CoQ Readiness 09.09" sheetId="27" r:id="rId29"/>
    <sheet state="visible" name="Batch Coverage v19" sheetId="28" r:id="rId30"/>
    <sheet state="visible" name="Dashboard v19" sheetId="29" r:id="rId31"/>
    <sheet state="visible" name="Verification 09.09" sheetId="30" r:id="rId32"/>
    <sheet state="visible" name="Cell Resolution 09.09" sheetId="31" r:id="rId33"/>
    <sheet state="visible" name="Documents Read 09.09" sheetId="32" r:id="rId34"/>
    <sheet state="visible" name="Identity Problem 09.09" sheetId="33" r:id="rId35"/>
    <sheet state="visible" name="Nothing On File 09.09" sheetId="34" r:id="rId36"/>
  </sheets>
  <definedNames>
    <definedName name="_xlnm._FilterDatabase" localSheetId="10" hidden="1">'Batch Dates'!$A$1:$J$88</definedName>
    <definedName name="_xlnm._FilterDatabase" localSheetId="7" hidden="1">'Credit Audit'!$A$1:$I$14</definedName>
    <definedName name="_xlnm._FilterDatabase" localSheetId="8" hidden="1">'Credit Corrections'!$A$1:$I$133</definedName>
    <definedName name="_xlnm._FilterDatabase" localSheetId="5" hidden="1">'Delivery T1–T3'!$A$1:$O$79</definedName>
    <definedName name="_xlnm._FilterDatabase" localSheetId="3" hidden="1">'iCoA Issuance'!$A$1:$Y$158</definedName>
    <definedName name="_xlnm._FilterDatabase" localSheetId="6" hidden="1">Parameters!$A$1:$G$22</definedName>
    <definedName name="_xlnm._FilterDatabase" localSheetId="9" hidden="1">'Work Order'!$A$1:$H$14</definedName>
    <definedName name="Z_1D5A0679_5061_47F9_94B8_8303689B5899_.wvu.FilterData" localSheetId="2" hidden="1">'iCoA Register'!$A$1:$Q$158</definedName>
    <definedName name="Z_376E67C0_DFE7_4F4E_821B_DA3394D6640E_.wvu.FilterData" localSheetId="4" hidden="1">'CoQ Register'!$A$1:$T$158</definedName>
  </definedNames>
  <calcPr calcId="181029"/>
  <customWorkbookViews>
    <customWorkbookView name="iCoA_Register filter view" guid="{1D5A0679-5061-47F9-94B8-8303689B5899}" maximized="1" windowWidth="0" windowHeight="0" activeSheetId="0"/>
    <customWorkbookView name="CoQ_Register filter view" guid="{376E67C0-DFE7-4F4E-821B-DA3394D6640E}" maximized="1" windowWidth="0" windowHeight="0" activeSheetId="0"/>
  </customWorkbookViews>
  <extLst>
    <ext uri="GoogleSheetsCustomDataVersion2">
      <go:sheetsCustomData xmlns:go="http://customooxmlschemas.google.com/" r:id="rId22" roundtripDataChecksum="WwU0vutvdgksPDqWIONuipkNSxZIHjWkWdG2kmFpUnQ="/>
    </ext>
  </extLst>
</workbook>
</file>

<file path=xl/calcChain.xml><?xml version="1.0" encoding="utf-8"?>
<calcChain xmlns="http://schemas.openxmlformats.org/spreadsheetml/2006/main">
  <c r="E158" i="13" l="1"/>
  <c r="A158" i="13"/>
  <c r="D158" i="13" s="1" a="1"/>
  <c r="D158" i="13" s="1"/>
  <c r="E157" i="13"/>
  <c r="A157" i="13"/>
  <c r="B157" i="13" s="1"/>
  <c r="E156" i="13"/>
  <c r="B156" i="13"/>
  <c r="A156" i="13"/>
  <c r="D156" i="13" s="1" a="1"/>
  <c r="D156" i="13" s="1"/>
  <c r="H155" i="13"/>
  <c r="E155" i="13"/>
  <c r="A155" i="13"/>
  <c r="D155" i="13" s="1" a="1"/>
  <c r="D155" i="13" s="1"/>
  <c r="E154" i="13"/>
  <c r="D154" i="13" a="1"/>
  <c r="D154" i="13" s="1"/>
  <c r="B154" i="13"/>
  <c r="A154" i="13"/>
  <c r="E153" i="13"/>
  <c r="A153" i="13"/>
  <c r="E152" i="13"/>
  <c r="A152" i="13"/>
  <c r="D152" i="13" s="1" a="1"/>
  <c r="D152" i="13" s="1"/>
  <c r="E151" i="13"/>
  <c r="B151" i="13"/>
  <c r="A151" i="13"/>
  <c r="D151" i="13" s="1" a="1"/>
  <c r="D151" i="13" s="1"/>
  <c r="E150" i="13"/>
  <c r="D150" i="13" a="1"/>
  <c r="D150" i="13" s="1"/>
  <c r="A150" i="13"/>
  <c r="B150" i="13" s="1"/>
  <c r="E149" i="13"/>
  <c r="D149" i="13" a="1"/>
  <c r="D149" i="13" s="1"/>
  <c r="A149" i="13"/>
  <c r="B149" i="13" s="1"/>
  <c r="E148" i="13"/>
  <c r="A148" i="13"/>
  <c r="E147" i="13"/>
  <c r="B147" i="13"/>
  <c r="A147" i="13"/>
  <c r="D147" i="13" s="1" a="1"/>
  <c r="D147" i="13" s="1"/>
  <c r="I146" i="13"/>
  <c r="E146" i="13"/>
  <c r="D146" i="13" a="1"/>
  <c r="D146" i="13"/>
  <c r="B146" i="13"/>
  <c r="A146" i="13"/>
  <c r="E145" i="13"/>
  <c r="A145" i="13"/>
  <c r="B145" i="13" s="1"/>
  <c r="E144" i="13"/>
  <c r="A144" i="13"/>
  <c r="E143" i="13"/>
  <c r="B143" i="13"/>
  <c r="A143" i="13"/>
  <c r="D143" i="13" s="1" a="1"/>
  <c r="D143" i="13" s="1"/>
  <c r="H142" i="13" a="1"/>
  <c r="H142" i="13" s="1"/>
  <c r="E142" i="13"/>
  <c r="D142" i="13" a="1"/>
  <c r="D142" i="13" s="1"/>
  <c r="J142" i="10" s="1" a="1"/>
  <c r="J142" i="10" s="1"/>
  <c r="A142" i="13"/>
  <c r="B142" i="13" s="1"/>
  <c r="E141" i="13"/>
  <c r="D141" i="13" a="1"/>
  <c r="D141" i="13" s="1"/>
  <c r="A141" i="13"/>
  <c r="B141" i="13" s="1"/>
  <c r="E140" i="13"/>
  <c r="A140" i="13"/>
  <c r="E139" i="13"/>
  <c r="B139" i="13"/>
  <c r="A139" i="13"/>
  <c r="D139" i="13" s="1" a="1"/>
  <c r="D139" i="13" s="1"/>
  <c r="E138" i="13"/>
  <c r="D138" i="13" a="1"/>
  <c r="D138" i="13"/>
  <c r="B138" i="13"/>
  <c r="A138" i="13"/>
  <c r="E137" i="13"/>
  <c r="D137" i="13" a="1"/>
  <c r="D137" i="13" s="1"/>
  <c r="A137" i="13"/>
  <c r="B137" i="13" s="1"/>
  <c r="E136" i="13"/>
  <c r="B136" i="13"/>
  <c r="A136" i="13"/>
  <c r="D136" i="13" s="1" a="1"/>
  <c r="D136" i="13" s="1"/>
  <c r="E135" i="13"/>
  <c r="B135" i="13"/>
  <c r="A135" i="13"/>
  <c r="D135" i="13" s="1" a="1"/>
  <c r="D135" i="13" s="1"/>
  <c r="E134" i="13"/>
  <c r="D134" i="13" a="1"/>
  <c r="D134" i="13"/>
  <c r="A134" i="13"/>
  <c r="B134" i="13" s="1"/>
  <c r="E133" i="13"/>
  <c r="D133" i="13" a="1"/>
  <c r="D133" i="13" s="1"/>
  <c r="A133" i="13"/>
  <c r="B133" i="13" s="1"/>
  <c r="E132" i="13"/>
  <c r="A132" i="13"/>
  <c r="E131" i="13"/>
  <c r="B131" i="13"/>
  <c r="A131" i="13"/>
  <c r="D131" i="13" s="1" a="1"/>
  <c r="D131" i="13" s="1"/>
  <c r="E130" i="13"/>
  <c r="D130" i="13" a="1"/>
  <c r="D130" i="13"/>
  <c r="B130" i="13"/>
  <c r="A130" i="13"/>
  <c r="E129" i="13"/>
  <c r="D129" i="13" a="1"/>
  <c r="D129" i="13" s="1"/>
  <c r="A129" i="13"/>
  <c r="B129" i="13" s="1"/>
  <c r="E128" i="13"/>
  <c r="A128" i="13"/>
  <c r="E127" i="13"/>
  <c r="D127" i="13"/>
  <c r="B127" i="13"/>
  <c r="A127" i="13"/>
  <c r="D127" i="13" s="1" a="1"/>
  <c r="E126" i="13"/>
  <c r="D126" i="13" a="1"/>
  <c r="D126" i="13" s="1"/>
  <c r="A126" i="13"/>
  <c r="B126" i="13" s="1"/>
  <c r="E125" i="13"/>
  <c r="D125" i="13" a="1"/>
  <c r="D125" i="13" s="1"/>
  <c r="A125" i="13"/>
  <c r="B125" i="13" s="1"/>
  <c r="E124" i="13"/>
  <c r="A124" i="13"/>
  <c r="E123" i="13"/>
  <c r="B123" i="13"/>
  <c r="A123" i="13"/>
  <c r="D123" i="13" s="1" a="1"/>
  <c r="D123" i="13" s="1"/>
  <c r="E122" i="13"/>
  <c r="D122" i="13" a="1"/>
  <c r="D122" i="13"/>
  <c r="B122" i="13"/>
  <c r="A122" i="13"/>
  <c r="E121" i="13"/>
  <c r="D121" i="13" a="1"/>
  <c r="D121" i="13" s="1"/>
  <c r="A121" i="13"/>
  <c r="B121" i="13" s="1"/>
  <c r="E120" i="13"/>
  <c r="A120" i="13"/>
  <c r="D120" i="13" s="1" a="1"/>
  <c r="D120" i="13" s="1"/>
  <c r="E119" i="13"/>
  <c r="D119" i="13"/>
  <c r="B119" i="13"/>
  <c r="A119" i="13"/>
  <c r="D119" i="13" s="1" a="1"/>
  <c r="E118" i="13"/>
  <c r="D118" i="13" a="1"/>
  <c r="D118" i="13"/>
  <c r="A118" i="13"/>
  <c r="B118" i="13" s="1"/>
  <c r="I117" i="13"/>
  <c r="E117" i="13"/>
  <c r="D117" i="13" a="1"/>
  <c r="D117" i="13" s="1"/>
  <c r="A117" i="13"/>
  <c r="B117" i="13" s="1"/>
  <c r="E116" i="13"/>
  <c r="A116" i="13"/>
  <c r="E115" i="13"/>
  <c r="B115" i="13"/>
  <c r="A115" i="13"/>
  <c r="D115" i="13" s="1" a="1"/>
  <c r="D115" i="13" s="1"/>
  <c r="E114" i="13"/>
  <c r="D114" i="13" a="1"/>
  <c r="D114" i="13"/>
  <c r="B114" i="13"/>
  <c r="A114" i="13"/>
  <c r="E113" i="13"/>
  <c r="A113" i="13"/>
  <c r="E112" i="13"/>
  <c r="A112" i="13"/>
  <c r="D112" i="13" s="1" a="1"/>
  <c r="D112" i="13" s="1"/>
  <c r="E111" i="13"/>
  <c r="B111" i="13"/>
  <c r="A111" i="13"/>
  <c r="D111" i="13" s="1" a="1"/>
  <c r="D111" i="13" s="1"/>
  <c r="E110" i="13"/>
  <c r="D110" i="13" a="1"/>
  <c r="D110" i="13"/>
  <c r="A110" i="13"/>
  <c r="B110" i="13" s="1"/>
  <c r="E109" i="13"/>
  <c r="D109" i="13" a="1"/>
  <c r="D109" i="13" s="1"/>
  <c r="A109" i="13"/>
  <c r="B109" i="13" s="1"/>
  <c r="E108" i="13"/>
  <c r="A108" i="13"/>
  <c r="E107" i="13"/>
  <c r="B107" i="13"/>
  <c r="A107" i="13"/>
  <c r="D107" i="13" s="1" a="1"/>
  <c r="D107" i="13" s="1"/>
  <c r="E106" i="13"/>
  <c r="D106" i="13" a="1"/>
  <c r="D106" i="13"/>
  <c r="B106" i="13"/>
  <c r="A106" i="13"/>
  <c r="E105" i="13"/>
  <c r="D105" i="13" a="1"/>
  <c r="D105" i="13" s="1"/>
  <c r="A105" i="13"/>
  <c r="B105" i="13" s="1"/>
  <c r="E104" i="13"/>
  <c r="A104" i="13"/>
  <c r="D104" i="13" s="1" a="1"/>
  <c r="D104" i="13" s="1"/>
  <c r="E103" i="13"/>
  <c r="D103" i="13"/>
  <c r="B103" i="13"/>
  <c r="A103" i="13"/>
  <c r="D103" i="13" s="1" a="1"/>
  <c r="E102" i="13"/>
  <c r="D102" i="13" a="1"/>
  <c r="D102" i="13" s="1"/>
  <c r="A102" i="13"/>
  <c r="B102" i="13" s="1"/>
  <c r="E101" i="13"/>
  <c r="D101" i="13" a="1"/>
  <c r="D101" i="13" s="1"/>
  <c r="A101" i="13"/>
  <c r="B101" i="13" s="1"/>
  <c r="E100" i="13"/>
  <c r="A100" i="13"/>
  <c r="E99" i="13"/>
  <c r="B99" i="13"/>
  <c r="A99" i="13"/>
  <c r="D99" i="13" s="1" a="1"/>
  <c r="D99" i="13" s="1"/>
  <c r="E98" i="13"/>
  <c r="D98" i="13" a="1"/>
  <c r="D98" i="13"/>
  <c r="B98" i="13"/>
  <c r="A98" i="13"/>
  <c r="E97" i="13"/>
  <c r="A97" i="13"/>
  <c r="E96" i="13"/>
  <c r="B96" i="13"/>
  <c r="A96" i="13"/>
  <c r="D96" i="13" s="1" a="1"/>
  <c r="D96" i="13" s="1"/>
  <c r="E95" i="13"/>
  <c r="D95" i="13"/>
  <c r="B95" i="13"/>
  <c r="A95" i="13"/>
  <c r="D95" i="13" s="1" a="1"/>
  <c r="E94" i="13"/>
  <c r="D94" i="13" a="1"/>
  <c r="D94" i="13" s="1"/>
  <c r="A94" i="13"/>
  <c r="B94" i="13" s="1"/>
  <c r="E93" i="13"/>
  <c r="D93" i="13" a="1"/>
  <c r="D93" i="13" s="1"/>
  <c r="A93" i="13"/>
  <c r="B93" i="13" s="1"/>
  <c r="I92" i="13" a="1"/>
  <c r="I92" i="13" s="1"/>
  <c r="E92" i="13"/>
  <c r="A92" i="13"/>
  <c r="E91" i="13"/>
  <c r="B91" i="13"/>
  <c r="A91" i="13"/>
  <c r="D91" i="13" s="1" a="1"/>
  <c r="D91" i="13" s="1"/>
  <c r="E90" i="13"/>
  <c r="D90" i="13" a="1"/>
  <c r="D90" i="13"/>
  <c r="B90" i="13"/>
  <c r="A90" i="13"/>
  <c r="E89" i="13"/>
  <c r="A89" i="13"/>
  <c r="B89" i="13" s="1"/>
  <c r="E88" i="13"/>
  <c r="A88" i="13"/>
  <c r="E87" i="13"/>
  <c r="B87" i="13"/>
  <c r="A87" i="13"/>
  <c r="D87" i="13" s="1" a="1"/>
  <c r="D87" i="13" s="1"/>
  <c r="E86" i="13"/>
  <c r="D86" i="13" a="1"/>
  <c r="D86" i="13" s="1"/>
  <c r="A86" i="13"/>
  <c r="B86" i="13" s="1"/>
  <c r="E85" i="13"/>
  <c r="D85" i="13" a="1"/>
  <c r="D85" i="13" s="1"/>
  <c r="A85" i="13"/>
  <c r="B85" i="13" s="1"/>
  <c r="E84" i="13"/>
  <c r="A84" i="13"/>
  <c r="E83" i="13"/>
  <c r="B83" i="13"/>
  <c r="A83" i="13"/>
  <c r="D83" i="13" s="1" a="1"/>
  <c r="D83" i="13" s="1"/>
  <c r="E82" i="13"/>
  <c r="D82" i="13" a="1"/>
  <c r="D82" i="13"/>
  <c r="B82" i="13"/>
  <c r="A82" i="13"/>
  <c r="E81" i="13"/>
  <c r="A81" i="13"/>
  <c r="B81" i="13" s="1"/>
  <c r="E80" i="13"/>
  <c r="E79" i="13"/>
  <c r="E78" i="13"/>
  <c r="E77" i="13"/>
  <c r="E76" i="13"/>
  <c r="E75" i="13"/>
  <c r="E74" i="13"/>
  <c r="E73" i="13"/>
  <c r="E72" i="13"/>
  <c r="E71" i="13"/>
  <c r="E70" i="13"/>
  <c r="E69" i="13"/>
  <c r="E68" i="13"/>
  <c r="E67" i="13"/>
  <c r="E66" i="13"/>
  <c r="E65" i="13"/>
  <c r="E64" i="13"/>
  <c r="E63" i="13"/>
  <c r="E62" i="13"/>
  <c r="E61" i="13"/>
  <c r="E60" i="13"/>
  <c r="E59" i="13"/>
  <c r="E58" i="13"/>
  <c r="E57" i="13"/>
  <c r="E56" i="13"/>
  <c r="E55" i="13"/>
  <c r="E54" i="13"/>
  <c r="E53" i="13"/>
  <c r="E52" i="13"/>
  <c r="E51" i="13"/>
  <c r="E50" i="13"/>
  <c r="E49" i="13"/>
  <c r="E48" i="13"/>
  <c r="E47" i="13"/>
  <c r="E46" i="13"/>
  <c r="E45" i="13"/>
  <c r="E44" i="13"/>
  <c r="E43" i="13"/>
  <c r="E42" i="13"/>
  <c r="E41" i="13"/>
  <c r="E40" i="13"/>
  <c r="E39" i="13"/>
  <c r="E38" i="13"/>
  <c r="E37" i="13"/>
  <c r="E36" i="13"/>
  <c r="E35" i="13"/>
  <c r="E34" i="13"/>
  <c r="E33" i="13"/>
  <c r="E32" i="13"/>
  <c r="E31" i="13"/>
  <c r="E30" i="13"/>
  <c r="E29" i="13"/>
  <c r="E28" i="13"/>
  <c r="E27" i="13"/>
  <c r="E26" i="13"/>
  <c r="E25" i="13"/>
  <c r="E24" i="13"/>
  <c r="E23" i="13"/>
  <c r="E22" i="13"/>
  <c r="E21" i="13"/>
  <c r="E20" i="13"/>
  <c r="E19" i="13"/>
  <c r="E18" i="13"/>
  <c r="E17" i="13"/>
  <c r="E16" i="13"/>
  <c r="E15" i="13"/>
  <c r="E14" i="13"/>
  <c r="E13" i="13"/>
  <c r="E12" i="13"/>
  <c r="E11" i="13"/>
  <c r="E10" i="13"/>
  <c r="E9" i="13"/>
  <c r="E8" i="13"/>
  <c r="E7" i="13"/>
  <c r="E6" i="13"/>
  <c r="E5" i="13"/>
  <c r="E4" i="13"/>
  <c r="E3" i="13"/>
  <c r="E2" i="13"/>
  <c r="A2" i="13"/>
  <c r="F158" i="12" a="1"/>
  <c r="F158" i="12" s="1"/>
  <c r="A158" i="12"/>
  <c r="D158" i="12" s="1"/>
  <c r="I158" i="13" s="1" a="1"/>
  <c r="I158" i="13" s="1"/>
  <c r="N157" i="12" a="1"/>
  <c r="N157" i="12" s="1"/>
  <c r="F157" i="12" a="1"/>
  <c r="F157" i="12" s="1"/>
  <c r="D157" i="12"/>
  <c r="I157" i="13" s="1" a="1"/>
  <c r="I157" i="13" s="1"/>
  <c r="A157" i="12"/>
  <c r="B157" i="12" s="1"/>
  <c r="H157" i="13" s="1" a="1"/>
  <c r="H157" i="13" s="1"/>
  <c r="N156" i="12" a="1"/>
  <c r="N156" i="12"/>
  <c r="F156" i="12" a="1"/>
  <c r="F156" i="12"/>
  <c r="D156" i="12"/>
  <c r="I156" i="13" s="1" a="1"/>
  <c r="I156" i="13" s="1"/>
  <c r="B156" i="12"/>
  <c r="H156" i="13" s="1" a="1"/>
  <c r="H156" i="13" s="1"/>
  <c r="A156" i="12"/>
  <c r="F155" i="12" a="1"/>
  <c r="F155" i="12" s="1"/>
  <c r="D155" i="12"/>
  <c r="I155" i="13" s="1" a="1"/>
  <c r="I155" i="13" s="1"/>
  <c r="B155" i="12"/>
  <c r="H155" i="13" s="1" a="1"/>
  <c r="A155" i="12"/>
  <c r="N154" i="12" a="1"/>
  <c r="N154" i="12"/>
  <c r="F154" i="12" a="1"/>
  <c r="F154" i="12"/>
  <c r="B154" i="12"/>
  <c r="H154" i="13" s="1" a="1"/>
  <c r="H154" i="13" s="1"/>
  <c r="A154" i="12"/>
  <c r="D154" i="12" s="1"/>
  <c r="I154" i="13" s="1" a="1"/>
  <c r="I154" i="13" s="1"/>
  <c r="F153" i="12" a="1"/>
  <c r="F153" i="12"/>
  <c r="A153" i="12"/>
  <c r="B153" i="12" s="1"/>
  <c r="H153" i="13" s="1" a="1"/>
  <c r="H153" i="13" s="1"/>
  <c r="N152" i="12" a="1"/>
  <c r="N152" i="12" s="1"/>
  <c r="F152" i="12" a="1"/>
  <c r="F152" i="12"/>
  <c r="D152" i="12"/>
  <c r="I146" i="13" s="1" a="1"/>
  <c r="B152" i="12"/>
  <c r="H146" i="13" s="1" a="1"/>
  <c r="H146" i="13" s="1"/>
  <c r="A152" i="12"/>
  <c r="N151" i="12" a="1"/>
  <c r="N151" i="12"/>
  <c r="F151" i="12" a="1"/>
  <c r="F151" i="12" s="1"/>
  <c r="A151" i="12"/>
  <c r="F150" i="12" a="1"/>
  <c r="F150" i="12" s="1"/>
  <c r="A150" i="12"/>
  <c r="D150" i="12" s="1"/>
  <c r="I144" i="13" s="1" a="1"/>
  <c r="I144" i="13" s="1"/>
  <c r="N149" i="12" a="1"/>
  <c r="N149" i="12" s="1"/>
  <c r="F149" i="12" a="1"/>
  <c r="F149" i="12"/>
  <c r="D149" i="12"/>
  <c r="I143" i="13" s="1" a="1"/>
  <c r="I143" i="13" s="1"/>
  <c r="A149" i="12"/>
  <c r="B149" i="12" s="1"/>
  <c r="H143" i="13" s="1" a="1"/>
  <c r="H143" i="13" s="1"/>
  <c r="N148" i="12" a="1"/>
  <c r="N148" i="12"/>
  <c r="F148" i="12" a="1"/>
  <c r="F148" i="12"/>
  <c r="D148" i="12"/>
  <c r="I142" i="13" s="1" a="1"/>
  <c r="I142" i="13" s="1"/>
  <c r="B148" i="12"/>
  <c r="A148" i="12"/>
  <c r="N147" i="12" a="1"/>
  <c r="N147" i="12"/>
  <c r="F147" i="12" a="1"/>
  <c r="F147" i="12" s="1"/>
  <c r="D147" i="12"/>
  <c r="I141" i="13" s="1" a="1"/>
  <c r="I141" i="13" s="1"/>
  <c r="B147" i="12"/>
  <c r="H141" i="13" s="1" a="1"/>
  <c r="H141" i="13" s="1"/>
  <c r="A147" i="12"/>
  <c r="F146" i="12" a="1"/>
  <c r="F146" i="12"/>
  <c r="B146" i="12"/>
  <c r="H140" i="13" s="1" a="1"/>
  <c r="H140" i="13" s="1"/>
  <c r="A146" i="12"/>
  <c r="D146" i="12" s="1"/>
  <c r="I140" i="13" s="1" a="1"/>
  <c r="I140" i="13" s="1"/>
  <c r="N145" i="12" a="1"/>
  <c r="N145" i="12" s="1"/>
  <c r="F145" i="12" a="1"/>
  <c r="F145" i="12"/>
  <c r="A145" i="12"/>
  <c r="B145" i="12" s="1"/>
  <c r="H139" i="13" s="1" a="1"/>
  <c r="H139" i="13" s="1"/>
  <c r="N144" i="12" a="1"/>
  <c r="N144" i="12" s="1"/>
  <c r="F144" i="12" a="1"/>
  <c r="F144" i="12" s="1"/>
  <c r="D144" i="12"/>
  <c r="I137" i="13" s="1" a="1"/>
  <c r="I137" i="13" s="1"/>
  <c r="B144" i="12"/>
  <c r="H137" i="13" s="1" a="1"/>
  <c r="H137" i="13" s="1"/>
  <c r="A144" i="12"/>
  <c r="N143" i="12" a="1"/>
  <c r="N143" i="12"/>
  <c r="F143" i="12" a="1"/>
  <c r="F143" i="12" s="1"/>
  <c r="A143" i="12"/>
  <c r="N142" i="12" a="1"/>
  <c r="N142" i="12"/>
  <c r="F142" i="12" a="1"/>
  <c r="F142" i="12" s="1"/>
  <c r="A142" i="12"/>
  <c r="D142" i="12" s="1"/>
  <c r="I133" i="13" s="1" a="1"/>
  <c r="I133" i="13" s="1"/>
  <c r="F141" i="12" a="1"/>
  <c r="F141" i="12"/>
  <c r="D141" i="12"/>
  <c r="I132" i="13" s="1" a="1"/>
  <c r="I132" i="13" s="1"/>
  <c r="B141" i="12"/>
  <c r="H132" i="13" s="1" a="1"/>
  <c r="H132" i="13" s="1"/>
  <c r="A141" i="12"/>
  <c r="N140" i="12" a="1"/>
  <c r="N140" i="12"/>
  <c r="F140" i="12" a="1"/>
  <c r="F140" i="12"/>
  <c r="D140" i="12"/>
  <c r="I131" i="13" s="1" a="1"/>
  <c r="I131" i="13" s="1"/>
  <c r="B140" i="12"/>
  <c r="H131" i="13" s="1" a="1"/>
  <c r="H131" i="13" s="1"/>
  <c r="A140" i="12"/>
  <c r="N139" i="12" a="1"/>
  <c r="N139" i="12"/>
  <c r="F139" i="12" a="1"/>
  <c r="F139" i="12" s="1"/>
  <c r="D139" i="12"/>
  <c r="I130" i="13" s="1" a="1"/>
  <c r="I130" i="13" s="1"/>
  <c r="B139" i="12"/>
  <c r="H130" i="13" s="1" a="1"/>
  <c r="H130" i="13" s="1"/>
  <c r="A139" i="12"/>
  <c r="F138" i="12" a="1"/>
  <c r="F138" i="12"/>
  <c r="B138" i="12"/>
  <c r="H128" i="13" s="1" a="1"/>
  <c r="H128" i="13" s="1"/>
  <c r="A138" i="12"/>
  <c r="D138" i="12" s="1"/>
  <c r="I128" i="13" s="1" a="1"/>
  <c r="I128" i="13" s="1"/>
  <c r="N137" i="12" a="1"/>
  <c r="N137" i="12" s="1"/>
  <c r="F137" i="12" a="1"/>
  <c r="F137" i="12"/>
  <c r="D137" i="12"/>
  <c r="I127" i="13" s="1" a="1"/>
  <c r="I127" i="13" s="1"/>
  <c r="A137" i="12"/>
  <c r="B137" i="12" s="1"/>
  <c r="H127" i="13" s="1" a="1"/>
  <c r="H127" i="13" s="1"/>
  <c r="N136" i="12" a="1"/>
  <c r="N136" i="12" s="1"/>
  <c r="F136" i="12" a="1"/>
  <c r="F136" i="12" s="1"/>
  <c r="D136" i="12"/>
  <c r="I126" i="13" s="1" a="1"/>
  <c r="I126" i="13" s="1"/>
  <c r="B136" i="12"/>
  <c r="H126" i="13" s="1" a="1"/>
  <c r="H126" i="13" s="1"/>
  <c r="A136" i="12"/>
  <c r="N135" i="12" a="1"/>
  <c r="N135" i="12"/>
  <c r="F135" i="12" a="1"/>
  <c r="F135" i="12" s="1"/>
  <c r="A135" i="12"/>
  <c r="F134" i="12" a="1"/>
  <c r="F134" i="12" s="1"/>
  <c r="A134" i="12"/>
  <c r="D134" i="12" s="1"/>
  <c r="I124" i="13" s="1" a="1"/>
  <c r="I124" i="13" s="1"/>
  <c r="N133" i="12" a="1"/>
  <c r="N133" i="12" s="1"/>
  <c r="F133" i="12" a="1"/>
  <c r="F133" i="12"/>
  <c r="D133" i="12"/>
  <c r="I123" i="13" s="1" a="1"/>
  <c r="I123" i="13" s="1"/>
  <c r="B133" i="12"/>
  <c r="H123" i="13" s="1" a="1"/>
  <c r="H123" i="13" s="1"/>
  <c r="A133" i="12"/>
  <c r="N132" i="12" a="1"/>
  <c r="N132" i="12"/>
  <c r="F132" i="12" a="1"/>
  <c r="F132" i="12"/>
  <c r="D132" i="12"/>
  <c r="I121" i="13" s="1" a="1"/>
  <c r="I121" i="13" s="1"/>
  <c r="B132" i="12"/>
  <c r="H121" i="13" s="1" a="1"/>
  <c r="H121" i="13" s="1"/>
  <c r="A132" i="12"/>
  <c r="N131" i="12" a="1"/>
  <c r="N131" i="12"/>
  <c r="F131" i="12" a="1"/>
  <c r="F131" i="12" s="1"/>
  <c r="D131" i="12"/>
  <c r="I118" i="13" s="1" a="1"/>
  <c r="I118" i="13" s="1"/>
  <c r="B131" i="12"/>
  <c r="H118" i="13" s="1" a="1"/>
  <c r="H118" i="13" s="1"/>
  <c r="A131" i="12"/>
  <c r="N130" i="12" a="1"/>
  <c r="N130" i="12" s="1"/>
  <c r="F130" i="12" a="1"/>
  <c r="F130" i="12"/>
  <c r="B130" i="12"/>
  <c r="H117" i="13" s="1" a="1"/>
  <c r="H117" i="13" s="1"/>
  <c r="A130" i="12"/>
  <c r="D130" i="12" s="1"/>
  <c r="I117" i="13" s="1" a="1"/>
  <c r="F129" i="12" a="1"/>
  <c r="F129" i="12"/>
  <c r="D129" i="12"/>
  <c r="I116" i="13" s="1" a="1"/>
  <c r="I116" i="13" s="1"/>
  <c r="A129" i="12"/>
  <c r="B129" i="12" s="1"/>
  <c r="H116" i="13" s="1" a="1"/>
  <c r="H116" i="13" s="1"/>
  <c r="N128" i="12" a="1"/>
  <c r="N128" i="12" s="1"/>
  <c r="F128" i="12" a="1"/>
  <c r="F128" i="12" s="1"/>
  <c r="D128" i="12"/>
  <c r="I115" i="13" s="1" a="1"/>
  <c r="I115" i="13" s="1"/>
  <c r="B128" i="12"/>
  <c r="H115" i="13" s="1" a="1"/>
  <c r="H115" i="13" s="1"/>
  <c r="A128" i="12"/>
  <c r="F127" i="12" a="1"/>
  <c r="F127" i="12" s="1"/>
  <c r="A127" i="12"/>
  <c r="F126" i="12" a="1"/>
  <c r="F126" i="12" s="1"/>
  <c r="A126" i="12"/>
  <c r="D126" i="12" s="1"/>
  <c r="I112" i="13" s="1" a="1"/>
  <c r="I112" i="13" s="1"/>
  <c r="N125" i="12" a="1"/>
  <c r="N125" i="12" s="1"/>
  <c r="F125" i="12" a="1"/>
  <c r="F125" i="12" s="1"/>
  <c r="D125" i="12"/>
  <c r="I111" i="13" s="1" a="1"/>
  <c r="I111" i="13" s="1"/>
  <c r="B125" i="12"/>
  <c r="H111" i="13" s="1" a="1"/>
  <c r="H111" i="13" s="1"/>
  <c r="A125" i="12"/>
  <c r="N124" i="12" a="1"/>
  <c r="N124" i="12"/>
  <c r="F124" i="12" a="1"/>
  <c r="F124" i="12"/>
  <c r="D124" i="12"/>
  <c r="I110" i="13" s="1" a="1"/>
  <c r="I110" i="13" s="1"/>
  <c r="B124" i="12"/>
  <c r="H110" i="13" s="1" a="1"/>
  <c r="H110" i="13" s="1"/>
  <c r="A124" i="12"/>
  <c r="N123" i="12" a="1"/>
  <c r="N123" i="12"/>
  <c r="F123" i="12" a="1"/>
  <c r="F123" i="12" s="1"/>
  <c r="D123" i="12"/>
  <c r="I109" i="13" s="1" a="1"/>
  <c r="I109" i="13" s="1"/>
  <c r="B123" i="12"/>
  <c r="H109" i="13" s="1" a="1"/>
  <c r="H109" i="13" s="1"/>
  <c r="A123" i="12"/>
  <c r="F122" i="12" a="1"/>
  <c r="F122" i="12"/>
  <c r="B122" i="12"/>
  <c r="H108" i="13" s="1" a="1"/>
  <c r="H108" i="13" s="1"/>
  <c r="A122" i="12"/>
  <c r="D122" i="12" s="1"/>
  <c r="I108" i="13" s="1" a="1"/>
  <c r="I108" i="13" s="1"/>
  <c r="N121" i="12" a="1"/>
  <c r="N121" i="12" s="1"/>
  <c r="F121" i="12" a="1"/>
  <c r="F121" i="12"/>
  <c r="A121" i="12"/>
  <c r="B121" i="12" s="1"/>
  <c r="H107" i="13" s="1" a="1"/>
  <c r="H107" i="13" s="1"/>
  <c r="N120" i="12" a="1"/>
  <c r="N120" i="12" s="1"/>
  <c r="F120" i="12" a="1"/>
  <c r="F120" i="12" s="1"/>
  <c r="D120" i="12"/>
  <c r="I106" i="13" s="1" a="1"/>
  <c r="I106" i="13" s="1"/>
  <c r="B120" i="12"/>
  <c r="H106" i="13" s="1" a="1"/>
  <c r="H106" i="13" s="1"/>
  <c r="A120" i="12"/>
  <c r="N119" i="12" a="1"/>
  <c r="N119" i="12"/>
  <c r="F119" i="12" a="1"/>
  <c r="F119" i="12" s="1"/>
  <c r="A119" i="12"/>
  <c r="N118" i="12" a="1"/>
  <c r="N118" i="12"/>
  <c r="F118" i="12" a="1"/>
  <c r="F118" i="12"/>
  <c r="A118" i="12"/>
  <c r="D118" i="12" s="1"/>
  <c r="I102" i="13" s="1" a="1"/>
  <c r="I102" i="13" s="1"/>
  <c r="N117" i="12" a="1"/>
  <c r="N117" i="12" s="1"/>
  <c r="F117" i="12" a="1"/>
  <c r="F117" i="12" s="1"/>
  <c r="D117" i="12"/>
  <c r="I101" i="13" s="1" a="1"/>
  <c r="I101" i="13" s="1"/>
  <c r="B117" i="12"/>
  <c r="H101" i="13" s="1" a="1"/>
  <c r="H101" i="13" s="1"/>
  <c r="A117" i="12"/>
  <c r="N116" i="12" a="1"/>
  <c r="N116" i="12"/>
  <c r="F116" i="12" a="1"/>
  <c r="F116" i="12"/>
  <c r="D116" i="12"/>
  <c r="I99" i="13" s="1" a="1"/>
  <c r="I99" i="13" s="1"/>
  <c r="B116" i="12"/>
  <c r="H99" i="13" s="1" a="1"/>
  <c r="H99" i="13" s="1"/>
  <c r="A116" i="12"/>
  <c r="N115" i="12" a="1"/>
  <c r="N115" i="12"/>
  <c r="F115" i="12" a="1"/>
  <c r="F115" i="12" s="1"/>
  <c r="D115" i="12"/>
  <c r="I98" i="13" s="1" a="1"/>
  <c r="I98" i="13" s="1"/>
  <c r="B115" i="12"/>
  <c r="H98" i="13" s="1" a="1"/>
  <c r="H98" i="13" s="1"/>
  <c r="A115" i="12"/>
  <c r="N114" i="12" a="1"/>
  <c r="N114" i="12" s="1"/>
  <c r="F114" i="12" a="1"/>
  <c r="F114" i="12"/>
  <c r="B114" i="12"/>
  <c r="H95" i="13" s="1" a="1"/>
  <c r="H95" i="13" s="1"/>
  <c r="A114" i="12"/>
  <c r="D114" i="12" s="1"/>
  <c r="I95" i="13" s="1" a="1"/>
  <c r="I95" i="13" s="1"/>
  <c r="N113" i="12" a="1"/>
  <c r="N113" i="12" s="1"/>
  <c r="F113" i="12" a="1"/>
  <c r="F113" i="12"/>
  <c r="D113" i="12"/>
  <c r="I93" i="13" s="1" a="1"/>
  <c r="I93" i="13" s="1"/>
  <c r="A113" i="12"/>
  <c r="B113" i="12" s="1"/>
  <c r="H93" i="13" s="1" a="1"/>
  <c r="H93" i="13" s="1"/>
  <c r="F112" i="12" a="1"/>
  <c r="F112" i="12" s="1"/>
  <c r="D112" i="12"/>
  <c r="B112" i="12"/>
  <c r="H92" i="13" s="1" a="1"/>
  <c r="H92" i="13" s="1"/>
  <c r="A112" i="12"/>
  <c r="N111" i="12" a="1"/>
  <c r="N111" i="12" s="1"/>
  <c r="F111" i="12" a="1"/>
  <c r="F111" i="12" s="1"/>
  <c r="A111" i="12"/>
  <c r="F110" i="12" a="1"/>
  <c r="F110" i="12" s="1"/>
  <c r="A110" i="12"/>
  <c r="D110" i="12" s="1"/>
  <c r="I88" i="13" s="1" a="1"/>
  <c r="I88" i="13" s="1"/>
  <c r="N109" i="12" a="1"/>
  <c r="N109" i="12" s="1"/>
  <c r="F109" i="12" a="1"/>
  <c r="F109" i="12"/>
  <c r="D109" i="12"/>
  <c r="I85" i="13" s="1" a="1"/>
  <c r="I85" i="13" s="1"/>
  <c r="B109" i="12"/>
  <c r="H85" i="13" s="1" a="1"/>
  <c r="H85" i="13" s="1"/>
  <c r="A109" i="12"/>
  <c r="F108" i="12" a="1"/>
  <c r="F108" i="12"/>
  <c r="A108" i="12"/>
  <c r="D108" i="12" s="1"/>
  <c r="I152" i="13" s="1" a="1"/>
  <c r="I152" i="13" s="1"/>
  <c r="N107" i="12" a="1"/>
  <c r="N107" i="12"/>
  <c r="F107" i="12" a="1"/>
  <c r="F107" i="12" s="1"/>
  <c r="D107" i="12"/>
  <c r="I151" i="13" s="1" a="1"/>
  <c r="I151" i="13" s="1"/>
  <c r="B107" i="12"/>
  <c r="H151" i="13" s="1" a="1"/>
  <c r="H151" i="13" s="1"/>
  <c r="A107" i="12"/>
  <c r="N106" i="12" a="1"/>
  <c r="N106" i="12" s="1"/>
  <c r="F106" i="12" a="1"/>
  <c r="F106" i="12" s="1"/>
  <c r="B106" i="12"/>
  <c r="H150" i="13" s="1" a="1"/>
  <c r="H150" i="13" s="1"/>
  <c r="A106" i="12"/>
  <c r="D106" i="12" s="1"/>
  <c r="I150" i="13" s="1" a="1"/>
  <c r="I150" i="13" s="1"/>
  <c r="N105" i="12" a="1"/>
  <c r="N105" i="12" s="1"/>
  <c r="F105" i="12" a="1"/>
  <c r="F105" i="12"/>
  <c r="D105" i="12"/>
  <c r="I149" i="13" s="1" a="1"/>
  <c r="I149" i="13" s="1"/>
  <c r="A105" i="12"/>
  <c r="B105" i="12" s="1"/>
  <c r="H149" i="13" s="1" a="1"/>
  <c r="H149" i="13" s="1"/>
  <c r="F104" i="12" a="1"/>
  <c r="F104" i="12" s="1"/>
  <c r="D104" i="12"/>
  <c r="I148" i="13" s="1" a="1"/>
  <c r="I148" i="13" s="1"/>
  <c r="B104" i="12"/>
  <c r="H148" i="13" s="1" a="1"/>
  <c r="H148" i="13" s="1"/>
  <c r="A104" i="12"/>
  <c r="N103" i="12" a="1"/>
  <c r="N103" i="12" s="1"/>
  <c r="F103" i="12" a="1"/>
  <c r="F103" i="12" s="1"/>
  <c r="B103" i="12"/>
  <c r="H147" i="13" s="1" a="1"/>
  <c r="H147" i="13" s="1"/>
  <c r="A103" i="12"/>
  <c r="D103" i="12" s="1"/>
  <c r="I147" i="13" s="1" a="1"/>
  <c r="I147" i="13" s="1"/>
  <c r="N102" i="12" a="1"/>
  <c r="N102" i="12"/>
  <c r="F102" i="12" a="1"/>
  <c r="F102" i="12" s="1"/>
  <c r="D102" i="12"/>
  <c r="I138" i="13" s="1" a="1"/>
  <c r="I138" i="13" s="1"/>
  <c r="A102" i="12"/>
  <c r="B102" i="12" s="1"/>
  <c r="H138" i="13" s="1" a="1"/>
  <c r="H138" i="13" s="1"/>
  <c r="N101" i="12" a="1"/>
  <c r="N101" i="12" s="1"/>
  <c r="F101" i="12" a="1"/>
  <c r="F101" i="12" s="1"/>
  <c r="D101" i="12"/>
  <c r="I136" i="13" s="1" a="1"/>
  <c r="I136" i="13" s="1"/>
  <c r="B101" i="12"/>
  <c r="H136" i="13" s="1" a="1"/>
  <c r="H136" i="13" s="1"/>
  <c r="A101" i="12"/>
  <c r="N100" i="12" a="1"/>
  <c r="N100" i="12" s="1"/>
  <c r="F100" i="12" a="1"/>
  <c r="F100" i="12"/>
  <c r="A100" i="12"/>
  <c r="D100" i="12" s="1"/>
  <c r="I134" i="13" s="1" a="1"/>
  <c r="I134" i="13" s="1"/>
  <c r="N99" i="12" a="1"/>
  <c r="N99" i="12"/>
  <c r="F99" i="12" a="1"/>
  <c r="F99" i="12" s="1"/>
  <c r="D99" i="12"/>
  <c r="I129" i="13" s="1" a="1"/>
  <c r="I129" i="13" s="1"/>
  <c r="B99" i="12"/>
  <c r="H129" i="13" s="1" a="1"/>
  <c r="H129" i="13" s="1"/>
  <c r="A99" i="12"/>
  <c r="N98" i="12" a="1"/>
  <c r="N98" i="12" s="1"/>
  <c r="F98" i="12" a="1"/>
  <c r="F98" i="12" s="1"/>
  <c r="B98" i="12"/>
  <c r="H122" i="13" s="1" a="1"/>
  <c r="H122" i="13" s="1"/>
  <c r="A98" i="12"/>
  <c r="D98" i="12" s="1"/>
  <c r="I122" i="13" s="1" a="1"/>
  <c r="I122" i="13" s="1"/>
  <c r="F97" i="12" a="1"/>
  <c r="F97" i="12"/>
  <c r="D97" i="12"/>
  <c r="I120" i="13" s="1" a="1"/>
  <c r="I120" i="13" s="1"/>
  <c r="A97" i="12"/>
  <c r="B97" i="12" s="1"/>
  <c r="H120" i="13" s="1" a="1"/>
  <c r="H120" i="13" s="1"/>
  <c r="N96" i="12" a="1"/>
  <c r="N96" i="12" s="1"/>
  <c r="F96" i="12" a="1"/>
  <c r="F96" i="12" s="1"/>
  <c r="D96" i="12"/>
  <c r="I119" i="13" s="1" a="1"/>
  <c r="I119" i="13" s="1"/>
  <c r="B96" i="12"/>
  <c r="H119" i="13" s="1" a="1"/>
  <c r="H119" i="13" s="1"/>
  <c r="A96" i="12"/>
  <c r="N95" i="12" a="1"/>
  <c r="N95" i="12" s="1"/>
  <c r="F95" i="12" a="1"/>
  <c r="F95" i="12" s="1"/>
  <c r="B95" i="12"/>
  <c r="H114" i="13" s="1" a="1"/>
  <c r="H114" i="13" s="1"/>
  <c r="A95" i="12"/>
  <c r="D95" i="12" s="1"/>
  <c r="I114" i="13" s="1" a="1"/>
  <c r="I114" i="13" s="1"/>
  <c r="N94" i="12" a="1"/>
  <c r="N94" i="12"/>
  <c r="F94" i="12" a="1"/>
  <c r="F94" i="12" s="1"/>
  <c r="D94" i="12"/>
  <c r="I105" i="13" s="1" a="1"/>
  <c r="I105" i="13" s="1"/>
  <c r="A94" i="12"/>
  <c r="B94" i="12" s="1"/>
  <c r="H105" i="13" s="1" a="1"/>
  <c r="H105" i="13" s="1"/>
  <c r="F93" i="12" a="1"/>
  <c r="F93" i="12" s="1"/>
  <c r="D93" i="12"/>
  <c r="I104" i="13" s="1" a="1"/>
  <c r="I104" i="13" s="1"/>
  <c r="B93" i="12"/>
  <c r="H104" i="13" s="1" a="1"/>
  <c r="H104" i="13" s="1"/>
  <c r="A93" i="12"/>
  <c r="F92" i="12" a="1"/>
  <c r="F92" i="12"/>
  <c r="A92" i="12"/>
  <c r="D92" i="12" s="1"/>
  <c r="I100" i="13" s="1" a="1"/>
  <c r="I100" i="13" s="1"/>
  <c r="F91" i="12" a="1"/>
  <c r="F91" i="12" s="1"/>
  <c r="D91" i="12"/>
  <c r="I97" i="13" s="1" a="1"/>
  <c r="I97" i="13" s="1"/>
  <c r="B91" i="12"/>
  <c r="H97" i="13" s="1" a="1"/>
  <c r="H97" i="13" s="1"/>
  <c r="A91" i="12"/>
  <c r="N90" i="12" a="1"/>
  <c r="N90" i="12" s="1"/>
  <c r="F90" i="12" a="1"/>
  <c r="F90" i="12"/>
  <c r="A90" i="12"/>
  <c r="D90" i="12" s="1"/>
  <c r="I96" i="13" s="1" a="1"/>
  <c r="I96" i="13" s="1"/>
  <c r="N89" i="12" a="1"/>
  <c r="N89" i="12" s="1"/>
  <c r="F89" i="12" a="1"/>
  <c r="F89" i="12"/>
  <c r="A89" i="12"/>
  <c r="B89" i="12" s="1"/>
  <c r="H94" i="13" s="1" a="1"/>
  <c r="H94" i="13" s="1"/>
  <c r="N88" i="12" a="1"/>
  <c r="N88" i="12"/>
  <c r="F88" i="12" a="1"/>
  <c r="F88" i="12" s="1"/>
  <c r="D88" i="12"/>
  <c r="I91" i="13" s="1" a="1"/>
  <c r="I91" i="13" s="1"/>
  <c r="B88" i="12"/>
  <c r="H91" i="13" s="1" a="1"/>
  <c r="H91" i="13" s="1"/>
  <c r="A88" i="12"/>
  <c r="N87" i="12" a="1"/>
  <c r="N87" i="12"/>
  <c r="F87" i="12" a="1"/>
  <c r="F87" i="12"/>
  <c r="B87" i="12"/>
  <c r="H89" i="13" s="1" a="1"/>
  <c r="H89" i="13" s="1"/>
  <c r="A87" i="12"/>
  <c r="D87" i="12" s="1"/>
  <c r="I89" i="13" s="1" a="1"/>
  <c r="I89" i="13" s="1"/>
  <c r="N86" i="12" a="1"/>
  <c r="N86" i="12"/>
  <c r="F86" i="12" a="1"/>
  <c r="F86" i="12"/>
  <c r="A86" i="12"/>
  <c r="B86" i="12" s="1"/>
  <c r="H87" i="13" s="1" a="1"/>
  <c r="H87" i="13" s="1"/>
  <c r="N85" i="12" a="1"/>
  <c r="N85" i="12" s="1"/>
  <c r="F85" i="12" a="1"/>
  <c r="F85" i="12" s="1"/>
  <c r="D85" i="12"/>
  <c r="I86" i="13" s="1" a="1"/>
  <c r="I86" i="13" s="1"/>
  <c r="B85" i="12"/>
  <c r="H86" i="13" s="1" a="1"/>
  <c r="H86" i="13" s="1"/>
  <c r="A85" i="12"/>
  <c r="N84" i="12" a="1"/>
  <c r="N84" i="12"/>
  <c r="F84" i="12" a="1"/>
  <c r="F84" i="12"/>
  <c r="E84" i="12" a="1"/>
  <c r="E84" i="12" s="1"/>
  <c r="A84" i="12"/>
  <c r="B84" i="12" s="1"/>
  <c r="H81" i="13" s="1" a="1"/>
  <c r="H81" i="13" s="1"/>
  <c r="F83" i="12" a="1"/>
  <c r="F83" i="12" s="1"/>
  <c r="E83" i="12" a="1"/>
  <c r="E83" i="12" s="1"/>
  <c r="A83" i="12"/>
  <c r="D83" i="12" s="1"/>
  <c r="I84" i="13" s="1" a="1"/>
  <c r="I84" i="13" s="1"/>
  <c r="N82" i="12" a="1"/>
  <c r="N82" i="12"/>
  <c r="F82" i="12" a="1"/>
  <c r="F82" i="12" s="1"/>
  <c r="E82" i="12" a="1"/>
  <c r="E82" i="12" s="1"/>
  <c r="D82" i="12"/>
  <c r="I83" i="13" s="1" a="1"/>
  <c r="I83" i="13" s="1"/>
  <c r="B82" i="12"/>
  <c r="H83" i="13" s="1" a="1"/>
  <c r="H83" i="13" s="1"/>
  <c r="A82" i="12"/>
  <c r="N81" i="12" a="1"/>
  <c r="N81" i="12" s="1"/>
  <c r="F81" i="12" a="1"/>
  <c r="F81" i="12" s="1"/>
  <c r="E81" i="12" a="1"/>
  <c r="E81" i="12"/>
  <c r="A81" i="12"/>
  <c r="B81" i="12" s="1"/>
  <c r="H82" i="13" s="1" a="1"/>
  <c r="H82" i="13" s="1"/>
  <c r="F80" i="12" a="1"/>
  <c r="F80" i="12" s="1"/>
  <c r="E80" i="12" a="1"/>
  <c r="E80" i="12" s="1"/>
  <c r="B80" i="12"/>
  <c r="H80" i="13" s="1" a="1"/>
  <c r="H80" i="13" s="1"/>
  <c r="A80" i="12"/>
  <c r="D80" i="12" s="1"/>
  <c r="I80" i="13" s="1" a="1"/>
  <c r="I80" i="13" s="1"/>
  <c r="F79" i="12" a="1"/>
  <c r="F79" i="12"/>
  <c r="E79" i="12" a="1"/>
  <c r="E79" i="12" s="1"/>
  <c r="D79" i="12"/>
  <c r="I79" i="13" s="1" a="1"/>
  <c r="I79" i="13" s="1"/>
  <c r="B79" i="12"/>
  <c r="H79" i="13" s="1" a="1"/>
  <c r="H79" i="13" s="1"/>
  <c r="A79" i="12"/>
  <c r="F78" i="12" a="1"/>
  <c r="F78" i="12" s="1"/>
  <c r="E78" i="12" a="1"/>
  <c r="E78" i="12"/>
  <c r="D78" i="12"/>
  <c r="I78" i="13" s="1" a="1"/>
  <c r="I78" i="13" s="1"/>
  <c r="B78" i="12"/>
  <c r="H78" i="13" s="1" a="1"/>
  <c r="H78" i="13" s="1"/>
  <c r="A78" i="12"/>
  <c r="F77" i="12" a="1"/>
  <c r="F77" i="12" s="1"/>
  <c r="E77" i="12" a="1"/>
  <c r="E77" i="12"/>
  <c r="D77" i="12"/>
  <c r="I77" i="13" s="1" a="1"/>
  <c r="I77" i="13" s="1"/>
  <c r="B77" i="12"/>
  <c r="H77" i="13" s="1" a="1"/>
  <c r="H77" i="13" s="1"/>
  <c r="A77" i="12"/>
  <c r="F76" i="12" a="1"/>
  <c r="F76" i="12" s="1"/>
  <c r="E76" i="12" a="1"/>
  <c r="E76" i="12" s="1"/>
  <c r="D76" i="12"/>
  <c r="I76" i="13" s="1" a="1"/>
  <c r="I76" i="13" s="1"/>
  <c r="B76" i="12"/>
  <c r="H76" i="13" s="1" a="1"/>
  <c r="H76" i="13" s="1"/>
  <c r="A76" i="12"/>
  <c r="F75" i="12" a="1"/>
  <c r="F75" i="12"/>
  <c r="E75" i="12" a="1"/>
  <c r="E75" i="12" s="1"/>
  <c r="A75" i="12"/>
  <c r="D75" i="12" s="1"/>
  <c r="I75" i="13" s="1" a="1"/>
  <c r="I75" i="13" s="1"/>
  <c r="F74" i="12" a="1"/>
  <c r="F74" i="12" s="1"/>
  <c r="E74" i="12" a="1"/>
  <c r="E74" i="12" s="1"/>
  <c r="A74" i="12"/>
  <c r="D74" i="12" s="1"/>
  <c r="I74" i="13" s="1" a="1"/>
  <c r="I74" i="13" s="1"/>
  <c r="F73" i="12" a="1"/>
  <c r="F73" i="12" s="1"/>
  <c r="E73" i="12" a="1"/>
  <c r="E73" i="12" s="1"/>
  <c r="D73" i="12"/>
  <c r="I73" i="13" s="1" a="1"/>
  <c r="I73" i="13" s="1"/>
  <c r="B73" i="12"/>
  <c r="H73" i="13" s="1" a="1"/>
  <c r="H73" i="13" s="1"/>
  <c r="A73" i="12"/>
  <c r="F72" i="12" a="1"/>
  <c r="F72" i="12" s="1"/>
  <c r="E72" i="12" a="1"/>
  <c r="E72" i="12"/>
  <c r="A72" i="12"/>
  <c r="D72" i="12" s="1"/>
  <c r="I72" i="13" s="1" a="1"/>
  <c r="I72" i="13" s="1"/>
  <c r="F71" i="12" a="1"/>
  <c r="F71" i="12" s="1"/>
  <c r="E71" i="12" a="1"/>
  <c r="E71" i="12"/>
  <c r="B71" i="12"/>
  <c r="H71" i="13" s="1" a="1"/>
  <c r="H71" i="13" s="1"/>
  <c r="A71" i="12"/>
  <c r="D71" i="12" s="1"/>
  <c r="I71" i="13" s="1" a="1"/>
  <c r="I71" i="13" s="1"/>
  <c r="F70" i="12" a="1"/>
  <c r="F70" i="12"/>
  <c r="E70" i="12" a="1"/>
  <c r="E70" i="12" s="1"/>
  <c r="F69" i="12" a="1"/>
  <c r="F69" i="12"/>
  <c r="E69" i="12" a="1"/>
  <c r="E69" i="12" s="1"/>
  <c r="F68" i="12" a="1"/>
  <c r="F68" i="12"/>
  <c r="E68" i="12" a="1"/>
  <c r="E68" i="12" s="1"/>
  <c r="F67" i="12" a="1"/>
  <c r="F67" i="12" s="1"/>
  <c r="E67" i="12" a="1"/>
  <c r="E67" i="12"/>
  <c r="F66" i="12" a="1"/>
  <c r="F66" i="12" s="1"/>
  <c r="E66" i="12" a="1"/>
  <c r="E66" i="12" s="1"/>
  <c r="F65" i="12" a="1"/>
  <c r="F65" i="12"/>
  <c r="E65" i="12" a="1"/>
  <c r="E65" i="12" s="1"/>
  <c r="F64" i="12" a="1"/>
  <c r="F64" i="12" s="1"/>
  <c r="E64" i="12" a="1"/>
  <c r="E64" i="12" s="1"/>
  <c r="F63" i="12" a="1"/>
  <c r="F63" i="12" s="1"/>
  <c r="E63" i="12" a="1"/>
  <c r="E63" i="12" s="1"/>
  <c r="F62" i="12" a="1"/>
  <c r="F62" i="12"/>
  <c r="E62" i="12" a="1"/>
  <c r="E62" i="12"/>
  <c r="F61" i="12" a="1"/>
  <c r="F61" i="12" s="1"/>
  <c r="E61" i="12" a="1"/>
  <c r="E61" i="12" s="1"/>
  <c r="F60" i="12" a="1"/>
  <c r="F60" i="12"/>
  <c r="E60" i="12" a="1"/>
  <c r="E60" i="12" s="1"/>
  <c r="F59" i="12" a="1"/>
  <c r="F59" i="12" s="1"/>
  <c r="E59" i="12" a="1"/>
  <c r="E59" i="12"/>
  <c r="F58" i="12" a="1"/>
  <c r="F58" i="12" s="1"/>
  <c r="E58" i="12" a="1"/>
  <c r="E58" i="12" s="1"/>
  <c r="F57" i="12" a="1"/>
  <c r="F57" i="12"/>
  <c r="E57" i="12" a="1"/>
  <c r="E57" i="12" s="1"/>
  <c r="F56" i="12" a="1"/>
  <c r="F56" i="12" s="1"/>
  <c r="E56" i="12" a="1"/>
  <c r="E56" i="12"/>
  <c r="F55" i="12" a="1"/>
  <c r="F55" i="12" s="1"/>
  <c r="E55" i="12" a="1"/>
  <c r="E55" i="12" s="1"/>
  <c r="F54" i="12" a="1"/>
  <c r="F54" i="12"/>
  <c r="E54" i="12" a="1"/>
  <c r="E54" i="12"/>
  <c r="F53" i="12" a="1"/>
  <c r="F53" i="12" s="1"/>
  <c r="E53" i="12" a="1"/>
  <c r="E53" i="12" s="1"/>
  <c r="F52" i="12" a="1"/>
  <c r="F52" i="12"/>
  <c r="E52" i="12" a="1"/>
  <c r="E52" i="12" s="1"/>
  <c r="F51" i="12" a="1"/>
  <c r="F51" i="12" s="1"/>
  <c r="E51" i="12" a="1"/>
  <c r="E51" i="12"/>
  <c r="F50" i="12" a="1"/>
  <c r="F50" i="12" s="1"/>
  <c r="E50" i="12" a="1"/>
  <c r="E50" i="12" s="1"/>
  <c r="F49" i="12" a="1"/>
  <c r="F49" i="12"/>
  <c r="E49" i="12" a="1"/>
  <c r="E49" i="12" s="1"/>
  <c r="F48" i="12" a="1"/>
  <c r="F48" i="12" s="1"/>
  <c r="E48" i="12" a="1"/>
  <c r="E48" i="12"/>
  <c r="F47" i="12" a="1"/>
  <c r="F47" i="12" s="1"/>
  <c r="E47" i="12" a="1"/>
  <c r="E47" i="12" s="1"/>
  <c r="F46" i="12" a="1"/>
  <c r="F46" i="12"/>
  <c r="E46" i="12" a="1"/>
  <c r="E46" i="12"/>
  <c r="F45" i="12" a="1"/>
  <c r="F45" i="12" s="1"/>
  <c r="E45" i="12" a="1"/>
  <c r="E45" i="12" s="1"/>
  <c r="F44" i="12" a="1"/>
  <c r="F44" i="12"/>
  <c r="E44" i="12" a="1"/>
  <c r="E44" i="12" s="1"/>
  <c r="F43" i="12" a="1"/>
  <c r="F43" i="12"/>
  <c r="E43" i="12" a="1"/>
  <c r="E43" i="12" s="1"/>
  <c r="F42" i="12" a="1"/>
  <c r="F42" i="12" s="1"/>
  <c r="E42" i="12" a="1"/>
  <c r="E42" i="12" s="1"/>
  <c r="F41" i="12" a="1"/>
  <c r="F41" i="12"/>
  <c r="E41" i="12" a="1"/>
  <c r="E41" i="12" s="1"/>
  <c r="F40" i="12" a="1"/>
  <c r="F40" i="12" s="1"/>
  <c r="E40" i="12" a="1"/>
  <c r="E40" i="12"/>
  <c r="F39" i="12" a="1"/>
  <c r="F39" i="12" s="1"/>
  <c r="E39" i="12" a="1"/>
  <c r="E39" i="12" s="1"/>
  <c r="F38" i="12" a="1"/>
  <c r="F38" i="12"/>
  <c r="E38" i="12" a="1"/>
  <c r="E38" i="12"/>
  <c r="F37" i="12" a="1"/>
  <c r="F37" i="12" s="1"/>
  <c r="E37" i="12" a="1"/>
  <c r="E37" i="12"/>
  <c r="F36" i="12" a="1"/>
  <c r="F36" i="12"/>
  <c r="E36" i="12" a="1"/>
  <c r="E36" i="12" s="1"/>
  <c r="F35" i="12" a="1"/>
  <c r="F35" i="12"/>
  <c r="E35" i="12" a="1"/>
  <c r="E35" i="12" s="1"/>
  <c r="F34" i="12" a="1"/>
  <c r="F34" i="12"/>
  <c r="E34" i="12" a="1"/>
  <c r="E34" i="12" s="1"/>
  <c r="F33" i="12" a="1"/>
  <c r="F33" i="12" s="1"/>
  <c r="E33" i="12" a="1"/>
  <c r="E33" i="12" s="1"/>
  <c r="F32" i="12" a="1"/>
  <c r="F32" i="12" s="1"/>
  <c r="E32" i="12" a="1"/>
  <c r="E32" i="12"/>
  <c r="F31" i="12" a="1"/>
  <c r="F31" i="12" s="1"/>
  <c r="E31" i="12" a="1"/>
  <c r="E31" i="12" s="1"/>
  <c r="F30" i="12" a="1"/>
  <c r="F30" i="12"/>
  <c r="E30" i="12" a="1"/>
  <c r="E30" i="12"/>
  <c r="F29" i="12" a="1"/>
  <c r="F29" i="12" s="1"/>
  <c r="E29" i="12" a="1"/>
  <c r="E29" i="12"/>
  <c r="F28" i="12" a="1"/>
  <c r="F28" i="12"/>
  <c r="E28" i="12" a="1"/>
  <c r="E28" i="12" s="1"/>
  <c r="F27" i="12" a="1"/>
  <c r="F27" i="12" s="1"/>
  <c r="E27" i="12" a="1"/>
  <c r="E27" i="12"/>
  <c r="F26" i="12" a="1"/>
  <c r="F26" i="12"/>
  <c r="E26" i="12" a="1"/>
  <c r="E26" i="12" s="1"/>
  <c r="F25" i="12" a="1"/>
  <c r="F25" i="12" s="1"/>
  <c r="E25" i="12" a="1"/>
  <c r="E25" i="12" s="1"/>
  <c r="F24" i="12" a="1"/>
  <c r="F24" i="12" s="1"/>
  <c r="E24" i="12" a="1"/>
  <c r="E24" i="12"/>
  <c r="F23" i="12" a="1"/>
  <c r="F23" i="12" s="1"/>
  <c r="E23" i="12" a="1"/>
  <c r="E23" i="12" s="1"/>
  <c r="F22" i="12" a="1"/>
  <c r="F22" i="12"/>
  <c r="E22" i="12" a="1"/>
  <c r="E22" i="12"/>
  <c r="F21" i="12" a="1"/>
  <c r="F21" i="12" s="1"/>
  <c r="E21" i="12" a="1"/>
  <c r="E21" i="12" s="1"/>
  <c r="F20" i="12" a="1"/>
  <c r="F20" i="12"/>
  <c r="E20" i="12" a="1"/>
  <c r="E20" i="12" s="1"/>
  <c r="F19" i="12" a="1"/>
  <c r="F19" i="12"/>
  <c r="E19" i="12" a="1"/>
  <c r="E19" i="12"/>
  <c r="F18" i="12" a="1"/>
  <c r="F18" i="12" s="1"/>
  <c r="E18" i="12" a="1"/>
  <c r="E18" i="12" s="1"/>
  <c r="F17" i="12" a="1"/>
  <c r="F17" i="12" s="1"/>
  <c r="E17" i="12" a="1"/>
  <c r="E17" i="12" s="1"/>
  <c r="F16" i="12" a="1"/>
  <c r="F16" i="12" s="1"/>
  <c r="E16" i="12" a="1"/>
  <c r="E16" i="12"/>
  <c r="F15" i="12" a="1"/>
  <c r="F15" i="12" s="1"/>
  <c r="E15" i="12" a="1"/>
  <c r="E15" i="12" s="1"/>
  <c r="F14" i="12" a="1"/>
  <c r="F14" i="12"/>
  <c r="E14" i="12" a="1"/>
  <c r="E14" i="12"/>
  <c r="F13" i="12" a="1"/>
  <c r="F13" i="12" s="1"/>
  <c r="E13" i="12" a="1"/>
  <c r="E13" i="12"/>
  <c r="F12" i="12" a="1"/>
  <c r="F12" i="12"/>
  <c r="E12" i="12" a="1"/>
  <c r="E12" i="12"/>
  <c r="F11" i="12" a="1"/>
  <c r="F11" i="12" s="1"/>
  <c r="E11" i="12" a="1"/>
  <c r="E11" i="12" s="1"/>
  <c r="F10" i="12" a="1"/>
  <c r="F10" i="12" s="1"/>
  <c r="E10" i="12" a="1"/>
  <c r="E10" i="12" s="1"/>
  <c r="F9" i="12" a="1"/>
  <c r="F9" i="12"/>
  <c r="E9" i="12" a="1"/>
  <c r="E9" i="12" s="1"/>
  <c r="F8" i="12" a="1"/>
  <c r="F8" i="12"/>
  <c r="E8" i="12" a="1"/>
  <c r="E8" i="12"/>
  <c r="F7" i="12" a="1"/>
  <c r="F7" i="12" s="1"/>
  <c r="E7" i="12" a="1"/>
  <c r="E7" i="12" s="1"/>
  <c r="F6" i="12" a="1"/>
  <c r="F6" i="12"/>
  <c r="E6" i="12" a="1"/>
  <c r="E6" i="12"/>
  <c r="F5" i="12" a="1"/>
  <c r="F5" i="12" s="1"/>
  <c r="E5" i="12" a="1"/>
  <c r="E5" i="12"/>
  <c r="F4" i="12" a="1"/>
  <c r="F4" i="12" s="1"/>
  <c r="E4" i="12" a="1"/>
  <c r="E4" i="12"/>
  <c r="F3" i="12" a="1"/>
  <c r="F3" i="12" s="1"/>
  <c r="E3" i="12" a="1"/>
  <c r="E3" i="12"/>
  <c r="F2" i="12" a="1"/>
  <c r="F2" i="12" s="1"/>
  <c r="E2" i="12" a="1"/>
  <c r="E2" i="12"/>
  <c r="B2" i="12"/>
  <c r="H2" i="13" s="1" a="1"/>
  <c r="H2" i="13" s="1"/>
  <c r="A2" i="12"/>
  <c r="H88" i="11"/>
  <c r="H87" i="11"/>
  <c r="H86" i="11"/>
  <c r="H85" i="11"/>
  <c r="H84" i="11"/>
  <c r="H83" i="11"/>
  <c r="H82" i="11"/>
  <c r="H81" i="11"/>
  <c r="H80" i="11"/>
  <c r="H79" i="1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6" i="11"/>
  <c r="H5" i="11"/>
  <c r="H4" i="11"/>
  <c r="H3" i="11"/>
  <c r="H2" i="11"/>
  <c r="J158" i="10" a="1"/>
  <c r="J158" i="10"/>
  <c r="D157" i="10" a="1"/>
  <c r="D157" i="10" s="1"/>
  <c r="C157" i="10" a="1"/>
  <c r="C157" i="10" s="1"/>
  <c r="J156" i="10" a="1"/>
  <c r="J156" i="10" s="1"/>
  <c r="D156" i="10" a="1"/>
  <c r="D156" i="10"/>
  <c r="C156" i="10" a="1"/>
  <c r="C156" i="10" s="1"/>
  <c r="J155" i="10" a="1"/>
  <c r="J155" i="10"/>
  <c r="C155" i="10" a="1"/>
  <c r="C155" i="10"/>
  <c r="J154" i="10" a="1"/>
  <c r="J154" i="10" s="1"/>
  <c r="D154" i="10" a="1"/>
  <c r="D154" i="10"/>
  <c r="C154" i="10" a="1"/>
  <c r="C154" i="10" s="1"/>
  <c r="C153" i="10" a="1"/>
  <c r="C153" i="10"/>
  <c r="J152" i="10" a="1"/>
  <c r="J152" i="10" s="1"/>
  <c r="J151" i="10" a="1"/>
  <c r="J151" i="10" s="1"/>
  <c r="D151" i="10" a="1"/>
  <c r="D151" i="10"/>
  <c r="C151" i="10" a="1"/>
  <c r="C151" i="10"/>
  <c r="J150" i="10" a="1"/>
  <c r="J150" i="10"/>
  <c r="D150" i="10" a="1"/>
  <c r="D150" i="10" s="1"/>
  <c r="C150" i="10" a="1"/>
  <c r="C150" i="10"/>
  <c r="J149" i="10" a="1"/>
  <c r="J149" i="10"/>
  <c r="D149" i="10" a="1"/>
  <c r="D149" i="10"/>
  <c r="C149" i="10" a="1"/>
  <c r="C149" i="10" s="1"/>
  <c r="C148" i="10" a="1"/>
  <c r="C148" i="10"/>
  <c r="J147" i="10" a="1"/>
  <c r="J147" i="10"/>
  <c r="D147" i="10" a="1"/>
  <c r="D147" i="10"/>
  <c r="C147" i="10" a="1"/>
  <c r="C147" i="10"/>
  <c r="J146" i="10" a="1"/>
  <c r="J146" i="10"/>
  <c r="D146" i="10" a="1"/>
  <c r="D146" i="10"/>
  <c r="C146" i="10" a="1"/>
  <c r="C146" i="10"/>
  <c r="D145" i="10" a="1"/>
  <c r="D145" i="10" s="1"/>
  <c r="J143" i="10" a="1"/>
  <c r="J143" i="10"/>
  <c r="D143" i="10" a="1"/>
  <c r="D143" i="10"/>
  <c r="C143" i="10" a="1"/>
  <c r="C143" i="10"/>
  <c r="D142" i="10" a="1"/>
  <c r="D142" i="10"/>
  <c r="C142" i="10" a="1"/>
  <c r="C142" i="10"/>
  <c r="J141" i="10" a="1"/>
  <c r="J141" i="10"/>
  <c r="D141" i="10" a="1"/>
  <c r="D141" i="10" s="1"/>
  <c r="C141" i="10" a="1"/>
  <c r="C141" i="10" s="1"/>
  <c r="C140" i="10" a="1"/>
  <c r="C140" i="10"/>
  <c r="J139" i="10" a="1"/>
  <c r="J139" i="10"/>
  <c r="D139" i="10" a="1"/>
  <c r="D139" i="10"/>
  <c r="C139" i="10" a="1"/>
  <c r="C139" i="10"/>
  <c r="J138" i="10" a="1"/>
  <c r="J138" i="10"/>
  <c r="D138" i="10" a="1"/>
  <c r="D138" i="10" s="1"/>
  <c r="C138" i="10" a="1"/>
  <c r="C138" i="10"/>
  <c r="J137" i="10" a="1"/>
  <c r="J137" i="10"/>
  <c r="D137" i="10" a="1"/>
  <c r="D137" i="10" s="1"/>
  <c r="C137" i="10" a="1"/>
  <c r="C137" i="10" s="1"/>
  <c r="J136" i="10" a="1"/>
  <c r="J136" i="10"/>
  <c r="D136" i="10" a="1"/>
  <c r="D136" i="10"/>
  <c r="C136" i="10" a="1"/>
  <c r="C136" i="10" s="1"/>
  <c r="J135" i="10" a="1"/>
  <c r="J135" i="10" s="1"/>
  <c r="D135" i="10" a="1"/>
  <c r="D135" i="10"/>
  <c r="J134" i="10" a="1"/>
  <c r="J134" i="10"/>
  <c r="D134" i="10" a="1"/>
  <c r="D134" i="10" s="1"/>
  <c r="J133" i="10" a="1"/>
  <c r="J133" i="10"/>
  <c r="D133" i="10" a="1"/>
  <c r="D133" i="10"/>
  <c r="C132" i="10" a="1"/>
  <c r="C132" i="10" s="1"/>
  <c r="J131" i="10" a="1"/>
  <c r="J131" i="10"/>
  <c r="D131" i="10" a="1"/>
  <c r="D131" i="10" s="1"/>
  <c r="C131" i="10" a="1"/>
  <c r="C131" i="10"/>
  <c r="J130" i="10" a="1"/>
  <c r="J130" i="10" s="1"/>
  <c r="D130" i="10" a="1"/>
  <c r="D130" i="10" s="1"/>
  <c r="C130" i="10" a="1"/>
  <c r="C130" i="10" s="1"/>
  <c r="J129" i="10" a="1"/>
  <c r="J129" i="10"/>
  <c r="D129" i="10" a="1"/>
  <c r="D129" i="10" s="1"/>
  <c r="C129" i="10" a="1"/>
  <c r="C129" i="10" s="1"/>
  <c r="C128" i="10" a="1"/>
  <c r="C128" i="10"/>
  <c r="J127" i="10" a="1"/>
  <c r="J127" i="10"/>
  <c r="D127" i="10" a="1"/>
  <c r="D127" i="10" s="1"/>
  <c r="C127" i="10" a="1"/>
  <c r="C127" i="10"/>
  <c r="J126" i="10" a="1"/>
  <c r="J126" i="10"/>
  <c r="D126" i="10" a="1"/>
  <c r="D126" i="10"/>
  <c r="C126" i="10" a="1"/>
  <c r="C126" i="10" s="1"/>
  <c r="J125" i="10" a="1"/>
  <c r="J125" i="10"/>
  <c r="D125" i="10" a="1"/>
  <c r="D125" i="10"/>
  <c r="J123" i="10" a="1"/>
  <c r="J123" i="10" s="1"/>
  <c r="D123" i="10" a="1"/>
  <c r="D123" i="10" s="1"/>
  <c r="C123" i="10" a="1"/>
  <c r="C123" i="10"/>
  <c r="J122" i="10" a="1"/>
  <c r="J122" i="10"/>
  <c r="D122" i="10" a="1"/>
  <c r="D122" i="10" s="1"/>
  <c r="C122" i="10" a="1"/>
  <c r="C122" i="10"/>
  <c r="J121" i="10" a="1"/>
  <c r="J121" i="10"/>
  <c r="D121" i="10" a="1"/>
  <c r="D121" i="10"/>
  <c r="C121" i="10" a="1"/>
  <c r="C121" i="10" s="1"/>
  <c r="J120" i="10" a="1"/>
  <c r="J120" i="10"/>
  <c r="C120" i="10" a="1"/>
  <c r="C120" i="10"/>
  <c r="J119" i="10" a="1"/>
  <c r="J119" i="10"/>
  <c r="D119" i="10" a="1"/>
  <c r="D119" i="10"/>
  <c r="C119" i="10" a="1"/>
  <c r="C119" i="10"/>
  <c r="J118" i="10" a="1"/>
  <c r="J118" i="10"/>
  <c r="D118" i="10" a="1"/>
  <c r="D118" i="10"/>
  <c r="C118" i="10" a="1"/>
  <c r="C118" i="10"/>
  <c r="J117" i="10" a="1"/>
  <c r="J117" i="10"/>
  <c r="D117" i="10" a="1"/>
  <c r="D117" i="10"/>
  <c r="C117" i="10" a="1"/>
  <c r="C117" i="10"/>
  <c r="C116" i="10" a="1"/>
  <c r="C116" i="10" s="1"/>
  <c r="J115" i="10" a="1"/>
  <c r="J115" i="10"/>
  <c r="D115" i="10" a="1"/>
  <c r="D115" i="10" s="1"/>
  <c r="C115" i="10" a="1"/>
  <c r="C115" i="10"/>
  <c r="J114" i="10" a="1"/>
  <c r="J114" i="10" s="1"/>
  <c r="D114" i="10" a="1"/>
  <c r="D114" i="10"/>
  <c r="C114" i="10" a="1"/>
  <c r="C114" i="10" s="1"/>
  <c r="J112" i="10" a="1"/>
  <c r="J112" i="10"/>
  <c r="J111" i="10" a="1"/>
  <c r="J111" i="10" s="1"/>
  <c r="D111" i="10" a="1"/>
  <c r="D111" i="10"/>
  <c r="C111" i="10" a="1"/>
  <c r="C111" i="10"/>
  <c r="J110" i="10" a="1"/>
  <c r="J110" i="10"/>
  <c r="D110" i="10" a="1"/>
  <c r="D110" i="10" s="1"/>
  <c r="C110" i="10" a="1"/>
  <c r="C110" i="10" s="1"/>
  <c r="J109" i="10" a="1"/>
  <c r="J109" i="10"/>
  <c r="D109" i="10" a="1"/>
  <c r="D109" i="10" s="1"/>
  <c r="C109" i="10" a="1"/>
  <c r="C109" i="10" s="1"/>
  <c r="C108" i="10" a="1"/>
  <c r="C108" i="10"/>
  <c r="J107" i="10" a="1"/>
  <c r="J107" i="10" s="1"/>
  <c r="D107" i="10" a="1"/>
  <c r="D107" i="10"/>
  <c r="C107" i="10" a="1"/>
  <c r="C107" i="10"/>
  <c r="J106" i="10" a="1"/>
  <c r="J106" i="10"/>
  <c r="D106" i="10" a="1"/>
  <c r="D106" i="10" s="1"/>
  <c r="C106" i="10" a="1"/>
  <c r="C106" i="10" s="1"/>
  <c r="J105" i="10" a="1"/>
  <c r="J105" i="10"/>
  <c r="D105" i="10" a="1"/>
  <c r="D105" i="10"/>
  <c r="C105" i="10" a="1"/>
  <c r="C105" i="10" s="1"/>
  <c r="J104" i="10" a="1"/>
  <c r="J104" i="10" s="1"/>
  <c r="C104" i="10" a="1"/>
  <c r="C104" i="10" s="1"/>
  <c r="J103" i="10" a="1"/>
  <c r="J103" i="10"/>
  <c r="D103" i="10" a="1"/>
  <c r="D103" i="10"/>
  <c r="J102" i="10" a="1"/>
  <c r="J102" i="10"/>
  <c r="D102" i="10" a="1"/>
  <c r="D102" i="10"/>
  <c r="J101" i="10" a="1"/>
  <c r="J101" i="10"/>
  <c r="D101" i="10" a="1"/>
  <c r="D101" i="10"/>
  <c r="C101" i="10" a="1"/>
  <c r="C101" i="10"/>
  <c r="J99" i="10" a="1"/>
  <c r="J99" i="10" s="1"/>
  <c r="D99" i="10" a="1"/>
  <c r="D99" i="10" s="1"/>
  <c r="C99" i="10" a="1"/>
  <c r="C99" i="10"/>
  <c r="J98" i="10" a="1"/>
  <c r="J98" i="10" s="1"/>
  <c r="D98" i="10" a="1"/>
  <c r="D98" i="10" s="1"/>
  <c r="C98" i="10" a="1"/>
  <c r="C98" i="10"/>
  <c r="C97" i="10" a="1"/>
  <c r="C97" i="10"/>
  <c r="J96" i="10" a="1"/>
  <c r="J96" i="10"/>
  <c r="D96" i="10" a="1"/>
  <c r="D96" i="10"/>
  <c r="J95" i="10" a="1"/>
  <c r="J95" i="10"/>
  <c r="D95" i="10" a="1"/>
  <c r="D95" i="10"/>
  <c r="C95" i="10" a="1"/>
  <c r="C95" i="10"/>
  <c r="J94" i="10" a="1"/>
  <c r="J94" i="10" s="1"/>
  <c r="D94" i="10" a="1"/>
  <c r="D94" i="10"/>
  <c r="C94" i="10" a="1"/>
  <c r="C94" i="10"/>
  <c r="J93" i="10" a="1"/>
  <c r="J93" i="10"/>
  <c r="D93" i="10" a="1"/>
  <c r="D93" i="10" s="1"/>
  <c r="C93" i="10" a="1"/>
  <c r="C93" i="10"/>
  <c r="C92" i="10" a="1"/>
  <c r="C92" i="10"/>
  <c r="J91" i="10" a="1"/>
  <c r="J91" i="10"/>
  <c r="D91" i="10" a="1"/>
  <c r="D91" i="10" s="1"/>
  <c r="C91" i="10" a="1"/>
  <c r="C91" i="10"/>
  <c r="J90" i="10" a="1"/>
  <c r="J90" i="10"/>
  <c r="D90" i="10" a="1"/>
  <c r="D90" i="10"/>
  <c r="D89" i="10" a="1"/>
  <c r="D89" i="10" s="1"/>
  <c r="C89" i="10" a="1"/>
  <c r="C89" i="10" s="1"/>
  <c r="J87" i="10" a="1"/>
  <c r="J87" i="10"/>
  <c r="D87" i="10" a="1"/>
  <c r="D87" i="10" s="1"/>
  <c r="C87" i="10" a="1"/>
  <c r="C87" i="10"/>
  <c r="J86" i="10" a="1"/>
  <c r="J86" i="10"/>
  <c r="D86" i="10" a="1"/>
  <c r="D86" i="10"/>
  <c r="C86" i="10" a="1"/>
  <c r="C86" i="10" s="1"/>
  <c r="J85" i="10" a="1"/>
  <c r="J85" i="10" s="1"/>
  <c r="D85" i="10" a="1"/>
  <c r="D85" i="10" s="1"/>
  <c r="C85" i="10" a="1"/>
  <c r="C85" i="10"/>
  <c r="J83" i="10" a="1"/>
  <c r="J83" i="10"/>
  <c r="D83" i="10" a="1"/>
  <c r="D83" i="10"/>
  <c r="J82" i="10" a="1"/>
  <c r="J82" i="10"/>
  <c r="D82" i="10" a="1"/>
  <c r="D82" i="10" s="1"/>
  <c r="D56" i="10" a="1"/>
  <c r="D56" i="10"/>
  <c r="C56" i="10" a="1"/>
  <c r="C56" i="10"/>
  <c r="C2" i="10" a="1"/>
  <c r="C2" i="10" s="1"/>
  <c r="W101" i="5" a="1"/>
  <c r="W101" i="5" s="1"/>
  <c r="H101" i="5" a="1"/>
  <c r="H101" i="5"/>
  <c r="E101" i="5" a="1"/>
  <c r="E101" i="5"/>
  <c r="H19" i="5" a="1"/>
  <c r="H19" i="5"/>
  <c r="W17" i="5" a="1"/>
  <c r="W17" i="5" s="1"/>
  <c r="E17" i="5" a="1"/>
  <c r="E17" i="5" s="1"/>
  <c r="D2" i="12" l="1"/>
  <c r="A3" i="12"/>
  <c r="A3" i="13"/>
  <c r="B2" i="13"/>
  <c r="D127" i="12"/>
  <c r="I113" i="13" s="1" a="1"/>
  <c r="I113" i="13" s="1"/>
  <c r="B127" i="12"/>
  <c r="D135" i="12"/>
  <c r="I125" i="13" s="1" a="1"/>
  <c r="I125" i="13" s="1"/>
  <c r="B135" i="12"/>
  <c r="D151" i="12"/>
  <c r="I145" i="13" s="1" a="1"/>
  <c r="I145" i="13" s="1"/>
  <c r="B151" i="12"/>
  <c r="B72" i="12"/>
  <c r="H72" i="13" s="1" a="1"/>
  <c r="H72" i="13" s="1"/>
  <c r="D86" i="12"/>
  <c r="I87" i="13" s="1" a="1"/>
  <c r="I87" i="13" s="1"/>
  <c r="B90" i="12"/>
  <c r="D121" i="12"/>
  <c r="I107" i="13" s="1" a="1"/>
  <c r="I107" i="13" s="1"/>
  <c r="D143" i="12"/>
  <c r="I135" i="13" s="1" a="1"/>
  <c r="I135" i="13" s="1"/>
  <c r="B143" i="12"/>
  <c r="D111" i="12"/>
  <c r="I90" i="13" s="1" a="1"/>
  <c r="I90" i="13" s="1"/>
  <c r="B111" i="12"/>
  <c r="D88" i="13" a="1"/>
  <c r="D88" i="13" s="1"/>
  <c r="J88" i="10" s="1" a="1"/>
  <c r="J88" i="10" s="1"/>
  <c r="B88" i="13"/>
  <c r="B113" i="13"/>
  <c r="D113" i="13" a="1"/>
  <c r="D113" i="13" s="1"/>
  <c r="J113" i="10" s="1" a="1"/>
  <c r="J113" i="10" s="1"/>
  <c r="B74" i="12"/>
  <c r="H74" i="13" s="1" a="1"/>
  <c r="H74" i="13" s="1"/>
  <c r="D84" i="12"/>
  <c r="I81" i="13" s="1" a="1"/>
  <c r="I81" i="13" s="1"/>
  <c r="D89" i="12"/>
  <c r="I94" i="13" s="1" a="1"/>
  <c r="I94" i="13" s="1"/>
  <c r="B92" i="12"/>
  <c r="B100" i="12"/>
  <c r="B108" i="12"/>
  <c r="D145" i="12"/>
  <c r="I139" i="13" s="1" a="1"/>
  <c r="I139" i="13" s="1"/>
  <c r="D153" i="12"/>
  <c r="I153" i="13" s="1" a="1"/>
  <c r="I153" i="13" s="1"/>
  <c r="B75" i="12"/>
  <c r="H75" i="13" s="1" a="1"/>
  <c r="H75" i="13" s="1"/>
  <c r="D81" i="12"/>
  <c r="I82" i="13" s="1" a="1"/>
  <c r="I82" i="13" s="1"/>
  <c r="B83" i="12"/>
  <c r="H84" i="13" s="1" a="1"/>
  <c r="H84" i="13" s="1"/>
  <c r="D144" i="13" a="1"/>
  <c r="D144" i="13" s="1"/>
  <c r="J144" i="10" s="1" a="1"/>
  <c r="J144" i="10" s="1"/>
  <c r="B144" i="13"/>
  <c r="D119" i="12"/>
  <c r="I103" i="13" s="1" a="1"/>
  <c r="I103" i="13" s="1"/>
  <c r="B119" i="12"/>
  <c r="D128" i="13" a="1"/>
  <c r="D128" i="13" s="1"/>
  <c r="J128" i="10" s="1" a="1"/>
  <c r="J128" i="10" s="1"/>
  <c r="B128" i="13"/>
  <c r="B97" i="13"/>
  <c r="D97" i="13" a="1"/>
  <c r="D97" i="13" s="1"/>
  <c r="J97" i="10" s="1" a="1"/>
  <c r="J97" i="10" s="1"/>
  <c r="B108" i="13"/>
  <c r="D108" i="13" a="1"/>
  <c r="D108" i="13" s="1"/>
  <c r="J108" i="10" s="1" a="1"/>
  <c r="J108" i="10" s="1"/>
  <c r="B132" i="13"/>
  <c r="D132" i="13" a="1"/>
  <c r="D132" i="13" s="1"/>
  <c r="J132" i="10" s="1" a="1"/>
  <c r="J132" i="10" s="1"/>
  <c r="B110" i="12"/>
  <c r="B118" i="12"/>
  <c r="B126" i="12"/>
  <c r="B134" i="12"/>
  <c r="B142" i="12"/>
  <c r="B150" i="12"/>
  <c r="B158" i="12"/>
  <c r="B124" i="13"/>
  <c r="D124" i="13" a="1"/>
  <c r="D124" i="13" s="1"/>
  <c r="J124" i="10" s="1" a="1"/>
  <c r="J124" i="10" s="1"/>
  <c r="B152" i="13"/>
  <c r="B116" i="13"/>
  <c r="D116" i="13" a="1"/>
  <c r="D116" i="13" s="1"/>
  <c r="J116" i="10" s="1" a="1"/>
  <c r="J116" i="10" s="1"/>
  <c r="B100" i="13"/>
  <c r="D100" i="13" a="1"/>
  <c r="D100" i="13" s="1"/>
  <c r="J100" i="10" s="1" a="1"/>
  <c r="J100" i="10" s="1"/>
  <c r="D153" i="13" a="1"/>
  <c r="D153" i="13" s="1"/>
  <c r="J153" i="10" s="1" a="1"/>
  <c r="J153" i="10" s="1"/>
  <c r="B153" i="13"/>
  <c r="D89" i="13" a="1"/>
  <c r="D89" i="13" s="1"/>
  <c r="J89" i="10" s="1" a="1"/>
  <c r="J89" i="10" s="1"/>
  <c r="B92" i="13"/>
  <c r="D92" i="13" a="1"/>
  <c r="D92" i="13" s="1"/>
  <c r="J92" i="10" s="1" a="1"/>
  <c r="J92" i="10" s="1"/>
  <c r="B120" i="13"/>
  <c r="D81" i="13" a="1"/>
  <c r="D81" i="13" s="1"/>
  <c r="J56" i="10" s="1" a="1"/>
  <c r="J56" i="10" s="1"/>
  <c r="B84" i="13"/>
  <c r="D84" i="13" a="1"/>
  <c r="D84" i="13" s="1"/>
  <c r="J84" i="10" s="1" a="1"/>
  <c r="J84" i="10" s="1"/>
  <c r="B112" i="13"/>
  <c r="D145" i="13" a="1"/>
  <c r="D145" i="13" s="1"/>
  <c r="J145" i="10" s="1" a="1"/>
  <c r="J145" i="10" s="1"/>
  <c r="B148" i="13"/>
  <c r="D148" i="13" a="1"/>
  <c r="D148" i="13" s="1"/>
  <c r="J148" i="10" s="1" a="1"/>
  <c r="J148" i="10" s="1"/>
  <c r="B104" i="13"/>
  <c r="B140" i="13"/>
  <c r="D140" i="13" a="1"/>
  <c r="D140" i="13" s="1"/>
  <c r="J140" i="10" s="1" a="1"/>
  <c r="J140" i="10" s="1"/>
  <c r="B158" i="13"/>
  <c r="D157" i="13" a="1"/>
  <c r="D157" i="13" s="1"/>
  <c r="J157" i="10" s="1" a="1"/>
  <c r="J157" i="10" s="1"/>
  <c r="B155" i="13"/>
  <c r="H145" i="13" l="1" a="1"/>
  <c r="H145" i="13" s="1"/>
  <c r="C145" i="10" a="1"/>
  <c r="C145" i="10" s="1"/>
  <c r="N83" i="12" a="1"/>
  <c r="N83" i="12" s="1"/>
  <c r="D84" i="10" a="1"/>
  <c r="D84" i="10" s="1"/>
  <c r="H144" i="13" a="1"/>
  <c r="H144" i="13" s="1"/>
  <c r="C144" i="10" a="1"/>
  <c r="C144" i="10" s="1"/>
  <c r="H100" i="13" a="1"/>
  <c r="H100" i="13" s="1"/>
  <c r="C100" i="10" a="1"/>
  <c r="C100" i="10" s="1"/>
  <c r="H125" i="13" a="1"/>
  <c r="H125" i="13" s="1"/>
  <c r="C125" i="10" a="1"/>
  <c r="C125" i="10" s="1"/>
  <c r="N153" i="12" a="1"/>
  <c r="N153" i="12" s="1"/>
  <c r="D153" i="10" a="1"/>
  <c r="D153" i="10" s="1"/>
  <c r="N141" i="12" a="1"/>
  <c r="N141" i="12" s="1"/>
  <c r="D132" i="10" a="1"/>
  <c r="D132" i="10" s="1"/>
  <c r="H135" i="13" a="1"/>
  <c r="H135" i="13" s="1"/>
  <c r="C135" i="10" a="1"/>
  <c r="C135" i="10" s="1"/>
  <c r="N97" i="12" a="1"/>
  <c r="N97" i="12" s="1"/>
  <c r="D120" i="10" a="1"/>
  <c r="D120" i="10" s="1"/>
  <c r="H124" i="13" a="1"/>
  <c r="H124" i="13" s="1"/>
  <c r="C124" i="10" a="1"/>
  <c r="C124" i="10" s="1"/>
  <c r="B3" i="13"/>
  <c r="N110" i="12" a="1"/>
  <c r="N110" i="12" s="1"/>
  <c r="D88" i="10" a="1"/>
  <c r="D88" i="10" s="1"/>
  <c r="D100" i="10" a="1"/>
  <c r="D100" i="10" s="1"/>
  <c r="N92" i="12" a="1"/>
  <c r="N92" i="12" s="1"/>
  <c r="H133" i="13" a="1"/>
  <c r="H133" i="13" s="1"/>
  <c r="C133" i="10" a="1"/>
  <c r="C133" i="10" s="1"/>
  <c r="N122" i="12" a="1"/>
  <c r="N122" i="12" s="1"/>
  <c r="D108" i="10" a="1"/>
  <c r="D108" i="10" s="1"/>
  <c r="N150" i="12" a="1"/>
  <c r="N150" i="12" s="1"/>
  <c r="D144" i="10" a="1"/>
  <c r="D144" i="10" s="1"/>
  <c r="N129" i="12" a="1"/>
  <c r="N129" i="12" s="1"/>
  <c r="D116" i="10" a="1"/>
  <c r="D116" i="10" s="1"/>
  <c r="H112" i="13" a="1"/>
  <c r="H112" i="13" s="1"/>
  <c r="C112" i="10" a="1"/>
  <c r="C112" i="10" s="1"/>
  <c r="N91" i="12" a="1"/>
  <c r="N91" i="12" s="1"/>
  <c r="D97" i="10" a="1"/>
  <c r="D97" i="10" s="1"/>
  <c r="H113" i="13" a="1"/>
  <c r="H113" i="13" s="1"/>
  <c r="C113" i="10" a="1"/>
  <c r="C113" i="10" s="1"/>
  <c r="N134" i="12" a="1"/>
  <c r="N134" i="12" s="1"/>
  <c r="D124" i="10" a="1"/>
  <c r="D124" i="10" s="1"/>
  <c r="H152" i="13" a="1"/>
  <c r="H152" i="13" s="1"/>
  <c r="C152" i="10" a="1"/>
  <c r="C152" i="10" s="1"/>
  <c r="B3" i="12"/>
  <c r="D3" i="12"/>
  <c r="N158" i="12" a="1"/>
  <c r="N158" i="12" s="1"/>
  <c r="D158" i="10" a="1"/>
  <c r="D158" i="10" s="1"/>
  <c r="H158" i="13" a="1"/>
  <c r="H158" i="13" s="1"/>
  <c r="C158" i="10" a="1"/>
  <c r="C158" i="10" s="1"/>
  <c r="H134" i="13" a="1"/>
  <c r="H134" i="13" s="1"/>
  <c r="C134" i="10" a="1"/>
  <c r="C134" i="10" s="1"/>
  <c r="N146" i="12" a="1"/>
  <c r="N146" i="12" s="1"/>
  <c r="D140" i="10" a="1"/>
  <c r="D140" i="10" s="1"/>
  <c r="N2" i="12" a="1"/>
  <c r="N2" i="12" s="1"/>
  <c r="D2" i="10" a="1"/>
  <c r="D2" i="10" s="1"/>
  <c r="N93" i="12" a="1"/>
  <c r="N93" i="12" s="1"/>
  <c r="D104" i="10" a="1"/>
  <c r="D104" i="10" s="1"/>
  <c r="D148" i="10" a="1"/>
  <c r="D148" i="10" s="1"/>
  <c r="N104" i="12" a="1"/>
  <c r="N104" i="12" s="1"/>
  <c r="D92" i="10" a="1"/>
  <c r="D92" i="10" s="1"/>
  <c r="N112" i="12" a="1"/>
  <c r="N112" i="12" s="1"/>
  <c r="N108" i="12" a="1"/>
  <c r="N108" i="12" s="1"/>
  <c r="D152" i="10" a="1"/>
  <c r="D152" i="10" s="1"/>
  <c r="H102" i="13" a="1"/>
  <c r="H102" i="13" s="1"/>
  <c r="C102" i="10" a="1"/>
  <c r="C102" i="10" s="1"/>
  <c r="N138" i="12" a="1"/>
  <c r="N138" i="12" s="1"/>
  <c r="D128" i="10" a="1"/>
  <c r="D128" i="10" s="1"/>
  <c r="H103" i="13" a="1"/>
  <c r="H103" i="13" s="1"/>
  <c r="C103" i="10" a="1"/>
  <c r="C103" i="10" s="1"/>
  <c r="H90" i="13" a="1"/>
  <c r="H90" i="13" s="1"/>
  <c r="C90" i="10" a="1"/>
  <c r="C90" i="10" s="1"/>
  <c r="H96" i="13" a="1"/>
  <c r="H96" i="13" s="1"/>
  <c r="C96" i="10" a="1"/>
  <c r="C96" i="10" s="1"/>
  <c r="I2" i="13" a="1"/>
  <c r="I2" i="13" s="1"/>
  <c r="D2" i="13" s="1" a="1"/>
  <c r="D2" i="13" s="1"/>
  <c r="J2" i="10" s="1" a="1"/>
  <c r="J2" i="10" s="1"/>
  <c r="I2" i="10" a="1"/>
  <c r="I2" i="10" s="1"/>
  <c r="N126" i="12" a="1"/>
  <c r="N126" i="12" s="1"/>
  <c r="D112" i="10" a="1"/>
  <c r="D112" i="10" s="1"/>
  <c r="N155" i="12" a="1"/>
  <c r="N155" i="12" s="1"/>
  <c r="D155" i="10" a="1"/>
  <c r="D155" i="10" s="1"/>
  <c r="H88" i="13" a="1"/>
  <c r="H88" i="13" s="1"/>
  <c r="C88" i="10" a="1"/>
  <c r="C88" i="10" s="1"/>
  <c r="N127" i="12" a="1"/>
  <c r="N127" i="12" s="1"/>
  <c r="D113" i="10" a="1"/>
  <c r="D113" i="10" s="1"/>
  <c r="A4" i="13"/>
  <c r="A4" i="12"/>
  <c r="N3" i="12" l="1" a="1"/>
  <c r="N3" i="12" s="1"/>
  <c r="D3" i="10" a="1"/>
  <c r="D3" i="10" s="1"/>
  <c r="B4" i="13"/>
  <c r="A6" i="12"/>
  <c r="A5" i="13"/>
  <c r="A5" i="12"/>
  <c r="H3" i="13" a="1"/>
  <c r="H3" i="13" s="1"/>
  <c r="C3" i="10" a="1"/>
  <c r="C3" i="10" s="1"/>
  <c r="W9" i="5" a="1"/>
  <c r="W9" i="5" s="1"/>
  <c r="E9" i="5" a="1"/>
  <c r="E9" i="5" s="1"/>
  <c r="H11" i="5" a="1"/>
  <c r="H11" i="5" s="1"/>
  <c r="B4" i="12"/>
  <c r="D4" i="12"/>
  <c r="I3" i="13" a="1"/>
  <c r="I3" i="13" s="1"/>
  <c r="D3" i="13" s="1" a="1"/>
  <c r="D3" i="13" s="1"/>
  <c r="J3" i="10" s="1" a="1"/>
  <c r="J3" i="10" s="1"/>
  <c r="I3" i="10" a="1"/>
  <c r="I3" i="10" s="1"/>
  <c r="B5" i="13" l="1"/>
  <c r="H4" i="13" a="1"/>
  <c r="H4" i="13" s="1"/>
  <c r="C4" i="10" a="1"/>
  <c r="C4" i="10" s="1"/>
  <c r="E5" i="5" a="1"/>
  <c r="E5" i="5" s="1"/>
  <c r="H7" i="5" a="1"/>
  <c r="H7" i="5" s="1"/>
  <c r="W5" i="5" a="1"/>
  <c r="W5" i="5" s="1"/>
  <c r="B6" i="12"/>
  <c r="D6" i="12"/>
  <c r="A6" i="13"/>
  <c r="N4" i="12" a="1"/>
  <c r="N4" i="12" s="1"/>
  <c r="D4" i="10" a="1"/>
  <c r="D4" i="10" s="1"/>
  <c r="I4" i="13" a="1"/>
  <c r="I4" i="13" s="1"/>
  <c r="D4" i="13" s="1" a="1"/>
  <c r="D4" i="13" s="1"/>
  <c r="J4" i="10" s="1" a="1"/>
  <c r="J4" i="10" s="1"/>
  <c r="I4" i="10" a="1"/>
  <c r="I4" i="10" s="1"/>
  <c r="A7" i="12"/>
  <c r="B5" i="12"/>
  <c r="D5" i="12"/>
  <c r="A8" i="12" l="1"/>
  <c r="I5" i="13" a="1"/>
  <c r="I5" i="13" s="1"/>
  <c r="D5" i="13" s="1" a="1"/>
  <c r="D5" i="13" s="1"/>
  <c r="J5" i="10" s="1" a="1"/>
  <c r="J5" i="10" s="1"/>
  <c r="I5" i="10" a="1"/>
  <c r="I5" i="10" s="1"/>
  <c r="I6" i="13" a="1"/>
  <c r="I6" i="13" s="1"/>
  <c r="I6" i="10" a="1"/>
  <c r="I6" i="10" s="1"/>
  <c r="D6" i="13" a="1"/>
  <c r="D6" i="13" s="1"/>
  <c r="J6" i="10" s="1" a="1"/>
  <c r="J6" i="10" s="1"/>
  <c r="B6" i="13"/>
  <c r="H6" i="13" a="1"/>
  <c r="H6" i="13" s="1"/>
  <c r="C6" i="10" a="1"/>
  <c r="C6" i="10" s="1"/>
  <c r="E57" i="5" a="1"/>
  <c r="E57" i="5" s="1"/>
  <c r="W57" i="5" a="1"/>
  <c r="W57" i="5" s="1"/>
  <c r="H57" i="5" a="1"/>
  <c r="H57" i="5" s="1"/>
  <c r="A7" i="13"/>
  <c r="D7" i="12"/>
  <c r="B7" i="12"/>
  <c r="A9" i="12"/>
  <c r="H5" i="13" a="1"/>
  <c r="H5" i="13" s="1"/>
  <c r="E45" i="5" a="1"/>
  <c r="E45" i="5" s="1"/>
  <c r="C5" i="10" a="1"/>
  <c r="C5" i="10" s="1"/>
  <c r="W45" i="5" a="1"/>
  <c r="W45" i="5" s="1"/>
  <c r="H45" i="5" a="1"/>
  <c r="H45" i="5" s="1"/>
  <c r="D5" i="10" a="1"/>
  <c r="D5" i="10" s="1"/>
  <c r="N5" i="12" a="1"/>
  <c r="N5" i="12" s="1"/>
  <c r="A10" i="12"/>
  <c r="B7" i="13" l="1"/>
  <c r="N6" i="12" a="1"/>
  <c r="N6" i="12" s="1"/>
  <c r="D6" i="10" a="1"/>
  <c r="D6" i="10" s="1"/>
  <c r="D8" i="12"/>
  <c r="B8" i="12"/>
  <c r="A11" i="12"/>
  <c r="D10" i="12"/>
  <c r="B10" i="12"/>
  <c r="H7" i="13" a="1"/>
  <c r="H7" i="13" s="1"/>
  <c r="H107" i="5" a="1"/>
  <c r="H107" i="5" s="1"/>
  <c r="C7" i="10" a="1"/>
  <c r="C7" i="10" s="1"/>
  <c r="W109" i="5" a="1"/>
  <c r="W109" i="5" s="1"/>
  <c r="E109" i="5" a="1"/>
  <c r="E109" i="5" s="1"/>
  <c r="B9" i="12"/>
  <c r="D9" i="12"/>
  <c r="I7" i="13" a="1"/>
  <c r="I7" i="13" s="1"/>
  <c r="D7" i="13" s="1" a="1"/>
  <c r="D7" i="13" s="1"/>
  <c r="J7" i="10" s="1" a="1"/>
  <c r="J7" i="10" s="1"/>
  <c r="I7" i="10" a="1"/>
  <c r="I7" i="10" s="1"/>
  <c r="A8" i="13"/>
  <c r="H10" i="13" l="1" a="1"/>
  <c r="H10" i="13" s="1"/>
  <c r="W137" i="5" a="1"/>
  <c r="W137" i="5" s="1"/>
  <c r="E137" i="5" a="1"/>
  <c r="E137" i="5" s="1"/>
  <c r="C10" i="10" a="1"/>
  <c r="C10" i="10" s="1"/>
  <c r="H139" i="5" a="1"/>
  <c r="H139" i="5" s="1"/>
  <c r="B8" i="13"/>
  <c r="A9" i="13"/>
  <c r="I10" i="13" a="1"/>
  <c r="I10" i="13" s="1"/>
  <c r="I10" i="10" a="1"/>
  <c r="I10" i="10" s="1"/>
  <c r="H8" i="13" a="1"/>
  <c r="H8" i="13" s="1"/>
  <c r="E125" i="5" a="1"/>
  <c r="E125" i="5" s="1"/>
  <c r="C8" i="10" a="1"/>
  <c r="C8" i="10" s="1"/>
  <c r="H127" i="5" a="1"/>
  <c r="H127" i="5" s="1"/>
  <c r="W125" i="5" a="1"/>
  <c r="W125" i="5" s="1"/>
  <c r="N7" i="12" a="1"/>
  <c r="N7" i="12" s="1"/>
  <c r="D7" i="10" a="1"/>
  <c r="D7" i="10" s="1"/>
  <c r="I9" i="13" a="1"/>
  <c r="I9" i="13" s="1"/>
  <c r="I9" i="10" a="1"/>
  <c r="I9" i="10" s="1"/>
  <c r="I8" i="13" a="1"/>
  <c r="I8" i="13" s="1"/>
  <c r="D8" i="13" s="1" a="1"/>
  <c r="D8" i="13" s="1"/>
  <c r="J8" i="10" s="1" a="1"/>
  <c r="J8" i="10" s="1"/>
  <c r="I8" i="10" a="1"/>
  <c r="I8" i="10" s="1"/>
  <c r="H9" i="13" a="1"/>
  <c r="H9" i="13" s="1"/>
  <c r="C9" i="10" a="1"/>
  <c r="C9" i="10" s="1"/>
  <c r="H123" i="5" a="1"/>
  <c r="H123" i="5" s="1"/>
  <c r="W121" i="5" a="1"/>
  <c r="W121" i="5" s="1"/>
  <c r="E121" i="5" a="1"/>
  <c r="E121" i="5" s="1"/>
  <c r="D11" i="12"/>
  <c r="B11" i="12"/>
  <c r="A12" i="12"/>
  <c r="D9" i="13" l="1" a="1"/>
  <c r="D9" i="13" s="1"/>
  <c r="J9" i="10" s="1" a="1"/>
  <c r="J9" i="10" s="1"/>
  <c r="B9" i="13"/>
  <c r="H11" i="13" a="1"/>
  <c r="H11" i="13" s="1"/>
  <c r="C11" i="10" a="1"/>
  <c r="C11" i="10" s="1"/>
  <c r="H143" i="5" a="1"/>
  <c r="H143" i="5" s="1"/>
  <c r="W141" i="5" a="1"/>
  <c r="W141" i="5" s="1"/>
  <c r="E141" i="5" a="1"/>
  <c r="E141" i="5" s="1"/>
  <c r="A10" i="13"/>
  <c r="I11" i="13" a="1"/>
  <c r="I11" i="13" s="1"/>
  <c r="I11" i="10" a="1"/>
  <c r="I11" i="10" s="1"/>
  <c r="D8" i="10" a="1"/>
  <c r="D8" i="10" s="1"/>
  <c r="N8" i="12" a="1"/>
  <c r="N8" i="12" s="1"/>
  <c r="B12" i="12"/>
  <c r="D12" i="12"/>
  <c r="A13" i="12"/>
  <c r="H12" i="13" l="1" a="1"/>
  <c r="H12" i="13" s="1"/>
  <c r="C12" i="10" a="1"/>
  <c r="C12" i="10" s="1"/>
  <c r="H147" i="5" a="1"/>
  <c r="H147" i="5" s="1"/>
  <c r="W145" i="5" a="1"/>
  <c r="W145" i="5" s="1"/>
  <c r="E145" i="5" a="1"/>
  <c r="E145" i="5" s="1"/>
  <c r="I12" i="13" a="1"/>
  <c r="I12" i="13" s="1"/>
  <c r="I12" i="10" a="1"/>
  <c r="I12" i="10" s="1"/>
  <c r="N9" i="12" a="1"/>
  <c r="N9" i="12" s="1"/>
  <c r="D9" i="10" a="1"/>
  <c r="D9" i="10" s="1"/>
  <c r="D13" i="12"/>
  <c r="B13" i="12"/>
  <c r="A14" i="12"/>
  <c r="D10" i="13" a="1"/>
  <c r="D10" i="13" s="1"/>
  <c r="J10" i="10" s="1" a="1"/>
  <c r="J10" i="10" s="1"/>
  <c r="B10" i="13"/>
  <c r="A11" i="13"/>
  <c r="N10" i="12" l="1" a="1"/>
  <c r="N10" i="12" s="1"/>
  <c r="D10" i="10" a="1"/>
  <c r="D10" i="10" s="1"/>
  <c r="B11" i="13"/>
  <c r="D11" i="13" a="1"/>
  <c r="D11" i="13" s="1"/>
  <c r="J11" i="10" s="1" a="1"/>
  <c r="J11" i="10" s="1"/>
  <c r="A12" i="13"/>
  <c r="B14" i="12"/>
  <c r="D14" i="12"/>
  <c r="A15" i="12"/>
  <c r="H13" i="13" a="1"/>
  <c r="H13" i="13" s="1"/>
  <c r="E149" i="5" a="1"/>
  <c r="E149" i="5" s="1"/>
  <c r="C13" i="10" a="1"/>
  <c r="C13" i="10" s="1"/>
  <c r="H151" i="5" a="1"/>
  <c r="H151" i="5" s="1"/>
  <c r="W149" i="5" a="1"/>
  <c r="W149" i="5" s="1"/>
  <c r="I13" i="13" a="1"/>
  <c r="I13" i="13" s="1"/>
  <c r="I13" i="10" a="1"/>
  <c r="I13" i="10" s="1"/>
  <c r="B15" i="12" l="1"/>
  <c r="D15" i="12"/>
  <c r="A16" i="12"/>
  <c r="I14" i="13" a="1"/>
  <c r="I14" i="13" s="1"/>
  <c r="I14" i="10" a="1"/>
  <c r="I14" i="10" s="1"/>
  <c r="H14" i="13" a="1"/>
  <c r="H14" i="13" s="1"/>
  <c r="C14" i="10" a="1"/>
  <c r="C14" i="10" s="1"/>
  <c r="H155" i="5" a="1"/>
  <c r="H155" i="5" s="1"/>
  <c r="W153" i="5" a="1"/>
  <c r="W153" i="5" s="1"/>
  <c r="E153" i="5" a="1"/>
  <c r="E153" i="5" s="1"/>
  <c r="N11" i="12" a="1"/>
  <c r="N11" i="12" s="1"/>
  <c r="D11" i="10" a="1"/>
  <c r="D11" i="10" s="1"/>
  <c r="D12" i="13" a="1"/>
  <c r="D12" i="13" s="1"/>
  <c r="J12" i="10" s="1" a="1"/>
  <c r="J12" i="10" s="1"/>
  <c r="B12" i="13"/>
  <c r="A13" i="13"/>
  <c r="N12" i="12" l="1" a="1"/>
  <c r="N12" i="12" s="1"/>
  <c r="D12" i="10" a="1"/>
  <c r="D12" i="10" s="1"/>
  <c r="D13" i="13" a="1"/>
  <c r="D13" i="13" s="1"/>
  <c r="J13" i="10" s="1" a="1"/>
  <c r="J13" i="10" s="1"/>
  <c r="B13" i="13"/>
  <c r="A14" i="13"/>
  <c r="D16" i="12"/>
  <c r="B16" i="12"/>
  <c r="A17" i="12"/>
  <c r="I15" i="13" a="1"/>
  <c r="I15" i="13" s="1"/>
  <c r="I15" i="10" a="1"/>
  <c r="I15" i="10" s="1"/>
  <c r="H15" i="13" a="1"/>
  <c r="H15" i="13" s="1"/>
  <c r="C15" i="10" a="1"/>
  <c r="C15" i="10" s="1"/>
  <c r="W163" i="5" a="1"/>
  <c r="W163" i="5" s="1"/>
  <c r="H163" i="5" a="1"/>
  <c r="H163" i="5" s="1"/>
  <c r="E163" i="5" a="1"/>
  <c r="E163" i="5" s="1"/>
  <c r="H16" i="13" l="1" a="1"/>
  <c r="H16" i="13" s="1"/>
  <c r="E167" i="5" a="1"/>
  <c r="E167" i="5" s="1"/>
  <c r="C16" i="10" a="1"/>
  <c r="C16" i="10" s="1"/>
  <c r="W167" i="5" a="1"/>
  <c r="W167" i="5" s="1"/>
  <c r="H169" i="5" a="1"/>
  <c r="H169" i="5" s="1"/>
  <c r="I16" i="13" a="1"/>
  <c r="I16" i="13" s="1"/>
  <c r="I16" i="10" a="1"/>
  <c r="I16" i="10" s="1"/>
  <c r="N13" i="12" a="1"/>
  <c r="N13" i="12" s="1"/>
  <c r="D13" i="10" a="1"/>
  <c r="D13" i="10" s="1"/>
  <c r="B17" i="12"/>
  <c r="D17" i="12"/>
  <c r="A18" i="12"/>
  <c r="D14" i="13" a="1"/>
  <c r="D14" i="13" s="1"/>
  <c r="J14" i="10" s="1" a="1"/>
  <c r="J14" i="10" s="1"/>
  <c r="B14" i="13"/>
  <c r="A15" i="13"/>
  <c r="D15" i="13" l="1" a="1"/>
  <c r="D15" i="13" s="1"/>
  <c r="J15" i="10" s="1" a="1"/>
  <c r="J15" i="10" s="1"/>
  <c r="B15" i="13"/>
  <c r="A16" i="13"/>
  <c r="N14" i="12" a="1"/>
  <c r="N14" i="12" s="1"/>
  <c r="D14" i="10" a="1"/>
  <c r="D14" i="10" s="1"/>
  <c r="D18" i="12"/>
  <c r="B18" i="12"/>
  <c r="A19" i="12"/>
  <c r="I17" i="13" a="1"/>
  <c r="I17" i="13" s="1"/>
  <c r="I17" i="10" a="1"/>
  <c r="I17" i="10" s="1"/>
  <c r="H17" i="13" a="1"/>
  <c r="H17" i="13" s="1"/>
  <c r="H173" i="5" a="1"/>
  <c r="H173" i="5" s="1"/>
  <c r="W171" i="5" a="1"/>
  <c r="W171" i="5" s="1"/>
  <c r="C17" i="10" a="1"/>
  <c r="C17" i="10" s="1"/>
  <c r="E171" i="5" a="1"/>
  <c r="E171" i="5" s="1"/>
  <c r="H18" i="13" l="1" a="1"/>
  <c r="H18" i="13" s="1"/>
  <c r="C18" i="10" a="1"/>
  <c r="C18" i="10" s="1"/>
  <c r="H179" i="5" a="1"/>
  <c r="H179" i="5" s="1"/>
  <c r="W177" i="5" a="1"/>
  <c r="W177" i="5" s="1"/>
  <c r="E177" i="5" a="1"/>
  <c r="E177" i="5" s="1"/>
  <c r="I18" i="13" a="1"/>
  <c r="I18" i="13" s="1"/>
  <c r="I18" i="10" a="1"/>
  <c r="I18" i="10" s="1"/>
  <c r="D19" i="12"/>
  <c r="B19" i="12"/>
  <c r="A20" i="12"/>
  <c r="B16" i="13"/>
  <c r="D16" i="13" a="1"/>
  <c r="D16" i="13" s="1"/>
  <c r="J16" i="10" s="1" a="1"/>
  <c r="J16" i="10" s="1"/>
  <c r="A17" i="13"/>
  <c r="N15" i="12" a="1"/>
  <c r="N15" i="12" s="1"/>
  <c r="D15" i="10" a="1"/>
  <c r="D15" i="10" s="1"/>
  <c r="D17" i="13" l="1" a="1"/>
  <c r="D17" i="13" s="1"/>
  <c r="J17" i="10" s="1" a="1"/>
  <c r="J17" i="10" s="1"/>
  <c r="B17" i="13"/>
  <c r="A18" i="13"/>
  <c r="I19" i="13" a="1"/>
  <c r="I19" i="13" s="1"/>
  <c r="I19" i="10" a="1"/>
  <c r="I19" i="10" s="1"/>
  <c r="D16" i="10" a="1"/>
  <c r="D16" i="10" s="1"/>
  <c r="N16" i="12" a="1"/>
  <c r="N16" i="12" s="1"/>
  <c r="B20" i="12"/>
  <c r="D20" i="12"/>
  <c r="A21" i="12"/>
  <c r="H19" i="13" a="1"/>
  <c r="H19" i="13" s="1"/>
  <c r="C19" i="10" a="1"/>
  <c r="C19" i="10" s="1"/>
  <c r="W181" i="5" a="1"/>
  <c r="W181" i="5" s="1"/>
  <c r="E181" i="5" a="1"/>
  <c r="E181" i="5" s="1"/>
  <c r="H183" i="5" a="1"/>
  <c r="H183" i="5" s="1"/>
  <c r="H20" i="13" l="1" a="1"/>
  <c r="H20" i="13" s="1"/>
  <c r="H187" i="5" a="1"/>
  <c r="H187" i="5" s="1"/>
  <c r="W185" i="5" a="1"/>
  <c r="W185" i="5" s="1"/>
  <c r="E185" i="5" a="1"/>
  <c r="E185" i="5" s="1"/>
  <c r="C20" i="10" a="1"/>
  <c r="C20" i="10" s="1"/>
  <c r="D18" i="13" a="1"/>
  <c r="D18" i="13" s="1"/>
  <c r="J18" i="10" s="1" a="1"/>
  <c r="J18" i="10" s="1"/>
  <c r="B18" i="13"/>
  <c r="A19" i="13"/>
  <c r="I20" i="13" a="1"/>
  <c r="I20" i="13" s="1"/>
  <c r="I20" i="10" a="1"/>
  <c r="I20" i="10" s="1"/>
  <c r="D21" i="12"/>
  <c r="B21" i="12"/>
  <c r="A22" i="12"/>
  <c r="N17" i="12" a="1"/>
  <c r="N17" i="12" s="1"/>
  <c r="D17" i="10" a="1"/>
  <c r="D17" i="10" s="1"/>
  <c r="N18" i="12" l="1" a="1"/>
  <c r="N18" i="12" s="1"/>
  <c r="D18" i="10" a="1"/>
  <c r="D18" i="10" s="1"/>
  <c r="D19" i="13" a="1"/>
  <c r="D19" i="13" s="1"/>
  <c r="J19" i="10" s="1" a="1"/>
  <c r="J19" i="10" s="1"/>
  <c r="B19" i="13"/>
  <c r="A20" i="13"/>
  <c r="I21" i="13" a="1"/>
  <c r="I21" i="13" s="1"/>
  <c r="I21" i="10" a="1"/>
  <c r="I21" i="10" s="1"/>
  <c r="H21" i="13" a="1"/>
  <c r="H21" i="13" s="1"/>
  <c r="C21" i="10" a="1"/>
  <c r="C21" i="10" s="1"/>
  <c r="H191" i="5" a="1"/>
  <c r="H191" i="5" s="1"/>
  <c r="W189" i="5" a="1"/>
  <c r="W189" i="5" s="1"/>
  <c r="E189" i="5" a="1"/>
  <c r="E189" i="5" s="1"/>
  <c r="B22" i="12"/>
  <c r="D22" i="12"/>
  <c r="A23" i="12"/>
  <c r="B23" i="12" l="1"/>
  <c r="D23" i="12"/>
  <c r="A24" i="12"/>
  <c r="I22" i="13" a="1"/>
  <c r="I22" i="13" s="1"/>
  <c r="I22" i="10" a="1"/>
  <c r="I22" i="10" s="1"/>
  <c r="H22" i="13" a="1"/>
  <c r="H22" i="13" s="1"/>
  <c r="C22" i="10" a="1"/>
  <c r="C22" i="10" s="1"/>
  <c r="E327" i="5" a="1"/>
  <c r="E327" i="5" s="1"/>
  <c r="W327" i="5" a="1"/>
  <c r="W327" i="5" s="1"/>
  <c r="H327" i="5" a="1"/>
  <c r="H327" i="5" s="1"/>
  <c r="D20" i="13" a="1"/>
  <c r="D20" i="13" s="1"/>
  <c r="J20" i="10" s="1" a="1"/>
  <c r="J20" i="10" s="1"/>
  <c r="B20" i="13"/>
  <c r="A21" i="13"/>
  <c r="N19" i="12" a="1"/>
  <c r="N19" i="12" s="1"/>
  <c r="D19" i="10" a="1"/>
  <c r="D19" i="10" s="1"/>
  <c r="D24" i="12" l="1"/>
  <c r="B24" i="12"/>
  <c r="A25" i="12"/>
  <c r="N20" i="12" a="1"/>
  <c r="N20" i="12" s="1"/>
  <c r="D20" i="10" a="1"/>
  <c r="D20" i="10" s="1"/>
  <c r="I23" i="13" a="1"/>
  <c r="I23" i="13" s="1"/>
  <c r="I23" i="10" a="1"/>
  <c r="I23" i="10" s="1"/>
  <c r="B21" i="13"/>
  <c r="D21" i="13" a="1"/>
  <c r="D21" i="13" s="1"/>
  <c r="J21" i="10" s="1" a="1"/>
  <c r="J21" i="10" s="1"/>
  <c r="A22" i="13"/>
  <c r="H23" i="13" a="1"/>
  <c r="H23" i="13" s="1"/>
  <c r="W193" i="5" a="1"/>
  <c r="W193" i="5" s="1"/>
  <c r="E193" i="5" a="1"/>
  <c r="E193" i="5" s="1"/>
  <c r="H195" i="5" a="1"/>
  <c r="H195" i="5" s="1"/>
  <c r="C23" i="10" a="1"/>
  <c r="C23" i="10" s="1"/>
  <c r="B25" i="12" l="1"/>
  <c r="D25" i="12"/>
  <c r="A26" i="12"/>
  <c r="N21" i="12" a="1"/>
  <c r="N21" i="12" s="1"/>
  <c r="D21" i="10" a="1"/>
  <c r="D21" i="10" s="1"/>
  <c r="D22" i="13" a="1"/>
  <c r="D22" i="13" s="1"/>
  <c r="J22" i="10" s="1" a="1"/>
  <c r="J22" i="10" s="1"/>
  <c r="B22" i="13"/>
  <c r="A23" i="13"/>
  <c r="H24" i="13" a="1"/>
  <c r="H24" i="13" s="1"/>
  <c r="C24" i="10" a="1"/>
  <c r="C24" i="10" s="1"/>
  <c r="H199" i="5" a="1"/>
  <c r="H199" i="5" s="1"/>
  <c r="W197" i="5" a="1"/>
  <c r="W197" i="5" s="1"/>
  <c r="E197" i="5" a="1"/>
  <c r="E197" i="5" s="1"/>
  <c r="I24" i="13" a="1"/>
  <c r="I24" i="13" s="1"/>
  <c r="I24" i="10" a="1"/>
  <c r="I24" i="10" s="1"/>
  <c r="N22" i="12" l="1" a="1"/>
  <c r="N22" i="12" s="1"/>
  <c r="D22" i="10" a="1"/>
  <c r="D22" i="10" s="1"/>
  <c r="D23" i="13" a="1"/>
  <c r="D23" i="13" s="1"/>
  <c r="J23" i="10" s="1" a="1"/>
  <c r="J23" i="10" s="1"/>
  <c r="B23" i="13"/>
  <c r="A24" i="13"/>
  <c r="D26" i="12"/>
  <c r="B26" i="12"/>
  <c r="A27" i="12"/>
  <c r="I25" i="13" a="1"/>
  <c r="I25" i="13" s="1"/>
  <c r="I25" i="10" a="1"/>
  <c r="I25" i="10" s="1"/>
  <c r="H25" i="13" a="1"/>
  <c r="H25" i="13" s="1"/>
  <c r="C25" i="10" a="1"/>
  <c r="C25" i="10" s="1"/>
  <c r="W201" i="5" a="1"/>
  <c r="W201" i="5" s="1"/>
  <c r="E201" i="5" a="1"/>
  <c r="E201" i="5" s="1"/>
  <c r="H203" i="5" a="1"/>
  <c r="H203" i="5" s="1"/>
  <c r="I26" i="13" l="1" a="1"/>
  <c r="I26" i="13" s="1"/>
  <c r="I26" i="10" a="1"/>
  <c r="I26" i="10" s="1"/>
  <c r="B24" i="13"/>
  <c r="D24" i="13" a="1"/>
  <c r="D24" i="13" s="1"/>
  <c r="J24" i="10" s="1" a="1"/>
  <c r="J24" i="10" s="1"/>
  <c r="A25" i="13"/>
  <c r="N23" i="12" a="1"/>
  <c r="N23" i="12" s="1"/>
  <c r="D23" i="10" a="1"/>
  <c r="D23" i="10" s="1"/>
  <c r="H26" i="13" a="1"/>
  <c r="H26" i="13" s="1"/>
  <c r="H205" i="5" a="1"/>
  <c r="H205" i="5" s="1"/>
  <c r="E205" i="5" a="1"/>
  <c r="E205" i="5" s="1"/>
  <c r="C26" i="10" a="1"/>
  <c r="C26" i="10" s="1"/>
  <c r="W205" i="5" a="1"/>
  <c r="W205" i="5" s="1"/>
  <c r="D27" i="12"/>
  <c r="B27" i="12"/>
  <c r="A28" i="12"/>
  <c r="B28" i="12" l="1"/>
  <c r="D28" i="12"/>
  <c r="A29" i="12"/>
  <c r="D25" i="13" a="1"/>
  <c r="D25" i="13" s="1"/>
  <c r="J25" i="10" s="1" a="1"/>
  <c r="J25" i="10" s="1"/>
  <c r="B25" i="13"/>
  <c r="A26" i="13"/>
  <c r="N24" i="12" a="1"/>
  <c r="N24" i="12" s="1"/>
  <c r="D24" i="10" a="1"/>
  <c r="D24" i="10" s="1"/>
  <c r="I27" i="13" a="1"/>
  <c r="I27" i="13" s="1"/>
  <c r="I27" i="10" a="1"/>
  <c r="I27" i="10" s="1"/>
  <c r="H27" i="13" a="1"/>
  <c r="H27" i="13" s="1"/>
  <c r="C27" i="10" a="1"/>
  <c r="C27" i="10" s="1"/>
  <c r="W211" i="5" a="1"/>
  <c r="W211" i="5" s="1"/>
  <c r="H211" i="5" a="1"/>
  <c r="H211" i="5" s="1"/>
  <c r="E211" i="5" a="1"/>
  <c r="E211" i="5" s="1"/>
  <c r="D26" i="13" l="1" a="1"/>
  <c r="D26" i="13" s="1"/>
  <c r="J26" i="10" s="1" a="1"/>
  <c r="J26" i="10" s="1"/>
  <c r="B26" i="13"/>
  <c r="A27" i="13"/>
  <c r="N25" i="12" a="1"/>
  <c r="N25" i="12" s="1"/>
  <c r="D25" i="10" a="1"/>
  <c r="D25" i="10" s="1"/>
  <c r="B29" i="12"/>
  <c r="D29" i="12"/>
  <c r="A30" i="12"/>
  <c r="I28" i="13" a="1"/>
  <c r="I28" i="13" s="1"/>
  <c r="I28" i="10" a="1"/>
  <c r="I28" i="10" s="1"/>
  <c r="H28" i="13" a="1"/>
  <c r="H28" i="13" s="1"/>
  <c r="C28" i="10" a="1"/>
  <c r="C28" i="10" s="1"/>
  <c r="H223" i="5" a="1"/>
  <c r="H223" i="5" s="1"/>
  <c r="W221" i="5" a="1"/>
  <c r="W221" i="5" s="1"/>
  <c r="E221" i="5" a="1"/>
  <c r="E221" i="5" s="1"/>
  <c r="D30" i="12" l="1"/>
  <c r="B30" i="12"/>
  <c r="A31" i="12"/>
  <c r="I29" i="13" a="1"/>
  <c r="I29" i="13" s="1"/>
  <c r="I29" i="10" a="1"/>
  <c r="I29" i="10" s="1"/>
  <c r="H29" i="13" a="1"/>
  <c r="H29" i="13" s="1"/>
  <c r="W225" i="5" a="1"/>
  <c r="W225" i="5" s="1"/>
  <c r="E225" i="5" a="1"/>
  <c r="E225" i="5" s="1"/>
  <c r="H227" i="5" a="1"/>
  <c r="H227" i="5" s="1"/>
  <c r="C29" i="10" a="1"/>
  <c r="C29" i="10" s="1"/>
  <c r="D27" i="13" a="1"/>
  <c r="D27" i="13" s="1"/>
  <c r="J27" i="10" s="1" a="1"/>
  <c r="J27" i="10" s="1"/>
  <c r="B27" i="13"/>
  <c r="A28" i="13"/>
  <c r="N26" i="12" a="1"/>
  <c r="N26" i="12" s="1"/>
  <c r="D26" i="10" a="1"/>
  <c r="D26" i="10" s="1"/>
  <c r="D28" i="13" l="1" a="1"/>
  <c r="D28" i="13" s="1"/>
  <c r="J28" i="10" s="1" a="1"/>
  <c r="J28" i="10" s="1"/>
  <c r="B28" i="13"/>
  <c r="A29" i="13"/>
  <c r="D31" i="12"/>
  <c r="B31" i="12"/>
  <c r="A32" i="12"/>
  <c r="H30" i="13" a="1"/>
  <c r="H30" i="13" s="1"/>
  <c r="C30" i="10" a="1"/>
  <c r="C30" i="10" s="1"/>
  <c r="W229" i="5" a="1"/>
  <c r="W229" i="5" s="1"/>
  <c r="H229" i="5" a="1"/>
  <c r="H229" i="5" s="1"/>
  <c r="E229" i="5" a="1"/>
  <c r="E229" i="5" s="1"/>
  <c r="N27" i="12" a="1"/>
  <c r="N27" i="12" s="1"/>
  <c r="D27" i="10" a="1"/>
  <c r="D27" i="10" s="1"/>
  <c r="I30" i="13" a="1"/>
  <c r="I30" i="13" s="1"/>
  <c r="I30" i="10" a="1"/>
  <c r="I30" i="10" s="1"/>
  <c r="D32" i="12" l="1"/>
  <c r="B32" i="12"/>
  <c r="A33" i="12"/>
  <c r="I31" i="13" a="1"/>
  <c r="I31" i="13" s="1"/>
  <c r="I31" i="10" a="1"/>
  <c r="I31" i="10" s="1"/>
  <c r="H31" i="13" a="1"/>
  <c r="H31" i="13" s="1"/>
  <c r="E233" i="5" a="1"/>
  <c r="E233" i="5" s="1"/>
  <c r="C31" i="10" a="1"/>
  <c r="C31" i="10" s="1"/>
  <c r="H235" i="5" a="1"/>
  <c r="H235" i="5" s="1"/>
  <c r="W233" i="5" a="1"/>
  <c r="W233" i="5" s="1"/>
  <c r="B29" i="13"/>
  <c r="D29" i="13" a="1"/>
  <c r="D29" i="13" s="1"/>
  <c r="J29" i="10" s="1" a="1"/>
  <c r="J29" i="10" s="1"/>
  <c r="A30" i="13"/>
  <c r="N28" i="12" a="1"/>
  <c r="N28" i="12" s="1"/>
  <c r="D28" i="10" a="1"/>
  <c r="D28" i="10" s="1"/>
  <c r="D30" i="13" l="1" a="1"/>
  <c r="D30" i="13" s="1"/>
  <c r="J30" i="10" s="1" a="1"/>
  <c r="J30" i="10" s="1"/>
  <c r="B30" i="13"/>
  <c r="A31" i="13"/>
  <c r="N29" i="12" a="1"/>
  <c r="N29" i="12" s="1"/>
  <c r="D29" i="10" a="1"/>
  <c r="D29" i="10" s="1"/>
  <c r="B33" i="12"/>
  <c r="D33" i="12"/>
  <c r="A34" i="12"/>
  <c r="H32" i="13" a="1"/>
  <c r="H32" i="13" s="1"/>
  <c r="W237" i="5" a="1"/>
  <c r="W237" i="5" s="1"/>
  <c r="E237" i="5" a="1"/>
  <c r="E237" i="5" s="1"/>
  <c r="C32" i="10" a="1"/>
  <c r="C32" i="10" s="1"/>
  <c r="H239" i="5" a="1"/>
  <c r="H239" i="5" s="1"/>
  <c r="I32" i="13" a="1"/>
  <c r="I32" i="13" s="1"/>
  <c r="I32" i="10" a="1"/>
  <c r="I32" i="10" s="1"/>
  <c r="I33" i="13" l="1" a="1"/>
  <c r="I33" i="13" s="1"/>
  <c r="I33" i="10" a="1"/>
  <c r="I33" i="10" s="1"/>
  <c r="H33" i="13" a="1"/>
  <c r="H33" i="13" s="1"/>
  <c r="C33" i="10" a="1"/>
  <c r="C33" i="10" s="1"/>
  <c r="H243" i="5" a="1"/>
  <c r="H243" i="5" s="1"/>
  <c r="W241" i="5" a="1"/>
  <c r="W241" i="5" s="1"/>
  <c r="E241" i="5" a="1"/>
  <c r="E241" i="5" s="1"/>
  <c r="D31" i="13" a="1"/>
  <c r="D31" i="13" s="1"/>
  <c r="J31" i="10" s="1" a="1"/>
  <c r="J31" i="10" s="1"/>
  <c r="B31" i="13"/>
  <c r="A32" i="13"/>
  <c r="D34" i="12"/>
  <c r="B34" i="12"/>
  <c r="A35" i="12"/>
  <c r="N30" i="12" a="1"/>
  <c r="N30" i="12" s="1"/>
  <c r="D30" i="10" a="1"/>
  <c r="D30" i="10" s="1"/>
  <c r="D35" i="12" l="1"/>
  <c r="B35" i="12"/>
  <c r="A36" i="12"/>
  <c r="I34" i="13" a="1"/>
  <c r="I34" i="13" s="1"/>
  <c r="I34" i="10" a="1"/>
  <c r="I34" i="10" s="1"/>
  <c r="B32" i="13"/>
  <c r="D32" i="13" a="1"/>
  <c r="D32" i="13" s="1"/>
  <c r="J32" i="10" s="1" a="1"/>
  <c r="J32" i="10" s="1"/>
  <c r="A33" i="13"/>
  <c r="H34" i="13" a="1"/>
  <c r="H34" i="13" s="1"/>
  <c r="E245" i="5" a="1"/>
  <c r="E245" i="5" s="1"/>
  <c r="C34" i="10" a="1"/>
  <c r="C34" i="10" s="1"/>
  <c r="W245" i="5" a="1"/>
  <c r="W245" i="5" s="1"/>
  <c r="H247" i="5" a="1"/>
  <c r="H247" i="5" s="1"/>
  <c r="N31" i="12" a="1"/>
  <c r="N31" i="12" s="1"/>
  <c r="D31" i="10" a="1"/>
  <c r="D31" i="10" s="1"/>
  <c r="D33" i="13" l="1" a="1"/>
  <c r="D33" i="13" s="1"/>
  <c r="J33" i="10" s="1" a="1"/>
  <c r="J33" i="10" s="1"/>
  <c r="B33" i="13"/>
  <c r="A34" i="13"/>
  <c r="D32" i="10" a="1"/>
  <c r="D32" i="10" s="1"/>
  <c r="N32" i="12" a="1"/>
  <c r="N32" i="12" s="1"/>
  <c r="B36" i="12"/>
  <c r="D36" i="12"/>
  <c r="A37" i="12"/>
  <c r="H35" i="13" a="1"/>
  <c r="H35" i="13" s="1"/>
  <c r="C35" i="10" a="1"/>
  <c r="C35" i="10" s="1"/>
  <c r="W249" i="5" a="1"/>
  <c r="W249" i="5" s="1"/>
  <c r="E249" i="5" a="1"/>
  <c r="E249" i="5" s="1"/>
  <c r="H251" i="5" a="1"/>
  <c r="H251" i="5" s="1"/>
  <c r="I35" i="13" a="1"/>
  <c r="I35" i="13" s="1"/>
  <c r="I35" i="10" a="1"/>
  <c r="I35" i="10" s="1"/>
  <c r="I36" i="13" l="1" a="1"/>
  <c r="I36" i="13" s="1"/>
  <c r="I36" i="10" a="1"/>
  <c r="I36" i="10" s="1"/>
  <c r="H36" i="13" a="1"/>
  <c r="H36" i="13" s="1"/>
  <c r="C36" i="10" a="1"/>
  <c r="C36" i="10" s="1"/>
  <c r="H255" i="5" a="1"/>
  <c r="H255" i="5" s="1"/>
  <c r="E253" i="5" a="1"/>
  <c r="E253" i="5" s="1"/>
  <c r="W253" i="5" a="1"/>
  <c r="W253" i="5" s="1"/>
  <c r="B37" i="12"/>
  <c r="D37" i="12"/>
  <c r="A38" i="12"/>
  <c r="D34" i="13" a="1"/>
  <c r="D34" i="13" s="1"/>
  <c r="J34" i="10" s="1" a="1"/>
  <c r="J34" i="10" s="1"/>
  <c r="B34" i="13"/>
  <c r="A35" i="13"/>
  <c r="D33" i="10" a="1"/>
  <c r="D33" i="10" s="1"/>
  <c r="N33" i="12" a="1"/>
  <c r="N33" i="12" s="1"/>
  <c r="N34" i="12" l="1" a="1"/>
  <c r="N34" i="12" s="1"/>
  <c r="D34" i="10" a="1"/>
  <c r="D34" i="10" s="1"/>
  <c r="H37" i="13" a="1"/>
  <c r="H37" i="13" s="1"/>
  <c r="E257" i="5" a="1"/>
  <c r="E257" i="5" s="1"/>
  <c r="H259" i="5" a="1"/>
  <c r="H259" i="5" s="1"/>
  <c r="W257" i="5" a="1"/>
  <c r="W257" i="5" s="1"/>
  <c r="C37" i="10" a="1"/>
  <c r="C37" i="10" s="1"/>
  <c r="D35" i="13" a="1"/>
  <c r="D35" i="13" s="1"/>
  <c r="J35" i="10" s="1" a="1"/>
  <c r="J35" i="10" s="1"/>
  <c r="B35" i="13"/>
  <c r="A36" i="13"/>
  <c r="D38" i="12"/>
  <c r="B38" i="12"/>
  <c r="A39" i="12"/>
  <c r="I37" i="13" a="1"/>
  <c r="I37" i="13" s="1"/>
  <c r="I37" i="10" a="1"/>
  <c r="I37" i="10" s="1"/>
  <c r="B39" i="12" l="1"/>
  <c r="D39" i="12"/>
  <c r="A40" i="12"/>
  <c r="I38" i="13" a="1"/>
  <c r="I38" i="13" s="1"/>
  <c r="I38" i="10" a="1"/>
  <c r="I38" i="10" s="1"/>
  <c r="H38" i="13" a="1"/>
  <c r="H38" i="13" s="1"/>
  <c r="C38" i="10" a="1"/>
  <c r="C38" i="10" s="1"/>
  <c r="H261" i="5" a="1"/>
  <c r="H261" i="5" s="1"/>
  <c r="E261" i="5" a="1"/>
  <c r="E261" i="5" s="1"/>
  <c r="W261" i="5" a="1"/>
  <c r="W261" i="5" s="1"/>
  <c r="B36" i="13"/>
  <c r="D36" i="13" a="1"/>
  <c r="D36" i="13" s="1"/>
  <c r="J36" i="10" s="1" a="1"/>
  <c r="J36" i="10" s="1"/>
  <c r="A37" i="13"/>
  <c r="N35" i="12" a="1"/>
  <c r="N35" i="12" s="1"/>
  <c r="D35" i="10" a="1"/>
  <c r="D35" i="10" s="1"/>
  <c r="B37" i="13" l="1"/>
  <c r="D37" i="13" a="1"/>
  <c r="D37" i="13" s="1"/>
  <c r="J37" i="10" s="1" a="1"/>
  <c r="J37" i="10" s="1"/>
  <c r="A38" i="13"/>
  <c r="N36" i="12" a="1"/>
  <c r="N36" i="12" s="1"/>
  <c r="D36" i="10" a="1"/>
  <c r="D36" i="10" s="1"/>
  <c r="D40" i="12"/>
  <c r="B40" i="12"/>
  <c r="A41" i="12"/>
  <c r="I39" i="13" a="1"/>
  <c r="I39" i="13" s="1"/>
  <c r="I39" i="10" a="1"/>
  <c r="I39" i="10" s="1"/>
  <c r="H39" i="13" a="1"/>
  <c r="H39" i="13" s="1"/>
  <c r="C39" i="10" a="1"/>
  <c r="C39" i="10" s="1"/>
  <c r="W265" i="5" a="1"/>
  <c r="W265" i="5" s="1"/>
  <c r="H265" i="5" a="1"/>
  <c r="H265" i="5" s="1"/>
  <c r="E265" i="5" a="1"/>
  <c r="E265" i="5" s="1"/>
  <c r="B41" i="12" l="1"/>
  <c r="D41" i="12"/>
  <c r="A42" i="12"/>
  <c r="H40" i="13" a="1"/>
  <c r="H40" i="13" s="1"/>
  <c r="C40" i="10" a="1"/>
  <c r="C40" i="10" s="1"/>
  <c r="E269" i="5" a="1"/>
  <c r="E269" i="5" s="1"/>
  <c r="H271" i="5" a="1"/>
  <c r="H271" i="5" s="1"/>
  <c r="W269" i="5" a="1"/>
  <c r="W269" i="5" s="1"/>
  <c r="I40" i="13" a="1"/>
  <c r="I40" i="13" s="1"/>
  <c r="I40" i="10" a="1"/>
  <c r="I40" i="10" s="1"/>
  <c r="D38" i="13" a="1"/>
  <c r="D38" i="13" s="1"/>
  <c r="J38" i="10" s="1" a="1"/>
  <c r="J38" i="10" s="1"/>
  <c r="B38" i="13"/>
  <c r="A39" i="13"/>
  <c r="N37" i="12" a="1"/>
  <c r="N37" i="12" s="1"/>
  <c r="D37" i="10" a="1"/>
  <c r="D37" i="10" s="1"/>
  <c r="D42" i="12" l="1"/>
  <c r="B42" i="12"/>
  <c r="A43" i="12"/>
  <c r="N38" i="12" a="1"/>
  <c r="N38" i="12" s="1"/>
  <c r="D38" i="10" a="1"/>
  <c r="D38" i="10" s="1"/>
  <c r="I41" i="13" a="1"/>
  <c r="I41" i="13" s="1"/>
  <c r="I41" i="10" a="1"/>
  <c r="I41" i="10" s="1"/>
  <c r="D39" i="13" a="1"/>
  <c r="D39" i="13" s="1"/>
  <c r="J39" i="10" s="1" a="1"/>
  <c r="J39" i="10" s="1"/>
  <c r="B39" i="13"/>
  <c r="A40" i="13"/>
  <c r="H41" i="13" a="1"/>
  <c r="H41" i="13" s="1"/>
  <c r="H275" i="5" a="1"/>
  <c r="H275" i="5" s="1"/>
  <c r="W273" i="5" a="1"/>
  <c r="W273" i="5" s="1"/>
  <c r="E273" i="5" a="1"/>
  <c r="E273" i="5" s="1"/>
  <c r="C41" i="10" a="1"/>
  <c r="C41" i="10" s="1"/>
  <c r="D43" i="12" l="1"/>
  <c r="B43" i="12"/>
  <c r="A44" i="12"/>
  <c r="H42" i="13" a="1"/>
  <c r="H42" i="13" s="1"/>
  <c r="C42" i="10" a="1"/>
  <c r="C42" i="10" s="1"/>
  <c r="H279" i="5" a="1"/>
  <c r="H279" i="5" s="1"/>
  <c r="W277" i="5" a="1"/>
  <c r="W277" i="5" s="1"/>
  <c r="E277" i="5" a="1"/>
  <c r="E277" i="5" s="1"/>
  <c r="B40" i="13"/>
  <c r="D40" i="13" a="1"/>
  <c r="D40" i="13" s="1"/>
  <c r="J40" i="10" s="1" a="1"/>
  <c r="J40" i="10" s="1"/>
  <c r="A41" i="13"/>
  <c r="N39" i="12" a="1"/>
  <c r="N39" i="12" s="1"/>
  <c r="D39" i="10" a="1"/>
  <c r="D39" i="10" s="1"/>
  <c r="I42" i="13" a="1"/>
  <c r="I42" i="13" s="1"/>
  <c r="I42" i="10" a="1"/>
  <c r="I42" i="10" s="1"/>
  <c r="B44" i="12" l="1"/>
  <c r="D44" i="12"/>
  <c r="A45" i="12"/>
  <c r="D41" i="13" a="1"/>
  <c r="D41" i="13" s="1"/>
  <c r="J41" i="10" s="1" a="1"/>
  <c r="J41" i="10" s="1"/>
  <c r="B41" i="13"/>
  <c r="A42" i="13"/>
  <c r="H43" i="13" a="1"/>
  <c r="H43" i="13" s="1"/>
  <c r="C43" i="10" a="1"/>
  <c r="C43" i="10" s="1"/>
  <c r="E281" i="5" a="1"/>
  <c r="E281" i="5" s="1"/>
  <c r="H283" i="5" a="1"/>
  <c r="H283" i="5" s="1"/>
  <c r="W281" i="5" a="1"/>
  <c r="W281" i="5" s="1"/>
  <c r="N40" i="12" a="1"/>
  <c r="N40" i="12" s="1"/>
  <c r="D40" i="10" a="1"/>
  <c r="D40" i="10" s="1"/>
  <c r="I43" i="13" a="1"/>
  <c r="I43" i="13" s="1"/>
  <c r="I43" i="10" a="1"/>
  <c r="I43" i="10" s="1"/>
  <c r="D42" i="13" l="1" a="1"/>
  <c r="D42" i="13" s="1"/>
  <c r="J42" i="10" s="1" a="1"/>
  <c r="J42" i="10" s="1"/>
  <c r="B42" i="13"/>
  <c r="A43" i="13"/>
  <c r="N41" i="12" a="1"/>
  <c r="N41" i="12" s="1"/>
  <c r="D41" i="10" a="1"/>
  <c r="D41" i="10" s="1"/>
  <c r="D45" i="12"/>
  <c r="B45" i="12"/>
  <c r="A46" i="12"/>
  <c r="I44" i="13" a="1"/>
  <c r="I44" i="13" s="1"/>
  <c r="I44" i="10" a="1"/>
  <c r="I44" i="10" s="1"/>
  <c r="H44" i="13" a="1"/>
  <c r="H44" i="13" s="1"/>
  <c r="H287" i="5" a="1"/>
  <c r="H287" i="5" s="1"/>
  <c r="W285" i="5" a="1"/>
  <c r="W285" i="5" s="1"/>
  <c r="E285" i="5" a="1"/>
  <c r="E285" i="5" s="1"/>
  <c r="C44" i="10" a="1"/>
  <c r="C44" i="10" s="1"/>
  <c r="H45" i="13" l="1" a="1"/>
  <c r="H45" i="13" s="1"/>
  <c r="H291" i="5" a="1"/>
  <c r="H291" i="5" s="1"/>
  <c r="C45" i="10" a="1"/>
  <c r="C45" i="10" s="1"/>
  <c r="W289" i="5" a="1"/>
  <c r="W289" i="5" s="1"/>
  <c r="E289" i="5" a="1"/>
  <c r="E289" i="5" s="1"/>
  <c r="I45" i="13" a="1"/>
  <c r="I45" i="13" s="1"/>
  <c r="I45" i="10" a="1"/>
  <c r="I45" i="10" s="1"/>
  <c r="D46" i="12"/>
  <c r="B46" i="12"/>
  <c r="A47" i="12"/>
  <c r="D43" i="13" a="1"/>
  <c r="D43" i="13" s="1"/>
  <c r="J43" i="10" s="1" a="1"/>
  <c r="J43" i="10" s="1"/>
  <c r="B43" i="13"/>
  <c r="A44" i="13"/>
  <c r="N42" i="12" a="1"/>
  <c r="N42" i="12" s="1"/>
  <c r="D42" i="10" a="1"/>
  <c r="D42" i="10" s="1"/>
  <c r="I46" i="13" l="1" a="1"/>
  <c r="I46" i="13" s="1"/>
  <c r="I46" i="10" a="1"/>
  <c r="I46" i="10" s="1"/>
  <c r="B44" i="13"/>
  <c r="D44" i="13" a="1"/>
  <c r="D44" i="13" s="1"/>
  <c r="J44" i="10" s="1" a="1"/>
  <c r="J44" i="10" s="1"/>
  <c r="A45" i="13"/>
  <c r="N43" i="12" a="1"/>
  <c r="N43" i="12" s="1"/>
  <c r="D43" i="10" a="1"/>
  <c r="D43" i="10" s="1"/>
  <c r="D47" i="12"/>
  <c r="B47" i="12"/>
  <c r="A48" i="12"/>
  <c r="H46" i="13" a="1"/>
  <c r="H46" i="13" s="1"/>
  <c r="C46" i="10" a="1"/>
  <c r="C46" i="10" s="1"/>
  <c r="W293" i="5" a="1"/>
  <c r="W293" i="5" s="1"/>
  <c r="E293" i="5" a="1"/>
  <c r="E293" i="5" s="1"/>
  <c r="H295" i="5" a="1"/>
  <c r="H295" i="5" s="1"/>
  <c r="B45" i="13" l="1"/>
  <c r="D45" i="13" a="1"/>
  <c r="D45" i="13" s="1"/>
  <c r="J45" i="10" s="1" a="1"/>
  <c r="J45" i="10" s="1"/>
  <c r="A46" i="13"/>
  <c r="N44" i="12" a="1"/>
  <c r="N44" i="12" s="1"/>
  <c r="D44" i="10" a="1"/>
  <c r="D44" i="10" s="1"/>
  <c r="I47" i="13" a="1"/>
  <c r="I47" i="13" s="1"/>
  <c r="I47" i="10" a="1"/>
  <c r="I47" i="10" s="1"/>
  <c r="D48" i="12"/>
  <c r="B48" i="12"/>
  <c r="A49" i="12"/>
  <c r="H47" i="13" a="1"/>
  <c r="H47" i="13" s="1"/>
  <c r="C47" i="10" a="1"/>
  <c r="C47" i="10" s="1"/>
  <c r="E329" i="5" a="1"/>
  <c r="E329" i="5" s="1"/>
  <c r="W329" i="5" a="1"/>
  <c r="W329" i="5" s="1"/>
  <c r="H329" i="5" a="1"/>
  <c r="H329" i="5" s="1"/>
  <c r="I48" i="13" l="1" a="1"/>
  <c r="I48" i="13" s="1"/>
  <c r="I48" i="10" a="1"/>
  <c r="I48" i="10" s="1"/>
  <c r="D46" i="13" a="1"/>
  <c r="D46" i="13" s="1"/>
  <c r="J46" i="10" s="1" a="1"/>
  <c r="J46" i="10" s="1"/>
  <c r="B46" i="13"/>
  <c r="A47" i="13"/>
  <c r="B49" i="12"/>
  <c r="D49" i="12"/>
  <c r="A50" i="12"/>
  <c r="H48" i="13" a="1"/>
  <c r="H48" i="13" s="1"/>
  <c r="W53" i="5" a="1"/>
  <c r="W53" i="5" s="1"/>
  <c r="H53" i="5" a="1"/>
  <c r="H53" i="5" s="1"/>
  <c r="C48" i="10" a="1"/>
  <c r="C48" i="10" s="1"/>
  <c r="E53" i="5" a="1"/>
  <c r="E53" i="5" s="1"/>
  <c r="N45" i="12" a="1"/>
  <c r="N45" i="12" s="1"/>
  <c r="D45" i="10" a="1"/>
  <c r="D45" i="10" s="1"/>
  <c r="I49" i="13" l="1" a="1"/>
  <c r="I49" i="13" s="1"/>
  <c r="I49" i="10" a="1"/>
  <c r="I49" i="10" s="1"/>
  <c r="H49" i="13" a="1"/>
  <c r="H49" i="13" s="1"/>
  <c r="H61" i="5" a="1"/>
  <c r="H61" i="5" s="1"/>
  <c r="C49" i="10" a="1"/>
  <c r="C49" i="10" s="1"/>
  <c r="E61" i="5" a="1"/>
  <c r="E61" i="5" s="1"/>
  <c r="W61" i="5" a="1"/>
  <c r="W61" i="5" s="1"/>
  <c r="N46" i="12" a="1"/>
  <c r="N46" i="12" s="1"/>
  <c r="D46" i="10" a="1"/>
  <c r="D46" i="10" s="1"/>
  <c r="D50" i="12"/>
  <c r="B50" i="12"/>
  <c r="A51" i="12"/>
  <c r="D47" i="13" a="1"/>
  <c r="D47" i="13" s="1"/>
  <c r="J47" i="10" s="1" a="1"/>
  <c r="J47" i="10" s="1"/>
  <c r="B47" i="13"/>
  <c r="A48" i="13"/>
  <c r="N47" i="12" l="1" a="1"/>
  <c r="N47" i="12" s="1"/>
  <c r="D47" i="10" a="1"/>
  <c r="D47" i="10" s="1"/>
  <c r="D51" i="12"/>
  <c r="B51" i="12"/>
  <c r="A52" i="12"/>
  <c r="H50" i="13" a="1"/>
  <c r="H50" i="13" s="1"/>
  <c r="H319" i="5" a="1"/>
  <c r="H319" i="5" s="1"/>
  <c r="W319" i="5" a="1"/>
  <c r="W319" i="5" s="1"/>
  <c r="C50" i="10" a="1"/>
  <c r="C50" i="10" s="1"/>
  <c r="E319" i="5" a="1"/>
  <c r="E319" i="5" s="1"/>
  <c r="I50" i="13" a="1"/>
  <c r="I50" i="13" s="1"/>
  <c r="I50" i="10" a="1"/>
  <c r="I50" i="10" s="1"/>
  <c r="D48" i="13" a="1"/>
  <c r="D48" i="13" s="1"/>
  <c r="J48" i="10" s="1" a="1"/>
  <c r="J48" i="10" s="1"/>
  <c r="B48" i="13"/>
  <c r="A49" i="13"/>
  <c r="B52" i="12" l="1"/>
  <c r="D52" i="12"/>
  <c r="A53" i="12"/>
  <c r="H51" i="13" a="1"/>
  <c r="H51" i="13" s="1"/>
  <c r="C51" i="10" a="1"/>
  <c r="C51" i="10" s="1"/>
  <c r="W103" i="5" a="1"/>
  <c r="W103" i="5" s="1"/>
  <c r="H103" i="5" a="1"/>
  <c r="H103" i="5" s="1"/>
  <c r="E103" i="5" a="1"/>
  <c r="E103" i="5" s="1"/>
  <c r="N48" i="12" a="1"/>
  <c r="N48" i="12" s="1"/>
  <c r="D48" i="10" a="1"/>
  <c r="D48" i="10" s="1"/>
  <c r="I51" i="13" a="1"/>
  <c r="I51" i="13" s="1"/>
  <c r="I51" i="10" a="1"/>
  <c r="I51" i="10" s="1"/>
  <c r="D49" i="13" a="1"/>
  <c r="D49" i="13" s="1"/>
  <c r="J49" i="10" s="1" a="1"/>
  <c r="J49" i="10" s="1"/>
  <c r="B49" i="13"/>
  <c r="A50" i="13"/>
  <c r="N49" i="12" l="1" a="1"/>
  <c r="N49" i="12" s="1"/>
  <c r="D49" i="10" a="1"/>
  <c r="D49" i="10" s="1"/>
  <c r="D53" i="12"/>
  <c r="B53" i="12"/>
  <c r="A54" i="12"/>
  <c r="I52" i="13" a="1"/>
  <c r="I52" i="13" s="1"/>
  <c r="I52" i="10" a="1"/>
  <c r="I52" i="10" s="1"/>
  <c r="D50" i="13" a="1"/>
  <c r="D50" i="13" s="1"/>
  <c r="J50" i="10" s="1" a="1"/>
  <c r="J50" i="10" s="1"/>
  <c r="B50" i="13"/>
  <c r="A51" i="13"/>
  <c r="H52" i="13" a="1"/>
  <c r="H52" i="13" s="1"/>
  <c r="W55" i="5" a="1"/>
  <c r="W55" i="5" s="1"/>
  <c r="C52" i="10" a="1"/>
  <c r="C52" i="10" s="1"/>
  <c r="H55" i="5" a="1"/>
  <c r="H55" i="5" s="1"/>
  <c r="E55" i="5" a="1"/>
  <c r="E55" i="5" s="1"/>
  <c r="H53" i="13" l="1" a="1"/>
  <c r="H53" i="13" s="1"/>
  <c r="C53" i="10" a="1"/>
  <c r="C53" i="10" s="1"/>
  <c r="E323" i="5" a="1"/>
  <c r="E323" i="5" s="1"/>
  <c r="W323" i="5" a="1"/>
  <c r="W323" i="5" s="1"/>
  <c r="H323" i="5" a="1"/>
  <c r="H323" i="5" s="1"/>
  <c r="I53" i="13" a="1"/>
  <c r="I53" i="13" s="1"/>
  <c r="I53" i="10" a="1"/>
  <c r="I53" i="10" s="1"/>
  <c r="D54" i="12"/>
  <c r="B54" i="12"/>
  <c r="A55" i="12"/>
  <c r="D51" i="13" a="1"/>
  <c r="D51" i="13" s="1"/>
  <c r="J51" i="10" s="1" a="1"/>
  <c r="J51" i="10" s="1"/>
  <c r="B51" i="13"/>
  <c r="A52" i="13"/>
  <c r="N50" i="12" a="1"/>
  <c r="N50" i="12" s="1"/>
  <c r="D50" i="10" a="1"/>
  <c r="D50" i="10" s="1"/>
  <c r="B52" i="13" l="1"/>
  <c r="D52" i="13" a="1"/>
  <c r="D52" i="13" s="1"/>
  <c r="J52" i="10" s="1" a="1"/>
  <c r="J52" i="10" s="1"/>
  <c r="A53" i="13"/>
  <c r="N51" i="12" a="1"/>
  <c r="N51" i="12" s="1"/>
  <c r="D51" i="10" a="1"/>
  <c r="D51" i="10" s="1"/>
  <c r="H54" i="13" a="1"/>
  <c r="H54" i="13" s="1"/>
  <c r="C54" i="10" a="1"/>
  <c r="C54" i="10" s="1"/>
  <c r="W67" i="5" a="1"/>
  <c r="W67" i="5" s="1"/>
  <c r="H67" i="5" a="1"/>
  <c r="H67" i="5" s="1"/>
  <c r="E67" i="5" a="1"/>
  <c r="E67" i="5" s="1"/>
  <c r="B55" i="12"/>
  <c r="D55" i="12"/>
  <c r="A56" i="12"/>
  <c r="I54" i="13" a="1"/>
  <c r="I54" i="13" s="1"/>
  <c r="I54" i="10" a="1"/>
  <c r="I54" i="10" s="1"/>
  <c r="D56" i="12" l="1"/>
  <c r="B56" i="12"/>
  <c r="A57" i="12"/>
  <c r="I55" i="13" a="1"/>
  <c r="I55" i="13" s="1"/>
  <c r="I55" i="10" a="1"/>
  <c r="I55" i="10" s="1"/>
  <c r="H55" i="13" a="1"/>
  <c r="H55" i="13" s="1"/>
  <c r="C55" i="10" a="1"/>
  <c r="C55" i="10" s="1"/>
  <c r="H95" i="5" a="1"/>
  <c r="H95" i="5" s="1"/>
  <c r="E95" i="5" a="1"/>
  <c r="E95" i="5" s="1"/>
  <c r="W95" i="5" a="1"/>
  <c r="W95" i="5" s="1"/>
  <c r="B53" i="13"/>
  <c r="D53" i="13" a="1"/>
  <c r="D53" i="13" s="1"/>
  <c r="J53" i="10" s="1" a="1"/>
  <c r="J53" i="10" s="1"/>
  <c r="A54" i="13"/>
  <c r="N52" i="12" a="1"/>
  <c r="N52" i="12" s="1"/>
  <c r="D52" i="10" a="1"/>
  <c r="D52" i="10" s="1"/>
  <c r="B57" i="12" l="1"/>
  <c r="D57" i="12"/>
  <c r="A58" i="12"/>
  <c r="H56" i="13" a="1"/>
  <c r="H56" i="13" s="1"/>
  <c r="C57" i="10" a="1"/>
  <c r="C57" i="10" s="1"/>
  <c r="W111" i="5" a="1"/>
  <c r="W111" i="5" s="1"/>
  <c r="E111" i="5" a="1"/>
  <c r="E111" i="5" s="1"/>
  <c r="H113" i="5" a="1"/>
  <c r="H113" i="5" s="1"/>
  <c r="D54" i="13" a="1"/>
  <c r="D54" i="13" s="1"/>
  <c r="J54" i="10" s="1" a="1"/>
  <c r="J54" i="10" s="1"/>
  <c r="B54" i="13"/>
  <c r="A55" i="13"/>
  <c r="N53" i="12" a="1"/>
  <c r="N53" i="12" s="1"/>
  <c r="D53" i="10" a="1"/>
  <c r="D53" i="10" s="1"/>
  <c r="I56" i="13" a="1"/>
  <c r="I56" i="13" s="1"/>
  <c r="I57" i="10" a="1"/>
  <c r="I57" i="10" s="1"/>
  <c r="D55" i="13" l="1" a="1"/>
  <c r="D55" i="13" s="1"/>
  <c r="J55" i="10" s="1" a="1"/>
  <c r="J55" i="10" s="1"/>
  <c r="B55" i="13"/>
  <c r="A56" i="13"/>
  <c r="N54" i="12" a="1"/>
  <c r="N54" i="12" s="1"/>
  <c r="D54" i="10" a="1"/>
  <c r="D54" i="10" s="1"/>
  <c r="D58" i="12"/>
  <c r="B58" i="12"/>
  <c r="A59" i="12"/>
  <c r="I57" i="13" a="1"/>
  <c r="I57" i="13" s="1"/>
  <c r="I58" i="10" a="1"/>
  <c r="I58" i="10" s="1"/>
  <c r="H57" i="13" a="1"/>
  <c r="H57" i="13" s="1"/>
  <c r="C58" i="10" a="1"/>
  <c r="C58" i="10" s="1"/>
  <c r="H311" i="5" a="1"/>
  <c r="H311" i="5" s="1"/>
  <c r="W309" i="5" a="1"/>
  <c r="W309" i="5" s="1"/>
  <c r="E309" i="5" a="1"/>
  <c r="E309" i="5" s="1"/>
  <c r="D59" i="12" l="1"/>
  <c r="B59" i="12"/>
  <c r="A60" i="12"/>
  <c r="H58" i="13" a="1"/>
  <c r="H58" i="13" s="1"/>
  <c r="W115" i="5" a="1"/>
  <c r="W115" i="5" s="1"/>
  <c r="H115" i="5" a="1"/>
  <c r="H115" i="5" s="1"/>
  <c r="E115" i="5" a="1"/>
  <c r="E115" i="5" s="1"/>
  <c r="C59" i="10" a="1"/>
  <c r="C59" i="10" s="1"/>
  <c r="I58" i="13" a="1"/>
  <c r="I58" i="13" s="1"/>
  <c r="I59" i="10" a="1"/>
  <c r="I59" i="10" s="1"/>
  <c r="D56" i="13" a="1"/>
  <c r="D56" i="13" s="1"/>
  <c r="J57" i="10" s="1" a="1"/>
  <c r="J57" i="10" s="1"/>
  <c r="B56" i="13"/>
  <c r="A57" i="13"/>
  <c r="N55" i="12" a="1"/>
  <c r="N55" i="12" s="1"/>
  <c r="D55" i="10" a="1"/>
  <c r="D55" i="10" s="1"/>
  <c r="B60" i="12" l="1"/>
  <c r="D60" i="12"/>
  <c r="A61" i="12"/>
  <c r="D57" i="13" a="1"/>
  <c r="D57" i="13" s="1"/>
  <c r="J58" i="10" s="1" a="1"/>
  <c r="J58" i="10" s="1"/>
  <c r="B57" i="13"/>
  <c r="A58" i="13"/>
  <c r="H59" i="13" a="1"/>
  <c r="H59" i="13" s="1"/>
  <c r="C60" i="10" a="1"/>
  <c r="C60" i="10" s="1"/>
  <c r="H49" i="5" a="1"/>
  <c r="H49" i="5" s="1"/>
  <c r="E49" i="5" a="1"/>
  <c r="E49" i="5" s="1"/>
  <c r="W49" i="5" a="1"/>
  <c r="W49" i="5" s="1"/>
  <c r="N56" i="12" a="1"/>
  <c r="N56" i="12" s="1"/>
  <c r="D57" i="10" a="1"/>
  <c r="D57" i="10" s="1"/>
  <c r="I59" i="13" a="1"/>
  <c r="I59" i="13" s="1"/>
  <c r="I60" i="10" a="1"/>
  <c r="I60" i="10" s="1"/>
  <c r="D58" i="13" l="1" a="1"/>
  <c r="D58" i="13" s="1"/>
  <c r="J59" i="10" s="1" a="1"/>
  <c r="J59" i="10" s="1"/>
  <c r="B58" i="13"/>
  <c r="A59" i="13"/>
  <c r="D61" i="12"/>
  <c r="B61" i="12"/>
  <c r="A62" i="12"/>
  <c r="I60" i="13" a="1"/>
  <c r="I60" i="13" s="1"/>
  <c r="I61" i="10" a="1"/>
  <c r="I61" i="10" s="1"/>
  <c r="D58" i="10" a="1"/>
  <c r="D58" i="10" s="1"/>
  <c r="N57" i="12" a="1"/>
  <c r="N57" i="12" s="1"/>
  <c r="H60" i="13" a="1"/>
  <c r="H60" i="13" s="1"/>
  <c r="C61" i="10" a="1"/>
  <c r="C61" i="10" s="1"/>
  <c r="W79" i="5" a="1"/>
  <c r="W79" i="5" s="1"/>
  <c r="H79" i="5" a="1"/>
  <c r="H79" i="5" s="1"/>
  <c r="E79" i="5" a="1"/>
  <c r="E79" i="5" s="1"/>
  <c r="D62" i="12" l="1"/>
  <c r="B62" i="12"/>
  <c r="A63" i="12"/>
  <c r="H61" i="13" a="1"/>
  <c r="H61" i="13" s="1"/>
  <c r="C62" i="10" a="1"/>
  <c r="C62" i="10" s="1"/>
  <c r="H15" i="5" a="1"/>
  <c r="H15" i="5" s="1"/>
  <c r="W13" i="5" a="1"/>
  <c r="W13" i="5" s="1"/>
  <c r="E13" i="5" a="1"/>
  <c r="E13" i="5" s="1"/>
  <c r="I61" i="13" a="1"/>
  <c r="I61" i="13" s="1"/>
  <c r="I62" i="10" a="1"/>
  <c r="I62" i="10" s="1"/>
  <c r="D59" i="13" a="1"/>
  <c r="D59" i="13" s="1"/>
  <c r="J60" i="10" s="1" a="1"/>
  <c r="J60" i="10" s="1"/>
  <c r="B59" i="13"/>
  <c r="A60" i="13"/>
  <c r="N58" i="12" a="1"/>
  <c r="N58" i="12" s="1"/>
  <c r="D59" i="10" a="1"/>
  <c r="D59" i="10" s="1"/>
  <c r="I62" i="13" l="1" a="1"/>
  <c r="I62" i="13" s="1"/>
  <c r="I63" i="10" a="1"/>
  <c r="I63" i="10" s="1"/>
  <c r="B63" i="12"/>
  <c r="D63" i="12"/>
  <c r="A64" i="12"/>
  <c r="B60" i="13"/>
  <c r="D60" i="13" a="1"/>
  <c r="D60" i="13" s="1"/>
  <c r="J61" i="10" s="1" a="1"/>
  <c r="J61" i="10" s="1"/>
  <c r="A61" i="13"/>
  <c r="N59" i="12" a="1"/>
  <c r="N59" i="12" s="1"/>
  <c r="D60" i="10" a="1"/>
  <c r="D60" i="10" s="1"/>
  <c r="H62" i="13" a="1"/>
  <c r="H62" i="13" s="1"/>
  <c r="E315" i="5" a="1"/>
  <c r="E315" i="5" s="1"/>
  <c r="C63" i="10" a="1"/>
  <c r="C63" i="10" s="1"/>
  <c r="W315" i="5" a="1"/>
  <c r="W315" i="5" s="1"/>
  <c r="H317" i="5" a="1"/>
  <c r="H317" i="5" s="1"/>
  <c r="B61" i="13" l="1"/>
  <c r="D61" i="13" a="1"/>
  <c r="D61" i="13" s="1"/>
  <c r="J62" i="10" s="1" a="1"/>
  <c r="J62" i="10" s="1"/>
  <c r="A62" i="13"/>
  <c r="N60" i="12" a="1"/>
  <c r="N60" i="12" s="1"/>
  <c r="D61" i="10" a="1"/>
  <c r="D61" i="10" s="1"/>
  <c r="D64" i="12"/>
  <c r="B64" i="12"/>
  <c r="A65" i="12"/>
  <c r="I63" i="13" a="1"/>
  <c r="I63" i="13" s="1"/>
  <c r="I64" i="10" a="1"/>
  <c r="I64" i="10" s="1"/>
  <c r="H63" i="13" a="1"/>
  <c r="H63" i="13" s="1"/>
  <c r="H33" i="5" a="1"/>
  <c r="H33" i="5" s="1"/>
  <c r="W31" i="5" a="1"/>
  <c r="W31" i="5" s="1"/>
  <c r="C64" i="10" a="1"/>
  <c r="C64" i="10" s="1"/>
  <c r="E31" i="5" a="1"/>
  <c r="E31" i="5" s="1"/>
  <c r="H64" i="13" l="1" a="1"/>
  <c r="H64" i="13" s="1"/>
  <c r="C65" i="10" a="1"/>
  <c r="C65" i="10" s="1"/>
  <c r="H37" i="5" a="1"/>
  <c r="H37" i="5" s="1"/>
  <c r="W35" i="5" a="1"/>
  <c r="W35" i="5" s="1"/>
  <c r="E35" i="5" a="1"/>
  <c r="E35" i="5" s="1"/>
  <c r="I64" i="13" a="1"/>
  <c r="I64" i="13" s="1"/>
  <c r="I65" i="10" a="1"/>
  <c r="I65" i="10" s="1"/>
  <c r="D62" i="13" a="1"/>
  <c r="D62" i="13" s="1"/>
  <c r="J63" i="10" s="1" a="1"/>
  <c r="J63" i="10" s="1"/>
  <c r="B62" i="13"/>
  <c r="A63" i="13"/>
  <c r="D65" i="12"/>
  <c r="B65" i="12"/>
  <c r="A66" i="12"/>
  <c r="N61" i="12" a="1"/>
  <c r="N61" i="12" s="1"/>
  <c r="D62" i="10" a="1"/>
  <c r="D62" i="10" s="1"/>
  <c r="D66" i="12" l="1"/>
  <c r="B66" i="12"/>
  <c r="A67" i="12"/>
  <c r="H65" i="13" a="1"/>
  <c r="H65" i="13" s="1"/>
  <c r="E85" i="5" a="1"/>
  <c r="E85" i="5" s="1"/>
  <c r="H87" i="5" a="1"/>
  <c r="H87" i="5" s="1"/>
  <c r="C66" i="10" a="1"/>
  <c r="C66" i="10" s="1"/>
  <c r="W85" i="5" a="1"/>
  <c r="W85" i="5" s="1"/>
  <c r="I65" i="13" a="1"/>
  <c r="I65" i="13" s="1"/>
  <c r="I66" i="10" a="1"/>
  <c r="I66" i="10" s="1"/>
  <c r="D63" i="13" a="1"/>
  <c r="D63" i="13" s="1"/>
  <c r="J64" i="10" s="1" a="1"/>
  <c r="J64" i="10" s="1"/>
  <c r="B63" i="13"/>
  <c r="A64" i="13"/>
  <c r="N62" i="12" a="1"/>
  <c r="N62" i="12" s="1"/>
  <c r="D63" i="10" a="1"/>
  <c r="D63" i="10" s="1"/>
  <c r="D67" i="12" l="1"/>
  <c r="B67" i="12"/>
  <c r="A68" i="12"/>
  <c r="N63" i="12" a="1"/>
  <c r="N63" i="12" s="1"/>
  <c r="D64" i="10" a="1"/>
  <c r="D64" i="10" s="1"/>
  <c r="H66" i="13" a="1"/>
  <c r="H66" i="13" s="1"/>
  <c r="W297" i="5" a="1"/>
  <c r="W297" i="5" s="1"/>
  <c r="C67" i="10" a="1"/>
  <c r="C67" i="10" s="1"/>
  <c r="H297" i="5" a="1"/>
  <c r="H297" i="5" s="1"/>
  <c r="E297" i="5" a="1"/>
  <c r="E297" i="5" s="1"/>
  <c r="B64" i="13"/>
  <c r="D64" i="13" a="1"/>
  <c r="D64" i="13" s="1"/>
  <c r="J65" i="10" s="1" a="1"/>
  <c r="J65" i="10" s="1"/>
  <c r="A65" i="13"/>
  <c r="I66" i="13" a="1"/>
  <c r="I66" i="13" s="1"/>
  <c r="I67" i="10" a="1"/>
  <c r="I67" i="10" s="1"/>
  <c r="B65" i="13" l="1"/>
  <c r="D65" i="13" a="1"/>
  <c r="D65" i="13" s="1"/>
  <c r="J66" i="10" s="1" a="1"/>
  <c r="J66" i="10" s="1"/>
  <c r="A66" i="13"/>
  <c r="B68" i="12"/>
  <c r="D68" i="12"/>
  <c r="A69" i="12"/>
  <c r="H67" i="13" a="1"/>
  <c r="H67" i="13" s="1"/>
  <c r="C68" i="10" a="1"/>
  <c r="C68" i="10" s="1"/>
  <c r="E21" i="5" a="1"/>
  <c r="E21" i="5" s="1"/>
  <c r="H23" i="5" a="1"/>
  <c r="H23" i="5" s="1"/>
  <c r="W21" i="5" a="1"/>
  <c r="W21" i="5" s="1"/>
  <c r="N64" i="12" a="1"/>
  <c r="N64" i="12" s="1"/>
  <c r="D65" i="10" a="1"/>
  <c r="D65" i="10" s="1"/>
  <c r="I67" i="13" a="1"/>
  <c r="I67" i="13" s="1"/>
  <c r="I68" i="10" a="1"/>
  <c r="I68" i="10" s="1"/>
  <c r="D69" i="12" l="1"/>
  <c r="B69" i="12"/>
  <c r="A70" i="12"/>
  <c r="I68" i="13" a="1"/>
  <c r="I68" i="13" s="1"/>
  <c r="I69" i="10" a="1"/>
  <c r="I69" i="10" s="1"/>
  <c r="H68" i="13" a="1"/>
  <c r="H68" i="13" s="1"/>
  <c r="C69" i="10" a="1"/>
  <c r="C69" i="10" s="1"/>
  <c r="E299" i="5" a="1"/>
  <c r="E299" i="5" s="1"/>
  <c r="W299" i="5" a="1"/>
  <c r="W299" i="5" s="1"/>
  <c r="H299" i="5" a="1"/>
  <c r="H299" i="5" s="1"/>
  <c r="D66" i="13" a="1"/>
  <c r="D66" i="13" s="1"/>
  <c r="J67" i="10" s="1" a="1"/>
  <c r="J67" i="10" s="1"/>
  <c r="B66" i="13"/>
  <c r="A67" i="13"/>
  <c r="N65" i="12" a="1"/>
  <c r="N65" i="12" s="1"/>
  <c r="D66" i="10" a="1"/>
  <c r="D66" i="10" s="1"/>
  <c r="D67" i="13" l="1" a="1"/>
  <c r="D67" i="13" s="1"/>
  <c r="J68" i="10" s="1" a="1"/>
  <c r="J68" i="10" s="1"/>
  <c r="B67" i="13"/>
  <c r="A68" i="13"/>
  <c r="D70" i="12"/>
  <c r="B70" i="12"/>
  <c r="N66" i="12" a="1"/>
  <c r="N66" i="12" s="1"/>
  <c r="D67" i="10" a="1"/>
  <c r="D67" i="10" s="1"/>
  <c r="H69" i="13" a="1"/>
  <c r="H69" i="13" s="1"/>
  <c r="C75" i="10" a="1"/>
  <c r="C75" i="10" s="1"/>
  <c r="W331" i="5" a="1"/>
  <c r="W331" i="5" s="1"/>
  <c r="H331" i="5" a="1"/>
  <c r="H331" i="5" s="1"/>
  <c r="E331" i="5" a="1"/>
  <c r="E331" i="5" s="1"/>
  <c r="I69" i="13" a="1"/>
  <c r="I69" i="13" s="1"/>
  <c r="I75" i="10" a="1"/>
  <c r="I75" i="10" s="1"/>
  <c r="I70" i="13" l="1" a="1"/>
  <c r="I70" i="13" s="1"/>
  <c r="I76" i="10" a="1"/>
  <c r="I76" i="10" s="1"/>
  <c r="B68" i="13"/>
  <c r="D68" i="13" a="1"/>
  <c r="D68" i="13" s="1"/>
  <c r="J69" i="10" s="1" a="1"/>
  <c r="J69" i="10" s="1"/>
  <c r="A69" i="13"/>
  <c r="H70" i="13" a="1"/>
  <c r="H70" i="13" s="1"/>
  <c r="C76" i="10" a="1"/>
  <c r="C76" i="10" s="1"/>
  <c r="H301" i="5" a="1"/>
  <c r="H301" i="5" s="1"/>
  <c r="W301" i="5" a="1"/>
  <c r="W301" i="5" s="1"/>
  <c r="E301" i="5" a="1"/>
  <c r="E301" i="5" s="1"/>
  <c r="N67" i="12" a="1"/>
  <c r="N67" i="12" s="1"/>
  <c r="D68" i="10" a="1"/>
  <c r="D68" i="10" s="1"/>
  <c r="N68" i="12" l="1" a="1"/>
  <c r="N68" i="12" s="1"/>
  <c r="D69" i="10" a="1"/>
  <c r="D69" i="10" s="1"/>
  <c r="D69" i="13" a="1"/>
  <c r="D69" i="13" s="1"/>
  <c r="J75" i="10" s="1" a="1"/>
  <c r="J75" i="10" s="1"/>
  <c r="B69" i="13"/>
  <c r="A70" i="13"/>
  <c r="B70" i="13" l="1"/>
  <c r="D70" i="13" a="1"/>
  <c r="D70" i="13" s="1"/>
  <c r="J76" i="10" s="1" a="1"/>
  <c r="J76" i="10" s="1"/>
  <c r="A71" i="13"/>
  <c r="N69" i="12" a="1"/>
  <c r="N69" i="12" s="1"/>
  <c r="D75" i="10" a="1"/>
  <c r="D75" i="10" s="1"/>
  <c r="D71" i="13" l="1" a="1"/>
  <c r="D71" i="13" s="1"/>
  <c r="J70" i="10" s="1" a="1"/>
  <c r="J70" i="10" s="1"/>
  <c r="B71" i="13"/>
  <c r="A72" i="13"/>
  <c r="N70" i="12" a="1"/>
  <c r="N70" i="12" s="1"/>
  <c r="D76" i="10" a="1"/>
  <c r="D76" i="10" s="1"/>
  <c r="D72" i="13" l="1" a="1"/>
  <c r="D72" i="13" s="1"/>
  <c r="J71" i="10" s="1" a="1"/>
  <c r="J71" i="10" s="1"/>
  <c r="B72" i="13"/>
  <c r="A73" i="13"/>
  <c r="N71" i="12" a="1"/>
  <c r="N71" i="12" s="1"/>
  <c r="D70" i="10" a="1"/>
  <c r="D70" i="10" s="1"/>
  <c r="B73" i="13" l="1"/>
  <c r="D73" i="13" a="1"/>
  <c r="D73" i="13" s="1"/>
  <c r="J72" i="10" s="1" a="1"/>
  <c r="J72" i="10" s="1"/>
  <c r="A74" i="13"/>
  <c r="N72" i="12" a="1"/>
  <c r="N72" i="12" s="1"/>
  <c r="D71" i="10" a="1"/>
  <c r="D71" i="10" s="1"/>
  <c r="D74" i="13" l="1" a="1"/>
  <c r="D74" i="13" s="1"/>
  <c r="J73" i="10" s="1" a="1"/>
  <c r="J73" i="10" s="1"/>
  <c r="B74" i="13"/>
  <c r="A75" i="13"/>
  <c r="N73" i="12" a="1"/>
  <c r="N73" i="12" s="1"/>
  <c r="D72" i="10" a="1"/>
  <c r="D72" i="10" s="1"/>
  <c r="D75" i="13" l="1" a="1"/>
  <c r="D75" i="13" s="1"/>
  <c r="J74" i="10" s="1" a="1"/>
  <c r="J74" i="10" s="1"/>
  <c r="B75" i="13"/>
  <c r="A76" i="13"/>
  <c r="N74" i="12" a="1"/>
  <c r="N74" i="12" s="1"/>
  <c r="D73" i="10" a="1"/>
  <c r="D73" i="10" s="1"/>
  <c r="B76" i="13" l="1"/>
  <c r="D76" i="13" a="1"/>
  <c r="D76" i="13" s="1"/>
  <c r="J77" i="10" s="1" a="1"/>
  <c r="J77" i="10" s="1"/>
  <c r="A77" i="13"/>
  <c r="N75" i="12" a="1"/>
  <c r="N75" i="12" s="1"/>
  <c r="D74" i="10" a="1"/>
  <c r="D74" i="10" s="1"/>
  <c r="B77" i="13" l="1"/>
  <c r="D77" i="13" a="1"/>
  <c r="D77" i="13" s="1"/>
  <c r="J78" i="10" s="1" a="1"/>
  <c r="J78" i="10" s="1"/>
  <c r="A78" i="13"/>
  <c r="N76" i="12" a="1"/>
  <c r="N76" i="12" s="1"/>
  <c r="D77" i="10" a="1"/>
  <c r="D77" i="10" s="1"/>
  <c r="B78" i="13" l="1"/>
  <c r="D78" i="13" a="1"/>
  <c r="D78" i="13" s="1"/>
  <c r="J79" i="10" s="1" a="1"/>
  <c r="J79" i="10" s="1"/>
  <c r="A79" i="13"/>
  <c r="N77" i="12" a="1"/>
  <c r="N77" i="12" s="1"/>
  <c r="D78" i="10" a="1"/>
  <c r="D78" i="10" s="1"/>
  <c r="D79" i="13" l="1" a="1"/>
  <c r="D79" i="13" s="1"/>
  <c r="J80" i="10" s="1" a="1"/>
  <c r="J80" i="10" s="1"/>
  <c r="B79" i="13"/>
  <c r="A80" i="13"/>
  <c r="N78" i="12" a="1"/>
  <c r="N78" i="12" s="1"/>
  <c r="D79" i="10" a="1"/>
  <c r="D79" i="10" s="1"/>
  <c r="D80" i="13" l="1" a="1"/>
  <c r="D80" i="13" s="1"/>
  <c r="J81" i="10" s="1" a="1"/>
  <c r="J81" i="10" s="1"/>
  <c r="B80" i="13"/>
  <c r="N79" i="12" a="1"/>
  <c r="N79" i="12" s="1"/>
  <c r="D80" i="10" a="1"/>
  <c r="D80" i="10" s="1"/>
  <c r="N80" i="12" l="1" a="1"/>
  <c r="N80" i="12" s="1"/>
  <c r="D81" i="10" a="1"/>
  <c r="D81" i="10" s="1"/>
</calcChain>
</file>

<file path=xl/sharedStrings.xml><?xml version="1.0" encoding="utf-8"?>
<sst xmlns="http://schemas.openxmlformats.org/spreadsheetml/2006/main" count="25285" uniqueCount="4803">
  <si>
    <t>CoQ Analysis Master — v13</t>
  </si>
  <si>
    <t>What it is</t>
  </si>
  <si>
    <t>CU Batch</t>
  </si>
  <si>
    <t>Tranche</t>
  </si>
  <si>
    <t>Built 07.09.2026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</si>
  <si>
    <t>SHEETS</t>
  </si>
  <si>
    <t>P Batch</t>
  </si>
  <si>
    <t>Strain</t>
  </si>
  <si>
    <t>Status</t>
  </si>
  <si>
    <t>Delivered</t>
  </si>
  <si>
    <t>1 Identification A — Appearance</t>
  </si>
  <si>
    <t>Read Me</t>
  </si>
  <si>
    <t>Batch (as delivered)</t>
  </si>
  <si>
    <t>2 Identification B — Microscopy</t>
  </si>
  <si>
    <t>This sheet.</t>
  </si>
  <si>
    <t>Batch Coverage</t>
  </si>
  <si>
    <t>One row per lot: ✓/✗ for each of the 12 parameters, the missing list, the number of certificates and the laboratories present. A grey ✓ is covered by the in-house iCoA.</t>
  </si>
  <si>
    <t>3 Identification C — HPLC</t>
  </si>
  <si>
    <t>Delivery T1–T3</t>
  </si>
  <si>
    <t>The 78 cultivation batches delivered in the three tranches of 31.07, 14.08 and 28.08.2026, each against its row on Batch Coverage: the P lot, the CoQ status, what is missing, and the potency the batch was delivered under beside the potency its own certificate reports.</t>
  </si>
  <si>
    <t>kg</t>
  </si>
  <si>
    <t>ImB Register</t>
  </si>
  <si>
    <t>4 Assay — Total Δ⁹-THC</t>
  </si>
  <si>
    <t>The customer's certificate register, scanned 04.09.2026: 43 certificates for the earliest production, each against its desk lot — the strain as printed and as ruled, the manufacturing and retest dates, and the four lots the register skips inside the span it covers.</t>
  </si>
  <si>
    <t>CoQ Parameter Tracker v13</t>
  </si>
  <si>
    <t>Bracket</t>
  </si>
  <si>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</si>
  <si>
    <t>5 Assay — Total CBD</t>
  </si>
  <si>
    <t>Mikro CoQ Parameter</t>
  </si>
  <si>
    <t>The owner's microbiology sheet, rebuilt from the tracker: the #7–#12 spans per lot in the owner's layout.</t>
  </si>
  <si>
    <t>Declared</t>
  </si>
  <si>
    <t>Credit Audit</t>
  </si>
  <si>
    <t>6 Total CBN</t>
  </si>
  <si>
    <t>Certificates credited on the owner's tracker that the desk holds no value from, with the reason.</t>
  </si>
  <si>
    <t>P lot</t>
  </si>
  <si>
    <t>Credit Corrections</t>
  </si>
  <si>
    <t>The two corrections applied to the owner's credits (the Farmahem pair, CNP identification B), one row each; nothing written back to the owner's workbook.</t>
  </si>
  <si>
    <t>7 Foreign Matter</t>
  </si>
  <si>
    <t>Desk lot</t>
  </si>
  <si>
    <t>Work Order</t>
  </si>
  <si>
    <t>CoQ status</t>
  </si>
  <si>
    <t>8 Loss on Drying</t>
  </si>
  <si>
    <t>What a person must do next: certificates to ingest, values to read on the page, lots to record.</t>
  </si>
  <si>
    <t>Missing</t>
  </si>
  <si>
    <t>Batch</t>
  </si>
  <si>
    <t>9 Microbiological Purity</t>
  </si>
  <si>
    <t>iCoA Issuance</t>
  </si>
  <si>
    <t>Total THC on the eCoA</t>
  </si>
  <si>
    <t>One row per P lot and series (initial release, retest): what its iCoA carries, the CNP references, the cannabinoid-assay eCoA that covers identification C, the codes and planned dates looked up on the registers.</t>
  </si>
  <si>
    <t>10 Mycotoxins</t>
  </si>
  <si>
    <t>Retest</t>
  </si>
  <si>
    <t>Certificate</t>
  </si>
  <si>
    <t>Batch Dates</t>
  </si>
  <si>
    <t>11 Heavy Metals</t>
  </si>
  <si>
    <t>The Head of QC's harvest and packaging dates per batch (04.09.2026), as dates; the registers look their packaging dates up here.</t>
  </si>
  <si>
    <t>Δ</t>
  </si>
  <si>
    <t>iCoA Register</t>
  </si>
  <si>
    <t>12 Pesticide Residues</t>
  </si>
  <si>
    <t>Ready to issue</t>
  </si>
  <si>
    <t>The preliminary iCoA issuance register: iCoA-PP_26-nnn in the order of issue, number, code and dates as formulas.</t>
  </si>
  <si>
    <t>Note</t>
  </si>
  <si>
    <t>Missing (n)</t>
  </si>
  <si>
    <t>CoQ Register</t>
  </si>
  <si>
    <t>Missing parameters</t>
  </si>
  <si>
    <t>Certificates (n)</t>
  </si>
  <si>
    <t>The preliminary CoQ issuance register: CoQ-PP_26-nnn in the order of issue, the latest eCoA each CoQ cites, its iCoA, the adherence flags under the table.</t>
  </si>
  <si>
    <t>Parameters</t>
  </si>
  <si>
    <t>Labs present</t>
  </si>
  <si>
    <t>The 21 determinations with method, global acceptance criterion, source and tracker columns.</t>
  </si>
  <si>
    <t>Summary Dashboard</t>
  </si>
  <si>
    <t>Counts recomputed from Batch Coverage: lots, documents, complete / partial / incomplete, missing-parameter frequency.</t>
  </si>
  <si>
    <t>BG1024</t>
  </si>
  <si>
    <t>31.07.2026</t>
  </si>
  <si>
    <t>Blue Gelato</t>
  </si>
  <si>
    <t>— not assigned —</t>
  </si>
  <si>
    <t>Cap Junky</t>
  </si>
  <si>
    <t>✓ COMPLETE</t>
  </si>
  <si>
    <t>19–22%</t>
  </si>
  <si>
    <t>P060022</t>
  </si>
  <si>
    <t>✓</t>
  </si>
  <si>
    <t>LEGEND (tracker and coverage)</t>
  </si>
  <si>
    <t>✓ green</t>
  </si>
  <si>
    <t>CJ082501/1</t>
  </si>
  <si>
    <t>A certificate is on file and its value is on the desk: an outsourced certificate (eCoA) or the in-house iCoA.</t>
  </si>
  <si>
    <t>✓ grey</t>
  </si>
  <si>
    <t>Covered by the in-house iCoA only (identification A, identification B, foreign matter, tested at Purely Plant at packaging): coverage for the release CoQ (Head of QC, 04.09.2026).</t>
  </si>
  <si>
    <t>—</t>
  </si>
  <si>
    <t>✓ orange</t>
  </si>
  <si>
    <t>Stability-timepoint certificate — its value is not a release result.</t>
  </si>
  <si>
    <t>✗ amber</t>
  </si>
  <si>
    <t>Certificate credited on the tracker, but the desk holds no value for this determination from it — the determination is not on that certificate, or the certificate never entered the record.</t>
  </si>
  <si>
    <t>✗ red</t>
  </si>
  <si>
    <t>No certificate credited for the parameter.</t>
  </si>
  <si>
    <t>•</t>
  </si>
  <si>
    <t>A document on file that is not credited for the parameter (an old in-house Report of Analysis, an NGP form, the QCCoA 001 certificate): shown, not coverage.</t>
  </si>
  <si>
    <t>Conforms (ImB spec.)</t>
  </si>
  <si>
    <t>Identification C: conforms to the ImB specification on the certificate that carries the cannabinoid assay; the CoQ cites that eCoA (Head of QC, 04.09.2026).</t>
  </si>
  <si>
    <t>Red result</t>
  </si>
  <si>
    <t>Out of specification against the global acceptance criterion (row 3). Orange: undetermined (a Ph. Eur. band the result sits in).</t>
  </si>
  <si>
    <t>CONVENTIONS</t>
  </si>
  <si>
    <t>Batch names</t>
  </si>
  <si>
    <t>CU batch as the owner names it; a sub-lot digit belongs to the batch (FB012601_1), never to the certificate code; an asterisk (JD112501＊) marks a lot of its own. The laboratory prints the zero of a P-number as a letter O (PO60052); it is folded to P060052.</t>
  </si>
  <si>
    <t>Certificate codes</t>
  </si>
  <si>
    <t>Orange Punch Mimosa</t>
  </si>
  <si>
    <t>As printed on the certificate (Cyrillic ППК codes kept). [Lab]: CNP (Faculty of Pharmacy, Center for Natural Products), IJZ-MB / IPH (Institute of Public Health), FHM-K / FHM-M (Farmahem), PP (Purely Plant, in-house).</t>
  </si>
  <si>
    <t>ППК25050</t>
  </si>
  <si>
    <t>Dates</t>
  </si>
  <si>
    <t>DD.MM.YYYY. The Batch Dates and register sheets hold real dates; the tracker prints them as text inside the reference.</t>
  </si>
  <si>
    <t>Results</t>
  </si>
  <si>
    <t>P060042</t>
  </si>
  <si>
    <t>Numeric results with the certificate's printed precision; qualitative results as text (Conforms, absent, &lt;LOQ, ND). A microbiological range (&lt; 10³ и &gt; 10²) is judged by its upper bound.</t>
  </si>
  <si>
    <t>OOS check</t>
  </si>
  <si>
    <t>yes — all 12 determinations covered</t>
  </si>
  <si>
    <t>A result is flagged only when it provably exceeds its criterion; ND, &lt;LOQ, &lt;10 and absent pass; a value that cannot be parsed is never flagged.</t>
  </si>
  <si>
    <t>Formulas</t>
  </si>
  <si>
    <t>On the two registers the number, the code and the dates are formulas, and the iCoA Issuance sheet and the tracker's in-house cells look the registers up by key: insert a row and every code beneath moves by one.</t>
  </si>
  <si>
    <t>OPM092501</t>
  </si>
  <si>
    <t>Print</t>
  </si>
  <si>
    <t>Every sheet: landscape, A3, one page wide, the header rows repeated; panes frozen under the header.</t>
  </si>
  <si>
    <t>Do not</t>
  </si>
  <si>
    <t>read counts from the eCOA_DB text layer. On five of six certificates checked it read the exponent or a digit too low, every time in the direction of a conforming result.</t>
  </si>
  <si>
    <t>RULINGS IN FORCE (Head of QC)</t>
  </si>
  <si>
    <t>04.09.2026 · iCoA</t>
  </si>
  <si>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</si>
  <si>
    <t>04.09.2026 · Ident C</t>
  </si>
  <si>
    <t>BSS1024</t>
  </si>
  <si>
    <t>Identification C is 'Conforms', referenced to the eCoA that covers Total THC (the cannabinoid assay); for a Farmahem lot the K certificate.</t>
  </si>
  <si>
    <t>P060072</t>
  </si>
  <si>
    <t>04.09.2026 · decisions</t>
  </si>
  <si>
    <t>Blue Sunset Sherbet</t>
  </si>
  <si>
    <t>The two bile-tolerant gram-negative rows the reads disagreed on: P060262 &lt; 10³ и &gt; 10² CFU/g, P060432 &lt; 10² и &gt; 10 CFU/g (decisions_2026-09-04.tsv).</t>
  </si>
  <si>
    <t>05.09.2026 · issuance</t>
  </si>
  <si>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</si>
  <si>
    <t>[CNP] 1; [FHM-K] 1; [FHM-M] 1; [IJZ] 1; [IJZ-MB] 1; [PP] 1</t>
  </si>
  <si>
    <t>05.09.2026 · retest</t>
  </si>
  <si>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</si>
  <si>
    <t>05.09.2026 · missing</t>
  </si>
  <si>
    <t>CJ092501</t>
  </si>
  <si>
    <t>A production lot whose initial certificate for a determination is not on file keeps its planned CoQ and number: the initial testing exists at CNP (microbiology: IJZ) and the certificate is to be located (Work Order).</t>
  </si>
  <si>
    <t>VERSION HISTORY</t>
  </si>
  <si>
    <t>v7</t>
  </si>
  <si>
    <t>The two-row block tracker: one lot per block, certificates stacked in date order, sub-determinations in their own columns, acceptance criteria in row 3 and enforced, out-of-specification results in red and named in STATUS.</t>
  </si>
  <si>
    <t>v9</t>
  </si>
  <si>
    <t>Verified and slimmed to live in Drive: every decision-bearing value checked against the filed page (review/V8_TRUTH_CHECK_2026-09-02.md); three sheets of v8 (a flat results register, a flat tracker, a document index) were retired to the repository.</t>
  </si>
  <si>
    <t>v10</t>
  </si>
  <si>
    <t>The 30 IJZ-MB certificates of 31.08 and 01.09.2026 as testing instances credited to #9; the iCoA rule; the Head of QC's harvest and packaging dates (Batch Dates); one iCoA per P lot; the iCoA Issuance sheet.</t>
  </si>
  <si>
    <t>v11</t>
  </si>
  <si>
    <t>Sleepy Joy</t>
  </si>
  <si>
    <t>The iCoA Register and the CoQ Register (formula-driven); the ruling of 05.09.2026 on the legacy and post-SOP series; the retest campaign kept off the initial CoQs; the owner's edits to the Drive copies (row 4, result sizes, lot borders); one coverage row per lot.</t>
  </si>
  <si>
    <t>P060082</t>
  </si>
  <si>
    <t>ППК25051</t>
  </si>
  <si>
    <t>SJ0925021</t>
  </si>
  <si>
    <t>Apple and Banana</t>
  </si>
  <si>
    <t>P060052</t>
  </si>
  <si>
    <t>AB092501</t>
  </si>
  <si>
    <t>CC012601/1</t>
  </si>
  <si>
    <t>CashCow</t>
  </si>
  <si>
    <t>13–16%</t>
  </si>
  <si>
    <t>Permanent Market</t>
  </si>
  <si>
    <t>P060332</t>
  </si>
  <si>
    <t>P060062</t>
  </si>
  <si>
    <t>CC112501</t>
  </si>
  <si>
    <t>P060272</t>
  </si>
  <si>
    <t>❌ 4 MISSING</t>
  </si>
  <si>
    <t>#8 LoD; #9 Microbiology; #11 Heavy metals; #12 Pesticides</t>
  </si>
  <si>
    <t>PM092501</t>
  </si>
  <si>
    <t>— none on the desk —</t>
  </si>
  <si>
    <t>Wedding Crasher</t>
  </si>
  <si>
    <t>no — 4 missing</t>
  </si>
  <si>
    <t>P060012</t>
  </si>
  <si>
    <t>WC082501</t>
  </si>
  <si>
    <t>CJ052501/01</t>
  </si>
  <si>
    <t>[CNP] 1; [IJZ] 1; [IJZ-MB] 2; [PP] 1</t>
  </si>
  <si>
    <t>CJ1024</t>
  </si>
  <si>
    <t>P060032</t>
  </si>
  <si>
    <t>P050162</t>
  </si>
  <si>
    <t>CJ082501/2</t>
  </si>
  <si>
    <t>None</t>
  </si>
  <si>
    <t>Grape Pie</t>
  </si>
  <si>
    <t>P060092</t>
  </si>
  <si>
    <t>GP092501</t>
  </si>
  <si>
    <t>FB012601_1</t>
  </si>
  <si>
    <t>P060322</t>
  </si>
  <si>
    <t>Fat Bastard</t>
  </si>
  <si>
    <t>CJ062501/2</t>
  </si>
  <si>
    <t>P050222</t>
  </si>
  <si>
    <t>16–19%</t>
  </si>
  <si>
    <t>CJ062501/1</t>
  </si>
  <si>
    <t>P050212</t>
  </si>
  <si>
    <t>P050252</t>
  </si>
  <si>
    <t>CJ072501</t>
  </si>
  <si>
    <t>ППК25322</t>
  </si>
  <si>
    <t>[CNP] 1; [IJZ] 1; [IJZ-MB] 1; [PP] 1</t>
  </si>
  <si>
    <t>FB012603</t>
  </si>
  <si>
    <t>P060432</t>
  </si>
  <si>
    <t>⚠ 3 MISSING</t>
  </si>
  <si>
    <t>P050262</t>
  </si>
  <si>
    <t>WC072501</t>
  </si>
  <si>
    <t>✗</t>
  </si>
  <si>
    <t>P050152</t>
  </si>
  <si>
    <t>#10 Mycotoxins; #11 Heavy metals; #12 Pesticides</t>
  </si>
  <si>
    <t>ППК26003</t>
  </si>
  <si>
    <t>GP052501</t>
  </si>
  <si>
    <t>[CNP] 1; [IJZ-MB] 1</t>
  </si>
  <si>
    <t>FB012603V</t>
  </si>
  <si>
    <t>P060392</t>
  </si>
  <si>
    <t>Cap Junkie</t>
  </si>
  <si>
    <t>FB012602</t>
  </si>
  <si>
    <t>P060352</t>
  </si>
  <si>
    <t>FB012602* (the desk writes it FB012602*)</t>
  </si>
  <si>
    <t>Clemosa a Bud</t>
  </si>
  <si>
    <t>P050282</t>
  </si>
  <si>
    <t>CLE072501</t>
  </si>
  <si>
    <t>FB032601</t>
  </si>
  <si>
    <t>P060452</t>
  </si>
  <si>
    <t>GG012603</t>
  </si>
  <si>
    <t>GG4</t>
  </si>
  <si>
    <t>P050272</t>
  </si>
  <si>
    <t>P060402</t>
  </si>
  <si>
    <t>PM072501</t>
  </si>
  <si>
    <t>⚠ 1 MISSING</t>
  </si>
  <si>
    <t>#9 Microbiology; #11 Heavy metals; #12 Pesticides</t>
  </si>
  <si>
    <t>Motor Breath</t>
  </si>
  <si>
    <t>P050112</t>
  </si>
  <si>
    <t>#9 Microbiology; #10 Mycotoxins; #11 Heavy metals; #12 Pesticides</t>
  </si>
  <si>
    <t>ППК26114</t>
  </si>
  <si>
    <t>[CNP] 1</t>
  </si>
  <si>
    <t>MB0824_05</t>
  </si>
  <si>
    <t>FB112501</t>
  </si>
  <si>
    <t>P060292</t>
  </si>
  <si>
    <t>no — 3 missing  |  POTENCY: the certificate reads 17.59 %, outside the 13–16% it was delivered under</t>
  </si>
  <si>
    <t>P050132</t>
  </si>
  <si>
    <t>GG1024_01</t>
  </si>
  <si>
    <t>OPM052501</t>
  </si>
  <si>
    <t>Gorilla Glue</t>
  </si>
  <si>
    <t>P050082</t>
  </si>
  <si>
    <t>P050092</t>
  </si>
  <si>
    <t>OPM1024_03</t>
  </si>
  <si>
    <t>ППК25104</t>
  </si>
  <si>
    <t>P050172</t>
  </si>
  <si>
    <t>CJ052501/02</t>
  </si>
  <si>
    <t>GG012601＊</t>
  </si>
  <si>
    <t>P060302</t>
  </si>
  <si>
    <t>P050312</t>
  </si>
  <si>
    <t>GP082501/1</t>
  </si>
  <si>
    <t>ППК25279</t>
  </si>
  <si>
    <t>P050322</t>
  </si>
  <si>
    <t>GP0824_02</t>
  </si>
  <si>
    <t>GP082501/2</t>
  </si>
  <si>
    <t>22–25%</t>
  </si>
  <si>
    <t>P050022</t>
  </si>
  <si>
    <t>ППК25139</t>
  </si>
  <si>
    <t>P050302</t>
  </si>
  <si>
    <t>GP072501/2</t>
  </si>
  <si>
    <t>P050292</t>
  </si>
  <si>
    <t>[CNP] 1; [FHM-K] 1; [FHM-M] 1</t>
  </si>
  <si>
    <t>ППК25381</t>
  </si>
  <si>
    <t>GG032601</t>
  </si>
  <si>
    <t>P060462</t>
  </si>
  <si>
    <t>GP072501/1</t>
  </si>
  <si>
    <t>HPA1024</t>
  </si>
  <si>
    <t>High Pro Amnesia</t>
  </si>
  <si>
    <t>P050192</t>
  </si>
  <si>
    <t>BSS052501</t>
  </si>
  <si>
    <t>⚠ 2 MISSING</t>
  </si>
  <si>
    <t>GG1024</t>
  </si>
  <si>
    <t>Cup Junkie</t>
  </si>
  <si>
    <t>HPA1024_01</t>
  </si>
  <si>
    <t>❌ 9 MISSING</t>
  </si>
  <si>
    <t>P050052</t>
  </si>
  <si>
    <t>P050182</t>
  </si>
  <si>
    <t>#3 Ident. C; #4 Δ⁹-THC; #5 CBD; #6 CBN; #8 LoD; #9 Microbiology; #10 Mycotoxins; #11 Heavy metals; #12 Pesticides</t>
  </si>
  <si>
    <t>[PP] 2</t>
  </si>
  <si>
    <t>HPA052501</t>
  </si>
  <si>
    <t>GG112501</t>
  </si>
  <si>
    <t>P060252</t>
  </si>
  <si>
    <t>J31102501</t>
  </si>
  <si>
    <t>Jokerz 31</t>
  </si>
  <si>
    <t>P050122</t>
  </si>
  <si>
    <t>P060152</t>
  </si>
  <si>
    <t>BSS1024_01/1</t>
  </si>
  <si>
    <t>051-1-К/26</t>
  </si>
  <si>
    <t>no — 3 missing</t>
  </si>
  <si>
    <t>GRC102501</t>
  </si>
  <si>
    <t>JD112501</t>
  </si>
  <si>
    <t>P060142 / P060182</t>
  </si>
  <si>
    <t>Jelly Donuts</t>
  </si>
  <si>
    <t>P060212</t>
  </si>
  <si>
    <t>P050102</t>
  </si>
  <si>
    <t>GP0824_01</t>
  </si>
  <si>
    <t>ППК26063</t>
  </si>
  <si>
    <t>OPM1024</t>
  </si>
  <si>
    <t>P050072</t>
  </si>
  <si>
    <t>GP0824_03</t>
  </si>
  <si>
    <t>[FHM-K] 2; [IJZ-MB] 1; [PP] 2</t>
  </si>
  <si>
    <t>P050062</t>
  </si>
  <si>
    <t>OPM1024_02</t>
  </si>
  <si>
    <t>ППК25154</t>
  </si>
  <si>
    <t>[FHM-K] 1; [FHM-M] 1; [PP] 2</t>
  </si>
  <si>
    <t>OPM122501</t>
  </si>
  <si>
    <t>10–13%</t>
  </si>
  <si>
    <t>P060242</t>
  </si>
  <si>
    <t>P050042</t>
  </si>
  <si>
    <t>100-4-К/26</t>
  </si>
  <si>
    <t>OMP1024_01</t>
  </si>
  <si>
    <t>yes — all 12 determinations covered  |  POTENCY: the certificate reads 8.09 %, outside the 10–13% it was delivered under</t>
  </si>
  <si>
    <t>P050032</t>
  </si>
  <si>
    <t>Permanent Marker</t>
  </si>
  <si>
    <t>[FHM-K] 3; [FHM-M] 1; [PP] 1</t>
  </si>
  <si>
    <t>MB0824_04</t>
  </si>
  <si>
    <t>J31112501</t>
  </si>
  <si>
    <t>P060202</t>
  </si>
  <si>
    <t>P050012</t>
  </si>
  <si>
    <t>GG1024_02</t>
  </si>
  <si>
    <t>SCR012603</t>
  </si>
  <si>
    <t>Scrambler</t>
  </si>
  <si>
    <t>[FHM-K] 6; [IJZ-MB] 1; [PP] 1</t>
  </si>
  <si>
    <t>P060382</t>
  </si>
  <si>
    <t>J31122501</t>
  </si>
  <si>
    <t>P060262</t>
  </si>
  <si>
    <t>14.08.2026</t>
  </si>
  <si>
    <t>ACC102501</t>
  </si>
  <si>
    <t>Amnesia Core Cut</t>
  </si>
  <si>
    <t>P060122</t>
  </si>
  <si>
    <t>— NO RECORD —</t>
  </si>
  <si>
    <t>no lot on the tracker for this batch</t>
  </si>
  <si>
    <t>#8 LoD</t>
  </si>
  <si>
    <t>[FHM-K] 2; [IJZ] 2; [IJZ-MB] 3; [PP] 1</t>
  </si>
  <si>
    <t>NO — nothing on file for a batch that has been delivered</t>
  </si>
  <si>
    <t>JD012601＊</t>
  </si>
  <si>
    <t>P060312</t>
  </si>
  <si>
    <t>Jelly Donutz</t>
  </si>
  <si>
    <t>#6 CBN; #8 LoD</t>
  </si>
  <si>
    <t>2025/</t>
  </si>
  <si>
    <t>no — 2 missing</t>
  </si>
  <si>
    <t>CC012603</t>
  </si>
  <si>
    <t>JD012603</t>
  </si>
  <si>
    <t>P060362 / P060412 / P060422</t>
  </si>
  <si>
    <t>P060372</t>
  </si>
  <si>
    <t>CF102501</t>
  </si>
  <si>
    <t>Chem Flyer</t>
  </si>
  <si>
    <t>7–10%</t>
  </si>
  <si>
    <t>P060132</t>
  </si>
  <si>
    <t>[CNP] 2</t>
  </si>
  <si>
    <t>JD022601</t>
  </si>
  <si>
    <t>P060482</t>
  </si>
  <si>
    <t>JellyDonutz</t>
  </si>
  <si>
    <t>ППК25321</t>
  </si>
  <si>
    <t>ППК26002</t>
  </si>
  <si>
    <t>JD112501＊</t>
  </si>
  <si>
    <t>BATCH IDENTIFICATION</t>
  </si>
  <si>
    <t>ППК26007</t>
  </si>
  <si>
    <t>IDENTIFICATION  1–3</t>
  </si>
  <si>
    <t>Clemosa</t>
  </si>
  <si>
    <t>CANNABINOID ASSAY  4–6</t>
  </si>
  <si>
    <t>KC102501</t>
  </si>
  <si>
    <t>PHYSICAL  7–8</t>
  </si>
  <si>
    <t>P060172</t>
  </si>
  <si>
    <t>ППК25370</t>
  </si>
  <si>
    <t>Kush Crasher</t>
  </si>
  <si>
    <t>MICROBIOLOGY  9</t>
  </si>
  <si>
    <t>CONTAMINANTS  10–12</t>
  </si>
  <si>
    <t>FB012601/1</t>
  </si>
  <si>
    <t>STATUS</t>
  </si>
  <si>
    <t>#1 Identification A
Appearance · Ph. Eur. mon. 3028</t>
  </si>
  <si>
    <t>ППК26067</t>
  </si>
  <si>
    <t>#2 Identification B
Microscopy · Ph. Eur. 2.8.23</t>
  </si>
  <si>
    <t>#3 Identification C
HPLC · Ph. Eur. 2.2.29</t>
  </si>
  <si>
    <t>[FHM-K] 2; [PP] 1</t>
  </si>
  <si>
    <t>#4 Assay — Total Δ⁹-THC*
Ph. Eur. 2.2.29 (HPLC)</t>
  </si>
  <si>
    <t>#5 Assay — Total CBD
Ph. Eur. 2.2.29 · CBD + CBDA×0.877</t>
  </si>
  <si>
    <t>#6 Total CBN
Ph. Eur. 2.2.29 · CBN + CBNA×0.876</t>
  </si>
  <si>
    <t>#7 Foreign Matter
Ph. Eur. 2.8.2 / in-house</t>
  </si>
  <si>
    <t>#8 Loss on Drying
Ph. Eur. 2.2.32 · 40 °C, 24 h, 15–25 mbar</t>
  </si>
  <si>
    <t>#9 Microbiological Purity
Ph. Eur. 2.6.12 / 2.6.13 / 2.6.31 · cat. C</t>
  </si>
  <si>
    <t>no — 9 missing</t>
  </si>
  <si>
    <t>#10 Mycotoxins
Ph. Eur. 2.8.18 / 2.8.22 (HPLC-FLD)</t>
  </si>
  <si>
    <t>#11 Heavy Metals
Ph. Eur. 2.4.27 (ICP-MS)</t>
  </si>
  <si>
    <t>#12 Pesticide Residues
Ph. Eur. 2.8.13 (LC-MS/MS) · CUMCS equivalency</t>
  </si>
  <si>
    <t>OPM112501</t>
  </si>
  <si>
    <t>P060222</t>
  </si>
  <si>
    <t>A.C.: Conforms to Ph. Eur. monograph 3028 (Cannabis flos)</t>
  </si>
  <si>
    <t>ППК25379</t>
  </si>
  <si>
    <t>A.C.: Per target grade (CoQ §01)</t>
  </si>
  <si>
    <t>≥ 25%</t>
  </si>
  <si>
    <t>A.C.: ≤ 1.0 % w/w</t>
  </si>
  <si>
    <t>#6 CBN; #10 Mycotoxins; #11 Heavy metals; #12 Pesticides</t>
  </si>
  <si>
    <t>[CNP] 1; [IJZ-MB] 1; [PP] 1</t>
  </si>
  <si>
    <t>A.C.: ≤ 2.0 % (25–50 g); leaves &lt; 1 cm; no seeds</t>
  </si>
  <si>
    <t>ППК25175</t>
  </si>
  <si>
    <t>A.C.: ≤ 12.0 %</t>
  </si>
  <si>
    <t>A.C.: ≤ 10⁵ CFU/g</t>
  </si>
  <si>
    <t>A.C.: ≤ 10⁴ CFU/g</t>
  </si>
  <si>
    <t>A.C.: Absence / 25 g</t>
  </si>
  <si>
    <t>A.C.: Absence / 1 g</t>
  </si>
  <si>
    <t>A.C.: ≤ 2 µg/kg</t>
  </si>
  <si>
    <t>A.C.: ≤ 4 µg/kg</t>
  </si>
  <si>
    <t>A.C.: ≤ 20 µg/kg</t>
  </si>
  <si>
    <t>A.C.: ≤ 0.5 mg/kg</t>
  </si>
  <si>
    <t>A.C.: ≤ 0.3 mg/kg</t>
  </si>
  <si>
    <t>A.C.: ≤ 0.2 mg/kg</t>
  </si>
  <si>
    <t>A.C.: ≤ 0.1 mg/kg</t>
  </si>
  <si>
    <t>A.C.: ≤ LOQ (Ph. Eur. 2.8.13 / CUMCS equivalency)</t>
  </si>
  <si>
    <t>ППК25380</t>
  </si>
  <si>
    <t>[FHM-K] 3; [FHM-M] 1; [IJZ] 1; [IJZ-MB] 1; [PP] 1</t>
  </si>
  <si>
    <t>Result</t>
  </si>
  <si>
    <t xml:space="preserve">[eCOA code],[date],[Lab] </t>
  </si>
  <si>
    <t>✓   ✗</t>
  </si>
  <si>
    <t>ППК26009</t>
  </si>
  <si>
    <t>GRC102501/2</t>
  </si>
  <si>
    <t>Grapes and Cream</t>
  </si>
  <si>
    <t>TAMC</t>
  </si>
  <si>
    <t>TYMC</t>
  </si>
  <si>
    <t>GNB</t>
  </si>
  <si>
    <t>Salm.</t>
  </si>
  <si>
    <t>E. coli</t>
  </si>
  <si>
    <t>P060182</t>
  </si>
  <si>
    <t>AfB₁</t>
  </si>
  <si>
    <t>GRC102501 (through its P lot; the desk row is the roll-up GRC102501)</t>
  </si>
  <si>
    <t>ΣAf</t>
  </si>
  <si>
    <t>OTA</t>
  </si>
  <si>
    <t>Pb</t>
  </si>
  <si>
    <t>Cd</t>
  </si>
  <si>
    <t>As</t>
  </si>
  <si>
    <t>Hg</t>
  </si>
  <si>
    <t>N/A — no P batch assigned</t>
  </si>
  <si>
    <t>✓ COMPLETE
2 testing instances
• 2 document(s) on file, not credited</t>
  </si>
  <si>
    <t>[CNP] 5; [FHM-K] 1; [FHM-M] 1; [IJZ] 2; [IJZ-MB] 2; [PP] 1</t>
  </si>
  <si>
    <t>Conforms</t>
  </si>
  <si>
    <t>ППК25278</t>
  </si>
  <si>
    <t>JD012603/01</t>
  </si>
  <si>
    <t>P060362</t>
  </si>
  <si>
    <t>#6 CBN</t>
  </si>
  <si>
    <t>JD012603 (through its P lot; the desk row is the roll-up JD012603)</t>
  </si>
  <si>
    <t>not on this certificate</t>
  </si>
  <si>
    <t>ППК25050, (26.02.2025) [CNP] · on file, not credited</t>
  </si>
  <si>
    <t>JD012603/02</t>
  </si>
  <si>
    <t>P060412</t>
  </si>
  <si>
    <t>ППК25050, (26.02.2025) [CNP]</t>
  </si>
  <si>
    <t>21.80</t>
  </si>
  <si>
    <t>ППК26113</t>
  </si>
  <si>
    <t>no — 4 missing  |  POTENCY: the certificate reads 20.54 %, outside the 13–16% it was delivered under</t>
  </si>
  <si>
    <t>0.04</t>
  </si>
  <si>
    <t>JD012603/02V</t>
  </si>
  <si>
    <t>0.02 ᴰ</t>
  </si>
  <si>
    <t>P060422</t>
  </si>
  <si>
    <t>ППК26111</t>
  </si>
  <si>
    <t>5.73</t>
  </si>
  <si>
    <t>1.6 x 10⁴</t>
  </si>
  <si>
    <t>1 x 10⁴</t>
  </si>
  <si>
    <t>&lt;10² и &gt;10</t>
  </si>
  <si>
    <t>Одговара</t>
  </si>
  <si>
    <t>n.r.</t>
  </si>
  <si>
    <t>&lt;2</t>
  </si>
  <si>
    <t>0.01</t>
  </si>
  <si>
    <t>0.016</t>
  </si>
  <si>
    <t>0.014</t>
  </si>
  <si>
    <t>051-4-К/26</t>
  </si>
  <si>
    <t>0.005</t>
  </si>
  <si>
    <t>≤ LOQ (all 29 compounds)</t>
  </si>
  <si>
    <t>752-2025, (27.02.2025) [IJZ]</t>
  </si>
  <si>
    <t>163-0271-25, (24.02.2025) [IJZ-MB]</t>
  </si>
  <si>
    <t>[CNP] 4; [IJZ] 1; [IJZ-MB] 1; [PP] 1</t>
  </si>
  <si>
    <t>Conforms (ImB spec.) ᴿ</t>
  </si>
  <si>
    <t>197-1-K-26, (07.08.2026) [FHM-K]</t>
  </si>
  <si>
    <t>26.14</t>
  </si>
  <si>
    <t>ППК26008</t>
  </si>
  <si>
    <t>&lt; LOQ</t>
  </si>
  <si>
    <t>0.28</t>
  </si>
  <si>
    <t>197-1-K-26, (07.08.2026) [FHM-K] · on file, not credited</t>
  </si>
  <si>
    <t>ППК25210</t>
  </si>
  <si>
    <t>PM112501</t>
  </si>
  <si>
    <t>ND</t>
  </si>
  <si>
    <t>ND ᴿ</t>
  </si>
  <si>
    <t>P060232</t>
  </si>
  <si>
    <t>ППК26030</t>
  </si>
  <si>
    <t>PUM102501</t>
  </si>
  <si>
    <t>Pure Michigen</t>
  </si>
  <si>
    <t>[CNP] 1; [IJZ] 1; [IJZ-MB] 3; [PP] 1</t>
  </si>
  <si>
    <t>P060112</t>
  </si>
  <si>
    <t>197-1-M-26, (10.08.2026) [FHM-M]</t>
  </si>
  <si>
    <t>SCR112501</t>
  </si>
  <si>
    <t>P060282</t>
  </si>
  <si>
    <t>ППК26069</t>
  </si>
  <si>
    <t>SJ092501</t>
  </si>
  <si>
    <t>Sleepy Joe</t>
  </si>
  <si>
    <t>SJ0925021 (through the certificates that print this batch (85/2026, 9/0012/26, ППК26006); the desk names the lot SJ0925021)</t>
  </si>
  <si>
    <t>ППК25051, (26.02.2025) [CNP] · on file, not credited</t>
  </si>
  <si>
    <t>ППК26006</t>
  </si>
  <si>
    <t>ППК25051, (26.02.2025) [CNP]</t>
  </si>
  <si>
    <t>21.03</t>
  </si>
  <si>
    <t>Wedding Crusher</t>
  </si>
  <si>
    <t>ППК26001</t>
  </si>
  <si>
    <t>28.08.2026</t>
  </si>
  <si>
    <t>Appels &amp; Bananas</t>
  </si>
  <si>
    <t>5.99</t>
  </si>
  <si>
    <t>1.5×10⁴</t>
  </si>
  <si>
    <t>2.2×10³</t>
  </si>
  <si>
    <t>&lt;10^2 и &gt;10</t>
  </si>
  <si>
    <t>ППК26005</t>
  </si>
  <si>
    <t>0.071</t>
  </si>
  <si>
    <t>0.081</t>
  </si>
  <si>
    <t>751-2025, (27.02.2025) [IJZ]</t>
  </si>
  <si>
    <t>161-0269-25, (24.02.2025) [IJZ-MB]</t>
  </si>
  <si>
    <t>ППК26068</t>
  </si>
  <si>
    <t>197-2-K-26, (07.08.2026) [FHM-K]</t>
  </si>
  <si>
    <t>25.01</t>
  </si>
  <si>
    <t>ППК25281</t>
  </si>
  <si>
    <t>197-2-K-26, (07.08.2026) [FHM-K] · on file, not credited</t>
  </si>
  <si>
    <t>ППК25367</t>
  </si>
  <si>
    <t>197-2-M-26, (10.08.2026) [FHM-M]</t>
  </si>
  <si>
    <t>ППК25052</t>
  </si>
  <si>
    <t>✓ COMPLETE
2 testing instances
• 1 document(s) on file, not credited</t>
  </si>
  <si>
    <t>⚠ 3 NO RESULT
(3 no cert / 0 cert w/o result)</t>
  </si>
  <si>
    <t>[DFL] 2; [FHM-M] 1; [IJZ] 1; [IJZ-MB] 2; [NGP] 1; [PP] 1</t>
  </si>
  <si>
    <t>/ (Одговара)</t>
  </si>
  <si>
    <t>GP062501</t>
  </si>
  <si>
    <t>P050202</t>
  </si>
  <si>
    <t>ППК26112</t>
  </si>
  <si>
    <t>ППК26112, (30.06.2026) [CNP]</t>
  </si>
  <si>
    <t>no — 3 missing  |  POTENCY: the certificate reads 20.83 %, outside the 13–16% it was delivered under</t>
  </si>
  <si>
    <t>ППК26068, (11.05.2026) [CNP] · on file, not credited</t>
  </si>
  <si>
    <t>7.04</t>
  </si>
  <si>
    <t>ППК26068, (11.05.2026) [CNP]</t>
  </si>
  <si>
    <t>9.8×10³</t>
  </si>
  <si>
    <t>13.35</t>
  </si>
  <si>
    <t>2.5×10³</t>
  </si>
  <si>
    <t>ППК26110</t>
  </si>
  <si>
    <t>absent</t>
  </si>
  <si>
    <t>no — 3 missing  |  POTENCY: the certificate reads 18.29 %, outside the 13–16% it was delivered under</t>
  </si>
  <si>
    <t>BLQ ᴰ</t>
  </si>
  <si>
    <t>— MISSING —</t>
  </si>
  <si>
    <t>[CNP] 4; [IJZ] 1; [IJZ-MB] 3; [NGP] 1; [PP] 1</t>
  </si>
  <si>
    <t>7.39</t>
  </si>
  <si>
    <t>ППК26066</t>
  </si>
  <si>
    <t>3.8 x 10³</t>
  </si>
  <si>
    <t>2.7 x 10³</t>
  </si>
  <si>
    <t>&lt;10³ и &gt;10²</t>
  </si>
  <si>
    <t>отсуства/25</t>
  </si>
  <si>
    <t>отсуства/g</t>
  </si>
  <si>
    <t>GG012601</t>
  </si>
  <si>
    <t>0.0289</t>
  </si>
  <si>
    <t>0.0119</t>
  </si>
  <si>
    <t>0.0102</t>
  </si>
  <si>
    <t>GG012601＊ (the desk writes it GG012601*)</t>
  </si>
  <si>
    <t>2359-2026, (29.04.2026) [IJZ]</t>
  </si>
  <si>
    <t>ППК26062</t>
  </si>
  <si>
    <t>— no certificate —</t>
  </si>
  <si>
    <t>311-0555-26, (28.04.2026) [IJZ-MB]</t>
  </si>
  <si>
    <t>ППК25140</t>
  </si>
  <si>
    <t>537-1068-26, (31.08.2026) [IJZ-MB]</t>
  </si>
  <si>
    <t>ППК26061</t>
  </si>
  <si>
    <t>1.6×10³</t>
  </si>
  <si>
    <t>1×10³</t>
  </si>
  <si>
    <t>NGP/QCG/SOP-024-Ver02 F3-Ver.02</t>
  </si>
  <si>
    <t>ППК26110, (30.06.2026) [CNP]</t>
  </si>
  <si>
    <t>no — 1 missing</t>
  </si>
  <si>
    <t>6.36</t>
  </si>
  <si>
    <t>543-1074-26, (31.08.2026) [IJZ-MB]</t>
  </si>
  <si>
    <t>2.9×10³</t>
  </si>
  <si>
    <t>ППК25378</t>
  </si>
  <si>
    <t>&lt;10</t>
  </si>
  <si>
    <t>GRC102501/1</t>
  </si>
  <si>
    <t>P060142</t>
  </si>
  <si>
    <t>ППК25052, (26.02.2025) [CNP] · on file, not credited</t>
  </si>
  <si>
    <t>ППК25052, (26.02.2025) [CNP]</t>
  </si>
  <si>
    <t>23.00</t>
  </si>
  <si>
    <t>0.05</t>
  </si>
  <si>
    <t>Clemosa a bud</t>
  </si>
  <si>
    <t>538-1069-26, (31.08.2026) [IJZ-MB]</t>
  </si>
  <si>
    <t>5.91</t>
  </si>
  <si>
    <t>8.4 x 10³</t>
  </si>
  <si>
    <t>JD012601</t>
  </si>
  <si>
    <t>0.036</t>
  </si>
  <si>
    <t>0.013</t>
  </si>
  <si>
    <t>0.063</t>
  </si>
  <si>
    <t>0.006</t>
  </si>
  <si>
    <t>✗ 4 NO RESULT
(4 no cert / 0 cert w/o result)</t>
  </si>
  <si>
    <t>750-2025, (27.02.2025) [IJZ]</t>
  </si>
  <si>
    <t>0.08% (Не одговара)</t>
  </si>
  <si>
    <t>JD012601＊ (the desk writes it JD012601*)</t>
  </si>
  <si>
    <t>ППК26127, (21.07.2026) [CNP]</t>
  </si>
  <si>
    <t>ППК26064</t>
  </si>
  <si>
    <t>7.77</t>
  </si>
  <si>
    <t>164-0272-25, (24.02.2025) [IJZ-MB]</t>
  </si>
  <si>
    <t>10</t>
  </si>
  <si>
    <t>565-1096-26, (01.09.2026) [IJZ-MB]</t>
  </si>
  <si>
    <t>⚠ 3 NO RESULT
(3 no cert / 0 cert w/o result)
2 testing instances
• 1 document(s) on file, not credited</t>
  </si>
  <si>
    <t>0.09 % (Одговара)</t>
  </si>
  <si>
    <t>ППК26067, (11.05.2026) [CNP] · on file, not credited</t>
  </si>
  <si>
    <t>ППК26114, (30.06.2026) [CNP]</t>
  </si>
  <si>
    <t>SCR012601</t>
  </si>
  <si>
    <t>ППК26067, (11.05.2026) [CNP]</t>
  </si>
  <si>
    <t>6.48</t>
  </si>
  <si>
    <t>14.68</t>
  </si>
  <si>
    <t>P060342</t>
  </si>
  <si>
    <t>SCR012601* (the desk writes it SCR012601*)</t>
  </si>
  <si>
    <t>❌ 8 MISSING</t>
  </si>
  <si>
    <t>#3 Ident. C; #4 Δ⁹-THC; #5 CBD; #6 CBN; #8 LoD; #10 Mycotoxins; #11 Heavy metals; #12 Pesticides</t>
  </si>
  <si>
    <t>no — 8 missing</t>
  </si>
  <si>
    <t>SCR022601</t>
  </si>
  <si>
    <t>7.67</t>
  </si>
  <si>
    <t>P060442</t>
  </si>
  <si>
    <t>2 x 10³</t>
  </si>
  <si>
    <t>2.1 x 10³</t>
  </si>
  <si>
    <t>отсутна/25 g</t>
  </si>
  <si>
    <t>отсутна/g</t>
  </si>
  <si>
    <t>0.0114</t>
  </si>
  <si>
    <t>0.017</t>
  </si>
  <si>
    <t>0.0144</t>
  </si>
  <si>
    <t>0.0155</t>
  </si>
  <si>
    <t>SJ102501</t>
  </si>
  <si>
    <t>≤ LOQ (all 26 compounds)</t>
  </si>
  <si>
    <t>2362-2026, (30.04.2026) [IJZ]</t>
  </si>
  <si>
    <t>P060162</t>
  </si>
  <si>
    <t>051-3-К/26</t>
  </si>
  <si>
    <t>308-0552-26, (28.04.2026) [IJZ-MB]</t>
  </si>
  <si>
    <t>SJ112501</t>
  </si>
  <si>
    <t>197-8-M-26, (10.08.2026) [FHM-M]</t>
  </si>
  <si>
    <t>P060192</t>
  </si>
  <si>
    <t>197-8-K-26, (07.08.2026) [FHM-K] · on file, not credited</t>
  </si>
  <si>
    <t>ППК25369</t>
  </si>
  <si>
    <t>WED102501</t>
  </si>
  <si>
    <t>Wedding Cake</t>
  </si>
  <si>
    <t>P060102</t>
  </si>
  <si>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44 of 78; short of coverage: 30; nothing on file: 4; potency contradicted: 5.</t>
  </si>
  <si>
    <t>ППК26128, (21.07.2026) [CNP]</t>
  </si>
  <si>
    <t>20.83</t>
  </si>
  <si>
    <t>7.88</t>
  </si>
  <si>
    <t>0.21</t>
  </si>
  <si>
    <t>0.06</t>
  </si>
  <si>
    <t>✗ 9 NO RESULT
(9 no cert / 0 cert w/o result)
2 testing instances</t>
  </si>
  <si>
    <t>Confirms</t>
  </si>
  <si>
    <t>18.29</t>
  </si>
  <si>
    <t>0.16</t>
  </si>
  <si>
    <t>[FHM-K] 1; [FHM-M] 1; [PP] 1</t>
  </si>
  <si>
    <t>FB012602*</t>
  </si>
  <si>
    <t>12.39</t>
  </si>
  <si>
    <t>NO-DOC-CODE (Report of Analysis), (23.04.2025) [PP]</t>
  </si>
  <si>
    <t>— not recorded —</t>
  </si>
  <si>
    <t>P160012</t>
  </si>
  <si>
    <t>P160022</t>
  </si>
  <si>
    <t>⚠ 3 NO RESULT
(3 no cert / 0 cert w/o result)
2 testing instances
• 2 document(s) on file, not credited</t>
  </si>
  <si>
    <t>ППК26066, (11.05.2026) [CNP] · on file, not credited</t>
  </si>
  <si>
    <t>ППК26066, (11.05.2026) [CNP]</t>
  </si>
  <si>
    <t>16.69</t>
  </si>
  <si>
    <t>P160032</t>
  </si>
  <si>
    <t>7.7</t>
  </si>
  <si>
    <t>051-6-LoD-26, (02.03.2026) [FHM-K]</t>
  </si>
  <si>
    <t>6.09</t>
  </si>
  <si>
    <t>3.9 x 10³</t>
  </si>
  <si>
    <t>2.4 x 10³</t>
  </si>
  <si>
    <t>отсутна/25</t>
  </si>
  <si>
    <t>0.0215</t>
  </si>
  <si>
    <t>0.0108</t>
  </si>
  <si>
    <t>0.0199</t>
  </si>
  <si>
    <t>0.0078</t>
  </si>
  <si>
    <t>2357-2026, (29.04.2026) [IJZ]</t>
  </si>
  <si>
    <t>[CNP] 1; [PP] 1</t>
  </si>
  <si>
    <t>312-0556-26, (28.04.2026) [IJZ-MB]</t>
  </si>
  <si>
    <t>550-1081-26, (01.09.2026) [IJZ-MB]</t>
  </si>
  <si>
    <t>3×10³</t>
  </si>
  <si>
    <t>5.2×10²</t>
  </si>
  <si>
    <t>051-6-K-26, (04.03.2026) [FHM-K] · on file, not credited</t>
  </si>
  <si>
    <t>542-1073-26, (31.08.2026) [IJZ-MB]</t>
  </si>
  <si>
    <t>Date</t>
  </si>
  <si>
    <t>Lab</t>
  </si>
  <si>
    <t>#</t>
  </si>
  <si>
    <t>Parameter</t>
  </si>
  <si>
    <t>Finding</t>
  </si>
  <si>
    <t>Action</t>
  </si>
  <si>
    <t>NGP-QCG-SOP-024 F3</t>
  </si>
  <si>
    <t>ППК26062, (11.05.2026) [CNP] · on file, not credited</t>
  </si>
  <si>
    <t>NGP</t>
  </si>
  <si>
    <t>[FHM-K] 2; [IJZ-MB] 1; [PP] 1</t>
  </si>
  <si>
    <t>#6</t>
  </si>
  <si>
    <t>ППК26062, (11.05.2026) [CNP]</t>
  </si>
  <si>
    <t>#6 Total CBN</t>
  </si>
  <si>
    <t>held for review</t>
  </si>
  <si>
    <t>15.35</t>
  </si>
  <si>
    <t>The two independent reads disagreed. A person must confirm the figure from the page.</t>
  </si>
  <si>
    <t>✗ 4 NO RESULT
(4 no cert / 0 cert w/o result)
2 testing instances
• 1 document(s) on file, not credited</t>
  </si>
  <si>
    <t>100-1-K-26</t>
  </si>
  <si>
    <t>BSS1024_01/2</t>
  </si>
  <si>
    <t>FHM-K</t>
  </si>
  <si>
    <t>P050142</t>
  </si>
  <si>
    <t>#3</t>
  </si>
  <si>
    <t>6.13</t>
  </si>
  <si>
    <t>#3 Identification C</t>
  </si>
  <si>
    <t>ППК26127</t>
  </si>
  <si>
    <t>CNP</t>
  </si>
  <si>
    <t>#7</t>
  </si>
  <si>
    <t>#7 Foreign Matter</t>
  </si>
  <si>
    <t>0.0227</t>
  </si>
  <si>
    <t>non-conformance reported</t>
  </si>
  <si>
    <t>0.0179</t>
  </si>
  <si>
    <t>0.0163</t>
  </si>
  <si>
    <t>197-13-K-26, (07.08.2026) [FHM-K] · on file, not credited</t>
  </si>
  <si>
    <t>The certificate reports a result that does not conform. Open an investigation record; the Head of QC rules on the lot, and the iCoA for this parameter is held until then.</t>
  </si>
  <si>
    <t>0.031</t>
  </si>
  <si>
    <t>2364-2026, (30.04.2026) [IJZ]</t>
  </si>
  <si>
    <t>[IJZ-MB] 2</t>
  </si>
  <si>
    <t>100-3-K-26</t>
  </si>
  <si>
    <t>not ingested</t>
  </si>
  <si>
    <t>Re-extract the document into the corpus; the batch cannot reach a CoQ on this parameter until then.</t>
  </si>
  <si>
    <t>&lt;LOQ</t>
  </si>
  <si>
    <t>310-0554-26, (28.04.2026) [IJZ-MB]</t>
  </si>
  <si>
    <t>1625-2026</t>
  </si>
  <si>
    <t>IJZ</t>
  </si>
  <si>
    <t>#11</t>
  </si>
  <si>
    <t>#11 Heavy Metals</t>
  </si>
  <si>
    <t>ППК25118</t>
  </si>
  <si>
    <t>SCR012601*</t>
  </si>
  <si>
    <t>ППК25257</t>
  </si>
  <si>
    <t>2.1×10³</t>
  </si>
  <si>
    <t>ППК26031</t>
  </si>
  <si>
    <t>ППК25368</t>
  </si>
  <si>
    <t>541-1072-26, (31.08.2026) [IJZ-MB]</t>
  </si>
  <si>
    <t>197-13-M-26, (10.08.2026) [FHM-M]</t>
  </si>
  <si>
    <t>#8</t>
  </si>
  <si>
    <t>#8 Loss on Drying</t>
  </si>
  <si>
    <t>Move the credit to the certificate that reports this parameter, or record why it stands.</t>
  </si>
  <si>
    <t>5661-2025</t>
  </si>
  <si>
    <t>#10</t>
  </si>
  <si>
    <t>#10 Mycotoxins</t>
  </si>
  <si>
    <t>17.59</t>
  </si>
  <si>
    <t>#12</t>
  </si>
  <si>
    <t>#12 Pesticide Residues</t>
  </si>
  <si>
    <t>0.15</t>
  </si>
  <si>
    <t>⚠ 3 NO RESULT
(3 no cert / 0 cert w/o result)
3 testing instances
• 3 document(s) on file, not credited</t>
  </si>
  <si>
    <t>197-8-K-26, (07.08.2026) [FHM-K]</t>
  </si>
  <si>
    <t>16.70</t>
  </si>
  <si>
    <t>6.3</t>
  </si>
  <si>
    <t>051-1-LoD-26, (02.03.2026) [FHM-K]</t>
  </si>
  <si>
    <t>18.98</t>
  </si>
  <si>
    <t>0.25</t>
  </si>
  <si>
    <t>197-16-M-26, (10.08.2026) [FHM-M]</t>
  </si>
  <si>
    <t>051-1-K-26, (04.03.2026) [FHM-K] · on file, not credited</t>
  </si>
  <si>
    <t>Correction</t>
  </si>
  <si>
    <t>Evidence</t>
  </si>
  <si>
    <t>197-1-K-26</t>
  </si>
  <si>
    <t>credit removed</t>
  </si>
  <si>
    <t>R1 Farmahem pair — cannabinoid certificate; loss on drying is on the LoD certificate</t>
  </si>
  <si>
    <t>197-2-K-26</t>
  </si>
  <si>
    <t>Task</t>
  </si>
  <si>
    <t>Parameters affected</t>
  </si>
  <si>
    <t>197-6-K-26</t>
  </si>
  <si>
    <t>What is needed</t>
  </si>
  <si>
    <t>197-16-K-26, (07.08.2026) [FHM-K] · on file, not credited</t>
  </si>
  <si>
    <t>The two independent reads disagreed. A person must read the figure from the page and confirm it.</t>
  </si>
  <si>
    <t>197-3-K-26</t>
  </si>
  <si>
    <t>197-4-K-26</t>
  </si>
  <si>
    <t>lot not on tracker</t>
  </si>
  <si>
    <t>559-1090-26</t>
  </si>
  <si>
    <t>197-5-K-26</t>
  </si>
  <si>
    <t>IJZ-MB</t>
  </si>
  <si>
    <t>#9</t>
  </si>
  <si>
    <t>The certificate names a P batch the owner's tracker does not carry. Record the lot (cultivation batch code, strain) on the tracker so the certificate is credited under its batch.</t>
  </si>
  <si>
    <t>551-1082-26</t>
  </si>
  <si>
    <t>197-7-K-26</t>
  </si>
  <si>
    <t>539-1070-26</t>
  </si>
  <si>
    <t>⚠ 3 NO RESULT
(3 no cert / 0 cert w/o result)
6 testing instances
• 6 document(s) on file, not credited</t>
  </si>
  <si>
    <t>197-8-K-26</t>
  </si>
  <si>
    <t>The laboratory reports the result as not conforming (Не одговара). A deviation / OOS record is needed before this lot's CoQ can issue.</t>
  </si>
  <si>
    <t>197-9-K-26</t>
  </si>
  <si>
    <t>Re-extract the document into the eCoA database (two independent reads, 300 DPI). Until then the lot cannot reach a CoQ on these parameters.</t>
  </si>
  <si>
    <t>197-10-K-26</t>
  </si>
  <si>
    <t>8.4</t>
  </si>
  <si>
    <t>051-5-LoD-26, (02.03.2026) [FHM-K]</t>
  </si>
  <si>
    <t>197-11-K-26</t>
  </si>
  <si>
    <t>4.4×10²</t>
  </si>
  <si>
    <t>8.6×10²</t>
  </si>
  <si>
    <t>197-12-K-26</t>
  </si>
  <si>
    <t>051-6-LoD-26</t>
  </si>
  <si>
    <t>R1 Farmahem pair — loss-on-drying certificate; reports no such determination</t>
  </si>
  <si>
    <t>ППК26061, (11.05.2026) [CNP]</t>
  </si>
  <si>
    <t>strain name unruled</t>
  </si>
  <si>
    <t>17.94</t>
  </si>
  <si>
    <t>strain, printed on every CoQ</t>
  </si>
  <si>
    <t>#4</t>
  </si>
  <si>
    <t>0.08</t>
  </si>
  <si>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</si>
  <si>
    <t>#4 Assay — Total Δ⁹-THC*</t>
  </si>
  <si>
    <t>Two of the company's own documents disagree: Clemosa (delivery sheet) against Clemosa a Bud (certificate register, P050282). Both are yours, so the desk holds what it was given and prints neither as correct. Rule it as Cap Junky was ruled on 07.09.2026, and strains.py will carry it.</t>
  </si>
  <si>
    <t>#5</t>
  </si>
  <si>
    <t>#5 Assay — Total CBD</t>
  </si>
  <si>
    <t>547-1078-26, (31.08.2026) [IJZ-MB]</t>
  </si>
  <si>
    <t>6.31</t>
  </si>
  <si>
    <t>Two of the company's own documents disagree: Jelly Donuts (delivery sheet) against Jelly Donutz (the desk's own record). Both are yours, so the desk holds what it was given and prints neither as correct. Rule it as Cap Junky was ruled on 07.09.2026, and strains.py will carry it.</t>
  </si>
  <si>
    <t>5.1×10³</t>
  </si>
  <si>
    <t>4.5×10³</t>
  </si>
  <si>
    <t>&lt;10^2</t>
  </si>
  <si>
    <t>отсутна/г</t>
  </si>
  <si>
    <t>051-6-K-26</t>
  </si>
  <si>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</si>
  <si>
    <t>0.033</t>
  </si>
  <si>
    <t>0.0154</t>
  </si>
  <si>
    <t>0.0272</t>
  </si>
  <si>
    <t>0.0146</t>
  </si>
  <si>
    <t>Two of the company's own documents disagree: Sleepy Joe (delivery sheet) against Sleepy Joy (certificate register, P060082). Both are yours, so the desk holds what it was given and prints neither as correct. Rule it as Cap Junky was ruled on 07.09.2026, and strains.py will carry it.</t>
  </si>
  <si>
    <t>2358-2026, (29.04.2026) [IJZ]</t>
  </si>
  <si>
    <t>197-13-K-26</t>
  </si>
  <si>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</si>
  <si>
    <t>051-5-K-26, (04.03.2026) [FHM-K] · on file, not credited</t>
  </si>
  <si>
    <t>197-14-K-26</t>
  </si>
  <si>
    <t>304-0548-26, (28.04.2026) [IJZ-MB]</t>
  </si>
  <si>
    <t>051-1-LoD-26</t>
  </si>
  <si>
    <t>ППК26061, (11.05.2026) [CNP] · on file, not credited</t>
  </si>
  <si>
    <t>5×10³</t>
  </si>
  <si>
    <t>1.1×10³</t>
  </si>
  <si>
    <t>545-1076-26, (31.08.2026) [IJZ-MB]</t>
  </si>
  <si>
    <t>100-1-K-26, (09.04.2026) [FHM-K] · on file, not credited</t>
  </si>
  <si>
    <t>051-1-K-26</t>
  </si>
  <si>
    <t>197-16-K-26</t>
  </si>
  <si>
    <t>051-6-LoD-26, (02.03.2026) [FHM-K] · on file, not credited</t>
  </si>
  <si>
    <t>051-5-LoD-26</t>
  </si>
  <si>
    <t>7.6</t>
  </si>
  <si>
    <t>100-1-LoD-26</t>
  </si>
  <si>
    <t>100-1-LoD-26, (09.04.2026) [FHM-K]</t>
  </si>
  <si>
    <t>100-2-LoD-26</t>
  </si>
  <si>
    <t>100-3-LoD-26</t>
  </si>
  <si>
    <t>10.3 ± 0.2</t>
  </si>
  <si>
    <t>Seq</t>
  </si>
  <si>
    <t>Series</t>
  </si>
  <si>
    <t>100-2-LoD-26, (09.04.2026) [FHM-K]</t>
  </si>
  <si>
    <t>iCoA</t>
  </si>
  <si>
    <t>CoQ</t>
  </si>
  <si>
    <t>Plan references (31.08.2026)</t>
  </si>
  <si>
    <t>Group</t>
  </si>
  <si>
    <t>Basis date</t>
  </si>
  <si>
    <t>Test date (packaging)</t>
  </si>
  <si>
    <t>iCoA issue (planned)</t>
  </si>
  <si>
    <t>CoQ issue (planned)</t>
  </si>
  <si>
    <t>Harvest</t>
  </si>
  <si>
    <t>Packaging</t>
  </si>
  <si>
    <t>Packaging complete</t>
  </si>
  <si>
    <t>iCoA scope</t>
  </si>
  <si>
    <t>#1 Ident. A</t>
  </si>
  <si>
    <t>#2 Ident. B</t>
  </si>
  <si>
    <t>#7 Foreign matter</t>
  </si>
  <si>
    <t>Ident C — covered by (eCoA)</t>
  </si>
  <si>
    <t>Retest assay #4–#6 (eCoA)</t>
  </si>
  <si>
    <t>Retest mycotoxins #10 (eCoA)</t>
  </si>
  <si>
    <t>Carried forward</t>
  </si>
  <si>
    <t>initial release</t>
  </si>
  <si>
    <t>051-6-K-26, (04.03.2026) [FHM-K]</t>
  </si>
  <si>
    <t>11.53</t>
  </si>
  <si>
    <t>10.3</t>
  </si>
  <si>
    <t>100-3-LoD-26, (09.04.2026) [FHM-K]</t>
  </si>
  <si>
    <t>&lt;LOQ**</t>
  </si>
  <si>
    <t>(assigned on issue)</t>
  </si>
  <si>
    <t>legacy</t>
  </si>
  <si>
    <t>27.02.2025</t>
  </si>
  <si>
    <t>03.03.2025</t>
  </si>
  <si>
    <t>20.01.2025</t>
  </si>
  <si>
    <t>03.03.2025 (the issuance plan's basis: 27.02.2025)</t>
  </si>
  <si>
    <t>Ident A + Ident B + Foreign matter</t>
  </si>
  <si>
    <t>⚠ 1 NO RESULT
(1 no cert / 0 cert w/o result)
3 testing instances
• 2 document(s) on file, not credited</t>
  </si>
  <si>
    <t>registered — issued with the legacy series on 15.05.2026</t>
  </si>
  <si>
    <t>051-5-K-26</t>
  </si>
  <si>
    <t>197-13-K-26, (07.08.2026) [FHM-K]</t>
  </si>
  <si>
    <t>17.31</t>
  </si>
  <si>
    <t>iCoA-PP-2025-0001 / CoQ-PP-2025-0001</t>
  </si>
  <si>
    <t>100-2-K-26, (09.04.2026) [FHM-K] · on file, not credited</t>
  </si>
  <si>
    <t>04.03.2025</t>
  </si>
  <si>
    <t>0.36</t>
  </si>
  <si>
    <t>100-2-K-26</t>
  </si>
  <si>
    <t>1900 ᴿ</t>
  </si>
  <si>
    <t>840 ᴿ</t>
  </si>
  <si>
    <t>&lt;10³ and &gt;10² ᴿ</t>
  </si>
  <si>
    <t>absent ᴿ</t>
  </si>
  <si>
    <t>22.01.2025</t>
  </si>
  <si>
    <t>197-15-K-26</t>
  </si>
  <si>
    <t>Complies ᴿ</t>
  </si>
  <si>
    <t>051-4-LoD-26</t>
  </si>
  <si>
    <t>iCoA-PP-2025-0002 / CoQ-PP-2025-0002</t>
  </si>
  <si>
    <t>07.03.2025</t>
  </si>
  <si>
    <t>N.D. ᴿ</t>
  </si>
  <si>
    <t>1625-2026, (23.04.2026) [IJZ]</t>
  </si>
  <si>
    <t>21.01.2025</t>
  </si>
  <si>
    <t>051-4-K-26</t>
  </si>
  <si>
    <t>230-0393-26, (07.04.2026) [IJZ-MB]</t>
  </si>
  <si>
    <t>197-17-K-26</t>
  </si>
  <si>
    <t>iCoA-PP-2025-0003 / CoQ-PP-2025-0003</t>
  </si>
  <si>
    <t>11.03.2025</t>
  </si>
  <si>
    <t>197-18-K-26</t>
  </si>
  <si>
    <t>100-3-K-26, (09.04.2026) [FHM-K] · on file, not credited</t>
  </si>
  <si>
    <t>850 ᴿ</t>
  </si>
  <si>
    <t>370 ᴿ</t>
  </si>
  <si>
    <t>100-4-LoD-26</t>
  </si>
  <si>
    <t>&lt;10² and &gt;10 ᴿ</t>
  </si>
  <si>
    <t>2.5 ᴿ</t>
  </si>
  <si>
    <t>051-1-LoD-26, (02.03.2026) [FHM-K] · on file, not credited</t>
  </si>
  <si>
    <t>— no cannabinoid certificate from the initial testing —</t>
  </si>
  <si>
    <t>1628-2026, (23.04.2026) [IJZ]</t>
  </si>
  <si>
    <t>iCoA-PP-2025-0004 / CoQ-PP-2025-0004</t>
  </si>
  <si>
    <t>11.04.2025</t>
  </si>
  <si>
    <t>100-4-K-26</t>
  </si>
  <si>
    <t>231-0394-26, (07.04.2026) [IJZ-MB]</t>
  </si>
  <si>
    <t>197-19-K-26</t>
  </si>
  <si>
    <t>HighProAmnesia</t>
  </si>
  <si>
    <t>197-20-K-26</t>
  </si>
  <si>
    <t>197-21-K-26</t>
  </si>
  <si>
    <t>1.7×10²</t>
  </si>
  <si>
    <t>051-3-LoD-26</t>
  </si>
  <si>
    <t>051-1-K-26, (04.03.2026) [FHM-K]</t>
  </si>
  <si>
    <t>19.14</t>
  </si>
  <si>
    <t>iCoA-PP-2025-0005 / CoQ-PP-2025-0005</t>
  </si>
  <si>
    <t>24.04.2025</t>
  </si>
  <si>
    <t>544-1075-26, (31.08.2026) [IJZ-MB]</t>
  </si>
  <si>
    <t>OrangePunchMimosa</t>
  </si>
  <si>
    <t>24.04.2025 – 25.04.2025</t>
  </si>
  <si>
    <t>25.04.2025</t>
  </si>
  <si>
    <t>ППК26111, (30.06.2026) [CNP]</t>
  </si>
  <si>
    <t>051-3-K-26</t>
  </si>
  <si>
    <t>051-2-LoD-26</t>
  </si>
  <si>
    <t>197-16-K-26, (07.08.2026) [FHM-K]</t>
  </si>
  <si>
    <t>17.32</t>
  </si>
  <si>
    <t>iCoA-PP-2025-0006 / CoQ-PP-2025-0006</t>
  </si>
  <si>
    <t>03.06.2025</t>
  </si>
  <si>
    <t>22.04.2025 – 23.04.2025</t>
  </si>
  <si>
    <t>03.06.2025 – 11.06.2025</t>
  </si>
  <si>
    <t>11.06.2025</t>
  </si>
  <si>
    <t>051-2-K-26</t>
  </si>
  <si>
    <t>ППК25139, (22.05.2025) [CNP]</t>
  </si>
  <si>
    <t>#2</t>
  </si>
  <si>
    <t>#2 Identification B</t>
  </si>
  <si>
    <t>ППК26113, (30.06.2026) [CNP] · on file, not credited</t>
  </si>
  <si>
    <t>R2 CNP identification B — no microscopy row on this certificate</t>
  </si>
  <si>
    <t>051-5-LoD-26, (02.03.2026) [FHM-K] · on file, not credited</t>
  </si>
  <si>
    <t>30.05.2025</t>
  </si>
  <si>
    <t>7.52</t>
  </si>
  <si>
    <t>ППК26113, (30.06.2026) [CNP]</t>
  </si>
  <si>
    <t>14.04.2025 – 15.04.2025</t>
  </si>
  <si>
    <t>ППК25176</t>
  </si>
  <si>
    <t>11.06.2025 – 16.06.2025 (the issuance plan's basis: 30.05.2025)</t>
  </si>
  <si>
    <t>16.06.2025</t>
  </si>
  <si>
    <t>ППК25140, (22.05.2025) [CNP]</t>
  </si>
  <si>
    <t>ППК25280</t>
  </si>
  <si>
    <t>07.05.2025</t>
  </si>
  <si>
    <t>ППК26115, (30.06.2026) [CNP]</t>
  </si>
  <si>
    <t>7.73</t>
  </si>
  <si>
    <t>051-5-K-26, (04.03.2026) [FHM-K]</t>
  </si>
  <si>
    <t>25.27</t>
  </si>
  <si>
    <t>02.04.2025 – 03.04.2025</t>
  </si>
  <si>
    <t>16.06.2025 – 19.06.2025 (the issuance plan's basis: 07.05.2025)</t>
  </si>
  <si>
    <t>19.06.2025</t>
  </si>
  <si>
    <t>ППК25118, (06.05.2025) [CNP]</t>
  </si>
  <si>
    <t>iCoA-PP-2025-0007 / CoQ-PP-2025-0007</t>
  </si>
  <si>
    <t>100-1-K-26, (09.04.2026) [FHM-K]</t>
  </si>
  <si>
    <t>20.06.2025</t>
  </si>
  <si>
    <t>20.21</t>
  </si>
  <si>
    <t>✓ COMPLETE
3 testing instances
• 5 document(s) on file, not credited</t>
  </si>
  <si>
    <t>26.03.2025 – 27.03.2025</t>
  </si>
  <si>
    <t>ППК25117, (06.05.2025) [CNP]</t>
  </si>
  <si>
    <t>6.69</t>
  </si>
  <si>
    <t>ППК26063, (11.05.2026) [CNP]</t>
  </si>
  <si>
    <t>100-1-LoD-26, (09.04.2026) [FHM-K] · on file, not credited</t>
  </si>
  <si>
    <t>6.7 x 10³</t>
  </si>
  <si>
    <t>iCoA-PP-2025-0008 / CoQ-PP-2025-0008</t>
  </si>
  <si>
    <t>27.06.2025</t>
  </si>
  <si>
    <t>0.022</t>
  </si>
  <si>
    <t>0.0149</t>
  </si>
  <si>
    <t>0.02</t>
  </si>
  <si>
    <t>0.0166</t>
  </si>
  <si>
    <t>27.05.2025 – 28.05.2025</t>
  </si>
  <si>
    <t>27.06.2025 – 04.07.2025</t>
  </si>
  <si>
    <t>04.07.2025</t>
  </si>
  <si>
    <t>2361-2026, (30.04.2026) [IJZ]</t>
  </si>
  <si>
    <t>ППК25155, (24.06.2025) [CNP]</t>
  </si>
  <si>
    <t>306-0550-26, (28.04.2026) [IJZ-MB] · on file, not credited</t>
  </si>
  <si>
    <t>ППК26036</t>
  </si>
  <si>
    <t>100-2-LoD-26, (09.04.2026) [FHM-K] · on file, not credited</t>
  </si>
  <si>
    <t>iCoA-PP-2025-0009 / CoQ-PP-2025-0009</t>
  </si>
  <si>
    <t>ППК26037</t>
  </si>
  <si>
    <t>6.38</t>
  </si>
  <si>
    <t>ППК26065, (11.05.2026) [CNP] · on file, not credited</t>
  </si>
  <si>
    <t>ППК26057</t>
  </si>
  <si>
    <t>29.05.2025 – 30.05.2025</t>
  </si>
  <si>
    <t>04.07.2025 – 10.07.2025</t>
  </si>
  <si>
    <t>2.6 x 10³</t>
  </si>
  <si>
    <t>10.07.2025</t>
  </si>
  <si>
    <t>3.3 x 10³</t>
  </si>
  <si>
    <t>ППК26058</t>
  </si>
  <si>
    <t>отсуство/25</t>
  </si>
  <si>
    <t>ППК25154, (24.06.2025) [CNP]</t>
  </si>
  <si>
    <t>отсуство/g</t>
  </si>
  <si>
    <t>100-3-LoD-26, (09.04.2026) [FHM-K] · on file, not credited</t>
  </si>
  <si>
    <t>0.0109</t>
  </si>
  <si>
    <t>0.01287</t>
  </si>
  <si>
    <t>0.0175</t>
  </si>
  <si>
    <t>0.0165</t>
  </si>
  <si>
    <t>iCoA-PP-2025-0010 / CoQ-PP-2025-0010</t>
  </si>
  <si>
    <t>14.07.2025</t>
  </si>
  <si>
    <t>≤ LOQ (all 27 compounds)</t>
  </si>
  <si>
    <t>2365-2026, (30.04.2026) [IJZ] · on file, not credited</t>
  </si>
  <si>
    <t>ППК25105</t>
  </si>
  <si>
    <t>09.06.2025 – 10.06.2025</t>
  </si>
  <si>
    <t>14.07.2025 – 17.07.2025</t>
  </si>
  <si>
    <t>17.07.2025</t>
  </si>
  <si>
    <t>307-0551-26, (28.04.2026) [IJZ-MB]</t>
  </si>
  <si>
    <t>ППК25174</t>
  </si>
  <si>
    <t>ППК25175, (10.07.2025) [CNP]</t>
  </si>
  <si>
    <t>ППК26032</t>
  </si>
  <si>
    <t>ППК26033</t>
  </si>
  <si>
    <t>iCoA-PP-2025-0011 / CoQ-PP-2025-0011</t>
  </si>
  <si>
    <t>22.07.2025</t>
  </si>
  <si>
    <t>ППК26059</t>
  </si>
  <si>
    <t>197-15-K-26, (07.08.2026) [FHM-K] · on file, not credited</t>
  </si>
  <si>
    <t>100-2-K-26, (09.04.2026) [FHM-K]</t>
  </si>
  <si>
    <t>19.84 ᴿ</t>
  </si>
  <si>
    <t>01.07.2025 – 02.07.2025</t>
  </si>
  <si>
    <t>22.07.2025 – 30.07.2025</t>
  </si>
  <si>
    <t>30.07.2025</t>
  </si>
  <si>
    <t>&lt;LOQ (&lt;0.20) ᴿ</t>
  </si>
  <si>
    <t>ППК26034</t>
  </si>
  <si>
    <t>&lt;LOQ ᴿ</t>
  </si>
  <si>
    <t>ППК25210, (28.07.2025) [CNP]</t>
  </si>
  <si>
    <t>ППК26035</t>
  </si>
  <si>
    <t>ППК26060</t>
  </si>
  <si>
    <t>iCoA-PP-2025-0012 / CoQ-PP-2025-0012</t>
  </si>
  <si>
    <t>197-15-M-26, (10.08.2026) [FHM-M]</t>
  </si>
  <si>
    <t>31.07.2025</t>
  </si>
  <si>
    <t>✗ 4 NO RESULT
(4 no cert / 0 cert w/o result)
2 testing instances
• 2 document(s) on file, not credited</t>
  </si>
  <si>
    <t>17.03.2025 – 18.03.2025</t>
  </si>
  <si>
    <t>31.07.2025 – 05.08.2025</t>
  </si>
  <si>
    <t>05.08.2025</t>
  </si>
  <si>
    <t>ППК25104, (17.04.2025) [CNP]</t>
  </si>
  <si>
    <t>100-3-K-26, (09.04.2026) [FHM-K]</t>
  </si>
  <si>
    <t>8.6</t>
  </si>
  <si>
    <t>21.84 ᴿ</t>
  </si>
  <si>
    <t>051-4-LoD-26, (02.03.2026) [FHM-K]</t>
  </si>
  <si>
    <t>ППК25155</t>
  </si>
  <si>
    <t>17.04.2025</t>
  </si>
  <si>
    <t>20.03.2025 – 21.03.2025</t>
  </si>
  <si>
    <t>05.08.2025 – 07.08.2025 (the issuance plan's basis: 17.04.2025)</t>
  </si>
  <si>
    <t>07.08.2025</t>
  </si>
  <si>
    <t>ППК26065</t>
  </si>
  <si>
    <t>ППК25105, (17.04.2025) [CNP]</t>
  </si>
  <si>
    <t>ППК25211</t>
  </si>
  <si>
    <t>iCoA-PP-2025-0013 / CoQ-PP-2025-0013</t>
  </si>
  <si>
    <t>25.08.2025</t>
  </si>
  <si>
    <t>051-4-K-26, (04.03.2026) [FHM-K] · on file, not credited</t>
  </si>
  <si>
    <t>ППК25117</t>
  </si>
  <si>
    <t>08.07.2025 – 09.07.2025</t>
  </si>
  <si>
    <t>25.08.2025 – 31.08.2025</t>
  </si>
  <si>
    <t>31.08.2025</t>
  </si>
  <si>
    <t>ППК25211, (28.07.2025) [CNP]</t>
  </si>
  <si>
    <t>ППК26064, (11.05.2026) [CNP] · on file, not credited</t>
  </si>
  <si>
    <t>01.09.2025</t>
  </si>
  <si>
    <t>ППК26064, (11.05.2026) [CNP]</t>
  </si>
  <si>
    <t>18.16</t>
  </si>
  <si>
    <t>04.06.2025 – 05.06.2025</t>
  </si>
  <si>
    <t>197-17-K-26, (07.08.2026) [FHM-K] · on file, not credited</t>
  </si>
  <si>
    <t>01.09.2025 – 09.09.2025</t>
  </si>
  <si>
    <t>09.09.2025</t>
  </si>
  <si>
    <t>6.68</t>
  </si>
  <si>
    <t>ППК25176, (10.07.2025) [CNP]</t>
  </si>
  <si>
    <t>1.9 x 10³</t>
  </si>
  <si>
    <t>ППК26004</t>
  </si>
  <si>
    <t>0.0739</t>
  </si>
  <si>
    <t>0.0136</t>
  </si>
  <si>
    <t>0.0322</t>
  </si>
  <si>
    <t>≤ LOQ (all 28 compounds)</t>
  </si>
  <si>
    <t>2363-2026, (30.04.2026) [IJZ]</t>
  </si>
  <si>
    <t>05.09.2025</t>
  </si>
  <si>
    <t>309-0553-26, (28.04.2026) [IJZ-MB]</t>
  </si>
  <si>
    <t>197-17-M-26, (10.08.2026) [FHM-M]</t>
  </si>
  <si>
    <t>11.08.2025 – 13.08.2025</t>
  </si>
  <si>
    <t>09.09.2025 – 15.09.2025 (the issuance plan's basis: 05.09.2025)</t>
  </si>
  <si>
    <t>15.09.2025</t>
  </si>
  <si>
    <t>ППК25257, (05.09.2025) [CNP]</t>
  </si>
  <si>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</si>
  <si>
    <t>1.7×10³</t>
  </si>
  <si>
    <t>iCoA-PP-2025-0014 / CoQ-PP-2025-0014</t>
  </si>
  <si>
    <t>540-1071-26, (31.08.2026) [IJZ-MB]</t>
  </si>
  <si>
    <t>25.09.2025</t>
  </si>
  <si>
    <t>15.16</t>
  </si>
  <si>
    <t>BLQ</t>
  </si>
  <si>
    <t>— not given —</t>
  </si>
  <si>
    <t>ППК25279, (19.09.2025) [CNP]</t>
  </si>
  <si>
    <t>✗ 4 NO RESULT
(3 no cert / 1 cert w/o result)
2 testing instances
• 1 document(s) on file, not credited</t>
  </si>
  <si>
    <t>8.06 ᴿ</t>
  </si>
  <si>
    <t>30.09.2025</t>
  </si>
  <si>
    <t>ППК26031, (05.03.2026) [CNP]</t>
  </si>
  <si>
    <t>20.54</t>
  </si>
  <si>
    <t>546-1077-26, (31.08.2026) [IJZ-MB]</t>
  </si>
  <si>
    <t>iCoA-PP-2025-0015 / CoQ-PP-2025-0015</t>
  </si>
  <si>
    <t>Cup Junky</t>
  </si>
  <si>
    <t>20.08.2025</t>
  </si>
  <si>
    <t>30.09.2025 – 01.10.2025</t>
  </si>
  <si>
    <t>01.10.2025</t>
  </si>
  <si>
    <t>ППК25280, (17.09.2025) [CNP]</t>
  </si>
  <si>
    <t>18.58</t>
  </si>
  <si>
    <t>⚠ 2 NO RESULT
(0 no cert / 2 cert w/o result)
3 testing instances</t>
  </si>
  <si>
    <t>17.09.2025</t>
  </si>
  <si>
    <t>01.10.2025 – 02.10.2025 (the issuance plan's basis: 17.09.2025)</t>
  </si>
  <si>
    <t>02.10.2025</t>
  </si>
  <si>
    <t>NGP-QCG-SOP-024 F3, (28.11.2025) [NGP]</t>
  </si>
  <si>
    <t>ППК25281, (17.09.2025) [CNP]</t>
  </si>
  <si>
    <t>200</t>
  </si>
  <si>
    <t>&lt;10^2 &gt;10</t>
  </si>
  <si>
    <t>Batch (as listed)</t>
  </si>
  <si>
    <t>0.024</t>
  </si>
  <si>
    <t>0.004</t>
  </si>
  <si>
    <t>Harvest from</t>
  </si>
  <si>
    <t>0.025</t>
  </si>
  <si>
    <t>Harvest to</t>
  </si>
  <si>
    <t>0.0036</t>
  </si>
  <si>
    <t>iCoA-PP-2025-0016 / CoQ-PP-2025-0016</t>
  </si>
  <si>
    <t>Packaging from</t>
  </si>
  <si>
    <t>03.10.2025</t>
  </si>
  <si>
    <t>Packaging to</t>
  </si>
  <si>
    <t>iCoA basis (first day of packaging)</t>
  </si>
  <si>
    <t>10802_2845-2 EN, (17.11.2025) [DFL]</t>
  </si>
  <si>
    <t>Tracker lot</t>
  </si>
  <si>
    <t>21.08.2025 – 23.08.2025</t>
  </si>
  <si>
    <t>03.10.2025 – 09.10.2025</t>
  </si>
  <si>
    <t>09.10.2025</t>
  </si>
  <si>
    <t>1157-2058-25, (24.11.2025) [IJZ-MB]</t>
  </si>
  <si>
    <t>ППК25278, (19.09.2025) [CNP]</t>
  </si>
  <si>
    <t>listed as 'CJ1024 - R&amp;D'</t>
  </si>
  <si>
    <t>5661-2025, (01.12.2025) [IJZ]</t>
  </si>
  <si>
    <t>19.64</t>
  </si>
  <si>
    <t>listed as 'GG1024- R&amp;D'</t>
  </si>
  <si>
    <t>listed as 'OPM1024- R&amp;D'</t>
  </si>
  <si>
    <t>iCoA-PP-2025-0017 / CoQ-PP-2025-0017</t>
  </si>
  <si>
    <t>5.4×10²</t>
  </si>
  <si>
    <t>10.10.2025</t>
  </si>
  <si>
    <t>3.7×10²</t>
  </si>
  <si>
    <t>listed as 'BG1024- R&amp;D'</t>
  </si>
  <si>
    <t>ND *</t>
  </si>
  <si>
    <t>&lt;LOQ **</t>
  </si>
  <si>
    <t>01.09.2025 – 03.09.2025</t>
  </si>
  <si>
    <t>listed as 'BSS1024- R&amp;D'</t>
  </si>
  <si>
    <t>10.10.2025 – 21.10.2025</t>
  </si>
  <si>
    <t>21.10.2025</t>
  </si>
  <si>
    <t>10802_2845-2 MK, (17.11.2025) [DFL]</t>
  </si>
  <si>
    <t>listed as 'HPA1024- R&amp;D'</t>
  </si>
  <si>
    <t>packaging: year 2025 inferred (not printed)</t>
  </si>
  <si>
    <t>548-1079-26, (31.08.2026) [IJZ-MB]</t>
  </si>
  <si>
    <t>ППК26063, (11.05.2026) [CNP] · on file, not credited</t>
  </si>
  <si>
    <t>276-31-M-25, (04.12.2025) [FHM-M]</t>
  </si>
  <si>
    <t>11.05.2026</t>
  </si>
  <si>
    <t>30.10.2025</t>
  </si>
  <si>
    <t>13.93</t>
  </si>
  <si>
    <t>15.09.2025 – 17.09.2025</t>
  </si>
  <si>
    <t>30.10.2025 – 07.11.2025 (the issuance plan's basis: 11.05.2026)</t>
  </si>
  <si>
    <t>07.11.2025</t>
  </si>
  <si>
    <t>24.01.2026</t>
  </si>
  <si>
    <t>18.11.2025</t>
  </si>
  <si>
    <t>197-15-K-26, (07.08.2026) [FHM-K]</t>
  </si>
  <si>
    <t>20.32</t>
  </si>
  <si>
    <t>23.09.2025 – 24.09.2025</t>
  </si>
  <si>
    <t>18.11.2025 – 24.11.2025 (the issuance plan's basis: 24.01.2026)</t>
  </si>
  <si>
    <t>24.11.2025</t>
  </si>
  <si>
    <t>ППК25322, (23.10.2025) [CNP]</t>
  </si>
  <si>
    <t>⚠ 1 NO RESULT
(0 no cert / 0 cert w/o result / 1 stability only)
5 testing instances
• 4 document(s) on file, not credited
· stability above A.C.: #6</t>
  </si>
  <si>
    <t>harvest: no date given; packaging: year 2025 inferred (not printed)</t>
  </si>
  <si>
    <t>iCoA-PP-2025-0018 / CoQ-PP-2025-0018</t>
  </si>
  <si>
    <t>8.19</t>
  </si>
  <si>
    <t>23.09.2025</t>
  </si>
  <si>
    <t>24.11.2025 – 25.11.2025</t>
  </si>
  <si>
    <t>25.11.2025</t>
  </si>
  <si>
    <t>ППК25321, (23.10.2025) [CNP]</t>
  </si>
  <si>
    <t>1.3×10⁴</t>
  </si>
  <si>
    <t>ППК26065, (11.05.2026) [CNP]</t>
  </si>
  <si>
    <t>4.2×10³</t>
  </si>
  <si>
    <t>harvest: no date given</t>
  </si>
  <si>
    <t>02.12.2025</t>
  </si>
  <si>
    <t>27.11.2025</t>
  </si>
  <si>
    <t>0.077</t>
  </si>
  <si>
    <t>0.011</t>
  </si>
  <si>
    <t>4762-2025, (08.10.2025) [IJZ]</t>
  </si>
  <si>
    <t>27.10.2025</t>
  </si>
  <si>
    <t>27.11.2025 – 28.11.2025 (the issuance plan's basis: 02.12.2025)</t>
  </si>
  <si>
    <t>28.11.2025</t>
  </si>
  <si>
    <t>2365-2026, (30.04.2026) [IJZ]</t>
  </si>
  <si>
    <t>ППК25367, (28.11.2025) [CNP]</t>
  </si>
  <si>
    <t>1009-1813-25, (08.10.2025) [IJZ-MB]</t>
  </si>
  <si>
    <t>306-0550-26, (28.04.2026) [IJZ-MB]</t>
  </si>
  <si>
    <t>SC062501</t>
  </si>
  <si>
    <t>P050242</t>
  </si>
  <si>
    <t>01.12.2025</t>
  </si>
  <si>
    <t>— not on the tracker —</t>
  </si>
  <si>
    <t>GOG062501</t>
  </si>
  <si>
    <t>P050232</t>
  </si>
  <si>
    <t>5.83</t>
  </si>
  <si>
    <t>27.10.2025 – 28.10.2025</t>
  </si>
  <si>
    <t>01.12.2025 (the issuance plan's basis: 02.12.2025)</t>
  </si>
  <si>
    <t>051-4-LoD-26, (02.03.2026) [FHM-K] · on file, not credited</t>
  </si>
  <si>
    <t>ППК26036, (05.03.2026) [CNP]</t>
  </si>
  <si>
    <t>ППК25369, (28.11.2025) [CNP]</t>
  </si>
  <si>
    <t>600</t>
  </si>
  <si>
    <t>400</t>
  </si>
  <si>
    <t>21.01.2026</t>
  </si>
  <si>
    <t>1155-2056-25, (24.11.2025) [IJZ-MB]</t>
  </si>
  <si>
    <t>02.12.2025 – 03.12.2025 (the issuance plan's basis: 21.01.2026)</t>
  </si>
  <si>
    <t>03.12.2025</t>
  </si>
  <si>
    <t>ППК25368, (28.11.2025) [CNP]</t>
  </si>
  <si>
    <t>5.38</t>
  </si>
  <si>
    <t>ППК26037, (05.03.2026) [CNP]</t>
  </si>
  <si>
    <t>051-4-K-26, (04.03.2026) [FHM-K]</t>
  </si>
  <si>
    <t>17.04</t>
  </si>
  <si>
    <t>harvest: printed 11-13-11.2025, read as 11-13.11.2025</t>
  </si>
  <si>
    <t>iCoA-PP-2025-0019 / CoQ-PP-2025-0019</t>
  </si>
  <si>
    <t>28.10.2025</t>
  </si>
  <si>
    <t>03.12.2025 – 04.12.2025</t>
  </si>
  <si>
    <t>04.12.2025</t>
  </si>
  <si>
    <t>ППК25370, (28.11.2025) [CNP]</t>
  </si>
  <si>
    <t>557-1088-26, (01.09.2026) [IJZ-MB]</t>
  </si>
  <si>
    <t>15.12.2025</t>
  </si>
  <si>
    <t>6.85</t>
  </si>
  <si>
    <t>ППК26057, (11.05.2026) [CNP]</t>
  </si>
  <si>
    <t>11.11.2025 – 13.11.2025</t>
  </si>
  <si>
    <t>15.12.2025 – 21.12.2025 (the issuance plan's basis: 21.01.2026)</t>
  </si>
  <si>
    <t>21.12.2025</t>
  </si>
  <si>
    <t>197-17-K-26, (07.08.2026) [FHM-K]</t>
  </si>
  <si>
    <t>ППК25378, (12.12.2025) [CNP]</t>
  </si>
  <si>
    <t>20.03</t>
  </si>
  <si>
    <t>iCoA-PP-2025-0020 / CoQ-PP-2025-0020</t>
  </si>
  <si>
    <t>22.12.2025</t>
  </si>
  <si>
    <t>13.11.2025</t>
  </si>
  <si>
    <t>6.60</t>
  </si>
  <si>
    <t>ППК25379, (12.12.2025) [CNP]</t>
  </si>
  <si>
    <t>ППК26058, (11.05.2026) [CNP]</t>
  </si>
  <si>
    <t>iCoA-PP-2025-0021 / CoQ-PP-2025-0021</t>
  </si>
  <si>
    <t>23.12.2025</t>
  </si>
  <si>
    <t>19.11.2025 – 20.11.2025</t>
  </si>
  <si>
    <t>23.12.2025 – 26.12.2025</t>
  </si>
  <si>
    <t>26.12.2025</t>
  </si>
  <si>
    <t>✗ 4 NO RESULT
(4 no cert / 0 cert w/o result)
• 1 document(s) on file, not credited</t>
  </si>
  <si>
    <t>ППК25380, (12.12.2025) [CNP]</t>
  </si>
  <si>
    <t>iCoA-PP-2025-0022 / CoQ-PP-2025-0022</t>
  </si>
  <si>
    <t>197-6-K-26, (07.08.2026) [FHM-K] · on file, not credited</t>
  </si>
  <si>
    <t>ППК26031, (05.03.2026) [CNP] · on file, not credited</t>
  </si>
  <si>
    <t>20.11.2025</t>
  </si>
  <si>
    <t>8.00 ᴿ</t>
  </si>
  <si>
    <t>0.02 ᴿ</t>
  </si>
  <si>
    <t>ППК25381, (12.12.2025) [CNP]</t>
  </si>
  <si>
    <t>iCoA-PP-2026-0001 / CoQ-PP-2026-0001</t>
  </si>
  <si>
    <t>13.01.2026</t>
  </si>
  <si>
    <t>197-6-M-26, (10.08.2026) [FHM-M]</t>
  </si>
  <si>
    <t>09.12.2025</t>
  </si>
  <si>
    <t>13.01.2026 – 14.01.2026</t>
  </si>
  <si>
    <t>14.01.2026</t>
  </si>
  <si>
    <t>ППК26001, (21.01.2026) [CNP]</t>
  </si>
  <si>
    <t>197-7-K-26, (07.08.2026) [FHM-K] · on file, not credited</t>
  </si>
  <si>
    <t>iCoA-PP-2026-0002 / CoQ-PP-2026-0002</t>
  </si>
  <si>
    <t>16.01.2026</t>
  </si>
  <si>
    <t>09.12.2025 – 10.12.2025</t>
  </si>
  <si>
    <t>ППК26002, (21.01.2026) [CNP]</t>
  </si>
  <si>
    <t>197-7-M-26, (10.08.2026) [FHM-M]</t>
  </si>
  <si>
    <t>iCoA-PP-2026-0003 / CoQ-PP-2026-0003</t>
  </si>
  <si>
    <t>29.01.2026</t>
  </si>
  <si>
    <t>GG012601*</t>
  </si>
  <si>
    <t>197-21-K-26, (07.08.2026) [FHM-K] · on file, not credited</t>
  </si>
  <si>
    <t>JD012601*</t>
  </si>
  <si>
    <t>10.12.2025</t>
  </si>
  <si>
    <t>ППК26003, (21.01.2026) [CNP]</t>
  </si>
  <si>
    <t>197-21-M-26, (10.08.2026) [FHM-M]</t>
  </si>
  <si>
    <t>✓ COMPLETE
3 testing instances
• 3 document(s) on file, not credited</t>
  </si>
  <si>
    <t>0.42% (Одговара)</t>
  </si>
  <si>
    <t>iCoA-PP-2026-0004 / CoQ-PP-2026-0004</t>
  </si>
  <si>
    <t>ППК26117, (06.07.2026) [CNP]</t>
  </si>
  <si>
    <t>100-4-K-26, (09.04.2026) [FHM-K]</t>
  </si>
  <si>
    <t>8.09</t>
  </si>
  <si>
    <t>12.12.2025</t>
  </si>
  <si>
    <t>100-4-K-26, (09.04.2026) [FHM-K] · on file, not credited</t>
  </si>
  <si>
    <t>ППК26008, (21.01.2026) [CNP]</t>
  </si>
  <si>
    <t>120</t>
  </si>
  <si>
    <t>100</t>
  </si>
  <si>
    <t>2.2</t>
  </si>
  <si>
    <t>0.049</t>
  </si>
  <si>
    <t>0.165</t>
  </si>
  <si>
    <t>н.д.</t>
  </si>
  <si>
    <t>≤ LOQ (all 25 compounds)</t>
  </si>
  <si>
    <t>1627-2026, (23.04.2026) [IJZ]</t>
  </si>
  <si>
    <t>20.02.2026</t>
  </si>
  <si>
    <t>ППК26118, (06.07.2026) [CNP]</t>
  </si>
  <si>
    <t>30.01.2026</t>
  </si>
  <si>
    <t>6.67</t>
  </si>
  <si>
    <t>229-0392-26, (07.04.2026) [IJZ-MB]</t>
  </si>
  <si>
    <t>100-4-LoD-26, (09.04.2026) [FHM-K] · on file, not credited</t>
  </si>
  <si>
    <t>11.12.2025</t>
  </si>
  <si>
    <t>30.01.2026 (the issuance plan's basis: 20.02.2026)</t>
  </si>
  <si>
    <t>ППК26005, (21.01.2026) [CNP]</t>
  </si>
  <si>
    <t>6.6</t>
  </si>
  <si>
    <t>100-4-LoD-26, (09.04.2026) [FHM-K]</t>
  </si>
  <si>
    <t>iCoA-PP-2026-0005 / CoQ-PP-2026-0005</t>
  </si>
  <si>
    <t>197-19-M-26, (10.08.2026) [FHM-M]</t>
  </si>
  <si>
    <t>ППК26119, (06.07.2026) [CNP]</t>
  </si>
  <si>
    <t>197-19-K-26, (07.08.2026) [FHM-K]</t>
  </si>
  <si>
    <t>6.78</t>
  </si>
  <si>
    <t>JD032601</t>
  </si>
  <si>
    <t>P060472</t>
  </si>
  <si>
    <t>7.91</t>
  </si>
  <si>
    <t>ППК26004, (21.01.2026) [CNP]</t>
  </si>
  <si>
    <t>197-19-K-26, (07.08.2026) [FHM-K] · on file, not credited</t>
  </si>
  <si>
    <t>JD042601</t>
  </si>
  <si>
    <t>P060492</t>
  </si>
  <si>
    <t>iCoA-PP-2026-0006 / CoQ-PP-2026-0006</t>
  </si>
  <si>
    <t>02.02.2026</t>
  </si>
  <si>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</si>
  <si>
    <t>✓ COMPLETE
2 testing instances
• 1 document(s) on file, not credited
◐ UNDETERMINED (Ph. Eur. band): #9 TYMC</t>
  </si>
  <si>
    <t>ППК25140, (22.05.2025) [CNP] · on file, not credited</t>
  </si>
  <si>
    <t>15.95</t>
  </si>
  <si>
    <t>ППК26007, (21.01.2026) [CNP]</t>
  </si>
  <si>
    <t>0.01 ᴰ</t>
  </si>
  <si>
    <t>8.61</t>
  </si>
  <si>
    <t>6.88</t>
  </si>
  <si>
    <t>ППК26030, (05.03.2026) [CNP]</t>
  </si>
  <si>
    <t>iCoA-PP-2026-0007 / CoQ-PP-2026-0007</t>
  </si>
  <si>
    <t>2.1 x 10⁴</t>
  </si>
  <si>
    <t>1.9 x 10⁴</t>
  </si>
  <si>
    <t>Н.д.</t>
  </si>
  <si>
    <t>2472-2025, (30.05.2025) [IJZ]</t>
  </si>
  <si>
    <t>11.12.2025 – 12.12.2025</t>
  </si>
  <si>
    <t>ППК26006, (21.01.2026) [CNP]</t>
  </si>
  <si>
    <t>472-0863-25, (22.05.2025) [IJZ-MB]</t>
  </si>
  <si>
    <t>iCoA-PP-2026-0008 / CoQ-PP-2026-0008</t>
  </si>
  <si>
    <t>03.02.2026</t>
  </si>
  <si>
    <t>16.12.2025 – 17.12.2025</t>
  </si>
  <si>
    <t>03.02.2026 – 09.02.2026</t>
  </si>
  <si>
    <t>09.02.2026</t>
  </si>
  <si>
    <t>564-1095-26, (01.09.2026) [IJZ-MB]</t>
  </si>
  <si>
    <t>ППК26009, (21.01.2026) [CNP]</t>
  </si>
  <si>
    <t>✓ COMPLETE
6 testing instances
• 6 document(s) on file, not credited
· stability above A.C.: #6</t>
  </si>
  <si>
    <t>ППК25139, (22.05.2025) [CNP] · on file, not credited</t>
  </si>
  <si>
    <t>16.02.2026</t>
  </si>
  <si>
    <t>23.79</t>
  </si>
  <si>
    <t>0.10</t>
  </si>
  <si>
    <t>Conforms ᴿ</t>
  </si>
  <si>
    <t>08.01.2026</t>
  </si>
  <si>
    <t>7.21</t>
  </si>
  <si>
    <t>ППК26116, (06.07.2026) [CNP]</t>
  </si>
  <si>
    <t>700</t>
  </si>
  <si>
    <t>7.06 ᴿ</t>
  </si>
  <si>
    <t>2471-2025, (30.05.2025) [IJZ]</t>
  </si>
  <si>
    <t>5.6×10²</t>
  </si>
  <si>
    <t>23.02.2026</t>
  </si>
  <si>
    <t>471-0862-25, (22.05.2025) [IJZ-MB]</t>
  </si>
  <si>
    <t>Graps &amp; Creme</t>
  </si>
  <si>
    <t>ППК25174, (10.07.2025) [CNP]</t>
  </si>
  <si>
    <t>09.01.2026</t>
  </si>
  <si>
    <t>23.19</t>
  </si>
  <si>
    <t>536-1067-26, (31.08.2026) [IJZ-MB]</t>
  </si>
  <si>
    <t>0.07</t>
  </si>
  <si>
    <t>6.51</t>
  </si>
  <si>
    <t>0.047</t>
  </si>
  <si>
    <t>3176-2025, (26.06.2025) [IJZ]</t>
  </si>
  <si>
    <t>No.</t>
  </si>
  <si>
    <t>7.8</t>
  </si>
  <si>
    <t>051-3-LoD-26, (02.03.2026) [FHM-K]</t>
  </si>
  <si>
    <t>4.3×10²</t>
  </si>
  <si>
    <t>627-1128-25, (02.07.2025) [IJZ-MB]</t>
  </si>
  <si>
    <t>iCoA code</t>
  </si>
  <si>
    <t>iCoA-PP-2026-0012 / CoQ-PP-2026-0012</t>
  </si>
  <si>
    <t>05.03.2026</t>
  </si>
  <si>
    <t>Issuable</t>
  </si>
  <si>
    <t>ППК25174, (10.07.2025) [CNP] · on file, not credited</t>
  </si>
  <si>
    <t>Issue date (planned)</t>
  </si>
  <si>
    <t>ППК26032, (05.03.2026) [CNP]</t>
  </si>
  <si>
    <t>21.31</t>
  </si>
  <si>
    <t>0.03</t>
  </si>
  <si>
    <t>549-1080-26, (31.08.2026) [IJZ-MB]</t>
  </si>
  <si>
    <t>0.23 % ᴰ</t>
  </si>
  <si>
    <t>6.32</t>
  </si>
  <si>
    <t>CNP reference</t>
  </si>
  <si>
    <t>CoQ (register)</t>
  </si>
  <si>
    <t>051-3-K-26, (04.03.2026) [FHM-K] · on file, not credited</t>
  </si>
  <si>
    <t>Plan reference (31.08.2026)</t>
  </si>
  <si>
    <t>Key</t>
  </si>
  <si>
    <t>197-11-M-26, (10.08.2026) [FHM-M]</t>
  </si>
  <si>
    <t>04.03.2026</t>
  </si>
  <si>
    <t>09.03.2026</t>
  </si>
  <si>
    <t>ППК26032, (05.03.2026) [CNP] · on file, not credited</t>
  </si>
  <si>
    <t>ППК26033, (05.03.2026) [CNP]</t>
  </si>
  <si>
    <t>13.16</t>
  </si>
  <si>
    <t>2.35 % ᴰ</t>
  </si>
  <si>
    <t>5.84</t>
  </si>
  <si>
    <t>20.01.2026</t>
  </si>
  <si>
    <t>09.03.2026 (the issuance plan's basis: 04.03.2026)</t>
  </si>
  <si>
    <t>yes</t>
  </si>
  <si>
    <t>051-3-K-26, (04.03.2026) [FHM-K]</t>
  </si>
  <si>
    <t>6.7</t>
  </si>
  <si>
    <t>051-2-LoD-26, (02.03.2026) [FHM-K]</t>
  </si>
  <si>
    <t>ППК26033, (05.03.2026) [CNP] · on file, not credited</t>
  </si>
  <si>
    <t>ППК26059, (11.05.2026) [CNP]</t>
  </si>
  <si>
    <t>23.08</t>
  </si>
  <si>
    <t>iCoA-PP-2026-0013 / CoQ-PP-2026-0013</t>
  </si>
  <si>
    <t>12.03.2026</t>
  </si>
  <si>
    <t>0.30 % ᴰ</t>
  </si>
  <si>
    <t>6.62</t>
  </si>
  <si>
    <t>20.01.2026 – 21.01.2026</t>
  </si>
  <si>
    <t>051-2-K-26, (04.03.2026) [FHM-K] · on file, not credited</t>
  </si>
  <si>
    <t>ППК26059, (11.05.2026) [CNP] · on file, not credited</t>
  </si>
  <si>
    <t>197-11-K-26, (07.08.2026) [FHM-K]</t>
  </si>
  <si>
    <t>22.61</t>
  </si>
  <si>
    <t>0.23</t>
  </si>
  <si>
    <t>iCoA-PP-2026-0014 / CoQ-PP-2026-0014</t>
  </si>
  <si>
    <t>14.03.2026</t>
  </si>
  <si>
    <t>197-11-K-26, (07.08.2026) [FHM-K] · on file, not credited</t>
  </si>
  <si>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n.r.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</si>
  <si>
    <t>CJ1024|I</t>
  </si>
  <si>
    <t>⚠ 1 NO RESULT
(0 no cert / 1 cert w/o result)
2 testing instances
• 1 document(s) on file, not credited</t>
  </si>
  <si>
    <t>ППК25118, (06.05.2025) [CNP] · on file, not credited</t>
  </si>
  <si>
    <t>31.03.2026</t>
  </si>
  <si>
    <t>18.67 ᴿ</t>
  </si>
  <si>
    <t>0.05 ᴿ</t>
  </si>
  <si>
    <t>26.01.2026 – 27.01.2026</t>
  </si>
  <si>
    <t>31.03.2026 (the issuance plan's basis: 04.03.2026)</t>
  </si>
  <si>
    <t>6.01 ᴿ</t>
  </si>
  <si>
    <t>051-2-K-26, (04.03.2026) [FHM-K]</t>
  </si>
  <si>
    <t>&lt;10 ᴿ</t>
  </si>
  <si>
    <t>&lt;2 ᴿ</t>
  </si>
  <si>
    <t>0.031 ᴿ</t>
  </si>
  <si>
    <t>0.005 ᴿ</t>
  </si>
  <si>
    <t>0.011 ᴿ</t>
  </si>
  <si>
    <t>2157-2025, (07.05.2025) [IJZ]</t>
  </si>
  <si>
    <t>iCoA-PP-2025-0001</t>
  </si>
  <si>
    <t>09.04.2026</t>
  </si>
  <si>
    <t>17.04.2026</t>
  </si>
  <si>
    <t>BSS1024|I</t>
  </si>
  <si>
    <t>406-0744-25, (05.05.2025) [IJZ-MB]</t>
  </si>
  <si>
    <t>26.01.2026</t>
  </si>
  <si>
    <t>17.04.2026 (the issuance plan's basis: 09.04.2026)</t>
  </si>
  <si>
    <t>iCoA-PP-2026-0015 / CoQ-PP-2026-0015</t>
  </si>
  <si>
    <t>21.04.2026</t>
  </si>
  <si>
    <t>563-1094-26, (01.09.2026) [IJZ-MB]</t>
  </si>
  <si>
    <t>25.03.2026</t>
  </si>
  <si>
    <t>iCoA-PP-2025-0002</t>
  </si>
  <si>
    <t>ППК25117, (06.05.2025) [CNP] · on file, not credited</t>
  </si>
  <si>
    <t>BG1024|I</t>
  </si>
  <si>
    <t>15.38</t>
  </si>
  <si>
    <t>packaging date — to record</t>
  </si>
  <si>
    <t>— packaging date to record —</t>
  </si>
  <si>
    <t>5.86</t>
  </si>
  <si>
    <t>— not on the list —</t>
  </si>
  <si>
    <t>0.001</t>
  </si>
  <si>
    <t>2156-2025, (07.05.2025) [IJZ]</t>
  </si>
  <si>
    <t>not yet issuable — no packaging date on the list</t>
  </si>
  <si>
    <t>407-0745-25, (05.05.2025) [IJZ-MB]</t>
  </si>
  <si>
    <t>24.04.2026</t>
  </si>
  <si>
    <t>iCoA-PP-2025-0003</t>
  </si>
  <si>
    <t>GG1024|I</t>
  </si>
  <si>
    <t>05.02.2026</t>
  </si>
  <si>
    <t>24.04.2026 (the issuance plan's basis: 05.03.2026)</t>
  </si>
  <si>
    <t>2156-2025, (07.05.2025) [IJZ] · on file, not credited</t>
  </si>
  <si>
    <t>✓ COMPLETE
2 testing instances
• 2 document(s) on file, not credited
◐ UNDETERMINED (Ph. Eur. band): #9 TYMC</t>
  </si>
  <si>
    <t>iCoA-PP-2026-0016 / CoQ-PP-2026-0016</t>
  </si>
  <si>
    <t>27.04.2026</t>
  </si>
  <si>
    <t>ППК25155, (24.06.2025) [CNP] · on file, not credited</t>
  </si>
  <si>
    <t>22.43</t>
  </si>
  <si>
    <t>iCoA-PP-2025-0004</t>
  </si>
  <si>
    <t>HPA1024|I</t>
  </si>
  <si>
    <t>9.6 x 10³</t>
  </si>
  <si>
    <t>1.5 x 10⁴</t>
  </si>
  <si>
    <t>0.059</t>
  </si>
  <si>
    <t>iCoA-PP-2026-0017 / CoQ-PP-2026-0017</t>
  </si>
  <si>
    <t>0.037</t>
  </si>
  <si>
    <t>0.008</t>
  </si>
  <si>
    <t>28.04.2026</t>
  </si>
  <si>
    <t>≤ LOQ (all 23 compounds)</t>
  </si>
  <si>
    <t>2995-2025, (19.06.2025) [IJZ]</t>
  </si>
  <si>
    <t>587-1066-25, (18.06.2025) [IJZ-MB]</t>
  </si>
  <si>
    <t>11.03.2026</t>
  </si>
  <si>
    <t>197-14-K-26, (07.08.2026) [FHM-K]</t>
  </si>
  <si>
    <t>21.61</t>
  </si>
  <si>
    <t>197-14-K-26, (07.08.2026) [FHM-K] · on file, not credited</t>
  </si>
  <si>
    <t>05.05.2026</t>
  </si>
  <si>
    <t>iCoA-PP-2025-0005</t>
  </si>
  <si>
    <t>OPM1024|I</t>
  </si>
  <si>
    <t>2.06</t>
  </si>
  <si>
    <t>05.05.2026 (the issuance plan's basis: 11.05.2026)</t>
  </si>
  <si>
    <t>197-14-M-26, (10.08.2026) [FHM-M]</t>
  </si>
  <si>
    <t>ППК25154, (24.06.2025) [CNP] · on file, not credited</t>
  </si>
  <si>
    <t>post-SOP</t>
  </si>
  <si>
    <t>23.04.2026</t>
  </si>
  <si>
    <t>14.05.2026</t>
  </si>
  <si>
    <t>18.27</t>
  </si>
  <si>
    <t>14.05.2026 (the issuance plan's basis: 23.04.2026)</t>
  </si>
  <si>
    <t>registered — first working day 5 days after packaging</t>
  </si>
  <si>
    <t>iCoA-PP-2025-0006</t>
  </si>
  <si>
    <t>P050022|I</t>
  </si>
  <si>
    <t>18.05.2026</t>
  </si>
  <si>
    <t>6.89</t>
  </si>
  <si>
    <t>3.4 x 10³</t>
  </si>
  <si>
    <t>3.6 x 10³</t>
  </si>
  <si>
    <t>Cash Cow</t>
  </si>
  <si>
    <t>18.05.2026 (the issuance plan's basis: 11.05.2026)</t>
  </si>
  <si>
    <t>0.052</t>
  </si>
  <si>
    <t>0.028</t>
  </si>
  <si>
    <t>0.061</t>
  </si>
  <si>
    <t>FINDS: delta HCH &lt;0.01</t>
  </si>
  <si>
    <t>2994-2025, (19.06.2025) [IJZ]</t>
  </si>
  <si>
    <t>iCoA-PP-2026-0018 / CoQ-PP-2026-0018</t>
  </si>
  <si>
    <t>588-1067-25, (18.06.2025) [IJZ-MB]</t>
  </si>
  <si>
    <t>CoQ code</t>
  </si>
  <si>
    <t>P050012|I</t>
  </si>
  <si>
    <t>ППК26069, (11.05.2026) [CNP]</t>
  </si>
  <si>
    <t>Rule date</t>
  </si>
  <si>
    <t>Latest eCoA cited (date)</t>
  </si>
  <si>
    <t>197-18-K-26, (07.08.2026) [FHM-K]</t>
  </si>
  <si>
    <t>Latest eCoA cited (code)</t>
  </si>
  <si>
    <t>18.04</t>
  </si>
  <si>
    <t>iCoA (register)</t>
  </si>
  <si>
    <t>iCoA issue date</t>
  </si>
  <si>
    <t>197-18-K-26, (07.08.2026) [FHM-K] · on file, not credited</t>
  </si>
  <si>
    <t>19.05.2026</t>
  </si>
  <si>
    <t>Ident C — eCoA (Total THC)</t>
  </si>
  <si>
    <t>CNP references</t>
  </si>
  <si>
    <t>Supersedes (old in-house CoA)</t>
  </si>
  <si>
    <t>19.05.2026 (the issuance plan's basis: 11.05.2026)</t>
  </si>
  <si>
    <t>197-18-M-26, (10.08.2026) [FHM-M]</t>
  </si>
  <si>
    <t>✓ COMPLETE
5 testing instances
• 4 document(s) on file, not credited
◐ UNDETERMINED (Ph. Eur. band): #9 TYMC
· stability above A.C.: #6</t>
  </si>
  <si>
    <t>P050032|I</t>
  </si>
  <si>
    <t>ППК25175, (10.07.2025) [CNP] · on file, not credited</t>
  </si>
  <si>
    <t>20.05.2026</t>
  </si>
  <si>
    <t>25.45</t>
  </si>
  <si>
    <t>27.03.2026</t>
  </si>
  <si>
    <t>20.05.2026 (the issuance plan's basis: 11.05.2026)</t>
  </si>
  <si>
    <t>6.58</t>
  </si>
  <si>
    <t>1.1 x 10⁴</t>
  </si>
  <si>
    <t>1.2 x 10⁴</t>
  </si>
  <si>
    <t>&lt;10⁴ и &gt;10³</t>
  </si>
  <si>
    <t>0.119</t>
  </si>
  <si>
    <t>3178-2025, (26.06.2025) [IJZ]</t>
  </si>
  <si>
    <t>21.05.2026</t>
  </si>
  <si>
    <t>628-1129-25, (02.07.2025) [IJZ-MB]</t>
  </si>
  <si>
    <t>iCoA-PP-2025-0007</t>
  </si>
  <si>
    <t>P050042|I</t>
  </si>
  <si>
    <t>21.05.2026 (the issuance plan's basis: 11.05.2026)</t>
  </si>
  <si>
    <t>ППК26034, (05.03.2026) [CNP]</t>
  </si>
  <si>
    <t>750-2025</t>
  </si>
  <si>
    <t>24.62</t>
  </si>
  <si>
    <t>0.05 % ᴰ</t>
  </si>
  <si>
    <t>22.05.2026</t>
  </si>
  <si>
    <t>5.92</t>
  </si>
  <si>
    <t>16.04.2026</t>
  </si>
  <si>
    <t>ППК26034, (05.03.2026) [CNP] · on file, not credited</t>
  </si>
  <si>
    <t>ППК26035, (05.03.2026) [CNP]</t>
  </si>
  <si>
    <t>14.99</t>
  </si>
  <si>
    <t>iCoA-PP-2026-0019 / CoQ-PP-2026-0019</t>
  </si>
  <si>
    <t>registered — legacy series, issued 27.05.2026</t>
  </si>
  <si>
    <t>iCoA-PP-2025-0008</t>
  </si>
  <si>
    <t>P050052|I</t>
  </si>
  <si>
    <t>2.15 % ᴰ</t>
  </si>
  <si>
    <t>5.52</t>
  </si>
  <si>
    <t>ППК26035, (05.03.2026) [CNP] · on file, not credited</t>
  </si>
  <si>
    <t>ППК26060, (11.05.2026) [CNP]</t>
  </si>
  <si>
    <t>25.98</t>
  </si>
  <si>
    <t>751-2025</t>
  </si>
  <si>
    <t>0.04 % ᴰ</t>
  </si>
  <si>
    <t>iCoA-PP-2026-0021 / CoQ-PP-2026-0021</t>
  </si>
  <si>
    <t>23.05.2026</t>
  </si>
  <si>
    <t>7.07</t>
  </si>
  <si>
    <t>ППК26060, (11.05.2026) [CNP] · on file, not credited</t>
  </si>
  <si>
    <t>not needed</t>
  </si>
  <si>
    <t>iCoA-PP-2025-0009</t>
  </si>
  <si>
    <t>P050062|I</t>
  </si>
  <si>
    <t>30.06.2026</t>
  </si>
  <si>
    <t>28.05.2026</t>
  </si>
  <si>
    <t>CoQ-PP-2025-0001</t>
  </si>
  <si>
    <t>29.04.2026</t>
  </si>
  <si>
    <t>23.05.2026 (the issuance plan's basis: 30.06.2026)</t>
  </si>
  <si>
    <t>— all three on the CNP certificate —</t>
  </si>
  <si>
    <t>CNP ППК26110</t>
  </si>
  <si>
    <t>not needed — CNP covers A, B and foreign matter</t>
  </si>
  <si>
    <t>16.55</t>
  </si>
  <si>
    <t>iCoA-PP-2026-0020 / CoQ-PP-2026-0020</t>
  </si>
  <si>
    <t>752-2025</t>
  </si>
  <si>
    <t>22.04.2026</t>
  </si>
  <si>
    <t>2×10²</t>
  </si>
  <si>
    <t>3×10²</t>
  </si>
  <si>
    <t>CNP ППК26111</t>
  </si>
  <si>
    <t>2.1</t>
  </si>
  <si>
    <t>iCoA-PP-2025-0010</t>
  </si>
  <si>
    <t>0.135</t>
  </si>
  <si>
    <t>P050072|I</t>
  </si>
  <si>
    <t>3636-2025, (28.07.2025) [IJZ]</t>
  </si>
  <si>
    <t>766-1375-25, (29.07.2025) [IJZ-MB]</t>
  </si>
  <si>
    <t>iCoA-PP-2026-0022 / CoQ-PP-2026-0022</t>
  </si>
  <si>
    <t>ППК25210, (28.07.2025) [CNP] · on file, not credited</t>
  </si>
  <si>
    <t>CoQ-PP-2025-0002</t>
  </si>
  <si>
    <t>iCoA-PP-2026-0023 / CoQ-PP-2026-0023</t>
  </si>
  <si>
    <t>24.05.2026</t>
  </si>
  <si>
    <t>✓ COMPLETE
2 testing instances
• 2 document(s) on file, not credited
✗ OUT OF SPECIFICATION: #9 TYMC</t>
  </si>
  <si>
    <t>29.05.2026</t>
  </si>
  <si>
    <t>iCoA-PP-2025-0011</t>
  </si>
  <si>
    <t>ППК25104, (17.04.2025) [CNP] · on file, not credited</t>
  </si>
  <si>
    <t>P050082|I</t>
  </si>
  <si>
    <t>GorillaGlue</t>
  </si>
  <si>
    <t>04.05.2026</t>
  </si>
  <si>
    <t>17.22</t>
  </si>
  <si>
    <t>CNP ППК26114</t>
  </si>
  <si>
    <t>ND ᴰ</t>
  </si>
  <si>
    <t>7.54</t>
  </si>
  <si>
    <t>5.1 x 10⁴</t>
  </si>
  <si>
    <t>4.2 x 10⁴</t>
  </si>
  <si>
    <t>iCoA-PP-2026-0025 / CoQ-PP-2026-0025</t>
  </si>
  <si>
    <t>0.007</t>
  </si>
  <si>
    <t>0.015</t>
  </si>
  <si>
    <t>1766-2025, (11.04.2025) [IJZ]</t>
  </si>
  <si>
    <t>320-0587-25, (14.04.2025) [IJZ-MB]</t>
  </si>
  <si>
    <t>CoQ-PP-2025-0003</t>
  </si>
  <si>
    <t>registered — legacy series, issued 27.05.2026 · initial certificate to locate: #3 (CNP), #4 (CNP), #5 (CNP), #6 (CNP), #8 (CNP), #9 (IJZ), #10 (CNP), #11 (CNP), #12 (CNP)</t>
  </si>
  <si>
    <t>iCoA-PP-2025-0012</t>
  </si>
  <si>
    <t>25.05.2026</t>
  </si>
  <si>
    <t>P050092|I</t>
  </si>
  <si>
    <t>197-9-K-26, (07.08.2026) [FHM-K]</t>
  </si>
  <si>
    <t>18.67</t>
  </si>
  <si>
    <t>0.20</t>
  </si>
  <si>
    <t>197-9-K-26, (07.08.2026) [FHM-K] · on file, not credited</t>
  </si>
  <si>
    <t>iCoA-PP-2026-0026 / CoQ-PP-2026-0026</t>
  </si>
  <si>
    <t>197-9-M-26, (10.08.2026) [FHM-M]</t>
  </si>
  <si>
    <t>✓ COMPLETE
3 testing instances
• 1 document(s) on file, not credited</t>
  </si>
  <si>
    <t>ППК25105, (17.04.2025) [CNP] · on file, not credited</t>
  </si>
  <si>
    <t>P050102|I</t>
  </si>
  <si>
    <t>20.79</t>
  </si>
  <si>
    <t>CoQ-PP-2025-0004</t>
  </si>
  <si>
    <t>15.06.2026</t>
  </si>
  <si>
    <t>22.06.2026</t>
  </si>
  <si>
    <t>6.73</t>
  </si>
  <si>
    <t>4.2 x 10³</t>
  </si>
  <si>
    <t>6 x 10³</t>
  </si>
  <si>
    <t>15.06.2026 (the issuance plan's basis: 30.06.2026)</t>
  </si>
  <si>
    <t>CNP ППК26112</t>
  </si>
  <si>
    <t>0.026</t>
  </si>
  <si>
    <t>1767-2025, (11.04.2025) [IJZ]</t>
  </si>
  <si>
    <t>318-0585-25, (14.04.2025) [IJZ-MB]</t>
  </si>
  <si>
    <t>06.07.2026</t>
  </si>
  <si>
    <t>18.06.2026</t>
  </si>
  <si>
    <t>23.06.2026</t>
  </si>
  <si>
    <t>13.05.2026</t>
  </si>
  <si>
    <t>18.06.2026 (the issuance plan's basis: 06.07.2026)</t>
  </si>
  <si>
    <t>iCoA-PP-2025-0013</t>
  </si>
  <si>
    <t>P050112|I</t>
  </si>
  <si>
    <t>CNP ППК26116</t>
  </si>
  <si>
    <t>5.2 x 10³</t>
  </si>
  <si>
    <t>8.8 x 10³</t>
  </si>
  <si>
    <t>21.07.2026</t>
  </si>
  <si>
    <t>29.06.2026</t>
  </si>
  <si>
    <t>319-0586-25, (14.04.2025) [IJZ-MB]</t>
  </si>
  <si>
    <t>FatBastard</t>
  </si>
  <si>
    <t>02.06.2026</t>
  </si>
  <si>
    <t>29.06.2026 (the issuance plan's basis: 21.07.2026)</t>
  </si>
  <si>
    <t>CNP ППК26127</t>
  </si>
  <si>
    <t>50</t>
  </si>
  <si>
    <t>CoQ-PP-2025-0005</t>
  </si>
  <si>
    <t>16.07.2026</t>
  </si>
  <si>
    <t>562-1093-26, (01.09.2026) [IJZ-MB]</t>
  </si>
  <si>
    <t>16.06.2026</t>
  </si>
  <si>
    <t>16.07.2026 (the issuance plan's basis: 21.07.2026)</t>
  </si>
  <si>
    <t>CNP ППК26128</t>
  </si>
  <si>
    <t>P050122|I</t>
  </si>
  <si>
    <t>ППК25211, (28.07.2025) [CNP] · on file, not credited</t>
  </si>
  <si>
    <t>2471-2025</t>
  </si>
  <si>
    <t>16.82</t>
  </si>
  <si>
    <t>05.08.2026</t>
  </si>
  <si>
    <t>10.08.2026</t>
  </si>
  <si>
    <t>6.56</t>
  </si>
  <si>
    <t>05.08.2026 (the issuance plan's basis: 30.06.2026)</t>
  </si>
  <si>
    <t>3.5 x 10³</t>
  </si>
  <si>
    <t>CNP ППК26115</t>
  </si>
  <si>
    <t>1 x 10³</t>
  </si>
  <si>
    <t>2</t>
  </si>
  <si>
    <t>0.086</t>
  </si>
  <si>
    <t>3638-2025, (28.07.2025) [IJZ]</t>
  </si>
  <si>
    <t>CoQ-PP-2025-0006</t>
  </si>
  <si>
    <t>767-1376-25, (29.07.2025) [IJZ-MB]</t>
  </si>
  <si>
    <t>CNP ППК26117</t>
  </si>
  <si>
    <t>P050132|I</t>
  </si>
  <si>
    <t>2472-2025</t>
  </si>
  <si>
    <t>CNP ППК26118</t>
  </si>
  <si>
    <t>ППК25176, (10.07.2025) [CNP] · on file, not credited</t>
  </si>
  <si>
    <t>23.42</t>
  </si>
  <si>
    <t>iCoA-PP-2025-0014</t>
  </si>
  <si>
    <t>P050152|I</t>
  </si>
  <si>
    <t>CNP ППК26119</t>
  </si>
  <si>
    <t>retest — sampled — Tranche 2/3 (potency and mycotoxins pending)</t>
  </si>
  <si>
    <t>Н.Д.</t>
  </si>
  <si>
    <t>0.112</t>
  </si>
  <si>
    <t>3177-2025, (26.06.2025) [IJZ]</t>
  </si>
  <si>
    <t>CoQ reissue (assigned on issue)</t>
  </si>
  <si>
    <t>27.02.2026</t>
  </si>
  <si>
    <t>at retest sampling</t>
  </si>
  <si>
    <t>at the retest sampling · sampled — Tranche 2/3 (potency and mycotoxins pending)</t>
  </si>
  <si>
    <t>626-1127-25, (02.07.2025) [IJZ-MB]</t>
  </si>
  <si>
    <t>to test</t>
  </si>
  <si>
    <t>2157-2025</t>
  </si>
  <si>
    <t>— retest assay not yet on file —</t>
  </si>
  <si>
    <t>— pending —</t>
  </si>
  <si>
    <t>#8, #9, #11, #12 from the initial testing</t>
  </si>
  <si>
    <t>sampled — microbiology on file, retest assay pending</t>
  </si>
  <si>
    <t>retest — Tranche 1 (sampled July 2026)</t>
  </si>
  <si>
    <t>20</t>
  </si>
  <si>
    <t>P050142|I</t>
  </si>
  <si>
    <t>CoQ-PP-2026-0027</t>
  </si>
  <si>
    <t>at the retest sampling · Tranche 1 (sampled July 2026)</t>
  </si>
  <si>
    <t>561-1092-26, (01.09.2026) [IJZ-MB]</t>
  </si>
  <si>
    <t>⚠ 1 NO RESULT
(0 no cert / 1 cert w/o result)
2 testing instances
• 1 document(s) on file, not credited
✗ OUT OF SPECIFICATION: #9 TYMC</t>
  </si>
  <si>
    <t>ППК25257, (05.09.2025) [CNP] · on file, not credited</t>
  </si>
  <si>
    <t>due — retest assay, mycotoxins on file; in-house iCoA to test</t>
  </si>
  <si>
    <t>14.16 ᴿ</t>
  </si>
  <si>
    <t>0.04 ᴿ</t>
  </si>
  <si>
    <t>CoQ-PP-2026-0028</t>
  </si>
  <si>
    <t>07.03.2026</t>
  </si>
  <si>
    <t>8.28 ᴿ</t>
  </si>
  <si>
    <t>1.2×10⁴ ᴿ</t>
  </si>
  <si>
    <t>3.3×10⁴ ᴿ</t>
  </si>
  <si>
    <t>2.1 ᴿ</t>
  </si>
  <si>
    <t>4157-2025, (29.08.2025) [IJZ]</t>
  </si>
  <si>
    <t>2156-2025</t>
  </si>
  <si>
    <t>retest — not yet sampled</t>
  </si>
  <si>
    <t>iCoA-PP-2025-0015</t>
  </si>
  <si>
    <t>904-1589-25, (02.09.2025) [IJZ-MB]</t>
  </si>
  <si>
    <t>P050162|I</t>
  </si>
  <si>
    <t>CoQ-PP-2026-0029</t>
  </si>
  <si>
    <t>at the retest sampling · not yet sampled</t>
  </si>
  <si>
    <t>pending — not yet sampled</t>
  </si>
  <si>
    <t>CoQ-PP-2025-0007</t>
  </si>
  <si>
    <t>560-1091-26, (01.09.2026) [IJZ-MB]</t>
  </si>
  <si>
    <t>CoQ-PP-2026-0030</t>
  </si>
  <si>
    <t>11.04.2026</t>
  </si>
  <si>
    <t>ППК25279, (19.09.2025) [CNP] · on file, not credited</t>
  </si>
  <si>
    <t>P050172|I</t>
  </si>
  <si>
    <t>0.03 ᴰ</t>
  </si>
  <si>
    <t>7.30</t>
  </si>
  <si>
    <t>2.1×10⁴ ᴿ</t>
  </si>
  <si>
    <t>3.6 x 10⁴</t>
  </si>
  <si>
    <t>&lt;10² и &gt;10¹</t>
  </si>
  <si>
    <t>4348-2025, (15.09.2025) [IJZ]</t>
  </si>
  <si>
    <t>946-1684-25, (17.09.2025) [IJZ-MB]</t>
  </si>
  <si>
    <t>CoQ-PP-2025-0008</t>
  </si>
  <si>
    <t>CoQ-PP-2026-0031</t>
  </si>
  <si>
    <t>197-10-K-26, (07.08.2026) [FHM-K]</t>
  </si>
  <si>
    <t>18.52</t>
  </si>
  <si>
    <t>iCoA-PP-2025-0016</t>
  </si>
  <si>
    <t>197-10-K-26, (07.08.2026) [FHM-K] · on file, not credited</t>
  </si>
  <si>
    <t>P050182|I</t>
  </si>
  <si>
    <t>197-10-M-26, (10.08.2026) [FHM-M]</t>
  </si>
  <si>
    <t>ППК25280, (17.09.2025) [CNP] · on file, not credited</t>
  </si>
  <si>
    <t>20.29</t>
  </si>
  <si>
    <t>07.05.2026</t>
  </si>
  <si>
    <t>7.93</t>
  </si>
  <si>
    <t>2.8×10⁴</t>
  </si>
  <si>
    <t>1.7×10⁴</t>
  </si>
  <si>
    <t>CoQ-PP-2025-0009</t>
  </si>
  <si>
    <t>0.085</t>
  </si>
  <si>
    <t>≤ LOQ (all 24 compounds)</t>
  </si>
  <si>
    <t>4350-2025, (15.09.2025) [IJZ]</t>
  </si>
  <si>
    <t>30.05.2026</t>
  </si>
  <si>
    <t>iCoA-PP-2025-0017</t>
  </si>
  <si>
    <t>949-1687-25, (17.09.2025) [IJZ-MB]</t>
  </si>
  <si>
    <t>P050192|I</t>
  </si>
  <si>
    <t>197-3-K-26, (07.08.2026) [FHM-K]</t>
  </si>
  <si>
    <t>24.05</t>
  </si>
  <si>
    <t>197-3-K-26, (07.08.2026) [FHM-K] · on file, not credited</t>
  </si>
  <si>
    <t>CoQ-PP-2026-0032</t>
  </si>
  <si>
    <t>03.06.2026</t>
  </si>
  <si>
    <t>CoQ-PP-2025-0010</t>
  </si>
  <si>
    <t>197-3-M-26, (10.08.2026) [FHM-M]</t>
  </si>
  <si>
    <t>ППК25281, (17.09.2025) [CNP] · on file, not credited</t>
  </si>
  <si>
    <t>CoQ-PP-2026-0033</t>
  </si>
  <si>
    <t>14.93</t>
  </si>
  <si>
    <t>20.06.2026</t>
  </si>
  <si>
    <t>P050202|I</t>
  </si>
  <si>
    <t>766-1375-25</t>
  </si>
  <si>
    <t>6.63</t>
  </si>
  <si>
    <t>9 x 10³</t>
  </si>
  <si>
    <t>6.3 x 10³</t>
  </si>
  <si>
    <t>0.042</t>
  </si>
  <si>
    <t>4349-2025, (15.09.2025) [IJZ]</t>
  </si>
  <si>
    <t>947-1685-25, (17.09.2025) [IJZ-MB]</t>
  </si>
  <si>
    <t>CoQ-PP-2025-0011</t>
  </si>
  <si>
    <t>CoQ-PP-2026-0034</t>
  </si>
  <si>
    <t>27.06.2026</t>
  </si>
  <si>
    <t>P050212|I</t>
  </si>
  <si>
    <t>558-1089-26, (01.09.2026) [IJZ-MB]</t>
  </si>
  <si>
    <t>✓ COMPLETE
2 testing instances
• 1 document(s) on file, not credited
✗ OUT OF SPECIFICATION: #9 TYMC</t>
  </si>
  <si>
    <t>ППК25278, (19.09.2025) [CNP] · on file, not credited</t>
  </si>
  <si>
    <t>CoQ-PP-2026-0035</t>
  </si>
  <si>
    <t>04.07.2026</t>
  </si>
  <si>
    <t>20.39</t>
  </si>
  <si>
    <t>0.09</t>
  </si>
  <si>
    <t>CoQ-PP-2025-0012</t>
  </si>
  <si>
    <t>7.29</t>
  </si>
  <si>
    <t>2.7 x 10⁴</t>
  </si>
  <si>
    <t>2.6 x 10⁴</t>
  </si>
  <si>
    <t>0.034</t>
  </si>
  <si>
    <t>4352-2025, (15.09.2025) [IJZ]</t>
  </si>
  <si>
    <t>iCoA-PP-2025-0018</t>
  </si>
  <si>
    <t>P050222|I</t>
  </si>
  <si>
    <t>948-1686-25, (17.09.2025) [IJZ-MB]</t>
  </si>
  <si>
    <t>CoQ-PP-2026-0036</t>
  </si>
  <si>
    <t>14.07.2026</t>
  </si>
  <si>
    <t>P050252|I</t>
  </si>
  <si>
    <t>0.11</t>
  </si>
  <si>
    <t>767-1376-25</t>
  </si>
  <si>
    <t>CoQ-PP-2026-0037</t>
  </si>
  <si>
    <t>22.07.2026</t>
  </si>
  <si>
    <t>CoQ-PP-2025-0013</t>
  </si>
  <si>
    <t>P050262|I</t>
  </si>
  <si>
    <t>CoQ-PP-2026-0038</t>
  </si>
  <si>
    <t>P050272|I</t>
  </si>
  <si>
    <t>— not in the issuance plan —</t>
  </si>
  <si>
    <t>CoQ-PP-2026-0039</t>
  </si>
  <si>
    <t>25.08.2026</t>
  </si>
  <si>
    <t>24.89</t>
  </si>
  <si>
    <t>0.17</t>
  </si>
  <si>
    <t>iCoA-PP-2025-0019</t>
  </si>
  <si>
    <t>P050282|I</t>
  </si>
  <si>
    <t>05.09.2026</t>
  </si>
  <si>
    <t>ППК26036, (05.03.2026) [CNP] · on file, not credited</t>
  </si>
  <si>
    <t>22.83</t>
  </si>
  <si>
    <t>17.09.2026</t>
  </si>
  <si>
    <t>ППК26037, (05.03.2026) [CNP] · on file, not credited</t>
  </si>
  <si>
    <t>P050292|I</t>
  </si>
  <si>
    <t>18.62</t>
  </si>
  <si>
    <t>1.09 ᴿ</t>
  </si>
  <si>
    <t>CoQ-PP-2025-0014</t>
  </si>
  <si>
    <t>25.09.2026</t>
  </si>
  <si>
    <t>ППК26057, (11.05.2026) [CNP] · on file, not credited</t>
  </si>
  <si>
    <t>24.51</t>
  </si>
  <si>
    <t>iCoA-PP-2025-0020</t>
  </si>
  <si>
    <t>P050302|I</t>
  </si>
  <si>
    <t>ППК26058, (11.05.2026) [CNP] · on file, not credited</t>
  </si>
  <si>
    <t>17.05</t>
  </si>
  <si>
    <t>30.09.2026</t>
  </si>
  <si>
    <t>2.05 % ᴰ</t>
  </si>
  <si>
    <t>iCoA-PP-2025-0021</t>
  </si>
  <si>
    <t>P050312|I</t>
  </si>
  <si>
    <t>03.10.2026</t>
  </si>
  <si>
    <t>ППК25322, (23.10.2025) [CNP] · on file, not credited</t>
  </si>
  <si>
    <t>16.56</t>
  </si>
  <si>
    <t>0.14</t>
  </si>
  <si>
    <t>6.70</t>
  </si>
  <si>
    <t>2.2 x 10⁴</t>
  </si>
  <si>
    <t>4.9 x 10⁴</t>
  </si>
  <si>
    <t>0.002</t>
  </si>
  <si>
    <t>0.012</t>
  </si>
  <si>
    <t>4908-2025, (24.10.2025) [IJZ]</t>
  </si>
  <si>
    <t>CoQ-PP-2025-0015</t>
  </si>
  <si>
    <t>iCoA-PP-2025-0022</t>
  </si>
  <si>
    <t>10.10.2026</t>
  </si>
  <si>
    <t>P050322|I</t>
  </si>
  <si>
    <t>1032-1851-25, (17.10.2025) [IJZ-MB]</t>
  </si>
  <si>
    <t>197-4-K-26, (07.08.2026) [FHM-K]</t>
  </si>
  <si>
    <t>18.91</t>
  </si>
  <si>
    <t>197-4-K-26, (07.08.2026) [FHM-K] · on file, not credited</t>
  </si>
  <si>
    <t>24.11.2026</t>
  </si>
  <si>
    <t>iCoA-PP-2026-0001</t>
  </si>
  <si>
    <t>P060012|I</t>
  </si>
  <si>
    <t>197-4-M-26, (10.08.2026) [FHM-M]</t>
  </si>
  <si>
    <t>ППК25321, (23.10.2025) [CNP] · on file, not credited</t>
  </si>
  <si>
    <t>21.51</t>
  </si>
  <si>
    <t>02.12.2026</t>
  </si>
  <si>
    <t>0.027</t>
  </si>
  <si>
    <t>4907-2025, (24.10.2025) [IJZ]</t>
  </si>
  <si>
    <t>iCoA-PP-2026-0002</t>
  </si>
  <si>
    <t>P060022|I</t>
  </si>
  <si>
    <t>1217-2168-25, (01.12.2025) [IJZ-MB]</t>
  </si>
  <si>
    <t>CoQ-PP-2025-0016</t>
  </si>
  <si>
    <t>iCoA-PP-2026-0003</t>
  </si>
  <si>
    <t>23.70</t>
  </si>
  <si>
    <t>03.12.2026</t>
  </si>
  <si>
    <t>P060032|I</t>
  </si>
  <si>
    <t>8.22</t>
  </si>
  <si>
    <t>3.5×10³</t>
  </si>
  <si>
    <t>5697-2025, (02.12.2025) [IJZ]</t>
  </si>
  <si>
    <t>1218-2169-25, (01.12.2025) [IJZ-MB]</t>
  </si>
  <si>
    <t>22.12.2026</t>
  </si>
  <si>
    <t>ППК25367, (28.11.2025) [CNP] · on file, not credited</t>
  </si>
  <si>
    <t>PP CoA #017 of 04.12.2025</t>
  </si>
  <si>
    <t>CoQ-PP-2025-0017</t>
  </si>
  <si>
    <t>556-1087-26, (01.09.2026) [IJZ-MB]</t>
  </si>
  <si>
    <t>23.12.2026</t>
  </si>
  <si>
    <t>iCoA-PP-2026-0004</t>
  </si>
  <si>
    <t>P060042|I</t>
  </si>
  <si>
    <t>ППК25369, (28.11.2025) [CNP] · on file, not credited</t>
  </si>
  <si>
    <t>22.11</t>
  </si>
  <si>
    <t>8.94</t>
  </si>
  <si>
    <t>26.12.2026</t>
  </si>
  <si>
    <t>197-12-K-26, (07.08.2026) [FHM-K]</t>
  </si>
  <si>
    <t>197-12-M-26, (10.08.2026) [FHM-M]</t>
  </si>
  <si>
    <t>PP CoA #016 of 04.10.2025</t>
  </si>
  <si>
    <t>13.01.2027</t>
  </si>
  <si>
    <t>P060052|I</t>
  </si>
  <si>
    <t>16.01.2027</t>
  </si>
  <si>
    <t>90</t>
  </si>
  <si>
    <t>4908-2025</t>
  </si>
  <si>
    <t>0.023</t>
  </si>
  <si>
    <t>5699-2025, (02.12.2025) [IJZ]</t>
  </si>
  <si>
    <t>iCoA-PP-2026-0005</t>
  </si>
  <si>
    <t>1221-2172-25, (01.12.2025) [IJZ-MB]</t>
  </si>
  <si>
    <t>P060062|I</t>
  </si>
  <si>
    <t>21.01.2027</t>
  </si>
  <si>
    <t>PP CoA #028 of 24.01.2026</t>
  </si>
  <si>
    <t>555-1086-26, (01.09.2026) [IJZ-MB]</t>
  </si>
  <si>
    <t>ППК25368, (28.11.2025) [CNP] · on file, not credited</t>
  </si>
  <si>
    <t>10.01 ᴿ</t>
  </si>
  <si>
    <t>iCoA-PP-2026-0006</t>
  </si>
  <si>
    <t>1217-2168-25</t>
  </si>
  <si>
    <t>P060072|I</t>
  </si>
  <si>
    <t>9.52 ᴿ</t>
  </si>
  <si>
    <t>110 ᴿ</t>
  </si>
  <si>
    <t>200 ᴿ</t>
  </si>
  <si>
    <t>0.021 ᴿ</t>
  </si>
  <si>
    <t>0.001 ᴿ</t>
  </si>
  <si>
    <t>0.012 ᴿ</t>
  </si>
  <si>
    <t>0.003 ᴿ</t>
  </si>
  <si>
    <t>5698-2025, (02.12.2025) [IJZ]</t>
  </si>
  <si>
    <t>24.01.2027</t>
  </si>
  <si>
    <t>CoQ-PP-2025-0018</t>
  </si>
  <si>
    <t>1220-2171-25, (01.12.2025) [IJZ-MB]</t>
  </si>
  <si>
    <t>iCoA-PP-2026-0007</t>
  </si>
  <si>
    <t>P060082|I</t>
  </si>
  <si>
    <t>29.01.2027</t>
  </si>
  <si>
    <t>554-1085-26, (01.09.2026) [IJZ-MB]</t>
  </si>
  <si>
    <t>5697-2025</t>
  </si>
  <si>
    <t>197-5-K-26, (07.08.2026) [FHM-K]</t>
  </si>
  <si>
    <t>197-5-M-26, (10.08.2026) [FHM-M]</t>
  </si>
  <si>
    <t>ППК25370, (28.11.2025) [CNP] · on file, not credited</t>
  </si>
  <si>
    <t>8.02</t>
  </si>
  <si>
    <t>9.68</t>
  </si>
  <si>
    <t>0.032</t>
  </si>
  <si>
    <t>0.021</t>
  </si>
  <si>
    <t>5700-2025, (02.12.2025) [IJZ]</t>
  </si>
  <si>
    <t>iCoA-PP-2026-0008</t>
  </si>
  <si>
    <t>P060092|I</t>
  </si>
  <si>
    <t>1219-2170-25, (01.12.2025) [IJZ-MB]</t>
  </si>
  <si>
    <t>30.01.2027</t>
  </si>
  <si>
    <t>5699-2025</t>
  </si>
  <si>
    <t>197-20-K-26, (07.08.2026) [FHM-K]</t>
  </si>
  <si>
    <t>197-20-M-26, (10.08.2026) [FHM-M]</t>
  </si>
  <si>
    <t>02.02.2027</t>
  </si>
  <si>
    <t>P060102|I</t>
  </si>
  <si>
    <t>ППК25378, (12.12.2025) [CNP] · on file, not credited</t>
  </si>
  <si>
    <t>21.36</t>
  </si>
  <si>
    <t>0.02 % ᴰ</t>
  </si>
  <si>
    <t>6.5 x 10³</t>
  </si>
  <si>
    <t>5698-2025</t>
  </si>
  <si>
    <t>0.003</t>
  </si>
  <si>
    <t>5886-2025, (12.12.2025) [IJZ]</t>
  </si>
  <si>
    <t>1228-2194-25, (05.12.2025) [IJZ-MB]</t>
  </si>
  <si>
    <t>P060142|I</t>
  </si>
  <si>
    <t>PP CoA #026 of 21.01.2026</t>
  </si>
  <si>
    <t>03.02.2027</t>
  </si>
  <si>
    <t>553-1084-26, (01.09.2026) [IJZ-MB]</t>
  </si>
  <si>
    <t>5700-2025</t>
  </si>
  <si>
    <t>ППК25379, (12.12.2025) [CNP] · on file, not credited</t>
  </si>
  <si>
    <t>19.81</t>
  </si>
  <si>
    <t>iCoA-PP-2026-0012</t>
  </si>
  <si>
    <t>P060152|I</t>
  </si>
  <si>
    <t>20.02.2027</t>
  </si>
  <si>
    <t>0.03 % ᴰ</t>
  </si>
  <si>
    <t>7.41</t>
  </si>
  <si>
    <t>CoQ-PP-2025-0019</t>
  </si>
  <si>
    <t>0.0028</t>
  </si>
  <si>
    <t>0.019</t>
  </si>
  <si>
    <t>5887-2025, (12.12.2025) [IJZ]</t>
  </si>
  <si>
    <t>1229-2195-25, (05.12.2025) [IJZ-MB]</t>
  </si>
  <si>
    <t>04.03.2027</t>
  </si>
  <si>
    <t>P060162|I</t>
  </si>
  <si>
    <t>ППК25380, (12.12.2025) [CNP] · on file, not credited</t>
  </si>
  <si>
    <t>21.29</t>
  </si>
  <si>
    <t>6.29</t>
  </si>
  <si>
    <t>4.3 x 10²</t>
  </si>
  <si>
    <t>iCoA-PP-2026-0013</t>
  </si>
  <si>
    <t>05.03.2027</t>
  </si>
  <si>
    <t>P060172|I</t>
  </si>
  <si>
    <t>5888-2025, (12.12.2025) [IJZ]</t>
  </si>
  <si>
    <t>1226-2192-25, (05.12.2025) [IJZ-MB]</t>
  </si>
  <si>
    <t>CoQ-PP-2025-0020</t>
  </si>
  <si>
    <t>iCoA-PP-2026-0014</t>
  </si>
  <si>
    <t>P060182|I</t>
  </si>
  <si>
    <t>ППК25381, (12.12.2025) [CNP] · on file, not credited</t>
  </si>
  <si>
    <t>14.83</t>
  </si>
  <si>
    <t>3.2 x 10³</t>
  </si>
  <si>
    <t>5.8 x 10³</t>
  </si>
  <si>
    <t>&lt;10^4 и &gt;10^3</t>
  </si>
  <si>
    <t>12.03.2027</t>
  </si>
  <si>
    <t>5889-2025, (12.12.2025) [IJZ]</t>
  </si>
  <si>
    <t>CoQ-PP-2025-0021</t>
  </si>
  <si>
    <t>1227-2193-25, (05.12.2025) [IJZ-MB]</t>
  </si>
  <si>
    <t>P060192|I</t>
  </si>
  <si>
    <t>14.03.2027</t>
  </si>
  <si>
    <t>15.70</t>
  </si>
  <si>
    <t>197-12-K-26, (07.08.2026) [FHM-K] · on file, not credited</t>
  </si>
  <si>
    <t>CoQ-PP-2025-0022</t>
  </si>
  <si>
    <t>09.04.2027</t>
  </si>
  <si>
    <t>21.67</t>
  </si>
  <si>
    <t>P060202|I</t>
  </si>
  <si>
    <t>7.50</t>
  </si>
  <si>
    <t>30</t>
  </si>
  <si>
    <t>80-2026</t>
  </si>
  <si>
    <t>80-2026, (02.02.2026) [IJZ]</t>
  </si>
  <si>
    <t>21.04.2027</t>
  </si>
  <si>
    <t>3-0006-26, (20.01.2026) [IJZ-MB]</t>
  </si>
  <si>
    <t>ППК26001, (21.01.2026) [CNP] · on file, not credited</t>
  </si>
  <si>
    <t>PP CoA #035 of 20.02.2026</t>
  </si>
  <si>
    <t>CoQ-PP-2026-0001</t>
  </si>
  <si>
    <t>iCoA-PP-2026-0015</t>
  </si>
  <si>
    <t>P060212|I</t>
  </si>
  <si>
    <t>81-2026</t>
  </si>
  <si>
    <t>24.96</t>
  </si>
  <si>
    <t>retest — re-analysed</t>
  </si>
  <si>
    <t>1.5×10²</t>
  </si>
  <si>
    <t>1.3×10²</t>
  </si>
  <si>
    <t>23.04.2027</t>
  </si>
  <si>
    <t>0.075</t>
  </si>
  <si>
    <t>PP CoA #041 of 20.02.2026</t>
  </si>
  <si>
    <t>at the retest sampling · re-analysed</t>
  </si>
  <si>
    <t>CoQ-PP-2026-0002</t>
  </si>
  <si>
    <t>81-2026, (02.02.2026) [IJZ]</t>
  </si>
  <si>
    <t>P060222|I</t>
  </si>
  <si>
    <t>8-0011-26, (20.01.2026) [IJZ-MB]</t>
  </si>
  <si>
    <t>due — retest assay, mycotoxins and microbiology on file; in-house iCoA to test</t>
  </si>
  <si>
    <t>ППК26002, (21.01.2026) [CNP] · on file, not credited</t>
  </si>
  <si>
    <t>27.04.2027</t>
  </si>
  <si>
    <t>82-2026</t>
  </si>
  <si>
    <t>ППК26003, (21.01.2026) [CNP] · on file, not credited</t>
  </si>
  <si>
    <t>20.84</t>
  </si>
  <si>
    <t>iCoA-PP-2026-0016</t>
  </si>
  <si>
    <t>P060232|I</t>
  </si>
  <si>
    <t>PP CoA #034 of 20.02.2026</t>
  </si>
  <si>
    <t>CoQ-PP-2026-0003</t>
  </si>
  <si>
    <t>28.04.2027</t>
  </si>
  <si>
    <t>7.37</t>
  </si>
  <si>
    <t>9.5×10²</t>
  </si>
  <si>
    <t>1.2×10³</t>
  </si>
  <si>
    <t>0.073</t>
  </si>
  <si>
    <t>82-2026, (02.02.2026) [IJZ]</t>
  </si>
  <si>
    <t>4-0007-26, (20.01.2026) [IJZ-MB]</t>
  </si>
  <si>
    <t>11.05.2027</t>
  </si>
  <si>
    <t>87-2026</t>
  </si>
  <si>
    <t>iCoA-PP-2026-0017</t>
  </si>
  <si>
    <t>P060242|I</t>
  </si>
  <si>
    <t>197-5-K-26, (07.08.2026) [FHM-K] · on file, not credited</t>
  </si>
  <si>
    <t>PP CoA #040 of 20.02.2026</t>
  </si>
  <si>
    <t>CoQ-PP-2026-0004</t>
  </si>
  <si>
    <t>ППК26008, (21.01.2026) [CNP] · on file, not credited</t>
  </si>
  <si>
    <t>9.43</t>
  </si>
  <si>
    <t>84-2026</t>
  </si>
  <si>
    <t>7.85</t>
  </si>
  <si>
    <t>87-2026, (03.02.2026) [IJZ]</t>
  </si>
  <si>
    <t>P060252|I</t>
  </si>
  <si>
    <t>2-0005-26, (20.01.2026) [IJZ-MB]</t>
  </si>
  <si>
    <t>PP CoA #037 of 20.02.2026</t>
  </si>
  <si>
    <t>83-2026</t>
  </si>
  <si>
    <t>ППК26005, (21.01.2026) [CNP] · on file, not credited</t>
  </si>
  <si>
    <t>16.93</t>
  </si>
  <si>
    <t>P060262|I</t>
  </si>
  <si>
    <t>6.77</t>
  </si>
  <si>
    <t>PP CoA #036 of 20.02.2026</t>
  </si>
  <si>
    <t>CoQ-PP-2026-0005</t>
  </si>
  <si>
    <t>84-2026, (02.02.2026) [IJZ]</t>
  </si>
  <si>
    <t>7-0010-26, (20.01.2026) [IJZ-MB]</t>
  </si>
  <si>
    <t>86-2026</t>
  </si>
  <si>
    <t>552-1083-26, (01.09.2026) [IJZ-MB]</t>
  </si>
  <si>
    <t>PP CoA #039 of 20.02.2026</t>
  </si>
  <si>
    <t>CoQ-PP-2026-0006</t>
  </si>
  <si>
    <t>P060272|I</t>
  </si>
  <si>
    <t>ППК26004, (21.01.2026) [CNP] · on file, not credited</t>
  </si>
  <si>
    <t>18.05.2027</t>
  </si>
  <si>
    <t>14.06 ᴿ</t>
  </si>
  <si>
    <t>7.97</t>
  </si>
  <si>
    <t>2×10³</t>
  </si>
  <si>
    <t>85-2026</t>
  </si>
  <si>
    <t>83-2026, (02.02.2026) [IJZ]</t>
  </si>
  <si>
    <t>22.05.2027</t>
  </si>
  <si>
    <t>6-0009-26, (20.01.2026) [IJZ-MB]</t>
  </si>
  <si>
    <t>PP CoA #038 of 20.02.2026</t>
  </si>
  <si>
    <t>CoQ-PP-2026-0007</t>
  </si>
  <si>
    <t>12.25</t>
  </si>
  <si>
    <t>23.05.2027</t>
  </si>
  <si>
    <t>197-20-K-26, (07.08.2026) [FHM-K] · on file, not credited</t>
  </si>
  <si>
    <t>iCoA-PP-2026-0018</t>
  </si>
  <si>
    <t>P060282|I</t>
  </si>
  <si>
    <t>197-7-K-26, (07.08.2026) [FHM-K]</t>
  </si>
  <si>
    <t>88-2026</t>
  </si>
  <si>
    <t>ППК26007, (21.01.2026) [CNP] · on file, not credited</t>
  </si>
  <si>
    <t>22.30</t>
  </si>
  <si>
    <t>PP CoA #033 of 20.02.2026</t>
  </si>
  <si>
    <t>CoQ-PP-2026-0008</t>
  </si>
  <si>
    <t>7.64</t>
  </si>
  <si>
    <t>due — retest assay on file, mycotoxins pending</t>
  </si>
  <si>
    <t>86-2026, (02.02.2026) [IJZ]</t>
  </si>
  <si>
    <t>10-0013-26, (20.01.2026) [IJZ-MB]</t>
  </si>
  <si>
    <t>P060292|I</t>
  </si>
  <si>
    <t>24.05.2027</t>
  </si>
  <si>
    <t>ППК26006, (21.01.2026) [CNP] · on file, not credited</t>
  </si>
  <si>
    <t>10.96</t>
  </si>
  <si>
    <t>8.68</t>
  </si>
  <si>
    <t>85-2026, (02.02.2026) [IJZ]</t>
  </si>
  <si>
    <t>9-0012-26, (20.01.2026) [IJZ-MB]</t>
  </si>
  <si>
    <t>P060302|I</t>
  </si>
  <si>
    <t>registered — legacy series, issued 27.05.2026 · initial certificate to locate: #9 (IJZ), #10 (CNP), #11 (CNP), #12 (CNP)</t>
  </si>
  <si>
    <t>25.05.2027</t>
  </si>
  <si>
    <t>ППК26009, (21.01.2026) [CNP] · on file, not credited</t>
  </si>
  <si>
    <t>25.73</t>
  </si>
  <si>
    <t>197-21-K-26, (07.08.2026) [FHM-K]</t>
  </si>
  <si>
    <t>6.91</t>
  </si>
  <si>
    <t>&lt;1 x 10²</t>
  </si>
  <si>
    <t>88-2026, (03.02.2026) [IJZ]</t>
  </si>
  <si>
    <t>30.06.2027</t>
  </si>
  <si>
    <t>CoQ-PP-2026-0012</t>
  </si>
  <si>
    <t>5-0008-26, (20.01.2026) [IJZ-MB]</t>
  </si>
  <si>
    <t>P060312|I</t>
  </si>
  <si>
    <t>197-6-K-26, (07.08.2026) [FHM-K]</t>
  </si>
  <si>
    <t>17.67</t>
  </si>
  <si>
    <t>P060332|I</t>
  </si>
  <si>
    <t>18.86</t>
  </si>
  <si>
    <t>0.22</t>
  </si>
  <si>
    <t>CoQ-PP-2026-0013</t>
  </si>
  <si>
    <t>06.07.2027</t>
  </si>
  <si>
    <t>iCoA-PP-2026-0019</t>
  </si>
  <si>
    <t>17.84</t>
  </si>
  <si>
    <t>P060322|I</t>
  </si>
  <si>
    <t>21.07.2027</t>
  </si>
  <si>
    <t>CoQ-PP-2026-0014</t>
  </si>
  <si>
    <t>26.32</t>
  </si>
  <si>
    <t>iCoA-PP-2026-0021</t>
  </si>
  <si>
    <t>Head of QC, 05.09.2026 (confirming 04.09.2026): ONE iCoA per P lot carries identification A, identification B and foreign matter, tested at packaging (the first day, when the sample is taken before primary packaging); where a CNP certificate reports one of them, its document code is the reference and the iCoA covers the rest; where CNP reports all three, no iCoA is needed. Identification C is 'Conforms', referenced to the eCoA that covers Total THC (the cannabinoid assay), on the CoQ. LEGACY lots — packed before the SOP floor of 11.05.2026, or holding an old in-house QCCoA 001 certificate — have their iCoAs issued together on 15.05.2026 and their CoQs (CoQ-PP_26-nnn, superseding the old certificate) on 27.05.2026; POST-SOP lots have the iCoA issued on the first working day 5 days after packaging and the CoQ on the first working day 7 days after the latest eCoA it cites. The codes and the planned dates on this sheet are looked up on the iCoA Register and the CoQ Register by the row's key and follow a renumbering there. The RETEST SERIES (the QP's campaign: medical use, GACP product / API) repeats the iCoA and the CoQ per lot at the retest sampling, sampled by tranche from July 2026 (Tranche 1 the first 21 lots produced, then Tranches 2 and 3): identification A, B and foreign matter are tested in-house on every bag of the representative sample (one iCoA); Farmahem tests the cannabinoids — identification C with them — and the mycotoxins, IJZ-MB the microbiology; the reissued CoQ carries those retest results and the initial external certificates for the rest. A certificate dated on or after 01.07.2026 is a retest document and never certifies the initial CoQ. A retest document takes a new number in the year of issue, never the initial one. 'due' where the retest certificates are on file, 'pending' where they are not. Foreign matter is 'Conforms' by the declaration of 13.08.2026 unless an outsourced certificate reports otherwise.</t>
  </si>
  <si>
    <t>P060352|I</t>
  </si>
  <si>
    <t>25.72</t>
  </si>
  <si>
    <t>24.78</t>
  </si>
  <si>
    <t>P060342|I</t>
  </si>
  <si>
    <t>CoQ-PP-2026-0015</t>
  </si>
  <si>
    <t>ППК26030, (05.03.2026) [CNP] · on file, not credited</t>
  </si>
  <si>
    <t>13.33</t>
  </si>
  <si>
    <t>0.01 % ᴰ</t>
  </si>
  <si>
    <t>iCoA-PP-2026-0026</t>
  </si>
  <si>
    <t>P060382|I</t>
  </si>
  <si>
    <t>n/a</t>
  </si>
  <si>
    <t>21.92 ᴿ</t>
  </si>
  <si>
    <t>0.19 ᴿ</t>
  </si>
  <si>
    <t>0.06 ᴿ</t>
  </si>
  <si>
    <t>A: ППК26110 / B: ППК26110 / FM: ППК26110</t>
  </si>
  <si>
    <t>P060392|I</t>
  </si>
  <si>
    <t>CoQ-PP-2026-0016</t>
  </si>
  <si>
    <t>ППК26069, (11.05.2026) [CNP] · on file, not credited</t>
  </si>
  <si>
    <t>17.13</t>
  </si>
  <si>
    <t>1627-2026</t>
  </si>
  <si>
    <t>6.84</t>
  </si>
  <si>
    <t>2.3 x 10³</t>
  </si>
  <si>
    <t>4.3 x 10³</t>
  </si>
  <si>
    <t>0.0299</t>
  </si>
  <si>
    <t>2360-2026, (29.04.2026) [IJZ]</t>
  </si>
  <si>
    <t>305-0549-26, (28.04.2026) [IJZ-MB]</t>
  </si>
  <si>
    <t>CoQ-PP-2026-0017</t>
  </si>
  <si>
    <t>A: ППК26111 / B: ППК26111 / FM: ППК26111</t>
  </si>
  <si>
    <t>iCoA-PP-2026-0020</t>
  </si>
  <si>
    <t>P060362|I</t>
  </si>
  <si>
    <t>Determination</t>
  </si>
  <si>
    <t>Method</t>
  </si>
  <si>
    <t>Acceptance criterion (global)</t>
  </si>
  <si>
    <t>Source</t>
  </si>
  <si>
    <t>Tracker column</t>
  </si>
  <si>
    <t>1</t>
  </si>
  <si>
    <t>Identification A — Appearance</t>
  </si>
  <si>
    <t>051-3-LoD-26, (02.03.2026) [FHM-K] · on file, not credited</t>
  </si>
  <si>
    <t>Identification A, Appearance · Macroscopic</t>
  </si>
  <si>
    <t>Ph. Eur. mon. 3028</t>
  </si>
  <si>
    <t>Conforms to Ph. Eur. monograph 3028 (Cannabis flos)</t>
  </si>
  <si>
    <t>In-house iCoA (Purely Plant, at packaging) — coverage for the release CoQ; CNP document code where CNP reported it</t>
  </si>
  <si>
    <t>D–F</t>
  </si>
  <si>
    <t>Identification B — Microscopy</t>
  </si>
  <si>
    <t>Identification B · Microscopic</t>
  </si>
  <si>
    <t>Ph. Eur. 2.8.23 (microscopy)</t>
  </si>
  <si>
    <t>G–I</t>
  </si>
  <si>
    <t>3</t>
  </si>
  <si>
    <t>Identification C — HPLC</t>
  </si>
  <si>
    <t>Identification C · HPLC/HPTLC</t>
  </si>
  <si>
    <t>Ph. Eur. 2.2.29 (3028)</t>
  </si>
  <si>
    <t>Outsourced certificate (eCoA): the cannabinoid-assay certificate, reported as Conforms (ImB spec.)</t>
  </si>
  <si>
    <t>J–L</t>
  </si>
  <si>
    <t>4</t>
  </si>
  <si>
    <t>Assay — Total Δ⁹-THC</t>
  </si>
  <si>
    <t>Ph. Eur. 2.2.29 (HPLC)</t>
  </si>
  <si>
    <t>Per target grade (CoQ §01)</t>
  </si>
  <si>
    <t>Outsourced certificate (eCoA)</t>
  </si>
  <si>
    <t>M–O</t>
  </si>
  <si>
    <t>5</t>
  </si>
  <si>
    <t>Assay — Total CBD</t>
  </si>
  <si>
    <t>Ph. Eur. 2.2.29 (HPLC) · CBD + CBDA x 0.877</t>
  </si>
  <si>
    <t>≤ 1.0 % w/w</t>
  </si>
  <si>
    <t>P–R</t>
  </si>
  <si>
    <t>6</t>
  </si>
  <si>
    <t>Total CBN</t>
  </si>
  <si>
    <t>Ph. Eur. 2.2.29 (HPLC) · CBN + CBNA x 0.876</t>
  </si>
  <si>
    <t>iCoA-PP-2026-0022</t>
  </si>
  <si>
    <t>S–U</t>
  </si>
  <si>
    <t>7</t>
  </si>
  <si>
    <t>Foreign Matter</t>
  </si>
  <si>
    <t>P060422|I</t>
  </si>
  <si>
    <t>Ph. Eur. 2.8.2 · In-house · интерна</t>
  </si>
  <si>
    <t>≤ 2.0 % (25–50 g); leaves &lt; 1 cm; no seeds</t>
  </si>
  <si>
    <t>V–X</t>
  </si>
  <si>
    <t>8</t>
  </si>
  <si>
    <t>Loss on Drying</t>
  </si>
  <si>
    <t>11.20</t>
  </si>
  <si>
    <t>Ph. Eur. 2.2.32 (3028) · at 40 °C, 24 h, 15–25 mbar</t>
  </si>
  <si>
    <t>≤ 12.0 %</t>
  </si>
  <si>
    <t>Y–AA</t>
  </si>
  <si>
    <t>9.1</t>
  </si>
  <si>
    <t>Microbiological Purity</t>
  </si>
  <si>
    <t>Ph. Eur. 2.6.12 cat. C</t>
  </si>
  <si>
    <t>registered — rule date 30.04.2026 held to the legacy series day</t>
  </si>
  <si>
    <t>≤ 10⁵ CFU/g</t>
  </si>
  <si>
    <t>AB</t>
  </si>
  <si>
    <t>9.2</t>
  </si>
  <si>
    <t>≤ 10⁴ CFU/g</t>
  </si>
  <si>
    <t>AC</t>
  </si>
  <si>
    <t>9.3</t>
  </si>
  <si>
    <t>Bile-tolerant gram-negative bacteria</t>
  </si>
  <si>
    <t>Ph. Eur. 2.6.31 cat. C</t>
  </si>
  <si>
    <t>AD</t>
  </si>
  <si>
    <t>9.4</t>
  </si>
  <si>
    <t>Salmonella</t>
  </si>
  <si>
    <t>Absence / 25 g</t>
  </si>
  <si>
    <t>AE</t>
  </si>
  <si>
    <t>9.5</t>
  </si>
  <si>
    <t>Escherichia coli</t>
  </si>
  <si>
    <t>Ph. Eur. 2.6.13 cat. C</t>
  </si>
  <si>
    <t>Absence / 1 g</t>
  </si>
  <si>
    <t>AF</t>
  </si>
  <si>
    <t>10.1</t>
  </si>
  <si>
    <t>Mycotoxins</t>
  </si>
  <si>
    <t>Aflatoxin B₁</t>
  </si>
  <si>
    <t>Ph. Eur. 2.8.18 (HPLC-FLD)</t>
  </si>
  <si>
    <t>≤ 2 µg/kg</t>
  </si>
  <si>
    <t>051-2-LoD-26, (02.03.2026) [FHM-K] · on file, not credited</t>
  </si>
  <si>
    <t>AH</t>
  </si>
  <si>
    <t>10.2</t>
  </si>
  <si>
    <t>Aflatoxins ∑ (B₁+B₂+G₁+G₂)</t>
  </si>
  <si>
    <t>≤ 4 µg/kg</t>
  </si>
  <si>
    <t>AI</t>
  </si>
  <si>
    <t>Ochratoxin A</t>
  </si>
  <si>
    <t>Ph. Eur. 2.8.22 (HPLC-FLD)</t>
  </si>
  <si>
    <t>≤ 20 µg/kg</t>
  </si>
  <si>
    <t>AJ</t>
  </si>
  <si>
    <t>A: ППК26114 / B: ППК26114 / FM: ППК26114</t>
  </si>
  <si>
    <t>11.1</t>
  </si>
  <si>
    <t>Heavy Metals</t>
  </si>
  <si>
    <t>Lead (Pb)</t>
  </si>
  <si>
    <t>Ph. Eur. 2.4.27 (ICP-MS)</t>
  </si>
  <si>
    <t>≤ 0.5 mg/kg</t>
  </si>
  <si>
    <t>AL</t>
  </si>
  <si>
    <t>11.2</t>
  </si>
  <si>
    <t>Cadmium (Cd)</t>
  </si>
  <si>
    <t>≤ 0.3 mg/kg</t>
  </si>
  <si>
    <t>AM</t>
  </si>
  <si>
    <t>iCoA-PP-2026-0023</t>
  </si>
  <si>
    <t>11.3</t>
  </si>
  <si>
    <t>Arsenic (As)</t>
  </si>
  <si>
    <t>≤ 0.2 mg/kg</t>
  </si>
  <si>
    <t>P060402|I</t>
  </si>
  <si>
    <t>AN</t>
  </si>
  <si>
    <t>11.4</t>
  </si>
  <si>
    <t>Mercury (Hg)</t>
  </si>
  <si>
    <t>≤ 0.1 mg/kg</t>
  </si>
  <si>
    <t>AO</t>
  </si>
  <si>
    <t>12</t>
  </si>
  <si>
    <t>Pesticide Residues</t>
  </si>
  <si>
    <t>Ph. Eur. 2.8.13 (LC-MS/MS) · CUMCS Equivalency</t>
  </si>
  <si>
    <t>≤ LOQ (Ph. Eur. 2.8.13 / CUMCS equivalency)</t>
  </si>
  <si>
    <t>AQ–AS</t>
  </si>
  <si>
    <t>registered — rule date 18.05.2026 held to the legacy series day</t>
  </si>
  <si>
    <t>9.20</t>
  </si>
  <si>
    <t>✗ 8 NO RESULT
(8 no cert / 0 cert w/o result)</t>
  </si>
  <si>
    <t>iCoA-PP-2026-0025</t>
  </si>
  <si>
    <t>P060412|I</t>
  </si>
  <si>
    <t>CoQ-PP-2026-0018</t>
  </si>
  <si>
    <t>eCOA DATABASE — CoQ PARAMETER COVERAGE DASHBOARD</t>
  </si>
  <si>
    <t>559-1090-26, (01.09.2026) [IJZ-MB]</t>
  </si>
  <si>
    <t>OVERVIEW</t>
  </si>
  <si>
    <t>Total Batches</t>
  </si>
  <si>
    <t>A: ППК26112 / B: ППК26112 / FM: ППК26112</t>
  </si>
  <si>
    <t>Total eCOA Documents</t>
  </si>
  <si>
    <t>(QCCoA 001 files excluded)</t>
  </si>
  <si>
    <t>✅  COMPLETE  (all 12 params)</t>
  </si>
  <si>
    <t>P060432|I</t>
  </si>
  <si>
    <t>58% of batches</t>
  </si>
  <si>
    <t>⚠   PARTIAL  (1–3 missing)</t>
  </si>
  <si>
    <t>18% of batches</t>
  </si>
  <si>
    <t>❌  INCOMPLETE (4+ missing)</t>
  </si>
  <si>
    <t>25% of batches</t>
  </si>
  <si>
    <t>MISSING PARAMETER FREQUENCY</t>
  </si>
  <si>
    <t>551-1082-26, (01.09.2026) [IJZ-MB]</t>
  </si>
  <si>
    <t>#1  Identification A</t>
  </si>
  <si>
    <t>(0% of batches missing this)</t>
  </si>
  <si>
    <t>#2  Identification B</t>
  </si>
  <si>
    <t>#3  Identification C</t>
  </si>
  <si>
    <t>(5% of batches missing this)</t>
  </si>
  <si>
    <t>#4  Assay — Total Δ⁹-THC</t>
  </si>
  <si>
    <t>#5  Assay — Total CBD</t>
  </si>
  <si>
    <t>#6  Total CBN</t>
  </si>
  <si>
    <t>(12% of batches missing this)</t>
  </si>
  <si>
    <t>#7  Foreign Matter</t>
  </si>
  <si>
    <t>#8  Loss on Drying</t>
  </si>
  <si>
    <t>(14% of batches missing this)</t>
  </si>
  <si>
    <t>#9  Microbiological Purity</t>
  </si>
  <si>
    <t>(22% of batches missing this)</t>
  </si>
  <si>
    <t>#10  Mycotoxins</t>
  </si>
  <si>
    <t>(26% of batches missing this)</t>
  </si>
  <si>
    <t>#11  Heavy Metals</t>
  </si>
  <si>
    <t>(35% of batches missing this)</t>
  </si>
  <si>
    <t>#12  Pesticide Residues</t>
  </si>
  <si>
    <t>8.3×10³</t>
  </si>
  <si>
    <t>5.3×10³</t>
  </si>
  <si>
    <t>A: ППК26116 / B: ППК26116 / FM: ППК26116</t>
  </si>
  <si>
    <t>P060442|I</t>
  </si>
  <si>
    <t>539-1070-26, (31.08.2026) [IJZ-MB]</t>
  </si>
  <si>
    <t>A: ППК26127 / B: ППК26127 / FM: ППК26127</t>
  </si>
  <si>
    <t>P060452|I</t>
  </si>
  <si>
    <t>registered — provisional date: no initial certificate on file yet — the date follows the latest eCoA once located · initial certificate to locate: #3 (CNP), #4 (CNP), #5 (CNP), #6 (CNP), #8 (CNP), #9 (IJZ), #10 (CNP), #11 (CNP), #12 (CNP)</t>
  </si>
  <si>
    <t>A: ППК26128 / B: ППК26128 / FM: ППК26128</t>
  </si>
  <si>
    <t>P060462|I</t>
  </si>
  <si>
    <t>CoQ-PP-2026-0019</t>
  </si>
  <si>
    <t>A: ППК26115 / B: ППК26115 / FM: ППК26115</t>
  </si>
  <si>
    <t>CoQ-PP-2026-0021</t>
  </si>
  <si>
    <t>P060482|I</t>
  </si>
  <si>
    <t>A: ППК26117 / B: ППК26117 / FM: ППК26117</t>
  </si>
  <si>
    <t>P160012|I</t>
  </si>
  <si>
    <t>CoQ-PP-2026-0026</t>
  </si>
  <si>
    <t>registered — first working day 7 days after the latest eCoA · initial certificate to locate: #9 (IJZ), #10 (CNP), #11 (CNP), #12 (CNP)</t>
  </si>
  <si>
    <t>A: ППК26118 / B: ППК26118 / FM: ППК26118</t>
  </si>
  <si>
    <t>P160022|I</t>
  </si>
  <si>
    <t>CoQ-PP-2026-0020</t>
  </si>
  <si>
    <t>A: ППК26119 / B: ППК26119 / FM: ППК26119</t>
  </si>
  <si>
    <t>P160032|I</t>
  </si>
  <si>
    <t>CoQ-PP-2026-0022</t>
  </si>
  <si>
    <t>no</t>
  </si>
  <si>
    <t>CoQ-PP-2026-0023</t>
  </si>
  <si>
    <t>JD112501|I</t>
  </si>
  <si>
    <t>CoQ-PP-2026-0025</t>
  </si>
  <si>
    <t>BSS1024|R</t>
  </si>
  <si>
    <t>not yet issuable — retest assay on file; identification A, B and foreign matter to test at the retest sampling</t>
  </si>
  <si>
    <t>ППК26116</t>
  </si>
  <si>
    <t>BG1024|R</t>
  </si>
  <si>
    <t>ППК26128</t>
  </si>
  <si>
    <t>HPA1024|R</t>
  </si>
  <si>
    <t>ППК26115</t>
  </si>
  <si>
    <t>OPM1024|R</t>
  </si>
  <si>
    <t>registered — held to the packaging date · initial certificate to locate: #9 (IJZ), #10 (CNP), #11 (CNP), #12 (CNP)</t>
  </si>
  <si>
    <t>P050022|R</t>
  </si>
  <si>
    <t>ППК26117</t>
  </si>
  <si>
    <t>P050052|R</t>
  </si>
  <si>
    <t>P050062|R</t>
  </si>
  <si>
    <t>ППК26118</t>
  </si>
  <si>
    <t>P050092|R</t>
  </si>
  <si>
    <t>ППК26119</t>
  </si>
  <si>
    <t>P050152|R</t>
  </si>
  <si>
    <t>565-1096-26</t>
  </si>
  <si>
    <t>CJ1024|R</t>
  </si>
  <si>
    <t>not yet issuable — sampled — microbiology on file, retest assay pending · issued on the first working day 7 days after the latest retest certificate, once the in-house iCoA exists</t>
  </si>
  <si>
    <t>197-2-M-26</t>
  </si>
  <si>
    <t>P050162|R</t>
  </si>
  <si>
    <t>not yet issuable — due — retest assay, mycotoxins on file; in-house iCoA to test · issued on the first working day 7 days after the latest retest certificate, once the in-house iCoA exists</t>
  </si>
  <si>
    <t>197-1-M-26</t>
  </si>
  <si>
    <t>P050322|R</t>
  </si>
  <si>
    <t>— not yet sampled —</t>
  </si>
  <si>
    <t>GG1024|R</t>
  </si>
  <si>
    <t>not yet issuable — pending — not yet sampled · issued on the first working day 7 days after the latest retest certificate, once the in-house iCoA exists</t>
  </si>
  <si>
    <t>197-13-M-26</t>
  </si>
  <si>
    <t>P050212|R</t>
  </si>
  <si>
    <t>562-1093-26</t>
  </si>
  <si>
    <t>P050102|R</t>
  </si>
  <si>
    <t>P060032|R</t>
  </si>
  <si>
    <t>197-17-M-26</t>
  </si>
  <si>
    <t>P060062|R</t>
  </si>
  <si>
    <t>563-1094-26</t>
  </si>
  <si>
    <t>P050032|R</t>
  </si>
  <si>
    <t>P060152|R</t>
  </si>
  <si>
    <t>564-1095-26</t>
  </si>
  <si>
    <t>P050012|R</t>
  </si>
  <si>
    <t>P060212|R</t>
  </si>
  <si>
    <t>197-11-M-26</t>
  </si>
  <si>
    <t>P060262|R</t>
  </si>
  <si>
    <t>P050042|R</t>
  </si>
  <si>
    <t>P060242|R</t>
  </si>
  <si>
    <t>197-14-M-26</t>
  </si>
  <si>
    <t>P060352|R</t>
  </si>
  <si>
    <t>197-18-M-26</t>
  </si>
  <si>
    <t>P060362|R</t>
  </si>
  <si>
    <t>P050072|R</t>
  </si>
  <si>
    <t>P060422|R</t>
  </si>
  <si>
    <t>P050082|R</t>
  </si>
  <si>
    <t>197-9-M-26</t>
  </si>
  <si>
    <t>P060402|R</t>
  </si>
  <si>
    <t>P060412|R</t>
  </si>
  <si>
    <t>P050112|R</t>
  </si>
  <si>
    <t>P060382|R</t>
  </si>
  <si>
    <t>560-1091-26</t>
  </si>
  <si>
    <t>not yet issuable — retest assay not yet on file</t>
  </si>
  <si>
    <t>P050132|R</t>
  </si>
  <si>
    <t>558-1089-26</t>
  </si>
  <si>
    <t>P050172|R</t>
  </si>
  <si>
    <t>197-10-M-26</t>
  </si>
  <si>
    <t>197-3-M-26</t>
  </si>
  <si>
    <t>P050182|R</t>
  </si>
  <si>
    <t>548-1079-26</t>
  </si>
  <si>
    <t>P050192|R</t>
  </si>
  <si>
    <t>P050222|R</t>
  </si>
  <si>
    <t>556-1087-26</t>
  </si>
  <si>
    <t>P050252|R</t>
  </si>
  <si>
    <t>555-1086-26</t>
  </si>
  <si>
    <t>P050262|R</t>
  </si>
  <si>
    <t>P050282|R</t>
  </si>
  <si>
    <t>P050302|R</t>
  </si>
  <si>
    <t>P050312|R</t>
  </si>
  <si>
    <t>197-12-M-26</t>
  </si>
  <si>
    <t>P060012|R</t>
  </si>
  <si>
    <t>P060022|R</t>
  </si>
  <si>
    <t>553-1084-26</t>
  </si>
  <si>
    <t>P050292|R</t>
  </si>
  <si>
    <t>554-1085-26</t>
  </si>
  <si>
    <t>P050272|R</t>
  </si>
  <si>
    <t>197-4-M-26</t>
  </si>
  <si>
    <t>P060042|R</t>
  </si>
  <si>
    <t>197-5-M-26</t>
  </si>
  <si>
    <t>P060072|R</t>
  </si>
  <si>
    <t>P060082|R</t>
  </si>
  <si>
    <t>P060092|R</t>
  </si>
  <si>
    <t>197-20-M-26</t>
  </si>
  <si>
    <t>P060052|R</t>
  </si>
  <si>
    <t>P060162|R</t>
  </si>
  <si>
    <t>P060192|R</t>
  </si>
  <si>
    <t>P060222|R</t>
  </si>
  <si>
    <t>P060172|R</t>
  </si>
  <si>
    <t>552-1083-26</t>
  </si>
  <si>
    <t>P060182|R</t>
  </si>
  <si>
    <t>P060202|R</t>
  </si>
  <si>
    <t>549-1080-26</t>
  </si>
  <si>
    <t>JD112501|R</t>
  </si>
  <si>
    <t>P060232|R</t>
  </si>
  <si>
    <t>197-16-M-26</t>
  </si>
  <si>
    <t>P060272|R</t>
  </si>
  <si>
    <t>P060292|R</t>
  </si>
  <si>
    <t>546-1077-26</t>
  </si>
  <si>
    <t>P060302|R</t>
  </si>
  <si>
    <t>P060252|R</t>
  </si>
  <si>
    <t>550-1081-26</t>
  </si>
  <si>
    <t>P050202|R</t>
  </si>
  <si>
    <t>P060312|R</t>
  </si>
  <si>
    <t>547-1078-26</t>
  </si>
  <si>
    <t>P060282|R</t>
  </si>
  <si>
    <t>197-15-M-26</t>
  </si>
  <si>
    <t>P060322|R</t>
  </si>
  <si>
    <t>P060432|R</t>
  </si>
  <si>
    <t>1628-2026</t>
  </si>
  <si>
    <t>P060392|R</t>
  </si>
  <si>
    <t>not yet issuable — due — retest assay, mycotoxins and microbiology on file; in-house iCoA to test · issued on the first working day 7 days after the latest retest certificate, once the in-house iCoA exists</t>
  </si>
  <si>
    <t>P060482|R</t>
  </si>
  <si>
    <t>197-19-M-26</t>
  </si>
  <si>
    <t>P060442|R</t>
  </si>
  <si>
    <t>543-1074-26</t>
  </si>
  <si>
    <t>P060452|R</t>
  </si>
  <si>
    <t>542-1073-26</t>
  </si>
  <si>
    <t>P060462|R</t>
  </si>
  <si>
    <t>Head of QC, 05.09.2026: preliminary iCoA issuance register — ONE iCoA per P lot for identification A, B and foreign matter, tested at packaging (the first day). Codes iCoA-PP_26-nnn (nnn = 001 … 999), one series for the year of issue, in the order of issue: LEGACY lots (packed before the SOP floor of 11.05.2026, or holding an old in-house QCCoA 001 certificate) are all issued on 15.05.2026, in chronological order of packaging; POST-SOP lots follow, each on the first working day 5 days after its packaging. No number is reserved for a row that cannot be issued yet (a lot without a packaging date, a held result, every retest iCoA, whose sampling date is not on the desk); where a CNP certificate reports all three, no iCoA is needed. FORMULAS: No. counts the issuable rows above it; the code is built from No.; the planned date is 15.05.2026 for a legacy row, else the first working day 5 days after Packaging complete; the packaging dates are looked up on Batch Dates by P batch (else by the batch as listed); CoQ (register) is looked up on the CoQ Register by Key. Insert a row, set Issuable to yes, and every code beneath moves by one — the iCoA Issuance sheet and the tracker cite this register by Key, so they follow. Rows are not re-sorted by a formula: a changed date that changes the order is a manual move. Working days are Monday to Friday; public holidays are not applied.</t>
  </si>
  <si>
    <t>541-1072-26</t>
  </si>
  <si>
    <t>545-1076-26</t>
  </si>
  <si>
    <t>557-1088-26</t>
  </si>
  <si>
    <t>540-1071-26</t>
  </si>
  <si>
    <t>197-7-M-26</t>
  </si>
  <si>
    <t>not yet issuable — due — retest assay on file, mycotoxins pending · issued on the first working day 7 days after the latest retest certificate, once the in-house iCoA exists</t>
  </si>
  <si>
    <t>197-8-M-26</t>
  </si>
  <si>
    <t>197-21-M-26</t>
  </si>
  <si>
    <t>537-1068-26</t>
  </si>
  <si>
    <t>538-1069-26</t>
  </si>
  <si>
    <t>536-1067-26</t>
  </si>
  <si>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27.05.2026, in chronological order of packaging; POST-SOP lots follow, each on the first working day 7 days after the latest eCoA the CoQ cites and never before 27.05.2026,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27.05.2026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microbiology by IJZ-MB) and the initial certificates for the rest; its rule date is the first working day 7 days after the latest retest certificate, and it is issued once the in-house retest iCoA exists. FORMULAS: No. and the code as on the iCoA Register; Rule date is 27.05.2026 for a legacy row whose latest eCoA is on or before it, else the first working day 7 days after the latest eCoA (not before 27.05.2026); the planned date is the latest of the rule date, the iCoA's date and the lot's last day of packaging; iCoA (register) and its date are looked up on the iCoA Register by Key. The latest eCoA cited is a value (the first credited certificate per determination dated before the retest campaign; for a retest row, the latest retest certificate), recomputed by the builder. Working days are Monday to Friday; public holidays are not applied. FLAGS: P060272: post-SOP CoQ rule date 18.05.2026 precedes the legacy series day 27.05.2026 — held to it, so the legacy CoQs keep 001 onward | P060322: post-SOP CoQ rule date 18.05.2026 precedes the legacy series day 27.05.2026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27.05.2026 — held to it, so the legacy CoQs keep 001 onward | P060302: post-SOP CoQ rule date 18.05.2026 precedes the legacy series day 27.05.2026 — held to it, so the legacy CoQs keep 001 onward | P060402: no initial certificate for #10 — only the retest 197-8-M-26 of 10.08.2026; the post-SOP CoQ cannot cite it (Head of QC to rule: report as not tested at initial testing, or wait for the reissue) | P060142: no initial certificate for #9 — only the retest 550-1081-26 of 01.09.2026; the legacy CoQ cannot cite it (Head of QC to rule: report as not tested at initial testing, or wait for the reissue) | P060182: no initial certificate for #9 — only the retest 550-1081-26 of 01.09.2026;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27.05.2026 — held to it, so the legacy CoQs keep 001 onward | P060312: post-SOP CoQ rule date 18.05.2026 precedes the legacy series day 27.05.2026 — held to it, so the legacy CoQs keep 001 onward | P060482: CoQ rule date 07.07.2026 precedes the packaging of the lot (05.08.2026) — held to the packaging date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27.05.2026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28.05.2026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01.06.2026 | P060382: no initial certificate for #3, #4, #5, #6, #8, #10 — only the retest 197-21-K-26 of 07.08.2026 / 197-21-M-26 of 10.08.2026; the post-SOP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27.05.2026 — held to it, so the legacy CoQs keep 001 onward | P060162: no initial certificate for #9 — only the retest 549-1080-26 of 31.08.2026; the legacy CoQ cannot cite it (Head of QC to rule: report as not tested at initial testing, or wait for the reissue) | P050142: no initial certificate for #9 — only the retest 559-1090-26 of 01.09.2026; the legacy CoQ cannot cite it (Head of QC to rule: report as not tested at initial testing, or wait for the reissue) | P060102: no initial certificate for #9 — only the retest 551-1082-26 of 01.09.2026; the legacy CoQ cannot cite it (Head of QC to rule: report as not tested at initial testing, or wait for the reissue) | P060342: no initial certificate on file — the CoQ keeps its planned number with a provisional date 01.06.2026 | P060342: no initial certificate for #9 — only the retest 539-1070-26 of 31.08.2026; the post-SOP CoQ cannot cite it (Head of QC to rule: report as not tested at initial testing, or wait for the reissue)</t>
  </si>
  <si>
    <t>File name</t>
  </si>
  <si>
    <t>Certificate code</t>
  </si>
  <si>
    <t>Issue date</t>
  </si>
  <si>
    <t>Receipt date</t>
  </si>
  <si>
    <t>Batch as printed</t>
  </si>
  <si>
    <t>CU batch</t>
  </si>
  <si>
    <t>P batch</t>
  </si>
  <si>
    <t>Strain (certificate)</t>
  </si>
  <si>
    <t>Strain (master x-ref)</t>
  </si>
  <si>
    <t>Pages</t>
  </si>
  <si>
    <t>Source scan</t>
  </si>
  <si>
    <t>Source pages</t>
  </si>
  <si>
    <t>Conclusion</t>
  </si>
  <si>
    <t>Requirement / method</t>
  </si>
  <si>
    <t>Duplicate scans folded</t>
  </si>
  <si>
    <t>Pixel verified</t>
  </si>
  <si>
    <t>SHA-256 of the split file</t>
  </si>
  <si>
    <t>Notes from the page read</t>
  </si>
  <si>
    <t>290125_ППК25008_CNP_GG1024.pdf</t>
  </si>
  <si>
    <t>ППК25008</t>
  </si>
  <si>
    <t>29.01.2025</t>
  </si>
  <si>
    <t>13.01.2025</t>
  </si>
  <si>
    <t>20260907153409.pdf</t>
  </si>
  <si>
    <t>41</t>
  </si>
  <si>
    <t>HPLC метод за определување на содржина на канабиноиди и определување на губиток при сушење според монографија на германската фармакопеја (DAB*) за сув цвет од канабис; * DAB - Deutsches Arzneibuch 2018</t>
  </si>
  <si>
    <t>80a06e3c20cd5d965c35f471b8b6611676c227cd2b94e36e002380fbf45324b2</t>
  </si>
  <si>
    <t>Дата на завршено испитување: 28.01.2025. Фуснота: ND - не е детектиран. Формулар ОБ 01/7.8_01 Верзија 5. Референтните вредности се во %w/w**; ** % w/w - масено/масен процент. *** Вкупно CBD - сума на содржина на CBD и CBDA x 0.877, изразена како CBD. **** Вкупно Δ9-THC - сума на содржина на Δ9-THC и Δ9-THCA x 0.877, изразена како Δ9-THC. АНОМАЛИЈА: Губиток при сушење 76.07 %% наспроти референтна вредност ≤ 10.00 (примерокот е ВЛАЖЕН цвет, референтната вредност е за сув цвет - резултатот е надвор од отпечатената референтна вредност). Дополнителна фуснота: 'Методата не влегува во опсег на акреди</t>
  </si>
  <si>
    <t>260225_ППК25050_CNP_BG1024.pdf</t>
  </si>
  <si>
    <t>26.02.2025</t>
  </si>
  <si>
    <t>13.02.2025</t>
  </si>
  <si>
    <t>19</t>
  </si>
  <si>
    <t>755a7e0a661afbaa5460c843110cf6f50cecd12b1812ba8134006554eb073c80</t>
  </si>
  <si>
    <t>Дата на завршено испитување: 24.02.2025. Фуснота: ND - не е детектиран. Формулар ОБ 01/7.8_01 Верзија 5. Референтните вредности се во %w/w**; ** % w/w - масено/масен процент. *** Вкупно CBD - сума на содржина на CBD и CBDA x 0.877, изразена како CBD. **** Вкупно Δ9-THC - сума на содржина на Δ9-THC и Δ9-THCA x 0.877, изразена како Δ9-THC.</t>
  </si>
  <si>
    <t>260225_ППК25051_CNP_BSS1024.pdf</t>
  </si>
  <si>
    <t>25</t>
  </si>
  <si>
    <t>ca8ed0b1dc547a839ed7c4ebb45bed37a9337dbe7fbac0c97be92b6f9e602732</t>
  </si>
  <si>
    <t>260225_ППК25052_CNP_CJ1024.pdf</t>
  </si>
  <si>
    <t>31</t>
  </si>
  <si>
    <t>3fb19799b4d75bda19fbf8716fcf01e63a1e28035e2de195738a3697697d7f0b</t>
  </si>
  <si>
    <t>Дата на завршено испитување: 24.02.2025. Фуснота: BLQ - под лимит на квантификација. Формулар ОБ 01/7.8_01 Верзија 5. Референтните вредности се во %w/w**; ** % w/w - масено/масен процент. *** Вкупно CBD - сума на содржина на CBD и CBDA x 0.877, изразена како CBD. **** Вкупно Δ9-THC - сума на содржина на Δ9-THC и Δ9-THCA x 0.877, изразена како Δ9-THC.</t>
  </si>
  <si>
    <t>060525_ППК25117_CNP_OPM1024_01.pdf</t>
  </si>
  <si>
    <t>06.05.2025</t>
  </si>
  <si>
    <t>28.04.2025</t>
  </si>
  <si>
    <t>OPM1024_01</t>
  </si>
  <si>
    <t>13</t>
  </si>
  <si>
    <t>6356ec70707c6d939eb27518f056b190cc01cc3b13df5d7792045a4f196cd5eb</t>
  </si>
  <si>
    <t>Дата на завршено испитување: 05.05.2025. Фуснота: ND - не е детектиран. Формулар ОБ 01/7.8_01 Верзија 5. Референтните вредности се во %w/w**; ** % w/w - масено/масен процент. *** Вкупно CBD - сума на содржина на CBD и CBDA x 0.877, изразена како CBD. **** Вкупно Δ9-THC - сума на содржина на Δ9-THC и Δ9-THCA x 0.877, изразена како Δ9-THC.</t>
  </si>
  <si>
    <t>220525_ППК25140_CNP_GG1024_02-P050012.pdf</t>
  </si>
  <si>
    <t>22.05.2025</t>
  </si>
  <si>
    <t>15.05.2025</t>
  </si>
  <si>
    <t>0fc404ecdbde140843cdf4e4a929da7ff10e46e4cbc381c4d1813c849dfb19b4</t>
  </si>
  <si>
    <t>Дата на завршено испитување: 20.05.2025. Фуснота: BLQ - под лимит на квантификација. Формулар ОБ 01/7.8_01 Верзија 5. Референтните вредности се во %w/w**; ** % w/w - масено/масен процент. *** Вкупно CBD - сума на содржина на CBD и CBDA x 0.877, изразена како CBD. **** Вкупно Δ9-THC - сума на содржина на Δ9-THC и Δ9-THCA x 0.877, изразена како Δ9-THC. СКЕНОТ НА ОВАА СТРАНА Е МНОГУ БЛЕД/НИСКО-КОНТРАСТЕН (заглавје и дел од табелата едвај читливи); вредностите се потврдени со зумирање на 150 dpi.</t>
  </si>
  <si>
    <t>100725_ППК25174_CNP_GP0824_02-P050022.pdf</t>
  </si>
  <si>
    <t>23.06.2025</t>
  </si>
  <si>
    <t>Grape pie</t>
  </si>
  <si>
    <t>d6886406ae4387600a497152d7641c5824aa4dd4cd2a4f88ad0864eb0f5469cb</t>
  </si>
  <si>
    <t>Дата на завршено испитување: 09.07.2025. Фуснота: ND - не е детектиран. BLQ - под лимит на квантификација. Формулар ОБ 01/7.8_01 Верзија 5. Референтните вредности се во %w/w**; ** % w/w - масено/масен процент. *** Вкупно CBD - сума на содржина на CBD и CBDA x 0.877, изразена како CBD. **** Вкупно Δ9-THC - сума на содржина на Δ9-THC и Δ9-THCA x 0.877, изразена како Δ9-THC. Аналитичарот е потпишан како 'Доц. д-р Вероника Стоилковска Ѓоргиевска', додека на стр.13 и стр.41 истото лице е отпечатено како 'Асс. м-р фарм.' - разлика во титула меѓу сертификатите.</t>
  </si>
  <si>
    <t>050326_ППК26030_CNP_PM112501-P060232.pdf</t>
  </si>
  <si>
    <t>20260907174652.pdf</t>
  </si>
  <si>
    <t>16</t>
  </si>
  <si>
    <t>Метод: Определување на губиток со сушење (2.2.32) и содржина на канабиноиди (2.2.29) според монографија на германската фармакопеја (DAB*) за сув цвет од канабис; * DAB - Deutsches Arzneibuch 2018</t>
  </si>
  <si>
    <t>5cce361e514b2f864b46ca5cff5dcc6230abec97352d19bbe60a84810feb84b9</t>
  </si>
  <si>
    <t>Дата на завршено испитување: 04.03.2026 год. Сортата е печатена како 'Permanent Market'; во извештајот 554/1085/26 (20260907184210.pdf) истата сорта е печатена како 'Permanent Marker'. Забелешка: Резултатот се однесува на испитуваниот примерок онаков каков е примен... Умножување на овој резултат не е дозволено без писмено одобрение на Центарот за природни производи при Фармацевтски факултет, УКИМ, Скопје. Образец ОБ 01/7.8_01 Верзија 7</t>
  </si>
  <si>
    <t>9</t>
  </si>
  <si>
    <t>050326_ППК26031_CNP_OPM112501-P060222.pdf</t>
  </si>
  <si>
    <t>219a023838d327c144da6e2e9f2f40e753e24840cf9a887fd297c7149b559f5a</t>
  </si>
  <si>
    <t>Дата на завршено испитување: 04.03.2026 год. Доставил на испитување на 23.02.2026 год. Овој извештај го користи изразот 'Губиток при сушење' (за разлика од 'Губиток со сушење' во ППК26067/26062/26065). Забелешка: Резултатот се однесува на испитуваниот примерок онаков каков е примен... Умножување на овој резултат не е дозволено без писмено одобрение на Центарот за природни производи при Фармацевтски факултет, УКИМ, Скопје. Образец ОБ 01/7.8_01 Верзија 7</t>
  </si>
  <si>
    <t>110526_ППК26061_CNP_GG112501-P060252.pdf</t>
  </si>
  <si>
    <t>20260907173350.pdf</t>
  </si>
  <si>
    <t>Определување на губиток со сушење (2.2.32) и содржина на канабиноиди (2.2.29) според DAB* за сув цвет од канабис</t>
  </si>
  <si>
    <t>c25fd08e58c201de2751ffb406e2df957c2d57657fcb4f1536b9c453a6aceb62</t>
  </si>
  <si>
    <t>Дата на завршено испитување: 07.05.2026 год. АНОМАЛИЈА: во табелата редовите се означени „Вкупно CBD***“ и „Вкупно Δ9-THC****“, додека легендата подолу ги дефинира ** и ***; несовпаѓање на footnote-ознаките. Датумот горе десно е печатен „11.05.2026 год“ без точка по „год“.</t>
  </si>
  <si>
    <t>11</t>
  </si>
  <si>
    <t>110526_ППК26062_CNP_GG012601＊-P060302.pdf</t>
  </si>
  <si>
    <t>20260907173308.pdf</t>
  </si>
  <si>
    <t>f651a2571796668f9b5aa2ab92a08436863528b7b5557218cab785ea0f95027e</t>
  </si>
  <si>
    <t>Дата на завршено испитување: 07.05.2026 год. Серијата носи ѕвездичка (GG012601*). Ознаките на фуснотите кај 'Вкупно CBD'/'Вкупно Δ9-THC' се печатени со три/четири ѕвездички, за разлика од ППК26067 и ППК26065 каде се со две/три. Забелешка: Резултатот се однесува на испитуваниот примерок онаков каков е примен... Умножување на овој резултат не е дозволено без писмено одобрение на Центарот за природни производи при Фармацевтски факултет, УКИМ, Скопје. Образец ОБ 01/7.8_01 Верзија 7</t>
  </si>
  <si>
    <t>110526_ППК26063_CNP_JD112501-P060212.pdf</t>
  </si>
  <si>
    <t>6d252e4f634cfd1fb1aef8959bd0e6b1cee9d4129ade88b86ae0d3758faad89a</t>
  </si>
  <si>
    <t>Дата на завршено испитување: 07.05.2026 год. АНОМАЛИЈА: редовите се означени „Вкупно CBD***“ и „Вкупно Δ9-THC****“ додека легендата дефинира ** и *** (како и на стр.13). Границите се печатени „≤ 10.00“ и „≤ 1.00“ без знак % (на другите CNP листови стои „≤ 10.00 %“).</t>
  </si>
  <si>
    <t>110526_ППК26064_CNP_JD012601＊-P060312.pdf</t>
  </si>
  <si>
    <t>Определување на губиток со сушење (2.2.32) и содржина на канабиноиди (2.2.29) според монографија на германската фармакопеја (DAB*) за сув цвет од канабис</t>
  </si>
  <si>
    <t>b571558845b61cbdd109569b64e501abdc06e92ebe938acfe7ce46fe33d83787</t>
  </si>
  <si>
    <t>Опис: Сива вакумирана ќеса со бела налепница; количина на примерок 12.2 g. Дата на завршено испитување: 08.05.2026 год. Образец ОБ 01/7.8_01 Верзија 7. Нема експлицитна изјава за сообразност/заклучок.</t>
  </si>
  <si>
    <t>14</t>
  </si>
  <si>
    <t>110526_ППК26065_CNP_JD112501＊-P060212.pdf</t>
  </si>
  <si>
    <t>JD112501*</t>
  </si>
  <si>
    <t>17</t>
  </si>
  <si>
    <t>0e5155de5ab5947863aae81e3c3488c92445beb8207f669536dfd3989f8a3667</t>
  </si>
  <si>
    <t>Дата на завршено испитување: 08.05.2026 год. Забелешка: Резултатот се однесува на испитуваниот примерок онаков каков е примен... Умножување на овој резултат не е дозволено без писмено одобрение на Центарот за природни производи при Фармацевтски факултет, УКИМ, Скопје. Образец ОБ 01/7.8_01 Верзија 7</t>
  </si>
  <si>
    <t>15</t>
  </si>
  <si>
    <t>110526_ППК26066_CNP_FB112501-P060292.pdf</t>
  </si>
  <si>
    <t>c0e11be3406ce53237358a1ac7c2b439976d8699d249af2a7b560dbb79aa19c3</t>
  </si>
  <si>
    <t>Дата на завршено испитување: 08.05.2026 год. Образец ОБ 01/7.8_01 Верзија 7.</t>
  </si>
  <si>
    <t>110526_ППК26067_CNP_FB012601-1-P060322.pdf</t>
  </si>
  <si>
    <t>9349f1194a88fbb00133a452a34c61c3f60f853e1b153853976c5ca5e61f8175</t>
  </si>
  <si>
    <t>Дата на завршено испитување: 08.05.2026 год. Дата на доставување 21.04.2026. Фусноти: ** Вкупно CBD = сума на содржина на CBD и CBDA x 0.877; *** Вкупно Δ9-THC = сума на Δ9-THC и Δ9-THCA x 0.877; BLQ - под лимит на квантификација. Забелешка: Резултатот се однесува на испитуваниот примерок онаков каков е примен... Умножување на овој резултат не е дозволено без писмено одобрение на Центарот за природни производи при Фармацевтски факултет, УКИМ, Скопје. Образец ОБ 01/7.8_01 Верзија 7</t>
  </si>
  <si>
    <t>110526_ППК26068_CNP_CC112501-P060272.pdf</t>
  </si>
  <si>
    <t>48509ace3d7479ae054d8b670eeb5e98b0e92482cdf49990abc6af06acc19549</t>
  </si>
  <si>
    <t>Дата на завршено испитување: 08.05.2026 год.</t>
  </si>
  <si>
    <t>18</t>
  </si>
  <si>
    <t>110526_ППК26069_CNP_SCR112501-P060282.pdf</t>
  </si>
  <si>
    <t>839c1003b5aa8bfac532b29a4d934843163667e3a321ac1cc186bd172e60c7f5</t>
  </si>
  <si>
    <t>300626_ППК26110_CNP_FB012603V-P060392.pdf</t>
  </si>
  <si>
    <t>17.06.2026</t>
  </si>
  <si>
    <t>20260907172656.pdf</t>
  </si>
  <si>
    <t>Идентификација (2.8.23), определување на страни материи (2.8.2), губиток со сушење (2.2.32) и содржина на канабиноиди (2.2.29) во цвет од канабис согласно монографијата (07/2024:3028) во Европската фармакопеја (Ph. Eur. 11.5)</t>
  </si>
  <si>
    <t>20260907181723.pdf p32-32</t>
  </si>
  <si>
    <t>fb0c05cd8ac75acc74f2aaf8e3641d7cf997a9f5356642ac150e8fa4c9ac0251</t>
  </si>
  <si>
    <t>Certificate is one page (Страна 1/1). Дата на завршено испитување: 26.06.2026. Количина на примерокот: 60 g. Внатрешна недоследност: методскиот став цитира Ph. Eur. 11.5, а спецификацијата за идентификација цитира Ph.Eur. 11.0. Фусноти: '*- изразено на сува дрога'.</t>
  </si>
  <si>
    <t>300626_ППК26111_CNP_JD012603-02V-P060422.pdf</t>
  </si>
  <si>
    <t>20260907181723.pdf p31-31</t>
  </si>
  <si>
    <t>834d9e3055b41a3215193e42d02535e7e14b661e4e3237e79604f8366a408a50</t>
  </si>
  <si>
    <t>Certificate is one page (Страна 1/1). Дата на завршено испитување: 26.06.2026. Количина на примерокот: 61.5 g. Внатрешна недоследност: методскиот став цитира Ph. Eur. 11.5, а спецификацијата за идентификација цитира Ph.Eur. 11.0. Фусноти: '*- изразено на сува дрога'; 'BLQ - под лимит на квантификација'.</t>
  </si>
  <si>
    <t>21</t>
  </si>
  <si>
    <t>300626_ППК26112_CNP_FB012603-P060432.pdf</t>
  </si>
  <si>
    <t>20260907181723.pdf p30-30</t>
  </si>
  <si>
    <t>3bb987b13b6804f9d53e6467613c57e0b81b8931919634442368f40da6842a1b</t>
  </si>
  <si>
    <t>22</t>
  </si>
  <si>
    <t>300626_ППК26113_CNP_JD012603-02-P060412.pdf</t>
  </si>
  <si>
    <t>20260907181723.pdf p29-29</t>
  </si>
  <si>
    <t>8a0de6184a70293b93610f01671ea872aac82d5151e76e74ff124fcc6d608ed6</t>
  </si>
  <si>
    <t>Certificate is one page (Страна 1/1). Дата на завршено испитување: 26.06.2026. Количина на примерокот: 60.5 g. Внатрешна недоследност: методскиот став цитира Ph. Eur. 11.5, а спецификацијата за идентификација цитира Ph.Eur. 11.0. Фусноти: '*- изразено на сува дрога'.</t>
  </si>
  <si>
    <t>23</t>
  </si>
  <si>
    <t>300626_ППК26114_CNP_GG012603-P060402.pdf</t>
  </si>
  <si>
    <t>20260907181723.pdf p28-28</t>
  </si>
  <si>
    <t>f8a78fbb979b9b37347271bb47f9fef67758ac3bbc630e0839395eda751b702b</t>
  </si>
  <si>
    <t>24</t>
  </si>
  <si>
    <t>300626_ППК26115_CNP_JD022601.pdf</t>
  </si>
  <si>
    <t>20260907181723.pdf p27-27</t>
  </si>
  <si>
    <t>11ba5d0c436226f7923406da225f2ad27c5ba049a60d977690d2f30f80a07456</t>
  </si>
  <si>
    <t>Certificate is one page (Страна 1/1). Дата на завршено испитување: 26.06.2026. Количина на примерокот: 63.5 g. Внатрешна недоследност: методскиот став цитира Ph. Eur. 11.5, а спецификацијата за идентификација цитира Ph.Eur. 11.0. Фусноти: '*- изразено на сува дрога'; 'BLQ - под лимит на квантификација'.</t>
  </si>
  <si>
    <t>060726_ППК26116_CNP_SCR022601-P060442.pdf</t>
  </si>
  <si>
    <t>20260907181723.pdf p26-26</t>
  </si>
  <si>
    <t>97daee36a128b9400f30a5bbd35bcdec7ecb5f493ce4e9d8332f87d3f4dd53f0</t>
  </si>
  <si>
    <t>Certificate is one page (Страна 1/1). Дата на завршено испитување: 01.07.2026. Количина на примерокот: 60 g. Фусноти: '*- изразено на сува дрога'.</t>
  </si>
  <si>
    <t>26</t>
  </si>
  <si>
    <t>060726_ППК26117_CNP_P160012.pdf</t>
  </si>
  <si>
    <t>20260907181723.pdf p25-25</t>
  </si>
  <si>
    <t>86ee7629d20bf6f8abc1e14576d112d665d1b7f4704cab95cb5df844e735e673</t>
  </si>
  <si>
    <t>Certificate is one page (Страна 1/1). Дата на завршено испитување: 01.07.2026. Количината на примерокот не е наведена во описот на примерокот на оваа страна. Фусноти: '*- изразено на сува дрога'. Кодот на серијата 'P160012'-тип не одговара ниту на образецот за производна серија P0#####2 ниту на вообичаениот код за одгледувачка серија; запишан е точно како што е отпечатен.</t>
  </si>
  <si>
    <t>27</t>
  </si>
  <si>
    <t>060726_ППК26118_CNP_P160022.pdf</t>
  </si>
  <si>
    <t>20260907181723.pdf p24-24</t>
  </si>
  <si>
    <t>05d424fe8d0b6eb9f99cd1fc121b3889a49b96ab32e07ecfabeded95adaf625d</t>
  </si>
  <si>
    <t>Certificate is one page (Страна 1/1). Дата на завршено испитување: 02.07.2026. Количината на примерокот не е наведена во описот на примерокот на оваа страна. Фусноти: '*- изразено на сува дрога'. Кодот на серијата 'P160022'-тип не одговара ниту на образецот за производна серија P0#####2 ниту на вообичаениот код за одгледувачка серија; запишан е точно како што е отпечатен.</t>
  </si>
  <si>
    <t>28</t>
  </si>
  <si>
    <t>060726_ППК26119_CNP_P160032.pdf</t>
  </si>
  <si>
    <t>20260907181723.pdf p23-23</t>
  </si>
  <si>
    <t>dae0d895082497bf13a1712cd00666cac61b5d7ec2d3db97932c40dc16fc6f0e</t>
  </si>
  <si>
    <t>Certificate is one page (Страна 1/1). Дата на завршено испитување: 02.07.2026. Количината на примерокот не е наведена во описот на примерокот на оваа страна. Фусноти: '*- изразено на сува дрога'. Кодот на серијата 'P160032'-тип не одговара ниту на образецот за производна серија P0#####2 ниту на вообичаениот код за одгледувачка серија; запишан е точно како што е отпечатен.</t>
  </si>
  <si>
    <t>29</t>
  </si>
  <si>
    <t>210726_ППК26127_CNP_FB032601.pdf</t>
  </si>
  <si>
    <t>02.07.2026</t>
  </si>
  <si>
    <t>3-4</t>
  </si>
  <si>
    <t>ЗАКЛУЧОК: Испитуваниот примерок сув цвет од медицински канабис сорта Fat Bastard, серија FB032601, доставен од страна на ПЈУРЕЛИ ПЛАНТ ДООЕЛ, с. Ќојлија, Петровец, во однос на параметарот „Страни материи“, НЕ ОДГОВАРА на барањата пропишани во Ph. Eur. 11.5, монографија Cannabis flos (07/2024:3028), поради утврдено присуство на семе од канабис.</t>
  </si>
  <si>
    <t>20260907181723.pdf p9-10</t>
  </si>
  <si>
    <t>07daff03d90c1df1f20db0f19c74350fb2d294b205242a0ff25a7bf88434633a</t>
  </si>
  <si>
    <t>Единствениот НЕ-СООБРАЗЕН сертификат во овој сноп. Количина 61.18 g. Дата на завршено испитување 13.07.2026. Внатрешна недоследност: методскиот став цитира Ph. Eur. 11.5, спецификацијата за идентификација Ph.Eur. 11.0. Потписите се на страна 2/2 (стр. 4 од снопот).; Страница со само меморандум + потписен блок; продолжение на сертификат ППК26127 (стр. 3). Футер: ОБ 01/7.8_01 Верзија 7, Страна 2/2.</t>
  </si>
  <si>
    <t>210726_ППК26128_CNP_GG032601.pdf</t>
  </si>
  <si>
    <t>20260907181723.pdf p8-8</t>
  </si>
  <si>
    <t>694cbdd7ec10ba6b48909ee9ca02aeb4e51c320f63d4e179d2ab7d040ad0e91f</t>
  </si>
  <si>
    <t>Certificate is one page (Страна 1/1). Дата на завршено испитување: 13.07.2026. Количина на примерокот: 63.77 g. Внатрешна недоследност: методскиот став цитира Ph. Eur. 11.5, а спецификацијата за идентификација цитира Ph.Eur. 11.0. Фусноти: '*- изразено на сува дрога'.</t>
  </si>
  <si>
    <t>100226_031-1-K-26_FHM_GRC102501-P060182.pdf</t>
  </si>
  <si>
    <t>FHM</t>
  </si>
  <si>
    <t>031-1-K/26</t>
  </si>
  <si>
    <t>10.02.2026</t>
  </si>
  <si>
    <t>22-23</t>
  </si>
  <si>
    <t>ИР 7.2.1-47К (в.1) HPLC/DAD</t>
  </si>
  <si>
    <t>20260907174652.pdf p24-25</t>
  </si>
  <si>
    <t>21c30fe64440fb4f742c26dd427525852db8c4f60314c6d4f454beb09b50d642</t>
  </si>
  <si>
    <t>Насловна страна. ДУПЛИКАТ: истиот извештај 031-1-К/26 се појавува двапати во овој сноп – страни 22-23 и страни 24-25 (прв отпечаток). Двата отпечатоци се идентични по содржина (ист број, ист датум на издавање 10.02.2026, исти резултати), но се различни скенови (различни пиксели/закосеност), т.е. хартијата е скенирана двапати или се скенирани два примерока.; Датум на прием: 30.01.2026. Датум на анализа: 09.02.2026. ДУПЛИКАТ – види страна 24/25 од истиот сноп.</t>
  </si>
  <si>
    <t>32</t>
  </si>
  <si>
    <t>120226_031-1-LoD-26_FHM_GRC102501-P060182.pdf</t>
  </si>
  <si>
    <t>031-1-LoD/26</t>
  </si>
  <si>
    <t>12.02.2026</t>
  </si>
  <si>
    <t>26-27</t>
  </si>
  <si>
    <t>EUROPEAN PHARMACOPOEIA 11.5 Loss on Drying (2.2.32:2024)</t>
  </si>
  <si>
    <t>5ace718ca6a40aa7b7fd70197d268e10b7a2b6f3f9393b6673bd70b2a2c18f1f</t>
  </si>
  <si>
    <t>Насловна страна. Кодот 'ГС' означува губиток со сушење.; Датум на прием: 30.01.2026. Датум на анализа: 09.02.2026-10.02.2026.</t>
  </si>
  <si>
    <t>33</t>
  </si>
  <si>
    <t>100226_031-2-K-26_FHM_PUM102501-P060112.pdf</t>
  </si>
  <si>
    <t>031-2-K/26</t>
  </si>
  <si>
    <t>Pure Michigan</t>
  </si>
  <si>
    <t>20260907174313.pdf</t>
  </si>
  <si>
    <t>42-43</t>
  </si>
  <si>
    <t>Крај на Извештај (нема изјава за сообразност)</t>
  </si>
  <si>
    <t>ИР 7.2.1-47К (в.1) HPLC/DAD метод за идентификација и квантификација на канабиноиди во цвет (CBDA, CBD, CBN, CBNA, Δ9-THC, THCA-A), Европска фармакопеја Цвет од канабис (3028) - акредитиран метод согласно МКС EN ISO 17025:2018</t>
  </si>
  <si>
    <t>20260907174355.pdf p1-2</t>
  </si>
  <si>
    <t>2e8c97536003584644a207db76fdeec9b57b8364c02e296223f12860ab4ccf0b</t>
  </si>
  <si>
    <t>Насловна страна (1/2) на Фармахем извештај.; Резултатна страна (2/2). Датум на анализа: 09.02.2026. Последен запис во снопот; извештајот е комплетен (1/2 + 2/2), нема пресечен сертификат на крајот.</t>
  </si>
  <si>
    <t>34</t>
  </si>
  <si>
    <t>110226_031-2-LoD-26_FHM_PUM102501-P060112.pdf</t>
  </si>
  <si>
    <t>031-2-LoD/26</t>
  </si>
  <si>
    <t>11.02.2026</t>
  </si>
  <si>
    <t>20260907174355.pdf</t>
  </si>
  <si>
    <t>Нема изјава за сообразност; „Крај на Извештај“</t>
  </si>
  <si>
    <t>EUROPEAN PHARMACOPOEIA 11.5 Loss on Drying (2.2.32:2024); акредитиран метод согласно МКС EN ISO 17025:2018</t>
  </si>
  <si>
    <t>ffd397be1c07595be077f204711a917539070185367d2ba77f173d2e08768b3b</t>
  </si>
  <si>
    <t>Насловна страница: „Извештај од анализа на губитоци при сушење во цвет од канабис“. Податоци за лабораторијата: Фармахем Лабораторија за животна средина, ул.„Шар Планина“ бр. 20, Скопје; тел +389 71 30 60 27; e-mail: ekolab@farmahem.com.mk. Датум на издавање: 11.02.2026 (еден ден по К-извештајот за истиот примерок). На оваа насловна страница не се печатени ознака на примерок, серија ниту резултати - тие се на страна 2/2.; Датум на анализа: 09.02.2026-10.02.2026. Користена количина за анализа: 0,9965 g.</t>
  </si>
  <si>
    <t>35</t>
  </si>
  <si>
    <t>100226_031-3-K-26_FHM_WED102501-P060102.pdf</t>
  </si>
  <si>
    <t>031-3-K/26</t>
  </si>
  <si>
    <t>20260907174441.pdf</t>
  </si>
  <si>
    <t>4-5</t>
  </si>
  <si>
    <t>20260907174441.pdf p6-7</t>
  </si>
  <si>
    <t>3f99d1f6210f25d97dcc603f85d05d7508a9e30582c1b097b6777c4b9d38a39a</t>
  </si>
  <si>
    <t>Насловна страна (1/2) на Фармахем извештај.; Резултатна страна (2/2). Датум на анализа: 09.02.2026.</t>
  </si>
  <si>
    <t>36</t>
  </si>
  <si>
    <t>120226_031-3-LoD-26_FHM_WED102501-P060102.pdf</t>
  </si>
  <si>
    <t>031-3-LoD/26</t>
  </si>
  <si>
    <t>8-9</t>
  </si>
  <si>
    <t>EUROPEAN PHARMACOPOEIA 11.5 Loss on Drying (2.2.32:2024) - акредитиран метод согласно МКС EN ISO 17025:2018</t>
  </si>
  <si>
    <t>cb01a7758252e2c5a8b8c2af49098c9781712d72ff92fd16602a57e47af200b0</t>
  </si>
  <si>
    <t>Насловна страна (1/2) на Фармахем извештај.; Резултатна страна (2/2). Користена количина за анализа: 0,9967 g. Датум на анализа: 09.02.2026-10.02.2026.</t>
  </si>
  <si>
    <t>37</t>
  </si>
  <si>
    <t>100226_031-4-K-26_FHM_CF102501-P060132.pdf</t>
  </si>
  <si>
    <t>031-4-K/26</t>
  </si>
  <si>
    <t>5-6</t>
  </si>
  <si>
    <t>20260907174313.pdf p7-8</t>
  </si>
  <si>
    <t>0d8cd365700c44d6fe7e241196fabf2cf08b20e0991035f8b287494101e5b699</t>
  </si>
  <si>
    <t>38</t>
  </si>
  <si>
    <t>120226_031-4-LoD-26_FHM_CF102501-P060132.pdf</t>
  </si>
  <si>
    <t>031-4-LoD/26</t>
  </si>
  <si>
    <t>9-10</t>
  </si>
  <si>
    <t>938fd8ffd3985c01d2a40c1311c09b0fad0dee60ff31f7a18896e398366ca5f0</t>
  </si>
  <si>
    <t>Насловна страна (1/2) на Фармахем извештај.; Резултатна страна (2/2). Користена количина за анализа: 1,0027 g. Датум на анализа: 09.02.2026-10.02.2026.</t>
  </si>
  <si>
    <t>39</t>
  </si>
  <si>
    <t>100226_031-5-K-26_FHM_ACC102501-P060122.pdf</t>
  </si>
  <si>
    <t>031-5-K/26</t>
  </si>
  <si>
    <t>15-16</t>
  </si>
  <si>
    <t>20260907174441.pdf p17-18</t>
  </si>
  <si>
    <t>a508b3dbc75c4c59b8729a7eba42dfae18f75c50d92c5d2ca6473c5805ce4d5a</t>
  </si>
  <si>
    <t>40</t>
  </si>
  <si>
    <t>120226_031-5-LoD-26_FHM_ACC102501-P060122.pdf</t>
  </si>
  <si>
    <t>031-5-LoD/26</t>
  </si>
  <si>
    <t>19-20</t>
  </si>
  <si>
    <t>5f41dc902968fe7b4046fb136db83a102d5e38cc244ebf3a8da5ebceed8bcc76</t>
  </si>
  <si>
    <t>Насловна страна (1/2) на Фармахем извештај.; Резултатна страна (2/2). Користена количина за анализа: 0,9939 g. Датум на анализа: 09.02.2026-10.02.2026.</t>
  </si>
  <si>
    <t>040326_051-1-K-26_FHM_J31102501-P060152.pdf</t>
  </si>
  <si>
    <t>051-1-K/26</t>
  </si>
  <si>
    <t>12-13</t>
  </si>
  <si>
    <t>Метод ИР 7.2.1-47К (в.1) HPLC/DAD за идентификација и квантификација на канабиноиди (CBDA, CBD, CBN, CBNA, Δ9-THC, THCA-A), Европска фармакопеја Цвет од канабис (3028); акредитиран согласно МКС EN ISO 17025:2018</t>
  </si>
  <si>
    <t>20260907174355.pdf p14-15</t>
  </si>
  <si>
    <t>9c681825bc6e4bfd9202067a3d9ebf080766a3f67e88d9a62ca3f6a797524590</t>
  </si>
  <si>
    <t xml:space="preserve">Насловна страница: „Извештај од анализа на канабиноиди во цвет од канабис“. Податоци за лабораторијата: Фармахем Лабораторија за животна средина, ул.„Шар Планина“ бр. 20, Скопје; тел +389 71 30 60 27; e-mail: ekolab@farmahem.com.mk.  На оваа насловна страница не се печатени ознака на примерок, серија ниту резултати - тие се на страна 2/2.; Датум на анализа: 02.03.2026. </t>
  </si>
  <si>
    <t>42</t>
  </si>
  <si>
    <t>020326_051-1-LoD-26_FHM_J31102501-P060152.pdf</t>
  </si>
  <si>
    <t>051-1-LoD/26</t>
  </si>
  <si>
    <t>02.03.2026</t>
  </si>
  <si>
    <t>10-11</t>
  </si>
  <si>
    <t>20260907174355.pdf p16-17</t>
  </si>
  <si>
    <t>5d792a954174a8b84418fe373418cccd7ebf5815dfefdb3512d0bbf8b2b4e3bd</t>
  </si>
  <si>
    <t>Насловна страница: „Извештај од анализа на губитоци при сушење во цвет од канабис“. Податоци за лабораторијата: Фармахем Лабораторија за животна средина, ул.„Шар Планина“ бр. 20, Скопје; тел +389 71 30 60 27; e-mail: ekolab@farmahem.com.mk.  На оваа насловна страница не се печатени ознака на примерок, серија ниту резултати - тие се на страна 2/2.; Датум на анализа: 26.02.2026-27.02.2026. Користена количина за анализа: 0,9741 g.</t>
  </si>
  <si>
    <t>43</t>
  </si>
  <si>
    <t>040326_051-2-K-26_FHM_SJ112501-P060192.pdf</t>
  </si>
  <si>
    <t>051-2-K/26</t>
  </si>
  <si>
    <t>18-19</t>
  </si>
  <si>
    <t>20260907174313.pdf p22-23</t>
  </si>
  <si>
    <t>16dac69888faedb7e5995fbb32b9de43a1ab6879d1257dc4c40aaa8efa709e93</t>
  </si>
  <si>
    <t>Насловна страна (1/2) на Фармахем извештај.; Резултатна страна (2/2). Датум на анализа: 02.03.2026.</t>
  </si>
  <si>
    <t>44</t>
  </si>
  <si>
    <t>020326_051-2-LoD-26_FHM_SJ112501-P060192.pdf</t>
  </si>
  <si>
    <t>051-2-LoD/26</t>
  </si>
  <si>
    <t>16-17</t>
  </si>
  <si>
    <t>20260907174313.pdf p20-21</t>
  </si>
  <si>
    <t>9ca23a8bfa59233e515583a4d6af565d1e942db13c0751f77b3b838ee18fc2c0</t>
  </si>
  <si>
    <t>Насловна страна (1/2) на Фармахем извештај.; Резултатна страна (2/2). Користена количина за анализа: 0,8227 g. Датум на анализа: 26.02.2026-27.02.2026.</t>
  </si>
  <si>
    <t>45</t>
  </si>
  <si>
    <t>040326_051-3-K-26_FHM_SJ102501-P060162.pdf</t>
  </si>
  <si>
    <t>051-3-K/26</t>
  </si>
  <si>
    <t>20260907174355.pdf p30-31</t>
  </si>
  <si>
    <t>0e07613f76a042d1ac853343ee3e79d7b608e023041688fafefa6b80ec448b0d</t>
  </si>
  <si>
    <t>46</t>
  </si>
  <si>
    <t>020326_051-3-LoD-26_FHM_SJ102501-P060162.pdf</t>
  </si>
  <si>
    <t>051-3-LoD/26</t>
  </si>
  <si>
    <t>24-25</t>
  </si>
  <si>
    <t>20260907174355.pdf p28-29</t>
  </si>
  <si>
    <t>face67325ce075610b7c27011a05008b6fb4fadd4f9040cd9ab857309b744ee3</t>
  </si>
  <si>
    <t>Насловна страница: „Извештај од анализа на губитоци при сушење во цвет од канабис“. Податоци за лабораторијата: Фармахем Лабораторија за животна средина, ул.„Шар Планина“ бр. 20, Скопје; тел +389 71 30 60 27; e-mail: ekolab@farmahem.com.mk.  На оваа насловна страница не се печатени ознака на примерок, серија ниту резултати - тие се на страна 2/2.; Датум на анализа: 26.02.2026-27.02.2026. Користена количина за анализа: 1,0031 g.</t>
  </si>
  <si>
    <t>47</t>
  </si>
  <si>
    <t>040326_051-4-K-26_FHM_KC102501-P060172.pdf</t>
  </si>
  <si>
    <t>051-4-K/26</t>
  </si>
  <si>
    <t>31-32</t>
  </si>
  <si>
    <t>20260907174313.pdf p33-34</t>
  </si>
  <si>
    <t>a786ac67550333f5d92e4ab0f28375820ddb5d6eabb5c7ad9d6de69384e1ea0b</t>
  </si>
  <si>
    <t>Насловна страна (1/2) на Фармахем извештај.; Резултатна страна (2/2). Датум на анализа: 02.03.2026. ПРАВОПИС: тука 'Kush Crasher' наспроти 'Kush Krasher' во ГС-извештаите за истата серија KC102501.</t>
  </si>
  <si>
    <t>48</t>
  </si>
  <si>
    <t>020326_051-4-LoD-26_FHM_KC102501-P060172.pdf</t>
  </si>
  <si>
    <t>051-4-LoD/26</t>
  </si>
  <si>
    <t>Kush Krasher</t>
  </si>
  <si>
    <t>29-30</t>
  </si>
  <si>
    <t>20260907174313.pdf p35-36</t>
  </si>
  <si>
    <t>a5267eb56f26bbaaa19503f65ade94784a726e0e74cc23dae95abd825fa17d9d</t>
  </si>
  <si>
    <t>Насловна страна (1/2) на Фармахем извештај.; Резултатна страна (2/2). Користена количина за анализа: 0,8805 g. Датум на анализа: 26.02.2026-27.02.2026. ПРАВОПИС: во ГС-извештаите сортата е отпечатена како 'Kush Krasher', а во K-извештаите и кај ИЈЗ како 'Kush Crasher'.</t>
  </si>
  <si>
    <t>49</t>
  </si>
  <si>
    <t>040326_051-5-K-26_FHM_J31112501-P060202.pdf</t>
  </si>
  <si>
    <t>051-5-K/26</t>
  </si>
  <si>
    <t>20260907174602.pdf</t>
  </si>
  <si>
    <t>20260907174602.pdf p12-13</t>
  </si>
  <si>
    <t>f1636996acd726b25bcd4ed9919ff6eb5a2d55a8a3d3ec054b122f2088ecdd7c</t>
  </si>
  <si>
    <t>020326_051-5-LoD-26_FHM_J31112501-P060202.pdf</t>
  </si>
  <si>
    <t>051-5-LoD/26</t>
  </si>
  <si>
    <t>6-7</t>
  </si>
  <si>
    <t>20260907174602.pdf p10-11</t>
  </si>
  <si>
    <t>3bfcb05cf1f9b7a164c3014793e2186d34b6988007c4181e9f27cfba1ca2a454</t>
  </si>
  <si>
    <t>Насловна страница: „Извештај од анализа на губитоци при сушење во цвет од канабис“. Податоци за лабораторијата: Фармахем Лабораторија за животна средина, ул.„Шар Планина“ бр. 20, Скопје; тел +389 71 30 60 27; e-mail: ekolab@farmahem.com.mk. РАЧЕН ЗАПИС: на оваа страница е залепено розово ливче со ракописен текст - со црвено „Нова Фармахем“ и со сино „Реанализа #4 27.03.2026 во фармахем“, плус црвена ознака. Ливчето делумно го покрива заглавјето/логото на извештајот. На оваа насловна страница не се печатени ознака на примерок, серија ниту резултати - тие се на страна 2/2.; Датум на анализа: 26.</t>
  </si>
  <si>
    <t>51</t>
  </si>
  <si>
    <t>040326_051-6-K-26_FHM_GRC102501-2-P060182.pdf</t>
  </si>
  <si>
    <t>051-6-K/26</t>
  </si>
  <si>
    <t>21-22</t>
  </si>
  <si>
    <t>20260907174652.pdf p3-4</t>
  </si>
  <si>
    <t>36633788ac7a3311631064dba73c832b25b5656f881ce03c3e3c9c5619cbd2a5</t>
  </si>
  <si>
    <t>Насловна страница: „Извештај од анализа на канабиноиди во цвет од канабис“. Податоци за лабораторијата: Фармахем Лабораторија за животна средина, ул.„Шар Планина“ бр. 20, Скопје; тел +389 71 30 60 27; e-mail: ekolab@farmahem.com.mk.  На оваа насловна страница не се печатени ознака на примерок, серија ниту резултати - тие се на страна 2/2.; Датум на анализа: 02.03.2026. Последна страница од пакетот (2/2) - извештајот е комплетен.</t>
  </si>
  <si>
    <t>52</t>
  </si>
  <si>
    <t>020326_051-6-LoD-26_FHM_GRC102501-2-P060182.pdf</t>
  </si>
  <si>
    <t>051-6-LoD/26</t>
  </si>
  <si>
    <t>20260907174652.pdf p1-2</t>
  </si>
  <si>
    <t>602d50fe4c8b848d3c5cc6a2b0baad53f96d7f4e7b5ef1f07c78cbc91226c6ad</t>
  </si>
  <si>
    <t>Насловна страница: „Извештај од анализа на губитоци при сушење во цвет од канабис“. Податоци за лабораторијата: Фармахем Лабораторија за животна средина, ул.„Шар Планина“ бр. 20, Скопје; тел +389 71 30 60 27; e-mail: ekolab@farmahem.com.mk. Сортата е печатена „Graps &amp; Creme“ (на рачниот приемен лист е напишана „Greps &amp; Creme“). На оваа насловна страница не се печатени ознака на примерок, серија ниту резултати - тие се на страна 2/2.; Датум на анализа: 26.02.2026-27.02.2026. Користена количина за анализа: 1,0177 g.</t>
  </si>
  <si>
    <t>53</t>
  </si>
  <si>
    <t>090426_100-2-K-26_FHM_J31122501-P060262.pdf</t>
  </si>
  <si>
    <t>100-2-K/26</t>
  </si>
  <si>
    <t>26.03.2026</t>
  </si>
  <si>
    <t>20260907172819.pdf</t>
  </si>
  <si>
    <t>1-2-3</t>
  </si>
  <si>
    <t>ИР 7.2.1-47К (в.1); HPLC/DAD метод за идентификација и квантификација на канабиноиди во цвет (CBDA, CBD, CBN, CBNA, Δ9-THC, THCA-A); Европска фармакопеја Цвет од канабис (3028); МКС EN ISO 17025:2018</t>
  </si>
  <si>
    <t>20260907172819.pdf p8-8</t>
  </si>
  <si>
    <t>cd5ac966fbb6f9306730579d98a991224c5c751a2b7e6b12ecf314b15509c76f</t>
  </si>
  <si>
    <t>Cover page of the cannabinoid report. Title: 'Извештај од анализа на канабиноиди во цвет од канабис'. No sample/batch data on this page. Footer 'Фармахем Лабораторија за животна средина  1/2'. Page 8 of this same bundle is a second, duplicate scan of this identical page.; Results page. 'Примерок број CF-151/26', 'Датум на анализа 01.04.2026'. &lt;LOQ- под лимит на квантификација (&lt;0.20%). U = k=2, ~95%. Ends with 'Крај на Извештај'. No conformity/compliance statement is printed on Фармахем reports. Batch printed here is J31122501, but the loss-on-drying reports for the same material (100-2-ГС/26,</t>
  </si>
  <si>
    <t>54</t>
  </si>
  <si>
    <t>090426_100-2-LoD-26_FHM_J31112501-P060202.pdf</t>
  </si>
  <si>
    <t>100-2-LoD/26</t>
  </si>
  <si>
    <t>EUROPEAN PHARMACOPOEIA 11.5 Loss on Drying (2.2.32:2024); МКС EN ISO 17025:2018</t>
  </si>
  <si>
    <t>700b7c4403a8bcee655464cf5165321fbc445308d30506c61615d1b09ba2114d</t>
  </si>
  <si>
    <t>Cover page, title 'Извештај од анализа на губитоци при сушење во цвет од канабис'. Footer '1/2'.; Results page. 'Примерок број CF-152/26'; 'Користена количина за анализа: 0,9734 g'; 'Датум на анализа 08.04.2026-09.04.2026'. Spec column header is 'Подрачје според European Pharmacopoeia 2.2.32:2024, LoD [%]' = &lt; 12. ANOMALY: batch is printed J31112501 here, while the cannabinoid reports 100-2-К/26 and 100-3-К/26 for the same Jokerz 31 material print J31122501.</t>
  </si>
  <si>
    <t>55</t>
  </si>
  <si>
    <t>090426_100-3-K-26_FHM_J31122501-P060262.pdf</t>
  </si>
  <si>
    <t>100-3-K/26</t>
  </si>
  <si>
    <t>c81f5bcf6e7e3bf620f81b393c62663e52ddc11624679508931a45f535c3735a</t>
  </si>
  <si>
    <t>Cover page of the cannabinoid report 100-3-К/26. Footer '1/2'. Blue round ФАРМАХЕМ ДООЕЛ Скопје stamp overlaps the signature block.; Results page. 'Примерок број CF-153/26', 'Датум на анализа 01.04.2026'. Sample is the machine-trimmed ('тримиран цвет') fraction of the same Jokerz 31 batch. Batch printed J31122501 (compare J31112501 on the ГС reports).</t>
  </si>
  <si>
    <t>56</t>
  </si>
  <si>
    <t>090426_100-3-LoD-26_FHM_J31112501-P060202.pdf</t>
  </si>
  <si>
    <t>100-3-LoD/26</t>
  </si>
  <si>
    <t>7e07678bf64bd4d77a1d3a2402772a9d49b7f618c0d383f54a990e944da8b0d6</t>
  </si>
  <si>
    <t>Cover page of the loss-on-drying report 100-3-ГС/26. Footer '1/2'. Blue round ФАРМАХЕМ ДООЕЛ Скопје stamp over the signature block. OCR of the client line renders 'Пјурели Плавт' but the printed text is 'Пјурели Плант'.; Results page. 'Примерок број CF-154/26'; 'Користена количина за анализа: 0,9877 g'; 'Датум на анализа 08.04.2026-09.04.2026'. LoD result is identical (10,3 ± 0,2 %) to report 100-2-ГС/26 on a different sub-sample. Batch printed J31112501.</t>
  </si>
  <si>
    <t>57</t>
  </si>
  <si>
    <t>070826_197-1-K-26_FHM_BG1024.pdf</t>
  </si>
  <si>
    <t>197-1-K/26</t>
  </si>
  <si>
    <t>07.08.2026</t>
  </si>
  <si>
    <t>27.07.2026</t>
  </si>
  <si>
    <t>20260907173204.pdf</t>
  </si>
  <si>
    <t>1-2</t>
  </si>
  <si>
    <t>ИР 7.2.1-47К (в.1) HPLC/DAD метод за идентификација и квантификација на канабиноиди во цвет (CBDA, CBD, CBN, CBNA, Δ9-THC, THCA-A), Европска фармакопеја Цвет од канабис (3028)</t>
  </si>
  <si>
    <t>815b790097d798a4da69061cfa8704c749dd6d96038b0c86112ef3dd66655e19</t>
  </si>
  <si>
    <t>Насловна страна на извештајот: 'Извештај од анализа на канабиноиди во цвет од канабис' со табела Клиент / Извештај број / Податоци за лабораторијата (Фармахем Лабораторија за животна средина, ул.„Шар Планина“ бр. 20, Скопје, тел: + 389 71 30 60 27, e-mail: ekolab@farmahem.com.mk) / Анализа и изработка / Одговорно лице / Датум на издавање. Нема резултати на оваа страна. Долниот колонтитул е 'Фармахем Лабораторија за животна средина  1/2'. Ознака за акредитација ЛТ-017 (печат горе).; Втора страна: 1. Вовед (Датум на прием 27.07.2026; Клиент Пјурели Плант; Тип на доставени примероци: Сув цвет; Па</t>
  </si>
  <si>
    <t>58</t>
  </si>
  <si>
    <t>100826_197-1-M-26_FHM_BG1024.pdf</t>
  </si>
  <si>
    <t>197-1-M/26</t>
  </si>
  <si>
    <t>29.07.2026</t>
  </si>
  <si>
    <t>20260907172932.pdf</t>
  </si>
  <si>
    <t>Интерен метод ИР 7.2.1-43М (в.03) (Aflatoxin B1;B2;G1;G2); Интерен метод ИР 7.2.1-44М (в.03) (Ochratoxin A)</t>
  </si>
  <si>
    <t>09630d610a824c6fb5efb1be1a7d48d1adb96630f91337e0a547433bd9d02ca7</t>
  </si>
  <si>
    <t>Cover page (1/2) of FARMAHEM mycotoxin report 197-1-M/26. Carries letterhead, Klient, Izvestaj broj, laboratory details, analyst/approver block with stamp and 'Datum na izdavanje'. No sample, batch, receipt date or results on this page - those are on page 2/2 of the same certificate.; Results page (2/2) of FARMAHEM report 197-1-M/26. No issue date is printed on this page - 'Датум на издавање: 10.08.2026' appears on page 1/2 (page 1) of this certificate. Датум на анализа: 06.08.2026. Sample number CF-396/26. There is no conformity/specification statement anywhere on this report - the results ta</t>
  </si>
  <si>
    <t>59</t>
  </si>
  <si>
    <t>070826_197-10-K-26_FHM_GP052501-P050152.pdf</t>
  </si>
  <si>
    <t>197-10-K/26</t>
  </si>
  <si>
    <t>8673adaefa0dd8b1e96f67a001db4fee77517dc2bb041b8cf1ae24eafe225f93</t>
  </si>
  <si>
    <t>60</t>
  </si>
  <si>
    <t>100826_197-10-M-26_FHM_GP052501-P050152.pdf</t>
  </si>
  <si>
    <t>197-10-M/26</t>
  </si>
  <si>
    <t>22-19</t>
  </si>
  <si>
    <t>140f34731897b40a7f090f22b5ed53e3582bd5b5631d6c005913300c7284c7e6</t>
  </si>
  <si>
    <t>pages scanned out of order and reunited in document order; Cover page (1/2) of FARMAHEM mycotoxin report 197-10-M/26. Carries letterhead, Klient, Izvestaj broj, laboratory details, analyst/approver block with stamp and 'Datum na izdavanje'. No sample, batch, receipt date or results on this page - those are on page 2/2 of the same certificate. ORDER ANOMALY: this cover sheet is scanned AFTER its own results page (page 19); the certificate's two pages appear out of sequence in the bundle.</t>
  </si>
  <si>
    <t>61</t>
  </si>
  <si>
    <t>070826_197-11-K-26_FHM_GP0824_02-P050022.pdf</t>
  </si>
  <si>
    <t>197-11-K/26</t>
  </si>
  <si>
    <t>8bed0ad3fed835c9902e29d9024778ea2c69d2d5fef7329ac60dcb84052c3f03</t>
  </si>
  <si>
    <t>62</t>
  </si>
  <si>
    <t>100826_197-11-M-26_FHM_GP0824_02-P050022.pdf</t>
  </si>
  <si>
    <t>197-11-M/26</t>
  </si>
  <si>
    <t>17-18</t>
  </si>
  <si>
    <t>580c95ba1d5964d40a10850c94edd19e17d1bb3218f0a608a2092b9df122efed</t>
  </si>
  <si>
    <t>Cover page (1/2) of FARMAHEM mycotoxin report 197-11-M/26. Carries letterhead, Klient, Izvestaj broj, laboratory details, analyst/approver block with stamp and 'Datum na izdavanje'. No sample, batch, receipt date or results on this page - those are on page 2/2 of the same certificate.; Results page (2/2) of FARMAHEM report 197-11-M/26. No issue date is printed on this page - 'Датум на издавање: 10.08.2026' appears on page 1/2 (page 17) of this certificate. Датум на анализа: 06.08.2026. Sample number CF-406/26. There is no conformity/specification statement anywhere on this report - the results</t>
  </si>
  <si>
    <t>63</t>
  </si>
  <si>
    <t>070826_197-12-K-26_FHM_GP082501-2-P050322.pdf</t>
  </si>
  <si>
    <t>197-12-K/26</t>
  </si>
  <si>
    <t>23-24</t>
  </si>
  <si>
    <t>f2beb373ef74b582691357fbc55d43c668517a5c38ea993a2062b0c309ac8fc7</t>
  </si>
  <si>
    <t>64</t>
  </si>
  <si>
    <t>100826_197-12-M-26_FHM_GP082501-2-P050322.pdf</t>
  </si>
  <si>
    <t>197-12-M/26</t>
  </si>
  <si>
    <t>20-21</t>
  </si>
  <si>
    <t>36a669214e85370cba22d10e0ddc891de29a627c4fbba541e0e02d0138783c71</t>
  </si>
  <si>
    <t>Cover page (1/2) of FARMAHEM mycotoxin report 197-12-M/26. Carries letterhead, Klient, Izvestaj broj, laboratory details, analyst/approver block with stamp and 'Datum na izdavanje'. No sample, batch, receipt date or results on this page - those are on page 2/2 of the same certificate.; Results page (2/2) of FARMAHEM report 197-12-M/26. No issue date is printed on this page - 'Датум на издавање: 10.08.2026' appears on page 1/2 (page 20) of this certificate. Датум на анализа: 06.08.2026. Sample number CF-407/26. There is no conformity/specification statement anywhere on this report - the results</t>
  </si>
  <si>
    <t>65</t>
  </si>
  <si>
    <t>070826_197-13-K-26_FHM_HPA1024.pdf</t>
  </si>
  <si>
    <t>197-13-K/26</t>
  </si>
  <si>
    <t>25-26</t>
  </si>
  <si>
    <t>6fc9ab4907776c3f966259ee1730e39b73bef238f2d07fb7f173ea1a856e9d29</t>
  </si>
  <si>
    <t>66</t>
  </si>
  <si>
    <t>100826_197-13-M-26_FHM_HPA1024.pdf</t>
  </si>
  <si>
    <t>197-13-M/26</t>
  </si>
  <si>
    <t>73f54ac8c28b544125e219b631e39ef6ff8f522ecbdbdc9027886f7b8c404ebc</t>
  </si>
  <si>
    <t>Cover page (1/2) of FARMAHEM mycotoxin report 197-13-M/26. Carries letterhead, Klient, Izvestaj broj, laboratory details, analyst/approver block with stamp and 'Datum na izdavanje'. No sample, batch, receipt date or results on this page - those are on page 2/2 of the same certificate.; Results page (2/2) of FARMAHEM report 197-13-M/26. No issue date is printed on this page - 'Датум на издавање: 10.08.2026' appears on page 1/2 (page 23) of this certificate. Датум на анализа: 06.08.2026. Sample number CF-408/26. There is no conformity/specification statement anywhere on this report - the results</t>
  </si>
  <si>
    <t>67</t>
  </si>
  <si>
    <t>070826_197-14-K-26_FHM_HPA1024_01-P050052.pdf</t>
  </si>
  <si>
    <t>197-14-K/26</t>
  </si>
  <si>
    <t>27-28</t>
  </si>
  <si>
    <t>6a8b439cedfab8c7ddfa3bb39a2423963ec6834ff9dd8e5e0ce3c6a7e18bbcc7</t>
  </si>
  <si>
    <t>68</t>
  </si>
  <si>
    <t>100826_197-14-M-26_FHM_HPA1024_01.pdf</t>
  </si>
  <si>
    <t>197-14-M/26</t>
  </si>
  <si>
    <t>1ef67cd91684695c0fbc3754bed873fc5db61883b43fc07355a42df12be0841b</t>
  </si>
  <si>
    <t>Cover page (1/2) of FARMAHEM mycotoxin report 197-14-M/26. Carries letterhead, Klient, Izvestaj broj, laboratory details, analyst/approver block with stamp and 'Datum na izdavanje'. No sample, batch, receipt date or results on this page - those are on page 2/2 of the same certificate.; Results page (2/2) of FARMAHEM report 197-14-M/26. No issue date is printed on this page - 'Датум на издавање: 10.08.2026' appears on page 1/2 (page 25) of this certificate. Датум на анализа: 06.08.2026. Sample number CF-409/26. There is no conformity/specification statement anywhere on this report - the results</t>
  </si>
  <si>
    <t>69</t>
  </si>
  <si>
    <t>070826_197-15-K-26_FHM_JD112501-P060212.pdf</t>
  </si>
  <si>
    <t>197-15-K/26</t>
  </si>
  <si>
    <t>4d89e1df4a12b6dfab8d647c96a07be39c70c7800329b1c672cacd5cad744b3a</t>
  </si>
  <si>
    <t>70</t>
  </si>
  <si>
    <t>100826_197-15-M-26_FHM_JD112501-P060212.pdf</t>
  </si>
  <si>
    <t>197-15-M/26</t>
  </si>
  <si>
    <t>e762b0354dd426e07c88b306d07874b880dec6482eca64a827b1088504edd306</t>
  </si>
  <si>
    <t>Cover page (1/2) of FARMAHEM mycotoxin report 197-15-M/26. Carries letterhead, Klient, Izvestaj broj, laboratory details, analyst/approver block with stamp and 'Datum na izdavanje'. No sample, batch, receipt date or results on this page - those are on page 2/2 of the same certificate.; Results page (2/2) of FARMAHEM report 197-15-M/26. No issue date is printed on this page - 'Датум на издавање: 10.08.2026' appears on page 1/2 (page 27) of this certificate. Датум на анализа: 06.08.2026. Sample number CF-410/26. There is no conformity/specification statement anywhere on this report - the results</t>
  </si>
  <si>
    <t>71</t>
  </si>
  <si>
    <t>070826_197-16-K-26_FHM_J31102501-P060152.pdf</t>
  </si>
  <si>
    <t>197-16-K/26</t>
  </si>
  <si>
    <t>0f703d9be0a9b18202c31469df16360c6b6489ed2845d84b21fcf5150c438dbe</t>
  </si>
  <si>
    <t>72</t>
  </si>
  <si>
    <t>100826_197-16-M-26_FHM_J31102501-P060152.pdf</t>
  </si>
  <si>
    <t>197-16-M/26</t>
  </si>
  <si>
    <t>5187900b2e102e61a868bdb91f028009b543dc59013147249a0af9a12987ff3c</t>
  </si>
  <si>
    <t>Cover page (1/2) of FARMAHEM mycotoxin report 197-16-M/26. Carries letterhead, Klient, Izvestaj broj, laboratory details, analyst/approver block with stamp and 'Datum na izdavanje'. No sample, batch, receipt date or results on this page - those are on page 2/2 of the same certificate.; Results page (2/2) of FARMAHEM report 197-16-M/26. No issue date is printed on this page - 'Датум на издавање: 10.08.2026' appears on page 1/2 (page 29) of this certificate. Датум на анализа: 06.08.2026. Sample number CF-411/26. There is no conformity/specification statement anywhere on this report - the results</t>
  </si>
  <si>
    <t>73</t>
  </si>
  <si>
    <t>070826_197-17-K-26_FHM_OPM1024.pdf</t>
  </si>
  <si>
    <t>197-17-K/26</t>
  </si>
  <si>
    <t>OPM 1024</t>
  </si>
  <si>
    <t>33-34</t>
  </si>
  <si>
    <t>ede9e2880ec7421481b4d36c6985d402096ec173223e563c977ed4a2ff444c2a</t>
  </si>
  <si>
    <t>74</t>
  </si>
  <si>
    <t>100826_197-17-M-26_FHM_OPM1024.pdf</t>
  </si>
  <si>
    <t>197-17-M/26</t>
  </si>
  <si>
    <t>0c3a965eaa71486037fe38d726cde88bfa1c5f05527de2b31af06764c77c0b83</t>
  </si>
  <si>
    <t>Cover page (1/2) of FARMAHEM mycotoxin report 197-17-M/26. Carries letterhead, Klient, Izvestaj broj, laboratory details, analyst/approver block with stamp and 'Datum na izdavanje'. No sample, batch, receipt date or results on this page - those are on page 2/2 of the same certificate.; Results page (2/2) of FARMAHEM report 197-17-M/26. No issue date is printed on this page - 'Датум на издавање: 10.08.2026' appears on page 1/2 (page 31) of this certificate. Датум на анализа: 06.08.2026. Sample number CF-412/26. There is no conformity/specification statement anywhere on this report - the results</t>
  </si>
  <si>
    <t>75</t>
  </si>
  <si>
    <t>070826_197-18-K-26_FHM_OPM1024_02-P050062.pdf</t>
  </si>
  <si>
    <t>197-18-K/26</t>
  </si>
  <si>
    <t>35-36</t>
  </si>
  <si>
    <t>ba93eb326608808c64c24de990b54a236a63111553b6e0b5bb468ad54e13f944</t>
  </si>
  <si>
    <t>76</t>
  </si>
  <si>
    <t>100826_197-18-M-26_FHM_OPM1024_02-P050062.pdf</t>
  </si>
  <si>
    <t>197-18-M/26</t>
  </si>
  <si>
    <t>05bfe6090823796eb95412b1cfc298506b5516cd154187dfdf0c1501d63f9497</t>
  </si>
  <si>
    <t>Cover page (1/2) of FARMAHEM mycotoxin report 197-18-M/26. Carries letterhead, Klient, Izvestaj broj, laboratory details, analyst/approver block with stamp and 'Datum na izdavanje'. No sample, batch, receipt date or results on this page - those are on page 2/2 of the same certificate.; Results page (2/2) of FARMAHEM report 197-18-M/26. No issue date is printed on this page - 'Датум на издавање: 10.08.2026' appears on page 1/2 (page 33) of this certificate. Датум на анализа: 06.08.2026. Sample number CF-413/26. There is no conformity/specification statement anywhere on this report - the results</t>
  </si>
  <si>
    <t>77</t>
  </si>
  <si>
    <t>070826_197-19-K-26_FHM_OPM122501-P060242.pdf</t>
  </si>
  <si>
    <t>197-19-K/26</t>
  </si>
  <si>
    <t>37-38</t>
  </si>
  <si>
    <t>24427bdade3e23962ef24969499c2222e4c8a7471fb3acddd2af6aaef9e71b24</t>
  </si>
  <si>
    <t>78</t>
  </si>
  <si>
    <t>100826_197-19-M-26_FHM_OPM122501-P060242.pdf</t>
  </si>
  <si>
    <t>197-19-M/26</t>
  </si>
  <si>
    <t>3fcdbbb6608f10ef9d0939b87c3e791b056c1e1943df08806a19d4588fa7918f</t>
  </si>
  <si>
    <t>Cover page (1/2) of FARMAHEM mycotoxin report 197-19-M/26. Carries letterhead, Klient, Izvestaj broj, laboratory details, analyst/approver block with stamp and 'Datum na izdavanje'. No sample, batch, receipt date or results on this page - those are on page 2/2 of the same certificate.; Results page (2/2) of FARMAHEM report 197-19-M/26. No issue date is printed on this page - 'Датум на издавање: 10.08.2026' appears on page 1/2 (page 35) of this certificate. Датум на анализа: 06.08.2026. Sample number CF-414/26. There is no conformity/specification statement anywhere on this report - the results</t>
  </si>
  <si>
    <t>79</t>
  </si>
  <si>
    <t>070826_197-2-K-26_FHM_BSS1024.pdf</t>
  </si>
  <si>
    <t>197-2-K/26</t>
  </si>
  <si>
    <t>a8fa05159d55b45a1e4105e3f40e9a6728427b2156dcd12b8b786cb210c62aa6</t>
  </si>
  <si>
    <t>80</t>
  </si>
  <si>
    <t>100826_197-2-M-26_FHM_BSS1024.pdf</t>
  </si>
  <si>
    <t>197-2-M/26</t>
  </si>
  <si>
    <t>e0e574a8ec30bff5769be4ece601a0abc493d92e864e3760333729e9d60da7e3</t>
  </si>
  <si>
    <t>Cover page (1/2) of FARMAHEM mycotoxin report 197-2-M/26. Carries letterhead, Klient, Izvestaj broj, laboratory details, analyst/approver block with stamp and 'Datum na izdavanje'. No sample, batch, receipt date or results on this page - those are on page 2/2 of the same certificate.; Results page (2/2) of FARMAHEM report 197-2-M/26. No issue date is printed on this page - 'Датум на издавање: 10.08.2026' appears on page 1/2 (page 3) of this certificate. Датум на анализа: 06.08.2026. Sample number CF-397/26. There is no conformity/specification statement anywhere on this report - the results ta</t>
  </si>
  <si>
    <t>81</t>
  </si>
  <si>
    <t>070826_197-20-K-26_FHM_PM092501-P060062.pdf</t>
  </si>
  <si>
    <t>197-20-K/26</t>
  </si>
  <si>
    <t>39-40</t>
  </si>
  <si>
    <t>1245f9ac19340ec41a601cb5735a60f132d3d61f0593e57648ee9f3363fe9992</t>
  </si>
  <si>
    <t>82</t>
  </si>
  <si>
    <t>100826_197-20-M-26_FHM_PM092501-P060062.pdf</t>
  </si>
  <si>
    <t>197-20-M/26</t>
  </si>
  <si>
    <t>5ca2bcde4ff29ea7713db6709e8b15b0316667e89362dab713d5f109c31d7ee8</t>
  </si>
  <si>
    <t>Cover page (1/2) of FARMAHEM mycotoxin report 197-20-M/26. Carries letterhead, Klient, Izvestaj broj, laboratory details, analyst/approver block with stamp and 'Datum na izdavanje'. No sample, batch, receipt date or results on this page - those are on page 2/2 of the same certificate. Cultivar printed 'Permanent Market' (commonly 'Permanent Marker') - reproduced as printed.; Results page (2/2) of FARMAHEM report 197-20-M/26. No issue date is printed on this page - 'Датум на издавање: 10.08.2026' appears on page 1/2 (page 37) of this certificate. Датум на анализа: 06.08.2026. Sample number CF-4</t>
  </si>
  <si>
    <t>83</t>
  </si>
  <si>
    <t>070826_197-21-K-26_FHM_SCR012603-P060382.pdf</t>
  </si>
  <si>
    <t>197-21-K/26</t>
  </si>
  <si>
    <t>41-42</t>
  </si>
  <si>
    <t>e19078a09c62a222e752fa768345295aff819698a736992c6a9b9e8d5558ab7c</t>
  </si>
  <si>
    <t>84</t>
  </si>
  <si>
    <t>100826_197-21-M-26_FHM_SCR012603-P060382.pdf</t>
  </si>
  <si>
    <t>197-21-M/26</t>
  </si>
  <si>
    <t>72e1b1276a883345186e236b40b529653ed23b046c69cd79ad333cde2d60f590</t>
  </si>
  <si>
    <t>Cover page (1/2) of FARMAHEM mycotoxin report 197-21-M/26. Carries letterhead, Klient, Izvestaj broj, laboratory details, analyst/approver block with stamp and 'Datum na izdavanje'. No sample, batch, receipt date or results on this page - those are on page 2/2 of the same certificate.; Results page (2/2) of FARMAHEM report 197-21-M/26. No issue date is printed on this page - 'Датум на издавање: 10.08.2026' appears on page 1/2 (page 39) of this certificate. Датум на анализа: 06.08.2026. Sample number CF-416/26. There is no conformity/specification statement anywhere on this report - the results</t>
  </si>
  <si>
    <t>85</t>
  </si>
  <si>
    <t>070826_197-3-K-26_FHM_CJ052501-01-P050162.pdf</t>
  </si>
  <si>
    <t>197-3-K/26</t>
  </si>
  <si>
    <t>a80ce20c78d561e06f32c94c29df4c84289a270457accc7db019245a621c9e91</t>
  </si>
  <si>
    <t>86</t>
  </si>
  <si>
    <t>100826_197-3-M-26_FHM_CJ052501-01-P050162.pdf</t>
  </si>
  <si>
    <t>197-3-M/26</t>
  </si>
  <si>
    <t>6-5</t>
  </si>
  <si>
    <t>c210775ac311f025e9a3c3084a9e0a0878372fcffcf234b253bf48fca3b86066</t>
  </si>
  <si>
    <t>pages scanned out of order and reunited in document order; Cover page (1/2) of FARMAHEM mycotoxin report 197-3-M/26. Carries letterhead, Klient, Izvestaj broj, laboratory details, analyst/approver block with stamp and 'Datum na izdavanje'. No sample, batch, receipt date or results on this page - those are on page 2/2 of the same certificate. ORDER ANOMALY: this cover sheet is scanned AFTER its own results page (page 5); the certificate's two pages appear out of sequence in the bundle. Strain printed 'Cap Junkie'; report 197-4-M/26 spells the same cultivar 'Cap Junky'.</t>
  </si>
  <si>
    <t>87</t>
  </si>
  <si>
    <t>070826_197-4-K-26_FHM_P050212.pdf</t>
  </si>
  <si>
    <t>197-4-K/26</t>
  </si>
  <si>
    <t>7-8</t>
  </si>
  <si>
    <t>82c0b3264f50c40be013afee70732c63c5a8db5873cde3c7dec72db2566adaef</t>
  </si>
  <si>
    <t>88</t>
  </si>
  <si>
    <t>100826_197-4-M-26_FHM_P050212.pdf</t>
  </si>
  <si>
    <t>197-4-M/26</t>
  </si>
  <si>
    <t>729f5bc22754b5728b8d11b10122651acc03f1dcc1c3e52e16ab55c767c623f2</t>
  </si>
  <si>
    <t>Cover page (1/2) of FARMAHEM mycotoxin report 197-4-M/26. Carries letterhead, Klient, Izvestaj broj, laboratory details, analyst/approver block with stamp and 'Datum na izdavanje'. No sample, batch, receipt date or results on this page - those are on page 2/2 of the same certificate.; Results page (2/2) of FARMAHEM report 197-4-M/26. No issue date is printed on this page - 'Датум на издавање: 10.08.2026' appears on page 1/2 (page 7) of this certificate. Датум на анализа: 06.08.2026. Sample number CF-399/26. There is no conformity/specification statement anywhere on this report - the results ta</t>
  </si>
  <si>
    <t>89</t>
  </si>
  <si>
    <t>070826_197-5-K-26_FHM_CJ082501-2-P060032.pdf</t>
  </si>
  <si>
    <t>197-5-K/26</t>
  </si>
  <si>
    <t>d21f4ad6368d05040b5c0c509ba053154580530e0c1a1ac9d20930588b3ce3b6</t>
  </si>
  <si>
    <t>070826_197-6-K-26_FHM_P060332.pdf</t>
  </si>
  <si>
    <t>197-6-K/26</t>
  </si>
  <si>
    <t>11-12</t>
  </si>
  <si>
    <t>f1b8e35c5ded4b2f909797655ba017e82740713460177be4b23c85e5f4f7360f</t>
  </si>
  <si>
    <t>91</t>
  </si>
  <si>
    <t>100826_197-6-M-26_FHM_P060332.pdf</t>
  </si>
  <si>
    <t>197-6-M/26</t>
  </si>
  <si>
    <t>9dbc9f5c72ce4d61c7798c98a73c3b8e8b8811c1009cb084f0b77c549ecbf6eb</t>
  </si>
  <si>
    <t>Cover page (1/2) of FARMAHEM mycotoxin report 197-6-M/26. Carries letterhead, Klient, Izvestaj broj, laboratory details, analyst/approver block with stamp and 'Datum na izdavanje'. No sample, batch, receipt date or results on this page - those are on page 2/2 of the same certificate.; Results page (2/2) of FARMAHEM report 197-6-M/26. No issue date is printed on this page - 'Датум на издавање: 10.08.2026' appears on page 1/2 (page 9) of this certificate. Датум на анализа: 06.08.2026. Sample number CF-401/26. There is no conformity/specification statement anywhere on this report - the results ta</t>
  </si>
  <si>
    <t>92</t>
  </si>
  <si>
    <t>070826_197-7-K-26_FHM_FB012602-P060352.pdf</t>
  </si>
  <si>
    <t>197-7-K/26</t>
  </si>
  <si>
    <t>13-14</t>
  </si>
  <si>
    <t>ec279d682a43df3909ff9b926dd87135d25bb2194e4c6eeac79cb98963c8c481</t>
  </si>
  <si>
    <t>93</t>
  </si>
  <si>
    <t>100826_197-7-M-26_FHM_FB012602-P060352.pdf</t>
  </si>
  <si>
    <t>197-7-M/26</t>
  </si>
  <si>
    <t>7a8c54623ef640ed92ce6fd1e4a83f66da53e94698589e24729da7bc0582718c</t>
  </si>
  <si>
    <t>Cover page (1/2) of FARMAHEM mycotoxin report 197-7-M/26. Carries letterhead, Klient, Izvestaj broj, laboratory details, analyst/approver block with stamp and 'Datum na izdavanje'. No sample, batch, receipt date or results on this page - those are on page 2/2 of the same certificate.; Results page (2/2) of FARMAHEM report 197-7-M/26. No issue date is printed on this page - 'Датум на издавање: 10.08.2026' appears on page 1/2 (page 11) of this certificate. Датум на анализа: 06.08.2026. Sample number CF-402/26. There is no conformity/specification statement anywhere on this report - the results t</t>
  </si>
  <si>
    <t>94</t>
  </si>
  <si>
    <t>070826_197-8-K-26_FHM_GG012603-P060402.pdf</t>
  </si>
  <si>
    <t>197-8-K/26</t>
  </si>
  <si>
    <t>b933c54bf99e3c4b183714b3c5f98b584d11c377cc0d1161d4fc8020f2526690</t>
  </si>
  <si>
    <t>95</t>
  </si>
  <si>
    <t>100826_197-8-M-26_FHM_GG012603-P060402.pdf</t>
  </si>
  <si>
    <t>197-8-M/26</t>
  </si>
  <si>
    <t>98f62ee42da73c84e731ab9a079326444484772f0f6749d859545e8b5722a972</t>
  </si>
  <si>
    <t>Cover page (1/2) of FARMAHEM mycotoxin report 197-8-M/26. Carries letterhead, Klient, Izvestaj broj, laboratory details, analyst/approver block with stamp and 'Datum na izdavanje'. No sample, batch, receipt date or results on this page - those are on page 2/2 of the same certificate.; Results page (2/2) of FARMAHEM report 197-8-M/26. No issue date is printed on this page - 'Датум на издавање: 10.08.2026' appears on page 1/2 (page 13) of this certificate. Датум на анализа: 06.08.2026. Sample number CF-403/26. There is no conformity/specification statement anywhere on this report - the results t</t>
  </si>
  <si>
    <t>96</t>
  </si>
  <si>
    <t>070826_197-9-K-26_FHM_GG1024_01-P050092.pdf</t>
  </si>
  <si>
    <t>197-9-K/26</t>
  </si>
  <si>
    <t>0ebef2fb127633c0411c9ebc8df48ea7683fd0c2e7eea836086bbef4256a950a</t>
  </si>
  <si>
    <t>97</t>
  </si>
  <si>
    <t>100826_197-9-M-26_FHM_GG1024_01.pdf</t>
  </si>
  <si>
    <t>197-9-M/26</t>
  </si>
  <si>
    <t>99404d1a2ff137f274565554922f4b96527a598165e56eccc7eb7cdd17f01dbd</t>
  </si>
  <si>
    <t>Cover page (1/2) of FARMAHEM mycotoxin report 197-9-M/26. Carries letterhead, Klient, Izvestaj broj, laboratory details, analyst/approver block with stamp and 'Datum na izdavanje'. No sample, batch, receipt date or results on this page - those are on page 2/2 of the same certificate.; Results page (2/2) of FARMAHEM report 197-9-M/26. No issue date is printed on this page - 'Датум на издавање: 10.08.2026' appears on page 1/2 (page 15) of this certificate. Датум на анализа: 06.08.2026. Sample number CF-404/26. There is no conformity/specification statement anywhere on this report - the results t</t>
  </si>
  <si>
    <t>98</t>
  </si>
  <si>
    <t>090326_1056-2026_IJZ_J31102501-P060152.pdf</t>
  </si>
  <si>
    <t>1056/2026</t>
  </si>
  <si>
    <t>20-21-22-23</t>
  </si>
  <si>
    <t>Изјава за сообразност: Според испитуваните параметри, примерокот ОДГОВАРА НА: Ph.Eur 2.8.13 (пестициди); Ph. Eur. 2. 4. 27 (метали)</t>
  </si>
  <si>
    <t>Ph.Eur.; MKS EN ISO/IEC 17025:2018</t>
  </si>
  <si>
    <t>2da5349e1457c451e3ac62a60c6d6fd568d6a9193f27ee4fff1d8eef5991c211</t>
  </si>
  <si>
    <t>ЗДРАВСТВЕНА БЕЗБЕДНОСТ НА ПРИМЕРОК. Датум на земање: 23.02.2026; Со писмо: 057/2026; Тип на пакување: Рефус; Количина: 28,09 г; Датум на завршување на тестирањата: 09.03.2026. Заглавје „Датум:“ = 09.03.2026. Образец ОБ 7.8.3 01 Верз. 1. Полињата Производител/Увозник/Земја на потекло/Шпедитер/ЗАБЕЛЕШКИ/ИДЕНТИФИКАЦИЈА НА ПЛАН ЗА ЗЕМАЊЕ ПРИМЕРОЦИ се празни. ; ПЕСТИЦИДИ. Датум на завршување (пестициди): 27.02.2026. Заглавје „Датум:“ = 09.03.2026. Сите резултати се н.д. (не детектирано).; Крај на ПЕСТИЦИДИ + МЕТАЛИ (Датум на завршување 09.03.2026) + заглавје МИКОТОКСИНИ (Датум на завршување 25.02.2</t>
  </si>
  <si>
    <t>99</t>
  </si>
  <si>
    <t>090326_1057-2026_IJZ_J31112501-P060202.pdf</t>
  </si>
  <si>
    <t>1057/2026</t>
  </si>
  <si>
    <t>14-15-16-17</t>
  </si>
  <si>
    <t>4bf3c9c5af0f20b598b9c55ec0732a7eded7292223b479d964446d02fa68b4fa</t>
  </si>
  <si>
    <t>ЗДРАВСТВЕНА БЕЗБЕДНОСТ НА ПРИМЕРОК. Датум на земање: 23.02.2026; Со писмо: 056/2026; Тип на пакување: Рефус; Количина: 29,5 г; Датум на завршување на тестирањата: 09.03.2026. Заглавје „Датум:“ = 09.03.2026. Образец ОБ 7.8.3 01 Верз. 1. Полињата Производител/Увозник/Земја на потекло/Шпедитер/ЗАБЕЛЕШКИ/ИДЕНТИФИКАЦИЈА НА ПЛАН ЗА ЗЕМАЊЕ ПРИМЕРОЦИ се празни. ; ПЕСТИЦИДИ. Датум на завршување (пестициди): 27.02.2026. Заглавје „Датум:“ = 09.03.2026. Сите резултати се н.д. (не детектирано).; Крај на ПЕСТИЦИДИ + МЕТАЛИ (Датум на завршување 09.03.2026) + заглавје МИКОТОКСИНИ (Датум на завршување 25.02.20</t>
  </si>
  <si>
    <t>090326_1058-2026_IJZ_KC102501-P060172.pdf</t>
  </si>
  <si>
    <t>1058/2026</t>
  </si>
  <si>
    <t>38-39-40-41</t>
  </si>
  <si>
    <t>Изјава за сообразност (пестициди): Според испитуваните параметри, примерокот ОДГОВАРА НА: Ph.Eur 2.8.13. Изјава за сообразност (метали): Ph. Eur. 2. 4. 27.</t>
  </si>
  <si>
    <t>МКС EN 15662:2020</t>
  </si>
  <si>
    <t>65a08fff21b656611ed08112af727ca062960a66f62e3bba92bc2325f3585825</t>
  </si>
  <si>
    <t>Со писмо: 055/2026. Датум на земање: 23.02.2026. Тип на пакување: Рефус, Количина: 29,5 г. Датум на завршување на тестирањата: 09.03.2026. Образец ОБ 7.8.3 01 Верз. 1.; ПЕСТИЦИДИ, Датум на завршување 27.02.2026. Сите резултати н.д.; Датум на завршување за металите: 09.03.2026. Табела МИКОТОКСИНИ, Датум на завршување 25.02.2026, вкупни афлатоксини 2,8 µg/kg (MaxDK 4). РАКОПИС: името во полето 'Изработил' е рачно напишано и делумно нечитливо.; Празниот ред е прелевање на табелата МИКОТОКСИНИ од страна 3 (резултат 2,8 µg/kg).</t>
  </si>
  <si>
    <t>101</t>
  </si>
  <si>
    <t>090326_1059-2026_IJZ_PM112501-P060232.pdf</t>
  </si>
  <si>
    <t>1059/2026</t>
  </si>
  <si>
    <t>PERMANENT MARKET</t>
  </si>
  <si>
    <t>17-18-19-20</t>
  </si>
  <si>
    <t>Според испитуваните параметри, примерокот ОДГОВАРА НА: Ph.Eur 2.8.13 (пестициди); Ph. Eur. 2. 4. 27 (тешки метали)</t>
  </si>
  <si>
    <t>МКС ЕН 15662:2020</t>
  </si>
  <si>
    <t>1bf7434086345f11a2f719349d3d832432c282e71fe75406aceaa7a0903e1d8a</t>
  </si>
  <si>
    <t>ПОДАТОЦИ ЗА ПРИМЕРОКОТ. Со писмо: 059/2026. Датум на земање: 23.02.2026. Тип на пакување: Рефус. Количина: 29 г. Датум на завршување на тестирањата: 09.03.2026. Заглавие: 'Број: 1059/2026', 'Датум: 09.03.2026'. ; Табела ПЕСТИЦИДИ (продолжува на страна 3), сите резултати 'н.д.'. Образец ОБ 7.8.3 01 Верз. 1.; Крај на табелата ПЕСТИЦИДИ + табела МЕТАЛИ/ТЕШКИ МЕТАЛИ, Датум на завршување 09.03.2026. Арсенот е обележан со ѕвездичка (*) - резултат добиен со неакредитиран метод. MaxDK за кадмиум е печатен како 0,2.; АНОМАЛИЈА: редот од табелата на оваа страна (афлатоксини) е ПРАЗЕН – нема отпечатено и</t>
  </si>
  <si>
    <t>102</t>
  </si>
  <si>
    <t>090326_1060-2026_IJZ_GRC102501-2-P060182.pdf</t>
  </si>
  <si>
    <t>1060/2026</t>
  </si>
  <si>
    <t>GRAPS&amp;CREME</t>
  </si>
  <si>
    <t>5-6-7-8</t>
  </si>
  <si>
    <t>38703d8257dd344467b7ac1faea3624fa0edb45696b80ec374bc50ddcc26016f</t>
  </si>
  <si>
    <t>ПОДАТОЦИ ЗА ПРИМЕРОКОТ. Со писмо: 058/2026. Датум на земање: 23.02.2026. Тип на пакување: Рефус. Количина: 29.5 г. Датум на завршување на тестирањата: 09.03.2026. Заглавие: 'Број: 1060/2026', 'Датум: 09.03.2026'. Името на примерокот е печатено без празни места: 'GRAPS&amp;CREME'.; Табела ПЕСТИЦИДИ (продолжува на страна 3), сите резултати 'н.д.'. Образец ОБ 7.8.3 01 Верз. 1.; Крај на табелата ПЕСТИЦИДИ + табела МЕТАЛИ/ТЕШКИ МЕТАЛИ, Датум на завршување 09.03.2026. Арсенот е обележан со ѕвездичка (*) - резултат добиен со неакредитиран метод. MaxDK за кадмиум е печатен како 0,3.; АНОМАЛИЈА: редот од т</t>
  </si>
  <si>
    <t>103</t>
  </si>
  <si>
    <t>090326_1061-2026_IJZ_SJ112501-P060192.pdf</t>
  </si>
  <si>
    <t>1061/2026</t>
  </si>
  <si>
    <t>25-26-27-28</t>
  </si>
  <si>
    <t>d417c23da0241bc921788732a4b183e48612c76ec6f914ef25f51209519ca73d</t>
  </si>
  <si>
    <t>Со писмо: 053/2026. Датум на земање: 23.02.2026. Тип на пакување: Рефус, Количина: 29,5 г. Датум на завршување на тестирањата: 09.03.2026. Образец ОБ 7.8.3 01 Верз. 1.; ПЕСТИЦИДИ, Датум на завршување 27.02.2026. Сите резултати н.д.; Датум на завршување за металите: 09.03.2026. Табела МИКОТОКСИНИ, Датум на завршување 26.02.2026. РАКОПИС: името во полето 'Изработил' под изјавата за метали е рачно напишано и делумно нечитливо.; Празниот ред е само прелевање на табелата МИКОТОКСИНИ од страна 3, каде што резултатот &lt; 2 µg/kg е отпечатен.</t>
  </si>
  <si>
    <t>104</t>
  </si>
  <si>
    <t>110326_1062-2026_IJZ_OPM112501-P060222.pdf</t>
  </si>
  <si>
    <t>1062/2026</t>
  </si>
  <si>
    <t>ORANGE PUNCH NIMOSA</t>
  </si>
  <si>
    <t>11-12-13-14</t>
  </si>
  <si>
    <t>bad6f049b76ff5aa06502009e122a705cca741ae44544557459f0ac94549d97b</t>
  </si>
  <si>
    <t>ПОДАТОЦИ ЗА ПРИМЕРОКОТ. Со писмо: 060/2026. Датум на земање: 23.02.2026. Тип на пакување: Рефус. Количина: 28.5 г. Датум на завршување на тестирањата: 11.03.2026. Заглавие: 'Број: 1062/2026', 'Датум: 11.03.2026'. ПЕЧАТНА ГРЕШКА ВО ИМЕТО НА ПРИМЕРОКОТ: 'ORANGE PUNCH NIMOSA' наместо 'Orange Punch Mimosa' (како што е на ППК26031 и на микробиолошкиот извештај 137/0234/26).; Табела ПЕСТИЦИДИ (продолжува на страна 3), сите резултати 'н.д.'. Образец ОБ 7.8.3 01 Верз. 1.; Крај на табелата ПЕСТИЦИДИ + табела МЕТАЛИ/ТЕШКИ МЕТАЛИ, Датум на завршување 11.03.2026. Арсенот е обележан со ѕвездичка (*) - резу</t>
  </si>
  <si>
    <t>105</t>
  </si>
  <si>
    <t>110326_1065-2026_IJZ_SJ102501-P060162.pdf</t>
  </si>
  <si>
    <t>1065/2026</t>
  </si>
  <si>
    <t>Изјава за сообразност: Резултатите од испитуваните параметри СЕ ВО СОГЛАСНОСТ со барањата на: Ph. Eur. 2.8.18</t>
  </si>
  <si>
    <t>91554becb3303d999d9bc8664d3c97d7d87393e5ad14dab01f7298cbdd3fa802</t>
  </si>
  <si>
    <t xml:space="preserve">ЗДРАВСТВЕНА БЕЗБЕДНОСТ НА ПРИМЕРОК. Со писмо: 054/2026. Датум на земање: 23.02.2026. Тип на пакување: Рефус, Количина: 27,5 г. Датум на завршување на тестирањата: 11.03.2026. Странка за наплата: ПЈУРЕЛИ ПЛАНТ ДООЕЛ. Образец ОБ 7.8.3 01 Верз. 1.; ОПИС НА КВАЛИТЕТ / ПЕСТИЦИДИ. Сите резултати н.д.; АНОМАЛИЈА: Футерот гласи 'Страна 4 од 4', а претходната страна во снопот е 'Страна 2 од 4' - СТРАНА 3 ОД 4 НЕДОСТАСУВА од овој сноп. На таа недостасувачка страна се наоѓаат крајот на листата пестициди, изјавата Ph.Eur 2.8.13, табелата ТЕШКИ МЕТАЛИ со изјавата Ph. Eur. 2.4.27 и заглавието со резултатот </t>
  </si>
  <si>
    <t>106</t>
  </si>
  <si>
    <t>070525_2156-2025_IJZ_OPM1024_01.pdf</t>
  </si>
  <si>
    <t>2156/2025</t>
  </si>
  <si>
    <t>OPM 1024_01</t>
  </si>
  <si>
    <t>ПЕСТИЦИДИ - Изјава за сообразност: 'Според испитуваните параметри, примерокот ОДГОВАРА НА: Ph.Eur 2.8.13'. МЕТАЛИ - Изјава за сообразност: 'Според испитуваните параметри, примерокот ОДГОВАРА НА: Ph. Eur. 2. 4. 27'.</t>
  </si>
  <si>
    <t>21781ed4544d5bd6e5eb5a6e223d436ad9c8c21721be054a5716f5c66a245900</t>
  </si>
  <si>
    <t>Насловна страна 'ЗДРАВСТВЕНА БЕЗБЕДНОСТ НА ПРИМЕРОК' со ПОДАТОЦИ ЗА ПРИМЕРОКОТ; нема табела со резултати. Датум на прием: 28.04.2025; Со писмо: 034/2025; Датум на земање: 23.04.2025; Произведен на: 26.03.2025; Тип на пакување: Рефус; Количина: 29,5 г. Отпечатена ознака за страна: 'Страна 1 од 4'. Формулар ОБ 7.8.3 01 Верз. 1. АНОМАЛИЈА: линијата 'Примерок' носи ДВЕ ознаки - 'ORANGE PUNCH MIMOSA-сув цвет' и '/ DF0012-01', додека 'Сериски број' е OPM 1024_01; DF0012-01 не се појавува никаде на другите сертификати за оваа серија.; Табела ПЕСТИЦИДИ (Датум на завршување 02.05.2025), метода МКС EN 1</t>
  </si>
  <si>
    <t>107</t>
  </si>
  <si>
    <t>290426_2357-2026_IJZ_FB112501-P060292.pdf</t>
  </si>
  <si>
    <t>2357/2026</t>
  </si>
  <si>
    <t>9-10-11-12</t>
  </si>
  <si>
    <t>0f5f00217a4a922c4fac338a76223e1f97eb0bde97dfc902b534da7ba456e068</t>
  </si>
  <si>
    <t>ЗДРАВСТВЕНА БЕЗБЕДНОСТ НА ПРИМЕРОК. Датум на земање: 21.04.2026; Со писмо: 111/2026; Тип на пакување: Рефус; Количина: 37,5 г; Датум на завршување на тестирањата: 29.04.2026. Заглавје „Датум:“ = 29.04.2026. Образец ОБ 7.8.3 01 Верз. 2. Полињата Производител/Увозник/Земја на потекло/Шпедитер/ЗАБЕЛЕШКИ/ИДЕНТИФИКАЦИЈА НА ПЛАН ЗА ЗЕМАЊЕ ПРИМЕРОЦИ се празни. ; ПЕСТИЦИДИ. Датум на завршување (пестициди): 29.04.2026. Заглавје „Датум:“ = 29.04.2026. Сите резултати се н.д. (не детектирано).; Крај на ПЕСТИЦИДИ + МЕТАЛИ (Датум на завршување 29.04.2026) + заглавје МИКОТОКСИНИ (Датум на завршување 23.04.20</t>
  </si>
  <si>
    <t>108</t>
  </si>
  <si>
    <t>290426_2358-2026_IJZ_GG112501-P060252.pdf</t>
  </si>
  <si>
    <t>2358/2026</t>
  </si>
  <si>
    <t>15-16-17-18</t>
  </si>
  <si>
    <t>39b3b41fc9b7dce61a893c62e2b4f2da7616b9d4178e713a62572583d509affc</t>
  </si>
  <si>
    <t>ЗДРАВСТВЕНА БЕЗБЕДНОСТ НА ПРИМЕРОК. Датум на земање: 21.04.2026; Со писмо: 112/2026; Тип на пакување: Рефус; Количина: 39 г; Датум на завршување на тестирањата: 29.04.2026. Заглавје „Датум:“ = 29.04.2026. Образец ОБ 7.8.3 01 Верз. 2. Полињата Производител/Увозник/Земја на потекло/Шпедитер/ЗАБЕЛЕШКИ/ИДЕНТИФИКАЦИЈА НА ПЛАН ЗА ЗЕМАЊЕ ПРИМЕРОЦИ се празни. ; ПЕСТИЦИДИ. Датум на завршување (пестициди): 29.04.2026. Заглавје „Датум:“ = 29.04.2026. Сите резултати се н.д. (не детектирано).; Крај на ПЕСТИЦИДИ + МЕТАЛИ (Датум на завршување 29.04.2026) + заглавје МИКОТОКСИНИ (Датум на завршување 23.04.2026</t>
  </si>
  <si>
    <t>109</t>
  </si>
  <si>
    <t>290426_2359-2026_IJZ_CC112501-P060272.pdf</t>
  </si>
  <si>
    <t>2359/2026</t>
  </si>
  <si>
    <t>21-22-23-24</t>
  </si>
  <si>
    <t>946cc80705c3445e568bb763b053926d2735f136dee2e7c878db193bf27d08d4</t>
  </si>
  <si>
    <t>ЗДРАВСТВЕНА БЕЗБЕДНОСТ НА ПРИМЕРОК. Датум на земање: 21.04.2026; Со писмо: 113/2026; Тип на пакување: Рефус; Количина: 37,5 г; Датум на завршување на тестирањата: 29.04.2026. Заглавје „Датум:“ = 29.04.2026. Образец ОБ 7.8.3 01 Верз. 2. Полињата Производител/Увозник/Земја на потекло/Шпедитер/ЗАБЕЛЕШКИ/ИДЕНТИФИКАЦИЈА НА ПЛАН ЗА ЗЕМАЊЕ ПРИМЕРОЦИ се празни. ; ПЕСТИЦИДИ. Датум на завршување (пестициди): 29.04.2026. Заглавје „Датум:“ = 29.04.2026. Сите резултати се н.д. (не детектирано).; Крај на ПЕСТИЦИДИ + МЕТАЛИ (Датум на завршување 29.04.2026) + заглавје МИКОТОКСИНИ (Датум на завршување 23.04.20</t>
  </si>
  <si>
    <t>110</t>
  </si>
  <si>
    <t>290426_2360-2026_IJZ_SCR112501-P060282.pdf</t>
  </si>
  <si>
    <t>2360/2026</t>
  </si>
  <si>
    <t>27-28-29-30</t>
  </si>
  <si>
    <t>649c87e60b2c117b82cd439be9ecd49987c2482e50d01411abc05d616cbd4de4</t>
  </si>
  <si>
    <t>ЗДРАВСТВЕНА БЕЗБЕДНОСТ НА ПРИМЕРОК. Датум на земање: 21.04.2026; Со писмо: 114/2026; Тип на пакување: Рефус; Количина: 38 г; Датум на завршување на тестирањата: 29.04.2026. Заглавје „Датум:“ = 29.04.2025. Образец ОБ 7.8.3 01 Верз. 2. Полињата Производител/Увозник/Земја на потекло/Шпедитер/ЗАБЕЛЕШКИ/ИДЕНТИФИКАЦИЈА НА ПЛАН ЗА ЗЕМАЊЕ ПРИМЕРОЦИ се празни. АНОМАЛИЈА: заглавното поле „Датум:“ е испечатено 29.04.2025 (2025), додека „Датум на печатење“ е 29.04.2026.; ПЕСТИЦИДИ. Датум на завршување (пестициди): 29.04.2026. Заглавје „Датум:“ = 29.04.2025. Сите резултати се н.д. (не детектирано).; Крај н</t>
  </si>
  <si>
    <t>111</t>
  </si>
  <si>
    <t>300426_2361-2026_IJZ_JD112501-P060212.pdf</t>
  </si>
  <si>
    <t>2361/2026</t>
  </si>
  <si>
    <t>30.04.2026</t>
  </si>
  <si>
    <t>JELLY DONUTZ</t>
  </si>
  <si>
    <t>1-2-3-4</t>
  </si>
  <si>
    <t>cbff189fbee04cb8b70eca0f7dc0cccba028b710f9d48bae3e01954d61387c02</t>
  </si>
  <si>
    <t>Насловна страна – ПОДАТОЦИ ЗА ПРИМЕРОКОТ. Со писмо: 115/2026. Количина: 37 г. Датум на завршување на тестирањата: 30.04.2026. Заглавие: 'Број: 2361/2026', 'Датум: 30.04.2026'. Секциите ЗАБЕЛЕШКИ и ИДЕНТИФИКАЦИЈА НА ПЛАН ЗА ЗЕМАЊЕ ПРИМЕРОЦИ се празни. Датум на земање: 21.04.2026. Сериски број е печатен БЕЗ ѕвездичка (JD112501), за разлика од сертификат 2365/2026 каде истата серија е печатена како JD112501*.; Табела ПЕСТИЦИДИ (продолжува на страна 3). Сите резултати 'н.д.' Датум на завршување 30.04.2026. Образец ОБ 7.8.3 01 Верз. 2.; Крај на табелата ПЕСТИЦИДИ + табела МЕТАЛИ/ТЕШКИ МЕТАЛИ (Датум</t>
  </si>
  <si>
    <t>112</t>
  </si>
  <si>
    <t>300426_2362-2026_IJZ_FB012601-1-P060322.pdf</t>
  </si>
  <si>
    <t>2362/2026</t>
  </si>
  <si>
    <t>FAT BASTARD</t>
  </si>
  <si>
    <t>7-8-9-10</t>
  </si>
  <si>
    <t>a4f7b330666b8b372d3c8cdda7fe089167a424bf6626065fee78a880643b0384</t>
  </si>
  <si>
    <t>Насловна страна – ПОДАТОЦИ ЗА ПРИМЕРОКОТ. Со писмо: 116/2026. Количина: 38,5 г. Датум на завршување на тестирањата: 30.04.2026. Заглавие: 'Број: 2362/2026', 'Датум: 30.04.2026'. Секциите ЗАБЕЛЕШКИ и ИДЕНТИФИКАЦИЈА НА ПЛАН ЗА ЗЕМАЊЕ ПРИМЕРОЦИ се празни. Датум на земање: 21.04.2026.; Табела ПЕСТИЦИДИ (продолжува на страна 3). Сите резултати 'н.д.' Датум на завршување 30.04.2026. Образец ОБ 7.8.3 01 Верз. 2.; Крај на табелата ПЕСТИЦИДИ + табела МЕТАЛИ/ТЕШКИ МЕТАЛИ (Датум на завршување 30.04.2026). На дното започнува трета табела со 'Датум на завршување 23.04.2026' чии редови се печатени на страна</t>
  </si>
  <si>
    <t>113</t>
  </si>
  <si>
    <t>300426_2363-2026_IJZ_JD012601＊-P060312.pdf</t>
  </si>
  <si>
    <t>2363/2026</t>
  </si>
  <si>
    <t>8589f10878bcfa4a5d7bd01c202e6218e8a53840bca66beeb856ee0e24d9ec75</t>
  </si>
  <si>
    <t>ЗДРАВСТВЕНА БЕЗБЕДНОСТ НА ПРИМЕРОК. Датум на земање: 21.04.2026; Со писмо: 117/2026; Тип на пакување: Рефус; Количина: 38 г; Датум на завршување на тестирањата: 30.04.2026. Заглавје „Датум:“ = 30.04.2026. Образец ОБ 7.8.3 01 Верз. 2. Полињата Производител/Увозник/Земја на потекло/Шпедитер/ЗАБЕЛЕШКИ/ИДЕНТИФИКАЦИЈА НА ПЛАН ЗА ЗЕМАЊЕ ПРИМЕРОЦИ се празни. Серискиот број е испечатен со ѕвездичка: JD012601*.; ПЕСТИЦИДИ. Датум на завршување (пестициди): 29.04.2026. Заглавје „Датум:“ = 30.04.2026. Сите резултати се н.д. (не детектирано).; Крај на ПЕСТИЦИДИ + МЕТАЛИ (Датум на завршување 30.04.2026) + з</t>
  </si>
  <si>
    <t>114</t>
  </si>
  <si>
    <t>300426_2364-2026_IJZ_GG012601＊-P060302.pdf</t>
  </si>
  <si>
    <t>2364/2026</t>
  </si>
  <si>
    <t>GORILLA GLUE</t>
  </si>
  <si>
    <t>13-14-15-16</t>
  </si>
  <si>
    <t>15b322b3c8a1c40065294d9f22ee61b1e9f76493d654e622ed312a5f6888c56d</t>
  </si>
  <si>
    <t>Насловна страна – ПОДАТОЦИ ЗА ПРИМЕРОКОТ. Со писмо: 118/2026. Количина: 37 г. Датум на завршување на тестирањата: 30.04.2026. Заглавие: 'Број: 2364/2026', 'Датум: 30.04.2026'. Секциите ЗАБЕЛЕШКИ и ИДЕНТИФИКАЦИЈА НА ПЛАН ЗА ЗЕМАЊЕ ПРИМЕРОЦИ се празни. Датум на земање: 21.04.2026.; Табела ПЕСТИЦИДИ (продолжува на страна 3). Сите резултати 'н.д.' Датум на завршување 30.04.2026. Образец ОБ 7.8.3 01 Верз. 2.; Крај на табелата ПЕСТИЦИДИ + табела МЕТАЛИ/ТЕШКИ МЕТАЛИ (Датум на завршување 30.04.2026). На дното започнува трета табела со 'Датум на завршување 23.04.2026' чии редови се печатени на страна 4</t>
  </si>
  <si>
    <t>115</t>
  </si>
  <si>
    <t>300426_2365-2026_IJZ_JD112501＊-P060212.pdf</t>
  </si>
  <si>
    <t>2365/2026</t>
  </si>
  <si>
    <t>19-20-21-22</t>
  </si>
  <si>
    <t>a3e3ea8e92318b97f319ed34937e1c83d3f8c287f8f703fbd842e7f2444c6597</t>
  </si>
  <si>
    <t>Насловна страна – ПОДАТОЦИ ЗА ПРИМЕРОКОТ. Со писмо: 120/2026. Количина: 37,5 г. Датум на завршување на тестирањата: 30.04.2026. Заглавие: 'Број: 2365/2026', 'Датум: 30.04.2025'. Секциите ЗАБЕЛЕШКИ и ИДЕНТИФИКАЦИЈА НА ПЛАН ЗА ЗЕМАЊЕ ПРИМЕРОЦИ се празни. Датум на земање: 21.04.2026. ВНИМАНИЕ: заглавието 'Датум:' на страните 1, 2 и 4 е печатено 30.04.2025 (2025), а само на страна 3 е 30.04.2026. Заглавието 'Датум:' на оваа страна гласи 30.04.2025 (година 2025), што е во спротивност со 'Датум на печатење: 30.04.2026'.; Табела ПЕСТИЦИДИ (продолжува на страна 3). Сите резултати 'н.д.' Датум на заврш</t>
  </si>
  <si>
    <t>116</t>
  </si>
  <si>
    <t>300525_2472-2025_IJZ_GG1024_02-P050012.pdf</t>
  </si>
  <si>
    <t>2472/2025</t>
  </si>
  <si>
    <t>GG 1024_02</t>
  </si>
  <si>
    <t>8-9-10-11</t>
  </si>
  <si>
    <t>962c1d2c9ec5e03bca52182ca0d284208bfe2680797a0da1bbac2c3c11c6a76b</t>
  </si>
  <si>
    <t>Насловна страна 'ЗДРАВСТВЕНА БЕЗБЕДНОСТ НА ПРИМЕРОК' со ПОДАТОЦИ ЗА ПРИМЕРОКОТ; нема табела со резултати. Датум на прием: 15.05.2025; Со писмо: 041/2025; Датум на земање: 15.05.2025; Произведен на: 15.04.2025; Тип на пакување: Рефус; Количина: 29 г. Отпечатена ознака за страна: 'Страна 1 од 4'. Формулар ОБ 7.8.3 01 Верз. 1.; Табела ПЕСТИЦИДИ (Датум на завршување 22.05.2025), метода МКС EN 15662:2020 за сите редови; сите резултати се 'н.д.'. Празни колони U и MinDK. Секцијата 'ОПИС НА КВАЛИТЕТ' над неа е ОТПЕЧАТЕНА НО ПОТПОЛНО ПРАЗНА. Отпечатено 'Страна 2 од 4'. Формулар ОБ 7.8.3 01 Верз. 1.; К</t>
  </si>
  <si>
    <t>117</t>
  </si>
  <si>
    <t>260625_3176-2025_IJZ_GPO824-02-P050022.pdf</t>
  </si>
  <si>
    <t>3176/2025</t>
  </si>
  <si>
    <t>26.06.2025</t>
  </si>
  <si>
    <t>GPO824-02</t>
  </si>
  <si>
    <t>2-3-4-5</t>
  </si>
  <si>
    <t>42cbc463da676f02847453728d41b76e2f6ae94715f31c52c0210e60a05f1a10</t>
  </si>
  <si>
    <t>Насловна страна 'ЗДРАВСТВЕНА БЕЗБЕДНОСТ НА ПРИМЕРОК' со ПОДАТОЦИ ЗА ПРИМЕРОКОТ; нема табела со резултати. Датум на прием: 23.06.2025; Со писмо: 23.06.2025; Датум на земање: 23.06.2025; Произведен на: (празно); Тип на пакување: Рефус; Количина: 27,49 г. Отпечатена ознака за страна: 'Страна 1 од 4'. Формулар ОБ 7.8.3 01 Верз. 1. АНОМАЛИЈА: 'Сериски број' е отпечатен како 'GPO824-02' со БУКВА O (на CNP ППК25174 истата серија е 'GP0824_02' со цифра нула, а на ИЈЗ-МБ 627/1128/25 е 'GP 0824-02'). Запишано е точно како што е отпечатено.; Табела ПЕСТИЦИДИ (Датум на завршување 25.06.2025), метода МКС E</t>
  </si>
  <si>
    <t>118</t>
  </si>
  <si>
    <t>110226_326-2026_IJZ_ACC102501-P060122.pdf</t>
  </si>
  <si>
    <t>326/2026</t>
  </si>
  <si>
    <t>037f0ef615b60556449f43225b843148928327dd3537daa4e44dfcb51a7575aa</t>
  </si>
  <si>
    <t>ЗДРАВСТВЕНА БЕЗБЕДНОСТ НА ПРИМЕРОК. Датум на земање: 30.01.2026; Со писмо: 043/2026; Тип на пакување: Рефус; Количина: 29 г; Датум на завршување на тестирањата: 11.02.2026. Заглавје „Датум:“ = 11.02.2026. Образец ОБ 7.8.3 01 Верз. 1. Полињата Производител/Увозник/Земја на потекло/Шпедитер/ЗАБЕЛЕШКИ/ИДЕНТИФИКАЦИЈА НА ПЛАН ЗА ЗЕМАЊЕ ПРИМЕРОЦИ се празни. Пакетот започнува со оваа страница - Страна 1 од 4, сертификатот е комплетен во рамките на пакетот.; ПЕСТИЦИДИ. Датум на завршување (пестициди): 09.02.2026. Заглавје „Датум:“ = 11.02.2026. Сите резултати се н.д. (не детектирано).; Крај на ПЕСТИЦИ</t>
  </si>
  <si>
    <t>119</t>
  </si>
  <si>
    <t>110226_327-2026_IJZ_PUM102501-P060112.pdf</t>
  </si>
  <si>
    <t>327/2026</t>
  </si>
  <si>
    <t>6-7-8-9</t>
  </si>
  <si>
    <t>8bde2379726921006a2c17b46ebe1d582993f125ef4951ee2fb22c63b0f23f3f</t>
  </si>
  <si>
    <t>ЗДРАВСТВЕНА БЕЗБЕДНОСТ НА ПРИМЕРОК. Датум на земање: 30.01.2026; Со писмо: 040/2026; Тип на пакување: Рефус; Количина: 28,5 г; Датум на завршување на тестирањата: 11.02.2026. Заглавје „Датум:“ = 11.02.2026. Образец ОБ 7.8.3 01 Верз. 1. Полињата Производител/Увозник/Земја на потекло/Шпедитер/ЗАБЕЛЕШКИ/ИДЕНТИФИКАЦИЈА НА ПЛАН ЗА ЗЕМАЊЕ ПРИМЕРОЦИ се празни. ; ПЕСТИЦИДИ. Датум на завршување (пестициди): 09.02.2026. Заглавје „Датум:“ = 11.02.2026. Сите резултати се н.д. (не детектирано).; Крај на ПЕСТИЦИДИ + МЕТАЛИ (Датум на завршување 11.02.2026) + заглавје МИКОТОКСИНИ (Датум на завршување 03.02.20</t>
  </si>
  <si>
    <t>110226_328-2026_IJZ_GRC102501-P060182.pdf</t>
  </si>
  <si>
    <t>328/2026</t>
  </si>
  <si>
    <t>GRAPS &amp; CREME</t>
  </si>
  <si>
    <t>28-29-30-31</t>
  </si>
  <si>
    <t>3ffeb24424d615941356891d195fdaa864cca82dbbd96d8ca020d663fc1cca71</t>
  </si>
  <si>
    <t>ПОДАТОЦИ ЗА ПРИМЕРОКОТ. Со писмо: 037/2026. Датум на земање: 30.01.2026. Тип на пакување: Рефус. Количина: 30 г. Датум на завршување на тестирањата: 11.02.2026. Заглавие: 'Број: 328/2026', 'Датум: 11.02.2026'. Името на примерокот овде е печатено со празни места 'GRAPS &amp; CREME', додека на 1060/2026 е 'GRAPS&amp;CREME'.; Табела ПЕСТИЦИДИ (продолжува на страна 3), сите резултати 'н.д.'. Образец ОБ 7.8.3 01 Верз. 1.; Крај на табелата ПЕСТИЦИДИ + табела МЕТАЛИ/ТЕШКИ МЕТАЛИ, Датум на завршување 11.02.2026. Арсенот е обележан со ѕвездичка (*) - резултат добиен со неакредитиран метод. MaxDK за кадмиум е п</t>
  </si>
  <si>
    <t>121</t>
  </si>
  <si>
    <t>110226_329-2026_IJZ_WED102501-P060102.pdf</t>
  </si>
  <si>
    <t>329/2026</t>
  </si>
  <si>
    <t>10-11-12-13</t>
  </si>
  <si>
    <t>5b66d65ef833305d6ed2e2367841c3bde8ee0e3dfc177909675bea3a91e1db2f</t>
  </si>
  <si>
    <t>Со писмо: 034/2026. Датум на земање: 30.01.2026. Тип на пакување: Рефус, Количина: 29 г. Датум на завршување на тестирањата: 11.02.2026. Образец ОБ 7.8.3 01 Верз. 1.; ОПИС НА КВАЛИТЕТ / ПЕСТИЦИДИ. Сите резултати н.д.; Датум на завршување за металите: 11.02.2026. На дното започнува табелата МИКОТОКСИНИ (Датум на завршување 03.02.2026) без редот со резултат.; Последна страна на извештај 329/2026.</t>
  </si>
  <si>
    <t>122</t>
  </si>
  <si>
    <t>110226_330-2026_IJZ_CF102501-P060132.pdf</t>
  </si>
  <si>
    <t>330/2026</t>
  </si>
  <si>
    <t>98b82ac34887be3645bf231b891758c8b1fe0d7b969a8e649a25a423d2e23b9a</t>
  </si>
  <si>
    <t>Со писмо: 031/2026. Датум на земање: 30.01.2026. Тип на пакување: Рефус, Количина: 29 г. Датум на завршување на тестирањата: 11.02.2026. Образец ОБ 7.8.3 01 Верз. 1.; ПЕСТИЦИДИ, Датум на завршување 10.02.2026. Сите резултати н.д.; Датум на завршување за металите: 11.02.2026.; АНОМАЛИЈА (недоследност во референцата): за афлатоксините овој извештај се повикува на националниот Правилник, додека сите други извештаи од истата лабораторија во снопот се повикуваат на Ph. Eur. 2.8.18. Резултатот 2,1 µg/kg е највисоката измерена вредност на афлатоксини во снопот (лимит MaxDK 4).</t>
  </si>
  <si>
    <t>123</t>
  </si>
  <si>
    <t>220626_3654-2026_IJZ_P160032.pdf</t>
  </si>
  <si>
    <t>3654/2026</t>
  </si>
  <si>
    <t>GRAPA PIE</t>
  </si>
  <si>
    <t>20260907181723.pdf</t>
  </si>
  <si>
    <t>Изјава за сообразност (пестициди): 'Резултатите од испитуваните параметри СЕ ВО СОГЛАСНОСТ со барањата на: Ph.Eur 2.8.13'. Изјава за сообразност (метали): 'Резултатите од испитуваните параметри СЕ ВО СОГЛАСНОСТ со барањата на: Ph. Eur. 2. 4. 27'.</t>
  </si>
  <si>
    <t>МКС EN 15662:2020 (сите пестициди)</t>
  </si>
  <si>
    <t>d346149f78350261616368bcd8eb10cb54d12ebfdc6bcad1fdb525d956c1d269</t>
  </si>
  <si>
    <t>Identity page 'ЗДРАВСТВЕНА БЕЗБЕДНОСТ НА ПРИМЕРОК'. Fields Производител / Произведен на / Употреблив до / Употреба описно / Увозник / Земја на потекло / Шпедитер / ЗАБЕЛЕШКИ / ИДЕНТИФИКАЦИЈА НА ПЛАН ЗА ЗЕМАЊЕ ПРИМЕРОЦИ are all printed but left BLANK. Form code ОБ 7.8.3 01 Верз. 2. NOTE: printed 'P160032' (Latin capital P + 160032); it does not match the usual Purely Plant production-batch shape P0#####2 nor a strain-prefixed cultivation code, so cultivation_batch is left null.; Section 'ОПИС НА КВАЛИТЕТ / ПЕСТИЦИДИ', Датум на завршување 22.06.2026. All 26 analytes &lt; 0,01 mg/kg. Columns U and M</t>
  </si>
  <si>
    <t>124</t>
  </si>
  <si>
    <t>220626_3655-2026_IJZ_P160022.pdf</t>
  </si>
  <si>
    <t>3655/2026</t>
  </si>
  <si>
    <t>06ab80b55b95a9579ac990ec2a1ff546a1325982605cac3e6cc5d4f5456ff874</t>
  </si>
  <si>
    <t>Identity page 'ЗДРАВСТВЕНА БЕЗБЕДНОСТ НА ПРИМЕРОК'. Fields Производител / Произведен на / Употреблив до / Употреба описно / Увозник / Земја на потекло / Шпедитер / ЗАБЕЛЕШКИ / ИДЕНТИФИКАЦИЈА НА ПЛАН ЗА ЗЕМАЊЕ ПРИМЕРОЦИ are all printed but left BLANK. Form code ОБ 7.8.3 01 Верз. 2. NOTE: printed 'P160022'; same remark as P160032.; Section 'ОПИС НА КВАЛИТЕТ / ПЕСТИЦИДИ', Датум на завршување 22.06.2026. All 26 analytes &lt; 0,01 mg/kg. Columns U and MinDK are empty for every row. Form code ОБ 7.8.3 01 Верз. 2.; Continuation of the pesticide table (last 3 analytes) + 'Лимит на квантификација (LOQ) за</t>
  </si>
  <si>
    <t>125</t>
  </si>
  <si>
    <t>220626_3656-2026_IJZ_P160012.pdf</t>
  </si>
  <si>
    <t>3656/2026</t>
  </si>
  <si>
    <t>7248b8febeb0fc9a3916848a389e5c3dd435b1f7aa7e514b8315d3badd5cae61</t>
  </si>
  <si>
    <t>Identity page 'ЗДРАВСТВЕНА БЕЗБЕДНОСТ НА ПРИМЕРОК'. Fields Производител / Произведен на / Употреблив до / Употреба описно / Увозник / Земја на потекло / Шпедитер / ЗАБЕЛЕШКИ / ИДЕНТИФИКАЦИЈА НА ПЛАН ЗА ЗЕМАЊЕ ПРИМЕРОЦИ are all printed but left BLANK. Form code ОБ 7.8.3 01 Верз. 2. NOTE: printed 'P160012'; same remark as P160032.; Section 'ОПИС НА КВАЛИТЕТ / ПЕСТИЦИДИ', Датум на завршување 22.06.2026. All 26 analytes &lt; 0,01 mg/kg. Columns U and MinDK are empty for every row. Form code ОБ 7.8.3 01 Верз. 2.; Continuation of the pesticide table (last 3 analytes) + 'Лимит на квантификација (LOQ) за</t>
  </si>
  <si>
    <t>126</t>
  </si>
  <si>
    <t>220626_3657-2026_IJZ_SCR022601-P060442.pdf</t>
  </si>
  <si>
    <t>3657/2026</t>
  </si>
  <si>
    <t>SCRAMBLER</t>
  </si>
  <si>
    <t>33-34-35-36</t>
  </si>
  <si>
    <t>2d398b65c8cbd4d78f361889f09c0e1b1ec0172c6021643c2315b39ddd05f0aa</t>
  </si>
  <si>
    <t>Identity page 'ЗДРАВСТВЕНА БЕЗБЕДНОСТ НА ПРИМЕРОК'. Fields Производител / Произведен на / Употреблив до / Употреба описно / Увозник / Земја на потекло / Шпедитер / ЗАБЕЛЕШКИ / ИДЕНТИФИКАЦИЈА НА ПЛАН ЗА ЗЕМАЊЕ ПРИМЕРОЦИ are all printed but left BLANK. Form code ОБ 7.8.3 01 Верз. 2.; Section 'ОПИС НА КВАЛИТЕТ / ПЕСТИЦИДИ', Датум на завршување 22.06.2026. All 26 analytes &lt; 0,01 mg/kg. Columns U and MinDK are empty for every row. Form code ОБ 7.8.3 01 Верз. 2.; Continuation of the pesticide table (last 3 analytes) + 'Лимит на квантификација (LOQ) за испитуваните пестициди: 0,01 mg/kg', then the МЕ</t>
  </si>
  <si>
    <t>127</t>
  </si>
  <si>
    <t>220626_3658-2026_IJZ_JD022601.pdf</t>
  </si>
  <si>
    <t>3658/2026</t>
  </si>
  <si>
    <t>37-38-39-40</t>
  </si>
  <si>
    <t>371f012f14de8fa3a61d5c08e8a8cbdac9af1d5fb489f5e7610cabd6a8431c1c</t>
  </si>
  <si>
    <t>128</t>
  </si>
  <si>
    <t>220626_3659-2026_IJZ_GG012603-P060402.pdf</t>
  </si>
  <si>
    <t>3659/2026</t>
  </si>
  <si>
    <t>41-42-43-44</t>
  </si>
  <si>
    <t>c6539b655b3bc5d38f635366847caa67bd19986454a9365ab2af3e54713033be</t>
  </si>
  <si>
    <t>129</t>
  </si>
  <si>
    <t>220626_3660-2026_IJZ_JD012603-02-P060412.pdf</t>
  </si>
  <si>
    <t>3660/2026</t>
  </si>
  <si>
    <t>45-46-47-48</t>
  </si>
  <si>
    <t>9a66c9e7d637f507fedd700712c1dc2be41361509f9fd926b1ccccfe05b733ff</t>
  </si>
  <si>
    <t>130</t>
  </si>
  <si>
    <t>220626_3661- 2026_IJZ_FB012603-P060432.pdf</t>
  </si>
  <si>
    <t>3661/ 2026</t>
  </si>
  <si>
    <t>49-50-51-52</t>
  </si>
  <si>
    <t>926a6efb6cacb612a8ac92eddec1368f75b01fab92b82f5ea64e2c4d3d7cc831</t>
  </si>
  <si>
    <t>131</t>
  </si>
  <si>
    <t>220626_3662-2026_IJZ_JD012603-02V-P060422.pdf</t>
  </si>
  <si>
    <t>3662/2026</t>
  </si>
  <si>
    <t>53-54-55-56</t>
  </si>
  <si>
    <t>7232d14b77338fffd746e845fed65b587e32b65baed59b78551057b38507ca06</t>
  </si>
  <si>
    <t>132</t>
  </si>
  <si>
    <t>220626_3663-2026_IJZ_FB012603V-P060392.pdf</t>
  </si>
  <si>
    <t>3663/2026</t>
  </si>
  <si>
    <t>57-58-59-60</t>
  </si>
  <si>
    <t>835b32a6991172f7a46b4c2b3fcf5448a491b36a38381d10283fef9fe79ff5f8</t>
  </si>
  <si>
    <t>133</t>
  </si>
  <si>
    <t>200726_3924-2026_IJZ_FB032601.pdf</t>
  </si>
  <si>
    <t>3924/2026</t>
  </si>
  <si>
    <t>20.07.2026</t>
  </si>
  <si>
    <t>4-5-6-7</t>
  </si>
  <si>
    <t>9c7a164c1d62f852a8d627073b86335de4304b836ea616f17f862f6a110841d4</t>
  </si>
  <si>
    <t>Identity page 'ЗДРАВСТВЕНА БЕЗБЕДНОСТ НА ПРИМЕРОК'. Fields Производител / Произведен на / Употреблив до / Употреба описно / Увозник / Земја на потекло / Шпедитер / ЗАБЕЛЕШКИ / ИДЕНТИФИКАЦИЈА НА ПЛАН ЗА ЗЕМАЊЕ ПРИМЕРОЦИ are all printed but left BLANK. Form code ОБ 7.8.3 01 Верз. 2.; Section 'ОПИС НА КВАЛИТЕТ / ПЕСТИЦИДИ', Датум на завршување 07.07.2026. All 26 analytes &lt; 0,01 mg/kg. Columns U and MinDK are empty for every row. Form code ОБ 7.8.3 01 Верз. 2.; Continuation of the pesticide table (last 3 analytes) + 'Лимит на квантификација (LOQ) за испитуваните пестициди: 0,01 mg/kg', then the МЕ</t>
  </si>
  <si>
    <t>134</t>
  </si>
  <si>
    <t>200726_3925-2026_IJZ_GG032601.pdf</t>
  </si>
  <si>
    <t>3925/2026</t>
  </si>
  <si>
    <t>Изјава за сообразност: 'Резултатите од испитуваните параметри СЕ ВО СОГЛАСНОСТ со барањата на: Ph. Eur. 2.8.18'</t>
  </si>
  <si>
    <t>380f4df7c25586dec2b52c1bc219f6a8b374f6a2d88d94f239bd8feb11792cbe</t>
  </si>
  <si>
    <t>Identity page 'ЗДРАВСТВЕНА БЕЗБЕДНОСТ НА ПРИМЕРОК'. Fields Производител / Произведен на / Употреблив до / Употреба описно / Увозник / Земја на потекло / Шпедитер / ЗАБЕЛЕШКИ / ИДЕНТИФИКАЦИЈА НА ПЛАН ЗА ЗЕМАЊЕ ПРИМЕРОЦИ are all printed but left BLANK. Form code ОБ 7.8.3 01 Верз. 2.; Section 'ОПИС НА КВАЛИТЕТ / ПЕСТИЦИДИ', Датум на завршување 07.07.2026. All 26 analytes &lt; 0,01 mg/kg. Columns U and MinDK are empty for every row. Form code ОБ 7.8.3 01 Верз. 2.; MISSING PAGE ANOMALY: this page is footed 'Страна 4 од 4' and follows directly on 'Страна 2 од 4' (bundle page 2). 'Страна 3 од 4' of repo</t>
  </si>
  <si>
    <t>135</t>
  </si>
  <si>
    <t>110826_4374-2026_IJZ_JD032601.pdf</t>
  </si>
  <si>
    <t>4374/2026</t>
  </si>
  <si>
    <t>11.08.2026</t>
  </si>
  <si>
    <t>Изјава за сообразност (пестициди): Резултатите од испитуваните параметри СЕ ВО СОГЛАСНОСТ со барањата на: Ph.Eur 2.8.13. Изјава за сообразност (метали): Ph. Eur. 2. 4. 27.</t>
  </si>
  <si>
    <t>5adb495d8ab9ecfd33e320af4162fbd80e862a9515a2dfb23c5d2a4834adb91b</t>
  </si>
  <si>
    <t>Со писмо: 201/2026. Датум на земање: 27.07.2026. Тип на пакување: Рефус, Количина: 38 г. Датум на завршување на тестирањата: 11.08.2026. Образец ОБ 7.8.3 01 Верз. 2 (понова верзија од другите извештаи во снопот).; ПЕСТИЦИДИ, Датум на завршување 30.07.2026. Сите резултати &lt; 0,01 mg/kg (за разлика од 'н.д.' во постарите извештаи).; Лимит на квантификација (LOQ) за испитуваните пестициди: 0,01 mg/kg. Датум на завршување за металите: 11.08.2026.; Забелешка на образецот: 'Кога лабораторијата дава изјава за сообразност... се применува Правилото за едноставно прифаќање (Simple acceptance decision rul</t>
  </si>
  <si>
    <t>136</t>
  </si>
  <si>
    <t>040325_748-2025_IJZ_GG1024.pdf</t>
  </si>
  <si>
    <t>748/2025</t>
  </si>
  <si>
    <t>GG 1024</t>
  </si>
  <si>
    <t>f87d94bcbeb2855fbb37463b11390118bd7ac0e20b5b50640c47ac46f0ad87b7</t>
  </si>
  <si>
    <t>Насловна страна 'ЗДРАВСТВЕНА БЕЗБЕДНОСТ НА ПРИМЕРОК' со ПОДАТОЦИ ЗА ПРИМЕРОКОТ; нема табела со резултати. Датум на прием: 13.02.2025; Со писмо: 015/2025; Датум на земање: 12.02.2025; Произведен на: (празно); Тип на пакување: Рефус; Количина: 26 г. Отпечатена ознака за страна: 'Страна 1 од 4'. Формулар ОБ 7.8.3 01 Верз. 1. АНОМАЛИЈА: бројот на извештајот (748/2025) е ПОНИЗОК од 750/751/752/2025 иако е печатен подоцна (04.03.2025 наспроти 27.02.2025); во оваа папка сетот е сместен по групата на 750/2025.; Табела ПЕСТИЦИДИ (Датум на завршување 19.02.2025), метода МКС EN 15662:2020 за сите редови;</t>
  </si>
  <si>
    <t>137</t>
  </si>
  <si>
    <t>270225_750-2025_IJZ_CJ1024.pdf</t>
  </si>
  <si>
    <t>750/2025</t>
  </si>
  <si>
    <t>CJ 1024</t>
  </si>
  <si>
    <t>32-33-34-35</t>
  </si>
  <si>
    <t>e5cb290de4f077e27b8c7e17ff44a8a9eeebcef2dc10ba5f1754e76db267cfac</t>
  </si>
  <si>
    <t>Насловна страна 'ЗДРАВСТВЕНА БЕЗБЕДНОСТ НА ПРИМЕРОК' со ПОДАТОЦИ ЗА ПРИМЕРОКОТ; нема табела со резултати. Датум на прием: 13.02.2025; Со писмо: 013/2025; Датум на земање: 12.02.2025; Произведен на: (празно); Тип на пакување: Рефус; Количина: 27 г. Отпечатена ознака за страна: 'Страна 1 од 4'. Формулар ОБ 7.8.3 01 Верз. 1.; Табела ПЕСТИЦИДИ (Датум на завршување 19.02.2025), метода МКС EN 15662:2020 за сите редови; сите резултати се 'н.д.'. Празни колони U и MinDK. Секцијата 'ОПИС НА КВАЛИТЕТ' над неа е ОТПЕЧАТЕНА НО ПОТПОЛНО ПРАЗНА. Отпечатено 'Страна 2 од 4'. Формулар ОБ 7.8.3 01 Верз. 1.; Кра</t>
  </si>
  <si>
    <t>138</t>
  </si>
  <si>
    <t>270225_751-2025_IJZ_BSS1024.pdf</t>
  </si>
  <si>
    <t>751/2025</t>
  </si>
  <si>
    <t>BSS 1024</t>
  </si>
  <si>
    <t>26-27-28-29</t>
  </si>
  <si>
    <t>6a88fca862d74f95500ee99b8eb8eed99d72aad8d88ec36f371e839f748802da</t>
  </si>
  <si>
    <t>Насловна страна 'ЗДРАВСТВЕНА БЕЗБЕДНОСТ НА ПРИМЕРОК' со ПОДАТОЦИ ЗА ПРИМЕРОКОТ; нема табела со резултати. Датум на прием: 13.02.2025; Со писмо: 012/2025; Датум на земање: 12.02.2025; Произведен на: (празно); Тип на пакување: Рефус; Количина: 26 г. Отпечатена ознака за страна: 'Страна 1 од 4'. Формулар ОБ 7.8.3 01 Верз. 1.; Табела ПЕСТИЦИДИ (Датум на завршување 19.02.2025), метода МКС EN 15662:2020 за сите редови; сите резултати се 'н.д.'. Празни колони U и MinDK. Секцијата 'ОПИС НА КВАЛИТЕТ' над неа е ОТПЕЧАТЕНА НО ПОТПОЛНО ПРАЗНА. Отпечатено 'Страна 2 од 4'. Формулар ОБ 7.8.3 01 Верз. 1.; Кра</t>
  </si>
  <si>
    <t>139</t>
  </si>
  <si>
    <t>270225_752-2025_IJZ_BG1024.pdf</t>
  </si>
  <si>
    <t>752/2025</t>
  </si>
  <si>
    <t>BG 1024</t>
  </si>
  <si>
    <t>6d2b792725f158631664e018d461ecef73a9a9e64f9a08587e47e28b05225d9e</t>
  </si>
  <si>
    <t>Насловна страна 'ЗДРАВСТВЕНА БЕЗБЕДНОСТ НА ПРИМЕРОК' со ПОДАТОЦИ ЗА ПРИМЕРОКОТ; нема табела со резултати. Датум на прием: 13.02.2025; Со писмо: 011/2025; Датум на земање: 12.02.2025; Произведен на: (празно); Тип на пакување: Рефус; Количина: 26,5 г. Отпечатена ознака за страна: 'Страна 1 од 4'. Формулар ОБ 7.8.3 01 Верз. 1.; Табела ПЕСТИЦИДИ (Датум на завршување 19.02.2025), метода МКС EN 15662:2020 за сите редови; сите резултати се 'н.д.'. Празни колони U и MinDK. Секцијата 'ОПИС НА КВАЛИТЕТ' над неа е ОТПЕЧАТЕНА НО ПОТПОЛНО ПРАЗНА. Отпечатено 'Страна 2 од 4'. Формулар ОБ 7.8.3 01 Верз. 1.; К</t>
  </si>
  <si>
    <t>140</t>
  </si>
  <si>
    <t>241125_1157-2058-25_IJZ-MB_BSS052501-P050192.pdf</t>
  </si>
  <si>
    <t>1157/2058/25</t>
  </si>
  <si>
    <t>17.11.2025</t>
  </si>
  <si>
    <t>BSS 052501</t>
  </si>
  <si>
    <t>20260907172549.pdf</t>
  </si>
  <si>
    <t>ЗАКЛУЧОК: Согласно микробиолошкиот наод, доставениот примерок за тестирање ОДГОВАРА на барањата на Ph.Eur монографија 04/2019:50108 "Microbiological quality of herbal medicinal products for oral use and extracts used in their preparations".</t>
  </si>
  <si>
    <t>Ph.Eur. 5.1.8 – Kat. C / 2.6.12, 2.6.31</t>
  </si>
  <si>
    <t>5b732072d760c200d71ea2c3a324b3a6a83c79c8731ea0bcb40e54e548b3fae9</t>
  </si>
  <si>
    <t>Single-page certificate (Страна: 1/1). Со писмо бр.: Сл., Барање бр. 248/2025 од 14.11.2025 година. Со цел: микробиолошка чистота. Производител and Доставено од: ЊУ ГАРДЕН ФАРМА ДООЕЛ - Скопје, Република Северна Македонија. Signed and stamped. The batch code is printed under the label 'Серија'; it is a cultivation-style code, so it is mirrored into cultivation_batch as well as batch_printed. THIRD-PARTY CERTIFICATE: Производител and Доставено од are both 'ЊУ ГАРДЕН ФАРМА ДООЕЛ - Скопје', NOT Purely Plant - the only page in either bundle not belonging to Purely Plant. Batch printed with an inte</t>
  </si>
  <si>
    <t>141</t>
  </si>
  <si>
    <t>051225_1226-2192-25_IJZ-MB_GP082501-1-P050312.pdf</t>
  </si>
  <si>
    <t>1226/2192/25</t>
  </si>
  <si>
    <t>05.12.2025</t>
  </si>
  <si>
    <t>c0be0519e0a1d8d8df1e3deb5da2bd4e055d67cf1fec0268f538d7401003fdd7</t>
  </si>
  <si>
    <t>Single-page certificate (Страна: 1/1). Со писмо бр.: Сл., Барање бр. 132/2025 од 01.12.2025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HANDWRITTEN ALTERATION: a pink/magenta sticky note is stuck across the top-right of the letterhead (partly obscuring the address line and the accreditation logo) bearing the handwritten code 'P050312'. The 2nd</t>
  </si>
  <si>
    <t>142</t>
  </si>
  <si>
    <t>051225_1229-2195-25_IJZ-MB_GP072501-2-P050302.pdf</t>
  </si>
  <si>
    <t>1229/2195/25</t>
  </si>
  <si>
    <t>d7890682f88c87d0d3cd40ec7d9ee1c87e51f2b07ff5f4ab1ac229286d3ccf50</t>
  </si>
  <si>
    <t>Single-page certificate (Страна: 1/1). Со писмо бр.: Сл., Барање бр. 131/2025 од 01.12.2025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Older report template: no 'Просторија' line, results for E.coli/Salmonella expressed as 'Одговара', ЗАКЛУЧОК worded 'ОДГОВАРА' instead of 'СЕ ВО СОГЛАСНОСТ', and the closing legal paragraphs are replaced by th</t>
  </si>
  <si>
    <t>143</t>
  </si>
  <si>
    <t>060326_129-0226-26_IJZ-MB_KC102501-P060172.pdf</t>
  </si>
  <si>
    <t>129/0226/26</t>
  </si>
  <si>
    <t>06.03.2026</t>
  </si>
  <si>
    <t>24.02.2026</t>
  </si>
  <si>
    <t>ЗАКЛУЧОК: Согласно микробиолошкиот наод, доставениот примерок за тестирање ОДГОВАРА на барањата на Ph.Eur монографија 04/2019:50108 “Microbiological quality of herbal medicinal products for oral use and extracts used in their preparations”.</t>
  </si>
  <si>
    <t>Барање/Метода: Ph.Eur. 5.1.8 - Kat. C / 2.6.12, 2.6.31; Ph.Eur монографија 04/2019:50108</t>
  </si>
  <si>
    <t>6d311dd327e4817484530c0efde0903578cff818e27569fb98fe1122a1d9aae1</t>
  </si>
  <si>
    <t>Со цел: микробиолошка чистота. Сортата е отпечатена како 'Kush Crasher' (Фармахем ГС-извештаите за истата серија ја пишуваат 'Kush Krasher'). Резултатот за жолчка-толерантни грам-негативни бактерии е отпечатен како '&lt; 10³ и &gt;10² CFU/g'.</t>
  </si>
  <si>
    <t>144</t>
  </si>
  <si>
    <t>060326_130-0227-26_IJZ-MB_SJ112501-P060192.pdf</t>
  </si>
  <si>
    <t>130/0227/26</t>
  </si>
  <si>
    <t>7cf9a071058f29bf6fbbd8b7eec96aa89baa9c75fcab3c51ec5b6fe9178ef295</t>
  </si>
  <si>
    <t>Со цел: микробиолошка чистота. Резултатот за жолчка-толерантни грам-негативни бактерии е отпечатен како '&lt; 10² и &gt;10 CFU/g'.</t>
  </si>
  <si>
    <t>145</t>
  </si>
  <si>
    <t>060326_131-0228-26_IJZ-MB_J31112501-P060202.pdf</t>
  </si>
  <si>
    <t>131/0228/26</t>
  </si>
  <si>
    <t>ЗАКЛУЧОК: ... ОДГОВАРА на барањата на Ph.Eur монографија 04/2019:50108</t>
  </si>
  <si>
    <t>177b7faa430f1e07400aeda5fe747d7bfe6ea72bade3b97a79e982992b070971</t>
  </si>
  <si>
    <t>Со писмо бр.: Сл. (Барање бр.: 064/2026) од 23.02.2026 година. Образец 0101 ОБ 7.8.3 216 Верзија 2.</t>
  </si>
  <si>
    <t>146</t>
  </si>
  <si>
    <t>060326_132-0229-26_IJZ-MB_SJ102501-P060162.pdf</t>
  </si>
  <si>
    <t>132/0229/26</t>
  </si>
  <si>
    <t>af7197450945c689cd0778db1101c1612b5948bdab3dea8631531bc2e26ef174</t>
  </si>
  <si>
    <t>Со писмо бр.: Сл. (Барање бр.: 062/2026) од 23.02.2026 година. Образец 0101 ОБ 7.8.3 216 Верзија 2. ЗАБЕЛЕШКА ЗА РЕЗУЛТАТ: ТУМС е 1,1 x 10⁴ CFU/g наспроти спецификација „- 10⁴ CFU/g“, т.е. резултатот е на/над наведената граница, а заклучокот е сепак ОДГОВАРА. Последна страница од пакетот - сертификатот е комплетен (1/1).</t>
  </si>
  <si>
    <t>147</t>
  </si>
  <si>
    <t>060326_133-0230-26_IJZ-MB_J31102501-P060152.pdf</t>
  </si>
  <si>
    <t>133/0230/26</t>
  </si>
  <si>
    <t>84b3e5d21b63fa6bb565a4a894e97a4865d3224f10c684019a6b4ad29f4cd8c9</t>
  </si>
  <si>
    <t>Со писмо бр.: Сл. (Барање бр.: 065/2026) од 23.02.2026 година. Образец 0101 ОБ 7.8.3 216 Верзија 2. Сортата е печатена како „Jokerz31“ (без празно место).</t>
  </si>
  <si>
    <t>148</t>
  </si>
  <si>
    <t>060326_135-0232-26_IJZ-MB_PM112501-P060232.pdf</t>
  </si>
  <si>
    <t>135/0232/26</t>
  </si>
  <si>
    <t>bde87b73e743f785d7984f52984c134859625c62b37ef37be284760fda94cb5a</t>
  </si>
  <si>
    <t>149</t>
  </si>
  <si>
    <t>060326_136-0233-26_IJZ-MB_GRC102501-2-P060182.pdf</t>
  </si>
  <si>
    <t>136/0233/26</t>
  </si>
  <si>
    <t>Graps&amp;Creme</t>
  </si>
  <si>
    <t>014fc3f62c37f50f4534cb3f36d9c0a60436bc955777f4d9deb473225c93611a</t>
  </si>
  <si>
    <t>Со писмо бр. од 23.02.2026. Резултатите за Escherichia coli и Salmonella се дадени како 'Одговара' наместо 'Отсутна/g' - формат различен од другите извештаи во истата серија.</t>
  </si>
  <si>
    <t>150</t>
  </si>
  <si>
    <t>060326_137-0234-26_IJZ-MB_OPM112501-P060222.pdf</t>
  </si>
  <si>
    <t>137/0234/26</t>
  </si>
  <si>
    <t>259fad3190d3efc477694cd792eedea2e13bd010fc2a8c895b06a3d57a47dadb</t>
  </si>
  <si>
    <t>Резултатот за жолчно-толерантни грам-негативни бактерии е искажан како опсег '&lt; 10³ и &gt;10² CFU/g'.</t>
  </si>
  <si>
    <t>151</t>
  </si>
  <si>
    <t>240225_161-0269-25_IJZ-MB_BSS1024.pdf</t>
  </si>
  <si>
    <t>161/0269/25</t>
  </si>
  <si>
    <t>24.02.2025</t>
  </si>
  <si>
    <t>17.02.2025</t>
  </si>
  <si>
    <t>Барање/Метода: Ph.Eur. 5.1.8 – Kat. C / 2.6.12, 2.6.31</t>
  </si>
  <si>
    <t>3c0431295e3ba6faf1c96e89dab42a2cedc22a068e79e101c02afd32c64dc346</t>
  </si>
  <si>
    <t>Едностран извештај (Страна: 1/1). Произведено: 10.2024; Количество: -; Рок на употреба: -; Со писмо бр.: Сл. (Барање бр.: 021/2025) од 12.02.2025 година; Со цел: микробиолошка чистота. Формулар 0101 ОБ 7.8.3 216 Верзија 2. Печатна грешка во името на примерокот: 'Blue Sunset Sherbet - - сув цвет' (двојна црта).</t>
  </si>
  <si>
    <t>152</t>
  </si>
  <si>
    <t>240225_163-0271-25_IJZ-MB_BG1024.pdf</t>
  </si>
  <si>
    <t>163/0271/25</t>
  </si>
  <si>
    <t>51af85eb0c962f9abf1e68a48b9d092d426e8690581ed3a3279a0dbecca5a99a</t>
  </si>
  <si>
    <t>Едностран извештај (Страна: 1/1). Произведено: 10.2024; Количество: -; Рок на употреба: -; Со писмо бр.: Сл. (Барање бр.: 020/2025) од 12.02.2025 година; Со цел: микробиолошка чистота. Формулар 0101 ОБ 7.8.3 216 Верзија 2. Забелешка: ТУМС = 1 x 10⁴ CFU/g е точно НА спецификацијата (- 10⁴ CFU/g).</t>
  </si>
  <si>
    <t>153</t>
  </si>
  <si>
    <t>240225_164-0272-25_IJZ-MB_CJ1024.pdf</t>
  </si>
  <si>
    <t>164/0272/25</t>
  </si>
  <si>
    <t>b2312a7ab70e20ff7693f9303b691ab3e34f018d8560482194430bb320a52aaf</t>
  </si>
  <si>
    <t>Едностран извештај (Страна: 1/1). Произведено: 10.2024; Количество: -; Рок на употреба: -; Со писмо бр.: Сл. (Барање бр.: 022/2025) од 12.02.2025 година; Со цел: микробиолошка чистота. Формулар 0101 ОБ 7.8.3 216 Верзија 2.</t>
  </si>
  <si>
    <t>154</t>
  </si>
  <si>
    <t>240225_166-0274-25_IJZ-MB_GG1024.pdf</t>
  </si>
  <si>
    <t>166/0274/25</t>
  </si>
  <si>
    <t>186cea8d6690325458237cdbb837eb0b1a784b031c91187f06dcbec619386ef7</t>
  </si>
  <si>
    <t>Едностран извештај (Страна: 1/1). Произведено: 10.2024; Количество: -; Рок на употреба: -; Со писмо бр.: Сл. (Барање бр.: 18/2025) од 12.02.2025 година; Со цел: микробиолошка чистота. Формулар 0101 ОБ 7.8.3 216 Верзија 2. Барањето е отпечатено како '18/2025' (без водечка нула), додека ИЈЗ 748/2025 за истата серија го наведува писмото '015/2025'.</t>
  </si>
  <si>
    <t>155</t>
  </si>
  <si>
    <t>200126_2-0005-26_IJZ-MB_OPM092501-P060042.pdf</t>
  </si>
  <si>
    <t>2/0005/26</t>
  </si>
  <si>
    <t>12.01.2025</t>
  </si>
  <si>
    <t>f830d54bd4e6efaf7d0927c3be572c6e92533c860640ef803c4661af16ee2bdf</t>
  </si>
  <si>
    <t>Single-page certificate (Страна: 1/1). Со писмо бр.: Сл. (Барање бр.: 017/2026) од 08.01.2026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DATE CONTRADICTION: 'Дата на прием' printed '12.01.2025 год.' against lab number 2/0005/26 and a report date of 20.01.2026. Recorded as printed. Form 216 Верзија 2.</t>
  </si>
  <si>
    <t>156</t>
  </si>
  <si>
    <t>200126_3-0006-26_IJZ-MB_WC082501-P060012.pdf</t>
  </si>
  <si>
    <t>3/0006/26</t>
  </si>
  <si>
    <t>e28588e65151b3a0753931092f23e2ea96d24a94de9940c3bc40238a2e19f61f</t>
  </si>
  <si>
    <t>Single-page certificate (Страна: 1/1). Со писмо бр.: Сл. (Барање бр.: 010/2026) од 08.01.2026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DATE CONTRADICTION: 'Дата на прием' printed '12.01.2025 год.' against lab number 3/0006/26 and a report date of 20.01.2026. Recorded as printed. Form 216 Верзија 2.</t>
  </si>
  <si>
    <t>157</t>
  </si>
  <si>
    <t>280426_304-0548-26_IJZ-MB_GG112501-P060252.pdf</t>
  </si>
  <si>
    <t>304/0548/26</t>
  </si>
  <si>
    <t>40993727519beb353da89f59be7f07a5a5db77d070d11413354fdf3fab642443</t>
  </si>
  <si>
    <t>Со писмо бр.: Сл. (Барање бр.: 104/2026) од 21.04.2026 година. Образец 0101 ОБ 7.8.3 216 Верзија 3.</t>
  </si>
  <si>
    <t>158</t>
  </si>
  <si>
    <t>280426_305-0549-26_IJZ-MB_SCR112501-P060282.pdf</t>
  </si>
  <si>
    <t>305/0549/26</t>
  </si>
  <si>
    <t>ЗАКЛУЧОК: Резултатите од испитуваните параметри СЕ ВО СОГЛАСНОСТ со барањата на Ph.Eur монографија 04/2019:50108 "Microbiological quality of herbal medicinal products for oral use and extracts used in their preparations".</t>
  </si>
  <si>
    <t>20260907173350.pdf p26-26</t>
  </si>
  <si>
    <t>91b3b0379c40af4868c8170c5de3edac8466cfe940130172be4099aeafe5756e</t>
  </si>
  <si>
    <t>Single-page certificate (Страна: 1/1). Со писмо бр.: Сл. (Барање бр.: 106/2026) од 21.04.2026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E. coli / Salmonella results printed in lower case ('отсутна/g', 'отсутна/25') unlike the capitalised 'Отсутна' used on the other 2026 certificates.</t>
  </si>
  <si>
    <t>159</t>
  </si>
  <si>
    <t>280426_306-0550-26_IJZ-MB_JD112501＊-P060212.pdf</t>
  </si>
  <si>
    <t>306/0550/26</t>
  </si>
  <si>
    <t>c9fced235d34b3473e0785ee478a40730ccecfcfe7b5bd97da0f1e6b5107868b</t>
  </si>
  <si>
    <t>Со писмо бр.: Сл. (Барање бр.: 121/2026) од 21.04.2026 година. ТАМС е точно на границата 10^4 CFU/g. Резултатот за жолчно-толерантни грам-негативни бактерии е искажан како опсег '&lt; 10^3 и &gt;10^2 CFU/g'.</t>
  </si>
  <si>
    <t>160</t>
  </si>
  <si>
    <t>280426_307-0551-26_IJZ-MB_JD112501-P060212.pdf</t>
  </si>
  <si>
    <t>307/0551/26</t>
  </si>
  <si>
    <t>ca2cbb3b48da7bb8ae3963e1b4e4e9e94a45017fe33b390b758db8cc034b769b</t>
  </si>
  <si>
    <t>Со писмо бр.: Сл. (Барање бр.: 107/2026) од 21.04.2026 година. Образец 0101 ОБ 7.8.3 216 Верзија 3. Последна страница од пакетот - сертификатот е комплетен (1/1).</t>
  </si>
  <si>
    <t>161</t>
  </si>
  <si>
    <t>280426_308-0552-26_IJZ-MB_FB012601-1-P060322.pdf</t>
  </si>
  <si>
    <t>308/0552/26</t>
  </si>
  <si>
    <t>8a96dea414655f48f26214da437e15b6f3a18ea105e997bf664a9318b01347e8</t>
  </si>
  <si>
    <t>Со писмо бр.: Сл. (Барање бр.: 108/2026) од 21.04.2026 година. Со цел: микробиолошка чистота. Образец 0101 ОБ 7.8.3 216 Верзија 3.</t>
  </si>
  <si>
    <t>162</t>
  </si>
  <si>
    <t>280426_309-0553-26_IJZ-MB_JD012601＊-P060312.pdf</t>
  </si>
  <si>
    <t>309/0553/26</t>
  </si>
  <si>
    <t>ЗАКЛУЧОК: Согласно микробиолошкиот наод, доставениот примерок за тестирање ОДГОВАРА на барањата на Ph.Eur монографија 04/2019:50108 „Microbiological quality of herbal medicinal products for oral use and extracts used in their preparations“</t>
  </si>
  <si>
    <t>35f82a3af313fe2450ff8da5f3c12e9fef3301c733644ef71832ce55bc0929d1</t>
  </si>
  <si>
    <t>Со писмо бр.: Сл. (Барање бр.: 109/2026) од 21.04.2026 година. Со цел: микробиолошка чистота. Количество/Рок на употреба/Произведено: „-“. Образец 0101 ОБ 7.8.3 216 Верзија 3.</t>
  </si>
  <si>
    <t>163</t>
  </si>
  <si>
    <t>280426_310-0554-26_IJZ-MB_GG012601＊-P060302.pdf</t>
  </si>
  <si>
    <t>310/0554/26</t>
  </si>
  <si>
    <t>324ace9aca6aefe166a88156c7580282086ae9625578dd1c78cc4cde55bd253a</t>
  </si>
  <si>
    <t>Со писмо бр.: Сл. (Барање бр.: 110/2026) од 21.04.2026 година. ТАМС и ТУМС се точно на границата на спецификацијата (10^4 CFU/g при спецификација 10^5 / 10^4), а сепак е заклучено ОДГОВАРА.</t>
  </si>
  <si>
    <t>164</t>
  </si>
  <si>
    <t>280426_311-0555-26_IJZ-MB_CC112501-P060272.pdf</t>
  </si>
  <si>
    <t>311/0555/26</t>
  </si>
  <si>
    <t>bff71a6726433f7a71560449595c416fd63c9198000040e22055a933db980358</t>
  </si>
  <si>
    <t>Со писмо бр.: Сл. (Барање бр.: 105/2026) од 21.04.2026 година. Образец 0101 ОБ 7.8.3 216 Верзија 3.</t>
  </si>
  <si>
    <t>165</t>
  </si>
  <si>
    <t>280426_312-0556-26_IJZ-MB_FB112501-P060292.pdf</t>
  </si>
  <si>
    <t>312/0556/26</t>
  </si>
  <si>
    <t>1d8e5452913132f212ece325f3313b5882ede5b60f20f149f9603e76d8056bc0</t>
  </si>
  <si>
    <t>Со писмо бр.: Сл. (Барање бр.: 103/2026) од 21.04.2026 година. Образец 0101 ОБ 7.8.3 216 Верзија 3.</t>
  </si>
  <si>
    <t>166</t>
  </si>
  <si>
    <t>010626_361-0691-26_IJZ-MB_CC012601-1.pdf</t>
  </si>
  <si>
    <t>361/0691/26</t>
  </si>
  <si>
    <t>01.06.2026</t>
  </si>
  <si>
    <t>2ab84ef2eae2970f6abbfb01e31c41fd73d98140485e9dd98ad9e80f32e7ba14</t>
  </si>
  <si>
    <t>Single-page certificate (Страна: 1/1). Со писмо бр.: Сл. (Барање бр.: 132/2026) од 21.05.2026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NUMERIC OBSERVATION: TYMC 2,2 x 10^4 CFU/g exceeds the printed spec line '- 10^4 CFU/g' (and exceeds even a 2x rounding allowance), yet the conclusion states СЕ ВО СОГЛАСНОСТ. Recorded as printed.</t>
  </si>
  <si>
    <t>167</t>
  </si>
  <si>
    <t>010626_362-0692-26_IJZ-MB_SCR012601＊-P060342.pdf</t>
  </si>
  <si>
    <t>362/0692/26</t>
  </si>
  <si>
    <t>5a6646b9f656382934748d0d37f55e62f81d7fc297cd34a50bcd08c4653a6abf</t>
  </si>
  <si>
    <t>Single-page certificate (Страна: 1/1). Со писмо бр.: Сл. (Барање бр.: 133/2026) од 21.05.2026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Batch carries a trailing ASTERISK as printed: 'SCR012601*'. NUMERIC OBSERVATION: TYMC 1,6 x 10^4 CFU/g above the printed spec line '- 10^4 CFU/g' with a СЕ ВО СОГЛАСНОСТ conclusion. No footnote explaining th</t>
  </si>
  <si>
    <t>168</t>
  </si>
  <si>
    <t>010626_363-0693-26_IJZ-MB_CC012603-P060372.pdf</t>
  </si>
  <si>
    <t>363/0693/26</t>
  </si>
  <si>
    <t>a4715e9864bada8d5fa52927f4f410a1f8af5b978f076e53b21df97aa2a353a3</t>
  </si>
  <si>
    <t>Single-page certificate (Страна: 1/1). Со писмо бр.: Сл. (Барање бр.: 134/2026) од 21.05.2026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NUMERIC OBSERVATION: TYMC 1,6 x 10^4 CFU/g above the printed spec line '- 10^4 CFU/g' with a СЕ ВО СОГЛАСНОСТ conclusion.</t>
  </si>
  <si>
    <t>169</t>
  </si>
  <si>
    <t>010626_364-0694-26_IJZ-MB_SCR012603-P060382.pdf</t>
  </si>
  <si>
    <t>364/0694/26</t>
  </si>
  <si>
    <t>98ea71d099edf96826bbffd1b0565a439ef69d84d1b0ff6c6c6c65cdeb3d8b80</t>
  </si>
  <si>
    <t xml:space="preserve">Single-page certificate (Страна: 1/1). Со писмо бр.: Сл. (Барање бр.: 135/2026) од 21.05.2026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NUMERIC OBSERVATION: TYMC result 1,8 x 10^4 CFU/g is above the printed specification line '- 10^4 CFU/g', yet the conclusion states СЕ ВО СОГЛАСНОСТ. (Ph.Eur. 5.1.4 rounding convention may account for this; </t>
  </si>
  <si>
    <t>170</t>
  </si>
  <si>
    <t>010626_365-0695-26_IJZ-MB_JD012603-1-P060362.pdf</t>
  </si>
  <si>
    <t>365/0695/26</t>
  </si>
  <si>
    <t>JD012603/1</t>
  </si>
  <si>
    <t>5caeaf07341f901c74d7093978fb604a534623dfa729dd7efc79329649b4fd52</t>
  </si>
  <si>
    <t>Single-page certificate (Страна: 1/1). Со писмо бр.: Сл. (Барање бр.: 136/2026) од 21.05.2026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t>
  </si>
  <si>
    <t>171</t>
  </si>
  <si>
    <t>010626_366-0696-26_IJZ-MB_FB012602＊-P060352.pdf</t>
  </si>
  <si>
    <t>366/0696/26</t>
  </si>
  <si>
    <t>20e1235f7b0e1e625a4d6acfb66e205cca649df6642596e563cf8b0f57e59681</t>
  </si>
  <si>
    <t>Single-page certificate (Страна: 1/1). Со писмо бр.: Сл. (Барање бр.: 131/2026) од 21.05.2026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Batch carries a trailing ASTERISK as printed: 'FB012602*'; no footnote on the page explains it. NUMERIC OBSERVATION: TYMC 2,2 x 10^4 CFU/g exceeds the printed spec line '- 10^4 CFU/g' with a СЕ ВО СОГЛАСНОСТ</t>
  </si>
  <si>
    <t>172</t>
  </si>
  <si>
    <t>240626_402-0785-26_IJZ-MB_JD022601.pdf</t>
  </si>
  <si>
    <t>402/0785/26</t>
  </si>
  <si>
    <t>24.06.2026</t>
  </si>
  <si>
    <t>c0705df353e837ecdea210ace570685c1904d30d42ce42e6679b9a5daa272954</t>
  </si>
  <si>
    <t>Single-page certificate (Страна: 1/1). Со писмо бр.: Сл. 03-364/3 од 17.06.2026 година / Барање бр.: 161/2026.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Bundle is not in lab-number order here: page 8 = 404, page 9 = 402, page 10 = 403.</t>
  </si>
  <si>
    <t>173</t>
  </si>
  <si>
    <t>240626_403-0786-26_IJZ-MB_SCR022601-P060442.pdf</t>
  </si>
  <si>
    <t>403/0786/26</t>
  </si>
  <si>
    <t>778a2622c0fa747511398cfe7631770c76d829e5e21ecd7f4a64a11550461f24</t>
  </si>
  <si>
    <t>Single-page certificate (Страна: 1/1). Со писмо бр.: 03-364/2 од 17.06.2026 година / Барање бр.: 162/2026.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t>
  </si>
  <si>
    <t>174</t>
  </si>
  <si>
    <t>240626_404-0787-26_IJZ-MB_GG012603-P060402.pdf</t>
  </si>
  <si>
    <t>404/0787/26</t>
  </si>
  <si>
    <t>840e16fe60b9b2c4a10799718573ef7d72ebfdee0674c926457b20820a6475d5</t>
  </si>
  <si>
    <t>Single-page certificate (Страна: 1/1). Со писмо бр.: 03-365/1 од 17.06.2026 година / Барање бр.: 160/2026.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t>
  </si>
  <si>
    <t>175</t>
  </si>
  <si>
    <t>240626_405-0788-26_IJZ-MB_JD012603-02-P060412.pdf</t>
  </si>
  <si>
    <t>405/0788/26</t>
  </si>
  <si>
    <t>e59444b124bcbb6ed0a04f6058c7e5bd3b2e180594d365db057a1e82b9c8800c</t>
  </si>
  <si>
    <t>Single-page certificate (Страна: 1/1). Со писмо бр.: 03-365/2 од 17.06.2026 година / Барање бр.: 159/2026.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t>
  </si>
  <si>
    <t>176</t>
  </si>
  <si>
    <t>240626_406-0789-26_IJZ-MB_JD012603-02V-P060422.pdf</t>
  </si>
  <si>
    <t>406/0789/26</t>
  </si>
  <si>
    <t>9e602c269201c7f65e151a7d69ad34f9c8ad3e1d1bc548aebaeddb1e51b7f5fc</t>
  </si>
  <si>
    <t>Single-page certificate (Страна: 1/1). Со писмо бр.: 03-366/1 од 17.06.2026 година / Барање бр.: 157/2026.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Batch suffix 'V' (JD012603/02V) distinguishes it from JD012603/02 on page 11.</t>
  </si>
  <si>
    <t>177</t>
  </si>
  <si>
    <t>050525_407-0745-25_IJZ-MB_OPM1024-01.pdf</t>
  </si>
  <si>
    <t>407/0745/25</t>
  </si>
  <si>
    <t>05.05.2025</t>
  </si>
  <si>
    <t>29.04.2025</t>
  </si>
  <si>
    <t>OPM 1024-01</t>
  </si>
  <si>
    <t>OPM1024-01</t>
  </si>
  <si>
    <t>d0d7106241115f1e6782738b20394ea10387bcdb251f05fdfadeaae0368d8fbc</t>
  </si>
  <si>
    <t>Едностран извештај (Страна: 1/1). Произведено: 26.03.2025; Количество: -; Рок на употреба: -; Со писмо бр.: Сл. (Барање бр.: 036/2025) од 23.04.2025 година; Со цел: микробиолошка чистота. Формулар 0101 ОБ 7.8.3 216 Верзија 2. АНОМАЛИЈА: резултатот за 'На жолчка толерантни грам-негативни бактерии' е отпечатен како '&lt; 10² и &gt; 10 CFU/g' - двоен/интервален исказ, а не единечна вредност; ТАМС е '10 CFU/g' (без '&lt;').</t>
  </si>
  <si>
    <t>178</t>
  </si>
  <si>
    <t>240626_407-0790-26_IJZ-MB_FB012603V-P060392.pdf</t>
  </si>
  <si>
    <t>407/0790/26</t>
  </si>
  <si>
    <t>1aa713827d8974703f924d175502e97fb58b130de792d1f69909bb7da9fd2715</t>
  </si>
  <si>
    <t>Single-page certificate (Страна: 1/1). Со писмо бр.: 03-366/2 од 17.06.2026 година / Барање бр.: 156/2026.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Batch suffix 'V' (FB012603V) vs FB012603 on page 14; both samples are stated as 39,5 g Fat Bastard.</t>
  </si>
  <si>
    <t>179</t>
  </si>
  <si>
    <t>240626_408-0791-26_IJZ-MB_FB012603-P060432.pdf</t>
  </si>
  <si>
    <t>408/0791/26</t>
  </si>
  <si>
    <t>1e75306f1fd4457739506bdf692c531f039bfd0f1cf5c7ae67b67bb883010ef7</t>
  </si>
  <si>
    <t>Single-page certificate (Страна: 1/1). Со писмо бр.: 03-365/3 од 17.06.2026 година / Барање бр.: 158/2026.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t>
  </si>
  <si>
    <t>180</t>
  </si>
  <si>
    <t>240626_409-0792-26_IJZ-MB_P160012.pdf</t>
  </si>
  <si>
    <t>409/0792/26</t>
  </si>
  <si>
    <t>a1e4baaff444dc9247e9f87ae4ac142789422dcf7ce121d8553171b2e76bcb4f</t>
  </si>
  <si>
    <t>Single-page certificate (Страна: 1/1). Со писмо бр.: 03-364/1 од 17.06.2026 година / Барање бр.: 183/2026. Со цел: микробиолошка чистота. Производител and Доставено од: ПЈУРЕЛИ ПЛАНТ ДООЕЛ – с.Ќојлија, Петровец, РС Македонија. Signed and stamped. Batch printed under the label 'Серија'. Composite sample of three sub-portions. Серија 'P160012' verified at 260 dpi (digit zero after P, then 1-6).</t>
  </si>
  <si>
    <t>181</t>
  </si>
  <si>
    <t>240626_410-0793-26_IJZ-MB_P160032.pdf</t>
  </si>
  <si>
    <t>410/0793/26</t>
  </si>
  <si>
    <t>6e88185bf83ed96b14bdd21d02de2ef042b350822d0e0437ba84c73b55b0f40d</t>
  </si>
  <si>
    <t>Single-page certificate (Страна: 1/1). Со писмо бр.: 03-363/2 од 17.06.2026 година / Барање бр.: 185/2026. Со цел: микробиолошка чистота. Производител and Доставено од: ПЈУРЕЛИ ПЛАНТ ДООЕЛ – с.Ќојлија, Петровец, РС Македонија. Signed and stamped. Batch printed under the label 'Серија'. Composite sample of three sub-portions.</t>
  </si>
  <si>
    <t>182</t>
  </si>
  <si>
    <t>240626_411-0794-26_IJZ-MB_P160022.pdf</t>
  </si>
  <si>
    <t>411/0794/26</t>
  </si>
  <si>
    <t>5be85ae5235d9ba336ecb6aa266f146b5b6fca1517d412156f2a9c981ebcc154</t>
  </si>
  <si>
    <t>Single-page certificate (Страна: 1/1). Со писмо бр.: 03-363/3 од 17.06.2026 година / Барање бр.: 184/2026. Со цел: микробиолошка чистота. Производител and Доставено од: ПЈУРЕЛИ ПЛАНТ ДООЕЛ – с.Ќојлија, Петровец, РС Македонија. Signed and stamped. Batch printed under the label 'Серија'. Composite sample of three sub-portions.</t>
  </si>
  <si>
    <t>183</t>
  </si>
  <si>
    <t>100726_433-0847-26_IJZ-MB_FB032601.pdf</t>
  </si>
  <si>
    <t>433/0847/26</t>
  </si>
  <si>
    <t>10.07.2026</t>
  </si>
  <si>
    <t>d26a4df01c0feffc31d2857cfac6ec0e4ae49c6c73a390ec68d68fb24c1f4aab</t>
  </si>
  <si>
    <t>Single-page certificate (Страна: 1/1). Со писмо бр.: 03-398/1 од 02.07.2026 година / Барање бр.: 190/2026.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Серија FB032601 (Fat Bastard). The SAME batch code is printed on page 7 against a Gorilla Glue sample - see note there.</t>
  </si>
  <si>
    <t>184</t>
  </si>
  <si>
    <t>100726_434-0848-26_IJZ-MB_FB032601.pdf</t>
  </si>
  <si>
    <t>434/0848/26</t>
  </si>
  <si>
    <t>60c048b688ab5c974abbc6edfec330603ecb365dc7c17a71eb9883d53de02ed0</t>
  </si>
  <si>
    <t>Single-page certificate (Страна: 1/1). Со писмо бр.: 03-398/2 од 02.07.2026 година / Барање бр.: 191/2026.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BATCH/STRAIN CONTRADICTION: sample is 'Gorilla Glue' but Серија is printed 'FB032601' - an 'FB' (Fat Bastard) prefixed code, identical to the batch on page 6 which IS a Fat Bastard sample. Verified at 2</t>
  </si>
  <si>
    <t>185</t>
  </si>
  <si>
    <t>220525_472-0863-25_IJZ-MB_GG1024-02-P050012.pdf</t>
  </si>
  <si>
    <t>472/0863/25</t>
  </si>
  <si>
    <t>16.05.2025</t>
  </si>
  <si>
    <t>GG1024-02</t>
  </si>
  <si>
    <t>9551b4ef976298532480b1b853e812d3cc3661a84e0dc6e22427ebeb631abb76</t>
  </si>
  <si>
    <t>Едностран извештај (Страна: 1/1). Произведено: 15.04.2025; Количество: -; Рок на употреба: -; Со писмо бр.: Сл. (Барање бр.: 043/2025) од 13.05.2025 година; Со цел: микробиолошка чистота. Формулар 0101 ОБ 7.8.3 216 Верзија 2.</t>
  </si>
  <si>
    <t>186</t>
  </si>
  <si>
    <t>040826_475-0927-26_IJZ-MB_GP0824_02-P050022.pdf</t>
  </si>
  <si>
    <t>475/0927/26</t>
  </si>
  <si>
    <t>04.08.2026</t>
  </si>
  <si>
    <t>28.07.2026</t>
  </si>
  <si>
    <t>c678387ca4ba85fbfdde9adfd6e42ff11090ee00fef368dbb9f625b57e9a8c38</t>
  </si>
  <si>
    <t>Single-page certificate (Страна: 1/1). Со писмо бр.: 03-434/3 од 27.07.2026 година / Барање бр.: 203/2026. Со цел: микробиолошка чистота. Производител and Доставено од: ПЈУРЕЛИ ПЛАНТ ДООЕЛ – с.Ќојлија, Петровец, РС Македонија. Signed and stamped. Batch printed under the label 'Серија'. Stability sample (month 12, 25C/60% RH). Same Серија 'P050022' as page 4 (lab no. 476/0928/26).</t>
  </si>
  <si>
    <t>187</t>
  </si>
  <si>
    <t>040826_476-0928-26_IJZ-MB_GP0824_02-P050022.pdf</t>
  </si>
  <si>
    <t>476/0928/26</t>
  </si>
  <si>
    <t>2d184c17c30ee1fb163eb0753b26109debce7949053bdd737f71f27208954025</t>
  </si>
  <si>
    <t>Single-page certificate (Страна: 1/1). Со писмо бр.: 03-434/4 од 27.07.2026 година / Барање бр.: 204/2026. Со цел: микробиолошка чистота. Производител and Доставено од: ПЈУРЕЛИ ПЛАНТ ДООЕЛ – с.Ќојлија, Петровец, РС Македонија. Signed and stamped. Batch printed under the label 'Серија'. Stability sample (month 12, 25C/60% RH). Carries the SAME Серија 'P050022' as page 5 (lab no. 475/0927/26); the two are different stability pulls of one batch.</t>
  </si>
  <si>
    <t>188</t>
  </si>
  <si>
    <t>040826_477-0929-26_IJZ-MB_JD032601.pdf</t>
  </si>
  <si>
    <t>477/0929/26</t>
  </si>
  <si>
    <t>63cdf91a8824b331d96a6f8d7d8f530bd2f18ffb2127d7aeed814c15ccc64748</t>
  </si>
  <si>
    <t>Single-page certificate (Страна: 1/1). Со писмо бр.: 03-434/2 од 27.07.2026 година / Барање бр.: 202/2026.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t>
  </si>
  <si>
    <t>189</t>
  </si>
  <si>
    <t>200126_5-0008-26_IJZ-MB_GP092501-P060092.pdf</t>
  </si>
  <si>
    <t>5/0008/26</t>
  </si>
  <si>
    <t>bdc078628fc9b0b9511f53a996e7fb8fc7a380e0cd4e8b9bce2ed2919a35fb1d</t>
  </si>
  <si>
    <t>Single-page certificate (Страна: 1/1). Со писмо бр.: Сл. (Барање бр.: 018/2026) од 08.01.2026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DATE CONTRADICTION: 'Дата на прием' is printed '12.01.2025 год.' but the lab number is 5/0008/26 (2026 series), the covering letter is dated 08.01.2026 and the report is dated 20.01.2026 - the receipt year 2</t>
  </si>
  <si>
    <t>190</t>
  </si>
  <si>
    <t>310826_534-1065-26_IJZ-MB_P050212.pdf</t>
  </si>
  <si>
    <t>534/1065/26</t>
  </si>
  <si>
    <t>31.08.2026</t>
  </si>
  <si>
    <t>PO50212</t>
  </si>
  <si>
    <t>ЗАКЛУЧОК: Резултатите од испитуваните параметри СЕ ВО СОГЛАСНОСТ со барањата на Ph.Eur монографија 04/2019:50108 "Microbiological quality of herbal medicinal products for oral use and extracts used in their preparations" и производителска спецификација .</t>
  </si>
  <si>
    <t>Ph.Eur. 5.1.8, Kat.C и производителска спецификација/2.6.12, 2.6.13, 2.6.31</t>
  </si>
  <si>
    <t>54bf8f004b825f6b75b495273fb45b4567e3dc50d2812389edf6a414ce7c3fac</t>
  </si>
  <si>
    <t>Single-page certificate (Страна: 1/1). Со писмо бр.: 03-500/1 од 24.08.2026 година (Барање бр.: 326/2026). Со цел: микробиолошка чистота. Производител and Доставено од: ПЈУРЕЛИ ПЛАНТ ДООЕЛ – с.Ќојлија, Петровец, РС Македонија. Signed and stamped. Batch printed under the label 'Серија'. BATCH SPELLING: 'PO50212' printed with a LETTER O as the 2nd character - reproduced verbatim. Handwritten pen mark 'C' in the right margin. Form code 0101 ОБ 7.8.3 218 Верзија 3. Same covering letter number (03-500/1) as page 1 but a different Барање number (326/2026 vs 325/2026).</t>
  </si>
  <si>
    <t>191</t>
  </si>
  <si>
    <t>310826_535-1066-26_IJZ-MB_CJ062501-1-P050222.pdf</t>
  </si>
  <si>
    <t>535/1066/26</t>
  </si>
  <si>
    <t>PO50222</t>
  </si>
  <si>
    <t>fa36513c6b50fd5d3b703359c043cbd45fff128678d85fd52cded7ea53af1fca</t>
  </si>
  <si>
    <t>Single-page certificate (Страна: 1/1). Со писмо бр.: 03-500/1 од 24.08.2026 година (Барање бр.: 325/2026). Со цел: микробиолошка чистота. Производител and Доставено од: ПЈУРЕЛИ ПЛАНТ ДООЕЛ – с.Ќојлија, Петровец, РС Македонија. Signed and stamped. Batch printed under the label 'Серија'. BATCH SPELLING: 'PO50222' is printed with a LETTER O as the 2nd character (visibly wider than the digit 0 used in e.g. 'P050022' on page 4) - reproduced verbatim, not corrected. Handwritten pen mark 'C' in the right margin next to the sample line. Form code 0101 ОБ 7.8.3 218 Верзија 3 (all other pages in this bu</t>
  </si>
  <si>
    <t>192</t>
  </si>
  <si>
    <t>310826_536-1067-26_IJZ-MB_SCR022601-P060442.pdf</t>
  </si>
  <si>
    <t>536/1067/26</t>
  </si>
  <si>
    <t>PO60442</t>
  </si>
  <si>
    <t>20260904113942.pdf</t>
  </si>
  <si>
    <t>СЕ ВО СОГЛАСНОСТ</t>
  </si>
  <si>
    <t>Ph.Eur. 5.1.8 Kat.C</t>
  </si>
  <si>
    <t>20260907184210.pdf p24-24</t>
  </si>
  <si>
    <t>c7c11f2c6357aca5f3012b5197bb9571385a6145af772dab011f0045ad02a114</t>
  </si>
  <si>
    <t>193</t>
  </si>
  <si>
    <t>310826_537-1068-26_IJZ-MB_FB012603-P060432.pdf</t>
  </si>
  <si>
    <t>537/1068/26</t>
  </si>
  <si>
    <t>PO60432</t>
  </si>
  <si>
    <t>20260907184210.pdf p7-7</t>
  </si>
  <si>
    <t>a704ef861b467736798e5ec386aebc35a7eff503ca6377ebd9d3f41adafa1f68</t>
  </si>
  <si>
    <t>194</t>
  </si>
  <si>
    <t>310826_538-1069-26_IJZ-MB_FB012603V-P060392.pdf</t>
  </si>
  <si>
    <t>538/1069/26</t>
  </si>
  <si>
    <t>PO60392</t>
  </si>
  <si>
    <t>20260907184210.pdf p8-8</t>
  </si>
  <si>
    <t>b2ea04fd867fec3c9d939d8deebba1e85a39e2ec08e901a6ecf78ae9db2e3089</t>
  </si>
  <si>
    <t>195</t>
  </si>
  <si>
    <t>310826_539-1070-26_IJZ-MB_SCR012601-P060342.pdf</t>
  </si>
  <si>
    <t>539/1070/26</t>
  </si>
  <si>
    <t>PO60342</t>
  </si>
  <si>
    <t>20260907184210.pdf p23-23</t>
  </si>
  <si>
    <t>1cd2818f75dd153992c004cb242e98dcb15af142a9b0434187d25e24b72db05c</t>
  </si>
  <si>
    <t>196</t>
  </si>
  <si>
    <t>310826_540-1071-26_IJZ-MB_JD012601-P060312.pdf</t>
  </si>
  <si>
    <t>540/1071/26</t>
  </si>
  <si>
    <t>PO60312</t>
  </si>
  <si>
    <t>20260907184210.pdf p16-16</t>
  </si>
  <si>
    <t>e33f6e409631dfc63d8d9a1bf276efb667907f66412e98f8cd83d504ed413cf4</t>
  </si>
  <si>
    <t>197</t>
  </si>
  <si>
    <t>310826_541-1072-26_IJZ-MB_GG012601-P060302.pdf</t>
  </si>
  <si>
    <t>541/1072/26</t>
  </si>
  <si>
    <t>PO60302</t>
  </si>
  <si>
    <t>20260907184210.pdf p10-10</t>
  </si>
  <si>
    <t>5d495877641bc017001a9625fb73187a8abf94c3da32cd3db5f94f6a1bccbae8</t>
  </si>
  <si>
    <t>198</t>
  </si>
  <si>
    <t>310826_542-1073-26_IJZ-MB_FB112501-P060292.pdf</t>
  </si>
  <si>
    <t>542/1073/26</t>
  </si>
  <si>
    <t>PO60292</t>
  </si>
  <si>
    <t>20260907184210.pdf p9-9</t>
  </si>
  <si>
    <t>27c794e2408a288fc116e797a09d790eb0d6b5945a00800f4f86644eb5fb3d71</t>
  </si>
  <si>
    <t>199</t>
  </si>
  <si>
    <t>310826_543-1074-26_IJZ-MB_CC112501-P060272.pdf</t>
  </si>
  <si>
    <t>543/1074/26</t>
  </si>
  <si>
    <t>PO60272</t>
  </si>
  <si>
    <t>20260907184210.pdf p6-6</t>
  </si>
  <si>
    <t>edf80cddf1df0b4aa5bd9372953068dd084841c56cc953b8825a3bf423a20f18</t>
  </si>
  <si>
    <t>310826_544-1075-26_IJZ-MB_J31122501-P060262.pdf</t>
  </si>
  <si>
    <t>544/1075/26</t>
  </si>
  <si>
    <t>PO60262</t>
  </si>
  <si>
    <t>20260907184210.pdf p18-18</t>
  </si>
  <si>
    <t>4fc1756eae7c4032720c1e3e48051733ed4ddbae3700d9307d770f02cdab861d</t>
  </si>
  <si>
    <t>201</t>
  </si>
  <si>
    <t>310826_545-1076-26_IJZ-MB_GG112501-P060252.pdf</t>
  </si>
  <si>
    <t>545/1076/26</t>
  </si>
  <si>
    <t>PO60252</t>
  </si>
  <si>
    <t>20260907184210.pdf p11-11</t>
  </si>
  <si>
    <t>680a7832828d71d0ff752963e368c266efbf9c43c03b249adbcd62cc1b6507ae</t>
  </si>
  <si>
    <t>202</t>
  </si>
  <si>
    <t>310826_546-1077-26_IJZ-MB_OPM112501-P060222.pdf</t>
  </si>
  <si>
    <t>546/1077/26</t>
  </si>
  <si>
    <t>PO60222</t>
  </si>
  <si>
    <t>20260907184210.pdf p21-21</t>
  </si>
  <si>
    <t>b9b5cdc93f3ca117823fcc3122a27cb20ebe039b244432215e098bbb05adf632</t>
  </si>
  <si>
    <t>203</t>
  </si>
  <si>
    <t>310826_547-1078-26_IJZ-MB_J31112501-P060202.pdf</t>
  </si>
  <si>
    <t>547/1078/26</t>
  </si>
  <si>
    <t>PO60202</t>
  </si>
  <si>
    <t>20260907184210.pdf p17-17</t>
  </si>
  <si>
    <t>1163a781db1b14d039919b92a3ee8c67d3e3a5245b511edd8a78c7cce93b1d09</t>
  </si>
  <si>
    <t>204</t>
  </si>
  <si>
    <t>310826_548-1079-26_IJZ-MB_BSS052501-P050192.pdf</t>
  </si>
  <si>
    <t>548/1079/26</t>
  </si>
  <si>
    <t>PO50192</t>
  </si>
  <si>
    <t>20260907184210.pdf p26-26</t>
  </si>
  <si>
    <t>ea1252c4cdfbb7b9350c606ef9f26e9576126ecf3f6e67ff144bfefa1bc08edb</t>
  </si>
  <si>
    <t>205</t>
  </si>
  <si>
    <t>310826_549-1080-26_IJZ-MB_SJ102501-P060162.pdf</t>
  </si>
  <si>
    <t>549/1080/26</t>
  </si>
  <si>
    <t>PO60162</t>
  </si>
  <si>
    <t>20260907184210.pdf p25-25</t>
  </si>
  <si>
    <t>07b31502e24eea30507d0c55607e17683762a61110975a837b5bc73d6470586e</t>
  </si>
  <si>
    <t>206</t>
  </si>
  <si>
    <t>010926_550-1081-26_IJZ-MB_GRC102501-1-P060142.pdf</t>
  </si>
  <si>
    <t>550/1081/26</t>
  </si>
  <si>
    <t>01.09.2026</t>
  </si>
  <si>
    <t>26.08.2026</t>
  </si>
  <si>
    <t>PO60142</t>
  </si>
  <si>
    <t>20260907184210.pdf p15-15</t>
  </si>
  <si>
    <t>db1897c3df81946e0cfe65f0d200c32de586d017b3df5e98a132ba111695cb26</t>
  </si>
  <si>
    <t>207</t>
  </si>
  <si>
    <t>010926_551-1082-26_IJZ-MB_WED102501-P060102.pdf</t>
  </si>
  <si>
    <t>551/1082/26</t>
  </si>
  <si>
    <t>PO60102</t>
  </si>
  <si>
    <t>20260907184210.pdf p27-27</t>
  </si>
  <si>
    <t>f9d4516bad804c4bf8e4b4794415a41c01f22f77fe387ac83f377e3c9342ff63</t>
  </si>
  <si>
    <t>208</t>
  </si>
  <si>
    <t>010926_552-1083-26_IJZ-MB_AB092501-P060052.pdf</t>
  </si>
  <si>
    <t>552/1083/26</t>
  </si>
  <si>
    <t>PO60052</t>
  </si>
  <si>
    <t>20260907184210.pdf p1-1</t>
  </si>
  <si>
    <t>dadf313ab0a3785631c728ff71b364d2a2e4e616db9a694a076d22dd16e0467e</t>
  </si>
  <si>
    <t>209</t>
  </si>
  <si>
    <t>010926_553-1084-26_IJZ-MB_GP072501-1-P050292.pdf</t>
  </si>
  <si>
    <t>553/1084/26</t>
  </si>
  <si>
    <t>PO50292</t>
  </si>
  <si>
    <t>20260907184210.pdf p14-14</t>
  </si>
  <si>
    <t>155d0b0c678a18f3720877f8d17ea15bee27c4204140b6798f85139b6f21e3b6</t>
  </si>
  <si>
    <t>210</t>
  </si>
  <si>
    <t>010926_554-1085-26_IJZ-MB_PM072501-P050272.pdf</t>
  </si>
  <si>
    <t>554/1085/26</t>
  </si>
  <si>
    <t>PO50272</t>
  </si>
  <si>
    <t>20260907184210.pdf p22-22</t>
  </si>
  <si>
    <t>294b2ebc9b2353804b346e76a61b41edf1c97a488dac2c06c583db781a20c399</t>
  </si>
  <si>
    <t>211</t>
  </si>
  <si>
    <t>010926_555-1086-26_IJZ-MB_WC072501-P050262.pdf</t>
  </si>
  <si>
    <t>555/1086/26</t>
  </si>
  <si>
    <t>PO50262</t>
  </si>
  <si>
    <t>20260907184210.pdf p28-28</t>
  </si>
  <si>
    <t>259d92add78c8850c6c16d373e98b7c03224287dd2ae68e8c012dc55d622425a</t>
  </si>
  <si>
    <t>212</t>
  </si>
  <si>
    <t>010926_556-1087-26_IJZ-MB_CJ072501-P050252.pdf</t>
  </si>
  <si>
    <t>556/1087/26</t>
  </si>
  <si>
    <t>PO50252</t>
  </si>
  <si>
    <t>20260907184210.pdf p4-4</t>
  </si>
  <si>
    <t>01c5b4d7cc273881a50ec6686d51c06edf076d737876ac4e9a5b86bb701bfb2e</t>
  </si>
  <si>
    <t>213</t>
  </si>
  <si>
    <t>010926_557-1088-26_IJZ-MB_GP062501-P050202.pdf</t>
  </si>
  <si>
    <t>557/1088/26</t>
  </si>
  <si>
    <t>PO50202</t>
  </si>
  <si>
    <t>20260907184210.pdf p13-13</t>
  </si>
  <si>
    <t>2c1283678d0c3c43888be4d5ccc6f09d6f4c50e103cb8643bec2a22bf16a20ac</t>
  </si>
  <si>
    <t>214</t>
  </si>
  <si>
    <t>010926_558-1089-26_IJZ-MB_CJ052501-02-P050172.pdf</t>
  </si>
  <si>
    <t>558/1089/26</t>
  </si>
  <si>
    <t>PO50172</t>
  </si>
  <si>
    <t>20260907184210.pdf p3-3</t>
  </si>
  <si>
    <t>dc405c86e4e81b27e02c3fd4e634755f0911c4e89b7a3984cd88d30de7eef810</t>
  </si>
  <si>
    <t>215</t>
  </si>
  <si>
    <t>010926_559-1090-26_IJZ-MB_P050142.pdf</t>
  </si>
  <si>
    <t>559/1090/26</t>
  </si>
  <si>
    <t>PO50142</t>
  </si>
  <si>
    <t>20260907184210.pdf p30-30</t>
  </si>
  <si>
    <t>8c7d54fd7e0032a45687acc99a7025b6ed94671bc4bb3e023d19e9f18ee9aa42</t>
  </si>
  <si>
    <t>216</t>
  </si>
  <si>
    <t>010926_560-1091-26_IJZ-MB_OPM052501-P050132.pdf</t>
  </si>
  <si>
    <t>560/1091/26</t>
  </si>
  <si>
    <t>PO50132</t>
  </si>
  <si>
    <t>20260907184210.pdf p20-20</t>
  </si>
  <si>
    <t>f2563d5ccbe45867171d84894d513a86425b14f9a505ca3b5c823b07afb9d534</t>
  </si>
  <si>
    <t>217</t>
  </si>
  <si>
    <t>010926_561-1092-26_IJZ-MB_BSS1024_01-1-P050122.pdf</t>
  </si>
  <si>
    <t>561/1092/26</t>
  </si>
  <si>
    <t>PO50122</t>
  </si>
  <si>
    <t>20260907184210.pdf p2-2</t>
  </si>
  <si>
    <t>f175adf98ddf3cf61ee227c3d5d8f1eccb5aaa9ebf6cef6abb4abec1b36fea64</t>
  </si>
  <si>
    <t>218</t>
  </si>
  <si>
    <t>010926_562-1093-26_IJZ-MB_P050102.pdf</t>
  </si>
  <si>
    <t>562/1093/26</t>
  </si>
  <si>
    <t>PO50102</t>
  </si>
  <si>
    <t>20260907184210.pdf p29-29</t>
  </si>
  <si>
    <t>d7f1bffb4adc1bf47a563e8e5fe1630b87e4f7371e2a6c0090e8e345746fef17</t>
  </si>
  <si>
    <t>219</t>
  </si>
  <si>
    <t>010926_563-1094-26_IJZ-MB_MB0824_04-P050032.pdf</t>
  </si>
  <si>
    <t>563/1094/26</t>
  </si>
  <si>
    <t>PO50032</t>
  </si>
  <si>
    <t>20260907184210.pdf p19-19</t>
  </si>
  <si>
    <t>2d5f6d3a776c49c32ed94dd16f7737ee6c63042d595b650710b51014058678c9</t>
  </si>
  <si>
    <t>220</t>
  </si>
  <si>
    <t>010926_564-1095-26_IJZ-MB_GG1024_02-P050012.pdf</t>
  </si>
  <si>
    <t>564/1095/26</t>
  </si>
  <si>
    <t>PO50012</t>
  </si>
  <si>
    <t>20260907184210.pdf p12-12</t>
  </si>
  <si>
    <t>d94d354c1853c472cfb3ecc4ee9448298ab888b9b4190ffc4d343205216106a8</t>
  </si>
  <si>
    <t>221</t>
  </si>
  <si>
    <t>010926_565-1096-26_IJZ-MB_CJ1024.pdf</t>
  </si>
  <si>
    <t>565/1096/26</t>
  </si>
  <si>
    <t>20260907184210.pdf p5-5</t>
  </si>
  <si>
    <t>103a1641e75a760e75c5b198c8f4c80d89fafa026d58f433f90bbc24b2fc7820</t>
  </si>
  <si>
    <t>222</t>
  </si>
  <si>
    <t>020725_627-1128-25_IJZ-MB_GP0824-02-P050022.pdf</t>
  </si>
  <si>
    <t>627/1128/25</t>
  </si>
  <si>
    <t>02.07.2025</t>
  </si>
  <si>
    <t>24.06.2025</t>
  </si>
  <si>
    <t>GP 0824-02</t>
  </si>
  <si>
    <t>GP0824-02</t>
  </si>
  <si>
    <t>dcfc53e03f368366080fde6aa537be383c4fc846e53e058d172e823aa65c5257</t>
  </si>
  <si>
    <t>Едностран извештај (Страна: 1/1). Произведено: -; Количество: -; Рок на употреба: -; Со писмо бр.: Сл. од 23.06.2025 година; Со цел: микробиолошка чистота. Формулар 0101 ОБ 7.8.3 216 Верзија 2.</t>
  </si>
  <si>
    <t>223</t>
  </si>
  <si>
    <t>090226_73-0116-26_IJZ-MB_CF102501-P060132.pdf</t>
  </si>
  <si>
    <t>73/0116/26</t>
  </si>
  <si>
    <t>02.02.2025</t>
  </si>
  <si>
    <t>db13086bb8d99c5d6c48821b4f0e96794d8e9009e3d3fd891fb458c8433a7a3a</t>
  </si>
  <si>
    <t>Со цел: микробиолошка чистота. АНОМАЛИЈА 1: 'Дата на прием: 02.02.2025 год.' - година 2025, додека лаб. број (73/0116/26), барањето (032/2026 од 30.01.2026) и датумот (09.02.2026) се 2026; очигледна печатна грешка. АНОМАЛИЈА 2 (КРИТИЧНА): резултатот TYMC 3,9 x 10⁴ CFU/g Ј А НАДМИНУВА отпечатената спецификација '- 10⁴ CFU/g', а ЗАКЛУЧОКОТ сепак гласи ОДГОВАРА. Противречност меѓу резултат и заклучок. Резултатот за жолчка-толерантни бактерии е отпечатен како '&lt; 10³ и 10² CFU/g'.</t>
  </si>
  <si>
    <t>224</t>
  </si>
  <si>
    <t>090226_74-0117-26_IJZ-MB_PUM102501-P060112.pdf</t>
  </si>
  <si>
    <t>74/0117/26</t>
  </si>
  <si>
    <t>ЗАКЛУЧОК: Согласно микробиолошкиот наод, доставениот примерок за тестирање ОДГОВАРА на барањата на Ph.Eur монографија 04/2019:50108</t>
  </si>
  <si>
    <t>a2999d836888d6431ab061efdc681cee224206f77f792e5be176c6571c4103b8</t>
  </si>
  <si>
    <t>АНОМАЛИЈА: „Дата на прием“ е испечатена 02.02.2025 год. (година 2025), иако барањето е од 30.01.2026 а извештајот е од 09.02.2026 - очигледна печатна грешка во годината. Со писмо бр.: Сл. (Барање бр.: 041/2026) од 30.01.2026 година. Образец 0101 ОБ 7.8.3 216 Верзија 2. Резултатите за E. coli и Salmonella се печатени како „Одговара“ (во серијата од април 2026 истите се печатени како „отсутна/g“ / „отсутна/25“).</t>
  </si>
  <si>
    <t>225</t>
  </si>
  <si>
    <t>090226_75-0118-26_IJZ-MB_WED102501-P060102.pdf</t>
  </si>
  <si>
    <t>75/0118/26</t>
  </si>
  <si>
    <t>2a3210a99cfe51bd191cd64075e518d7b584b3b6941487513c210a190f13f73e</t>
  </si>
  <si>
    <t>Со цел: микробиолошка чистота. АНОМАЛИЈА: 'Дата на прием: 02.02.2025 год.' - година 2025, додека лабораторискиот број (75/0118/26), барањето (035/2026 од 30.01.2026) и датумот на издавање (09.02.2026) се 2026; очигледна печатна грешка. Резултатот за жолчка-толерантни грам-негативни бактерии е отпечатен како '&lt; 10³ и 10² CFU/g' (двосмислена формулација, препишана точно).</t>
  </si>
  <si>
    <t>226</t>
  </si>
  <si>
    <t>090226_76-0119-26_IJZ-MB_GRC102501-P060182.pdf</t>
  </si>
  <si>
    <t>76/0119/26</t>
  </si>
  <si>
    <t>Grapes &amp; Creme</t>
  </si>
  <si>
    <t>2564d6dd4323b9c3827d34a3662cec95c02900734c52f37f8a6609342d21f0a5</t>
  </si>
  <si>
    <t>ДВЕ АНОМАЛИИ: (1) 'Дата на прием' е отпечатена како 02.02.2025 (година 2025) иако писмото е од 30.01.2026 и извештајот е издаден 09.02.2026 – најверојатно печатна грешка за 02.02.2026; вредноста е запишана точно како што е отпечатена. (2) Сортата е печатена како 'Grapes &amp; Creme', додека на сите други документи за истата серија GRC102501 стои 'Graps &amp; Creme' / 'GRAPS&amp;CREME'.</t>
  </si>
  <si>
    <t>227</t>
  </si>
  <si>
    <t>290725_766-1375-25_IJZ-MB_OPM1024-03-P050082.pdf</t>
  </si>
  <si>
    <t>766/1375/25</t>
  </si>
  <si>
    <t>29.07.2025</t>
  </si>
  <si>
    <t>21.07.2025</t>
  </si>
  <si>
    <t>OPM 1024-03</t>
  </si>
  <si>
    <t>OPM1024-03</t>
  </si>
  <si>
    <t>1961f45dd257cf8360c41b26d9df801ade63a0414692321ef01bcbfffe3fa36c</t>
  </si>
  <si>
    <t>Single-page certificate (Страна: 1/1). Со писмо бр.: Сл., Барање бр. 65/2025 од 18.07.2025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Произведено: 01.07.2025. DIFFERENT DEPARTMENT HEAD: the РАКОВОДИТЕЛ block names 'Д-р Дугаѓин Османи' instead of 'Мр сци Елизабета Јанческа' used on every other page. Batch printed with an internal space and a h</t>
  </si>
  <si>
    <t>228</t>
  </si>
  <si>
    <t>290725_767-1376-25_IJZ-MB_MB0824-05-P050112.pdf</t>
  </si>
  <si>
    <t>767/1376/25</t>
  </si>
  <si>
    <t>MB 0824-05</t>
  </si>
  <si>
    <t>MB0824-05</t>
  </si>
  <si>
    <t>db842ec9a71fe2cb8b02df2239cd4165fdcd70dba36549e40b8268aa50fc8b32</t>
  </si>
  <si>
    <t>Single-page certificate (Страна: 1/1). Со писмо бр.: Сл., Барање бр. 61/2025 од 18.07.2025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Произведено: 08.07.2025. DIFFERENT DEPARTMENT HEAD: 'Д-р Дугаѓин Османи'. Batch printed with an internal space: 'MB 0824-05'. Form 216 Верзија 2.</t>
  </si>
  <si>
    <t>229</t>
  </si>
  <si>
    <t>090226_77-0120-26_IJZ-MB_ACC102501-P060122.pdf</t>
  </si>
  <si>
    <t>77/0120/26</t>
  </si>
  <si>
    <t>7da850e0d7959de4fb2102860abf27c374162cd380c847bf0bd46ed074321fa2</t>
  </si>
  <si>
    <t>АНОМАЛИЈА: „Дата на прием“ е испечатена 02.02.2025 год. (2025) иако барањето е од 30.01.2026 и извештајот е од 09.02.2026 - истата печатна грешка како кај 74/0117/26. Со писмо бр.: Сл. (Барање бр.: 044/2026) од 30.01.2026 година. Образец 0101 ОБ 7.8.3 216 Верзија 2.</t>
  </si>
  <si>
    <t>230</t>
  </si>
  <si>
    <t>200126_8-0011-26_IJZ-MB_CJ082501-1-P060022.pdf</t>
  </si>
  <si>
    <t>8/0011/26</t>
  </si>
  <si>
    <t>41e00bf7984b9b4a35a01b723ca76ec22a134e61b086c5aaa89dad8d425bb144</t>
  </si>
  <si>
    <t>Single-page certificate (Страна: 1/1). Со писмо бр.: Сл. (Барање бр.: 011/2026) од 08.01.2026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DATE CONTRADICTION: 'Дата на прием' printed '12.01.2025 год.' against lab number 8/0011/26 and a report date of 20.01.2026. Recorded as printed. Form 216 Верзија 2.</t>
  </si>
  <si>
    <t>231</t>
  </si>
  <si>
    <t>200126_9-0012-26_IJZ-MB_SJ092501-P060082.pdf</t>
  </si>
  <si>
    <t>9/0012/26</t>
  </si>
  <si>
    <t>Sleep Joy</t>
  </si>
  <si>
    <t>599855818c70b11ff33a9670435a592fc080c88d8c84e8a8002c7d5246fb9ce5</t>
  </si>
  <si>
    <t>Single-page certificate (Страна: 1/1). Со писмо бр.: Сл. (Барање бр.: 015/2026) од 08.01.2026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DATE CONTRADICTION: 'Дата на прием' printed '12.01.2025 год.' against a 2026 lab number (9/0012/26), a covering letter of 08.01.2026 and a report date of 20.01.2026. Recorded as printed. Form 216 Верзија 2.</t>
  </si>
  <si>
    <t>232</t>
  </si>
  <si>
    <t>170925_948-1686-25_IJZ-MB_HPA052501-P050182.pdf</t>
  </si>
  <si>
    <t>948/1686/25</t>
  </si>
  <si>
    <t>11.09.2025</t>
  </si>
  <si>
    <t>9c605a0ff91d5c2052f114d056a782d5d8b9bb25e7deb052f986f2af91697ad3</t>
  </si>
  <si>
    <t>Single-page certificate (Страна: 1/1). Со писмо бр.: Сл., Барање бр. 080/2025 од 04.09.2025 година. Со цел: микробиолошка чистота. Производител and Доставено од: ПЈУРЕЛИ ПЛАНТ ДООЕЛ – с.Ќојлија, Петровец, РС Македонија. Signed and stamped. The batch code is printed under the label 'Серија'; it is a cultivation-style code, so it is mirrored into cultivation_batch as well as batch_printed. Произведено: 21-23.08.2025 (a production date range, one of the few pages where this field is filled). NUMERIC OBSERVATION: TYMC 2,6 x 10^4 CFU/g exceeds the printed spec line '- 10^4 CFU/g' with an ОДГОВАРА c</t>
  </si>
  <si>
    <t>Where</t>
  </si>
  <si>
    <t>What the document shows</t>
  </si>
  <si>
    <t>Why it matters</t>
  </si>
  <si>
    <t>A</t>
  </si>
  <si>
    <t>Unattributed manuscript alteration</t>
  </si>
  <si>
    <t>20260907184210.pdf p26 / 20260904113942.pdf p26</t>
  </si>
  <si>
    <t>IJZ-MB 548/1079/26</t>
  </si>
  <si>
    <t>Серија prints PO50192; a pencil correction P060192 is written beneath, unsigned and undated.</t>
  </si>
  <si>
    <t>The master cross-reference resolves P050192 to BSS052501 (Blue Sunset Sherbet) and P060192 to SJ112501 (Sleepy Joe); the certificate describes the sample as Sleepy Joe. The printed batch is therefore wrong and the handwriting is right — but an unattributed manuscript change cannot be relied on (EudraLex Vol.4 Ch.4 §4.9; PIC/S PI 041-1 §8).</t>
  </si>
  <si>
    <t>Request an amended report from IJZ carrying the correct batch. Do not use this certificate for disposition of either lot until it is on file. Open a deviation to establish whether the error arose in request 312/2026 or in the laboratory.</t>
  </si>
  <si>
    <t>B</t>
  </si>
  <si>
    <t>Batch number printed with letter O for zero</t>
  </si>
  <si>
    <t>all 30 certificates in the 31.08/01.09.2026 IJZ-MB set</t>
  </si>
  <si>
    <t>IJZ-MB 536-565/1067-1096/26</t>
  </si>
  <si>
    <t>31.08-01.09.2026</t>
  </si>
  <si>
    <t>Every P number prints as PO#####; the batch is P0#####.</t>
  </si>
  <si>
    <t>The single field linking a result to a lot is wrong on 30 of 30 certificates. Third occurrence of this class.</t>
  </si>
  <si>
    <t>Raise formally with IJZ as a correction to their entry practice; candidate CAPA under EudraLex Vol.4 Ch.7.</t>
  </si>
  <si>
    <t>C</t>
  </si>
  <si>
    <t>Aflatoxin result row blank while conformity is declared</t>
  </si>
  <si>
    <t>20260907174652.pdf pp 8, 14, 20, 31</t>
  </si>
  <si>
    <t>IJZ 1060/2026, 1062/2026, 1059/2026, 328/2026</t>
  </si>
  <si>
    <t>Feb-Mar 2026</t>
  </si>
  <si>
    <t>Page 4 of each report carries no parameter name, no result and no limit on the aflatoxin row — only the method cell — yet the report states the sample conforms to Ph. Eur. 2.8.18.</t>
  </si>
  <si>
    <t>Conformity is declared for a determination whose result is not on the certificate. The comparable pages in bundle 173308 do print the value (&lt;2 ug/kg, MaxDK 4).</t>
  </si>
  <si>
    <t>Request corrected reports carrying the aflatoxin result, or a written statement from IJZ that the determination was not performed. Until then these four certificates do not cover mycotoxins.</t>
  </si>
  <si>
    <t>D</t>
  </si>
  <si>
    <t>Well-water report is non-conforming</t>
  </si>
  <si>
    <t>20260907173308.pdf pp 23-28</t>
  </si>
  <si>
    <t>GenLight 700094-25/2026</t>
  </si>
  <si>
    <t>Bore-well sample BW-T162-002 fails 4 of 7 microbiological parameters (22C &gt;300 CFU/ml vs 100; 36C &gt;300 vs 20; coliforms &gt;150 CFU/100 ml vs 0; Ps. aeruginosa &gt;150 vs 0).</t>
  </si>
  <si>
    <t>Water is out of product scope for this register and is held for the water register, but a failing water result at a GACP/GMP site is a facility matter, not a filing matter.</t>
  </si>
  <si>
    <t>Excluded from the certificate set and flagged here. Handle under the water monitoring programme with a deviation.</t>
  </si>
  <si>
    <t>E</t>
  </si>
  <si>
    <t>Unfilled template placeholders in an issued certificate</t>
  </si>
  <si>
    <t>20260907173308.pdf p27</t>
  </si>
  <si>
    <t>GenLight 700094-25/2026 p5/6</t>
  </si>
  <si>
    <t>The issued page prints Word content-control placeholders: "According to the analysed Choose an item. parameters ... the sample Choose an item. with:".</t>
  </si>
  <si>
    <t>The Macedonian and English conclusions on p25 also contradict each other (MK: not in compliance; EN: demonstrates compliance, and misspelled).</t>
  </si>
  <si>
    <t>Request a corrected report. Record in the GenLight contract-acceptor file.</t>
  </si>
  <si>
    <t>F</t>
  </si>
  <si>
    <t>Same certificate scanned twice</t>
  </si>
  <si>
    <t>20260907174652.pdf pp 22-23 and 24-25 (and 16 further Farmahem pairs)</t>
  </si>
  <si>
    <t>FHM 031-1-K/26 and others</t>
  </si>
  <si>
    <t>various</t>
  </si>
  <si>
    <t>61 certificate instances across the 16 bundles are second scans of a certificate already present.</t>
  </si>
  <si>
    <t>Not a defect in the certificates; a scanning artefact. All 61 are recorded against the certificate they duplicate so the page count reconciles.</t>
  </si>
  <si>
    <t>No action. The duplicate is named in the "Duplicate scans folded" column of the register sheet.</t>
  </si>
  <si>
    <t>G</t>
  </si>
  <si>
    <t>Two scans of the same 30-certificate set</t>
  </si>
  <si>
    <t>20260904113942.pdf and 20260907184210.pdf</t>
  </si>
  <si>
    <t>Both files are 30-page scans of the identical set of single-page microbiology certificates.</t>
  </si>
  <si>
    <t>Emitted once. Page rasters differ (two independent scans of the same paper), so hash comparison alone does not detect it; identity was established from the laboratory numbers.</t>
  </si>
  <si>
    <t>No action. Consider retiring one of the two scans from the ingest folder.</t>
  </si>
  <si>
    <t>H</t>
  </si>
  <si>
    <t>Pages scanned out of document order</t>
  </si>
  <si>
    <t>20260907172932.pdf pp 5/6 and 19/22</t>
  </si>
  <si>
    <t>FHM 197-3-M/26, 197-10-M/26</t>
  </si>
  <si>
    <t>The cover page (1/2) and the results page (2/2) were fed in reverse order, and in one case separated by three other reports.</t>
  </si>
  <si>
    <t>Reunited in document order using the printed page-of markers; the issue date lives on the cover and the batch on the results page, so neither page alone identifies the certificate.</t>
  </si>
  <si>
    <t>No action on the certificates. Worth noting for whoever scans.</t>
  </si>
  <si>
    <t>I</t>
  </si>
  <si>
    <t>Wrong year printed on a certificate</t>
  </si>
  <si>
    <t>20260907173308.pdf pp 19, 20, 22</t>
  </si>
  <si>
    <t>IJZ 2365/2026</t>
  </si>
  <si>
    <t>The header date prints 30.04.2025 on three of four pages; page 21 and the print date on page 1 print 2026.</t>
  </si>
  <si>
    <t>Verified at 450 dpi. A date discrepancy inside a single release-supporting certificate.</t>
  </si>
  <si>
    <t>Include in the correction request to IJZ.</t>
  </si>
  <si>
    <t>J</t>
  </si>
  <si>
    <t>Receipt date with the wrong year</t>
  </si>
  <si>
    <t>20260907174652.pdf p32</t>
  </si>
  <si>
    <t>IJZ-MB 76/0119/26</t>
  </si>
  <si>
    <t>Дата на прием prints 02.02.2025; the covering letter is dated 30.01.2026 and the report issued 09.02.2026.</t>
  </si>
  <si>
    <t>Recorded verbatim as printed.</t>
  </si>
  <si>
    <t>K</t>
  </si>
  <si>
    <t>Cadmium limit differs between identical tables</t>
  </si>
  <si>
    <t>20260907174652.pdf p19</t>
  </si>
  <si>
    <t>IJZ 1059/2026</t>
  </si>
  <si>
    <t>Max DK for cadmium prints 0,2 where reports 1060, 1062 and 328/2026 print 0,3 in the same table.</t>
  </si>
  <si>
    <t>Two different acceptance criteria applied to the same determination six weeks apart.</t>
  </si>
  <si>
    <t>Confirm which limit applies and against which specification; correct the certificate that is wrong.</t>
  </si>
  <si>
    <t>L</t>
  </si>
  <si>
    <t>Analytical basis changed mid-series</t>
  </si>
  <si>
    <t>20260907174652.pdf vs 20260907173308.pdf</t>
  </si>
  <si>
    <t>IJZ heavy metals</t>
  </si>
  <si>
    <t>Feb vs Apr 2026</t>
  </si>
  <si>
    <t>Form OB 7.8.3 01 Verz.1 with EN 14084 / EN 13806 / EN 14627 and arsenic marked non-accredited, against Verz.2 with a single method MKS EN 17851:2023 and no asterisk.</t>
  </si>
  <si>
    <t>Same certificate type, different methods and different accreditation status six weeks apart.</t>
  </si>
  <si>
    <t>Record the method change in the IJZ contract-acceptor file; confirm both versions are acceptable for the specification.</t>
  </si>
  <si>
    <t>M</t>
  </si>
  <si>
    <t>Microbiological result at the limit</t>
  </si>
  <si>
    <t>20260907173308.pdf pp 12 and 18</t>
  </si>
  <si>
    <t>IJZ-MB 310/0554/26, 306/0550/26</t>
  </si>
  <si>
    <t>TYMC and TAMC reported as 1 x 10^4 CFU/g against a Ph. Eur. 5.1.8 Cat. C limit of 10^4 CFU/g, concluded as conforming.</t>
  </si>
  <si>
    <t>At the limit is not above it, but a result sitting exactly on the acceptance criterion warrants a look at the trend.</t>
  </si>
  <si>
    <t>Trend these two lots; no rejection implied.</t>
  </si>
  <si>
    <t>N</t>
  </si>
  <si>
    <t>Qualitative result given in place of a measurement</t>
  </si>
  <si>
    <t>20260907174652.pdf pp 9, 15, 21, 32</t>
  </si>
  <si>
    <t>IJZ-MB 136/0233/26, 137/0234/26, 135/0232/26, 76/0119/26</t>
  </si>
  <si>
    <t>E. coli and Salmonella are reported as "Одговара" rather than "Отсутна/g" and "Отсутна/25 g" as on every other IJZ-MB report.</t>
  </si>
  <si>
    <t>A conformity statement rather than the outcome of the test.</t>
  </si>
  <si>
    <t>Ask IJZ to report the outcome, not the verdict.</t>
  </si>
  <si>
    <t>O</t>
  </si>
  <si>
    <t>Strain name spelled differently on the certificate and in the master list</t>
  </si>
  <si>
    <t>57 certificates</t>
  </si>
  <si>
    <t>Sleepy Joy / Sleepy Joe; Graps &amp; Creme / Grapes and Cream; Appels &amp; Bananas / Apple and Banana; Kush Krasher / Kush Crasher; Permanent Market / Permanent Marker; Jelly Donutz / Jelly Donuts.</t>
  </si>
  <si>
    <t>The register carries both spellings side by side and prints neither as correct.</t>
  </si>
  <si>
    <t>Rule each strain name once; the same open item already stands on the Work Order sheet.</t>
  </si>
  <si>
    <t>P</t>
  </si>
  <si>
    <t>Certificate issued against a cultivation code with no P number</t>
  </si>
  <si>
    <t>20260907184210.pdf p5 and 37 further certificates</t>
  </si>
  <si>
    <t>IJZ-MB 565/1096/26 and others</t>
  </si>
  <si>
    <t>CJ1024 and 14 other lots carry a cultivation code in the Серија field with no production batch number.</t>
  </si>
  <si>
    <t>Head of QC ruling 09.09.2026: some batches have no P number; the cultivation code is the batch identifier. Those file names carry the cultivation code alone.</t>
  </si>
  <si>
    <t>No action. Lots concerned: BG1024, BSS1024, CC012601/1, CJ1024, FB032601, GG032601, GG1024, GG1024_01, HPA1024, HPA1024_01, JD022601, JD032601, OPM1024, OPM1024-01, OPM1024_01.</t>
  </si>
  <si>
    <t>Q</t>
  </si>
  <si>
    <t>P number absent from the master cross-reference</t>
  </si>
  <si>
    <t>16 certificates</t>
  </si>
  <si>
    <t>IJZ, IJZ-MB, CNP, FHM</t>
  </si>
  <si>
    <t>P050102, P050142, P050212, P060332, P160012, P160022, P160032 appear on certificates but not in the cross-reference supplied 09.09.2026.</t>
  </si>
  <si>
    <t>No cultivation code can be attached, so those file names carry the P number alone.</t>
  </si>
  <si>
    <t>Add these seven lots to the cross-reference, or confirm they have no cultivation code.</t>
  </si>
  <si>
    <t>R</t>
  </si>
  <si>
    <t>Report numbers missing from an otherwise consecutive run</t>
  </si>
  <si>
    <t>20260907173308.pdf, 20260907174652.pdf</t>
  </si>
  <si>
    <t>IJZ 2363/2026, 1061/2026</t>
  </si>
  <si>
    <t>2026</t>
  </si>
  <si>
    <t>Numbers absent between 2362 and 2364, and between 1060 and 1062, within the same delivery.</t>
  </si>
  <si>
    <t>The certificates may exist and simply not have been scanned. 2363/2026 was in fact found in another bundle; 1061/2026 was not.</t>
  </si>
  <si>
    <t>Confirm whether 1061/2026 exists and, if so, ingest it.</t>
  </si>
  <si>
    <t>S</t>
  </si>
  <si>
    <t>Sample-intake form filed among certificates</t>
  </si>
  <si>
    <t>20260907174355.pdf p18</t>
  </si>
  <si>
    <t>FHM FK 7.4.15 Verzija 04 (Br. na priem 18/26)</t>
  </si>
  <si>
    <t>A handwritten Farmahem sample-intake form, not a certificate.</t>
  </si>
  <si>
    <t>Excluded from the certificate set so the register holds only certificates.</t>
  </si>
  <si>
    <t>File with the sample submission records.</t>
  </si>
  <si>
    <t>CoQ Analysis Master — v14 · what changed</t>
  </si>
  <si>
    <t>Built</t>
  </si>
  <si>
    <t>09.09.2026 on v13 (07.09.2026). v13 is unchanged: three sheets were added and no existing sheet, formula, table or drawing was touched.</t>
  </si>
  <si>
    <t>The 16 scanned bundles in Drive folder ScaneCOA (DATA_B/QC_eCoA/ScaneCOA), 511 pages, every page an image-only A4 scan.</t>
  </si>
  <si>
    <t>Every page was read visually at 115-300 dpi and transcribed field by field. Certificates were grouped by issuing laboratory and report number, reunited where pages were scanned out of order, and split one certificate per file. Each emitted page was then re-rastered at 100 dpi and its hash compared with the same page in the source scan.</t>
  </si>
  <si>
    <t>PAGE ACCOUNTING</t>
  </si>
  <si>
    <t>511</t>
  </si>
  <si>
    <t>Pages emitted as certificates</t>
  </si>
  <si>
    <t>425</t>
  </si>
  <si>
    <t>Pages belonging to a second scan of a certificate already emitted</t>
  </si>
  <si>
    <t>Pages excluded (well-water report 6 pp, sample-intake form 1 p)</t>
  </si>
  <si>
    <t>Total accounted for</t>
  </si>
  <si>
    <t>Pages unaccounted for</t>
  </si>
  <si>
    <t>0</t>
  </si>
  <si>
    <t>CERTIFICATE ACCOUNTING</t>
  </si>
  <si>
    <t>Certificate instances found</t>
  </si>
  <si>
    <t>295</t>
  </si>
  <si>
    <t>Second scans folded into the certificate they duplicate</t>
  </si>
  <si>
    <t>Excluded as not a product certificate</t>
  </si>
  <si>
    <t>UNIQUE CERTIFICATES emitted</t>
  </si>
  <si>
    <t>Emitted files verified pixel-identical to the source page</t>
  </si>
  <si>
    <t>232 / 232</t>
  </si>
  <si>
    <t>Distinct file names</t>
  </si>
  <si>
    <t>BY LABORATORY</t>
  </si>
  <si>
    <t>BY CERTIFICATE LENGTH</t>
  </si>
  <si>
    <t>1-page certificates</t>
  </si>
  <si>
    <t>2-page certificates</t>
  </si>
  <si>
    <t>3-page certificates</t>
  </si>
  <si>
    <t>4-page certificates</t>
  </si>
  <si>
    <t>FILE NAMING</t>
  </si>
  <si>
    <t>Convention</t>
  </si>
  <si>
    <t>[ddmmyy]_[eCoA doc code]_[Lab]_[CU batch]-[P batch].pdf</t>
  </si>
  <si>
    <t>Example</t>
  </si>
  <si>
    <t>Date of issuance of the external certificate, not the date of receipt. Taken from Дата: above the signature (IJZ-MB), Датум на печатење (IJZ), the Скопје dd.mm.yyyy line (CNP) and the issue-date field (FHM).</t>
  </si>
  <si>
    <t>Document code</t>
  </si>
  <si>
    <t>As printed. IJZ-MB: Лабораториски број. IJZ: Лаб. број. CNP: Број на главна контролна книга (Cyrillic ППК kept). FHM: Извештај број, parameter letter normalised to K / M / LoD per the register rules §5.1.</t>
  </si>
  <si>
    <t>Batch slots</t>
  </si>
  <si>
    <t>CU batch then P batch, resolved against the cross-reference supplied by the Head of QC on 09.09.2026. Where a lot has no P number the cultivation code stands alone; where no cultivation code is known the P number stands alone (Head of QC, 09.09.2026).</t>
  </si>
  <si>
    <t>Character encoding</t>
  </si>
  <si>
    <t>/ is written - in the file name and kept as / in the register; * is written ＊ (U+FF0A); the laboratory prints the zero of a P number as a letter O and it is folded to zero.</t>
  </si>
  <si>
    <t>DELIVERY</t>
  </si>
  <si>
    <t>Google Drive</t>
  </si>
  <si>
    <t>DATA_B/QC_eCoA/eCoA_SPLIT_2026-09-09 — 232 PDFs + _SPLIT_REGISTER_2026-09-09.csv. Verified: the name set and the set of file hashes on Drive match this container exactly.</t>
  </si>
  <si>
    <t>GitHub</t>
  </si>
  <si>
    <t>Not delivered. This session has no GitHub CLI, no repository and no credentials. Name the repository and provide access and the same set will be pushed.</t>
  </si>
  <si>
    <t>Originals</t>
  </si>
  <si>
    <t>The 16 scans in ScaneCOA were not moved, renamed or altered.</t>
  </si>
  <si>
    <t>Coverage Update — 09.09.2026</t>
  </si>
  <si>
    <t>What this is</t>
  </si>
  <si>
    <t>Parameters that the v13 Batch Coverage sheet marks ✗ (no certificate) and for which a certificate found in the 09.09.2026 split does carry a result. One row per lot and parameter, naming the certificate that closes it. A certificate is credited only where the determination is actually reported with a value: the four IJZ reports whose aflatoxin row is blank are NOT credited for #10.</t>
  </si>
  <si>
    <t>Effect</t>
  </si>
  <si>
    <t>46 lots complete → 61. Lots with four or more parameters missing: 20 → 7. Six lots that the coverage sheet did not carry at all now have rows (below).</t>
  </si>
  <si>
    <t>Status before</t>
  </si>
  <si>
    <t>Now covered by</t>
  </si>
  <si>
    <t>#9 Microbiological purity</t>
  </si>
  <si>
    <t>361/0691/26 (01.06.2026) [IJZ-MB]</t>
  </si>
  <si>
    <t>366/0696/26 (01.06.2026) [IJZ-MB]</t>
  </si>
  <si>
    <t>3661/ 2026 (22.06.2026) [IJZ]</t>
  </si>
  <si>
    <t>#11 Heavy metals</t>
  </si>
  <si>
    <t>#12 Pesticide residues</t>
  </si>
  <si>
    <t>3663/2026 (22.06.2026) [IJZ]</t>
  </si>
  <si>
    <t>433/0847/26 (10.07.2026) [IJZ-MB]; 434/0848/26 (10.07.2026) [IJZ-MB]</t>
  </si>
  <si>
    <t>3924/2026 (20.07.2026) [IJZ]</t>
  </si>
  <si>
    <t>404/0787/26 (24.06.2026) [IJZ-MB]</t>
  </si>
  <si>
    <t>3659/2026 (22.06.2026) [IJZ]</t>
  </si>
  <si>
    <t>3925/2026 (20.07.2026) [IJZ]</t>
  </si>
  <si>
    <t>ППК25008 (29.01.2025) [CNP]</t>
  </si>
  <si>
    <t>#4 Total Δ⁹-THC</t>
  </si>
  <si>
    <t>#5 Total CBD</t>
  </si>
  <si>
    <t>#8 Loss on drying</t>
  </si>
  <si>
    <t>166/0274/25 (24.02.2025) [IJZ-MB]</t>
  </si>
  <si>
    <t>748/2025 (04.03.2025) [IJZ]</t>
  </si>
  <si>
    <t>1060/2026 (09.03.2026) [IJZ]; 328/2026 (11.02.2026) [IJZ]</t>
  </si>
  <si>
    <t>133/0230/26 (06.03.2026) [IJZ-MB]</t>
  </si>
  <si>
    <t>1056/2026 (09.03.2026) [IJZ]</t>
  </si>
  <si>
    <t>1057/2026 (09.03.2026) [IJZ]</t>
  </si>
  <si>
    <t>365/0695/26 (01.06.2026) [IJZ-MB]</t>
  </si>
  <si>
    <t>405/0788/26 (24.06.2026) [IJZ-MB]</t>
  </si>
  <si>
    <t>406/0789/26 (24.06.2026) [IJZ-MB]</t>
  </si>
  <si>
    <t>3660/2026 (22.06.2026) [IJZ]</t>
  </si>
  <si>
    <t>3662/2026 (22.06.2026) [IJZ]</t>
  </si>
  <si>
    <t>402/0785/26 (24.06.2026) [IJZ-MB]</t>
  </si>
  <si>
    <t>3658/2026 (22.06.2026) [IJZ]</t>
  </si>
  <si>
    <t>129/0226/26 (06.03.2026) [IJZ-MB]</t>
  </si>
  <si>
    <t>1058/2026 (09.03.2026) [IJZ]</t>
  </si>
  <si>
    <t>1062/2026 (11.03.2026) [IJZ]</t>
  </si>
  <si>
    <t>135/0232/26 (06.03.2026) [IJZ-MB]</t>
  </si>
  <si>
    <t>1059/2026 (09.03.2026) [IJZ]</t>
  </si>
  <si>
    <t>364/0694/26 (01.06.2026) [IJZ-MB]</t>
  </si>
  <si>
    <t>3657/2026 (22.06.2026) [IJZ]</t>
  </si>
  <si>
    <t>1065/2026 (11.03.2026) [IJZ]</t>
  </si>
  <si>
    <t>130/0227/26 (06.03.2026) [IJZ-MB]</t>
  </si>
  <si>
    <t>1061/2026 (09.03.2026) [IJZ]</t>
  </si>
  <si>
    <t>031-3-K/26 (10.02.2026) [FHM]</t>
  </si>
  <si>
    <t>031-3-LoD/26 (12.02.2026) [FHM]</t>
  </si>
  <si>
    <t>329/2026 (11.02.2026) [IJZ]</t>
  </si>
  <si>
    <t>409/0792/26 (24.06.2026) [IJZ-MB]</t>
  </si>
  <si>
    <t>411/0794/26 (24.06.2026) [IJZ-MB]</t>
  </si>
  <si>
    <t>410/0793/26 (24.06.2026) [IJZ-MB]</t>
  </si>
  <si>
    <t>3656/2026 (22.06.2026) [IJZ]</t>
  </si>
  <si>
    <t>3655/2026 (22.06.2026) [IJZ]</t>
  </si>
  <si>
    <t>3654/2026 (22.06.2026) [IJZ]</t>
  </si>
  <si>
    <t>Lots added — the coverage sheet carried no row for these</t>
  </si>
  <si>
    <t>Parameters now covered</t>
  </si>
  <si>
    <t>From</t>
  </si>
  <si>
    <t>363/0693/26 (01.06.2026) [IJZ-MB]</t>
  </si>
  <si>
    <t>#9 Microbiological purity; #10 Mycotoxins; #11 Heavy metals; #12 Pesticide residues</t>
  </si>
  <si>
    <t>4374/2026 (11.08.2026) [IJZ]; 477/0929/26 (04.08.2026) [IJZ-MB]</t>
  </si>
  <si>
    <t>#3 Identification C; #4 Total Δ⁹-THC; #5 Total CBD; #8 Loss on drying; #9 Microbiological purity; #10 Mycotoxins; #11 Heavy metals; #12 Pesticide residues</t>
  </si>
  <si>
    <t>2156/2025 (07.05.2025) [IJZ]; 407/0745/25 (05.05.2025) [IJZ-MB]; ППК25117 (06.05.2025) [CNP]</t>
  </si>
  <si>
    <t>#3 Identification C; #4 Total Δ⁹-THC; #5 Total CBD; #6 Total CBN; #8 Loss on drying; #9 Microbiological purity; #10 Mycotoxins; #11 Heavy metals; #12 Pesticide residues</t>
  </si>
  <si>
    <t>031-4-K/26 (10.02.2026) [FHM]; 031-4-LoD/26 (12.02.2026) [FHM]; 330/2026 (11.02.2026) [IJZ]; 73/0116/26 (09.02.2026) [IJZ-MB]</t>
  </si>
  <si>
    <t>031-2-K/26 (10.02.2026) [FHM]; 031-2-LoD/26 (11.02.2026) [FHM]; 327/2026 (11.02.2026) [IJZ]; 74/0117/26 (09.02.2026) [IJZ-MB]</t>
  </si>
  <si>
    <t>031-5-K/26 (10.02.2026) [FHM]; 031-5-LoD/26 (12.02.2026) [FHM]; 326/2026 (11.02.2026) [IJZ]; 77/0120/26 (09.02.2026) [IJZ-MB]</t>
  </si>
  <si>
    <t>Farmahem 220-n-K/26 — retest cannabinoid set, read 09.09.2026</t>
  </si>
  <si>
    <t>32 Farmahem cannabinoid reports 220-1-K/26 to 220-32-K/26, one certificate per file, delivered as individual PDFs (nothing to split). Samples received 17.08.2026, analysed 24 and 25.08.2026, issued 25 and 26.08.2026. Renamed to the file-name convention and placed in Drive · DATA_B/QC_eCoA/eCoA_SPLIT_FHM220_2026-09-09, verified by name set and hash set. Files are byte-identical to the originals — no page was rewritten.</t>
  </si>
  <si>
    <t>What they cover</t>
  </si>
  <si>
    <t>Total CBD, Total CBN and Total Δ⁹-THC with expanded uncertainty U. Method ИР 7.2.1-47К (в.1), HPLC/DAD. No loss-on-drying row, no acceptance criteria printed, no specification column: these are test reports, not conformity statements.</t>
  </si>
  <si>
    <t>Nothing on the face of any certificate says "retest"</t>
  </si>
  <si>
    <t>No reference to a prior report, no repeat-analysis designation, no OOS link. The retest status is known only from the Head of QC. If these are to serve as retest results in the CoQ, the link must be made in our own record.</t>
  </si>
  <si>
    <t>Report</t>
  </si>
  <si>
    <t>Lab sample</t>
  </si>
  <si>
    <t>Batch printed</t>
  </si>
  <si>
    <t>Strain (cert)</t>
  </si>
  <si>
    <t>Strain (master)</t>
  </si>
  <si>
    <t>Received</t>
  </si>
  <si>
    <t>Analysed</t>
  </si>
  <si>
    <t>Issued</t>
  </si>
  <si>
    <t>Total Δ⁹-THC %w/w</t>
  </si>
  <si>
    <t>U</t>
  </si>
  <si>
    <t>Total CBD</t>
  </si>
  <si>
    <t>SHA-256</t>
  </si>
  <si>
    <t>220-1-K/26</t>
  </si>
  <si>
    <t>250826_220-1-K-26_FHM_ACC102501-P060122.pdf</t>
  </si>
  <si>
    <t>CF-506/26</t>
  </si>
  <si>
    <t>17.08.2026</t>
  </si>
  <si>
    <t>24.08.2026</t>
  </si>
  <si>
    <t>12.09</t>
  </si>
  <si>
    <t>0.74</t>
  </si>
  <si>
    <t>700faab660133433ad15e0284644f3b203a93a78c4211a6693bc4bb673d0f6d5</t>
  </si>
  <si>
    <t>220-2-K/26</t>
  </si>
  <si>
    <t>250826_220-2-K-26_FHM_BSS052501-P050192.pdf</t>
  </si>
  <si>
    <t>CF-507/26</t>
  </si>
  <si>
    <t>20.52</t>
  </si>
  <si>
    <t>1.26</t>
  </si>
  <si>
    <t>558640fa9553f9de1f1a6904e0afd9a053237652b92e362ba614a7698a80c822</t>
  </si>
  <si>
    <t>220-3-K/26</t>
  </si>
  <si>
    <t>250826_220-3-K-26_FHM_CJ062501-1-P050222.pdf</t>
  </si>
  <si>
    <t>CF-508/26</t>
  </si>
  <si>
    <t>24.80</t>
  </si>
  <si>
    <t>1.52</t>
  </si>
  <si>
    <t>cf270b7b2155df3332f398c11a0f6746244315424db270eae2184b9e2d6b68bb</t>
  </si>
  <si>
    <t>220-4-K/26</t>
  </si>
  <si>
    <t>250826_220-4-K-26_FHM_CJ082501-1-P060022.pdf</t>
  </si>
  <si>
    <t>CF-509/26</t>
  </si>
  <si>
    <t>28.34</t>
  </si>
  <si>
    <t>1.74</t>
  </si>
  <si>
    <t>fb12a0d7dae4937cbcf2f3b5096a56083c87b1e0f40d987189f86c131411c36b</t>
  </si>
  <si>
    <t>220-5-K/26</t>
  </si>
  <si>
    <t>250826_220-5-K-26_FHM_CJ092501-P060072.pdf</t>
  </si>
  <si>
    <t>CF-510/26</t>
  </si>
  <si>
    <t>25.65</t>
  </si>
  <si>
    <t>1.58</t>
  </si>
  <si>
    <t>41d72d7080960052d6009db3f6b47c24eb98c954c0dba0f608749a0fae2dc413</t>
  </si>
  <si>
    <t>220-6-K/26</t>
  </si>
  <si>
    <t>250826_220-6-K-26_FHM_CF102501-P060132.pdf</t>
  </si>
  <si>
    <t>CF-511/26</t>
  </si>
  <si>
    <t>9.55</t>
  </si>
  <si>
    <t>0.59</t>
  </si>
  <si>
    <t>7fa8dea3aa063e1e43ea3937fe85f9db4aca11504c6df281b20429feb123ed59</t>
  </si>
  <si>
    <t>220-7-K/26</t>
  </si>
  <si>
    <t>250826_220-7-K-26_FHM_CLE072501-P050282.pdf</t>
  </si>
  <si>
    <t>CF-512/26</t>
  </si>
  <si>
    <t>Clemosa A Bud</t>
  </si>
  <si>
    <t>8.65</t>
  </si>
  <si>
    <t>0.53</t>
  </si>
  <si>
    <t>59bd8ac955d66750a5380b020959bd26fd7b811ef05f0a347a8304c000d7aaab</t>
  </si>
  <si>
    <t>220-8-K/26</t>
  </si>
  <si>
    <t>250826_220-8-K-26_FHM_FB012601-1-P060322.pdf</t>
  </si>
  <si>
    <t>CF-513/26</t>
  </si>
  <si>
    <t>17.99</t>
  </si>
  <si>
    <t>1.10</t>
  </si>
  <si>
    <t>ae40d803b1f0bed6221000aa419af239b80fc4fe66972a856e76c601ed767398</t>
  </si>
  <si>
    <t>220-9-K/26</t>
  </si>
  <si>
    <t>250826_220-9-K-26_FHM_GG1024.pdf</t>
  </si>
  <si>
    <t>CF-514/26</t>
  </si>
  <si>
    <t>15.51</t>
  </si>
  <si>
    <t>0.95</t>
  </si>
  <si>
    <t>0bb963996674fffc458ebde02f154c1d855f78d08447315d8a147b216593fc32</t>
  </si>
  <si>
    <t>220-10-K/26</t>
  </si>
  <si>
    <t>250826_220-10-K-26_FHM_GP072501-2-P050302.pdf</t>
  </si>
  <si>
    <t>CF-515/26</t>
  </si>
  <si>
    <t>1.12</t>
  </si>
  <si>
    <t>66b18d711d5bf089b6089e8a95fd80b12000f74c8de84e63d0c4e3c55d616fb9</t>
  </si>
  <si>
    <t>220-11-K/26</t>
  </si>
  <si>
    <t>250826_220-11-K-26_FHM_GP0824_03-P050072.pdf</t>
  </si>
  <si>
    <t>CF-516/26</t>
  </si>
  <si>
    <t>28.30</t>
  </si>
  <si>
    <t>350f878b07de143f9a592b49f70a22e40278f1e832d64b210d77a6f0f47a303d</t>
  </si>
  <si>
    <t>220-12-K/26</t>
  </si>
  <si>
    <t>250826_220-12-K-26_FHM_GP082501-1-P050312.pdf</t>
  </si>
  <si>
    <t>CF-517/26</t>
  </si>
  <si>
    <t>25.13</t>
  </si>
  <si>
    <t>1.54</t>
  </si>
  <si>
    <t>697a4373a4d191f1b4c4274351c16ff7a33183012929491f50de4c3253f51b32</t>
  </si>
  <si>
    <t>220-13-K/26</t>
  </si>
  <si>
    <t>250826_220-13-K-26_FHM_GP092501-P060092.pdf</t>
  </si>
  <si>
    <t>CF-518/26</t>
  </si>
  <si>
    <t>25.24</t>
  </si>
  <si>
    <t>1.55</t>
  </si>
  <si>
    <t>00d30dc606f38b08623937f8bbc770833a8e7e60d993656b136a6ab56f69f273</t>
  </si>
  <si>
    <t>220-14-K/26</t>
  </si>
  <si>
    <t>250826_220-14-K-26_FHM_GRC102501-2-P060182.pdf</t>
  </si>
  <si>
    <t>CF-519/26</t>
  </si>
  <si>
    <t>9.80</t>
  </si>
  <si>
    <t>0.60</t>
  </si>
  <si>
    <t>a11003b589c2593bee170d4cacd079d5b6f1cf9c648b54b19f86e77be115e8f2</t>
  </si>
  <si>
    <t>220-15-K/26</t>
  </si>
  <si>
    <t>250826_220-15-K-26_FHM_HPA052501-P050182.pdf</t>
  </si>
  <si>
    <t>CF-520/26</t>
  </si>
  <si>
    <t>19.69</t>
  </si>
  <si>
    <t>1.21</t>
  </si>
  <si>
    <t>ae210749a2f620f733a54e3ca60b92caa10458db990b72d08cdd1a8770fbb132</t>
  </si>
  <si>
    <t>220-16-K/26</t>
  </si>
  <si>
    <t>250826_220-16-K-26_FHM_JD012603-01-P060362.pdf</t>
  </si>
  <si>
    <t>CF-521/26</t>
  </si>
  <si>
    <t>21.01</t>
  </si>
  <si>
    <t>1.29</t>
  </si>
  <si>
    <t>2fef66b00b59fe24f49ee4c3c84bdc6ceb1aabb611ea97626711341f6981ee2e</t>
  </si>
  <si>
    <t>220-17-K/26</t>
  </si>
  <si>
    <t>260826_220-17-K-26_FHM_JD012603-02-P060412.pdf</t>
  </si>
  <si>
    <t>CF-522/26</t>
  </si>
  <si>
    <t>14.43</t>
  </si>
  <si>
    <t>0.89</t>
  </si>
  <si>
    <t>bcdf73b8aec8347f2497cd4bbc9855e14e4e364ac7fec4b9df9a7a5662869456</t>
  </si>
  <si>
    <t>220-18-K/26</t>
  </si>
  <si>
    <t>260826_220-18-K-26_FHM_JD012603-02V-P060422.pdf</t>
  </si>
  <si>
    <t>CF-523/26</t>
  </si>
  <si>
    <t>17.09</t>
  </si>
  <si>
    <t>1.05</t>
  </si>
  <si>
    <t>a5165408193d592b0c1f5add41b76e7aa9b27cf7bc07be132abdfa7dadb910fe</t>
  </si>
  <si>
    <t>220-19-K/26</t>
  </si>
  <si>
    <t>260826_220-19-K-26_FHM_KC102501-P060172.pdf</t>
  </si>
  <si>
    <t>CF-524/26</t>
  </si>
  <si>
    <t>17.06</t>
  </si>
  <si>
    <t>b82f85915b3b09df1992b98378c2986f5d4548a8847ffd11f948bd10c592fbff</t>
  </si>
  <si>
    <t>220-20-K/26</t>
  </si>
  <si>
    <t>260826_220-20-K-26_FHM_MB0824_05-P050112.pdf</t>
  </si>
  <si>
    <t>CF-525/26</t>
  </si>
  <si>
    <t>17.93</t>
  </si>
  <si>
    <t>4be671a60987cf4de694163e6d58b7ff118e860ee319b45c774580cdf829bf09</t>
  </si>
  <si>
    <t>220-21-K/26</t>
  </si>
  <si>
    <t>260826_220-21-K-26_FHM_OMP1024_01-P050042.pdf</t>
  </si>
  <si>
    <t>CF-526/26</t>
  </si>
  <si>
    <t>18.14</t>
  </si>
  <si>
    <t>1.17</t>
  </si>
  <si>
    <t>2a79327e4664521a6bf917f6f81be76de2b476d6649af2f4e78bbd0b9bd305f6</t>
  </si>
  <si>
    <t>220-22-K/26</t>
  </si>
  <si>
    <t>260826_220-22-K-26_FHM_OPM092501-P060042.pdf</t>
  </si>
  <si>
    <t>CF-527/26</t>
  </si>
  <si>
    <t>10.18</t>
  </si>
  <si>
    <t>0.62</t>
  </si>
  <si>
    <t>09ed659392053976f432b6abfcde40eb65793322c64c0271f2af60b4537ec1cc</t>
  </si>
  <si>
    <t>220-23-K/26</t>
  </si>
  <si>
    <t>260826_220-23-K-26_FHM_OPM1024_03-P050082.pdf</t>
  </si>
  <si>
    <t>CF-528/26</t>
  </si>
  <si>
    <t>19.30</t>
  </si>
  <si>
    <t>1.19</t>
  </si>
  <si>
    <t>d6e7c417f85c4f8cb0c99d34b99836538e8e825058a982d17161bf975ac8793b</t>
  </si>
  <si>
    <t>220-24-K/26</t>
  </si>
  <si>
    <t>260826_220-24-K-26_FHM_PM112501-P060232.pdf</t>
  </si>
  <si>
    <t>CF-529/26</t>
  </si>
  <si>
    <t>10.80</t>
  </si>
  <si>
    <t>0.66</t>
  </si>
  <si>
    <t>e06549c35d1e662beb04640a5e9f5b7b8329ee65e104cff7649a8cc5548d8b6d</t>
  </si>
  <si>
    <t>220-25-K/26</t>
  </si>
  <si>
    <t>260826_220-25-K-26_FHM_PUM102501-P060112.pdf</t>
  </si>
  <si>
    <t>CF-530/26</t>
  </si>
  <si>
    <t>13.95</t>
  </si>
  <si>
    <t>0.86</t>
  </si>
  <si>
    <t>c65f72a5b59a8ed6f95a0cf4f849a5828f538b9de2cc1c81fc5226645cc89b4b</t>
  </si>
  <si>
    <t>220-26-K/26</t>
  </si>
  <si>
    <t>260826_220-26-K-26_FHM_SCR112501-P060282.pdf</t>
  </si>
  <si>
    <t>CF-531/26</t>
  </si>
  <si>
    <t>19.73</t>
  </si>
  <si>
    <t>42422b4f8a6a4f8ec75ae7be3aa5285f2b4cc90c8e56e29ea8a4922b770df878</t>
  </si>
  <si>
    <t>220-27-K/26</t>
  </si>
  <si>
    <t>260826_220-27-K-26_FHM_SJ092501-P060082.pdf</t>
  </si>
  <si>
    <t>CF-532/26</t>
  </si>
  <si>
    <t>10.39</t>
  </si>
  <si>
    <t>0.64</t>
  </si>
  <si>
    <t>31e646079ca0ce5f9b8a2c3e365bbb4595d151072661f34e13c20c8149abd322</t>
  </si>
  <si>
    <t>220-28-K/26</t>
  </si>
  <si>
    <t>260826_220-28-K-26_FHM_WC082501-P060012.pdf</t>
  </si>
  <si>
    <t>CF-533/26</t>
  </si>
  <si>
    <t>23.48</t>
  </si>
  <si>
    <t>1.44</t>
  </si>
  <si>
    <t>dd6c2d74c195bea53861d4986b2411a8e45225c828b2daee96b8791985ebe88c</t>
  </si>
  <si>
    <t>220-29-K/26</t>
  </si>
  <si>
    <t>260826_220-29-K-26_FHM_CC012603-P060372.pdf</t>
  </si>
  <si>
    <t>CF-534/26</t>
  </si>
  <si>
    <t>14.76</t>
  </si>
  <si>
    <t>0.91</t>
  </si>
  <si>
    <t>2ad596f546f9478b180ef417ed5be37b7fed42e315179672a8389f14df0db804</t>
  </si>
  <si>
    <t>220-30-K/26</t>
  </si>
  <si>
    <t>260826_220-30-K-26_FHM_JD042601.pdf</t>
  </si>
  <si>
    <t>CF-535/26</t>
  </si>
  <si>
    <t>14.89</t>
  </si>
  <si>
    <t>66626aff2581690000cdd170660e6d56033ad399b9a172760ccc7557ef54d46a</t>
  </si>
  <si>
    <t>220-31-K/26</t>
  </si>
  <si>
    <t>260826_220-31-K-26_FHM_FB042601.pdf</t>
  </si>
  <si>
    <t>CF-536/26</t>
  </si>
  <si>
    <t>FB042601</t>
  </si>
  <si>
    <t>0.92</t>
  </si>
  <si>
    <t>2edef8dce12e29bf3f836a85d4bfaa91f0289c79b8c0ecfb88d1a5ef7c3815e1</t>
  </si>
  <si>
    <t>220-32-K/26</t>
  </si>
  <si>
    <t>260826_220-32-K-26_FHM_CC042601.pdf</t>
  </si>
  <si>
    <t>CF-537/26</t>
  </si>
  <si>
    <t>CC042601</t>
  </si>
  <si>
    <t>14.90</t>
  </si>
  <si>
    <t>fb36161faff4a2fe12ff5cd4398aaae8031dcff8e4720135eb38439f5a29156d</t>
  </si>
  <si>
    <t>Retest against the assay already on the tracker</t>
  </si>
  <si>
    <t>How to read this</t>
  </si>
  <si>
    <t>"Prior" is the highest Δ⁹-THC the tracker already holds for the lot, with the certificate that reports it. Three lots (P060362, P060412, P060422) share one CNP certificate ППК26113 as a roll-up across sub-lots, so their difference is not a lot-to-lot comparison and is excluded from the statistics below.</t>
  </si>
  <si>
    <t>Lot</t>
  </si>
  <si>
    <t>Prior</t>
  </si>
  <si>
    <t>Difference</t>
  </si>
  <si>
    <t>Prior certificate</t>
  </si>
  <si>
    <t>— none on the tracker —</t>
  </si>
  <si>
    <t>+0.13</t>
  </si>
  <si>
    <t>+3.29</t>
  </si>
  <si>
    <t>+3.38</t>
  </si>
  <si>
    <t>+3.35</t>
  </si>
  <si>
    <t>+0.63</t>
  </si>
  <si>
    <t>+3.31</t>
  </si>
  <si>
    <t>-1.52</t>
  </si>
  <si>
    <t>+2.32</t>
  </si>
  <si>
    <t>+3.84</t>
  </si>
  <si>
    <t>-0.49</t>
  </si>
  <si>
    <t>-1.73</t>
  </si>
  <si>
    <t>-0.70</t>
  </si>
  <si>
    <t>+0.47</t>
  </si>
  <si>
    <t>-6.11</t>
  </si>
  <si>
    <t>-3.45</t>
  </si>
  <si>
    <t>+0.02</t>
  </si>
  <si>
    <t>+1.11</t>
  </si>
  <si>
    <t>+2.76</t>
  </si>
  <si>
    <t>+0.75</t>
  </si>
  <si>
    <t>+2.75</t>
  </si>
  <si>
    <t>-2.53</t>
  </si>
  <si>
    <t>+2.60</t>
  </si>
  <si>
    <t>-0.57</t>
  </si>
  <si>
    <t>+1.81</t>
  </si>
  <si>
    <t>What the differences show</t>
  </si>
  <si>
    <t>Comparable lots (roll-up excluded)</t>
  </si>
  <si>
    <t>Mean difference, %w/w</t>
  </si>
  <si>
    <t>+1.17</t>
  </si>
  <si>
    <t>Median difference, %w/w</t>
  </si>
  <si>
    <t>Higher on retest / lower on retest</t>
  </si>
  <si>
    <t>15 / 6</t>
  </si>
  <si>
    <t>Mean relative change</t>
  </si>
  <si>
    <t>+5.8 %</t>
  </si>
  <si>
    <t>Where the prior value came from CNP</t>
  </si>
  <si>
    <t>n = 18, mean +1.45 %w/w, range -2.53 to +3.84</t>
  </si>
  <si>
    <t>Where the prior value came from Farmahem</t>
  </si>
  <si>
    <t>n = 2, mean -0.85 %w/w, range -1.73 to +0.02</t>
  </si>
  <si>
    <t>Reading</t>
  </si>
  <si>
    <t>Δ⁹-THC is HIGHER on retest on 15 of 21 comparable lots, by +1.45 %w/w on average where the prior value came from CNP, and essentially unchanged (−0.85) where the prior value came from Farmahem itself. Total CBN is below the limit of quantification on all 32 certificates. Cannabinoid content in stored dried flower does not increase, and degradation of Δ⁹-THC would raise CBN, not leave it below LOQ. The pattern is therefore not a stability effect: it is an inter-laboratory difference between CNP and Farmahem, and it tracks which laboratory produced the earlier number.</t>
  </si>
  <si>
    <t>What must be settled</t>
  </si>
  <si>
    <t>(a) Which result is the release value for each lot, and on what basis. (b) Whether the two laboratories report on the same moisture basis — these Farmahem reports carry no loss-on-drying row, so %w/w is on an unstated basis, while CNP reports LoD alongside the assay. A moisture-basis difference alone can produce a uniform positive offset of this size. (c) Whether any lot was released, delivered or labelled on a potency bracket the retest no longer supports. Twelve lots differ by 2.00 %w/w or more.</t>
  </si>
  <si>
    <t>Not a stability conclusion</t>
  </si>
  <si>
    <t>This sheet compares two numbers. It does not establish a trend, and none of these certificates is a stability-protocol timepoint.</t>
  </si>
  <si>
    <t>Coverage closed by the Farmahem 220 set</t>
  </si>
  <si>
    <t>Cannabinoids were already covered on most lots, so this set adds few ticks — its value is the retest values, not new coverage. A certificate is credited only where the determination is reported with a value.</t>
  </si>
  <si>
    <t>220-2-K/26 (25.08.2026) [FHM-K]</t>
  </si>
  <si>
    <t>220-9-K/26 (25.08.2026) [FHM-K]</t>
  </si>
  <si>
    <t>❌ 11 MISSING</t>
  </si>
  <si>
    <t>220-29-K/26 (26.08.2026) [FHM-K]</t>
  </si>
  <si>
    <t>Identification C; Total Δ⁹-THC; Total CBD; Total CBN</t>
  </si>
  <si>
    <t>220-30-K/26 (FHM-K)</t>
  </si>
  <si>
    <t>220-31-K/26 (FHM-K)</t>
  </si>
  <si>
    <t>220-32-K/26 (FHM-K)</t>
  </si>
  <si>
    <t>5.0</t>
  </si>
  <si>
    <t>12.0</t>
  </si>
  <si>
    <t>4.0</t>
  </si>
  <si>
    <t>6.0</t>
  </si>
  <si>
    <t>7.0</t>
  </si>
  <si>
    <t>2.0</t>
  </si>
  <si>
    <t>8.0</t>
  </si>
  <si>
    <t>10.0</t>
  </si>
  <si>
    <t>#1 Ident. A; #2 Ident. B; #7 Foreign matter</t>
  </si>
  <si>
    <t>#10 Mycotoxins; #11 Heavy metals</t>
  </si>
  <si>
    <t>3.0</t>
  </si>
  <si>
    <t>#6 CBN; #10 Mycotoxins</t>
  </si>
  <si>
    <t>#8 LoD; #11 Heavy metals; #12 Pesticides</t>
  </si>
  <si>
    <t>❌ 7 MISSING</t>
  </si>
  <si>
    <t>#1 Ident. A; #2 Ident. B; #7 Foreign matter; #8 LoD; #10 Mycotoxins; #11 Heavy metals; #12 Pesticides</t>
  </si>
  <si>
    <t>1.0</t>
  </si>
  <si>
    <t>#9 Microbiology; #11 Heavy metals</t>
  </si>
  <si>
    <t>#1 Ident. A; #2 Ident. B; #7 Foreign matter; #8 LoD; #9 Microbiology; #10 Mycotoxins; #11 Heavy metals; #12 Pesticides</t>
  </si>
  <si>
    <t>#1 Ident. A; #2 Ident. B; #3 Ident. C; #4 Δ⁹-THC; #5 CBD; #6 CBN; #7 Foreign matter; #8 LoD</t>
  </si>
  <si>
    <t>#1 Ident. A; #2 Ident. B; #6 CBN; #7 Foreign matter</t>
  </si>
  <si>
    <t>eCoA_OLD reconciled against eCoA_DATABASE — 09.09.2026</t>
  </si>
  <si>
    <t>What was done</t>
  </si>
  <si>
    <t>Every file in eCoA_OLD was matched against the consolidated database by issuing laboratory and certificate code. Where a certificate was already present from the 09.09.2026 splits it was left alone; where it was absent it was renamed to the current convention and copied across. Each copy was verified by SHA-256 against its source. eCoA_OLD was not modified.</t>
  </si>
  <si>
    <t>eCoA_OLD, PDFs</t>
  </si>
  <si>
    <t>321</t>
  </si>
  <si>
    <t>Already present in eCoA_DATABASE (same laboratory and code)</t>
  </si>
  <si>
    <t>Brought across — external laboratories</t>
  </si>
  <si>
    <t>Held back — in-house Purely Plant certificates</t>
  </si>
  <si>
    <t>eCoA_DATABASE after the copy, PDFs</t>
  </si>
  <si>
    <t>387</t>
  </si>
  <si>
    <t>SHA-256 verification of the copies</t>
  </si>
  <si>
    <t>123 of 123 identical to source</t>
  </si>
  <si>
    <t>Why the in-house certificates were held back</t>
  </si>
  <si>
    <t>The 41 files are Purely Plant in-house release certificates on forms QCCoA 001 (16), QCCoA 001v02 (22) and an untitled Report of Analysis (3) — not certificates from an outsourced laboratory. They are the documents already scoped for reissue under the CAPA, and filing them into a database named for external certificates would mislabel them. They remain in eCoA_OLD. Say the word and they move.</t>
  </si>
  <si>
    <t>Brought across, by laboratory</t>
  </si>
  <si>
    <t>DFL</t>
  </si>
  <si>
    <t>What this changed in the coverage</t>
  </si>
  <si>
    <t>Almost nothing — and that is the point. These 123 certificates were already credited in the tracker; they were missing from the folder, not from the analysis. Four gaps close, all #6 Total CBN, on lots whose CNP certificate the Work Order sheet listed as "not ingested".</t>
  </si>
  <si>
    <t>ППК25118 (06.05.2025) [CNP]</t>
  </si>
  <si>
    <t>ППК25257 (05.09.2025) [CNP]</t>
  </si>
  <si>
    <t>ППК26036 (05.03.2026) [CNP]</t>
  </si>
  <si>
    <t>ППК25368 (28.11.2025) [CNP]</t>
  </si>
  <si>
    <t>The 123 certificates brought across</t>
  </si>
  <si>
    <t>Laboratory</t>
  </si>
  <si>
    <t>Name in eCoA_OLD</t>
  </si>
  <si>
    <t>Name in eCoA_DATABASE</t>
  </si>
  <si>
    <t>P050022_ППК26032, 05.03.2026_CNP.pdf</t>
  </si>
  <si>
    <t>050326_ППК26032_CNP_GP0824_02-P050022.pdf</t>
  </si>
  <si>
    <t>P050022_ППК26033, 05.03.2026_CNP.pdf</t>
  </si>
  <si>
    <t>050326_ППК26033_CNP_GP0824_02-P050022.pdf</t>
  </si>
  <si>
    <t>P050072_ППК26034, 05.03.2026_CNP.pdf</t>
  </si>
  <si>
    <t>050326_ППК26034_CNP_GP0824_03-P050072.pdf</t>
  </si>
  <si>
    <t>P050072_ППК26035, 05.03.2026_CNP.pdf</t>
  </si>
  <si>
    <t>050326_ППК26035_CNP_GP0824_03-P050072.pdf</t>
  </si>
  <si>
    <t>P050202_ППК26036, 05.03.2026_CNP.pdf</t>
  </si>
  <si>
    <t>050326_ППК26036_CNP_GP062501-P050202.pdf</t>
  </si>
  <si>
    <t>P050202_ППК26037, 05.03.2026_CNP.pdf</t>
  </si>
  <si>
    <t>050326_ППК26037_CNP_GP062501-P050202.pdf</t>
  </si>
  <si>
    <t>P050132_ППК25257, 05.09.2025_CNP.pdf</t>
  </si>
  <si>
    <t>050925_ППК25257_CNP_OPM052501-P050132.pdf</t>
  </si>
  <si>
    <t>P050032_ППК25118, 06.05.2025_CNP.pdf</t>
  </si>
  <si>
    <t>060525_ППК25118_CNP_MB0824_04-P050032.pdf</t>
  </si>
  <si>
    <t>P050072_ППК25175, 10.07.2025_CNP.pdf</t>
  </si>
  <si>
    <t>100725_ППК25175_CNP_GP0824_03-P050072.pdf</t>
  </si>
  <si>
    <t>BSS1024_01</t>
  </si>
  <si>
    <t>P050122_ППК25176, 10.07.2025_CNP.pdf</t>
  </si>
  <si>
    <t>100725_ППК25176_CNP_BSS1024_01-P050122.pdf</t>
  </si>
  <si>
    <t>P050022_ППК26059, 11.05.2026_CNP.pdf</t>
  </si>
  <si>
    <t>110526_ППК26059_CNP_GP0824_02-P050022.pdf</t>
  </si>
  <si>
    <t>P050072_ППК26060, 11.05.2026_CNP.pdf</t>
  </si>
  <si>
    <t>110526_ППК26060_CNP_GP0824_03-P050072.pdf</t>
  </si>
  <si>
    <t>P050202_ППК26057, 11.05.2026_CNP.pdf</t>
  </si>
  <si>
    <t>110526_ППК26057_CNP_GP062501-P050202.pdf</t>
  </si>
  <si>
    <t>P050202_ППК26058, 11.05.2026_CNP.pdf</t>
  </si>
  <si>
    <t>110526_ППК26058_CNP_GP062501-P050202.pdf</t>
  </si>
  <si>
    <t>GP072501_1</t>
  </si>
  <si>
    <t>P050292_ППК25378, 12.12.2025_CNP.pdf</t>
  </si>
  <si>
    <t>121225_ППК25378_CNP_GP072501_1-P050292.pdf</t>
  </si>
  <si>
    <t>GP072501_2</t>
  </si>
  <si>
    <t>P050302_ППК25379, 12.12.2025_CNP.pdf</t>
  </si>
  <si>
    <t>121225_ППК25379_CNP_GP072501_2-P050302.pdf</t>
  </si>
  <si>
    <t>GP082501_1</t>
  </si>
  <si>
    <t>P050312_ППК25380, 12.12.2025_CNP.pdf</t>
  </si>
  <si>
    <t>121225_ППК25380_CNP_GP082501_1-P050312.pdf</t>
  </si>
  <si>
    <t>GP082501_2</t>
  </si>
  <si>
    <t>P050322_ППК25381, 12.12.2025_CNP.pdf</t>
  </si>
  <si>
    <t>121225_ППК25381_CNP_GP082501_2-P050322.pdf</t>
  </si>
  <si>
    <t>P050092_ППК25104, 17.04.2025_CNP.pdf</t>
  </si>
  <si>
    <t>170425_ППК25104_CNP_GG1024_01-P050092.pdf</t>
  </si>
  <si>
    <t>P050102_ППК25105, 17.04.2025_CNP.pdf</t>
  </si>
  <si>
    <t>170425_ППК25105_CNP_GP0824_01-P050102.pdf</t>
  </si>
  <si>
    <t>CJ052501_1</t>
  </si>
  <si>
    <t>P050162_ППК25280, 17.09.2025_CNP.pdf</t>
  </si>
  <si>
    <t>170925_ППК25280_CNP_CJ052501_1-P050162.pdf</t>
  </si>
  <si>
    <t>CJ052501_2</t>
  </si>
  <si>
    <t>P050172_ППК25281, 17.09.2025_CNP.pdf</t>
  </si>
  <si>
    <t>170925_ППК25281_CNP_CJ052501_2-P050172.pdf</t>
  </si>
  <si>
    <t>19.09.2025</t>
  </si>
  <si>
    <t>P050152_ППК25279, 19.09.2025_CNP.pdf</t>
  </si>
  <si>
    <t>190925_ППК25279_CNP_GP052501-P050152.pdf</t>
  </si>
  <si>
    <t>P050182_ППК25278, 19.09.2025_CNP.pdf</t>
  </si>
  <si>
    <t>190925_ППК25278_CNP_HPA052501-P050182.pdf</t>
  </si>
  <si>
    <t>P060012_ППК26001, 21.01.2026_CNP.pdf</t>
  </si>
  <si>
    <t>210126_ППК26001_CNP_WC082501-P060012.pdf</t>
  </si>
  <si>
    <t>CJ082501_1</t>
  </si>
  <si>
    <t>P060022_ППК26002, 21.01.2026_CNP.pdf</t>
  </si>
  <si>
    <t>210126_ППК26002_CNP_CJ082501_1-P060022.pdf</t>
  </si>
  <si>
    <t>CJ082501_2</t>
  </si>
  <si>
    <t>P060032_ППК26003, 21.01.2026_CNP.pdf</t>
  </si>
  <si>
    <t>210126_ППК26003_CNP_CJ082501_2-P060032.pdf</t>
  </si>
  <si>
    <t>P060042_ППК26008, 21.01.2026_CNP.pdf</t>
  </si>
  <si>
    <t>210126_ППК26008_CNP_OPM092501-P060042.pdf</t>
  </si>
  <si>
    <t>P060052_ППК26005, 21.01.2026_CNP.pdf</t>
  </si>
  <si>
    <t>210126_ППК26005_CNP_AB092501-P060052.pdf</t>
  </si>
  <si>
    <t>P060062_ППК26004, 21.01.2026_CNP.pdf</t>
  </si>
  <si>
    <t>210126_ППК26004_CNP_PM092501-P060062.pdf</t>
  </si>
  <si>
    <t>P060072_ППК26007, 21.01.2026_CNP.pdf</t>
  </si>
  <si>
    <t>210126_ППК26007_CNP_CJ092501-P060072.pdf</t>
  </si>
  <si>
    <t>P060082_ППК26006, 21.01.2026_CNP.pdf</t>
  </si>
  <si>
    <t>210126_ППК26006_CNP_SJ092501-P060082.pdf</t>
  </si>
  <si>
    <t>P060092_ППК26009, 21.01.2026_CNP.pdf</t>
  </si>
  <si>
    <t>210126_ППК26009_CNP_GP092501-P060092.pdf</t>
  </si>
  <si>
    <t>P050022_ППК25139, 22.05.2025_CNP.pdf</t>
  </si>
  <si>
    <t>220525_ППК25139_CNP_GP0824_02-P050022.pdf</t>
  </si>
  <si>
    <t>23.10.2025</t>
  </si>
  <si>
    <t>CJ062501_2</t>
  </si>
  <si>
    <t>P050212_ППК25322, 23.10.2025_CNP.pdf</t>
  </si>
  <si>
    <t>231025_ППК25322_CNP_CJ062501_2-P050212.pdf</t>
  </si>
  <si>
    <t>CJ062501_1</t>
  </si>
  <si>
    <t>P050222_ППК25321, 23.10.2025_CNP.pdf</t>
  </si>
  <si>
    <t>231025_ППК25321_CNP_CJ062501_1-P050222.pdf</t>
  </si>
  <si>
    <t>P050052_ППК25155, 24.06.2025_CNP.pdf</t>
  </si>
  <si>
    <t>240625_ППК25155_CNP_HPA1024_01-P050052.pdf</t>
  </si>
  <si>
    <t>P050062_ППК25154, 24.06.2025_CNP.pdf</t>
  </si>
  <si>
    <t>240625_ППК25154_CNP_OPM1024_02-P050062.pdf</t>
  </si>
  <si>
    <t>28.07.2025</t>
  </si>
  <si>
    <t>P050082_ППК25210, 28.07.2025_CNP.pdf</t>
  </si>
  <si>
    <t>280725_ППК25210_CNP_OPM1024_03-P050082.pdf</t>
  </si>
  <si>
    <t>P050112_ППК25211, 28.07.2025_CNP.pdf</t>
  </si>
  <si>
    <t>280725_ППК25211_CNP_MB0824_05-P050112.pdf</t>
  </si>
  <si>
    <t>P050252_ППК25367, 28.11.2025_CNP.pdf</t>
  </si>
  <si>
    <t>281125_ППК25367_CNP_CJ072501-P050252.pdf</t>
  </si>
  <si>
    <t>P050262_ППК25369, 28.11.2025_CNP.pdf</t>
  </si>
  <si>
    <t>281125_ППК25369_CNP_WC072501-P050262.pdf</t>
  </si>
  <si>
    <t>P050272_ППК25368, 28.11.2025_CNP.pdf</t>
  </si>
  <si>
    <t>281125_ППК25368_CNP_PM072501-P050272.pdf</t>
  </si>
  <si>
    <t>P050282_ППК25370, 28.11.2025_CNP.pdf</t>
  </si>
  <si>
    <t>281125_ППК25370_CNP_CLE072501-P050282.pdf</t>
  </si>
  <si>
    <t>10802_2845-2 EN</t>
  </si>
  <si>
    <t>P050192_10802_2845-2 EN, 17.11.2025_DFL.pdf</t>
  </si>
  <si>
    <t>171125_10802_2845-2 EN_DFL_BSS052501-P050192.pdf</t>
  </si>
  <si>
    <t>10802_2845-2 MK</t>
  </si>
  <si>
    <t>P050192_10802_2845-2 MK, 17.11.2025_DFL.pdf</t>
  </si>
  <si>
    <t>171125_10802_2845-2 MK_DFL_BSS052501-P050192.pdf</t>
  </si>
  <si>
    <t>276-31-M/25</t>
  </si>
  <si>
    <t>P050192_276-31-M-25, 04.12.2025_FHM.pdf</t>
  </si>
  <si>
    <t>041225_276-31-M-25_FHM_BSS052501-P050192.pdf</t>
  </si>
  <si>
    <t>100-1-K/26</t>
  </si>
  <si>
    <t>J31112501_100-1-K-26, 09.04.2026_FHM.pdf</t>
  </si>
  <si>
    <t>090426_100-1-K-26_FHM_J31112501-P060202.pdf</t>
  </si>
  <si>
    <t>100-1-LoD/26</t>
  </si>
  <si>
    <t>J31112501_100-1-LoD-26, 09.04.2026_FHM.pdf</t>
  </si>
  <si>
    <t>090426_100-1-LoD-26_FHM_J31112501-P060202.pdf</t>
  </si>
  <si>
    <t>100-4-K/26</t>
  </si>
  <si>
    <t>OPM122501_100-4-K-26, 09.04.2026_FHM.pdf</t>
  </si>
  <si>
    <t>090426_100-4-K-26_FHM_OPM122501-P060242.pdf</t>
  </si>
  <si>
    <t>100-4-LoD/26</t>
  </si>
  <si>
    <t>OPM122501_100-4-LoD-26, 09.04.2026_FHM.pdf</t>
  </si>
  <si>
    <t>090426_100-4-LoD-26_FHM_OPM122501-P060242.pdf</t>
  </si>
  <si>
    <t>197-5-M/26</t>
  </si>
  <si>
    <t>P060032_197-5-M-26, 10.08.2026_FHM.pdf</t>
  </si>
  <si>
    <t>100826_197-5-M-26_FHM_CJ082501-2-P060032.pdf</t>
  </si>
  <si>
    <t>5661/2025</t>
  </si>
  <si>
    <t>P050192_5661-2025, 01.12.2025_IJZ.pdf</t>
  </si>
  <si>
    <t>011225_5661-2025_IJZ_BSS052501-P050192.pdf</t>
  </si>
  <si>
    <t>80/2026</t>
  </si>
  <si>
    <t>P060012_80-2026, 02.02.2026_IJZ.pdf</t>
  </si>
  <si>
    <t>020226_80-2026_IJZ_WC082501-P060012.pdf</t>
  </si>
  <si>
    <t>81/2026</t>
  </si>
  <si>
    <t>P060022_81-2026, 02.02.2026_IJZ.pdf</t>
  </si>
  <si>
    <t>020226_81-2026_IJZ_CJ082501_1-P060022.pdf</t>
  </si>
  <si>
    <t>82/2026</t>
  </si>
  <si>
    <t>P060032_82-2026, 02.02.2026_IJZ.pdf</t>
  </si>
  <si>
    <t>020226_82-2026_IJZ_CJ082501_2-P060032.pdf</t>
  </si>
  <si>
    <t>84/2026</t>
  </si>
  <si>
    <t>P060052_84-2026, 02.02.2026_IJZ.pdf</t>
  </si>
  <si>
    <t>020226_84-2026_IJZ_AB092501-P060052.pdf</t>
  </si>
  <si>
    <t>83/2026</t>
  </si>
  <si>
    <t>P060062_83-2026, 02.02.2026_IJZ.pdf</t>
  </si>
  <si>
    <t>020226_83-2026_IJZ_PM092501-P060062.pdf</t>
  </si>
  <si>
    <t>86/2026</t>
  </si>
  <si>
    <t>P060072_86-2026, 02.02.2026_IJZ.pdf</t>
  </si>
  <si>
    <t>020226_86-2026_IJZ_CJ092501-P060072.pdf</t>
  </si>
  <si>
    <t>85/2026</t>
  </si>
  <si>
    <t>P060082_85-2026, 02.02.2026_IJZ.pdf</t>
  </si>
  <si>
    <t>020226_85-2026_IJZ_SJ092501-P060082.pdf</t>
  </si>
  <si>
    <t>5697/2025</t>
  </si>
  <si>
    <t>P050252_5697-2025, 02.12.2025_IJZ.pdf</t>
  </si>
  <si>
    <t>021225_5697-2025_IJZ_CJ072501-P050252.pdf</t>
  </si>
  <si>
    <t>5699/2025</t>
  </si>
  <si>
    <t>P050262_5699-2025, 02.12.2025_IJZ.pdf</t>
  </si>
  <si>
    <t>021225_5699-2025_IJZ_WC072501-P050262.pdf</t>
  </si>
  <si>
    <t>5698/2025</t>
  </si>
  <si>
    <t>P050272_5698-2025, 02.12.2025_IJZ.pdf</t>
  </si>
  <si>
    <t>021225_5698-2025_IJZ_PM072501-P050272.pdf</t>
  </si>
  <si>
    <t>5700/2025</t>
  </si>
  <si>
    <t>P050282_5700-2025, 02.12.2025_IJZ.pdf</t>
  </si>
  <si>
    <t>021225_5700-2025_IJZ_CLE072501-P050282.pdf</t>
  </si>
  <si>
    <t>87/2026</t>
  </si>
  <si>
    <t>P060042_87-2026, 03.02.2026_IJZ.pdf</t>
  </si>
  <si>
    <t>030226_87-2026_IJZ_OPM092501-P060042.pdf</t>
  </si>
  <si>
    <t>88/2026</t>
  </si>
  <si>
    <t>P060092_88-2026, 03.02.2026_IJZ.pdf</t>
  </si>
  <si>
    <t>030226_88-2026_IJZ_GP092501-P060092.pdf</t>
  </si>
  <si>
    <t>2157/2025</t>
  </si>
  <si>
    <t>P050032_2157-2025, 07.05.2025_IJZ.pdf</t>
  </si>
  <si>
    <t>070525_2157-2025_IJZ_MB0824_04-P050032.pdf</t>
  </si>
  <si>
    <t>4762/2025</t>
  </si>
  <si>
    <t>08.10.2025</t>
  </si>
  <si>
    <t>P050202_4762-2025, 08.10.2025_IJZ.pdf</t>
  </si>
  <si>
    <t>081025_4762-2025_IJZ_GP062501-P050202.pdf</t>
  </si>
  <si>
    <t>1766/2025</t>
  </si>
  <si>
    <t>P050092_1766-2025, 11.04.2025_IJZ.pdf</t>
  </si>
  <si>
    <t>110425_1766-2025_IJZ_GG1024_01-P050092.pdf</t>
  </si>
  <si>
    <t>1767/2025</t>
  </si>
  <si>
    <t>P050102_1767-2025, 11.04.2025_IJZ.pdf</t>
  </si>
  <si>
    <t>110425_1767-2025_IJZ_GP0824_01-P050102.pdf</t>
  </si>
  <si>
    <t>5886/2025</t>
  </si>
  <si>
    <t>P050292_5886-2025, 12.12.2025_IJZ.pdf</t>
  </si>
  <si>
    <t>121225_5886-2025_IJZ_GP072501_1-P050292.pdf</t>
  </si>
  <si>
    <t>5887/2025</t>
  </si>
  <si>
    <t>P050302_5887-2025, 12.12.2025_IJZ.pdf</t>
  </si>
  <si>
    <t>121225_5887-2025_IJZ_GP072501_2-P050302.pdf</t>
  </si>
  <si>
    <t>5888/2025</t>
  </si>
  <si>
    <t>P050312_5888-2025, 12.12.2025_IJZ.pdf</t>
  </si>
  <si>
    <t>121225_5888-2025_IJZ_GP082501_1-P050312.pdf</t>
  </si>
  <si>
    <t>5889/2025</t>
  </si>
  <si>
    <t>P050322_5889-2025, 12.12.2025_IJZ.pdf</t>
  </si>
  <si>
    <t>121225_5889-2025_IJZ_GP082501_2-P050322.pdf</t>
  </si>
  <si>
    <t>4348/2025</t>
  </si>
  <si>
    <t>P050152_4348-2025, 15.09.2025_IJZ.pdf</t>
  </si>
  <si>
    <t>150925_4348-2025_IJZ_GP052501-P050152.pdf</t>
  </si>
  <si>
    <t>4350/2025</t>
  </si>
  <si>
    <t>P050162_4350-2025, 15.09.2025_IJZ.pdf</t>
  </si>
  <si>
    <t>150925_4350-2025_IJZ_CJ052501_1-P050162.pdf</t>
  </si>
  <si>
    <t>4349/2025</t>
  </si>
  <si>
    <t>P050172_4349-2025, 15.09.2025_IJZ.pdf</t>
  </si>
  <si>
    <t>150925_4349-2025_IJZ_CJ052501_2-P050172.pdf</t>
  </si>
  <si>
    <t>4352/2025</t>
  </si>
  <si>
    <t>P050182_4352-2025, 15.09.2025_IJZ.pdf</t>
  </si>
  <si>
    <t>150925_4352-2025_IJZ_HPA052501-P050182.pdf</t>
  </si>
  <si>
    <t>2995/2025</t>
  </si>
  <si>
    <t>P050052_2995-2025, 19.06.2025_IJZ.pdf</t>
  </si>
  <si>
    <t>190625_2995-2025_IJZ_HPA1024_01-P050052.pdf</t>
  </si>
  <si>
    <t>2994/2025</t>
  </si>
  <si>
    <t>P050062_2994-2025, 19.06.2025_IJZ.pdf</t>
  </si>
  <si>
    <t>190625_2994-2025_IJZ_OPM1024_02-P050062.pdf</t>
  </si>
  <si>
    <t>1625/2026</t>
  </si>
  <si>
    <t>J31122501_1625-2026, 23.04.2026_IJZ.pdf</t>
  </si>
  <si>
    <t>230426_1625-2026_IJZ_J31122501-P060262.pdf</t>
  </si>
  <si>
    <t>1628/2026</t>
  </si>
  <si>
    <t>J31122501_1628-2026, 23.04.2026_IJZ.pdf</t>
  </si>
  <si>
    <t>230426_1628-2026_IJZ_J31122501-P060262.pdf</t>
  </si>
  <si>
    <t>1627/2026</t>
  </si>
  <si>
    <t>OPM122501_1627-2026, 23.04.2026_IJZ.pdf</t>
  </si>
  <si>
    <t>230426_1627-2026_IJZ_OPM122501-P060242.pdf</t>
  </si>
  <si>
    <t>4908/2025</t>
  </si>
  <si>
    <t>24.10.2025</t>
  </si>
  <si>
    <t>P050212_4908-2025, 24.10.2025_IJZ.pdf</t>
  </si>
  <si>
    <t>241025_4908-2025_IJZ_CJ062501_2-P050212.pdf</t>
  </si>
  <si>
    <t>4907/2025</t>
  </si>
  <si>
    <t>P050222_4907-2025, 24.10.2025_IJZ.pdf</t>
  </si>
  <si>
    <t>241025_4907-2025_IJZ_CJ062501_1-P050222.pdf</t>
  </si>
  <si>
    <t>3178/2025</t>
  </si>
  <si>
    <t>P050072_3178-2025, 26.06.2025_IJZ.pdf</t>
  </si>
  <si>
    <t>260625_3178-2025_IJZ_GP0824_03-P050072.pdf</t>
  </si>
  <si>
    <t>3177/2025</t>
  </si>
  <si>
    <t>P050122_3177-2025, 26.06.2025_IJZ.pdf</t>
  </si>
  <si>
    <t>260625_3177-2025_IJZ_BSS1024_01-P050122.pdf</t>
  </si>
  <si>
    <t>3636/2025</t>
  </si>
  <si>
    <t>P050082_3636-2025, 28.07.2025_IJZ.pdf</t>
  </si>
  <si>
    <t>280725_3636-2025_IJZ_OPM1024_03-P050082.pdf</t>
  </si>
  <si>
    <t>3638/2025</t>
  </si>
  <si>
    <t>P050112_3638-2025, 28.07.2025_IJZ.pdf</t>
  </si>
  <si>
    <t>280725_3638-2025_IJZ_MB0824_05-P050112.pdf</t>
  </si>
  <si>
    <t>4157/2025</t>
  </si>
  <si>
    <t>29.08.2025</t>
  </si>
  <si>
    <t>P050132_4157-2025, 29.08.2025_IJZ.pdf</t>
  </si>
  <si>
    <t>290825_4157-2025_IJZ_OPM052501-P050132.pdf</t>
  </si>
  <si>
    <t>2471/2025</t>
  </si>
  <si>
    <t>P050022_2471-2025, 30.05.2025_IJZ.pdf</t>
  </si>
  <si>
    <t>300525_2471-2025_IJZ_GP0824_02-P050022.pdf</t>
  </si>
  <si>
    <t>1217/2168/25</t>
  </si>
  <si>
    <t>P050222_1217-2168-25, 01.12.2025_IJZ-MB.pdf</t>
  </si>
  <si>
    <t>011225_1217-2168-25_IJZ-MB_CJ062501_1-P050222.pdf</t>
  </si>
  <si>
    <t>1218/2169/25</t>
  </si>
  <si>
    <t>P050252_1218-2169-25, 01.12.2025_IJZ-MB.pdf</t>
  </si>
  <si>
    <t>011225_1218-2169-25_IJZ-MB_CJ072501-P050252.pdf</t>
  </si>
  <si>
    <t>1221/2172/25</t>
  </si>
  <si>
    <t>P050262_1221-2172-25, 01.12.2025_IJZ-MB.pdf</t>
  </si>
  <si>
    <t>011225_1221-2172-25_IJZ-MB_WC072501-P050262.pdf</t>
  </si>
  <si>
    <t>1220/2171/25</t>
  </si>
  <si>
    <t>P050272_1220-2171-25, 01.12.2025_IJZ-MB.pdf</t>
  </si>
  <si>
    <t>011225_1220-2171-25_IJZ-MB_PM072501-P050272.pdf</t>
  </si>
  <si>
    <t>1219/2170/25</t>
  </si>
  <si>
    <t>P050282_1219-2170-25, 01.12.2025_IJZ-MB.pdf</t>
  </si>
  <si>
    <t>011225_1219-2170-25_IJZ-MB_CLE072501-P050282.pdf</t>
  </si>
  <si>
    <t>628/1129/25</t>
  </si>
  <si>
    <t>P050072_628-1129-25, 02.07.2025_IJZ-MB.pdf</t>
  </si>
  <si>
    <t>020725_628-1129-25_IJZ-MB_GP0824_03-P050072.pdf</t>
  </si>
  <si>
    <t>626/1127/25</t>
  </si>
  <si>
    <t>P050122_626-1127-25, 02.07.2025_IJZ-MB.pdf</t>
  </si>
  <si>
    <t>020725_626-1127-25_IJZ-MB_BSS1024_01-P050122.pdf</t>
  </si>
  <si>
    <t>904/1589/25</t>
  </si>
  <si>
    <t>02.09.2025</t>
  </si>
  <si>
    <t>P050132_904-1589-25, 02.09.2025_IJZ-MB.pdf</t>
  </si>
  <si>
    <t>020925_904-1589-25_IJZ-MB_OPM052501-P050132.pdf</t>
  </si>
  <si>
    <t>406/0744/25</t>
  </si>
  <si>
    <t>P050032_406-0744-25, 05.05.2025_IJZ-MB.pdf</t>
  </si>
  <si>
    <t>050525_406-0744-25_IJZ-MB_MB0824_04-P050032.pdf</t>
  </si>
  <si>
    <t>1228/2194/25</t>
  </si>
  <si>
    <t>P050292_1228-2194-25, 05.12.2025_IJZ-MB.pdf</t>
  </si>
  <si>
    <t>051225_1228-2194-25_IJZ-MB_GP072501_1-P050292.pdf</t>
  </si>
  <si>
    <t>1227/2193/25</t>
  </si>
  <si>
    <t>P050322_1227-2193-25, 05.12.2025_IJZ-MB.pdf</t>
  </si>
  <si>
    <t>051225_1227-2193-25_IJZ-MB_GP082501_2-P050322.pdf</t>
  </si>
  <si>
    <t>230/0393/26</t>
  </si>
  <si>
    <t>07.04.2026</t>
  </si>
  <si>
    <t>J31122501_230-0393-26, 07.04.2026_IJZ-MB.pdf</t>
  </si>
  <si>
    <t>070426_230-0393-26_IJZ-MB_J31122501-P060262.pdf</t>
  </si>
  <si>
    <t>231/0394/26</t>
  </si>
  <si>
    <t>J31122501_231-0394-26, 07.04.2026_IJZ-MB.pdf</t>
  </si>
  <si>
    <t>070426_231-0394-26_IJZ-MB_J31122501-P060262.pdf</t>
  </si>
  <si>
    <t>229/0392/26</t>
  </si>
  <si>
    <t>OPM122501_229-0392-26, 07.04.2026_IJZ-MB.pdf</t>
  </si>
  <si>
    <t>070426_229-0392-26_IJZ-MB_OPM122501-P060242.pdf</t>
  </si>
  <si>
    <t>1009/1813/25</t>
  </si>
  <si>
    <t>P050202_1009-1813-25, 08.10.2025_IJZ-MB.pdf</t>
  </si>
  <si>
    <t>081025_1009-1813-25_IJZ-MB_GP062501-P050202.pdf</t>
  </si>
  <si>
    <t>320/0587/25</t>
  </si>
  <si>
    <t>14.04.2025</t>
  </si>
  <si>
    <t>P050092_320-0587-25, 14.04.2025_IJZ-MB.pdf</t>
  </si>
  <si>
    <t>140425_320-0587-25_IJZ-MB_GG1024_01-P050092.pdf</t>
  </si>
  <si>
    <t>318/0585/25</t>
  </si>
  <si>
    <t>P050102_318-0585-25, 14.04.2025_IJZ-MB.pdf</t>
  </si>
  <si>
    <t>140425_318-0585-25_IJZ-MB_GP0824_01-P050102.pdf</t>
  </si>
  <si>
    <t>319/0586/25</t>
  </si>
  <si>
    <t>P050102_319-0586-25, 14.04.2025_IJZ-MB.pdf</t>
  </si>
  <si>
    <t>140425_319-0586-25_IJZ-MB_GP0824_01-P050102.pdf</t>
  </si>
  <si>
    <t>946/1684/25</t>
  </si>
  <si>
    <t>P050152_946-1684-25, 17.09.2025_IJZ-MB.pdf</t>
  </si>
  <si>
    <t>170925_946-1684-25_IJZ-MB_GP052501-P050152.pdf</t>
  </si>
  <si>
    <t>949/1687/25</t>
  </si>
  <si>
    <t>P050162_949-1687-25, 17.09.2025_IJZ-MB.pdf</t>
  </si>
  <si>
    <t>170925_949-1687-25_IJZ-MB_CJ052501_1-P050162.pdf</t>
  </si>
  <si>
    <t>947/1685/25</t>
  </si>
  <si>
    <t>P050172_947-1685-25, 17.09.2025_IJZ-MB.pdf</t>
  </si>
  <si>
    <t>170925_947-1685-25_IJZ-MB_CJ052501_2-P050172.pdf</t>
  </si>
  <si>
    <t>1032/1851/25</t>
  </si>
  <si>
    <t>17.10.2025</t>
  </si>
  <si>
    <t>P050212_1032-1851-25, 17.10.2025_IJZ-MB.pdf</t>
  </si>
  <si>
    <t>171025_1032-1851-25_IJZ-MB_CJ062501_2-P050212.pdf</t>
  </si>
  <si>
    <t>587/1066/25</t>
  </si>
  <si>
    <t>18.06.2025</t>
  </si>
  <si>
    <t>P050052_587-1066-25, 18.06.2025_IJZ-MB.pdf</t>
  </si>
  <si>
    <t>180625_587-1066-25_IJZ-MB_HPA1024_01-P050052.pdf</t>
  </si>
  <si>
    <t>588/1067/25</t>
  </si>
  <si>
    <t>P050062_588-1067-25, 18.06.2025_IJZ-MB.pdf</t>
  </si>
  <si>
    <t>180625_588-1067-25_IJZ-MB_OPM1024_02-P050062.pdf</t>
  </si>
  <si>
    <t>4/0007/26</t>
  </si>
  <si>
    <t>P060032_4-0007-26, 20.01.2026_IJZ-MB.pdf</t>
  </si>
  <si>
    <t>200126_4-0007-26_IJZ-MB_CJ082501_2-P060032.pdf</t>
  </si>
  <si>
    <t>7/0010/26</t>
  </si>
  <si>
    <t>P060052_7-0010-26, 20.01.2026_IJZ-MB.pdf</t>
  </si>
  <si>
    <t>200126_7-0010-26_IJZ-MB_AB092501-P060052.pdf</t>
  </si>
  <si>
    <t>6/0009/26</t>
  </si>
  <si>
    <t>P060062_6-0009-26, 20.01.2026_IJZ-MB.pdf</t>
  </si>
  <si>
    <t>200126_6-0009-26_IJZ-MB_PM092501-P060062.pdf</t>
  </si>
  <si>
    <t>10/0013/26</t>
  </si>
  <si>
    <t>P060072_10-0013-26, 20.01.2026_IJZ-MB.pdf</t>
  </si>
  <si>
    <t>200126_10-0013-26_IJZ-MB_CJ092501-P060072.pdf</t>
  </si>
  <si>
    <t>471/0862/25</t>
  </si>
  <si>
    <t>P050022_471-0862-25, 22.05.2025_IJZ-MB.pdf</t>
  </si>
  <si>
    <t>220525_471-0862-25_IJZ-MB_GP0824_02-P050022.pdf</t>
  </si>
  <si>
    <t>1155/2056/25</t>
  </si>
  <si>
    <t>P050202_1155-2056-25, 24.11.2025_IJZ-MB.pdf</t>
  </si>
  <si>
    <t>241125_1155-2056-25_IJZ-MB_GP062501-P050202.pdf</t>
  </si>
  <si>
    <t>P050192_NGP-QCG-SOP-024 F3, 28.11.2025_NGP.pdf</t>
  </si>
  <si>
    <t>281125_NGP-QCG-SOP-024 F3_NGP_BSS052501-P050192.pdf</t>
  </si>
  <si>
    <t>P050202_NGP-QCG-SOP-024 F3, 28.11.2025_NGP.pdf</t>
  </si>
  <si>
    <t>281125_NGP-QCG-SOP-024 F3_NGP_GP062501-P050202.pdf</t>
  </si>
  <si>
    <t>The 41 in-house certificates held back in eCoA_OLD</t>
  </si>
  <si>
    <t>Form</t>
  </si>
  <si>
    <t>NO-DOC-CODE (Report of Analysis)</t>
  </si>
  <si>
    <t>23.04.2025</t>
  </si>
  <si>
    <t>GG1024_NO-DOC-CODE (Report of Analysis), 23.04.2025_PP.pdf</t>
  </si>
  <si>
    <t>HPA1024_NO-DOC-CODE (Report of Analysis), 23.04.2025_PP.pdf</t>
  </si>
  <si>
    <t>OPM1024_NO-DOC-CODE (Report of Analysis), 23.04.2025_PP.pdf</t>
  </si>
  <si>
    <t>QCCoA 001</t>
  </si>
  <si>
    <t>06.08.2025</t>
  </si>
  <si>
    <t>P050102_QCCoA 001, 06.08.2025_PP.pdf</t>
  </si>
  <si>
    <t>P050012_QCCoA 001, 10.07.2025_PP.pdf</t>
  </si>
  <si>
    <t>P050022_QCCoA 001, 10.07.2025_PP.pdf</t>
  </si>
  <si>
    <t>P050032_QCCoA 001, 15.05.2025_PP.pdf</t>
  </si>
  <si>
    <t>P050042_QCCoA 001, 15.05.2025_PP.pdf</t>
  </si>
  <si>
    <t>P050022_QCCoA 001, 17.07.2025_PP.pdf</t>
  </si>
  <si>
    <t>P050052_QCCoA 001, 17.07.2025_PP.pdf</t>
  </si>
  <si>
    <t>P050062_QCCoA 001, 17.07.2025_PP.pdf</t>
  </si>
  <si>
    <t>P050072_QCCoA 001, 17.07.2025_PP.pdf</t>
  </si>
  <si>
    <t>19.03.2025</t>
  </si>
  <si>
    <t>BG1024_QCCoA 001, 19.03.2025_PP.pdf</t>
  </si>
  <si>
    <t>BSS1024_QCCoA 001, 19.03.2025_PP.pdf</t>
  </si>
  <si>
    <t>CJ1024_QCCoA 001, 19.03.2025_PP.pdf</t>
  </si>
  <si>
    <t>22.09.2025</t>
  </si>
  <si>
    <t>P050122_QCCoA 001, 22.09.2025_PP.pdf</t>
  </si>
  <si>
    <t>P050162_QCCoA 001, 22.09.2025_PP.pdf</t>
  </si>
  <si>
    <t>P050182_QCCoA 001, 22.09.2025_PP.pdf</t>
  </si>
  <si>
    <t>P050092_QCCoA 001, 31.07.2025_PP.pdf</t>
  </si>
  <si>
    <t>QCCoA 001v02</t>
  </si>
  <si>
    <t>P050192_QCCoA 001v02, 04.12.2025_PP.pdf</t>
  </si>
  <si>
    <t>P050202_QCCoA 001v02, 04.12.2025_PP.pdf</t>
  </si>
  <si>
    <t>P060012_QCCoA 001v02, 20.02.2026_PP.pdf</t>
  </si>
  <si>
    <t>P060022_QCCoA 001v02, 20.02.2026_PP.pdf</t>
  </si>
  <si>
    <t>P060032_QCCoA 001v02, 20.02.2026_PP.pdf</t>
  </si>
  <si>
    <t>P060042_QCCoA 001v02, 20.02.2026_PP.pdf</t>
  </si>
  <si>
    <t>P060052_QCCoA 001v02, 20.02.2026_PP.pdf</t>
  </si>
  <si>
    <t>P060062_QCCoA 001v02, 20.02.2026_PP.pdf</t>
  </si>
  <si>
    <t>P060072_QCCoA 001v02, 20.02.2026_PP.pdf</t>
  </si>
  <si>
    <t>P060082_QCCoA 001v02, 20.02.2026_PP.pdf</t>
  </si>
  <si>
    <t>P060092_QCCoA 001v02, 20.02.2026_PP.pdf</t>
  </si>
  <si>
    <t>P050082_QCCoA 001v02, 21.01.2026_PP.pdf</t>
  </si>
  <si>
    <t>P050112_QCCoA 001v02, 21.01.2026_PP.pdf</t>
  </si>
  <si>
    <t>P050132_QCCoA 001v02, 21.01.2026_PP.pdf</t>
  </si>
  <si>
    <t>P050172_QCCoA 001v02, 21.01.2026_PP.pdf</t>
  </si>
  <si>
    <t>P050212_QCCoA 001v02, 21.01.2026_PP.pdf</t>
  </si>
  <si>
    <t>P050272_QCCoA 001v02, 21.01.2026_PP.pdf</t>
  </si>
  <si>
    <t>P050282_QCCoA 001v02, 21.01.2026_PP.pdf</t>
  </si>
  <si>
    <t>P050292_QCCoA 001v02, 21.01.2026_PP.pdf</t>
  </si>
  <si>
    <t>P050302_QCCoA 001v02, 21.01.2026_PP.pdf</t>
  </si>
  <si>
    <t>P050312_QCCoA 001v02, 21.01.2026_PP.pdf</t>
  </si>
  <si>
    <t>P050322_QCCoA 001v02, 21.01.2026_PP.pdf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</si>
</sst>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Red]\-0.00%"/>
    <numFmt numFmtId="165" formatCode="dd\.mm\.yyyy"/>
  </numFmts>
  <fonts count="23">
    <font>
      <sz val="11"/>
      <color theme="1"/>
      <name val="Calibri"/>
      <scheme val="minor"/>
    </font>
    <font>
      <b/>
      <sz val="14"/>
      <color rgb="FF1F3864"/>
      <name val="Calibri"/>
    </font>
    <font>
      <b/>
      <sz val="9"/>
      <color theme="1"/>
      <name val="Calibri"/>
    </font>
    <font>
      <sz val="9"/>
      <color theme="1"/>
      <name val="Calibri"/>
    </font>
    <font>
      <b/>
      <sz val="9"/>
      <color rgb="FFFFFFFF"/>
      <name val="Calibri"/>
    </font>
    <font>
      <b/>
      <sz val="8"/>
      <color rgb="FFFFFFFF"/>
      <name val="Calibri"/>
    </font>
    <font>
      <b/>
      <sz val="12"/>
      <color rgb="FF1F3864"/>
      <name val="Calibri"/>
    </font>
    <font>
      <sz val="7"/>
      <color theme="1"/>
      <name val="Calibri"/>
    </font>
    <font>
      <b/>
      <sz val="7"/>
      <color theme="1"/>
      <name val="Calibri"/>
    </font>
    <font>
      <i/>
      <sz val="6"/>
      <color rgb="FF595959"/>
      <name val="Calibri"/>
    </font>
    <font>
      <sz val="11"/>
      <name val="Calibri"/>
    </font>
    <font>
      <b/>
      <sz val="7"/>
      <color rgb="FFFFFFFF"/>
      <name val="Calibri"/>
    </font>
    <font>
      <sz val="6"/>
      <color theme="1"/>
      <name val="Calibri"/>
    </font>
    <font>
      <b/>
      <sz val="13"/>
      <color theme="1"/>
      <name val="Calibri"/>
    </font>
    <font>
      <b/>
      <sz val="10"/>
      <color theme="1"/>
      <name val="Calibri"/>
    </font>
    <font>
      <sz val="11"/>
      <color theme="1"/>
      <name val="Calibri"/>
    </font>
    <font>
      <b/>
      <sz val="7"/>
      <color rgb="FF9C0006"/>
      <name val="Calibri"/>
    </font>
    <font>
      <b/>
      <sz val="7"/>
      <color rgb="FFB45F06"/>
      <name val="Calibri"/>
    </font>
    <font>
      <b/>
      <sz val="10"/>
      <color rgb="FF9C0006"/>
      <name val="Calibri"/>
    </font>
    <font>
      <b/>
      <sz val="14"/>
      <color rgb="FFFFFFFF"/>
      <name val="Calibri"/>
    </font>
    <font>
      <b/>
      <sz val="11"/>
      <color rgb="FFFFFFFF"/>
      <name val="Calibri"/>
    </font>
    <font>
      <b/>
      <sz val="10"/>
      <color rgb="FF000000"/>
      <name val="Calibri"/>
    </font>
    <font>
      <sz val="9"/>
      <color rgb="FF000000"/>
      <name val="Calibri"/>
    </font>
  </fonts>
  <fills count="27">
    <fill>
      <patternFill patternType="none"/>
    </fill>
    <fill>
      <patternFill patternType="gray125"/>
    </fill>
    <fill>
      <patternFill patternType="solid">
        <fgColor rgb="FF1F3864"/>
        <bgColor rgb="FF1F3864"/>
      </patternFill>
    </fill>
    <fill>
      <patternFill patternType="solid">
        <fgColor rgb="FFC6EFCE"/>
        <bgColor rgb="FFC6EFCE"/>
      </patternFill>
    </fill>
    <fill>
      <patternFill patternType="solid">
        <fgColor rgb="FFFFEB9C"/>
        <bgColor rgb="FFFFEB9C"/>
      </patternFill>
    </fill>
    <fill>
      <patternFill patternType="solid">
        <fgColor rgb="FFF8CBAD"/>
        <bgColor rgb="FFF8CBAD"/>
      </patternFill>
    </fill>
    <fill>
      <patternFill patternType="solid">
        <fgColor rgb="FFE7E6E6"/>
        <bgColor rgb="FFE7E6E6"/>
      </patternFill>
    </fill>
    <fill>
      <patternFill patternType="solid">
        <fgColor rgb="FFFFC7CE"/>
        <bgColor rgb="FFFFC7CE"/>
      </patternFill>
    </fill>
    <fill>
      <patternFill patternType="solid">
        <fgColor rgb="FFF2F2F2"/>
        <bgColor rgb="FFF2F2F2"/>
      </patternFill>
    </fill>
    <fill>
      <patternFill patternType="solid">
        <fgColor rgb="FFFDE9D9"/>
        <bgColor rgb="FFFDE9D9"/>
      </patternFill>
    </fill>
    <fill>
      <patternFill patternType="solid">
        <fgColor rgb="FFF4CCCC"/>
        <bgColor rgb="FFF4CCCC"/>
      </patternFill>
    </fill>
    <fill>
      <patternFill patternType="solid">
        <fgColor rgb="FFEFEFEF"/>
        <bgColor rgb="FFEFEFEF"/>
      </patternFill>
    </fill>
    <fill>
      <patternFill patternType="solid">
        <fgColor rgb="FFFFF2CC"/>
        <bgColor rgb="FFFFF2CC"/>
      </patternFill>
    </fill>
    <fill>
      <patternFill patternType="solid">
        <fgColor rgb="FF38761D"/>
        <bgColor rgb="FF38761D"/>
      </patternFill>
    </fill>
    <fill>
      <patternFill patternType="solid">
        <fgColor rgb="FF6AA84F"/>
        <bgColor rgb="FF6AA84F"/>
      </patternFill>
    </fill>
    <fill>
      <patternFill patternType="solid">
        <fgColor rgb="FFEDEDED"/>
        <bgColor rgb="FFEDEDED"/>
      </patternFill>
    </fill>
    <fill>
      <patternFill patternType="solid">
        <fgColor rgb="FFA6A6A6"/>
        <bgColor rgb="FFA6A6A6"/>
      </patternFill>
    </fill>
    <fill>
      <patternFill patternType="solid">
        <fgColor rgb="FFE69138"/>
        <bgColor rgb="FFE69138"/>
      </patternFill>
    </fill>
    <fill>
      <patternFill patternType="solid">
        <fgColor rgb="FFCC0000"/>
        <bgColor rgb="FFCC0000"/>
      </patternFill>
    </fill>
    <fill>
      <patternFill patternType="solid">
        <fgColor rgb="FFF6B26B"/>
        <bgColor rgb="FFF6B26B"/>
      </patternFill>
    </fill>
    <fill>
      <patternFill patternType="solid">
        <fgColor rgb="FFFCE5CD"/>
        <bgColor rgb="FFFCE5CD"/>
      </patternFill>
    </fill>
    <fill>
      <patternFill patternType="solid">
        <fgColor rgb="FF1B3A6B"/>
        <bgColor rgb="FF1B3A6B"/>
      </patternFill>
    </fill>
    <fill>
      <patternFill patternType="solid">
        <fgColor rgb="FF2E75B6"/>
        <bgColor rgb="FF2E75B6"/>
      </patternFill>
    </fill>
    <fill>
      <patternFill patternType="solid">
        <fgColor rgb="FFBDD7EE"/>
        <bgColor rgb="FFBDD7EE"/>
      </patternFill>
    </fill>
    <fill>
      <patternFill patternType="solid">
        <fgColor rgb="FFE2EFDA"/>
        <bgColor rgb="FFE2EFDA"/>
      </patternFill>
    </fill>
    <fill>
      <patternFill patternType="solid">
        <fgColor rgb="FFFFE699"/>
        <bgColor rgb="FFFFE699"/>
      </patternFill>
    </fill>
    <fill>
      <patternFill patternType="solid">
        <fgColor rgb="FFFFE0E0"/>
        <bgColor rgb="FFFFE0E0"/>
      </patternFill>
    </fill>
  </fills>
  <borders count="60">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medium">
        <color rgb="FF000000"/>
      </left>
      <right style="thin">
        <color rgb="FFBFBFBF"/>
      </right>
      <top style="medium">
        <color rgb="FF000000"/>
      </top>
      <bottom/>
      <diagonal/>
    </border>
    <border>
      <left style="thin">
        <color rgb="FFBFBFBF"/>
      </left>
      <right style="thin">
        <color rgb="FFBFBFBF"/>
      </right>
      <top style="medium">
        <color rgb="FF000000"/>
      </top>
      <bottom/>
      <diagonal/>
    </border>
    <border>
      <left style="thin">
        <color rgb="FF404040"/>
      </left>
      <right style="thin">
        <color rgb="FFBFBFBF"/>
      </right>
      <top style="medium">
        <color rgb="FF000000"/>
      </top>
      <bottom/>
      <diagonal/>
    </border>
    <border>
      <left style="thin">
        <color rgb="FFBFBFBF"/>
      </left>
      <right style="thin">
        <color rgb="FF404040"/>
      </right>
      <top style="medium">
        <color rgb="FF000000"/>
      </top>
      <bottom/>
      <diagonal/>
    </border>
    <border>
      <left style="thin">
        <color rgb="FF404040"/>
      </left>
      <right style="thin">
        <color rgb="FFBFBFBF"/>
      </right>
      <top style="medium">
        <color rgb="FF000000"/>
      </top>
      <bottom style="thin">
        <color rgb="FFBFBFBF"/>
      </bottom>
      <diagonal/>
    </border>
    <border>
      <left style="thin">
        <color rgb="FFBFBFBF"/>
      </left>
      <right style="thin">
        <color rgb="FFBFBFBF"/>
      </right>
      <top style="medium">
        <color rgb="FF000000"/>
      </top>
      <bottom style="thin">
        <color rgb="FFBFBFBF"/>
      </bottom>
      <diagonal/>
    </border>
    <border>
      <left style="thin">
        <color rgb="FFBFBFBF"/>
      </left>
      <right style="medium">
        <color rgb="FF000000"/>
      </right>
      <top style="medium">
        <color rgb="FF000000"/>
      </top>
      <bottom/>
      <diagonal/>
    </border>
    <border>
      <left style="medium">
        <color rgb="FF000000"/>
      </left>
      <right style="thin">
        <color rgb="FFBFBFBF"/>
      </right>
      <top/>
      <bottom/>
      <diagonal/>
    </border>
    <border>
      <left style="thin">
        <color rgb="FF404040"/>
      </left>
      <right style="thin">
        <color rgb="FFBFBFBF"/>
      </right>
      <top/>
      <bottom style="thin">
        <color rgb="FFBFBFBF"/>
      </bottom>
      <diagonal/>
    </border>
    <border>
      <left style="thin">
        <color rgb="FFBFBFBF"/>
      </left>
      <right style="thin">
        <color rgb="FF404040"/>
      </right>
      <top/>
      <bottom style="thin">
        <color rgb="FFBFBFBF"/>
      </bottom>
      <diagonal/>
    </border>
    <border>
      <left style="thin">
        <color rgb="FF404040"/>
      </left>
      <right/>
      <top style="thin">
        <color rgb="FFBFBFBF"/>
      </top>
      <bottom style="thin">
        <color rgb="FFBFBFBF"/>
      </bottom>
      <diagonal/>
    </border>
    <border>
      <left style="thin">
        <color rgb="FFBFBFBF"/>
      </left>
      <right style="medium">
        <color rgb="FF000000"/>
      </right>
      <top/>
      <bottom style="thin">
        <color rgb="FFBFBFBF"/>
      </bottom>
      <diagonal/>
    </border>
    <border>
      <left style="thin">
        <color rgb="FF404040"/>
      </left>
      <right/>
      <top style="thin">
        <color rgb="FF404040"/>
      </top>
      <bottom/>
      <diagonal/>
    </border>
    <border>
      <left/>
      <right/>
      <top style="thin">
        <color rgb="FF404040"/>
      </top>
      <bottom/>
      <diagonal/>
    </border>
    <border>
      <left/>
      <right style="thin">
        <color rgb="FF404040"/>
      </right>
      <top style="thin">
        <color rgb="FF404040"/>
      </top>
      <bottom/>
      <diagonal/>
    </border>
    <border>
      <left style="thin">
        <color rgb="FF404040"/>
      </left>
      <right style="thin">
        <color rgb="FFBFBFBF"/>
      </right>
      <top style="thin">
        <color rgb="FF404040"/>
      </top>
      <bottom/>
      <diagonal/>
    </border>
    <border>
      <left style="thin">
        <color rgb="FFBFBFBF"/>
      </left>
      <right style="thin">
        <color rgb="FFBFBFBF"/>
      </right>
      <top style="thin">
        <color rgb="FF404040"/>
      </top>
      <bottom/>
      <diagonal/>
    </border>
    <border>
      <left style="thin">
        <color rgb="FFBFBFBF"/>
      </left>
      <right style="thin">
        <color rgb="FF404040"/>
      </right>
      <top style="thin">
        <color rgb="FF404040"/>
      </top>
      <bottom/>
      <diagonal/>
    </border>
    <border>
      <left style="thin">
        <color rgb="FF404040"/>
      </left>
      <right style="thin">
        <color rgb="FFBFBFBF"/>
      </right>
      <top style="thin">
        <color rgb="FF404040"/>
      </top>
      <bottom style="thin">
        <color rgb="FFBFBFBF"/>
      </bottom>
      <diagonal/>
    </border>
    <border>
      <left style="thin">
        <color rgb="FFBFBFBF"/>
      </left>
      <right style="thin">
        <color rgb="FFBFBFBF"/>
      </right>
      <top style="thin">
        <color rgb="FF404040"/>
      </top>
      <bottom style="thin">
        <color rgb="FFBFBFBF"/>
      </bottom>
      <diagonal/>
    </border>
    <border>
      <left/>
      <right style="medium">
        <color rgb="FF000000"/>
      </right>
      <top style="thin">
        <color rgb="FF404040"/>
      </top>
      <bottom/>
      <diagonal/>
    </border>
    <border>
      <left style="medium">
        <color rgb="FF000000"/>
      </left>
      <right style="thin">
        <color rgb="FFBFBFBF"/>
      </right>
      <top/>
      <bottom style="medium">
        <color rgb="FF000000"/>
      </bottom>
      <diagonal/>
    </border>
    <border>
      <left style="thin">
        <color rgb="FFBFBFBF"/>
      </left>
      <right style="thin">
        <color rgb="FFBFBFBF"/>
      </right>
      <top/>
      <bottom style="medium">
        <color rgb="FF000000"/>
      </bottom>
      <diagonal/>
    </border>
    <border>
      <left style="thin">
        <color rgb="FF404040"/>
      </left>
      <right/>
      <top/>
      <bottom style="medium">
        <color rgb="FF000000"/>
      </bottom>
      <diagonal/>
    </border>
    <border>
      <left/>
      <right/>
      <top/>
      <bottom style="medium">
        <color rgb="FF000000"/>
      </bottom>
      <diagonal/>
    </border>
    <border>
      <left/>
      <right style="thin">
        <color rgb="FF404040"/>
      </right>
      <top/>
      <bottom style="medium">
        <color rgb="FF000000"/>
      </bottom>
      <diagonal/>
    </border>
    <border>
      <left style="thin">
        <color rgb="FF404040"/>
      </left>
      <right style="thin">
        <color rgb="FFBFBFBF"/>
      </right>
      <top/>
      <bottom style="medium">
        <color rgb="FF000000"/>
      </bottom>
      <diagonal/>
    </border>
    <border>
      <left style="thin">
        <color rgb="FFBFBFBF"/>
      </left>
      <right style="thin">
        <color rgb="FF404040"/>
      </right>
      <top/>
      <bottom style="medium">
        <color rgb="FF000000"/>
      </bottom>
      <diagonal/>
    </border>
    <border>
      <left style="thin">
        <color rgb="FF404040"/>
      </left>
      <right/>
      <top style="thin">
        <color rgb="FFBFBFBF"/>
      </top>
      <bottom style="medium">
        <color rgb="FF000000"/>
      </bottom>
      <diagonal/>
    </border>
    <border>
      <left/>
      <right/>
      <top style="thin">
        <color rgb="FFBFBFBF"/>
      </top>
      <bottom style="medium">
        <color rgb="FF000000"/>
      </bottom>
      <diagonal/>
    </border>
    <border>
      <left/>
      <right style="thin">
        <color rgb="FFBFBFBF"/>
      </right>
      <top style="thin">
        <color rgb="FFBFBFBF"/>
      </top>
      <bottom style="medium">
        <color rgb="FF000000"/>
      </bottom>
      <diagonal/>
    </border>
    <border>
      <left/>
      <right style="medium">
        <color rgb="FF000000"/>
      </right>
      <top/>
      <bottom style="medium">
        <color rgb="FF000000"/>
      </bottom>
      <diagonal/>
    </border>
    <border>
      <left style="thin">
        <color rgb="FFBFBFBF"/>
      </left>
      <right style="medium">
        <color rgb="FF000000"/>
      </right>
      <top/>
      <bottom style="medium">
        <color rgb="FF000000"/>
      </bottom>
      <diagonal/>
    </border>
    <border>
      <left style="thin">
        <color rgb="FF404040"/>
      </left>
      <right/>
      <top/>
      <bottom style="thin">
        <color rgb="FF404040"/>
      </bottom>
      <diagonal/>
    </border>
    <border>
      <left/>
      <right/>
      <top/>
      <bottom style="thin">
        <color rgb="FF404040"/>
      </bottom>
      <diagonal/>
    </border>
    <border>
      <left/>
      <right style="thin">
        <color rgb="FF404040"/>
      </right>
      <top/>
      <bottom style="thin">
        <color rgb="FF404040"/>
      </bottom>
      <diagonal/>
    </border>
    <border>
      <left/>
      <right style="medium">
        <color rgb="FF000000"/>
      </right>
      <top/>
      <bottom style="thin">
        <color rgb="FF404040"/>
      </bottom>
      <diagonal/>
    </border>
    <border>
      <left style="thin">
        <color rgb="FFBFBFBF"/>
      </left>
      <right style="medium">
        <color rgb="FF000000"/>
      </right>
      <top style="thin">
        <color rgb="FF404040"/>
      </top>
      <bottom/>
      <diagonal/>
    </border>
    <border>
      <left style="thin">
        <color rgb="FF404040"/>
      </left>
      <right/>
      <top style="thin">
        <color rgb="FFBFBFBF"/>
      </top>
      <bottom style="thin">
        <color rgb="FF404040"/>
      </bottom>
      <diagonal/>
    </border>
    <border>
      <left/>
      <right/>
      <top style="thin">
        <color rgb="FFBFBFBF"/>
      </top>
      <bottom style="thin">
        <color rgb="FF404040"/>
      </bottom>
      <diagonal/>
    </border>
    <border>
      <left/>
      <right style="thin">
        <color rgb="FFBFBFBF"/>
      </right>
      <top style="thin">
        <color rgb="FFBFBFBF"/>
      </top>
      <bottom style="thin">
        <color rgb="FF404040"/>
      </bottom>
      <diagonal/>
    </border>
    <border>
      <left style="thin">
        <color rgb="FF404040"/>
      </left>
      <right style="thin">
        <color rgb="FFBFBFBF"/>
      </right>
      <top/>
      <bottom style="thin">
        <color rgb="FF404040"/>
      </bottom>
      <diagonal/>
    </border>
    <border>
      <left style="thin">
        <color rgb="FFBFBFBF"/>
      </left>
      <right style="thin">
        <color rgb="FFBFBFBF"/>
      </right>
      <top/>
      <bottom style="thin">
        <color rgb="FF404040"/>
      </bottom>
      <diagonal/>
    </border>
    <border>
      <left style="thin">
        <color rgb="FFBFBFBF"/>
      </left>
      <right style="thin">
        <color rgb="FF404040"/>
      </right>
      <top/>
      <bottom style="thin">
        <color rgb="FF404040"/>
      </bottom>
      <diagonal/>
    </border>
    <border>
      <left style="thin">
        <color rgb="FFBFBFBF"/>
      </left>
      <right style="medium">
        <color rgb="FF000000"/>
      </right>
      <top/>
      <bottom style="thin">
        <color rgb="FF404040"/>
      </bottom>
      <diagonal/>
    </border>
    <border>
      <left/>
      <right/>
      <top/>
      <bottom/>
      <diagonal/>
    </border>
    <border>
      <left/>
      <right/>
      <top/>
      <bottom/>
      <diagonal/>
    </border>
    <border>
      <left/>
      <right/>
      <top/>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65">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pplyAlignment="1">
      <alignment vertical="top"/>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3" fillId="8" borderId="1" xfId="0" applyFont="1" applyFill="1" applyBorder="1" applyAlignment="1">
      <alignment horizontal="left" vertical="center"/>
    </xf>
    <xf numFmtId="0" fontId="2" fillId="0" borderId="0" xfId="0" applyFont="1" applyAlignment="1">
      <alignment vertical="top"/>
    </xf>
    <xf numFmtId="4" fontId="7" fillId="0" borderId="1" xfId="0" applyNumberFormat="1" applyFont="1" applyBorder="1" applyAlignment="1">
      <alignment horizontal="center" vertical="center" wrapText="1"/>
    </xf>
    <xf numFmtId="0" fontId="3" fillId="0" borderId="0" xfId="0" applyFont="1" applyAlignment="1">
      <alignment horizontal="left" vertical="top" wrapText="1"/>
    </xf>
    <xf numFmtId="164" fontId="7" fillId="0" borderId="1" xfId="0" applyNumberFormat="1" applyFont="1" applyBorder="1" applyAlignment="1">
      <alignment horizontal="center" vertical="center" wrapText="1"/>
    </xf>
    <xf numFmtId="0" fontId="7" fillId="0" borderId="1" xfId="0" applyFont="1" applyBorder="1" applyAlignment="1">
      <alignment horizontal="left" vertical="center" wrapText="1"/>
    </xf>
    <xf numFmtId="0" fontId="7" fillId="3" borderId="1" xfId="0" applyFont="1" applyFill="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7" fillId="9" borderId="1" xfId="0" applyFont="1" applyFill="1" applyBorder="1" applyAlignment="1">
      <alignment horizontal="left" vertical="center" wrapText="1"/>
    </xf>
    <xf numFmtId="0" fontId="7" fillId="3" borderId="1" xfId="0" applyFont="1" applyFill="1" applyBorder="1" applyAlignment="1">
      <alignment horizontal="center" vertical="center" wrapText="1"/>
    </xf>
    <xf numFmtId="164" fontId="7" fillId="10" borderId="1" xfId="0" applyNumberFormat="1"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wrapText="1"/>
    </xf>
    <xf numFmtId="0" fontId="7" fillId="9"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15" fillId="0" borderId="20" xfId="0" applyFont="1" applyBorder="1"/>
    <xf numFmtId="0" fontId="15" fillId="0" borderId="21" xfId="0" applyFont="1" applyBorder="1"/>
    <xf numFmtId="0" fontId="15" fillId="0" borderId="22" xfId="0" applyFont="1" applyBorder="1"/>
    <xf numFmtId="0" fontId="8" fillId="3" borderId="26" xfId="0" applyFont="1" applyFill="1" applyBorder="1" applyAlignment="1">
      <alignment horizontal="center" vertical="center" wrapText="1"/>
    </xf>
    <xf numFmtId="0" fontId="8" fillId="3" borderId="27" xfId="0" applyFont="1" applyFill="1" applyBorder="1" applyAlignment="1">
      <alignment horizontal="center" vertical="center" wrapText="1"/>
    </xf>
    <xf numFmtId="0" fontId="15" fillId="0" borderId="28" xfId="0" applyFont="1" applyBorder="1"/>
    <xf numFmtId="0" fontId="15" fillId="0" borderId="31" xfId="0" applyFont="1" applyBorder="1"/>
    <xf numFmtId="0" fontId="15" fillId="0" borderId="32" xfId="0" applyFont="1" applyBorder="1"/>
    <xf numFmtId="0" fontId="15" fillId="0" borderId="33" xfId="0" applyFont="1" applyBorder="1"/>
    <xf numFmtId="0" fontId="15" fillId="0" borderId="39" xfId="0" applyFont="1" applyBorder="1"/>
    <xf numFmtId="0" fontId="16" fillId="10" borderId="12" xfId="0" applyFont="1" applyFill="1" applyBorder="1" applyAlignment="1">
      <alignment horizontal="center" vertical="center" wrapText="1"/>
    </xf>
    <xf numFmtId="0" fontId="16" fillId="10" borderId="13" xfId="0" applyFont="1" applyFill="1" applyBorder="1" applyAlignment="1">
      <alignment horizontal="center" vertical="center" wrapText="1"/>
    </xf>
    <xf numFmtId="165" fontId="7" fillId="0" borderId="1" xfId="0" applyNumberFormat="1" applyFont="1" applyBorder="1" applyAlignment="1">
      <alignment horizontal="center" vertical="center" wrapText="1"/>
    </xf>
    <xf numFmtId="0" fontId="8" fillId="10"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8" fillId="9" borderId="1" xfId="0" applyFont="1" applyFill="1" applyBorder="1" applyAlignment="1">
      <alignment horizontal="center" vertical="center" wrapText="1"/>
    </xf>
    <xf numFmtId="0" fontId="15" fillId="0" borderId="41" xfId="0" applyFont="1" applyBorder="1"/>
    <xf numFmtId="0" fontId="15" fillId="0" borderId="42" xfId="0" applyFont="1" applyBorder="1"/>
    <xf numFmtId="0" fontId="15" fillId="0" borderId="43" xfId="0" applyFont="1" applyBorder="1"/>
    <xf numFmtId="0" fontId="15" fillId="0" borderId="44" xfId="0" applyFont="1" applyBorder="1"/>
    <xf numFmtId="0" fontId="8" fillId="9" borderId="12" xfId="0" applyFont="1" applyFill="1" applyBorder="1" applyAlignment="1">
      <alignment horizontal="center" vertical="center" wrapText="1"/>
    </xf>
    <xf numFmtId="0" fontId="8" fillId="9" borderId="13" xfId="0" applyFont="1" applyFill="1" applyBorder="1" applyAlignment="1">
      <alignment horizontal="center" vertical="center" wrapText="1"/>
    </xf>
    <xf numFmtId="0" fontId="8" fillId="15" borderId="12" xfId="0" applyFont="1" applyFill="1" applyBorder="1" applyAlignment="1">
      <alignment horizontal="center" vertical="center" wrapText="1"/>
    </xf>
    <xf numFmtId="0" fontId="8" fillId="15" borderId="13" xfId="0" applyFont="1" applyFill="1" applyBorder="1" applyAlignment="1">
      <alignment horizontal="center" vertical="center" wrapText="1"/>
    </xf>
    <xf numFmtId="0" fontId="8" fillId="15" borderId="26" xfId="0" applyFont="1" applyFill="1" applyBorder="1" applyAlignment="1">
      <alignment horizontal="center" vertical="center" wrapText="1"/>
    </xf>
    <xf numFmtId="0" fontId="8" fillId="15" borderId="27" xfId="0" applyFont="1" applyFill="1" applyBorder="1" applyAlignment="1">
      <alignment horizontal="center" vertical="center" wrapText="1"/>
    </xf>
    <xf numFmtId="165" fontId="7" fillId="9" borderId="1" xfId="0" applyNumberFormat="1" applyFont="1" applyFill="1" applyBorder="1" applyAlignment="1">
      <alignment horizontal="center" vertical="center" wrapText="1"/>
    </xf>
    <xf numFmtId="0" fontId="17" fillId="3" borderId="13"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16" fillId="3" borderId="13" xfId="0" applyFont="1" applyFill="1" applyBorder="1" applyAlignment="1">
      <alignment horizontal="center" vertical="center" wrapText="1"/>
    </xf>
    <xf numFmtId="0" fontId="3" fillId="8" borderId="1" xfId="0" applyFont="1" applyFill="1" applyBorder="1" applyAlignment="1">
      <alignment horizontal="center" vertical="center"/>
    </xf>
    <xf numFmtId="0" fontId="21" fillId="23" borderId="59" xfId="0" applyFont="1" applyFill="1" applyBorder="1" applyAlignment="1">
      <alignment horizontal="left" vertical="center" wrapText="1"/>
    </xf>
    <xf numFmtId="0" fontId="21" fillId="23" borderId="59" xfId="0" applyFont="1" applyFill="1" applyBorder="1" applyAlignment="1">
      <alignment horizontal="center" vertical="center" wrapText="1"/>
    </xf>
    <xf numFmtId="0" fontId="22" fillId="23" borderId="59" xfId="0" applyFont="1" applyFill="1" applyBorder="1" applyAlignment="1">
      <alignment horizontal="left" vertical="center" wrapText="1"/>
    </xf>
    <xf numFmtId="0" fontId="21" fillId="24" borderId="59" xfId="0" applyFont="1" applyFill="1" applyBorder="1" applyAlignment="1">
      <alignment horizontal="left" vertical="center" wrapText="1"/>
    </xf>
    <xf numFmtId="0" fontId="21" fillId="24" borderId="59" xfId="0" applyFont="1" applyFill="1" applyBorder="1" applyAlignment="1">
      <alignment horizontal="center" vertical="center" wrapText="1"/>
    </xf>
    <xf numFmtId="0" fontId="22" fillId="24" borderId="59" xfId="0" applyFont="1" applyFill="1" applyBorder="1" applyAlignment="1">
      <alignment horizontal="left" vertical="center" wrapText="1"/>
    </xf>
    <xf numFmtId="0" fontId="21" fillId="25" borderId="59" xfId="0" applyFont="1" applyFill="1" applyBorder="1" applyAlignment="1">
      <alignment horizontal="left" vertical="center" wrapText="1"/>
    </xf>
    <xf numFmtId="0" fontId="21" fillId="25" borderId="59" xfId="0" applyFont="1" applyFill="1" applyBorder="1" applyAlignment="1">
      <alignment horizontal="center" vertical="center" wrapText="1"/>
    </xf>
    <xf numFmtId="0" fontId="22" fillId="25" borderId="59" xfId="0" applyFont="1" applyFill="1" applyBorder="1" applyAlignment="1">
      <alignment horizontal="left" vertical="center" wrapText="1"/>
    </xf>
    <xf numFmtId="0" fontId="21" fillId="26" borderId="59" xfId="0" applyFont="1" applyFill="1" applyBorder="1" applyAlignment="1">
      <alignment horizontal="left" vertical="center" wrapText="1"/>
    </xf>
    <xf numFmtId="0" fontId="21" fillId="26" borderId="59" xfId="0" applyFont="1" applyFill="1" applyBorder="1" applyAlignment="1">
      <alignment horizontal="center" vertical="center" wrapText="1"/>
    </xf>
    <xf numFmtId="0" fontId="22" fillId="26" borderId="59" xfId="0" applyFont="1" applyFill="1" applyBorder="1" applyAlignment="1">
      <alignment horizontal="left" vertical="center" wrapText="1"/>
    </xf>
    <xf numFmtId="0" fontId="9" fillId="11" borderId="2" xfId="0" applyFont="1" applyFill="1" applyBorder="1" applyAlignment="1">
      <alignment horizontal="left" vertical="top" wrapText="1"/>
    </xf>
    <xf numFmtId="0" fontId="10" fillId="0" borderId="3" xfId="0" applyFont="1" applyBorder="1"/>
    <xf numFmtId="0" fontId="10" fillId="0" borderId="4" xfId="0" applyFont="1" applyBorder="1"/>
    <xf numFmtId="0" fontId="11" fillId="2" borderId="5" xfId="0" applyFont="1" applyFill="1" applyBorder="1" applyAlignment="1">
      <alignment horizontal="center" vertical="center" wrapText="1"/>
    </xf>
    <xf numFmtId="0" fontId="10" fillId="0" borderId="6" xfId="0" applyFont="1" applyBorder="1"/>
    <xf numFmtId="0" fontId="10" fillId="0" borderId="7" xfId="0" applyFont="1" applyBorder="1"/>
    <xf numFmtId="0" fontId="5" fillId="2" borderId="2" xfId="0" applyFont="1" applyFill="1" applyBorder="1" applyAlignment="1">
      <alignment horizontal="center" vertical="center" wrapText="1"/>
    </xf>
    <xf numFmtId="0" fontId="9" fillId="11" borderId="2" xfId="0" applyFont="1" applyFill="1" applyBorder="1" applyAlignment="1">
      <alignment horizontal="center" vertical="center" wrapText="1"/>
    </xf>
    <xf numFmtId="0" fontId="11" fillId="14" borderId="11" xfId="0" applyFont="1" applyFill="1" applyBorder="1" applyAlignment="1">
      <alignment horizontal="center" vertical="center" wrapText="1"/>
    </xf>
    <xf numFmtId="0" fontId="10" fillId="0" borderId="17" xfId="0" applyFont="1" applyBorder="1"/>
    <xf numFmtId="0" fontId="12" fillId="3" borderId="18" xfId="0" applyFont="1" applyFill="1" applyBorder="1" applyAlignment="1">
      <alignment horizontal="center" vertical="top" wrapText="1"/>
    </xf>
    <xf numFmtId="0" fontId="11" fillId="14" borderId="25" xfId="0" applyFont="1" applyFill="1" applyBorder="1" applyAlignment="1">
      <alignment horizontal="center" vertical="center" wrapText="1"/>
    </xf>
    <xf numFmtId="0" fontId="10" fillId="0" borderId="35" xfId="0" applyFont="1" applyBorder="1"/>
    <xf numFmtId="0" fontId="12" fillId="3" borderId="36" xfId="0" applyFont="1" applyFill="1" applyBorder="1" applyAlignment="1">
      <alignment horizontal="center" vertical="top" wrapText="1"/>
    </xf>
    <xf numFmtId="0" fontId="10" fillId="0" borderId="37" xfId="0" applyFont="1" applyBorder="1"/>
    <xf numFmtId="0" fontId="10" fillId="0" borderId="38" xfId="0" applyFont="1" applyBorder="1"/>
    <xf numFmtId="0" fontId="12" fillId="3" borderId="9" xfId="0" applyFont="1" applyFill="1" applyBorder="1" applyAlignment="1">
      <alignment horizontal="center" vertical="top" wrapText="1"/>
    </xf>
    <xf numFmtId="0" fontId="8" fillId="3" borderId="10" xfId="0" applyFont="1" applyFill="1" applyBorder="1" applyAlignment="1">
      <alignment horizontal="center" vertical="center" wrapText="1"/>
    </xf>
    <xf numFmtId="0" fontId="10" fillId="0" borderId="16" xfId="0" applyFont="1" applyBorder="1"/>
    <xf numFmtId="0" fontId="8" fillId="15" borderId="10" xfId="0" applyFont="1" applyFill="1" applyBorder="1" applyAlignment="1">
      <alignment horizontal="center" vertical="center" wrapText="1"/>
    </xf>
    <xf numFmtId="0" fontId="12" fillId="15" borderId="9" xfId="0" applyFont="1" applyFill="1" applyBorder="1" applyAlignment="1">
      <alignment horizontal="center" vertical="top" wrapText="1"/>
    </xf>
    <xf numFmtId="0" fontId="11" fillId="16" borderId="11" xfId="0" applyFont="1" applyFill="1" applyBorder="1" applyAlignment="1">
      <alignment horizontal="center" vertical="center" wrapText="1"/>
    </xf>
    <xf numFmtId="0" fontId="11" fillId="14" borderId="14" xfId="0" applyFont="1" applyFill="1" applyBorder="1" applyAlignment="1">
      <alignment horizontal="center" vertical="center" wrapText="1"/>
    </xf>
    <xf numFmtId="0" fontId="10" fillId="0" borderId="19" xfId="0" applyFont="1" applyBorder="1"/>
    <xf numFmtId="0" fontId="14" fillId="3" borderId="10"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8" fillId="3" borderId="23" xfId="0" applyFont="1" applyFill="1" applyBorder="1" applyAlignment="1">
      <alignment horizontal="center" vertical="center" wrapText="1"/>
    </xf>
    <xf numFmtId="0" fontId="10" fillId="0" borderId="34" xfId="0" applyFont="1" applyBorder="1"/>
    <xf numFmtId="0" fontId="11" fillId="2" borderId="8" xfId="0" applyFont="1" applyFill="1" applyBorder="1" applyAlignment="1">
      <alignment horizontal="center" vertical="center" wrapText="1"/>
    </xf>
    <xf numFmtId="0" fontId="10" fillId="0" borderId="15" xfId="0" applyFont="1" applyBorder="1"/>
    <xf numFmtId="0" fontId="10" fillId="0" borderId="29" xfId="0" applyFont="1" applyBorder="1"/>
    <xf numFmtId="0" fontId="11" fillId="2" borderId="9" xfId="0" applyFont="1" applyFill="1" applyBorder="1" applyAlignment="1">
      <alignment horizontal="center" vertical="center" wrapText="1"/>
    </xf>
    <xf numFmtId="0" fontId="10" fillId="0" borderId="30" xfId="0" applyFont="1" applyBorder="1"/>
    <xf numFmtId="0" fontId="11" fillId="13" borderId="9" xfId="0" applyFont="1" applyFill="1" applyBorder="1" applyAlignment="1">
      <alignment horizontal="center" vertical="center" wrapText="1"/>
    </xf>
    <xf numFmtId="0" fontId="12" fillId="3" borderId="24" xfId="0" applyFont="1" applyFill="1" applyBorder="1" applyAlignment="1">
      <alignment horizontal="center" vertical="top" wrapText="1"/>
    </xf>
    <xf numFmtId="0" fontId="11" fillId="17" borderId="9" xfId="0" applyFont="1" applyFill="1" applyBorder="1" applyAlignment="1">
      <alignment horizontal="center" vertical="center" wrapText="1"/>
    </xf>
    <xf numFmtId="0" fontId="11" fillId="18" borderId="11" xfId="0" applyFont="1" applyFill="1" applyBorder="1" applyAlignment="1">
      <alignment horizontal="center" vertical="center" wrapText="1"/>
    </xf>
    <xf numFmtId="0" fontId="16" fillId="10" borderId="10" xfId="0" applyFont="1" applyFill="1" applyBorder="1" applyAlignment="1">
      <alignment horizontal="center" vertical="center" wrapText="1"/>
    </xf>
    <xf numFmtId="0" fontId="12" fillId="10" borderId="9" xfId="0" applyFont="1" applyFill="1" applyBorder="1" applyAlignment="1">
      <alignment horizontal="center" vertical="top" wrapText="1"/>
    </xf>
    <xf numFmtId="0" fontId="11" fillId="18" borderId="14" xfId="0" applyFont="1" applyFill="1" applyBorder="1" applyAlignment="1">
      <alignment horizontal="center" vertical="center" wrapText="1"/>
    </xf>
    <xf numFmtId="0" fontId="10" fillId="0" borderId="40" xfId="0" applyFont="1" applyBorder="1"/>
    <xf numFmtId="0" fontId="12" fillId="10" borderId="36" xfId="0" applyFont="1" applyFill="1" applyBorder="1" applyAlignment="1">
      <alignment horizontal="center" vertical="top" wrapText="1"/>
    </xf>
    <xf numFmtId="0" fontId="11" fillId="18" borderId="9" xfId="0" applyFont="1" applyFill="1" applyBorder="1" applyAlignment="1">
      <alignment horizontal="center" vertical="center" wrapText="1"/>
    </xf>
    <xf numFmtId="0" fontId="12" fillId="10" borderId="18" xfId="0" applyFont="1" applyFill="1" applyBorder="1" applyAlignment="1">
      <alignment horizontal="center" vertical="top" wrapText="1"/>
    </xf>
    <xf numFmtId="0" fontId="14" fillId="3" borderId="23" xfId="0" applyFont="1" applyFill="1" applyBorder="1" applyAlignment="1">
      <alignment horizontal="center" vertical="center" wrapText="1"/>
    </xf>
    <xf numFmtId="0" fontId="8" fillId="15" borderId="23" xfId="0" applyFont="1" applyFill="1" applyBorder="1" applyAlignment="1">
      <alignment horizontal="center" vertical="center" wrapText="1"/>
    </xf>
    <xf numFmtId="0" fontId="12" fillId="15" borderId="24" xfId="0" applyFont="1" applyFill="1" applyBorder="1" applyAlignment="1">
      <alignment horizontal="center" vertical="top" wrapText="1"/>
    </xf>
    <xf numFmtId="0" fontId="11" fillId="16" borderId="25"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13" fillId="15" borderId="10" xfId="0" applyFont="1" applyFill="1" applyBorder="1" applyAlignment="1">
      <alignment horizontal="center" vertical="center" wrapText="1"/>
    </xf>
    <xf numFmtId="0" fontId="14" fillId="15" borderId="10" xfId="0" applyFont="1" applyFill="1" applyBorder="1" applyAlignment="1">
      <alignment horizontal="center" vertical="center" wrapText="1"/>
    </xf>
    <xf numFmtId="0" fontId="14" fillId="9" borderId="10" xfId="0" applyFont="1" applyFill="1" applyBorder="1" applyAlignment="1">
      <alignment horizontal="center" vertical="center" wrapText="1"/>
    </xf>
    <xf numFmtId="0" fontId="12" fillId="9" borderId="9" xfId="0" applyFont="1" applyFill="1" applyBorder="1" applyAlignment="1">
      <alignment horizontal="center" vertical="top" wrapText="1"/>
    </xf>
    <xf numFmtId="0" fontId="11" fillId="19" borderId="11" xfId="0" applyFont="1" applyFill="1" applyBorder="1" applyAlignment="1">
      <alignment horizontal="center" vertical="center" wrapText="1"/>
    </xf>
    <xf numFmtId="0" fontId="10" fillId="0" borderId="50" xfId="0" applyFont="1" applyBorder="1"/>
    <xf numFmtId="0" fontId="10" fillId="0" borderId="51" xfId="0" applyFont="1" applyBorder="1"/>
    <xf numFmtId="0" fontId="14" fillId="15" borderId="23" xfId="0" applyFont="1" applyFill="1" applyBorder="1" applyAlignment="1">
      <alignment horizontal="center" vertical="center" wrapText="1"/>
    </xf>
    <xf numFmtId="0" fontId="10" fillId="0" borderId="49" xfId="0" applyFont="1" applyBorder="1"/>
    <xf numFmtId="0" fontId="13" fillId="15" borderId="23" xfId="0" applyFont="1" applyFill="1" applyBorder="1" applyAlignment="1">
      <alignment horizontal="center" vertical="center" wrapText="1"/>
    </xf>
    <xf numFmtId="0" fontId="12" fillId="20" borderId="24" xfId="0" applyFont="1" applyFill="1" applyBorder="1" applyAlignment="1">
      <alignment horizontal="center" vertical="top" wrapText="1"/>
    </xf>
    <xf numFmtId="0" fontId="11" fillId="17" borderId="25" xfId="0" applyFont="1" applyFill="1" applyBorder="1" applyAlignment="1">
      <alignment horizontal="center" vertical="center" wrapText="1"/>
    </xf>
    <xf numFmtId="0" fontId="8" fillId="20" borderId="23" xfId="0" applyFont="1" applyFill="1" applyBorder="1" applyAlignment="1">
      <alignment horizontal="center" vertical="center" wrapText="1"/>
    </xf>
    <xf numFmtId="0" fontId="13" fillId="20" borderId="23" xfId="0" applyFont="1" applyFill="1" applyBorder="1" applyAlignment="1">
      <alignment horizontal="center" vertical="center" wrapText="1"/>
    </xf>
    <xf numFmtId="0" fontId="14" fillId="20" borderId="23" xfId="0" applyFont="1" applyFill="1" applyBorder="1" applyAlignment="1">
      <alignment horizontal="center" vertical="center" wrapText="1"/>
    </xf>
    <xf numFmtId="0" fontId="18" fillId="20" borderId="23" xfId="0" applyFont="1" applyFill="1" applyBorder="1" applyAlignment="1">
      <alignment horizontal="center" vertical="center" wrapText="1"/>
    </xf>
    <xf numFmtId="0" fontId="12" fillId="3" borderId="46" xfId="0" applyFont="1" applyFill="1" applyBorder="1" applyAlignment="1">
      <alignment horizontal="center" vertical="top" wrapText="1"/>
    </xf>
    <xf numFmtId="0" fontId="10" fillId="0" borderId="47" xfId="0" applyFont="1" applyBorder="1"/>
    <xf numFmtId="0" fontId="10" fillId="0" borderId="48" xfId="0" applyFont="1" applyBorder="1"/>
    <xf numFmtId="0" fontId="12" fillId="9" borderId="18" xfId="0" applyFont="1" applyFill="1" applyBorder="1" applyAlignment="1">
      <alignment horizontal="center" vertical="top" wrapText="1"/>
    </xf>
    <xf numFmtId="0" fontId="11" fillId="14" borderId="45" xfId="0" applyFont="1" applyFill="1" applyBorder="1" applyAlignment="1">
      <alignment horizontal="center" vertical="center" wrapText="1"/>
    </xf>
    <xf numFmtId="0" fontId="10" fillId="0" borderId="52" xfId="0" applyFont="1" applyBorder="1"/>
    <xf numFmtId="0" fontId="8" fillId="9" borderId="23" xfId="0" applyFont="1" applyFill="1" applyBorder="1" applyAlignment="1">
      <alignment horizontal="center" vertical="center" wrapText="1"/>
    </xf>
    <xf numFmtId="0" fontId="12" fillId="9" borderId="24" xfId="0" applyFont="1" applyFill="1" applyBorder="1" applyAlignment="1">
      <alignment horizontal="center" vertical="top" wrapText="1"/>
    </xf>
    <xf numFmtId="0" fontId="11" fillId="19" borderId="25" xfId="0" applyFont="1" applyFill="1" applyBorder="1" applyAlignment="1">
      <alignment horizontal="center" vertical="center" wrapText="1"/>
    </xf>
    <xf numFmtId="0" fontId="12" fillId="15" borderId="18" xfId="0" applyFont="1" applyFill="1" applyBorder="1" applyAlignment="1">
      <alignment horizontal="center" vertical="top" wrapText="1"/>
    </xf>
    <xf numFmtId="0" fontId="12" fillId="15" borderId="46" xfId="0" applyFont="1" applyFill="1" applyBorder="1" applyAlignment="1">
      <alignment horizontal="center" vertical="top" wrapText="1"/>
    </xf>
    <xf numFmtId="0" fontId="11" fillId="16" borderId="45" xfId="0" applyFont="1" applyFill="1" applyBorder="1" applyAlignment="1">
      <alignment horizontal="center" vertical="center" wrapText="1"/>
    </xf>
    <xf numFmtId="0" fontId="11" fillId="19" borderId="45" xfId="0" applyFont="1" applyFill="1" applyBorder="1" applyAlignment="1">
      <alignment horizontal="center" vertical="center" wrapText="1"/>
    </xf>
    <xf numFmtId="0" fontId="8" fillId="9" borderId="10" xfId="0" applyFont="1" applyFill="1" applyBorder="1" applyAlignment="1">
      <alignment horizontal="center" vertical="center" wrapText="1"/>
    </xf>
    <xf numFmtId="0" fontId="12" fillId="15" borderId="36" xfId="0" applyFont="1" applyFill="1" applyBorder="1" applyAlignment="1">
      <alignment horizontal="center" vertical="top" wrapText="1"/>
    </xf>
    <xf numFmtId="0" fontId="19" fillId="21" borderId="53" xfId="0" applyFont="1" applyFill="1" applyBorder="1" applyAlignment="1">
      <alignment horizontal="center" vertical="center" wrapText="1"/>
    </xf>
    <xf numFmtId="0" fontId="10" fillId="0" borderId="54" xfId="0" applyFont="1" applyBorder="1"/>
    <xf numFmtId="0" fontId="10" fillId="0" borderId="55" xfId="0" applyFont="1" applyBorder="1"/>
    <xf numFmtId="0" fontId="20" fillId="22" borderId="56" xfId="0" applyFont="1" applyFill="1" applyBorder="1" applyAlignment="1">
      <alignment horizontal="center" vertical="center" wrapText="1"/>
    </xf>
    <xf numFmtId="0" fontId="10" fillId="0" borderId="57" xfId="0" applyFont="1" applyBorder="1"/>
    <xf numFmtId="0" fontId="10" fillId="0" borderId="58" xfId="0" applyFont="1" applyBorder="1"/>
    <xf numFmtId="0" fontId="0" fillId="0" borderId="0" xfId="0" applyAlignment="1">
      <alignment horizontal="center" vertical="center" wrapText="1"/>
    </xf>
    <xf numFmtId="0" fontId="3" fillId="8" borderId="1"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8">
    <dxf>
      <border>
        <left style="thin">
          <color rgb="FFFFFFFF"/>
        </left>
        <right style="thin">
          <color rgb="FFFFFFFF"/>
        </right>
        <top style="thin">
          <color rgb="FFFFFFFF"/>
        </top>
        <bottom style="thin">
          <color rgb="FFFFFFFF"/>
        </bottom>
      </border>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border>
        <left style="thin">
          <color rgb="FFFFFFFF"/>
        </left>
        <right style="thin">
          <color rgb="FFFFFFFF"/>
        </right>
        <top style="thin">
          <color rgb="FFFFFFFF"/>
        </top>
        <bottom style="thin">
          <color rgb="FFFFFFFF"/>
        </bottom>
      </border>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s>
  <tableStyles count="2">
    <tableStyle name="iCoA Register-style" pivot="0" count="4" xr9:uid="{00000000-0011-0000-FFFF-FFFF00000000}">
      <tableStyleElement type="wholeTable" size="0" dxfId="4"/>
      <tableStyleElement type="headerRow" dxfId="7"/>
      <tableStyleElement type="firstRowStripe" dxfId="6"/>
      <tableStyleElement type="secondRowStripe" dxfId="5"/>
    </tableStyle>
    <tableStyle name="CoQ Register-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 Id="rId27" Type="http://schemas.openxmlformats.org/officeDocument/2006/relationships/worksheet" Target="worksheets/sheet22.xml"/><Relationship Id="rId28" Type="http://schemas.openxmlformats.org/officeDocument/2006/relationships/worksheet" Target="worksheets/sheet23.xml"/><Relationship Id="rId29" Type="http://schemas.openxmlformats.org/officeDocument/2006/relationships/worksheet" Target="worksheets/sheet24.xml"/><Relationship Id="rId30" Type="http://schemas.openxmlformats.org/officeDocument/2006/relationships/worksheet" Target="worksheets/sheetX1.xml"/><Relationship Id="rId31" Type="http://schemas.openxmlformats.org/officeDocument/2006/relationships/worksheet" Target="worksheets/sheetX2.xml"/><Relationship Id="rId32" Type="http://schemas.openxmlformats.org/officeDocument/2006/relationships/worksheet" Target="worksheets/sheetX3.xml"/><Relationship Id="rId33" Type="http://schemas.openxmlformats.org/officeDocument/2006/relationships/worksheet" Target="worksheets/sheetY1.xml"/><Relationship Id="rId34" Type="http://schemas.openxmlformats.org/officeDocument/2006/relationships/worksheet" Target="worksheets/sheetY2.xml"/><Relationship Id="rId35" Type="http://schemas.openxmlformats.org/officeDocument/2006/relationships/worksheet" Target="worksheets/sheetY3.xml"/><Relationship Id="rId36" Type="http://schemas.openxmlformats.org/officeDocument/2006/relationships/worksheet" Target="worksheets/sheetY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CoA_Register" displayName="iCoA_Register" ref="A1:Q158">
  <tableColumns count="17">
    <tableColumn id="1" xr3:uid="{00000000-0010-0000-0000-000001000000}" name="No."/>
    <tableColumn id="2" xr3:uid="{00000000-0010-0000-0000-000002000000}" name="iCoA code"/>
    <tableColumn id="3" xr3:uid="{00000000-0010-0000-0000-000003000000}" name="Issuable"/>
    <tableColumn id="4" xr3:uid="{00000000-0010-0000-0000-000004000000}" name="Issue date (planned)"/>
    <tableColumn id="5" xr3:uid="{00000000-0010-0000-0000-000005000000}" name="Test date (packaging)"/>
    <tableColumn id="6" xr3:uid="{00000000-0010-0000-0000-000006000000}" name="Packaging complete"/>
    <tableColumn id="7" xr3:uid="{00000000-0010-0000-0000-000007000000}" name="Group"/>
    <tableColumn id="8" xr3:uid="{00000000-0010-0000-0000-000008000000}" name="Series"/>
    <tableColumn id="9" xr3:uid="{00000000-0010-0000-0000-000009000000}" name="CU Batch"/>
    <tableColumn id="10" xr3:uid="{00000000-0010-0000-0000-00000A000000}" name="P Batch"/>
    <tableColumn id="11" xr3:uid="{00000000-0010-0000-0000-00000B000000}" name="Strain"/>
    <tableColumn id="12" xr3:uid="{00000000-0010-0000-0000-00000C000000}" name="iCoA scope"/>
    <tableColumn id="13" xr3:uid="{00000000-0010-0000-0000-00000D000000}" name="CNP reference"/>
    <tableColumn id="14" xr3:uid="{00000000-0010-0000-0000-00000E000000}" name="CoQ (register)"/>
    <tableColumn id="15" xr3:uid="{00000000-0010-0000-0000-00000F000000}" name="Plan reference (31.08.2026)"/>
    <tableColumn id="16" xr3:uid="{00000000-0010-0000-0000-000010000000}" name="Key"/>
    <tableColumn id="17" xr3:uid="{00000000-0010-0000-0000-000011000000}" name="Status"/>
  </tableColumns>
  <tableStyleInfo name="iCoA Regi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Q_Register" displayName="CoQ_Register" ref="A1:T158">
  <tableColumns count="20">
    <tableColumn id="1" xr3:uid="{00000000-0010-0000-0100-000001000000}" name="No."/>
    <tableColumn id="2" xr3:uid="{00000000-0010-0000-0100-000002000000}" name="CoQ code"/>
    <tableColumn id="3" xr3:uid="{00000000-0010-0000-0100-000003000000}" name="Issuable"/>
    <tableColumn id="4" xr3:uid="{00000000-0010-0000-0100-000004000000}" name="Issue date (planned)"/>
    <tableColumn id="5" xr3:uid="{00000000-0010-0000-0100-000005000000}" name="Rule date"/>
    <tableColumn id="6" xr3:uid="{00000000-0010-0000-0100-000006000000}" name="Latest eCoA cited (date)"/>
    <tableColumn id="7" xr3:uid="{00000000-0010-0000-0100-000007000000}" name="Latest eCoA cited (code)"/>
    <tableColumn id="8" xr3:uid="{00000000-0010-0000-0100-000008000000}" name="iCoA (register)"/>
    <tableColumn id="9" xr3:uid="{00000000-0010-0000-0100-000009000000}" name="iCoA issue date"/>
    <tableColumn id="10" xr3:uid="{00000000-0010-0000-0100-00000A000000}" name="Group"/>
    <tableColumn id="11" xr3:uid="{00000000-0010-0000-0100-00000B000000}" name="Series"/>
    <tableColumn id="12" xr3:uid="{00000000-0010-0000-0100-00000C000000}" name="CU Batch"/>
    <tableColumn id="13" xr3:uid="{00000000-0010-0000-0100-00000D000000}" name="P Batch"/>
    <tableColumn id="14" xr3:uid="{00000000-0010-0000-0100-00000E000000}" name="Strain"/>
    <tableColumn id="15" xr3:uid="{00000000-0010-0000-0100-00000F000000}" name="Ident C — eCoA (Total THC)"/>
    <tableColumn id="16" xr3:uid="{00000000-0010-0000-0100-000010000000}" name="CNP references"/>
    <tableColumn id="17" xr3:uid="{00000000-0010-0000-0100-000011000000}" name="Supersedes (old in-house CoA)"/>
    <tableColumn id="18" xr3:uid="{00000000-0010-0000-0100-000012000000}" name="Plan reference (31.08.2026)"/>
    <tableColumn id="19" xr3:uid="{00000000-0010-0000-0100-000013000000}" name="Key"/>
    <tableColumn id="20" xr3:uid="{00000000-0010-0000-0100-000014000000}" name="Status"/>
  </tableColumns>
  <tableStyleInfo name="CoQ Regist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T90"/>
  <sheetViews>
    <sheetView tabSelected="1" zoomScale="85" zoomScaleNormal="85" workbookViewId="0">
      <pane ySplit="1" topLeftCell="A56" activePane="bottomLeft" state="frozen"/>
      <selection activeCell="B3" sqref="B3"/>
      <selection pane="bottomLeft" activeCell="Q19" sqref="Q19"/>
    </sheetView>
  </sheetViews>
  <sheetFormatPr defaultColWidth="14.44140625" defaultRowHeight="14.4"/>
  <cols>
    <col min="1" max="2" width="13" style="162" customWidth="1"/>
    <col min="3" max="3" width="20" style="162" customWidth="1"/>
    <col min="4" max="4" width="15" style="162" customWidth="1"/>
    <col min="5" max="5" width="10.109375" style="162" customWidth="1"/>
    <col min="6" max="16" width="12" style="162" customWidth="1"/>
    <col min="17" max="17" width="60" style="162" customWidth="1"/>
    <col min="18" max="18" width="7" style="162" customWidth="1"/>
    <col min="19" max="19" width="42" style="162" customWidth="1"/>
    <col min="20" max="20" width="14.44140625" style="164"/>
    <col min="21" max="16384" width="14.44140625" style="162"/>
  </cols>
  <sheetData>
    <row r="1" spans="1:20" ht="50.4" customHeight="1">
      <c r="A1" s="4" t="s">
        <v>2</v>
      </c>
      <c r="B1" s="4" t="s">
        <v>6</v>
      </c>
      <c r="C1" s="4" t="s">
        <v>7</v>
      </c>
      <c r="D1" s="4" t="s">
        <v>8</v>
      </c>
      <c r="E1" s="4" t="s">
        <v>61</v>
      </c>
      <c r="F1" s="4" t="s">
        <v>13</v>
      </c>
      <c r="G1" s="4" t="s">
        <v>17</v>
      </c>
      <c r="H1" s="4" t="s">
        <v>22</v>
      </c>
      <c r="I1" s="4" t="s">
        <v>27</v>
      </c>
      <c r="J1" s="4" t="s">
        <v>32</v>
      </c>
      <c r="K1" s="4" t="s">
        <v>37</v>
      </c>
      <c r="L1" s="4" t="s">
        <v>41</v>
      </c>
      <c r="M1" s="4" t="s">
        <v>45</v>
      </c>
      <c r="N1" s="4" t="s">
        <v>49</v>
      </c>
      <c r="O1" s="4" t="s">
        <v>53</v>
      </c>
      <c r="P1" s="4" t="s">
        <v>57</v>
      </c>
      <c r="Q1" s="4" t="s">
        <v>63</v>
      </c>
      <c r="R1" s="4" t="s">
        <v>64</v>
      </c>
      <c r="S1" s="4" t="s">
        <v>67</v>
      </c>
      <c r="T1" s="162"/>
    </row>
    <row r="2" spans="1:20">
      <c r="A2" s="163" t="s">
        <v>313</v>
      </c>
      <c r="B2" s="163" t="s">
        <v>312</v>
      </c>
      <c r="C2" s="163" t="s">
        <v>234</v>
      </c>
      <c r="D2" s="163" t="s">
        <v>76</v>
      </c>
      <c r="E2" s="163" t="s">
        <v>3993</v>
      </c>
      <c r="F2" s="163" t="s">
        <v>79</v>
      </c>
      <c r="G2" s="163" t="s">
        <v>79</v>
      </c>
      <c r="H2" s="163" t="s">
        <v>79</v>
      </c>
      <c r="I2" s="163" t="s">
        <v>79</v>
      </c>
      <c r="J2" s="163" t="s">
        <v>79</v>
      </c>
      <c r="K2" s="163" t="s">
        <v>79</v>
      </c>
      <c r="L2" s="163" t="s">
        <v>79</v>
      </c>
      <c r="M2" s="163" t="s">
        <v>79</v>
      </c>
      <c r="N2" s="163" t="s">
        <v>79</v>
      </c>
      <c r="O2" s="163" t="s">
        <v>79</v>
      </c>
      <c r="P2" s="163" t="s">
        <v>79</v>
      </c>
      <c r="Q2" s="163" t="s">
        <v>86</v>
      </c>
      <c r="R2" s="163" t="s">
        <v>4362</v>
      </c>
      <c r="S2" s="163" t="s">
        <v>172</v>
      </c>
      <c r="T2" s="162"/>
    </row>
    <row r="3" spans="1:20">
      <c r="A3" s="163" t="s">
        <v>247</v>
      </c>
      <c r="B3" s="163" t="s">
        <v>250</v>
      </c>
      <c r="C3" s="163" t="s">
        <v>178</v>
      </c>
      <c r="D3" s="163" t="s">
        <v>76</v>
      </c>
      <c r="E3" s="163" t="s">
        <v>3993</v>
      </c>
      <c r="F3" s="163" t="s">
        <v>79</v>
      </c>
      <c r="G3" s="163" t="s">
        <v>79</v>
      </c>
      <c r="H3" s="163" t="s">
        <v>79</v>
      </c>
      <c r="I3" s="163" t="s">
        <v>79</v>
      </c>
      <c r="J3" s="163" t="s">
        <v>79</v>
      </c>
      <c r="K3" s="163" t="s">
        <v>79</v>
      </c>
      <c r="L3" s="163" t="s">
        <v>79</v>
      </c>
      <c r="M3" s="163" t="s">
        <v>79</v>
      </c>
      <c r="N3" s="163" t="s">
        <v>79</v>
      </c>
      <c r="O3" s="163" t="s">
        <v>79</v>
      </c>
      <c r="P3" s="163" t="s">
        <v>79</v>
      </c>
      <c r="Q3" s="163" t="s">
        <v>86</v>
      </c>
      <c r="R3" s="163" t="s">
        <v>4363</v>
      </c>
      <c r="S3" s="163" t="s">
        <v>427</v>
      </c>
      <c r="T3" s="162"/>
    </row>
    <row r="4" spans="1:20">
      <c r="A4" s="163" t="s">
        <v>309</v>
      </c>
      <c r="B4" s="163" t="s">
        <v>306</v>
      </c>
      <c r="C4" s="163" t="s">
        <v>222</v>
      </c>
      <c r="D4" s="163" t="s">
        <v>76</v>
      </c>
      <c r="E4" s="163" t="s">
        <v>3993</v>
      </c>
      <c r="F4" s="163" t="s">
        <v>79</v>
      </c>
      <c r="G4" s="163" t="s">
        <v>79</v>
      </c>
      <c r="H4" s="163" t="s">
        <v>79</v>
      </c>
      <c r="I4" s="163" t="s">
        <v>79</v>
      </c>
      <c r="J4" s="163" t="s">
        <v>79</v>
      </c>
      <c r="K4" s="163" t="s">
        <v>79</v>
      </c>
      <c r="L4" s="163" t="s">
        <v>79</v>
      </c>
      <c r="M4" s="163" t="s">
        <v>79</v>
      </c>
      <c r="N4" s="163" t="s">
        <v>79</v>
      </c>
      <c r="O4" s="163" t="s">
        <v>79</v>
      </c>
      <c r="P4" s="163" t="s">
        <v>79</v>
      </c>
      <c r="Q4" s="163" t="s">
        <v>86</v>
      </c>
      <c r="R4" s="163" t="s">
        <v>4362</v>
      </c>
      <c r="S4" s="163" t="s">
        <v>172</v>
      </c>
      <c r="T4" s="162"/>
    </row>
    <row r="5" spans="1:20">
      <c r="A5" s="163" t="s">
        <v>304</v>
      </c>
      <c r="B5" s="163" t="s">
        <v>302</v>
      </c>
      <c r="C5" s="163" t="s">
        <v>103</v>
      </c>
      <c r="D5" s="163" t="s">
        <v>76</v>
      </c>
      <c r="E5" s="163" t="s">
        <v>3993</v>
      </c>
      <c r="F5" s="163" t="s">
        <v>79</v>
      </c>
      <c r="G5" s="163" t="s">
        <v>79</v>
      </c>
      <c r="H5" s="163" t="s">
        <v>79</v>
      </c>
      <c r="I5" s="163" t="s">
        <v>79</v>
      </c>
      <c r="J5" s="163" t="s">
        <v>79</v>
      </c>
      <c r="K5" s="163" t="s">
        <v>79</v>
      </c>
      <c r="L5" s="163" t="s">
        <v>79</v>
      </c>
      <c r="M5" s="163" t="s">
        <v>79</v>
      </c>
      <c r="N5" s="163" t="s">
        <v>79</v>
      </c>
      <c r="O5" s="163" t="s">
        <v>79</v>
      </c>
      <c r="P5" s="163" t="s">
        <v>79</v>
      </c>
      <c r="Q5" s="163" t="s">
        <v>86</v>
      </c>
      <c r="R5" s="163" t="s">
        <v>4364</v>
      </c>
      <c r="S5" s="163" t="s">
        <v>192</v>
      </c>
      <c r="T5" s="162"/>
    </row>
    <row r="6" spans="1:20">
      <c r="A6" s="163" t="s">
        <v>267</v>
      </c>
      <c r="B6" s="163" t="s">
        <v>269</v>
      </c>
      <c r="C6" s="163" t="s">
        <v>261</v>
      </c>
      <c r="D6" s="163" t="s">
        <v>76</v>
      </c>
      <c r="E6" s="163" t="s">
        <v>3993</v>
      </c>
      <c r="F6" s="163" t="s">
        <v>79</v>
      </c>
      <c r="G6" s="163" t="s">
        <v>79</v>
      </c>
      <c r="H6" s="163" t="s">
        <v>79</v>
      </c>
      <c r="I6" s="163" t="s">
        <v>79</v>
      </c>
      <c r="J6" s="163" t="s">
        <v>79</v>
      </c>
      <c r="K6" s="163" t="s">
        <v>79</v>
      </c>
      <c r="L6" s="163" t="s">
        <v>79</v>
      </c>
      <c r="M6" s="163" t="s">
        <v>79</v>
      </c>
      <c r="N6" s="163" t="s">
        <v>79</v>
      </c>
      <c r="O6" s="163" t="s">
        <v>79</v>
      </c>
      <c r="P6" s="163" t="s">
        <v>79</v>
      </c>
      <c r="Q6" s="163" t="s">
        <v>86</v>
      </c>
      <c r="R6" s="163" t="s">
        <v>4365</v>
      </c>
      <c r="S6" s="163" t="s">
        <v>133</v>
      </c>
      <c r="T6" s="162"/>
    </row>
    <row r="7" spans="1:20">
      <c r="A7" s="163" t="s">
        <v>296</v>
      </c>
      <c r="B7" s="163" t="s">
        <v>295</v>
      </c>
      <c r="C7" s="163" t="s">
        <v>103</v>
      </c>
      <c r="D7" s="163" t="s">
        <v>76</v>
      </c>
      <c r="E7" s="163" t="s">
        <v>3993</v>
      </c>
      <c r="F7" s="163" t="s">
        <v>79</v>
      </c>
      <c r="G7" s="163" t="s">
        <v>79</v>
      </c>
      <c r="H7" s="163" t="s">
        <v>79</v>
      </c>
      <c r="I7" s="163" t="s">
        <v>79</v>
      </c>
      <c r="J7" s="163" t="s">
        <v>79</v>
      </c>
      <c r="K7" s="163" t="s">
        <v>79</v>
      </c>
      <c r="L7" s="163" t="s">
        <v>79</v>
      </c>
      <c r="M7" s="163" t="s">
        <v>79</v>
      </c>
      <c r="N7" s="163" t="s">
        <v>79</v>
      </c>
      <c r="O7" s="163" t="s">
        <v>79</v>
      </c>
      <c r="P7" s="163" t="s">
        <v>79</v>
      </c>
      <c r="Q7" s="163" t="s">
        <v>86</v>
      </c>
      <c r="R7" s="163" t="s">
        <v>4365</v>
      </c>
      <c r="S7" s="163" t="s">
        <v>133</v>
      </c>
      <c r="T7" s="162"/>
    </row>
    <row r="8" spans="1:20">
      <c r="A8" s="163" t="s">
        <v>293</v>
      </c>
      <c r="B8" s="163" t="s">
        <v>292</v>
      </c>
      <c r="C8" s="163" t="s">
        <v>178</v>
      </c>
      <c r="D8" s="163" t="s">
        <v>76</v>
      </c>
      <c r="E8" s="163" t="s">
        <v>3993</v>
      </c>
      <c r="F8" s="163" t="s">
        <v>79</v>
      </c>
      <c r="G8" s="163" t="s">
        <v>79</v>
      </c>
      <c r="H8" s="163" t="s">
        <v>79</v>
      </c>
      <c r="I8" s="163" t="s">
        <v>79</v>
      </c>
      <c r="J8" s="163" t="s">
        <v>79</v>
      </c>
      <c r="K8" s="163" t="s">
        <v>79</v>
      </c>
      <c r="L8" s="163" t="s">
        <v>79</v>
      </c>
      <c r="M8" s="163" t="s">
        <v>79</v>
      </c>
      <c r="N8" s="163" t="s">
        <v>79</v>
      </c>
      <c r="O8" s="163" t="s">
        <v>79</v>
      </c>
      <c r="P8" s="163" t="s">
        <v>79</v>
      </c>
      <c r="Q8" s="163" t="s">
        <v>86</v>
      </c>
      <c r="R8" s="163" t="s">
        <v>4366</v>
      </c>
      <c r="S8" s="163" t="s">
        <v>462</v>
      </c>
      <c r="T8" s="162"/>
    </row>
    <row r="9" spans="1:20">
      <c r="A9" s="163" t="s">
        <v>237</v>
      </c>
      <c r="B9" s="163" t="s">
        <v>235</v>
      </c>
      <c r="C9" s="163" t="s">
        <v>103</v>
      </c>
      <c r="D9" s="163" t="s">
        <v>76</v>
      </c>
      <c r="E9" s="163" t="s">
        <v>3993</v>
      </c>
      <c r="F9" s="163" t="s">
        <v>79</v>
      </c>
      <c r="G9" s="163" t="s">
        <v>79</v>
      </c>
      <c r="H9" s="163" t="s">
        <v>79</v>
      </c>
      <c r="I9" s="163" t="s">
        <v>79</v>
      </c>
      <c r="J9" s="163" t="s">
        <v>79</v>
      </c>
      <c r="K9" s="163" t="s">
        <v>79</v>
      </c>
      <c r="L9" s="163" t="s">
        <v>79</v>
      </c>
      <c r="M9" s="163" t="s">
        <v>79</v>
      </c>
      <c r="N9" s="163" t="s">
        <v>79</v>
      </c>
      <c r="O9" s="163" t="s">
        <v>79</v>
      </c>
      <c r="P9" s="163" t="s">
        <v>79</v>
      </c>
      <c r="Q9" s="163" t="s">
        <v>86</v>
      </c>
      <c r="R9" s="163" t="s">
        <v>4364</v>
      </c>
      <c r="S9" s="163" t="s">
        <v>192</v>
      </c>
      <c r="T9" s="162"/>
    </row>
    <row r="10" spans="1:20">
      <c r="A10" s="163" t="s">
        <v>232</v>
      </c>
      <c r="B10" s="163" t="s">
        <v>236</v>
      </c>
      <c r="C10" s="163" t="s">
        <v>234</v>
      </c>
      <c r="D10" s="163" t="s">
        <v>76</v>
      </c>
      <c r="E10" s="163" t="s">
        <v>3993</v>
      </c>
      <c r="F10" s="163" t="s">
        <v>79</v>
      </c>
      <c r="G10" s="163" t="s">
        <v>79</v>
      </c>
      <c r="H10" s="163" t="s">
        <v>79</v>
      </c>
      <c r="I10" s="163" t="s">
        <v>79</v>
      </c>
      <c r="J10" s="163" t="s">
        <v>79</v>
      </c>
      <c r="K10" s="163" t="s">
        <v>79</v>
      </c>
      <c r="L10" s="163" t="s">
        <v>79</v>
      </c>
      <c r="M10" s="163" t="s">
        <v>79</v>
      </c>
      <c r="N10" s="163" t="s">
        <v>79</v>
      </c>
      <c r="O10" s="163" t="s">
        <v>79</v>
      </c>
      <c r="P10" s="163" t="s">
        <v>79</v>
      </c>
      <c r="Q10" s="163" t="s">
        <v>86</v>
      </c>
      <c r="R10" s="163" t="s">
        <v>4365</v>
      </c>
      <c r="S10" s="163" t="s">
        <v>133</v>
      </c>
      <c r="T10" s="162"/>
    </row>
    <row r="11" spans="1:20">
      <c r="A11" s="163" t="s">
        <v>289</v>
      </c>
      <c r="B11" s="163" t="s">
        <v>288</v>
      </c>
      <c r="C11" s="163" t="s">
        <v>178</v>
      </c>
      <c r="D11" s="163" t="s">
        <v>76</v>
      </c>
      <c r="E11" s="163" t="s">
        <v>3993</v>
      </c>
      <c r="F11" s="163" t="s">
        <v>79</v>
      </c>
      <c r="G11" s="163" t="s">
        <v>79</v>
      </c>
      <c r="H11" s="163" t="s">
        <v>79</v>
      </c>
      <c r="I11" s="163" t="s">
        <v>79</v>
      </c>
      <c r="J11" s="163" t="s">
        <v>79</v>
      </c>
      <c r="K11" s="163" t="s">
        <v>79</v>
      </c>
      <c r="L11" s="163" t="s">
        <v>79</v>
      </c>
      <c r="M11" s="163" t="s">
        <v>79</v>
      </c>
      <c r="N11" s="163" t="s">
        <v>79</v>
      </c>
      <c r="O11" s="163" t="s">
        <v>79</v>
      </c>
      <c r="P11" s="163" t="s">
        <v>79</v>
      </c>
      <c r="Q11" s="163" t="s">
        <v>86</v>
      </c>
      <c r="R11" s="163" t="s">
        <v>4365</v>
      </c>
      <c r="S11" s="163" t="s">
        <v>478</v>
      </c>
      <c r="T11" s="162"/>
    </row>
    <row r="12" spans="1:20">
      <c r="A12" s="163" t="s">
        <v>227</v>
      </c>
      <c r="B12" s="163" t="s">
        <v>223</v>
      </c>
      <c r="C12" s="163" t="s">
        <v>222</v>
      </c>
      <c r="D12" s="163" t="s">
        <v>76</v>
      </c>
      <c r="E12" s="163" t="s">
        <v>3993</v>
      </c>
      <c r="F12" s="163" t="s">
        <v>79</v>
      </c>
      <c r="G12" s="163" t="s">
        <v>79</v>
      </c>
      <c r="H12" s="163" t="s">
        <v>79</v>
      </c>
      <c r="I12" s="163" t="s">
        <v>79</v>
      </c>
      <c r="J12" s="163" t="s">
        <v>79</v>
      </c>
      <c r="K12" s="163" t="s">
        <v>79</v>
      </c>
      <c r="L12" s="163" t="s">
        <v>79</v>
      </c>
      <c r="M12" s="163" t="s">
        <v>79</v>
      </c>
      <c r="N12" s="163" t="s">
        <v>79</v>
      </c>
      <c r="O12" s="163" t="s">
        <v>79</v>
      </c>
      <c r="P12" s="163" t="s">
        <v>79</v>
      </c>
      <c r="Q12" s="163" t="s">
        <v>86</v>
      </c>
      <c r="R12" s="163" t="s">
        <v>4364</v>
      </c>
      <c r="S12" s="163" t="s">
        <v>192</v>
      </c>
      <c r="T12" s="162"/>
    </row>
    <row r="13" spans="1:20">
      <c r="A13" s="163" t="s">
        <v>280</v>
      </c>
      <c r="B13" s="163" t="s">
        <v>278</v>
      </c>
      <c r="C13" s="163" t="s">
        <v>129</v>
      </c>
      <c r="D13" s="163" t="s">
        <v>76</v>
      </c>
      <c r="E13" s="163" t="s">
        <v>3993</v>
      </c>
      <c r="F13" s="163" t="s">
        <v>79</v>
      </c>
      <c r="G13" s="163" t="s">
        <v>79</v>
      </c>
      <c r="H13" s="163" t="s">
        <v>79</v>
      </c>
      <c r="I13" s="163" t="s">
        <v>79</v>
      </c>
      <c r="J13" s="163" t="s">
        <v>79</v>
      </c>
      <c r="K13" s="163" t="s">
        <v>79</v>
      </c>
      <c r="L13" s="163" t="s">
        <v>79</v>
      </c>
      <c r="M13" s="163" t="s">
        <v>79</v>
      </c>
      <c r="N13" s="163" t="s">
        <v>79</v>
      </c>
      <c r="O13" s="163" t="s">
        <v>79</v>
      </c>
      <c r="P13" s="163" t="s">
        <v>79</v>
      </c>
      <c r="Q13" s="163" t="s">
        <v>86</v>
      </c>
      <c r="R13" s="163" t="s">
        <v>4362</v>
      </c>
      <c r="S13" s="163" t="s">
        <v>172</v>
      </c>
      <c r="T13" s="162"/>
    </row>
    <row r="14" spans="1:20">
      <c r="A14" s="163" t="s">
        <v>233</v>
      </c>
      <c r="B14" s="163" t="s">
        <v>231</v>
      </c>
      <c r="C14" s="163" t="s">
        <v>103</v>
      </c>
      <c r="D14" s="163" t="s">
        <v>76</v>
      </c>
      <c r="E14" s="163" t="s">
        <v>3993</v>
      </c>
      <c r="F14" s="163" t="s">
        <v>79</v>
      </c>
      <c r="G14" s="163" t="s">
        <v>79</v>
      </c>
      <c r="H14" s="163" t="s">
        <v>79</v>
      </c>
      <c r="I14" s="163" t="s">
        <v>79</v>
      </c>
      <c r="J14" s="163" t="s">
        <v>79</v>
      </c>
      <c r="K14" s="163" t="s">
        <v>79</v>
      </c>
      <c r="L14" s="163" t="s">
        <v>79</v>
      </c>
      <c r="M14" s="163" t="s">
        <v>79</v>
      </c>
      <c r="N14" s="163" t="s">
        <v>79</v>
      </c>
      <c r="O14" s="163" t="s">
        <v>79</v>
      </c>
      <c r="P14" s="163" t="s">
        <v>79</v>
      </c>
      <c r="Q14" s="163" t="s">
        <v>86</v>
      </c>
      <c r="R14" s="163" t="s">
        <v>4362</v>
      </c>
      <c r="S14" s="163" t="s">
        <v>172</v>
      </c>
      <c r="T14" s="162"/>
    </row>
    <row r="15" spans="1:20" ht="24">
      <c r="A15" s="163" t="s">
        <v>683</v>
      </c>
      <c r="B15" s="163" t="s">
        <v>685</v>
      </c>
      <c r="C15" s="163" t="s">
        <v>129</v>
      </c>
      <c r="D15" s="163" t="s">
        <v>597</v>
      </c>
      <c r="E15" s="163" t="s">
        <v>2200</v>
      </c>
      <c r="F15" s="163" t="s">
        <v>79</v>
      </c>
      <c r="G15" s="163" t="s">
        <v>198</v>
      </c>
      <c r="H15" s="163" t="s">
        <v>198</v>
      </c>
      <c r="I15" s="163" t="s">
        <v>198</v>
      </c>
      <c r="J15" s="163" t="s">
        <v>198</v>
      </c>
      <c r="K15" s="163" t="s">
        <v>79</v>
      </c>
      <c r="L15" s="163" t="s">
        <v>198</v>
      </c>
      <c r="M15" s="163" t="s">
        <v>79</v>
      </c>
      <c r="N15" s="163" t="s">
        <v>198</v>
      </c>
      <c r="O15" s="163" t="s">
        <v>198</v>
      </c>
      <c r="P15" s="163" t="s">
        <v>198</v>
      </c>
      <c r="Q15" s="163" t="s">
        <v>598</v>
      </c>
      <c r="R15" s="163" t="s">
        <v>4367</v>
      </c>
      <c r="S15" s="163" t="s">
        <v>701</v>
      </c>
      <c r="T15" s="162"/>
    </row>
    <row r="16" spans="1:20">
      <c r="A16" s="163" t="s">
        <v>202</v>
      </c>
      <c r="B16" s="163" t="s">
        <v>199</v>
      </c>
      <c r="C16" s="163" t="s">
        <v>178</v>
      </c>
      <c r="D16" s="163" t="s">
        <v>76</v>
      </c>
      <c r="E16" s="163" t="s">
        <v>3993</v>
      </c>
      <c r="F16" s="163" t="s">
        <v>79</v>
      </c>
      <c r="G16" s="163" t="s">
        <v>79</v>
      </c>
      <c r="H16" s="163" t="s">
        <v>79</v>
      </c>
      <c r="I16" s="163" t="s">
        <v>79</v>
      </c>
      <c r="J16" s="163" t="s">
        <v>79</v>
      </c>
      <c r="K16" s="163" t="s">
        <v>79</v>
      </c>
      <c r="L16" s="163" t="s">
        <v>79</v>
      </c>
      <c r="M16" s="163" t="s">
        <v>79</v>
      </c>
      <c r="N16" s="163" t="s">
        <v>79</v>
      </c>
      <c r="O16" s="163" t="s">
        <v>79</v>
      </c>
      <c r="P16" s="163" t="s">
        <v>79</v>
      </c>
      <c r="Q16" s="163" t="s">
        <v>86</v>
      </c>
      <c r="R16" s="163" t="s">
        <v>4365</v>
      </c>
      <c r="S16" s="163" t="s">
        <v>133</v>
      </c>
      <c r="T16" s="162"/>
    </row>
    <row r="17" spans="1:20">
      <c r="A17" s="163" t="s">
        <v>171</v>
      </c>
      <c r="B17" s="163" t="s">
        <v>175</v>
      </c>
      <c r="C17" s="163" t="s">
        <v>75</v>
      </c>
      <c r="D17" s="163" t="s">
        <v>76</v>
      </c>
      <c r="E17" s="163" t="s">
        <v>3993</v>
      </c>
      <c r="F17" s="163" t="s">
        <v>79</v>
      </c>
      <c r="G17" s="163" t="s">
        <v>79</v>
      </c>
      <c r="H17" s="163" t="s">
        <v>79</v>
      </c>
      <c r="I17" s="163" t="s">
        <v>79</v>
      </c>
      <c r="J17" s="163" t="s">
        <v>79</v>
      </c>
      <c r="K17" s="163" t="s">
        <v>79</v>
      </c>
      <c r="L17" s="163" t="s">
        <v>79</v>
      </c>
      <c r="M17" s="163" t="s">
        <v>79</v>
      </c>
      <c r="N17" s="163" t="s">
        <v>79</v>
      </c>
      <c r="O17" s="163" t="s">
        <v>79</v>
      </c>
      <c r="P17" s="163" t="s">
        <v>79</v>
      </c>
      <c r="Q17" s="163" t="s">
        <v>86</v>
      </c>
      <c r="R17" s="163" t="s">
        <v>4365</v>
      </c>
      <c r="S17" s="163" t="s">
        <v>133</v>
      </c>
      <c r="T17" s="162"/>
    </row>
    <row r="18" spans="1:20">
      <c r="A18" s="163" t="s">
        <v>240</v>
      </c>
      <c r="B18" s="163" t="s">
        <v>239</v>
      </c>
      <c r="C18" s="163" t="s">
        <v>75</v>
      </c>
      <c r="D18" s="163" t="s">
        <v>76</v>
      </c>
      <c r="E18" s="163" t="s">
        <v>3993</v>
      </c>
      <c r="F18" s="163" t="s">
        <v>79</v>
      </c>
      <c r="G18" s="163" t="s">
        <v>79</v>
      </c>
      <c r="H18" s="163" t="s">
        <v>79</v>
      </c>
      <c r="I18" s="163" t="s">
        <v>79</v>
      </c>
      <c r="J18" s="163" t="s">
        <v>79</v>
      </c>
      <c r="K18" s="163" t="s">
        <v>79</v>
      </c>
      <c r="L18" s="163" t="s">
        <v>79</v>
      </c>
      <c r="M18" s="163" t="s">
        <v>79</v>
      </c>
      <c r="N18" s="163" t="s">
        <v>79</v>
      </c>
      <c r="O18" s="163" t="s">
        <v>79</v>
      </c>
      <c r="P18" s="163" t="s">
        <v>79</v>
      </c>
      <c r="Q18" s="163" t="s">
        <v>86</v>
      </c>
      <c r="R18" s="163" t="s">
        <v>4362</v>
      </c>
      <c r="S18" s="163" t="s">
        <v>172</v>
      </c>
      <c r="T18" s="162"/>
    </row>
    <row r="19" spans="1:20">
      <c r="A19" s="163" t="s">
        <v>273</v>
      </c>
      <c r="B19" s="163" t="s">
        <v>270</v>
      </c>
      <c r="C19" s="163" t="s">
        <v>261</v>
      </c>
      <c r="D19" s="163" t="s">
        <v>76</v>
      </c>
      <c r="E19" s="163" t="s">
        <v>3993</v>
      </c>
      <c r="F19" s="163" t="s">
        <v>79</v>
      </c>
      <c r="G19" s="163" t="s">
        <v>79</v>
      </c>
      <c r="H19" s="163" t="s">
        <v>79</v>
      </c>
      <c r="I19" s="163" t="s">
        <v>79</v>
      </c>
      <c r="J19" s="163" t="s">
        <v>79</v>
      </c>
      <c r="K19" s="163" t="s">
        <v>79</v>
      </c>
      <c r="L19" s="163" t="s">
        <v>79</v>
      </c>
      <c r="M19" s="163" t="s">
        <v>79</v>
      </c>
      <c r="N19" s="163" t="s">
        <v>79</v>
      </c>
      <c r="O19" s="163" t="s">
        <v>79</v>
      </c>
      <c r="P19" s="163" t="s">
        <v>79</v>
      </c>
      <c r="Q19" s="163" t="s">
        <v>86</v>
      </c>
      <c r="R19" s="163" t="s">
        <v>4364</v>
      </c>
      <c r="S19" s="163" t="s">
        <v>192</v>
      </c>
      <c r="T19" s="162"/>
    </row>
    <row r="20" spans="1:20">
      <c r="A20" s="163" t="s">
        <v>263</v>
      </c>
      <c r="B20" s="163" t="s">
        <v>262</v>
      </c>
      <c r="C20" s="163" t="s">
        <v>129</v>
      </c>
      <c r="D20" s="163" t="s">
        <v>220</v>
      </c>
      <c r="E20" s="163" t="s">
        <v>2160</v>
      </c>
      <c r="F20" s="163" t="s">
        <v>79</v>
      </c>
      <c r="G20" s="163" t="s">
        <v>79</v>
      </c>
      <c r="H20" s="163" t="s">
        <v>79</v>
      </c>
      <c r="I20" s="163" t="s">
        <v>79</v>
      </c>
      <c r="J20" s="163" t="s">
        <v>79</v>
      </c>
      <c r="K20" s="163" t="s">
        <v>79</v>
      </c>
      <c r="L20" s="163" t="s">
        <v>198</v>
      </c>
      <c r="M20" s="163" t="s">
        <v>79</v>
      </c>
      <c r="N20" s="163" t="s">
        <v>79</v>
      </c>
      <c r="O20" s="163" t="s">
        <v>79</v>
      </c>
      <c r="P20" s="163" t="s">
        <v>79</v>
      </c>
      <c r="Q20" s="163" t="s">
        <v>326</v>
      </c>
      <c r="R20" s="163" t="s">
        <v>4368</v>
      </c>
      <c r="S20" s="163" t="s">
        <v>514</v>
      </c>
      <c r="T20" s="162"/>
    </row>
    <row r="21" spans="1:20">
      <c r="A21" s="163" t="s">
        <v>516</v>
      </c>
      <c r="B21" s="163" t="s">
        <v>517</v>
      </c>
      <c r="C21" s="163" t="s">
        <v>178</v>
      </c>
      <c r="D21" s="163" t="s">
        <v>76</v>
      </c>
      <c r="E21" s="163" t="s">
        <v>3993</v>
      </c>
      <c r="F21" s="163" t="s">
        <v>79</v>
      </c>
      <c r="G21" s="163" t="s">
        <v>79</v>
      </c>
      <c r="H21" s="163" t="s">
        <v>79</v>
      </c>
      <c r="I21" s="163" t="s">
        <v>79</v>
      </c>
      <c r="J21" s="163" t="s">
        <v>79</v>
      </c>
      <c r="K21" s="163" t="s">
        <v>79</v>
      </c>
      <c r="L21" s="163" t="s">
        <v>79</v>
      </c>
      <c r="M21" s="163" t="s">
        <v>79</v>
      </c>
      <c r="N21" s="163" t="s">
        <v>79</v>
      </c>
      <c r="O21" s="163" t="s">
        <v>79</v>
      </c>
      <c r="P21" s="163" t="s">
        <v>79</v>
      </c>
      <c r="Q21" s="163" t="s">
        <v>86</v>
      </c>
      <c r="R21" s="163" t="s">
        <v>4369</v>
      </c>
      <c r="S21" s="163" t="s">
        <v>532</v>
      </c>
      <c r="T21" s="162"/>
    </row>
    <row r="22" spans="1:20">
      <c r="A22" s="163" t="s">
        <v>184</v>
      </c>
      <c r="B22" s="163" t="s">
        <v>188</v>
      </c>
      <c r="C22" s="163" t="s">
        <v>75</v>
      </c>
      <c r="D22" s="163" t="s">
        <v>76</v>
      </c>
      <c r="E22" s="163" t="s">
        <v>3993</v>
      </c>
      <c r="F22" s="163" t="s">
        <v>79</v>
      </c>
      <c r="G22" s="163" t="s">
        <v>79</v>
      </c>
      <c r="H22" s="163" t="s">
        <v>79</v>
      </c>
      <c r="I22" s="163" t="s">
        <v>79</v>
      </c>
      <c r="J22" s="163" t="s">
        <v>79</v>
      </c>
      <c r="K22" s="163" t="s">
        <v>79</v>
      </c>
      <c r="L22" s="163" t="s">
        <v>79</v>
      </c>
      <c r="M22" s="163" t="s">
        <v>79</v>
      </c>
      <c r="N22" s="163" t="s">
        <v>79</v>
      </c>
      <c r="O22" s="163" t="s">
        <v>79</v>
      </c>
      <c r="P22" s="163" t="s">
        <v>79</v>
      </c>
      <c r="Q22" s="163" t="s">
        <v>86</v>
      </c>
      <c r="R22" s="163" t="s">
        <v>4365</v>
      </c>
      <c r="S22" s="163" t="s">
        <v>133</v>
      </c>
      <c r="T22" s="162"/>
    </row>
    <row r="23" spans="1:20">
      <c r="A23" s="163" t="s">
        <v>187</v>
      </c>
      <c r="B23" s="163" t="s">
        <v>185</v>
      </c>
      <c r="C23" s="163" t="s">
        <v>75</v>
      </c>
      <c r="D23" s="163" t="s">
        <v>76</v>
      </c>
      <c r="E23" s="163" t="s">
        <v>3993</v>
      </c>
      <c r="F23" s="163" t="s">
        <v>79</v>
      </c>
      <c r="G23" s="163" t="s">
        <v>79</v>
      </c>
      <c r="H23" s="163" t="s">
        <v>79</v>
      </c>
      <c r="I23" s="163" t="s">
        <v>79</v>
      </c>
      <c r="J23" s="163" t="s">
        <v>79</v>
      </c>
      <c r="K23" s="163" t="s">
        <v>79</v>
      </c>
      <c r="L23" s="163" t="s">
        <v>79</v>
      </c>
      <c r="M23" s="163" t="s">
        <v>79</v>
      </c>
      <c r="N23" s="163" t="s">
        <v>79</v>
      </c>
      <c r="O23" s="163" t="s">
        <v>79</v>
      </c>
      <c r="P23" s="163" t="s">
        <v>79</v>
      </c>
      <c r="Q23" s="163" t="s">
        <v>86</v>
      </c>
      <c r="R23" s="163" t="s">
        <v>4364</v>
      </c>
      <c r="S23" s="163" t="s">
        <v>192</v>
      </c>
      <c r="T23" s="162"/>
    </row>
    <row r="24" spans="1:20">
      <c r="A24" s="163" t="s">
        <v>190</v>
      </c>
      <c r="B24" s="163" t="s">
        <v>189</v>
      </c>
      <c r="C24" s="163" t="s">
        <v>75</v>
      </c>
      <c r="D24" s="163" t="s">
        <v>76</v>
      </c>
      <c r="E24" s="163" t="s">
        <v>3993</v>
      </c>
      <c r="F24" s="163" t="s">
        <v>79</v>
      </c>
      <c r="G24" s="163" t="s">
        <v>79</v>
      </c>
      <c r="H24" s="163" t="s">
        <v>79</v>
      </c>
      <c r="I24" s="163" t="s">
        <v>79</v>
      </c>
      <c r="J24" s="163" t="s">
        <v>79</v>
      </c>
      <c r="K24" s="163" t="s">
        <v>79</v>
      </c>
      <c r="L24" s="163" t="s">
        <v>79</v>
      </c>
      <c r="M24" s="163" t="s">
        <v>79</v>
      </c>
      <c r="N24" s="163" t="s">
        <v>79</v>
      </c>
      <c r="O24" s="163" t="s">
        <v>79</v>
      </c>
      <c r="P24" s="163" t="s">
        <v>79</v>
      </c>
      <c r="Q24" s="163" t="s">
        <v>86</v>
      </c>
      <c r="R24" s="163" t="s">
        <v>4362</v>
      </c>
      <c r="S24" s="163" t="s">
        <v>172</v>
      </c>
      <c r="T24" s="162"/>
    </row>
    <row r="25" spans="1:20">
      <c r="A25" s="163" t="s">
        <v>197</v>
      </c>
      <c r="B25" s="163" t="s">
        <v>196</v>
      </c>
      <c r="C25" s="163" t="s">
        <v>167</v>
      </c>
      <c r="D25" s="163" t="s">
        <v>76</v>
      </c>
      <c r="E25" s="163" t="s">
        <v>3993</v>
      </c>
      <c r="F25" s="163" t="s">
        <v>79</v>
      </c>
      <c r="G25" s="163" t="s">
        <v>79</v>
      </c>
      <c r="H25" s="163" t="s">
        <v>79</v>
      </c>
      <c r="I25" s="163" t="s">
        <v>79</v>
      </c>
      <c r="J25" s="163" t="s">
        <v>79</v>
      </c>
      <c r="K25" s="163" t="s">
        <v>79</v>
      </c>
      <c r="L25" s="163" t="s">
        <v>79</v>
      </c>
      <c r="M25" s="163" t="s">
        <v>79</v>
      </c>
      <c r="N25" s="163" t="s">
        <v>79</v>
      </c>
      <c r="O25" s="163" t="s">
        <v>79</v>
      </c>
      <c r="P25" s="163" t="s">
        <v>79</v>
      </c>
      <c r="Q25" s="163" t="s">
        <v>86</v>
      </c>
      <c r="R25" s="163" t="s">
        <v>4362</v>
      </c>
      <c r="S25" s="163" t="s">
        <v>172</v>
      </c>
      <c r="T25" s="162"/>
    </row>
    <row r="26" spans="1:20">
      <c r="A26" s="163" t="s">
        <v>219</v>
      </c>
      <c r="B26" s="163" t="s">
        <v>217</v>
      </c>
      <c r="C26" s="163" t="s">
        <v>158</v>
      </c>
      <c r="D26" s="163" t="s">
        <v>76</v>
      </c>
      <c r="E26" s="163" t="s">
        <v>3993</v>
      </c>
      <c r="F26" s="163" t="s">
        <v>79</v>
      </c>
      <c r="G26" s="163" t="s">
        <v>79</v>
      </c>
      <c r="H26" s="163" t="s">
        <v>79</v>
      </c>
      <c r="I26" s="163" t="s">
        <v>79</v>
      </c>
      <c r="J26" s="163" t="s">
        <v>79</v>
      </c>
      <c r="K26" s="163" t="s">
        <v>79</v>
      </c>
      <c r="L26" s="163" t="s">
        <v>79</v>
      </c>
      <c r="M26" s="163" t="s">
        <v>79</v>
      </c>
      <c r="N26" s="163" t="s">
        <v>79</v>
      </c>
      <c r="O26" s="163" t="s">
        <v>79</v>
      </c>
      <c r="P26" s="163" t="s">
        <v>79</v>
      </c>
      <c r="Q26" s="163" t="s">
        <v>86</v>
      </c>
      <c r="R26" s="163" t="s">
        <v>4362</v>
      </c>
      <c r="S26" s="163" t="s">
        <v>172</v>
      </c>
      <c r="T26" s="162"/>
    </row>
    <row r="27" spans="1:20">
      <c r="A27" s="163" t="s">
        <v>212</v>
      </c>
      <c r="B27" s="163" t="s">
        <v>211</v>
      </c>
      <c r="C27" s="163" t="s">
        <v>568</v>
      </c>
      <c r="D27" s="163" t="s">
        <v>76</v>
      </c>
      <c r="E27" s="163" t="s">
        <v>3993</v>
      </c>
      <c r="F27" s="163" t="s">
        <v>79</v>
      </c>
      <c r="G27" s="163" t="s">
        <v>79</v>
      </c>
      <c r="H27" s="163" t="s">
        <v>79</v>
      </c>
      <c r="I27" s="163" t="s">
        <v>79</v>
      </c>
      <c r="J27" s="163" t="s">
        <v>79</v>
      </c>
      <c r="K27" s="163" t="s">
        <v>79</v>
      </c>
      <c r="L27" s="163" t="s">
        <v>79</v>
      </c>
      <c r="M27" s="163" t="s">
        <v>79</v>
      </c>
      <c r="N27" s="163" t="s">
        <v>79</v>
      </c>
      <c r="O27" s="163" t="s">
        <v>79</v>
      </c>
      <c r="P27" s="163" t="s">
        <v>79</v>
      </c>
      <c r="Q27" s="163" t="s">
        <v>86</v>
      </c>
      <c r="R27" s="163" t="s">
        <v>4364</v>
      </c>
      <c r="S27" s="163" t="s">
        <v>192</v>
      </c>
      <c r="T27" s="162"/>
    </row>
    <row r="28" spans="1:20">
      <c r="A28" s="163" t="s">
        <v>259</v>
      </c>
      <c r="B28" s="163" t="s">
        <v>254</v>
      </c>
      <c r="C28" s="163" t="s">
        <v>178</v>
      </c>
      <c r="D28" s="163" t="s">
        <v>76</v>
      </c>
      <c r="E28" s="163" t="s">
        <v>3993</v>
      </c>
      <c r="F28" s="163" t="s">
        <v>79</v>
      </c>
      <c r="G28" s="163" t="s">
        <v>79</v>
      </c>
      <c r="H28" s="163" t="s">
        <v>79</v>
      </c>
      <c r="I28" s="163" t="s">
        <v>79</v>
      </c>
      <c r="J28" s="163" t="s">
        <v>79</v>
      </c>
      <c r="K28" s="163" t="s">
        <v>79</v>
      </c>
      <c r="L28" s="163" t="s">
        <v>79</v>
      </c>
      <c r="M28" s="163" t="s">
        <v>79</v>
      </c>
      <c r="N28" s="163" t="s">
        <v>79</v>
      </c>
      <c r="O28" s="163" t="s">
        <v>79</v>
      </c>
      <c r="P28" s="163" t="s">
        <v>79</v>
      </c>
      <c r="Q28" s="163" t="s">
        <v>86</v>
      </c>
      <c r="R28" s="163" t="s">
        <v>4362</v>
      </c>
      <c r="S28" s="163" t="s">
        <v>172</v>
      </c>
      <c r="T28" s="162"/>
    </row>
    <row r="29" spans="1:20">
      <c r="A29" s="163" t="s">
        <v>253</v>
      </c>
      <c r="B29" s="163" t="s">
        <v>252</v>
      </c>
      <c r="C29" s="163" t="s">
        <v>178</v>
      </c>
      <c r="D29" s="163" t="s">
        <v>76</v>
      </c>
      <c r="E29" s="163" t="s">
        <v>3993</v>
      </c>
      <c r="F29" s="163" t="s">
        <v>79</v>
      </c>
      <c r="G29" s="163" t="s">
        <v>79</v>
      </c>
      <c r="H29" s="163" t="s">
        <v>79</v>
      </c>
      <c r="I29" s="163" t="s">
        <v>79</v>
      </c>
      <c r="J29" s="163" t="s">
        <v>79</v>
      </c>
      <c r="K29" s="163" t="s">
        <v>79</v>
      </c>
      <c r="L29" s="163" t="s">
        <v>79</v>
      </c>
      <c r="M29" s="163" t="s">
        <v>79</v>
      </c>
      <c r="N29" s="163" t="s">
        <v>79</v>
      </c>
      <c r="O29" s="163" t="s">
        <v>79</v>
      </c>
      <c r="P29" s="163" t="s">
        <v>79</v>
      </c>
      <c r="Q29" s="163" t="s">
        <v>86</v>
      </c>
      <c r="R29" s="163" t="s">
        <v>4364</v>
      </c>
      <c r="S29" s="163" t="s">
        <v>192</v>
      </c>
      <c r="T29" s="162"/>
    </row>
    <row r="30" spans="1:20">
      <c r="A30" s="163" t="s">
        <v>244</v>
      </c>
      <c r="B30" s="163" t="s">
        <v>243</v>
      </c>
      <c r="C30" s="163" t="s">
        <v>178</v>
      </c>
      <c r="D30" s="163" t="s">
        <v>76</v>
      </c>
      <c r="E30" s="163" t="s">
        <v>3993</v>
      </c>
      <c r="F30" s="163" t="s">
        <v>79</v>
      </c>
      <c r="G30" s="163" t="s">
        <v>79</v>
      </c>
      <c r="H30" s="163" t="s">
        <v>79</v>
      </c>
      <c r="I30" s="163" t="s">
        <v>79</v>
      </c>
      <c r="J30" s="163" t="s">
        <v>79</v>
      </c>
      <c r="K30" s="163" t="s">
        <v>79</v>
      </c>
      <c r="L30" s="163" t="s">
        <v>79</v>
      </c>
      <c r="M30" s="163" t="s">
        <v>79</v>
      </c>
      <c r="N30" s="163" t="s">
        <v>79</v>
      </c>
      <c r="O30" s="163" t="s">
        <v>79</v>
      </c>
      <c r="P30" s="163" t="s">
        <v>79</v>
      </c>
      <c r="Q30" s="163" t="s">
        <v>86</v>
      </c>
      <c r="R30" s="163" t="s">
        <v>4364</v>
      </c>
      <c r="S30" s="163" t="s">
        <v>192</v>
      </c>
      <c r="T30" s="162"/>
    </row>
    <row r="31" spans="1:20">
      <c r="A31" s="163" t="s">
        <v>248</v>
      </c>
      <c r="B31" s="163" t="s">
        <v>246</v>
      </c>
      <c r="C31" s="163" t="s">
        <v>178</v>
      </c>
      <c r="D31" s="163" t="s">
        <v>76</v>
      </c>
      <c r="E31" s="163" t="s">
        <v>3993</v>
      </c>
      <c r="F31" s="163" t="s">
        <v>79</v>
      </c>
      <c r="G31" s="163" t="s">
        <v>79</v>
      </c>
      <c r="H31" s="163" t="s">
        <v>79</v>
      </c>
      <c r="I31" s="163" t="s">
        <v>79</v>
      </c>
      <c r="J31" s="163" t="s">
        <v>79</v>
      </c>
      <c r="K31" s="163" t="s">
        <v>79</v>
      </c>
      <c r="L31" s="163" t="s">
        <v>79</v>
      </c>
      <c r="M31" s="163" t="s">
        <v>79</v>
      </c>
      <c r="N31" s="163" t="s">
        <v>79</v>
      </c>
      <c r="O31" s="163" t="s">
        <v>79</v>
      </c>
      <c r="P31" s="163" t="s">
        <v>79</v>
      </c>
      <c r="Q31" s="163" t="s">
        <v>86</v>
      </c>
      <c r="R31" s="163" t="s">
        <v>4365</v>
      </c>
      <c r="S31" s="163" t="s">
        <v>133</v>
      </c>
      <c r="T31" s="162"/>
    </row>
    <row r="32" spans="1:20">
      <c r="A32" s="163" t="s">
        <v>170</v>
      </c>
      <c r="B32" s="163" t="s">
        <v>169</v>
      </c>
      <c r="C32" s="163" t="s">
        <v>167</v>
      </c>
      <c r="D32" s="163" t="s">
        <v>76</v>
      </c>
      <c r="E32" s="163" t="s">
        <v>3993</v>
      </c>
      <c r="F32" s="163" t="s">
        <v>79</v>
      </c>
      <c r="G32" s="163" t="s">
        <v>79</v>
      </c>
      <c r="H32" s="163" t="s">
        <v>79</v>
      </c>
      <c r="I32" s="163" t="s">
        <v>79</v>
      </c>
      <c r="J32" s="163" t="s">
        <v>79</v>
      </c>
      <c r="K32" s="163" t="s">
        <v>79</v>
      </c>
      <c r="L32" s="163" t="s">
        <v>79</v>
      </c>
      <c r="M32" s="163" t="s">
        <v>79</v>
      </c>
      <c r="N32" s="163" t="s">
        <v>79</v>
      </c>
      <c r="O32" s="163" t="s">
        <v>79</v>
      </c>
      <c r="P32" s="163" t="s">
        <v>79</v>
      </c>
      <c r="Q32" s="163" t="s">
        <v>86</v>
      </c>
      <c r="R32" s="163" t="s">
        <v>4364</v>
      </c>
      <c r="S32" s="163" t="s">
        <v>192</v>
      </c>
      <c r="T32" s="162"/>
    </row>
    <row r="33" spans="1:20">
      <c r="A33" s="163" t="s">
        <v>82</v>
      </c>
      <c r="B33" s="163" t="s">
        <v>78</v>
      </c>
      <c r="C33" s="163" t="s">
        <v>75</v>
      </c>
      <c r="D33" s="163" t="s">
        <v>76</v>
      </c>
      <c r="E33" s="163" t="s">
        <v>3993</v>
      </c>
      <c r="F33" s="163" t="s">
        <v>79</v>
      </c>
      <c r="G33" s="163" t="s">
        <v>79</v>
      </c>
      <c r="H33" s="163" t="s">
        <v>79</v>
      </c>
      <c r="I33" s="163" t="s">
        <v>79</v>
      </c>
      <c r="J33" s="163" t="s">
        <v>79</v>
      </c>
      <c r="K33" s="163" t="s">
        <v>79</v>
      </c>
      <c r="L33" s="163" t="s">
        <v>79</v>
      </c>
      <c r="M33" s="163" t="s">
        <v>79</v>
      </c>
      <c r="N33" s="163" t="s">
        <v>79</v>
      </c>
      <c r="O33" s="163" t="s">
        <v>79</v>
      </c>
      <c r="P33" s="163" t="s">
        <v>79</v>
      </c>
      <c r="Q33" s="163" t="s">
        <v>86</v>
      </c>
      <c r="R33" s="163" t="s">
        <v>4364</v>
      </c>
      <c r="S33" s="163" t="s">
        <v>192</v>
      </c>
      <c r="T33" s="162"/>
    </row>
    <row r="34" spans="1:20">
      <c r="A34" s="163" t="s">
        <v>176</v>
      </c>
      <c r="B34" s="163" t="s">
        <v>174</v>
      </c>
      <c r="C34" s="163" t="s">
        <v>75</v>
      </c>
      <c r="D34" s="163" t="s">
        <v>76</v>
      </c>
      <c r="E34" s="163" t="s">
        <v>3993</v>
      </c>
      <c r="F34" s="163" t="s">
        <v>79</v>
      </c>
      <c r="G34" s="163" t="s">
        <v>79</v>
      </c>
      <c r="H34" s="163" t="s">
        <v>79</v>
      </c>
      <c r="I34" s="163" t="s">
        <v>79</v>
      </c>
      <c r="J34" s="163" t="s">
        <v>79</v>
      </c>
      <c r="K34" s="163" t="s">
        <v>79</v>
      </c>
      <c r="L34" s="163" t="s">
        <v>79</v>
      </c>
      <c r="M34" s="163" t="s">
        <v>79</v>
      </c>
      <c r="N34" s="163" t="s">
        <v>79</v>
      </c>
      <c r="O34" s="163" t="s">
        <v>79</v>
      </c>
      <c r="P34" s="163" t="s">
        <v>79</v>
      </c>
      <c r="Q34" s="163" t="s">
        <v>86</v>
      </c>
      <c r="R34" s="163" t="s">
        <v>4365</v>
      </c>
      <c r="S34" s="163" t="s">
        <v>133</v>
      </c>
      <c r="T34" s="162"/>
    </row>
    <row r="35" spans="1:20">
      <c r="A35" s="163" t="s">
        <v>116</v>
      </c>
      <c r="B35" s="163" t="s">
        <v>109</v>
      </c>
      <c r="C35" s="163" t="s">
        <v>103</v>
      </c>
      <c r="D35" s="163" t="s">
        <v>76</v>
      </c>
      <c r="E35" s="163" t="s">
        <v>3993</v>
      </c>
      <c r="F35" s="163" t="s">
        <v>79</v>
      </c>
      <c r="G35" s="163" t="s">
        <v>79</v>
      </c>
      <c r="H35" s="163" t="s">
        <v>79</v>
      </c>
      <c r="I35" s="163" t="s">
        <v>79</v>
      </c>
      <c r="J35" s="163" t="s">
        <v>79</v>
      </c>
      <c r="K35" s="163" t="s">
        <v>79</v>
      </c>
      <c r="L35" s="163" t="s">
        <v>79</v>
      </c>
      <c r="M35" s="163" t="s">
        <v>79</v>
      </c>
      <c r="N35" s="163" t="s">
        <v>79</v>
      </c>
      <c r="O35" s="163" t="s">
        <v>79</v>
      </c>
      <c r="P35" s="163" t="s">
        <v>79</v>
      </c>
      <c r="Q35" s="163" t="s">
        <v>86</v>
      </c>
      <c r="R35" s="163" t="s">
        <v>4364</v>
      </c>
      <c r="S35" s="163" t="s">
        <v>192</v>
      </c>
      <c r="T35" s="162"/>
    </row>
    <row r="36" spans="1:20">
      <c r="A36" s="163" t="s">
        <v>154</v>
      </c>
      <c r="B36" s="163" t="s">
        <v>153</v>
      </c>
      <c r="C36" s="163" t="s">
        <v>152</v>
      </c>
      <c r="D36" s="163" t="s">
        <v>76</v>
      </c>
      <c r="E36" s="163" t="s">
        <v>3993</v>
      </c>
      <c r="F36" s="163" t="s">
        <v>79</v>
      </c>
      <c r="G36" s="163" t="s">
        <v>79</v>
      </c>
      <c r="H36" s="163" t="s">
        <v>79</v>
      </c>
      <c r="I36" s="163" t="s">
        <v>79</v>
      </c>
      <c r="J36" s="163" t="s">
        <v>79</v>
      </c>
      <c r="K36" s="163" t="s">
        <v>79</v>
      </c>
      <c r="L36" s="163" t="s">
        <v>79</v>
      </c>
      <c r="M36" s="163" t="s">
        <v>79</v>
      </c>
      <c r="N36" s="163" t="s">
        <v>79</v>
      </c>
      <c r="O36" s="163" t="s">
        <v>79</v>
      </c>
      <c r="P36" s="163" t="s">
        <v>79</v>
      </c>
      <c r="Q36" s="163" t="s">
        <v>86</v>
      </c>
      <c r="R36" s="163" t="s">
        <v>4362</v>
      </c>
      <c r="S36" s="163" t="s">
        <v>172</v>
      </c>
      <c r="T36" s="162"/>
    </row>
    <row r="37" spans="1:20">
      <c r="A37" s="163" t="s">
        <v>165</v>
      </c>
      <c r="B37" s="163" t="s">
        <v>160</v>
      </c>
      <c r="C37" s="163" t="s">
        <v>158</v>
      </c>
      <c r="D37" s="163" t="s">
        <v>76</v>
      </c>
      <c r="E37" s="163" t="s">
        <v>3993</v>
      </c>
      <c r="F37" s="163" t="s">
        <v>79</v>
      </c>
      <c r="G37" s="163" t="s">
        <v>79</v>
      </c>
      <c r="H37" s="163" t="s">
        <v>79</v>
      </c>
      <c r="I37" s="163" t="s">
        <v>79</v>
      </c>
      <c r="J37" s="163" t="s">
        <v>79</v>
      </c>
      <c r="K37" s="163" t="s">
        <v>79</v>
      </c>
      <c r="L37" s="163" t="s">
        <v>79</v>
      </c>
      <c r="M37" s="163" t="s">
        <v>79</v>
      </c>
      <c r="N37" s="163" t="s">
        <v>79</v>
      </c>
      <c r="O37" s="163" t="s">
        <v>79</v>
      </c>
      <c r="P37" s="163" t="s">
        <v>79</v>
      </c>
      <c r="Q37" s="163" t="s">
        <v>86</v>
      </c>
      <c r="R37" s="163" t="s">
        <v>4365</v>
      </c>
      <c r="S37" s="163" t="s">
        <v>133</v>
      </c>
      <c r="T37" s="162"/>
    </row>
    <row r="38" spans="1:20">
      <c r="A38" s="163" t="s">
        <v>137</v>
      </c>
      <c r="B38" s="163" t="s">
        <v>127</v>
      </c>
      <c r="C38" s="163" t="s">
        <v>75</v>
      </c>
      <c r="D38" s="163" t="s">
        <v>76</v>
      </c>
      <c r="E38" s="163" t="s">
        <v>3993</v>
      </c>
      <c r="F38" s="163" t="s">
        <v>79</v>
      </c>
      <c r="G38" s="163" t="s">
        <v>79</v>
      </c>
      <c r="H38" s="163" t="s">
        <v>79</v>
      </c>
      <c r="I38" s="163" t="s">
        <v>79</v>
      </c>
      <c r="J38" s="163" t="s">
        <v>79</v>
      </c>
      <c r="K38" s="163" t="s">
        <v>79</v>
      </c>
      <c r="L38" s="163" t="s">
        <v>79</v>
      </c>
      <c r="M38" s="163" t="s">
        <v>79</v>
      </c>
      <c r="N38" s="163" t="s">
        <v>79</v>
      </c>
      <c r="O38" s="163" t="s">
        <v>79</v>
      </c>
      <c r="P38" s="163" t="s">
        <v>79</v>
      </c>
      <c r="Q38" s="163" t="s">
        <v>86</v>
      </c>
      <c r="R38" s="163" t="s">
        <v>4364</v>
      </c>
      <c r="S38" s="163" t="s">
        <v>192</v>
      </c>
      <c r="T38" s="162"/>
    </row>
    <row r="39" spans="1:20">
      <c r="A39" s="163" t="s">
        <v>151</v>
      </c>
      <c r="B39" s="163" t="s">
        <v>149</v>
      </c>
      <c r="C39" s="163" t="s">
        <v>147</v>
      </c>
      <c r="D39" s="163" t="s">
        <v>76</v>
      </c>
      <c r="E39" s="163" t="s">
        <v>3993</v>
      </c>
      <c r="F39" s="163" t="s">
        <v>79</v>
      </c>
      <c r="G39" s="163" t="s">
        <v>79</v>
      </c>
      <c r="H39" s="163" t="s">
        <v>79</v>
      </c>
      <c r="I39" s="163" t="s">
        <v>79</v>
      </c>
      <c r="J39" s="163" t="s">
        <v>79</v>
      </c>
      <c r="K39" s="163" t="s">
        <v>79</v>
      </c>
      <c r="L39" s="163" t="s">
        <v>79</v>
      </c>
      <c r="M39" s="163" t="s">
        <v>79</v>
      </c>
      <c r="N39" s="163" t="s">
        <v>79</v>
      </c>
      <c r="O39" s="163" t="s">
        <v>79</v>
      </c>
      <c r="P39" s="163" t="s">
        <v>79</v>
      </c>
      <c r="Q39" s="163" t="s">
        <v>86</v>
      </c>
      <c r="R39" s="163" t="s">
        <v>4364</v>
      </c>
      <c r="S39" s="163" t="s">
        <v>192</v>
      </c>
      <c r="T39" s="162"/>
    </row>
    <row r="40" spans="1:20">
      <c r="A40" s="163" t="s">
        <v>180</v>
      </c>
      <c r="B40" s="163" t="s">
        <v>179</v>
      </c>
      <c r="C40" s="163" t="s">
        <v>178</v>
      </c>
      <c r="D40" s="163" t="s">
        <v>76</v>
      </c>
      <c r="E40" s="163" t="s">
        <v>3993</v>
      </c>
      <c r="F40" s="163" t="s">
        <v>79</v>
      </c>
      <c r="G40" s="163" t="s">
        <v>79</v>
      </c>
      <c r="H40" s="163" t="s">
        <v>79</v>
      </c>
      <c r="I40" s="163" t="s">
        <v>79</v>
      </c>
      <c r="J40" s="163" t="s">
        <v>79</v>
      </c>
      <c r="K40" s="163" t="s">
        <v>79</v>
      </c>
      <c r="L40" s="163" t="s">
        <v>79</v>
      </c>
      <c r="M40" s="163" t="s">
        <v>79</v>
      </c>
      <c r="N40" s="163" t="s">
        <v>79</v>
      </c>
      <c r="O40" s="163" t="s">
        <v>79</v>
      </c>
      <c r="P40" s="163" t="s">
        <v>79</v>
      </c>
      <c r="Q40" s="163" t="s">
        <v>86</v>
      </c>
      <c r="R40" s="163" t="s">
        <v>4364</v>
      </c>
      <c r="S40" s="163" t="s">
        <v>192</v>
      </c>
      <c r="T40" s="162"/>
    </row>
    <row r="41" spans="1:20">
      <c r="A41" s="163" t="s">
        <v>622</v>
      </c>
      <c r="B41" s="163" t="s">
        <v>624</v>
      </c>
      <c r="C41" s="163" t="s">
        <v>623</v>
      </c>
      <c r="D41" s="163" t="s">
        <v>76</v>
      </c>
      <c r="E41" s="163" t="s">
        <v>3993</v>
      </c>
      <c r="F41" s="163" t="s">
        <v>79</v>
      </c>
      <c r="G41" s="163" t="s">
        <v>79</v>
      </c>
      <c r="H41" s="163" t="s">
        <v>79</v>
      </c>
      <c r="I41" s="163" t="s">
        <v>79</v>
      </c>
      <c r="J41" s="163" t="s">
        <v>79</v>
      </c>
      <c r="K41" s="163" t="s">
        <v>79</v>
      </c>
      <c r="L41" s="163" t="s">
        <v>79</v>
      </c>
      <c r="M41" s="163" t="s">
        <v>79</v>
      </c>
      <c r="N41" s="163" t="s">
        <v>79</v>
      </c>
      <c r="O41" s="163" t="s">
        <v>79</v>
      </c>
      <c r="P41" s="163" t="s">
        <v>79</v>
      </c>
      <c r="Q41" s="163" t="s">
        <v>86</v>
      </c>
      <c r="R41" s="163" t="s">
        <v>4367</v>
      </c>
      <c r="S41" s="163" t="s">
        <v>701</v>
      </c>
      <c r="T41" s="162"/>
    </row>
    <row r="42" spans="1:20">
      <c r="A42" s="163" t="s">
        <v>476</v>
      </c>
      <c r="B42" s="163" t="s">
        <v>479</v>
      </c>
      <c r="C42" s="163" t="s">
        <v>2658</v>
      </c>
      <c r="D42" s="163" t="s">
        <v>195</v>
      </c>
      <c r="E42" s="163" t="s">
        <v>2172</v>
      </c>
      <c r="F42" s="163" t="s">
        <v>198</v>
      </c>
      <c r="G42" s="163" t="s">
        <v>79</v>
      </c>
      <c r="H42" s="163" t="s">
        <v>79</v>
      </c>
      <c r="I42" s="163" t="s">
        <v>79</v>
      </c>
      <c r="J42" s="163" t="s">
        <v>79</v>
      </c>
      <c r="K42" s="163" t="s">
        <v>198</v>
      </c>
      <c r="L42" s="163" t="s">
        <v>79</v>
      </c>
      <c r="M42" s="163" t="s">
        <v>79</v>
      </c>
      <c r="N42" s="163" t="s">
        <v>79</v>
      </c>
      <c r="O42" s="163" t="s">
        <v>79</v>
      </c>
      <c r="P42" s="163" t="s">
        <v>79</v>
      </c>
      <c r="Q42" s="163" t="s">
        <v>4370</v>
      </c>
      <c r="R42" s="163" t="s">
        <v>3993</v>
      </c>
      <c r="S42" s="163"/>
      <c r="T42" s="162"/>
    </row>
    <row r="43" spans="1:20">
      <c r="A43" s="163" t="s">
        <v>321</v>
      </c>
      <c r="B43" s="163" t="s">
        <v>323</v>
      </c>
      <c r="C43" s="163" t="s">
        <v>322</v>
      </c>
      <c r="D43" s="163" t="s">
        <v>195</v>
      </c>
      <c r="E43" s="163" t="s">
        <v>2172</v>
      </c>
      <c r="F43" s="163" t="s">
        <v>198</v>
      </c>
      <c r="G43" s="163" t="s">
        <v>79</v>
      </c>
      <c r="H43" s="163" t="s">
        <v>79</v>
      </c>
      <c r="I43" s="163" t="s">
        <v>79</v>
      </c>
      <c r="J43" s="163" t="s">
        <v>79</v>
      </c>
      <c r="K43" s="163" t="s">
        <v>198</v>
      </c>
      <c r="L43" s="163" t="s">
        <v>79</v>
      </c>
      <c r="M43" s="163" t="s">
        <v>79</v>
      </c>
      <c r="N43" s="163" t="s">
        <v>79</v>
      </c>
      <c r="O43" s="163" t="s">
        <v>79</v>
      </c>
      <c r="P43" s="163" t="s">
        <v>79</v>
      </c>
      <c r="Q43" s="163" t="s">
        <v>4370</v>
      </c>
      <c r="R43" s="163" t="s">
        <v>3993</v>
      </c>
      <c r="S43" s="163"/>
      <c r="T43" s="162"/>
    </row>
    <row r="44" spans="1:20">
      <c r="A44" s="163" t="s">
        <v>339</v>
      </c>
      <c r="B44" s="163" t="s">
        <v>342</v>
      </c>
      <c r="C44" s="163" t="s">
        <v>340</v>
      </c>
      <c r="D44" s="163" t="s">
        <v>195</v>
      </c>
      <c r="E44" s="163" t="s">
        <v>2172</v>
      </c>
      <c r="F44" s="163" t="s">
        <v>198</v>
      </c>
      <c r="G44" s="163" t="s">
        <v>79</v>
      </c>
      <c r="H44" s="163" t="s">
        <v>79</v>
      </c>
      <c r="I44" s="163" t="s">
        <v>79</v>
      </c>
      <c r="J44" s="163" t="s">
        <v>79</v>
      </c>
      <c r="K44" s="163" t="s">
        <v>198</v>
      </c>
      <c r="L44" s="163" t="s">
        <v>79</v>
      </c>
      <c r="M44" s="163" t="s">
        <v>79</v>
      </c>
      <c r="N44" s="163" t="s">
        <v>79</v>
      </c>
      <c r="O44" s="163" t="s">
        <v>79</v>
      </c>
      <c r="P44" s="163" t="s">
        <v>79</v>
      </c>
      <c r="Q44" s="163" t="s">
        <v>4370</v>
      </c>
      <c r="R44" s="163" t="s">
        <v>3993</v>
      </c>
      <c r="S44" s="163"/>
      <c r="T44" s="162"/>
    </row>
    <row r="45" spans="1:20" ht="24">
      <c r="A45" s="163" t="s">
        <v>283</v>
      </c>
      <c r="B45" s="163" t="s">
        <v>285</v>
      </c>
      <c r="C45" s="163"/>
      <c r="D45" s="163" t="s">
        <v>220</v>
      </c>
      <c r="E45" s="163" t="s">
        <v>2160</v>
      </c>
      <c r="F45" s="163" t="s">
        <v>79</v>
      </c>
      <c r="G45" s="163" t="s">
        <v>79</v>
      </c>
      <c r="H45" s="163" t="s">
        <v>79</v>
      </c>
      <c r="I45" s="163" t="s">
        <v>79</v>
      </c>
      <c r="J45" s="163" t="s">
        <v>79</v>
      </c>
      <c r="K45" s="163" t="s">
        <v>79</v>
      </c>
      <c r="L45" s="163" t="s">
        <v>79</v>
      </c>
      <c r="M45" s="163" t="s">
        <v>79</v>
      </c>
      <c r="N45" s="163" t="s">
        <v>198</v>
      </c>
      <c r="O45" s="163" t="s">
        <v>79</v>
      </c>
      <c r="P45" s="163" t="s">
        <v>79</v>
      </c>
      <c r="Q45" s="163" t="s">
        <v>724</v>
      </c>
      <c r="R45" s="163" t="s">
        <v>4362</v>
      </c>
      <c r="S45" s="163" t="s">
        <v>294</v>
      </c>
      <c r="T45" s="162"/>
    </row>
    <row r="46" spans="1:20">
      <c r="A46" s="163" t="s">
        <v>276</v>
      </c>
      <c r="B46" s="163" t="s">
        <v>279</v>
      </c>
      <c r="C46" s="163" t="s">
        <v>277</v>
      </c>
      <c r="D46" s="163" t="s">
        <v>76</v>
      </c>
      <c r="E46" s="163" t="s">
        <v>3993</v>
      </c>
      <c r="F46" s="163" t="s">
        <v>79</v>
      </c>
      <c r="G46" s="163" t="s">
        <v>79</v>
      </c>
      <c r="H46" s="163" t="s">
        <v>79</v>
      </c>
      <c r="I46" s="163" t="s">
        <v>79</v>
      </c>
      <c r="J46" s="163" t="s">
        <v>79</v>
      </c>
      <c r="K46" s="163" t="s">
        <v>79</v>
      </c>
      <c r="L46" s="163" t="s">
        <v>79</v>
      </c>
      <c r="M46" s="163" t="s">
        <v>79</v>
      </c>
      <c r="N46" s="163" t="s">
        <v>79</v>
      </c>
      <c r="O46" s="163" t="s">
        <v>79</v>
      </c>
      <c r="P46" s="163" t="s">
        <v>79</v>
      </c>
      <c r="Q46" s="163" t="s">
        <v>86</v>
      </c>
      <c r="R46" s="163" t="s">
        <v>4362</v>
      </c>
      <c r="S46" s="163" t="s">
        <v>308</v>
      </c>
      <c r="T46" s="162"/>
    </row>
    <row r="47" spans="1:20">
      <c r="A47" s="163" t="s">
        <v>611</v>
      </c>
      <c r="B47" s="163" t="s">
        <v>614</v>
      </c>
      <c r="C47" s="163" t="s">
        <v>147</v>
      </c>
      <c r="D47" s="163" t="s">
        <v>264</v>
      </c>
      <c r="E47" s="163" t="s">
        <v>1666</v>
      </c>
      <c r="F47" s="163" t="s">
        <v>79</v>
      </c>
      <c r="G47" s="163" t="s">
        <v>79</v>
      </c>
      <c r="H47" s="163" t="s">
        <v>79</v>
      </c>
      <c r="I47" s="163" t="s">
        <v>79</v>
      </c>
      <c r="J47" s="163" t="s">
        <v>79</v>
      </c>
      <c r="K47" s="163" t="s">
        <v>79</v>
      </c>
      <c r="L47" s="163" t="s">
        <v>79</v>
      </c>
      <c r="M47" s="163" t="s">
        <v>79</v>
      </c>
      <c r="N47" s="163" t="s">
        <v>198</v>
      </c>
      <c r="O47" s="163" t="s">
        <v>198</v>
      </c>
      <c r="P47" s="163" t="s">
        <v>79</v>
      </c>
      <c r="Q47" s="163" t="s">
        <v>4371</v>
      </c>
      <c r="R47" s="163" t="s">
        <v>4364</v>
      </c>
      <c r="S47" s="163" t="s">
        <v>674</v>
      </c>
      <c r="T47" s="162"/>
    </row>
    <row r="48" spans="1:20">
      <c r="A48" s="163" t="s">
        <v>355</v>
      </c>
      <c r="B48" s="163" t="s">
        <v>357</v>
      </c>
      <c r="C48" s="163" t="s">
        <v>359</v>
      </c>
      <c r="D48" s="163" t="s">
        <v>76</v>
      </c>
      <c r="E48" s="163" t="s">
        <v>3993</v>
      </c>
      <c r="F48" s="163" t="s">
        <v>79</v>
      </c>
      <c r="G48" s="163" t="s">
        <v>79</v>
      </c>
      <c r="H48" s="163" t="s">
        <v>79</v>
      </c>
      <c r="I48" s="163" t="s">
        <v>79</v>
      </c>
      <c r="J48" s="163" t="s">
        <v>79</v>
      </c>
      <c r="K48" s="163" t="s">
        <v>79</v>
      </c>
      <c r="L48" s="163" t="s">
        <v>79</v>
      </c>
      <c r="M48" s="163" t="s">
        <v>79</v>
      </c>
      <c r="N48" s="163" t="s">
        <v>79</v>
      </c>
      <c r="O48" s="163" t="s">
        <v>79</v>
      </c>
      <c r="P48" s="163" t="s">
        <v>79</v>
      </c>
      <c r="Q48" s="163" t="s">
        <v>86</v>
      </c>
      <c r="R48" s="163" t="s">
        <v>4372</v>
      </c>
      <c r="S48" s="163" t="s">
        <v>368</v>
      </c>
      <c r="T48" s="162"/>
    </row>
    <row r="49" spans="1:20">
      <c r="A49" s="163" t="s">
        <v>617</v>
      </c>
      <c r="B49" s="163" t="s">
        <v>619</v>
      </c>
      <c r="C49" s="163" t="s">
        <v>147</v>
      </c>
      <c r="D49" s="163" t="s">
        <v>76</v>
      </c>
      <c r="E49" s="163" t="s">
        <v>3993</v>
      </c>
      <c r="F49" s="163" t="s">
        <v>79</v>
      </c>
      <c r="G49" s="163" t="s">
        <v>79</v>
      </c>
      <c r="H49" s="163" t="s">
        <v>79</v>
      </c>
      <c r="I49" s="163" t="s">
        <v>79</v>
      </c>
      <c r="J49" s="163" t="s">
        <v>79</v>
      </c>
      <c r="K49" s="163" t="s">
        <v>79</v>
      </c>
      <c r="L49" s="163" t="s">
        <v>79</v>
      </c>
      <c r="M49" s="163" t="s">
        <v>79</v>
      </c>
      <c r="N49" s="163" t="s">
        <v>79</v>
      </c>
      <c r="O49" s="163" t="s">
        <v>79</v>
      </c>
      <c r="P49" s="163" t="s">
        <v>79</v>
      </c>
      <c r="Q49" s="163" t="s">
        <v>86</v>
      </c>
      <c r="R49" s="163" t="s">
        <v>4372</v>
      </c>
      <c r="S49" s="163" t="s">
        <v>368</v>
      </c>
      <c r="T49" s="162"/>
    </row>
    <row r="50" spans="1:20">
      <c r="A50" s="163" t="s">
        <v>310</v>
      </c>
      <c r="B50" s="163" t="s">
        <v>311</v>
      </c>
      <c r="C50" s="163" t="s">
        <v>277</v>
      </c>
      <c r="D50" s="163" t="s">
        <v>76</v>
      </c>
      <c r="E50" s="163" t="s">
        <v>3993</v>
      </c>
      <c r="F50" s="163" t="s">
        <v>79</v>
      </c>
      <c r="G50" s="163" t="s">
        <v>79</v>
      </c>
      <c r="H50" s="163" t="s">
        <v>79</v>
      </c>
      <c r="I50" s="163" t="s">
        <v>79</v>
      </c>
      <c r="J50" s="163" t="s">
        <v>79</v>
      </c>
      <c r="K50" s="163" t="s">
        <v>79</v>
      </c>
      <c r="L50" s="163" t="s">
        <v>79</v>
      </c>
      <c r="M50" s="163" t="s">
        <v>79</v>
      </c>
      <c r="N50" s="163" t="s">
        <v>79</v>
      </c>
      <c r="O50" s="163" t="s">
        <v>79</v>
      </c>
      <c r="P50" s="163" t="s">
        <v>79</v>
      </c>
      <c r="Q50" s="163" t="s">
        <v>86</v>
      </c>
      <c r="R50" s="163" t="s">
        <v>4368</v>
      </c>
      <c r="S50" s="163" t="s">
        <v>316</v>
      </c>
      <c r="T50" s="162"/>
    </row>
    <row r="51" spans="1:20">
      <c r="A51" s="163" t="s">
        <v>284</v>
      </c>
      <c r="B51" s="163" t="s">
        <v>287</v>
      </c>
      <c r="C51" s="163" t="s">
        <v>331</v>
      </c>
      <c r="D51" s="163" t="s">
        <v>76</v>
      </c>
      <c r="E51" s="163" t="s">
        <v>3993</v>
      </c>
      <c r="F51" s="163" t="s">
        <v>79</v>
      </c>
      <c r="G51" s="163" t="s">
        <v>79</v>
      </c>
      <c r="H51" s="163" t="s">
        <v>79</v>
      </c>
      <c r="I51" s="163" t="s">
        <v>79</v>
      </c>
      <c r="J51" s="163" t="s">
        <v>79</v>
      </c>
      <c r="K51" s="163" t="s">
        <v>79</v>
      </c>
      <c r="L51" s="163" t="s">
        <v>79</v>
      </c>
      <c r="M51" s="163" t="s">
        <v>79</v>
      </c>
      <c r="N51" s="163" t="s">
        <v>79</v>
      </c>
      <c r="O51" s="163" t="s">
        <v>79</v>
      </c>
      <c r="P51" s="163" t="s">
        <v>79</v>
      </c>
      <c r="Q51" s="163" t="s">
        <v>86</v>
      </c>
      <c r="R51" s="163" t="s">
        <v>4365</v>
      </c>
      <c r="S51" s="163" t="s">
        <v>133</v>
      </c>
      <c r="T51" s="162"/>
    </row>
    <row r="52" spans="1:20">
      <c r="A52" s="163" t="s">
        <v>379</v>
      </c>
      <c r="B52" s="163" t="s">
        <v>380</v>
      </c>
      <c r="C52" s="163" t="s">
        <v>103</v>
      </c>
      <c r="D52" s="163" t="s">
        <v>264</v>
      </c>
      <c r="E52" s="163" t="s">
        <v>1666</v>
      </c>
      <c r="F52" s="163" t="s">
        <v>79</v>
      </c>
      <c r="G52" s="163" t="s">
        <v>79</v>
      </c>
      <c r="H52" s="163" t="s">
        <v>79</v>
      </c>
      <c r="I52" s="163" t="s">
        <v>79</v>
      </c>
      <c r="J52" s="163" t="s">
        <v>198</v>
      </c>
      <c r="K52" s="163" t="s">
        <v>79</v>
      </c>
      <c r="L52" s="163" t="s">
        <v>79</v>
      </c>
      <c r="M52" s="163" t="s">
        <v>79</v>
      </c>
      <c r="N52" s="163" t="s">
        <v>198</v>
      </c>
      <c r="O52" s="163" t="s">
        <v>79</v>
      </c>
      <c r="P52" s="163" t="s">
        <v>79</v>
      </c>
      <c r="Q52" s="163" t="s">
        <v>4373</v>
      </c>
      <c r="R52" s="163" t="s">
        <v>4372</v>
      </c>
      <c r="S52" s="163" t="s">
        <v>387</v>
      </c>
      <c r="T52" s="162"/>
    </row>
    <row r="53" spans="1:20">
      <c r="A53" s="163" t="s">
        <v>471</v>
      </c>
      <c r="B53" s="163" t="s">
        <v>474</v>
      </c>
      <c r="C53" s="163" t="s">
        <v>158</v>
      </c>
      <c r="D53" s="163" t="s">
        <v>220</v>
      </c>
      <c r="E53" s="163" t="s">
        <v>2160</v>
      </c>
      <c r="F53" s="163" t="s">
        <v>79</v>
      </c>
      <c r="G53" s="163" t="s">
        <v>79</v>
      </c>
      <c r="H53" s="163" t="s">
        <v>79</v>
      </c>
      <c r="I53" s="163" t="s">
        <v>79</v>
      </c>
      <c r="J53" s="163" t="s">
        <v>79</v>
      </c>
      <c r="K53" s="163" t="s">
        <v>79</v>
      </c>
      <c r="L53" s="163" t="s">
        <v>79</v>
      </c>
      <c r="M53" s="163" t="s">
        <v>79</v>
      </c>
      <c r="N53" s="163" t="s">
        <v>198</v>
      </c>
      <c r="O53" s="163" t="s">
        <v>79</v>
      </c>
      <c r="P53" s="163" t="s">
        <v>79</v>
      </c>
      <c r="Q53" s="163" t="s">
        <v>724</v>
      </c>
      <c r="R53" s="163" t="s">
        <v>4367</v>
      </c>
      <c r="S53" s="163" t="s">
        <v>658</v>
      </c>
      <c r="T53" s="162"/>
    </row>
    <row r="54" spans="1:20">
      <c r="A54" s="163" t="s">
        <v>299</v>
      </c>
      <c r="B54" s="163" t="s">
        <v>301</v>
      </c>
      <c r="C54" s="163" t="s">
        <v>103</v>
      </c>
      <c r="D54" s="163" t="s">
        <v>76</v>
      </c>
      <c r="E54" s="163" t="s">
        <v>3993</v>
      </c>
      <c r="F54" s="163" t="s">
        <v>79</v>
      </c>
      <c r="G54" s="163" t="s">
        <v>79</v>
      </c>
      <c r="H54" s="163" t="s">
        <v>79</v>
      </c>
      <c r="I54" s="163" t="s">
        <v>79</v>
      </c>
      <c r="J54" s="163" t="s">
        <v>79</v>
      </c>
      <c r="K54" s="163" t="s">
        <v>79</v>
      </c>
      <c r="L54" s="163" t="s">
        <v>79</v>
      </c>
      <c r="M54" s="163" t="s">
        <v>79</v>
      </c>
      <c r="N54" s="163" t="s">
        <v>79</v>
      </c>
      <c r="O54" s="163" t="s">
        <v>79</v>
      </c>
      <c r="P54" s="163" t="s">
        <v>79</v>
      </c>
      <c r="Q54" s="163" t="s">
        <v>86</v>
      </c>
      <c r="R54" s="163" t="s">
        <v>4366</v>
      </c>
      <c r="S54" s="163" t="s">
        <v>404</v>
      </c>
      <c r="T54" s="162"/>
    </row>
    <row r="55" spans="1:20">
      <c r="A55" s="163" t="s">
        <v>274</v>
      </c>
      <c r="B55" s="163" t="s">
        <v>275</v>
      </c>
      <c r="C55" s="163" t="s">
        <v>234</v>
      </c>
      <c r="D55" s="163" t="s">
        <v>76</v>
      </c>
      <c r="E55" s="163" t="s">
        <v>3993</v>
      </c>
      <c r="F55" s="163" t="s">
        <v>79</v>
      </c>
      <c r="G55" s="163" t="s">
        <v>79</v>
      </c>
      <c r="H55" s="163" t="s">
        <v>79</v>
      </c>
      <c r="I55" s="163" t="s">
        <v>79</v>
      </c>
      <c r="J55" s="163" t="s">
        <v>79</v>
      </c>
      <c r="K55" s="163" t="s">
        <v>79</v>
      </c>
      <c r="L55" s="163" t="s">
        <v>79</v>
      </c>
      <c r="M55" s="163" t="s">
        <v>79</v>
      </c>
      <c r="N55" s="163" t="s">
        <v>79</v>
      </c>
      <c r="O55" s="163" t="s">
        <v>79</v>
      </c>
      <c r="P55" s="163" t="s">
        <v>79</v>
      </c>
      <c r="Q55" s="163" t="s">
        <v>86</v>
      </c>
      <c r="R55" s="163" t="s">
        <v>4362</v>
      </c>
      <c r="S55" s="163" t="s">
        <v>172</v>
      </c>
      <c r="T55" s="162"/>
    </row>
    <row r="56" spans="1:20">
      <c r="A56" s="163" t="s">
        <v>318</v>
      </c>
      <c r="B56" s="163" t="s">
        <v>319</v>
      </c>
      <c r="C56" s="163" t="s">
        <v>277</v>
      </c>
      <c r="D56" s="163" t="s">
        <v>220</v>
      </c>
      <c r="E56" s="163" t="s">
        <v>2160</v>
      </c>
      <c r="F56" s="163" t="s">
        <v>79</v>
      </c>
      <c r="G56" s="163" t="s">
        <v>79</v>
      </c>
      <c r="H56" s="163" t="s">
        <v>79</v>
      </c>
      <c r="I56" s="163" t="s">
        <v>79</v>
      </c>
      <c r="J56" s="163" t="s">
        <v>79</v>
      </c>
      <c r="K56" s="163" t="s">
        <v>79</v>
      </c>
      <c r="L56" s="163" t="s">
        <v>198</v>
      </c>
      <c r="M56" s="163" t="s">
        <v>79</v>
      </c>
      <c r="N56" s="163" t="s">
        <v>79</v>
      </c>
      <c r="O56" s="163" t="s">
        <v>79</v>
      </c>
      <c r="P56" s="163" t="s">
        <v>79</v>
      </c>
      <c r="Q56" s="163" t="s">
        <v>326</v>
      </c>
      <c r="R56" s="163" t="s">
        <v>4368</v>
      </c>
      <c r="S56" s="163" t="s">
        <v>327</v>
      </c>
      <c r="T56" s="162"/>
    </row>
    <row r="57" spans="1:20">
      <c r="A57" s="163" t="s">
        <v>161</v>
      </c>
      <c r="B57" s="163" t="s">
        <v>162</v>
      </c>
      <c r="C57" s="163" t="s">
        <v>156</v>
      </c>
      <c r="D57" s="163" t="s">
        <v>76</v>
      </c>
      <c r="E57" s="163" t="s">
        <v>3993</v>
      </c>
      <c r="F57" s="163" t="s">
        <v>79</v>
      </c>
      <c r="G57" s="163" t="s">
        <v>79</v>
      </c>
      <c r="H57" s="163" t="s">
        <v>79</v>
      </c>
      <c r="I57" s="163" t="s">
        <v>79</v>
      </c>
      <c r="J57" s="163" t="s">
        <v>79</v>
      </c>
      <c r="K57" s="163" t="s">
        <v>79</v>
      </c>
      <c r="L57" s="163" t="s">
        <v>79</v>
      </c>
      <c r="M57" s="163" t="s">
        <v>79</v>
      </c>
      <c r="N57" s="163" t="s">
        <v>79</v>
      </c>
      <c r="O57" s="163" t="s">
        <v>79</v>
      </c>
      <c r="P57" s="163" t="s">
        <v>79</v>
      </c>
      <c r="Q57" s="163" t="s">
        <v>86</v>
      </c>
      <c r="R57" s="163" t="s">
        <v>4362</v>
      </c>
      <c r="S57" s="163" t="s">
        <v>172</v>
      </c>
      <c r="T57" s="162"/>
    </row>
    <row r="58" spans="1:20">
      <c r="A58" s="163" t="s">
        <v>481</v>
      </c>
      <c r="B58" s="163" t="s">
        <v>482</v>
      </c>
      <c r="C58" s="163" t="s">
        <v>315</v>
      </c>
      <c r="D58" s="163" t="s">
        <v>76</v>
      </c>
      <c r="E58" s="163" t="s">
        <v>3993</v>
      </c>
      <c r="F58" s="163" t="s">
        <v>79</v>
      </c>
      <c r="G58" s="163" t="s">
        <v>79</v>
      </c>
      <c r="H58" s="163" t="s">
        <v>79</v>
      </c>
      <c r="I58" s="163" t="s">
        <v>79</v>
      </c>
      <c r="J58" s="163" t="s">
        <v>79</v>
      </c>
      <c r="K58" s="163" t="s">
        <v>79</v>
      </c>
      <c r="L58" s="163" t="s">
        <v>79</v>
      </c>
      <c r="M58" s="163" t="s">
        <v>79</v>
      </c>
      <c r="N58" s="163" t="s">
        <v>79</v>
      </c>
      <c r="O58" s="163" t="s">
        <v>79</v>
      </c>
      <c r="P58" s="163" t="s">
        <v>79</v>
      </c>
      <c r="Q58" s="163" t="s">
        <v>86</v>
      </c>
      <c r="R58" s="163" t="s">
        <v>4364</v>
      </c>
      <c r="S58" s="163" t="s">
        <v>192</v>
      </c>
      <c r="T58" s="162"/>
    </row>
    <row r="59" spans="1:20">
      <c r="A59" s="163" t="s">
        <v>228</v>
      </c>
      <c r="B59" s="163" t="s">
        <v>229</v>
      </c>
      <c r="C59" s="163" t="s">
        <v>183</v>
      </c>
      <c r="D59" s="163" t="s">
        <v>76</v>
      </c>
      <c r="E59" s="163" t="s">
        <v>3993</v>
      </c>
      <c r="F59" s="163" t="s">
        <v>79</v>
      </c>
      <c r="G59" s="163" t="s">
        <v>79</v>
      </c>
      <c r="H59" s="163" t="s">
        <v>79</v>
      </c>
      <c r="I59" s="163" t="s">
        <v>79</v>
      </c>
      <c r="J59" s="163" t="s">
        <v>79</v>
      </c>
      <c r="K59" s="163" t="s">
        <v>79</v>
      </c>
      <c r="L59" s="163" t="s">
        <v>79</v>
      </c>
      <c r="M59" s="163" t="s">
        <v>79</v>
      </c>
      <c r="N59" s="163" t="s">
        <v>79</v>
      </c>
      <c r="O59" s="163" t="s">
        <v>79</v>
      </c>
      <c r="P59" s="163" t="s">
        <v>79</v>
      </c>
      <c r="Q59" s="163" t="s">
        <v>86</v>
      </c>
      <c r="R59" s="163" t="s">
        <v>4362</v>
      </c>
      <c r="S59" s="163" t="s">
        <v>172</v>
      </c>
      <c r="T59" s="162"/>
    </row>
    <row r="60" spans="1:20">
      <c r="A60" s="163" t="s">
        <v>241</v>
      </c>
      <c r="B60" s="163" t="s">
        <v>242</v>
      </c>
      <c r="C60" s="163" t="s">
        <v>234</v>
      </c>
      <c r="D60" s="163" t="s">
        <v>76</v>
      </c>
      <c r="E60" s="163" t="s">
        <v>3993</v>
      </c>
      <c r="F60" s="163" t="s">
        <v>79</v>
      </c>
      <c r="G60" s="163" t="s">
        <v>79</v>
      </c>
      <c r="H60" s="163" t="s">
        <v>79</v>
      </c>
      <c r="I60" s="163" t="s">
        <v>79</v>
      </c>
      <c r="J60" s="163" t="s">
        <v>79</v>
      </c>
      <c r="K60" s="163" t="s">
        <v>79</v>
      </c>
      <c r="L60" s="163" t="s">
        <v>79</v>
      </c>
      <c r="M60" s="163" t="s">
        <v>79</v>
      </c>
      <c r="N60" s="163" t="s">
        <v>79</v>
      </c>
      <c r="O60" s="163" t="s">
        <v>79</v>
      </c>
      <c r="P60" s="163" t="s">
        <v>79</v>
      </c>
      <c r="Q60" s="163" t="s">
        <v>86</v>
      </c>
      <c r="R60" s="163" t="s">
        <v>4362</v>
      </c>
      <c r="S60" s="163" t="s">
        <v>172</v>
      </c>
      <c r="T60" s="162"/>
    </row>
    <row r="61" spans="1:20">
      <c r="A61" s="163" t="s">
        <v>329</v>
      </c>
      <c r="B61" s="163" t="s">
        <v>330</v>
      </c>
      <c r="C61" s="163" t="s">
        <v>331</v>
      </c>
      <c r="D61" s="163" t="s">
        <v>76</v>
      </c>
      <c r="E61" s="163" t="s">
        <v>3993</v>
      </c>
      <c r="F61" s="163" t="s">
        <v>79</v>
      </c>
      <c r="G61" s="163" t="s">
        <v>79</v>
      </c>
      <c r="H61" s="163" t="s">
        <v>79</v>
      </c>
      <c r="I61" s="163" t="s">
        <v>79</v>
      </c>
      <c r="J61" s="163" t="s">
        <v>79</v>
      </c>
      <c r="K61" s="163" t="s">
        <v>79</v>
      </c>
      <c r="L61" s="163" t="s">
        <v>79</v>
      </c>
      <c r="M61" s="163" t="s">
        <v>79</v>
      </c>
      <c r="N61" s="163" t="s">
        <v>79</v>
      </c>
      <c r="O61" s="163" t="s">
        <v>79</v>
      </c>
      <c r="P61" s="163" t="s">
        <v>79</v>
      </c>
      <c r="Q61" s="163" t="s">
        <v>86</v>
      </c>
      <c r="R61" s="163" t="s">
        <v>4362</v>
      </c>
      <c r="S61" s="163" t="s">
        <v>172</v>
      </c>
      <c r="T61" s="162"/>
    </row>
    <row r="62" spans="1:20">
      <c r="A62" s="163" t="s">
        <v>181</v>
      </c>
      <c r="B62" s="163" t="s">
        <v>182</v>
      </c>
      <c r="C62" s="163" t="s">
        <v>183</v>
      </c>
      <c r="D62" s="163" t="s">
        <v>76</v>
      </c>
      <c r="E62" s="163" t="s">
        <v>3993</v>
      </c>
      <c r="F62" s="163" t="s">
        <v>79</v>
      </c>
      <c r="G62" s="163" t="s">
        <v>79</v>
      </c>
      <c r="H62" s="163" t="s">
        <v>79</v>
      </c>
      <c r="I62" s="163" t="s">
        <v>79</v>
      </c>
      <c r="J62" s="163" t="s">
        <v>79</v>
      </c>
      <c r="K62" s="163" t="s">
        <v>79</v>
      </c>
      <c r="L62" s="163" t="s">
        <v>79</v>
      </c>
      <c r="M62" s="163" t="s">
        <v>79</v>
      </c>
      <c r="N62" s="163" t="s">
        <v>79</v>
      </c>
      <c r="O62" s="163" t="s">
        <v>79</v>
      </c>
      <c r="P62" s="163" t="s">
        <v>79</v>
      </c>
      <c r="Q62" s="163" t="s">
        <v>86</v>
      </c>
      <c r="R62" s="163" t="s">
        <v>4364</v>
      </c>
      <c r="S62" s="163" t="s">
        <v>192</v>
      </c>
      <c r="T62" s="162"/>
    </row>
    <row r="63" spans="1:20">
      <c r="A63" s="163" t="s">
        <v>155</v>
      </c>
      <c r="B63" s="163" t="s">
        <v>159</v>
      </c>
      <c r="C63" s="163"/>
      <c r="D63" s="163" t="s">
        <v>195</v>
      </c>
      <c r="E63" s="163" t="s">
        <v>2172</v>
      </c>
      <c r="F63" s="163" t="s">
        <v>79</v>
      </c>
      <c r="G63" s="163" t="s">
        <v>79</v>
      </c>
      <c r="H63" s="163" t="s">
        <v>79</v>
      </c>
      <c r="I63" s="163" t="s">
        <v>79</v>
      </c>
      <c r="J63" s="163" t="s">
        <v>79</v>
      </c>
      <c r="K63" s="163" t="s">
        <v>79</v>
      </c>
      <c r="L63" s="163" t="s">
        <v>198</v>
      </c>
      <c r="M63" s="163" t="s">
        <v>79</v>
      </c>
      <c r="N63" s="163" t="s">
        <v>79</v>
      </c>
      <c r="O63" s="163" t="s">
        <v>198</v>
      </c>
      <c r="P63" s="163" t="s">
        <v>198</v>
      </c>
      <c r="Q63" s="163" t="s">
        <v>4374</v>
      </c>
      <c r="R63" s="163" t="s">
        <v>4372</v>
      </c>
      <c r="S63" s="163" t="s">
        <v>635</v>
      </c>
      <c r="T63" s="162"/>
    </row>
    <row r="64" spans="1:20" ht="24">
      <c r="A64" s="163" t="s">
        <v>712</v>
      </c>
      <c r="B64" s="163" t="s">
        <v>595</v>
      </c>
      <c r="C64" s="163" t="s">
        <v>315</v>
      </c>
      <c r="D64" s="163" t="s">
        <v>597</v>
      </c>
      <c r="E64" s="163" t="s">
        <v>2200</v>
      </c>
      <c r="F64" s="163" t="s">
        <v>79</v>
      </c>
      <c r="G64" s="163" t="s">
        <v>198</v>
      </c>
      <c r="H64" s="163" t="s">
        <v>198</v>
      </c>
      <c r="I64" s="163" t="s">
        <v>198</v>
      </c>
      <c r="J64" s="163" t="s">
        <v>198</v>
      </c>
      <c r="K64" s="163" t="s">
        <v>79</v>
      </c>
      <c r="L64" s="163" t="s">
        <v>198</v>
      </c>
      <c r="M64" s="163" t="s">
        <v>79</v>
      </c>
      <c r="N64" s="163" t="s">
        <v>198</v>
      </c>
      <c r="O64" s="163" t="s">
        <v>198</v>
      </c>
      <c r="P64" s="163" t="s">
        <v>198</v>
      </c>
      <c r="Q64" s="163" t="s">
        <v>598</v>
      </c>
      <c r="R64" s="163" t="s">
        <v>4367</v>
      </c>
      <c r="S64" s="163" t="s">
        <v>701</v>
      </c>
      <c r="T64" s="162"/>
    </row>
    <row r="65" spans="1:20">
      <c r="A65" s="163" t="s">
        <v>636</v>
      </c>
      <c r="B65" s="163" t="s">
        <v>208</v>
      </c>
      <c r="C65" s="163" t="s">
        <v>183</v>
      </c>
      <c r="D65" s="163" t="s">
        <v>195</v>
      </c>
      <c r="E65" s="163" t="s">
        <v>2172</v>
      </c>
      <c r="F65" s="163" t="s">
        <v>79</v>
      </c>
      <c r="G65" s="163" t="s">
        <v>79</v>
      </c>
      <c r="H65" s="163" t="s">
        <v>79</v>
      </c>
      <c r="I65" s="163" t="s">
        <v>79</v>
      </c>
      <c r="J65" s="163" t="s">
        <v>79</v>
      </c>
      <c r="K65" s="163" t="s">
        <v>79</v>
      </c>
      <c r="L65" s="163" t="s">
        <v>198</v>
      </c>
      <c r="M65" s="163" t="s">
        <v>79</v>
      </c>
      <c r="N65" s="163" t="s">
        <v>79</v>
      </c>
      <c r="O65" s="163" t="s">
        <v>198</v>
      </c>
      <c r="P65" s="163" t="s">
        <v>198</v>
      </c>
      <c r="Q65" s="163" t="s">
        <v>4374</v>
      </c>
      <c r="R65" s="163" t="s">
        <v>4372</v>
      </c>
      <c r="S65" s="163" t="s">
        <v>635</v>
      </c>
      <c r="T65" s="162"/>
    </row>
    <row r="66" spans="1:20" ht="36">
      <c r="A66" s="163" t="s">
        <v>336</v>
      </c>
      <c r="B66" s="163" t="s">
        <v>337</v>
      </c>
      <c r="C66" s="163"/>
      <c r="D66" s="163" t="s">
        <v>76</v>
      </c>
      <c r="E66" s="163" t="s">
        <v>3993</v>
      </c>
      <c r="F66" s="163" t="s">
        <v>79</v>
      </c>
      <c r="G66" s="163" t="s">
        <v>79</v>
      </c>
      <c r="H66" s="163" t="s">
        <v>79</v>
      </c>
      <c r="I66" s="163" t="s">
        <v>79</v>
      </c>
      <c r="J66" s="163" t="s">
        <v>79</v>
      </c>
      <c r="K66" s="163" t="s">
        <v>79</v>
      </c>
      <c r="L66" s="163" t="s">
        <v>79</v>
      </c>
      <c r="M66" s="163" t="s">
        <v>79</v>
      </c>
      <c r="N66" s="163" t="s">
        <v>79</v>
      </c>
      <c r="O66" s="163" t="s">
        <v>79</v>
      </c>
      <c r="P66" s="163" t="s">
        <v>79</v>
      </c>
      <c r="Q66" s="163" t="s">
        <v>86</v>
      </c>
      <c r="R66" s="163" t="s">
        <v>4367</v>
      </c>
      <c r="S66" s="163" t="s">
        <v>343</v>
      </c>
      <c r="T66" s="162"/>
    </row>
    <row r="67" spans="1:20" ht="24">
      <c r="A67" s="163" t="s">
        <v>335</v>
      </c>
      <c r="B67" s="163" t="s">
        <v>338</v>
      </c>
      <c r="C67" s="163" t="s">
        <v>1489</v>
      </c>
      <c r="D67" s="163" t="s">
        <v>4375</v>
      </c>
      <c r="E67" s="163" t="s">
        <v>2194</v>
      </c>
      <c r="F67" s="163" t="s">
        <v>198</v>
      </c>
      <c r="G67" s="163" t="s">
        <v>79</v>
      </c>
      <c r="H67" s="163" t="s">
        <v>79</v>
      </c>
      <c r="I67" s="163" t="s">
        <v>79</v>
      </c>
      <c r="J67" s="163" t="s">
        <v>79</v>
      </c>
      <c r="K67" s="163" t="s">
        <v>198</v>
      </c>
      <c r="L67" s="163" t="s">
        <v>198</v>
      </c>
      <c r="M67" s="163" t="s">
        <v>79</v>
      </c>
      <c r="N67" s="163" t="s">
        <v>198</v>
      </c>
      <c r="O67" s="163" t="s">
        <v>198</v>
      </c>
      <c r="P67" s="163" t="s">
        <v>198</v>
      </c>
      <c r="Q67" s="163" t="s">
        <v>4376</v>
      </c>
      <c r="R67" s="163" t="s">
        <v>3993</v>
      </c>
      <c r="S67" s="163"/>
      <c r="T67" s="162"/>
    </row>
    <row r="68" spans="1:20">
      <c r="A68" s="163" t="s">
        <v>314</v>
      </c>
      <c r="B68" s="163" t="s">
        <v>317</v>
      </c>
      <c r="C68" s="163" t="s">
        <v>315</v>
      </c>
      <c r="D68" s="163" t="s">
        <v>195</v>
      </c>
      <c r="E68" s="163" t="s">
        <v>2172</v>
      </c>
      <c r="F68" s="163" t="s">
        <v>79</v>
      </c>
      <c r="G68" s="163" t="s">
        <v>79</v>
      </c>
      <c r="H68" s="163" t="s">
        <v>79</v>
      </c>
      <c r="I68" s="163" t="s">
        <v>79</v>
      </c>
      <c r="J68" s="163" t="s">
        <v>79</v>
      </c>
      <c r="K68" s="163" t="s">
        <v>79</v>
      </c>
      <c r="L68" s="163" t="s">
        <v>198</v>
      </c>
      <c r="M68" s="163" t="s">
        <v>79</v>
      </c>
      <c r="N68" s="163" t="s">
        <v>79</v>
      </c>
      <c r="O68" s="163" t="s">
        <v>198</v>
      </c>
      <c r="P68" s="163" t="s">
        <v>198</v>
      </c>
      <c r="Q68" s="163" t="s">
        <v>4374</v>
      </c>
      <c r="R68" s="163" t="s">
        <v>4372</v>
      </c>
      <c r="S68" s="163" t="s">
        <v>635</v>
      </c>
      <c r="T68" s="162"/>
    </row>
    <row r="69" spans="1:20">
      <c r="A69" s="163" t="s">
        <v>204</v>
      </c>
      <c r="B69" s="163" t="s">
        <v>205</v>
      </c>
      <c r="C69" s="163" t="s">
        <v>183</v>
      </c>
      <c r="D69" s="163" t="s">
        <v>76</v>
      </c>
      <c r="E69" s="163" t="s">
        <v>3993</v>
      </c>
      <c r="F69" s="163" t="s">
        <v>79</v>
      </c>
      <c r="G69" s="163" t="s">
        <v>79</v>
      </c>
      <c r="H69" s="163" t="s">
        <v>79</v>
      </c>
      <c r="I69" s="163" t="s">
        <v>79</v>
      </c>
      <c r="J69" s="163" t="s">
        <v>79</v>
      </c>
      <c r="K69" s="163" t="s">
        <v>79</v>
      </c>
      <c r="L69" s="163" t="s">
        <v>79</v>
      </c>
      <c r="M69" s="163" t="s">
        <v>79</v>
      </c>
      <c r="N69" s="163" t="s">
        <v>79</v>
      </c>
      <c r="O69" s="163" t="s">
        <v>79</v>
      </c>
      <c r="P69" s="163" t="s">
        <v>79</v>
      </c>
      <c r="Q69" s="163" t="s">
        <v>86</v>
      </c>
      <c r="R69" s="163" t="s">
        <v>4367</v>
      </c>
      <c r="S69" s="163" t="s">
        <v>203</v>
      </c>
      <c r="T69" s="162"/>
    </row>
    <row r="70" spans="1:20">
      <c r="A70" s="163" t="s">
        <v>215</v>
      </c>
      <c r="B70" s="163" t="s">
        <v>218</v>
      </c>
      <c r="C70" s="163" t="s">
        <v>234</v>
      </c>
      <c r="D70" s="163" t="s">
        <v>76</v>
      </c>
      <c r="E70" s="163" t="s">
        <v>3993</v>
      </c>
      <c r="F70" s="163" t="s">
        <v>79</v>
      </c>
      <c r="G70" s="163" t="s">
        <v>79</v>
      </c>
      <c r="H70" s="163" t="s">
        <v>79</v>
      </c>
      <c r="I70" s="163" t="s">
        <v>79</v>
      </c>
      <c r="J70" s="163" t="s">
        <v>79</v>
      </c>
      <c r="K70" s="163" t="s">
        <v>79</v>
      </c>
      <c r="L70" s="163" t="s">
        <v>79</v>
      </c>
      <c r="M70" s="163" t="s">
        <v>79</v>
      </c>
      <c r="N70" s="163" t="s">
        <v>79</v>
      </c>
      <c r="O70" s="163" t="s">
        <v>79</v>
      </c>
      <c r="P70" s="163" t="s">
        <v>79</v>
      </c>
      <c r="Q70" s="163" t="s">
        <v>86</v>
      </c>
      <c r="R70" s="163" t="s">
        <v>4372</v>
      </c>
      <c r="S70" s="163" t="s">
        <v>255</v>
      </c>
      <c r="T70" s="162"/>
    </row>
    <row r="71" spans="1:20">
      <c r="A71" s="163" t="s">
        <v>193</v>
      </c>
      <c r="B71" s="163" t="s">
        <v>194</v>
      </c>
      <c r="C71" s="163" t="s">
        <v>183</v>
      </c>
      <c r="D71" s="163" t="s">
        <v>76</v>
      </c>
      <c r="E71" s="163" t="s">
        <v>3993</v>
      </c>
      <c r="F71" s="163" t="s">
        <v>79</v>
      </c>
      <c r="G71" s="163" t="s">
        <v>79</v>
      </c>
      <c r="H71" s="163" t="s">
        <v>79</v>
      </c>
      <c r="I71" s="163" t="s">
        <v>79</v>
      </c>
      <c r="J71" s="163" t="s">
        <v>79</v>
      </c>
      <c r="K71" s="163" t="s">
        <v>79</v>
      </c>
      <c r="L71" s="163" t="s">
        <v>79</v>
      </c>
      <c r="M71" s="163" t="s">
        <v>79</v>
      </c>
      <c r="N71" s="163" t="s">
        <v>79</v>
      </c>
      <c r="O71" s="163" t="s">
        <v>79</v>
      </c>
      <c r="P71" s="163" t="s">
        <v>79</v>
      </c>
      <c r="Q71" s="163" t="s">
        <v>86</v>
      </c>
      <c r="R71" s="163" t="s">
        <v>4367</v>
      </c>
      <c r="S71" s="163" t="s">
        <v>203</v>
      </c>
      <c r="T71" s="162"/>
    </row>
    <row r="72" spans="1:20">
      <c r="A72" s="163" t="s">
        <v>600</v>
      </c>
      <c r="B72" s="163" t="s">
        <v>602</v>
      </c>
      <c r="C72" s="163" t="s">
        <v>315</v>
      </c>
      <c r="D72" s="163" t="s">
        <v>76</v>
      </c>
      <c r="E72" s="163" t="s">
        <v>3993</v>
      </c>
      <c r="F72" s="163" t="s">
        <v>79</v>
      </c>
      <c r="G72" s="163" t="s">
        <v>79</v>
      </c>
      <c r="H72" s="163" t="s">
        <v>79</v>
      </c>
      <c r="I72" s="163" t="s">
        <v>79</v>
      </c>
      <c r="J72" s="163" t="s">
        <v>79</v>
      </c>
      <c r="K72" s="163" t="s">
        <v>79</v>
      </c>
      <c r="L72" s="163" t="s">
        <v>79</v>
      </c>
      <c r="M72" s="163" t="s">
        <v>79</v>
      </c>
      <c r="N72" s="163" t="s">
        <v>79</v>
      </c>
      <c r="O72" s="163" t="s">
        <v>79</v>
      </c>
      <c r="P72" s="163" t="s">
        <v>79</v>
      </c>
      <c r="Q72" s="163" t="s">
        <v>86</v>
      </c>
      <c r="R72" s="163" t="s">
        <v>4367</v>
      </c>
      <c r="S72" s="163" t="s">
        <v>203</v>
      </c>
      <c r="T72" s="162"/>
    </row>
    <row r="73" spans="1:20">
      <c r="A73" s="163" t="s">
        <v>213</v>
      </c>
      <c r="B73" s="163" t="s">
        <v>214</v>
      </c>
      <c r="C73" s="163" t="s">
        <v>183</v>
      </c>
      <c r="D73" s="163" t="s">
        <v>76</v>
      </c>
      <c r="E73" s="163" t="s">
        <v>3993</v>
      </c>
      <c r="F73" s="163" t="s">
        <v>79</v>
      </c>
      <c r="G73" s="163" t="s">
        <v>79</v>
      </c>
      <c r="H73" s="163" t="s">
        <v>79</v>
      </c>
      <c r="I73" s="163" t="s">
        <v>79</v>
      </c>
      <c r="J73" s="163" t="s">
        <v>79</v>
      </c>
      <c r="K73" s="163" t="s">
        <v>79</v>
      </c>
      <c r="L73" s="163" t="s">
        <v>79</v>
      </c>
      <c r="M73" s="163" t="s">
        <v>79</v>
      </c>
      <c r="N73" s="163" t="s">
        <v>79</v>
      </c>
      <c r="O73" s="163" t="s">
        <v>79</v>
      </c>
      <c r="P73" s="163" t="s">
        <v>79</v>
      </c>
      <c r="Q73" s="163" t="s">
        <v>86</v>
      </c>
      <c r="R73" s="163" t="s">
        <v>4377</v>
      </c>
      <c r="S73" s="163" t="s">
        <v>226</v>
      </c>
      <c r="T73" s="162"/>
    </row>
    <row r="74" spans="1:20">
      <c r="A74" s="163" t="s">
        <v>257</v>
      </c>
      <c r="B74" s="163" t="s">
        <v>258</v>
      </c>
      <c r="C74" s="163" t="s">
        <v>234</v>
      </c>
      <c r="D74" s="163" t="s">
        <v>264</v>
      </c>
      <c r="E74" s="163" t="s">
        <v>1666</v>
      </c>
      <c r="F74" s="163" t="s">
        <v>79</v>
      </c>
      <c r="G74" s="163" t="s">
        <v>79</v>
      </c>
      <c r="H74" s="163" t="s">
        <v>79</v>
      </c>
      <c r="I74" s="163" t="s">
        <v>79</v>
      </c>
      <c r="J74" s="163" t="s">
        <v>79</v>
      </c>
      <c r="K74" s="163" t="s">
        <v>79</v>
      </c>
      <c r="L74" s="163" t="s">
        <v>79</v>
      </c>
      <c r="M74" s="163" t="s">
        <v>198</v>
      </c>
      <c r="N74" s="163" t="s">
        <v>79</v>
      </c>
      <c r="O74" s="163" t="s">
        <v>198</v>
      </c>
      <c r="P74" s="163" t="s">
        <v>79</v>
      </c>
      <c r="Q74" s="163" t="s">
        <v>4378</v>
      </c>
      <c r="R74" s="163" t="s">
        <v>4377</v>
      </c>
      <c r="S74" s="163" t="s">
        <v>226</v>
      </c>
      <c r="T74" s="162"/>
    </row>
    <row r="75" spans="1:20">
      <c r="A75" s="163" t="s">
        <v>344</v>
      </c>
      <c r="B75" s="163" t="s">
        <v>345</v>
      </c>
      <c r="C75" s="163" t="s">
        <v>346</v>
      </c>
      <c r="D75" s="163" t="s">
        <v>76</v>
      </c>
      <c r="E75" s="163" t="s">
        <v>3993</v>
      </c>
      <c r="F75" s="163" t="s">
        <v>79</v>
      </c>
      <c r="G75" s="163" t="s">
        <v>79</v>
      </c>
      <c r="H75" s="163" t="s">
        <v>79</v>
      </c>
      <c r="I75" s="163" t="s">
        <v>79</v>
      </c>
      <c r="J75" s="163" t="s">
        <v>79</v>
      </c>
      <c r="K75" s="163" t="s">
        <v>79</v>
      </c>
      <c r="L75" s="163" t="s">
        <v>79</v>
      </c>
      <c r="M75" s="163" t="s">
        <v>79</v>
      </c>
      <c r="N75" s="163" t="s">
        <v>79</v>
      </c>
      <c r="O75" s="163" t="s">
        <v>79</v>
      </c>
      <c r="P75" s="163" t="s">
        <v>79</v>
      </c>
      <c r="Q75" s="163" t="s">
        <v>86</v>
      </c>
      <c r="R75" s="163" t="s">
        <v>4377</v>
      </c>
      <c r="S75" s="163" t="s">
        <v>226</v>
      </c>
      <c r="T75" s="162"/>
    </row>
    <row r="76" spans="1:20" ht="24">
      <c r="A76" s="163" t="s">
        <v>639</v>
      </c>
      <c r="B76" s="163" t="s">
        <v>640</v>
      </c>
      <c r="C76" s="163"/>
      <c r="D76" s="163" t="s">
        <v>76</v>
      </c>
      <c r="E76" s="163" t="s">
        <v>3993</v>
      </c>
      <c r="F76" s="163" t="s">
        <v>79</v>
      </c>
      <c r="G76" s="163" t="s">
        <v>79</v>
      </c>
      <c r="H76" s="163" t="s">
        <v>79</v>
      </c>
      <c r="I76" s="163" t="s">
        <v>79</v>
      </c>
      <c r="J76" s="163" t="s">
        <v>79</v>
      </c>
      <c r="K76" s="163" t="s">
        <v>79</v>
      </c>
      <c r="L76" s="163" t="s">
        <v>79</v>
      </c>
      <c r="M76" s="163" t="s">
        <v>79</v>
      </c>
      <c r="N76" s="163" t="s">
        <v>79</v>
      </c>
      <c r="O76" s="163" t="s">
        <v>79</v>
      </c>
      <c r="P76" s="163" t="s">
        <v>79</v>
      </c>
      <c r="Q76" s="163" t="s">
        <v>86</v>
      </c>
      <c r="R76" s="163" t="s">
        <v>4377</v>
      </c>
      <c r="S76" s="163" t="s">
        <v>226</v>
      </c>
      <c r="T76" s="162"/>
    </row>
    <row r="77" spans="1:20" ht="24">
      <c r="A77" s="163" t="s">
        <v>639</v>
      </c>
      <c r="B77" s="163" t="s">
        <v>641</v>
      </c>
      <c r="C77" s="163"/>
      <c r="D77" s="163" t="s">
        <v>76</v>
      </c>
      <c r="E77" s="163" t="s">
        <v>3993</v>
      </c>
      <c r="F77" s="163" t="s">
        <v>79</v>
      </c>
      <c r="G77" s="163" t="s">
        <v>79</v>
      </c>
      <c r="H77" s="163" t="s">
        <v>79</v>
      </c>
      <c r="I77" s="163" t="s">
        <v>79</v>
      </c>
      <c r="J77" s="163" t="s">
        <v>79</v>
      </c>
      <c r="K77" s="163" t="s">
        <v>79</v>
      </c>
      <c r="L77" s="163" t="s">
        <v>79</v>
      </c>
      <c r="M77" s="163" t="s">
        <v>79</v>
      </c>
      <c r="N77" s="163" t="s">
        <v>79</v>
      </c>
      <c r="O77" s="163" t="s">
        <v>79</v>
      </c>
      <c r="P77" s="163" t="s">
        <v>79</v>
      </c>
      <c r="Q77" s="163" t="s">
        <v>86</v>
      </c>
      <c r="R77" s="163" t="s">
        <v>4377</v>
      </c>
      <c r="S77" s="163" t="s">
        <v>226</v>
      </c>
      <c r="T77" s="162"/>
    </row>
    <row r="78" spans="1:20" ht="24">
      <c r="A78" s="163" t="s">
        <v>639</v>
      </c>
      <c r="B78" s="163" t="s">
        <v>646</v>
      </c>
      <c r="C78" s="163"/>
      <c r="D78" s="163" t="s">
        <v>76</v>
      </c>
      <c r="E78" s="163" t="s">
        <v>3993</v>
      </c>
      <c r="F78" s="163" t="s">
        <v>79</v>
      </c>
      <c r="G78" s="163" t="s">
        <v>79</v>
      </c>
      <c r="H78" s="163" t="s">
        <v>79</v>
      </c>
      <c r="I78" s="163" t="s">
        <v>79</v>
      </c>
      <c r="J78" s="163" t="s">
        <v>79</v>
      </c>
      <c r="K78" s="163" t="s">
        <v>79</v>
      </c>
      <c r="L78" s="163" t="s">
        <v>79</v>
      </c>
      <c r="M78" s="163" t="s">
        <v>79</v>
      </c>
      <c r="N78" s="163" t="s">
        <v>79</v>
      </c>
      <c r="O78" s="163" t="s">
        <v>79</v>
      </c>
      <c r="P78" s="163" t="s">
        <v>79</v>
      </c>
      <c r="Q78" s="163" t="s">
        <v>86</v>
      </c>
      <c r="R78" s="163" t="s">
        <v>4377</v>
      </c>
      <c r="S78" s="163" t="s">
        <v>226</v>
      </c>
      <c r="T78" s="162"/>
    </row>
    <row r="79" spans="1:20" ht="24">
      <c r="A79" s="163" t="s">
        <v>71</v>
      </c>
      <c r="B79" s="163" t="s">
        <v>74</v>
      </c>
      <c r="C79" s="163" t="s">
        <v>73</v>
      </c>
      <c r="D79" s="163" t="s">
        <v>76</v>
      </c>
      <c r="E79" s="163" t="s">
        <v>3993</v>
      </c>
      <c r="F79" s="163" t="s">
        <v>79</v>
      </c>
      <c r="G79" s="163" t="s">
        <v>79</v>
      </c>
      <c r="H79" s="163" t="s">
        <v>79</v>
      </c>
      <c r="I79" s="163" t="s">
        <v>79</v>
      </c>
      <c r="J79" s="163" t="s">
        <v>79</v>
      </c>
      <c r="K79" s="163" t="s">
        <v>79</v>
      </c>
      <c r="L79" s="163" t="s">
        <v>79</v>
      </c>
      <c r="M79" s="163" t="s">
        <v>79</v>
      </c>
      <c r="N79" s="163" t="s">
        <v>79</v>
      </c>
      <c r="O79" s="163" t="s">
        <v>79</v>
      </c>
      <c r="P79" s="163" t="s">
        <v>79</v>
      </c>
      <c r="Q79" s="163" t="s">
        <v>86</v>
      </c>
      <c r="R79" s="163" t="s">
        <v>4365</v>
      </c>
      <c r="S79" s="163" t="s">
        <v>133</v>
      </c>
      <c r="T79" s="162"/>
    </row>
    <row r="80" spans="1:20" ht="24">
      <c r="A80" s="163" t="s">
        <v>125</v>
      </c>
      <c r="B80" s="163" t="s">
        <v>74</v>
      </c>
      <c r="C80" s="163" t="s">
        <v>129</v>
      </c>
      <c r="D80" s="163" t="s">
        <v>76</v>
      </c>
      <c r="E80" s="163" t="s">
        <v>3993</v>
      </c>
      <c r="F80" s="163" t="s">
        <v>79</v>
      </c>
      <c r="G80" s="163" t="s">
        <v>79</v>
      </c>
      <c r="H80" s="163" t="s">
        <v>79</v>
      </c>
      <c r="I80" s="163" t="s">
        <v>79</v>
      </c>
      <c r="J80" s="163" t="s">
        <v>79</v>
      </c>
      <c r="K80" s="163" t="s">
        <v>79</v>
      </c>
      <c r="L80" s="163" t="s">
        <v>79</v>
      </c>
      <c r="M80" s="163" t="s">
        <v>79</v>
      </c>
      <c r="N80" s="163" t="s">
        <v>79</v>
      </c>
      <c r="O80" s="163" t="s">
        <v>79</v>
      </c>
      <c r="P80" s="163" t="s">
        <v>79</v>
      </c>
      <c r="Q80" s="163" t="s">
        <v>86</v>
      </c>
      <c r="R80" s="163" t="s">
        <v>4365</v>
      </c>
      <c r="S80" s="163" t="s">
        <v>133</v>
      </c>
      <c r="T80" s="162"/>
    </row>
    <row r="81" spans="1:20" ht="24">
      <c r="A81" s="163" t="s">
        <v>4298</v>
      </c>
      <c r="B81" s="163" t="s">
        <v>74</v>
      </c>
      <c r="C81" s="163" t="s">
        <v>1489</v>
      </c>
      <c r="D81" s="163" t="s">
        <v>597</v>
      </c>
      <c r="E81" s="163" t="s">
        <v>2200</v>
      </c>
      <c r="F81" s="163" t="s">
        <v>198</v>
      </c>
      <c r="G81" s="163" t="s">
        <v>79</v>
      </c>
      <c r="H81" s="163" t="s">
        <v>79</v>
      </c>
      <c r="I81" s="163" t="s">
        <v>79</v>
      </c>
      <c r="J81" s="163" t="s">
        <v>79</v>
      </c>
      <c r="K81" s="163" t="s">
        <v>198</v>
      </c>
      <c r="L81" s="163" t="s">
        <v>198</v>
      </c>
      <c r="M81" s="163" t="s">
        <v>198</v>
      </c>
      <c r="N81" s="163" t="s">
        <v>198</v>
      </c>
      <c r="O81" s="163" t="s">
        <v>198</v>
      </c>
      <c r="P81" s="163" t="s">
        <v>198</v>
      </c>
      <c r="Q81" s="163" t="s">
        <v>4379</v>
      </c>
      <c r="R81" s="163" t="s">
        <v>3993</v>
      </c>
      <c r="S81" s="163"/>
      <c r="T81" s="162"/>
    </row>
    <row r="82" spans="1:20" ht="24">
      <c r="A82" s="163" t="s">
        <v>173</v>
      </c>
      <c r="B82" s="163" t="s">
        <v>74</v>
      </c>
      <c r="C82" s="163" t="s">
        <v>75</v>
      </c>
      <c r="D82" s="163" t="s">
        <v>76</v>
      </c>
      <c r="E82" s="163" t="s">
        <v>3993</v>
      </c>
      <c r="F82" s="163" t="s">
        <v>79</v>
      </c>
      <c r="G82" s="163" t="s">
        <v>79</v>
      </c>
      <c r="H82" s="163" t="s">
        <v>79</v>
      </c>
      <c r="I82" s="163" t="s">
        <v>79</v>
      </c>
      <c r="J82" s="163" t="s">
        <v>79</v>
      </c>
      <c r="K82" s="163" t="s">
        <v>79</v>
      </c>
      <c r="L82" s="163" t="s">
        <v>79</v>
      </c>
      <c r="M82" s="163" t="s">
        <v>79</v>
      </c>
      <c r="N82" s="163" t="s">
        <v>79</v>
      </c>
      <c r="O82" s="163" t="s">
        <v>79</v>
      </c>
      <c r="P82" s="163" t="s">
        <v>79</v>
      </c>
      <c r="Q82" s="163" t="s">
        <v>86</v>
      </c>
      <c r="R82" s="163" t="s">
        <v>4362</v>
      </c>
      <c r="S82" s="163" t="s">
        <v>172</v>
      </c>
      <c r="T82" s="162"/>
    </row>
    <row r="83" spans="1:20" ht="24">
      <c r="A83" s="163" t="s">
        <v>4292</v>
      </c>
      <c r="B83" s="163" t="s">
        <v>74</v>
      </c>
      <c r="C83" s="163" t="s">
        <v>183</v>
      </c>
      <c r="D83" s="163" t="s">
        <v>597</v>
      </c>
      <c r="E83" s="163" t="s">
        <v>2200</v>
      </c>
      <c r="F83" s="163" t="s">
        <v>198</v>
      </c>
      <c r="G83" s="163" t="s">
        <v>79</v>
      </c>
      <c r="H83" s="163" t="s">
        <v>79</v>
      </c>
      <c r="I83" s="163" t="s">
        <v>79</v>
      </c>
      <c r="J83" s="163" t="s">
        <v>79</v>
      </c>
      <c r="K83" s="163" t="s">
        <v>198</v>
      </c>
      <c r="L83" s="163" t="s">
        <v>198</v>
      </c>
      <c r="M83" s="163" t="s">
        <v>198</v>
      </c>
      <c r="N83" s="163" t="s">
        <v>198</v>
      </c>
      <c r="O83" s="163" t="s">
        <v>198</v>
      </c>
      <c r="P83" s="163" t="s">
        <v>198</v>
      </c>
      <c r="Q83" s="163" t="s">
        <v>4379</v>
      </c>
      <c r="R83" s="163" t="s">
        <v>3993</v>
      </c>
      <c r="S83" s="163"/>
      <c r="T83" s="162"/>
    </row>
    <row r="84" spans="1:20" ht="24">
      <c r="A84" s="163" t="s">
        <v>265</v>
      </c>
      <c r="B84" s="163" t="s">
        <v>74</v>
      </c>
      <c r="C84" s="163" t="s">
        <v>234</v>
      </c>
      <c r="D84" s="163" t="s">
        <v>76</v>
      </c>
      <c r="E84" s="163" t="s">
        <v>3993</v>
      </c>
      <c r="F84" s="163" t="s">
        <v>79</v>
      </c>
      <c r="G84" s="163" t="s">
        <v>79</v>
      </c>
      <c r="H84" s="163" t="s">
        <v>79</v>
      </c>
      <c r="I84" s="163" t="s">
        <v>79</v>
      </c>
      <c r="J84" s="163" t="s">
        <v>79</v>
      </c>
      <c r="K84" s="163" t="s">
        <v>79</v>
      </c>
      <c r="L84" s="163" t="s">
        <v>79</v>
      </c>
      <c r="M84" s="163" t="s">
        <v>79</v>
      </c>
      <c r="N84" s="163" t="s">
        <v>79</v>
      </c>
      <c r="O84" s="163" t="s">
        <v>79</v>
      </c>
      <c r="P84" s="163" t="s">
        <v>79</v>
      </c>
      <c r="Q84" s="163" t="s">
        <v>86</v>
      </c>
      <c r="R84" s="163" t="s">
        <v>4367</v>
      </c>
      <c r="S84" s="163" t="s">
        <v>272</v>
      </c>
      <c r="T84" s="162"/>
    </row>
    <row r="85" spans="1:20" ht="24">
      <c r="A85" s="163" t="s">
        <v>260</v>
      </c>
      <c r="B85" s="163" t="s">
        <v>74</v>
      </c>
      <c r="C85" s="163" t="s">
        <v>261</v>
      </c>
      <c r="D85" s="163" t="s">
        <v>163</v>
      </c>
      <c r="E85" s="163" t="s">
        <v>2178</v>
      </c>
      <c r="F85" s="163" t="s">
        <v>79</v>
      </c>
      <c r="G85" s="163" t="s">
        <v>79</v>
      </c>
      <c r="H85" s="163" t="s">
        <v>79</v>
      </c>
      <c r="I85" s="163" t="s">
        <v>79</v>
      </c>
      <c r="J85" s="163" t="s">
        <v>79</v>
      </c>
      <c r="K85" s="163" t="s">
        <v>79</v>
      </c>
      <c r="L85" s="163" t="s">
        <v>198</v>
      </c>
      <c r="M85" s="163" t="s">
        <v>198</v>
      </c>
      <c r="N85" s="163" t="s">
        <v>79</v>
      </c>
      <c r="O85" s="163" t="s">
        <v>198</v>
      </c>
      <c r="P85" s="163" t="s">
        <v>198</v>
      </c>
      <c r="Q85" s="163" t="s">
        <v>164</v>
      </c>
      <c r="R85" s="163" t="s">
        <v>4364</v>
      </c>
      <c r="S85" s="163" t="s">
        <v>298</v>
      </c>
      <c r="T85" s="162"/>
    </row>
    <row r="86" spans="1:20" ht="24">
      <c r="A86" s="163" t="s">
        <v>1294</v>
      </c>
      <c r="B86" s="163" t="s">
        <v>74</v>
      </c>
      <c r="C86" s="163" t="s">
        <v>331</v>
      </c>
      <c r="D86" s="163" t="s">
        <v>597</v>
      </c>
      <c r="E86" s="163" t="s">
        <v>2200</v>
      </c>
      <c r="F86" s="163" t="s">
        <v>198</v>
      </c>
      <c r="G86" s="163" t="s">
        <v>198</v>
      </c>
      <c r="H86" s="163" t="s">
        <v>198</v>
      </c>
      <c r="I86" s="163" t="s">
        <v>198</v>
      </c>
      <c r="J86" s="163" t="s">
        <v>198</v>
      </c>
      <c r="K86" s="163" t="s">
        <v>198</v>
      </c>
      <c r="L86" s="163" t="s">
        <v>198</v>
      </c>
      <c r="M86" s="163" t="s">
        <v>79</v>
      </c>
      <c r="N86" s="163" t="s">
        <v>79</v>
      </c>
      <c r="O86" s="163" t="s">
        <v>79</v>
      </c>
      <c r="P86" s="163" t="s">
        <v>79</v>
      </c>
      <c r="Q86" s="163" t="s">
        <v>4380</v>
      </c>
      <c r="R86" s="163" t="s">
        <v>3993</v>
      </c>
      <c r="S86" s="163"/>
      <c r="T86" s="162"/>
    </row>
    <row r="87" spans="1:20" ht="24">
      <c r="A87" s="163" t="s">
        <v>1299</v>
      </c>
      <c r="B87" s="163" t="s">
        <v>74</v>
      </c>
      <c r="C87" s="163" t="s">
        <v>331</v>
      </c>
      <c r="D87" s="163" t="s">
        <v>597</v>
      </c>
      <c r="E87" s="163" t="s">
        <v>2200</v>
      </c>
      <c r="F87" s="163" t="s">
        <v>198</v>
      </c>
      <c r="G87" s="163" t="s">
        <v>79</v>
      </c>
      <c r="H87" s="163" t="s">
        <v>79</v>
      </c>
      <c r="I87" s="163" t="s">
        <v>79</v>
      </c>
      <c r="J87" s="163" t="s">
        <v>79</v>
      </c>
      <c r="K87" s="163" t="s">
        <v>198</v>
      </c>
      <c r="L87" s="163" t="s">
        <v>198</v>
      </c>
      <c r="M87" s="163" t="s">
        <v>198</v>
      </c>
      <c r="N87" s="163" t="s">
        <v>198</v>
      </c>
      <c r="O87" s="163" t="s">
        <v>198</v>
      </c>
      <c r="P87" s="163" t="s">
        <v>198</v>
      </c>
      <c r="Q87" s="163" t="s">
        <v>4379</v>
      </c>
      <c r="R87" s="163" t="s">
        <v>3993</v>
      </c>
      <c r="S87" s="163"/>
      <c r="T87" s="162"/>
    </row>
    <row r="88" spans="1:20" ht="24">
      <c r="A88" s="163" t="s">
        <v>349</v>
      </c>
      <c r="B88" s="163" t="s">
        <v>74</v>
      </c>
      <c r="C88" s="163" t="s">
        <v>331</v>
      </c>
      <c r="D88" s="163" t="s">
        <v>76</v>
      </c>
      <c r="E88" s="163" t="s">
        <v>3993</v>
      </c>
      <c r="F88" s="163" t="s">
        <v>79</v>
      </c>
      <c r="G88" s="163" t="s">
        <v>79</v>
      </c>
      <c r="H88" s="163" t="s">
        <v>79</v>
      </c>
      <c r="I88" s="163" t="s">
        <v>79</v>
      </c>
      <c r="J88" s="163" t="s">
        <v>79</v>
      </c>
      <c r="K88" s="163" t="s">
        <v>79</v>
      </c>
      <c r="L88" s="163" t="s">
        <v>79</v>
      </c>
      <c r="M88" s="163" t="s">
        <v>79</v>
      </c>
      <c r="N88" s="163" t="s">
        <v>79</v>
      </c>
      <c r="O88" s="163" t="s">
        <v>79</v>
      </c>
      <c r="P88" s="163" t="s">
        <v>79</v>
      </c>
      <c r="Q88" s="163" t="s">
        <v>86</v>
      </c>
      <c r="R88" s="163" t="s">
        <v>4364</v>
      </c>
      <c r="S88" s="163" t="s">
        <v>192</v>
      </c>
      <c r="T88" s="162"/>
    </row>
    <row r="89" spans="1:20" ht="24">
      <c r="A89" s="163" t="s">
        <v>291</v>
      </c>
      <c r="B89" s="163" t="s">
        <v>74</v>
      </c>
      <c r="C89" s="163" t="s">
        <v>103</v>
      </c>
      <c r="D89" s="163" t="s">
        <v>163</v>
      </c>
      <c r="E89" s="163" t="s">
        <v>2178</v>
      </c>
      <c r="F89" s="163" t="s">
        <v>79</v>
      </c>
      <c r="G89" s="163" t="s">
        <v>79</v>
      </c>
      <c r="H89" s="163" t="s">
        <v>79</v>
      </c>
      <c r="I89" s="163" t="s">
        <v>79</v>
      </c>
      <c r="J89" s="163" t="s">
        <v>79</v>
      </c>
      <c r="K89" s="163" t="s">
        <v>79</v>
      </c>
      <c r="L89" s="163" t="s">
        <v>198</v>
      </c>
      <c r="M89" s="163" t="s">
        <v>198</v>
      </c>
      <c r="N89" s="163" t="s">
        <v>79</v>
      </c>
      <c r="O89" s="163" t="s">
        <v>198</v>
      </c>
      <c r="P89" s="163" t="s">
        <v>198</v>
      </c>
      <c r="Q89" s="163" t="s">
        <v>164</v>
      </c>
      <c r="R89" s="163" t="s">
        <v>4364</v>
      </c>
      <c r="S89" s="163" t="s">
        <v>298</v>
      </c>
      <c r="T89" s="162"/>
    </row>
    <row r="90" spans="1:20" ht="24">
      <c r="A90" s="163" t="s">
        <v>3506</v>
      </c>
      <c r="B90" s="163" t="s">
        <v>74</v>
      </c>
      <c r="C90" s="163" t="s">
        <v>103</v>
      </c>
      <c r="D90" s="163" t="s">
        <v>163</v>
      </c>
      <c r="E90" s="163" t="s">
        <v>2178</v>
      </c>
      <c r="F90" s="163" t="s">
        <v>198</v>
      </c>
      <c r="G90" s="163" t="s">
        <v>79</v>
      </c>
      <c r="H90" s="163" t="s">
        <v>79</v>
      </c>
      <c r="I90" s="163" t="s">
        <v>79</v>
      </c>
      <c r="J90" s="163" t="s">
        <v>198</v>
      </c>
      <c r="K90" s="163" t="s">
        <v>198</v>
      </c>
      <c r="L90" s="163" t="s">
        <v>79</v>
      </c>
      <c r="M90" s="163" t="s">
        <v>79</v>
      </c>
      <c r="N90" s="163" t="s">
        <v>79</v>
      </c>
      <c r="O90" s="163" t="s">
        <v>79</v>
      </c>
      <c r="P90" s="163" t="s">
        <v>79</v>
      </c>
      <c r="Q90" s="163" t="s">
        <v>4381</v>
      </c>
      <c r="R90" s="163" t="s">
        <v>3993</v>
      </c>
      <c r="S90" s="163"/>
      <c r="T90" s="162"/>
    </row>
  </sheetData>
  <pageMargins left="0.3" right="0.3" top="0.4" bottom="0.4"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S1000"/>
  <sheetViews>
    <sheetView workbookViewId="0">
      <pane xSplit="3" ySplit="4" topLeftCell="D5" activePane="bottomRight" state="frozen"/>
      <selection activeCell="B3" sqref="B3"/>
      <selection pane="topRight" activeCell="B3" sqref="B3"/>
      <selection pane="bottomLeft" activeCell="B3" sqref="B3"/>
      <selection pane="bottomRight" activeCell="B3" sqref="B3"/>
    </sheetView>
  </sheetViews>
  <sheetFormatPr defaultColWidth="14.44140625" defaultRowHeight="15" customHeight="1"/>
  <cols>
    <col min="1" max="1" width="13" customWidth="1"/>
    <col min="2" max="2" width="15" customWidth="1"/>
    <col min="3" max="3" width="20" customWidth="1"/>
    <col min="4" max="4" width="10" customWidth="1"/>
    <col min="5" max="5" width="21" customWidth="1"/>
    <col min="6" max="6" width="3.44140625" customWidth="1"/>
    <col min="7" max="7" width="10" customWidth="1"/>
    <col min="8" max="8" width="21" customWidth="1"/>
    <col min="9" max="9" width="3.44140625" customWidth="1"/>
    <col min="10" max="10" width="10" customWidth="1"/>
    <col min="11" max="11" width="21" customWidth="1"/>
    <col min="12" max="12" width="3.44140625" customWidth="1"/>
    <col min="13" max="13" width="10" customWidth="1"/>
    <col min="14" max="14" width="21" customWidth="1"/>
    <col min="15" max="15" width="3.44140625" customWidth="1"/>
    <col min="16" max="16" width="10" customWidth="1"/>
    <col min="17" max="17" width="21" customWidth="1"/>
    <col min="18" max="18" width="3.44140625" customWidth="1"/>
    <col min="19" max="19" width="10" customWidth="1"/>
    <col min="20" max="20" width="21" customWidth="1"/>
    <col min="21" max="21" width="3.44140625" customWidth="1"/>
    <col min="22" max="22" width="10" customWidth="1"/>
    <col min="23" max="23" width="21" customWidth="1"/>
    <col min="24" max="24" width="3.44140625" customWidth="1"/>
    <col min="25" max="25" width="10" customWidth="1"/>
    <col min="26" max="26" width="21" customWidth="1"/>
    <col min="27" max="27" width="3.44140625" customWidth="1"/>
    <col min="28" max="30" width="8.5546875" customWidth="1"/>
    <col min="31" max="32" width="8" customWidth="1"/>
    <col min="33" max="33" width="3.44140625" customWidth="1"/>
    <col min="34" max="36" width="8.5546875" customWidth="1"/>
    <col min="37" max="37" width="3.44140625" customWidth="1"/>
    <col min="38" max="41" width="8.5546875" customWidth="1"/>
    <col min="42" max="42" width="3.44140625" customWidth="1"/>
    <col min="43" max="43" width="10" customWidth="1"/>
    <col min="44" max="44" width="21" customWidth="1"/>
    <col min="45" max="45" width="3.44140625" customWidth="1"/>
  </cols>
  <sheetData>
    <row r="1" spans="1:45" ht="15.75" customHeight="1">
      <c r="A1" s="82" t="s">
        <v>350</v>
      </c>
      <c r="B1" s="77"/>
      <c r="C1" s="78"/>
      <c r="D1" s="82" t="s">
        <v>352</v>
      </c>
      <c r="E1" s="77"/>
      <c r="F1" s="77"/>
      <c r="G1" s="77"/>
      <c r="H1" s="77"/>
      <c r="I1" s="77"/>
      <c r="J1" s="77"/>
      <c r="K1" s="77"/>
      <c r="L1" s="78"/>
      <c r="M1" s="82" t="s">
        <v>354</v>
      </c>
      <c r="N1" s="77"/>
      <c r="O1" s="77"/>
      <c r="P1" s="77"/>
      <c r="Q1" s="77"/>
      <c r="R1" s="77"/>
      <c r="S1" s="77"/>
      <c r="T1" s="77"/>
      <c r="U1" s="78"/>
      <c r="V1" s="82" t="s">
        <v>356</v>
      </c>
      <c r="W1" s="77"/>
      <c r="X1" s="77"/>
      <c r="Y1" s="77"/>
      <c r="Z1" s="77"/>
      <c r="AA1" s="78"/>
      <c r="AB1" s="82" t="s">
        <v>360</v>
      </c>
      <c r="AC1" s="77"/>
      <c r="AD1" s="77"/>
      <c r="AE1" s="77"/>
      <c r="AF1" s="77"/>
      <c r="AG1" s="78"/>
      <c r="AH1" s="82" t="s">
        <v>361</v>
      </c>
      <c r="AI1" s="77"/>
      <c r="AJ1" s="77"/>
      <c r="AK1" s="77"/>
      <c r="AL1" s="77"/>
      <c r="AM1" s="77"/>
      <c r="AN1" s="77"/>
      <c r="AO1" s="77"/>
      <c r="AP1" s="77"/>
      <c r="AQ1" s="77"/>
      <c r="AR1" s="77"/>
      <c r="AS1" s="78"/>
    </row>
    <row r="2" spans="1:45" ht="30" customHeight="1">
      <c r="A2" s="79" t="s">
        <v>2</v>
      </c>
      <c r="B2" s="79" t="s">
        <v>6</v>
      </c>
      <c r="C2" s="79" t="s">
        <v>363</v>
      </c>
      <c r="D2" s="82" t="s">
        <v>364</v>
      </c>
      <c r="E2" s="77"/>
      <c r="F2" s="78"/>
      <c r="G2" s="82" t="s">
        <v>366</v>
      </c>
      <c r="H2" s="77"/>
      <c r="I2" s="78"/>
      <c r="J2" s="82" t="s">
        <v>367</v>
      </c>
      <c r="K2" s="77"/>
      <c r="L2" s="78"/>
      <c r="M2" s="82" t="s">
        <v>369</v>
      </c>
      <c r="N2" s="77"/>
      <c r="O2" s="78"/>
      <c r="P2" s="82" t="s">
        <v>370</v>
      </c>
      <c r="Q2" s="77"/>
      <c r="R2" s="78"/>
      <c r="S2" s="82" t="s">
        <v>371</v>
      </c>
      <c r="T2" s="77"/>
      <c r="U2" s="78"/>
      <c r="V2" s="82" t="s">
        <v>372</v>
      </c>
      <c r="W2" s="77"/>
      <c r="X2" s="78"/>
      <c r="Y2" s="82" t="s">
        <v>373</v>
      </c>
      <c r="Z2" s="77"/>
      <c r="AA2" s="78"/>
      <c r="AB2" s="82" t="s">
        <v>374</v>
      </c>
      <c r="AC2" s="77"/>
      <c r="AD2" s="77"/>
      <c r="AE2" s="77"/>
      <c r="AF2" s="77"/>
      <c r="AG2" s="78"/>
      <c r="AH2" s="82" t="s">
        <v>376</v>
      </c>
      <c r="AI2" s="77"/>
      <c r="AJ2" s="77"/>
      <c r="AK2" s="78"/>
      <c r="AL2" s="82" t="s">
        <v>377</v>
      </c>
      <c r="AM2" s="77"/>
      <c r="AN2" s="77"/>
      <c r="AO2" s="77"/>
      <c r="AP2" s="78"/>
      <c r="AQ2" s="82" t="s">
        <v>378</v>
      </c>
      <c r="AR2" s="77"/>
      <c r="AS2" s="78"/>
    </row>
    <row r="3" spans="1:45" ht="25.5" customHeight="1">
      <c r="A3" s="80"/>
      <c r="B3" s="80"/>
      <c r="C3" s="80"/>
      <c r="D3" s="83" t="s">
        <v>381</v>
      </c>
      <c r="E3" s="78"/>
      <c r="F3" s="29"/>
      <c r="G3" s="83" t="s">
        <v>381</v>
      </c>
      <c r="H3" s="78"/>
      <c r="I3" s="29"/>
      <c r="J3" s="83" t="s">
        <v>381</v>
      </c>
      <c r="K3" s="78"/>
      <c r="L3" s="29"/>
      <c r="M3" s="83" t="s">
        <v>383</v>
      </c>
      <c r="N3" s="78"/>
      <c r="O3" s="29"/>
      <c r="P3" s="83" t="s">
        <v>385</v>
      </c>
      <c r="Q3" s="78"/>
      <c r="R3" s="29"/>
      <c r="S3" s="83" t="s">
        <v>385</v>
      </c>
      <c r="T3" s="78"/>
      <c r="U3" s="29"/>
      <c r="V3" s="83" t="s">
        <v>388</v>
      </c>
      <c r="W3" s="78"/>
      <c r="X3" s="29"/>
      <c r="Y3" s="83" t="s">
        <v>390</v>
      </c>
      <c r="Z3" s="78"/>
      <c r="AA3" s="29"/>
      <c r="AB3" s="29" t="s">
        <v>391</v>
      </c>
      <c r="AC3" s="29" t="s">
        <v>392</v>
      </c>
      <c r="AD3" s="29" t="s">
        <v>392</v>
      </c>
      <c r="AE3" s="29" t="s">
        <v>393</v>
      </c>
      <c r="AF3" s="29" t="s">
        <v>394</v>
      </c>
      <c r="AG3" s="29"/>
      <c r="AH3" s="29" t="s">
        <v>395</v>
      </c>
      <c r="AI3" s="29" t="s">
        <v>396</v>
      </c>
      <c r="AJ3" s="29" t="s">
        <v>397</v>
      </c>
      <c r="AK3" s="29"/>
      <c r="AL3" s="29" t="s">
        <v>398</v>
      </c>
      <c r="AM3" s="29" t="s">
        <v>399</v>
      </c>
      <c r="AN3" s="29" t="s">
        <v>400</v>
      </c>
      <c r="AO3" s="29" t="s">
        <v>401</v>
      </c>
      <c r="AP3" s="29"/>
      <c r="AQ3" s="83" t="s">
        <v>402</v>
      </c>
      <c r="AR3" s="78"/>
      <c r="AS3" s="29"/>
    </row>
    <row r="4" spans="1:45" ht="24" customHeight="1">
      <c r="A4" s="81"/>
      <c r="B4" s="81"/>
      <c r="C4" s="81"/>
      <c r="D4" s="30" t="s">
        <v>405</v>
      </c>
      <c r="E4" s="30" t="s">
        <v>406</v>
      </c>
      <c r="F4" s="30" t="s">
        <v>407</v>
      </c>
      <c r="G4" s="30" t="s">
        <v>405</v>
      </c>
      <c r="H4" s="30" t="s">
        <v>406</v>
      </c>
      <c r="I4" s="30" t="s">
        <v>407</v>
      </c>
      <c r="J4" s="30" t="s">
        <v>405</v>
      </c>
      <c r="K4" s="30" t="s">
        <v>406</v>
      </c>
      <c r="L4" s="30" t="s">
        <v>407</v>
      </c>
      <c r="M4" s="30" t="s">
        <v>405</v>
      </c>
      <c r="N4" s="30" t="s">
        <v>406</v>
      </c>
      <c r="O4" s="30" t="s">
        <v>407</v>
      </c>
      <c r="P4" s="30" t="s">
        <v>405</v>
      </c>
      <c r="Q4" s="30" t="s">
        <v>406</v>
      </c>
      <c r="R4" s="30" t="s">
        <v>407</v>
      </c>
      <c r="S4" s="30" t="s">
        <v>405</v>
      </c>
      <c r="T4" s="30" t="s">
        <v>406</v>
      </c>
      <c r="U4" s="30" t="s">
        <v>407</v>
      </c>
      <c r="V4" s="30" t="s">
        <v>405</v>
      </c>
      <c r="W4" s="30" t="s">
        <v>406</v>
      </c>
      <c r="X4" s="30" t="s">
        <v>407</v>
      </c>
      <c r="Y4" s="30" t="s">
        <v>405</v>
      </c>
      <c r="Z4" s="30" t="s">
        <v>406</v>
      </c>
      <c r="AA4" s="30" t="s">
        <v>407</v>
      </c>
      <c r="AB4" s="30" t="s">
        <v>411</v>
      </c>
      <c r="AC4" s="30" t="s">
        <v>412</v>
      </c>
      <c r="AD4" s="30" t="s">
        <v>413</v>
      </c>
      <c r="AE4" s="30" t="s">
        <v>414</v>
      </c>
      <c r="AF4" s="30" t="s">
        <v>415</v>
      </c>
      <c r="AG4" s="30" t="s">
        <v>407</v>
      </c>
      <c r="AH4" s="30" t="s">
        <v>417</v>
      </c>
      <c r="AI4" s="30" t="s">
        <v>419</v>
      </c>
      <c r="AJ4" s="30" t="s">
        <v>420</v>
      </c>
      <c r="AK4" s="30" t="s">
        <v>407</v>
      </c>
      <c r="AL4" s="30" t="s">
        <v>421</v>
      </c>
      <c r="AM4" s="30" t="s">
        <v>422</v>
      </c>
      <c r="AN4" s="30" t="s">
        <v>423</v>
      </c>
      <c r="AO4" s="30" t="s">
        <v>424</v>
      </c>
      <c r="AP4" s="30" t="s">
        <v>407</v>
      </c>
      <c r="AQ4" s="30" t="s">
        <v>405</v>
      </c>
      <c r="AR4" s="30" t="s">
        <v>406</v>
      </c>
      <c r="AS4" s="30" t="s">
        <v>407</v>
      </c>
    </row>
    <row r="5" spans="1:45" ht="17.25" customHeight="1">
      <c r="A5" s="104" t="s">
        <v>71</v>
      </c>
      <c r="B5" s="107" t="s">
        <v>425</v>
      </c>
      <c r="C5" s="109" t="s">
        <v>426</v>
      </c>
      <c r="D5" s="93" t="s">
        <v>428</v>
      </c>
      <c r="E5" s="92" t="str">
        <f t="array" ref="E5">IFERROR(INDEX('iCoA Register'!$B:$B,MATCH("BG1024|I",'iCoA Register'!$P:$P,0)),"iCoA — at issue")&amp;", (07.03.2025) [PP]"</f>
        <v>iCoA-PP_26-003, (07.03.2025) [PP]</v>
      </c>
      <c r="F5" s="84" t="s">
        <v>79</v>
      </c>
      <c r="G5" s="95" t="s">
        <v>434</v>
      </c>
      <c r="H5" s="96" t="s">
        <v>435</v>
      </c>
      <c r="I5" s="97" t="s">
        <v>93</v>
      </c>
      <c r="J5" s="93" t="s">
        <v>95</v>
      </c>
      <c r="K5" s="92" t="s">
        <v>438</v>
      </c>
      <c r="L5" s="84" t="s">
        <v>79</v>
      </c>
      <c r="M5" s="101" t="s">
        <v>439</v>
      </c>
      <c r="N5" s="92" t="s">
        <v>438</v>
      </c>
      <c r="O5" s="84" t="s">
        <v>79</v>
      </c>
      <c r="P5" s="100" t="s">
        <v>442</v>
      </c>
      <c r="Q5" s="92" t="s">
        <v>438</v>
      </c>
      <c r="R5" s="84" t="s">
        <v>79</v>
      </c>
      <c r="S5" s="100" t="s">
        <v>444</v>
      </c>
      <c r="T5" s="92" t="s">
        <v>438</v>
      </c>
      <c r="U5" s="84" t="s">
        <v>79</v>
      </c>
      <c r="V5" s="93" t="s">
        <v>428</v>
      </c>
      <c r="W5" s="92" t="str">
        <f t="array" ref="W5">IFERROR(INDEX('iCoA Register'!$B:$B,MATCH("BG1024|I",'iCoA Register'!$P:$P,0)),"iCoA — at issue")&amp;", (07.03.2025) [PP]"</f>
        <v>iCoA-PP_26-003, (07.03.2025) [PP]</v>
      </c>
      <c r="X5" s="84" t="s">
        <v>79</v>
      </c>
      <c r="Y5" s="93" t="s">
        <v>447</v>
      </c>
      <c r="Z5" s="92" t="s">
        <v>438</v>
      </c>
      <c r="AA5" s="84" t="s">
        <v>79</v>
      </c>
      <c r="AB5" s="31" t="s">
        <v>448</v>
      </c>
      <c r="AC5" s="32" t="s">
        <v>449</v>
      </c>
      <c r="AD5" s="32" t="s">
        <v>450</v>
      </c>
      <c r="AE5" s="32" t="s">
        <v>451</v>
      </c>
      <c r="AF5" s="32" t="s">
        <v>451</v>
      </c>
      <c r="AG5" s="84" t="s">
        <v>79</v>
      </c>
      <c r="AH5" s="31" t="s">
        <v>452</v>
      </c>
      <c r="AI5" s="32" t="s">
        <v>453</v>
      </c>
      <c r="AJ5" s="32" t="s">
        <v>452</v>
      </c>
      <c r="AK5" s="84" t="s">
        <v>79</v>
      </c>
      <c r="AL5" s="31" t="s">
        <v>454</v>
      </c>
      <c r="AM5" s="32" t="s">
        <v>455</v>
      </c>
      <c r="AN5" s="32" t="s">
        <v>456</v>
      </c>
      <c r="AO5" s="32" t="s">
        <v>458</v>
      </c>
      <c r="AP5" s="84" t="s">
        <v>79</v>
      </c>
      <c r="AQ5" s="93" t="s">
        <v>459</v>
      </c>
      <c r="AR5" s="92" t="s">
        <v>460</v>
      </c>
      <c r="AS5" s="98" t="s">
        <v>79</v>
      </c>
    </row>
    <row r="6" spans="1:45" ht="12.75" customHeight="1">
      <c r="A6" s="105"/>
      <c r="B6" s="80"/>
      <c r="C6" s="80"/>
      <c r="D6" s="94"/>
      <c r="E6" s="81"/>
      <c r="F6" s="85"/>
      <c r="G6" s="94"/>
      <c r="H6" s="81"/>
      <c r="I6" s="85"/>
      <c r="J6" s="94"/>
      <c r="K6" s="81"/>
      <c r="L6" s="85"/>
      <c r="M6" s="94"/>
      <c r="N6" s="81"/>
      <c r="O6" s="85"/>
      <c r="P6" s="94"/>
      <c r="Q6" s="81"/>
      <c r="R6" s="85"/>
      <c r="S6" s="94"/>
      <c r="T6" s="81"/>
      <c r="U6" s="85"/>
      <c r="V6" s="94"/>
      <c r="W6" s="81"/>
      <c r="X6" s="85"/>
      <c r="Y6" s="94"/>
      <c r="Z6" s="81"/>
      <c r="AA6" s="85"/>
      <c r="AB6" s="86" t="s">
        <v>461</v>
      </c>
      <c r="AC6" s="77"/>
      <c r="AD6" s="77"/>
      <c r="AE6" s="77"/>
      <c r="AF6" s="78"/>
      <c r="AG6" s="85"/>
      <c r="AH6" s="86" t="s">
        <v>460</v>
      </c>
      <c r="AI6" s="77"/>
      <c r="AJ6" s="78"/>
      <c r="AK6" s="85"/>
      <c r="AL6" s="86" t="s">
        <v>460</v>
      </c>
      <c r="AM6" s="77"/>
      <c r="AN6" s="77"/>
      <c r="AO6" s="78"/>
      <c r="AP6" s="85"/>
      <c r="AQ6" s="94"/>
      <c r="AR6" s="81"/>
      <c r="AS6" s="99"/>
    </row>
    <row r="7" spans="1:45" ht="17.25" customHeight="1">
      <c r="A7" s="105"/>
      <c r="B7" s="80"/>
      <c r="C7" s="80"/>
      <c r="D7" s="33"/>
      <c r="E7" s="34"/>
      <c r="F7" s="35"/>
      <c r="G7" s="102" t="s">
        <v>428</v>
      </c>
      <c r="H7" s="110" t="str">
        <f t="array" ref="H7">IFERROR(INDEX('iCoA Register'!$B:$B,MATCH("BG1024|I",'iCoA Register'!$P:$P,0)),"iCoA — at issue")&amp;", (07.03.2025) [PP]"</f>
        <v>iCoA-PP_26-003, (07.03.2025) [PP]</v>
      </c>
      <c r="I7" s="87" t="s">
        <v>79</v>
      </c>
      <c r="J7" s="102" t="s">
        <v>463</v>
      </c>
      <c r="K7" s="110" t="s">
        <v>464</v>
      </c>
      <c r="L7" s="87" t="s">
        <v>79</v>
      </c>
      <c r="M7" s="124" t="s">
        <v>465</v>
      </c>
      <c r="N7" s="110" t="s">
        <v>464</v>
      </c>
      <c r="O7" s="87" t="s">
        <v>79</v>
      </c>
      <c r="P7" s="120" t="s">
        <v>467</v>
      </c>
      <c r="Q7" s="110" t="s">
        <v>464</v>
      </c>
      <c r="R7" s="87" t="s">
        <v>79</v>
      </c>
      <c r="S7" s="120" t="s">
        <v>468</v>
      </c>
      <c r="T7" s="110" t="s">
        <v>464</v>
      </c>
      <c r="U7" s="87" t="s">
        <v>79</v>
      </c>
      <c r="V7" s="33"/>
      <c r="W7" s="34"/>
      <c r="X7" s="35"/>
      <c r="Y7" s="121" t="s">
        <v>434</v>
      </c>
      <c r="Z7" s="122" t="s">
        <v>469</v>
      </c>
      <c r="AA7" s="123" t="s">
        <v>93</v>
      </c>
      <c r="AB7" s="33"/>
      <c r="AC7" s="34"/>
      <c r="AD7" s="34"/>
      <c r="AE7" s="34"/>
      <c r="AF7" s="34"/>
      <c r="AG7" s="35"/>
      <c r="AH7" s="36" t="s">
        <v>472</v>
      </c>
      <c r="AI7" s="37" t="s">
        <v>473</v>
      </c>
      <c r="AJ7" s="37" t="s">
        <v>472</v>
      </c>
      <c r="AK7" s="87" t="s">
        <v>79</v>
      </c>
      <c r="AL7" s="33"/>
      <c r="AM7" s="34"/>
      <c r="AN7" s="34"/>
      <c r="AO7" s="34"/>
      <c r="AP7" s="35"/>
      <c r="AQ7" s="33"/>
      <c r="AR7" s="34"/>
      <c r="AS7" s="38"/>
    </row>
    <row r="8" spans="1:45" ht="15" customHeight="1">
      <c r="A8" s="106"/>
      <c r="B8" s="108"/>
      <c r="C8" s="108"/>
      <c r="D8" s="39"/>
      <c r="E8" s="40"/>
      <c r="F8" s="41"/>
      <c r="G8" s="103"/>
      <c r="H8" s="108"/>
      <c r="I8" s="88"/>
      <c r="J8" s="103"/>
      <c r="K8" s="108"/>
      <c r="L8" s="88"/>
      <c r="M8" s="103"/>
      <c r="N8" s="108"/>
      <c r="O8" s="88"/>
      <c r="P8" s="103"/>
      <c r="Q8" s="108"/>
      <c r="R8" s="88"/>
      <c r="S8" s="103"/>
      <c r="T8" s="108"/>
      <c r="U8" s="88"/>
      <c r="V8" s="39"/>
      <c r="W8" s="40"/>
      <c r="X8" s="41"/>
      <c r="Y8" s="103"/>
      <c r="Z8" s="108"/>
      <c r="AA8" s="88"/>
      <c r="AB8" s="39"/>
      <c r="AC8" s="40"/>
      <c r="AD8" s="40"/>
      <c r="AE8" s="40"/>
      <c r="AF8" s="40"/>
      <c r="AG8" s="41"/>
      <c r="AH8" s="89" t="s">
        <v>480</v>
      </c>
      <c r="AI8" s="90"/>
      <c r="AJ8" s="91"/>
      <c r="AK8" s="88"/>
      <c r="AL8" s="39"/>
      <c r="AM8" s="40"/>
      <c r="AN8" s="40"/>
      <c r="AO8" s="40"/>
      <c r="AP8" s="41"/>
      <c r="AQ8" s="39"/>
      <c r="AR8" s="40"/>
      <c r="AS8" s="42"/>
    </row>
    <row r="9" spans="1:45" ht="21" customHeight="1">
      <c r="A9" s="104" t="s">
        <v>125</v>
      </c>
      <c r="B9" s="107" t="s">
        <v>425</v>
      </c>
      <c r="C9" s="109" t="s">
        <v>426</v>
      </c>
      <c r="D9" s="93" t="s">
        <v>428</v>
      </c>
      <c r="E9" s="92" t="str">
        <f t="array" ref="E9">IFERROR(INDEX('iCoA Register'!$B:$B,MATCH("BSS1024|I",'iCoA Register'!$P:$P,0)),"iCoA — at issue")&amp;", (04.03.2025) [PP]"</f>
        <v>iCoA-PP_26-002, (04.03.2025) [PP]</v>
      </c>
      <c r="F9" s="84" t="s">
        <v>79</v>
      </c>
      <c r="G9" s="95" t="s">
        <v>434</v>
      </c>
      <c r="H9" s="96" t="s">
        <v>487</v>
      </c>
      <c r="I9" s="97" t="s">
        <v>93</v>
      </c>
      <c r="J9" s="93" t="s">
        <v>95</v>
      </c>
      <c r="K9" s="92" t="s">
        <v>489</v>
      </c>
      <c r="L9" s="84" t="s">
        <v>79</v>
      </c>
      <c r="M9" s="101" t="s">
        <v>490</v>
      </c>
      <c r="N9" s="92" t="s">
        <v>489</v>
      </c>
      <c r="O9" s="84" t="s">
        <v>79</v>
      </c>
      <c r="P9" s="100" t="s">
        <v>442</v>
      </c>
      <c r="Q9" s="92" t="s">
        <v>489</v>
      </c>
      <c r="R9" s="84" t="s">
        <v>79</v>
      </c>
      <c r="S9" s="100" t="s">
        <v>444</v>
      </c>
      <c r="T9" s="92" t="s">
        <v>489</v>
      </c>
      <c r="U9" s="84" t="s">
        <v>79</v>
      </c>
      <c r="V9" s="93" t="s">
        <v>428</v>
      </c>
      <c r="W9" s="92" t="str">
        <f t="array" ref="W9">IFERROR(INDEX('iCoA Register'!$B:$B,MATCH("BSS1024|I",'iCoA Register'!$P:$P,0)),"iCoA — at issue")&amp;", (04.03.2025) [PP]"</f>
        <v>iCoA-PP_26-002, (04.03.2025) [PP]</v>
      </c>
      <c r="X9" s="84" t="s">
        <v>79</v>
      </c>
      <c r="Y9" s="93" t="s">
        <v>495</v>
      </c>
      <c r="Z9" s="92" t="s">
        <v>489</v>
      </c>
      <c r="AA9" s="84" t="s">
        <v>79</v>
      </c>
      <c r="AB9" s="31" t="s">
        <v>496</v>
      </c>
      <c r="AC9" s="32" t="s">
        <v>497</v>
      </c>
      <c r="AD9" s="32" t="s">
        <v>498</v>
      </c>
      <c r="AE9" s="32" t="s">
        <v>451</v>
      </c>
      <c r="AF9" s="32" t="s">
        <v>451</v>
      </c>
      <c r="AG9" s="84" t="s">
        <v>79</v>
      </c>
      <c r="AH9" s="31" t="s">
        <v>452</v>
      </c>
      <c r="AI9" s="32" t="s">
        <v>453</v>
      </c>
      <c r="AJ9" s="32" t="s">
        <v>452</v>
      </c>
      <c r="AK9" s="84" t="s">
        <v>79</v>
      </c>
      <c r="AL9" s="31" t="s">
        <v>500</v>
      </c>
      <c r="AM9" s="32" t="s">
        <v>456</v>
      </c>
      <c r="AN9" s="32" t="s">
        <v>501</v>
      </c>
      <c r="AO9" s="32" t="s">
        <v>456</v>
      </c>
      <c r="AP9" s="84" t="s">
        <v>79</v>
      </c>
      <c r="AQ9" s="93" t="s">
        <v>459</v>
      </c>
      <c r="AR9" s="92" t="s">
        <v>502</v>
      </c>
      <c r="AS9" s="98" t="s">
        <v>79</v>
      </c>
    </row>
    <row r="10" spans="1:45" ht="12.75" customHeight="1">
      <c r="A10" s="105"/>
      <c r="B10" s="80"/>
      <c r="C10" s="80"/>
      <c r="D10" s="94"/>
      <c r="E10" s="81"/>
      <c r="F10" s="85"/>
      <c r="G10" s="94"/>
      <c r="H10" s="81"/>
      <c r="I10" s="85"/>
      <c r="J10" s="94"/>
      <c r="K10" s="81"/>
      <c r="L10" s="85"/>
      <c r="M10" s="94"/>
      <c r="N10" s="81"/>
      <c r="O10" s="85"/>
      <c r="P10" s="94"/>
      <c r="Q10" s="81"/>
      <c r="R10" s="85"/>
      <c r="S10" s="94"/>
      <c r="T10" s="81"/>
      <c r="U10" s="85"/>
      <c r="V10" s="94"/>
      <c r="W10" s="81"/>
      <c r="X10" s="85"/>
      <c r="Y10" s="94"/>
      <c r="Z10" s="81"/>
      <c r="AA10" s="85"/>
      <c r="AB10" s="86" t="s">
        <v>503</v>
      </c>
      <c r="AC10" s="77"/>
      <c r="AD10" s="77"/>
      <c r="AE10" s="77"/>
      <c r="AF10" s="78"/>
      <c r="AG10" s="85"/>
      <c r="AH10" s="86" t="s">
        <v>502</v>
      </c>
      <c r="AI10" s="77"/>
      <c r="AJ10" s="78"/>
      <c r="AK10" s="85"/>
      <c r="AL10" s="86" t="s">
        <v>502</v>
      </c>
      <c r="AM10" s="77"/>
      <c r="AN10" s="77"/>
      <c r="AO10" s="78"/>
      <c r="AP10" s="85"/>
      <c r="AQ10" s="94"/>
      <c r="AR10" s="81"/>
      <c r="AS10" s="99"/>
    </row>
    <row r="11" spans="1:45" ht="17.25" customHeight="1">
      <c r="A11" s="105"/>
      <c r="B11" s="80"/>
      <c r="C11" s="80"/>
      <c r="D11" s="33"/>
      <c r="E11" s="34"/>
      <c r="F11" s="35"/>
      <c r="G11" s="102" t="s">
        <v>428</v>
      </c>
      <c r="H11" s="110" t="str">
        <f t="array" ref="H11">IFERROR(INDEX('iCoA Register'!$B:$B,MATCH("BSS1024|I",'iCoA Register'!$P:$P,0)),"iCoA — at issue")&amp;", (04.03.2025) [PP]"</f>
        <v>iCoA-PP_26-002, (04.03.2025) [PP]</v>
      </c>
      <c r="I11" s="87" t="s">
        <v>79</v>
      </c>
      <c r="J11" s="102" t="s">
        <v>95</v>
      </c>
      <c r="K11" s="110" t="s">
        <v>505</v>
      </c>
      <c r="L11" s="87" t="s">
        <v>79</v>
      </c>
      <c r="M11" s="124" t="s">
        <v>506</v>
      </c>
      <c r="N11" s="110" t="s">
        <v>505</v>
      </c>
      <c r="O11" s="87" t="s">
        <v>79</v>
      </c>
      <c r="P11" s="120" t="s">
        <v>467</v>
      </c>
      <c r="Q11" s="110" t="s">
        <v>505</v>
      </c>
      <c r="R11" s="87" t="s">
        <v>79</v>
      </c>
      <c r="S11" s="120" t="s">
        <v>467</v>
      </c>
      <c r="T11" s="110" t="s">
        <v>505</v>
      </c>
      <c r="U11" s="87" t="s">
        <v>79</v>
      </c>
      <c r="V11" s="33"/>
      <c r="W11" s="34"/>
      <c r="X11" s="35"/>
      <c r="Y11" s="121" t="s">
        <v>434</v>
      </c>
      <c r="Z11" s="122" t="s">
        <v>508</v>
      </c>
      <c r="AA11" s="123" t="s">
        <v>93</v>
      </c>
      <c r="AB11" s="33"/>
      <c r="AC11" s="34"/>
      <c r="AD11" s="34"/>
      <c r="AE11" s="34"/>
      <c r="AF11" s="34"/>
      <c r="AG11" s="35"/>
      <c r="AH11" s="36" t="s">
        <v>472</v>
      </c>
      <c r="AI11" s="37" t="s">
        <v>473</v>
      </c>
      <c r="AJ11" s="37" t="s">
        <v>472</v>
      </c>
      <c r="AK11" s="87" t="s">
        <v>79</v>
      </c>
      <c r="AL11" s="33"/>
      <c r="AM11" s="34"/>
      <c r="AN11" s="34"/>
      <c r="AO11" s="34"/>
      <c r="AP11" s="35"/>
      <c r="AQ11" s="33"/>
      <c r="AR11" s="34"/>
      <c r="AS11" s="38"/>
    </row>
    <row r="12" spans="1:45" ht="15" customHeight="1">
      <c r="A12" s="106"/>
      <c r="B12" s="108"/>
      <c r="C12" s="108"/>
      <c r="D12" s="39"/>
      <c r="E12" s="40"/>
      <c r="F12" s="41"/>
      <c r="G12" s="103"/>
      <c r="H12" s="108"/>
      <c r="I12" s="88"/>
      <c r="J12" s="103"/>
      <c r="K12" s="108"/>
      <c r="L12" s="88"/>
      <c r="M12" s="103"/>
      <c r="N12" s="108"/>
      <c r="O12" s="88"/>
      <c r="P12" s="103"/>
      <c r="Q12" s="108"/>
      <c r="R12" s="88"/>
      <c r="S12" s="103"/>
      <c r="T12" s="108"/>
      <c r="U12" s="88"/>
      <c r="V12" s="39"/>
      <c r="W12" s="40"/>
      <c r="X12" s="41"/>
      <c r="Y12" s="103"/>
      <c r="Z12" s="108"/>
      <c r="AA12" s="88"/>
      <c r="AB12" s="39"/>
      <c r="AC12" s="40"/>
      <c r="AD12" s="40"/>
      <c r="AE12" s="40"/>
      <c r="AF12" s="40"/>
      <c r="AG12" s="41"/>
      <c r="AH12" s="89" t="s">
        <v>510</v>
      </c>
      <c r="AI12" s="90"/>
      <c r="AJ12" s="91"/>
      <c r="AK12" s="88"/>
      <c r="AL12" s="39"/>
      <c r="AM12" s="40"/>
      <c r="AN12" s="40"/>
      <c r="AO12" s="40"/>
      <c r="AP12" s="41"/>
      <c r="AQ12" s="39"/>
      <c r="AR12" s="40"/>
      <c r="AS12" s="42"/>
    </row>
    <row r="13" spans="1:45" ht="21" customHeight="1">
      <c r="A13" s="104" t="s">
        <v>161</v>
      </c>
      <c r="B13" s="107" t="s">
        <v>162</v>
      </c>
      <c r="C13" s="109" t="s">
        <v>512</v>
      </c>
      <c r="D13" s="93" t="s">
        <v>428</v>
      </c>
      <c r="E13" s="92" t="str">
        <f t="array" ref="E13">IFERROR(INDEX('iCoA Register'!$B:$B,MATCH("P060272|I",'iCoA Register'!$P:$P,0)),"iCoA — at issue")&amp;", (18.05.2026) [PP]"</f>
        <v>iCoA-PP_26-060, (18.05.2026) [PP]</v>
      </c>
      <c r="F13" s="84" t="s">
        <v>79</v>
      </c>
      <c r="G13" s="95" t="s">
        <v>434</v>
      </c>
      <c r="H13" s="96" t="s">
        <v>521</v>
      </c>
      <c r="I13" s="97" t="s">
        <v>93</v>
      </c>
      <c r="J13" s="93" t="s">
        <v>95</v>
      </c>
      <c r="K13" s="92" t="s">
        <v>523</v>
      </c>
      <c r="L13" s="84" t="s">
        <v>79</v>
      </c>
      <c r="M13" s="101" t="s">
        <v>525</v>
      </c>
      <c r="N13" s="92" t="s">
        <v>523</v>
      </c>
      <c r="O13" s="84" t="s">
        <v>79</v>
      </c>
      <c r="P13" s="100" t="s">
        <v>442</v>
      </c>
      <c r="Q13" s="92" t="s">
        <v>523</v>
      </c>
      <c r="R13" s="84" t="s">
        <v>79</v>
      </c>
      <c r="S13" s="100" t="s">
        <v>530</v>
      </c>
      <c r="T13" s="92" t="s">
        <v>523</v>
      </c>
      <c r="U13" s="84" t="s">
        <v>79</v>
      </c>
      <c r="V13" s="93" t="s">
        <v>428</v>
      </c>
      <c r="W13" s="92" t="str">
        <f t="array" ref="W13">IFERROR(INDEX('iCoA Register'!$B:$B,MATCH("P060272|I",'iCoA Register'!$P:$P,0)),"iCoA — at issue")&amp;", (18.05.2026) [PP]"</f>
        <v>iCoA-PP_26-060, (18.05.2026) [PP]</v>
      </c>
      <c r="X13" s="84" t="s">
        <v>79</v>
      </c>
      <c r="Y13" s="93" t="s">
        <v>533</v>
      </c>
      <c r="Z13" s="92" t="s">
        <v>523</v>
      </c>
      <c r="AA13" s="84" t="s">
        <v>79</v>
      </c>
      <c r="AB13" s="31" t="s">
        <v>535</v>
      </c>
      <c r="AC13" s="32" t="s">
        <v>536</v>
      </c>
      <c r="AD13" s="32" t="s">
        <v>537</v>
      </c>
      <c r="AE13" s="32" t="s">
        <v>538</v>
      </c>
      <c r="AF13" s="32" t="s">
        <v>539</v>
      </c>
      <c r="AG13" s="84" t="s">
        <v>79</v>
      </c>
      <c r="AH13" s="31" t="s">
        <v>452</v>
      </c>
      <c r="AI13" s="32" t="s">
        <v>453</v>
      </c>
      <c r="AJ13" s="32" t="s">
        <v>452</v>
      </c>
      <c r="AK13" s="84" t="s">
        <v>79</v>
      </c>
      <c r="AL13" s="31" t="s">
        <v>541</v>
      </c>
      <c r="AM13" s="32" t="s">
        <v>542</v>
      </c>
      <c r="AN13" s="32" t="s">
        <v>455</v>
      </c>
      <c r="AO13" s="32" t="s">
        <v>543</v>
      </c>
      <c r="AP13" s="84" t="s">
        <v>79</v>
      </c>
      <c r="AQ13" s="93" t="s">
        <v>459</v>
      </c>
      <c r="AR13" s="92" t="s">
        <v>545</v>
      </c>
      <c r="AS13" s="98" t="s">
        <v>79</v>
      </c>
    </row>
    <row r="14" spans="1:45" ht="12.75" customHeight="1">
      <c r="A14" s="105"/>
      <c r="B14" s="80"/>
      <c r="C14" s="80"/>
      <c r="D14" s="94"/>
      <c r="E14" s="81"/>
      <c r="F14" s="85"/>
      <c r="G14" s="94"/>
      <c r="H14" s="81"/>
      <c r="I14" s="85"/>
      <c r="J14" s="94"/>
      <c r="K14" s="81"/>
      <c r="L14" s="85"/>
      <c r="M14" s="94"/>
      <c r="N14" s="81"/>
      <c r="O14" s="85"/>
      <c r="P14" s="94"/>
      <c r="Q14" s="81"/>
      <c r="R14" s="85"/>
      <c r="S14" s="94"/>
      <c r="T14" s="81"/>
      <c r="U14" s="85"/>
      <c r="V14" s="94"/>
      <c r="W14" s="81"/>
      <c r="X14" s="85"/>
      <c r="Y14" s="94"/>
      <c r="Z14" s="81"/>
      <c r="AA14" s="85"/>
      <c r="AB14" s="86" t="s">
        <v>548</v>
      </c>
      <c r="AC14" s="77"/>
      <c r="AD14" s="77"/>
      <c r="AE14" s="77"/>
      <c r="AF14" s="78"/>
      <c r="AG14" s="85"/>
      <c r="AH14" s="86" t="s">
        <v>545</v>
      </c>
      <c r="AI14" s="77"/>
      <c r="AJ14" s="78"/>
      <c r="AK14" s="85"/>
      <c r="AL14" s="86" t="s">
        <v>545</v>
      </c>
      <c r="AM14" s="77"/>
      <c r="AN14" s="77"/>
      <c r="AO14" s="78"/>
      <c r="AP14" s="85"/>
      <c r="AQ14" s="94"/>
      <c r="AR14" s="81"/>
      <c r="AS14" s="99"/>
    </row>
    <row r="15" spans="1:45" ht="21" customHeight="1">
      <c r="A15" s="105"/>
      <c r="B15" s="80"/>
      <c r="C15" s="80"/>
      <c r="D15" s="33"/>
      <c r="E15" s="34"/>
      <c r="F15" s="35"/>
      <c r="G15" s="102" t="s">
        <v>428</v>
      </c>
      <c r="H15" s="110" t="str">
        <f t="array" ref="H15">IFERROR(INDEX('iCoA Register'!$B:$B,MATCH("P060272|I",'iCoA Register'!$P:$P,0)),"iCoA — at issue")&amp;", (18.05.2026) [PP]"</f>
        <v>iCoA-PP_26-060, (18.05.2026) [PP]</v>
      </c>
      <c r="I15" s="87" t="s">
        <v>79</v>
      </c>
      <c r="J15" s="33"/>
      <c r="K15" s="34"/>
      <c r="L15" s="35"/>
      <c r="M15" s="33"/>
      <c r="N15" s="34"/>
      <c r="O15" s="35"/>
      <c r="P15" s="33"/>
      <c r="Q15" s="34"/>
      <c r="R15" s="35"/>
      <c r="S15" s="33"/>
      <c r="T15" s="34"/>
      <c r="U15" s="35"/>
      <c r="V15" s="33"/>
      <c r="W15" s="34"/>
      <c r="X15" s="35"/>
      <c r="Y15" s="33"/>
      <c r="Z15" s="34"/>
      <c r="AA15" s="35"/>
      <c r="AB15" s="36" t="s">
        <v>552</v>
      </c>
      <c r="AC15" s="37" t="s">
        <v>553</v>
      </c>
      <c r="AD15" s="37" t="s">
        <v>537</v>
      </c>
      <c r="AE15" s="37" t="s">
        <v>528</v>
      </c>
      <c r="AF15" s="37" t="s">
        <v>528</v>
      </c>
      <c r="AG15" s="87" t="s">
        <v>79</v>
      </c>
      <c r="AH15" s="33"/>
      <c r="AI15" s="34"/>
      <c r="AJ15" s="34"/>
      <c r="AK15" s="35"/>
      <c r="AL15" s="33"/>
      <c r="AM15" s="34"/>
      <c r="AN15" s="34"/>
      <c r="AO15" s="34"/>
      <c r="AP15" s="35"/>
      <c r="AQ15" s="33"/>
      <c r="AR15" s="34"/>
      <c r="AS15" s="38"/>
    </row>
    <row r="16" spans="1:45" ht="12.75" customHeight="1">
      <c r="A16" s="106"/>
      <c r="B16" s="108"/>
      <c r="C16" s="108"/>
      <c r="D16" s="39"/>
      <c r="E16" s="40"/>
      <c r="F16" s="41"/>
      <c r="G16" s="103"/>
      <c r="H16" s="108"/>
      <c r="I16" s="88"/>
      <c r="J16" s="39"/>
      <c r="K16" s="40"/>
      <c r="L16" s="41"/>
      <c r="M16" s="39"/>
      <c r="N16" s="40"/>
      <c r="O16" s="41"/>
      <c r="P16" s="39"/>
      <c r="Q16" s="40"/>
      <c r="R16" s="41"/>
      <c r="S16" s="39"/>
      <c r="T16" s="40"/>
      <c r="U16" s="41"/>
      <c r="V16" s="39"/>
      <c r="W16" s="40"/>
      <c r="X16" s="41"/>
      <c r="Y16" s="39"/>
      <c r="Z16" s="40"/>
      <c r="AA16" s="41"/>
      <c r="AB16" s="89" t="s">
        <v>558</v>
      </c>
      <c r="AC16" s="90"/>
      <c r="AD16" s="90"/>
      <c r="AE16" s="90"/>
      <c r="AF16" s="91"/>
      <c r="AG16" s="88"/>
      <c r="AH16" s="39"/>
      <c r="AI16" s="40"/>
      <c r="AJ16" s="40"/>
      <c r="AK16" s="41"/>
      <c r="AL16" s="39"/>
      <c r="AM16" s="40"/>
      <c r="AN16" s="40"/>
      <c r="AO16" s="40"/>
      <c r="AP16" s="41"/>
      <c r="AQ16" s="39"/>
      <c r="AR16" s="40"/>
      <c r="AS16" s="42"/>
    </row>
    <row r="17" spans="1:45" ht="17.25" customHeight="1">
      <c r="A17" s="104" t="s">
        <v>173</v>
      </c>
      <c r="B17" s="107" t="s">
        <v>425</v>
      </c>
      <c r="C17" s="109" t="s">
        <v>512</v>
      </c>
      <c r="D17" s="93" t="s">
        <v>428</v>
      </c>
      <c r="E17" s="92" t="str">
        <f t="array" ref="E17">IFERROR(INDEX('iCoA Register'!$B:$B,MATCH("CJ1024|I",'iCoA Register'!$P:$P,0)),"iCoA — at issue")&amp;", (03.03.2025) [PP]"</f>
        <v>iCoA-PP_26-001, (03.03.2025) [PP]</v>
      </c>
      <c r="F17" s="84" t="s">
        <v>79</v>
      </c>
      <c r="G17" s="95" t="s">
        <v>434</v>
      </c>
      <c r="H17" s="96" t="s">
        <v>564</v>
      </c>
      <c r="I17" s="97" t="s">
        <v>93</v>
      </c>
      <c r="J17" s="93" t="s">
        <v>95</v>
      </c>
      <c r="K17" s="92" t="s">
        <v>565</v>
      </c>
      <c r="L17" s="84" t="s">
        <v>79</v>
      </c>
      <c r="M17" s="101" t="s">
        <v>566</v>
      </c>
      <c r="N17" s="92" t="s">
        <v>565</v>
      </c>
      <c r="O17" s="84" t="s">
        <v>79</v>
      </c>
      <c r="P17" s="100" t="s">
        <v>567</v>
      </c>
      <c r="Q17" s="92" t="s">
        <v>565</v>
      </c>
      <c r="R17" s="84" t="s">
        <v>79</v>
      </c>
      <c r="S17" s="100" t="s">
        <v>444</v>
      </c>
      <c r="T17" s="92" t="s">
        <v>565</v>
      </c>
      <c r="U17" s="84" t="s">
        <v>79</v>
      </c>
      <c r="V17" s="93" t="s">
        <v>428</v>
      </c>
      <c r="W17" s="92" t="str">
        <f t="array" ref="W17">IFERROR(INDEX('iCoA Register'!$B:$B,MATCH("CJ1024|I",'iCoA Register'!$P:$P,0)),"iCoA — at issue")&amp;", (03.03.2025) [PP]"</f>
        <v>iCoA-PP_26-001, (03.03.2025) [PP]</v>
      </c>
      <c r="X17" s="84" t="s">
        <v>79</v>
      </c>
      <c r="Y17" s="93" t="s">
        <v>570</v>
      </c>
      <c r="Z17" s="92" t="s">
        <v>565</v>
      </c>
      <c r="AA17" s="84" t="s">
        <v>79</v>
      </c>
      <c r="AB17" s="31" t="s">
        <v>571</v>
      </c>
      <c r="AC17" s="32" t="s">
        <v>561</v>
      </c>
      <c r="AD17" s="32" t="s">
        <v>561</v>
      </c>
      <c r="AE17" s="32" t="s">
        <v>451</v>
      </c>
      <c r="AF17" s="32" t="s">
        <v>451</v>
      </c>
      <c r="AG17" s="84" t="s">
        <v>79</v>
      </c>
      <c r="AH17" s="31" t="s">
        <v>452</v>
      </c>
      <c r="AI17" s="32" t="s">
        <v>453</v>
      </c>
      <c r="AJ17" s="32" t="s">
        <v>452</v>
      </c>
      <c r="AK17" s="84" t="s">
        <v>79</v>
      </c>
      <c r="AL17" s="31" t="s">
        <v>573</v>
      </c>
      <c r="AM17" s="32" t="s">
        <v>574</v>
      </c>
      <c r="AN17" s="32" t="s">
        <v>575</v>
      </c>
      <c r="AO17" s="32" t="s">
        <v>576</v>
      </c>
      <c r="AP17" s="84" t="s">
        <v>79</v>
      </c>
      <c r="AQ17" s="93" t="s">
        <v>459</v>
      </c>
      <c r="AR17" s="92" t="s">
        <v>578</v>
      </c>
      <c r="AS17" s="98" t="s">
        <v>79</v>
      </c>
    </row>
    <row r="18" spans="1:45" ht="12.75" customHeight="1">
      <c r="A18" s="105"/>
      <c r="B18" s="80"/>
      <c r="C18" s="80"/>
      <c r="D18" s="94"/>
      <c r="E18" s="81"/>
      <c r="F18" s="85"/>
      <c r="G18" s="94"/>
      <c r="H18" s="81"/>
      <c r="I18" s="85"/>
      <c r="J18" s="94"/>
      <c r="K18" s="81"/>
      <c r="L18" s="85"/>
      <c r="M18" s="94"/>
      <c r="N18" s="81"/>
      <c r="O18" s="85"/>
      <c r="P18" s="94"/>
      <c r="Q18" s="81"/>
      <c r="R18" s="85"/>
      <c r="S18" s="94"/>
      <c r="T18" s="81"/>
      <c r="U18" s="85"/>
      <c r="V18" s="94"/>
      <c r="W18" s="81"/>
      <c r="X18" s="85"/>
      <c r="Y18" s="94"/>
      <c r="Z18" s="81"/>
      <c r="AA18" s="85"/>
      <c r="AB18" s="86" t="s">
        <v>584</v>
      </c>
      <c r="AC18" s="77"/>
      <c r="AD18" s="77"/>
      <c r="AE18" s="77"/>
      <c r="AF18" s="78"/>
      <c r="AG18" s="85"/>
      <c r="AH18" s="86" t="s">
        <v>578</v>
      </c>
      <c r="AI18" s="77"/>
      <c r="AJ18" s="78"/>
      <c r="AK18" s="85"/>
      <c r="AL18" s="86" t="s">
        <v>578</v>
      </c>
      <c r="AM18" s="77"/>
      <c r="AN18" s="77"/>
      <c r="AO18" s="78"/>
      <c r="AP18" s="85"/>
      <c r="AQ18" s="94"/>
      <c r="AR18" s="81"/>
      <c r="AS18" s="99"/>
    </row>
    <row r="19" spans="1:45" ht="13.5" customHeight="1">
      <c r="A19" s="105"/>
      <c r="B19" s="80"/>
      <c r="C19" s="80"/>
      <c r="D19" s="33"/>
      <c r="E19" s="34"/>
      <c r="F19" s="35"/>
      <c r="G19" s="102" t="s">
        <v>428</v>
      </c>
      <c r="H19" s="110" t="str">
        <f t="array" ref="H19">IFERROR(INDEX('iCoA Register'!$B:$B,MATCH("CJ1024|I",'iCoA Register'!$P:$P,0)),"iCoA — at issue")&amp;", (03.03.2025) [PP]"</f>
        <v>iCoA-PP_26-001, (03.03.2025) [PP]</v>
      </c>
      <c r="I19" s="87" t="s">
        <v>79</v>
      </c>
      <c r="J19" s="33"/>
      <c r="K19" s="34"/>
      <c r="L19" s="35"/>
      <c r="M19" s="33"/>
      <c r="N19" s="34"/>
      <c r="O19" s="35"/>
      <c r="P19" s="33"/>
      <c r="Q19" s="34"/>
      <c r="R19" s="35"/>
      <c r="S19" s="33"/>
      <c r="T19" s="34"/>
      <c r="U19" s="35"/>
      <c r="V19" s="33"/>
      <c r="W19" s="34"/>
      <c r="X19" s="35"/>
      <c r="Y19" s="33"/>
      <c r="Z19" s="34"/>
      <c r="AA19" s="35"/>
      <c r="AB19" s="36" t="s">
        <v>561</v>
      </c>
      <c r="AC19" s="37" t="s">
        <v>585</v>
      </c>
      <c r="AD19" s="37" t="s">
        <v>561</v>
      </c>
      <c r="AE19" s="37" t="s">
        <v>528</v>
      </c>
      <c r="AF19" s="37" t="s">
        <v>528</v>
      </c>
      <c r="AG19" s="87" t="s">
        <v>79</v>
      </c>
      <c r="AH19" s="33"/>
      <c r="AI19" s="34"/>
      <c r="AJ19" s="34"/>
      <c r="AK19" s="35"/>
      <c r="AL19" s="33"/>
      <c r="AM19" s="34"/>
      <c r="AN19" s="34"/>
      <c r="AO19" s="34"/>
      <c r="AP19" s="35"/>
      <c r="AQ19" s="33"/>
      <c r="AR19" s="34"/>
      <c r="AS19" s="38"/>
    </row>
    <row r="20" spans="1:45" ht="12.75" customHeight="1">
      <c r="A20" s="106"/>
      <c r="B20" s="108"/>
      <c r="C20" s="108"/>
      <c r="D20" s="39"/>
      <c r="E20" s="40"/>
      <c r="F20" s="41"/>
      <c r="G20" s="103"/>
      <c r="H20" s="108"/>
      <c r="I20" s="88"/>
      <c r="J20" s="39"/>
      <c r="K20" s="40"/>
      <c r="L20" s="41"/>
      <c r="M20" s="39"/>
      <c r="N20" s="40"/>
      <c r="O20" s="41"/>
      <c r="P20" s="39"/>
      <c r="Q20" s="40"/>
      <c r="R20" s="41"/>
      <c r="S20" s="39"/>
      <c r="T20" s="40"/>
      <c r="U20" s="41"/>
      <c r="V20" s="39"/>
      <c r="W20" s="40"/>
      <c r="X20" s="41"/>
      <c r="Y20" s="39"/>
      <c r="Z20" s="40"/>
      <c r="AA20" s="41"/>
      <c r="AB20" s="89" t="s">
        <v>586</v>
      </c>
      <c r="AC20" s="90"/>
      <c r="AD20" s="90"/>
      <c r="AE20" s="90"/>
      <c r="AF20" s="91"/>
      <c r="AG20" s="88"/>
      <c r="AH20" s="39"/>
      <c r="AI20" s="40"/>
      <c r="AJ20" s="40"/>
      <c r="AK20" s="41"/>
      <c r="AL20" s="39"/>
      <c r="AM20" s="40"/>
      <c r="AN20" s="40"/>
      <c r="AO20" s="40"/>
      <c r="AP20" s="41"/>
      <c r="AQ20" s="39"/>
      <c r="AR20" s="40"/>
      <c r="AS20" s="42"/>
    </row>
    <row r="21" spans="1:45" ht="21" customHeight="1">
      <c r="A21" s="104" t="s">
        <v>181</v>
      </c>
      <c r="B21" s="107" t="s">
        <v>182</v>
      </c>
      <c r="C21" s="109" t="s">
        <v>512</v>
      </c>
      <c r="D21" s="93" t="s">
        <v>428</v>
      </c>
      <c r="E21" s="92" t="str">
        <f t="array" ref="E21">IFERROR(INDEX('iCoA Register'!$B:$B,MATCH("P060322|I",'iCoA Register'!$P:$P,0)),"iCoA — at issue")&amp;", (22.05.2026) [PP]"</f>
        <v>iCoA-PP_26-066, (22.05.2026) [PP]</v>
      </c>
      <c r="F21" s="84" t="s">
        <v>79</v>
      </c>
      <c r="G21" s="95" t="s">
        <v>434</v>
      </c>
      <c r="H21" s="96" t="s">
        <v>589</v>
      </c>
      <c r="I21" s="97" t="s">
        <v>93</v>
      </c>
      <c r="J21" s="93" t="s">
        <v>95</v>
      </c>
      <c r="K21" s="92" t="s">
        <v>592</v>
      </c>
      <c r="L21" s="84" t="s">
        <v>79</v>
      </c>
      <c r="M21" s="101" t="s">
        <v>594</v>
      </c>
      <c r="N21" s="92" t="s">
        <v>592</v>
      </c>
      <c r="O21" s="84" t="s">
        <v>79</v>
      </c>
      <c r="P21" s="100" t="s">
        <v>442</v>
      </c>
      <c r="Q21" s="92" t="s">
        <v>592</v>
      </c>
      <c r="R21" s="84" t="s">
        <v>79</v>
      </c>
      <c r="S21" s="100" t="s">
        <v>530</v>
      </c>
      <c r="T21" s="92" t="s">
        <v>592</v>
      </c>
      <c r="U21" s="84" t="s">
        <v>79</v>
      </c>
      <c r="V21" s="93" t="s">
        <v>428</v>
      </c>
      <c r="W21" s="92" t="str">
        <f t="array" ref="W21">IFERROR(INDEX('iCoA Register'!$B:$B,MATCH("P060322|I",'iCoA Register'!$P:$P,0)),"iCoA — at issue")&amp;", (22.05.2026) [PP]"</f>
        <v>iCoA-PP_26-066, (22.05.2026) [PP]</v>
      </c>
      <c r="X21" s="84" t="s">
        <v>79</v>
      </c>
      <c r="Y21" s="93" t="s">
        <v>601</v>
      </c>
      <c r="Z21" s="92" t="s">
        <v>592</v>
      </c>
      <c r="AA21" s="84" t="s">
        <v>79</v>
      </c>
      <c r="AB21" s="31" t="s">
        <v>603</v>
      </c>
      <c r="AC21" s="32" t="s">
        <v>604</v>
      </c>
      <c r="AD21" s="32" t="s">
        <v>561</v>
      </c>
      <c r="AE21" s="32" t="s">
        <v>605</v>
      </c>
      <c r="AF21" s="32" t="s">
        <v>606</v>
      </c>
      <c r="AG21" s="84" t="s">
        <v>79</v>
      </c>
      <c r="AH21" s="31" t="s">
        <v>452</v>
      </c>
      <c r="AI21" s="32" t="s">
        <v>453</v>
      </c>
      <c r="AJ21" s="32" t="s">
        <v>452</v>
      </c>
      <c r="AK21" s="84" t="s">
        <v>79</v>
      </c>
      <c r="AL21" s="31" t="s">
        <v>607</v>
      </c>
      <c r="AM21" s="32" t="s">
        <v>608</v>
      </c>
      <c r="AN21" s="32" t="s">
        <v>609</v>
      </c>
      <c r="AO21" s="32" t="s">
        <v>610</v>
      </c>
      <c r="AP21" s="84" t="s">
        <v>79</v>
      </c>
      <c r="AQ21" s="93" t="s">
        <v>612</v>
      </c>
      <c r="AR21" s="92" t="s">
        <v>613</v>
      </c>
      <c r="AS21" s="98" t="s">
        <v>79</v>
      </c>
    </row>
    <row r="22" spans="1:45" ht="12.75" customHeight="1">
      <c r="A22" s="105"/>
      <c r="B22" s="80"/>
      <c r="C22" s="80"/>
      <c r="D22" s="94"/>
      <c r="E22" s="81"/>
      <c r="F22" s="85"/>
      <c r="G22" s="94"/>
      <c r="H22" s="81"/>
      <c r="I22" s="85"/>
      <c r="J22" s="94"/>
      <c r="K22" s="81"/>
      <c r="L22" s="85"/>
      <c r="M22" s="94"/>
      <c r="N22" s="81"/>
      <c r="O22" s="85"/>
      <c r="P22" s="94"/>
      <c r="Q22" s="81"/>
      <c r="R22" s="85"/>
      <c r="S22" s="94"/>
      <c r="T22" s="81"/>
      <c r="U22" s="85"/>
      <c r="V22" s="94"/>
      <c r="W22" s="81"/>
      <c r="X22" s="85"/>
      <c r="Y22" s="94"/>
      <c r="Z22" s="81"/>
      <c r="AA22" s="85"/>
      <c r="AB22" s="86" t="s">
        <v>616</v>
      </c>
      <c r="AC22" s="77"/>
      <c r="AD22" s="77"/>
      <c r="AE22" s="77"/>
      <c r="AF22" s="78"/>
      <c r="AG22" s="85"/>
      <c r="AH22" s="86" t="s">
        <v>613</v>
      </c>
      <c r="AI22" s="77"/>
      <c r="AJ22" s="78"/>
      <c r="AK22" s="85"/>
      <c r="AL22" s="86" t="s">
        <v>613</v>
      </c>
      <c r="AM22" s="77"/>
      <c r="AN22" s="77"/>
      <c r="AO22" s="78"/>
      <c r="AP22" s="85"/>
      <c r="AQ22" s="94"/>
      <c r="AR22" s="81"/>
      <c r="AS22" s="99"/>
    </row>
    <row r="23" spans="1:45" ht="13.5" customHeight="1">
      <c r="A23" s="105"/>
      <c r="B23" s="80"/>
      <c r="C23" s="80"/>
      <c r="D23" s="33"/>
      <c r="E23" s="34"/>
      <c r="F23" s="35"/>
      <c r="G23" s="102" t="s">
        <v>428</v>
      </c>
      <c r="H23" s="110" t="str">
        <f t="array" ref="H23">IFERROR(INDEX('iCoA Register'!$B:$B,MATCH("P060322|I",'iCoA Register'!$P:$P,0)),"iCoA — at issue")&amp;", (22.05.2026) [PP]"</f>
        <v>iCoA-PP_26-066, (22.05.2026) [PP]</v>
      </c>
      <c r="I23" s="87" t="s">
        <v>79</v>
      </c>
      <c r="J23" s="33"/>
      <c r="K23" s="34"/>
      <c r="L23" s="35"/>
      <c r="M23" s="33"/>
      <c r="N23" s="34"/>
      <c r="O23" s="35"/>
      <c r="P23" s="33"/>
      <c r="Q23" s="34"/>
      <c r="R23" s="35"/>
      <c r="S23" s="33"/>
      <c r="T23" s="34"/>
      <c r="U23" s="35"/>
      <c r="V23" s="33"/>
      <c r="W23" s="34"/>
      <c r="X23" s="35"/>
      <c r="Y23" s="33"/>
      <c r="Z23" s="34"/>
      <c r="AA23" s="35"/>
      <c r="AB23" s="33"/>
      <c r="AC23" s="34"/>
      <c r="AD23" s="34"/>
      <c r="AE23" s="34"/>
      <c r="AF23" s="34"/>
      <c r="AG23" s="35"/>
      <c r="AH23" s="33"/>
      <c r="AI23" s="34"/>
      <c r="AJ23" s="34"/>
      <c r="AK23" s="35"/>
      <c r="AL23" s="33"/>
      <c r="AM23" s="34"/>
      <c r="AN23" s="34"/>
      <c r="AO23" s="34"/>
      <c r="AP23" s="35"/>
      <c r="AQ23" s="33"/>
      <c r="AR23" s="34"/>
      <c r="AS23" s="38"/>
    </row>
    <row r="24" spans="1:45" ht="12.75" customHeight="1">
      <c r="A24" s="106"/>
      <c r="B24" s="108"/>
      <c r="C24" s="108"/>
      <c r="D24" s="39"/>
      <c r="E24" s="40"/>
      <c r="F24" s="41"/>
      <c r="G24" s="103"/>
      <c r="H24" s="108"/>
      <c r="I24" s="88"/>
      <c r="J24" s="39"/>
      <c r="K24" s="40"/>
      <c r="L24" s="41"/>
      <c r="M24" s="39"/>
      <c r="N24" s="40"/>
      <c r="O24" s="41"/>
      <c r="P24" s="39"/>
      <c r="Q24" s="40"/>
      <c r="R24" s="41"/>
      <c r="S24" s="39"/>
      <c r="T24" s="40"/>
      <c r="U24" s="41"/>
      <c r="V24" s="39"/>
      <c r="W24" s="40"/>
      <c r="X24" s="41"/>
      <c r="Y24" s="39"/>
      <c r="Z24" s="40"/>
      <c r="AA24" s="41"/>
      <c r="AB24" s="39"/>
      <c r="AC24" s="40"/>
      <c r="AD24" s="40"/>
      <c r="AE24" s="40"/>
      <c r="AF24" s="40"/>
      <c r="AG24" s="41"/>
      <c r="AH24" s="39"/>
      <c r="AI24" s="40"/>
      <c r="AJ24" s="40"/>
      <c r="AK24" s="41"/>
      <c r="AL24" s="39"/>
      <c r="AM24" s="40"/>
      <c r="AN24" s="40"/>
      <c r="AO24" s="40"/>
      <c r="AP24" s="41"/>
      <c r="AQ24" s="39"/>
      <c r="AR24" s="40"/>
      <c r="AS24" s="42"/>
    </row>
    <row r="25" spans="1:45" ht="21" customHeight="1">
      <c r="A25" s="104" t="s">
        <v>193</v>
      </c>
      <c r="B25" s="107" t="s">
        <v>194</v>
      </c>
      <c r="C25" s="111" t="s">
        <v>513</v>
      </c>
      <c r="D25" s="93" t="s">
        <v>451</v>
      </c>
      <c r="E25" s="92" t="s">
        <v>519</v>
      </c>
      <c r="F25" s="84" t="s">
        <v>79</v>
      </c>
      <c r="G25" s="93" t="s">
        <v>451</v>
      </c>
      <c r="H25" s="92" t="s">
        <v>519</v>
      </c>
      <c r="I25" s="84" t="s">
        <v>79</v>
      </c>
      <c r="J25" s="93" t="s">
        <v>95</v>
      </c>
      <c r="K25" s="92" t="s">
        <v>519</v>
      </c>
      <c r="L25" s="84" t="s">
        <v>79</v>
      </c>
      <c r="M25" s="101" t="s">
        <v>627</v>
      </c>
      <c r="N25" s="92" t="s">
        <v>519</v>
      </c>
      <c r="O25" s="84" t="s">
        <v>79</v>
      </c>
      <c r="P25" s="100" t="s">
        <v>629</v>
      </c>
      <c r="Q25" s="92" t="s">
        <v>519</v>
      </c>
      <c r="R25" s="84" t="s">
        <v>79</v>
      </c>
      <c r="S25" s="100" t="s">
        <v>630</v>
      </c>
      <c r="T25" s="92" t="s">
        <v>519</v>
      </c>
      <c r="U25" s="84" t="s">
        <v>79</v>
      </c>
      <c r="V25" s="93" t="s">
        <v>515</v>
      </c>
      <c r="W25" s="92" t="s">
        <v>519</v>
      </c>
      <c r="X25" s="84" t="s">
        <v>79</v>
      </c>
      <c r="Y25" s="93" t="s">
        <v>522</v>
      </c>
      <c r="Z25" s="92" t="s">
        <v>519</v>
      </c>
      <c r="AA25" s="84" t="s">
        <v>79</v>
      </c>
      <c r="AB25" s="31" t="s">
        <v>524</v>
      </c>
      <c r="AC25" s="32" t="s">
        <v>526</v>
      </c>
      <c r="AD25" s="32" t="s">
        <v>450</v>
      </c>
      <c r="AE25" s="32" t="s">
        <v>528</v>
      </c>
      <c r="AF25" s="32" t="s">
        <v>528</v>
      </c>
      <c r="AG25" s="84" t="s">
        <v>79</v>
      </c>
      <c r="AH25" s="43" t="s">
        <v>531</v>
      </c>
      <c r="AI25" s="44" t="s">
        <v>531</v>
      </c>
      <c r="AJ25" s="44" t="s">
        <v>531</v>
      </c>
      <c r="AK25" s="112" t="s">
        <v>198</v>
      </c>
      <c r="AL25" s="43" t="s">
        <v>531</v>
      </c>
      <c r="AM25" s="44" t="s">
        <v>531</v>
      </c>
      <c r="AN25" s="44" t="s">
        <v>531</v>
      </c>
      <c r="AO25" s="44" t="s">
        <v>531</v>
      </c>
      <c r="AP25" s="112" t="s">
        <v>198</v>
      </c>
      <c r="AQ25" s="113" t="s">
        <v>531</v>
      </c>
      <c r="AR25" s="114" t="s">
        <v>547</v>
      </c>
      <c r="AS25" s="115" t="s">
        <v>198</v>
      </c>
    </row>
    <row r="26" spans="1:45" ht="12.75" customHeight="1">
      <c r="A26" s="106"/>
      <c r="B26" s="108"/>
      <c r="C26" s="108"/>
      <c r="D26" s="103"/>
      <c r="E26" s="108"/>
      <c r="F26" s="88"/>
      <c r="G26" s="103"/>
      <c r="H26" s="108"/>
      <c r="I26" s="88"/>
      <c r="J26" s="103"/>
      <c r="K26" s="108"/>
      <c r="L26" s="88"/>
      <c r="M26" s="103"/>
      <c r="N26" s="108"/>
      <c r="O26" s="88"/>
      <c r="P26" s="103"/>
      <c r="Q26" s="108"/>
      <c r="R26" s="88"/>
      <c r="S26" s="103"/>
      <c r="T26" s="108"/>
      <c r="U26" s="88"/>
      <c r="V26" s="103"/>
      <c r="W26" s="108"/>
      <c r="X26" s="88"/>
      <c r="Y26" s="103"/>
      <c r="Z26" s="108"/>
      <c r="AA26" s="88"/>
      <c r="AB26" s="89" t="s">
        <v>550</v>
      </c>
      <c r="AC26" s="90"/>
      <c r="AD26" s="90"/>
      <c r="AE26" s="90"/>
      <c r="AF26" s="91"/>
      <c r="AG26" s="88"/>
      <c r="AH26" s="117" t="s">
        <v>547</v>
      </c>
      <c r="AI26" s="90"/>
      <c r="AJ26" s="91"/>
      <c r="AK26" s="88"/>
      <c r="AL26" s="117" t="s">
        <v>547</v>
      </c>
      <c r="AM26" s="90"/>
      <c r="AN26" s="90"/>
      <c r="AO26" s="91"/>
      <c r="AP26" s="88"/>
      <c r="AQ26" s="103"/>
      <c r="AR26" s="108"/>
      <c r="AS26" s="116"/>
    </row>
    <row r="27" spans="1:45" ht="21" customHeight="1">
      <c r="A27" s="104" t="s">
        <v>204</v>
      </c>
      <c r="B27" s="107" t="s">
        <v>205</v>
      </c>
      <c r="C27" s="111" t="s">
        <v>513</v>
      </c>
      <c r="D27" s="93" t="s">
        <v>451</v>
      </c>
      <c r="E27" s="92" t="s">
        <v>555</v>
      </c>
      <c r="F27" s="84" t="s">
        <v>79</v>
      </c>
      <c r="G27" s="93" t="s">
        <v>451</v>
      </c>
      <c r="H27" s="92" t="s">
        <v>555</v>
      </c>
      <c r="I27" s="84" t="s">
        <v>79</v>
      </c>
      <c r="J27" s="93" t="s">
        <v>95</v>
      </c>
      <c r="K27" s="92" t="s">
        <v>555</v>
      </c>
      <c r="L27" s="84" t="s">
        <v>79</v>
      </c>
      <c r="M27" s="101" t="s">
        <v>633</v>
      </c>
      <c r="N27" s="92" t="s">
        <v>555</v>
      </c>
      <c r="O27" s="84" t="s">
        <v>79</v>
      </c>
      <c r="P27" s="100" t="s">
        <v>634</v>
      </c>
      <c r="Q27" s="92" t="s">
        <v>555</v>
      </c>
      <c r="R27" s="84" t="s">
        <v>79</v>
      </c>
      <c r="S27" s="100" t="s">
        <v>630</v>
      </c>
      <c r="T27" s="92" t="s">
        <v>555</v>
      </c>
      <c r="U27" s="84" t="s">
        <v>79</v>
      </c>
      <c r="V27" s="93" t="s">
        <v>515</v>
      </c>
      <c r="W27" s="92" t="s">
        <v>555</v>
      </c>
      <c r="X27" s="84" t="s">
        <v>79</v>
      </c>
      <c r="Y27" s="93" t="s">
        <v>557</v>
      </c>
      <c r="Z27" s="92" t="s">
        <v>555</v>
      </c>
      <c r="AA27" s="84" t="s">
        <v>79</v>
      </c>
      <c r="AB27" s="31" t="s">
        <v>559</v>
      </c>
      <c r="AC27" s="32" t="s">
        <v>526</v>
      </c>
      <c r="AD27" s="32" t="s">
        <v>561</v>
      </c>
      <c r="AE27" s="32" t="s">
        <v>528</v>
      </c>
      <c r="AF27" s="32" t="s">
        <v>528</v>
      </c>
      <c r="AG27" s="84" t="s">
        <v>79</v>
      </c>
      <c r="AH27" s="43" t="s">
        <v>531</v>
      </c>
      <c r="AI27" s="44" t="s">
        <v>531</v>
      </c>
      <c r="AJ27" s="44" t="s">
        <v>531</v>
      </c>
      <c r="AK27" s="112" t="s">
        <v>198</v>
      </c>
      <c r="AL27" s="43" t="s">
        <v>531</v>
      </c>
      <c r="AM27" s="44" t="s">
        <v>531</v>
      </c>
      <c r="AN27" s="44" t="s">
        <v>531</v>
      </c>
      <c r="AO27" s="44" t="s">
        <v>531</v>
      </c>
      <c r="AP27" s="112" t="s">
        <v>198</v>
      </c>
      <c r="AQ27" s="113" t="s">
        <v>531</v>
      </c>
      <c r="AR27" s="114" t="s">
        <v>547</v>
      </c>
      <c r="AS27" s="115" t="s">
        <v>198</v>
      </c>
    </row>
    <row r="28" spans="1:45" ht="12.75" customHeight="1">
      <c r="A28" s="106"/>
      <c r="B28" s="108"/>
      <c r="C28" s="108"/>
      <c r="D28" s="103"/>
      <c r="E28" s="108"/>
      <c r="F28" s="88"/>
      <c r="G28" s="103"/>
      <c r="H28" s="108"/>
      <c r="I28" s="88"/>
      <c r="J28" s="103"/>
      <c r="K28" s="108"/>
      <c r="L28" s="88"/>
      <c r="M28" s="103"/>
      <c r="N28" s="108"/>
      <c r="O28" s="88"/>
      <c r="P28" s="103"/>
      <c r="Q28" s="108"/>
      <c r="R28" s="88"/>
      <c r="S28" s="103"/>
      <c r="T28" s="108"/>
      <c r="U28" s="88"/>
      <c r="V28" s="103"/>
      <c r="W28" s="108"/>
      <c r="X28" s="88"/>
      <c r="Y28" s="103"/>
      <c r="Z28" s="108"/>
      <c r="AA28" s="88"/>
      <c r="AB28" s="89" t="s">
        <v>569</v>
      </c>
      <c r="AC28" s="90"/>
      <c r="AD28" s="90"/>
      <c r="AE28" s="90"/>
      <c r="AF28" s="91"/>
      <c r="AG28" s="88"/>
      <c r="AH28" s="117" t="s">
        <v>547</v>
      </c>
      <c r="AI28" s="90"/>
      <c r="AJ28" s="91"/>
      <c r="AK28" s="88"/>
      <c r="AL28" s="117" t="s">
        <v>547</v>
      </c>
      <c r="AM28" s="90"/>
      <c r="AN28" s="90"/>
      <c r="AO28" s="91"/>
      <c r="AP28" s="88"/>
      <c r="AQ28" s="103"/>
      <c r="AR28" s="108"/>
      <c r="AS28" s="116"/>
    </row>
    <row r="29" spans="1:45" ht="21" customHeight="1">
      <c r="A29" s="104" t="s">
        <v>213</v>
      </c>
      <c r="B29" s="107" t="s">
        <v>214</v>
      </c>
      <c r="C29" s="118" t="s">
        <v>577</v>
      </c>
      <c r="D29" s="93" t="s">
        <v>451</v>
      </c>
      <c r="E29" s="92" t="s">
        <v>581</v>
      </c>
      <c r="F29" s="84" t="s">
        <v>79</v>
      </c>
      <c r="G29" s="93" t="s">
        <v>451</v>
      </c>
      <c r="H29" s="92" t="s">
        <v>581</v>
      </c>
      <c r="I29" s="84" t="s">
        <v>79</v>
      </c>
      <c r="J29" s="93" t="s">
        <v>95</v>
      </c>
      <c r="K29" s="92" t="s">
        <v>581</v>
      </c>
      <c r="L29" s="84" t="s">
        <v>79</v>
      </c>
      <c r="M29" s="101" t="s">
        <v>637</v>
      </c>
      <c r="N29" s="92" t="s">
        <v>581</v>
      </c>
      <c r="O29" s="84" t="s">
        <v>79</v>
      </c>
      <c r="P29" s="100" t="s">
        <v>630</v>
      </c>
      <c r="Q29" s="92" t="s">
        <v>581</v>
      </c>
      <c r="R29" s="84" t="s">
        <v>79</v>
      </c>
      <c r="S29" s="100" t="s">
        <v>442</v>
      </c>
      <c r="T29" s="92" t="s">
        <v>581</v>
      </c>
      <c r="U29" s="84" t="s">
        <v>79</v>
      </c>
      <c r="V29" s="93" t="s">
        <v>579</v>
      </c>
      <c r="W29" s="92" t="s">
        <v>581</v>
      </c>
      <c r="X29" s="84" t="s">
        <v>79</v>
      </c>
      <c r="Y29" s="93" t="s">
        <v>583</v>
      </c>
      <c r="Z29" s="92" t="s">
        <v>581</v>
      </c>
      <c r="AA29" s="84" t="s">
        <v>79</v>
      </c>
      <c r="AB29" s="43" t="s">
        <v>531</v>
      </c>
      <c r="AC29" s="44" t="s">
        <v>531</v>
      </c>
      <c r="AD29" s="44" t="s">
        <v>531</v>
      </c>
      <c r="AE29" s="44" t="s">
        <v>531</v>
      </c>
      <c r="AF29" s="44" t="s">
        <v>531</v>
      </c>
      <c r="AG29" s="112" t="s">
        <v>198</v>
      </c>
      <c r="AH29" s="43" t="s">
        <v>531</v>
      </c>
      <c r="AI29" s="44" t="s">
        <v>531</v>
      </c>
      <c r="AJ29" s="44" t="s">
        <v>531</v>
      </c>
      <c r="AK29" s="112" t="s">
        <v>198</v>
      </c>
      <c r="AL29" s="43" t="s">
        <v>531</v>
      </c>
      <c r="AM29" s="44" t="s">
        <v>531</v>
      </c>
      <c r="AN29" s="44" t="s">
        <v>531</v>
      </c>
      <c r="AO29" s="44" t="s">
        <v>531</v>
      </c>
      <c r="AP29" s="112" t="s">
        <v>198</v>
      </c>
      <c r="AQ29" s="113" t="s">
        <v>531</v>
      </c>
      <c r="AR29" s="114" t="s">
        <v>547</v>
      </c>
      <c r="AS29" s="115" t="s">
        <v>198</v>
      </c>
    </row>
    <row r="30" spans="1:45" ht="12.75" customHeight="1">
      <c r="A30" s="106"/>
      <c r="B30" s="108"/>
      <c r="C30" s="108"/>
      <c r="D30" s="103"/>
      <c r="E30" s="108"/>
      <c r="F30" s="88"/>
      <c r="G30" s="103"/>
      <c r="H30" s="108"/>
      <c r="I30" s="88"/>
      <c r="J30" s="103"/>
      <c r="K30" s="108"/>
      <c r="L30" s="88"/>
      <c r="M30" s="103"/>
      <c r="N30" s="108"/>
      <c r="O30" s="88"/>
      <c r="P30" s="103"/>
      <c r="Q30" s="108"/>
      <c r="R30" s="88"/>
      <c r="S30" s="103"/>
      <c r="T30" s="108"/>
      <c r="U30" s="88"/>
      <c r="V30" s="103"/>
      <c r="W30" s="108"/>
      <c r="X30" s="88"/>
      <c r="Y30" s="103"/>
      <c r="Z30" s="108"/>
      <c r="AA30" s="88"/>
      <c r="AB30" s="117" t="s">
        <v>547</v>
      </c>
      <c r="AC30" s="90"/>
      <c r="AD30" s="90"/>
      <c r="AE30" s="90"/>
      <c r="AF30" s="91"/>
      <c r="AG30" s="88"/>
      <c r="AH30" s="117" t="s">
        <v>547</v>
      </c>
      <c r="AI30" s="90"/>
      <c r="AJ30" s="91"/>
      <c r="AK30" s="88"/>
      <c r="AL30" s="117" t="s">
        <v>547</v>
      </c>
      <c r="AM30" s="90"/>
      <c r="AN30" s="90"/>
      <c r="AO30" s="91"/>
      <c r="AP30" s="88"/>
      <c r="AQ30" s="103"/>
      <c r="AR30" s="108"/>
      <c r="AS30" s="116"/>
    </row>
    <row r="31" spans="1:45" ht="17.25" customHeight="1">
      <c r="A31" s="104" t="s">
        <v>228</v>
      </c>
      <c r="B31" s="107" t="s">
        <v>229</v>
      </c>
      <c r="C31" s="109" t="s">
        <v>512</v>
      </c>
      <c r="D31" s="93" t="s">
        <v>428</v>
      </c>
      <c r="E31" s="92" t="str">
        <f t="array" ref="E31">IFERROR(INDEX('iCoA Register'!$B:$B,MATCH("P060292|I",'iCoA Register'!$P:$P,0)),"iCoA — at issue")&amp;", (19.05.2026) [PP]"</f>
        <v>iCoA-PP_26-062, (19.05.2026) [PP]</v>
      </c>
      <c r="F31" s="84" t="s">
        <v>79</v>
      </c>
      <c r="G31" s="95" t="s">
        <v>434</v>
      </c>
      <c r="H31" s="96" t="s">
        <v>643</v>
      </c>
      <c r="I31" s="97" t="s">
        <v>93</v>
      </c>
      <c r="J31" s="93" t="s">
        <v>95</v>
      </c>
      <c r="K31" s="92" t="s">
        <v>644</v>
      </c>
      <c r="L31" s="84" t="s">
        <v>79</v>
      </c>
      <c r="M31" s="101" t="s">
        <v>645</v>
      </c>
      <c r="N31" s="92" t="s">
        <v>644</v>
      </c>
      <c r="O31" s="84" t="s">
        <v>79</v>
      </c>
      <c r="P31" s="100" t="s">
        <v>567</v>
      </c>
      <c r="Q31" s="92" t="s">
        <v>644</v>
      </c>
      <c r="R31" s="84" t="s">
        <v>79</v>
      </c>
      <c r="S31" s="100" t="s">
        <v>530</v>
      </c>
      <c r="T31" s="92" t="s">
        <v>644</v>
      </c>
      <c r="U31" s="84" t="s">
        <v>79</v>
      </c>
      <c r="V31" s="93" t="s">
        <v>428</v>
      </c>
      <c r="W31" s="92" t="str">
        <f t="array" ref="W31">IFERROR(INDEX('iCoA Register'!$B:$B,MATCH("P060292|I",'iCoA Register'!$P:$P,0)),"iCoA — at issue")&amp;", (19.05.2026) [PP]"</f>
        <v>iCoA-PP_26-062, (19.05.2026) [PP]</v>
      </c>
      <c r="X31" s="84" t="s">
        <v>79</v>
      </c>
      <c r="Y31" s="93" t="s">
        <v>649</v>
      </c>
      <c r="Z31" s="92" t="s">
        <v>644</v>
      </c>
      <c r="AA31" s="84" t="s">
        <v>79</v>
      </c>
      <c r="AB31" s="31" t="s">
        <v>650</v>
      </c>
      <c r="AC31" s="32" t="s">
        <v>651</v>
      </c>
      <c r="AD31" s="32" t="s">
        <v>561</v>
      </c>
      <c r="AE31" s="32" t="s">
        <v>652</v>
      </c>
      <c r="AF31" s="32" t="s">
        <v>606</v>
      </c>
      <c r="AG31" s="84" t="s">
        <v>79</v>
      </c>
      <c r="AH31" s="31" t="s">
        <v>452</v>
      </c>
      <c r="AI31" s="32" t="s">
        <v>453</v>
      </c>
      <c r="AJ31" s="32" t="s">
        <v>452</v>
      </c>
      <c r="AK31" s="84" t="s">
        <v>79</v>
      </c>
      <c r="AL31" s="31" t="s">
        <v>653</v>
      </c>
      <c r="AM31" s="32" t="s">
        <v>654</v>
      </c>
      <c r="AN31" s="32" t="s">
        <v>655</v>
      </c>
      <c r="AO31" s="32" t="s">
        <v>656</v>
      </c>
      <c r="AP31" s="84" t="s">
        <v>79</v>
      </c>
      <c r="AQ31" s="93" t="s">
        <v>459</v>
      </c>
      <c r="AR31" s="92" t="s">
        <v>657</v>
      </c>
      <c r="AS31" s="98" t="s">
        <v>79</v>
      </c>
    </row>
    <row r="32" spans="1:45" ht="12.75" customHeight="1">
      <c r="A32" s="105"/>
      <c r="B32" s="80"/>
      <c r="C32" s="80"/>
      <c r="D32" s="94"/>
      <c r="E32" s="81"/>
      <c r="F32" s="85"/>
      <c r="G32" s="94"/>
      <c r="H32" s="81"/>
      <c r="I32" s="85"/>
      <c r="J32" s="94"/>
      <c r="K32" s="81"/>
      <c r="L32" s="85"/>
      <c r="M32" s="94"/>
      <c r="N32" s="81"/>
      <c r="O32" s="85"/>
      <c r="P32" s="94"/>
      <c r="Q32" s="81"/>
      <c r="R32" s="85"/>
      <c r="S32" s="94"/>
      <c r="T32" s="81"/>
      <c r="U32" s="85"/>
      <c r="V32" s="94"/>
      <c r="W32" s="81"/>
      <c r="X32" s="85"/>
      <c r="Y32" s="94"/>
      <c r="Z32" s="81"/>
      <c r="AA32" s="85"/>
      <c r="AB32" s="86" t="s">
        <v>659</v>
      </c>
      <c r="AC32" s="77"/>
      <c r="AD32" s="77"/>
      <c r="AE32" s="77"/>
      <c r="AF32" s="78"/>
      <c r="AG32" s="85"/>
      <c r="AH32" s="86" t="s">
        <v>657</v>
      </c>
      <c r="AI32" s="77"/>
      <c r="AJ32" s="78"/>
      <c r="AK32" s="85"/>
      <c r="AL32" s="86" t="s">
        <v>657</v>
      </c>
      <c r="AM32" s="77"/>
      <c r="AN32" s="77"/>
      <c r="AO32" s="78"/>
      <c r="AP32" s="85"/>
      <c r="AQ32" s="94"/>
      <c r="AR32" s="81"/>
      <c r="AS32" s="99"/>
    </row>
    <row r="33" spans="1:45" ht="13.5" customHeight="1">
      <c r="A33" s="105"/>
      <c r="B33" s="80"/>
      <c r="C33" s="80"/>
      <c r="D33" s="33"/>
      <c r="E33" s="34"/>
      <c r="F33" s="35"/>
      <c r="G33" s="102" t="s">
        <v>428</v>
      </c>
      <c r="H33" s="110" t="str">
        <f t="array" ref="H33">IFERROR(INDEX('iCoA Register'!$B:$B,MATCH("P060292|I",'iCoA Register'!$P:$P,0)),"iCoA — at issue")&amp;", (19.05.2026) [PP]"</f>
        <v>iCoA-PP_26-062, (19.05.2026) [PP]</v>
      </c>
      <c r="I33" s="87" t="s">
        <v>79</v>
      </c>
      <c r="J33" s="33"/>
      <c r="K33" s="34"/>
      <c r="L33" s="35"/>
      <c r="M33" s="33"/>
      <c r="N33" s="34"/>
      <c r="O33" s="35"/>
      <c r="P33" s="33"/>
      <c r="Q33" s="34"/>
      <c r="R33" s="35"/>
      <c r="S33" s="33"/>
      <c r="T33" s="34"/>
      <c r="U33" s="35"/>
      <c r="V33" s="33"/>
      <c r="W33" s="34"/>
      <c r="X33" s="35"/>
      <c r="Y33" s="33"/>
      <c r="Z33" s="34"/>
      <c r="AA33" s="35"/>
      <c r="AB33" s="36" t="s">
        <v>661</v>
      </c>
      <c r="AC33" s="37" t="s">
        <v>662</v>
      </c>
      <c r="AD33" s="37" t="s">
        <v>450</v>
      </c>
      <c r="AE33" s="37" t="s">
        <v>528</v>
      </c>
      <c r="AF33" s="37" t="s">
        <v>528</v>
      </c>
      <c r="AG33" s="87" t="s">
        <v>79</v>
      </c>
      <c r="AH33" s="33"/>
      <c r="AI33" s="34"/>
      <c r="AJ33" s="34"/>
      <c r="AK33" s="35"/>
      <c r="AL33" s="33"/>
      <c r="AM33" s="34"/>
      <c r="AN33" s="34"/>
      <c r="AO33" s="34"/>
      <c r="AP33" s="35"/>
      <c r="AQ33" s="33"/>
      <c r="AR33" s="34"/>
      <c r="AS33" s="38"/>
    </row>
    <row r="34" spans="1:45" ht="12.75" customHeight="1">
      <c r="A34" s="106"/>
      <c r="B34" s="108"/>
      <c r="C34" s="108"/>
      <c r="D34" s="39"/>
      <c r="E34" s="40"/>
      <c r="F34" s="41"/>
      <c r="G34" s="103"/>
      <c r="H34" s="108"/>
      <c r="I34" s="88"/>
      <c r="J34" s="39"/>
      <c r="K34" s="40"/>
      <c r="L34" s="41"/>
      <c r="M34" s="39"/>
      <c r="N34" s="40"/>
      <c r="O34" s="41"/>
      <c r="P34" s="39"/>
      <c r="Q34" s="40"/>
      <c r="R34" s="41"/>
      <c r="S34" s="39"/>
      <c r="T34" s="40"/>
      <c r="U34" s="41"/>
      <c r="V34" s="39"/>
      <c r="W34" s="40"/>
      <c r="X34" s="41"/>
      <c r="Y34" s="39"/>
      <c r="Z34" s="40"/>
      <c r="AA34" s="41"/>
      <c r="AB34" s="89" t="s">
        <v>664</v>
      </c>
      <c r="AC34" s="90"/>
      <c r="AD34" s="90"/>
      <c r="AE34" s="90"/>
      <c r="AF34" s="91"/>
      <c r="AG34" s="88"/>
      <c r="AH34" s="39"/>
      <c r="AI34" s="40"/>
      <c r="AJ34" s="40"/>
      <c r="AK34" s="41"/>
      <c r="AL34" s="39"/>
      <c r="AM34" s="40"/>
      <c r="AN34" s="40"/>
      <c r="AO34" s="40"/>
      <c r="AP34" s="41"/>
      <c r="AQ34" s="39"/>
      <c r="AR34" s="40"/>
      <c r="AS34" s="42"/>
    </row>
    <row r="35" spans="1:45" ht="17.25" customHeight="1">
      <c r="A35" s="104" t="s">
        <v>241</v>
      </c>
      <c r="B35" s="107" t="s">
        <v>242</v>
      </c>
      <c r="C35" s="109" t="s">
        <v>512</v>
      </c>
      <c r="D35" s="93" t="s">
        <v>428</v>
      </c>
      <c r="E35" s="92" t="str">
        <f t="array" ref="E35">IFERROR(INDEX('iCoA Register'!$B:$B,MATCH("P060302|I",'iCoA Register'!$P:$P,0)),"iCoA — at issue")&amp;", (20.05.2026) [PP]"</f>
        <v>iCoA-PP_26-063, (20.05.2026) [PP]</v>
      </c>
      <c r="F35" s="84" t="s">
        <v>79</v>
      </c>
      <c r="G35" s="95" t="s">
        <v>434</v>
      </c>
      <c r="H35" s="96" t="s">
        <v>672</v>
      </c>
      <c r="I35" s="97" t="s">
        <v>93</v>
      </c>
      <c r="J35" s="93" t="s">
        <v>95</v>
      </c>
      <c r="K35" s="92" t="s">
        <v>676</v>
      </c>
      <c r="L35" s="84" t="s">
        <v>79</v>
      </c>
      <c r="M35" s="101" t="s">
        <v>679</v>
      </c>
      <c r="N35" s="92" t="s">
        <v>676</v>
      </c>
      <c r="O35" s="84" t="s">
        <v>79</v>
      </c>
      <c r="P35" s="100" t="s">
        <v>630</v>
      </c>
      <c r="Q35" s="92" t="s">
        <v>676</v>
      </c>
      <c r="R35" s="84" t="s">
        <v>79</v>
      </c>
      <c r="S35" s="100" t="s">
        <v>530</v>
      </c>
      <c r="T35" s="92" t="s">
        <v>676</v>
      </c>
      <c r="U35" s="84" t="s">
        <v>79</v>
      </c>
      <c r="V35" s="93" t="s">
        <v>428</v>
      </c>
      <c r="W35" s="92" t="str">
        <f t="array" ref="W35">IFERROR(INDEX('iCoA Register'!$B:$B,MATCH("P060302|I",'iCoA Register'!$P:$P,0)),"iCoA — at issue")&amp;", (20.05.2026) [PP]"</f>
        <v>iCoA-PP_26-063, (20.05.2026) [PP]</v>
      </c>
      <c r="X35" s="84" t="s">
        <v>79</v>
      </c>
      <c r="Y35" s="93" t="s">
        <v>687</v>
      </c>
      <c r="Z35" s="92" t="s">
        <v>676</v>
      </c>
      <c r="AA35" s="84" t="s">
        <v>79</v>
      </c>
      <c r="AB35" s="31" t="s">
        <v>449</v>
      </c>
      <c r="AC35" s="32" t="s">
        <v>449</v>
      </c>
      <c r="AD35" s="32" t="s">
        <v>561</v>
      </c>
      <c r="AE35" s="32" t="s">
        <v>652</v>
      </c>
      <c r="AF35" s="32" t="s">
        <v>606</v>
      </c>
      <c r="AG35" s="84" t="s">
        <v>79</v>
      </c>
      <c r="AH35" s="31" t="s">
        <v>452</v>
      </c>
      <c r="AI35" s="32" t="s">
        <v>453</v>
      </c>
      <c r="AJ35" s="32" t="s">
        <v>452</v>
      </c>
      <c r="AK35" s="84" t="s">
        <v>79</v>
      </c>
      <c r="AL35" s="31" t="s">
        <v>693</v>
      </c>
      <c r="AM35" s="32" t="s">
        <v>695</v>
      </c>
      <c r="AN35" s="32" t="s">
        <v>696</v>
      </c>
      <c r="AO35" s="32" t="s">
        <v>699</v>
      </c>
      <c r="AP35" s="84" t="s">
        <v>79</v>
      </c>
      <c r="AQ35" s="93" t="s">
        <v>459</v>
      </c>
      <c r="AR35" s="92" t="s">
        <v>700</v>
      </c>
      <c r="AS35" s="98" t="s">
        <v>79</v>
      </c>
    </row>
    <row r="36" spans="1:45" ht="12.75" customHeight="1">
      <c r="A36" s="105"/>
      <c r="B36" s="80"/>
      <c r="C36" s="80"/>
      <c r="D36" s="94"/>
      <c r="E36" s="81"/>
      <c r="F36" s="85"/>
      <c r="G36" s="94"/>
      <c r="H36" s="81"/>
      <c r="I36" s="85"/>
      <c r="J36" s="94"/>
      <c r="K36" s="81"/>
      <c r="L36" s="85"/>
      <c r="M36" s="94"/>
      <c r="N36" s="81"/>
      <c r="O36" s="85"/>
      <c r="P36" s="94"/>
      <c r="Q36" s="81"/>
      <c r="R36" s="85"/>
      <c r="S36" s="94"/>
      <c r="T36" s="81"/>
      <c r="U36" s="85"/>
      <c r="V36" s="94"/>
      <c r="W36" s="81"/>
      <c r="X36" s="85"/>
      <c r="Y36" s="94"/>
      <c r="Z36" s="81"/>
      <c r="AA36" s="85"/>
      <c r="AB36" s="86" t="s">
        <v>706</v>
      </c>
      <c r="AC36" s="77"/>
      <c r="AD36" s="77"/>
      <c r="AE36" s="77"/>
      <c r="AF36" s="78"/>
      <c r="AG36" s="85"/>
      <c r="AH36" s="86" t="s">
        <v>700</v>
      </c>
      <c r="AI36" s="77"/>
      <c r="AJ36" s="78"/>
      <c r="AK36" s="85"/>
      <c r="AL36" s="86" t="s">
        <v>700</v>
      </c>
      <c r="AM36" s="77"/>
      <c r="AN36" s="77"/>
      <c r="AO36" s="78"/>
      <c r="AP36" s="85"/>
      <c r="AQ36" s="94"/>
      <c r="AR36" s="81"/>
      <c r="AS36" s="99"/>
    </row>
    <row r="37" spans="1:45" ht="13.5" customHeight="1">
      <c r="A37" s="105"/>
      <c r="B37" s="80"/>
      <c r="C37" s="80"/>
      <c r="D37" s="33"/>
      <c r="E37" s="34"/>
      <c r="F37" s="35"/>
      <c r="G37" s="102" t="s">
        <v>428</v>
      </c>
      <c r="H37" s="110" t="str">
        <f t="array" ref="H37">IFERROR(INDEX('iCoA Register'!$B:$B,MATCH("P060302|I",'iCoA Register'!$P:$P,0)),"iCoA — at issue")&amp;", (20.05.2026) [PP]"</f>
        <v>iCoA-PP_26-063, (20.05.2026) [PP]</v>
      </c>
      <c r="I37" s="87" t="s">
        <v>79</v>
      </c>
      <c r="J37" s="33"/>
      <c r="K37" s="34"/>
      <c r="L37" s="35"/>
      <c r="M37" s="33"/>
      <c r="N37" s="34"/>
      <c r="O37" s="35"/>
      <c r="P37" s="33"/>
      <c r="Q37" s="34"/>
      <c r="R37" s="35"/>
      <c r="S37" s="33"/>
      <c r="T37" s="34"/>
      <c r="U37" s="35"/>
      <c r="V37" s="33"/>
      <c r="W37" s="34"/>
      <c r="X37" s="35"/>
      <c r="Y37" s="33"/>
      <c r="Z37" s="34"/>
      <c r="AA37" s="35"/>
      <c r="AB37" s="36" t="s">
        <v>497</v>
      </c>
      <c r="AC37" s="37" t="s">
        <v>714</v>
      </c>
      <c r="AD37" s="37" t="s">
        <v>561</v>
      </c>
      <c r="AE37" s="37" t="s">
        <v>528</v>
      </c>
      <c r="AF37" s="37" t="s">
        <v>528</v>
      </c>
      <c r="AG37" s="87" t="s">
        <v>79</v>
      </c>
      <c r="AH37" s="33"/>
      <c r="AI37" s="34"/>
      <c r="AJ37" s="34"/>
      <c r="AK37" s="35"/>
      <c r="AL37" s="33"/>
      <c r="AM37" s="34"/>
      <c r="AN37" s="34"/>
      <c r="AO37" s="34"/>
      <c r="AP37" s="35"/>
      <c r="AQ37" s="33"/>
      <c r="AR37" s="34"/>
      <c r="AS37" s="38"/>
    </row>
    <row r="38" spans="1:45" ht="12.75" customHeight="1">
      <c r="A38" s="106"/>
      <c r="B38" s="108"/>
      <c r="C38" s="108"/>
      <c r="D38" s="39"/>
      <c r="E38" s="40"/>
      <c r="F38" s="41"/>
      <c r="G38" s="103"/>
      <c r="H38" s="108"/>
      <c r="I38" s="88"/>
      <c r="J38" s="39"/>
      <c r="K38" s="40"/>
      <c r="L38" s="41"/>
      <c r="M38" s="39"/>
      <c r="N38" s="40"/>
      <c r="O38" s="41"/>
      <c r="P38" s="39"/>
      <c r="Q38" s="40"/>
      <c r="R38" s="41"/>
      <c r="S38" s="39"/>
      <c r="T38" s="40"/>
      <c r="U38" s="41"/>
      <c r="V38" s="39"/>
      <c r="W38" s="40"/>
      <c r="X38" s="41"/>
      <c r="Y38" s="39"/>
      <c r="Z38" s="40"/>
      <c r="AA38" s="41"/>
      <c r="AB38" s="89" t="s">
        <v>717</v>
      </c>
      <c r="AC38" s="90"/>
      <c r="AD38" s="90"/>
      <c r="AE38" s="90"/>
      <c r="AF38" s="91"/>
      <c r="AG38" s="88"/>
      <c r="AH38" s="39"/>
      <c r="AI38" s="40"/>
      <c r="AJ38" s="40"/>
      <c r="AK38" s="41"/>
      <c r="AL38" s="39"/>
      <c r="AM38" s="40"/>
      <c r="AN38" s="40"/>
      <c r="AO38" s="40"/>
      <c r="AP38" s="41"/>
      <c r="AQ38" s="39"/>
      <c r="AR38" s="40"/>
      <c r="AS38" s="42"/>
    </row>
    <row r="39" spans="1:45" ht="21" customHeight="1">
      <c r="A39" s="104" t="s">
        <v>215</v>
      </c>
      <c r="B39" s="107" t="s">
        <v>218</v>
      </c>
      <c r="C39" s="111" t="s">
        <v>587</v>
      </c>
      <c r="D39" s="93" t="s">
        <v>451</v>
      </c>
      <c r="E39" s="92" t="s">
        <v>590</v>
      </c>
      <c r="F39" s="84" t="s">
        <v>79</v>
      </c>
      <c r="G39" s="93" t="s">
        <v>451</v>
      </c>
      <c r="H39" s="92" t="s">
        <v>590</v>
      </c>
      <c r="I39" s="84" t="s">
        <v>79</v>
      </c>
      <c r="J39" s="93" t="s">
        <v>95</v>
      </c>
      <c r="K39" s="92" t="s">
        <v>590</v>
      </c>
      <c r="L39" s="84" t="s">
        <v>79</v>
      </c>
      <c r="M39" s="101" t="s">
        <v>725</v>
      </c>
      <c r="N39" s="92" t="s">
        <v>590</v>
      </c>
      <c r="O39" s="84" t="s">
        <v>79</v>
      </c>
      <c r="P39" s="100" t="s">
        <v>567</v>
      </c>
      <c r="Q39" s="92" t="s">
        <v>590</v>
      </c>
      <c r="R39" s="84" t="s">
        <v>79</v>
      </c>
      <c r="S39" s="100" t="s">
        <v>728</v>
      </c>
      <c r="T39" s="92" t="s">
        <v>590</v>
      </c>
      <c r="U39" s="84" t="s">
        <v>79</v>
      </c>
      <c r="V39" s="93" t="s">
        <v>588</v>
      </c>
      <c r="W39" s="92" t="s">
        <v>590</v>
      </c>
      <c r="X39" s="84" t="s">
        <v>79</v>
      </c>
      <c r="Y39" s="93" t="s">
        <v>593</v>
      </c>
      <c r="Z39" s="92" t="s">
        <v>590</v>
      </c>
      <c r="AA39" s="84" t="s">
        <v>79</v>
      </c>
      <c r="AB39" s="43" t="s">
        <v>531</v>
      </c>
      <c r="AC39" s="44" t="s">
        <v>531</v>
      </c>
      <c r="AD39" s="44" t="s">
        <v>531</v>
      </c>
      <c r="AE39" s="44" t="s">
        <v>531</v>
      </c>
      <c r="AF39" s="44" t="s">
        <v>531</v>
      </c>
      <c r="AG39" s="112" t="s">
        <v>198</v>
      </c>
      <c r="AH39" s="31" t="s">
        <v>472</v>
      </c>
      <c r="AI39" s="32" t="s">
        <v>473</v>
      </c>
      <c r="AJ39" s="32" t="s">
        <v>472</v>
      </c>
      <c r="AK39" s="84" t="s">
        <v>79</v>
      </c>
      <c r="AL39" s="43" t="s">
        <v>531</v>
      </c>
      <c r="AM39" s="44" t="s">
        <v>531</v>
      </c>
      <c r="AN39" s="44" t="s">
        <v>531</v>
      </c>
      <c r="AO39" s="44" t="s">
        <v>531</v>
      </c>
      <c r="AP39" s="112" t="s">
        <v>198</v>
      </c>
      <c r="AQ39" s="113" t="s">
        <v>531</v>
      </c>
      <c r="AR39" s="114" t="s">
        <v>547</v>
      </c>
      <c r="AS39" s="115" t="s">
        <v>198</v>
      </c>
    </row>
    <row r="40" spans="1:45" ht="12.75" customHeight="1">
      <c r="A40" s="105"/>
      <c r="B40" s="80"/>
      <c r="C40" s="80"/>
      <c r="D40" s="94"/>
      <c r="E40" s="81"/>
      <c r="F40" s="85"/>
      <c r="G40" s="94"/>
      <c r="H40" s="81"/>
      <c r="I40" s="85"/>
      <c r="J40" s="94"/>
      <c r="K40" s="81"/>
      <c r="L40" s="85"/>
      <c r="M40" s="94"/>
      <c r="N40" s="81"/>
      <c r="O40" s="85"/>
      <c r="P40" s="94"/>
      <c r="Q40" s="81"/>
      <c r="R40" s="85"/>
      <c r="S40" s="94"/>
      <c r="T40" s="81"/>
      <c r="U40" s="85"/>
      <c r="V40" s="94"/>
      <c r="W40" s="81"/>
      <c r="X40" s="85"/>
      <c r="Y40" s="94"/>
      <c r="Z40" s="81"/>
      <c r="AA40" s="85"/>
      <c r="AB40" s="119" t="s">
        <v>547</v>
      </c>
      <c r="AC40" s="77"/>
      <c r="AD40" s="77"/>
      <c r="AE40" s="77"/>
      <c r="AF40" s="78"/>
      <c r="AG40" s="85"/>
      <c r="AH40" s="86" t="s">
        <v>618</v>
      </c>
      <c r="AI40" s="77"/>
      <c r="AJ40" s="78"/>
      <c r="AK40" s="85"/>
      <c r="AL40" s="119" t="s">
        <v>547</v>
      </c>
      <c r="AM40" s="77"/>
      <c r="AN40" s="77"/>
      <c r="AO40" s="78"/>
      <c r="AP40" s="85"/>
      <c r="AQ40" s="94"/>
      <c r="AR40" s="81"/>
      <c r="AS40" s="99"/>
    </row>
    <row r="41" spans="1:45" ht="17.25" customHeight="1">
      <c r="A41" s="105"/>
      <c r="B41" s="80"/>
      <c r="C41" s="80"/>
      <c r="D41" s="33"/>
      <c r="E41" s="34"/>
      <c r="F41" s="35"/>
      <c r="G41" s="33"/>
      <c r="H41" s="34"/>
      <c r="I41" s="35"/>
      <c r="J41" s="102" t="s">
        <v>463</v>
      </c>
      <c r="K41" s="110" t="s">
        <v>730</v>
      </c>
      <c r="L41" s="87" t="s">
        <v>79</v>
      </c>
      <c r="M41" s="124" t="s">
        <v>731</v>
      </c>
      <c r="N41" s="110" t="s">
        <v>730</v>
      </c>
      <c r="O41" s="87" t="s">
        <v>79</v>
      </c>
      <c r="P41" s="120" t="s">
        <v>467</v>
      </c>
      <c r="Q41" s="110" t="s">
        <v>730</v>
      </c>
      <c r="R41" s="87" t="s">
        <v>79</v>
      </c>
      <c r="S41" s="120" t="s">
        <v>467</v>
      </c>
      <c r="T41" s="110" t="s">
        <v>730</v>
      </c>
      <c r="U41" s="87" t="s">
        <v>79</v>
      </c>
      <c r="V41" s="33"/>
      <c r="W41" s="34"/>
      <c r="X41" s="35"/>
      <c r="Y41" s="121" t="s">
        <v>434</v>
      </c>
      <c r="Z41" s="122" t="s">
        <v>620</v>
      </c>
      <c r="AA41" s="123" t="s">
        <v>93</v>
      </c>
      <c r="AB41" s="33"/>
      <c r="AC41" s="34"/>
      <c r="AD41" s="34"/>
      <c r="AE41" s="34"/>
      <c r="AF41" s="34"/>
      <c r="AG41" s="35"/>
      <c r="AH41" s="33"/>
      <c r="AI41" s="34"/>
      <c r="AJ41" s="34"/>
      <c r="AK41" s="35"/>
      <c r="AL41" s="33"/>
      <c r="AM41" s="34"/>
      <c r="AN41" s="34"/>
      <c r="AO41" s="34"/>
      <c r="AP41" s="35"/>
      <c r="AQ41" s="33"/>
      <c r="AR41" s="34"/>
      <c r="AS41" s="38"/>
    </row>
    <row r="42" spans="1:45" ht="15" customHeight="1">
      <c r="A42" s="106"/>
      <c r="B42" s="108"/>
      <c r="C42" s="108"/>
      <c r="D42" s="39"/>
      <c r="E42" s="40"/>
      <c r="F42" s="41"/>
      <c r="G42" s="39"/>
      <c r="H42" s="40"/>
      <c r="I42" s="41"/>
      <c r="J42" s="103"/>
      <c r="K42" s="108"/>
      <c r="L42" s="88"/>
      <c r="M42" s="103"/>
      <c r="N42" s="108"/>
      <c r="O42" s="88"/>
      <c r="P42" s="103"/>
      <c r="Q42" s="108"/>
      <c r="R42" s="88"/>
      <c r="S42" s="103"/>
      <c r="T42" s="108"/>
      <c r="U42" s="88"/>
      <c r="V42" s="39"/>
      <c r="W42" s="40"/>
      <c r="X42" s="41"/>
      <c r="Y42" s="103"/>
      <c r="Z42" s="108"/>
      <c r="AA42" s="88"/>
      <c r="AB42" s="39"/>
      <c r="AC42" s="40"/>
      <c r="AD42" s="40"/>
      <c r="AE42" s="40"/>
      <c r="AF42" s="40"/>
      <c r="AG42" s="41"/>
      <c r="AH42" s="39"/>
      <c r="AI42" s="40"/>
      <c r="AJ42" s="40"/>
      <c r="AK42" s="41"/>
      <c r="AL42" s="39"/>
      <c r="AM42" s="40"/>
      <c r="AN42" s="40"/>
      <c r="AO42" s="40"/>
      <c r="AP42" s="41"/>
      <c r="AQ42" s="39"/>
      <c r="AR42" s="40"/>
      <c r="AS42" s="42"/>
    </row>
    <row r="43" spans="1:45" ht="21" customHeight="1">
      <c r="A43" s="104" t="s">
        <v>257</v>
      </c>
      <c r="B43" s="107" t="s">
        <v>258</v>
      </c>
      <c r="C43" s="118" t="s">
        <v>577</v>
      </c>
      <c r="D43" s="93" t="s">
        <v>451</v>
      </c>
      <c r="E43" s="92" t="s">
        <v>626</v>
      </c>
      <c r="F43" s="84" t="s">
        <v>79</v>
      </c>
      <c r="G43" s="93" t="s">
        <v>451</v>
      </c>
      <c r="H43" s="92" t="s">
        <v>626</v>
      </c>
      <c r="I43" s="84" t="s">
        <v>79</v>
      </c>
      <c r="J43" s="93" t="s">
        <v>95</v>
      </c>
      <c r="K43" s="92" t="s">
        <v>626</v>
      </c>
      <c r="L43" s="84" t="s">
        <v>79</v>
      </c>
      <c r="M43" s="101" t="s">
        <v>734</v>
      </c>
      <c r="N43" s="92" t="s">
        <v>626</v>
      </c>
      <c r="O43" s="84" t="s">
        <v>79</v>
      </c>
      <c r="P43" s="100" t="s">
        <v>735</v>
      </c>
      <c r="Q43" s="92" t="s">
        <v>626</v>
      </c>
      <c r="R43" s="84" t="s">
        <v>79</v>
      </c>
      <c r="S43" s="100" t="s">
        <v>442</v>
      </c>
      <c r="T43" s="92" t="s">
        <v>626</v>
      </c>
      <c r="U43" s="84" t="s">
        <v>79</v>
      </c>
      <c r="V43" s="93" t="s">
        <v>515</v>
      </c>
      <c r="W43" s="92" t="s">
        <v>626</v>
      </c>
      <c r="X43" s="84" t="s">
        <v>79</v>
      </c>
      <c r="Y43" s="93" t="s">
        <v>628</v>
      </c>
      <c r="Z43" s="92" t="s">
        <v>626</v>
      </c>
      <c r="AA43" s="84" t="s">
        <v>79</v>
      </c>
      <c r="AB43" s="43" t="s">
        <v>531</v>
      </c>
      <c r="AC43" s="44" t="s">
        <v>531</v>
      </c>
      <c r="AD43" s="44" t="s">
        <v>531</v>
      </c>
      <c r="AE43" s="44" t="s">
        <v>531</v>
      </c>
      <c r="AF43" s="44" t="s">
        <v>531</v>
      </c>
      <c r="AG43" s="112" t="s">
        <v>198</v>
      </c>
      <c r="AH43" s="43" t="s">
        <v>531</v>
      </c>
      <c r="AI43" s="44" t="s">
        <v>531</v>
      </c>
      <c r="AJ43" s="44" t="s">
        <v>531</v>
      </c>
      <c r="AK43" s="112" t="s">
        <v>198</v>
      </c>
      <c r="AL43" s="43" t="s">
        <v>531</v>
      </c>
      <c r="AM43" s="44" t="s">
        <v>531</v>
      </c>
      <c r="AN43" s="44" t="s">
        <v>531</v>
      </c>
      <c r="AO43" s="44" t="s">
        <v>531</v>
      </c>
      <c r="AP43" s="112" t="s">
        <v>198</v>
      </c>
      <c r="AQ43" s="113" t="s">
        <v>531</v>
      </c>
      <c r="AR43" s="114" t="s">
        <v>547</v>
      </c>
      <c r="AS43" s="115" t="s">
        <v>198</v>
      </c>
    </row>
    <row r="44" spans="1:45" ht="12.75" customHeight="1">
      <c r="A44" s="106"/>
      <c r="B44" s="108"/>
      <c r="C44" s="108"/>
      <c r="D44" s="103"/>
      <c r="E44" s="108"/>
      <c r="F44" s="88"/>
      <c r="G44" s="103"/>
      <c r="H44" s="108"/>
      <c r="I44" s="88"/>
      <c r="J44" s="103"/>
      <c r="K44" s="108"/>
      <c r="L44" s="88"/>
      <c r="M44" s="103"/>
      <c r="N44" s="108"/>
      <c r="O44" s="88"/>
      <c r="P44" s="103"/>
      <c r="Q44" s="108"/>
      <c r="R44" s="88"/>
      <c r="S44" s="103"/>
      <c r="T44" s="108"/>
      <c r="U44" s="88"/>
      <c r="V44" s="103"/>
      <c r="W44" s="108"/>
      <c r="X44" s="88"/>
      <c r="Y44" s="103"/>
      <c r="Z44" s="108"/>
      <c r="AA44" s="88"/>
      <c r="AB44" s="117" t="s">
        <v>547</v>
      </c>
      <c r="AC44" s="90"/>
      <c r="AD44" s="90"/>
      <c r="AE44" s="90"/>
      <c r="AF44" s="91"/>
      <c r="AG44" s="88"/>
      <c r="AH44" s="117" t="s">
        <v>547</v>
      </c>
      <c r="AI44" s="90"/>
      <c r="AJ44" s="91"/>
      <c r="AK44" s="88"/>
      <c r="AL44" s="117" t="s">
        <v>547</v>
      </c>
      <c r="AM44" s="90"/>
      <c r="AN44" s="90"/>
      <c r="AO44" s="91"/>
      <c r="AP44" s="88"/>
      <c r="AQ44" s="103"/>
      <c r="AR44" s="108"/>
      <c r="AS44" s="116"/>
    </row>
    <row r="45" spans="1:45" ht="21" customHeight="1">
      <c r="A45" s="104" t="s">
        <v>265</v>
      </c>
      <c r="B45" s="107" t="s">
        <v>425</v>
      </c>
      <c r="C45" s="118" t="s">
        <v>631</v>
      </c>
      <c r="D45" s="93" t="s">
        <v>428</v>
      </c>
      <c r="E45" s="92" t="str">
        <f t="array" ref="E45">IFERROR(INDEX('iCoA Register'!$B:$B,MATCH("GG1024|I",'iCoA Register'!$P:$P,0)),"iCoA — at issue")&amp;", (11.03.2025) [PP]"</f>
        <v>iCoA-PP_26-004, (11.03.2025) [PP]</v>
      </c>
      <c r="F45" s="84" t="s">
        <v>79</v>
      </c>
      <c r="G45" s="93" t="s">
        <v>428</v>
      </c>
      <c r="H45" s="92" t="str">
        <f t="array" ref="H45">IFERROR(INDEX('iCoA Register'!$B:$B,MATCH("GG1024|I",'iCoA Register'!$P:$P,0)),"iCoA — at issue")&amp;", (11.03.2025) [PP]"</f>
        <v>iCoA-PP_26-004, (11.03.2025) [PP]</v>
      </c>
      <c r="I45" s="84" t="s">
        <v>79</v>
      </c>
      <c r="J45" s="113" t="s">
        <v>531</v>
      </c>
      <c r="K45" s="114" t="s">
        <v>547</v>
      </c>
      <c r="L45" s="112" t="s">
        <v>198</v>
      </c>
      <c r="M45" s="113" t="s">
        <v>531</v>
      </c>
      <c r="N45" s="114" t="s">
        <v>547</v>
      </c>
      <c r="O45" s="112" t="s">
        <v>198</v>
      </c>
      <c r="P45" s="113" t="s">
        <v>531</v>
      </c>
      <c r="Q45" s="114" t="s">
        <v>547</v>
      </c>
      <c r="R45" s="112" t="s">
        <v>198</v>
      </c>
      <c r="S45" s="113" t="s">
        <v>531</v>
      </c>
      <c r="T45" s="114" t="s">
        <v>547</v>
      </c>
      <c r="U45" s="112" t="s">
        <v>198</v>
      </c>
      <c r="V45" s="93" t="s">
        <v>632</v>
      </c>
      <c r="W45" s="92" t="str">
        <f t="array" ref="W45">IFERROR(INDEX('iCoA Register'!$B:$B,MATCH("GG1024|I",'iCoA Register'!$P:$P,0)),"iCoA — at issue")&amp;", (11.03.2025) [PP]"</f>
        <v>iCoA-PP_26-004, (11.03.2025) [PP]</v>
      </c>
      <c r="X45" s="84" t="s">
        <v>79</v>
      </c>
      <c r="Y45" s="113" t="s">
        <v>531</v>
      </c>
      <c r="Z45" s="114" t="s">
        <v>547</v>
      </c>
      <c r="AA45" s="112" t="s">
        <v>198</v>
      </c>
      <c r="AB45" s="43" t="s">
        <v>531</v>
      </c>
      <c r="AC45" s="44" t="s">
        <v>531</v>
      </c>
      <c r="AD45" s="44" t="s">
        <v>531</v>
      </c>
      <c r="AE45" s="44" t="s">
        <v>531</v>
      </c>
      <c r="AF45" s="44" t="s">
        <v>531</v>
      </c>
      <c r="AG45" s="112" t="s">
        <v>198</v>
      </c>
      <c r="AH45" s="43" t="s">
        <v>531</v>
      </c>
      <c r="AI45" s="44" t="s">
        <v>531</v>
      </c>
      <c r="AJ45" s="44" t="s">
        <v>531</v>
      </c>
      <c r="AK45" s="112" t="s">
        <v>198</v>
      </c>
      <c r="AL45" s="43" t="s">
        <v>531</v>
      </c>
      <c r="AM45" s="44" t="s">
        <v>531</v>
      </c>
      <c r="AN45" s="44" t="s">
        <v>531</v>
      </c>
      <c r="AO45" s="44" t="s">
        <v>531</v>
      </c>
      <c r="AP45" s="112" t="s">
        <v>198</v>
      </c>
      <c r="AQ45" s="113" t="s">
        <v>531</v>
      </c>
      <c r="AR45" s="114" t="s">
        <v>547</v>
      </c>
      <c r="AS45" s="115" t="s">
        <v>198</v>
      </c>
    </row>
    <row r="46" spans="1:45" ht="12.75" customHeight="1">
      <c r="A46" s="105"/>
      <c r="B46" s="80"/>
      <c r="C46" s="80"/>
      <c r="D46" s="94"/>
      <c r="E46" s="81"/>
      <c r="F46" s="85"/>
      <c r="G46" s="94"/>
      <c r="H46" s="81"/>
      <c r="I46" s="85"/>
      <c r="J46" s="94"/>
      <c r="K46" s="81"/>
      <c r="L46" s="85"/>
      <c r="M46" s="94"/>
      <c r="N46" s="81"/>
      <c r="O46" s="85"/>
      <c r="P46" s="94"/>
      <c r="Q46" s="81"/>
      <c r="R46" s="85"/>
      <c r="S46" s="94"/>
      <c r="T46" s="81"/>
      <c r="U46" s="85"/>
      <c r="V46" s="94"/>
      <c r="W46" s="81"/>
      <c r="X46" s="85"/>
      <c r="Y46" s="94"/>
      <c r="Z46" s="81"/>
      <c r="AA46" s="85"/>
      <c r="AB46" s="119" t="s">
        <v>547</v>
      </c>
      <c r="AC46" s="77"/>
      <c r="AD46" s="77"/>
      <c r="AE46" s="77"/>
      <c r="AF46" s="78"/>
      <c r="AG46" s="85"/>
      <c r="AH46" s="119" t="s">
        <v>547</v>
      </c>
      <c r="AI46" s="77"/>
      <c r="AJ46" s="78"/>
      <c r="AK46" s="85"/>
      <c r="AL46" s="119" t="s">
        <v>547</v>
      </c>
      <c r="AM46" s="77"/>
      <c r="AN46" s="77"/>
      <c r="AO46" s="78"/>
      <c r="AP46" s="85"/>
      <c r="AQ46" s="94"/>
      <c r="AR46" s="81"/>
      <c r="AS46" s="99"/>
    </row>
    <row r="47" spans="1:45" ht="13.5" customHeight="1">
      <c r="A47" s="105"/>
      <c r="B47" s="80"/>
      <c r="C47" s="80"/>
      <c r="D47" s="102" t="s">
        <v>632</v>
      </c>
      <c r="E47" s="110" t="s">
        <v>638</v>
      </c>
      <c r="F47" s="87" t="s">
        <v>79</v>
      </c>
      <c r="G47" s="33"/>
      <c r="H47" s="34"/>
      <c r="I47" s="35"/>
      <c r="J47" s="33"/>
      <c r="K47" s="34"/>
      <c r="L47" s="35"/>
      <c r="M47" s="33"/>
      <c r="N47" s="34"/>
      <c r="O47" s="35"/>
      <c r="P47" s="33"/>
      <c r="Q47" s="34"/>
      <c r="R47" s="35"/>
      <c r="S47" s="33"/>
      <c r="T47" s="34"/>
      <c r="U47" s="35"/>
      <c r="V47" s="102" t="s">
        <v>632</v>
      </c>
      <c r="W47" s="110" t="s">
        <v>638</v>
      </c>
      <c r="X47" s="87" t="s">
        <v>79</v>
      </c>
      <c r="Y47" s="33"/>
      <c r="Z47" s="34"/>
      <c r="AA47" s="35"/>
      <c r="AB47" s="33"/>
      <c r="AC47" s="34"/>
      <c r="AD47" s="34"/>
      <c r="AE47" s="34"/>
      <c r="AF47" s="34"/>
      <c r="AG47" s="35"/>
      <c r="AH47" s="33"/>
      <c r="AI47" s="34"/>
      <c r="AJ47" s="34"/>
      <c r="AK47" s="35"/>
      <c r="AL47" s="33"/>
      <c r="AM47" s="34"/>
      <c r="AN47" s="34"/>
      <c r="AO47" s="34"/>
      <c r="AP47" s="35"/>
      <c r="AQ47" s="33"/>
      <c r="AR47" s="34"/>
      <c r="AS47" s="38"/>
    </row>
    <row r="48" spans="1:45" ht="12.75" customHeight="1">
      <c r="A48" s="106"/>
      <c r="B48" s="108"/>
      <c r="C48" s="108"/>
      <c r="D48" s="103"/>
      <c r="E48" s="108"/>
      <c r="F48" s="88"/>
      <c r="G48" s="39"/>
      <c r="H48" s="40"/>
      <c r="I48" s="41"/>
      <c r="J48" s="39"/>
      <c r="K48" s="40"/>
      <c r="L48" s="41"/>
      <c r="M48" s="39"/>
      <c r="N48" s="40"/>
      <c r="O48" s="41"/>
      <c r="P48" s="39"/>
      <c r="Q48" s="40"/>
      <c r="R48" s="41"/>
      <c r="S48" s="39"/>
      <c r="T48" s="40"/>
      <c r="U48" s="41"/>
      <c r="V48" s="103"/>
      <c r="W48" s="108"/>
      <c r="X48" s="88"/>
      <c r="Y48" s="39"/>
      <c r="Z48" s="40"/>
      <c r="AA48" s="41"/>
      <c r="AB48" s="39"/>
      <c r="AC48" s="40"/>
      <c r="AD48" s="40"/>
      <c r="AE48" s="40"/>
      <c r="AF48" s="40"/>
      <c r="AG48" s="41"/>
      <c r="AH48" s="39"/>
      <c r="AI48" s="40"/>
      <c r="AJ48" s="40"/>
      <c r="AK48" s="41"/>
      <c r="AL48" s="39"/>
      <c r="AM48" s="40"/>
      <c r="AN48" s="40"/>
      <c r="AO48" s="40"/>
      <c r="AP48" s="41"/>
      <c r="AQ48" s="39"/>
      <c r="AR48" s="40"/>
      <c r="AS48" s="42"/>
    </row>
    <row r="49" spans="1:45" ht="17.25" customHeight="1">
      <c r="A49" s="104" t="s">
        <v>274</v>
      </c>
      <c r="B49" s="107" t="s">
        <v>275</v>
      </c>
      <c r="C49" s="109" t="s">
        <v>512</v>
      </c>
      <c r="D49" s="93" t="s">
        <v>428</v>
      </c>
      <c r="E49" s="92" t="str">
        <f t="array" ref="E49">IFERROR(INDEX('iCoA Register'!$B:$B,MATCH("P060252|I",'iCoA Register'!$P:$P,0)),"iCoA — at issue")&amp;", (05.05.2026) [PP]"</f>
        <v>iCoA-PP_26-058, (05.05.2026) [PP]</v>
      </c>
      <c r="F49" s="84" t="s">
        <v>79</v>
      </c>
      <c r="G49" s="93" t="s">
        <v>428</v>
      </c>
      <c r="H49" s="92" t="str">
        <f t="array" ref="H49">IFERROR(INDEX('iCoA Register'!$B:$B,MATCH("P060252|I",'iCoA Register'!$P:$P,0)),"iCoA — at issue")&amp;", (05.05.2026) [PP]"</f>
        <v>iCoA-PP_26-058, (05.05.2026) [PP]</v>
      </c>
      <c r="I49" s="84" t="s">
        <v>79</v>
      </c>
      <c r="J49" s="93" t="s">
        <v>95</v>
      </c>
      <c r="K49" s="92" t="s">
        <v>775</v>
      </c>
      <c r="L49" s="84" t="s">
        <v>79</v>
      </c>
      <c r="M49" s="101" t="s">
        <v>777</v>
      </c>
      <c r="N49" s="92" t="s">
        <v>775</v>
      </c>
      <c r="O49" s="84" t="s">
        <v>79</v>
      </c>
      <c r="P49" s="100" t="s">
        <v>780</v>
      </c>
      <c r="Q49" s="92" t="s">
        <v>775</v>
      </c>
      <c r="R49" s="84" t="s">
        <v>79</v>
      </c>
      <c r="S49" s="100" t="s">
        <v>530</v>
      </c>
      <c r="T49" s="92" t="s">
        <v>775</v>
      </c>
      <c r="U49" s="84" t="s">
        <v>79</v>
      </c>
      <c r="V49" s="93" t="s">
        <v>428</v>
      </c>
      <c r="W49" s="92" t="str">
        <f t="array" ref="W49">IFERROR(INDEX('iCoA Register'!$B:$B,MATCH("P060252|I",'iCoA Register'!$P:$P,0)),"iCoA — at issue")&amp;", (05.05.2026) [PP]"</f>
        <v>iCoA-PP_26-058, (05.05.2026) [PP]</v>
      </c>
      <c r="X49" s="84" t="s">
        <v>79</v>
      </c>
      <c r="Y49" s="93" t="s">
        <v>787</v>
      </c>
      <c r="Z49" s="92" t="s">
        <v>775</v>
      </c>
      <c r="AA49" s="84" t="s">
        <v>79</v>
      </c>
      <c r="AB49" s="31" t="s">
        <v>789</v>
      </c>
      <c r="AC49" s="32" t="s">
        <v>790</v>
      </c>
      <c r="AD49" s="32" t="s">
        <v>791</v>
      </c>
      <c r="AE49" s="32" t="s">
        <v>652</v>
      </c>
      <c r="AF49" s="32" t="s">
        <v>792</v>
      </c>
      <c r="AG49" s="84" t="s">
        <v>79</v>
      </c>
      <c r="AH49" s="31" t="s">
        <v>452</v>
      </c>
      <c r="AI49" s="32" t="s">
        <v>453</v>
      </c>
      <c r="AJ49" s="32" t="s">
        <v>452</v>
      </c>
      <c r="AK49" s="84" t="s">
        <v>79</v>
      </c>
      <c r="AL49" s="31" t="s">
        <v>795</v>
      </c>
      <c r="AM49" s="32" t="s">
        <v>796</v>
      </c>
      <c r="AN49" s="32" t="s">
        <v>797</v>
      </c>
      <c r="AO49" s="32" t="s">
        <v>798</v>
      </c>
      <c r="AP49" s="84" t="s">
        <v>79</v>
      </c>
      <c r="AQ49" s="93" t="s">
        <v>612</v>
      </c>
      <c r="AR49" s="92" t="s">
        <v>800</v>
      </c>
      <c r="AS49" s="98" t="s">
        <v>79</v>
      </c>
    </row>
    <row r="50" spans="1:45" ht="12.75" customHeight="1">
      <c r="A50" s="105"/>
      <c r="B50" s="80"/>
      <c r="C50" s="80"/>
      <c r="D50" s="94"/>
      <c r="E50" s="81"/>
      <c r="F50" s="85"/>
      <c r="G50" s="94"/>
      <c r="H50" s="81"/>
      <c r="I50" s="85"/>
      <c r="J50" s="94"/>
      <c r="K50" s="81"/>
      <c r="L50" s="85"/>
      <c r="M50" s="94"/>
      <c r="N50" s="81"/>
      <c r="O50" s="85"/>
      <c r="P50" s="94"/>
      <c r="Q50" s="81"/>
      <c r="R50" s="85"/>
      <c r="S50" s="94"/>
      <c r="T50" s="81"/>
      <c r="U50" s="85"/>
      <c r="V50" s="94"/>
      <c r="W50" s="81"/>
      <c r="X50" s="85"/>
      <c r="Y50" s="94"/>
      <c r="Z50" s="81"/>
      <c r="AA50" s="85"/>
      <c r="AB50" s="86" t="s">
        <v>805</v>
      </c>
      <c r="AC50" s="77"/>
      <c r="AD50" s="77"/>
      <c r="AE50" s="77"/>
      <c r="AF50" s="78"/>
      <c r="AG50" s="85"/>
      <c r="AH50" s="86" t="s">
        <v>800</v>
      </c>
      <c r="AI50" s="77"/>
      <c r="AJ50" s="78"/>
      <c r="AK50" s="85"/>
      <c r="AL50" s="86" t="s">
        <v>800</v>
      </c>
      <c r="AM50" s="77"/>
      <c r="AN50" s="77"/>
      <c r="AO50" s="78"/>
      <c r="AP50" s="85"/>
      <c r="AQ50" s="94"/>
      <c r="AR50" s="81"/>
      <c r="AS50" s="99"/>
    </row>
    <row r="51" spans="1:45" ht="21" customHeight="1">
      <c r="A51" s="105"/>
      <c r="B51" s="80"/>
      <c r="C51" s="80"/>
      <c r="D51" s="33"/>
      <c r="E51" s="34"/>
      <c r="F51" s="35"/>
      <c r="G51" s="121" t="s">
        <v>434</v>
      </c>
      <c r="H51" s="122" t="s">
        <v>807</v>
      </c>
      <c r="I51" s="123" t="s">
        <v>93</v>
      </c>
      <c r="J51" s="33"/>
      <c r="K51" s="34"/>
      <c r="L51" s="35"/>
      <c r="M51" s="33"/>
      <c r="N51" s="34"/>
      <c r="O51" s="35"/>
      <c r="P51" s="33"/>
      <c r="Q51" s="34"/>
      <c r="R51" s="35"/>
      <c r="S51" s="33"/>
      <c r="T51" s="34"/>
      <c r="U51" s="35"/>
      <c r="V51" s="33"/>
      <c r="W51" s="34"/>
      <c r="X51" s="35"/>
      <c r="Y51" s="33"/>
      <c r="Z51" s="34"/>
      <c r="AA51" s="35"/>
      <c r="AB51" s="36" t="s">
        <v>808</v>
      </c>
      <c r="AC51" s="37" t="s">
        <v>809</v>
      </c>
      <c r="AD51" s="37" t="s">
        <v>537</v>
      </c>
      <c r="AE51" s="37" t="s">
        <v>528</v>
      </c>
      <c r="AF51" s="37" t="s">
        <v>528</v>
      </c>
      <c r="AG51" s="87" t="s">
        <v>79</v>
      </c>
      <c r="AH51" s="33"/>
      <c r="AI51" s="34"/>
      <c r="AJ51" s="34"/>
      <c r="AK51" s="35"/>
      <c r="AL51" s="33"/>
      <c r="AM51" s="34"/>
      <c r="AN51" s="34"/>
      <c r="AO51" s="34"/>
      <c r="AP51" s="35"/>
      <c r="AQ51" s="33"/>
      <c r="AR51" s="34"/>
      <c r="AS51" s="38"/>
    </row>
    <row r="52" spans="1:45" ht="12.75" customHeight="1">
      <c r="A52" s="106"/>
      <c r="B52" s="108"/>
      <c r="C52" s="108"/>
      <c r="D52" s="39"/>
      <c r="E52" s="40"/>
      <c r="F52" s="41"/>
      <c r="G52" s="103"/>
      <c r="H52" s="108"/>
      <c r="I52" s="88"/>
      <c r="J52" s="39"/>
      <c r="K52" s="40"/>
      <c r="L52" s="41"/>
      <c r="M52" s="39"/>
      <c r="N52" s="40"/>
      <c r="O52" s="41"/>
      <c r="P52" s="39"/>
      <c r="Q52" s="40"/>
      <c r="R52" s="41"/>
      <c r="S52" s="39"/>
      <c r="T52" s="40"/>
      <c r="U52" s="41"/>
      <c r="V52" s="39"/>
      <c r="W52" s="40"/>
      <c r="X52" s="41"/>
      <c r="Y52" s="39"/>
      <c r="Z52" s="40"/>
      <c r="AA52" s="41"/>
      <c r="AB52" s="89" t="s">
        <v>810</v>
      </c>
      <c r="AC52" s="90"/>
      <c r="AD52" s="90"/>
      <c r="AE52" s="90"/>
      <c r="AF52" s="91"/>
      <c r="AG52" s="88"/>
      <c r="AH52" s="39"/>
      <c r="AI52" s="40"/>
      <c r="AJ52" s="40"/>
      <c r="AK52" s="41"/>
      <c r="AL52" s="39"/>
      <c r="AM52" s="40"/>
      <c r="AN52" s="40"/>
      <c r="AO52" s="40"/>
      <c r="AP52" s="41"/>
      <c r="AQ52" s="39"/>
      <c r="AR52" s="40"/>
      <c r="AS52" s="42"/>
    </row>
    <row r="53" spans="1:45" ht="21" customHeight="1">
      <c r="A53" s="104" t="s">
        <v>283</v>
      </c>
      <c r="B53" s="107" t="s">
        <v>285</v>
      </c>
      <c r="C53" s="111" t="s">
        <v>642</v>
      </c>
      <c r="D53" s="93" t="s">
        <v>428</v>
      </c>
      <c r="E53" s="92" t="str">
        <f t="array" ref="E53">IFERROR(INDEX('iCoA Register'!$B:$B,MATCH("P060142|I",'iCoA Register'!$P:$P,0)),"iCoA — at issue")&amp;", (23.02.2026) [PP]"</f>
        <v>iCoA-PP_26-047, (23.02.2026) [PP]</v>
      </c>
      <c r="F53" s="84" t="s">
        <v>79</v>
      </c>
      <c r="G53" s="93" t="s">
        <v>428</v>
      </c>
      <c r="H53" s="92" t="str">
        <f t="array" ref="H53">IFERROR(INDEX('iCoA Register'!$B:$B,MATCH("P060142|I",'iCoA Register'!$P:$P,0)),"iCoA — at issue")&amp;", (23.02.2026) [PP]"</f>
        <v>iCoA-PP_26-047, (23.02.2026) [PP]</v>
      </c>
      <c r="I53" s="84" t="s">
        <v>79</v>
      </c>
      <c r="J53" s="95" t="s">
        <v>434</v>
      </c>
      <c r="K53" s="96" t="s">
        <v>814</v>
      </c>
      <c r="L53" s="97" t="s">
        <v>93</v>
      </c>
      <c r="M53" s="125" t="s">
        <v>434</v>
      </c>
      <c r="N53" s="96" t="s">
        <v>814</v>
      </c>
      <c r="O53" s="97" t="s">
        <v>93</v>
      </c>
      <c r="P53" s="126" t="s">
        <v>434</v>
      </c>
      <c r="Q53" s="96" t="s">
        <v>814</v>
      </c>
      <c r="R53" s="97" t="s">
        <v>93</v>
      </c>
      <c r="S53" s="126" t="s">
        <v>434</v>
      </c>
      <c r="T53" s="96" t="s">
        <v>814</v>
      </c>
      <c r="U53" s="97" t="s">
        <v>93</v>
      </c>
      <c r="V53" s="93" t="s">
        <v>428</v>
      </c>
      <c r="W53" s="92" t="str">
        <f t="array" ref="W53">IFERROR(INDEX('iCoA Register'!$B:$B,MATCH("P060142|I",'iCoA Register'!$P:$P,0)),"iCoA — at issue")&amp;", (23.02.2026) [PP]"</f>
        <v>iCoA-PP_26-047, (23.02.2026) [PP]</v>
      </c>
      <c r="X53" s="84" t="s">
        <v>79</v>
      </c>
      <c r="Y53" s="93" t="s">
        <v>647</v>
      </c>
      <c r="Z53" s="92" t="s">
        <v>648</v>
      </c>
      <c r="AA53" s="84" t="s">
        <v>79</v>
      </c>
      <c r="AB53" s="31" t="s">
        <v>585</v>
      </c>
      <c r="AC53" s="32" t="s">
        <v>561</v>
      </c>
      <c r="AD53" s="32" t="s">
        <v>561</v>
      </c>
      <c r="AE53" s="32" t="s">
        <v>528</v>
      </c>
      <c r="AF53" s="32" t="s">
        <v>528</v>
      </c>
      <c r="AG53" s="84" t="s">
        <v>79</v>
      </c>
      <c r="AH53" s="43" t="s">
        <v>531</v>
      </c>
      <c r="AI53" s="44" t="s">
        <v>531</v>
      </c>
      <c r="AJ53" s="44" t="s">
        <v>531</v>
      </c>
      <c r="AK53" s="112" t="s">
        <v>198</v>
      </c>
      <c r="AL53" s="43" t="s">
        <v>531</v>
      </c>
      <c r="AM53" s="44" t="s">
        <v>531</v>
      </c>
      <c r="AN53" s="44" t="s">
        <v>531</v>
      </c>
      <c r="AO53" s="44" t="s">
        <v>531</v>
      </c>
      <c r="AP53" s="112" t="s">
        <v>198</v>
      </c>
      <c r="AQ53" s="113" t="s">
        <v>531</v>
      </c>
      <c r="AR53" s="114" t="s">
        <v>547</v>
      </c>
      <c r="AS53" s="115" t="s">
        <v>198</v>
      </c>
    </row>
    <row r="54" spans="1:45" ht="21" customHeight="1">
      <c r="A54" s="105"/>
      <c r="B54" s="80"/>
      <c r="C54" s="80"/>
      <c r="D54" s="94"/>
      <c r="E54" s="81"/>
      <c r="F54" s="85"/>
      <c r="G54" s="94"/>
      <c r="H54" s="81"/>
      <c r="I54" s="85"/>
      <c r="J54" s="94"/>
      <c r="K54" s="81"/>
      <c r="L54" s="85"/>
      <c r="M54" s="94"/>
      <c r="N54" s="81"/>
      <c r="O54" s="85"/>
      <c r="P54" s="94"/>
      <c r="Q54" s="81"/>
      <c r="R54" s="85"/>
      <c r="S54" s="94"/>
      <c r="T54" s="81"/>
      <c r="U54" s="85"/>
      <c r="V54" s="94"/>
      <c r="W54" s="81"/>
      <c r="X54" s="85"/>
      <c r="Y54" s="94"/>
      <c r="Z54" s="81"/>
      <c r="AA54" s="85"/>
      <c r="AB54" s="86" t="s">
        <v>660</v>
      </c>
      <c r="AC54" s="77"/>
      <c r="AD54" s="77"/>
      <c r="AE54" s="77"/>
      <c r="AF54" s="78"/>
      <c r="AG54" s="85"/>
      <c r="AH54" s="119" t="s">
        <v>547</v>
      </c>
      <c r="AI54" s="77"/>
      <c r="AJ54" s="78"/>
      <c r="AK54" s="85"/>
      <c r="AL54" s="119" t="s">
        <v>547</v>
      </c>
      <c r="AM54" s="77"/>
      <c r="AN54" s="77"/>
      <c r="AO54" s="78"/>
      <c r="AP54" s="85"/>
      <c r="AQ54" s="94"/>
      <c r="AR54" s="81"/>
      <c r="AS54" s="99"/>
    </row>
    <row r="55" spans="1:45" ht="17.25" customHeight="1">
      <c r="A55" s="105"/>
      <c r="B55" s="80"/>
      <c r="C55" s="80"/>
      <c r="D55" s="102" t="s">
        <v>428</v>
      </c>
      <c r="E55" s="110" t="str">
        <f t="array" ref="E55">IFERROR(INDEX('iCoA Register'!$B:$B,MATCH("P060182|I",'iCoA Register'!$P:$P,0)),"iCoA — at issue")&amp;", (14.03.2026) [PP]"</f>
        <v>iCoA-PP_26-051, (14.03.2026) [PP]</v>
      </c>
      <c r="F55" s="87" t="s">
        <v>79</v>
      </c>
      <c r="G55" s="102" t="s">
        <v>428</v>
      </c>
      <c r="H55" s="110" t="str">
        <f t="array" ref="H55">IFERROR(INDEX('iCoA Register'!$B:$B,MATCH("P060182|I",'iCoA Register'!$P:$P,0)),"iCoA — at issue")&amp;", (14.03.2026) [PP]"</f>
        <v>iCoA-PP_26-051, (14.03.2026) [PP]</v>
      </c>
      <c r="I55" s="87" t="s">
        <v>79</v>
      </c>
      <c r="J55" s="102" t="s">
        <v>463</v>
      </c>
      <c r="K55" s="110" t="s">
        <v>845</v>
      </c>
      <c r="L55" s="87" t="s">
        <v>79</v>
      </c>
      <c r="M55" s="124" t="s">
        <v>846</v>
      </c>
      <c r="N55" s="110" t="s">
        <v>845</v>
      </c>
      <c r="O55" s="87" t="s">
        <v>79</v>
      </c>
      <c r="P55" s="120" t="s">
        <v>849</v>
      </c>
      <c r="Q55" s="110" t="s">
        <v>845</v>
      </c>
      <c r="R55" s="87" t="s">
        <v>79</v>
      </c>
      <c r="S55" s="120" t="s">
        <v>849</v>
      </c>
      <c r="T55" s="110" t="s">
        <v>845</v>
      </c>
      <c r="U55" s="87" t="s">
        <v>79</v>
      </c>
      <c r="V55" s="102" t="s">
        <v>428</v>
      </c>
      <c r="W55" s="110" t="str">
        <f t="array" ref="W55">IFERROR(INDEX('iCoA Register'!$B:$B,MATCH("P060182|I",'iCoA Register'!$P:$P,0)),"iCoA — at issue")&amp;", (14.03.2026) [PP]"</f>
        <v>iCoA-PP_26-051, (14.03.2026) [PP]</v>
      </c>
      <c r="X55" s="87" t="s">
        <v>79</v>
      </c>
      <c r="Y55" s="121" t="s">
        <v>434</v>
      </c>
      <c r="Z55" s="122" t="s">
        <v>663</v>
      </c>
      <c r="AA55" s="123" t="s">
        <v>93</v>
      </c>
      <c r="AB55" s="33"/>
      <c r="AC55" s="34"/>
      <c r="AD55" s="34"/>
      <c r="AE55" s="34"/>
      <c r="AF55" s="34"/>
      <c r="AG55" s="35"/>
      <c r="AH55" s="33"/>
      <c r="AI55" s="34"/>
      <c r="AJ55" s="34"/>
      <c r="AK55" s="35"/>
      <c r="AL55" s="33"/>
      <c r="AM55" s="34"/>
      <c r="AN55" s="34"/>
      <c r="AO55" s="34"/>
      <c r="AP55" s="35"/>
      <c r="AQ55" s="33"/>
      <c r="AR55" s="34"/>
      <c r="AS55" s="38"/>
    </row>
    <row r="56" spans="1:45" ht="15" customHeight="1">
      <c r="A56" s="106"/>
      <c r="B56" s="108"/>
      <c r="C56" s="108"/>
      <c r="D56" s="103"/>
      <c r="E56" s="108"/>
      <c r="F56" s="88"/>
      <c r="G56" s="103"/>
      <c r="H56" s="108"/>
      <c r="I56" s="88"/>
      <c r="J56" s="103"/>
      <c r="K56" s="108"/>
      <c r="L56" s="88"/>
      <c r="M56" s="103"/>
      <c r="N56" s="108"/>
      <c r="O56" s="88"/>
      <c r="P56" s="103"/>
      <c r="Q56" s="108"/>
      <c r="R56" s="88"/>
      <c r="S56" s="103"/>
      <c r="T56" s="108"/>
      <c r="U56" s="88"/>
      <c r="V56" s="103"/>
      <c r="W56" s="108"/>
      <c r="X56" s="88"/>
      <c r="Y56" s="103"/>
      <c r="Z56" s="108"/>
      <c r="AA56" s="88"/>
      <c r="AB56" s="39"/>
      <c r="AC56" s="40"/>
      <c r="AD56" s="40"/>
      <c r="AE56" s="40"/>
      <c r="AF56" s="40"/>
      <c r="AG56" s="41"/>
      <c r="AH56" s="39"/>
      <c r="AI56" s="40"/>
      <c r="AJ56" s="40"/>
      <c r="AK56" s="41"/>
      <c r="AL56" s="39"/>
      <c r="AM56" s="40"/>
      <c r="AN56" s="40"/>
      <c r="AO56" s="40"/>
      <c r="AP56" s="41"/>
      <c r="AQ56" s="39"/>
      <c r="AR56" s="40"/>
      <c r="AS56" s="42"/>
    </row>
    <row r="57" spans="1:45" ht="21" customHeight="1">
      <c r="A57" s="104" t="s">
        <v>260</v>
      </c>
      <c r="B57" s="107" t="s">
        <v>425</v>
      </c>
      <c r="C57" s="118" t="s">
        <v>681</v>
      </c>
      <c r="D57" s="93" t="s">
        <v>428</v>
      </c>
      <c r="E57" s="92" t="str">
        <f t="array" ref="E57">IFERROR(INDEX('iCoA Register'!$B:$B,MATCH("HPA1024|I",'iCoA Register'!$P:$P,0)),"iCoA — at issue")&amp;", (11.04.2025) [PP]"</f>
        <v>iCoA-PP_26-005, (11.04.2025) [PP]</v>
      </c>
      <c r="F57" s="84" t="s">
        <v>79</v>
      </c>
      <c r="G57" s="93" t="s">
        <v>428</v>
      </c>
      <c r="H57" s="92" t="str">
        <f t="array" ref="H57">IFERROR(INDEX('iCoA Register'!$B:$B,MATCH("HPA1024|I",'iCoA Register'!$P:$P,0)),"iCoA — at issue")&amp;", (11.04.2025) [PP]"</f>
        <v>iCoA-PP_26-005, (11.04.2025) [PP]</v>
      </c>
      <c r="I57" s="84" t="s">
        <v>79</v>
      </c>
      <c r="J57" s="93" t="s">
        <v>463</v>
      </c>
      <c r="K57" s="92" t="s">
        <v>860</v>
      </c>
      <c r="L57" s="84" t="s">
        <v>79</v>
      </c>
      <c r="M57" s="101" t="s">
        <v>861</v>
      </c>
      <c r="N57" s="92" t="s">
        <v>860</v>
      </c>
      <c r="O57" s="84" t="s">
        <v>79</v>
      </c>
      <c r="P57" s="100" t="s">
        <v>705</v>
      </c>
      <c r="Q57" s="92" t="s">
        <v>860</v>
      </c>
      <c r="R57" s="84" t="s">
        <v>79</v>
      </c>
      <c r="S57" s="100" t="s">
        <v>865</v>
      </c>
      <c r="T57" s="92" t="s">
        <v>860</v>
      </c>
      <c r="U57" s="84" t="s">
        <v>79</v>
      </c>
      <c r="V57" s="93" t="s">
        <v>428</v>
      </c>
      <c r="W57" s="92" t="str">
        <f t="array" ref="W57">IFERROR(INDEX('iCoA Register'!$B:$B,MATCH("HPA1024|I",'iCoA Register'!$P:$P,0)),"iCoA — at issue")&amp;", (11.04.2025) [PP]"</f>
        <v>iCoA-PP_26-005, (11.04.2025) [PP]</v>
      </c>
      <c r="X57" s="84" t="s">
        <v>79</v>
      </c>
      <c r="Y57" s="95" t="s">
        <v>434</v>
      </c>
      <c r="Z57" s="96" t="s">
        <v>697</v>
      </c>
      <c r="AA57" s="97" t="s">
        <v>93</v>
      </c>
      <c r="AB57" s="43" t="s">
        <v>531</v>
      </c>
      <c r="AC57" s="44" t="s">
        <v>531</v>
      </c>
      <c r="AD57" s="44" t="s">
        <v>531</v>
      </c>
      <c r="AE57" s="44" t="s">
        <v>531</v>
      </c>
      <c r="AF57" s="44" t="s">
        <v>531</v>
      </c>
      <c r="AG57" s="112" t="s">
        <v>198</v>
      </c>
      <c r="AH57" s="31" t="s">
        <v>472</v>
      </c>
      <c r="AI57" s="32" t="s">
        <v>473</v>
      </c>
      <c r="AJ57" s="32" t="s">
        <v>705</v>
      </c>
      <c r="AK57" s="84" t="s">
        <v>79</v>
      </c>
      <c r="AL57" s="43" t="s">
        <v>531</v>
      </c>
      <c r="AM57" s="44" t="s">
        <v>531</v>
      </c>
      <c r="AN57" s="44" t="s">
        <v>531</v>
      </c>
      <c r="AO57" s="44" t="s">
        <v>531</v>
      </c>
      <c r="AP57" s="112" t="s">
        <v>198</v>
      </c>
      <c r="AQ57" s="113" t="s">
        <v>531</v>
      </c>
      <c r="AR57" s="114" t="s">
        <v>547</v>
      </c>
      <c r="AS57" s="115" t="s">
        <v>198</v>
      </c>
    </row>
    <row r="58" spans="1:45" ht="15" customHeight="1">
      <c r="A58" s="105"/>
      <c r="B58" s="80"/>
      <c r="C58" s="80"/>
      <c r="D58" s="94"/>
      <c r="E58" s="81"/>
      <c r="F58" s="85"/>
      <c r="G58" s="94"/>
      <c r="H58" s="81"/>
      <c r="I58" s="85"/>
      <c r="J58" s="94"/>
      <c r="K58" s="81"/>
      <c r="L58" s="85"/>
      <c r="M58" s="94"/>
      <c r="N58" s="81"/>
      <c r="O58" s="85"/>
      <c r="P58" s="94"/>
      <c r="Q58" s="81"/>
      <c r="R58" s="85"/>
      <c r="S58" s="94"/>
      <c r="T58" s="81"/>
      <c r="U58" s="85"/>
      <c r="V58" s="94"/>
      <c r="W58" s="81"/>
      <c r="X58" s="85"/>
      <c r="Y58" s="94"/>
      <c r="Z58" s="81"/>
      <c r="AA58" s="85"/>
      <c r="AB58" s="119" t="s">
        <v>547</v>
      </c>
      <c r="AC58" s="77"/>
      <c r="AD58" s="77"/>
      <c r="AE58" s="77"/>
      <c r="AF58" s="78"/>
      <c r="AG58" s="85"/>
      <c r="AH58" s="86" t="s">
        <v>718</v>
      </c>
      <c r="AI58" s="77"/>
      <c r="AJ58" s="78"/>
      <c r="AK58" s="85"/>
      <c r="AL58" s="119" t="s">
        <v>547</v>
      </c>
      <c r="AM58" s="77"/>
      <c r="AN58" s="77"/>
      <c r="AO58" s="78"/>
      <c r="AP58" s="85"/>
      <c r="AQ58" s="94"/>
      <c r="AR58" s="81"/>
      <c r="AS58" s="99"/>
    </row>
    <row r="59" spans="1:45" ht="13.5" customHeight="1">
      <c r="A59" s="105"/>
      <c r="B59" s="80"/>
      <c r="C59" s="80"/>
      <c r="D59" s="102" t="s">
        <v>632</v>
      </c>
      <c r="E59" s="110" t="s">
        <v>638</v>
      </c>
      <c r="F59" s="87" t="s">
        <v>79</v>
      </c>
      <c r="G59" s="33"/>
      <c r="H59" s="34"/>
      <c r="I59" s="35"/>
      <c r="J59" s="33"/>
      <c r="K59" s="34"/>
      <c r="L59" s="35"/>
      <c r="M59" s="33"/>
      <c r="N59" s="34"/>
      <c r="O59" s="35"/>
      <c r="P59" s="33"/>
      <c r="Q59" s="34"/>
      <c r="R59" s="35"/>
      <c r="S59" s="33"/>
      <c r="T59" s="34"/>
      <c r="U59" s="35"/>
      <c r="V59" s="102" t="s">
        <v>632</v>
      </c>
      <c r="W59" s="110" t="s">
        <v>638</v>
      </c>
      <c r="X59" s="87" t="s">
        <v>79</v>
      </c>
      <c r="Y59" s="33"/>
      <c r="Z59" s="34"/>
      <c r="AA59" s="35"/>
      <c r="AB59" s="33"/>
      <c r="AC59" s="34"/>
      <c r="AD59" s="34"/>
      <c r="AE59" s="34"/>
      <c r="AF59" s="34"/>
      <c r="AG59" s="35"/>
      <c r="AH59" s="33"/>
      <c r="AI59" s="34"/>
      <c r="AJ59" s="34"/>
      <c r="AK59" s="35"/>
      <c r="AL59" s="33"/>
      <c r="AM59" s="34"/>
      <c r="AN59" s="34"/>
      <c r="AO59" s="34"/>
      <c r="AP59" s="35"/>
      <c r="AQ59" s="33"/>
      <c r="AR59" s="34"/>
      <c r="AS59" s="38"/>
    </row>
    <row r="60" spans="1:45" ht="12.75" customHeight="1">
      <c r="A60" s="106"/>
      <c r="B60" s="108"/>
      <c r="C60" s="108"/>
      <c r="D60" s="103"/>
      <c r="E60" s="108"/>
      <c r="F60" s="88"/>
      <c r="G60" s="39"/>
      <c r="H60" s="40"/>
      <c r="I60" s="41"/>
      <c r="J60" s="39"/>
      <c r="K60" s="40"/>
      <c r="L60" s="41"/>
      <c r="M60" s="39"/>
      <c r="N60" s="40"/>
      <c r="O60" s="41"/>
      <c r="P60" s="39"/>
      <c r="Q60" s="40"/>
      <c r="R60" s="41"/>
      <c r="S60" s="39"/>
      <c r="T60" s="40"/>
      <c r="U60" s="41"/>
      <c r="V60" s="103"/>
      <c r="W60" s="108"/>
      <c r="X60" s="88"/>
      <c r="Y60" s="39"/>
      <c r="Z60" s="40"/>
      <c r="AA60" s="41"/>
      <c r="AB60" s="39"/>
      <c r="AC60" s="40"/>
      <c r="AD60" s="40"/>
      <c r="AE60" s="40"/>
      <c r="AF60" s="40"/>
      <c r="AG60" s="41"/>
      <c r="AH60" s="39"/>
      <c r="AI60" s="40"/>
      <c r="AJ60" s="40"/>
      <c r="AK60" s="41"/>
      <c r="AL60" s="39"/>
      <c r="AM60" s="40"/>
      <c r="AN60" s="40"/>
      <c r="AO60" s="40"/>
      <c r="AP60" s="41"/>
      <c r="AQ60" s="39"/>
      <c r="AR60" s="40"/>
      <c r="AS60" s="42"/>
    </row>
    <row r="61" spans="1:45" ht="21" customHeight="1">
      <c r="A61" s="104" t="s">
        <v>276</v>
      </c>
      <c r="B61" s="107" t="s">
        <v>279</v>
      </c>
      <c r="C61" s="111" t="s">
        <v>729</v>
      </c>
      <c r="D61" s="93" t="s">
        <v>428</v>
      </c>
      <c r="E61" s="92" t="str">
        <f t="array" ref="E61">IFERROR(INDEX('iCoA Register'!$B:$B,MATCH("P060152|I",'iCoA Register'!$P:$P,0)),"iCoA — at issue")&amp;", (05.03.2026) [PP]"</f>
        <v>iCoA-PP_26-048, (05.03.2026) [PP]</v>
      </c>
      <c r="F61" s="84" t="s">
        <v>79</v>
      </c>
      <c r="G61" s="93" t="s">
        <v>428</v>
      </c>
      <c r="H61" s="92" t="str">
        <f t="array" ref="H61">IFERROR(INDEX('iCoA Register'!$B:$B,MATCH("P060152|I",'iCoA Register'!$P:$P,0)),"iCoA — at issue")&amp;", (05.03.2026) [PP]"</f>
        <v>iCoA-PP_26-048, (05.03.2026) [PP]</v>
      </c>
      <c r="I61" s="84" t="s">
        <v>79</v>
      </c>
      <c r="J61" s="95" t="s">
        <v>434</v>
      </c>
      <c r="K61" s="96" t="s">
        <v>892</v>
      </c>
      <c r="L61" s="97" t="s">
        <v>93</v>
      </c>
      <c r="M61" s="125" t="s">
        <v>434</v>
      </c>
      <c r="N61" s="96" t="s">
        <v>892</v>
      </c>
      <c r="O61" s="97" t="s">
        <v>93</v>
      </c>
      <c r="P61" s="126" t="s">
        <v>434</v>
      </c>
      <c r="Q61" s="96" t="s">
        <v>892</v>
      </c>
      <c r="R61" s="97" t="s">
        <v>93</v>
      </c>
      <c r="S61" s="126" t="s">
        <v>434</v>
      </c>
      <c r="T61" s="96" t="s">
        <v>892</v>
      </c>
      <c r="U61" s="97" t="s">
        <v>93</v>
      </c>
      <c r="V61" s="93" t="s">
        <v>428</v>
      </c>
      <c r="W61" s="92" t="str">
        <f t="array" ref="W61">IFERROR(INDEX('iCoA Register'!$B:$B,MATCH("P060152|I",'iCoA Register'!$P:$P,0)),"iCoA — at issue")&amp;", (05.03.2026) [PP]"</f>
        <v>iCoA-PP_26-048, (05.03.2026) [PP]</v>
      </c>
      <c r="X61" s="84" t="s">
        <v>79</v>
      </c>
      <c r="Y61" s="93" t="s">
        <v>732</v>
      </c>
      <c r="Z61" s="92" t="s">
        <v>733</v>
      </c>
      <c r="AA61" s="84" t="s">
        <v>79</v>
      </c>
      <c r="AB61" s="43" t="s">
        <v>531</v>
      </c>
      <c r="AC61" s="44" t="s">
        <v>531</v>
      </c>
      <c r="AD61" s="44" t="s">
        <v>531</v>
      </c>
      <c r="AE61" s="44" t="s">
        <v>531</v>
      </c>
      <c r="AF61" s="44" t="s">
        <v>531</v>
      </c>
      <c r="AG61" s="112" t="s">
        <v>198</v>
      </c>
      <c r="AH61" s="31" t="s">
        <v>472</v>
      </c>
      <c r="AI61" s="32" t="s">
        <v>473</v>
      </c>
      <c r="AJ61" s="32" t="s">
        <v>472</v>
      </c>
      <c r="AK61" s="84" t="s">
        <v>79</v>
      </c>
      <c r="AL61" s="43" t="s">
        <v>531</v>
      </c>
      <c r="AM61" s="44" t="s">
        <v>531</v>
      </c>
      <c r="AN61" s="44" t="s">
        <v>531</v>
      </c>
      <c r="AO61" s="44" t="s">
        <v>531</v>
      </c>
      <c r="AP61" s="112" t="s">
        <v>198</v>
      </c>
      <c r="AQ61" s="113" t="s">
        <v>531</v>
      </c>
      <c r="AR61" s="114" t="s">
        <v>547</v>
      </c>
      <c r="AS61" s="115" t="s">
        <v>198</v>
      </c>
    </row>
    <row r="62" spans="1:45" ht="21" customHeight="1">
      <c r="A62" s="105"/>
      <c r="B62" s="80"/>
      <c r="C62" s="80"/>
      <c r="D62" s="94"/>
      <c r="E62" s="81"/>
      <c r="F62" s="85"/>
      <c r="G62" s="94"/>
      <c r="H62" s="81"/>
      <c r="I62" s="85"/>
      <c r="J62" s="94"/>
      <c r="K62" s="81"/>
      <c r="L62" s="85"/>
      <c r="M62" s="94"/>
      <c r="N62" s="81"/>
      <c r="O62" s="85"/>
      <c r="P62" s="94"/>
      <c r="Q62" s="81"/>
      <c r="R62" s="85"/>
      <c r="S62" s="94"/>
      <c r="T62" s="81"/>
      <c r="U62" s="85"/>
      <c r="V62" s="94"/>
      <c r="W62" s="81"/>
      <c r="X62" s="85"/>
      <c r="Y62" s="94"/>
      <c r="Z62" s="81"/>
      <c r="AA62" s="85"/>
      <c r="AB62" s="119" t="s">
        <v>547</v>
      </c>
      <c r="AC62" s="77"/>
      <c r="AD62" s="77"/>
      <c r="AE62" s="77"/>
      <c r="AF62" s="78"/>
      <c r="AG62" s="85"/>
      <c r="AH62" s="86" t="s">
        <v>736</v>
      </c>
      <c r="AI62" s="77"/>
      <c r="AJ62" s="78"/>
      <c r="AK62" s="85"/>
      <c r="AL62" s="119" t="s">
        <v>547</v>
      </c>
      <c r="AM62" s="77"/>
      <c r="AN62" s="77"/>
      <c r="AO62" s="78"/>
      <c r="AP62" s="85"/>
      <c r="AQ62" s="94"/>
      <c r="AR62" s="81"/>
      <c r="AS62" s="99"/>
    </row>
    <row r="63" spans="1:45" ht="17.25" customHeight="1">
      <c r="A63" s="105"/>
      <c r="B63" s="80"/>
      <c r="C63" s="80"/>
      <c r="D63" s="33"/>
      <c r="E63" s="34"/>
      <c r="F63" s="35"/>
      <c r="G63" s="33"/>
      <c r="H63" s="34"/>
      <c r="I63" s="35"/>
      <c r="J63" s="102" t="s">
        <v>463</v>
      </c>
      <c r="K63" s="110" t="s">
        <v>905</v>
      </c>
      <c r="L63" s="87" t="s">
        <v>79</v>
      </c>
      <c r="M63" s="124" t="s">
        <v>906</v>
      </c>
      <c r="N63" s="110" t="s">
        <v>905</v>
      </c>
      <c r="O63" s="87" t="s">
        <v>79</v>
      </c>
      <c r="P63" s="120" t="s">
        <v>849</v>
      </c>
      <c r="Q63" s="110" t="s">
        <v>905</v>
      </c>
      <c r="R63" s="87" t="s">
        <v>79</v>
      </c>
      <c r="S63" s="120" t="s">
        <v>849</v>
      </c>
      <c r="T63" s="110" t="s">
        <v>905</v>
      </c>
      <c r="U63" s="87" t="s">
        <v>79</v>
      </c>
      <c r="V63" s="33"/>
      <c r="W63" s="34"/>
      <c r="X63" s="35"/>
      <c r="Y63" s="121" t="s">
        <v>434</v>
      </c>
      <c r="Z63" s="122" t="s">
        <v>737</v>
      </c>
      <c r="AA63" s="123" t="s">
        <v>93</v>
      </c>
      <c r="AB63" s="33"/>
      <c r="AC63" s="34"/>
      <c r="AD63" s="34"/>
      <c r="AE63" s="34"/>
      <c r="AF63" s="34"/>
      <c r="AG63" s="35"/>
      <c r="AH63" s="33"/>
      <c r="AI63" s="34"/>
      <c r="AJ63" s="34"/>
      <c r="AK63" s="35"/>
      <c r="AL63" s="33"/>
      <c r="AM63" s="34"/>
      <c r="AN63" s="34"/>
      <c r="AO63" s="34"/>
      <c r="AP63" s="35"/>
      <c r="AQ63" s="33"/>
      <c r="AR63" s="34"/>
      <c r="AS63" s="38"/>
    </row>
    <row r="64" spans="1:45" ht="15" customHeight="1">
      <c r="A64" s="105"/>
      <c r="B64" s="80"/>
      <c r="C64" s="80"/>
      <c r="D64" s="49"/>
      <c r="E64" s="50"/>
      <c r="F64" s="51"/>
      <c r="G64" s="49"/>
      <c r="H64" s="50"/>
      <c r="I64" s="51"/>
      <c r="J64" s="133"/>
      <c r="K64" s="130"/>
      <c r="L64" s="131"/>
      <c r="M64" s="133"/>
      <c r="N64" s="130"/>
      <c r="O64" s="131"/>
      <c r="P64" s="133"/>
      <c r="Q64" s="130"/>
      <c r="R64" s="131"/>
      <c r="S64" s="133"/>
      <c r="T64" s="130"/>
      <c r="U64" s="131"/>
      <c r="V64" s="49"/>
      <c r="W64" s="50"/>
      <c r="X64" s="51"/>
      <c r="Y64" s="133"/>
      <c r="Z64" s="130"/>
      <c r="AA64" s="131"/>
      <c r="AB64" s="49"/>
      <c r="AC64" s="50"/>
      <c r="AD64" s="50"/>
      <c r="AE64" s="50"/>
      <c r="AF64" s="50"/>
      <c r="AG64" s="51"/>
      <c r="AH64" s="49"/>
      <c r="AI64" s="50"/>
      <c r="AJ64" s="50"/>
      <c r="AK64" s="51"/>
      <c r="AL64" s="49"/>
      <c r="AM64" s="50"/>
      <c r="AN64" s="50"/>
      <c r="AO64" s="50"/>
      <c r="AP64" s="51"/>
      <c r="AQ64" s="49"/>
      <c r="AR64" s="50"/>
      <c r="AS64" s="52"/>
    </row>
    <row r="65" spans="1:45" ht="17.25" customHeight="1">
      <c r="A65" s="105"/>
      <c r="B65" s="80"/>
      <c r="C65" s="80"/>
      <c r="D65" s="33"/>
      <c r="E65" s="34"/>
      <c r="F65" s="35"/>
      <c r="G65" s="33"/>
      <c r="H65" s="34"/>
      <c r="I65" s="35"/>
      <c r="J65" s="102" t="s">
        <v>95</v>
      </c>
      <c r="K65" s="110" t="s">
        <v>916</v>
      </c>
      <c r="L65" s="87" t="s">
        <v>79</v>
      </c>
      <c r="M65" s="124" t="s">
        <v>917</v>
      </c>
      <c r="N65" s="110" t="s">
        <v>916</v>
      </c>
      <c r="O65" s="87" t="s">
        <v>79</v>
      </c>
      <c r="P65" s="120" t="s">
        <v>705</v>
      </c>
      <c r="Q65" s="110" t="s">
        <v>916</v>
      </c>
      <c r="R65" s="87" t="s">
        <v>79</v>
      </c>
      <c r="S65" s="120" t="s">
        <v>705</v>
      </c>
      <c r="T65" s="110" t="s">
        <v>916</v>
      </c>
      <c r="U65" s="87" t="s">
        <v>79</v>
      </c>
      <c r="V65" s="33"/>
      <c r="W65" s="34"/>
      <c r="X65" s="35"/>
      <c r="Y65" s="121" t="s">
        <v>434</v>
      </c>
      <c r="Z65" s="122" t="s">
        <v>748</v>
      </c>
      <c r="AA65" s="123" t="s">
        <v>93</v>
      </c>
      <c r="AB65" s="33"/>
      <c r="AC65" s="34"/>
      <c r="AD65" s="34"/>
      <c r="AE65" s="34"/>
      <c r="AF65" s="34"/>
      <c r="AG65" s="35"/>
      <c r="AH65" s="33"/>
      <c r="AI65" s="34"/>
      <c r="AJ65" s="34"/>
      <c r="AK65" s="35"/>
      <c r="AL65" s="33"/>
      <c r="AM65" s="34"/>
      <c r="AN65" s="34"/>
      <c r="AO65" s="34"/>
      <c r="AP65" s="35"/>
      <c r="AQ65" s="33"/>
      <c r="AR65" s="34"/>
      <c r="AS65" s="38"/>
    </row>
    <row r="66" spans="1:45" ht="15" customHeight="1">
      <c r="A66" s="106"/>
      <c r="B66" s="108"/>
      <c r="C66" s="108"/>
      <c r="D66" s="39"/>
      <c r="E66" s="40"/>
      <c r="F66" s="41"/>
      <c r="G66" s="39"/>
      <c r="H66" s="40"/>
      <c r="I66" s="41"/>
      <c r="J66" s="103"/>
      <c r="K66" s="108"/>
      <c r="L66" s="88"/>
      <c r="M66" s="103"/>
      <c r="N66" s="108"/>
      <c r="O66" s="88"/>
      <c r="P66" s="103"/>
      <c r="Q66" s="108"/>
      <c r="R66" s="88"/>
      <c r="S66" s="103"/>
      <c r="T66" s="108"/>
      <c r="U66" s="88"/>
      <c r="V66" s="39"/>
      <c r="W66" s="40"/>
      <c r="X66" s="41"/>
      <c r="Y66" s="103"/>
      <c r="Z66" s="108"/>
      <c r="AA66" s="88"/>
      <c r="AB66" s="39"/>
      <c r="AC66" s="40"/>
      <c r="AD66" s="40"/>
      <c r="AE66" s="40"/>
      <c r="AF66" s="40"/>
      <c r="AG66" s="41"/>
      <c r="AH66" s="39"/>
      <c r="AI66" s="40"/>
      <c r="AJ66" s="40"/>
      <c r="AK66" s="41"/>
      <c r="AL66" s="39"/>
      <c r="AM66" s="40"/>
      <c r="AN66" s="40"/>
      <c r="AO66" s="40"/>
      <c r="AP66" s="41"/>
      <c r="AQ66" s="39"/>
      <c r="AR66" s="40"/>
      <c r="AS66" s="42"/>
    </row>
    <row r="67" spans="1:45" ht="21" customHeight="1">
      <c r="A67" s="104" t="s">
        <v>310</v>
      </c>
      <c r="B67" s="107" t="s">
        <v>311</v>
      </c>
      <c r="C67" s="111" t="s">
        <v>761</v>
      </c>
      <c r="D67" s="93" t="s">
        <v>428</v>
      </c>
      <c r="E67" s="92" t="str">
        <f t="array" ref="E67">IFERROR(INDEX('iCoA Register'!$B:$B,MATCH("P060202|I",'iCoA Register'!$P:$P,0)),"iCoA — at issue")&amp;", (17.04.2026) [PP]"</f>
        <v>iCoA-PP_26-053, (17.04.2026) [PP]</v>
      </c>
      <c r="F67" s="84" t="s">
        <v>79</v>
      </c>
      <c r="G67" s="93" t="s">
        <v>428</v>
      </c>
      <c r="H67" s="92" t="str">
        <f t="array" ref="H67">IFERROR(INDEX('iCoA Register'!$B:$B,MATCH("P060202|I",'iCoA Register'!$P:$P,0)),"iCoA — at issue")&amp;", (17.04.2026) [PP]"</f>
        <v>iCoA-PP_26-053, (17.04.2026) [PP]</v>
      </c>
      <c r="I67" s="84" t="s">
        <v>79</v>
      </c>
      <c r="J67" s="95" t="s">
        <v>434</v>
      </c>
      <c r="K67" s="96" t="s">
        <v>929</v>
      </c>
      <c r="L67" s="97" t="s">
        <v>93</v>
      </c>
      <c r="M67" s="125" t="s">
        <v>434</v>
      </c>
      <c r="N67" s="96" t="s">
        <v>929</v>
      </c>
      <c r="O67" s="97" t="s">
        <v>93</v>
      </c>
      <c r="P67" s="126" t="s">
        <v>434</v>
      </c>
      <c r="Q67" s="96" t="s">
        <v>929</v>
      </c>
      <c r="R67" s="97" t="s">
        <v>93</v>
      </c>
      <c r="S67" s="126" t="s">
        <v>434</v>
      </c>
      <c r="T67" s="96" t="s">
        <v>929</v>
      </c>
      <c r="U67" s="97" t="s">
        <v>93</v>
      </c>
      <c r="V67" s="93" t="s">
        <v>428</v>
      </c>
      <c r="W67" s="92" t="str">
        <f t="array" ref="W67">IFERROR(INDEX('iCoA Register'!$B:$B,MATCH("P060202|I",'iCoA Register'!$P:$P,0)),"iCoA — at issue")&amp;", (17.04.2026) [PP]"</f>
        <v>iCoA-PP_26-053, (17.04.2026) [PP]</v>
      </c>
      <c r="X67" s="84" t="s">
        <v>79</v>
      </c>
      <c r="Y67" s="93" t="s">
        <v>767</v>
      </c>
      <c r="Z67" s="92" t="s">
        <v>768</v>
      </c>
      <c r="AA67" s="84" t="s">
        <v>79</v>
      </c>
      <c r="AB67" s="31" t="s">
        <v>770</v>
      </c>
      <c r="AC67" s="32" t="s">
        <v>771</v>
      </c>
      <c r="AD67" s="32" t="s">
        <v>450</v>
      </c>
      <c r="AE67" s="32" t="s">
        <v>528</v>
      </c>
      <c r="AF67" s="32" t="s">
        <v>528</v>
      </c>
      <c r="AG67" s="84" t="s">
        <v>79</v>
      </c>
      <c r="AH67" s="43" t="s">
        <v>531</v>
      </c>
      <c r="AI67" s="44" t="s">
        <v>531</v>
      </c>
      <c r="AJ67" s="44" t="s">
        <v>531</v>
      </c>
      <c r="AK67" s="112" t="s">
        <v>198</v>
      </c>
      <c r="AL67" s="43" t="s">
        <v>531</v>
      </c>
      <c r="AM67" s="44" t="s">
        <v>531</v>
      </c>
      <c r="AN67" s="44" t="s">
        <v>531</v>
      </c>
      <c r="AO67" s="44" t="s">
        <v>531</v>
      </c>
      <c r="AP67" s="112" t="s">
        <v>198</v>
      </c>
      <c r="AQ67" s="113" t="s">
        <v>531</v>
      </c>
      <c r="AR67" s="114" t="s">
        <v>547</v>
      </c>
      <c r="AS67" s="115" t="s">
        <v>198</v>
      </c>
    </row>
    <row r="68" spans="1:45" ht="21" customHeight="1">
      <c r="A68" s="105"/>
      <c r="B68" s="80"/>
      <c r="C68" s="80"/>
      <c r="D68" s="94"/>
      <c r="E68" s="81"/>
      <c r="F68" s="85"/>
      <c r="G68" s="94"/>
      <c r="H68" s="81"/>
      <c r="I68" s="85"/>
      <c r="J68" s="94"/>
      <c r="K68" s="81"/>
      <c r="L68" s="85"/>
      <c r="M68" s="94"/>
      <c r="N68" s="81"/>
      <c r="O68" s="85"/>
      <c r="P68" s="94"/>
      <c r="Q68" s="81"/>
      <c r="R68" s="85"/>
      <c r="S68" s="94"/>
      <c r="T68" s="81"/>
      <c r="U68" s="85"/>
      <c r="V68" s="94"/>
      <c r="W68" s="81"/>
      <c r="X68" s="85"/>
      <c r="Y68" s="94"/>
      <c r="Z68" s="81"/>
      <c r="AA68" s="85"/>
      <c r="AB68" s="86" t="s">
        <v>786</v>
      </c>
      <c r="AC68" s="77"/>
      <c r="AD68" s="77"/>
      <c r="AE68" s="77"/>
      <c r="AF68" s="78"/>
      <c r="AG68" s="85"/>
      <c r="AH68" s="119" t="s">
        <v>547</v>
      </c>
      <c r="AI68" s="77"/>
      <c r="AJ68" s="78"/>
      <c r="AK68" s="85"/>
      <c r="AL68" s="119" t="s">
        <v>547</v>
      </c>
      <c r="AM68" s="77"/>
      <c r="AN68" s="77"/>
      <c r="AO68" s="78"/>
      <c r="AP68" s="85"/>
      <c r="AQ68" s="94"/>
      <c r="AR68" s="81"/>
      <c r="AS68" s="99"/>
    </row>
    <row r="69" spans="1:45" ht="17.25" customHeight="1">
      <c r="A69" s="105"/>
      <c r="B69" s="80"/>
      <c r="C69" s="80"/>
      <c r="D69" s="33"/>
      <c r="E69" s="34"/>
      <c r="F69" s="35"/>
      <c r="G69" s="33"/>
      <c r="H69" s="34"/>
      <c r="I69" s="35"/>
      <c r="J69" s="102" t="s">
        <v>463</v>
      </c>
      <c r="K69" s="110" t="s">
        <v>942</v>
      </c>
      <c r="L69" s="87" t="s">
        <v>79</v>
      </c>
      <c r="M69" s="124" t="s">
        <v>943</v>
      </c>
      <c r="N69" s="110" t="s">
        <v>942</v>
      </c>
      <c r="O69" s="87" t="s">
        <v>79</v>
      </c>
      <c r="P69" s="120" t="s">
        <v>849</v>
      </c>
      <c r="Q69" s="110" t="s">
        <v>942</v>
      </c>
      <c r="R69" s="87" t="s">
        <v>79</v>
      </c>
      <c r="S69" s="120" t="s">
        <v>849</v>
      </c>
      <c r="T69" s="110" t="s">
        <v>942</v>
      </c>
      <c r="U69" s="87" t="s">
        <v>79</v>
      </c>
      <c r="V69" s="33"/>
      <c r="W69" s="34"/>
      <c r="X69" s="35"/>
      <c r="Y69" s="121" t="s">
        <v>434</v>
      </c>
      <c r="Z69" s="122" t="s">
        <v>803</v>
      </c>
      <c r="AA69" s="123" t="s">
        <v>93</v>
      </c>
      <c r="AB69" s="33"/>
      <c r="AC69" s="34"/>
      <c r="AD69" s="34"/>
      <c r="AE69" s="34"/>
      <c r="AF69" s="34"/>
      <c r="AG69" s="35"/>
      <c r="AH69" s="33"/>
      <c r="AI69" s="34"/>
      <c r="AJ69" s="34"/>
      <c r="AK69" s="35"/>
      <c r="AL69" s="33"/>
      <c r="AM69" s="34"/>
      <c r="AN69" s="34"/>
      <c r="AO69" s="34"/>
      <c r="AP69" s="35"/>
      <c r="AQ69" s="33"/>
      <c r="AR69" s="34"/>
      <c r="AS69" s="38"/>
    </row>
    <row r="70" spans="1:45" ht="15" customHeight="1">
      <c r="A70" s="105"/>
      <c r="B70" s="80"/>
      <c r="C70" s="80"/>
      <c r="D70" s="49"/>
      <c r="E70" s="50"/>
      <c r="F70" s="51"/>
      <c r="G70" s="49"/>
      <c r="H70" s="50"/>
      <c r="I70" s="51"/>
      <c r="J70" s="133"/>
      <c r="K70" s="130"/>
      <c r="L70" s="131"/>
      <c r="M70" s="133"/>
      <c r="N70" s="130"/>
      <c r="O70" s="131"/>
      <c r="P70" s="133"/>
      <c r="Q70" s="130"/>
      <c r="R70" s="131"/>
      <c r="S70" s="133"/>
      <c r="T70" s="130"/>
      <c r="U70" s="131"/>
      <c r="V70" s="49"/>
      <c r="W70" s="50"/>
      <c r="X70" s="51"/>
      <c r="Y70" s="133"/>
      <c r="Z70" s="130"/>
      <c r="AA70" s="131"/>
      <c r="AB70" s="49"/>
      <c r="AC70" s="50"/>
      <c r="AD70" s="50"/>
      <c r="AE70" s="50"/>
      <c r="AF70" s="50"/>
      <c r="AG70" s="51"/>
      <c r="AH70" s="49"/>
      <c r="AI70" s="50"/>
      <c r="AJ70" s="50"/>
      <c r="AK70" s="51"/>
      <c r="AL70" s="49"/>
      <c r="AM70" s="50"/>
      <c r="AN70" s="50"/>
      <c r="AO70" s="50"/>
      <c r="AP70" s="51"/>
      <c r="AQ70" s="49"/>
      <c r="AR70" s="50"/>
      <c r="AS70" s="52"/>
    </row>
    <row r="71" spans="1:45" ht="17.25" customHeight="1">
      <c r="A71" s="105"/>
      <c r="B71" s="80"/>
      <c r="C71" s="80"/>
      <c r="D71" s="33"/>
      <c r="E71" s="34"/>
      <c r="F71" s="35"/>
      <c r="G71" s="33"/>
      <c r="H71" s="34"/>
      <c r="I71" s="35"/>
      <c r="J71" s="147" t="s">
        <v>678</v>
      </c>
      <c r="K71" s="148" t="s">
        <v>949</v>
      </c>
      <c r="L71" s="149" t="s">
        <v>198</v>
      </c>
      <c r="M71" s="124" t="s">
        <v>951</v>
      </c>
      <c r="N71" s="110" t="s">
        <v>949</v>
      </c>
      <c r="O71" s="87" t="s">
        <v>79</v>
      </c>
      <c r="P71" s="120" t="s">
        <v>705</v>
      </c>
      <c r="Q71" s="110" t="s">
        <v>949</v>
      </c>
      <c r="R71" s="87" t="s">
        <v>79</v>
      </c>
      <c r="S71" s="120" t="s">
        <v>705</v>
      </c>
      <c r="T71" s="110" t="s">
        <v>949</v>
      </c>
      <c r="U71" s="87" t="s">
        <v>79</v>
      </c>
      <c r="V71" s="33"/>
      <c r="W71" s="34"/>
      <c r="X71" s="35"/>
      <c r="Y71" s="121" t="s">
        <v>434</v>
      </c>
      <c r="Z71" s="122" t="s">
        <v>811</v>
      </c>
      <c r="AA71" s="123" t="s">
        <v>93</v>
      </c>
      <c r="AB71" s="33"/>
      <c r="AC71" s="34"/>
      <c r="AD71" s="34"/>
      <c r="AE71" s="34"/>
      <c r="AF71" s="34"/>
      <c r="AG71" s="35"/>
      <c r="AH71" s="33"/>
      <c r="AI71" s="34"/>
      <c r="AJ71" s="34"/>
      <c r="AK71" s="35"/>
      <c r="AL71" s="33"/>
      <c r="AM71" s="34"/>
      <c r="AN71" s="34"/>
      <c r="AO71" s="34"/>
      <c r="AP71" s="35"/>
      <c r="AQ71" s="33"/>
      <c r="AR71" s="34"/>
      <c r="AS71" s="38"/>
    </row>
    <row r="72" spans="1:45" ht="15" customHeight="1">
      <c r="A72" s="105"/>
      <c r="B72" s="80"/>
      <c r="C72" s="80"/>
      <c r="D72" s="49"/>
      <c r="E72" s="50"/>
      <c r="F72" s="51"/>
      <c r="G72" s="49"/>
      <c r="H72" s="50"/>
      <c r="I72" s="51"/>
      <c r="J72" s="133"/>
      <c r="K72" s="130"/>
      <c r="L72" s="131"/>
      <c r="M72" s="133"/>
      <c r="N72" s="130"/>
      <c r="O72" s="131"/>
      <c r="P72" s="133"/>
      <c r="Q72" s="130"/>
      <c r="R72" s="131"/>
      <c r="S72" s="133"/>
      <c r="T72" s="130"/>
      <c r="U72" s="131"/>
      <c r="V72" s="49"/>
      <c r="W72" s="50"/>
      <c r="X72" s="51"/>
      <c r="Y72" s="133"/>
      <c r="Z72" s="130"/>
      <c r="AA72" s="131"/>
      <c r="AB72" s="49"/>
      <c r="AC72" s="50"/>
      <c r="AD72" s="50"/>
      <c r="AE72" s="50"/>
      <c r="AF72" s="50"/>
      <c r="AG72" s="51"/>
      <c r="AH72" s="49"/>
      <c r="AI72" s="50"/>
      <c r="AJ72" s="50"/>
      <c r="AK72" s="51"/>
      <c r="AL72" s="49"/>
      <c r="AM72" s="50"/>
      <c r="AN72" s="50"/>
      <c r="AO72" s="50"/>
      <c r="AP72" s="51"/>
      <c r="AQ72" s="49"/>
      <c r="AR72" s="50"/>
      <c r="AS72" s="52"/>
    </row>
    <row r="73" spans="1:45" ht="17.25" customHeight="1">
      <c r="A73" s="105"/>
      <c r="B73" s="80"/>
      <c r="C73" s="80"/>
      <c r="D73" s="33"/>
      <c r="E73" s="34"/>
      <c r="F73" s="35"/>
      <c r="G73" s="33"/>
      <c r="H73" s="34"/>
      <c r="I73" s="35"/>
      <c r="J73" s="121" t="s">
        <v>434</v>
      </c>
      <c r="K73" s="122" t="s">
        <v>957</v>
      </c>
      <c r="L73" s="123" t="s">
        <v>93</v>
      </c>
      <c r="M73" s="134" t="s">
        <v>434</v>
      </c>
      <c r="N73" s="122" t="s">
        <v>957</v>
      </c>
      <c r="O73" s="123" t="s">
        <v>93</v>
      </c>
      <c r="P73" s="132" t="s">
        <v>434</v>
      </c>
      <c r="Q73" s="122" t="s">
        <v>957</v>
      </c>
      <c r="R73" s="123" t="s">
        <v>93</v>
      </c>
      <c r="S73" s="132" t="s">
        <v>434</v>
      </c>
      <c r="T73" s="122" t="s">
        <v>957</v>
      </c>
      <c r="U73" s="123" t="s">
        <v>93</v>
      </c>
      <c r="V73" s="33"/>
      <c r="W73" s="34"/>
      <c r="X73" s="35"/>
      <c r="Y73" s="102" t="s">
        <v>816</v>
      </c>
      <c r="Z73" s="110" t="s">
        <v>818</v>
      </c>
      <c r="AA73" s="87" t="s">
        <v>79</v>
      </c>
      <c r="AB73" s="33"/>
      <c r="AC73" s="34"/>
      <c r="AD73" s="34"/>
      <c r="AE73" s="34"/>
      <c r="AF73" s="34"/>
      <c r="AG73" s="35"/>
      <c r="AH73" s="33"/>
      <c r="AI73" s="34"/>
      <c r="AJ73" s="34"/>
      <c r="AK73" s="35"/>
      <c r="AL73" s="33"/>
      <c r="AM73" s="34"/>
      <c r="AN73" s="34"/>
      <c r="AO73" s="34"/>
      <c r="AP73" s="35"/>
      <c r="AQ73" s="33"/>
      <c r="AR73" s="34"/>
      <c r="AS73" s="38"/>
    </row>
    <row r="74" spans="1:45" ht="21" customHeight="1">
      <c r="A74" s="105"/>
      <c r="B74" s="80"/>
      <c r="C74" s="80"/>
      <c r="D74" s="49"/>
      <c r="E74" s="50"/>
      <c r="F74" s="51"/>
      <c r="G74" s="49"/>
      <c r="H74" s="50"/>
      <c r="I74" s="51"/>
      <c r="J74" s="133"/>
      <c r="K74" s="130"/>
      <c r="L74" s="131"/>
      <c r="M74" s="133"/>
      <c r="N74" s="130"/>
      <c r="O74" s="131"/>
      <c r="P74" s="133"/>
      <c r="Q74" s="130"/>
      <c r="R74" s="131"/>
      <c r="S74" s="133"/>
      <c r="T74" s="130"/>
      <c r="U74" s="131"/>
      <c r="V74" s="49"/>
      <c r="W74" s="50"/>
      <c r="X74" s="51"/>
      <c r="Y74" s="133"/>
      <c r="Z74" s="130"/>
      <c r="AA74" s="131"/>
      <c r="AB74" s="49"/>
      <c r="AC74" s="50"/>
      <c r="AD74" s="50"/>
      <c r="AE74" s="50"/>
      <c r="AF74" s="50"/>
      <c r="AG74" s="51"/>
      <c r="AH74" s="49"/>
      <c r="AI74" s="50"/>
      <c r="AJ74" s="50"/>
      <c r="AK74" s="51"/>
      <c r="AL74" s="49"/>
      <c r="AM74" s="50"/>
      <c r="AN74" s="50"/>
      <c r="AO74" s="50"/>
      <c r="AP74" s="51"/>
      <c r="AQ74" s="49"/>
      <c r="AR74" s="50"/>
      <c r="AS74" s="52"/>
    </row>
    <row r="75" spans="1:45" ht="17.25" customHeight="1">
      <c r="A75" s="105"/>
      <c r="B75" s="80"/>
      <c r="C75" s="80"/>
      <c r="D75" s="33"/>
      <c r="E75" s="34"/>
      <c r="F75" s="35"/>
      <c r="G75" s="33"/>
      <c r="H75" s="34"/>
      <c r="I75" s="35"/>
      <c r="J75" s="121" t="s">
        <v>434</v>
      </c>
      <c r="K75" s="122" t="s">
        <v>972</v>
      </c>
      <c r="L75" s="123" t="s">
        <v>93</v>
      </c>
      <c r="M75" s="134" t="s">
        <v>434</v>
      </c>
      <c r="N75" s="122" t="s">
        <v>972</v>
      </c>
      <c r="O75" s="123" t="s">
        <v>93</v>
      </c>
      <c r="P75" s="132" t="s">
        <v>434</v>
      </c>
      <c r="Q75" s="122" t="s">
        <v>972</v>
      </c>
      <c r="R75" s="123" t="s">
        <v>93</v>
      </c>
      <c r="S75" s="132" t="s">
        <v>434</v>
      </c>
      <c r="T75" s="122" t="s">
        <v>972</v>
      </c>
      <c r="U75" s="123" t="s">
        <v>93</v>
      </c>
      <c r="V75" s="33"/>
      <c r="W75" s="34"/>
      <c r="X75" s="35"/>
      <c r="Y75" s="102" t="s">
        <v>821</v>
      </c>
      <c r="Z75" s="110" t="s">
        <v>824</v>
      </c>
      <c r="AA75" s="87" t="s">
        <v>79</v>
      </c>
      <c r="AB75" s="33"/>
      <c r="AC75" s="34"/>
      <c r="AD75" s="34"/>
      <c r="AE75" s="34"/>
      <c r="AF75" s="34"/>
      <c r="AG75" s="35"/>
      <c r="AH75" s="33"/>
      <c r="AI75" s="34"/>
      <c r="AJ75" s="34"/>
      <c r="AK75" s="35"/>
      <c r="AL75" s="33"/>
      <c r="AM75" s="34"/>
      <c r="AN75" s="34"/>
      <c r="AO75" s="34"/>
      <c r="AP75" s="35"/>
      <c r="AQ75" s="33"/>
      <c r="AR75" s="34"/>
      <c r="AS75" s="38"/>
    </row>
    <row r="76" spans="1:45" ht="21" customHeight="1">
      <c r="A76" s="105"/>
      <c r="B76" s="80"/>
      <c r="C76" s="80"/>
      <c r="D76" s="49"/>
      <c r="E76" s="50"/>
      <c r="F76" s="51"/>
      <c r="G76" s="49"/>
      <c r="H76" s="50"/>
      <c r="I76" s="51"/>
      <c r="J76" s="133"/>
      <c r="K76" s="130"/>
      <c r="L76" s="131"/>
      <c r="M76" s="133"/>
      <c r="N76" s="130"/>
      <c r="O76" s="131"/>
      <c r="P76" s="133"/>
      <c r="Q76" s="130"/>
      <c r="R76" s="131"/>
      <c r="S76" s="133"/>
      <c r="T76" s="130"/>
      <c r="U76" s="131"/>
      <c r="V76" s="49"/>
      <c r="W76" s="50"/>
      <c r="X76" s="51"/>
      <c r="Y76" s="133"/>
      <c r="Z76" s="130"/>
      <c r="AA76" s="131"/>
      <c r="AB76" s="49"/>
      <c r="AC76" s="50"/>
      <c r="AD76" s="50"/>
      <c r="AE76" s="50"/>
      <c r="AF76" s="50"/>
      <c r="AG76" s="51"/>
      <c r="AH76" s="49"/>
      <c r="AI76" s="50"/>
      <c r="AJ76" s="50"/>
      <c r="AK76" s="51"/>
      <c r="AL76" s="49"/>
      <c r="AM76" s="50"/>
      <c r="AN76" s="50"/>
      <c r="AO76" s="50"/>
      <c r="AP76" s="51"/>
      <c r="AQ76" s="49"/>
      <c r="AR76" s="50"/>
      <c r="AS76" s="52"/>
    </row>
    <row r="77" spans="1:45" ht="17.25" customHeight="1">
      <c r="A77" s="105"/>
      <c r="B77" s="80"/>
      <c r="C77" s="80"/>
      <c r="D77" s="33"/>
      <c r="E77" s="34"/>
      <c r="F77" s="35"/>
      <c r="G77" s="33"/>
      <c r="H77" s="34"/>
      <c r="I77" s="35"/>
      <c r="J77" s="121" t="s">
        <v>434</v>
      </c>
      <c r="K77" s="122" t="s">
        <v>987</v>
      </c>
      <c r="L77" s="123" t="s">
        <v>93</v>
      </c>
      <c r="M77" s="134" t="s">
        <v>434</v>
      </c>
      <c r="N77" s="122" t="s">
        <v>987</v>
      </c>
      <c r="O77" s="123" t="s">
        <v>93</v>
      </c>
      <c r="P77" s="132" t="s">
        <v>434</v>
      </c>
      <c r="Q77" s="122" t="s">
        <v>987</v>
      </c>
      <c r="R77" s="123" t="s">
        <v>93</v>
      </c>
      <c r="S77" s="132" t="s">
        <v>434</v>
      </c>
      <c r="T77" s="122" t="s">
        <v>987</v>
      </c>
      <c r="U77" s="123" t="s">
        <v>93</v>
      </c>
      <c r="V77" s="33"/>
      <c r="W77" s="34"/>
      <c r="X77" s="35"/>
      <c r="Y77" s="102" t="s">
        <v>847</v>
      </c>
      <c r="Z77" s="110" t="s">
        <v>848</v>
      </c>
      <c r="AA77" s="87" t="s">
        <v>79</v>
      </c>
      <c r="AB77" s="33"/>
      <c r="AC77" s="34"/>
      <c r="AD77" s="34"/>
      <c r="AE77" s="34"/>
      <c r="AF77" s="34"/>
      <c r="AG77" s="35"/>
      <c r="AH77" s="33"/>
      <c r="AI77" s="34"/>
      <c r="AJ77" s="34"/>
      <c r="AK77" s="35"/>
      <c r="AL77" s="33"/>
      <c r="AM77" s="34"/>
      <c r="AN77" s="34"/>
      <c r="AO77" s="34"/>
      <c r="AP77" s="35"/>
      <c r="AQ77" s="33"/>
      <c r="AR77" s="34"/>
      <c r="AS77" s="38"/>
    </row>
    <row r="78" spans="1:45" ht="21" customHeight="1">
      <c r="A78" s="106"/>
      <c r="B78" s="108"/>
      <c r="C78" s="108"/>
      <c r="D78" s="39"/>
      <c r="E78" s="40"/>
      <c r="F78" s="41"/>
      <c r="G78" s="39"/>
      <c r="H78" s="40"/>
      <c r="I78" s="41"/>
      <c r="J78" s="103"/>
      <c r="K78" s="108"/>
      <c r="L78" s="88"/>
      <c r="M78" s="103"/>
      <c r="N78" s="108"/>
      <c r="O78" s="88"/>
      <c r="P78" s="103"/>
      <c r="Q78" s="108"/>
      <c r="R78" s="88"/>
      <c r="S78" s="103"/>
      <c r="T78" s="108"/>
      <c r="U78" s="88"/>
      <c r="V78" s="39"/>
      <c r="W78" s="40"/>
      <c r="X78" s="41"/>
      <c r="Y78" s="103"/>
      <c r="Z78" s="108"/>
      <c r="AA78" s="88"/>
      <c r="AB78" s="39"/>
      <c r="AC78" s="40"/>
      <c r="AD78" s="40"/>
      <c r="AE78" s="40"/>
      <c r="AF78" s="40"/>
      <c r="AG78" s="41"/>
      <c r="AH78" s="39"/>
      <c r="AI78" s="40"/>
      <c r="AJ78" s="40"/>
      <c r="AK78" s="41"/>
      <c r="AL78" s="39"/>
      <c r="AM78" s="40"/>
      <c r="AN78" s="40"/>
      <c r="AO78" s="40"/>
      <c r="AP78" s="41"/>
      <c r="AQ78" s="39"/>
      <c r="AR78" s="40"/>
      <c r="AS78" s="42"/>
    </row>
    <row r="79" spans="1:45" ht="21" customHeight="1">
      <c r="A79" s="104" t="s">
        <v>318</v>
      </c>
      <c r="B79" s="107" t="s">
        <v>319</v>
      </c>
      <c r="C79" s="111" t="s">
        <v>857</v>
      </c>
      <c r="D79" s="93" t="s">
        <v>428</v>
      </c>
      <c r="E79" s="92" t="str">
        <f t="array" ref="E79">IFERROR(INDEX('iCoA Register'!$B:$B,MATCH("P060262|I",'iCoA Register'!$P:$P,0)),"iCoA — at issue")&amp;", (14.05.2026) [PP]"</f>
        <v>iCoA-PP_26-059, (14.05.2026) [PP]</v>
      </c>
      <c r="F79" s="84" t="s">
        <v>79</v>
      </c>
      <c r="G79" s="93" t="s">
        <v>428</v>
      </c>
      <c r="H79" s="92" t="str">
        <f t="array" ref="H79">IFERROR(INDEX('iCoA Register'!$B:$B,MATCH("P060262|I",'iCoA Register'!$P:$P,0)),"iCoA — at issue")&amp;", (14.05.2026) [PP]"</f>
        <v>iCoA-PP_26-059, (14.05.2026) [PP]</v>
      </c>
      <c r="I79" s="84" t="s">
        <v>79</v>
      </c>
      <c r="J79" s="93" t="s">
        <v>463</v>
      </c>
      <c r="K79" s="92" t="s">
        <v>1009</v>
      </c>
      <c r="L79" s="84" t="s">
        <v>79</v>
      </c>
      <c r="M79" s="101" t="s">
        <v>1010</v>
      </c>
      <c r="N79" s="92" t="s">
        <v>1009</v>
      </c>
      <c r="O79" s="84" t="s">
        <v>79</v>
      </c>
      <c r="P79" s="100" t="s">
        <v>1014</v>
      </c>
      <c r="Q79" s="92" t="s">
        <v>1009</v>
      </c>
      <c r="R79" s="84" t="s">
        <v>79</v>
      </c>
      <c r="S79" s="100" t="s">
        <v>1016</v>
      </c>
      <c r="T79" s="92" t="s">
        <v>1009</v>
      </c>
      <c r="U79" s="84" t="s">
        <v>79</v>
      </c>
      <c r="V79" s="93" t="s">
        <v>428</v>
      </c>
      <c r="W79" s="92" t="str">
        <f t="array" ref="W79">IFERROR(INDEX('iCoA Register'!$B:$B,MATCH("P060262|I",'iCoA Register'!$P:$P,0)),"iCoA — at issue")&amp;", (14.05.2026) [PP]"</f>
        <v>iCoA-PP_26-059, (14.05.2026) [PP]</v>
      </c>
      <c r="X79" s="84" t="s">
        <v>79</v>
      </c>
      <c r="Y79" s="95" t="s">
        <v>703</v>
      </c>
      <c r="Z79" s="96" t="s">
        <v>863</v>
      </c>
      <c r="AA79" s="97" t="s">
        <v>93</v>
      </c>
      <c r="AB79" s="31" t="s">
        <v>867</v>
      </c>
      <c r="AC79" s="32" t="s">
        <v>868</v>
      </c>
      <c r="AD79" s="32" t="s">
        <v>869</v>
      </c>
      <c r="AE79" s="32" t="s">
        <v>870</v>
      </c>
      <c r="AF79" s="32" t="s">
        <v>870</v>
      </c>
      <c r="AG79" s="84" t="s">
        <v>79</v>
      </c>
      <c r="AH79" s="31" t="s">
        <v>452</v>
      </c>
      <c r="AI79" s="32" t="s">
        <v>873</v>
      </c>
      <c r="AJ79" s="32" t="s">
        <v>452</v>
      </c>
      <c r="AK79" s="84" t="s">
        <v>79</v>
      </c>
      <c r="AL79" s="53" t="s">
        <v>703</v>
      </c>
      <c r="AM79" s="54"/>
      <c r="AN79" s="54"/>
      <c r="AO79" s="54"/>
      <c r="AP79" s="129" t="s">
        <v>198</v>
      </c>
      <c r="AQ79" s="93" t="s">
        <v>877</v>
      </c>
      <c r="AR79" s="92" t="s">
        <v>878</v>
      </c>
      <c r="AS79" s="98" t="s">
        <v>79</v>
      </c>
    </row>
    <row r="80" spans="1:45" ht="15" customHeight="1">
      <c r="A80" s="105"/>
      <c r="B80" s="80"/>
      <c r="C80" s="80"/>
      <c r="D80" s="94"/>
      <c r="E80" s="81"/>
      <c r="F80" s="85"/>
      <c r="G80" s="94"/>
      <c r="H80" s="81"/>
      <c r="I80" s="85"/>
      <c r="J80" s="94"/>
      <c r="K80" s="81"/>
      <c r="L80" s="85"/>
      <c r="M80" s="94"/>
      <c r="N80" s="81"/>
      <c r="O80" s="85"/>
      <c r="P80" s="94"/>
      <c r="Q80" s="81"/>
      <c r="R80" s="85"/>
      <c r="S80" s="94"/>
      <c r="T80" s="81"/>
      <c r="U80" s="85"/>
      <c r="V80" s="94"/>
      <c r="W80" s="81"/>
      <c r="X80" s="85"/>
      <c r="Y80" s="94"/>
      <c r="Z80" s="81"/>
      <c r="AA80" s="85"/>
      <c r="AB80" s="86" t="s">
        <v>881</v>
      </c>
      <c r="AC80" s="77"/>
      <c r="AD80" s="77"/>
      <c r="AE80" s="77"/>
      <c r="AF80" s="78"/>
      <c r="AG80" s="85"/>
      <c r="AH80" s="86" t="s">
        <v>878</v>
      </c>
      <c r="AI80" s="77"/>
      <c r="AJ80" s="78"/>
      <c r="AK80" s="85"/>
      <c r="AL80" s="144" t="s">
        <v>878</v>
      </c>
      <c r="AM80" s="77"/>
      <c r="AN80" s="77"/>
      <c r="AO80" s="78"/>
      <c r="AP80" s="85"/>
      <c r="AQ80" s="94"/>
      <c r="AR80" s="81"/>
      <c r="AS80" s="99"/>
    </row>
    <row r="81" spans="1:45" ht="21" customHeight="1">
      <c r="A81" s="105"/>
      <c r="B81" s="80"/>
      <c r="C81" s="80"/>
      <c r="D81" s="33"/>
      <c r="E81" s="34"/>
      <c r="F81" s="35"/>
      <c r="G81" s="33"/>
      <c r="H81" s="34"/>
      <c r="I81" s="35"/>
      <c r="J81" s="147" t="s">
        <v>703</v>
      </c>
      <c r="K81" s="148" t="s">
        <v>1028</v>
      </c>
      <c r="L81" s="149" t="s">
        <v>198</v>
      </c>
      <c r="M81" s="124" t="s">
        <v>1030</v>
      </c>
      <c r="N81" s="110" t="s">
        <v>1028</v>
      </c>
      <c r="O81" s="87" t="s">
        <v>79</v>
      </c>
      <c r="P81" s="120" t="s">
        <v>1014</v>
      </c>
      <c r="Q81" s="110" t="s">
        <v>1028</v>
      </c>
      <c r="R81" s="87" t="s">
        <v>79</v>
      </c>
      <c r="S81" s="120" t="s">
        <v>1016</v>
      </c>
      <c r="T81" s="110" t="s">
        <v>1028</v>
      </c>
      <c r="U81" s="87" t="s">
        <v>79</v>
      </c>
      <c r="V81" s="33"/>
      <c r="W81" s="34"/>
      <c r="X81" s="35"/>
      <c r="Y81" s="121" t="s">
        <v>703</v>
      </c>
      <c r="Z81" s="122" t="s">
        <v>886</v>
      </c>
      <c r="AA81" s="123" t="s">
        <v>93</v>
      </c>
      <c r="AB81" s="36" t="s">
        <v>887</v>
      </c>
      <c r="AC81" s="37" t="s">
        <v>888</v>
      </c>
      <c r="AD81" s="37" t="s">
        <v>890</v>
      </c>
      <c r="AE81" s="37" t="s">
        <v>870</v>
      </c>
      <c r="AF81" s="37" t="s">
        <v>870</v>
      </c>
      <c r="AG81" s="87" t="s">
        <v>79</v>
      </c>
      <c r="AH81" s="36" t="s">
        <v>452</v>
      </c>
      <c r="AI81" s="37" t="s">
        <v>891</v>
      </c>
      <c r="AJ81" s="37" t="s">
        <v>452</v>
      </c>
      <c r="AK81" s="87" t="s">
        <v>79</v>
      </c>
      <c r="AL81" s="36" t="s">
        <v>877</v>
      </c>
      <c r="AM81" s="37" t="s">
        <v>877</v>
      </c>
      <c r="AN81" s="37" t="s">
        <v>877</v>
      </c>
      <c r="AO81" s="37" t="s">
        <v>877</v>
      </c>
      <c r="AP81" s="87" t="s">
        <v>79</v>
      </c>
      <c r="AQ81" s="102" t="s">
        <v>877</v>
      </c>
      <c r="AR81" s="110" t="s">
        <v>894</v>
      </c>
      <c r="AS81" s="145" t="s">
        <v>79</v>
      </c>
    </row>
    <row r="82" spans="1:45" ht="15" customHeight="1">
      <c r="A82" s="105"/>
      <c r="B82" s="80"/>
      <c r="C82" s="80"/>
      <c r="D82" s="49"/>
      <c r="E82" s="50"/>
      <c r="F82" s="51"/>
      <c r="G82" s="49"/>
      <c r="H82" s="50"/>
      <c r="I82" s="51"/>
      <c r="J82" s="133"/>
      <c r="K82" s="130"/>
      <c r="L82" s="131"/>
      <c r="M82" s="133"/>
      <c r="N82" s="130"/>
      <c r="O82" s="131"/>
      <c r="P82" s="133"/>
      <c r="Q82" s="130"/>
      <c r="R82" s="131"/>
      <c r="S82" s="133"/>
      <c r="T82" s="130"/>
      <c r="U82" s="131"/>
      <c r="V82" s="49"/>
      <c r="W82" s="50"/>
      <c r="X82" s="51"/>
      <c r="Y82" s="133"/>
      <c r="Z82" s="130"/>
      <c r="AA82" s="131"/>
      <c r="AB82" s="141" t="s">
        <v>898</v>
      </c>
      <c r="AC82" s="142"/>
      <c r="AD82" s="142"/>
      <c r="AE82" s="142"/>
      <c r="AF82" s="143"/>
      <c r="AG82" s="131"/>
      <c r="AH82" s="141" t="s">
        <v>894</v>
      </c>
      <c r="AI82" s="142"/>
      <c r="AJ82" s="143"/>
      <c r="AK82" s="131"/>
      <c r="AL82" s="141" t="s">
        <v>894</v>
      </c>
      <c r="AM82" s="142"/>
      <c r="AN82" s="142"/>
      <c r="AO82" s="143"/>
      <c r="AP82" s="131"/>
      <c r="AQ82" s="133"/>
      <c r="AR82" s="130"/>
      <c r="AS82" s="146"/>
    </row>
    <row r="83" spans="1:45" ht="21" customHeight="1">
      <c r="A83" s="105"/>
      <c r="B83" s="80"/>
      <c r="C83" s="80"/>
      <c r="D83" s="33"/>
      <c r="E83" s="34"/>
      <c r="F83" s="35"/>
      <c r="G83" s="33"/>
      <c r="H83" s="34"/>
      <c r="I83" s="35"/>
      <c r="J83" s="33"/>
      <c r="K83" s="34"/>
      <c r="L83" s="35"/>
      <c r="M83" s="33"/>
      <c r="N83" s="34"/>
      <c r="O83" s="35"/>
      <c r="P83" s="33"/>
      <c r="Q83" s="34"/>
      <c r="R83" s="35"/>
      <c r="S83" s="33"/>
      <c r="T83" s="34"/>
      <c r="U83" s="35"/>
      <c r="V83" s="33"/>
      <c r="W83" s="34"/>
      <c r="X83" s="35"/>
      <c r="Y83" s="33"/>
      <c r="Z83" s="34"/>
      <c r="AA83" s="35"/>
      <c r="AB83" s="36" t="s">
        <v>553</v>
      </c>
      <c r="AC83" s="37" t="s">
        <v>903</v>
      </c>
      <c r="AD83" s="37" t="s">
        <v>537</v>
      </c>
      <c r="AE83" s="37" t="s">
        <v>528</v>
      </c>
      <c r="AF83" s="37" t="s">
        <v>528</v>
      </c>
      <c r="AG83" s="87" t="s">
        <v>79</v>
      </c>
      <c r="AH83" s="33"/>
      <c r="AI83" s="34"/>
      <c r="AJ83" s="34"/>
      <c r="AK83" s="35"/>
      <c r="AL83" s="33"/>
      <c r="AM83" s="34"/>
      <c r="AN83" s="34"/>
      <c r="AO83" s="34"/>
      <c r="AP83" s="35"/>
      <c r="AQ83" s="33"/>
      <c r="AR83" s="34"/>
      <c r="AS83" s="38"/>
    </row>
    <row r="84" spans="1:45" ht="12.75" customHeight="1">
      <c r="A84" s="106"/>
      <c r="B84" s="108"/>
      <c r="C84" s="108"/>
      <c r="D84" s="39"/>
      <c r="E84" s="40"/>
      <c r="F84" s="41"/>
      <c r="G84" s="39"/>
      <c r="H84" s="40"/>
      <c r="I84" s="41"/>
      <c r="J84" s="39"/>
      <c r="K84" s="40"/>
      <c r="L84" s="41"/>
      <c r="M84" s="39"/>
      <c r="N84" s="40"/>
      <c r="O84" s="41"/>
      <c r="P84" s="39"/>
      <c r="Q84" s="40"/>
      <c r="R84" s="41"/>
      <c r="S84" s="39"/>
      <c r="T84" s="40"/>
      <c r="U84" s="41"/>
      <c r="V84" s="39"/>
      <c r="W84" s="40"/>
      <c r="X84" s="41"/>
      <c r="Y84" s="39"/>
      <c r="Z84" s="40"/>
      <c r="AA84" s="41"/>
      <c r="AB84" s="89" t="s">
        <v>909</v>
      </c>
      <c r="AC84" s="90"/>
      <c r="AD84" s="90"/>
      <c r="AE84" s="90"/>
      <c r="AF84" s="91"/>
      <c r="AG84" s="88"/>
      <c r="AH84" s="39"/>
      <c r="AI84" s="40"/>
      <c r="AJ84" s="40"/>
      <c r="AK84" s="41"/>
      <c r="AL84" s="39"/>
      <c r="AM84" s="40"/>
      <c r="AN84" s="40"/>
      <c r="AO84" s="40"/>
      <c r="AP84" s="41"/>
      <c r="AQ84" s="39"/>
      <c r="AR84" s="40"/>
      <c r="AS84" s="42"/>
    </row>
    <row r="85" spans="1:45" ht="17.25" customHeight="1">
      <c r="A85" s="104" t="s">
        <v>329</v>
      </c>
      <c r="B85" s="107" t="s">
        <v>330</v>
      </c>
      <c r="C85" s="109" t="s">
        <v>512</v>
      </c>
      <c r="D85" s="93" t="s">
        <v>428</v>
      </c>
      <c r="E85" s="92" t="str">
        <f t="array" ref="E85">IFERROR(INDEX('iCoA Register'!$B:$B,MATCH("P060312|I",'iCoA Register'!$P:$P,0)),"iCoA — at issue")&amp;", (21.05.2026) [PP]"</f>
        <v>iCoA-PP_26-064, (21.05.2026) [PP]</v>
      </c>
      <c r="F85" s="84" t="s">
        <v>79</v>
      </c>
      <c r="G85" s="95" t="s">
        <v>434</v>
      </c>
      <c r="H85" s="96" t="s">
        <v>1048</v>
      </c>
      <c r="I85" s="97" t="s">
        <v>93</v>
      </c>
      <c r="J85" s="93" t="s">
        <v>95</v>
      </c>
      <c r="K85" s="92" t="s">
        <v>1050</v>
      </c>
      <c r="L85" s="84" t="s">
        <v>79</v>
      </c>
      <c r="M85" s="101" t="s">
        <v>1051</v>
      </c>
      <c r="N85" s="92" t="s">
        <v>1050</v>
      </c>
      <c r="O85" s="84" t="s">
        <v>79</v>
      </c>
      <c r="P85" s="100" t="s">
        <v>630</v>
      </c>
      <c r="Q85" s="92" t="s">
        <v>1050</v>
      </c>
      <c r="R85" s="84" t="s">
        <v>79</v>
      </c>
      <c r="S85" s="100" t="s">
        <v>530</v>
      </c>
      <c r="T85" s="92" t="s">
        <v>1050</v>
      </c>
      <c r="U85" s="84" t="s">
        <v>79</v>
      </c>
      <c r="V85" s="93" t="s">
        <v>428</v>
      </c>
      <c r="W85" s="92" t="str">
        <f t="array" ref="W85">IFERROR(INDEX('iCoA Register'!$B:$B,MATCH("P060312|I",'iCoA Register'!$P:$P,0)),"iCoA — at issue")&amp;", (21.05.2026) [PP]"</f>
        <v>iCoA-PP_26-064, (21.05.2026) [PP]</v>
      </c>
      <c r="X85" s="84" t="s">
        <v>79</v>
      </c>
      <c r="Y85" s="93" t="s">
        <v>1056</v>
      </c>
      <c r="Z85" s="92" t="s">
        <v>1050</v>
      </c>
      <c r="AA85" s="84" t="s">
        <v>79</v>
      </c>
      <c r="AB85" s="31" t="s">
        <v>1058</v>
      </c>
      <c r="AC85" s="32" t="s">
        <v>651</v>
      </c>
      <c r="AD85" s="32" t="s">
        <v>561</v>
      </c>
      <c r="AE85" s="32" t="s">
        <v>652</v>
      </c>
      <c r="AF85" s="32" t="s">
        <v>606</v>
      </c>
      <c r="AG85" s="84" t="s">
        <v>79</v>
      </c>
      <c r="AH85" s="31" t="s">
        <v>452</v>
      </c>
      <c r="AI85" s="32" t="s">
        <v>453</v>
      </c>
      <c r="AJ85" s="32" t="s">
        <v>452</v>
      </c>
      <c r="AK85" s="84" t="s">
        <v>79</v>
      </c>
      <c r="AL85" s="31" t="s">
        <v>1060</v>
      </c>
      <c r="AM85" s="32" t="s">
        <v>964</v>
      </c>
      <c r="AN85" s="32" t="s">
        <v>1061</v>
      </c>
      <c r="AO85" s="32" t="s">
        <v>1062</v>
      </c>
      <c r="AP85" s="84" t="s">
        <v>79</v>
      </c>
      <c r="AQ85" s="93" t="s">
        <v>1063</v>
      </c>
      <c r="AR85" s="92" t="s">
        <v>1064</v>
      </c>
      <c r="AS85" s="98" t="s">
        <v>79</v>
      </c>
    </row>
    <row r="86" spans="1:45" ht="12.75" customHeight="1">
      <c r="A86" s="105"/>
      <c r="B86" s="80"/>
      <c r="C86" s="80"/>
      <c r="D86" s="94"/>
      <c r="E86" s="81"/>
      <c r="F86" s="85"/>
      <c r="G86" s="94"/>
      <c r="H86" s="81"/>
      <c r="I86" s="85"/>
      <c r="J86" s="94"/>
      <c r="K86" s="81"/>
      <c r="L86" s="85"/>
      <c r="M86" s="94"/>
      <c r="N86" s="81"/>
      <c r="O86" s="85"/>
      <c r="P86" s="94"/>
      <c r="Q86" s="81"/>
      <c r="R86" s="85"/>
      <c r="S86" s="94"/>
      <c r="T86" s="81"/>
      <c r="U86" s="85"/>
      <c r="V86" s="94"/>
      <c r="W86" s="81"/>
      <c r="X86" s="85"/>
      <c r="Y86" s="94"/>
      <c r="Z86" s="81"/>
      <c r="AA86" s="85"/>
      <c r="AB86" s="86" t="s">
        <v>1066</v>
      </c>
      <c r="AC86" s="77"/>
      <c r="AD86" s="77"/>
      <c r="AE86" s="77"/>
      <c r="AF86" s="78"/>
      <c r="AG86" s="85"/>
      <c r="AH86" s="86" t="s">
        <v>1064</v>
      </c>
      <c r="AI86" s="77"/>
      <c r="AJ86" s="78"/>
      <c r="AK86" s="85"/>
      <c r="AL86" s="86" t="s">
        <v>1064</v>
      </c>
      <c r="AM86" s="77"/>
      <c r="AN86" s="77"/>
      <c r="AO86" s="78"/>
      <c r="AP86" s="85"/>
      <c r="AQ86" s="94"/>
      <c r="AR86" s="81"/>
      <c r="AS86" s="99"/>
    </row>
    <row r="87" spans="1:45" ht="13.5" customHeight="1">
      <c r="A87" s="105"/>
      <c r="B87" s="80"/>
      <c r="C87" s="80"/>
      <c r="D87" s="33"/>
      <c r="E87" s="34"/>
      <c r="F87" s="35"/>
      <c r="G87" s="102" t="s">
        <v>428</v>
      </c>
      <c r="H87" s="110" t="str">
        <f t="array" ref="H87">IFERROR(INDEX('iCoA Register'!$B:$B,MATCH("P060312|I",'iCoA Register'!$P:$P,0)),"iCoA — at issue")&amp;", (21.05.2026) [PP]"</f>
        <v>iCoA-PP_26-064, (21.05.2026) [PP]</v>
      </c>
      <c r="I87" s="87" t="s">
        <v>79</v>
      </c>
      <c r="J87" s="33"/>
      <c r="K87" s="34"/>
      <c r="L87" s="35"/>
      <c r="M87" s="33"/>
      <c r="N87" s="34"/>
      <c r="O87" s="35"/>
      <c r="P87" s="33"/>
      <c r="Q87" s="34"/>
      <c r="R87" s="35"/>
      <c r="S87" s="33"/>
      <c r="T87" s="34"/>
      <c r="U87" s="35"/>
      <c r="V87" s="33"/>
      <c r="W87" s="34"/>
      <c r="X87" s="35"/>
      <c r="Y87" s="33"/>
      <c r="Z87" s="34"/>
      <c r="AA87" s="35"/>
      <c r="AB87" s="36" t="s">
        <v>497</v>
      </c>
      <c r="AC87" s="37" t="s">
        <v>1073</v>
      </c>
      <c r="AD87" s="37" t="s">
        <v>561</v>
      </c>
      <c r="AE87" s="37" t="s">
        <v>528</v>
      </c>
      <c r="AF87" s="37" t="s">
        <v>528</v>
      </c>
      <c r="AG87" s="87" t="s">
        <v>79</v>
      </c>
      <c r="AH87" s="33"/>
      <c r="AI87" s="34"/>
      <c r="AJ87" s="34"/>
      <c r="AK87" s="35"/>
      <c r="AL87" s="33"/>
      <c r="AM87" s="34"/>
      <c r="AN87" s="34"/>
      <c r="AO87" s="34"/>
      <c r="AP87" s="35"/>
      <c r="AQ87" s="33"/>
      <c r="AR87" s="34"/>
      <c r="AS87" s="38"/>
    </row>
    <row r="88" spans="1:45" ht="12.75" customHeight="1">
      <c r="A88" s="106"/>
      <c r="B88" s="108"/>
      <c r="C88" s="108"/>
      <c r="D88" s="39"/>
      <c r="E88" s="40"/>
      <c r="F88" s="41"/>
      <c r="G88" s="103"/>
      <c r="H88" s="108"/>
      <c r="I88" s="88"/>
      <c r="J88" s="39"/>
      <c r="K88" s="40"/>
      <c r="L88" s="41"/>
      <c r="M88" s="39"/>
      <c r="N88" s="40"/>
      <c r="O88" s="41"/>
      <c r="P88" s="39"/>
      <c r="Q88" s="40"/>
      <c r="R88" s="41"/>
      <c r="S88" s="39"/>
      <c r="T88" s="40"/>
      <c r="U88" s="41"/>
      <c r="V88" s="39"/>
      <c r="W88" s="40"/>
      <c r="X88" s="41"/>
      <c r="Y88" s="39"/>
      <c r="Z88" s="40"/>
      <c r="AA88" s="41"/>
      <c r="AB88" s="89" t="s">
        <v>1075</v>
      </c>
      <c r="AC88" s="90"/>
      <c r="AD88" s="90"/>
      <c r="AE88" s="90"/>
      <c r="AF88" s="91"/>
      <c r="AG88" s="88"/>
      <c r="AH88" s="39"/>
      <c r="AI88" s="40"/>
      <c r="AJ88" s="40"/>
      <c r="AK88" s="41"/>
      <c r="AL88" s="39"/>
      <c r="AM88" s="40"/>
      <c r="AN88" s="40"/>
      <c r="AO88" s="40"/>
      <c r="AP88" s="41"/>
      <c r="AQ88" s="39"/>
      <c r="AR88" s="40"/>
      <c r="AS88" s="42"/>
    </row>
    <row r="89" spans="1:45" ht="21" customHeight="1">
      <c r="A89" s="104" t="s">
        <v>336</v>
      </c>
      <c r="B89" s="107" t="s">
        <v>337</v>
      </c>
      <c r="C89" s="118" t="s">
        <v>681</v>
      </c>
      <c r="D89" s="93" t="s">
        <v>451</v>
      </c>
      <c r="E89" s="92" t="s">
        <v>913</v>
      </c>
      <c r="F89" s="84" t="s">
        <v>79</v>
      </c>
      <c r="G89" s="93" t="s">
        <v>451</v>
      </c>
      <c r="H89" s="92" t="s">
        <v>913</v>
      </c>
      <c r="I89" s="84" t="s">
        <v>79</v>
      </c>
      <c r="J89" s="93" t="s">
        <v>95</v>
      </c>
      <c r="K89" s="92" t="s">
        <v>913</v>
      </c>
      <c r="L89" s="84" t="s">
        <v>79</v>
      </c>
      <c r="M89" s="101" t="s">
        <v>1077</v>
      </c>
      <c r="N89" s="92" t="s">
        <v>913</v>
      </c>
      <c r="O89" s="84" t="s">
        <v>79</v>
      </c>
      <c r="P89" s="100" t="s">
        <v>1078</v>
      </c>
      <c r="Q89" s="92" t="s">
        <v>913</v>
      </c>
      <c r="R89" s="84" t="s">
        <v>79</v>
      </c>
      <c r="S89" s="100" t="s">
        <v>442</v>
      </c>
      <c r="T89" s="92" t="s">
        <v>913</v>
      </c>
      <c r="U89" s="84" t="s">
        <v>79</v>
      </c>
      <c r="V89" s="93" t="s">
        <v>515</v>
      </c>
      <c r="W89" s="92" t="s">
        <v>913</v>
      </c>
      <c r="X89" s="84" t="s">
        <v>79</v>
      </c>
      <c r="Y89" s="93" t="s">
        <v>522</v>
      </c>
      <c r="Z89" s="92" t="s">
        <v>913</v>
      </c>
      <c r="AA89" s="84" t="s">
        <v>79</v>
      </c>
      <c r="AB89" s="43" t="s">
        <v>531</v>
      </c>
      <c r="AC89" s="44" t="s">
        <v>531</v>
      </c>
      <c r="AD89" s="44" t="s">
        <v>531</v>
      </c>
      <c r="AE89" s="44" t="s">
        <v>531</v>
      </c>
      <c r="AF89" s="44" t="s">
        <v>531</v>
      </c>
      <c r="AG89" s="112" t="s">
        <v>198</v>
      </c>
      <c r="AH89" s="43" t="s">
        <v>531</v>
      </c>
      <c r="AI89" s="44" t="s">
        <v>531</v>
      </c>
      <c r="AJ89" s="44" t="s">
        <v>531</v>
      </c>
      <c r="AK89" s="112" t="s">
        <v>198</v>
      </c>
      <c r="AL89" s="43" t="s">
        <v>531</v>
      </c>
      <c r="AM89" s="44" t="s">
        <v>531</v>
      </c>
      <c r="AN89" s="44" t="s">
        <v>531</v>
      </c>
      <c r="AO89" s="44" t="s">
        <v>531</v>
      </c>
      <c r="AP89" s="112" t="s">
        <v>198</v>
      </c>
      <c r="AQ89" s="113" t="s">
        <v>531</v>
      </c>
      <c r="AR89" s="114" t="s">
        <v>547</v>
      </c>
      <c r="AS89" s="115" t="s">
        <v>198</v>
      </c>
    </row>
    <row r="90" spans="1:45" ht="12.75" customHeight="1">
      <c r="A90" s="105"/>
      <c r="B90" s="80"/>
      <c r="C90" s="80"/>
      <c r="D90" s="94"/>
      <c r="E90" s="81"/>
      <c r="F90" s="85"/>
      <c r="G90" s="94"/>
      <c r="H90" s="81"/>
      <c r="I90" s="85"/>
      <c r="J90" s="94"/>
      <c r="K90" s="81"/>
      <c r="L90" s="85"/>
      <c r="M90" s="94"/>
      <c r="N90" s="81"/>
      <c r="O90" s="85"/>
      <c r="P90" s="94"/>
      <c r="Q90" s="81"/>
      <c r="R90" s="85"/>
      <c r="S90" s="94"/>
      <c r="T90" s="81"/>
      <c r="U90" s="85"/>
      <c r="V90" s="94"/>
      <c r="W90" s="81"/>
      <c r="X90" s="85"/>
      <c r="Y90" s="94"/>
      <c r="Z90" s="81"/>
      <c r="AA90" s="85"/>
      <c r="AB90" s="119" t="s">
        <v>547</v>
      </c>
      <c r="AC90" s="77"/>
      <c r="AD90" s="77"/>
      <c r="AE90" s="77"/>
      <c r="AF90" s="78"/>
      <c r="AG90" s="85"/>
      <c r="AH90" s="119" t="s">
        <v>547</v>
      </c>
      <c r="AI90" s="77"/>
      <c r="AJ90" s="78"/>
      <c r="AK90" s="85"/>
      <c r="AL90" s="119" t="s">
        <v>547</v>
      </c>
      <c r="AM90" s="77"/>
      <c r="AN90" s="77"/>
      <c r="AO90" s="78"/>
      <c r="AP90" s="85"/>
      <c r="AQ90" s="94"/>
      <c r="AR90" s="81"/>
      <c r="AS90" s="99"/>
    </row>
    <row r="91" spans="1:45" ht="17.25" customHeight="1">
      <c r="A91" s="105"/>
      <c r="B91" s="80"/>
      <c r="C91" s="80"/>
      <c r="D91" s="121" t="s">
        <v>451</v>
      </c>
      <c r="E91" s="122" t="s">
        <v>927</v>
      </c>
      <c r="F91" s="123" t="s">
        <v>93</v>
      </c>
      <c r="G91" s="102" t="s">
        <v>451</v>
      </c>
      <c r="H91" s="110" t="s">
        <v>932</v>
      </c>
      <c r="I91" s="87" t="s">
        <v>79</v>
      </c>
      <c r="J91" s="102" t="s">
        <v>95</v>
      </c>
      <c r="K91" s="110" t="s">
        <v>932</v>
      </c>
      <c r="L91" s="87" t="s">
        <v>79</v>
      </c>
      <c r="M91" s="124" t="s">
        <v>1085</v>
      </c>
      <c r="N91" s="110" t="s">
        <v>932</v>
      </c>
      <c r="O91" s="87" t="s">
        <v>79</v>
      </c>
      <c r="P91" s="120" t="s">
        <v>567</v>
      </c>
      <c r="Q91" s="110" t="s">
        <v>932</v>
      </c>
      <c r="R91" s="87" t="s">
        <v>79</v>
      </c>
      <c r="S91" s="120" t="s">
        <v>567</v>
      </c>
      <c r="T91" s="110" t="s">
        <v>932</v>
      </c>
      <c r="U91" s="87" t="s">
        <v>79</v>
      </c>
      <c r="V91" s="121" t="s">
        <v>515</v>
      </c>
      <c r="W91" s="122" t="s">
        <v>927</v>
      </c>
      <c r="X91" s="123" t="s">
        <v>93</v>
      </c>
      <c r="Y91" s="102" t="s">
        <v>931</v>
      </c>
      <c r="Z91" s="110" t="s">
        <v>932</v>
      </c>
      <c r="AA91" s="87" t="s">
        <v>79</v>
      </c>
      <c r="AB91" s="33"/>
      <c r="AC91" s="34"/>
      <c r="AD91" s="34"/>
      <c r="AE91" s="34"/>
      <c r="AF91" s="34"/>
      <c r="AG91" s="35"/>
      <c r="AH91" s="33"/>
      <c r="AI91" s="34"/>
      <c r="AJ91" s="34"/>
      <c r="AK91" s="35"/>
      <c r="AL91" s="33"/>
      <c r="AM91" s="34"/>
      <c r="AN91" s="34"/>
      <c r="AO91" s="34"/>
      <c r="AP91" s="35"/>
      <c r="AQ91" s="33"/>
      <c r="AR91" s="34"/>
      <c r="AS91" s="38"/>
    </row>
    <row r="92" spans="1:45" ht="12.75" customHeight="1">
      <c r="A92" s="106"/>
      <c r="B92" s="108"/>
      <c r="C92" s="108"/>
      <c r="D92" s="103"/>
      <c r="E92" s="108"/>
      <c r="F92" s="88"/>
      <c r="G92" s="103"/>
      <c r="H92" s="108"/>
      <c r="I92" s="88"/>
      <c r="J92" s="103"/>
      <c r="K92" s="108"/>
      <c r="L92" s="88"/>
      <c r="M92" s="103"/>
      <c r="N92" s="108"/>
      <c r="O92" s="88"/>
      <c r="P92" s="103"/>
      <c r="Q92" s="108"/>
      <c r="R92" s="88"/>
      <c r="S92" s="103"/>
      <c r="T92" s="108"/>
      <c r="U92" s="88"/>
      <c r="V92" s="103"/>
      <c r="W92" s="108"/>
      <c r="X92" s="88"/>
      <c r="Y92" s="103"/>
      <c r="Z92" s="108"/>
      <c r="AA92" s="88"/>
      <c r="AB92" s="39"/>
      <c r="AC92" s="40"/>
      <c r="AD92" s="40"/>
      <c r="AE92" s="40"/>
      <c r="AF92" s="40"/>
      <c r="AG92" s="41"/>
      <c r="AH92" s="39"/>
      <c r="AI92" s="40"/>
      <c r="AJ92" s="40"/>
      <c r="AK92" s="41"/>
      <c r="AL92" s="39"/>
      <c r="AM92" s="40"/>
      <c r="AN92" s="40"/>
      <c r="AO92" s="40"/>
      <c r="AP92" s="41"/>
      <c r="AQ92" s="39"/>
      <c r="AR92" s="40"/>
      <c r="AS92" s="42"/>
    </row>
    <row r="93" spans="1:45" ht="21" customHeight="1">
      <c r="A93" s="104" t="s">
        <v>344</v>
      </c>
      <c r="B93" s="107" t="s">
        <v>345</v>
      </c>
      <c r="C93" s="118" t="s">
        <v>577</v>
      </c>
      <c r="D93" s="93" t="s">
        <v>451</v>
      </c>
      <c r="E93" s="92" t="s">
        <v>940</v>
      </c>
      <c r="F93" s="84" t="s">
        <v>79</v>
      </c>
      <c r="G93" s="93" t="s">
        <v>451</v>
      </c>
      <c r="H93" s="92" t="s">
        <v>940</v>
      </c>
      <c r="I93" s="84" t="s">
        <v>79</v>
      </c>
      <c r="J93" s="93" t="s">
        <v>95</v>
      </c>
      <c r="K93" s="92" t="s">
        <v>940</v>
      </c>
      <c r="L93" s="84" t="s">
        <v>79</v>
      </c>
      <c r="M93" s="101" t="s">
        <v>1093</v>
      </c>
      <c r="N93" s="92" t="s">
        <v>940</v>
      </c>
      <c r="O93" s="84" t="s">
        <v>79</v>
      </c>
      <c r="P93" s="100" t="s">
        <v>1078</v>
      </c>
      <c r="Q93" s="92" t="s">
        <v>940</v>
      </c>
      <c r="R93" s="84" t="s">
        <v>79</v>
      </c>
      <c r="S93" s="100" t="s">
        <v>567</v>
      </c>
      <c r="T93" s="92" t="s">
        <v>940</v>
      </c>
      <c r="U93" s="84" t="s">
        <v>79</v>
      </c>
      <c r="V93" s="93" t="s">
        <v>515</v>
      </c>
      <c r="W93" s="92" t="s">
        <v>940</v>
      </c>
      <c r="X93" s="84" t="s">
        <v>79</v>
      </c>
      <c r="Y93" s="93" t="s">
        <v>941</v>
      </c>
      <c r="Z93" s="92" t="s">
        <v>940</v>
      </c>
      <c r="AA93" s="84" t="s">
        <v>79</v>
      </c>
      <c r="AB93" s="43" t="s">
        <v>531</v>
      </c>
      <c r="AC93" s="44" t="s">
        <v>531</v>
      </c>
      <c r="AD93" s="44" t="s">
        <v>531</v>
      </c>
      <c r="AE93" s="44" t="s">
        <v>531</v>
      </c>
      <c r="AF93" s="44" t="s">
        <v>531</v>
      </c>
      <c r="AG93" s="112" t="s">
        <v>198</v>
      </c>
      <c r="AH93" s="43" t="s">
        <v>531</v>
      </c>
      <c r="AI93" s="44" t="s">
        <v>531</v>
      </c>
      <c r="AJ93" s="44" t="s">
        <v>531</v>
      </c>
      <c r="AK93" s="112" t="s">
        <v>198</v>
      </c>
      <c r="AL93" s="43" t="s">
        <v>531</v>
      </c>
      <c r="AM93" s="44" t="s">
        <v>531</v>
      </c>
      <c r="AN93" s="44" t="s">
        <v>531</v>
      </c>
      <c r="AO93" s="44" t="s">
        <v>531</v>
      </c>
      <c r="AP93" s="112" t="s">
        <v>198</v>
      </c>
      <c r="AQ93" s="113" t="s">
        <v>531</v>
      </c>
      <c r="AR93" s="114" t="s">
        <v>547</v>
      </c>
      <c r="AS93" s="115" t="s">
        <v>198</v>
      </c>
    </row>
    <row r="94" spans="1:45" ht="12.75" customHeight="1">
      <c r="A94" s="106"/>
      <c r="B94" s="108"/>
      <c r="C94" s="108"/>
      <c r="D94" s="103"/>
      <c r="E94" s="108"/>
      <c r="F94" s="88"/>
      <c r="G94" s="103"/>
      <c r="H94" s="108"/>
      <c r="I94" s="88"/>
      <c r="J94" s="103"/>
      <c r="K94" s="108"/>
      <c r="L94" s="88"/>
      <c r="M94" s="103"/>
      <c r="N94" s="108"/>
      <c r="O94" s="88"/>
      <c r="P94" s="103"/>
      <c r="Q94" s="108"/>
      <c r="R94" s="88"/>
      <c r="S94" s="103"/>
      <c r="T94" s="108"/>
      <c r="U94" s="88"/>
      <c r="V94" s="103"/>
      <c r="W94" s="108"/>
      <c r="X94" s="88"/>
      <c r="Y94" s="103"/>
      <c r="Z94" s="108"/>
      <c r="AA94" s="88"/>
      <c r="AB94" s="117" t="s">
        <v>547</v>
      </c>
      <c r="AC94" s="90"/>
      <c r="AD94" s="90"/>
      <c r="AE94" s="90"/>
      <c r="AF94" s="91"/>
      <c r="AG94" s="88"/>
      <c r="AH94" s="117" t="s">
        <v>547</v>
      </c>
      <c r="AI94" s="90"/>
      <c r="AJ94" s="91"/>
      <c r="AK94" s="88"/>
      <c r="AL94" s="117" t="s">
        <v>547</v>
      </c>
      <c r="AM94" s="90"/>
      <c r="AN94" s="90"/>
      <c r="AO94" s="91"/>
      <c r="AP94" s="88"/>
      <c r="AQ94" s="103"/>
      <c r="AR94" s="108"/>
      <c r="AS94" s="116"/>
    </row>
    <row r="95" spans="1:45" ht="21" customHeight="1">
      <c r="A95" s="104" t="s">
        <v>284</v>
      </c>
      <c r="B95" s="107" t="s">
        <v>287</v>
      </c>
      <c r="C95" s="109" t="s">
        <v>952</v>
      </c>
      <c r="D95" s="93" t="s">
        <v>428</v>
      </c>
      <c r="E95" s="92" t="str">
        <f t="array" ref="E95">IFERROR(INDEX('iCoA Register'!$B:$B,MATCH("P060212|I",'iCoA Register'!$P:$P,0)),"iCoA — at issue")&amp;", (21.04.2026) [PP]"</f>
        <v>iCoA-PP_26-054, (21.04.2026) [PP]</v>
      </c>
      <c r="F95" s="84" t="s">
        <v>79</v>
      </c>
      <c r="G95" s="93" t="s">
        <v>428</v>
      </c>
      <c r="H95" s="92" t="str">
        <f t="array" ref="H95">IFERROR(INDEX('iCoA Register'!$B:$B,MATCH("P060212|I",'iCoA Register'!$P:$P,0)),"iCoA — at issue")&amp;", (21.04.2026) [PP]"</f>
        <v>iCoA-PP_26-054, (21.04.2026) [PP]</v>
      </c>
      <c r="I95" s="84" t="s">
        <v>79</v>
      </c>
      <c r="J95" s="93" t="s">
        <v>95</v>
      </c>
      <c r="K95" s="92" t="s">
        <v>956</v>
      </c>
      <c r="L95" s="84" t="s">
        <v>79</v>
      </c>
      <c r="M95" s="101" t="s">
        <v>1123</v>
      </c>
      <c r="N95" s="92" t="s">
        <v>956</v>
      </c>
      <c r="O95" s="84" t="s">
        <v>79</v>
      </c>
      <c r="P95" s="100" t="s">
        <v>630</v>
      </c>
      <c r="Q95" s="92" t="s">
        <v>956</v>
      </c>
      <c r="R95" s="84" t="s">
        <v>79</v>
      </c>
      <c r="S95" s="100" t="s">
        <v>530</v>
      </c>
      <c r="T95" s="92" t="s">
        <v>956</v>
      </c>
      <c r="U95" s="84" t="s">
        <v>79</v>
      </c>
      <c r="V95" s="93" t="s">
        <v>428</v>
      </c>
      <c r="W95" s="92" t="str">
        <f t="array" ref="W95">IFERROR(INDEX('iCoA Register'!$B:$B,MATCH("P060212|I",'iCoA Register'!$P:$P,0)),"iCoA — at issue")&amp;", (21.04.2026) [PP]"</f>
        <v>iCoA-PP_26-054, (21.04.2026) [PP]</v>
      </c>
      <c r="X95" s="84" t="s">
        <v>79</v>
      </c>
      <c r="Y95" s="93" t="s">
        <v>955</v>
      </c>
      <c r="Z95" s="92" t="s">
        <v>956</v>
      </c>
      <c r="AA95" s="84" t="s">
        <v>79</v>
      </c>
      <c r="AB95" s="55" t="s">
        <v>449</v>
      </c>
      <c r="AC95" s="56" t="s">
        <v>958</v>
      </c>
      <c r="AD95" s="56" t="s">
        <v>537</v>
      </c>
      <c r="AE95" s="56" t="s">
        <v>652</v>
      </c>
      <c r="AF95" s="56" t="s">
        <v>606</v>
      </c>
      <c r="AG95" s="97" t="s">
        <v>93</v>
      </c>
      <c r="AH95" s="31" t="s">
        <v>452</v>
      </c>
      <c r="AI95" s="32" t="s">
        <v>453</v>
      </c>
      <c r="AJ95" s="32" t="s">
        <v>452</v>
      </c>
      <c r="AK95" s="84" t="s">
        <v>79</v>
      </c>
      <c r="AL95" s="31" t="s">
        <v>961</v>
      </c>
      <c r="AM95" s="32" t="s">
        <v>962</v>
      </c>
      <c r="AN95" s="32" t="s">
        <v>963</v>
      </c>
      <c r="AO95" s="32" t="s">
        <v>964</v>
      </c>
      <c r="AP95" s="84" t="s">
        <v>79</v>
      </c>
      <c r="AQ95" s="93" t="s">
        <v>612</v>
      </c>
      <c r="AR95" s="92" t="s">
        <v>968</v>
      </c>
      <c r="AS95" s="98" t="s">
        <v>79</v>
      </c>
    </row>
    <row r="96" spans="1:45" ht="12.75" customHeight="1">
      <c r="A96" s="105"/>
      <c r="B96" s="80"/>
      <c r="C96" s="80"/>
      <c r="D96" s="94"/>
      <c r="E96" s="81"/>
      <c r="F96" s="85"/>
      <c r="G96" s="94"/>
      <c r="H96" s="81"/>
      <c r="I96" s="85"/>
      <c r="J96" s="94"/>
      <c r="K96" s="81"/>
      <c r="L96" s="85"/>
      <c r="M96" s="94"/>
      <c r="N96" s="81"/>
      <c r="O96" s="85"/>
      <c r="P96" s="94"/>
      <c r="Q96" s="81"/>
      <c r="R96" s="85"/>
      <c r="S96" s="94"/>
      <c r="T96" s="81"/>
      <c r="U96" s="85"/>
      <c r="V96" s="94"/>
      <c r="W96" s="81"/>
      <c r="X96" s="85"/>
      <c r="Y96" s="94"/>
      <c r="Z96" s="81"/>
      <c r="AA96" s="85"/>
      <c r="AB96" s="150" t="s">
        <v>970</v>
      </c>
      <c r="AC96" s="77"/>
      <c r="AD96" s="77"/>
      <c r="AE96" s="77"/>
      <c r="AF96" s="78"/>
      <c r="AG96" s="85"/>
      <c r="AH96" s="86" t="s">
        <v>968</v>
      </c>
      <c r="AI96" s="77"/>
      <c r="AJ96" s="78"/>
      <c r="AK96" s="85"/>
      <c r="AL96" s="86" t="s">
        <v>968</v>
      </c>
      <c r="AM96" s="77"/>
      <c r="AN96" s="77"/>
      <c r="AO96" s="78"/>
      <c r="AP96" s="85"/>
      <c r="AQ96" s="94"/>
      <c r="AR96" s="81"/>
      <c r="AS96" s="99"/>
    </row>
    <row r="97" spans="1:45" ht="21" customHeight="1">
      <c r="A97" s="105"/>
      <c r="B97" s="80"/>
      <c r="C97" s="80"/>
      <c r="D97" s="33"/>
      <c r="E97" s="34"/>
      <c r="F97" s="35"/>
      <c r="G97" s="121" t="s">
        <v>434</v>
      </c>
      <c r="H97" s="122" t="s">
        <v>1141</v>
      </c>
      <c r="I97" s="123" t="s">
        <v>93</v>
      </c>
      <c r="J97" s="121" t="s">
        <v>95</v>
      </c>
      <c r="K97" s="122" t="s">
        <v>976</v>
      </c>
      <c r="L97" s="123" t="s">
        <v>93</v>
      </c>
      <c r="M97" s="134" t="s">
        <v>1145</v>
      </c>
      <c r="N97" s="122" t="s">
        <v>976</v>
      </c>
      <c r="O97" s="123" t="s">
        <v>93</v>
      </c>
      <c r="P97" s="132" t="s">
        <v>442</v>
      </c>
      <c r="Q97" s="122" t="s">
        <v>976</v>
      </c>
      <c r="R97" s="123" t="s">
        <v>93</v>
      </c>
      <c r="S97" s="132" t="s">
        <v>530</v>
      </c>
      <c r="T97" s="122" t="s">
        <v>976</v>
      </c>
      <c r="U97" s="123" t="s">
        <v>93</v>
      </c>
      <c r="V97" s="33"/>
      <c r="W97" s="34"/>
      <c r="X97" s="35"/>
      <c r="Y97" s="121" t="s">
        <v>975</v>
      </c>
      <c r="Z97" s="122" t="s">
        <v>976</v>
      </c>
      <c r="AA97" s="123" t="s">
        <v>93</v>
      </c>
      <c r="AB97" s="36" t="s">
        <v>980</v>
      </c>
      <c r="AC97" s="37" t="s">
        <v>982</v>
      </c>
      <c r="AD97" s="37" t="s">
        <v>452</v>
      </c>
      <c r="AE97" s="37" t="s">
        <v>984</v>
      </c>
      <c r="AF97" s="37" t="s">
        <v>986</v>
      </c>
      <c r="AG97" s="87" t="s">
        <v>79</v>
      </c>
      <c r="AH97" s="57" t="s">
        <v>452</v>
      </c>
      <c r="AI97" s="58" t="s">
        <v>453</v>
      </c>
      <c r="AJ97" s="58" t="s">
        <v>452</v>
      </c>
      <c r="AK97" s="123" t="s">
        <v>93</v>
      </c>
      <c r="AL97" s="57" t="s">
        <v>988</v>
      </c>
      <c r="AM97" s="58" t="s">
        <v>989</v>
      </c>
      <c r="AN97" s="58" t="s">
        <v>990</v>
      </c>
      <c r="AO97" s="58" t="s">
        <v>991</v>
      </c>
      <c r="AP97" s="123" t="s">
        <v>93</v>
      </c>
      <c r="AQ97" s="121" t="s">
        <v>994</v>
      </c>
      <c r="AR97" s="122" t="s">
        <v>995</v>
      </c>
      <c r="AS97" s="152" t="s">
        <v>93</v>
      </c>
    </row>
    <row r="98" spans="1:45" ht="21" customHeight="1">
      <c r="A98" s="105"/>
      <c r="B98" s="80"/>
      <c r="C98" s="80"/>
      <c r="D98" s="49"/>
      <c r="E98" s="50"/>
      <c r="F98" s="51"/>
      <c r="G98" s="133"/>
      <c r="H98" s="130"/>
      <c r="I98" s="131"/>
      <c r="J98" s="133"/>
      <c r="K98" s="130"/>
      <c r="L98" s="131"/>
      <c r="M98" s="133"/>
      <c r="N98" s="130"/>
      <c r="O98" s="131"/>
      <c r="P98" s="133"/>
      <c r="Q98" s="130"/>
      <c r="R98" s="131"/>
      <c r="S98" s="133"/>
      <c r="T98" s="130"/>
      <c r="U98" s="131"/>
      <c r="V98" s="49"/>
      <c r="W98" s="50"/>
      <c r="X98" s="51"/>
      <c r="Y98" s="133"/>
      <c r="Z98" s="130"/>
      <c r="AA98" s="131"/>
      <c r="AB98" s="141" t="s">
        <v>1000</v>
      </c>
      <c r="AC98" s="142"/>
      <c r="AD98" s="142"/>
      <c r="AE98" s="142"/>
      <c r="AF98" s="143"/>
      <c r="AG98" s="131"/>
      <c r="AH98" s="151" t="s">
        <v>995</v>
      </c>
      <c r="AI98" s="142"/>
      <c r="AJ98" s="143"/>
      <c r="AK98" s="131"/>
      <c r="AL98" s="151" t="s">
        <v>995</v>
      </c>
      <c r="AM98" s="142"/>
      <c r="AN98" s="142"/>
      <c r="AO98" s="143"/>
      <c r="AP98" s="131"/>
      <c r="AQ98" s="133"/>
      <c r="AR98" s="130"/>
      <c r="AS98" s="146"/>
    </row>
    <row r="99" spans="1:45" ht="17.25" customHeight="1">
      <c r="A99" s="105"/>
      <c r="B99" s="80"/>
      <c r="C99" s="80"/>
      <c r="D99" s="33"/>
      <c r="E99" s="34"/>
      <c r="F99" s="35"/>
      <c r="G99" s="121" t="s">
        <v>434</v>
      </c>
      <c r="H99" s="122" t="s">
        <v>976</v>
      </c>
      <c r="I99" s="123" t="s">
        <v>93</v>
      </c>
      <c r="J99" s="102" t="s">
        <v>463</v>
      </c>
      <c r="K99" s="110" t="s">
        <v>1151</v>
      </c>
      <c r="L99" s="87" t="s">
        <v>79</v>
      </c>
      <c r="M99" s="124" t="s">
        <v>1152</v>
      </c>
      <c r="N99" s="110" t="s">
        <v>1151</v>
      </c>
      <c r="O99" s="87" t="s">
        <v>79</v>
      </c>
      <c r="P99" s="120" t="s">
        <v>467</v>
      </c>
      <c r="Q99" s="110" t="s">
        <v>1151</v>
      </c>
      <c r="R99" s="87" t="s">
        <v>79</v>
      </c>
      <c r="S99" s="120" t="s">
        <v>467</v>
      </c>
      <c r="T99" s="110" t="s">
        <v>1151</v>
      </c>
      <c r="U99" s="87" t="s">
        <v>79</v>
      </c>
      <c r="V99" s="33"/>
      <c r="W99" s="34"/>
      <c r="X99" s="35"/>
      <c r="Y99" s="121" t="s">
        <v>434</v>
      </c>
      <c r="Z99" s="122" t="s">
        <v>1008</v>
      </c>
      <c r="AA99" s="123" t="s">
        <v>93</v>
      </c>
      <c r="AB99" s="33"/>
      <c r="AC99" s="34"/>
      <c r="AD99" s="34"/>
      <c r="AE99" s="34"/>
      <c r="AF99" s="34"/>
      <c r="AG99" s="35"/>
      <c r="AH99" s="36" t="s">
        <v>472</v>
      </c>
      <c r="AI99" s="37" t="s">
        <v>473</v>
      </c>
      <c r="AJ99" s="37" t="s">
        <v>472</v>
      </c>
      <c r="AK99" s="87" t="s">
        <v>79</v>
      </c>
      <c r="AL99" s="33"/>
      <c r="AM99" s="34"/>
      <c r="AN99" s="34"/>
      <c r="AO99" s="34"/>
      <c r="AP99" s="35"/>
      <c r="AQ99" s="33"/>
      <c r="AR99" s="34"/>
      <c r="AS99" s="38"/>
    </row>
    <row r="100" spans="1:45" ht="15" customHeight="1">
      <c r="A100" s="106"/>
      <c r="B100" s="108"/>
      <c r="C100" s="108"/>
      <c r="D100" s="39"/>
      <c r="E100" s="40"/>
      <c r="F100" s="41"/>
      <c r="G100" s="103"/>
      <c r="H100" s="108"/>
      <c r="I100" s="88"/>
      <c r="J100" s="103"/>
      <c r="K100" s="108"/>
      <c r="L100" s="88"/>
      <c r="M100" s="103"/>
      <c r="N100" s="108"/>
      <c r="O100" s="88"/>
      <c r="P100" s="103"/>
      <c r="Q100" s="108"/>
      <c r="R100" s="88"/>
      <c r="S100" s="103"/>
      <c r="T100" s="108"/>
      <c r="U100" s="88"/>
      <c r="V100" s="39"/>
      <c r="W100" s="40"/>
      <c r="X100" s="41"/>
      <c r="Y100" s="103"/>
      <c r="Z100" s="108"/>
      <c r="AA100" s="88"/>
      <c r="AB100" s="39"/>
      <c r="AC100" s="40"/>
      <c r="AD100" s="40"/>
      <c r="AE100" s="40"/>
      <c r="AF100" s="40"/>
      <c r="AG100" s="41"/>
      <c r="AH100" s="89" t="s">
        <v>1021</v>
      </c>
      <c r="AI100" s="90"/>
      <c r="AJ100" s="91"/>
      <c r="AK100" s="88"/>
      <c r="AL100" s="39"/>
      <c r="AM100" s="40"/>
      <c r="AN100" s="40"/>
      <c r="AO100" s="40"/>
      <c r="AP100" s="41"/>
      <c r="AQ100" s="39"/>
      <c r="AR100" s="40"/>
      <c r="AS100" s="42"/>
    </row>
    <row r="101" spans="1:45" ht="21" customHeight="1">
      <c r="A101" s="104" t="s">
        <v>349</v>
      </c>
      <c r="B101" s="107" t="s">
        <v>425</v>
      </c>
      <c r="C101" s="109" t="s">
        <v>76</v>
      </c>
      <c r="D101" s="93" t="s">
        <v>428</v>
      </c>
      <c r="E101" s="92" t="str">
        <f t="array" ref="E101">IFERROR(INDEX('iCoA Register'!$B:$B,MATCH("JD112501|I",'iCoA Register'!$P:$P,0)),"iCoA — at issue")&amp;", (packaging date — to record) [PP]"</f>
        <v>— at issue —, (packaging date — to record) [PP]</v>
      </c>
      <c r="F101" s="84" t="s">
        <v>79</v>
      </c>
      <c r="G101" s="93" t="s">
        <v>428</v>
      </c>
      <c r="H101" s="92" t="str">
        <f t="array" ref="H101">IFERROR(INDEX('iCoA Register'!$B:$B,MATCH("JD112501|I",'iCoA Register'!$P:$P,0)),"iCoA — at issue")&amp;", (packaging date — to record) [PP]"</f>
        <v>— at issue —, (packaging date — to record) [PP]</v>
      </c>
      <c r="I101" s="84" t="s">
        <v>79</v>
      </c>
      <c r="J101" s="93" t="s">
        <v>95</v>
      </c>
      <c r="K101" s="92" t="s">
        <v>1166</v>
      </c>
      <c r="L101" s="84" t="s">
        <v>79</v>
      </c>
      <c r="M101" s="101" t="s">
        <v>1145</v>
      </c>
      <c r="N101" s="92" t="s">
        <v>1166</v>
      </c>
      <c r="O101" s="84" t="s">
        <v>79</v>
      </c>
      <c r="P101" s="100" t="s">
        <v>442</v>
      </c>
      <c r="Q101" s="92" t="s">
        <v>1166</v>
      </c>
      <c r="R101" s="84" t="s">
        <v>79</v>
      </c>
      <c r="S101" s="100" t="s">
        <v>530</v>
      </c>
      <c r="T101" s="92" t="s">
        <v>1166</v>
      </c>
      <c r="U101" s="84" t="s">
        <v>79</v>
      </c>
      <c r="V101" s="93" t="s">
        <v>428</v>
      </c>
      <c r="W101" s="92" t="str">
        <f t="array" ref="W101">IFERROR(INDEX('iCoA Register'!$B:$B,MATCH("JD112501|I",'iCoA Register'!$P:$P,0)),"iCoA — at issue")&amp;", (packaging date — to record) [PP]"</f>
        <v>— at issue —, (packaging date — to record) [PP]</v>
      </c>
      <c r="X101" s="84" t="s">
        <v>79</v>
      </c>
      <c r="Y101" s="93" t="s">
        <v>975</v>
      </c>
      <c r="Z101" s="92" t="s">
        <v>1166</v>
      </c>
      <c r="AA101" s="84" t="s">
        <v>79</v>
      </c>
      <c r="AB101" s="31" t="s">
        <v>449</v>
      </c>
      <c r="AC101" s="32" t="s">
        <v>958</v>
      </c>
      <c r="AD101" s="32" t="s">
        <v>537</v>
      </c>
      <c r="AE101" s="32" t="s">
        <v>652</v>
      </c>
      <c r="AF101" s="32" t="s">
        <v>606</v>
      </c>
      <c r="AG101" s="84" t="s">
        <v>79</v>
      </c>
      <c r="AH101" s="31" t="s">
        <v>452</v>
      </c>
      <c r="AI101" s="32" t="s">
        <v>453</v>
      </c>
      <c r="AJ101" s="32" t="s">
        <v>452</v>
      </c>
      <c r="AK101" s="84" t="s">
        <v>79</v>
      </c>
      <c r="AL101" s="31" t="s">
        <v>988</v>
      </c>
      <c r="AM101" s="32" t="s">
        <v>989</v>
      </c>
      <c r="AN101" s="32" t="s">
        <v>990</v>
      </c>
      <c r="AO101" s="32" t="s">
        <v>991</v>
      </c>
      <c r="AP101" s="84" t="s">
        <v>79</v>
      </c>
      <c r="AQ101" s="93" t="s">
        <v>994</v>
      </c>
      <c r="AR101" s="92" t="s">
        <v>1177</v>
      </c>
      <c r="AS101" s="98" t="s">
        <v>79</v>
      </c>
    </row>
    <row r="102" spans="1:45" ht="21" customHeight="1">
      <c r="A102" s="106"/>
      <c r="B102" s="108"/>
      <c r="C102" s="108"/>
      <c r="D102" s="103"/>
      <c r="E102" s="108"/>
      <c r="F102" s="88"/>
      <c r="G102" s="103"/>
      <c r="H102" s="108"/>
      <c r="I102" s="88"/>
      <c r="J102" s="103"/>
      <c r="K102" s="108"/>
      <c r="L102" s="88"/>
      <c r="M102" s="103"/>
      <c r="N102" s="108"/>
      <c r="O102" s="88"/>
      <c r="P102" s="103"/>
      <c r="Q102" s="108"/>
      <c r="R102" s="88"/>
      <c r="S102" s="103"/>
      <c r="T102" s="108"/>
      <c r="U102" s="88"/>
      <c r="V102" s="103"/>
      <c r="W102" s="108"/>
      <c r="X102" s="88"/>
      <c r="Y102" s="103"/>
      <c r="Z102" s="108"/>
      <c r="AA102" s="88"/>
      <c r="AB102" s="89" t="s">
        <v>1180</v>
      </c>
      <c r="AC102" s="90"/>
      <c r="AD102" s="90"/>
      <c r="AE102" s="90"/>
      <c r="AF102" s="91"/>
      <c r="AG102" s="88"/>
      <c r="AH102" s="89" t="s">
        <v>1177</v>
      </c>
      <c r="AI102" s="90"/>
      <c r="AJ102" s="91"/>
      <c r="AK102" s="88"/>
      <c r="AL102" s="89" t="s">
        <v>1177</v>
      </c>
      <c r="AM102" s="90"/>
      <c r="AN102" s="90"/>
      <c r="AO102" s="91"/>
      <c r="AP102" s="88"/>
      <c r="AQ102" s="103"/>
      <c r="AR102" s="108"/>
      <c r="AS102" s="116"/>
    </row>
    <row r="103" spans="1:45" ht="21" customHeight="1">
      <c r="A103" s="104" t="s">
        <v>355</v>
      </c>
      <c r="B103" s="107" t="s">
        <v>357</v>
      </c>
      <c r="C103" s="118" t="s">
        <v>1023</v>
      </c>
      <c r="D103" s="93" t="s">
        <v>428</v>
      </c>
      <c r="E103" s="92" t="str">
        <f t="array" ref="E103">IFERROR(INDEX('iCoA Register'!$B:$B,MATCH("P060172|I",'iCoA Register'!$P:$P,0)),"iCoA — at issue")&amp;", (12.03.2026) [PP]"</f>
        <v>iCoA-PP_26-050, (12.03.2026) [PP]</v>
      </c>
      <c r="F103" s="84" t="s">
        <v>79</v>
      </c>
      <c r="G103" s="93" t="s">
        <v>428</v>
      </c>
      <c r="H103" s="92" t="str">
        <f t="array" ref="H103">IFERROR(INDEX('iCoA Register'!$B:$B,MATCH("P060172|I",'iCoA Register'!$P:$P,0)),"iCoA — at issue")&amp;", (12.03.2026) [PP]"</f>
        <v>iCoA-PP_26-050, (12.03.2026) [PP]</v>
      </c>
      <c r="I103" s="84" t="s">
        <v>79</v>
      </c>
      <c r="J103" s="95" t="s">
        <v>434</v>
      </c>
      <c r="K103" s="96" t="s">
        <v>1190</v>
      </c>
      <c r="L103" s="97" t="s">
        <v>93</v>
      </c>
      <c r="M103" s="125" t="s">
        <v>434</v>
      </c>
      <c r="N103" s="96" t="s">
        <v>1190</v>
      </c>
      <c r="O103" s="97" t="s">
        <v>93</v>
      </c>
      <c r="P103" s="126" t="s">
        <v>434</v>
      </c>
      <c r="Q103" s="96" t="s">
        <v>1190</v>
      </c>
      <c r="R103" s="97" t="s">
        <v>93</v>
      </c>
      <c r="S103" s="126" t="s">
        <v>434</v>
      </c>
      <c r="T103" s="96" t="s">
        <v>1190</v>
      </c>
      <c r="U103" s="97" t="s">
        <v>93</v>
      </c>
      <c r="V103" s="93" t="s">
        <v>428</v>
      </c>
      <c r="W103" s="92" t="str">
        <f t="array" ref="W103">IFERROR(INDEX('iCoA Register'!$B:$B,MATCH("P060172|I",'iCoA Register'!$P:$P,0)),"iCoA — at issue")&amp;", (12.03.2026) [PP]"</f>
        <v>iCoA-PP_26-050, (12.03.2026) [PP]</v>
      </c>
      <c r="X103" s="84" t="s">
        <v>79</v>
      </c>
      <c r="Y103" s="93" t="s">
        <v>1029</v>
      </c>
      <c r="Z103" s="92" t="s">
        <v>1031</v>
      </c>
      <c r="AA103" s="84" t="s">
        <v>79</v>
      </c>
      <c r="AB103" s="43" t="s">
        <v>531</v>
      </c>
      <c r="AC103" s="44" t="s">
        <v>531</v>
      </c>
      <c r="AD103" s="44" t="s">
        <v>531</v>
      </c>
      <c r="AE103" s="44" t="s">
        <v>531</v>
      </c>
      <c r="AF103" s="44" t="s">
        <v>531</v>
      </c>
      <c r="AG103" s="112" t="s">
        <v>198</v>
      </c>
      <c r="AH103" s="43" t="s">
        <v>531</v>
      </c>
      <c r="AI103" s="44" t="s">
        <v>531</v>
      </c>
      <c r="AJ103" s="44" t="s">
        <v>531</v>
      </c>
      <c r="AK103" s="112" t="s">
        <v>198</v>
      </c>
      <c r="AL103" s="43" t="s">
        <v>531</v>
      </c>
      <c r="AM103" s="44" t="s">
        <v>531</v>
      </c>
      <c r="AN103" s="44" t="s">
        <v>531</v>
      </c>
      <c r="AO103" s="44" t="s">
        <v>531</v>
      </c>
      <c r="AP103" s="112" t="s">
        <v>198</v>
      </c>
      <c r="AQ103" s="113" t="s">
        <v>531</v>
      </c>
      <c r="AR103" s="114" t="s">
        <v>547</v>
      </c>
      <c r="AS103" s="115" t="s">
        <v>198</v>
      </c>
    </row>
    <row r="104" spans="1:45" ht="21" customHeight="1">
      <c r="A104" s="105"/>
      <c r="B104" s="80"/>
      <c r="C104" s="80"/>
      <c r="D104" s="94"/>
      <c r="E104" s="81"/>
      <c r="F104" s="85"/>
      <c r="G104" s="94"/>
      <c r="H104" s="81"/>
      <c r="I104" s="85"/>
      <c r="J104" s="94"/>
      <c r="K104" s="81"/>
      <c r="L104" s="85"/>
      <c r="M104" s="94"/>
      <c r="N104" s="81"/>
      <c r="O104" s="85"/>
      <c r="P104" s="94"/>
      <c r="Q104" s="81"/>
      <c r="R104" s="85"/>
      <c r="S104" s="94"/>
      <c r="T104" s="81"/>
      <c r="U104" s="85"/>
      <c r="V104" s="94"/>
      <c r="W104" s="81"/>
      <c r="X104" s="85"/>
      <c r="Y104" s="94"/>
      <c r="Z104" s="81"/>
      <c r="AA104" s="85"/>
      <c r="AB104" s="119" t="s">
        <v>547</v>
      </c>
      <c r="AC104" s="77"/>
      <c r="AD104" s="77"/>
      <c r="AE104" s="77"/>
      <c r="AF104" s="78"/>
      <c r="AG104" s="85"/>
      <c r="AH104" s="119" t="s">
        <v>547</v>
      </c>
      <c r="AI104" s="77"/>
      <c r="AJ104" s="78"/>
      <c r="AK104" s="85"/>
      <c r="AL104" s="119" t="s">
        <v>547</v>
      </c>
      <c r="AM104" s="77"/>
      <c r="AN104" s="77"/>
      <c r="AO104" s="78"/>
      <c r="AP104" s="85"/>
      <c r="AQ104" s="94"/>
      <c r="AR104" s="81"/>
      <c r="AS104" s="99"/>
    </row>
    <row r="105" spans="1:45" ht="17.25" customHeight="1">
      <c r="A105" s="105"/>
      <c r="B105" s="80"/>
      <c r="C105" s="80"/>
      <c r="D105" s="33"/>
      <c r="E105" s="34"/>
      <c r="F105" s="35"/>
      <c r="G105" s="33"/>
      <c r="H105" s="34"/>
      <c r="I105" s="35"/>
      <c r="J105" s="102" t="s">
        <v>463</v>
      </c>
      <c r="K105" s="110" t="s">
        <v>1202</v>
      </c>
      <c r="L105" s="87" t="s">
        <v>79</v>
      </c>
      <c r="M105" s="124" t="s">
        <v>1203</v>
      </c>
      <c r="N105" s="110" t="s">
        <v>1202</v>
      </c>
      <c r="O105" s="87" t="s">
        <v>79</v>
      </c>
      <c r="P105" s="120" t="s">
        <v>849</v>
      </c>
      <c r="Q105" s="110" t="s">
        <v>1202</v>
      </c>
      <c r="R105" s="87" t="s">
        <v>79</v>
      </c>
      <c r="S105" s="120" t="s">
        <v>849</v>
      </c>
      <c r="T105" s="110" t="s">
        <v>1202</v>
      </c>
      <c r="U105" s="87" t="s">
        <v>79</v>
      </c>
      <c r="V105" s="33"/>
      <c r="W105" s="34"/>
      <c r="X105" s="35"/>
      <c r="Y105" s="121" t="s">
        <v>434</v>
      </c>
      <c r="Z105" s="122" t="s">
        <v>1042</v>
      </c>
      <c r="AA105" s="123" t="s">
        <v>93</v>
      </c>
      <c r="AB105" s="33"/>
      <c r="AC105" s="34"/>
      <c r="AD105" s="34"/>
      <c r="AE105" s="34"/>
      <c r="AF105" s="34"/>
      <c r="AG105" s="35"/>
      <c r="AH105" s="33"/>
      <c r="AI105" s="34"/>
      <c r="AJ105" s="34"/>
      <c r="AK105" s="35"/>
      <c r="AL105" s="33"/>
      <c r="AM105" s="34"/>
      <c r="AN105" s="34"/>
      <c r="AO105" s="34"/>
      <c r="AP105" s="35"/>
      <c r="AQ105" s="33"/>
      <c r="AR105" s="34"/>
      <c r="AS105" s="38"/>
    </row>
    <row r="106" spans="1:45" ht="15" customHeight="1">
      <c r="A106" s="106"/>
      <c r="B106" s="108"/>
      <c r="C106" s="108"/>
      <c r="D106" s="39"/>
      <c r="E106" s="40"/>
      <c r="F106" s="41"/>
      <c r="G106" s="39"/>
      <c r="H106" s="40"/>
      <c r="I106" s="41"/>
      <c r="J106" s="103"/>
      <c r="K106" s="108"/>
      <c r="L106" s="88"/>
      <c r="M106" s="103"/>
      <c r="N106" s="108"/>
      <c r="O106" s="88"/>
      <c r="P106" s="103"/>
      <c r="Q106" s="108"/>
      <c r="R106" s="88"/>
      <c r="S106" s="103"/>
      <c r="T106" s="108"/>
      <c r="U106" s="88"/>
      <c r="V106" s="39"/>
      <c r="W106" s="40"/>
      <c r="X106" s="41"/>
      <c r="Y106" s="103"/>
      <c r="Z106" s="108"/>
      <c r="AA106" s="88"/>
      <c r="AB106" s="39"/>
      <c r="AC106" s="40"/>
      <c r="AD106" s="40"/>
      <c r="AE106" s="40"/>
      <c r="AF106" s="40"/>
      <c r="AG106" s="41"/>
      <c r="AH106" s="39"/>
      <c r="AI106" s="40"/>
      <c r="AJ106" s="40"/>
      <c r="AK106" s="41"/>
      <c r="AL106" s="39"/>
      <c r="AM106" s="40"/>
      <c r="AN106" s="40"/>
      <c r="AO106" s="40"/>
      <c r="AP106" s="41"/>
      <c r="AQ106" s="39"/>
      <c r="AR106" s="40"/>
      <c r="AS106" s="42"/>
    </row>
    <row r="107" spans="1:45" ht="21" customHeight="1">
      <c r="A107" s="104" t="s">
        <v>291</v>
      </c>
      <c r="B107" s="107" t="s">
        <v>425</v>
      </c>
      <c r="C107" s="118" t="s">
        <v>681</v>
      </c>
      <c r="D107" s="93" t="s">
        <v>632</v>
      </c>
      <c r="E107" s="92" t="s">
        <v>638</v>
      </c>
      <c r="F107" s="84" t="s">
        <v>79</v>
      </c>
      <c r="G107" s="93" t="s">
        <v>428</v>
      </c>
      <c r="H107" s="92" t="str">
        <f t="array" ref="H107">IFERROR(INDEX('iCoA Register'!$B:$B,MATCH("OPM1024|I",'iCoA Register'!$P:$P,0)),"iCoA — at issue")&amp;", (24.04.2025) [PP]"</f>
        <v>iCoA-PP_26-006, (24.04.2025) [PP]</v>
      </c>
      <c r="I107" s="84" t="s">
        <v>79</v>
      </c>
      <c r="J107" s="93" t="s">
        <v>463</v>
      </c>
      <c r="K107" s="92" t="s">
        <v>1217</v>
      </c>
      <c r="L107" s="84" t="s">
        <v>79</v>
      </c>
      <c r="M107" s="101" t="s">
        <v>1219</v>
      </c>
      <c r="N107" s="92" t="s">
        <v>1217</v>
      </c>
      <c r="O107" s="84" t="s">
        <v>79</v>
      </c>
      <c r="P107" s="100" t="s">
        <v>705</v>
      </c>
      <c r="Q107" s="92" t="s">
        <v>1217</v>
      </c>
      <c r="R107" s="84" t="s">
        <v>79</v>
      </c>
      <c r="S107" s="100" t="s">
        <v>705</v>
      </c>
      <c r="T107" s="92" t="s">
        <v>1217</v>
      </c>
      <c r="U107" s="84" t="s">
        <v>79</v>
      </c>
      <c r="V107" s="93" t="s">
        <v>632</v>
      </c>
      <c r="W107" s="92" t="s">
        <v>638</v>
      </c>
      <c r="X107" s="84" t="s">
        <v>79</v>
      </c>
      <c r="Y107" s="95" t="s">
        <v>434</v>
      </c>
      <c r="Z107" s="96" t="s">
        <v>1053</v>
      </c>
      <c r="AA107" s="97" t="s">
        <v>93</v>
      </c>
      <c r="AB107" s="43" t="s">
        <v>531</v>
      </c>
      <c r="AC107" s="44" t="s">
        <v>531</v>
      </c>
      <c r="AD107" s="44" t="s">
        <v>531</v>
      </c>
      <c r="AE107" s="44" t="s">
        <v>531</v>
      </c>
      <c r="AF107" s="44" t="s">
        <v>531</v>
      </c>
      <c r="AG107" s="112" t="s">
        <v>198</v>
      </c>
      <c r="AH107" s="31" t="s">
        <v>472</v>
      </c>
      <c r="AI107" s="32" t="s">
        <v>473</v>
      </c>
      <c r="AJ107" s="32" t="s">
        <v>472</v>
      </c>
      <c r="AK107" s="84" t="s">
        <v>79</v>
      </c>
      <c r="AL107" s="43" t="s">
        <v>531</v>
      </c>
      <c r="AM107" s="44" t="s">
        <v>531</v>
      </c>
      <c r="AN107" s="44" t="s">
        <v>531</v>
      </c>
      <c r="AO107" s="44" t="s">
        <v>531</v>
      </c>
      <c r="AP107" s="112" t="s">
        <v>198</v>
      </c>
      <c r="AQ107" s="113" t="s">
        <v>531</v>
      </c>
      <c r="AR107" s="114" t="s">
        <v>547</v>
      </c>
      <c r="AS107" s="115" t="s">
        <v>198</v>
      </c>
    </row>
    <row r="108" spans="1:45" ht="15" customHeight="1">
      <c r="A108" s="105"/>
      <c r="B108" s="80"/>
      <c r="C108" s="80"/>
      <c r="D108" s="94"/>
      <c r="E108" s="81"/>
      <c r="F108" s="85"/>
      <c r="G108" s="94"/>
      <c r="H108" s="81"/>
      <c r="I108" s="85"/>
      <c r="J108" s="94"/>
      <c r="K108" s="81"/>
      <c r="L108" s="85"/>
      <c r="M108" s="94"/>
      <c r="N108" s="81"/>
      <c r="O108" s="85"/>
      <c r="P108" s="94"/>
      <c r="Q108" s="81"/>
      <c r="R108" s="85"/>
      <c r="S108" s="94"/>
      <c r="T108" s="81"/>
      <c r="U108" s="85"/>
      <c r="V108" s="94"/>
      <c r="W108" s="81"/>
      <c r="X108" s="85"/>
      <c r="Y108" s="94"/>
      <c r="Z108" s="81"/>
      <c r="AA108" s="85"/>
      <c r="AB108" s="119" t="s">
        <v>547</v>
      </c>
      <c r="AC108" s="77"/>
      <c r="AD108" s="77"/>
      <c r="AE108" s="77"/>
      <c r="AF108" s="78"/>
      <c r="AG108" s="85"/>
      <c r="AH108" s="86" t="s">
        <v>1067</v>
      </c>
      <c r="AI108" s="77"/>
      <c r="AJ108" s="78"/>
      <c r="AK108" s="85"/>
      <c r="AL108" s="119" t="s">
        <v>547</v>
      </c>
      <c r="AM108" s="77"/>
      <c r="AN108" s="77"/>
      <c r="AO108" s="78"/>
      <c r="AP108" s="85"/>
      <c r="AQ108" s="94"/>
      <c r="AR108" s="81"/>
      <c r="AS108" s="99"/>
    </row>
    <row r="109" spans="1:45" ht="13.5" customHeight="1">
      <c r="A109" s="105"/>
      <c r="B109" s="80"/>
      <c r="C109" s="80"/>
      <c r="D109" s="102" t="s">
        <v>428</v>
      </c>
      <c r="E109" s="110" t="str">
        <f t="array" ref="E109">IFERROR(INDEX('iCoA Register'!$B:$B,MATCH("OPM1024|I",'iCoA Register'!$P:$P,0)),"iCoA — at issue")&amp;", (24.04.2025) [PP]"</f>
        <v>iCoA-PP_26-006, (24.04.2025) [PP]</v>
      </c>
      <c r="F109" s="87" t="s">
        <v>79</v>
      </c>
      <c r="G109" s="33"/>
      <c r="H109" s="34"/>
      <c r="I109" s="35"/>
      <c r="J109" s="33"/>
      <c r="K109" s="34"/>
      <c r="L109" s="35"/>
      <c r="M109" s="33"/>
      <c r="N109" s="34"/>
      <c r="O109" s="35"/>
      <c r="P109" s="33"/>
      <c r="Q109" s="34"/>
      <c r="R109" s="35"/>
      <c r="S109" s="33"/>
      <c r="T109" s="34"/>
      <c r="U109" s="35"/>
      <c r="V109" s="102" t="s">
        <v>428</v>
      </c>
      <c r="W109" s="110" t="str">
        <f t="array" ref="W109">IFERROR(INDEX('iCoA Register'!$B:$B,MATCH("OPM1024|I",'iCoA Register'!$P:$P,0)),"iCoA — at issue")&amp;", (24.04.2025) [PP]"</f>
        <v>iCoA-PP_26-006, (24.04.2025) [PP]</v>
      </c>
      <c r="X109" s="87" t="s">
        <v>79</v>
      </c>
      <c r="Y109" s="33"/>
      <c r="Z109" s="34"/>
      <c r="AA109" s="35"/>
      <c r="AB109" s="33"/>
      <c r="AC109" s="34"/>
      <c r="AD109" s="34"/>
      <c r="AE109" s="34"/>
      <c r="AF109" s="34"/>
      <c r="AG109" s="35"/>
      <c r="AH109" s="33"/>
      <c r="AI109" s="34"/>
      <c r="AJ109" s="34"/>
      <c r="AK109" s="35"/>
      <c r="AL109" s="33"/>
      <c r="AM109" s="34"/>
      <c r="AN109" s="34"/>
      <c r="AO109" s="34"/>
      <c r="AP109" s="35"/>
      <c r="AQ109" s="33"/>
      <c r="AR109" s="34"/>
      <c r="AS109" s="38"/>
    </row>
    <row r="110" spans="1:45" ht="12.75" customHeight="1">
      <c r="A110" s="106"/>
      <c r="B110" s="108"/>
      <c r="C110" s="108"/>
      <c r="D110" s="103"/>
      <c r="E110" s="108"/>
      <c r="F110" s="88"/>
      <c r="G110" s="39"/>
      <c r="H110" s="40"/>
      <c r="I110" s="41"/>
      <c r="J110" s="39"/>
      <c r="K110" s="40"/>
      <c r="L110" s="41"/>
      <c r="M110" s="39"/>
      <c r="N110" s="40"/>
      <c r="O110" s="41"/>
      <c r="P110" s="39"/>
      <c r="Q110" s="40"/>
      <c r="R110" s="41"/>
      <c r="S110" s="39"/>
      <c r="T110" s="40"/>
      <c r="U110" s="41"/>
      <c r="V110" s="103"/>
      <c r="W110" s="108"/>
      <c r="X110" s="88"/>
      <c r="Y110" s="39"/>
      <c r="Z110" s="40"/>
      <c r="AA110" s="41"/>
      <c r="AB110" s="39"/>
      <c r="AC110" s="40"/>
      <c r="AD110" s="40"/>
      <c r="AE110" s="40"/>
      <c r="AF110" s="40"/>
      <c r="AG110" s="41"/>
      <c r="AH110" s="39"/>
      <c r="AI110" s="40"/>
      <c r="AJ110" s="40"/>
      <c r="AK110" s="41"/>
      <c r="AL110" s="39"/>
      <c r="AM110" s="40"/>
      <c r="AN110" s="40"/>
      <c r="AO110" s="40"/>
      <c r="AP110" s="41"/>
      <c r="AQ110" s="39"/>
      <c r="AR110" s="40"/>
      <c r="AS110" s="42"/>
    </row>
    <row r="111" spans="1:45" ht="21" customHeight="1">
      <c r="A111" s="104" t="s">
        <v>379</v>
      </c>
      <c r="B111" s="107" t="s">
        <v>380</v>
      </c>
      <c r="C111" s="118" t="s">
        <v>1081</v>
      </c>
      <c r="D111" s="93" t="s">
        <v>428</v>
      </c>
      <c r="E111" s="92" t="str">
        <f t="array" ref="E111">IFERROR(INDEX('iCoA Register'!$B:$B,MATCH("P060222|I",'iCoA Register'!$P:$P,0)),"iCoA — at issue")&amp;", (24.04.2026) [PP]"</f>
        <v>iCoA-PP_26-055, (24.04.2026) [PP]</v>
      </c>
      <c r="F111" s="84" t="s">
        <v>79</v>
      </c>
      <c r="G111" s="95" t="s">
        <v>703</v>
      </c>
      <c r="H111" s="96" t="s">
        <v>1235</v>
      </c>
      <c r="I111" s="97" t="s">
        <v>93</v>
      </c>
      <c r="J111" s="93" t="s">
        <v>463</v>
      </c>
      <c r="K111" s="92" t="s">
        <v>1084</v>
      </c>
      <c r="L111" s="84" t="s">
        <v>79</v>
      </c>
      <c r="M111" s="101" t="s">
        <v>1237</v>
      </c>
      <c r="N111" s="92" t="s">
        <v>1084</v>
      </c>
      <c r="O111" s="84" t="s">
        <v>79</v>
      </c>
      <c r="P111" s="100" t="s">
        <v>1238</v>
      </c>
      <c r="Q111" s="92" t="s">
        <v>1084</v>
      </c>
      <c r="R111" s="84" t="s">
        <v>79</v>
      </c>
      <c r="S111" s="127" t="s">
        <v>703</v>
      </c>
      <c r="T111" s="128" t="s">
        <v>1084</v>
      </c>
      <c r="U111" s="129" t="s">
        <v>198</v>
      </c>
      <c r="V111" s="93" t="s">
        <v>428</v>
      </c>
      <c r="W111" s="92" t="str">
        <f t="array" ref="W111">IFERROR(INDEX('iCoA Register'!$B:$B,MATCH("P060222|I",'iCoA Register'!$P:$P,0)),"iCoA — at issue")&amp;", (24.04.2026) [PP]"</f>
        <v>iCoA-PP_26-055, (24.04.2026) [PP]</v>
      </c>
      <c r="X111" s="84" t="s">
        <v>79</v>
      </c>
      <c r="Y111" s="93" t="s">
        <v>1082</v>
      </c>
      <c r="Z111" s="92" t="s">
        <v>1084</v>
      </c>
      <c r="AA111" s="84" t="s">
        <v>79</v>
      </c>
      <c r="AB111" s="31" t="s">
        <v>561</v>
      </c>
      <c r="AC111" s="32" t="s">
        <v>585</v>
      </c>
      <c r="AD111" s="32" t="s">
        <v>561</v>
      </c>
      <c r="AE111" s="32" t="s">
        <v>528</v>
      </c>
      <c r="AF111" s="32" t="s">
        <v>528</v>
      </c>
      <c r="AG111" s="84" t="s">
        <v>79</v>
      </c>
      <c r="AH111" s="43" t="s">
        <v>531</v>
      </c>
      <c r="AI111" s="44" t="s">
        <v>531</v>
      </c>
      <c r="AJ111" s="44" t="s">
        <v>531</v>
      </c>
      <c r="AK111" s="112" t="s">
        <v>198</v>
      </c>
      <c r="AL111" s="43" t="s">
        <v>531</v>
      </c>
      <c r="AM111" s="44" t="s">
        <v>531</v>
      </c>
      <c r="AN111" s="44" t="s">
        <v>531</v>
      </c>
      <c r="AO111" s="44" t="s">
        <v>531</v>
      </c>
      <c r="AP111" s="112" t="s">
        <v>198</v>
      </c>
      <c r="AQ111" s="113" t="s">
        <v>531</v>
      </c>
      <c r="AR111" s="114" t="s">
        <v>547</v>
      </c>
      <c r="AS111" s="115" t="s">
        <v>198</v>
      </c>
    </row>
    <row r="112" spans="1:45" ht="12.75" customHeight="1">
      <c r="A112" s="105"/>
      <c r="B112" s="80"/>
      <c r="C112" s="80"/>
      <c r="D112" s="94"/>
      <c r="E112" s="81"/>
      <c r="F112" s="85"/>
      <c r="G112" s="94"/>
      <c r="H112" s="81"/>
      <c r="I112" s="85"/>
      <c r="J112" s="94"/>
      <c r="K112" s="81"/>
      <c r="L112" s="85"/>
      <c r="M112" s="94"/>
      <c r="N112" s="81"/>
      <c r="O112" s="85"/>
      <c r="P112" s="94"/>
      <c r="Q112" s="81"/>
      <c r="R112" s="85"/>
      <c r="S112" s="94"/>
      <c r="T112" s="81"/>
      <c r="U112" s="85"/>
      <c r="V112" s="94"/>
      <c r="W112" s="81"/>
      <c r="X112" s="85"/>
      <c r="Y112" s="94"/>
      <c r="Z112" s="81"/>
      <c r="AA112" s="85"/>
      <c r="AB112" s="86" t="s">
        <v>1086</v>
      </c>
      <c r="AC112" s="77"/>
      <c r="AD112" s="77"/>
      <c r="AE112" s="77"/>
      <c r="AF112" s="78"/>
      <c r="AG112" s="85"/>
      <c r="AH112" s="119" t="s">
        <v>547</v>
      </c>
      <c r="AI112" s="77"/>
      <c r="AJ112" s="78"/>
      <c r="AK112" s="85"/>
      <c r="AL112" s="119" t="s">
        <v>547</v>
      </c>
      <c r="AM112" s="77"/>
      <c r="AN112" s="77"/>
      <c r="AO112" s="78"/>
      <c r="AP112" s="85"/>
      <c r="AQ112" s="94"/>
      <c r="AR112" s="81"/>
      <c r="AS112" s="99"/>
    </row>
    <row r="113" spans="1:45" ht="13.5" customHeight="1">
      <c r="A113" s="105"/>
      <c r="B113" s="80"/>
      <c r="C113" s="80"/>
      <c r="D113" s="33"/>
      <c r="E113" s="34"/>
      <c r="F113" s="35"/>
      <c r="G113" s="102" t="s">
        <v>428</v>
      </c>
      <c r="H113" s="110" t="str">
        <f t="array" ref="H113">IFERROR(INDEX('iCoA Register'!$B:$B,MATCH("P060222|I",'iCoA Register'!$P:$P,0)),"iCoA — at issue")&amp;", (24.04.2026) [PP]"</f>
        <v>iCoA-PP_26-055, (24.04.2026) [PP]</v>
      </c>
      <c r="I113" s="87" t="s">
        <v>79</v>
      </c>
      <c r="J113" s="33"/>
      <c r="K113" s="34"/>
      <c r="L113" s="35"/>
      <c r="M113" s="33"/>
      <c r="N113" s="34"/>
      <c r="O113" s="35"/>
      <c r="P113" s="33"/>
      <c r="Q113" s="34"/>
      <c r="R113" s="35"/>
      <c r="S113" s="33"/>
      <c r="T113" s="34"/>
      <c r="U113" s="35"/>
      <c r="V113" s="33"/>
      <c r="W113" s="34"/>
      <c r="X113" s="35"/>
      <c r="Y113" s="33"/>
      <c r="Z113" s="34"/>
      <c r="AA113" s="35"/>
      <c r="AB113" s="33"/>
      <c r="AC113" s="34"/>
      <c r="AD113" s="34"/>
      <c r="AE113" s="34"/>
      <c r="AF113" s="34"/>
      <c r="AG113" s="35"/>
      <c r="AH113" s="33"/>
      <c r="AI113" s="34"/>
      <c r="AJ113" s="34"/>
      <c r="AK113" s="35"/>
      <c r="AL113" s="33"/>
      <c r="AM113" s="34"/>
      <c r="AN113" s="34"/>
      <c r="AO113" s="34"/>
      <c r="AP113" s="35"/>
      <c r="AQ113" s="33"/>
      <c r="AR113" s="34"/>
      <c r="AS113" s="38"/>
    </row>
    <row r="114" spans="1:45" ht="12.75" customHeight="1">
      <c r="A114" s="106"/>
      <c r="B114" s="108"/>
      <c r="C114" s="108"/>
      <c r="D114" s="39"/>
      <c r="E114" s="40"/>
      <c r="F114" s="41"/>
      <c r="G114" s="103"/>
      <c r="H114" s="108"/>
      <c r="I114" s="88"/>
      <c r="J114" s="39"/>
      <c r="K114" s="40"/>
      <c r="L114" s="41"/>
      <c r="M114" s="39"/>
      <c r="N114" s="40"/>
      <c r="O114" s="41"/>
      <c r="P114" s="39"/>
      <c r="Q114" s="40"/>
      <c r="R114" s="41"/>
      <c r="S114" s="39"/>
      <c r="T114" s="40"/>
      <c r="U114" s="41"/>
      <c r="V114" s="39"/>
      <c r="W114" s="40"/>
      <c r="X114" s="41"/>
      <c r="Y114" s="39"/>
      <c r="Z114" s="40"/>
      <c r="AA114" s="41"/>
      <c r="AB114" s="39"/>
      <c r="AC114" s="40"/>
      <c r="AD114" s="40"/>
      <c r="AE114" s="40"/>
      <c r="AF114" s="40"/>
      <c r="AG114" s="41"/>
      <c r="AH114" s="39"/>
      <c r="AI114" s="40"/>
      <c r="AJ114" s="40"/>
      <c r="AK114" s="41"/>
      <c r="AL114" s="39"/>
      <c r="AM114" s="40"/>
      <c r="AN114" s="40"/>
      <c r="AO114" s="40"/>
      <c r="AP114" s="41"/>
      <c r="AQ114" s="39"/>
      <c r="AR114" s="40"/>
      <c r="AS114" s="42"/>
    </row>
    <row r="115" spans="1:45" ht="17.25" customHeight="1">
      <c r="A115" s="104" t="s">
        <v>299</v>
      </c>
      <c r="B115" s="107" t="s">
        <v>301</v>
      </c>
      <c r="C115" s="109" t="s">
        <v>1261</v>
      </c>
      <c r="D115" s="93" t="s">
        <v>428</v>
      </c>
      <c r="E115" s="92" t="str">
        <f t="array" ref="E115">IFERROR(INDEX('iCoA Register'!$B:$B,MATCH("P060242|I",'iCoA Register'!$P:$P,0)),"iCoA — at issue")&amp;", (28.04.2026) [PP]"</f>
        <v>iCoA-PP_26-057, (28.04.2026) [PP]</v>
      </c>
      <c r="F115" s="84" t="s">
        <v>79</v>
      </c>
      <c r="G115" s="93" t="s">
        <v>428</v>
      </c>
      <c r="H115" s="92" t="str">
        <f t="array" ref="H115">IFERROR(INDEX('iCoA Register'!$B:$B,MATCH("P060242|I",'iCoA Register'!$P:$P,0)),"iCoA — at issue")&amp;", (28.04.2026) [PP]"</f>
        <v>iCoA-PP_26-057, (28.04.2026) [PP]</v>
      </c>
      <c r="I115" s="84" t="s">
        <v>79</v>
      </c>
      <c r="J115" s="93" t="s">
        <v>463</v>
      </c>
      <c r="K115" s="92" t="s">
        <v>1265</v>
      </c>
      <c r="L115" s="84" t="s">
        <v>79</v>
      </c>
      <c r="M115" s="101" t="s">
        <v>1266</v>
      </c>
      <c r="N115" s="92" t="s">
        <v>1265</v>
      </c>
      <c r="O115" s="84" t="s">
        <v>79</v>
      </c>
      <c r="P115" s="100" t="s">
        <v>705</v>
      </c>
      <c r="Q115" s="92" t="s">
        <v>1265</v>
      </c>
      <c r="R115" s="84" t="s">
        <v>79</v>
      </c>
      <c r="S115" s="100" t="s">
        <v>705</v>
      </c>
      <c r="T115" s="92" t="s">
        <v>1265</v>
      </c>
      <c r="U115" s="84" t="s">
        <v>79</v>
      </c>
      <c r="V115" s="93" t="s">
        <v>428</v>
      </c>
      <c r="W115" s="92" t="str">
        <f t="array" ref="W115">IFERROR(INDEX('iCoA Register'!$B:$B,MATCH("P060242|I",'iCoA Register'!$P:$P,0)),"iCoA — at issue")&amp;", (28.04.2026) [PP]"</f>
        <v>iCoA-PP_26-057, (28.04.2026) [PP]</v>
      </c>
      <c r="X115" s="84" t="s">
        <v>79</v>
      </c>
      <c r="Y115" s="95" t="s">
        <v>434</v>
      </c>
      <c r="Z115" s="96" t="s">
        <v>1268</v>
      </c>
      <c r="AA115" s="97" t="s">
        <v>93</v>
      </c>
      <c r="AB115" s="31" t="s">
        <v>1270</v>
      </c>
      <c r="AC115" s="32" t="s">
        <v>1271</v>
      </c>
      <c r="AD115" s="32" t="s">
        <v>561</v>
      </c>
      <c r="AE115" s="32" t="s">
        <v>451</v>
      </c>
      <c r="AF115" s="32" t="s">
        <v>451</v>
      </c>
      <c r="AG115" s="84" t="s">
        <v>79</v>
      </c>
      <c r="AH115" s="31" t="s">
        <v>452</v>
      </c>
      <c r="AI115" s="32" t="s">
        <v>1272</v>
      </c>
      <c r="AJ115" s="32" t="s">
        <v>452</v>
      </c>
      <c r="AK115" s="84" t="s">
        <v>79</v>
      </c>
      <c r="AL115" s="31" t="s">
        <v>1273</v>
      </c>
      <c r="AM115" s="32" t="s">
        <v>1274</v>
      </c>
      <c r="AN115" s="32" t="s">
        <v>1275</v>
      </c>
      <c r="AO115" s="32" t="s">
        <v>1275</v>
      </c>
      <c r="AP115" s="84" t="s">
        <v>79</v>
      </c>
      <c r="AQ115" s="93" t="s">
        <v>1276</v>
      </c>
      <c r="AR115" s="92" t="s">
        <v>1277</v>
      </c>
      <c r="AS115" s="98" t="s">
        <v>79</v>
      </c>
    </row>
    <row r="116" spans="1:45" ht="15" customHeight="1">
      <c r="A116" s="105"/>
      <c r="B116" s="80"/>
      <c r="C116" s="80"/>
      <c r="D116" s="94"/>
      <c r="E116" s="81"/>
      <c r="F116" s="85"/>
      <c r="G116" s="94"/>
      <c r="H116" s="81"/>
      <c r="I116" s="85"/>
      <c r="J116" s="94"/>
      <c r="K116" s="81"/>
      <c r="L116" s="85"/>
      <c r="M116" s="94"/>
      <c r="N116" s="81"/>
      <c r="O116" s="85"/>
      <c r="P116" s="94"/>
      <c r="Q116" s="81"/>
      <c r="R116" s="85"/>
      <c r="S116" s="94"/>
      <c r="T116" s="81"/>
      <c r="U116" s="85"/>
      <c r="V116" s="94"/>
      <c r="W116" s="81"/>
      <c r="X116" s="85"/>
      <c r="Y116" s="94"/>
      <c r="Z116" s="81"/>
      <c r="AA116" s="85"/>
      <c r="AB116" s="86" t="s">
        <v>1282</v>
      </c>
      <c r="AC116" s="77"/>
      <c r="AD116" s="77"/>
      <c r="AE116" s="77"/>
      <c r="AF116" s="78"/>
      <c r="AG116" s="85"/>
      <c r="AH116" s="86" t="s">
        <v>1277</v>
      </c>
      <c r="AI116" s="77"/>
      <c r="AJ116" s="78"/>
      <c r="AK116" s="85"/>
      <c r="AL116" s="86" t="s">
        <v>1277</v>
      </c>
      <c r="AM116" s="77"/>
      <c r="AN116" s="77"/>
      <c r="AO116" s="78"/>
      <c r="AP116" s="85"/>
      <c r="AQ116" s="94"/>
      <c r="AR116" s="81"/>
      <c r="AS116" s="99"/>
    </row>
    <row r="117" spans="1:45" ht="17.25" customHeight="1">
      <c r="A117" s="105"/>
      <c r="B117" s="80"/>
      <c r="C117" s="80"/>
      <c r="D117" s="33"/>
      <c r="E117" s="34"/>
      <c r="F117" s="35"/>
      <c r="G117" s="33"/>
      <c r="H117" s="34"/>
      <c r="I117" s="35"/>
      <c r="J117" s="121" t="s">
        <v>434</v>
      </c>
      <c r="K117" s="122" t="s">
        <v>1283</v>
      </c>
      <c r="L117" s="123" t="s">
        <v>93</v>
      </c>
      <c r="M117" s="134" t="s">
        <v>434</v>
      </c>
      <c r="N117" s="122" t="s">
        <v>1283</v>
      </c>
      <c r="O117" s="123" t="s">
        <v>93</v>
      </c>
      <c r="P117" s="132" t="s">
        <v>434</v>
      </c>
      <c r="Q117" s="122" t="s">
        <v>1283</v>
      </c>
      <c r="R117" s="123" t="s">
        <v>93</v>
      </c>
      <c r="S117" s="132" t="s">
        <v>434</v>
      </c>
      <c r="T117" s="122" t="s">
        <v>1283</v>
      </c>
      <c r="U117" s="123" t="s">
        <v>93</v>
      </c>
      <c r="V117" s="33"/>
      <c r="W117" s="34"/>
      <c r="X117" s="35"/>
      <c r="Y117" s="102" t="s">
        <v>1287</v>
      </c>
      <c r="Z117" s="110" t="s">
        <v>1288</v>
      </c>
      <c r="AA117" s="87" t="s">
        <v>79</v>
      </c>
      <c r="AB117" s="33"/>
      <c r="AC117" s="34"/>
      <c r="AD117" s="34"/>
      <c r="AE117" s="34"/>
      <c r="AF117" s="34"/>
      <c r="AG117" s="35"/>
      <c r="AH117" s="36" t="s">
        <v>472</v>
      </c>
      <c r="AI117" s="37" t="s">
        <v>473</v>
      </c>
      <c r="AJ117" s="37" t="s">
        <v>472</v>
      </c>
      <c r="AK117" s="87" t="s">
        <v>79</v>
      </c>
      <c r="AL117" s="33"/>
      <c r="AM117" s="34"/>
      <c r="AN117" s="34"/>
      <c r="AO117" s="34"/>
      <c r="AP117" s="35"/>
      <c r="AQ117" s="33"/>
      <c r="AR117" s="34"/>
      <c r="AS117" s="38"/>
    </row>
    <row r="118" spans="1:45" ht="21" customHeight="1">
      <c r="A118" s="105"/>
      <c r="B118" s="80"/>
      <c r="C118" s="80"/>
      <c r="D118" s="49"/>
      <c r="E118" s="50"/>
      <c r="F118" s="51"/>
      <c r="G118" s="49"/>
      <c r="H118" s="50"/>
      <c r="I118" s="51"/>
      <c r="J118" s="133"/>
      <c r="K118" s="130"/>
      <c r="L118" s="131"/>
      <c r="M118" s="133"/>
      <c r="N118" s="130"/>
      <c r="O118" s="131"/>
      <c r="P118" s="133"/>
      <c r="Q118" s="130"/>
      <c r="R118" s="131"/>
      <c r="S118" s="133"/>
      <c r="T118" s="130"/>
      <c r="U118" s="131"/>
      <c r="V118" s="49"/>
      <c r="W118" s="50"/>
      <c r="X118" s="51"/>
      <c r="Y118" s="133"/>
      <c r="Z118" s="130"/>
      <c r="AA118" s="131"/>
      <c r="AB118" s="49"/>
      <c r="AC118" s="50"/>
      <c r="AD118" s="50"/>
      <c r="AE118" s="50"/>
      <c r="AF118" s="50"/>
      <c r="AG118" s="51"/>
      <c r="AH118" s="141" t="s">
        <v>1290</v>
      </c>
      <c r="AI118" s="142"/>
      <c r="AJ118" s="143"/>
      <c r="AK118" s="131"/>
      <c r="AL118" s="49"/>
      <c r="AM118" s="50"/>
      <c r="AN118" s="50"/>
      <c r="AO118" s="50"/>
      <c r="AP118" s="51"/>
      <c r="AQ118" s="49"/>
      <c r="AR118" s="50"/>
      <c r="AS118" s="52"/>
    </row>
    <row r="119" spans="1:45" ht="17.25" customHeight="1">
      <c r="A119" s="105"/>
      <c r="B119" s="80"/>
      <c r="C119" s="80"/>
      <c r="D119" s="33"/>
      <c r="E119" s="34"/>
      <c r="F119" s="35"/>
      <c r="G119" s="33"/>
      <c r="H119" s="34"/>
      <c r="I119" s="35"/>
      <c r="J119" s="102" t="s">
        <v>463</v>
      </c>
      <c r="K119" s="110" t="s">
        <v>1292</v>
      </c>
      <c r="L119" s="87" t="s">
        <v>79</v>
      </c>
      <c r="M119" s="124" t="s">
        <v>1296</v>
      </c>
      <c r="N119" s="110" t="s">
        <v>1292</v>
      </c>
      <c r="O119" s="87" t="s">
        <v>79</v>
      </c>
      <c r="P119" s="120" t="s">
        <v>705</v>
      </c>
      <c r="Q119" s="110" t="s">
        <v>1292</v>
      </c>
      <c r="R119" s="87" t="s">
        <v>79</v>
      </c>
      <c r="S119" s="120" t="s">
        <v>705</v>
      </c>
      <c r="T119" s="110" t="s">
        <v>1292</v>
      </c>
      <c r="U119" s="87" t="s">
        <v>79</v>
      </c>
      <c r="V119" s="33"/>
      <c r="W119" s="34"/>
      <c r="X119" s="35"/>
      <c r="Y119" s="121" t="s">
        <v>434</v>
      </c>
      <c r="Z119" s="122" t="s">
        <v>1298</v>
      </c>
      <c r="AA119" s="123" t="s">
        <v>93</v>
      </c>
      <c r="AB119" s="33"/>
      <c r="AC119" s="34"/>
      <c r="AD119" s="34"/>
      <c r="AE119" s="34"/>
      <c r="AF119" s="34"/>
      <c r="AG119" s="35"/>
      <c r="AH119" s="33"/>
      <c r="AI119" s="34"/>
      <c r="AJ119" s="34"/>
      <c r="AK119" s="35"/>
      <c r="AL119" s="33"/>
      <c r="AM119" s="34"/>
      <c r="AN119" s="34"/>
      <c r="AO119" s="34"/>
      <c r="AP119" s="35"/>
      <c r="AQ119" s="33"/>
      <c r="AR119" s="34"/>
      <c r="AS119" s="38"/>
    </row>
    <row r="120" spans="1:45" ht="15" customHeight="1">
      <c r="A120" s="106"/>
      <c r="B120" s="108"/>
      <c r="C120" s="108"/>
      <c r="D120" s="39"/>
      <c r="E120" s="40"/>
      <c r="F120" s="41"/>
      <c r="G120" s="39"/>
      <c r="H120" s="40"/>
      <c r="I120" s="41"/>
      <c r="J120" s="103"/>
      <c r="K120" s="108"/>
      <c r="L120" s="88"/>
      <c r="M120" s="103"/>
      <c r="N120" s="108"/>
      <c r="O120" s="88"/>
      <c r="P120" s="103"/>
      <c r="Q120" s="108"/>
      <c r="R120" s="88"/>
      <c r="S120" s="103"/>
      <c r="T120" s="108"/>
      <c r="U120" s="88"/>
      <c r="V120" s="39"/>
      <c r="W120" s="40"/>
      <c r="X120" s="41"/>
      <c r="Y120" s="103"/>
      <c r="Z120" s="108"/>
      <c r="AA120" s="88"/>
      <c r="AB120" s="39"/>
      <c r="AC120" s="40"/>
      <c r="AD120" s="40"/>
      <c r="AE120" s="40"/>
      <c r="AF120" s="40"/>
      <c r="AG120" s="41"/>
      <c r="AH120" s="39"/>
      <c r="AI120" s="40"/>
      <c r="AJ120" s="40"/>
      <c r="AK120" s="41"/>
      <c r="AL120" s="39"/>
      <c r="AM120" s="40"/>
      <c r="AN120" s="40"/>
      <c r="AO120" s="40"/>
      <c r="AP120" s="41"/>
      <c r="AQ120" s="39"/>
      <c r="AR120" s="40"/>
      <c r="AS120" s="42"/>
    </row>
    <row r="121" spans="1:45" ht="17.25" customHeight="1">
      <c r="A121" s="104" t="s">
        <v>313</v>
      </c>
      <c r="B121" s="107" t="s">
        <v>312</v>
      </c>
      <c r="C121" s="111" t="s">
        <v>1304</v>
      </c>
      <c r="D121" s="93" t="s">
        <v>428</v>
      </c>
      <c r="E121" s="92" t="str">
        <f t="array" ref="E121">IFERROR(INDEX('iCoA Register'!$B:$B,MATCH("P050012|I",'iCoA Register'!$P:$P,0)),"iCoA — at issue")&amp;", (11.06.2025) [PP]"</f>
        <v>iCoA-PP_26-008, (11.06.2025) [PP]</v>
      </c>
      <c r="F121" s="84" t="s">
        <v>79</v>
      </c>
      <c r="G121" s="95" t="s">
        <v>434</v>
      </c>
      <c r="H121" s="96" t="s">
        <v>1305</v>
      </c>
      <c r="I121" s="97" t="s">
        <v>93</v>
      </c>
      <c r="J121" s="93" t="s">
        <v>95</v>
      </c>
      <c r="K121" s="92" t="s">
        <v>937</v>
      </c>
      <c r="L121" s="84" t="s">
        <v>79</v>
      </c>
      <c r="M121" s="101" t="s">
        <v>1306</v>
      </c>
      <c r="N121" s="92" t="s">
        <v>937</v>
      </c>
      <c r="O121" s="84" t="s">
        <v>79</v>
      </c>
      <c r="P121" s="100" t="s">
        <v>567</v>
      </c>
      <c r="Q121" s="92" t="s">
        <v>937</v>
      </c>
      <c r="R121" s="84" t="s">
        <v>79</v>
      </c>
      <c r="S121" s="100" t="s">
        <v>1308</v>
      </c>
      <c r="T121" s="92" t="s">
        <v>937</v>
      </c>
      <c r="U121" s="84" t="s">
        <v>79</v>
      </c>
      <c r="V121" s="93" t="s">
        <v>428</v>
      </c>
      <c r="W121" s="92" t="str">
        <f t="array" ref="W121">IFERROR(INDEX('iCoA Register'!$B:$B,MATCH("P050012|I",'iCoA Register'!$P:$P,0)),"iCoA — at issue")&amp;", (11.06.2025) [PP]"</f>
        <v>iCoA-PP_26-008, (11.06.2025) [PP]</v>
      </c>
      <c r="X121" s="84" t="s">
        <v>79</v>
      </c>
      <c r="Y121" s="93" t="s">
        <v>1310</v>
      </c>
      <c r="Z121" s="92" t="s">
        <v>937</v>
      </c>
      <c r="AA121" s="84" t="s">
        <v>79</v>
      </c>
      <c r="AB121" s="31" t="s">
        <v>1313</v>
      </c>
      <c r="AC121" s="60" t="s">
        <v>1314</v>
      </c>
      <c r="AD121" s="32" t="s">
        <v>561</v>
      </c>
      <c r="AE121" s="32" t="s">
        <v>451</v>
      </c>
      <c r="AF121" s="32" t="s">
        <v>451</v>
      </c>
      <c r="AG121" s="84" t="s">
        <v>79</v>
      </c>
      <c r="AH121" s="31" t="s">
        <v>452</v>
      </c>
      <c r="AI121" s="32" t="s">
        <v>453</v>
      </c>
      <c r="AJ121" s="32" t="s">
        <v>452</v>
      </c>
      <c r="AK121" s="84" t="s">
        <v>79</v>
      </c>
      <c r="AL121" s="31" t="s">
        <v>1315</v>
      </c>
      <c r="AM121" s="32" t="s">
        <v>1315</v>
      </c>
      <c r="AN121" s="32" t="s">
        <v>1315</v>
      </c>
      <c r="AO121" s="32" t="s">
        <v>1315</v>
      </c>
      <c r="AP121" s="84" t="s">
        <v>79</v>
      </c>
      <c r="AQ121" s="93" t="s">
        <v>612</v>
      </c>
      <c r="AR121" s="92" t="s">
        <v>1316</v>
      </c>
      <c r="AS121" s="98" t="s">
        <v>79</v>
      </c>
    </row>
    <row r="122" spans="1:45" ht="12.75" customHeight="1">
      <c r="A122" s="105"/>
      <c r="B122" s="80"/>
      <c r="C122" s="80"/>
      <c r="D122" s="94"/>
      <c r="E122" s="81"/>
      <c r="F122" s="85"/>
      <c r="G122" s="94"/>
      <c r="H122" s="81"/>
      <c r="I122" s="85"/>
      <c r="J122" s="94"/>
      <c r="K122" s="81"/>
      <c r="L122" s="85"/>
      <c r="M122" s="94"/>
      <c r="N122" s="81"/>
      <c r="O122" s="85"/>
      <c r="P122" s="94"/>
      <c r="Q122" s="81"/>
      <c r="R122" s="85"/>
      <c r="S122" s="94"/>
      <c r="T122" s="81"/>
      <c r="U122" s="85"/>
      <c r="V122" s="94"/>
      <c r="W122" s="81"/>
      <c r="X122" s="85"/>
      <c r="Y122" s="94"/>
      <c r="Z122" s="81"/>
      <c r="AA122" s="85"/>
      <c r="AB122" s="86" t="s">
        <v>1319</v>
      </c>
      <c r="AC122" s="77"/>
      <c r="AD122" s="77"/>
      <c r="AE122" s="77"/>
      <c r="AF122" s="78"/>
      <c r="AG122" s="85"/>
      <c r="AH122" s="86" t="s">
        <v>1316</v>
      </c>
      <c r="AI122" s="77"/>
      <c r="AJ122" s="78"/>
      <c r="AK122" s="85"/>
      <c r="AL122" s="86" t="s">
        <v>1316</v>
      </c>
      <c r="AM122" s="77"/>
      <c r="AN122" s="77"/>
      <c r="AO122" s="78"/>
      <c r="AP122" s="85"/>
      <c r="AQ122" s="94"/>
      <c r="AR122" s="81"/>
      <c r="AS122" s="99"/>
    </row>
    <row r="123" spans="1:45" ht="13.5" customHeight="1">
      <c r="A123" s="105"/>
      <c r="B123" s="80"/>
      <c r="C123" s="80"/>
      <c r="D123" s="33"/>
      <c r="E123" s="34"/>
      <c r="F123" s="35"/>
      <c r="G123" s="102" t="s">
        <v>428</v>
      </c>
      <c r="H123" s="110" t="str">
        <f t="array" ref="H123">IFERROR(INDEX('iCoA Register'!$B:$B,MATCH("P050012|I",'iCoA Register'!$P:$P,0)),"iCoA — at issue")&amp;", (11.06.2025) [PP]"</f>
        <v>iCoA-PP_26-008, (11.06.2025) [PP]</v>
      </c>
      <c r="I123" s="87" t="s">
        <v>79</v>
      </c>
      <c r="J123" s="33"/>
      <c r="K123" s="34"/>
      <c r="L123" s="35"/>
      <c r="M123" s="33"/>
      <c r="N123" s="34"/>
      <c r="O123" s="35"/>
      <c r="P123" s="33"/>
      <c r="Q123" s="34"/>
      <c r="R123" s="35"/>
      <c r="S123" s="33"/>
      <c r="T123" s="34"/>
      <c r="U123" s="35"/>
      <c r="V123" s="33"/>
      <c r="W123" s="34"/>
      <c r="X123" s="35"/>
      <c r="Y123" s="33"/>
      <c r="Z123" s="34"/>
      <c r="AA123" s="35"/>
      <c r="AB123" s="36" t="s">
        <v>561</v>
      </c>
      <c r="AC123" s="37" t="s">
        <v>561</v>
      </c>
      <c r="AD123" s="37" t="s">
        <v>561</v>
      </c>
      <c r="AE123" s="37" t="s">
        <v>528</v>
      </c>
      <c r="AF123" s="37" t="s">
        <v>528</v>
      </c>
      <c r="AG123" s="87" t="s">
        <v>79</v>
      </c>
      <c r="AH123" s="33"/>
      <c r="AI123" s="34"/>
      <c r="AJ123" s="34"/>
      <c r="AK123" s="35"/>
      <c r="AL123" s="33"/>
      <c r="AM123" s="34"/>
      <c r="AN123" s="34"/>
      <c r="AO123" s="34"/>
      <c r="AP123" s="35"/>
      <c r="AQ123" s="33"/>
      <c r="AR123" s="34"/>
      <c r="AS123" s="38"/>
    </row>
    <row r="124" spans="1:45" ht="12.75" customHeight="1">
      <c r="A124" s="106"/>
      <c r="B124" s="108"/>
      <c r="C124" s="108"/>
      <c r="D124" s="39"/>
      <c r="E124" s="40"/>
      <c r="F124" s="41"/>
      <c r="G124" s="103"/>
      <c r="H124" s="108"/>
      <c r="I124" s="88"/>
      <c r="J124" s="39"/>
      <c r="K124" s="40"/>
      <c r="L124" s="41"/>
      <c r="M124" s="39"/>
      <c r="N124" s="40"/>
      <c r="O124" s="41"/>
      <c r="P124" s="39"/>
      <c r="Q124" s="40"/>
      <c r="R124" s="41"/>
      <c r="S124" s="39"/>
      <c r="T124" s="40"/>
      <c r="U124" s="41"/>
      <c r="V124" s="39"/>
      <c r="W124" s="40"/>
      <c r="X124" s="41"/>
      <c r="Y124" s="39"/>
      <c r="Z124" s="40"/>
      <c r="AA124" s="41"/>
      <c r="AB124" s="89" t="s">
        <v>1325</v>
      </c>
      <c r="AC124" s="90"/>
      <c r="AD124" s="90"/>
      <c r="AE124" s="90"/>
      <c r="AF124" s="91"/>
      <c r="AG124" s="88"/>
      <c r="AH124" s="39"/>
      <c r="AI124" s="40"/>
      <c r="AJ124" s="40"/>
      <c r="AK124" s="41"/>
      <c r="AL124" s="39"/>
      <c r="AM124" s="40"/>
      <c r="AN124" s="40"/>
      <c r="AO124" s="40"/>
      <c r="AP124" s="41"/>
      <c r="AQ124" s="39"/>
      <c r="AR124" s="40"/>
      <c r="AS124" s="42"/>
    </row>
    <row r="125" spans="1:45" ht="21" customHeight="1">
      <c r="A125" s="104" t="s">
        <v>247</v>
      </c>
      <c r="B125" s="107" t="s">
        <v>250</v>
      </c>
      <c r="C125" s="109" t="s">
        <v>1327</v>
      </c>
      <c r="D125" s="93" t="s">
        <v>428</v>
      </c>
      <c r="E125" s="92" t="str">
        <f t="array" ref="E125">IFERROR(INDEX('iCoA Register'!$B:$B,MATCH("P050022|I",'iCoA Register'!$P:$P,0)),"iCoA — at issue")&amp;", (03.06.2025) [PP]"</f>
        <v>iCoA-PP_26-007, (03.06.2025) [PP]</v>
      </c>
      <c r="F125" s="84" t="s">
        <v>79</v>
      </c>
      <c r="G125" s="95" t="s">
        <v>434</v>
      </c>
      <c r="H125" s="96" t="s">
        <v>1328</v>
      </c>
      <c r="I125" s="97" t="s">
        <v>93</v>
      </c>
      <c r="J125" s="93" t="s">
        <v>95</v>
      </c>
      <c r="K125" s="92" t="s">
        <v>924</v>
      </c>
      <c r="L125" s="84" t="s">
        <v>79</v>
      </c>
      <c r="M125" s="101" t="s">
        <v>1330</v>
      </c>
      <c r="N125" s="92" t="s">
        <v>924</v>
      </c>
      <c r="O125" s="84" t="s">
        <v>79</v>
      </c>
      <c r="P125" s="100" t="s">
        <v>1331</v>
      </c>
      <c r="Q125" s="92" t="s">
        <v>924</v>
      </c>
      <c r="R125" s="84" t="s">
        <v>79</v>
      </c>
      <c r="S125" s="100" t="s">
        <v>444</v>
      </c>
      <c r="T125" s="92" t="s">
        <v>924</v>
      </c>
      <c r="U125" s="84" t="s">
        <v>79</v>
      </c>
      <c r="V125" s="93" t="s">
        <v>428</v>
      </c>
      <c r="W125" s="92" t="str">
        <f t="array" ref="W125">IFERROR(INDEX('iCoA Register'!$B:$B,MATCH("P050022|I",'iCoA Register'!$P:$P,0)),"iCoA — at issue")&amp;", (03.06.2025) [PP]"</f>
        <v>iCoA-PP_26-007, (03.06.2025) [PP]</v>
      </c>
      <c r="X125" s="84" t="s">
        <v>79</v>
      </c>
      <c r="Y125" s="93" t="s">
        <v>1334</v>
      </c>
      <c r="Z125" s="92" t="s">
        <v>924</v>
      </c>
      <c r="AA125" s="84" t="s">
        <v>79</v>
      </c>
      <c r="AB125" s="31" t="s">
        <v>1336</v>
      </c>
      <c r="AC125" s="32" t="s">
        <v>585</v>
      </c>
      <c r="AD125" s="32" t="s">
        <v>498</v>
      </c>
      <c r="AE125" s="32" t="s">
        <v>451</v>
      </c>
      <c r="AF125" s="32" t="s">
        <v>451</v>
      </c>
      <c r="AG125" s="84" t="s">
        <v>79</v>
      </c>
      <c r="AH125" s="31" t="s">
        <v>452</v>
      </c>
      <c r="AI125" s="32" t="s">
        <v>453</v>
      </c>
      <c r="AJ125" s="32" t="s">
        <v>452</v>
      </c>
      <c r="AK125" s="84" t="s">
        <v>79</v>
      </c>
      <c r="AL125" s="31" t="s">
        <v>1275</v>
      </c>
      <c r="AM125" s="32" t="s">
        <v>1275</v>
      </c>
      <c r="AN125" s="32" t="s">
        <v>1275</v>
      </c>
      <c r="AO125" s="32" t="s">
        <v>1275</v>
      </c>
      <c r="AP125" s="84" t="s">
        <v>79</v>
      </c>
      <c r="AQ125" s="93" t="s">
        <v>459</v>
      </c>
      <c r="AR125" s="92" t="s">
        <v>1338</v>
      </c>
      <c r="AS125" s="98" t="s">
        <v>79</v>
      </c>
    </row>
    <row r="126" spans="1:45" ht="12.75" customHeight="1">
      <c r="A126" s="105"/>
      <c r="B126" s="80"/>
      <c r="C126" s="80"/>
      <c r="D126" s="94"/>
      <c r="E126" s="81"/>
      <c r="F126" s="85"/>
      <c r="G126" s="94"/>
      <c r="H126" s="81"/>
      <c r="I126" s="85"/>
      <c r="J126" s="94"/>
      <c r="K126" s="81"/>
      <c r="L126" s="85"/>
      <c r="M126" s="94"/>
      <c r="N126" s="81"/>
      <c r="O126" s="85"/>
      <c r="P126" s="94"/>
      <c r="Q126" s="81"/>
      <c r="R126" s="85"/>
      <c r="S126" s="94"/>
      <c r="T126" s="81"/>
      <c r="U126" s="85"/>
      <c r="V126" s="94"/>
      <c r="W126" s="81"/>
      <c r="X126" s="85"/>
      <c r="Y126" s="94"/>
      <c r="Z126" s="81"/>
      <c r="AA126" s="85"/>
      <c r="AB126" s="86" t="s">
        <v>1341</v>
      </c>
      <c r="AC126" s="77"/>
      <c r="AD126" s="77"/>
      <c r="AE126" s="77"/>
      <c r="AF126" s="78"/>
      <c r="AG126" s="85"/>
      <c r="AH126" s="86" t="s">
        <v>1338</v>
      </c>
      <c r="AI126" s="77"/>
      <c r="AJ126" s="78"/>
      <c r="AK126" s="85"/>
      <c r="AL126" s="86" t="s">
        <v>1338</v>
      </c>
      <c r="AM126" s="77"/>
      <c r="AN126" s="77"/>
      <c r="AO126" s="78"/>
      <c r="AP126" s="85"/>
      <c r="AQ126" s="94"/>
      <c r="AR126" s="81"/>
      <c r="AS126" s="99"/>
    </row>
    <row r="127" spans="1:45" ht="17.25" customHeight="1">
      <c r="A127" s="105"/>
      <c r="B127" s="80"/>
      <c r="C127" s="80"/>
      <c r="D127" s="33"/>
      <c r="E127" s="34"/>
      <c r="F127" s="35"/>
      <c r="G127" s="102" t="s">
        <v>428</v>
      </c>
      <c r="H127" s="110" t="str">
        <f t="array" ref="H127">IFERROR(INDEX('iCoA Register'!$B:$B,MATCH("P050022|I",'iCoA Register'!$P:$P,0)),"iCoA — at issue")&amp;", (03.06.2025) [PP]"</f>
        <v>iCoA-PP_26-007, (03.06.2025) [PP]</v>
      </c>
      <c r="I127" s="87" t="s">
        <v>79</v>
      </c>
      <c r="J127" s="102" t="s">
        <v>95</v>
      </c>
      <c r="K127" s="110" t="s">
        <v>1343</v>
      </c>
      <c r="L127" s="87" t="s">
        <v>79</v>
      </c>
      <c r="M127" s="124" t="s">
        <v>1345</v>
      </c>
      <c r="N127" s="110" t="s">
        <v>1343</v>
      </c>
      <c r="O127" s="87" t="s">
        <v>79</v>
      </c>
      <c r="P127" s="120" t="s">
        <v>1347</v>
      </c>
      <c r="Q127" s="110" t="s">
        <v>1343</v>
      </c>
      <c r="R127" s="87" t="s">
        <v>79</v>
      </c>
      <c r="S127" s="120" t="s">
        <v>530</v>
      </c>
      <c r="T127" s="110" t="s">
        <v>1343</v>
      </c>
      <c r="U127" s="87" t="s">
        <v>79</v>
      </c>
      <c r="V127" s="33"/>
      <c r="W127" s="34"/>
      <c r="X127" s="35"/>
      <c r="Y127" s="102" t="s">
        <v>1348</v>
      </c>
      <c r="Z127" s="110" t="s">
        <v>1343</v>
      </c>
      <c r="AA127" s="87" t="s">
        <v>79</v>
      </c>
      <c r="AB127" s="36" t="s">
        <v>561</v>
      </c>
      <c r="AC127" s="37" t="s">
        <v>561</v>
      </c>
      <c r="AD127" s="37" t="s">
        <v>561</v>
      </c>
      <c r="AE127" s="37" t="s">
        <v>451</v>
      </c>
      <c r="AF127" s="37" t="s">
        <v>451</v>
      </c>
      <c r="AG127" s="87" t="s">
        <v>79</v>
      </c>
      <c r="AH127" s="36" t="s">
        <v>452</v>
      </c>
      <c r="AI127" s="37" t="s">
        <v>453</v>
      </c>
      <c r="AJ127" s="37" t="s">
        <v>452</v>
      </c>
      <c r="AK127" s="87" t="s">
        <v>79</v>
      </c>
      <c r="AL127" s="36" t="s">
        <v>1315</v>
      </c>
      <c r="AM127" s="37" t="s">
        <v>1315</v>
      </c>
      <c r="AN127" s="37" t="s">
        <v>1349</v>
      </c>
      <c r="AO127" s="37" t="s">
        <v>1315</v>
      </c>
      <c r="AP127" s="87" t="s">
        <v>79</v>
      </c>
      <c r="AQ127" s="102" t="s">
        <v>459</v>
      </c>
      <c r="AR127" s="110" t="s">
        <v>1350</v>
      </c>
      <c r="AS127" s="145" t="s">
        <v>79</v>
      </c>
    </row>
    <row r="128" spans="1:45" ht="12.75" customHeight="1">
      <c r="A128" s="105"/>
      <c r="B128" s="80"/>
      <c r="C128" s="80"/>
      <c r="D128" s="49"/>
      <c r="E128" s="50"/>
      <c r="F128" s="51"/>
      <c r="G128" s="133"/>
      <c r="H128" s="130"/>
      <c r="I128" s="131"/>
      <c r="J128" s="133"/>
      <c r="K128" s="130"/>
      <c r="L128" s="131"/>
      <c r="M128" s="133"/>
      <c r="N128" s="130"/>
      <c r="O128" s="131"/>
      <c r="P128" s="133"/>
      <c r="Q128" s="130"/>
      <c r="R128" s="131"/>
      <c r="S128" s="133"/>
      <c r="T128" s="130"/>
      <c r="U128" s="131"/>
      <c r="V128" s="49"/>
      <c r="W128" s="50"/>
      <c r="X128" s="51"/>
      <c r="Y128" s="133"/>
      <c r="Z128" s="130"/>
      <c r="AA128" s="131"/>
      <c r="AB128" s="141" t="s">
        <v>1355</v>
      </c>
      <c r="AC128" s="142"/>
      <c r="AD128" s="142"/>
      <c r="AE128" s="142"/>
      <c r="AF128" s="143"/>
      <c r="AG128" s="131"/>
      <c r="AH128" s="141" t="s">
        <v>1350</v>
      </c>
      <c r="AI128" s="142"/>
      <c r="AJ128" s="143"/>
      <c r="AK128" s="131"/>
      <c r="AL128" s="141" t="s">
        <v>1350</v>
      </c>
      <c r="AM128" s="142"/>
      <c r="AN128" s="142"/>
      <c r="AO128" s="143"/>
      <c r="AP128" s="131"/>
      <c r="AQ128" s="133"/>
      <c r="AR128" s="130"/>
      <c r="AS128" s="146"/>
    </row>
    <row r="129" spans="1:45" ht="17.25" customHeight="1">
      <c r="A129" s="105"/>
      <c r="B129" s="80"/>
      <c r="C129" s="80"/>
      <c r="D129" s="33"/>
      <c r="E129" s="34"/>
      <c r="F129" s="35"/>
      <c r="G129" s="121" t="s">
        <v>434</v>
      </c>
      <c r="H129" s="122" t="s">
        <v>1360</v>
      </c>
      <c r="I129" s="123" t="s">
        <v>93</v>
      </c>
      <c r="J129" s="137" t="s">
        <v>95</v>
      </c>
      <c r="K129" s="135" t="s">
        <v>1362</v>
      </c>
      <c r="L129" s="136" t="s">
        <v>79</v>
      </c>
      <c r="M129" s="138" t="s">
        <v>1363</v>
      </c>
      <c r="N129" s="135" t="s">
        <v>1362</v>
      </c>
      <c r="O129" s="136" t="s">
        <v>79</v>
      </c>
      <c r="P129" s="139" t="s">
        <v>1364</v>
      </c>
      <c r="Q129" s="135" t="s">
        <v>1362</v>
      </c>
      <c r="R129" s="136" t="s">
        <v>79</v>
      </c>
      <c r="S129" s="139" t="s">
        <v>1366</v>
      </c>
      <c r="T129" s="135" t="s">
        <v>1362</v>
      </c>
      <c r="U129" s="136" t="s">
        <v>79</v>
      </c>
      <c r="V129" s="33"/>
      <c r="W129" s="34"/>
      <c r="X129" s="35"/>
      <c r="Y129" s="137" t="s">
        <v>1367</v>
      </c>
      <c r="Z129" s="135" t="s">
        <v>1362</v>
      </c>
      <c r="AA129" s="136" t="s">
        <v>79</v>
      </c>
      <c r="AB129" s="33"/>
      <c r="AC129" s="34"/>
      <c r="AD129" s="34"/>
      <c r="AE129" s="34"/>
      <c r="AF129" s="34"/>
      <c r="AG129" s="35"/>
      <c r="AH129" s="36" t="s">
        <v>472</v>
      </c>
      <c r="AI129" s="37" t="s">
        <v>473</v>
      </c>
      <c r="AJ129" s="37" t="s">
        <v>472</v>
      </c>
      <c r="AK129" s="87" t="s">
        <v>79</v>
      </c>
      <c r="AL129" s="33"/>
      <c r="AM129" s="34"/>
      <c r="AN129" s="34"/>
      <c r="AO129" s="34"/>
      <c r="AP129" s="35"/>
      <c r="AQ129" s="33"/>
      <c r="AR129" s="34"/>
      <c r="AS129" s="38"/>
    </row>
    <row r="130" spans="1:45" ht="12.75" customHeight="1">
      <c r="A130" s="105"/>
      <c r="B130" s="80"/>
      <c r="C130" s="80"/>
      <c r="D130" s="49"/>
      <c r="E130" s="50"/>
      <c r="F130" s="51"/>
      <c r="G130" s="133"/>
      <c r="H130" s="130"/>
      <c r="I130" s="131"/>
      <c r="J130" s="133"/>
      <c r="K130" s="130"/>
      <c r="L130" s="131"/>
      <c r="M130" s="133"/>
      <c r="N130" s="130"/>
      <c r="O130" s="131"/>
      <c r="P130" s="133"/>
      <c r="Q130" s="130"/>
      <c r="R130" s="131"/>
      <c r="S130" s="133"/>
      <c r="T130" s="130"/>
      <c r="U130" s="131"/>
      <c r="V130" s="49"/>
      <c r="W130" s="50"/>
      <c r="X130" s="51"/>
      <c r="Y130" s="133"/>
      <c r="Z130" s="130"/>
      <c r="AA130" s="131"/>
      <c r="AB130" s="49"/>
      <c r="AC130" s="50"/>
      <c r="AD130" s="50"/>
      <c r="AE130" s="50"/>
      <c r="AF130" s="50"/>
      <c r="AG130" s="51"/>
      <c r="AH130" s="141" t="s">
        <v>1373</v>
      </c>
      <c r="AI130" s="142"/>
      <c r="AJ130" s="143"/>
      <c r="AK130" s="131"/>
      <c r="AL130" s="49"/>
      <c r="AM130" s="50"/>
      <c r="AN130" s="50"/>
      <c r="AO130" s="50"/>
      <c r="AP130" s="51"/>
      <c r="AQ130" s="49"/>
      <c r="AR130" s="50"/>
      <c r="AS130" s="52"/>
    </row>
    <row r="131" spans="1:45" ht="17.25" customHeight="1">
      <c r="A131" s="105"/>
      <c r="B131" s="80"/>
      <c r="C131" s="80"/>
      <c r="D131" s="33"/>
      <c r="E131" s="34"/>
      <c r="F131" s="35"/>
      <c r="G131" s="121" t="s">
        <v>434</v>
      </c>
      <c r="H131" s="122" t="s">
        <v>1376</v>
      </c>
      <c r="I131" s="123" t="s">
        <v>93</v>
      </c>
      <c r="J131" s="137" t="s">
        <v>95</v>
      </c>
      <c r="K131" s="135" t="s">
        <v>1377</v>
      </c>
      <c r="L131" s="136" t="s">
        <v>79</v>
      </c>
      <c r="M131" s="138" t="s">
        <v>1378</v>
      </c>
      <c r="N131" s="135" t="s">
        <v>1377</v>
      </c>
      <c r="O131" s="136" t="s">
        <v>79</v>
      </c>
      <c r="P131" s="139" t="s">
        <v>567</v>
      </c>
      <c r="Q131" s="135" t="s">
        <v>1377</v>
      </c>
      <c r="R131" s="136" t="s">
        <v>79</v>
      </c>
      <c r="S131" s="140" t="s">
        <v>1379</v>
      </c>
      <c r="T131" s="135" t="s">
        <v>1377</v>
      </c>
      <c r="U131" s="136" t="s">
        <v>79</v>
      </c>
      <c r="V131" s="33"/>
      <c r="W131" s="34"/>
      <c r="X131" s="35"/>
      <c r="Y131" s="137" t="s">
        <v>1380</v>
      </c>
      <c r="Z131" s="135" t="s">
        <v>1377</v>
      </c>
      <c r="AA131" s="136" t="s">
        <v>79</v>
      </c>
      <c r="AB131" s="33"/>
      <c r="AC131" s="34"/>
      <c r="AD131" s="34"/>
      <c r="AE131" s="34"/>
      <c r="AF131" s="34"/>
      <c r="AG131" s="35"/>
      <c r="AH131" s="33"/>
      <c r="AI131" s="34"/>
      <c r="AJ131" s="34"/>
      <c r="AK131" s="35"/>
      <c r="AL131" s="33"/>
      <c r="AM131" s="34"/>
      <c r="AN131" s="34"/>
      <c r="AO131" s="34"/>
      <c r="AP131" s="35"/>
      <c r="AQ131" s="33"/>
      <c r="AR131" s="34"/>
      <c r="AS131" s="38"/>
    </row>
    <row r="132" spans="1:45" ht="12.75" customHeight="1">
      <c r="A132" s="105"/>
      <c r="B132" s="80"/>
      <c r="C132" s="80"/>
      <c r="D132" s="49"/>
      <c r="E132" s="50"/>
      <c r="F132" s="51"/>
      <c r="G132" s="133"/>
      <c r="H132" s="130"/>
      <c r="I132" s="131"/>
      <c r="J132" s="133"/>
      <c r="K132" s="130"/>
      <c r="L132" s="131"/>
      <c r="M132" s="133"/>
      <c r="N132" s="130"/>
      <c r="O132" s="131"/>
      <c r="P132" s="133"/>
      <c r="Q132" s="130"/>
      <c r="R132" s="131"/>
      <c r="S132" s="133"/>
      <c r="T132" s="130"/>
      <c r="U132" s="131"/>
      <c r="V132" s="49"/>
      <c r="W132" s="50"/>
      <c r="X132" s="51"/>
      <c r="Y132" s="133"/>
      <c r="Z132" s="130"/>
      <c r="AA132" s="131"/>
      <c r="AB132" s="49"/>
      <c r="AC132" s="50"/>
      <c r="AD132" s="50"/>
      <c r="AE132" s="50"/>
      <c r="AF132" s="50"/>
      <c r="AG132" s="51"/>
      <c r="AH132" s="49"/>
      <c r="AI132" s="50"/>
      <c r="AJ132" s="50"/>
      <c r="AK132" s="51"/>
      <c r="AL132" s="49"/>
      <c r="AM132" s="50"/>
      <c r="AN132" s="50"/>
      <c r="AO132" s="50"/>
      <c r="AP132" s="51"/>
      <c r="AQ132" s="49"/>
      <c r="AR132" s="50"/>
      <c r="AS132" s="52"/>
    </row>
    <row r="133" spans="1:45" ht="17.25" customHeight="1">
      <c r="A133" s="105"/>
      <c r="B133" s="80"/>
      <c r="C133" s="80"/>
      <c r="D133" s="33"/>
      <c r="E133" s="34"/>
      <c r="F133" s="35"/>
      <c r="G133" s="121" t="s">
        <v>434</v>
      </c>
      <c r="H133" s="122" t="s">
        <v>1387</v>
      </c>
      <c r="I133" s="123" t="s">
        <v>93</v>
      </c>
      <c r="J133" s="137" t="s">
        <v>95</v>
      </c>
      <c r="K133" s="135" t="s">
        <v>1388</v>
      </c>
      <c r="L133" s="136" t="s">
        <v>79</v>
      </c>
      <c r="M133" s="138" t="s">
        <v>1389</v>
      </c>
      <c r="N133" s="135" t="s">
        <v>1388</v>
      </c>
      <c r="O133" s="136" t="s">
        <v>79</v>
      </c>
      <c r="P133" s="139" t="s">
        <v>1364</v>
      </c>
      <c r="Q133" s="135" t="s">
        <v>1388</v>
      </c>
      <c r="R133" s="136" t="s">
        <v>79</v>
      </c>
      <c r="S133" s="139" t="s">
        <v>1392</v>
      </c>
      <c r="T133" s="135" t="s">
        <v>1388</v>
      </c>
      <c r="U133" s="136" t="s">
        <v>79</v>
      </c>
      <c r="V133" s="33"/>
      <c r="W133" s="34"/>
      <c r="X133" s="35"/>
      <c r="Y133" s="137" t="s">
        <v>1393</v>
      </c>
      <c r="Z133" s="135" t="s">
        <v>1388</v>
      </c>
      <c r="AA133" s="136" t="s">
        <v>79</v>
      </c>
      <c r="AB133" s="33"/>
      <c r="AC133" s="34"/>
      <c r="AD133" s="34"/>
      <c r="AE133" s="34"/>
      <c r="AF133" s="34"/>
      <c r="AG133" s="35"/>
      <c r="AH133" s="33"/>
      <c r="AI133" s="34"/>
      <c r="AJ133" s="34"/>
      <c r="AK133" s="35"/>
      <c r="AL133" s="33"/>
      <c r="AM133" s="34"/>
      <c r="AN133" s="34"/>
      <c r="AO133" s="34"/>
      <c r="AP133" s="35"/>
      <c r="AQ133" s="33"/>
      <c r="AR133" s="34"/>
      <c r="AS133" s="38"/>
    </row>
    <row r="134" spans="1:45" ht="12.75" customHeight="1">
      <c r="A134" s="105"/>
      <c r="B134" s="80"/>
      <c r="C134" s="80"/>
      <c r="D134" s="49"/>
      <c r="E134" s="50"/>
      <c r="F134" s="51"/>
      <c r="G134" s="133"/>
      <c r="H134" s="130"/>
      <c r="I134" s="131"/>
      <c r="J134" s="133"/>
      <c r="K134" s="130"/>
      <c r="L134" s="131"/>
      <c r="M134" s="133"/>
      <c r="N134" s="130"/>
      <c r="O134" s="131"/>
      <c r="P134" s="133"/>
      <c r="Q134" s="130"/>
      <c r="R134" s="131"/>
      <c r="S134" s="133"/>
      <c r="T134" s="130"/>
      <c r="U134" s="131"/>
      <c r="V134" s="49"/>
      <c r="W134" s="50"/>
      <c r="X134" s="51"/>
      <c r="Y134" s="133"/>
      <c r="Z134" s="130"/>
      <c r="AA134" s="131"/>
      <c r="AB134" s="49"/>
      <c r="AC134" s="50"/>
      <c r="AD134" s="50"/>
      <c r="AE134" s="50"/>
      <c r="AF134" s="50"/>
      <c r="AG134" s="51"/>
      <c r="AH134" s="49"/>
      <c r="AI134" s="50"/>
      <c r="AJ134" s="50"/>
      <c r="AK134" s="51"/>
      <c r="AL134" s="49"/>
      <c r="AM134" s="50"/>
      <c r="AN134" s="50"/>
      <c r="AO134" s="50"/>
      <c r="AP134" s="51"/>
      <c r="AQ134" s="49"/>
      <c r="AR134" s="50"/>
      <c r="AS134" s="52"/>
    </row>
    <row r="135" spans="1:45" ht="17.25" customHeight="1">
      <c r="A135" s="105"/>
      <c r="B135" s="80"/>
      <c r="C135" s="80"/>
      <c r="D135" s="33"/>
      <c r="E135" s="34"/>
      <c r="F135" s="35"/>
      <c r="G135" s="121" t="s">
        <v>434</v>
      </c>
      <c r="H135" s="122" t="s">
        <v>1396</v>
      </c>
      <c r="I135" s="123" t="s">
        <v>93</v>
      </c>
      <c r="J135" s="102" t="s">
        <v>463</v>
      </c>
      <c r="K135" s="110" t="s">
        <v>1397</v>
      </c>
      <c r="L135" s="87" t="s">
        <v>79</v>
      </c>
      <c r="M135" s="124" t="s">
        <v>1398</v>
      </c>
      <c r="N135" s="110" t="s">
        <v>1397</v>
      </c>
      <c r="O135" s="87" t="s">
        <v>79</v>
      </c>
      <c r="P135" s="120" t="s">
        <v>467</v>
      </c>
      <c r="Q135" s="110" t="s">
        <v>1397</v>
      </c>
      <c r="R135" s="87" t="s">
        <v>79</v>
      </c>
      <c r="S135" s="120" t="s">
        <v>1399</v>
      </c>
      <c r="T135" s="110" t="s">
        <v>1397</v>
      </c>
      <c r="U135" s="87" t="s">
        <v>79</v>
      </c>
      <c r="V135" s="33"/>
      <c r="W135" s="34"/>
      <c r="X135" s="35"/>
      <c r="Y135" s="121" t="s">
        <v>434</v>
      </c>
      <c r="Z135" s="122" t="s">
        <v>1402</v>
      </c>
      <c r="AA135" s="123" t="s">
        <v>93</v>
      </c>
      <c r="AB135" s="33"/>
      <c r="AC135" s="34"/>
      <c r="AD135" s="34"/>
      <c r="AE135" s="34"/>
      <c r="AF135" s="34"/>
      <c r="AG135" s="35"/>
      <c r="AH135" s="33"/>
      <c r="AI135" s="34"/>
      <c r="AJ135" s="34"/>
      <c r="AK135" s="35"/>
      <c r="AL135" s="33"/>
      <c r="AM135" s="34"/>
      <c r="AN135" s="34"/>
      <c r="AO135" s="34"/>
      <c r="AP135" s="35"/>
      <c r="AQ135" s="33"/>
      <c r="AR135" s="34"/>
      <c r="AS135" s="38"/>
    </row>
    <row r="136" spans="1:45" ht="15" customHeight="1">
      <c r="A136" s="106"/>
      <c r="B136" s="108"/>
      <c r="C136" s="108"/>
      <c r="D136" s="39"/>
      <c r="E136" s="40"/>
      <c r="F136" s="41"/>
      <c r="G136" s="103"/>
      <c r="H136" s="108"/>
      <c r="I136" s="88"/>
      <c r="J136" s="103"/>
      <c r="K136" s="108"/>
      <c r="L136" s="88"/>
      <c r="M136" s="103"/>
      <c r="N136" s="108"/>
      <c r="O136" s="88"/>
      <c r="P136" s="103"/>
      <c r="Q136" s="108"/>
      <c r="R136" s="88"/>
      <c r="S136" s="103"/>
      <c r="T136" s="108"/>
      <c r="U136" s="88"/>
      <c r="V136" s="39"/>
      <c r="W136" s="40"/>
      <c r="X136" s="41"/>
      <c r="Y136" s="103"/>
      <c r="Z136" s="108"/>
      <c r="AA136" s="88"/>
      <c r="AB136" s="39"/>
      <c r="AC136" s="40"/>
      <c r="AD136" s="40"/>
      <c r="AE136" s="40"/>
      <c r="AF136" s="40"/>
      <c r="AG136" s="41"/>
      <c r="AH136" s="39"/>
      <c r="AI136" s="40"/>
      <c r="AJ136" s="40"/>
      <c r="AK136" s="41"/>
      <c r="AL136" s="39"/>
      <c r="AM136" s="40"/>
      <c r="AN136" s="40"/>
      <c r="AO136" s="40"/>
      <c r="AP136" s="41"/>
      <c r="AQ136" s="39"/>
      <c r="AR136" s="40"/>
      <c r="AS136" s="42"/>
    </row>
    <row r="137" spans="1:45" ht="17.25" customHeight="1">
      <c r="A137" s="104" t="s">
        <v>309</v>
      </c>
      <c r="B137" s="107" t="s">
        <v>306</v>
      </c>
      <c r="C137" s="111" t="s">
        <v>1405</v>
      </c>
      <c r="D137" s="93" t="s">
        <v>428</v>
      </c>
      <c r="E137" s="92" t="str">
        <f t="array" ref="E137">IFERROR(INDEX('iCoA Register'!$B:$B,MATCH("P050032|I",'iCoA Register'!$P:$P,0)),"iCoA — at issue")&amp;", (16.06.2025) [PP]"</f>
        <v>iCoA-PP_26-009, (16.06.2025) [PP]</v>
      </c>
      <c r="F137" s="84" t="s">
        <v>79</v>
      </c>
      <c r="G137" s="95" t="s">
        <v>703</v>
      </c>
      <c r="H137" s="96" t="s">
        <v>1406</v>
      </c>
      <c r="I137" s="97" t="s">
        <v>93</v>
      </c>
      <c r="J137" s="93" t="s">
        <v>463</v>
      </c>
      <c r="K137" s="92" t="s">
        <v>947</v>
      </c>
      <c r="L137" s="84" t="s">
        <v>79</v>
      </c>
      <c r="M137" s="101" t="s">
        <v>1408</v>
      </c>
      <c r="N137" s="92" t="s">
        <v>947</v>
      </c>
      <c r="O137" s="84" t="s">
        <v>79</v>
      </c>
      <c r="P137" s="100" t="s">
        <v>1409</v>
      </c>
      <c r="Q137" s="92" t="s">
        <v>947</v>
      </c>
      <c r="R137" s="84" t="s">
        <v>79</v>
      </c>
      <c r="S137" s="127" t="s">
        <v>703</v>
      </c>
      <c r="T137" s="128" t="s">
        <v>947</v>
      </c>
      <c r="U137" s="129" t="s">
        <v>198</v>
      </c>
      <c r="V137" s="93" t="s">
        <v>428</v>
      </c>
      <c r="W137" s="92" t="str">
        <f t="array" ref="W137">IFERROR(INDEX('iCoA Register'!$B:$B,MATCH("P050032|I",'iCoA Register'!$P:$P,0)),"iCoA — at issue")&amp;", (16.06.2025) [PP]"</f>
        <v>iCoA-PP_26-009, (16.06.2025) [PP]</v>
      </c>
      <c r="X137" s="84" t="s">
        <v>79</v>
      </c>
      <c r="Y137" s="93" t="s">
        <v>1412</v>
      </c>
      <c r="Z137" s="92" t="s">
        <v>947</v>
      </c>
      <c r="AA137" s="84" t="s">
        <v>79</v>
      </c>
      <c r="AB137" s="31" t="s">
        <v>1414</v>
      </c>
      <c r="AC137" s="32" t="s">
        <v>1414</v>
      </c>
      <c r="AD137" s="32" t="s">
        <v>1414</v>
      </c>
      <c r="AE137" s="32" t="s">
        <v>870</v>
      </c>
      <c r="AF137" s="32" t="s">
        <v>870</v>
      </c>
      <c r="AG137" s="84" t="s">
        <v>79</v>
      </c>
      <c r="AH137" s="31" t="s">
        <v>452</v>
      </c>
      <c r="AI137" s="32" t="s">
        <v>1415</v>
      </c>
      <c r="AJ137" s="32" t="s">
        <v>452</v>
      </c>
      <c r="AK137" s="84" t="s">
        <v>79</v>
      </c>
      <c r="AL137" s="31" t="s">
        <v>1416</v>
      </c>
      <c r="AM137" s="32" t="s">
        <v>1417</v>
      </c>
      <c r="AN137" s="32" t="s">
        <v>1418</v>
      </c>
      <c r="AO137" s="32" t="s">
        <v>877</v>
      </c>
      <c r="AP137" s="84" t="s">
        <v>79</v>
      </c>
      <c r="AQ137" s="93" t="s">
        <v>877</v>
      </c>
      <c r="AR137" s="92" t="s">
        <v>1419</v>
      </c>
      <c r="AS137" s="98" t="s">
        <v>79</v>
      </c>
    </row>
    <row r="138" spans="1:45" ht="12.75" customHeight="1">
      <c r="A138" s="105"/>
      <c r="B138" s="80"/>
      <c r="C138" s="80"/>
      <c r="D138" s="94"/>
      <c r="E138" s="81"/>
      <c r="F138" s="85"/>
      <c r="G138" s="94"/>
      <c r="H138" s="81"/>
      <c r="I138" s="85"/>
      <c r="J138" s="94"/>
      <c r="K138" s="81"/>
      <c r="L138" s="85"/>
      <c r="M138" s="94"/>
      <c r="N138" s="81"/>
      <c r="O138" s="85"/>
      <c r="P138" s="94"/>
      <c r="Q138" s="81"/>
      <c r="R138" s="85"/>
      <c r="S138" s="94"/>
      <c r="T138" s="81"/>
      <c r="U138" s="85"/>
      <c r="V138" s="94"/>
      <c r="W138" s="81"/>
      <c r="X138" s="85"/>
      <c r="Y138" s="94"/>
      <c r="Z138" s="81"/>
      <c r="AA138" s="85"/>
      <c r="AB138" s="86" t="s">
        <v>1424</v>
      </c>
      <c r="AC138" s="77"/>
      <c r="AD138" s="77"/>
      <c r="AE138" s="77"/>
      <c r="AF138" s="78"/>
      <c r="AG138" s="85"/>
      <c r="AH138" s="86" t="s">
        <v>1419</v>
      </c>
      <c r="AI138" s="77"/>
      <c r="AJ138" s="78"/>
      <c r="AK138" s="85"/>
      <c r="AL138" s="86" t="s">
        <v>1419</v>
      </c>
      <c r="AM138" s="77"/>
      <c r="AN138" s="77"/>
      <c r="AO138" s="78"/>
      <c r="AP138" s="85"/>
      <c r="AQ138" s="94"/>
      <c r="AR138" s="81"/>
      <c r="AS138" s="99"/>
    </row>
    <row r="139" spans="1:45" ht="13.5" customHeight="1">
      <c r="A139" s="105"/>
      <c r="B139" s="80"/>
      <c r="C139" s="80"/>
      <c r="D139" s="33"/>
      <c r="E139" s="34"/>
      <c r="F139" s="35"/>
      <c r="G139" s="102" t="s">
        <v>428</v>
      </c>
      <c r="H139" s="110" t="str">
        <f t="array" ref="H139">IFERROR(INDEX('iCoA Register'!$B:$B,MATCH("P050032|I",'iCoA Register'!$P:$P,0)),"iCoA — at issue")&amp;", (16.06.2025) [PP]"</f>
        <v>iCoA-PP_26-009, (16.06.2025) [PP]</v>
      </c>
      <c r="I139" s="87" t="s">
        <v>79</v>
      </c>
      <c r="J139" s="33"/>
      <c r="K139" s="34"/>
      <c r="L139" s="35"/>
      <c r="M139" s="33"/>
      <c r="N139" s="34"/>
      <c r="O139" s="35"/>
      <c r="P139" s="33"/>
      <c r="Q139" s="34"/>
      <c r="R139" s="35"/>
      <c r="S139" s="33"/>
      <c r="T139" s="34"/>
      <c r="U139" s="35"/>
      <c r="V139" s="33"/>
      <c r="W139" s="34"/>
      <c r="X139" s="35"/>
      <c r="Y139" s="33"/>
      <c r="Z139" s="34"/>
      <c r="AA139" s="35"/>
      <c r="AB139" s="36" t="s">
        <v>561</v>
      </c>
      <c r="AC139" s="37" t="s">
        <v>561</v>
      </c>
      <c r="AD139" s="37" t="s">
        <v>561</v>
      </c>
      <c r="AE139" s="37" t="s">
        <v>528</v>
      </c>
      <c r="AF139" s="37" t="s">
        <v>528</v>
      </c>
      <c r="AG139" s="87" t="s">
        <v>79</v>
      </c>
      <c r="AH139" s="33"/>
      <c r="AI139" s="34"/>
      <c r="AJ139" s="34"/>
      <c r="AK139" s="35"/>
      <c r="AL139" s="33"/>
      <c r="AM139" s="34"/>
      <c r="AN139" s="34"/>
      <c r="AO139" s="34"/>
      <c r="AP139" s="35"/>
      <c r="AQ139" s="33"/>
      <c r="AR139" s="34"/>
      <c r="AS139" s="38"/>
    </row>
    <row r="140" spans="1:45" ht="12.75" customHeight="1">
      <c r="A140" s="106"/>
      <c r="B140" s="108"/>
      <c r="C140" s="108"/>
      <c r="D140" s="39"/>
      <c r="E140" s="40"/>
      <c r="F140" s="41"/>
      <c r="G140" s="103"/>
      <c r="H140" s="108"/>
      <c r="I140" s="88"/>
      <c r="J140" s="39"/>
      <c r="K140" s="40"/>
      <c r="L140" s="41"/>
      <c r="M140" s="39"/>
      <c r="N140" s="40"/>
      <c r="O140" s="41"/>
      <c r="P140" s="39"/>
      <c r="Q140" s="40"/>
      <c r="R140" s="41"/>
      <c r="S140" s="39"/>
      <c r="T140" s="40"/>
      <c r="U140" s="41"/>
      <c r="V140" s="39"/>
      <c r="W140" s="40"/>
      <c r="X140" s="41"/>
      <c r="Y140" s="39"/>
      <c r="Z140" s="40"/>
      <c r="AA140" s="41"/>
      <c r="AB140" s="89" t="s">
        <v>1429</v>
      </c>
      <c r="AC140" s="90"/>
      <c r="AD140" s="90"/>
      <c r="AE140" s="90"/>
      <c r="AF140" s="91"/>
      <c r="AG140" s="88"/>
      <c r="AH140" s="39"/>
      <c r="AI140" s="40"/>
      <c r="AJ140" s="40"/>
      <c r="AK140" s="41"/>
      <c r="AL140" s="39"/>
      <c r="AM140" s="40"/>
      <c r="AN140" s="40"/>
      <c r="AO140" s="40"/>
      <c r="AP140" s="41"/>
      <c r="AQ140" s="39"/>
      <c r="AR140" s="40"/>
      <c r="AS140" s="42"/>
    </row>
    <row r="141" spans="1:45" ht="17.25" customHeight="1">
      <c r="A141" s="104" t="s">
        <v>304</v>
      </c>
      <c r="B141" s="107" t="s">
        <v>302</v>
      </c>
      <c r="C141" s="109" t="s">
        <v>426</v>
      </c>
      <c r="D141" s="93" t="s">
        <v>428</v>
      </c>
      <c r="E141" s="92" t="str">
        <f t="array" ref="E141">IFERROR(INDEX('iCoA Register'!$B:$B,MATCH("P050042|I",'iCoA Register'!$P:$P,0)),"iCoA — at issue")&amp;", (20.06.2025) [PP]"</f>
        <v>iCoA-PP_26-010, (20.06.2025) [PP]</v>
      </c>
      <c r="F141" s="84" t="s">
        <v>79</v>
      </c>
      <c r="G141" s="95" t="s">
        <v>434</v>
      </c>
      <c r="H141" s="96" t="s">
        <v>1432</v>
      </c>
      <c r="I141" s="97" t="s">
        <v>93</v>
      </c>
      <c r="J141" s="93" t="s">
        <v>95</v>
      </c>
      <c r="K141" s="92" t="s">
        <v>954</v>
      </c>
      <c r="L141" s="84" t="s">
        <v>79</v>
      </c>
      <c r="M141" s="101" t="s">
        <v>1434</v>
      </c>
      <c r="N141" s="92" t="s">
        <v>954</v>
      </c>
      <c r="O141" s="84" t="s">
        <v>79</v>
      </c>
      <c r="P141" s="100" t="s">
        <v>442</v>
      </c>
      <c r="Q141" s="92" t="s">
        <v>954</v>
      </c>
      <c r="R141" s="84" t="s">
        <v>79</v>
      </c>
      <c r="S141" s="100" t="s">
        <v>1308</v>
      </c>
      <c r="T141" s="92" t="s">
        <v>954</v>
      </c>
      <c r="U141" s="84" t="s">
        <v>79</v>
      </c>
      <c r="V141" s="93" t="s">
        <v>428</v>
      </c>
      <c r="W141" s="92" t="str">
        <f t="array" ref="W141">IFERROR(INDEX('iCoA Register'!$B:$B,MATCH("P050042|I",'iCoA Register'!$P:$P,0)),"iCoA — at issue")&amp;", (20.06.2025) [PP]"</f>
        <v>iCoA-PP_26-010, (20.06.2025) [PP]</v>
      </c>
      <c r="X141" s="84" t="s">
        <v>79</v>
      </c>
      <c r="Y141" s="93" t="s">
        <v>1437</v>
      </c>
      <c r="Z141" s="92" t="s">
        <v>954</v>
      </c>
      <c r="AA141" s="84" t="s">
        <v>79</v>
      </c>
      <c r="AB141" s="31" t="s">
        <v>585</v>
      </c>
      <c r="AC141" s="32" t="s">
        <v>561</v>
      </c>
      <c r="AD141" s="32" t="s">
        <v>450</v>
      </c>
      <c r="AE141" s="32" t="s">
        <v>451</v>
      </c>
      <c r="AF141" s="32" t="s">
        <v>451</v>
      </c>
      <c r="AG141" s="84" t="s">
        <v>79</v>
      </c>
      <c r="AH141" s="31" t="s">
        <v>452</v>
      </c>
      <c r="AI141" s="32" t="s">
        <v>453</v>
      </c>
      <c r="AJ141" s="32" t="s">
        <v>452</v>
      </c>
      <c r="AK141" s="84" t="s">
        <v>79</v>
      </c>
      <c r="AL141" s="31" t="s">
        <v>699</v>
      </c>
      <c r="AM141" s="32" t="s">
        <v>1104</v>
      </c>
      <c r="AN141" s="32" t="s">
        <v>454</v>
      </c>
      <c r="AO141" s="32" t="s">
        <v>1439</v>
      </c>
      <c r="AP141" s="84" t="s">
        <v>79</v>
      </c>
      <c r="AQ141" s="93" t="s">
        <v>612</v>
      </c>
      <c r="AR141" s="92" t="s">
        <v>1440</v>
      </c>
      <c r="AS141" s="98" t="s">
        <v>79</v>
      </c>
    </row>
    <row r="142" spans="1:45" ht="12.75" customHeight="1">
      <c r="A142" s="105"/>
      <c r="B142" s="80"/>
      <c r="C142" s="80"/>
      <c r="D142" s="94"/>
      <c r="E142" s="81"/>
      <c r="F142" s="85"/>
      <c r="G142" s="94"/>
      <c r="H142" s="81"/>
      <c r="I142" s="85"/>
      <c r="J142" s="94"/>
      <c r="K142" s="81"/>
      <c r="L142" s="85"/>
      <c r="M142" s="94"/>
      <c r="N142" s="81"/>
      <c r="O142" s="85"/>
      <c r="P142" s="94"/>
      <c r="Q142" s="81"/>
      <c r="R142" s="85"/>
      <c r="S142" s="94"/>
      <c r="T142" s="81"/>
      <c r="U142" s="85"/>
      <c r="V142" s="94"/>
      <c r="W142" s="81"/>
      <c r="X142" s="85"/>
      <c r="Y142" s="94"/>
      <c r="Z142" s="81"/>
      <c r="AA142" s="85"/>
      <c r="AB142" s="86" t="s">
        <v>1442</v>
      </c>
      <c r="AC142" s="77"/>
      <c r="AD142" s="77"/>
      <c r="AE142" s="77"/>
      <c r="AF142" s="78"/>
      <c r="AG142" s="85"/>
      <c r="AH142" s="86" t="s">
        <v>1440</v>
      </c>
      <c r="AI142" s="77"/>
      <c r="AJ142" s="78"/>
      <c r="AK142" s="85"/>
      <c r="AL142" s="86" t="s">
        <v>1440</v>
      </c>
      <c r="AM142" s="77"/>
      <c r="AN142" s="77"/>
      <c r="AO142" s="78"/>
      <c r="AP142" s="85"/>
      <c r="AQ142" s="94"/>
      <c r="AR142" s="81"/>
      <c r="AS142" s="99"/>
    </row>
    <row r="143" spans="1:45" ht="21" customHeight="1">
      <c r="A143" s="105"/>
      <c r="B143" s="80"/>
      <c r="C143" s="80"/>
      <c r="D143" s="33"/>
      <c r="E143" s="34"/>
      <c r="F143" s="35"/>
      <c r="G143" s="102" t="s">
        <v>428</v>
      </c>
      <c r="H143" s="110" t="str">
        <f t="array" ref="H143">IFERROR(INDEX('iCoA Register'!$B:$B,MATCH("P050042|I",'iCoA Register'!$P:$P,0)),"iCoA — at issue")&amp;", (20.06.2025) [PP]"</f>
        <v>iCoA-PP_26-010, (20.06.2025) [PP]</v>
      </c>
      <c r="I143" s="87" t="s">
        <v>79</v>
      </c>
      <c r="J143" s="33"/>
      <c r="K143" s="34"/>
      <c r="L143" s="35"/>
      <c r="M143" s="33"/>
      <c r="N143" s="34"/>
      <c r="O143" s="35"/>
      <c r="P143" s="33"/>
      <c r="Q143" s="34"/>
      <c r="R143" s="35"/>
      <c r="S143" s="33"/>
      <c r="T143" s="34"/>
      <c r="U143" s="35"/>
      <c r="V143" s="33"/>
      <c r="W143" s="34"/>
      <c r="X143" s="35"/>
      <c r="Y143" s="33"/>
      <c r="Z143" s="34"/>
      <c r="AA143" s="35"/>
      <c r="AB143" s="57" t="s">
        <v>1414</v>
      </c>
      <c r="AC143" s="58" t="s">
        <v>1414</v>
      </c>
      <c r="AD143" s="58" t="s">
        <v>890</v>
      </c>
      <c r="AE143" s="58" t="s">
        <v>870</v>
      </c>
      <c r="AF143" s="58" t="s">
        <v>870</v>
      </c>
      <c r="AG143" s="123" t="s">
        <v>93</v>
      </c>
      <c r="AH143" s="33"/>
      <c r="AI143" s="34"/>
      <c r="AJ143" s="34"/>
      <c r="AK143" s="35"/>
      <c r="AL143" s="33"/>
      <c r="AM143" s="34"/>
      <c r="AN143" s="34"/>
      <c r="AO143" s="34"/>
      <c r="AP143" s="35"/>
      <c r="AQ143" s="33"/>
      <c r="AR143" s="34"/>
      <c r="AS143" s="38"/>
    </row>
    <row r="144" spans="1:45" ht="12.75" customHeight="1">
      <c r="A144" s="106"/>
      <c r="B144" s="108"/>
      <c r="C144" s="108"/>
      <c r="D144" s="39"/>
      <c r="E144" s="40"/>
      <c r="F144" s="41"/>
      <c r="G144" s="103"/>
      <c r="H144" s="108"/>
      <c r="I144" s="88"/>
      <c r="J144" s="39"/>
      <c r="K144" s="40"/>
      <c r="L144" s="41"/>
      <c r="M144" s="39"/>
      <c r="N144" s="40"/>
      <c r="O144" s="41"/>
      <c r="P144" s="39"/>
      <c r="Q144" s="40"/>
      <c r="R144" s="41"/>
      <c r="S144" s="39"/>
      <c r="T144" s="40"/>
      <c r="U144" s="41"/>
      <c r="V144" s="39"/>
      <c r="W144" s="40"/>
      <c r="X144" s="41"/>
      <c r="Y144" s="39"/>
      <c r="Z144" s="40"/>
      <c r="AA144" s="41"/>
      <c r="AB144" s="155" t="s">
        <v>1448</v>
      </c>
      <c r="AC144" s="90"/>
      <c r="AD144" s="90"/>
      <c r="AE144" s="90"/>
      <c r="AF144" s="91"/>
      <c r="AG144" s="88"/>
      <c r="AH144" s="39"/>
      <c r="AI144" s="40"/>
      <c r="AJ144" s="40"/>
      <c r="AK144" s="41"/>
      <c r="AL144" s="39"/>
      <c r="AM144" s="40"/>
      <c r="AN144" s="40"/>
      <c r="AO144" s="40"/>
      <c r="AP144" s="41"/>
      <c r="AQ144" s="39"/>
      <c r="AR144" s="40"/>
      <c r="AS144" s="42"/>
    </row>
    <row r="145" spans="1:45" ht="17.25" customHeight="1">
      <c r="A145" s="104" t="s">
        <v>267</v>
      </c>
      <c r="B145" s="107" t="s">
        <v>269</v>
      </c>
      <c r="C145" s="111" t="s">
        <v>1449</v>
      </c>
      <c r="D145" s="93" t="s">
        <v>428</v>
      </c>
      <c r="E145" s="92" t="str">
        <f t="array" ref="E145">IFERROR(INDEX('iCoA Register'!$B:$B,MATCH("P050052|I",'iCoA Register'!$P:$P,0)),"iCoA — at issue")&amp;", (27.06.2025) [PP]"</f>
        <v>iCoA-PP_26-011, (27.06.2025) [PP]</v>
      </c>
      <c r="F145" s="84" t="s">
        <v>79</v>
      </c>
      <c r="G145" s="95" t="s">
        <v>434</v>
      </c>
      <c r="H145" s="96" t="s">
        <v>1452</v>
      </c>
      <c r="I145" s="97" t="s">
        <v>93</v>
      </c>
      <c r="J145" s="93" t="s">
        <v>95</v>
      </c>
      <c r="K145" s="92" t="s">
        <v>969</v>
      </c>
      <c r="L145" s="84" t="s">
        <v>79</v>
      </c>
      <c r="M145" s="101" t="s">
        <v>1453</v>
      </c>
      <c r="N145" s="92" t="s">
        <v>969</v>
      </c>
      <c r="O145" s="84" t="s">
        <v>79</v>
      </c>
      <c r="P145" s="100" t="s">
        <v>1331</v>
      </c>
      <c r="Q145" s="92" t="s">
        <v>969</v>
      </c>
      <c r="R145" s="84" t="s">
        <v>79</v>
      </c>
      <c r="S145" s="100" t="s">
        <v>444</v>
      </c>
      <c r="T145" s="92" t="s">
        <v>969</v>
      </c>
      <c r="U145" s="84" t="s">
        <v>79</v>
      </c>
      <c r="V145" s="93" t="s">
        <v>428</v>
      </c>
      <c r="W145" s="92" t="str">
        <f t="array" ref="W145">IFERROR(INDEX('iCoA Register'!$B:$B,MATCH("P050052|I",'iCoA Register'!$P:$P,0)),"iCoA — at issue")&amp;", (27.06.2025) [PP]"</f>
        <v>iCoA-PP_26-011, (27.06.2025) [PP]</v>
      </c>
      <c r="X145" s="84" t="s">
        <v>79</v>
      </c>
      <c r="Y145" s="93" t="s">
        <v>557</v>
      </c>
      <c r="Z145" s="92" t="s">
        <v>969</v>
      </c>
      <c r="AA145" s="84" t="s">
        <v>79</v>
      </c>
      <c r="AB145" s="31" t="s">
        <v>1456</v>
      </c>
      <c r="AC145" s="60" t="s">
        <v>1457</v>
      </c>
      <c r="AD145" s="32" t="s">
        <v>561</v>
      </c>
      <c r="AE145" s="32" t="s">
        <v>451</v>
      </c>
      <c r="AF145" s="32" t="s">
        <v>451</v>
      </c>
      <c r="AG145" s="84" t="s">
        <v>79</v>
      </c>
      <c r="AH145" s="31" t="s">
        <v>452</v>
      </c>
      <c r="AI145" s="32" t="s">
        <v>453</v>
      </c>
      <c r="AJ145" s="32" t="s">
        <v>452</v>
      </c>
      <c r="AK145" s="84" t="s">
        <v>79</v>
      </c>
      <c r="AL145" s="31" t="s">
        <v>1458</v>
      </c>
      <c r="AM145" s="32" t="s">
        <v>456</v>
      </c>
      <c r="AN145" s="32" t="s">
        <v>1460</v>
      </c>
      <c r="AO145" s="32" t="s">
        <v>1461</v>
      </c>
      <c r="AP145" s="84" t="s">
        <v>79</v>
      </c>
      <c r="AQ145" s="93" t="s">
        <v>1463</v>
      </c>
      <c r="AR145" s="92" t="s">
        <v>1464</v>
      </c>
      <c r="AS145" s="98" t="s">
        <v>79</v>
      </c>
    </row>
    <row r="146" spans="1:45" ht="12.75" customHeight="1">
      <c r="A146" s="105"/>
      <c r="B146" s="80"/>
      <c r="C146" s="80"/>
      <c r="D146" s="94"/>
      <c r="E146" s="81"/>
      <c r="F146" s="85"/>
      <c r="G146" s="94"/>
      <c r="H146" s="81"/>
      <c r="I146" s="85"/>
      <c r="J146" s="94"/>
      <c r="K146" s="81"/>
      <c r="L146" s="85"/>
      <c r="M146" s="94"/>
      <c r="N146" s="81"/>
      <c r="O146" s="85"/>
      <c r="P146" s="94"/>
      <c r="Q146" s="81"/>
      <c r="R146" s="85"/>
      <c r="S146" s="94"/>
      <c r="T146" s="81"/>
      <c r="U146" s="85"/>
      <c r="V146" s="94"/>
      <c r="W146" s="81"/>
      <c r="X146" s="85"/>
      <c r="Y146" s="94"/>
      <c r="Z146" s="81"/>
      <c r="AA146" s="85"/>
      <c r="AB146" s="86" t="s">
        <v>1465</v>
      </c>
      <c r="AC146" s="77"/>
      <c r="AD146" s="77"/>
      <c r="AE146" s="77"/>
      <c r="AF146" s="78"/>
      <c r="AG146" s="85"/>
      <c r="AH146" s="86" t="s">
        <v>1464</v>
      </c>
      <c r="AI146" s="77"/>
      <c r="AJ146" s="78"/>
      <c r="AK146" s="85"/>
      <c r="AL146" s="86" t="s">
        <v>1464</v>
      </c>
      <c r="AM146" s="77"/>
      <c r="AN146" s="77"/>
      <c r="AO146" s="78"/>
      <c r="AP146" s="85"/>
      <c r="AQ146" s="94"/>
      <c r="AR146" s="81"/>
      <c r="AS146" s="99"/>
    </row>
    <row r="147" spans="1:45" ht="17.25" customHeight="1">
      <c r="A147" s="105"/>
      <c r="B147" s="80"/>
      <c r="C147" s="80"/>
      <c r="D147" s="33"/>
      <c r="E147" s="34"/>
      <c r="F147" s="35"/>
      <c r="G147" s="102" t="s">
        <v>428</v>
      </c>
      <c r="H147" s="110" t="str">
        <f t="array" ref="H147">IFERROR(INDEX('iCoA Register'!$B:$B,MATCH("P050052|I",'iCoA Register'!$P:$P,0)),"iCoA — at issue")&amp;", (27.06.2025) [PP]"</f>
        <v>iCoA-PP_26-011, (27.06.2025) [PP]</v>
      </c>
      <c r="I147" s="87" t="s">
        <v>79</v>
      </c>
      <c r="J147" s="102" t="s">
        <v>463</v>
      </c>
      <c r="K147" s="110" t="s">
        <v>1467</v>
      </c>
      <c r="L147" s="87" t="s">
        <v>79</v>
      </c>
      <c r="M147" s="124" t="s">
        <v>1468</v>
      </c>
      <c r="N147" s="110" t="s">
        <v>1467</v>
      </c>
      <c r="O147" s="87" t="s">
        <v>79</v>
      </c>
      <c r="P147" s="120" t="s">
        <v>705</v>
      </c>
      <c r="Q147" s="110" t="s">
        <v>1467</v>
      </c>
      <c r="R147" s="87" t="s">
        <v>79</v>
      </c>
      <c r="S147" s="120" t="s">
        <v>705</v>
      </c>
      <c r="T147" s="110" t="s">
        <v>1467</v>
      </c>
      <c r="U147" s="87" t="s">
        <v>79</v>
      </c>
      <c r="V147" s="33"/>
      <c r="W147" s="34"/>
      <c r="X147" s="35"/>
      <c r="Y147" s="121" t="s">
        <v>434</v>
      </c>
      <c r="Z147" s="122" t="s">
        <v>1469</v>
      </c>
      <c r="AA147" s="123" t="s">
        <v>93</v>
      </c>
      <c r="AB147" s="33"/>
      <c r="AC147" s="34"/>
      <c r="AD147" s="34"/>
      <c r="AE147" s="34"/>
      <c r="AF147" s="34"/>
      <c r="AG147" s="35"/>
      <c r="AH147" s="36" t="s">
        <v>472</v>
      </c>
      <c r="AI147" s="37" t="s">
        <v>473</v>
      </c>
      <c r="AJ147" s="37" t="s">
        <v>1473</v>
      </c>
      <c r="AK147" s="87" t="s">
        <v>79</v>
      </c>
      <c r="AL147" s="33"/>
      <c r="AM147" s="34"/>
      <c r="AN147" s="34"/>
      <c r="AO147" s="34"/>
      <c r="AP147" s="35"/>
      <c r="AQ147" s="33"/>
      <c r="AR147" s="34"/>
      <c r="AS147" s="38"/>
    </row>
    <row r="148" spans="1:45" ht="15" customHeight="1">
      <c r="A148" s="106"/>
      <c r="B148" s="108"/>
      <c r="C148" s="108"/>
      <c r="D148" s="39"/>
      <c r="E148" s="40"/>
      <c r="F148" s="41"/>
      <c r="G148" s="103"/>
      <c r="H148" s="108"/>
      <c r="I148" s="88"/>
      <c r="J148" s="103"/>
      <c r="K148" s="108"/>
      <c r="L148" s="88"/>
      <c r="M148" s="103"/>
      <c r="N148" s="108"/>
      <c r="O148" s="88"/>
      <c r="P148" s="103"/>
      <c r="Q148" s="108"/>
      <c r="R148" s="88"/>
      <c r="S148" s="103"/>
      <c r="T148" s="108"/>
      <c r="U148" s="88"/>
      <c r="V148" s="39"/>
      <c r="W148" s="40"/>
      <c r="X148" s="41"/>
      <c r="Y148" s="103"/>
      <c r="Z148" s="108"/>
      <c r="AA148" s="88"/>
      <c r="AB148" s="39"/>
      <c r="AC148" s="40"/>
      <c r="AD148" s="40"/>
      <c r="AE148" s="40"/>
      <c r="AF148" s="40"/>
      <c r="AG148" s="41"/>
      <c r="AH148" s="89" t="s">
        <v>1475</v>
      </c>
      <c r="AI148" s="90"/>
      <c r="AJ148" s="91"/>
      <c r="AK148" s="88"/>
      <c r="AL148" s="39"/>
      <c r="AM148" s="40"/>
      <c r="AN148" s="40"/>
      <c r="AO148" s="40"/>
      <c r="AP148" s="41"/>
      <c r="AQ148" s="39"/>
      <c r="AR148" s="40"/>
      <c r="AS148" s="42"/>
    </row>
    <row r="149" spans="1:45" ht="17.25" customHeight="1">
      <c r="A149" s="104" t="s">
        <v>296</v>
      </c>
      <c r="B149" s="107" t="s">
        <v>295</v>
      </c>
      <c r="C149" s="109" t="s">
        <v>426</v>
      </c>
      <c r="D149" s="93" t="s">
        <v>428</v>
      </c>
      <c r="E149" s="92" t="str">
        <f t="array" ref="E149">IFERROR(INDEX('iCoA Register'!$B:$B,MATCH("P050062|I",'iCoA Register'!$P:$P,0)),"iCoA — at issue")&amp;", (04.07.2025) [PP]"</f>
        <v>iCoA-PP_26-012, (04.07.2025) [PP]</v>
      </c>
      <c r="F149" s="84" t="s">
        <v>79</v>
      </c>
      <c r="G149" s="95" t="s">
        <v>434</v>
      </c>
      <c r="H149" s="96" t="s">
        <v>1476</v>
      </c>
      <c r="I149" s="97" t="s">
        <v>93</v>
      </c>
      <c r="J149" s="93" t="s">
        <v>95</v>
      </c>
      <c r="K149" s="92" t="s">
        <v>985</v>
      </c>
      <c r="L149" s="84" t="s">
        <v>79</v>
      </c>
      <c r="M149" s="101" t="s">
        <v>1480</v>
      </c>
      <c r="N149" s="92" t="s">
        <v>985</v>
      </c>
      <c r="O149" s="84" t="s">
        <v>79</v>
      </c>
      <c r="P149" s="100" t="s">
        <v>567</v>
      </c>
      <c r="Q149" s="92" t="s">
        <v>985</v>
      </c>
      <c r="R149" s="84" t="s">
        <v>79</v>
      </c>
      <c r="S149" s="100" t="s">
        <v>444</v>
      </c>
      <c r="T149" s="92" t="s">
        <v>985</v>
      </c>
      <c r="U149" s="84" t="s">
        <v>79</v>
      </c>
      <c r="V149" s="93" t="s">
        <v>428</v>
      </c>
      <c r="W149" s="92" t="str">
        <f t="array" ref="W149">IFERROR(INDEX('iCoA Register'!$B:$B,MATCH("P050062|I",'iCoA Register'!$P:$P,0)),"iCoA — at issue")&amp;", (04.07.2025) [PP]"</f>
        <v>iCoA-PP_26-012, (04.07.2025) [PP]</v>
      </c>
      <c r="X149" s="84" t="s">
        <v>79</v>
      </c>
      <c r="Y149" s="93" t="s">
        <v>1486</v>
      </c>
      <c r="Z149" s="92" t="s">
        <v>985</v>
      </c>
      <c r="AA149" s="84" t="s">
        <v>79</v>
      </c>
      <c r="AB149" s="31" t="s">
        <v>1487</v>
      </c>
      <c r="AC149" s="32" t="s">
        <v>1488</v>
      </c>
      <c r="AD149" s="32" t="s">
        <v>561</v>
      </c>
      <c r="AE149" s="32" t="s">
        <v>451</v>
      </c>
      <c r="AF149" s="32" t="s">
        <v>451</v>
      </c>
      <c r="AG149" s="84" t="s">
        <v>79</v>
      </c>
      <c r="AH149" s="31" t="s">
        <v>452</v>
      </c>
      <c r="AI149" s="32" t="s">
        <v>453</v>
      </c>
      <c r="AJ149" s="32" t="s">
        <v>452</v>
      </c>
      <c r="AK149" s="84" t="s">
        <v>79</v>
      </c>
      <c r="AL149" s="31" t="s">
        <v>1491</v>
      </c>
      <c r="AM149" s="32" t="s">
        <v>1172</v>
      </c>
      <c r="AN149" s="32" t="s">
        <v>1492</v>
      </c>
      <c r="AO149" s="32" t="s">
        <v>1493</v>
      </c>
      <c r="AP149" s="84" t="s">
        <v>79</v>
      </c>
      <c r="AQ149" s="93" t="s">
        <v>1494</v>
      </c>
      <c r="AR149" s="92" t="s">
        <v>1495</v>
      </c>
      <c r="AS149" s="98" t="s">
        <v>79</v>
      </c>
    </row>
    <row r="150" spans="1:45" ht="12.75" customHeight="1">
      <c r="A150" s="105"/>
      <c r="B150" s="80"/>
      <c r="C150" s="80"/>
      <c r="D150" s="94"/>
      <c r="E150" s="81"/>
      <c r="F150" s="85"/>
      <c r="G150" s="94"/>
      <c r="H150" s="81"/>
      <c r="I150" s="85"/>
      <c r="J150" s="94"/>
      <c r="K150" s="81"/>
      <c r="L150" s="85"/>
      <c r="M150" s="94"/>
      <c r="N150" s="81"/>
      <c r="O150" s="85"/>
      <c r="P150" s="94"/>
      <c r="Q150" s="81"/>
      <c r="R150" s="85"/>
      <c r="S150" s="94"/>
      <c r="T150" s="81"/>
      <c r="U150" s="85"/>
      <c r="V150" s="94"/>
      <c r="W150" s="81"/>
      <c r="X150" s="85"/>
      <c r="Y150" s="94"/>
      <c r="Z150" s="81"/>
      <c r="AA150" s="85"/>
      <c r="AB150" s="86" t="s">
        <v>1497</v>
      </c>
      <c r="AC150" s="77"/>
      <c r="AD150" s="77"/>
      <c r="AE150" s="77"/>
      <c r="AF150" s="78"/>
      <c r="AG150" s="85"/>
      <c r="AH150" s="86" t="s">
        <v>1495</v>
      </c>
      <c r="AI150" s="77"/>
      <c r="AJ150" s="78"/>
      <c r="AK150" s="85"/>
      <c r="AL150" s="86" t="s">
        <v>1495</v>
      </c>
      <c r="AM150" s="77"/>
      <c r="AN150" s="77"/>
      <c r="AO150" s="78"/>
      <c r="AP150" s="85"/>
      <c r="AQ150" s="94"/>
      <c r="AR150" s="81"/>
      <c r="AS150" s="99"/>
    </row>
    <row r="151" spans="1:45" ht="17.25" customHeight="1">
      <c r="A151" s="105"/>
      <c r="B151" s="80"/>
      <c r="C151" s="80"/>
      <c r="D151" s="33"/>
      <c r="E151" s="34"/>
      <c r="F151" s="35"/>
      <c r="G151" s="102" t="s">
        <v>428</v>
      </c>
      <c r="H151" s="110" t="str">
        <f t="array" ref="H151">IFERROR(INDEX('iCoA Register'!$B:$B,MATCH("P050062|I",'iCoA Register'!$P:$P,0)),"iCoA — at issue")&amp;", (04.07.2025) [PP]"</f>
        <v>iCoA-PP_26-012, (04.07.2025) [PP]</v>
      </c>
      <c r="I151" s="87" t="s">
        <v>79</v>
      </c>
      <c r="J151" s="102" t="s">
        <v>463</v>
      </c>
      <c r="K151" s="110" t="s">
        <v>1503</v>
      </c>
      <c r="L151" s="87" t="s">
        <v>79</v>
      </c>
      <c r="M151" s="124" t="s">
        <v>1505</v>
      </c>
      <c r="N151" s="110" t="s">
        <v>1503</v>
      </c>
      <c r="O151" s="87" t="s">
        <v>79</v>
      </c>
      <c r="P151" s="120" t="s">
        <v>467</v>
      </c>
      <c r="Q151" s="110" t="s">
        <v>1503</v>
      </c>
      <c r="R151" s="87" t="s">
        <v>79</v>
      </c>
      <c r="S151" s="120" t="s">
        <v>467</v>
      </c>
      <c r="T151" s="110" t="s">
        <v>1503</v>
      </c>
      <c r="U151" s="87" t="s">
        <v>79</v>
      </c>
      <c r="V151" s="33"/>
      <c r="W151" s="34"/>
      <c r="X151" s="35"/>
      <c r="Y151" s="121" t="s">
        <v>434</v>
      </c>
      <c r="Z151" s="122" t="s">
        <v>1508</v>
      </c>
      <c r="AA151" s="123" t="s">
        <v>93</v>
      </c>
      <c r="AB151" s="33"/>
      <c r="AC151" s="34"/>
      <c r="AD151" s="34"/>
      <c r="AE151" s="34"/>
      <c r="AF151" s="34"/>
      <c r="AG151" s="35"/>
      <c r="AH151" s="36" t="s">
        <v>472</v>
      </c>
      <c r="AI151" s="37" t="s">
        <v>473</v>
      </c>
      <c r="AJ151" s="37" t="s">
        <v>472</v>
      </c>
      <c r="AK151" s="87" t="s">
        <v>79</v>
      </c>
      <c r="AL151" s="33"/>
      <c r="AM151" s="34"/>
      <c r="AN151" s="34"/>
      <c r="AO151" s="34"/>
      <c r="AP151" s="35"/>
      <c r="AQ151" s="33"/>
      <c r="AR151" s="34"/>
      <c r="AS151" s="38"/>
    </row>
    <row r="152" spans="1:45" ht="15" customHeight="1">
      <c r="A152" s="106"/>
      <c r="B152" s="108"/>
      <c r="C152" s="108"/>
      <c r="D152" s="39"/>
      <c r="E152" s="40"/>
      <c r="F152" s="41"/>
      <c r="G152" s="103"/>
      <c r="H152" s="108"/>
      <c r="I152" s="88"/>
      <c r="J152" s="103"/>
      <c r="K152" s="108"/>
      <c r="L152" s="88"/>
      <c r="M152" s="103"/>
      <c r="N152" s="108"/>
      <c r="O152" s="88"/>
      <c r="P152" s="103"/>
      <c r="Q152" s="108"/>
      <c r="R152" s="88"/>
      <c r="S152" s="103"/>
      <c r="T152" s="108"/>
      <c r="U152" s="88"/>
      <c r="V152" s="39"/>
      <c r="W152" s="40"/>
      <c r="X152" s="41"/>
      <c r="Y152" s="103"/>
      <c r="Z152" s="108"/>
      <c r="AA152" s="88"/>
      <c r="AB152" s="39"/>
      <c r="AC152" s="40"/>
      <c r="AD152" s="40"/>
      <c r="AE152" s="40"/>
      <c r="AF152" s="40"/>
      <c r="AG152" s="41"/>
      <c r="AH152" s="89" t="s">
        <v>1514</v>
      </c>
      <c r="AI152" s="90"/>
      <c r="AJ152" s="91"/>
      <c r="AK152" s="88"/>
      <c r="AL152" s="39"/>
      <c r="AM152" s="40"/>
      <c r="AN152" s="40"/>
      <c r="AO152" s="40"/>
      <c r="AP152" s="41"/>
      <c r="AQ152" s="39"/>
      <c r="AR152" s="40"/>
      <c r="AS152" s="42"/>
    </row>
    <row r="153" spans="1:45" ht="21" customHeight="1">
      <c r="A153" s="104" t="s">
        <v>293</v>
      </c>
      <c r="B153" s="107" t="s">
        <v>292</v>
      </c>
      <c r="C153" s="111" t="s">
        <v>1515</v>
      </c>
      <c r="D153" s="93" t="s">
        <v>428</v>
      </c>
      <c r="E153" s="92" t="str">
        <f t="array" ref="E153">IFERROR(INDEX('iCoA Register'!$B:$B,MATCH("P050072|I",'iCoA Register'!$P:$P,0)),"iCoA — at issue")&amp;", (14.07.2025) [PP]"</f>
        <v>iCoA-PP_26-013, (14.07.2025) [PP]</v>
      </c>
      <c r="F153" s="84" t="s">
        <v>79</v>
      </c>
      <c r="G153" s="95" t="s">
        <v>434</v>
      </c>
      <c r="H153" s="96" t="s">
        <v>1517</v>
      </c>
      <c r="I153" s="97" t="s">
        <v>93</v>
      </c>
      <c r="J153" s="93" t="s">
        <v>95</v>
      </c>
      <c r="K153" s="92" t="s">
        <v>1002</v>
      </c>
      <c r="L153" s="84" t="s">
        <v>79</v>
      </c>
      <c r="M153" s="101" t="s">
        <v>1519</v>
      </c>
      <c r="N153" s="92" t="s">
        <v>1002</v>
      </c>
      <c r="O153" s="84" t="s">
        <v>79</v>
      </c>
      <c r="P153" s="100" t="s">
        <v>780</v>
      </c>
      <c r="Q153" s="92" t="s">
        <v>1002</v>
      </c>
      <c r="R153" s="84" t="s">
        <v>79</v>
      </c>
      <c r="S153" s="100" t="s">
        <v>530</v>
      </c>
      <c r="T153" s="92" t="s">
        <v>1002</v>
      </c>
      <c r="U153" s="84" t="s">
        <v>79</v>
      </c>
      <c r="V153" s="93" t="s">
        <v>428</v>
      </c>
      <c r="W153" s="92" t="str">
        <f t="array" ref="W153">IFERROR(INDEX('iCoA Register'!$B:$B,MATCH("P050072|I",'iCoA Register'!$P:$P,0)),"iCoA — at issue")&amp;", (14.07.2025) [PP]"</f>
        <v>iCoA-PP_26-013, (14.07.2025) [PP]</v>
      </c>
      <c r="X153" s="84" t="s">
        <v>79</v>
      </c>
      <c r="Y153" s="93" t="s">
        <v>1522</v>
      </c>
      <c r="Z153" s="92" t="s">
        <v>1002</v>
      </c>
      <c r="AA153" s="84" t="s">
        <v>79</v>
      </c>
      <c r="AB153" s="31" t="s">
        <v>1523</v>
      </c>
      <c r="AC153" s="60" t="s">
        <v>1524</v>
      </c>
      <c r="AD153" s="32" t="s">
        <v>1525</v>
      </c>
      <c r="AE153" s="32" t="s">
        <v>451</v>
      </c>
      <c r="AF153" s="32" t="s">
        <v>451</v>
      </c>
      <c r="AG153" s="84" t="s">
        <v>79</v>
      </c>
      <c r="AH153" s="31" t="s">
        <v>452</v>
      </c>
      <c r="AI153" s="32" t="s">
        <v>453</v>
      </c>
      <c r="AJ153" s="32" t="s">
        <v>452</v>
      </c>
      <c r="AK153" s="84" t="s">
        <v>79</v>
      </c>
      <c r="AL153" s="31" t="s">
        <v>1275</v>
      </c>
      <c r="AM153" s="32" t="s">
        <v>1275</v>
      </c>
      <c r="AN153" s="32" t="s">
        <v>1526</v>
      </c>
      <c r="AO153" s="32" t="s">
        <v>1275</v>
      </c>
      <c r="AP153" s="84" t="s">
        <v>79</v>
      </c>
      <c r="AQ153" s="93" t="s">
        <v>459</v>
      </c>
      <c r="AR153" s="92" t="s">
        <v>1527</v>
      </c>
      <c r="AS153" s="98" t="s">
        <v>79</v>
      </c>
    </row>
    <row r="154" spans="1:45" ht="12.75" customHeight="1">
      <c r="A154" s="105"/>
      <c r="B154" s="80"/>
      <c r="C154" s="80"/>
      <c r="D154" s="94"/>
      <c r="E154" s="81"/>
      <c r="F154" s="85"/>
      <c r="G154" s="94"/>
      <c r="H154" s="81"/>
      <c r="I154" s="85"/>
      <c r="J154" s="94"/>
      <c r="K154" s="81"/>
      <c r="L154" s="85"/>
      <c r="M154" s="94"/>
      <c r="N154" s="81"/>
      <c r="O154" s="85"/>
      <c r="P154" s="94"/>
      <c r="Q154" s="81"/>
      <c r="R154" s="85"/>
      <c r="S154" s="94"/>
      <c r="T154" s="81"/>
      <c r="U154" s="85"/>
      <c r="V154" s="94"/>
      <c r="W154" s="81"/>
      <c r="X154" s="85"/>
      <c r="Y154" s="94"/>
      <c r="Z154" s="81"/>
      <c r="AA154" s="85"/>
      <c r="AB154" s="86" t="s">
        <v>1529</v>
      </c>
      <c r="AC154" s="77"/>
      <c r="AD154" s="77"/>
      <c r="AE154" s="77"/>
      <c r="AF154" s="78"/>
      <c r="AG154" s="85"/>
      <c r="AH154" s="86" t="s">
        <v>1527</v>
      </c>
      <c r="AI154" s="77"/>
      <c r="AJ154" s="78"/>
      <c r="AK154" s="85"/>
      <c r="AL154" s="86" t="s">
        <v>1527</v>
      </c>
      <c r="AM154" s="77"/>
      <c r="AN154" s="77"/>
      <c r="AO154" s="78"/>
      <c r="AP154" s="85"/>
      <c r="AQ154" s="94"/>
      <c r="AR154" s="81"/>
      <c r="AS154" s="99"/>
    </row>
    <row r="155" spans="1:45" ht="17.25" customHeight="1">
      <c r="A155" s="105"/>
      <c r="B155" s="80"/>
      <c r="C155" s="80"/>
      <c r="D155" s="33"/>
      <c r="E155" s="34"/>
      <c r="F155" s="35"/>
      <c r="G155" s="102" t="s">
        <v>428</v>
      </c>
      <c r="H155" s="110" t="str">
        <f t="array" ref="H155">IFERROR(INDEX('iCoA Register'!$B:$B,MATCH("P050072|I",'iCoA Register'!$P:$P,0)),"iCoA — at issue")&amp;", (14.07.2025) [PP]"</f>
        <v>iCoA-PP_26-013, (14.07.2025) [PP]</v>
      </c>
      <c r="I155" s="87" t="s">
        <v>79</v>
      </c>
      <c r="J155" s="137" t="s">
        <v>95</v>
      </c>
      <c r="K155" s="135" t="s">
        <v>1533</v>
      </c>
      <c r="L155" s="136" t="s">
        <v>79</v>
      </c>
      <c r="M155" s="138" t="s">
        <v>1535</v>
      </c>
      <c r="N155" s="135" t="s">
        <v>1533</v>
      </c>
      <c r="O155" s="136" t="s">
        <v>79</v>
      </c>
      <c r="P155" s="139" t="s">
        <v>442</v>
      </c>
      <c r="Q155" s="135" t="s">
        <v>1533</v>
      </c>
      <c r="R155" s="136" t="s">
        <v>79</v>
      </c>
      <c r="S155" s="139" t="s">
        <v>1536</v>
      </c>
      <c r="T155" s="135" t="s">
        <v>1533</v>
      </c>
      <c r="U155" s="136" t="s">
        <v>79</v>
      </c>
      <c r="V155" s="33"/>
      <c r="W155" s="34"/>
      <c r="X155" s="35"/>
      <c r="Y155" s="137" t="s">
        <v>1538</v>
      </c>
      <c r="Z155" s="135" t="s">
        <v>1533</v>
      </c>
      <c r="AA155" s="136" t="s">
        <v>79</v>
      </c>
      <c r="AB155" s="33"/>
      <c r="AC155" s="34"/>
      <c r="AD155" s="34"/>
      <c r="AE155" s="34"/>
      <c r="AF155" s="34"/>
      <c r="AG155" s="35"/>
      <c r="AH155" s="33"/>
      <c r="AI155" s="34"/>
      <c r="AJ155" s="34"/>
      <c r="AK155" s="35"/>
      <c r="AL155" s="33"/>
      <c r="AM155" s="34"/>
      <c r="AN155" s="34"/>
      <c r="AO155" s="34"/>
      <c r="AP155" s="35"/>
      <c r="AQ155" s="33"/>
      <c r="AR155" s="34"/>
      <c r="AS155" s="38"/>
    </row>
    <row r="156" spans="1:45" ht="12.75" customHeight="1">
      <c r="A156" s="105"/>
      <c r="B156" s="80"/>
      <c r="C156" s="80"/>
      <c r="D156" s="49"/>
      <c r="E156" s="50"/>
      <c r="F156" s="51"/>
      <c r="G156" s="133"/>
      <c r="H156" s="130"/>
      <c r="I156" s="131"/>
      <c r="J156" s="133"/>
      <c r="K156" s="130"/>
      <c r="L156" s="131"/>
      <c r="M156" s="133"/>
      <c r="N156" s="130"/>
      <c r="O156" s="131"/>
      <c r="P156" s="133"/>
      <c r="Q156" s="130"/>
      <c r="R156" s="131"/>
      <c r="S156" s="133"/>
      <c r="T156" s="130"/>
      <c r="U156" s="131"/>
      <c r="V156" s="49"/>
      <c r="W156" s="50"/>
      <c r="X156" s="51"/>
      <c r="Y156" s="133"/>
      <c r="Z156" s="130"/>
      <c r="AA156" s="131"/>
      <c r="AB156" s="49"/>
      <c r="AC156" s="50"/>
      <c r="AD156" s="50"/>
      <c r="AE156" s="50"/>
      <c r="AF156" s="50"/>
      <c r="AG156" s="51"/>
      <c r="AH156" s="49"/>
      <c r="AI156" s="50"/>
      <c r="AJ156" s="50"/>
      <c r="AK156" s="51"/>
      <c r="AL156" s="49"/>
      <c r="AM156" s="50"/>
      <c r="AN156" s="50"/>
      <c r="AO156" s="50"/>
      <c r="AP156" s="51"/>
      <c r="AQ156" s="49"/>
      <c r="AR156" s="50"/>
      <c r="AS156" s="52"/>
    </row>
    <row r="157" spans="1:45" ht="17.25" customHeight="1">
      <c r="A157" s="105"/>
      <c r="B157" s="80"/>
      <c r="C157" s="80"/>
      <c r="D157" s="33"/>
      <c r="E157" s="34"/>
      <c r="F157" s="35"/>
      <c r="G157" s="121" t="s">
        <v>434</v>
      </c>
      <c r="H157" s="122" t="s">
        <v>1540</v>
      </c>
      <c r="I157" s="123" t="s">
        <v>93</v>
      </c>
      <c r="J157" s="137" t="s">
        <v>95</v>
      </c>
      <c r="K157" s="135" t="s">
        <v>1541</v>
      </c>
      <c r="L157" s="136" t="s">
        <v>79</v>
      </c>
      <c r="M157" s="138" t="s">
        <v>1542</v>
      </c>
      <c r="N157" s="135" t="s">
        <v>1541</v>
      </c>
      <c r="O157" s="136" t="s">
        <v>79</v>
      </c>
      <c r="P157" s="139" t="s">
        <v>963</v>
      </c>
      <c r="Q157" s="135" t="s">
        <v>1541</v>
      </c>
      <c r="R157" s="136" t="s">
        <v>79</v>
      </c>
      <c r="S157" s="140" t="s">
        <v>1547</v>
      </c>
      <c r="T157" s="135" t="s">
        <v>1541</v>
      </c>
      <c r="U157" s="136" t="s">
        <v>79</v>
      </c>
      <c r="V157" s="33"/>
      <c r="W157" s="34"/>
      <c r="X157" s="35"/>
      <c r="Y157" s="137" t="s">
        <v>1548</v>
      </c>
      <c r="Z157" s="135" t="s">
        <v>1541</v>
      </c>
      <c r="AA157" s="136" t="s">
        <v>79</v>
      </c>
      <c r="AB157" s="33"/>
      <c r="AC157" s="34"/>
      <c r="AD157" s="34"/>
      <c r="AE157" s="34"/>
      <c r="AF157" s="34"/>
      <c r="AG157" s="35"/>
      <c r="AH157" s="33"/>
      <c r="AI157" s="34"/>
      <c r="AJ157" s="34"/>
      <c r="AK157" s="35"/>
      <c r="AL157" s="33"/>
      <c r="AM157" s="34"/>
      <c r="AN157" s="34"/>
      <c r="AO157" s="34"/>
      <c r="AP157" s="35"/>
      <c r="AQ157" s="33"/>
      <c r="AR157" s="34"/>
      <c r="AS157" s="38"/>
    </row>
    <row r="158" spans="1:45" ht="12.75" customHeight="1">
      <c r="A158" s="105"/>
      <c r="B158" s="80"/>
      <c r="C158" s="80"/>
      <c r="D158" s="49"/>
      <c r="E158" s="50"/>
      <c r="F158" s="51"/>
      <c r="G158" s="133"/>
      <c r="H158" s="130"/>
      <c r="I158" s="131"/>
      <c r="J158" s="133"/>
      <c r="K158" s="130"/>
      <c r="L158" s="131"/>
      <c r="M158" s="133"/>
      <c r="N158" s="130"/>
      <c r="O158" s="131"/>
      <c r="P158" s="133"/>
      <c r="Q158" s="130"/>
      <c r="R158" s="131"/>
      <c r="S158" s="133"/>
      <c r="T158" s="130"/>
      <c r="U158" s="131"/>
      <c r="V158" s="49"/>
      <c r="W158" s="50"/>
      <c r="X158" s="51"/>
      <c r="Y158" s="133"/>
      <c r="Z158" s="130"/>
      <c r="AA158" s="131"/>
      <c r="AB158" s="49"/>
      <c r="AC158" s="50"/>
      <c r="AD158" s="50"/>
      <c r="AE158" s="50"/>
      <c r="AF158" s="50"/>
      <c r="AG158" s="51"/>
      <c r="AH158" s="49"/>
      <c r="AI158" s="50"/>
      <c r="AJ158" s="50"/>
      <c r="AK158" s="51"/>
      <c r="AL158" s="49"/>
      <c r="AM158" s="50"/>
      <c r="AN158" s="50"/>
      <c r="AO158" s="50"/>
      <c r="AP158" s="51"/>
      <c r="AQ158" s="49"/>
      <c r="AR158" s="50"/>
      <c r="AS158" s="52"/>
    </row>
    <row r="159" spans="1:45" ht="17.25" customHeight="1">
      <c r="A159" s="105"/>
      <c r="B159" s="80"/>
      <c r="C159" s="80"/>
      <c r="D159" s="33"/>
      <c r="E159" s="34"/>
      <c r="F159" s="35"/>
      <c r="G159" s="121" t="s">
        <v>434</v>
      </c>
      <c r="H159" s="122" t="s">
        <v>1549</v>
      </c>
      <c r="I159" s="123" t="s">
        <v>93</v>
      </c>
      <c r="J159" s="137" t="s">
        <v>95</v>
      </c>
      <c r="K159" s="135" t="s">
        <v>1550</v>
      </c>
      <c r="L159" s="136" t="s">
        <v>79</v>
      </c>
      <c r="M159" s="138" t="s">
        <v>1551</v>
      </c>
      <c r="N159" s="135" t="s">
        <v>1550</v>
      </c>
      <c r="O159" s="136" t="s">
        <v>79</v>
      </c>
      <c r="P159" s="139" t="s">
        <v>442</v>
      </c>
      <c r="Q159" s="135" t="s">
        <v>1550</v>
      </c>
      <c r="R159" s="136" t="s">
        <v>79</v>
      </c>
      <c r="S159" s="139" t="s">
        <v>1553</v>
      </c>
      <c r="T159" s="135" t="s">
        <v>1550</v>
      </c>
      <c r="U159" s="136" t="s">
        <v>79</v>
      </c>
      <c r="V159" s="33"/>
      <c r="W159" s="34"/>
      <c r="X159" s="35"/>
      <c r="Y159" s="137" t="s">
        <v>1556</v>
      </c>
      <c r="Z159" s="135" t="s">
        <v>1550</v>
      </c>
      <c r="AA159" s="136" t="s">
        <v>79</v>
      </c>
      <c r="AB159" s="33"/>
      <c r="AC159" s="34"/>
      <c r="AD159" s="34"/>
      <c r="AE159" s="34"/>
      <c r="AF159" s="34"/>
      <c r="AG159" s="35"/>
      <c r="AH159" s="33"/>
      <c r="AI159" s="34"/>
      <c r="AJ159" s="34"/>
      <c r="AK159" s="35"/>
      <c r="AL159" s="33"/>
      <c r="AM159" s="34"/>
      <c r="AN159" s="34"/>
      <c r="AO159" s="34"/>
      <c r="AP159" s="35"/>
      <c r="AQ159" s="33"/>
      <c r="AR159" s="34"/>
      <c r="AS159" s="38"/>
    </row>
    <row r="160" spans="1:45" ht="12.75" customHeight="1">
      <c r="A160" s="105"/>
      <c r="B160" s="80"/>
      <c r="C160" s="80"/>
      <c r="D160" s="49"/>
      <c r="E160" s="50"/>
      <c r="F160" s="51"/>
      <c r="G160" s="133"/>
      <c r="H160" s="130"/>
      <c r="I160" s="131"/>
      <c r="J160" s="133"/>
      <c r="K160" s="130"/>
      <c r="L160" s="131"/>
      <c r="M160" s="133"/>
      <c r="N160" s="130"/>
      <c r="O160" s="131"/>
      <c r="P160" s="133"/>
      <c r="Q160" s="130"/>
      <c r="R160" s="131"/>
      <c r="S160" s="133"/>
      <c r="T160" s="130"/>
      <c r="U160" s="131"/>
      <c r="V160" s="49"/>
      <c r="W160" s="50"/>
      <c r="X160" s="51"/>
      <c r="Y160" s="133"/>
      <c r="Z160" s="130"/>
      <c r="AA160" s="131"/>
      <c r="AB160" s="49"/>
      <c r="AC160" s="50"/>
      <c r="AD160" s="50"/>
      <c r="AE160" s="50"/>
      <c r="AF160" s="50"/>
      <c r="AG160" s="51"/>
      <c r="AH160" s="49"/>
      <c r="AI160" s="50"/>
      <c r="AJ160" s="50"/>
      <c r="AK160" s="51"/>
      <c r="AL160" s="49"/>
      <c r="AM160" s="50"/>
      <c r="AN160" s="50"/>
      <c r="AO160" s="50"/>
      <c r="AP160" s="51"/>
      <c r="AQ160" s="49"/>
      <c r="AR160" s="50"/>
      <c r="AS160" s="52"/>
    </row>
    <row r="161" spans="1:45" ht="13.5" customHeight="1">
      <c r="A161" s="105"/>
      <c r="B161" s="80"/>
      <c r="C161" s="80"/>
      <c r="D161" s="33"/>
      <c r="E161" s="34"/>
      <c r="F161" s="35"/>
      <c r="G161" s="121" t="s">
        <v>434</v>
      </c>
      <c r="H161" s="122" t="s">
        <v>1557</v>
      </c>
      <c r="I161" s="123" t="s">
        <v>93</v>
      </c>
      <c r="J161" s="33"/>
      <c r="K161" s="34"/>
      <c r="L161" s="35"/>
      <c r="M161" s="33"/>
      <c r="N161" s="34"/>
      <c r="O161" s="35"/>
      <c r="P161" s="33"/>
      <c r="Q161" s="34"/>
      <c r="R161" s="35"/>
      <c r="S161" s="33"/>
      <c r="T161" s="34"/>
      <c r="U161" s="35"/>
      <c r="V161" s="33"/>
      <c r="W161" s="34"/>
      <c r="X161" s="35"/>
      <c r="Y161" s="33"/>
      <c r="Z161" s="34"/>
      <c r="AA161" s="35"/>
      <c r="AB161" s="33"/>
      <c r="AC161" s="34"/>
      <c r="AD161" s="34"/>
      <c r="AE161" s="34"/>
      <c r="AF161" s="34"/>
      <c r="AG161" s="35"/>
      <c r="AH161" s="33"/>
      <c r="AI161" s="34"/>
      <c r="AJ161" s="34"/>
      <c r="AK161" s="35"/>
      <c r="AL161" s="33"/>
      <c r="AM161" s="34"/>
      <c r="AN161" s="34"/>
      <c r="AO161" s="34"/>
      <c r="AP161" s="35"/>
      <c r="AQ161" s="33"/>
      <c r="AR161" s="34"/>
      <c r="AS161" s="38"/>
    </row>
    <row r="162" spans="1:45" ht="12.75" customHeight="1">
      <c r="A162" s="106"/>
      <c r="B162" s="108"/>
      <c r="C162" s="108"/>
      <c r="D162" s="39"/>
      <c r="E162" s="40"/>
      <c r="F162" s="41"/>
      <c r="G162" s="103"/>
      <c r="H162" s="108"/>
      <c r="I162" s="88"/>
      <c r="J162" s="39"/>
      <c r="K162" s="40"/>
      <c r="L162" s="41"/>
      <c r="M162" s="39"/>
      <c r="N162" s="40"/>
      <c r="O162" s="41"/>
      <c r="P162" s="39"/>
      <c r="Q162" s="40"/>
      <c r="R162" s="41"/>
      <c r="S162" s="39"/>
      <c r="T162" s="40"/>
      <c r="U162" s="41"/>
      <c r="V162" s="39"/>
      <c r="W162" s="40"/>
      <c r="X162" s="41"/>
      <c r="Y162" s="39"/>
      <c r="Z162" s="40"/>
      <c r="AA162" s="41"/>
      <c r="AB162" s="39"/>
      <c r="AC162" s="40"/>
      <c r="AD162" s="40"/>
      <c r="AE162" s="40"/>
      <c r="AF162" s="40"/>
      <c r="AG162" s="41"/>
      <c r="AH162" s="39"/>
      <c r="AI162" s="40"/>
      <c r="AJ162" s="40"/>
      <c r="AK162" s="41"/>
      <c r="AL162" s="39"/>
      <c r="AM162" s="40"/>
      <c r="AN162" s="40"/>
      <c r="AO162" s="40"/>
      <c r="AP162" s="41"/>
      <c r="AQ162" s="39"/>
      <c r="AR162" s="40"/>
      <c r="AS162" s="42"/>
    </row>
    <row r="163" spans="1:45" ht="17.25" customHeight="1">
      <c r="A163" s="104" t="s">
        <v>237</v>
      </c>
      <c r="B163" s="107" t="s">
        <v>235</v>
      </c>
      <c r="C163" s="109" t="s">
        <v>512</v>
      </c>
      <c r="D163" s="93" t="s">
        <v>428</v>
      </c>
      <c r="E163" s="92" t="str">
        <f t="array" ref="E163">IFERROR(INDEX('iCoA Register'!$B:$B,MATCH("P050082|I",'iCoA Register'!$P:$P,0)),"iCoA — at issue")&amp;", (22.07.2025) [PP]"</f>
        <v>iCoA-PP_26-014, (22.07.2025) [PP]</v>
      </c>
      <c r="F163" s="84" t="s">
        <v>79</v>
      </c>
      <c r="G163" s="93" t="s">
        <v>428</v>
      </c>
      <c r="H163" s="92" t="str">
        <f t="array" ref="H163">IFERROR(INDEX('iCoA Register'!$B:$B,MATCH("P050082|I",'iCoA Register'!$P:$P,0)),"iCoA — at issue")&amp;", (22.07.2025) [PP]"</f>
        <v>iCoA-PP_26-014, (22.07.2025) [PP]</v>
      </c>
      <c r="I163" s="84" t="s">
        <v>79</v>
      </c>
      <c r="J163" s="93" t="s">
        <v>95</v>
      </c>
      <c r="K163" s="92" t="s">
        <v>1017</v>
      </c>
      <c r="L163" s="84" t="s">
        <v>79</v>
      </c>
      <c r="M163" s="101" t="s">
        <v>1569</v>
      </c>
      <c r="N163" s="92" t="s">
        <v>1017</v>
      </c>
      <c r="O163" s="84" t="s">
        <v>79</v>
      </c>
      <c r="P163" s="100" t="s">
        <v>442</v>
      </c>
      <c r="Q163" s="92" t="s">
        <v>1017</v>
      </c>
      <c r="R163" s="84" t="s">
        <v>79</v>
      </c>
      <c r="S163" s="100" t="s">
        <v>1308</v>
      </c>
      <c r="T163" s="92" t="s">
        <v>1017</v>
      </c>
      <c r="U163" s="84" t="s">
        <v>79</v>
      </c>
      <c r="V163" s="93" t="s">
        <v>428</v>
      </c>
      <c r="W163" s="92" t="str">
        <f t="array" ref="W163">IFERROR(INDEX('iCoA Register'!$B:$B,MATCH("P050082|I",'iCoA Register'!$P:$P,0)),"iCoA — at issue")&amp;", (22.07.2025) [PP]"</f>
        <v>iCoA-PP_26-014, (22.07.2025) [PP]</v>
      </c>
      <c r="X163" s="84" t="s">
        <v>79</v>
      </c>
      <c r="Y163" s="93" t="s">
        <v>975</v>
      </c>
      <c r="Z163" s="92" t="s">
        <v>1017</v>
      </c>
      <c r="AA163" s="84" t="s">
        <v>79</v>
      </c>
      <c r="AB163" s="31" t="s">
        <v>1573</v>
      </c>
      <c r="AC163" s="32" t="s">
        <v>1574</v>
      </c>
      <c r="AD163" s="32" t="s">
        <v>561</v>
      </c>
      <c r="AE163" s="32" t="s">
        <v>451</v>
      </c>
      <c r="AF163" s="32" t="s">
        <v>451</v>
      </c>
      <c r="AG163" s="84" t="s">
        <v>79</v>
      </c>
      <c r="AH163" s="31" t="s">
        <v>452</v>
      </c>
      <c r="AI163" s="32" t="s">
        <v>1576</v>
      </c>
      <c r="AJ163" s="32" t="s">
        <v>452</v>
      </c>
      <c r="AK163" s="84" t="s">
        <v>79</v>
      </c>
      <c r="AL163" s="31" t="s">
        <v>1315</v>
      </c>
      <c r="AM163" s="32" t="s">
        <v>1315</v>
      </c>
      <c r="AN163" s="32" t="s">
        <v>1578</v>
      </c>
      <c r="AO163" s="32" t="s">
        <v>1364</v>
      </c>
      <c r="AP163" s="84" t="s">
        <v>79</v>
      </c>
      <c r="AQ163" s="93" t="s">
        <v>612</v>
      </c>
      <c r="AR163" s="92" t="s">
        <v>1580</v>
      </c>
      <c r="AS163" s="98" t="s">
        <v>79</v>
      </c>
    </row>
    <row r="164" spans="1:45" ht="12.75" customHeight="1">
      <c r="A164" s="105"/>
      <c r="B164" s="80"/>
      <c r="C164" s="80"/>
      <c r="D164" s="94"/>
      <c r="E164" s="81"/>
      <c r="F164" s="85"/>
      <c r="G164" s="94"/>
      <c r="H164" s="81"/>
      <c r="I164" s="85"/>
      <c r="J164" s="94"/>
      <c r="K164" s="81"/>
      <c r="L164" s="85"/>
      <c r="M164" s="94"/>
      <c r="N164" s="81"/>
      <c r="O164" s="85"/>
      <c r="P164" s="94"/>
      <c r="Q164" s="81"/>
      <c r="R164" s="85"/>
      <c r="S164" s="94"/>
      <c r="T164" s="81"/>
      <c r="U164" s="85"/>
      <c r="V164" s="94"/>
      <c r="W164" s="81"/>
      <c r="X164" s="85"/>
      <c r="Y164" s="94"/>
      <c r="Z164" s="81"/>
      <c r="AA164" s="85"/>
      <c r="AB164" s="86" t="s">
        <v>1581</v>
      </c>
      <c r="AC164" s="77"/>
      <c r="AD164" s="77"/>
      <c r="AE164" s="77"/>
      <c r="AF164" s="78"/>
      <c r="AG164" s="85"/>
      <c r="AH164" s="86" t="s">
        <v>1580</v>
      </c>
      <c r="AI164" s="77"/>
      <c r="AJ164" s="78"/>
      <c r="AK164" s="85"/>
      <c r="AL164" s="86" t="s">
        <v>1580</v>
      </c>
      <c r="AM164" s="77"/>
      <c r="AN164" s="77"/>
      <c r="AO164" s="78"/>
      <c r="AP164" s="85"/>
      <c r="AQ164" s="94"/>
      <c r="AR164" s="81"/>
      <c r="AS164" s="99"/>
    </row>
    <row r="165" spans="1:45" ht="13.5" customHeight="1">
      <c r="A165" s="105"/>
      <c r="B165" s="80"/>
      <c r="C165" s="80"/>
      <c r="D165" s="33"/>
      <c r="E165" s="34"/>
      <c r="F165" s="35"/>
      <c r="G165" s="121" t="s">
        <v>434</v>
      </c>
      <c r="H165" s="122" t="s">
        <v>1583</v>
      </c>
      <c r="I165" s="123" t="s">
        <v>93</v>
      </c>
      <c r="J165" s="33"/>
      <c r="K165" s="34"/>
      <c r="L165" s="35"/>
      <c r="M165" s="33"/>
      <c r="N165" s="34"/>
      <c r="O165" s="35"/>
      <c r="P165" s="33"/>
      <c r="Q165" s="34"/>
      <c r="R165" s="35"/>
      <c r="S165" s="33"/>
      <c r="T165" s="34"/>
      <c r="U165" s="35"/>
      <c r="V165" s="33"/>
      <c r="W165" s="34"/>
      <c r="X165" s="35"/>
      <c r="Y165" s="33"/>
      <c r="Z165" s="34"/>
      <c r="AA165" s="35"/>
      <c r="AB165" s="33"/>
      <c r="AC165" s="34"/>
      <c r="AD165" s="34"/>
      <c r="AE165" s="34"/>
      <c r="AF165" s="34"/>
      <c r="AG165" s="35"/>
      <c r="AH165" s="33"/>
      <c r="AI165" s="34"/>
      <c r="AJ165" s="34"/>
      <c r="AK165" s="35"/>
      <c r="AL165" s="33"/>
      <c r="AM165" s="34"/>
      <c r="AN165" s="34"/>
      <c r="AO165" s="34"/>
      <c r="AP165" s="35"/>
      <c r="AQ165" s="33"/>
      <c r="AR165" s="34"/>
      <c r="AS165" s="38"/>
    </row>
    <row r="166" spans="1:45" ht="12.75" customHeight="1">
      <c r="A166" s="106"/>
      <c r="B166" s="108"/>
      <c r="C166" s="108"/>
      <c r="D166" s="39"/>
      <c r="E166" s="40"/>
      <c r="F166" s="41"/>
      <c r="G166" s="103"/>
      <c r="H166" s="108"/>
      <c r="I166" s="88"/>
      <c r="J166" s="39"/>
      <c r="K166" s="40"/>
      <c r="L166" s="41"/>
      <c r="M166" s="39"/>
      <c r="N166" s="40"/>
      <c r="O166" s="41"/>
      <c r="P166" s="39"/>
      <c r="Q166" s="40"/>
      <c r="R166" s="41"/>
      <c r="S166" s="39"/>
      <c r="T166" s="40"/>
      <c r="U166" s="41"/>
      <c r="V166" s="39"/>
      <c r="W166" s="40"/>
      <c r="X166" s="41"/>
      <c r="Y166" s="39"/>
      <c r="Z166" s="40"/>
      <c r="AA166" s="41"/>
      <c r="AB166" s="39"/>
      <c r="AC166" s="40"/>
      <c r="AD166" s="40"/>
      <c r="AE166" s="40"/>
      <c r="AF166" s="40"/>
      <c r="AG166" s="41"/>
      <c r="AH166" s="39"/>
      <c r="AI166" s="40"/>
      <c r="AJ166" s="40"/>
      <c r="AK166" s="41"/>
      <c r="AL166" s="39"/>
      <c r="AM166" s="40"/>
      <c r="AN166" s="40"/>
      <c r="AO166" s="40"/>
      <c r="AP166" s="41"/>
      <c r="AQ166" s="39"/>
      <c r="AR166" s="40"/>
      <c r="AS166" s="42"/>
    </row>
    <row r="167" spans="1:45" ht="17.25" customHeight="1">
      <c r="A167" s="104" t="s">
        <v>232</v>
      </c>
      <c r="B167" s="107" t="s">
        <v>236</v>
      </c>
      <c r="C167" s="118" t="s">
        <v>1587</v>
      </c>
      <c r="D167" s="93" t="s">
        <v>428</v>
      </c>
      <c r="E167" s="92" t="str">
        <f t="array" ref="E167">IFERROR(INDEX('iCoA Register'!$B:$B,MATCH("P050092|I",'iCoA Register'!$P:$P,0)),"iCoA — at issue")&amp;", (31.07.2025) [PP]"</f>
        <v>iCoA-PP_26-015, (31.07.2025) [PP]</v>
      </c>
      <c r="F167" s="84" t="s">
        <v>79</v>
      </c>
      <c r="G167" s="95" t="s">
        <v>434</v>
      </c>
      <c r="H167" s="96" t="s">
        <v>1590</v>
      </c>
      <c r="I167" s="97" t="s">
        <v>93</v>
      </c>
      <c r="J167" s="93" t="s">
        <v>95</v>
      </c>
      <c r="K167" s="92" t="s">
        <v>1027</v>
      </c>
      <c r="L167" s="84" t="s">
        <v>79</v>
      </c>
      <c r="M167" s="101" t="s">
        <v>1594</v>
      </c>
      <c r="N167" s="92" t="s">
        <v>1027</v>
      </c>
      <c r="O167" s="84" t="s">
        <v>79</v>
      </c>
      <c r="P167" s="100" t="s">
        <v>567</v>
      </c>
      <c r="Q167" s="92" t="s">
        <v>1027</v>
      </c>
      <c r="R167" s="84" t="s">
        <v>79</v>
      </c>
      <c r="S167" s="100" t="s">
        <v>1596</v>
      </c>
      <c r="T167" s="92" t="s">
        <v>1027</v>
      </c>
      <c r="U167" s="84" t="s">
        <v>79</v>
      </c>
      <c r="V167" s="93" t="s">
        <v>428</v>
      </c>
      <c r="W167" s="92" t="str">
        <f t="array" ref="W167">IFERROR(INDEX('iCoA Register'!$B:$B,MATCH("P050092|I",'iCoA Register'!$P:$P,0)),"iCoA — at issue")&amp;", (31.07.2025) [PP]"</f>
        <v>iCoA-PP_26-015, (31.07.2025) [PP]</v>
      </c>
      <c r="X167" s="84" t="s">
        <v>79</v>
      </c>
      <c r="Y167" s="93" t="s">
        <v>1597</v>
      </c>
      <c r="Z167" s="92" t="s">
        <v>1027</v>
      </c>
      <c r="AA167" s="84" t="s">
        <v>79</v>
      </c>
      <c r="AB167" s="31" t="s">
        <v>1598</v>
      </c>
      <c r="AC167" s="62" t="s">
        <v>1599</v>
      </c>
      <c r="AD167" s="32" t="s">
        <v>561</v>
      </c>
      <c r="AE167" s="32" t="s">
        <v>451</v>
      </c>
      <c r="AF167" s="32" t="s">
        <v>451</v>
      </c>
      <c r="AG167" s="84" t="s">
        <v>79</v>
      </c>
      <c r="AH167" s="31" t="s">
        <v>452</v>
      </c>
      <c r="AI167" s="32" t="s">
        <v>453</v>
      </c>
      <c r="AJ167" s="32" t="s">
        <v>452</v>
      </c>
      <c r="AK167" s="84" t="s">
        <v>79</v>
      </c>
      <c r="AL167" s="31" t="s">
        <v>963</v>
      </c>
      <c r="AM167" s="32" t="s">
        <v>1601</v>
      </c>
      <c r="AN167" s="32" t="s">
        <v>1602</v>
      </c>
      <c r="AO167" s="32" t="s">
        <v>458</v>
      </c>
      <c r="AP167" s="84" t="s">
        <v>79</v>
      </c>
      <c r="AQ167" s="93" t="s">
        <v>994</v>
      </c>
      <c r="AR167" s="92" t="s">
        <v>1603</v>
      </c>
      <c r="AS167" s="98" t="s">
        <v>79</v>
      </c>
    </row>
    <row r="168" spans="1:45" ht="12.75" customHeight="1">
      <c r="A168" s="105"/>
      <c r="B168" s="80"/>
      <c r="C168" s="80"/>
      <c r="D168" s="94"/>
      <c r="E168" s="81"/>
      <c r="F168" s="85"/>
      <c r="G168" s="94"/>
      <c r="H168" s="81"/>
      <c r="I168" s="85"/>
      <c r="J168" s="94"/>
      <c r="K168" s="81"/>
      <c r="L168" s="85"/>
      <c r="M168" s="94"/>
      <c r="N168" s="81"/>
      <c r="O168" s="85"/>
      <c r="P168" s="94"/>
      <c r="Q168" s="81"/>
      <c r="R168" s="85"/>
      <c r="S168" s="94"/>
      <c r="T168" s="81"/>
      <c r="U168" s="85"/>
      <c r="V168" s="94"/>
      <c r="W168" s="81"/>
      <c r="X168" s="85"/>
      <c r="Y168" s="94"/>
      <c r="Z168" s="81"/>
      <c r="AA168" s="85"/>
      <c r="AB168" s="86" t="s">
        <v>1604</v>
      </c>
      <c r="AC168" s="77"/>
      <c r="AD168" s="77"/>
      <c r="AE168" s="77"/>
      <c r="AF168" s="78"/>
      <c r="AG168" s="85"/>
      <c r="AH168" s="86" t="s">
        <v>1603</v>
      </c>
      <c r="AI168" s="77"/>
      <c r="AJ168" s="78"/>
      <c r="AK168" s="85"/>
      <c r="AL168" s="86" t="s">
        <v>1603</v>
      </c>
      <c r="AM168" s="77"/>
      <c r="AN168" s="77"/>
      <c r="AO168" s="78"/>
      <c r="AP168" s="85"/>
      <c r="AQ168" s="94"/>
      <c r="AR168" s="81"/>
      <c r="AS168" s="99"/>
    </row>
    <row r="169" spans="1:45" ht="17.25" customHeight="1">
      <c r="A169" s="105"/>
      <c r="B169" s="80"/>
      <c r="C169" s="80"/>
      <c r="D169" s="33"/>
      <c r="E169" s="34"/>
      <c r="F169" s="35"/>
      <c r="G169" s="102" t="s">
        <v>428</v>
      </c>
      <c r="H169" s="110" t="str">
        <f t="array" ref="H169">IFERROR(INDEX('iCoA Register'!$B:$B,MATCH("P050092|I",'iCoA Register'!$P:$P,0)),"iCoA — at issue")&amp;", (31.07.2025) [PP]"</f>
        <v>iCoA-PP_26-015, (31.07.2025) [PP]</v>
      </c>
      <c r="I169" s="87" t="s">
        <v>79</v>
      </c>
      <c r="J169" s="102" t="s">
        <v>463</v>
      </c>
      <c r="K169" s="110" t="s">
        <v>1610</v>
      </c>
      <c r="L169" s="87" t="s">
        <v>79</v>
      </c>
      <c r="M169" s="124" t="s">
        <v>1611</v>
      </c>
      <c r="N169" s="110" t="s">
        <v>1610</v>
      </c>
      <c r="O169" s="87" t="s">
        <v>79</v>
      </c>
      <c r="P169" s="120" t="s">
        <v>467</v>
      </c>
      <c r="Q169" s="110" t="s">
        <v>1610</v>
      </c>
      <c r="R169" s="87" t="s">
        <v>79</v>
      </c>
      <c r="S169" s="120" t="s">
        <v>1612</v>
      </c>
      <c r="T169" s="110" t="s">
        <v>1610</v>
      </c>
      <c r="U169" s="87" t="s">
        <v>79</v>
      </c>
      <c r="V169" s="33"/>
      <c r="W169" s="34"/>
      <c r="X169" s="35"/>
      <c r="Y169" s="121" t="s">
        <v>434</v>
      </c>
      <c r="Z169" s="122" t="s">
        <v>1613</v>
      </c>
      <c r="AA169" s="123" t="s">
        <v>93</v>
      </c>
      <c r="AB169" s="33"/>
      <c r="AC169" s="34"/>
      <c r="AD169" s="34"/>
      <c r="AE169" s="34"/>
      <c r="AF169" s="34"/>
      <c r="AG169" s="35"/>
      <c r="AH169" s="36" t="s">
        <v>472</v>
      </c>
      <c r="AI169" s="37" t="s">
        <v>473</v>
      </c>
      <c r="AJ169" s="37" t="s">
        <v>472</v>
      </c>
      <c r="AK169" s="87" t="s">
        <v>79</v>
      </c>
      <c r="AL169" s="33"/>
      <c r="AM169" s="34"/>
      <c r="AN169" s="34"/>
      <c r="AO169" s="34"/>
      <c r="AP169" s="35"/>
      <c r="AQ169" s="33"/>
      <c r="AR169" s="34"/>
      <c r="AS169" s="38"/>
    </row>
    <row r="170" spans="1:45" ht="15" customHeight="1">
      <c r="A170" s="106"/>
      <c r="B170" s="108"/>
      <c r="C170" s="108"/>
      <c r="D170" s="39"/>
      <c r="E170" s="40"/>
      <c r="F170" s="41"/>
      <c r="G170" s="103"/>
      <c r="H170" s="108"/>
      <c r="I170" s="88"/>
      <c r="J170" s="103"/>
      <c r="K170" s="108"/>
      <c r="L170" s="88"/>
      <c r="M170" s="103"/>
      <c r="N170" s="108"/>
      <c r="O170" s="88"/>
      <c r="P170" s="103"/>
      <c r="Q170" s="108"/>
      <c r="R170" s="88"/>
      <c r="S170" s="103"/>
      <c r="T170" s="108"/>
      <c r="U170" s="88"/>
      <c r="V170" s="39"/>
      <c r="W170" s="40"/>
      <c r="X170" s="41"/>
      <c r="Y170" s="103"/>
      <c r="Z170" s="108"/>
      <c r="AA170" s="88"/>
      <c r="AB170" s="39"/>
      <c r="AC170" s="40"/>
      <c r="AD170" s="40"/>
      <c r="AE170" s="40"/>
      <c r="AF170" s="40"/>
      <c r="AG170" s="41"/>
      <c r="AH170" s="89" t="s">
        <v>1615</v>
      </c>
      <c r="AI170" s="90"/>
      <c r="AJ170" s="91"/>
      <c r="AK170" s="88"/>
      <c r="AL170" s="39"/>
      <c r="AM170" s="40"/>
      <c r="AN170" s="40"/>
      <c r="AO170" s="40"/>
      <c r="AP170" s="41"/>
      <c r="AQ170" s="39"/>
      <c r="AR170" s="40"/>
      <c r="AS170" s="42"/>
    </row>
    <row r="171" spans="1:45" ht="17.25" customHeight="1">
      <c r="A171" s="104" t="s">
        <v>289</v>
      </c>
      <c r="B171" s="107" t="s">
        <v>288</v>
      </c>
      <c r="C171" s="109" t="s">
        <v>1616</v>
      </c>
      <c r="D171" s="93" t="s">
        <v>428</v>
      </c>
      <c r="E171" s="92" t="str">
        <f t="array" ref="E171">IFERROR(INDEX('iCoA Register'!$B:$B,MATCH("P050102|I",'iCoA Register'!$P:$P,0)),"iCoA — at issue")&amp;", (05.08.2025) [PP]"</f>
        <v>iCoA-PP_26-016, (05.08.2025) [PP]</v>
      </c>
      <c r="F171" s="84" t="s">
        <v>79</v>
      </c>
      <c r="G171" s="95" t="s">
        <v>434</v>
      </c>
      <c r="H171" s="96" t="s">
        <v>1617</v>
      </c>
      <c r="I171" s="97" t="s">
        <v>93</v>
      </c>
      <c r="J171" s="93" t="s">
        <v>95</v>
      </c>
      <c r="K171" s="92" t="s">
        <v>1038</v>
      </c>
      <c r="L171" s="84" t="s">
        <v>79</v>
      </c>
      <c r="M171" s="101" t="s">
        <v>1619</v>
      </c>
      <c r="N171" s="92" t="s">
        <v>1038</v>
      </c>
      <c r="O171" s="84" t="s">
        <v>79</v>
      </c>
      <c r="P171" s="100" t="s">
        <v>630</v>
      </c>
      <c r="Q171" s="92" t="s">
        <v>1038</v>
      </c>
      <c r="R171" s="84" t="s">
        <v>79</v>
      </c>
      <c r="S171" s="100" t="s">
        <v>1596</v>
      </c>
      <c r="T171" s="92" t="s">
        <v>1038</v>
      </c>
      <c r="U171" s="84" t="s">
        <v>79</v>
      </c>
      <c r="V171" s="93" t="s">
        <v>428</v>
      </c>
      <c r="W171" s="92" t="str">
        <f t="array" ref="W171">IFERROR(INDEX('iCoA Register'!$B:$B,MATCH("P050102|I",'iCoA Register'!$P:$P,0)),"iCoA — at issue")&amp;", (05.08.2025) [PP]"</f>
        <v>iCoA-PP_26-016, (05.08.2025) [PP]</v>
      </c>
      <c r="X171" s="84" t="s">
        <v>79</v>
      </c>
      <c r="Y171" s="93" t="s">
        <v>1623</v>
      </c>
      <c r="Z171" s="92" t="s">
        <v>1038</v>
      </c>
      <c r="AA171" s="84" t="s">
        <v>79</v>
      </c>
      <c r="AB171" s="31" t="s">
        <v>1624</v>
      </c>
      <c r="AC171" s="32" t="s">
        <v>1625</v>
      </c>
      <c r="AD171" s="32" t="s">
        <v>561</v>
      </c>
      <c r="AE171" s="32" t="s">
        <v>451</v>
      </c>
      <c r="AF171" s="32" t="s">
        <v>451</v>
      </c>
      <c r="AG171" s="84" t="s">
        <v>79</v>
      </c>
      <c r="AH171" s="31" t="s">
        <v>452</v>
      </c>
      <c r="AI171" s="32" t="s">
        <v>453</v>
      </c>
      <c r="AJ171" s="32" t="s">
        <v>452</v>
      </c>
      <c r="AK171" s="84" t="s">
        <v>79</v>
      </c>
      <c r="AL171" s="31" t="s">
        <v>1628</v>
      </c>
      <c r="AM171" s="32" t="s">
        <v>458</v>
      </c>
      <c r="AN171" s="32" t="s">
        <v>1602</v>
      </c>
      <c r="AO171" s="32" t="s">
        <v>458</v>
      </c>
      <c r="AP171" s="84" t="s">
        <v>79</v>
      </c>
      <c r="AQ171" s="93" t="s">
        <v>994</v>
      </c>
      <c r="AR171" s="92" t="s">
        <v>1629</v>
      </c>
      <c r="AS171" s="98" t="s">
        <v>79</v>
      </c>
    </row>
    <row r="172" spans="1:45" ht="12.75" customHeight="1">
      <c r="A172" s="105"/>
      <c r="B172" s="80"/>
      <c r="C172" s="80"/>
      <c r="D172" s="94"/>
      <c r="E172" s="81"/>
      <c r="F172" s="85"/>
      <c r="G172" s="94"/>
      <c r="H172" s="81"/>
      <c r="I172" s="85"/>
      <c r="J172" s="94"/>
      <c r="K172" s="81"/>
      <c r="L172" s="85"/>
      <c r="M172" s="94"/>
      <c r="N172" s="81"/>
      <c r="O172" s="85"/>
      <c r="P172" s="94"/>
      <c r="Q172" s="81"/>
      <c r="R172" s="85"/>
      <c r="S172" s="94"/>
      <c r="T172" s="81"/>
      <c r="U172" s="85"/>
      <c r="V172" s="94"/>
      <c r="W172" s="81"/>
      <c r="X172" s="85"/>
      <c r="Y172" s="94"/>
      <c r="Z172" s="81"/>
      <c r="AA172" s="85"/>
      <c r="AB172" s="86" t="s">
        <v>1630</v>
      </c>
      <c r="AC172" s="77"/>
      <c r="AD172" s="77"/>
      <c r="AE172" s="77"/>
      <c r="AF172" s="78"/>
      <c r="AG172" s="85"/>
      <c r="AH172" s="86" t="s">
        <v>1629</v>
      </c>
      <c r="AI172" s="77"/>
      <c r="AJ172" s="78"/>
      <c r="AK172" s="85"/>
      <c r="AL172" s="86" t="s">
        <v>1629</v>
      </c>
      <c r="AM172" s="77"/>
      <c r="AN172" s="77"/>
      <c r="AO172" s="78"/>
      <c r="AP172" s="85"/>
      <c r="AQ172" s="94"/>
      <c r="AR172" s="81"/>
      <c r="AS172" s="99"/>
    </row>
    <row r="173" spans="1:45" ht="13.5" customHeight="1">
      <c r="A173" s="105"/>
      <c r="B173" s="80"/>
      <c r="C173" s="80"/>
      <c r="D173" s="33"/>
      <c r="E173" s="34"/>
      <c r="F173" s="35"/>
      <c r="G173" s="102" t="s">
        <v>428</v>
      </c>
      <c r="H173" s="110" t="str">
        <f t="array" ref="H173">IFERROR(INDEX('iCoA Register'!$B:$B,MATCH("P050102|I",'iCoA Register'!$P:$P,0)),"iCoA — at issue")&amp;", (05.08.2025) [PP]"</f>
        <v>iCoA-PP_26-016, (05.08.2025) [PP]</v>
      </c>
      <c r="I173" s="87" t="s">
        <v>79</v>
      </c>
      <c r="J173" s="33"/>
      <c r="K173" s="34"/>
      <c r="L173" s="35"/>
      <c r="M173" s="33"/>
      <c r="N173" s="34"/>
      <c r="O173" s="35"/>
      <c r="P173" s="33"/>
      <c r="Q173" s="34"/>
      <c r="R173" s="35"/>
      <c r="S173" s="33"/>
      <c r="T173" s="34"/>
      <c r="U173" s="35"/>
      <c r="V173" s="33"/>
      <c r="W173" s="34"/>
      <c r="X173" s="35"/>
      <c r="Y173" s="33"/>
      <c r="Z173" s="34"/>
      <c r="AA173" s="35"/>
      <c r="AB173" s="36" t="s">
        <v>1639</v>
      </c>
      <c r="AC173" s="37" t="s">
        <v>1640</v>
      </c>
      <c r="AD173" s="37" t="s">
        <v>561</v>
      </c>
      <c r="AE173" s="37" t="s">
        <v>451</v>
      </c>
      <c r="AF173" s="37" t="s">
        <v>451</v>
      </c>
      <c r="AG173" s="87" t="s">
        <v>79</v>
      </c>
      <c r="AH173" s="33"/>
      <c r="AI173" s="34"/>
      <c r="AJ173" s="34"/>
      <c r="AK173" s="35"/>
      <c r="AL173" s="33"/>
      <c r="AM173" s="34"/>
      <c r="AN173" s="34"/>
      <c r="AO173" s="34"/>
      <c r="AP173" s="35"/>
      <c r="AQ173" s="33"/>
      <c r="AR173" s="34"/>
      <c r="AS173" s="38"/>
    </row>
    <row r="174" spans="1:45" ht="12.75" customHeight="1">
      <c r="A174" s="105"/>
      <c r="B174" s="80"/>
      <c r="C174" s="80"/>
      <c r="D174" s="49"/>
      <c r="E174" s="50"/>
      <c r="F174" s="51"/>
      <c r="G174" s="133"/>
      <c r="H174" s="130"/>
      <c r="I174" s="131"/>
      <c r="J174" s="49"/>
      <c r="K174" s="50"/>
      <c r="L174" s="51"/>
      <c r="M174" s="49"/>
      <c r="N174" s="50"/>
      <c r="O174" s="51"/>
      <c r="P174" s="49"/>
      <c r="Q174" s="50"/>
      <c r="R174" s="51"/>
      <c r="S174" s="49"/>
      <c r="T174" s="50"/>
      <c r="U174" s="51"/>
      <c r="V174" s="49"/>
      <c r="W174" s="50"/>
      <c r="X174" s="51"/>
      <c r="Y174" s="49"/>
      <c r="Z174" s="50"/>
      <c r="AA174" s="51"/>
      <c r="AB174" s="141" t="s">
        <v>1643</v>
      </c>
      <c r="AC174" s="142"/>
      <c r="AD174" s="142"/>
      <c r="AE174" s="142"/>
      <c r="AF174" s="143"/>
      <c r="AG174" s="131"/>
      <c r="AH174" s="49"/>
      <c r="AI174" s="50"/>
      <c r="AJ174" s="50"/>
      <c r="AK174" s="51"/>
      <c r="AL174" s="49"/>
      <c r="AM174" s="50"/>
      <c r="AN174" s="50"/>
      <c r="AO174" s="50"/>
      <c r="AP174" s="51"/>
      <c r="AQ174" s="49"/>
      <c r="AR174" s="50"/>
      <c r="AS174" s="52"/>
    </row>
    <row r="175" spans="1:45" ht="13.5" customHeight="1">
      <c r="A175" s="105"/>
      <c r="B175" s="80"/>
      <c r="C175" s="80"/>
      <c r="D175" s="33"/>
      <c r="E175" s="34"/>
      <c r="F175" s="35"/>
      <c r="G175" s="33"/>
      <c r="H175" s="34"/>
      <c r="I175" s="35"/>
      <c r="J175" s="33"/>
      <c r="K175" s="34"/>
      <c r="L175" s="35"/>
      <c r="M175" s="33"/>
      <c r="N175" s="34"/>
      <c r="O175" s="35"/>
      <c r="P175" s="33"/>
      <c r="Q175" s="34"/>
      <c r="R175" s="35"/>
      <c r="S175" s="33"/>
      <c r="T175" s="34"/>
      <c r="U175" s="35"/>
      <c r="V175" s="33"/>
      <c r="W175" s="34"/>
      <c r="X175" s="35"/>
      <c r="Y175" s="33"/>
      <c r="Z175" s="34"/>
      <c r="AA175" s="35"/>
      <c r="AB175" s="36" t="s">
        <v>561</v>
      </c>
      <c r="AC175" s="37" t="s">
        <v>1648</v>
      </c>
      <c r="AD175" s="37" t="s">
        <v>561</v>
      </c>
      <c r="AE175" s="37" t="s">
        <v>528</v>
      </c>
      <c r="AF175" s="37" t="s">
        <v>528</v>
      </c>
      <c r="AG175" s="87" t="s">
        <v>79</v>
      </c>
      <c r="AH175" s="33"/>
      <c r="AI175" s="34"/>
      <c r="AJ175" s="34"/>
      <c r="AK175" s="35"/>
      <c r="AL175" s="33"/>
      <c r="AM175" s="34"/>
      <c r="AN175" s="34"/>
      <c r="AO175" s="34"/>
      <c r="AP175" s="35"/>
      <c r="AQ175" s="33"/>
      <c r="AR175" s="34"/>
      <c r="AS175" s="38"/>
    </row>
    <row r="176" spans="1:45" ht="12.75" customHeight="1">
      <c r="A176" s="106"/>
      <c r="B176" s="108"/>
      <c r="C176" s="108"/>
      <c r="D176" s="39"/>
      <c r="E176" s="40"/>
      <c r="F176" s="41"/>
      <c r="G176" s="39"/>
      <c r="H176" s="40"/>
      <c r="I176" s="41"/>
      <c r="J176" s="39"/>
      <c r="K176" s="40"/>
      <c r="L176" s="41"/>
      <c r="M176" s="39"/>
      <c r="N176" s="40"/>
      <c r="O176" s="41"/>
      <c r="P176" s="39"/>
      <c r="Q176" s="40"/>
      <c r="R176" s="41"/>
      <c r="S176" s="39"/>
      <c r="T176" s="40"/>
      <c r="U176" s="41"/>
      <c r="V176" s="39"/>
      <c r="W176" s="40"/>
      <c r="X176" s="41"/>
      <c r="Y176" s="39"/>
      <c r="Z176" s="40"/>
      <c r="AA176" s="41"/>
      <c r="AB176" s="89" t="s">
        <v>1651</v>
      </c>
      <c r="AC176" s="90"/>
      <c r="AD176" s="90"/>
      <c r="AE176" s="90"/>
      <c r="AF176" s="91"/>
      <c r="AG176" s="88"/>
      <c r="AH176" s="39"/>
      <c r="AI176" s="40"/>
      <c r="AJ176" s="40"/>
      <c r="AK176" s="41"/>
      <c r="AL176" s="39"/>
      <c r="AM176" s="40"/>
      <c r="AN176" s="40"/>
      <c r="AO176" s="40"/>
      <c r="AP176" s="41"/>
      <c r="AQ176" s="39"/>
      <c r="AR176" s="40"/>
      <c r="AS176" s="42"/>
    </row>
    <row r="177" spans="1:45" ht="17.25" customHeight="1">
      <c r="A177" s="104" t="s">
        <v>227</v>
      </c>
      <c r="B177" s="107" t="s">
        <v>223</v>
      </c>
      <c r="C177" s="109" t="s">
        <v>512</v>
      </c>
      <c r="D177" s="93" t="s">
        <v>428</v>
      </c>
      <c r="E177" s="92" t="str">
        <f t="array" ref="E177">IFERROR(INDEX('iCoA Register'!$B:$B,MATCH("P050112|I",'iCoA Register'!$P:$P,0)),"iCoA — at issue")&amp;", (25.08.2025) [PP]"</f>
        <v>iCoA-PP_26-017, (25.08.2025) [PP]</v>
      </c>
      <c r="F177" s="84" t="s">
        <v>79</v>
      </c>
      <c r="G177" s="95" t="s">
        <v>434</v>
      </c>
      <c r="H177" s="96" t="s">
        <v>1656</v>
      </c>
      <c r="I177" s="97" t="s">
        <v>93</v>
      </c>
      <c r="J177" s="93" t="s">
        <v>95</v>
      </c>
      <c r="K177" s="92" t="s">
        <v>1047</v>
      </c>
      <c r="L177" s="84" t="s">
        <v>79</v>
      </c>
      <c r="M177" s="101" t="s">
        <v>1658</v>
      </c>
      <c r="N177" s="92" t="s">
        <v>1047</v>
      </c>
      <c r="O177" s="84" t="s">
        <v>79</v>
      </c>
      <c r="P177" s="100" t="s">
        <v>630</v>
      </c>
      <c r="Q177" s="92" t="s">
        <v>1047</v>
      </c>
      <c r="R177" s="84" t="s">
        <v>79</v>
      </c>
      <c r="S177" s="100" t="s">
        <v>444</v>
      </c>
      <c r="T177" s="92" t="s">
        <v>1047</v>
      </c>
      <c r="U177" s="84" t="s">
        <v>79</v>
      </c>
      <c r="V177" s="93" t="s">
        <v>428</v>
      </c>
      <c r="W177" s="92" t="str">
        <f t="array" ref="W177">IFERROR(INDEX('iCoA Register'!$B:$B,MATCH("P050112|I",'iCoA Register'!$P:$P,0)),"iCoA — at issue")&amp;", (25.08.2025) [PP]"</f>
        <v>iCoA-PP_26-017, (25.08.2025) [PP]</v>
      </c>
      <c r="X177" s="84" t="s">
        <v>79</v>
      </c>
      <c r="Y177" s="93" t="s">
        <v>1661</v>
      </c>
      <c r="Z177" s="92" t="s">
        <v>1047</v>
      </c>
      <c r="AA177" s="84" t="s">
        <v>79</v>
      </c>
      <c r="AB177" s="31" t="s">
        <v>1663</v>
      </c>
      <c r="AC177" s="32" t="s">
        <v>1665</v>
      </c>
      <c r="AD177" s="32" t="s">
        <v>561</v>
      </c>
      <c r="AE177" s="32" t="s">
        <v>451</v>
      </c>
      <c r="AF177" s="32" t="s">
        <v>451</v>
      </c>
      <c r="AG177" s="84" t="s">
        <v>79</v>
      </c>
      <c r="AH177" s="31" t="s">
        <v>452</v>
      </c>
      <c r="AI177" s="32" t="s">
        <v>1666</v>
      </c>
      <c r="AJ177" s="32" t="s">
        <v>452</v>
      </c>
      <c r="AK177" s="84" t="s">
        <v>79</v>
      </c>
      <c r="AL177" s="31" t="s">
        <v>1315</v>
      </c>
      <c r="AM177" s="32" t="s">
        <v>1315</v>
      </c>
      <c r="AN177" s="32" t="s">
        <v>1667</v>
      </c>
      <c r="AO177" s="32" t="s">
        <v>576</v>
      </c>
      <c r="AP177" s="84" t="s">
        <v>79</v>
      </c>
      <c r="AQ177" s="93" t="s">
        <v>877</v>
      </c>
      <c r="AR177" s="92" t="s">
        <v>1668</v>
      </c>
      <c r="AS177" s="98" t="s">
        <v>79</v>
      </c>
    </row>
    <row r="178" spans="1:45" ht="12.75" customHeight="1">
      <c r="A178" s="105"/>
      <c r="B178" s="80"/>
      <c r="C178" s="80"/>
      <c r="D178" s="94"/>
      <c r="E178" s="81"/>
      <c r="F178" s="85"/>
      <c r="G178" s="94"/>
      <c r="H178" s="81"/>
      <c r="I178" s="85"/>
      <c r="J178" s="94"/>
      <c r="K178" s="81"/>
      <c r="L178" s="85"/>
      <c r="M178" s="94"/>
      <c r="N178" s="81"/>
      <c r="O178" s="85"/>
      <c r="P178" s="94"/>
      <c r="Q178" s="81"/>
      <c r="R178" s="85"/>
      <c r="S178" s="94"/>
      <c r="T178" s="81"/>
      <c r="U178" s="85"/>
      <c r="V178" s="94"/>
      <c r="W178" s="81"/>
      <c r="X178" s="85"/>
      <c r="Y178" s="94"/>
      <c r="Z178" s="81"/>
      <c r="AA178" s="85"/>
      <c r="AB178" s="86" t="s">
        <v>1670</v>
      </c>
      <c r="AC178" s="77"/>
      <c r="AD178" s="77"/>
      <c r="AE178" s="77"/>
      <c r="AF178" s="78"/>
      <c r="AG178" s="85"/>
      <c r="AH178" s="86" t="s">
        <v>1668</v>
      </c>
      <c r="AI178" s="77"/>
      <c r="AJ178" s="78"/>
      <c r="AK178" s="85"/>
      <c r="AL178" s="86" t="s">
        <v>1668</v>
      </c>
      <c r="AM178" s="77"/>
      <c r="AN178" s="77"/>
      <c r="AO178" s="78"/>
      <c r="AP178" s="85"/>
      <c r="AQ178" s="94"/>
      <c r="AR178" s="81"/>
      <c r="AS178" s="99"/>
    </row>
    <row r="179" spans="1:45" ht="13.5" customHeight="1">
      <c r="A179" s="105"/>
      <c r="B179" s="80"/>
      <c r="C179" s="80"/>
      <c r="D179" s="33"/>
      <c r="E179" s="34"/>
      <c r="F179" s="35"/>
      <c r="G179" s="102" t="s">
        <v>428</v>
      </c>
      <c r="H179" s="110" t="str">
        <f t="array" ref="H179">IFERROR(INDEX('iCoA Register'!$B:$B,MATCH("P050112|I",'iCoA Register'!$P:$P,0)),"iCoA — at issue")&amp;", (25.08.2025) [PP]"</f>
        <v>iCoA-PP_26-017, (25.08.2025) [PP]</v>
      </c>
      <c r="I179" s="87" t="s">
        <v>79</v>
      </c>
      <c r="J179" s="33"/>
      <c r="K179" s="34"/>
      <c r="L179" s="35"/>
      <c r="M179" s="33"/>
      <c r="N179" s="34"/>
      <c r="O179" s="35"/>
      <c r="P179" s="33"/>
      <c r="Q179" s="34"/>
      <c r="R179" s="35"/>
      <c r="S179" s="33"/>
      <c r="T179" s="34"/>
      <c r="U179" s="35"/>
      <c r="V179" s="33"/>
      <c r="W179" s="34"/>
      <c r="X179" s="35"/>
      <c r="Y179" s="33"/>
      <c r="Z179" s="34"/>
      <c r="AA179" s="35"/>
      <c r="AB179" s="33"/>
      <c r="AC179" s="34"/>
      <c r="AD179" s="34"/>
      <c r="AE179" s="34"/>
      <c r="AF179" s="34"/>
      <c r="AG179" s="35"/>
      <c r="AH179" s="33"/>
      <c r="AI179" s="34"/>
      <c r="AJ179" s="34"/>
      <c r="AK179" s="35"/>
      <c r="AL179" s="33"/>
      <c r="AM179" s="34"/>
      <c r="AN179" s="34"/>
      <c r="AO179" s="34"/>
      <c r="AP179" s="35"/>
      <c r="AQ179" s="33"/>
      <c r="AR179" s="34"/>
      <c r="AS179" s="38"/>
    </row>
    <row r="180" spans="1:45" ht="12.75" customHeight="1">
      <c r="A180" s="106"/>
      <c r="B180" s="108"/>
      <c r="C180" s="108"/>
      <c r="D180" s="39"/>
      <c r="E180" s="40"/>
      <c r="F180" s="41"/>
      <c r="G180" s="103"/>
      <c r="H180" s="108"/>
      <c r="I180" s="88"/>
      <c r="J180" s="39"/>
      <c r="K180" s="40"/>
      <c r="L180" s="41"/>
      <c r="M180" s="39"/>
      <c r="N180" s="40"/>
      <c r="O180" s="41"/>
      <c r="P180" s="39"/>
      <c r="Q180" s="40"/>
      <c r="R180" s="41"/>
      <c r="S180" s="39"/>
      <c r="T180" s="40"/>
      <c r="U180" s="41"/>
      <c r="V180" s="39"/>
      <c r="W180" s="40"/>
      <c r="X180" s="41"/>
      <c r="Y180" s="39"/>
      <c r="Z180" s="40"/>
      <c r="AA180" s="41"/>
      <c r="AB180" s="39"/>
      <c r="AC180" s="40"/>
      <c r="AD180" s="40"/>
      <c r="AE180" s="40"/>
      <c r="AF180" s="40"/>
      <c r="AG180" s="41"/>
      <c r="AH180" s="39"/>
      <c r="AI180" s="40"/>
      <c r="AJ180" s="40"/>
      <c r="AK180" s="41"/>
      <c r="AL180" s="39"/>
      <c r="AM180" s="40"/>
      <c r="AN180" s="40"/>
      <c r="AO180" s="40"/>
      <c r="AP180" s="41"/>
      <c r="AQ180" s="39"/>
      <c r="AR180" s="40"/>
      <c r="AS180" s="42"/>
    </row>
    <row r="181" spans="1:45" ht="17.25" customHeight="1">
      <c r="A181" s="104" t="s">
        <v>280</v>
      </c>
      <c r="B181" s="107" t="s">
        <v>278</v>
      </c>
      <c r="C181" s="109" t="s">
        <v>512</v>
      </c>
      <c r="D181" s="93" t="s">
        <v>428</v>
      </c>
      <c r="E181" s="92" t="str">
        <f t="array" ref="E181">IFERROR(INDEX('iCoA Register'!$B:$B,MATCH("P050122|I",'iCoA Register'!$P:$P,0)),"iCoA — at issue")&amp;", (01.09.2025) [PP]"</f>
        <v>iCoA-PP_26-018, (01.09.2025) [PP]</v>
      </c>
      <c r="F181" s="84" t="s">
        <v>79</v>
      </c>
      <c r="G181" s="95" t="s">
        <v>434</v>
      </c>
      <c r="H181" s="96" t="s">
        <v>1675</v>
      </c>
      <c r="I181" s="97" t="s">
        <v>93</v>
      </c>
      <c r="J181" s="93" t="s">
        <v>95</v>
      </c>
      <c r="K181" s="92" t="s">
        <v>1057</v>
      </c>
      <c r="L181" s="84" t="s">
        <v>79</v>
      </c>
      <c r="M181" s="101" t="s">
        <v>1676</v>
      </c>
      <c r="N181" s="92" t="s">
        <v>1057</v>
      </c>
      <c r="O181" s="84" t="s">
        <v>79</v>
      </c>
      <c r="P181" s="100" t="s">
        <v>630</v>
      </c>
      <c r="Q181" s="92" t="s">
        <v>1057</v>
      </c>
      <c r="R181" s="84" t="s">
        <v>79</v>
      </c>
      <c r="S181" s="100" t="s">
        <v>530</v>
      </c>
      <c r="T181" s="92" t="s">
        <v>1057</v>
      </c>
      <c r="U181" s="84" t="s">
        <v>79</v>
      </c>
      <c r="V181" s="93" t="s">
        <v>428</v>
      </c>
      <c r="W181" s="92" t="str">
        <f t="array" ref="W181">IFERROR(INDEX('iCoA Register'!$B:$B,MATCH("P050122|I",'iCoA Register'!$P:$P,0)),"iCoA — at issue")&amp;", (01.09.2025) [PP]"</f>
        <v>iCoA-PP_26-018, (01.09.2025) [PP]</v>
      </c>
      <c r="X181" s="84" t="s">
        <v>79</v>
      </c>
      <c r="Y181" s="93" t="s">
        <v>975</v>
      </c>
      <c r="Z181" s="92" t="s">
        <v>1057</v>
      </c>
      <c r="AA181" s="84" t="s">
        <v>79</v>
      </c>
      <c r="AB181" s="31" t="s">
        <v>561</v>
      </c>
      <c r="AC181" s="32" t="s">
        <v>561</v>
      </c>
      <c r="AD181" s="32" t="s">
        <v>561</v>
      </c>
      <c r="AE181" s="32" t="s">
        <v>451</v>
      </c>
      <c r="AF181" s="32" t="s">
        <v>451</v>
      </c>
      <c r="AG181" s="84" t="s">
        <v>79</v>
      </c>
      <c r="AH181" s="31" t="s">
        <v>452</v>
      </c>
      <c r="AI181" s="32" t="s">
        <v>453</v>
      </c>
      <c r="AJ181" s="32" t="s">
        <v>452</v>
      </c>
      <c r="AK181" s="84" t="s">
        <v>79</v>
      </c>
      <c r="AL181" s="31" t="s">
        <v>1681</v>
      </c>
      <c r="AM181" s="32" t="s">
        <v>1681</v>
      </c>
      <c r="AN181" s="32" t="s">
        <v>1682</v>
      </c>
      <c r="AO181" s="32" t="s">
        <v>1681</v>
      </c>
      <c r="AP181" s="84" t="s">
        <v>79</v>
      </c>
      <c r="AQ181" s="93" t="s">
        <v>994</v>
      </c>
      <c r="AR181" s="92" t="s">
        <v>1683</v>
      </c>
      <c r="AS181" s="98" t="s">
        <v>79</v>
      </c>
    </row>
    <row r="182" spans="1:45" ht="12.75" customHeight="1">
      <c r="A182" s="105"/>
      <c r="B182" s="80"/>
      <c r="C182" s="80"/>
      <c r="D182" s="94"/>
      <c r="E182" s="81"/>
      <c r="F182" s="85"/>
      <c r="G182" s="94"/>
      <c r="H182" s="81"/>
      <c r="I182" s="85"/>
      <c r="J182" s="94"/>
      <c r="K182" s="81"/>
      <c r="L182" s="85"/>
      <c r="M182" s="94"/>
      <c r="N182" s="81"/>
      <c r="O182" s="85"/>
      <c r="P182" s="94"/>
      <c r="Q182" s="81"/>
      <c r="R182" s="85"/>
      <c r="S182" s="94"/>
      <c r="T182" s="81"/>
      <c r="U182" s="85"/>
      <c r="V182" s="94"/>
      <c r="W182" s="81"/>
      <c r="X182" s="85"/>
      <c r="Y182" s="94"/>
      <c r="Z182" s="81"/>
      <c r="AA182" s="85"/>
      <c r="AB182" s="86" t="s">
        <v>1688</v>
      </c>
      <c r="AC182" s="77"/>
      <c r="AD182" s="77"/>
      <c r="AE182" s="77"/>
      <c r="AF182" s="78"/>
      <c r="AG182" s="85"/>
      <c r="AH182" s="86" t="s">
        <v>1683</v>
      </c>
      <c r="AI182" s="77"/>
      <c r="AJ182" s="78"/>
      <c r="AK182" s="85"/>
      <c r="AL182" s="86" t="s">
        <v>1683</v>
      </c>
      <c r="AM182" s="77"/>
      <c r="AN182" s="77"/>
      <c r="AO182" s="78"/>
      <c r="AP182" s="85"/>
      <c r="AQ182" s="94"/>
      <c r="AR182" s="81"/>
      <c r="AS182" s="99"/>
    </row>
    <row r="183" spans="1:45" ht="13.5" customHeight="1">
      <c r="A183" s="105"/>
      <c r="B183" s="80"/>
      <c r="C183" s="80"/>
      <c r="D183" s="33"/>
      <c r="E183" s="34"/>
      <c r="F183" s="35"/>
      <c r="G183" s="102" t="s">
        <v>428</v>
      </c>
      <c r="H183" s="110" t="str">
        <f t="array" ref="H183">IFERROR(INDEX('iCoA Register'!$B:$B,MATCH("P050122|I",'iCoA Register'!$P:$P,0)),"iCoA — at issue")&amp;", (01.09.2025) [PP]"</f>
        <v>iCoA-PP_26-018, (01.09.2025) [PP]</v>
      </c>
      <c r="I183" s="87" t="s">
        <v>79</v>
      </c>
      <c r="J183" s="33"/>
      <c r="K183" s="34"/>
      <c r="L183" s="35"/>
      <c r="M183" s="33"/>
      <c r="N183" s="34"/>
      <c r="O183" s="35"/>
      <c r="P183" s="33"/>
      <c r="Q183" s="34"/>
      <c r="R183" s="35"/>
      <c r="S183" s="33"/>
      <c r="T183" s="34"/>
      <c r="U183" s="35"/>
      <c r="V183" s="33"/>
      <c r="W183" s="34"/>
      <c r="X183" s="35"/>
      <c r="Y183" s="33"/>
      <c r="Z183" s="34"/>
      <c r="AA183" s="35"/>
      <c r="AB183" s="36" t="s">
        <v>585</v>
      </c>
      <c r="AC183" s="37" t="s">
        <v>1696</v>
      </c>
      <c r="AD183" s="37" t="s">
        <v>561</v>
      </c>
      <c r="AE183" s="37" t="s">
        <v>528</v>
      </c>
      <c r="AF183" s="37" t="s">
        <v>528</v>
      </c>
      <c r="AG183" s="87" t="s">
        <v>79</v>
      </c>
      <c r="AH183" s="33"/>
      <c r="AI183" s="34"/>
      <c r="AJ183" s="34"/>
      <c r="AK183" s="35"/>
      <c r="AL183" s="33"/>
      <c r="AM183" s="34"/>
      <c r="AN183" s="34"/>
      <c r="AO183" s="34"/>
      <c r="AP183" s="35"/>
      <c r="AQ183" s="33"/>
      <c r="AR183" s="34"/>
      <c r="AS183" s="38"/>
    </row>
    <row r="184" spans="1:45" ht="12.75" customHeight="1">
      <c r="A184" s="106"/>
      <c r="B184" s="108"/>
      <c r="C184" s="108"/>
      <c r="D184" s="39"/>
      <c r="E184" s="40"/>
      <c r="F184" s="41"/>
      <c r="G184" s="103"/>
      <c r="H184" s="108"/>
      <c r="I184" s="88"/>
      <c r="J184" s="39"/>
      <c r="K184" s="40"/>
      <c r="L184" s="41"/>
      <c r="M184" s="39"/>
      <c r="N184" s="40"/>
      <c r="O184" s="41"/>
      <c r="P184" s="39"/>
      <c r="Q184" s="40"/>
      <c r="R184" s="41"/>
      <c r="S184" s="39"/>
      <c r="T184" s="40"/>
      <c r="U184" s="41"/>
      <c r="V184" s="39"/>
      <c r="W184" s="40"/>
      <c r="X184" s="41"/>
      <c r="Y184" s="39"/>
      <c r="Z184" s="40"/>
      <c r="AA184" s="41"/>
      <c r="AB184" s="89" t="s">
        <v>1700</v>
      </c>
      <c r="AC184" s="90"/>
      <c r="AD184" s="90"/>
      <c r="AE184" s="90"/>
      <c r="AF184" s="91"/>
      <c r="AG184" s="88"/>
      <c r="AH184" s="39"/>
      <c r="AI184" s="40"/>
      <c r="AJ184" s="40"/>
      <c r="AK184" s="41"/>
      <c r="AL184" s="39"/>
      <c r="AM184" s="40"/>
      <c r="AN184" s="40"/>
      <c r="AO184" s="40"/>
      <c r="AP184" s="41"/>
      <c r="AQ184" s="39"/>
      <c r="AR184" s="40"/>
      <c r="AS184" s="42"/>
    </row>
    <row r="185" spans="1:45" ht="17.25" customHeight="1">
      <c r="A185" s="104" t="s">
        <v>233</v>
      </c>
      <c r="B185" s="107" t="s">
        <v>231</v>
      </c>
      <c r="C185" s="118" t="s">
        <v>1701</v>
      </c>
      <c r="D185" s="93" t="s">
        <v>428</v>
      </c>
      <c r="E185" s="92" t="str">
        <f t="array" ref="E185">IFERROR(INDEX('iCoA Register'!$B:$B,MATCH("P050132|I",'iCoA Register'!$P:$P,0)),"iCoA — at issue")&amp;", (09.09.2025) [PP]"</f>
        <v>iCoA-PP_26-019, (09.09.2025) [PP]</v>
      </c>
      <c r="F185" s="84" t="s">
        <v>79</v>
      </c>
      <c r="G185" s="95" t="s">
        <v>703</v>
      </c>
      <c r="H185" s="96" t="s">
        <v>1702</v>
      </c>
      <c r="I185" s="97" t="s">
        <v>93</v>
      </c>
      <c r="J185" s="93" t="s">
        <v>463</v>
      </c>
      <c r="K185" s="92" t="s">
        <v>1071</v>
      </c>
      <c r="L185" s="84" t="s">
        <v>79</v>
      </c>
      <c r="M185" s="101" t="s">
        <v>1704</v>
      </c>
      <c r="N185" s="92" t="s">
        <v>1071</v>
      </c>
      <c r="O185" s="84" t="s">
        <v>79</v>
      </c>
      <c r="P185" s="100" t="s">
        <v>1705</v>
      </c>
      <c r="Q185" s="92" t="s">
        <v>1071</v>
      </c>
      <c r="R185" s="84" t="s">
        <v>79</v>
      </c>
      <c r="S185" s="127" t="s">
        <v>703</v>
      </c>
      <c r="T185" s="128" t="s">
        <v>1071</v>
      </c>
      <c r="U185" s="129" t="s">
        <v>198</v>
      </c>
      <c r="V185" s="93" t="s">
        <v>428</v>
      </c>
      <c r="W185" s="92" t="str">
        <f t="array" ref="W185">IFERROR(INDEX('iCoA Register'!$B:$B,MATCH("P050132|I",'iCoA Register'!$P:$P,0)),"iCoA — at issue")&amp;", (09.09.2025) [PP]"</f>
        <v>iCoA-PP_26-019, (09.09.2025) [PP]</v>
      </c>
      <c r="X185" s="84" t="s">
        <v>79</v>
      </c>
      <c r="Y185" s="93" t="s">
        <v>1708</v>
      </c>
      <c r="Z185" s="92" t="s">
        <v>1071</v>
      </c>
      <c r="AA185" s="84" t="s">
        <v>79</v>
      </c>
      <c r="AB185" s="31" t="s">
        <v>1709</v>
      </c>
      <c r="AC185" s="62" t="s">
        <v>1710</v>
      </c>
      <c r="AD185" s="32" t="s">
        <v>1414</v>
      </c>
      <c r="AE185" s="32" t="s">
        <v>870</v>
      </c>
      <c r="AF185" s="32" t="s">
        <v>870</v>
      </c>
      <c r="AG185" s="84" t="s">
        <v>79</v>
      </c>
      <c r="AH185" s="31" t="s">
        <v>452</v>
      </c>
      <c r="AI185" s="32" t="s">
        <v>1711</v>
      </c>
      <c r="AJ185" s="32" t="s">
        <v>452</v>
      </c>
      <c r="AK185" s="84" t="s">
        <v>79</v>
      </c>
      <c r="AL185" s="31" t="s">
        <v>877</v>
      </c>
      <c r="AM185" s="32" t="s">
        <v>877</v>
      </c>
      <c r="AN185" s="32" t="s">
        <v>877</v>
      </c>
      <c r="AO185" s="32" t="s">
        <v>877</v>
      </c>
      <c r="AP185" s="84" t="s">
        <v>79</v>
      </c>
      <c r="AQ185" s="93" t="s">
        <v>877</v>
      </c>
      <c r="AR185" s="92" t="s">
        <v>1712</v>
      </c>
      <c r="AS185" s="98" t="s">
        <v>79</v>
      </c>
    </row>
    <row r="186" spans="1:45" ht="12.75" customHeight="1">
      <c r="A186" s="105"/>
      <c r="B186" s="80"/>
      <c r="C186" s="80"/>
      <c r="D186" s="94"/>
      <c r="E186" s="81"/>
      <c r="F186" s="85"/>
      <c r="G186" s="94"/>
      <c r="H186" s="81"/>
      <c r="I186" s="85"/>
      <c r="J186" s="94"/>
      <c r="K186" s="81"/>
      <c r="L186" s="85"/>
      <c r="M186" s="94"/>
      <c r="N186" s="81"/>
      <c r="O186" s="85"/>
      <c r="P186" s="94"/>
      <c r="Q186" s="81"/>
      <c r="R186" s="85"/>
      <c r="S186" s="94"/>
      <c r="T186" s="81"/>
      <c r="U186" s="85"/>
      <c r="V186" s="94"/>
      <c r="W186" s="81"/>
      <c r="X186" s="85"/>
      <c r="Y186" s="94"/>
      <c r="Z186" s="81"/>
      <c r="AA186" s="85"/>
      <c r="AB186" s="86" t="s">
        <v>1716</v>
      </c>
      <c r="AC186" s="77"/>
      <c r="AD186" s="77"/>
      <c r="AE186" s="77"/>
      <c r="AF186" s="78"/>
      <c r="AG186" s="85"/>
      <c r="AH186" s="86" t="s">
        <v>1712</v>
      </c>
      <c r="AI186" s="77"/>
      <c r="AJ186" s="78"/>
      <c r="AK186" s="85"/>
      <c r="AL186" s="86" t="s">
        <v>1712</v>
      </c>
      <c r="AM186" s="77"/>
      <c r="AN186" s="77"/>
      <c r="AO186" s="78"/>
      <c r="AP186" s="85"/>
      <c r="AQ186" s="94"/>
      <c r="AR186" s="81"/>
      <c r="AS186" s="99"/>
    </row>
    <row r="187" spans="1:45" ht="13.5" customHeight="1">
      <c r="A187" s="105"/>
      <c r="B187" s="80"/>
      <c r="C187" s="80"/>
      <c r="D187" s="33"/>
      <c r="E187" s="34"/>
      <c r="F187" s="35"/>
      <c r="G187" s="102" t="s">
        <v>428</v>
      </c>
      <c r="H187" s="110" t="str">
        <f t="array" ref="H187">IFERROR(INDEX('iCoA Register'!$B:$B,MATCH("P050132|I",'iCoA Register'!$P:$P,0)),"iCoA — at issue")&amp;", (09.09.2025) [PP]"</f>
        <v>iCoA-PP_26-019, (09.09.2025) [PP]</v>
      </c>
      <c r="I187" s="87" t="s">
        <v>79</v>
      </c>
      <c r="J187" s="33"/>
      <c r="K187" s="34"/>
      <c r="L187" s="35"/>
      <c r="M187" s="33"/>
      <c r="N187" s="34"/>
      <c r="O187" s="35"/>
      <c r="P187" s="33"/>
      <c r="Q187" s="34"/>
      <c r="R187" s="35"/>
      <c r="S187" s="33"/>
      <c r="T187" s="34"/>
      <c r="U187" s="35"/>
      <c r="V187" s="33"/>
      <c r="W187" s="34"/>
      <c r="X187" s="35"/>
      <c r="Y187" s="33"/>
      <c r="Z187" s="34"/>
      <c r="AA187" s="35"/>
      <c r="AB187" s="36" t="s">
        <v>561</v>
      </c>
      <c r="AC187" s="37" t="s">
        <v>561</v>
      </c>
      <c r="AD187" s="37" t="s">
        <v>561</v>
      </c>
      <c r="AE187" s="37" t="s">
        <v>528</v>
      </c>
      <c r="AF187" s="37" t="s">
        <v>528</v>
      </c>
      <c r="AG187" s="87" t="s">
        <v>79</v>
      </c>
      <c r="AH187" s="33"/>
      <c r="AI187" s="34"/>
      <c r="AJ187" s="34"/>
      <c r="AK187" s="35"/>
      <c r="AL187" s="33"/>
      <c r="AM187" s="34"/>
      <c r="AN187" s="34"/>
      <c r="AO187" s="34"/>
      <c r="AP187" s="35"/>
      <c r="AQ187" s="33"/>
      <c r="AR187" s="34"/>
      <c r="AS187" s="38"/>
    </row>
    <row r="188" spans="1:45" ht="12.75" customHeight="1">
      <c r="A188" s="106"/>
      <c r="B188" s="108"/>
      <c r="C188" s="108"/>
      <c r="D188" s="39"/>
      <c r="E188" s="40"/>
      <c r="F188" s="41"/>
      <c r="G188" s="103"/>
      <c r="H188" s="108"/>
      <c r="I188" s="88"/>
      <c r="J188" s="39"/>
      <c r="K188" s="40"/>
      <c r="L188" s="41"/>
      <c r="M188" s="39"/>
      <c r="N188" s="40"/>
      <c r="O188" s="41"/>
      <c r="P188" s="39"/>
      <c r="Q188" s="40"/>
      <c r="R188" s="41"/>
      <c r="S188" s="39"/>
      <c r="T188" s="40"/>
      <c r="U188" s="41"/>
      <c r="V188" s="39"/>
      <c r="W188" s="40"/>
      <c r="X188" s="41"/>
      <c r="Y188" s="39"/>
      <c r="Z188" s="40"/>
      <c r="AA188" s="41"/>
      <c r="AB188" s="89" t="s">
        <v>1722</v>
      </c>
      <c r="AC188" s="90"/>
      <c r="AD188" s="90"/>
      <c r="AE188" s="90"/>
      <c r="AF188" s="91"/>
      <c r="AG188" s="88"/>
      <c r="AH188" s="39"/>
      <c r="AI188" s="40"/>
      <c r="AJ188" s="40"/>
      <c r="AK188" s="41"/>
      <c r="AL188" s="39"/>
      <c r="AM188" s="40"/>
      <c r="AN188" s="40"/>
      <c r="AO188" s="40"/>
      <c r="AP188" s="41"/>
      <c r="AQ188" s="39"/>
      <c r="AR188" s="40"/>
      <c r="AS188" s="42"/>
    </row>
    <row r="189" spans="1:45" ht="21" customHeight="1">
      <c r="A189" s="104" t="s">
        <v>202</v>
      </c>
      <c r="B189" s="107" t="s">
        <v>199</v>
      </c>
      <c r="C189" s="118" t="s">
        <v>1587</v>
      </c>
      <c r="D189" s="93" t="s">
        <v>428</v>
      </c>
      <c r="E189" s="92" t="str">
        <f t="array" ref="E189">IFERROR(INDEX('iCoA Register'!$B:$B,MATCH("P050152|I",'iCoA Register'!$P:$P,0)),"iCoA — at issue")&amp;", (25.09.2025) [PP]"</f>
        <v>iCoA-PP_26-020, (25.09.2025) [PP]</v>
      </c>
      <c r="F189" s="84" t="s">
        <v>79</v>
      </c>
      <c r="G189" s="95" t="s">
        <v>434</v>
      </c>
      <c r="H189" s="96" t="s">
        <v>1725</v>
      </c>
      <c r="I189" s="97" t="s">
        <v>93</v>
      </c>
      <c r="J189" s="93" t="s">
        <v>95</v>
      </c>
      <c r="K189" s="92" t="s">
        <v>1080</v>
      </c>
      <c r="L189" s="84" t="s">
        <v>79</v>
      </c>
      <c r="M189" s="101" t="s">
        <v>734</v>
      </c>
      <c r="N189" s="92" t="s">
        <v>1080</v>
      </c>
      <c r="O189" s="84" t="s">
        <v>79</v>
      </c>
      <c r="P189" s="100" t="s">
        <v>780</v>
      </c>
      <c r="Q189" s="92" t="s">
        <v>1080</v>
      </c>
      <c r="R189" s="84" t="s">
        <v>79</v>
      </c>
      <c r="S189" s="100" t="s">
        <v>1727</v>
      </c>
      <c r="T189" s="92" t="s">
        <v>1080</v>
      </c>
      <c r="U189" s="84" t="s">
        <v>79</v>
      </c>
      <c r="V189" s="93" t="s">
        <v>428</v>
      </c>
      <c r="W189" s="92" t="str">
        <f t="array" ref="W189">IFERROR(INDEX('iCoA Register'!$B:$B,MATCH("P050152|I",'iCoA Register'!$P:$P,0)),"iCoA — at issue")&amp;", (25.09.2025) [PP]"</f>
        <v>iCoA-PP_26-020, (25.09.2025) [PP]</v>
      </c>
      <c r="X189" s="84" t="s">
        <v>79</v>
      </c>
      <c r="Y189" s="93" t="s">
        <v>1728</v>
      </c>
      <c r="Z189" s="92" t="s">
        <v>1080</v>
      </c>
      <c r="AA189" s="84" t="s">
        <v>79</v>
      </c>
      <c r="AB189" s="31" t="s">
        <v>1729</v>
      </c>
      <c r="AC189" s="62" t="s">
        <v>1730</v>
      </c>
      <c r="AD189" s="32" t="s">
        <v>1731</v>
      </c>
      <c r="AE189" s="32" t="s">
        <v>451</v>
      </c>
      <c r="AF189" s="32" t="s">
        <v>451</v>
      </c>
      <c r="AG189" s="84" t="s">
        <v>79</v>
      </c>
      <c r="AH189" s="31" t="s">
        <v>452</v>
      </c>
      <c r="AI189" s="32" t="s">
        <v>453</v>
      </c>
      <c r="AJ189" s="32" t="s">
        <v>452</v>
      </c>
      <c r="AK189" s="84" t="s">
        <v>79</v>
      </c>
      <c r="AL189" s="31" t="s">
        <v>630</v>
      </c>
      <c r="AM189" s="32" t="s">
        <v>1275</v>
      </c>
      <c r="AN189" s="32" t="s">
        <v>1275</v>
      </c>
      <c r="AO189" s="32" t="s">
        <v>1275</v>
      </c>
      <c r="AP189" s="84" t="s">
        <v>79</v>
      </c>
      <c r="AQ189" s="93" t="s">
        <v>459</v>
      </c>
      <c r="AR189" s="92" t="s">
        <v>1732</v>
      </c>
      <c r="AS189" s="98" t="s">
        <v>79</v>
      </c>
    </row>
    <row r="190" spans="1:45" ht="12.75" customHeight="1">
      <c r="A190" s="105"/>
      <c r="B190" s="80"/>
      <c r="C190" s="80"/>
      <c r="D190" s="94"/>
      <c r="E190" s="81"/>
      <c r="F190" s="85"/>
      <c r="G190" s="94"/>
      <c r="H190" s="81"/>
      <c r="I190" s="85"/>
      <c r="J190" s="94"/>
      <c r="K190" s="81"/>
      <c r="L190" s="85"/>
      <c r="M190" s="94"/>
      <c r="N190" s="81"/>
      <c r="O190" s="85"/>
      <c r="P190" s="94"/>
      <c r="Q190" s="81"/>
      <c r="R190" s="85"/>
      <c r="S190" s="94"/>
      <c r="T190" s="81"/>
      <c r="U190" s="85"/>
      <c r="V190" s="94"/>
      <c r="W190" s="81"/>
      <c r="X190" s="85"/>
      <c r="Y190" s="94"/>
      <c r="Z190" s="81"/>
      <c r="AA190" s="85"/>
      <c r="AB190" s="86" t="s">
        <v>1733</v>
      </c>
      <c r="AC190" s="77"/>
      <c r="AD190" s="77"/>
      <c r="AE190" s="77"/>
      <c r="AF190" s="78"/>
      <c r="AG190" s="85"/>
      <c r="AH190" s="86" t="s">
        <v>1732</v>
      </c>
      <c r="AI190" s="77"/>
      <c r="AJ190" s="78"/>
      <c r="AK190" s="85"/>
      <c r="AL190" s="86" t="s">
        <v>1732</v>
      </c>
      <c r="AM190" s="77"/>
      <c r="AN190" s="77"/>
      <c r="AO190" s="78"/>
      <c r="AP190" s="85"/>
      <c r="AQ190" s="94"/>
      <c r="AR190" s="81"/>
      <c r="AS190" s="99"/>
    </row>
    <row r="191" spans="1:45" ht="17.25" customHeight="1">
      <c r="A191" s="105"/>
      <c r="B191" s="80"/>
      <c r="C191" s="80"/>
      <c r="D191" s="33"/>
      <c r="E191" s="34"/>
      <c r="F191" s="35"/>
      <c r="G191" s="102" t="s">
        <v>428</v>
      </c>
      <c r="H191" s="110" t="str">
        <f t="array" ref="H191">IFERROR(INDEX('iCoA Register'!$B:$B,MATCH("P050152|I",'iCoA Register'!$P:$P,0)),"iCoA — at issue")&amp;", (25.09.2025) [PP]"</f>
        <v>iCoA-PP_26-020, (25.09.2025) [PP]</v>
      </c>
      <c r="I191" s="87" t="s">
        <v>79</v>
      </c>
      <c r="J191" s="102" t="s">
        <v>463</v>
      </c>
      <c r="K191" s="110" t="s">
        <v>1736</v>
      </c>
      <c r="L191" s="87" t="s">
        <v>79</v>
      </c>
      <c r="M191" s="124" t="s">
        <v>1737</v>
      </c>
      <c r="N191" s="110" t="s">
        <v>1736</v>
      </c>
      <c r="O191" s="87" t="s">
        <v>79</v>
      </c>
      <c r="P191" s="120" t="s">
        <v>467</v>
      </c>
      <c r="Q191" s="110" t="s">
        <v>1736</v>
      </c>
      <c r="R191" s="87" t="s">
        <v>79</v>
      </c>
      <c r="S191" s="120" t="s">
        <v>467</v>
      </c>
      <c r="T191" s="110" t="s">
        <v>1736</v>
      </c>
      <c r="U191" s="87" t="s">
        <v>79</v>
      </c>
      <c r="V191" s="33"/>
      <c r="W191" s="34"/>
      <c r="X191" s="35"/>
      <c r="Y191" s="121" t="s">
        <v>434</v>
      </c>
      <c r="Z191" s="122" t="s">
        <v>1739</v>
      </c>
      <c r="AA191" s="123" t="s">
        <v>93</v>
      </c>
      <c r="AB191" s="33"/>
      <c r="AC191" s="34"/>
      <c r="AD191" s="34"/>
      <c r="AE191" s="34"/>
      <c r="AF191" s="34"/>
      <c r="AG191" s="35"/>
      <c r="AH191" s="36" t="s">
        <v>472</v>
      </c>
      <c r="AI191" s="37" t="s">
        <v>473</v>
      </c>
      <c r="AJ191" s="37" t="s">
        <v>472</v>
      </c>
      <c r="AK191" s="87" t="s">
        <v>79</v>
      </c>
      <c r="AL191" s="33"/>
      <c r="AM191" s="34"/>
      <c r="AN191" s="34"/>
      <c r="AO191" s="34"/>
      <c r="AP191" s="35"/>
      <c r="AQ191" s="33"/>
      <c r="AR191" s="34"/>
      <c r="AS191" s="38"/>
    </row>
    <row r="192" spans="1:45" ht="15" customHeight="1">
      <c r="A192" s="106"/>
      <c r="B192" s="108"/>
      <c r="C192" s="108"/>
      <c r="D192" s="39"/>
      <c r="E192" s="40"/>
      <c r="F192" s="41"/>
      <c r="G192" s="103"/>
      <c r="H192" s="108"/>
      <c r="I192" s="88"/>
      <c r="J192" s="103"/>
      <c r="K192" s="108"/>
      <c r="L192" s="88"/>
      <c r="M192" s="103"/>
      <c r="N192" s="108"/>
      <c r="O192" s="88"/>
      <c r="P192" s="103"/>
      <c r="Q192" s="108"/>
      <c r="R192" s="88"/>
      <c r="S192" s="103"/>
      <c r="T192" s="108"/>
      <c r="U192" s="88"/>
      <c r="V192" s="39"/>
      <c r="W192" s="40"/>
      <c r="X192" s="41"/>
      <c r="Y192" s="103"/>
      <c r="Z192" s="108"/>
      <c r="AA192" s="88"/>
      <c r="AB192" s="39"/>
      <c r="AC192" s="40"/>
      <c r="AD192" s="40"/>
      <c r="AE192" s="40"/>
      <c r="AF192" s="40"/>
      <c r="AG192" s="41"/>
      <c r="AH192" s="89" t="s">
        <v>1741</v>
      </c>
      <c r="AI192" s="90"/>
      <c r="AJ192" s="91"/>
      <c r="AK192" s="88"/>
      <c r="AL192" s="39"/>
      <c r="AM192" s="40"/>
      <c r="AN192" s="40"/>
      <c r="AO192" s="40"/>
      <c r="AP192" s="41"/>
      <c r="AQ192" s="39"/>
      <c r="AR192" s="40"/>
      <c r="AS192" s="42"/>
    </row>
    <row r="193" spans="1:45" ht="21" customHeight="1">
      <c r="A193" s="104" t="s">
        <v>171</v>
      </c>
      <c r="B193" s="107" t="s">
        <v>175</v>
      </c>
      <c r="C193" s="111" t="s">
        <v>1449</v>
      </c>
      <c r="D193" s="93" t="s">
        <v>428</v>
      </c>
      <c r="E193" s="92" t="str">
        <f t="array" ref="E193">IFERROR(INDEX('iCoA Register'!$B:$B,MATCH("P050162|I",'iCoA Register'!$P:$P,0)),"iCoA — at issue")&amp;", (30.09.2025) [PP]"</f>
        <v>iCoA-PP_26-022, (30.09.2025) [PP]</v>
      </c>
      <c r="F193" s="84" t="s">
        <v>79</v>
      </c>
      <c r="G193" s="95" t="s">
        <v>434</v>
      </c>
      <c r="H193" s="96" t="s">
        <v>1742</v>
      </c>
      <c r="I193" s="97" t="s">
        <v>93</v>
      </c>
      <c r="J193" s="93" t="s">
        <v>95</v>
      </c>
      <c r="K193" s="92" t="s">
        <v>1092</v>
      </c>
      <c r="L193" s="84" t="s">
        <v>79</v>
      </c>
      <c r="M193" s="101" t="s">
        <v>1743</v>
      </c>
      <c r="N193" s="92" t="s">
        <v>1092</v>
      </c>
      <c r="O193" s="84" t="s">
        <v>79</v>
      </c>
      <c r="P193" s="100" t="s">
        <v>1347</v>
      </c>
      <c r="Q193" s="92" t="s">
        <v>1092</v>
      </c>
      <c r="R193" s="84" t="s">
        <v>79</v>
      </c>
      <c r="S193" s="100" t="s">
        <v>444</v>
      </c>
      <c r="T193" s="92" t="s">
        <v>1092</v>
      </c>
      <c r="U193" s="84" t="s">
        <v>79</v>
      </c>
      <c r="V193" s="93" t="s">
        <v>428</v>
      </c>
      <c r="W193" s="92" t="str">
        <f t="array" ref="W193">IFERROR(INDEX('iCoA Register'!$B:$B,MATCH("P050162|I",'iCoA Register'!$P:$P,0)),"iCoA — at issue")&amp;", (30.09.2025) [PP]"</f>
        <v>iCoA-PP_26-022, (30.09.2025) [PP]</v>
      </c>
      <c r="X193" s="84" t="s">
        <v>79</v>
      </c>
      <c r="Y193" s="93" t="s">
        <v>1745</v>
      </c>
      <c r="Z193" s="92" t="s">
        <v>1092</v>
      </c>
      <c r="AA193" s="84" t="s">
        <v>79</v>
      </c>
      <c r="AB193" s="31" t="s">
        <v>1746</v>
      </c>
      <c r="AC193" s="60" t="s">
        <v>1747</v>
      </c>
      <c r="AD193" s="32" t="s">
        <v>869</v>
      </c>
      <c r="AE193" s="32" t="s">
        <v>451</v>
      </c>
      <c r="AF193" s="32" t="s">
        <v>451</v>
      </c>
      <c r="AG193" s="84" t="s">
        <v>79</v>
      </c>
      <c r="AH193" s="31" t="s">
        <v>452</v>
      </c>
      <c r="AI193" s="32" t="s">
        <v>453</v>
      </c>
      <c r="AJ193" s="32" t="s">
        <v>452</v>
      </c>
      <c r="AK193" s="84" t="s">
        <v>79</v>
      </c>
      <c r="AL193" s="31" t="s">
        <v>1749</v>
      </c>
      <c r="AM193" s="32" t="s">
        <v>1681</v>
      </c>
      <c r="AN193" s="32" t="s">
        <v>1681</v>
      </c>
      <c r="AO193" s="32" t="s">
        <v>1681</v>
      </c>
      <c r="AP193" s="84" t="s">
        <v>79</v>
      </c>
      <c r="AQ193" s="93" t="s">
        <v>1750</v>
      </c>
      <c r="AR193" s="92" t="s">
        <v>1751</v>
      </c>
      <c r="AS193" s="98" t="s">
        <v>79</v>
      </c>
    </row>
    <row r="194" spans="1:45" ht="12.75" customHeight="1">
      <c r="A194" s="105"/>
      <c r="B194" s="80"/>
      <c r="C194" s="80"/>
      <c r="D194" s="94"/>
      <c r="E194" s="81"/>
      <c r="F194" s="85"/>
      <c r="G194" s="94"/>
      <c r="H194" s="81"/>
      <c r="I194" s="85"/>
      <c r="J194" s="94"/>
      <c r="K194" s="81"/>
      <c r="L194" s="85"/>
      <c r="M194" s="94"/>
      <c r="N194" s="81"/>
      <c r="O194" s="85"/>
      <c r="P194" s="94"/>
      <c r="Q194" s="81"/>
      <c r="R194" s="85"/>
      <c r="S194" s="94"/>
      <c r="T194" s="81"/>
      <c r="U194" s="85"/>
      <c r="V194" s="94"/>
      <c r="W194" s="81"/>
      <c r="X194" s="85"/>
      <c r="Y194" s="94"/>
      <c r="Z194" s="81"/>
      <c r="AA194" s="85"/>
      <c r="AB194" s="86" t="s">
        <v>1754</v>
      </c>
      <c r="AC194" s="77"/>
      <c r="AD194" s="77"/>
      <c r="AE194" s="77"/>
      <c r="AF194" s="78"/>
      <c r="AG194" s="85"/>
      <c r="AH194" s="86" t="s">
        <v>1751</v>
      </c>
      <c r="AI194" s="77"/>
      <c r="AJ194" s="78"/>
      <c r="AK194" s="85"/>
      <c r="AL194" s="86" t="s">
        <v>1751</v>
      </c>
      <c r="AM194" s="77"/>
      <c r="AN194" s="77"/>
      <c r="AO194" s="78"/>
      <c r="AP194" s="85"/>
      <c r="AQ194" s="94"/>
      <c r="AR194" s="81"/>
      <c r="AS194" s="99"/>
    </row>
    <row r="195" spans="1:45" ht="17.25" customHeight="1">
      <c r="A195" s="105"/>
      <c r="B195" s="80"/>
      <c r="C195" s="80"/>
      <c r="D195" s="33"/>
      <c r="E195" s="34"/>
      <c r="F195" s="35"/>
      <c r="G195" s="102" t="s">
        <v>428</v>
      </c>
      <c r="H195" s="110" t="str">
        <f t="array" ref="H195">IFERROR(INDEX('iCoA Register'!$B:$B,MATCH("P050162|I",'iCoA Register'!$P:$P,0)),"iCoA — at issue")&amp;", (30.09.2025) [PP]"</f>
        <v>iCoA-PP_26-022, (30.09.2025) [PP]</v>
      </c>
      <c r="I195" s="87" t="s">
        <v>79</v>
      </c>
      <c r="J195" s="102" t="s">
        <v>463</v>
      </c>
      <c r="K195" s="110" t="s">
        <v>1756</v>
      </c>
      <c r="L195" s="87" t="s">
        <v>79</v>
      </c>
      <c r="M195" s="124" t="s">
        <v>1757</v>
      </c>
      <c r="N195" s="110" t="s">
        <v>1756</v>
      </c>
      <c r="O195" s="87" t="s">
        <v>79</v>
      </c>
      <c r="P195" s="120" t="s">
        <v>467</v>
      </c>
      <c r="Q195" s="110" t="s">
        <v>1756</v>
      </c>
      <c r="R195" s="87" t="s">
        <v>79</v>
      </c>
      <c r="S195" s="120" t="s">
        <v>467</v>
      </c>
      <c r="T195" s="110" t="s">
        <v>1756</v>
      </c>
      <c r="U195" s="87" t="s">
        <v>79</v>
      </c>
      <c r="V195" s="33"/>
      <c r="W195" s="34"/>
      <c r="X195" s="35"/>
      <c r="Y195" s="121" t="s">
        <v>434</v>
      </c>
      <c r="Z195" s="122" t="s">
        <v>1758</v>
      </c>
      <c r="AA195" s="123" t="s">
        <v>93</v>
      </c>
      <c r="AB195" s="33"/>
      <c r="AC195" s="34"/>
      <c r="AD195" s="34"/>
      <c r="AE195" s="34"/>
      <c r="AF195" s="34"/>
      <c r="AG195" s="35"/>
      <c r="AH195" s="36" t="s">
        <v>472</v>
      </c>
      <c r="AI195" s="37" t="s">
        <v>473</v>
      </c>
      <c r="AJ195" s="37" t="s">
        <v>472</v>
      </c>
      <c r="AK195" s="87" t="s">
        <v>79</v>
      </c>
      <c r="AL195" s="33"/>
      <c r="AM195" s="34"/>
      <c r="AN195" s="34"/>
      <c r="AO195" s="34"/>
      <c r="AP195" s="35"/>
      <c r="AQ195" s="33"/>
      <c r="AR195" s="34"/>
      <c r="AS195" s="38"/>
    </row>
    <row r="196" spans="1:45" ht="15" customHeight="1">
      <c r="A196" s="106"/>
      <c r="B196" s="108"/>
      <c r="C196" s="108"/>
      <c r="D196" s="39"/>
      <c r="E196" s="40"/>
      <c r="F196" s="41"/>
      <c r="G196" s="103"/>
      <c r="H196" s="108"/>
      <c r="I196" s="88"/>
      <c r="J196" s="103"/>
      <c r="K196" s="108"/>
      <c r="L196" s="88"/>
      <c r="M196" s="103"/>
      <c r="N196" s="108"/>
      <c r="O196" s="88"/>
      <c r="P196" s="103"/>
      <c r="Q196" s="108"/>
      <c r="R196" s="88"/>
      <c r="S196" s="103"/>
      <c r="T196" s="108"/>
      <c r="U196" s="88"/>
      <c r="V196" s="39"/>
      <c r="W196" s="40"/>
      <c r="X196" s="41"/>
      <c r="Y196" s="103"/>
      <c r="Z196" s="108"/>
      <c r="AA196" s="88"/>
      <c r="AB196" s="39"/>
      <c r="AC196" s="40"/>
      <c r="AD196" s="40"/>
      <c r="AE196" s="40"/>
      <c r="AF196" s="40"/>
      <c r="AG196" s="41"/>
      <c r="AH196" s="89" t="s">
        <v>1762</v>
      </c>
      <c r="AI196" s="90"/>
      <c r="AJ196" s="91"/>
      <c r="AK196" s="88"/>
      <c r="AL196" s="39"/>
      <c r="AM196" s="40"/>
      <c r="AN196" s="40"/>
      <c r="AO196" s="40"/>
      <c r="AP196" s="41"/>
      <c r="AQ196" s="39"/>
      <c r="AR196" s="40"/>
      <c r="AS196" s="42"/>
    </row>
    <row r="197" spans="1:45" ht="17.25" customHeight="1">
      <c r="A197" s="104" t="s">
        <v>240</v>
      </c>
      <c r="B197" s="107" t="s">
        <v>239</v>
      </c>
      <c r="C197" s="109" t="s">
        <v>512</v>
      </c>
      <c r="D197" s="93" t="s">
        <v>428</v>
      </c>
      <c r="E197" s="92" t="str">
        <f t="array" ref="E197">IFERROR(INDEX('iCoA Register'!$B:$B,MATCH("P050172|I",'iCoA Register'!$P:$P,0)),"iCoA — at issue")&amp;", (01.10.2025) [PP]"</f>
        <v>iCoA-PP_26-023, (01.10.2025) [PP]</v>
      </c>
      <c r="F197" s="84" t="s">
        <v>79</v>
      </c>
      <c r="G197" s="95" t="s">
        <v>434</v>
      </c>
      <c r="H197" s="96" t="s">
        <v>1763</v>
      </c>
      <c r="I197" s="97" t="s">
        <v>93</v>
      </c>
      <c r="J197" s="93" t="s">
        <v>95</v>
      </c>
      <c r="K197" s="92" t="s">
        <v>1099</v>
      </c>
      <c r="L197" s="84" t="s">
        <v>79</v>
      </c>
      <c r="M197" s="101" t="s">
        <v>1765</v>
      </c>
      <c r="N197" s="92" t="s">
        <v>1099</v>
      </c>
      <c r="O197" s="84" t="s">
        <v>79</v>
      </c>
      <c r="P197" s="100" t="s">
        <v>1331</v>
      </c>
      <c r="Q197" s="92" t="s">
        <v>1099</v>
      </c>
      <c r="R197" s="84" t="s">
        <v>79</v>
      </c>
      <c r="S197" s="100" t="s">
        <v>444</v>
      </c>
      <c r="T197" s="92" t="s">
        <v>1099</v>
      </c>
      <c r="U197" s="84" t="s">
        <v>79</v>
      </c>
      <c r="V197" s="93" t="s">
        <v>428</v>
      </c>
      <c r="W197" s="92" t="str">
        <f t="array" ref="W197">IFERROR(INDEX('iCoA Register'!$B:$B,MATCH("P050172|I",'iCoA Register'!$P:$P,0)),"iCoA — at issue")&amp;", (01.10.2025) [PP]"</f>
        <v>iCoA-PP_26-023, (01.10.2025) [PP]</v>
      </c>
      <c r="X197" s="84" t="s">
        <v>79</v>
      </c>
      <c r="Y197" s="93" t="s">
        <v>1769</v>
      </c>
      <c r="Z197" s="92" t="s">
        <v>1099</v>
      </c>
      <c r="AA197" s="84" t="s">
        <v>79</v>
      </c>
      <c r="AB197" s="31" t="s">
        <v>1770</v>
      </c>
      <c r="AC197" s="32" t="s">
        <v>1771</v>
      </c>
      <c r="AD197" s="32" t="s">
        <v>561</v>
      </c>
      <c r="AE197" s="32" t="s">
        <v>451</v>
      </c>
      <c r="AF197" s="32" t="s">
        <v>451</v>
      </c>
      <c r="AG197" s="84" t="s">
        <v>79</v>
      </c>
      <c r="AH197" s="31" t="s">
        <v>452</v>
      </c>
      <c r="AI197" s="32" t="s">
        <v>453</v>
      </c>
      <c r="AJ197" s="32" t="s">
        <v>452</v>
      </c>
      <c r="AK197" s="84" t="s">
        <v>79</v>
      </c>
      <c r="AL197" s="31" t="s">
        <v>963</v>
      </c>
      <c r="AM197" s="32" t="s">
        <v>1275</v>
      </c>
      <c r="AN197" s="32" t="s">
        <v>1772</v>
      </c>
      <c r="AO197" s="32" t="s">
        <v>1275</v>
      </c>
      <c r="AP197" s="84" t="s">
        <v>79</v>
      </c>
      <c r="AQ197" s="93" t="s">
        <v>459</v>
      </c>
      <c r="AR197" s="92" t="s">
        <v>1773</v>
      </c>
      <c r="AS197" s="98" t="s">
        <v>79</v>
      </c>
    </row>
    <row r="198" spans="1:45" ht="12.75" customHeight="1">
      <c r="A198" s="105"/>
      <c r="B198" s="80"/>
      <c r="C198" s="80"/>
      <c r="D198" s="94"/>
      <c r="E198" s="81"/>
      <c r="F198" s="85"/>
      <c r="G198" s="94"/>
      <c r="H198" s="81"/>
      <c r="I198" s="85"/>
      <c r="J198" s="94"/>
      <c r="K198" s="81"/>
      <c r="L198" s="85"/>
      <c r="M198" s="94"/>
      <c r="N198" s="81"/>
      <c r="O198" s="85"/>
      <c r="P198" s="94"/>
      <c r="Q198" s="81"/>
      <c r="R198" s="85"/>
      <c r="S198" s="94"/>
      <c r="T198" s="81"/>
      <c r="U198" s="85"/>
      <c r="V198" s="94"/>
      <c r="W198" s="81"/>
      <c r="X198" s="85"/>
      <c r="Y198" s="94"/>
      <c r="Z198" s="81"/>
      <c r="AA198" s="85"/>
      <c r="AB198" s="86" t="s">
        <v>1774</v>
      </c>
      <c r="AC198" s="77"/>
      <c r="AD198" s="77"/>
      <c r="AE198" s="77"/>
      <c r="AF198" s="78"/>
      <c r="AG198" s="85"/>
      <c r="AH198" s="86" t="s">
        <v>1773</v>
      </c>
      <c r="AI198" s="77"/>
      <c r="AJ198" s="78"/>
      <c r="AK198" s="85"/>
      <c r="AL198" s="86" t="s">
        <v>1773</v>
      </c>
      <c r="AM198" s="77"/>
      <c r="AN198" s="77"/>
      <c r="AO198" s="78"/>
      <c r="AP198" s="85"/>
      <c r="AQ198" s="94"/>
      <c r="AR198" s="81"/>
      <c r="AS198" s="99"/>
    </row>
    <row r="199" spans="1:45" ht="13.5" customHeight="1">
      <c r="A199" s="105"/>
      <c r="B199" s="80"/>
      <c r="C199" s="80"/>
      <c r="D199" s="33"/>
      <c r="E199" s="34"/>
      <c r="F199" s="35"/>
      <c r="G199" s="102" t="s">
        <v>428</v>
      </c>
      <c r="H199" s="110" t="str">
        <f t="array" ref="H199">IFERROR(INDEX('iCoA Register'!$B:$B,MATCH("P050172|I",'iCoA Register'!$P:$P,0)),"iCoA — at issue")&amp;", (01.10.2025) [PP]"</f>
        <v>iCoA-PP_26-023, (01.10.2025) [PP]</v>
      </c>
      <c r="I199" s="87" t="s">
        <v>79</v>
      </c>
      <c r="J199" s="33"/>
      <c r="K199" s="34"/>
      <c r="L199" s="35"/>
      <c r="M199" s="33"/>
      <c r="N199" s="34"/>
      <c r="O199" s="35"/>
      <c r="P199" s="33"/>
      <c r="Q199" s="34"/>
      <c r="R199" s="35"/>
      <c r="S199" s="33"/>
      <c r="T199" s="34"/>
      <c r="U199" s="35"/>
      <c r="V199" s="33"/>
      <c r="W199" s="34"/>
      <c r="X199" s="35"/>
      <c r="Y199" s="33"/>
      <c r="Z199" s="34"/>
      <c r="AA199" s="35"/>
      <c r="AB199" s="36" t="s">
        <v>561</v>
      </c>
      <c r="AC199" s="37" t="s">
        <v>561</v>
      </c>
      <c r="AD199" s="37" t="s">
        <v>561</v>
      </c>
      <c r="AE199" s="37" t="s">
        <v>528</v>
      </c>
      <c r="AF199" s="37" t="s">
        <v>528</v>
      </c>
      <c r="AG199" s="87" t="s">
        <v>79</v>
      </c>
      <c r="AH199" s="33"/>
      <c r="AI199" s="34"/>
      <c r="AJ199" s="34"/>
      <c r="AK199" s="35"/>
      <c r="AL199" s="33"/>
      <c r="AM199" s="34"/>
      <c r="AN199" s="34"/>
      <c r="AO199" s="34"/>
      <c r="AP199" s="35"/>
      <c r="AQ199" s="33"/>
      <c r="AR199" s="34"/>
      <c r="AS199" s="38"/>
    </row>
    <row r="200" spans="1:45" ht="12.75" customHeight="1">
      <c r="A200" s="106"/>
      <c r="B200" s="108"/>
      <c r="C200" s="108"/>
      <c r="D200" s="39"/>
      <c r="E200" s="40"/>
      <c r="F200" s="41"/>
      <c r="G200" s="103"/>
      <c r="H200" s="108"/>
      <c r="I200" s="88"/>
      <c r="J200" s="39"/>
      <c r="K200" s="40"/>
      <c r="L200" s="41"/>
      <c r="M200" s="39"/>
      <c r="N200" s="40"/>
      <c r="O200" s="41"/>
      <c r="P200" s="39"/>
      <c r="Q200" s="40"/>
      <c r="R200" s="41"/>
      <c r="S200" s="39"/>
      <c r="T200" s="40"/>
      <c r="U200" s="41"/>
      <c r="V200" s="39"/>
      <c r="W200" s="40"/>
      <c r="X200" s="41"/>
      <c r="Y200" s="39"/>
      <c r="Z200" s="40"/>
      <c r="AA200" s="41"/>
      <c r="AB200" s="89" t="s">
        <v>1779</v>
      </c>
      <c r="AC200" s="90"/>
      <c r="AD200" s="90"/>
      <c r="AE200" s="90"/>
      <c r="AF200" s="91"/>
      <c r="AG200" s="88"/>
      <c r="AH200" s="39"/>
      <c r="AI200" s="40"/>
      <c r="AJ200" s="40"/>
      <c r="AK200" s="41"/>
      <c r="AL200" s="39"/>
      <c r="AM200" s="40"/>
      <c r="AN200" s="40"/>
      <c r="AO200" s="40"/>
      <c r="AP200" s="41"/>
      <c r="AQ200" s="39"/>
      <c r="AR200" s="40"/>
      <c r="AS200" s="42"/>
    </row>
    <row r="201" spans="1:45" ht="17.25" customHeight="1">
      <c r="A201" s="104" t="s">
        <v>273</v>
      </c>
      <c r="B201" s="107" t="s">
        <v>270</v>
      </c>
      <c r="C201" s="118" t="s">
        <v>1780</v>
      </c>
      <c r="D201" s="93" t="s">
        <v>428</v>
      </c>
      <c r="E201" s="92" t="str">
        <f t="array" ref="E201">IFERROR(INDEX('iCoA Register'!$B:$B,MATCH("P050182|I",'iCoA Register'!$P:$P,0)),"iCoA — at issue")&amp;", (03.10.2025) [PP]"</f>
        <v>iCoA-PP_26-024, (03.10.2025) [PP]</v>
      </c>
      <c r="F201" s="84" t="s">
        <v>79</v>
      </c>
      <c r="G201" s="95" t="s">
        <v>434</v>
      </c>
      <c r="H201" s="96" t="s">
        <v>1781</v>
      </c>
      <c r="I201" s="97" t="s">
        <v>93</v>
      </c>
      <c r="J201" s="93" t="s">
        <v>95</v>
      </c>
      <c r="K201" s="92" t="s">
        <v>1120</v>
      </c>
      <c r="L201" s="84" t="s">
        <v>79</v>
      </c>
      <c r="M201" s="101" t="s">
        <v>1784</v>
      </c>
      <c r="N201" s="92" t="s">
        <v>1120</v>
      </c>
      <c r="O201" s="84" t="s">
        <v>79</v>
      </c>
      <c r="P201" s="100" t="s">
        <v>1785</v>
      </c>
      <c r="Q201" s="92" t="s">
        <v>1120</v>
      </c>
      <c r="R201" s="84" t="s">
        <v>79</v>
      </c>
      <c r="S201" s="100" t="s">
        <v>444</v>
      </c>
      <c r="T201" s="92" t="s">
        <v>1120</v>
      </c>
      <c r="U201" s="84" t="s">
        <v>79</v>
      </c>
      <c r="V201" s="93" t="s">
        <v>428</v>
      </c>
      <c r="W201" s="92" t="str">
        <f t="array" ref="W201">IFERROR(INDEX('iCoA Register'!$B:$B,MATCH("P050182|I",'iCoA Register'!$P:$P,0)),"iCoA — at issue")&amp;", (03.10.2025) [PP]"</f>
        <v>iCoA-PP_26-024, (03.10.2025) [PP]</v>
      </c>
      <c r="X201" s="84" t="s">
        <v>79</v>
      </c>
      <c r="Y201" s="93" t="s">
        <v>1787</v>
      </c>
      <c r="Z201" s="92" t="s">
        <v>1120</v>
      </c>
      <c r="AA201" s="84" t="s">
        <v>79</v>
      </c>
      <c r="AB201" s="31" t="s">
        <v>1788</v>
      </c>
      <c r="AC201" s="62" t="s">
        <v>1789</v>
      </c>
      <c r="AD201" s="32" t="s">
        <v>561</v>
      </c>
      <c r="AE201" s="32" t="s">
        <v>451</v>
      </c>
      <c r="AF201" s="32" t="s">
        <v>451</v>
      </c>
      <c r="AG201" s="84" t="s">
        <v>79</v>
      </c>
      <c r="AH201" s="31" t="s">
        <v>452</v>
      </c>
      <c r="AI201" s="32" t="s">
        <v>453</v>
      </c>
      <c r="AJ201" s="32" t="s">
        <v>452</v>
      </c>
      <c r="AK201" s="84" t="s">
        <v>79</v>
      </c>
      <c r="AL201" s="31" t="s">
        <v>1790</v>
      </c>
      <c r="AM201" s="32" t="s">
        <v>1275</v>
      </c>
      <c r="AN201" s="32" t="s">
        <v>1275</v>
      </c>
      <c r="AO201" s="32" t="s">
        <v>1275</v>
      </c>
      <c r="AP201" s="84" t="s">
        <v>79</v>
      </c>
      <c r="AQ201" s="93" t="s">
        <v>1750</v>
      </c>
      <c r="AR201" s="92" t="s">
        <v>1791</v>
      </c>
      <c r="AS201" s="98" t="s">
        <v>79</v>
      </c>
    </row>
    <row r="202" spans="1:45" ht="12.75" customHeight="1">
      <c r="A202" s="105"/>
      <c r="B202" s="80"/>
      <c r="C202" s="80"/>
      <c r="D202" s="94"/>
      <c r="E202" s="81"/>
      <c r="F202" s="85"/>
      <c r="G202" s="94"/>
      <c r="H202" s="81"/>
      <c r="I202" s="85"/>
      <c r="J202" s="94"/>
      <c r="K202" s="81"/>
      <c r="L202" s="85"/>
      <c r="M202" s="94"/>
      <c r="N202" s="81"/>
      <c r="O202" s="85"/>
      <c r="P202" s="94"/>
      <c r="Q202" s="81"/>
      <c r="R202" s="85"/>
      <c r="S202" s="94"/>
      <c r="T202" s="81"/>
      <c r="U202" s="85"/>
      <c r="V202" s="94"/>
      <c r="W202" s="81"/>
      <c r="X202" s="85"/>
      <c r="Y202" s="94"/>
      <c r="Z202" s="81"/>
      <c r="AA202" s="85"/>
      <c r="AB202" s="86" t="s">
        <v>1794</v>
      </c>
      <c r="AC202" s="77"/>
      <c r="AD202" s="77"/>
      <c r="AE202" s="77"/>
      <c r="AF202" s="78"/>
      <c r="AG202" s="85"/>
      <c r="AH202" s="86" t="s">
        <v>1791</v>
      </c>
      <c r="AI202" s="77"/>
      <c r="AJ202" s="78"/>
      <c r="AK202" s="85"/>
      <c r="AL202" s="86" t="s">
        <v>1791</v>
      </c>
      <c r="AM202" s="77"/>
      <c r="AN202" s="77"/>
      <c r="AO202" s="78"/>
      <c r="AP202" s="85"/>
      <c r="AQ202" s="94"/>
      <c r="AR202" s="81"/>
      <c r="AS202" s="99"/>
    </row>
    <row r="203" spans="1:45" ht="13.5" customHeight="1">
      <c r="A203" s="105"/>
      <c r="B203" s="80"/>
      <c r="C203" s="80"/>
      <c r="D203" s="33"/>
      <c r="E203" s="34"/>
      <c r="F203" s="35"/>
      <c r="G203" s="102" t="s">
        <v>428</v>
      </c>
      <c r="H203" s="110" t="str">
        <f t="array" ref="H203">IFERROR(INDEX('iCoA Register'!$B:$B,MATCH("P050182|I",'iCoA Register'!$P:$P,0)),"iCoA — at issue")&amp;", (03.10.2025) [PP]"</f>
        <v>iCoA-PP_26-024, (03.10.2025) [PP]</v>
      </c>
      <c r="I203" s="87" t="s">
        <v>79</v>
      </c>
      <c r="J203" s="33"/>
      <c r="K203" s="34"/>
      <c r="L203" s="35"/>
      <c r="M203" s="33"/>
      <c r="N203" s="34"/>
      <c r="O203" s="35"/>
      <c r="P203" s="33"/>
      <c r="Q203" s="34"/>
      <c r="R203" s="35"/>
      <c r="S203" s="33"/>
      <c r="T203" s="34"/>
      <c r="U203" s="35"/>
      <c r="V203" s="33"/>
      <c r="W203" s="34"/>
      <c r="X203" s="35"/>
      <c r="Y203" s="33"/>
      <c r="Z203" s="34"/>
      <c r="AA203" s="35"/>
      <c r="AB203" s="33"/>
      <c r="AC203" s="34"/>
      <c r="AD203" s="34"/>
      <c r="AE203" s="34"/>
      <c r="AF203" s="34"/>
      <c r="AG203" s="35"/>
      <c r="AH203" s="33"/>
      <c r="AI203" s="34"/>
      <c r="AJ203" s="34"/>
      <c r="AK203" s="35"/>
      <c r="AL203" s="33"/>
      <c r="AM203" s="34"/>
      <c r="AN203" s="34"/>
      <c r="AO203" s="34"/>
      <c r="AP203" s="35"/>
      <c r="AQ203" s="33"/>
      <c r="AR203" s="34"/>
      <c r="AS203" s="38"/>
    </row>
    <row r="204" spans="1:45" ht="12.75" customHeight="1">
      <c r="A204" s="106"/>
      <c r="B204" s="108"/>
      <c r="C204" s="108"/>
      <c r="D204" s="39"/>
      <c r="E204" s="40"/>
      <c r="F204" s="41"/>
      <c r="G204" s="103"/>
      <c r="H204" s="108"/>
      <c r="I204" s="88"/>
      <c r="J204" s="39"/>
      <c r="K204" s="40"/>
      <c r="L204" s="41"/>
      <c r="M204" s="39"/>
      <c r="N204" s="40"/>
      <c r="O204" s="41"/>
      <c r="P204" s="39"/>
      <c r="Q204" s="40"/>
      <c r="R204" s="41"/>
      <c r="S204" s="39"/>
      <c r="T204" s="40"/>
      <c r="U204" s="41"/>
      <c r="V204" s="39"/>
      <c r="W204" s="40"/>
      <c r="X204" s="41"/>
      <c r="Y204" s="39"/>
      <c r="Z204" s="40"/>
      <c r="AA204" s="41"/>
      <c r="AB204" s="39"/>
      <c r="AC204" s="40"/>
      <c r="AD204" s="40"/>
      <c r="AE204" s="40"/>
      <c r="AF204" s="40"/>
      <c r="AG204" s="41"/>
      <c r="AH204" s="39"/>
      <c r="AI204" s="40"/>
      <c r="AJ204" s="40"/>
      <c r="AK204" s="41"/>
      <c r="AL204" s="39"/>
      <c r="AM204" s="40"/>
      <c r="AN204" s="40"/>
      <c r="AO204" s="40"/>
      <c r="AP204" s="41"/>
      <c r="AQ204" s="39"/>
      <c r="AR204" s="40"/>
      <c r="AS204" s="42"/>
    </row>
    <row r="205" spans="1:45" ht="30" customHeight="1">
      <c r="A205" s="104" t="s">
        <v>263</v>
      </c>
      <c r="B205" s="107" t="s">
        <v>262</v>
      </c>
      <c r="C205" s="111" t="s">
        <v>1094</v>
      </c>
      <c r="D205" s="93" t="s">
        <v>428</v>
      </c>
      <c r="E205" s="92" t="str">
        <f t="array" ref="E205">IFERROR(INDEX('iCoA Register'!$B:$B,MATCH("P050192|I",'iCoA Register'!$P:$P,0)),"iCoA — at issue")&amp;", (10.10.2025) [PP]"</f>
        <v>iCoA-PP_26-025, (10.10.2025) [PP]</v>
      </c>
      <c r="F205" s="84" t="s">
        <v>79</v>
      </c>
      <c r="G205" s="93" t="s">
        <v>428</v>
      </c>
      <c r="H205" s="92" t="str">
        <f t="array" ref="H205">IFERROR(INDEX('iCoA Register'!$B:$B,MATCH("P050192|I",'iCoA Register'!$P:$P,0)),"iCoA — at issue")&amp;", (10.10.2025) [PP]"</f>
        <v>iCoA-PP_26-025, (10.10.2025) [PP]</v>
      </c>
      <c r="I205" s="84" t="s">
        <v>79</v>
      </c>
      <c r="J205" s="93" t="s">
        <v>95</v>
      </c>
      <c r="K205" s="92" t="s">
        <v>1098</v>
      </c>
      <c r="L205" s="84" t="s">
        <v>79</v>
      </c>
      <c r="M205" s="101" t="s">
        <v>1784</v>
      </c>
      <c r="N205" s="92" t="s">
        <v>1098</v>
      </c>
      <c r="O205" s="84" t="s">
        <v>79</v>
      </c>
      <c r="P205" s="100" t="s">
        <v>1798</v>
      </c>
      <c r="Q205" s="92" t="s">
        <v>1098</v>
      </c>
      <c r="R205" s="84" t="s">
        <v>79</v>
      </c>
      <c r="S205" s="127" t="s">
        <v>678</v>
      </c>
      <c r="T205" s="128" t="s">
        <v>1098</v>
      </c>
      <c r="U205" s="129" t="s">
        <v>198</v>
      </c>
      <c r="V205" s="93" t="s">
        <v>428</v>
      </c>
      <c r="W205" s="92" t="str">
        <f t="array" ref="W205">IFERROR(INDEX('iCoA Register'!$B:$B,MATCH("P050192|I",'iCoA Register'!$P:$P,0)),"iCoA — at issue")&amp;", (10.10.2025) [PP]"</f>
        <v>iCoA-PP_26-025, (10.10.2025) [PP]</v>
      </c>
      <c r="X205" s="84" t="s">
        <v>79</v>
      </c>
      <c r="Y205" s="154" t="s">
        <v>434</v>
      </c>
      <c r="Z205" s="128" t="s">
        <v>1098</v>
      </c>
      <c r="AA205" s="129" t="s">
        <v>198</v>
      </c>
      <c r="AB205" s="31" t="s">
        <v>1100</v>
      </c>
      <c r="AC205" s="32" t="s">
        <v>1100</v>
      </c>
      <c r="AD205" s="32" t="s">
        <v>1101</v>
      </c>
      <c r="AE205" s="32" t="s">
        <v>451</v>
      </c>
      <c r="AF205" s="32" t="s">
        <v>451</v>
      </c>
      <c r="AG205" s="84" t="s">
        <v>79</v>
      </c>
      <c r="AH205" s="53" t="s">
        <v>434</v>
      </c>
      <c r="AI205" s="54"/>
      <c r="AJ205" s="54"/>
      <c r="AK205" s="129" t="s">
        <v>198</v>
      </c>
      <c r="AL205" s="31" t="s">
        <v>1103</v>
      </c>
      <c r="AM205" s="32" t="s">
        <v>1104</v>
      </c>
      <c r="AN205" s="32" t="s">
        <v>1106</v>
      </c>
      <c r="AO205" s="32" t="s">
        <v>1108</v>
      </c>
      <c r="AP205" s="84" t="s">
        <v>79</v>
      </c>
      <c r="AQ205" s="93" t="s">
        <v>705</v>
      </c>
      <c r="AR205" s="92" t="s">
        <v>1114</v>
      </c>
      <c r="AS205" s="98" t="s">
        <v>79</v>
      </c>
    </row>
    <row r="206" spans="1:45" ht="12.75" customHeight="1">
      <c r="A206" s="105"/>
      <c r="B206" s="80"/>
      <c r="C206" s="80"/>
      <c r="D206" s="94"/>
      <c r="E206" s="81"/>
      <c r="F206" s="85"/>
      <c r="G206" s="94"/>
      <c r="H206" s="81"/>
      <c r="I206" s="85"/>
      <c r="J206" s="94"/>
      <c r="K206" s="81"/>
      <c r="L206" s="85"/>
      <c r="M206" s="94"/>
      <c r="N206" s="81"/>
      <c r="O206" s="85"/>
      <c r="P206" s="94"/>
      <c r="Q206" s="81"/>
      <c r="R206" s="85"/>
      <c r="S206" s="94"/>
      <c r="T206" s="81"/>
      <c r="U206" s="85"/>
      <c r="V206" s="94"/>
      <c r="W206" s="81"/>
      <c r="X206" s="85"/>
      <c r="Y206" s="94"/>
      <c r="Z206" s="81"/>
      <c r="AA206" s="85"/>
      <c r="AB206" s="86" t="s">
        <v>1119</v>
      </c>
      <c r="AC206" s="77"/>
      <c r="AD206" s="77"/>
      <c r="AE206" s="77"/>
      <c r="AF206" s="78"/>
      <c r="AG206" s="85"/>
      <c r="AH206" s="144" t="s">
        <v>1122</v>
      </c>
      <c r="AI206" s="77"/>
      <c r="AJ206" s="78"/>
      <c r="AK206" s="85"/>
      <c r="AL206" s="86" t="s">
        <v>1122</v>
      </c>
      <c r="AM206" s="77"/>
      <c r="AN206" s="77"/>
      <c r="AO206" s="78"/>
      <c r="AP206" s="85"/>
      <c r="AQ206" s="94"/>
      <c r="AR206" s="81"/>
      <c r="AS206" s="99"/>
    </row>
    <row r="207" spans="1:45" ht="13.5" customHeight="1">
      <c r="A207" s="105"/>
      <c r="B207" s="80"/>
      <c r="C207" s="80"/>
      <c r="D207" s="33"/>
      <c r="E207" s="34"/>
      <c r="F207" s="35"/>
      <c r="G207" s="33"/>
      <c r="H207" s="34"/>
      <c r="I207" s="35"/>
      <c r="J207" s="33"/>
      <c r="K207" s="34"/>
      <c r="L207" s="35"/>
      <c r="M207" s="33"/>
      <c r="N207" s="34"/>
      <c r="O207" s="35"/>
      <c r="P207" s="33"/>
      <c r="Q207" s="34"/>
      <c r="R207" s="35"/>
      <c r="S207" s="33"/>
      <c r="T207" s="34"/>
      <c r="U207" s="35"/>
      <c r="V207" s="33"/>
      <c r="W207" s="34"/>
      <c r="X207" s="35"/>
      <c r="Y207" s="33"/>
      <c r="Z207" s="34"/>
      <c r="AA207" s="35"/>
      <c r="AB207" s="36" t="s">
        <v>1127</v>
      </c>
      <c r="AC207" s="37" t="s">
        <v>1129</v>
      </c>
      <c r="AD207" s="37" t="s">
        <v>561</v>
      </c>
      <c r="AE207" s="37" t="s">
        <v>528</v>
      </c>
      <c r="AF207" s="37" t="s">
        <v>528</v>
      </c>
      <c r="AG207" s="87" t="s">
        <v>79</v>
      </c>
      <c r="AH207" s="36" t="s">
        <v>1131</v>
      </c>
      <c r="AI207" s="37" t="s">
        <v>452</v>
      </c>
      <c r="AJ207" s="37" t="s">
        <v>1132</v>
      </c>
      <c r="AK207" s="87" t="s">
        <v>79</v>
      </c>
      <c r="AL207" s="33"/>
      <c r="AM207" s="34"/>
      <c r="AN207" s="34"/>
      <c r="AO207" s="34"/>
      <c r="AP207" s="35"/>
      <c r="AQ207" s="102" t="s">
        <v>705</v>
      </c>
      <c r="AR207" s="110" t="s">
        <v>1137</v>
      </c>
      <c r="AS207" s="145" t="s">
        <v>79</v>
      </c>
    </row>
    <row r="208" spans="1:45" ht="12.75" customHeight="1">
      <c r="A208" s="105"/>
      <c r="B208" s="80"/>
      <c r="C208" s="80"/>
      <c r="D208" s="49"/>
      <c r="E208" s="50"/>
      <c r="F208" s="51"/>
      <c r="G208" s="49"/>
      <c r="H208" s="50"/>
      <c r="I208" s="51"/>
      <c r="J208" s="49"/>
      <c r="K208" s="50"/>
      <c r="L208" s="51"/>
      <c r="M208" s="49"/>
      <c r="N208" s="50"/>
      <c r="O208" s="51"/>
      <c r="P208" s="49"/>
      <c r="Q208" s="50"/>
      <c r="R208" s="51"/>
      <c r="S208" s="49"/>
      <c r="T208" s="50"/>
      <c r="U208" s="51"/>
      <c r="V208" s="49"/>
      <c r="W208" s="50"/>
      <c r="X208" s="51"/>
      <c r="Y208" s="49"/>
      <c r="Z208" s="50"/>
      <c r="AA208" s="51"/>
      <c r="AB208" s="141" t="s">
        <v>1140</v>
      </c>
      <c r="AC208" s="142"/>
      <c r="AD208" s="142"/>
      <c r="AE208" s="142"/>
      <c r="AF208" s="143"/>
      <c r="AG208" s="131"/>
      <c r="AH208" s="141" t="s">
        <v>1142</v>
      </c>
      <c r="AI208" s="142"/>
      <c r="AJ208" s="143"/>
      <c r="AK208" s="131"/>
      <c r="AL208" s="49"/>
      <c r="AM208" s="50"/>
      <c r="AN208" s="50"/>
      <c r="AO208" s="50"/>
      <c r="AP208" s="51"/>
      <c r="AQ208" s="133"/>
      <c r="AR208" s="130"/>
      <c r="AS208" s="146"/>
    </row>
    <row r="209" spans="1:45" ht="13.5" customHeight="1">
      <c r="A209" s="105"/>
      <c r="B209" s="80"/>
      <c r="C209" s="80"/>
      <c r="D209" s="33"/>
      <c r="E209" s="34"/>
      <c r="F209" s="35"/>
      <c r="G209" s="33"/>
      <c r="H209" s="34"/>
      <c r="I209" s="35"/>
      <c r="J209" s="33"/>
      <c r="K209" s="34"/>
      <c r="L209" s="35"/>
      <c r="M209" s="33"/>
      <c r="N209" s="34"/>
      <c r="O209" s="35"/>
      <c r="P209" s="33"/>
      <c r="Q209" s="34"/>
      <c r="R209" s="35"/>
      <c r="S209" s="33"/>
      <c r="T209" s="34"/>
      <c r="U209" s="35"/>
      <c r="V209" s="33"/>
      <c r="W209" s="34"/>
      <c r="X209" s="35"/>
      <c r="Y209" s="33"/>
      <c r="Z209" s="34"/>
      <c r="AA209" s="35"/>
      <c r="AB209" s="33"/>
      <c r="AC209" s="34"/>
      <c r="AD209" s="34"/>
      <c r="AE209" s="34"/>
      <c r="AF209" s="34"/>
      <c r="AG209" s="35"/>
      <c r="AH209" s="33"/>
      <c r="AI209" s="34"/>
      <c r="AJ209" s="34"/>
      <c r="AK209" s="35"/>
      <c r="AL209" s="33"/>
      <c r="AM209" s="34"/>
      <c r="AN209" s="34"/>
      <c r="AO209" s="34"/>
      <c r="AP209" s="35"/>
      <c r="AQ209" s="147" t="s">
        <v>434</v>
      </c>
      <c r="AR209" s="148" t="s">
        <v>1122</v>
      </c>
      <c r="AS209" s="153" t="s">
        <v>198</v>
      </c>
    </row>
    <row r="210" spans="1:45" ht="12.75" customHeight="1">
      <c r="A210" s="106"/>
      <c r="B210" s="108"/>
      <c r="C210" s="108"/>
      <c r="D210" s="39"/>
      <c r="E210" s="40"/>
      <c r="F210" s="41"/>
      <c r="G210" s="39"/>
      <c r="H210" s="40"/>
      <c r="I210" s="41"/>
      <c r="J210" s="39"/>
      <c r="K210" s="40"/>
      <c r="L210" s="41"/>
      <c r="M210" s="39"/>
      <c r="N210" s="40"/>
      <c r="O210" s="41"/>
      <c r="P210" s="39"/>
      <c r="Q210" s="40"/>
      <c r="R210" s="41"/>
      <c r="S210" s="39"/>
      <c r="T210" s="40"/>
      <c r="U210" s="41"/>
      <c r="V210" s="39"/>
      <c r="W210" s="40"/>
      <c r="X210" s="41"/>
      <c r="Y210" s="39"/>
      <c r="Z210" s="40"/>
      <c r="AA210" s="41"/>
      <c r="AB210" s="39"/>
      <c r="AC210" s="40"/>
      <c r="AD210" s="40"/>
      <c r="AE210" s="40"/>
      <c r="AF210" s="40"/>
      <c r="AG210" s="41"/>
      <c r="AH210" s="39"/>
      <c r="AI210" s="40"/>
      <c r="AJ210" s="40"/>
      <c r="AK210" s="41"/>
      <c r="AL210" s="39"/>
      <c r="AM210" s="40"/>
      <c r="AN210" s="40"/>
      <c r="AO210" s="40"/>
      <c r="AP210" s="41"/>
      <c r="AQ210" s="103"/>
      <c r="AR210" s="108"/>
      <c r="AS210" s="116"/>
    </row>
    <row r="211" spans="1:45" ht="21" customHeight="1">
      <c r="A211" s="104" t="s">
        <v>516</v>
      </c>
      <c r="B211" s="107" t="s">
        <v>517</v>
      </c>
      <c r="C211" s="111" t="s">
        <v>1157</v>
      </c>
      <c r="D211" s="93" t="s">
        <v>428</v>
      </c>
      <c r="E211" s="92" t="str">
        <f t="array" ref="E211">IFERROR(INDEX('iCoA Register'!$B:$B,MATCH("P050202|I",'iCoA Register'!$P:$P,0)),"iCoA — at issue")&amp;", (30.10.2025) [PP]"</f>
        <v>iCoA-PP_26-026, (30.10.2025) [PP]</v>
      </c>
      <c r="F211" s="84" t="s">
        <v>79</v>
      </c>
      <c r="G211" s="93" t="s">
        <v>428</v>
      </c>
      <c r="H211" s="92" t="str">
        <f t="array" ref="H211">IFERROR(INDEX('iCoA Register'!$B:$B,MATCH("P050202|I",'iCoA Register'!$P:$P,0)),"iCoA — at issue")&amp;", (30.10.2025) [PP]"</f>
        <v>iCoA-PP_26-026, (30.10.2025) [PP]</v>
      </c>
      <c r="I211" s="84" t="s">
        <v>79</v>
      </c>
      <c r="J211" s="93" t="s">
        <v>95</v>
      </c>
      <c r="K211" s="92" t="s">
        <v>1098</v>
      </c>
      <c r="L211" s="84" t="s">
        <v>79</v>
      </c>
      <c r="M211" s="101" t="s">
        <v>1809</v>
      </c>
      <c r="N211" s="92" t="s">
        <v>1098</v>
      </c>
      <c r="O211" s="84" t="s">
        <v>79</v>
      </c>
      <c r="P211" s="100" t="s">
        <v>1810</v>
      </c>
      <c r="Q211" s="92" t="s">
        <v>1098</v>
      </c>
      <c r="R211" s="84" t="s">
        <v>79</v>
      </c>
      <c r="S211" s="127" t="s">
        <v>678</v>
      </c>
      <c r="T211" s="128" t="s">
        <v>1098</v>
      </c>
      <c r="U211" s="129" t="s">
        <v>198</v>
      </c>
      <c r="V211" s="93" t="s">
        <v>428</v>
      </c>
      <c r="W211" s="92" t="str">
        <f t="array" ref="W211">IFERROR(INDEX('iCoA Register'!$B:$B,MATCH("P050202|I",'iCoA Register'!$P:$P,0)),"iCoA — at issue")&amp;", (30.10.2025) [PP]"</f>
        <v>iCoA-PP_26-026, (30.10.2025) [PP]</v>
      </c>
      <c r="X211" s="84" t="s">
        <v>79</v>
      </c>
      <c r="Y211" s="93" t="s">
        <v>1160</v>
      </c>
      <c r="Z211" s="92" t="s">
        <v>1098</v>
      </c>
      <c r="AA211" s="84" t="s">
        <v>79</v>
      </c>
      <c r="AB211" s="31" t="s">
        <v>1165</v>
      </c>
      <c r="AC211" s="32" t="s">
        <v>1167</v>
      </c>
      <c r="AD211" s="32" t="s">
        <v>869</v>
      </c>
      <c r="AE211" s="32" t="s">
        <v>451</v>
      </c>
      <c r="AF211" s="32" t="s">
        <v>451</v>
      </c>
      <c r="AG211" s="84" t="s">
        <v>79</v>
      </c>
      <c r="AH211" s="31" t="s">
        <v>452</v>
      </c>
      <c r="AI211" s="32" t="s">
        <v>453</v>
      </c>
      <c r="AJ211" s="32" t="s">
        <v>452</v>
      </c>
      <c r="AK211" s="84" t="s">
        <v>79</v>
      </c>
      <c r="AL211" s="31" t="s">
        <v>1171</v>
      </c>
      <c r="AM211" s="32" t="s">
        <v>456</v>
      </c>
      <c r="AN211" s="32" t="s">
        <v>1103</v>
      </c>
      <c r="AO211" s="32" t="s">
        <v>1172</v>
      </c>
      <c r="AP211" s="84" t="s">
        <v>79</v>
      </c>
      <c r="AQ211" s="93" t="s">
        <v>1063</v>
      </c>
      <c r="AR211" s="92" t="s">
        <v>1173</v>
      </c>
      <c r="AS211" s="98" t="s">
        <v>79</v>
      </c>
    </row>
    <row r="212" spans="1:45" ht="12.75" customHeight="1">
      <c r="A212" s="105"/>
      <c r="B212" s="80"/>
      <c r="C212" s="80"/>
      <c r="D212" s="94"/>
      <c r="E212" s="81"/>
      <c r="F212" s="85"/>
      <c r="G212" s="94"/>
      <c r="H212" s="81"/>
      <c r="I212" s="85"/>
      <c r="J212" s="94"/>
      <c r="K212" s="81"/>
      <c r="L212" s="85"/>
      <c r="M212" s="94"/>
      <c r="N212" s="81"/>
      <c r="O212" s="85"/>
      <c r="P212" s="94"/>
      <c r="Q212" s="81"/>
      <c r="R212" s="85"/>
      <c r="S212" s="94"/>
      <c r="T212" s="81"/>
      <c r="U212" s="85"/>
      <c r="V212" s="94"/>
      <c r="W212" s="81"/>
      <c r="X212" s="85"/>
      <c r="Y212" s="94"/>
      <c r="Z212" s="81"/>
      <c r="AA212" s="85"/>
      <c r="AB212" s="86" t="s">
        <v>1179</v>
      </c>
      <c r="AC212" s="77"/>
      <c r="AD212" s="77"/>
      <c r="AE212" s="77"/>
      <c r="AF212" s="78"/>
      <c r="AG212" s="85"/>
      <c r="AH212" s="86" t="s">
        <v>1173</v>
      </c>
      <c r="AI212" s="77"/>
      <c r="AJ212" s="78"/>
      <c r="AK212" s="85"/>
      <c r="AL212" s="86" t="s">
        <v>1173</v>
      </c>
      <c r="AM212" s="77"/>
      <c r="AN212" s="77"/>
      <c r="AO212" s="78"/>
      <c r="AP212" s="85"/>
      <c r="AQ212" s="94"/>
      <c r="AR212" s="81"/>
      <c r="AS212" s="99"/>
    </row>
    <row r="213" spans="1:45" ht="17.25" customHeight="1">
      <c r="A213" s="105"/>
      <c r="B213" s="80"/>
      <c r="C213" s="80"/>
      <c r="D213" s="33"/>
      <c r="E213" s="34"/>
      <c r="F213" s="35"/>
      <c r="G213" s="121" t="s">
        <v>434</v>
      </c>
      <c r="H213" s="122" t="s">
        <v>1814</v>
      </c>
      <c r="I213" s="123" t="s">
        <v>93</v>
      </c>
      <c r="J213" s="137" t="s">
        <v>95</v>
      </c>
      <c r="K213" s="135" t="s">
        <v>1191</v>
      </c>
      <c r="L213" s="136" t="s">
        <v>79</v>
      </c>
      <c r="M213" s="138" t="s">
        <v>1815</v>
      </c>
      <c r="N213" s="135" t="s">
        <v>1191</v>
      </c>
      <c r="O213" s="136" t="s">
        <v>79</v>
      </c>
      <c r="P213" s="139" t="s">
        <v>567</v>
      </c>
      <c r="Q213" s="135" t="s">
        <v>1191</v>
      </c>
      <c r="R213" s="136" t="s">
        <v>79</v>
      </c>
      <c r="S213" s="139" t="s">
        <v>1536</v>
      </c>
      <c r="T213" s="135" t="s">
        <v>1191</v>
      </c>
      <c r="U213" s="136" t="s">
        <v>79</v>
      </c>
      <c r="V213" s="33"/>
      <c r="W213" s="34"/>
      <c r="X213" s="35"/>
      <c r="Y213" s="137" t="s">
        <v>1187</v>
      </c>
      <c r="Z213" s="135" t="s">
        <v>1191</v>
      </c>
      <c r="AA213" s="136" t="s">
        <v>79</v>
      </c>
      <c r="AB213" s="36" t="s">
        <v>1193</v>
      </c>
      <c r="AC213" s="37" t="s">
        <v>1194</v>
      </c>
      <c r="AD213" s="37" t="s">
        <v>561</v>
      </c>
      <c r="AE213" s="37" t="s">
        <v>451</v>
      </c>
      <c r="AF213" s="37" t="s">
        <v>451</v>
      </c>
      <c r="AG213" s="87" t="s">
        <v>79</v>
      </c>
      <c r="AH213" s="33"/>
      <c r="AI213" s="34"/>
      <c r="AJ213" s="34"/>
      <c r="AK213" s="35"/>
      <c r="AL213" s="33"/>
      <c r="AM213" s="34"/>
      <c r="AN213" s="34"/>
      <c r="AO213" s="34"/>
      <c r="AP213" s="35"/>
      <c r="AQ213" s="33"/>
      <c r="AR213" s="34"/>
      <c r="AS213" s="38"/>
    </row>
    <row r="214" spans="1:45" ht="12.75" customHeight="1">
      <c r="A214" s="105"/>
      <c r="B214" s="80"/>
      <c r="C214" s="80"/>
      <c r="D214" s="49"/>
      <c r="E214" s="50"/>
      <c r="F214" s="51"/>
      <c r="G214" s="133"/>
      <c r="H214" s="130"/>
      <c r="I214" s="131"/>
      <c r="J214" s="133"/>
      <c r="K214" s="130"/>
      <c r="L214" s="131"/>
      <c r="M214" s="133"/>
      <c r="N214" s="130"/>
      <c r="O214" s="131"/>
      <c r="P214" s="133"/>
      <c r="Q214" s="130"/>
      <c r="R214" s="131"/>
      <c r="S214" s="133"/>
      <c r="T214" s="130"/>
      <c r="U214" s="131"/>
      <c r="V214" s="49"/>
      <c r="W214" s="50"/>
      <c r="X214" s="51"/>
      <c r="Y214" s="133"/>
      <c r="Z214" s="130"/>
      <c r="AA214" s="131"/>
      <c r="AB214" s="141" t="s">
        <v>1196</v>
      </c>
      <c r="AC214" s="142"/>
      <c r="AD214" s="142"/>
      <c r="AE214" s="142"/>
      <c r="AF214" s="143"/>
      <c r="AG214" s="131"/>
      <c r="AH214" s="49"/>
      <c r="AI214" s="50"/>
      <c r="AJ214" s="50"/>
      <c r="AK214" s="51"/>
      <c r="AL214" s="49"/>
      <c r="AM214" s="50"/>
      <c r="AN214" s="50"/>
      <c r="AO214" s="50"/>
      <c r="AP214" s="51"/>
      <c r="AQ214" s="49"/>
      <c r="AR214" s="50"/>
      <c r="AS214" s="52"/>
    </row>
    <row r="215" spans="1:45" ht="17.25" customHeight="1">
      <c r="A215" s="105"/>
      <c r="B215" s="80"/>
      <c r="C215" s="80"/>
      <c r="D215" s="33"/>
      <c r="E215" s="34"/>
      <c r="F215" s="35"/>
      <c r="G215" s="121" t="s">
        <v>434</v>
      </c>
      <c r="H215" s="122" t="s">
        <v>1817</v>
      </c>
      <c r="I215" s="123" t="s">
        <v>93</v>
      </c>
      <c r="J215" s="137" t="s">
        <v>95</v>
      </c>
      <c r="K215" s="135" t="s">
        <v>1201</v>
      </c>
      <c r="L215" s="136" t="s">
        <v>79</v>
      </c>
      <c r="M215" s="138" t="s">
        <v>1819</v>
      </c>
      <c r="N215" s="135" t="s">
        <v>1201</v>
      </c>
      <c r="O215" s="136" t="s">
        <v>79</v>
      </c>
      <c r="P215" s="139" t="s">
        <v>442</v>
      </c>
      <c r="Q215" s="135" t="s">
        <v>1201</v>
      </c>
      <c r="R215" s="136" t="s">
        <v>79</v>
      </c>
      <c r="S215" s="140" t="s">
        <v>1820</v>
      </c>
      <c r="T215" s="135" t="s">
        <v>1201</v>
      </c>
      <c r="U215" s="136" t="s">
        <v>79</v>
      </c>
      <c r="V215" s="33"/>
      <c r="W215" s="34"/>
      <c r="X215" s="35"/>
      <c r="Y215" s="137" t="s">
        <v>1200</v>
      </c>
      <c r="Z215" s="135" t="s">
        <v>1201</v>
      </c>
      <c r="AA215" s="136" t="s">
        <v>79</v>
      </c>
      <c r="AB215" s="36" t="s">
        <v>561</v>
      </c>
      <c r="AC215" s="37" t="s">
        <v>561</v>
      </c>
      <c r="AD215" s="37" t="s">
        <v>561</v>
      </c>
      <c r="AE215" s="37" t="s">
        <v>528</v>
      </c>
      <c r="AF215" s="37" t="s">
        <v>528</v>
      </c>
      <c r="AG215" s="87" t="s">
        <v>79</v>
      </c>
      <c r="AH215" s="33"/>
      <c r="AI215" s="34"/>
      <c r="AJ215" s="34"/>
      <c r="AK215" s="35"/>
      <c r="AL215" s="33"/>
      <c r="AM215" s="34"/>
      <c r="AN215" s="34"/>
      <c r="AO215" s="34"/>
      <c r="AP215" s="35"/>
      <c r="AQ215" s="33"/>
      <c r="AR215" s="34"/>
      <c r="AS215" s="38"/>
    </row>
    <row r="216" spans="1:45" ht="12.75" customHeight="1">
      <c r="A216" s="105"/>
      <c r="B216" s="80"/>
      <c r="C216" s="80"/>
      <c r="D216" s="49"/>
      <c r="E216" s="50"/>
      <c r="F216" s="51"/>
      <c r="G216" s="133"/>
      <c r="H216" s="130"/>
      <c r="I216" s="131"/>
      <c r="J216" s="133"/>
      <c r="K216" s="130"/>
      <c r="L216" s="131"/>
      <c r="M216" s="133"/>
      <c r="N216" s="130"/>
      <c r="O216" s="131"/>
      <c r="P216" s="133"/>
      <c r="Q216" s="130"/>
      <c r="R216" s="131"/>
      <c r="S216" s="133"/>
      <c r="T216" s="130"/>
      <c r="U216" s="131"/>
      <c r="V216" s="49"/>
      <c r="W216" s="50"/>
      <c r="X216" s="51"/>
      <c r="Y216" s="133"/>
      <c r="Z216" s="130"/>
      <c r="AA216" s="131"/>
      <c r="AB216" s="141" t="s">
        <v>1210</v>
      </c>
      <c r="AC216" s="142"/>
      <c r="AD216" s="142"/>
      <c r="AE216" s="142"/>
      <c r="AF216" s="143"/>
      <c r="AG216" s="131"/>
      <c r="AH216" s="49"/>
      <c r="AI216" s="50"/>
      <c r="AJ216" s="50"/>
      <c r="AK216" s="51"/>
      <c r="AL216" s="49"/>
      <c r="AM216" s="50"/>
      <c r="AN216" s="50"/>
      <c r="AO216" s="50"/>
      <c r="AP216" s="51"/>
      <c r="AQ216" s="49"/>
      <c r="AR216" s="50"/>
      <c r="AS216" s="52"/>
    </row>
    <row r="217" spans="1:45" ht="17.25" customHeight="1">
      <c r="A217" s="105"/>
      <c r="B217" s="80"/>
      <c r="C217" s="80"/>
      <c r="D217" s="33"/>
      <c r="E217" s="34"/>
      <c r="F217" s="35"/>
      <c r="G217" s="121" t="s">
        <v>434</v>
      </c>
      <c r="H217" s="122" t="s">
        <v>1823</v>
      </c>
      <c r="I217" s="123" t="s">
        <v>93</v>
      </c>
      <c r="J217" s="137" t="s">
        <v>95</v>
      </c>
      <c r="K217" s="135" t="s">
        <v>1213</v>
      </c>
      <c r="L217" s="136" t="s">
        <v>79</v>
      </c>
      <c r="M217" s="138" t="s">
        <v>1824</v>
      </c>
      <c r="N217" s="135" t="s">
        <v>1213</v>
      </c>
      <c r="O217" s="136" t="s">
        <v>79</v>
      </c>
      <c r="P217" s="139" t="s">
        <v>567</v>
      </c>
      <c r="Q217" s="135" t="s">
        <v>1213</v>
      </c>
      <c r="R217" s="136" t="s">
        <v>79</v>
      </c>
      <c r="S217" s="139" t="s">
        <v>1553</v>
      </c>
      <c r="T217" s="135" t="s">
        <v>1213</v>
      </c>
      <c r="U217" s="136" t="s">
        <v>79</v>
      </c>
      <c r="V217" s="33"/>
      <c r="W217" s="34"/>
      <c r="X217" s="35"/>
      <c r="Y217" s="137" t="s">
        <v>1212</v>
      </c>
      <c r="Z217" s="135" t="s">
        <v>1213</v>
      </c>
      <c r="AA217" s="136" t="s">
        <v>79</v>
      </c>
      <c r="AB217" s="33"/>
      <c r="AC217" s="34"/>
      <c r="AD217" s="34"/>
      <c r="AE217" s="34"/>
      <c r="AF217" s="34"/>
      <c r="AG217" s="35"/>
      <c r="AH217" s="33"/>
      <c r="AI217" s="34"/>
      <c r="AJ217" s="34"/>
      <c r="AK217" s="35"/>
      <c r="AL217" s="33"/>
      <c r="AM217" s="34"/>
      <c r="AN217" s="34"/>
      <c r="AO217" s="34"/>
      <c r="AP217" s="35"/>
      <c r="AQ217" s="33"/>
      <c r="AR217" s="34"/>
      <c r="AS217" s="38"/>
    </row>
    <row r="218" spans="1:45" ht="12.75" customHeight="1">
      <c r="A218" s="105"/>
      <c r="B218" s="80"/>
      <c r="C218" s="80"/>
      <c r="D218" s="49"/>
      <c r="E218" s="50"/>
      <c r="F218" s="51"/>
      <c r="G218" s="133"/>
      <c r="H218" s="130"/>
      <c r="I218" s="131"/>
      <c r="J218" s="133"/>
      <c r="K218" s="130"/>
      <c r="L218" s="131"/>
      <c r="M218" s="133"/>
      <c r="N218" s="130"/>
      <c r="O218" s="131"/>
      <c r="P218" s="133"/>
      <c r="Q218" s="130"/>
      <c r="R218" s="131"/>
      <c r="S218" s="133"/>
      <c r="T218" s="130"/>
      <c r="U218" s="131"/>
      <c r="V218" s="49"/>
      <c r="W218" s="50"/>
      <c r="X218" s="51"/>
      <c r="Y218" s="133"/>
      <c r="Z218" s="130"/>
      <c r="AA218" s="131"/>
      <c r="AB218" s="49"/>
      <c r="AC218" s="50"/>
      <c r="AD218" s="50"/>
      <c r="AE218" s="50"/>
      <c r="AF218" s="50"/>
      <c r="AG218" s="51"/>
      <c r="AH218" s="49"/>
      <c r="AI218" s="50"/>
      <c r="AJ218" s="50"/>
      <c r="AK218" s="51"/>
      <c r="AL218" s="49"/>
      <c r="AM218" s="50"/>
      <c r="AN218" s="50"/>
      <c r="AO218" s="50"/>
      <c r="AP218" s="51"/>
      <c r="AQ218" s="49"/>
      <c r="AR218" s="50"/>
      <c r="AS218" s="52"/>
    </row>
    <row r="219" spans="1:45" ht="17.25" customHeight="1">
      <c r="A219" s="105"/>
      <c r="B219" s="80"/>
      <c r="C219" s="80"/>
      <c r="D219" s="33"/>
      <c r="E219" s="34"/>
      <c r="F219" s="35"/>
      <c r="G219" s="121" t="s">
        <v>434</v>
      </c>
      <c r="H219" s="122" t="s">
        <v>1827</v>
      </c>
      <c r="I219" s="123" t="s">
        <v>93</v>
      </c>
      <c r="J219" s="137" t="s">
        <v>95</v>
      </c>
      <c r="K219" s="135" t="s">
        <v>1225</v>
      </c>
      <c r="L219" s="136" t="s">
        <v>79</v>
      </c>
      <c r="M219" s="138" t="s">
        <v>1828</v>
      </c>
      <c r="N219" s="135" t="s">
        <v>1225</v>
      </c>
      <c r="O219" s="136" t="s">
        <v>79</v>
      </c>
      <c r="P219" s="139" t="s">
        <v>1364</v>
      </c>
      <c r="Q219" s="135" t="s">
        <v>1225</v>
      </c>
      <c r="R219" s="136" t="s">
        <v>79</v>
      </c>
      <c r="S219" s="140" t="s">
        <v>1830</v>
      </c>
      <c r="T219" s="135" t="s">
        <v>1225</v>
      </c>
      <c r="U219" s="136" t="s">
        <v>79</v>
      </c>
      <c r="V219" s="33"/>
      <c r="W219" s="34"/>
      <c r="X219" s="35"/>
      <c r="Y219" s="137" t="s">
        <v>1223</v>
      </c>
      <c r="Z219" s="135" t="s">
        <v>1225</v>
      </c>
      <c r="AA219" s="136" t="s">
        <v>79</v>
      </c>
      <c r="AB219" s="33"/>
      <c r="AC219" s="34"/>
      <c r="AD219" s="34"/>
      <c r="AE219" s="34"/>
      <c r="AF219" s="34"/>
      <c r="AG219" s="35"/>
      <c r="AH219" s="33"/>
      <c r="AI219" s="34"/>
      <c r="AJ219" s="34"/>
      <c r="AK219" s="35"/>
      <c r="AL219" s="33"/>
      <c r="AM219" s="34"/>
      <c r="AN219" s="34"/>
      <c r="AO219" s="34"/>
      <c r="AP219" s="35"/>
      <c r="AQ219" s="33"/>
      <c r="AR219" s="34"/>
      <c r="AS219" s="38"/>
    </row>
    <row r="220" spans="1:45" ht="12.75" customHeight="1">
      <c r="A220" s="106"/>
      <c r="B220" s="108"/>
      <c r="C220" s="108"/>
      <c r="D220" s="39"/>
      <c r="E220" s="40"/>
      <c r="F220" s="41"/>
      <c r="G220" s="103"/>
      <c r="H220" s="108"/>
      <c r="I220" s="88"/>
      <c r="J220" s="103"/>
      <c r="K220" s="108"/>
      <c r="L220" s="88"/>
      <c r="M220" s="103"/>
      <c r="N220" s="108"/>
      <c r="O220" s="88"/>
      <c r="P220" s="103"/>
      <c r="Q220" s="108"/>
      <c r="R220" s="88"/>
      <c r="S220" s="103"/>
      <c r="T220" s="108"/>
      <c r="U220" s="88"/>
      <c r="V220" s="39"/>
      <c r="W220" s="40"/>
      <c r="X220" s="41"/>
      <c r="Y220" s="103"/>
      <c r="Z220" s="108"/>
      <c r="AA220" s="88"/>
      <c r="AB220" s="39"/>
      <c r="AC220" s="40"/>
      <c r="AD220" s="40"/>
      <c r="AE220" s="40"/>
      <c r="AF220" s="40"/>
      <c r="AG220" s="41"/>
      <c r="AH220" s="39"/>
      <c r="AI220" s="40"/>
      <c r="AJ220" s="40"/>
      <c r="AK220" s="41"/>
      <c r="AL220" s="39"/>
      <c r="AM220" s="40"/>
      <c r="AN220" s="40"/>
      <c r="AO220" s="40"/>
      <c r="AP220" s="41"/>
      <c r="AQ220" s="39"/>
      <c r="AR220" s="40"/>
      <c r="AS220" s="42"/>
    </row>
    <row r="221" spans="1:45" ht="21" customHeight="1">
      <c r="A221" s="104" t="s">
        <v>184</v>
      </c>
      <c r="B221" s="107" t="s">
        <v>188</v>
      </c>
      <c r="C221" s="118" t="s">
        <v>1587</v>
      </c>
      <c r="D221" s="93" t="s">
        <v>428</v>
      </c>
      <c r="E221" s="92" t="str">
        <f t="array" ref="E221">IFERROR(INDEX('iCoA Register'!$B:$B,MATCH("P050212|I",'iCoA Register'!$P:$P,0)),"iCoA — at issue")&amp;", (18.11.2025) [PP]"</f>
        <v>iCoA-PP_26-027, (18.11.2025) [PP]</v>
      </c>
      <c r="F221" s="84" t="s">
        <v>79</v>
      </c>
      <c r="G221" s="95" t="s">
        <v>434</v>
      </c>
      <c r="H221" s="96" t="s">
        <v>1834</v>
      </c>
      <c r="I221" s="97" t="s">
        <v>93</v>
      </c>
      <c r="J221" s="93" t="s">
        <v>95</v>
      </c>
      <c r="K221" s="92" t="s">
        <v>1156</v>
      </c>
      <c r="L221" s="84" t="s">
        <v>79</v>
      </c>
      <c r="M221" s="101" t="s">
        <v>1835</v>
      </c>
      <c r="N221" s="92" t="s">
        <v>1156</v>
      </c>
      <c r="O221" s="84" t="s">
        <v>79</v>
      </c>
      <c r="P221" s="100" t="s">
        <v>1836</v>
      </c>
      <c r="Q221" s="92" t="s">
        <v>1156</v>
      </c>
      <c r="R221" s="84" t="s">
        <v>79</v>
      </c>
      <c r="S221" s="100" t="s">
        <v>530</v>
      </c>
      <c r="T221" s="92" t="s">
        <v>1156</v>
      </c>
      <c r="U221" s="84" t="s">
        <v>79</v>
      </c>
      <c r="V221" s="93" t="s">
        <v>428</v>
      </c>
      <c r="W221" s="92" t="str">
        <f t="array" ref="W221">IFERROR(INDEX('iCoA Register'!$B:$B,MATCH("P050212|I",'iCoA Register'!$P:$P,0)),"iCoA — at issue")&amp;", (18.11.2025) [PP]"</f>
        <v>iCoA-PP_26-027, (18.11.2025) [PP]</v>
      </c>
      <c r="X221" s="84" t="s">
        <v>79</v>
      </c>
      <c r="Y221" s="93" t="s">
        <v>1837</v>
      </c>
      <c r="Z221" s="92" t="s">
        <v>1156</v>
      </c>
      <c r="AA221" s="84" t="s">
        <v>79</v>
      </c>
      <c r="AB221" s="31" t="s">
        <v>1838</v>
      </c>
      <c r="AC221" s="62" t="s">
        <v>1839</v>
      </c>
      <c r="AD221" s="32" t="s">
        <v>1525</v>
      </c>
      <c r="AE221" s="32" t="s">
        <v>451</v>
      </c>
      <c r="AF221" s="32" t="s">
        <v>451</v>
      </c>
      <c r="AG221" s="84" t="s">
        <v>79</v>
      </c>
      <c r="AH221" s="31" t="s">
        <v>452</v>
      </c>
      <c r="AI221" s="32" t="s">
        <v>453</v>
      </c>
      <c r="AJ221" s="32" t="s">
        <v>452</v>
      </c>
      <c r="AK221" s="84" t="s">
        <v>79</v>
      </c>
      <c r="AL221" s="31" t="s">
        <v>1628</v>
      </c>
      <c r="AM221" s="32" t="s">
        <v>1840</v>
      </c>
      <c r="AN221" s="32" t="s">
        <v>1172</v>
      </c>
      <c r="AO221" s="32" t="s">
        <v>1841</v>
      </c>
      <c r="AP221" s="84" t="s">
        <v>79</v>
      </c>
      <c r="AQ221" s="93" t="s">
        <v>1063</v>
      </c>
      <c r="AR221" s="92" t="s">
        <v>1842</v>
      </c>
      <c r="AS221" s="98" t="s">
        <v>79</v>
      </c>
    </row>
    <row r="222" spans="1:45" ht="12.75" customHeight="1">
      <c r="A222" s="105"/>
      <c r="B222" s="80"/>
      <c r="C222" s="80"/>
      <c r="D222" s="94"/>
      <c r="E222" s="81"/>
      <c r="F222" s="85"/>
      <c r="G222" s="94"/>
      <c r="H222" s="81"/>
      <c r="I222" s="85"/>
      <c r="J222" s="94"/>
      <c r="K222" s="81"/>
      <c r="L222" s="85"/>
      <c r="M222" s="94"/>
      <c r="N222" s="81"/>
      <c r="O222" s="85"/>
      <c r="P222" s="94"/>
      <c r="Q222" s="81"/>
      <c r="R222" s="85"/>
      <c r="S222" s="94"/>
      <c r="T222" s="81"/>
      <c r="U222" s="85"/>
      <c r="V222" s="94"/>
      <c r="W222" s="81"/>
      <c r="X222" s="85"/>
      <c r="Y222" s="94"/>
      <c r="Z222" s="81"/>
      <c r="AA222" s="85"/>
      <c r="AB222" s="86" t="s">
        <v>1847</v>
      </c>
      <c r="AC222" s="77"/>
      <c r="AD222" s="77"/>
      <c r="AE222" s="77"/>
      <c r="AF222" s="78"/>
      <c r="AG222" s="85"/>
      <c r="AH222" s="86" t="s">
        <v>1842</v>
      </c>
      <c r="AI222" s="77"/>
      <c r="AJ222" s="78"/>
      <c r="AK222" s="85"/>
      <c r="AL222" s="86" t="s">
        <v>1842</v>
      </c>
      <c r="AM222" s="77"/>
      <c r="AN222" s="77"/>
      <c r="AO222" s="78"/>
      <c r="AP222" s="85"/>
      <c r="AQ222" s="94"/>
      <c r="AR222" s="81"/>
      <c r="AS222" s="99"/>
    </row>
    <row r="223" spans="1:45" ht="17.25" customHeight="1">
      <c r="A223" s="105"/>
      <c r="B223" s="80"/>
      <c r="C223" s="80"/>
      <c r="D223" s="33"/>
      <c r="E223" s="34"/>
      <c r="F223" s="35"/>
      <c r="G223" s="102" t="s">
        <v>428</v>
      </c>
      <c r="H223" s="110" t="str">
        <f t="array" ref="H223">IFERROR(INDEX('iCoA Register'!$B:$B,MATCH("P050212|I",'iCoA Register'!$P:$P,0)),"iCoA — at issue")&amp;", (18.11.2025) [PP]"</f>
        <v>iCoA-PP_26-027, (18.11.2025) [PP]</v>
      </c>
      <c r="I223" s="87" t="s">
        <v>79</v>
      </c>
      <c r="J223" s="102" t="s">
        <v>463</v>
      </c>
      <c r="K223" s="110" t="s">
        <v>1848</v>
      </c>
      <c r="L223" s="87" t="s">
        <v>79</v>
      </c>
      <c r="M223" s="124" t="s">
        <v>1849</v>
      </c>
      <c r="N223" s="110" t="s">
        <v>1848</v>
      </c>
      <c r="O223" s="87" t="s">
        <v>79</v>
      </c>
      <c r="P223" s="120" t="s">
        <v>467</v>
      </c>
      <c r="Q223" s="110" t="s">
        <v>1848</v>
      </c>
      <c r="R223" s="87" t="s">
        <v>79</v>
      </c>
      <c r="S223" s="120" t="s">
        <v>467</v>
      </c>
      <c r="T223" s="110" t="s">
        <v>1848</v>
      </c>
      <c r="U223" s="87" t="s">
        <v>79</v>
      </c>
      <c r="V223" s="33"/>
      <c r="W223" s="34"/>
      <c r="X223" s="35"/>
      <c r="Y223" s="121" t="s">
        <v>434</v>
      </c>
      <c r="Z223" s="122" t="s">
        <v>1850</v>
      </c>
      <c r="AA223" s="123" t="s">
        <v>93</v>
      </c>
      <c r="AB223" s="33"/>
      <c r="AC223" s="34"/>
      <c r="AD223" s="34"/>
      <c r="AE223" s="34"/>
      <c r="AF223" s="34"/>
      <c r="AG223" s="35"/>
      <c r="AH223" s="36" t="s">
        <v>472</v>
      </c>
      <c r="AI223" s="37" t="s">
        <v>473</v>
      </c>
      <c r="AJ223" s="37" t="s">
        <v>472</v>
      </c>
      <c r="AK223" s="87" t="s">
        <v>79</v>
      </c>
      <c r="AL223" s="33"/>
      <c r="AM223" s="34"/>
      <c r="AN223" s="34"/>
      <c r="AO223" s="34"/>
      <c r="AP223" s="35"/>
      <c r="AQ223" s="33"/>
      <c r="AR223" s="34"/>
      <c r="AS223" s="38"/>
    </row>
    <row r="224" spans="1:45" ht="15" customHeight="1">
      <c r="A224" s="106"/>
      <c r="B224" s="108"/>
      <c r="C224" s="108"/>
      <c r="D224" s="39"/>
      <c r="E224" s="40"/>
      <c r="F224" s="41"/>
      <c r="G224" s="103"/>
      <c r="H224" s="108"/>
      <c r="I224" s="88"/>
      <c r="J224" s="103"/>
      <c r="K224" s="108"/>
      <c r="L224" s="88"/>
      <c r="M224" s="103"/>
      <c r="N224" s="108"/>
      <c r="O224" s="88"/>
      <c r="P224" s="103"/>
      <c r="Q224" s="108"/>
      <c r="R224" s="88"/>
      <c r="S224" s="103"/>
      <c r="T224" s="108"/>
      <c r="U224" s="88"/>
      <c r="V224" s="39"/>
      <c r="W224" s="40"/>
      <c r="X224" s="41"/>
      <c r="Y224" s="103"/>
      <c r="Z224" s="108"/>
      <c r="AA224" s="88"/>
      <c r="AB224" s="39"/>
      <c r="AC224" s="40"/>
      <c r="AD224" s="40"/>
      <c r="AE224" s="40"/>
      <c r="AF224" s="40"/>
      <c r="AG224" s="41"/>
      <c r="AH224" s="89" t="s">
        <v>1854</v>
      </c>
      <c r="AI224" s="90"/>
      <c r="AJ224" s="91"/>
      <c r="AK224" s="88"/>
      <c r="AL224" s="39"/>
      <c r="AM224" s="40"/>
      <c r="AN224" s="40"/>
      <c r="AO224" s="40"/>
      <c r="AP224" s="41"/>
      <c r="AQ224" s="39"/>
      <c r="AR224" s="40"/>
      <c r="AS224" s="42"/>
    </row>
    <row r="225" spans="1:45" ht="17.25" customHeight="1">
      <c r="A225" s="104" t="s">
        <v>187</v>
      </c>
      <c r="B225" s="107" t="s">
        <v>185</v>
      </c>
      <c r="C225" s="109" t="s">
        <v>512</v>
      </c>
      <c r="D225" s="93" t="s">
        <v>428</v>
      </c>
      <c r="E225" s="92" t="str">
        <f t="array" ref="E225">IFERROR(INDEX('iCoA Register'!$B:$B,MATCH("P050222|I",'iCoA Register'!$P:$P,0)),"iCoA — at issue")&amp;", (24.11.2025) [PP]"</f>
        <v>iCoA-PP_26-028, (24.11.2025) [PP]</v>
      </c>
      <c r="F225" s="84" t="s">
        <v>79</v>
      </c>
      <c r="G225" s="95" t="s">
        <v>434</v>
      </c>
      <c r="H225" s="96" t="s">
        <v>1855</v>
      </c>
      <c r="I225" s="97" t="s">
        <v>93</v>
      </c>
      <c r="J225" s="93" t="s">
        <v>95</v>
      </c>
      <c r="K225" s="92" t="s">
        <v>1164</v>
      </c>
      <c r="L225" s="84" t="s">
        <v>79</v>
      </c>
      <c r="M225" s="101" t="s">
        <v>1856</v>
      </c>
      <c r="N225" s="92" t="s">
        <v>1164</v>
      </c>
      <c r="O225" s="84" t="s">
        <v>79</v>
      </c>
      <c r="P225" s="100" t="s">
        <v>1347</v>
      </c>
      <c r="Q225" s="92" t="s">
        <v>1164</v>
      </c>
      <c r="R225" s="84" t="s">
        <v>79</v>
      </c>
      <c r="S225" s="100" t="s">
        <v>444</v>
      </c>
      <c r="T225" s="92" t="s">
        <v>1164</v>
      </c>
      <c r="U225" s="84" t="s">
        <v>79</v>
      </c>
      <c r="V225" s="93" t="s">
        <v>428</v>
      </c>
      <c r="W225" s="92" t="str">
        <f t="array" ref="W225">IFERROR(INDEX('iCoA Register'!$B:$B,MATCH("P050222|I",'iCoA Register'!$P:$P,0)),"iCoA — at issue")&amp;", (24.11.2025) [PP]"</f>
        <v>iCoA-PP_26-028, (24.11.2025) [PP]</v>
      </c>
      <c r="X225" s="84" t="s">
        <v>79</v>
      </c>
      <c r="Y225" s="93" t="s">
        <v>583</v>
      </c>
      <c r="Z225" s="92" t="s">
        <v>1164</v>
      </c>
      <c r="AA225" s="84" t="s">
        <v>79</v>
      </c>
      <c r="AB225" s="31" t="s">
        <v>561</v>
      </c>
      <c r="AC225" s="32" t="s">
        <v>1696</v>
      </c>
      <c r="AD225" s="32" t="s">
        <v>561</v>
      </c>
      <c r="AE225" s="32" t="s">
        <v>451</v>
      </c>
      <c r="AF225" s="32" t="s">
        <v>451</v>
      </c>
      <c r="AG225" s="84" t="s">
        <v>79</v>
      </c>
      <c r="AH225" s="31" t="s">
        <v>452</v>
      </c>
      <c r="AI225" s="32" t="s">
        <v>453</v>
      </c>
      <c r="AJ225" s="32" t="s">
        <v>452</v>
      </c>
      <c r="AK225" s="84" t="s">
        <v>79</v>
      </c>
      <c r="AL225" s="31" t="s">
        <v>1460</v>
      </c>
      <c r="AM225" s="32" t="s">
        <v>1840</v>
      </c>
      <c r="AN225" s="32" t="s">
        <v>1858</v>
      </c>
      <c r="AO225" s="32" t="s">
        <v>608</v>
      </c>
      <c r="AP225" s="84" t="s">
        <v>79</v>
      </c>
      <c r="AQ225" s="93" t="s">
        <v>459</v>
      </c>
      <c r="AR225" s="92" t="s">
        <v>1859</v>
      </c>
      <c r="AS225" s="98" t="s">
        <v>79</v>
      </c>
    </row>
    <row r="226" spans="1:45" ht="12.75" customHeight="1">
      <c r="A226" s="105"/>
      <c r="B226" s="80"/>
      <c r="C226" s="80"/>
      <c r="D226" s="94"/>
      <c r="E226" s="81"/>
      <c r="F226" s="85"/>
      <c r="G226" s="94"/>
      <c r="H226" s="81"/>
      <c r="I226" s="85"/>
      <c r="J226" s="94"/>
      <c r="K226" s="81"/>
      <c r="L226" s="85"/>
      <c r="M226" s="94"/>
      <c r="N226" s="81"/>
      <c r="O226" s="85"/>
      <c r="P226" s="94"/>
      <c r="Q226" s="81"/>
      <c r="R226" s="85"/>
      <c r="S226" s="94"/>
      <c r="T226" s="81"/>
      <c r="U226" s="85"/>
      <c r="V226" s="94"/>
      <c r="W226" s="81"/>
      <c r="X226" s="85"/>
      <c r="Y226" s="94"/>
      <c r="Z226" s="81"/>
      <c r="AA226" s="85"/>
      <c r="AB226" s="86" t="s">
        <v>1862</v>
      </c>
      <c r="AC226" s="77"/>
      <c r="AD226" s="77"/>
      <c r="AE226" s="77"/>
      <c r="AF226" s="78"/>
      <c r="AG226" s="85"/>
      <c r="AH226" s="86" t="s">
        <v>1859</v>
      </c>
      <c r="AI226" s="77"/>
      <c r="AJ226" s="78"/>
      <c r="AK226" s="85"/>
      <c r="AL226" s="86" t="s">
        <v>1859</v>
      </c>
      <c r="AM226" s="77"/>
      <c r="AN226" s="77"/>
      <c r="AO226" s="78"/>
      <c r="AP226" s="85"/>
      <c r="AQ226" s="94"/>
      <c r="AR226" s="81"/>
      <c r="AS226" s="99"/>
    </row>
    <row r="227" spans="1:45" ht="13.5" customHeight="1">
      <c r="A227" s="105"/>
      <c r="B227" s="80"/>
      <c r="C227" s="80"/>
      <c r="D227" s="33"/>
      <c r="E227" s="34"/>
      <c r="F227" s="35"/>
      <c r="G227" s="102" t="s">
        <v>428</v>
      </c>
      <c r="H227" s="110" t="str">
        <f t="array" ref="H227">IFERROR(INDEX('iCoA Register'!$B:$B,MATCH("P050222|I",'iCoA Register'!$P:$P,0)),"iCoA — at issue")&amp;", (24.11.2025) [PP]"</f>
        <v>iCoA-PP_26-028, (24.11.2025) [PP]</v>
      </c>
      <c r="I227" s="87" t="s">
        <v>79</v>
      </c>
      <c r="J227" s="33"/>
      <c r="K227" s="34"/>
      <c r="L227" s="35"/>
      <c r="M227" s="33"/>
      <c r="N227" s="34"/>
      <c r="O227" s="35"/>
      <c r="P227" s="33"/>
      <c r="Q227" s="34"/>
      <c r="R227" s="35"/>
      <c r="S227" s="33"/>
      <c r="T227" s="34"/>
      <c r="U227" s="35"/>
      <c r="V227" s="33"/>
      <c r="W227" s="34"/>
      <c r="X227" s="35"/>
      <c r="Y227" s="33"/>
      <c r="Z227" s="34"/>
      <c r="AA227" s="35"/>
      <c r="AB227" s="33"/>
      <c r="AC227" s="34"/>
      <c r="AD227" s="34"/>
      <c r="AE227" s="34"/>
      <c r="AF227" s="34"/>
      <c r="AG227" s="35"/>
      <c r="AH227" s="33"/>
      <c r="AI227" s="34"/>
      <c r="AJ227" s="34"/>
      <c r="AK227" s="35"/>
      <c r="AL227" s="33"/>
      <c r="AM227" s="34"/>
      <c r="AN227" s="34"/>
      <c r="AO227" s="34"/>
      <c r="AP227" s="35"/>
      <c r="AQ227" s="33"/>
      <c r="AR227" s="34"/>
      <c r="AS227" s="38"/>
    </row>
    <row r="228" spans="1:45" ht="12.75" customHeight="1">
      <c r="A228" s="106"/>
      <c r="B228" s="108"/>
      <c r="C228" s="108"/>
      <c r="D228" s="39"/>
      <c r="E228" s="40"/>
      <c r="F228" s="41"/>
      <c r="G228" s="103"/>
      <c r="H228" s="108"/>
      <c r="I228" s="88"/>
      <c r="J228" s="39"/>
      <c r="K228" s="40"/>
      <c r="L228" s="41"/>
      <c r="M228" s="39"/>
      <c r="N228" s="40"/>
      <c r="O228" s="41"/>
      <c r="P228" s="39"/>
      <c r="Q228" s="40"/>
      <c r="R228" s="41"/>
      <c r="S228" s="39"/>
      <c r="T228" s="40"/>
      <c r="U228" s="41"/>
      <c r="V228" s="39"/>
      <c r="W228" s="40"/>
      <c r="X228" s="41"/>
      <c r="Y228" s="39"/>
      <c r="Z228" s="40"/>
      <c r="AA228" s="41"/>
      <c r="AB228" s="39"/>
      <c r="AC228" s="40"/>
      <c r="AD228" s="40"/>
      <c r="AE228" s="40"/>
      <c r="AF228" s="40"/>
      <c r="AG228" s="41"/>
      <c r="AH228" s="39"/>
      <c r="AI228" s="40"/>
      <c r="AJ228" s="40"/>
      <c r="AK228" s="41"/>
      <c r="AL228" s="39"/>
      <c r="AM228" s="40"/>
      <c r="AN228" s="40"/>
      <c r="AO228" s="40"/>
      <c r="AP228" s="41"/>
      <c r="AQ228" s="39"/>
      <c r="AR228" s="40"/>
      <c r="AS228" s="42"/>
    </row>
    <row r="229" spans="1:45" ht="17.25" customHeight="1">
      <c r="A229" s="104" t="s">
        <v>190</v>
      </c>
      <c r="B229" s="107" t="s">
        <v>189</v>
      </c>
      <c r="C229" s="109" t="s">
        <v>512</v>
      </c>
      <c r="D229" s="93" t="s">
        <v>428</v>
      </c>
      <c r="E229" s="92" t="str">
        <f t="array" ref="E229">IFERROR(INDEX('iCoA Register'!$B:$B,MATCH("P050252|I",'iCoA Register'!$P:$P,0)),"iCoA — at issue")&amp;", (27.11.2025) [PP]"</f>
        <v>iCoA-PP_26-029, (27.11.2025) [PP]</v>
      </c>
      <c r="F229" s="84" t="s">
        <v>79</v>
      </c>
      <c r="G229" s="93" t="s">
        <v>428</v>
      </c>
      <c r="H229" s="92" t="str">
        <f t="array" ref="H229">IFERROR(INDEX('iCoA Register'!$B:$B,MATCH("P050252|I",'iCoA Register'!$P:$P,0)),"iCoA — at issue")&amp;", (27.11.2025) [PP]"</f>
        <v>iCoA-PP_26-029, (27.11.2025) [PP]</v>
      </c>
      <c r="I229" s="84" t="s">
        <v>79</v>
      </c>
      <c r="J229" s="93" t="s">
        <v>95</v>
      </c>
      <c r="K229" s="92" t="s">
        <v>1178</v>
      </c>
      <c r="L229" s="84" t="s">
        <v>79</v>
      </c>
      <c r="M229" s="101" t="s">
        <v>1865</v>
      </c>
      <c r="N229" s="92" t="s">
        <v>1178</v>
      </c>
      <c r="O229" s="84" t="s">
        <v>79</v>
      </c>
      <c r="P229" s="100" t="s">
        <v>1785</v>
      </c>
      <c r="Q229" s="92" t="s">
        <v>1178</v>
      </c>
      <c r="R229" s="84" t="s">
        <v>79</v>
      </c>
      <c r="S229" s="100" t="s">
        <v>530</v>
      </c>
      <c r="T229" s="92" t="s">
        <v>1178</v>
      </c>
      <c r="U229" s="84" t="s">
        <v>79</v>
      </c>
      <c r="V229" s="93" t="s">
        <v>428</v>
      </c>
      <c r="W229" s="92" t="str">
        <f t="array" ref="W229">IFERROR(INDEX('iCoA Register'!$B:$B,MATCH("P050252|I",'iCoA Register'!$P:$P,0)),"iCoA — at issue")&amp;", (27.11.2025) [PP]"</f>
        <v>iCoA-PP_26-029, (27.11.2025) [PP]</v>
      </c>
      <c r="X229" s="84" t="s">
        <v>79</v>
      </c>
      <c r="Y229" s="93" t="s">
        <v>1868</v>
      </c>
      <c r="Z229" s="92" t="s">
        <v>1178</v>
      </c>
      <c r="AA229" s="84" t="s">
        <v>79</v>
      </c>
      <c r="AB229" s="31" t="s">
        <v>790</v>
      </c>
      <c r="AC229" s="32" t="s">
        <v>1869</v>
      </c>
      <c r="AD229" s="32" t="s">
        <v>561</v>
      </c>
      <c r="AE229" s="32" t="s">
        <v>451</v>
      </c>
      <c r="AF229" s="32" t="s">
        <v>451</v>
      </c>
      <c r="AG229" s="84" t="s">
        <v>79</v>
      </c>
      <c r="AH229" s="31" t="s">
        <v>452</v>
      </c>
      <c r="AI229" s="32" t="s">
        <v>453</v>
      </c>
      <c r="AJ229" s="32" t="s">
        <v>452</v>
      </c>
      <c r="AK229" s="84" t="s">
        <v>79</v>
      </c>
      <c r="AL229" s="31" t="s">
        <v>574</v>
      </c>
      <c r="AM229" s="32" t="s">
        <v>1104</v>
      </c>
      <c r="AN229" s="32" t="s">
        <v>1172</v>
      </c>
      <c r="AO229" s="32" t="s">
        <v>1840</v>
      </c>
      <c r="AP229" s="84" t="s">
        <v>79</v>
      </c>
      <c r="AQ229" s="93" t="s">
        <v>1315</v>
      </c>
      <c r="AR229" s="92" t="s">
        <v>1870</v>
      </c>
      <c r="AS229" s="98" t="s">
        <v>79</v>
      </c>
    </row>
    <row r="230" spans="1:45" ht="12.75" customHeight="1">
      <c r="A230" s="105"/>
      <c r="B230" s="80"/>
      <c r="C230" s="80"/>
      <c r="D230" s="94"/>
      <c r="E230" s="81"/>
      <c r="F230" s="85"/>
      <c r="G230" s="94"/>
      <c r="H230" s="81"/>
      <c r="I230" s="85"/>
      <c r="J230" s="94"/>
      <c r="K230" s="81"/>
      <c r="L230" s="85"/>
      <c r="M230" s="94"/>
      <c r="N230" s="81"/>
      <c r="O230" s="85"/>
      <c r="P230" s="94"/>
      <c r="Q230" s="81"/>
      <c r="R230" s="85"/>
      <c r="S230" s="94"/>
      <c r="T230" s="81"/>
      <c r="U230" s="85"/>
      <c r="V230" s="94"/>
      <c r="W230" s="81"/>
      <c r="X230" s="85"/>
      <c r="Y230" s="94"/>
      <c r="Z230" s="81"/>
      <c r="AA230" s="85"/>
      <c r="AB230" s="86" t="s">
        <v>1871</v>
      </c>
      <c r="AC230" s="77"/>
      <c r="AD230" s="77"/>
      <c r="AE230" s="77"/>
      <c r="AF230" s="78"/>
      <c r="AG230" s="85"/>
      <c r="AH230" s="86" t="s">
        <v>1870</v>
      </c>
      <c r="AI230" s="77"/>
      <c r="AJ230" s="78"/>
      <c r="AK230" s="85"/>
      <c r="AL230" s="86" t="s">
        <v>1870</v>
      </c>
      <c r="AM230" s="77"/>
      <c r="AN230" s="77"/>
      <c r="AO230" s="78"/>
      <c r="AP230" s="85"/>
      <c r="AQ230" s="94"/>
      <c r="AR230" s="81"/>
      <c r="AS230" s="99"/>
    </row>
    <row r="231" spans="1:45" ht="13.5" customHeight="1">
      <c r="A231" s="105"/>
      <c r="B231" s="80"/>
      <c r="C231" s="80"/>
      <c r="D231" s="33"/>
      <c r="E231" s="34"/>
      <c r="F231" s="35"/>
      <c r="G231" s="121" t="s">
        <v>434</v>
      </c>
      <c r="H231" s="122" t="s">
        <v>1873</v>
      </c>
      <c r="I231" s="123" t="s">
        <v>93</v>
      </c>
      <c r="J231" s="33"/>
      <c r="K231" s="34"/>
      <c r="L231" s="35"/>
      <c r="M231" s="33"/>
      <c r="N231" s="34"/>
      <c r="O231" s="35"/>
      <c r="P231" s="33"/>
      <c r="Q231" s="34"/>
      <c r="R231" s="35"/>
      <c r="S231" s="33"/>
      <c r="T231" s="34"/>
      <c r="U231" s="35"/>
      <c r="V231" s="33"/>
      <c r="W231" s="34"/>
      <c r="X231" s="35"/>
      <c r="Y231" s="33"/>
      <c r="Z231" s="34"/>
      <c r="AA231" s="35"/>
      <c r="AB231" s="36" t="s">
        <v>561</v>
      </c>
      <c r="AC231" s="37" t="s">
        <v>561</v>
      </c>
      <c r="AD231" s="37" t="s">
        <v>561</v>
      </c>
      <c r="AE231" s="37" t="s">
        <v>528</v>
      </c>
      <c r="AF231" s="37" t="s">
        <v>528</v>
      </c>
      <c r="AG231" s="87" t="s">
        <v>79</v>
      </c>
      <c r="AH231" s="33"/>
      <c r="AI231" s="34"/>
      <c r="AJ231" s="34"/>
      <c r="AK231" s="35"/>
      <c r="AL231" s="33"/>
      <c r="AM231" s="34"/>
      <c r="AN231" s="34"/>
      <c r="AO231" s="34"/>
      <c r="AP231" s="35"/>
      <c r="AQ231" s="33"/>
      <c r="AR231" s="34"/>
      <c r="AS231" s="38"/>
    </row>
    <row r="232" spans="1:45" ht="12.75" customHeight="1">
      <c r="A232" s="106"/>
      <c r="B232" s="108"/>
      <c r="C232" s="108"/>
      <c r="D232" s="39"/>
      <c r="E232" s="40"/>
      <c r="F232" s="41"/>
      <c r="G232" s="103"/>
      <c r="H232" s="108"/>
      <c r="I232" s="88"/>
      <c r="J232" s="39"/>
      <c r="K232" s="40"/>
      <c r="L232" s="41"/>
      <c r="M232" s="39"/>
      <c r="N232" s="40"/>
      <c r="O232" s="41"/>
      <c r="P232" s="39"/>
      <c r="Q232" s="40"/>
      <c r="R232" s="41"/>
      <c r="S232" s="39"/>
      <c r="T232" s="40"/>
      <c r="U232" s="41"/>
      <c r="V232" s="39"/>
      <c r="W232" s="40"/>
      <c r="X232" s="41"/>
      <c r="Y232" s="39"/>
      <c r="Z232" s="40"/>
      <c r="AA232" s="41"/>
      <c r="AB232" s="89" t="s">
        <v>1876</v>
      </c>
      <c r="AC232" s="90"/>
      <c r="AD232" s="90"/>
      <c r="AE232" s="90"/>
      <c r="AF232" s="91"/>
      <c r="AG232" s="88"/>
      <c r="AH232" s="39"/>
      <c r="AI232" s="40"/>
      <c r="AJ232" s="40"/>
      <c r="AK232" s="41"/>
      <c r="AL232" s="39"/>
      <c r="AM232" s="40"/>
      <c r="AN232" s="40"/>
      <c r="AO232" s="40"/>
      <c r="AP232" s="41"/>
      <c r="AQ232" s="39"/>
      <c r="AR232" s="40"/>
      <c r="AS232" s="42"/>
    </row>
    <row r="233" spans="1:45" ht="17.25" customHeight="1">
      <c r="A233" s="104" t="s">
        <v>197</v>
      </c>
      <c r="B233" s="107" t="s">
        <v>196</v>
      </c>
      <c r="C233" s="109" t="s">
        <v>512</v>
      </c>
      <c r="D233" s="93" t="s">
        <v>428</v>
      </c>
      <c r="E233" s="92" t="str">
        <f t="array" ref="E233">IFERROR(INDEX('iCoA Register'!$B:$B,MATCH("P050262|I",'iCoA Register'!$P:$P,0)),"iCoA — at issue")&amp;", (01.12.2025) [PP]"</f>
        <v>iCoA-PP_26-030, (01.12.2025) [PP]</v>
      </c>
      <c r="F233" s="84" t="s">
        <v>79</v>
      </c>
      <c r="G233" s="95" t="s">
        <v>434</v>
      </c>
      <c r="H233" s="96" t="s">
        <v>1880</v>
      </c>
      <c r="I233" s="97" t="s">
        <v>93</v>
      </c>
      <c r="J233" s="93" t="s">
        <v>95</v>
      </c>
      <c r="K233" s="92" t="s">
        <v>1192</v>
      </c>
      <c r="L233" s="84" t="s">
        <v>79</v>
      </c>
      <c r="M233" s="101" t="s">
        <v>1881</v>
      </c>
      <c r="N233" s="92" t="s">
        <v>1192</v>
      </c>
      <c r="O233" s="84" t="s">
        <v>79</v>
      </c>
      <c r="P233" s="100" t="s">
        <v>630</v>
      </c>
      <c r="Q233" s="92" t="s">
        <v>1192</v>
      </c>
      <c r="R233" s="84" t="s">
        <v>79</v>
      </c>
      <c r="S233" s="100" t="s">
        <v>1308</v>
      </c>
      <c r="T233" s="92" t="s">
        <v>1192</v>
      </c>
      <c r="U233" s="84" t="s">
        <v>79</v>
      </c>
      <c r="V233" s="93" t="s">
        <v>428</v>
      </c>
      <c r="W233" s="92" t="str">
        <f t="array" ref="W233">IFERROR(INDEX('iCoA Register'!$B:$B,MATCH("P050262|I",'iCoA Register'!$P:$P,0)),"iCoA — at issue")&amp;", (01.12.2025) [PP]"</f>
        <v>iCoA-PP_26-030, (01.12.2025) [PP]</v>
      </c>
      <c r="X233" s="84" t="s">
        <v>79</v>
      </c>
      <c r="Y233" s="93" t="s">
        <v>1882</v>
      </c>
      <c r="Z233" s="92" t="s">
        <v>1192</v>
      </c>
      <c r="AA233" s="84" t="s">
        <v>79</v>
      </c>
      <c r="AB233" s="31" t="s">
        <v>1271</v>
      </c>
      <c r="AC233" s="32" t="s">
        <v>1890</v>
      </c>
      <c r="AD233" s="32" t="s">
        <v>561</v>
      </c>
      <c r="AE233" s="32" t="s">
        <v>451</v>
      </c>
      <c r="AF233" s="32" t="s">
        <v>451</v>
      </c>
      <c r="AG233" s="84" t="s">
        <v>79</v>
      </c>
      <c r="AH233" s="31" t="s">
        <v>452</v>
      </c>
      <c r="AI233" s="32" t="s">
        <v>453</v>
      </c>
      <c r="AJ233" s="32" t="s">
        <v>452</v>
      </c>
      <c r="AK233" s="84" t="s">
        <v>79</v>
      </c>
      <c r="AL233" s="31" t="s">
        <v>1892</v>
      </c>
      <c r="AM233" s="32" t="s">
        <v>458</v>
      </c>
      <c r="AN233" s="32" t="s">
        <v>576</v>
      </c>
      <c r="AO233" s="32" t="s">
        <v>454</v>
      </c>
      <c r="AP233" s="84" t="s">
        <v>79</v>
      </c>
      <c r="AQ233" s="93" t="s">
        <v>459</v>
      </c>
      <c r="AR233" s="92" t="s">
        <v>1893</v>
      </c>
      <c r="AS233" s="98" t="s">
        <v>79</v>
      </c>
    </row>
    <row r="234" spans="1:45" ht="12.75" customHeight="1">
      <c r="A234" s="105"/>
      <c r="B234" s="80"/>
      <c r="C234" s="80"/>
      <c r="D234" s="94"/>
      <c r="E234" s="81"/>
      <c r="F234" s="85"/>
      <c r="G234" s="94"/>
      <c r="H234" s="81"/>
      <c r="I234" s="85"/>
      <c r="J234" s="94"/>
      <c r="K234" s="81"/>
      <c r="L234" s="85"/>
      <c r="M234" s="94"/>
      <c r="N234" s="81"/>
      <c r="O234" s="85"/>
      <c r="P234" s="94"/>
      <c r="Q234" s="81"/>
      <c r="R234" s="85"/>
      <c r="S234" s="94"/>
      <c r="T234" s="81"/>
      <c r="U234" s="85"/>
      <c r="V234" s="94"/>
      <c r="W234" s="81"/>
      <c r="X234" s="85"/>
      <c r="Y234" s="94"/>
      <c r="Z234" s="81"/>
      <c r="AA234" s="85"/>
      <c r="AB234" s="86" t="s">
        <v>1895</v>
      </c>
      <c r="AC234" s="77"/>
      <c r="AD234" s="77"/>
      <c r="AE234" s="77"/>
      <c r="AF234" s="78"/>
      <c r="AG234" s="85"/>
      <c r="AH234" s="86" t="s">
        <v>1893</v>
      </c>
      <c r="AI234" s="77"/>
      <c r="AJ234" s="78"/>
      <c r="AK234" s="85"/>
      <c r="AL234" s="86" t="s">
        <v>1893</v>
      </c>
      <c r="AM234" s="77"/>
      <c r="AN234" s="77"/>
      <c r="AO234" s="78"/>
      <c r="AP234" s="85"/>
      <c r="AQ234" s="94"/>
      <c r="AR234" s="81"/>
      <c r="AS234" s="99"/>
    </row>
    <row r="235" spans="1:45" ht="13.5" customHeight="1">
      <c r="A235" s="105"/>
      <c r="B235" s="80"/>
      <c r="C235" s="80"/>
      <c r="D235" s="33"/>
      <c r="E235" s="34"/>
      <c r="F235" s="35"/>
      <c r="G235" s="102" t="s">
        <v>428</v>
      </c>
      <c r="H235" s="110" t="str">
        <f t="array" ref="H235">IFERROR(INDEX('iCoA Register'!$B:$B,MATCH("P050262|I",'iCoA Register'!$P:$P,0)),"iCoA — at issue")&amp;", (01.12.2025) [PP]"</f>
        <v>iCoA-PP_26-030, (01.12.2025) [PP]</v>
      </c>
      <c r="I235" s="87" t="s">
        <v>79</v>
      </c>
      <c r="J235" s="33"/>
      <c r="K235" s="34"/>
      <c r="L235" s="35"/>
      <c r="M235" s="33"/>
      <c r="N235" s="34"/>
      <c r="O235" s="35"/>
      <c r="P235" s="33"/>
      <c r="Q235" s="34"/>
      <c r="R235" s="35"/>
      <c r="S235" s="33"/>
      <c r="T235" s="34"/>
      <c r="U235" s="35"/>
      <c r="V235" s="33"/>
      <c r="W235" s="34"/>
      <c r="X235" s="35"/>
      <c r="Y235" s="33"/>
      <c r="Z235" s="34"/>
      <c r="AA235" s="35"/>
      <c r="AB235" s="36" t="s">
        <v>561</v>
      </c>
      <c r="AC235" s="37" t="s">
        <v>561</v>
      </c>
      <c r="AD235" s="37" t="s">
        <v>561</v>
      </c>
      <c r="AE235" s="37" t="s">
        <v>528</v>
      </c>
      <c r="AF235" s="37" t="s">
        <v>528</v>
      </c>
      <c r="AG235" s="87" t="s">
        <v>79</v>
      </c>
      <c r="AH235" s="33"/>
      <c r="AI235" s="34"/>
      <c r="AJ235" s="34"/>
      <c r="AK235" s="35"/>
      <c r="AL235" s="33"/>
      <c r="AM235" s="34"/>
      <c r="AN235" s="34"/>
      <c r="AO235" s="34"/>
      <c r="AP235" s="35"/>
      <c r="AQ235" s="33"/>
      <c r="AR235" s="34"/>
      <c r="AS235" s="38"/>
    </row>
    <row r="236" spans="1:45" ht="12.75" customHeight="1">
      <c r="A236" s="106"/>
      <c r="B236" s="108"/>
      <c r="C236" s="108"/>
      <c r="D236" s="39"/>
      <c r="E236" s="40"/>
      <c r="F236" s="41"/>
      <c r="G236" s="103"/>
      <c r="H236" s="108"/>
      <c r="I236" s="88"/>
      <c r="J236" s="39"/>
      <c r="K236" s="40"/>
      <c r="L236" s="41"/>
      <c r="M236" s="39"/>
      <c r="N236" s="40"/>
      <c r="O236" s="41"/>
      <c r="P236" s="39"/>
      <c r="Q236" s="40"/>
      <c r="R236" s="41"/>
      <c r="S236" s="39"/>
      <c r="T236" s="40"/>
      <c r="U236" s="41"/>
      <c r="V236" s="39"/>
      <c r="W236" s="40"/>
      <c r="X236" s="41"/>
      <c r="Y236" s="39"/>
      <c r="Z236" s="40"/>
      <c r="AA236" s="41"/>
      <c r="AB236" s="89" t="s">
        <v>1899</v>
      </c>
      <c r="AC236" s="90"/>
      <c r="AD236" s="90"/>
      <c r="AE236" s="90"/>
      <c r="AF236" s="91"/>
      <c r="AG236" s="88"/>
      <c r="AH236" s="39"/>
      <c r="AI236" s="40"/>
      <c r="AJ236" s="40"/>
      <c r="AK236" s="41"/>
      <c r="AL236" s="39"/>
      <c r="AM236" s="40"/>
      <c r="AN236" s="40"/>
      <c r="AO236" s="40"/>
      <c r="AP236" s="41"/>
      <c r="AQ236" s="39"/>
      <c r="AR236" s="40"/>
      <c r="AS236" s="42"/>
    </row>
    <row r="237" spans="1:45" ht="17.25" customHeight="1">
      <c r="A237" s="104" t="s">
        <v>219</v>
      </c>
      <c r="B237" s="107" t="s">
        <v>217</v>
      </c>
      <c r="C237" s="111" t="s">
        <v>1405</v>
      </c>
      <c r="D237" s="93" t="s">
        <v>428</v>
      </c>
      <c r="E237" s="92" t="str">
        <f t="array" ref="E237">IFERROR(INDEX('iCoA Register'!$B:$B,MATCH("P050272|I",'iCoA Register'!$P:$P,0)),"iCoA — at issue")&amp;", (02.12.2025) [PP]"</f>
        <v>iCoA-PP_26-031, (02.12.2025) [PP]</v>
      </c>
      <c r="F237" s="84" t="s">
        <v>79</v>
      </c>
      <c r="G237" s="95" t="s">
        <v>703</v>
      </c>
      <c r="H237" s="96" t="s">
        <v>1900</v>
      </c>
      <c r="I237" s="97" t="s">
        <v>93</v>
      </c>
      <c r="J237" s="93" t="s">
        <v>463</v>
      </c>
      <c r="K237" s="92" t="s">
        <v>1199</v>
      </c>
      <c r="L237" s="84" t="s">
        <v>79</v>
      </c>
      <c r="M237" s="101" t="s">
        <v>1901</v>
      </c>
      <c r="N237" s="92" t="s">
        <v>1199</v>
      </c>
      <c r="O237" s="84" t="s">
        <v>79</v>
      </c>
      <c r="P237" s="100" t="s">
        <v>1705</v>
      </c>
      <c r="Q237" s="92" t="s">
        <v>1199</v>
      </c>
      <c r="R237" s="84" t="s">
        <v>79</v>
      </c>
      <c r="S237" s="127" t="s">
        <v>703</v>
      </c>
      <c r="T237" s="128" t="s">
        <v>1199</v>
      </c>
      <c r="U237" s="129" t="s">
        <v>198</v>
      </c>
      <c r="V237" s="93" t="s">
        <v>428</v>
      </c>
      <c r="W237" s="92" t="str">
        <f t="array" ref="W237">IFERROR(INDEX('iCoA Register'!$B:$B,MATCH("P050272|I",'iCoA Register'!$P:$P,0)),"iCoA — at issue")&amp;", (02.12.2025) [PP]"</f>
        <v>iCoA-PP_26-031, (02.12.2025) [PP]</v>
      </c>
      <c r="X237" s="84" t="s">
        <v>79</v>
      </c>
      <c r="Y237" s="93" t="s">
        <v>1905</v>
      </c>
      <c r="Z237" s="92" t="s">
        <v>1199</v>
      </c>
      <c r="AA237" s="84" t="s">
        <v>79</v>
      </c>
      <c r="AB237" s="31" t="s">
        <v>1906</v>
      </c>
      <c r="AC237" s="32" t="s">
        <v>1907</v>
      </c>
      <c r="AD237" s="32" t="s">
        <v>1414</v>
      </c>
      <c r="AE237" s="32" t="s">
        <v>870</v>
      </c>
      <c r="AF237" s="32" t="s">
        <v>870</v>
      </c>
      <c r="AG237" s="84" t="s">
        <v>79</v>
      </c>
      <c r="AH237" s="31" t="s">
        <v>452</v>
      </c>
      <c r="AI237" s="32" t="s">
        <v>1415</v>
      </c>
      <c r="AJ237" s="32" t="s">
        <v>452</v>
      </c>
      <c r="AK237" s="84" t="s">
        <v>79</v>
      </c>
      <c r="AL237" s="31" t="s">
        <v>1908</v>
      </c>
      <c r="AM237" s="32" t="s">
        <v>1909</v>
      </c>
      <c r="AN237" s="32" t="s">
        <v>1910</v>
      </c>
      <c r="AO237" s="32" t="s">
        <v>1911</v>
      </c>
      <c r="AP237" s="84" t="s">
        <v>79</v>
      </c>
      <c r="AQ237" s="93" t="s">
        <v>877</v>
      </c>
      <c r="AR237" s="92" t="s">
        <v>1912</v>
      </c>
      <c r="AS237" s="98" t="s">
        <v>79</v>
      </c>
    </row>
    <row r="238" spans="1:45" ht="12.75" customHeight="1">
      <c r="A238" s="105"/>
      <c r="B238" s="80"/>
      <c r="C238" s="80"/>
      <c r="D238" s="94"/>
      <c r="E238" s="81"/>
      <c r="F238" s="85"/>
      <c r="G238" s="94"/>
      <c r="H238" s="81"/>
      <c r="I238" s="85"/>
      <c r="J238" s="94"/>
      <c r="K238" s="81"/>
      <c r="L238" s="85"/>
      <c r="M238" s="94"/>
      <c r="N238" s="81"/>
      <c r="O238" s="85"/>
      <c r="P238" s="94"/>
      <c r="Q238" s="81"/>
      <c r="R238" s="85"/>
      <c r="S238" s="94"/>
      <c r="T238" s="81"/>
      <c r="U238" s="85"/>
      <c r="V238" s="94"/>
      <c r="W238" s="81"/>
      <c r="X238" s="85"/>
      <c r="Y238" s="94"/>
      <c r="Z238" s="81"/>
      <c r="AA238" s="85"/>
      <c r="AB238" s="86" t="s">
        <v>1915</v>
      </c>
      <c r="AC238" s="77"/>
      <c r="AD238" s="77"/>
      <c r="AE238" s="77"/>
      <c r="AF238" s="78"/>
      <c r="AG238" s="85"/>
      <c r="AH238" s="86" t="s">
        <v>1912</v>
      </c>
      <c r="AI238" s="77"/>
      <c r="AJ238" s="78"/>
      <c r="AK238" s="85"/>
      <c r="AL238" s="86" t="s">
        <v>1912</v>
      </c>
      <c r="AM238" s="77"/>
      <c r="AN238" s="77"/>
      <c r="AO238" s="78"/>
      <c r="AP238" s="85"/>
      <c r="AQ238" s="94"/>
      <c r="AR238" s="81"/>
      <c r="AS238" s="99"/>
    </row>
    <row r="239" spans="1:45" ht="13.5" customHeight="1">
      <c r="A239" s="105"/>
      <c r="B239" s="80"/>
      <c r="C239" s="80"/>
      <c r="D239" s="33"/>
      <c r="E239" s="34"/>
      <c r="F239" s="35"/>
      <c r="G239" s="102" t="s">
        <v>428</v>
      </c>
      <c r="H239" s="110" t="str">
        <f t="array" ref="H239">IFERROR(INDEX('iCoA Register'!$B:$B,MATCH("P050272|I",'iCoA Register'!$P:$P,0)),"iCoA — at issue")&amp;", (02.12.2025) [PP]"</f>
        <v>iCoA-PP_26-031, (02.12.2025) [PP]</v>
      </c>
      <c r="I239" s="87" t="s">
        <v>79</v>
      </c>
      <c r="J239" s="33"/>
      <c r="K239" s="34"/>
      <c r="L239" s="35"/>
      <c r="M239" s="33"/>
      <c r="N239" s="34"/>
      <c r="O239" s="35"/>
      <c r="P239" s="33"/>
      <c r="Q239" s="34"/>
      <c r="R239" s="35"/>
      <c r="S239" s="33"/>
      <c r="T239" s="34"/>
      <c r="U239" s="35"/>
      <c r="V239" s="33"/>
      <c r="W239" s="34"/>
      <c r="X239" s="35"/>
      <c r="Y239" s="33"/>
      <c r="Z239" s="34"/>
      <c r="AA239" s="35"/>
      <c r="AB239" s="36" t="s">
        <v>561</v>
      </c>
      <c r="AC239" s="37" t="s">
        <v>561</v>
      </c>
      <c r="AD239" s="37" t="s">
        <v>561</v>
      </c>
      <c r="AE239" s="37" t="s">
        <v>528</v>
      </c>
      <c r="AF239" s="37" t="s">
        <v>528</v>
      </c>
      <c r="AG239" s="87" t="s">
        <v>79</v>
      </c>
      <c r="AH239" s="33"/>
      <c r="AI239" s="34"/>
      <c r="AJ239" s="34"/>
      <c r="AK239" s="35"/>
      <c r="AL239" s="33"/>
      <c r="AM239" s="34"/>
      <c r="AN239" s="34"/>
      <c r="AO239" s="34"/>
      <c r="AP239" s="35"/>
      <c r="AQ239" s="33"/>
      <c r="AR239" s="34"/>
      <c r="AS239" s="38"/>
    </row>
    <row r="240" spans="1:45" ht="12.75" customHeight="1">
      <c r="A240" s="106"/>
      <c r="B240" s="108"/>
      <c r="C240" s="108"/>
      <c r="D240" s="39"/>
      <c r="E240" s="40"/>
      <c r="F240" s="41"/>
      <c r="G240" s="103"/>
      <c r="H240" s="108"/>
      <c r="I240" s="88"/>
      <c r="J240" s="39"/>
      <c r="K240" s="40"/>
      <c r="L240" s="41"/>
      <c r="M240" s="39"/>
      <c r="N240" s="40"/>
      <c r="O240" s="41"/>
      <c r="P240" s="39"/>
      <c r="Q240" s="40"/>
      <c r="R240" s="41"/>
      <c r="S240" s="39"/>
      <c r="T240" s="40"/>
      <c r="U240" s="41"/>
      <c r="V240" s="39"/>
      <c r="W240" s="40"/>
      <c r="X240" s="41"/>
      <c r="Y240" s="39"/>
      <c r="Z240" s="40"/>
      <c r="AA240" s="41"/>
      <c r="AB240" s="89" t="s">
        <v>1919</v>
      </c>
      <c r="AC240" s="90"/>
      <c r="AD240" s="90"/>
      <c r="AE240" s="90"/>
      <c r="AF240" s="91"/>
      <c r="AG240" s="88"/>
      <c r="AH240" s="39"/>
      <c r="AI240" s="40"/>
      <c r="AJ240" s="40"/>
      <c r="AK240" s="41"/>
      <c r="AL240" s="39"/>
      <c r="AM240" s="40"/>
      <c r="AN240" s="40"/>
      <c r="AO240" s="40"/>
      <c r="AP240" s="41"/>
      <c r="AQ240" s="39"/>
      <c r="AR240" s="40"/>
      <c r="AS240" s="42"/>
    </row>
    <row r="241" spans="1:45" ht="17.25" customHeight="1">
      <c r="A241" s="104" t="s">
        <v>212</v>
      </c>
      <c r="B241" s="107" t="s">
        <v>211</v>
      </c>
      <c r="C241" s="109" t="s">
        <v>512</v>
      </c>
      <c r="D241" s="93" t="s">
        <v>428</v>
      </c>
      <c r="E241" s="92" t="str">
        <f t="array" ref="E241">IFERROR(INDEX('iCoA Register'!$B:$B,MATCH("P050282|I",'iCoA Register'!$P:$P,0)),"iCoA — at issue")&amp;", (03.12.2025) [PP]"</f>
        <v>iCoA-PP_26-032, (03.12.2025) [PP]</v>
      </c>
      <c r="F241" s="84" t="s">
        <v>79</v>
      </c>
      <c r="G241" s="95" t="s">
        <v>434</v>
      </c>
      <c r="H241" s="96" t="s">
        <v>1923</v>
      </c>
      <c r="I241" s="97" t="s">
        <v>93</v>
      </c>
      <c r="J241" s="93" t="s">
        <v>95</v>
      </c>
      <c r="K241" s="92" t="s">
        <v>1209</v>
      </c>
      <c r="L241" s="84" t="s">
        <v>79</v>
      </c>
      <c r="M241" s="101" t="s">
        <v>1924</v>
      </c>
      <c r="N241" s="92" t="s">
        <v>1209</v>
      </c>
      <c r="O241" s="84" t="s">
        <v>79</v>
      </c>
      <c r="P241" s="100" t="s">
        <v>442</v>
      </c>
      <c r="Q241" s="92" t="s">
        <v>1209</v>
      </c>
      <c r="R241" s="84" t="s">
        <v>79</v>
      </c>
      <c r="S241" s="100" t="s">
        <v>530</v>
      </c>
      <c r="T241" s="92" t="s">
        <v>1209</v>
      </c>
      <c r="U241" s="84" t="s">
        <v>79</v>
      </c>
      <c r="V241" s="93" t="s">
        <v>428</v>
      </c>
      <c r="W241" s="92" t="str">
        <f t="array" ref="W241">IFERROR(INDEX('iCoA Register'!$B:$B,MATCH("P050282|I",'iCoA Register'!$P:$P,0)),"iCoA — at issue")&amp;", (03.12.2025) [PP]"</f>
        <v>iCoA-PP_26-032, (03.12.2025) [PP]</v>
      </c>
      <c r="X241" s="84" t="s">
        <v>79</v>
      </c>
      <c r="Y241" s="93" t="s">
        <v>1925</v>
      </c>
      <c r="Z241" s="92" t="s">
        <v>1209</v>
      </c>
      <c r="AA241" s="84" t="s">
        <v>79</v>
      </c>
      <c r="AB241" s="31" t="s">
        <v>561</v>
      </c>
      <c r="AC241" s="32" t="s">
        <v>561</v>
      </c>
      <c r="AD241" s="32" t="s">
        <v>561</v>
      </c>
      <c r="AE241" s="32" t="s">
        <v>451</v>
      </c>
      <c r="AF241" s="32" t="s">
        <v>451</v>
      </c>
      <c r="AG241" s="84" t="s">
        <v>79</v>
      </c>
      <c r="AH241" s="31" t="s">
        <v>452</v>
      </c>
      <c r="AI241" s="32" t="s">
        <v>1272</v>
      </c>
      <c r="AJ241" s="32" t="s">
        <v>452</v>
      </c>
      <c r="AK241" s="84" t="s">
        <v>79</v>
      </c>
      <c r="AL241" s="31" t="s">
        <v>1926</v>
      </c>
      <c r="AM241" s="32" t="s">
        <v>1840</v>
      </c>
      <c r="AN241" s="32" t="s">
        <v>574</v>
      </c>
      <c r="AO241" s="32" t="s">
        <v>1927</v>
      </c>
      <c r="AP241" s="84" t="s">
        <v>79</v>
      </c>
      <c r="AQ241" s="93" t="s">
        <v>994</v>
      </c>
      <c r="AR241" s="92" t="s">
        <v>1928</v>
      </c>
      <c r="AS241" s="98" t="s">
        <v>79</v>
      </c>
    </row>
    <row r="242" spans="1:45" ht="12.75" customHeight="1">
      <c r="A242" s="105"/>
      <c r="B242" s="80"/>
      <c r="C242" s="80"/>
      <c r="D242" s="94"/>
      <c r="E242" s="81"/>
      <c r="F242" s="85"/>
      <c r="G242" s="94"/>
      <c r="H242" s="81"/>
      <c r="I242" s="85"/>
      <c r="J242" s="94"/>
      <c r="K242" s="81"/>
      <c r="L242" s="85"/>
      <c r="M242" s="94"/>
      <c r="N242" s="81"/>
      <c r="O242" s="85"/>
      <c r="P242" s="94"/>
      <c r="Q242" s="81"/>
      <c r="R242" s="85"/>
      <c r="S242" s="94"/>
      <c r="T242" s="81"/>
      <c r="U242" s="85"/>
      <c r="V242" s="94"/>
      <c r="W242" s="81"/>
      <c r="X242" s="85"/>
      <c r="Y242" s="94"/>
      <c r="Z242" s="81"/>
      <c r="AA242" s="85"/>
      <c r="AB242" s="86" t="s">
        <v>1931</v>
      </c>
      <c r="AC242" s="77"/>
      <c r="AD242" s="77"/>
      <c r="AE242" s="77"/>
      <c r="AF242" s="78"/>
      <c r="AG242" s="85"/>
      <c r="AH242" s="86" t="s">
        <v>1928</v>
      </c>
      <c r="AI242" s="77"/>
      <c r="AJ242" s="78"/>
      <c r="AK242" s="85"/>
      <c r="AL242" s="86" t="s">
        <v>1928</v>
      </c>
      <c r="AM242" s="77"/>
      <c r="AN242" s="77"/>
      <c r="AO242" s="78"/>
      <c r="AP242" s="85"/>
      <c r="AQ242" s="94"/>
      <c r="AR242" s="81"/>
      <c r="AS242" s="99"/>
    </row>
    <row r="243" spans="1:45" ht="13.5" customHeight="1">
      <c r="A243" s="105"/>
      <c r="B243" s="80"/>
      <c r="C243" s="80"/>
      <c r="D243" s="33"/>
      <c r="E243" s="34"/>
      <c r="F243" s="35"/>
      <c r="G243" s="102" t="s">
        <v>428</v>
      </c>
      <c r="H243" s="110" t="str">
        <f t="array" ref="H243">IFERROR(INDEX('iCoA Register'!$B:$B,MATCH("P050282|I",'iCoA Register'!$P:$P,0)),"iCoA — at issue")&amp;", (03.12.2025) [PP]"</f>
        <v>iCoA-PP_26-032, (03.12.2025) [PP]</v>
      </c>
      <c r="I243" s="87" t="s">
        <v>79</v>
      </c>
      <c r="J243" s="33"/>
      <c r="K243" s="34"/>
      <c r="L243" s="35"/>
      <c r="M243" s="33"/>
      <c r="N243" s="34"/>
      <c r="O243" s="35"/>
      <c r="P243" s="33"/>
      <c r="Q243" s="34"/>
      <c r="R243" s="35"/>
      <c r="S243" s="33"/>
      <c r="T243" s="34"/>
      <c r="U243" s="35"/>
      <c r="V243" s="33"/>
      <c r="W243" s="34"/>
      <c r="X243" s="35"/>
      <c r="Y243" s="33"/>
      <c r="Z243" s="34"/>
      <c r="AA243" s="35"/>
      <c r="AB243" s="33"/>
      <c r="AC243" s="34"/>
      <c r="AD243" s="34"/>
      <c r="AE243" s="34"/>
      <c r="AF243" s="34"/>
      <c r="AG243" s="35"/>
      <c r="AH243" s="33"/>
      <c r="AI243" s="34"/>
      <c r="AJ243" s="34"/>
      <c r="AK243" s="35"/>
      <c r="AL243" s="33"/>
      <c r="AM243" s="34"/>
      <c r="AN243" s="34"/>
      <c r="AO243" s="34"/>
      <c r="AP243" s="35"/>
      <c r="AQ243" s="33"/>
      <c r="AR243" s="34"/>
      <c r="AS243" s="38"/>
    </row>
    <row r="244" spans="1:45" ht="12.75" customHeight="1">
      <c r="A244" s="106"/>
      <c r="B244" s="108"/>
      <c r="C244" s="108"/>
      <c r="D244" s="39"/>
      <c r="E244" s="40"/>
      <c r="F244" s="41"/>
      <c r="G244" s="103"/>
      <c r="H244" s="108"/>
      <c r="I244" s="88"/>
      <c r="J244" s="39"/>
      <c r="K244" s="40"/>
      <c r="L244" s="41"/>
      <c r="M244" s="39"/>
      <c r="N244" s="40"/>
      <c r="O244" s="41"/>
      <c r="P244" s="39"/>
      <c r="Q244" s="40"/>
      <c r="R244" s="41"/>
      <c r="S244" s="39"/>
      <c r="T244" s="40"/>
      <c r="U244" s="41"/>
      <c r="V244" s="39"/>
      <c r="W244" s="40"/>
      <c r="X244" s="41"/>
      <c r="Y244" s="39"/>
      <c r="Z244" s="40"/>
      <c r="AA244" s="41"/>
      <c r="AB244" s="39"/>
      <c r="AC244" s="40"/>
      <c r="AD244" s="40"/>
      <c r="AE244" s="40"/>
      <c r="AF244" s="40"/>
      <c r="AG244" s="41"/>
      <c r="AH244" s="39"/>
      <c r="AI244" s="40"/>
      <c r="AJ244" s="40"/>
      <c r="AK244" s="41"/>
      <c r="AL244" s="39"/>
      <c r="AM244" s="40"/>
      <c r="AN244" s="40"/>
      <c r="AO244" s="40"/>
      <c r="AP244" s="41"/>
      <c r="AQ244" s="39"/>
      <c r="AR244" s="40"/>
      <c r="AS244" s="42"/>
    </row>
    <row r="245" spans="1:45" ht="17.25" customHeight="1">
      <c r="A245" s="104" t="s">
        <v>259</v>
      </c>
      <c r="B245" s="107" t="s">
        <v>254</v>
      </c>
      <c r="C245" s="109" t="s">
        <v>512</v>
      </c>
      <c r="D245" s="93" t="s">
        <v>428</v>
      </c>
      <c r="E245" s="92" t="str">
        <f t="array" ref="E245">IFERROR(INDEX('iCoA Register'!$B:$B,MATCH("P050292|I",'iCoA Register'!$P:$P,0)),"iCoA — at issue")&amp;", (15.12.2025) [PP]"</f>
        <v>iCoA-PP_26-033, (15.12.2025) [PP]</v>
      </c>
      <c r="F245" s="84" t="s">
        <v>79</v>
      </c>
      <c r="G245" s="95" t="s">
        <v>434</v>
      </c>
      <c r="H245" s="96" t="s">
        <v>1938</v>
      </c>
      <c r="I245" s="97" t="s">
        <v>93</v>
      </c>
      <c r="J245" s="93" t="s">
        <v>95</v>
      </c>
      <c r="K245" s="92" t="s">
        <v>1218</v>
      </c>
      <c r="L245" s="84" t="s">
        <v>79</v>
      </c>
      <c r="M245" s="101" t="s">
        <v>1939</v>
      </c>
      <c r="N245" s="92" t="s">
        <v>1218</v>
      </c>
      <c r="O245" s="84" t="s">
        <v>79</v>
      </c>
      <c r="P245" s="100" t="s">
        <v>1798</v>
      </c>
      <c r="Q245" s="92" t="s">
        <v>1218</v>
      </c>
      <c r="R245" s="84" t="s">
        <v>79</v>
      </c>
      <c r="S245" s="100" t="s">
        <v>1940</v>
      </c>
      <c r="T245" s="92" t="s">
        <v>1218</v>
      </c>
      <c r="U245" s="84" t="s">
        <v>79</v>
      </c>
      <c r="V245" s="93" t="s">
        <v>428</v>
      </c>
      <c r="W245" s="92" t="str">
        <f t="array" ref="W245">IFERROR(INDEX('iCoA Register'!$B:$B,MATCH("P050292|I",'iCoA Register'!$P:$P,0)),"iCoA — at issue")&amp;", (15.12.2025) [PP]"</f>
        <v>iCoA-PP_26-033, (15.12.2025) [PP]</v>
      </c>
      <c r="X245" s="84" t="s">
        <v>79</v>
      </c>
      <c r="Y245" s="93" t="s">
        <v>1393</v>
      </c>
      <c r="Z245" s="92" t="s">
        <v>1218</v>
      </c>
      <c r="AA245" s="84" t="s">
        <v>79</v>
      </c>
      <c r="AB245" s="31" t="s">
        <v>1625</v>
      </c>
      <c r="AC245" s="32" t="s">
        <v>1941</v>
      </c>
      <c r="AD245" s="32" t="s">
        <v>561</v>
      </c>
      <c r="AE245" s="32" t="s">
        <v>451</v>
      </c>
      <c r="AF245" s="32" t="s">
        <v>451</v>
      </c>
      <c r="AG245" s="84" t="s">
        <v>79</v>
      </c>
      <c r="AH245" s="31" t="s">
        <v>452</v>
      </c>
      <c r="AI245" s="32" t="s">
        <v>453</v>
      </c>
      <c r="AJ245" s="32" t="s">
        <v>452</v>
      </c>
      <c r="AK245" s="84" t="s">
        <v>79</v>
      </c>
      <c r="AL245" s="31" t="s">
        <v>1492</v>
      </c>
      <c r="AM245" s="32" t="s">
        <v>1943</v>
      </c>
      <c r="AN245" s="32" t="s">
        <v>1364</v>
      </c>
      <c r="AO245" s="32" t="s">
        <v>1106</v>
      </c>
      <c r="AP245" s="84" t="s">
        <v>79</v>
      </c>
      <c r="AQ245" s="93" t="s">
        <v>1063</v>
      </c>
      <c r="AR245" s="92" t="s">
        <v>1944</v>
      </c>
      <c r="AS245" s="98" t="s">
        <v>79</v>
      </c>
    </row>
    <row r="246" spans="1:45" ht="12.75" customHeight="1">
      <c r="A246" s="105"/>
      <c r="B246" s="80"/>
      <c r="C246" s="80"/>
      <c r="D246" s="94"/>
      <c r="E246" s="81"/>
      <c r="F246" s="85"/>
      <c r="G246" s="94"/>
      <c r="H246" s="81"/>
      <c r="I246" s="85"/>
      <c r="J246" s="94"/>
      <c r="K246" s="81"/>
      <c r="L246" s="85"/>
      <c r="M246" s="94"/>
      <c r="N246" s="81"/>
      <c r="O246" s="85"/>
      <c r="P246" s="94"/>
      <c r="Q246" s="81"/>
      <c r="R246" s="85"/>
      <c r="S246" s="94"/>
      <c r="T246" s="81"/>
      <c r="U246" s="85"/>
      <c r="V246" s="94"/>
      <c r="W246" s="81"/>
      <c r="X246" s="85"/>
      <c r="Y246" s="94"/>
      <c r="Z246" s="81"/>
      <c r="AA246" s="85"/>
      <c r="AB246" s="86" t="s">
        <v>1945</v>
      </c>
      <c r="AC246" s="77"/>
      <c r="AD246" s="77"/>
      <c r="AE246" s="77"/>
      <c r="AF246" s="78"/>
      <c r="AG246" s="85"/>
      <c r="AH246" s="86" t="s">
        <v>1944</v>
      </c>
      <c r="AI246" s="77"/>
      <c r="AJ246" s="78"/>
      <c r="AK246" s="85"/>
      <c r="AL246" s="86" t="s">
        <v>1944</v>
      </c>
      <c r="AM246" s="77"/>
      <c r="AN246" s="77"/>
      <c r="AO246" s="78"/>
      <c r="AP246" s="85"/>
      <c r="AQ246" s="94"/>
      <c r="AR246" s="81"/>
      <c r="AS246" s="99"/>
    </row>
    <row r="247" spans="1:45" ht="13.5" customHeight="1">
      <c r="A247" s="105"/>
      <c r="B247" s="80"/>
      <c r="C247" s="80"/>
      <c r="D247" s="33"/>
      <c r="E247" s="34"/>
      <c r="F247" s="35"/>
      <c r="G247" s="102" t="s">
        <v>428</v>
      </c>
      <c r="H247" s="110" t="str">
        <f t="array" ref="H247">IFERROR(INDEX('iCoA Register'!$B:$B,MATCH("P050292|I",'iCoA Register'!$P:$P,0)),"iCoA — at issue")&amp;", (15.12.2025) [PP]"</f>
        <v>iCoA-PP_26-033, (15.12.2025) [PP]</v>
      </c>
      <c r="I247" s="87" t="s">
        <v>79</v>
      </c>
      <c r="J247" s="33"/>
      <c r="K247" s="34"/>
      <c r="L247" s="35"/>
      <c r="M247" s="33"/>
      <c r="N247" s="34"/>
      <c r="O247" s="35"/>
      <c r="P247" s="33"/>
      <c r="Q247" s="34"/>
      <c r="R247" s="35"/>
      <c r="S247" s="33"/>
      <c r="T247" s="34"/>
      <c r="U247" s="35"/>
      <c r="V247" s="33"/>
      <c r="W247" s="34"/>
      <c r="X247" s="35"/>
      <c r="Y247" s="33"/>
      <c r="Z247" s="34"/>
      <c r="AA247" s="35"/>
      <c r="AB247" s="36" t="s">
        <v>561</v>
      </c>
      <c r="AC247" s="37" t="s">
        <v>561</v>
      </c>
      <c r="AD247" s="37" t="s">
        <v>561</v>
      </c>
      <c r="AE247" s="37" t="s">
        <v>528</v>
      </c>
      <c r="AF247" s="37" t="s">
        <v>528</v>
      </c>
      <c r="AG247" s="87" t="s">
        <v>79</v>
      </c>
      <c r="AH247" s="33"/>
      <c r="AI247" s="34"/>
      <c r="AJ247" s="34"/>
      <c r="AK247" s="35"/>
      <c r="AL247" s="33"/>
      <c r="AM247" s="34"/>
      <c r="AN247" s="34"/>
      <c r="AO247" s="34"/>
      <c r="AP247" s="35"/>
      <c r="AQ247" s="33"/>
      <c r="AR247" s="34"/>
      <c r="AS247" s="38"/>
    </row>
    <row r="248" spans="1:45" ht="12.75" customHeight="1">
      <c r="A248" s="106"/>
      <c r="B248" s="108"/>
      <c r="C248" s="108"/>
      <c r="D248" s="39"/>
      <c r="E248" s="40"/>
      <c r="F248" s="41"/>
      <c r="G248" s="103"/>
      <c r="H248" s="108"/>
      <c r="I248" s="88"/>
      <c r="J248" s="39"/>
      <c r="K248" s="40"/>
      <c r="L248" s="41"/>
      <c r="M248" s="39"/>
      <c r="N248" s="40"/>
      <c r="O248" s="41"/>
      <c r="P248" s="39"/>
      <c r="Q248" s="40"/>
      <c r="R248" s="41"/>
      <c r="S248" s="39"/>
      <c r="T248" s="40"/>
      <c r="U248" s="41"/>
      <c r="V248" s="39"/>
      <c r="W248" s="40"/>
      <c r="X248" s="41"/>
      <c r="Y248" s="39"/>
      <c r="Z248" s="40"/>
      <c r="AA248" s="41"/>
      <c r="AB248" s="89" t="s">
        <v>1949</v>
      </c>
      <c r="AC248" s="90"/>
      <c r="AD248" s="90"/>
      <c r="AE248" s="90"/>
      <c r="AF248" s="91"/>
      <c r="AG248" s="88"/>
      <c r="AH248" s="39"/>
      <c r="AI248" s="40"/>
      <c r="AJ248" s="40"/>
      <c r="AK248" s="41"/>
      <c r="AL248" s="39"/>
      <c r="AM248" s="40"/>
      <c r="AN248" s="40"/>
      <c r="AO248" s="40"/>
      <c r="AP248" s="41"/>
      <c r="AQ248" s="39"/>
      <c r="AR248" s="40"/>
      <c r="AS248" s="42"/>
    </row>
    <row r="249" spans="1:45" ht="17.25" customHeight="1">
      <c r="A249" s="104" t="s">
        <v>253</v>
      </c>
      <c r="B249" s="107" t="s">
        <v>252</v>
      </c>
      <c r="C249" s="109" t="s">
        <v>512</v>
      </c>
      <c r="D249" s="93" t="s">
        <v>428</v>
      </c>
      <c r="E249" s="92" t="str">
        <f t="array" ref="E249">IFERROR(INDEX('iCoA Register'!$B:$B,MATCH("P050302|I",'iCoA Register'!$P:$P,0)),"iCoA — at issue")&amp;", (22.12.2025) [PP]"</f>
        <v>iCoA-PP_26-034, (22.12.2025) [PP]</v>
      </c>
      <c r="F249" s="84" t="s">
        <v>79</v>
      </c>
      <c r="G249" s="95" t="s">
        <v>434</v>
      </c>
      <c r="H249" s="96" t="s">
        <v>1951</v>
      </c>
      <c r="I249" s="97" t="s">
        <v>93</v>
      </c>
      <c r="J249" s="93" t="s">
        <v>95</v>
      </c>
      <c r="K249" s="92" t="s">
        <v>1224</v>
      </c>
      <c r="L249" s="84" t="s">
        <v>79</v>
      </c>
      <c r="M249" s="101" t="s">
        <v>1952</v>
      </c>
      <c r="N249" s="92" t="s">
        <v>1224</v>
      </c>
      <c r="O249" s="84" t="s">
        <v>79</v>
      </c>
      <c r="P249" s="100" t="s">
        <v>1331</v>
      </c>
      <c r="Q249" s="92" t="s">
        <v>1224</v>
      </c>
      <c r="R249" s="84" t="s">
        <v>79</v>
      </c>
      <c r="S249" s="100" t="s">
        <v>1956</v>
      </c>
      <c r="T249" s="92" t="s">
        <v>1224</v>
      </c>
      <c r="U249" s="84" t="s">
        <v>79</v>
      </c>
      <c r="V249" s="93" t="s">
        <v>428</v>
      </c>
      <c r="W249" s="92" t="str">
        <f t="array" ref="W249">IFERROR(INDEX('iCoA Register'!$B:$B,MATCH("P050302|I",'iCoA Register'!$P:$P,0)),"iCoA — at issue")&amp;", (22.12.2025) [PP]"</f>
        <v>iCoA-PP_26-034, (22.12.2025) [PP]</v>
      </c>
      <c r="X249" s="84" t="s">
        <v>79</v>
      </c>
      <c r="Y249" s="93" t="s">
        <v>1957</v>
      </c>
      <c r="Z249" s="92" t="s">
        <v>1224</v>
      </c>
      <c r="AA249" s="84" t="s">
        <v>79</v>
      </c>
      <c r="AB249" s="31" t="s">
        <v>1573</v>
      </c>
      <c r="AC249" s="32" t="s">
        <v>1574</v>
      </c>
      <c r="AD249" s="32" t="s">
        <v>561</v>
      </c>
      <c r="AE249" s="32" t="s">
        <v>451</v>
      </c>
      <c r="AF249" s="32" t="s">
        <v>451</v>
      </c>
      <c r="AG249" s="84" t="s">
        <v>79</v>
      </c>
      <c r="AH249" s="31" t="s">
        <v>452</v>
      </c>
      <c r="AI249" s="32" t="s">
        <v>453</v>
      </c>
      <c r="AJ249" s="32" t="s">
        <v>452</v>
      </c>
      <c r="AK249" s="84" t="s">
        <v>79</v>
      </c>
      <c r="AL249" s="31" t="s">
        <v>608</v>
      </c>
      <c r="AM249" s="32" t="s">
        <v>1959</v>
      </c>
      <c r="AN249" s="32" t="s">
        <v>963</v>
      </c>
      <c r="AO249" s="32" t="s">
        <v>1960</v>
      </c>
      <c r="AP249" s="84" t="s">
        <v>79</v>
      </c>
      <c r="AQ249" s="93" t="s">
        <v>459</v>
      </c>
      <c r="AR249" s="92" t="s">
        <v>1961</v>
      </c>
      <c r="AS249" s="98" t="s">
        <v>79</v>
      </c>
    </row>
    <row r="250" spans="1:45" ht="12.75" customHeight="1">
      <c r="A250" s="105"/>
      <c r="B250" s="80"/>
      <c r="C250" s="80"/>
      <c r="D250" s="94"/>
      <c r="E250" s="81"/>
      <c r="F250" s="85"/>
      <c r="G250" s="94"/>
      <c r="H250" s="81"/>
      <c r="I250" s="85"/>
      <c r="J250" s="94"/>
      <c r="K250" s="81"/>
      <c r="L250" s="85"/>
      <c r="M250" s="94"/>
      <c r="N250" s="81"/>
      <c r="O250" s="85"/>
      <c r="P250" s="94"/>
      <c r="Q250" s="81"/>
      <c r="R250" s="85"/>
      <c r="S250" s="94"/>
      <c r="T250" s="81"/>
      <c r="U250" s="85"/>
      <c r="V250" s="94"/>
      <c r="W250" s="81"/>
      <c r="X250" s="85"/>
      <c r="Y250" s="94"/>
      <c r="Z250" s="81"/>
      <c r="AA250" s="85"/>
      <c r="AB250" s="86" t="s">
        <v>1962</v>
      </c>
      <c r="AC250" s="77"/>
      <c r="AD250" s="77"/>
      <c r="AE250" s="77"/>
      <c r="AF250" s="78"/>
      <c r="AG250" s="85"/>
      <c r="AH250" s="86" t="s">
        <v>1961</v>
      </c>
      <c r="AI250" s="77"/>
      <c r="AJ250" s="78"/>
      <c r="AK250" s="85"/>
      <c r="AL250" s="86" t="s">
        <v>1961</v>
      </c>
      <c r="AM250" s="77"/>
      <c r="AN250" s="77"/>
      <c r="AO250" s="78"/>
      <c r="AP250" s="85"/>
      <c r="AQ250" s="94"/>
      <c r="AR250" s="81"/>
      <c r="AS250" s="99"/>
    </row>
    <row r="251" spans="1:45" ht="13.5" customHeight="1">
      <c r="A251" s="105"/>
      <c r="B251" s="80"/>
      <c r="C251" s="80"/>
      <c r="D251" s="33"/>
      <c r="E251" s="34"/>
      <c r="F251" s="35"/>
      <c r="G251" s="102" t="s">
        <v>428</v>
      </c>
      <c r="H251" s="110" t="str">
        <f t="array" ref="H251">IFERROR(INDEX('iCoA Register'!$B:$B,MATCH("P050302|I",'iCoA Register'!$P:$P,0)),"iCoA — at issue")&amp;", (22.12.2025) [PP]"</f>
        <v>iCoA-PP_26-034, (22.12.2025) [PP]</v>
      </c>
      <c r="I251" s="87" t="s">
        <v>79</v>
      </c>
      <c r="J251" s="33"/>
      <c r="K251" s="34"/>
      <c r="L251" s="35"/>
      <c r="M251" s="33"/>
      <c r="N251" s="34"/>
      <c r="O251" s="35"/>
      <c r="P251" s="33"/>
      <c r="Q251" s="34"/>
      <c r="R251" s="35"/>
      <c r="S251" s="33"/>
      <c r="T251" s="34"/>
      <c r="U251" s="35"/>
      <c r="V251" s="33"/>
      <c r="W251" s="34"/>
      <c r="X251" s="35"/>
      <c r="Y251" s="33"/>
      <c r="Z251" s="34"/>
      <c r="AA251" s="35"/>
      <c r="AB251" s="33"/>
      <c r="AC251" s="34"/>
      <c r="AD251" s="34"/>
      <c r="AE251" s="34"/>
      <c r="AF251" s="34"/>
      <c r="AG251" s="35"/>
      <c r="AH251" s="33"/>
      <c r="AI251" s="34"/>
      <c r="AJ251" s="34"/>
      <c r="AK251" s="35"/>
      <c r="AL251" s="33"/>
      <c r="AM251" s="34"/>
      <c r="AN251" s="34"/>
      <c r="AO251" s="34"/>
      <c r="AP251" s="35"/>
      <c r="AQ251" s="33"/>
      <c r="AR251" s="34"/>
      <c r="AS251" s="38"/>
    </row>
    <row r="252" spans="1:45" ht="12.75" customHeight="1">
      <c r="A252" s="106"/>
      <c r="B252" s="108"/>
      <c r="C252" s="108"/>
      <c r="D252" s="39"/>
      <c r="E252" s="40"/>
      <c r="F252" s="41"/>
      <c r="G252" s="103"/>
      <c r="H252" s="108"/>
      <c r="I252" s="88"/>
      <c r="J252" s="39"/>
      <c r="K252" s="40"/>
      <c r="L252" s="41"/>
      <c r="M252" s="39"/>
      <c r="N252" s="40"/>
      <c r="O252" s="41"/>
      <c r="P252" s="39"/>
      <c r="Q252" s="40"/>
      <c r="R252" s="41"/>
      <c r="S252" s="39"/>
      <c r="T252" s="40"/>
      <c r="U252" s="41"/>
      <c r="V252" s="39"/>
      <c r="W252" s="40"/>
      <c r="X252" s="41"/>
      <c r="Y252" s="39"/>
      <c r="Z252" s="40"/>
      <c r="AA252" s="41"/>
      <c r="AB252" s="39"/>
      <c r="AC252" s="40"/>
      <c r="AD252" s="40"/>
      <c r="AE252" s="40"/>
      <c r="AF252" s="40"/>
      <c r="AG252" s="41"/>
      <c r="AH252" s="39"/>
      <c r="AI252" s="40"/>
      <c r="AJ252" s="40"/>
      <c r="AK252" s="41"/>
      <c r="AL252" s="39"/>
      <c r="AM252" s="40"/>
      <c r="AN252" s="40"/>
      <c r="AO252" s="40"/>
      <c r="AP252" s="41"/>
      <c r="AQ252" s="39"/>
      <c r="AR252" s="40"/>
      <c r="AS252" s="42"/>
    </row>
    <row r="253" spans="1:45" ht="21" customHeight="1">
      <c r="A253" s="104" t="s">
        <v>244</v>
      </c>
      <c r="B253" s="107" t="s">
        <v>243</v>
      </c>
      <c r="C253" s="109" t="s">
        <v>512</v>
      </c>
      <c r="D253" s="93" t="s">
        <v>428</v>
      </c>
      <c r="E253" s="92" t="str">
        <f t="array" ref="E253">IFERROR(INDEX('iCoA Register'!$B:$B,MATCH("P050312|I",'iCoA Register'!$P:$P,0)),"iCoA — at issue")&amp;", (23.12.2025) [PP]"</f>
        <v>iCoA-PP_26-035, (23.12.2025) [PP]</v>
      </c>
      <c r="F253" s="84" t="s">
        <v>79</v>
      </c>
      <c r="G253" s="95" t="s">
        <v>434</v>
      </c>
      <c r="H253" s="96" t="s">
        <v>1965</v>
      </c>
      <c r="I253" s="97" t="s">
        <v>93</v>
      </c>
      <c r="J253" s="93" t="s">
        <v>95</v>
      </c>
      <c r="K253" s="92" t="s">
        <v>1232</v>
      </c>
      <c r="L253" s="84" t="s">
        <v>79</v>
      </c>
      <c r="M253" s="101" t="s">
        <v>1966</v>
      </c>
      <c r="N253" s="92" t="s">
        <v>1232</v>
      </c>
      <c r="O253" s="84" t="s">
        <v>79</v>
      </c>
      <c r="P253" s="100" t="s">
        <v>780</v>
      </c>
      <c r="Q253" s="92" t="s">
        <v>1232</v>
      </c>
      <c r="R253" s="84" t="s">
        <v>79</v>
      </c>
      <c r="S253" s="100" t="s">
        <v>1956</v>
      </c>
      <c r="T253" s="92" t="s">
        <v>1232</v>
      </c>
      <c r="U253" s="84" t="s">
        <v>79</v>
      </c>
      <c r="V253" s="93" t="s">
        <v>428</v>
      </c>
      <c r="W253" s="92" t="str">
        <f t="array" ref="W253">IFERROR(INDEX('iCoA Register'!$B:$B,MATCH("P050312|I",'iCoA Register'!$P:$P,0)),"iCoA — at issue")&amp;", (23.12.2025) [PP]"</f>
        <v>iCoA-PP_26-035, (23.12.2025) [PP]</v>
      </c>
      <c r="X253" s="84" t="s">
        <v>79</v>
      </c>
      <c r="Y253" s="93" t="s">
        <v>1967</v>
      </c>
      <c r="Z253" s="92" t="s">
        <v>1232</v>
      </c>
      <c r="AA253" s="84" t="s">
        <v>79</v>
      </c>
      <c r="AB253" s="31" t="s">
        <v>1968</v>
      </c>
      <c r="AC253" s="32" t="s">
        <v>1665</v>
      </c>
      <c r="AD253" s="32" t="s">
        <v>869</v>
      </c>
      <c r="AE253" s="32" t="s">
        <v>451</v>
      </c>
      <c r="AF253" s="32" t="s">
        <v>451</v>
      </c>
      <c r="AG253" s="84" t="s">
        <v>79</v>
      </c>
      <c r="AH253" s="31" t="s">
        <v>452</v>
      </c>
      <c r="AI253" s="32" t="s">
        <v>453</v>
      </c>
      <c r="AJ253" s="32" t="s">
        <v>452</v>
      </c>
      <c r="AK253" s="84" t="s">
        <v>79</v>
      </c>
      <c r="AL253" s="31" t="s">
        <v>456</v>
      </c>
      <c r="AM253" s="32" t="s">
        <v>1943</v>
      </c>
      <c r="AN253" s="32" t="s">
        <v>963</v>
      </c>
      <c r="AO253" s="32" t="s">
        <v>608</v>
      </c>
      <c r="AP253" s="84" t="s">
        <v>79</v>
      </c>
      <c r="AQ253" s="93" t="s">
        <v>1063</v>
      </c>
      <c r="AR253" s="92" t="s">
        <v>1972</v>
      </c>
      <c r="AS253" s="98" t="s">
        <v>79</v>
      </c>
    </row>
    <row r="254" spans="1:45" ht="12.75" customHeight="1">
      <c r="A254" s="105"/>
      <c r="B254" s="80"/>
      <c r="C254" s="80"/>
      <c r="D254" s="94"/>
      <c r="E254" s="81"/>
      <c r="F254" s="85"/>
      <c r="G254" s="94"/>
      <c r="H254" s="81"/>
      <c r="I254" s="85"/>
      <c r="J254" s="94"/>
      <c r="K254" s="81"/>
      <c r="L254" s="85"/>
      <c r="M254" s="94"/>
      <c r="N254" s="81"/>
      <c r="O254" s="85"/>
      <c r="P254" s="94"/>
      <c r="Q254" s="81"/>
      <c r="R254" s="85"/>
      <c r="S254" s="94"/>
      <c r="T254" s="81"/>
      <c r="U254" s="85"/>
      <c r="V254" s="94"/>
      <c r="W254" s="81"/>
      <c r="X254" s="85"/>
      <c r="Y254" s="94"/>
      <c r="Z254" s="81"/>
      <c r="AA254" s="85"/>
      <c r="AB254" s="86" t="s">
        <v>1973</v>
      </c>
      <c r="AC254" s="77"/>
      <c r="AD254" s="77"/>
      <c r="AE254" s="77"/>
      <c r="AF254" s="78"/>
      <c r="AG254" s="85"/>
      <c r="AH254" s="86" t="s">
        <v>1972</v>
      </c>
      <c r="AI254" s="77"/>
      <c r="AJ254" s="78"/>
      <c r="AK254" s="85"/>
      <c r="AL254" s="86" t="s">
        <v>1972</v>
      </c>
      <c r="AM254" s="77"/>
      <c r="AN254" s="77"/>
      <c r="AO254" s="78"/>
      <c r="AP254" s="85"/>
      <c r="AQ254" s="94"/>
      <c r="AR254" s="81"/>
      <c r="AS254" s="99"/>
    </row>
    <row r="255" spans="1:45" ht="13.5" customHeight="1">
      <c r="A255" s="105"/>
      <c r="B255" s="80"/>
      <c r="C255" s="80"/>
      <c r="D255" s="33"/>
      <c r="E255" s="34"/>
      <c r="F255" s="35"/>
      <c r="G255" s="102" t="s">
        <v>428</v>
      </c>
      <c r="H255" s="110" t="str">
        <f t="array" ref="H255">IFERROR(INDEX('iCoA Register'!$B:$B,MATCH("P050312|I",'iCoA Register'!$P:$P,0)),"iCoA — at issue")&amp;", (23.12.2025) [PP]"</f>
        <v>iCoA-PP_26-035, (23.12.2025) [PP]</v>
      </c>
      <c r="I255" s="87" t="s">
        <v>79</v>
      </c>
      <c r="J255" s="33"/>
      <c r="K255" s="34"/>
      <c r="L255" s="35"/>
      <c r="M255" s="33"/>
      <c r="N255" s="34"/>
      <c r="O255" s="35"/>
      <c r="P255" s="33"/>
      <c r="Q255" s="34"/>
      <c r="R255" s="35"/>
      <c r="S255" s="33"/>
      <c r="T255" s="34"/>
      <c r="U255" s="35"/>
      <c r="V255" s="33"/>
      <c r="W255" s="34"/>
      <c r="X255" s="35"/>
      <c r="Y255" s="33"/>
      <c r="Z255" s="34"/>
      <c r="AA255" s="35"/>
      <c r="AB255" s="33"/>
      <c r="AC255" s="34"/>
      <c r="AD255" s="34"/>
      <c r="AE255" s="34"/>
      <c r="AF255" s="34"/>
      <c r="AG255" s="35"/>
      <c r="AH255" s="33"/>
      <c r="AI255" s="34"/>
      <c r="AJ255" s="34"/>
      <c r="AK255" s="35"/>
      <c r="AL255" s="33"/>
      <c r="AM255" s="34"/>
      <c r="AN255" s="34"/>
      <c r="AO255" s="34"/>
      <c r="AP255" s="35"/>
      <c r="AQ255" s="33"/>
      <c r="AR255" s="34"/>
      <c r="AS255" s="38"/>
    </row>
    <row r="256" spans="1:45" ht="12.75" customHeight="1">
      <c r="A256" s="106"/>
      <c r="B256" s="108"/>
      <c r="C256" s="108"/>
      <c r="D256" s="39"/>
      <c r="E256" s="40"/>
      <c r="F256" s="41"/>
      <c r="G256" s="103"/>
      <c r="H256" s="108"/>
      <c r="I256" s="88"/>
      <c r="J256" s="39"/>
      <c r="K256" s="40"/>
      <c r="L256" s="41"/>
      <c r="M256" s="39"/>
      <c r="N256" s="40"/>
      <c r="O256" s="41"/>
      <c r="P256" s="39"/>
      <c r="Q256" s="40"/>
      <c r="R256" s="41"/>
      <c r="S256" s="39"/>
      <c r="T256" s="40"/>
      <c r="U256" s="41"/>
      <c r="V256" s="39"/>
      <c r="W256" s="40"/>
      <c r="X256" s="41"/>
      <c r="Y256" s="39"/>
      <c r="Z256" s="40"/>
      <c r="AA256" s="41"/>
      <c r="AB256" s="39"/>
      <c r="AC256" s="40"/>
      <c r="AD256" s="40"/>
      <c r="AE256" s="40"/>
      <c r="AF256" s="40"/>
      <c r="AG256" s="41"/>
      <c r="AH256" s="39"/>
      <c r="AI256" s="40"/>
      <c r="AJ256" s="40"/>
      <c r="AK256" s="41"/>
      <c r="AL256" s="39"/>
      <c r="AM256" s="40"/>
      <c r="AN256" s="40"/>
      <c r="AO256" s="40"/>
      <c r="AP256" s="41"/>
      <c r="AQ256" s="39"/>
      <c r="AR256" s="40"/>
      <c r="AS256" s="42"/>
    </row>
    <row r="257" spans="1:45" ht="21" customHeight="1">
      <c r="A257" s="104" t="s">
        <v>248</v>
      </c>
      <c r="B257" s="107" t="s">
        <v>246</v>
      </c>
      <c r="C257" s="109" t="s">
        <v>426</v>
      </c>
      <c r="D257" s="93" t="s">
        <v>428</v>
      </c>
      <c r="E257" s="92" t="str">
        <f t="array" ref="E257">IFERROR(INDEX('iCoA Register'!$B:$B,MATCH("P050322|I",'iCoA Register'!$P:$P,0)),"iCoA — at issue")&amp;", (26.12.2025) [PP]"</f>
        <v>iCoA-PP_26-036, (26.12.2025) [PP]</v>
      </c>
      <c r="F257" s="84" t="s">
        <v>79</v>
      </c>
      <c r="G257" s="95" t="s">
        <v>434</v>
      </c>
      <c r="H257" s="96" t="s">
        <v>1977</v>
      </c>
      <c r="I257" s="97" t="s">
        <v>93</v>
      </c>
      <c r="J257" s="93" t="s">
        <v>95</v>
      </c>
      <c r="K257" s="92" t="s">
        <v>1239</v>
      </c>
      <c r="L257" s="84" t="s">
        <v>79</v>
      </c>
      <c r="M257" s="101" t="s">
        <v>1978</v>
      </c>
      <c r="N257" s="92" t="s">
        <v>1239</v>
      </c>
      <c r="O257" s="84" t="s">
        <v>79</v>
      </c>
      <c r="P257" s="100" t="s">
        <v>1798</v>
      </c>
      <c r="Q257" s="92" t="s">
        <v>1239</v>
      </c>
      <c r="R257" s="84" t="s">
        <v>79</v>
      </c>
      <c r="S257" s="100" t="s">
        <v>1940</v>
      </c>
      <c r="T257" s="92" t="s">
        <v>1239</v>
      </c>
      <c r="U257" s="84" t="s">
        <v>79</v>
      </c>
      <c r="V257" s="93" t="s">
        <v>428</v>
      </c>
      <c r="W257" s="92" t="str">
        <f t="array" ref="W257">IFERROR(INDEX('iCoA Register'!$B:$B,MATCH("P050322|I",'iCoA Register'!$P:$P,0)),"iCoA — at issue")&amp;", (26.12.2025) [PP]"</f>
        <v>iCoA-PP_26-036, (26.12.2025) [PP]</v>
      </c>
      <c r="X257" s="84" t="s">
        <v>79</v>
      </c>
      <c r="Y257" s="93" t="s">
        <v>1310</v>
      </c>
      <c r="Z257" s="92" t="s">
        <v>1239</v>
      </c>
      <c r="AA257" s="84" t="s">
        <v>79</v>
      </c>
      <c r="AB257" s="31" t="s">
        <v>1979</v>
      </c>
      <c r="AC257" s="32" t="s">
        <v>1980</v>
      </c>
      <c r="AD257" s="32" t="s">
        <v>1981</v>
      </c>
      <c r="AE257" s="32" t="s">
        <v>451</v>
      </c>
      <c r="AF257" s="32" t="s">
        <v>451</v>
      </c>
      <c r="AG257" s="84" t="s">
        <v>79</v>
      </c>
      <c r="AH257" s="31" t="s">
        <v>452</v>
      </c>
      <c r="AI257" s="32" t="s">
        <v>453</v>
      </c>
      <c r="AJ257" s="32" t="s">
        <v>452</v>
      </c>
      <c r="AK257" s="84" t="s">
        <v>79</v>
      </c>
      <c r="AL257" s="31" t="s">
        <v>574</v>
      </c>
      <c r="AM257" s="32" t="s">
        <v>1943</v>
      </c>
      <c r="AN257" s="32" t="s">
        <v>963</v>
      </c>
      <c r="AO257" s="32" t="s">
        <v>455</v>
      </c>
      <c r="AP257" s="84" t="s">
        <v>79</v>
      </c>
      <c r="AQ257" s="93" t="s">
        <v>459</v>
      </c>
      <c r="AR257" s="92" t="s">
        <v>1983</v>
      </c>
      <c r="AS257" s="98" t="s">
        <v>79</v>
      </c>
    </row>
    <row r="258" spans="1:45" ht="12.75" customHeight="1">
      <c r="A258" s="105"/>
      <c r="B258" s="80"/>
      <c r="C258" s="80"/>
      <c r="D258" s="94"/>
      <c r="E258" s="81"/>
      <c r="F258" s="85"/>
      <c r="G258" s="94"/>
      <c r="H258" s="81"/>
      <c r="I258" s="85"/>
      <c r="J258" s="94"/>
      <c r="K258" s="81"/>
      <c r="L258" s="85"/>
      <c r="M258" s="94"/>
      <c r="N258" s="81"/>
      <c r="O258" s="85"/>
      <c r="P258" s="94"/>
      <c r="Q258" s="81"/>
      <c r="R258" s="85"/>
      <c r="S258" s="94"/>
      <c r="T258" s="81"/>
      <c r="U258" s="85"/>
      <c r="V258" s="94"/>
      <c r="W258" s="81"/>
      <c r="X258" s="85"/>
      <c r="Y258" s="94"/>
      <c r="Z258" s="81"/>
      <c r="AA258" s="85"/>
      <c r="AB258" s="86" t="s">
        <v>1985</v>
      </c>
      <c r="AC258" s="77"/>
      <c r="AD258" s="77"/>
      <c r="AE258" s="77"/>
      <c r="AF258" s="78"/>
      <c r="AG258" s="85"/>
      <c r="AH258" s="86" t="s">
        <v>1983</v>
      </c>
      <c r="AI258" s="77"/>
      <c r="AJ258" s="78"/>
      <c r="AK258" s="85"/>
      <c r="AL258" s="86" t="s">
        <v>1983</v>
      </c>
      <c r="AM258" s="77"/>
      <c r="AN258" s="77"/>
      <c r="AO258" s="78"/>
      <c r="AP258" s="85"/>
      <c r="AQ258" s="94"/>
      <c r="AR258" s="81"/>
      <c r="AS258" s="99"/>
    </row>
    <row r="259" spans="1:45" ht="17.25" customHeight="1">
      <c r="A259" s="105"/>
      <c r="B259" s="80"/>
      <c r="C259" s="80"/>
      <c r="D259" s="33"/>
      <c r="E259" s="34"/>
      <c r="F259" s="35"/>
      <c r="G259" s="102" t="s">
        <v>428</v>
      </c>
      <c r="H259" s="110" t="str">
        <f t="array" ref="H259">IFERROR(INDEX('iCoA Register'!$B:$B,MATCH("P050322|I",'iCoA Register'!$P:$P,0)),"iCoA — at issue")&amp;", (26.12.2025) [PP]"</f>
        <v>iCoA-PP_26-036, (26.12.2025) [PP]</v>
      </c>
      <c r="I259" s="87" t="s">
        <v>79</v>
      </c>
      <c r="J259" s="102" t="s">
        <v>463</v>
      </c>
      <c r="K259" s="110" t="s">
        <v>1884</v>
      </c>
      <c r="L259" s="87" t="s">
        <v>79</v>
      </c>
      <c r="M259" s="124" t="s">
        <v>1988</v>
      </c>
      <c r="N259" s="110" t="s">
        <v>1884</v>
      </c>
      <c r="O259" s="87" t="s">
        <v>79</v>
      </c>
      <c r="P259" s="120" t="s">
        <v>467</v>
      </c>
      <c r="Q259" s="110" t="s">
        <v>1884</v>
      </c>
      <c r="R259" s="87" t="s">
        <v>79</v>
      </c>
      <c r="S259" s="120" t="s">
        <v>467</v>
      </c>
      <c r="T259" s="110" t="s">
        <v>1884</v>
      </c>
      <c r="U259" s="87" t="s">
        <v>79</v>
      </c>
      <c r="V259" s="33"/>
      <c r="W259" s="34"/>
      <c r="X259" s="35"/>
      <c r="Y259" s="121" t="s">
        <v>434</v>
      </c>
      <c r="Z259" s="122" t="s">
        <v>1989</v>
      </c>
      <c r="AA259" s="123" t="s">
        <v>93</v>
      </c>
      <c r="AB259" s="33"/>
      <c r="AC259" s="34"/>
      <c r="AD259" s="34"/>
      <c r="AE259" s="34"/>
      <c r="AF259" s="34"/>
      <c r="AG259" s="35"/>
      <c r="AH259" s="36" t="s">
        <v>472</v>
      </c>
      <c r="AI259" s="37" t="s">
        <v>473</v>
      </c>
      <c r="AJ259" s="37" t="s">
        <v>472</v>
      </c>
      <c r="AK259" s="87" t="s">
        <v>79</v>
      </c>
      <c r="AL259" s="33"/>
      <c r="AM259" s="34"/>
      <c r="AN259" s="34"/>
      <c r="AO259" s="34"/>
      <c r="AP259" s="35"/>
      <c r="AQ259" s="33"/>
      <c r="AR259" s="34"/>
      <c r="AS259" s="38"/>
    </row>
    <row r="260" spans="1:45" ht="15" customHeight="1">
      <c r="A260" s="106"/>
      <c r="B260" s="108"/>
      <c r="C260" s="108"/>
      <c r="D260" s="39"/>
      <c r="E260" s="40"/>
      <c r="F260" s="41"/>
      <c r="G260" s="103"/>
      <c r="H260" s="108"/>
      <c r="I260" s="88"/>
      <c r="J260" s="103"/>
      <c r="K260" s="108"/>
      <c r="L260" s="88"/>
      <c r="M260" s="103"/>
      <c r="N260" s="108"/>
      <c r="O260" s="88"/>
      <c r="P260" s="103"/>
      <c r="Q260" s="108"/>
      <c r="R260" s="88"/>
      <c r="S260" s="103"/>
      <c r="T260" s="108"/>
      <c r="U260" s="88"/>
      <c r="V260" s="39"/>
      <c r="W260" s="40"/>
      <c r="X260" s="41"/>
      <c r="Y260" s="103"/>
      <c r="Z260" s="108"/>
      <c r="AA260" s="88"/>
      <c r="AB260" s="39"/>
      <c r="AC260" s="40"/>
      <c r="AD260" s="40"/>
      <c r="AE260" s="40"/>
      <c r="AF260" s="40"/>
      <c r="AG260" s="41"/>
      <c r="AH260" s="89" t="s">
        <v>1885</v>
      </c>
      <c r="AI260" s="90"/>
      <c r="AJ260" s="91"/>
      <c r="AK260" s="88"/>
      <c r="AL260" s="39"/>
      <c r="AM260" s="40"/>
      <c r="AN260" s="40"/>
      <c r="AO260" s="40"/>
      <c r="AP260" s="41"/>
      <c r="AQ260" s="39"/>
      <c r="AR260" s="40"/>
      <c r="AS260" s="42"/>
    </row>
    <row r="261" spans="1:45" ht="17.25" customHeight="1">
      <c r="A261" s="104" t="s">
        <v>170</v>
      </c>
      <c r="B261" s="107" t="s">
        <v>169</v>
      </c>
      <c r="C261" s="109" t="s">
        <v>512</v>
      </c>
      <c r="D261" s="93" t="s">
        <v>428</v>
      </c>
      <c r="E261" s="92" t="str">
        <f t="array" ref="E261">IFERROR(INDEX('iCoA Register'!$B:$B,MATCH("P060012|I",'iCoA Register'!$P:$P,0)),"iCoA — at issue")&amp;", (13.01.2026) [PP]"</f>
        <v>iCoA-PP_26-037, (13.01.2026) [PP]</v>
      </c>
      <c r="F261" s="84" t="s">
        <v>79</v>
      </c>
      <c r="G261" s="93" t="s">
        <v>428</v>
      </c>
      <c r="H261" s="92" t="str">
        <f t="array" ref="H261">IFERROR(INDEX('iCoA Register'!$B:$B,MATCH("P060012|I",'iCoA Register'!$P:$P,0)),"iCoA — at issue")&amp;", (13.01.2026) [PP]"</f>
        <v>iCoA-PP_26-037, (13.01.2026) [PP]</v>
      </c>
      <c r="I261" s="84" t="s">
        <v>79</v>
      </c>
      <c r="J261" s="93" t="s">
        <v>95</v>
      </c>
      <c r="K261" s="92" t="s">
        <v>1246</v>
      </c>
      <c r="L261" s="84" t="s">
        <v>79</v>
      </c>
      <c r="M261" s="101" t="s">
        <v>1992</v>
      </c>
      <c r="N261" s="92" t="s">
        <v>1246</v>
      </c>
      <c r="O261" s="84" t="s">
        <v>79</v>
      </c>
      <c r="P261" s="100" t="s">
        <v>780</v>
      </c>
      <c r="Q261" s="92" t="s">
        <v>1246</v>
      </c>
      <c r="R261" s="84" t="s">
        <v>79</v>
      </c>
      <c r="S261" s="100" t="s">
        <v>1940</v>
      </c>
      <c r="T261" s="92" t="s">
        <v>1246</v>
      </c>
      <c r="U261" s="84" t="s">
        <v>79</v>
      </c>
      <c r="V261" s="93" t="s">
        <v>428</v>
      </c>
      <c r="W261" s="92" t="str">
        <f t="array" ref="W261">IFERROR(INDEX('iCoA Register'!$B:$B,MATCH("P060012|I",'iCoA Register'!$P:$P,0)),"iCoA — at issue")&amp;", (13.01.2026) [PP]"</f>
        <v>iCoA-PP_26-037, (13.01.2026) [PP]</v>
      </c>
      <c r="X261" s="84" t="s">
        <v>79</v>
      </c>
      <c r="Y261" s="93" t="s">
        <v>1994</v>
      </c>
      <c r="Z261" s="92" t="s">
        <v>1246</v>
      </c>
      <c r="AA261" s="84" t="s">
        <v>79</v>
      </c>
      <c r="AB261" s="31" t="s">
        <v>585</v>
      </c>
      <c r="AC261" s="32" t="s">
        <v>1995</v>
      </c>
      <c r="AD261" s="32" t="s">
        <v>561</v>
      </c>
      <c r="AE261" s="32" t="s">
        <v>451</v>
      </c>
      <c r="AF261" s="32" t="s">
        <v>451</v>
      </c>
      <c r="AG261" s="84" t="s">
        <v>79</v>
      </c>
      <c r="AH261" s="31" t="s">
        <v>452</v>
      </c>
      <c r="AI261" s="32" t="s">
        <v>453</v>
      </c>
      <c r="AJ261" s="32" t="s">
        <v>452</v>
      </c>
      <c r="AK261" s="84" t="s">
        <v>79</v>
      </c>
      <c r="AL261" s="31" t="s">
        <v>1275</v>
      </c>
      <c r="AM261" s="32" t="s">
        <v>1275</v>
      </c>
      <c r="AN261" s="32" t="s">
        <v>1275</v>
      </c>
      <c r="AO261" s="32" t="s">
        <v>1275</v>
      </c>
      <c r="AP261" s="84" t="s">
        <v>79</v>
      </c>
      <c r="AQ261" s="93" t="s">
        <v>459</v>
      </c>
      <c r="AR261" s="92" t="s">
        <v>1997</v>
      </c>
      <c r="AS261" s="98" t="s">
        <v>79</v>
      </c>
    </row>
    <row r="262" spans="1:45" ht="12.75" customHeight="1">
      <c r="A262" s="105"/>
      <c r="B262" s="80"/>
      <c r="C262" s="80"/>
      <c r="D262" s="94"/>
      <c r="E262" s="81"/>
      <c r="F262" s="85"/>
      <c r="G262" s="94"/>
      <c r="H262" s="81"/>
      <c r="I262" s="85"/>
      <c r="J262" s="94"/>
      <c r="K262" s="81"/>
      <c r="L262" s="85"/>
      <c r="M262" s="94"/>
      <c r="N262" s="81"/>
      <c r="O262" s="85"/>
      <c r="P262" s="94"/>
      <c r="Q262" s="81"/>
      <c r="R262" s="85"/>
      <c r="S262" s="94"/>
      <c r="T262" s="81"/>
      <c r="U262" s="85"/>
      <c r="V262" s="94"/>
      <c r="W262" s="81"/>
      <c r="X262" s="85"/>
      <c r="Y262" s="94"/>
      <c r="Z262" s="81"/>
      <c r="AA262" s="85"/>
      <c r="AB262" s="86" t="s">
        <v>1999</v>
      </c>
      <c r="AC262" s="77"/>
      <c r="AD262" s="77"/>
      <c r="AE262" s="77"/>
      <c r="AF262" s="78"/>
      <c r="AG262" s="85"/>
      <c r="AH262" s="86" t="s">
        <v>1997</v>
      </c>
      <c r="AI262" s="77"/>
      <c r="AJ262" s="78"/>
      <c r="AK262" s="85"/>
      <c r="AL262" s="86" t="s">
        <v>1997</v>
      </c>
      <c r="AM262" s="77"/>
      <c r="AN262" s="77"/>
      <c r="AO262" s="78"/>
      <c r="AP262" s="85"/>
      <c r="AQ262" s="94"/>
      <c r="AR262" s="81"/>
      <c r="AS262" s="99"/>
    </row>
    <row r="263" spans="1:45" ht="13.5" customHeight="1">
      <c r="A263" s="105"/>
      <c r="B263" s="80"/>
      <c r="C263" s="80"/>
      <c r="D263" s="33"/>
      <c r="E263" s="34"/>
      <c r="F263" s="35"/>
      <c r="G263" s="121" t="s">
        <v>434</v>
      </c>
      <c r="H263" s="122" t="s">
        <v>2000</v>
      </c>
      <c r="I263" s="123" t="s">
        <v>93</v>
      </c>
      <c r="J263" s="33"/>
      <c r="K263" s="34"/>
      <c r="L263" s="35"/>
      <c r="M263" s="33"/>
      <c r="N263" s="34"/>
      <c r="O263" s="35"/>
      <c r="P263" s="33"/>
      <c r="Q263" s="34"/>
      <c r="R263" s="35"/>
      <c r="S263" s="33"/>
      <c r="T263" s="34"/>
      <c r="U263" s="35"/>
      <c r="V263" s="33"/>
      <c r="W263" s="34"/>
      <c r="X263" s="35"/>
      <c r="Y263" s="33"/>
      <c r="Z263" s="34"/>
      <c r="AA263" s="35"/>
      <c r="AB263" s="33"/>
      <c r="AC263" s="34"/>
      <c r="AD263" s="34"/>
      <c r="AE263" s="34"/>
      <c r="AF263" s="34"/>
      <c r="AG263" s="35"/>
      <c r="AH263" s="33"/>
      <c r="AI263" s="34"/>
      <c r="AJ263" s="34"/>
      <c r="AK263" s="35"/>
      <c r="AL263" s="33"/>
      <c r="AM263" s="34"/>
      <c r="AN263" s="34"/>
      <c r="AO263" s="34"/>
      <c r="AP263" s="35"/>
      <c r="AQ263" s="33"/>
      <c r="AR263" s="34"/>
      <c r="AS263" s="38"/>
    </row>
    <row r="264" spans="1:45" ht="12.75" customHeight="1">
      <c r="A264" s="106"/>
      <c r="B264" s="108"/>
      <c r="C264" s="108"/>
      <c r="D264" s="39"/>
      <c r="E264" s="40"/>
      <c r="F264" s="41"/>
      <c r="G264" s="103"/>
      <c r="H264" s="108"/>
      <c r="I264" s="88"/>
      <c r="J264" s="39"/>
      <c r="K264" s="40"/>
      <c r="L264" s="41"/>
      <c r="M264" s="39"/>
      <c r="N264" s="40"/>
      <c r="O264" s="41"/>
      <c r="P264" s="39"/>
      <c r="Q264" s="40"/>
      <c r="R264" s="41"/>
      <c r="S264" s="39"/>
      <c r="T264" s="40"/>
      <c r="U264" s="41"/>
      <c r="V264" s="39"/>
      <c r="W264" s="40"/>
      <c r="X264" s="41"/>
      <c r="Y264" s="39"/>
      <c r="Z264" s="40"/>
      <c r="AA264" s="41"/>
      <c r="AB264" s="39"/>
      <c r="AC264" s="40"/>
      <c r="AD264" s="40"/>
      <c r="AE264" s="40"/>
      <c r="AF264" s="40"/>
      <c r="AG264" s="41"/>
      <c r="AH264" s="39"/>
      <c r="AI264" s="40"/>
      <c r="AJ264" s="40"/>
      <c r="AK264" s="41"/>
      <c r="AL264" s="39"/>
      <c r="AM264" s="40"/>
      <c r="AN264" s="40"/>
      <c r="AO264" s="40"/>
      <c r="AP264" s="41"/>
      <c r="AQ264" s="39"/>
      <c r="AR264" s="40"/>
      <c r="AS264" s="42"/>
    </row>
    <row r="265" spans="1:45" ht="17.25" customHeight="1">
      <c r="A265" s="104" t="s">
        <v>82</v>
      </c>
      <c r="B265" s="107" t="s">
        <v>78</v>
      </c>
      <c r="C265" s="109" t="s">
        <v>512</v>
      </c>
      <c r="D265" s="93" t="s">
        <v>428</v>
      </c>
      <c r="E265" s="92" t="str">
        <f t="array" ref="E265">IFERROR(INDEX('iCoA Register'!$B:$B,MATCH("P060022|I",'iCoA Register'!$P:$P,0)),"iCoA — at issue")&amp;", (16.01.2026) [PP]"</f>
        <v>iCoA-PP_26-038, (16.01.2026) [PP]</v>
      </c>
      <c r="F265" s="84" t="s">
        <v>79</v>
      </c>
      <c r="G265" s="93" t="s">
        <v>428</v>
      </c>
      <c r="H265" s="92" t="str">
        <f t="array" ref="H265">IFERROR(INDEX('iCoA Register'!$B:$B,MATCH("P060022|I",'iCoA Register'!$P:$P,0)),"iCoA — at issue")&amp;", (16.01.2026) [PP]"</f>
        <v>iCoA-PP_26-038, (16.01.2026) [PP]</v>
      </c>
      <c r="I265" s="84" t="s">
        <v>79</v>
      </c>
      <c r="J265" s="93" t="s">
        <v>95</v>
      </c>
      <c r="K265" s="92" t="s">
        <v>1251</v>
      </c>
      <c r="L265" s="84" t="s">
        <v>79</v>
      </c>
      <c r="M265" s="101" t="s">
        <v>2006</v>
      </c>
      <c r="N265" s="92" t="s">
        <v>1251</v>
      </c>
      <c r="O265" s="84" t="s">
        <v>79</v>
      </c>
      <c r="P265" s="100" t="s">
        <v>1785</v>
      </c>
      <c r="Q265" s="92" t="s">
        <v>1251</v>
      </c>
      <c r="R265" s="84" t="s">
        <v>79</v>
      </c>
      <c r="S265" s="100" t="s">
        <v>1940</v>
      </c>
      <c r="T265" s="92" t="s">
        <v>1251</v>
      </c>
      <c r="U265" s="84" t="s">
        <v>79</v>
      </c>
      <c r="V265" s="93" t="s">
        <v>428</v>
      </c>
      <c r="W265" s="92" t="str">
        <f t="array" ref="W265">IFERROR(INDEX('iCoA Register'!$B:$B,MATCH("P060022|I",'iCoA Register'!$P:$P,0)),"iCoA — at issue")&amp;", (16.01.2026) [PP]"</f>
        <v>iCoA-PP_26-038, (16.01.2026) [PP]</v>
      </c>
      <c r="X265" s="84" t="s">
        <v>79</v>
      </c>
      <c r="Y265" s="93" t="s">
        <v>1334</v>
      </c>
      <c r="Z265" s="92" t="s">
        <v>1251</v>
      </c>
      <c r="AA265" s="84" t="s">
        <v>79</v>
      </c>
      <c r="AB265" s="31" t="s">
        <v>2008</v>
      </c>
      <c r="AC265" s="32" t="s">
        <v>2009</v>
      </c>
      <c r="AD265" s="32" t="s">
        <v>561</v>
      </c>
      <c r="AE265" s="32" t="s">
        <v>451</v>
      </c>
      <c r="AF265" s="32" t="s">
        <v>451</v>
      </c>
      <c r="AG265" s="84" t="s">
        <v>79</v>
      </c>
      <c r="AH265" s="31" t="s">
        <v>452</v>
      </c>
      <c r="AI265" s="32" t="s">
        <v>453</v>
      </c>
      <c r="AJ265" s="32" t="s">
        <v>452</v>
      </c>
      <c r="AK265" s="84" t="s">
        <v>79</v>
      </c>
      <c r="AL265" s="31" t="s">
        <v>2011</v>
      </c>
      <c r="AM265" s="32" t="s">
        <v>1275</v>
      </c>
      <c r="AN265" s="32" t="s">
        <v>1275</v>
      </c>
      <c r="AO265" s="32" t="s">
        <v>1275</v>
      </c>
      <c r="AP265" s="84" t="s">
        <v>79</v>
      </c>
      <c r="AQ265" s="93" t="s">
        <v>612</v>
      </c>
      <c r="AR265" s="92" t="s">
        <v>2015</v>
      </c>
      <c r="AS265" s="98" t="s">
        <v>79</v>
      </c>
    </row>
    <row r="266" spans="1:45" ht="12.75" customHeight="1">
      <c r="A266" s="105"/>
      <c r="B266" s="80"/>
      <c r="C266" s="80"/>
      <c r="D266" s="94"/>
      <c r="E266" s="81"/>
      <c r="F266" s="85"/>
      <c r="G266" s="94"/>
      <c r="H266" s="81"/>
      <c r="I266" s="85"/>
      <c r="J266" s="94"/>
      <c r="K266" s="81"/>
      <c r="L266" s="85"/>
      <c r="M266" s="94"/>
      <c r="N266" s="81"/>
      <c r="O266" s="85"/>
      <c r="P266" s="94"/>
      <c r="Q266" s="81"/>
      <c r="R266" s="85"/>
      <c r="S266" s="94"/>
      <c r="T266" s="81"/>
      <c r="U266" s="85"/>
      <c r="V266" s="94"/>
      <c r="W266" s="81"/>
      <c r="X266" s="85"/>
      <c r="Y266" s="94"/>
      <c r="Z266" s="81"/>
      <c r="AA266" s="85"/>
      <c r="AB266" s="86" t="s">
        <v>2017</v>
      </c>
      <c r="AC266" s="77"/>
      <c r="AD266" s="77"/>
      <c r="AE266" s="77"/>
      <c r="AF266" s="78"/>
      <c r="AG266" s="85"/>
      <c r="AH266" s="86" t="s">
        <v>2015</v>
      </c>
      <c r="AI266" s="77"/>
      <c r="AJ266" s="78"/>
      <c r="AK266" s="85"/>
      <c r="AL266" s="86" t="s">
        <v>2015</v>
      </c>
      <c r="AM266" s="77"/>
      <c r="AN266" s="77"/>
      <c r="AO266" s="78"/>
      <c r="AP266" s="85"/>
      <c r="AQ266" s="94"/>
      <c r="AR266" s="81"/>
      <c r="AS266" s="99"/>
    </row>
    <row r="267" spans="1:45" ht="13.5" customHeight="1">
      <c r="A267" s="105"/>
      <c r="B267" s="80"/>
      <c r="C267" s="80"/>
      <c r="D267" s="33"/>
      <c r="E267" s="34"/>
      <c r="F267" s="35"/>
      <c r="G267" s="121" t="s">
        <v>434</v>
      </c>
      <c r="H267" s="122" t="s">
        <v>2019</v>
      </c>
      <c r="I267" s="123" t="s">
        <v>93</v>
      </c>
      <c r="J267" s="33"/>
      <c r="K267" s="34"/>
      <c r="L267" s="35"/>
      <c r="M267" s="33"/>
      <c r="N267" s="34"/>
      <c r="O267" s="35"/>
      <c r="P267" s="33"/>
      <c r="Q267" s="34"/>
      <c r="R267" s="35"/>
      <c r="S267" s="33"/>
      <c r="T267" s="34"/>
      <c r="U267" s="35"/>
      <c r="V267" s="33"/>
      <c r="W267" s="34"/>
      <c r="X267" s="35"/>
      <c r="Y267" s="33"/>
      <c r="Z267" s="34"/>
      <c r="AA267" s="35"/>
      <c r="AB267" s="33"/>
      <c r="AC267" s="34"/>
      <c r="AD267" s="34"/>
      <c r="AE267" s="34"/>
      <c r="AF267" s="34"/>
      <c r="AG267" s="35"/>
      <c r="AH267" s="33"/>
      <c r="AI267" s="34"/>
      <c r="AJ267" s="34"/>
      <c r="AK267" s="35"/>
      <c r="AL267" s="33"/>
      <c r="AM267" s="34"/>
      <c r="AN267" s="34"/>
      <c r="AO267" s="34"/>
      <c r="AP267" s="35"/>
      <c r="AQ267" s="33"/>
      <c r="AR267" s="34"/>
      <c r="AS267" s="38"/>
    </row>
    <row r="268" spans="1:45" ht="12.75" customHeight="1">
      <c r="A268" s="106"/>
      <c r="B268" s="108"/>
      <c r="C268" s="108"/>
      <c r="D268" s="39"/>
      <c r="E268" s="40"/>
      <c r="F268" s="41"/>
      <c r="G268" s="103"/>
      <c r="H268" s="108"/>
      <c r="I268" s="88"/>
      <c r="J268" s="39"/>
      <c r="K268" s="40"/>
      <c r="L268" s="41"/>
      <c r="M268" s="39"/>
      <c r="N268" s="40"/>
      <c r="O268" s="41"/>
      <c r="P268" s="39"/>
      <c r="Q268" s="40"/>
      <c r="R268" s="41"/>
      <c r="S268" s="39"/>
      <c r="T268" s="40"/>
      <c r="U268" s="41"/>
      <c r="V268" s="39"/>
      <c r="W268" s="40"/>
      <c r="X268" s="41"/>
      <c r="Y268" s="39"/>
      <c r="Z268" s="40"/>
      <c r="AA268" s="41"/>
      <c r="AB268" s="39"/>
      <c r="AC268" s="40"/>
      <c r="AD268" s="40"/>
      <c r="AE268" s="40"/>
      <c r="AF268" s="40"/>
      <c r="AG268" s="41"/>
      <c r="AH268" s="39"/>
      <c r="AI268" s="40"/>
      <c r="AJ268" s="40"/>
      <c r="AK268" s="41"/>
      <c r="AL268" s="39"/>
      <c r="AM268" s="40"/>
      <c r="AN268" s="40"/>
      <c r="AO268" s="40"/>
      <c r="AP268" s="41"/>
      <c r="AQ268" s="39"/>
      <c r="AR268" s="40"/>
      <c r="AS268" s="42"/>
    </row>
    <row r="269" spans="1:45" ht="17.25" customHeight="1">
      <c r="A269" s="104" t="s">
        <v>176</v>
      </c>
      <c r="B269" s="107" t="s">
        <v>174</v>
      </c>
      <c r="C269" s="109" t="s">
        <v>426</v>
      </c>
      <c r="D269" s="93" t="s">
        <v>428</v>
      </c>
      <c r="E269" s="92" t="str">
        <f t="array" ref="E269">IFERROR(INDEX('iCoA Register'!$B:$B,MATCH("P060032|I",'iCoA Register'!$P:$P,0)),"iCoA — at issue")&amp;", (29.01.2026) [PP]"</f>
        <v>iCoA-PP_26-039, (29.01.2026) [PP]</v>
      </c>
      <c r="F269" s="84" t="s">
        <v>79</v>
      </c>
      <c r="G269" s="95" t="s">
        <v>434</v>
      </c>
      <c r="H269" s="96" t="s">
        <v>2022</v>
      </c>
      <c r="I269" s="97" t="s">
        <v>93</v>
      </c>
      <c r="J269" s="93" t="s">
        <v>95</v>
      </c>
      <c r="K269" s="92" t="s">
        <v>1259</v>
      </c>
      <c r="L269" s="84" t="s">
        <v>79</v>
      </c>
      <c r="M269" s="101" t="s">
        <v>2023</v>
      </c>
      <c r="N269" s="92" t="s">
        <v>1259</v>
      </c>
      <c r="O269" s="84" t="s">
        <v>79</v>
      </c>
      <c r="P269" s="100" t="s">
        <v>780</v>
      </c>
      <c r="Q269" s="92" t="s">
        <v>1259</v>
      </c>
      <c r="R269" s="84" t="s">
        <v>79</v>
      </c>
      <c r="S269" s="100" t="s">
        <v>1596</v>
      </c>
      <c r="T269" s="92" t="s">
        <v>1259</v>
      </c>
      <c r="U269" s="84" t="s">
        <v>79</v>
      </c>
      <c r="V269" s="93" t="s">
        <v>428</v>
      </c>
      <c r="W269" s="92" t="str">
        <f t="array" ref="W269">IFERROR(INDEX('iCoA Register'!$B:$B,MATCH("P060032|I",'iCoA Register'!$P:$P,0)),"iCoA — at issue")&amp;", (29.01.2026) [PP]"</f>
        <v>iCoA-PP_26-039, (29.01.2026) [PP]</v>
      </c>
      <c r="X269" s="84" t="s">
        <v>79</v>
      </c>
      <c r="Y269" s="93" t="s">
        <v>2029</v>
      </c>
      <c r="Z269" s="92" t="s">
        <v>1259</v>
      </c>
      <c r="AA269" s="84" t="s">
        <v>79</v>
      </c>
      <c r="AB269" s="31" t="s">
        <v>2030</v>
      </c>
      <c r="AC269" s="32" t="s">
        <v>2031</v>
      </c>
      <c r="AD269" s="32" t="s">
        <v>561</v>
      </c>
      <c r="AE269" s="32" t="s">
        <v>451</v>
      </c>
      <c r="AF269" s="32" t="s">
        <v>451</v>
      </c>
      <c r="AG269" s="84" t="s">
        <v>79</v>
      </c>
      <c r="AH269" s="31" t="s">
        <v>452</v>
      </c>
      <c r="AI269" s="32" t="s">
        <v>453</v>
      </c>
      <c r="AJ269" s="32" t="s">
        <v>452</v>
      </c>
      <c r="AK269" s="84" t="s">
        <v>79</v>
      </c>
      <c r="AL269" s="31" t="s">
        <v>2032</v>
      </c>
      <c r="AM269" s="32" t="s">
        <v>1275</v>
      </c>
      <c r="AN269" s="32" t="s">
        <v>1275</v>
      </c>
      <c r="AO269" s="32" t="s">
        <v>1275</v>
      </c>
      <c r="AP269" s="84" t="s">
        <v>79</v>
      </c>
      <c r="AQ269" s="93" t="s">
        <v>459</v>
      </c>
      <c r="AR269" s="92" t="s">
        <v>2033</v>
      </c>
      <c r="AS269" s="98" t="s">
        <v>79</v>
      </c>
    </row>
    <row r="270" spans="1:45" ht="12.75" customHeight="1">
      <c r="A270" s="105"/>
      <c r="B270" s="80"/>
      <c r="C270" s="80"/>
      <c r="D270" s="94"/>
      <c r="E270" s="81"/>
      <c r="F270" s="85"/>
      <c r="G270" s="94"/>
      <c r="H270" s="81"/>
      <c r="I270" s="85"/>
      <c r="J270" s="94"/>
      <c r="K270" s="81"/>
      <c r="L270" s="85"/>
      <c r="M270" s="94"/>
      <c r="N270" s="81"/>
      <c r="O270" s="85"/>
      <c r="P270" s="94"/>
      <c r="Q270" s="81"/>
      <c r="R270" s="85"/>
      <c r="S270" s="94"/>
      <c r="T270" s="81"/>
      <c r="U270" s="85"/>
      <c r="V270" s="94"/>
      <c r="W270" s="81"/>
      <c r="X270" s="85"/>
      <c r="Y270" s="94"/>
      <c r="Z270" s="81"/>
      <c r="AA270" s="85"/>
      <c r="AB270" s="86" t="s">
        <v>2034</v>
      </c>
      <c r="AC270" s="77"/>
      <c r="AD270" s="77"/>
      <c r="AE270" s="77"/>
      <c r="AF270" s="78"/>
      <c r="AG270" s="85"/>
      <c r="AH270" s="86" t="s">
        <v>2033</v>
      </c>
      <c r="AI270" s="77"/>
      <c r="AJ270" s="78"/>
      <c r="AK270" s="85"/>
      <c r="AL270" s="86" t="s">
        <v>2033</v>
      </c>
      <c r="AM270" s="77"/>
      <c r="AN270" s="77"/>
      <c r="AO270" s="78"/>
      <c r="AP270" s="85"/>
      <c r="AQ270" s="94"/>
      <c r="AR270" s="81"/>
      <c r="AS270" s="99"/>
    </row>
    <row r="271" spans="1:45" ht="17.25" customHeight="1">
      <c r="A271" s="105"/>
      <c r="B271" s="80"/>
      <c r="C271" s="80"/>
      <c r="D271" s="33"/>
      <c r="E271" s="34"/>
      <c r="F271" s="35"/>
      <c r="G271" s="102" t="s">
        <v>428</v>
      </c>
      <c r="H271" s="110" t="str">
        <f t="array" ref="H271">IFERROR(INDEX('iCoA Register'!$B:$B,MATCH("P060032|I",'iCoA Register'!$P:$P,0)),"iCoA — at issue")&amp;", (29.01.2026) [PP]"</f>
        <v>iCoA-PP_26-039, (29.01.2026) [PP]</v>
      </c>
      <c r="I271" s="87" t="s">
        <v>79</v>
      </c>
      <c r="J271" s="102" t="s">
        <v>463</v>
      </c>
      <c r="K271" s="110" t="s">
        <v>1921</v>
      </c>
      <c r="L271" s="87" t="s">
        <v>79</v>
      </c>
      <c r="M271" s="124" t="s">
        <v>633</v>
      </c>
      <c r="N271" s="110" t="s">
        <v>1921</v>
      </c>
      <c r="O271" s="87" t="s">
        <v>79</v>
      </c>
      <c r="P271" s="120" t="s">
        <v>467</v>
      </c>
      <c r="Q271" s="110" t="s">
        <v>1921</v>
      </c>
      <c r="R271" s="87" t="s">
        <v>79</v>
      </c>
      <c r="S271" s="120" t="s">
        <v>467</v>
      </c>
      <c r="T271" s="110" t="s">
        <v>1921</v>
      </c>
      <c r="U271" s="87" t="s">
        <v>79</v>
      </c>
      <c r="V271" s="33"/>
      <c r="W271" s="34"/>
      <c r="X271" s="35"/>
      <c r="Y271" s="121" t="s">
        <v>434</v>
      </c>
      <c r="Z271" s="122" t="s">
        <v>2039</v>
      </c>
      <c r="AA271" s="123" t="s">
        <v>93</v>
      </c>
      <c r="AB271" s="33"/>
      <c r="AC271" s="34"/>
      <c r="AD271" s="34"/>
      <c r="AE271" s="34"/>
      <c r="AF271" s="34"/>
      <c r="AG271" s="35"/>
      <c r="AH271" s="36" t="s">
        <v>472</v>
      </c>
      <c r="AI271" s="37" t="s">
        <v>473</v>
      </c>
      <c r="AJ271" s="37" t="s">
        <v>472</v>
      </c>
      <c r="AK271" s="87" t="s">
        <v>79</v>
      </c>
      <c r="AL271" s="33"/>
      <c r="AM271" s="34"/>
      <c r="AN271" s="34"/>
      <c r="AO271" s="34"/>
      <c r="AP271" s="35"/>
      <c r="AQ271" s="33"/>
      <c r="AR271" s="34"/>
      <c r="AS271" s="38"/>
    </row>
    <row r="272" spans="1:45" ht="15" customHeight="1">
      <c r="A272" s="106"/>
      <c r="B272" s="108"/>
      <c r="C272" s="108"/>
      <c r="D272" s="39"/>
      <c r="E272" s="40"/>
      <c r="F272" s="41"/>
      <c r="G272" s="103"/>
      <c r="H272" s="108"/>
      <c r="I272" s="88"/>
      <c r="J272" s="103"/>
      <c r="K272" s="108"/>
      <c r="L272" s="88"/>
      <c r="M272" s="103"/>
      <c r="N272" s="108"/>
      <c r="O272" s="88"/>
      <c r="P272" s="103"/>
      <c r="Q272" s="108"/>
      <c r="R272" s="88"/>
      <c r="S272" s="103"/>
      <c r="T272" s="108"/>
      <c r="U272" s="88"/>
      <c r="V272" s="39"/>
      <c r="W272" s="40"/>
      <c r="X272" s="41"/>
      <c r="Y272" s="103"/>
      <c r="Z272" s="108"/>
      <c r="AA272" s="88"/>
      <c r="AB272" s="39"/>
      <c r="AC272" s="40"/>
      <c r="AD272" s="40"/>
      <c r="AE272" s="40"/>
      <c r="AF272" s="40"/>
      <c r="AG272" s="41"/>
      <c r="AH272" s="89" t="s">
        <v>1922</v>
      </c>
      <c r="AI272" s="90"/>
      <c r="AJ272" s="91"/>
      <c r="AK272" s="88"/>
      <c r="AL272" s="39"/>
      <c r="AM272" s="40"/>
      <c r="AN272" s="40"/>
      <c r="AO272" s="40"/>
      <c r="AP272" s="41"/>
      <c r="AQ272" s="39"/>
      <c r="AR272" s="40"/>
      <c r="AS272" s="42"/>
    </row>
    <row r="273" spans="1:45" ht="21" customHeight="1">
      <c r="A273" s="104" t="s">
        <v>116</v>
      </c>
      <c r="B273" s="107" t="s">
        <v>109</v>
      </c>
      <c r="C273" s="109" t="s">
        <v>512</v>
      </c>
      <c r="D273" s="93" t="s">
        <v>428</v>
      </c>
      <c r="E273" s="92" t="str">
        <f t="array" ref="E273">IFERROR(INDEX('iCoA Register'!$B:$B,MATCH("P060042|I",'iCoA Register'!$P:$P,0)),"iCoA — at issue")&amp;", (29.01.2026) [PP]"</f>
        <v>iCoA-PP_26-040, (29.01.2026) [PP]</v>
      </c>
      <c r="F273" s="84" t="s">
        <v>79</v>
      </c>
      <c r="G273" s="95" t="s">
        <v>434</v>
      </c>
      <c r="H273" s="96" t="s">
        <v>2042</v>
      </c>
      <c r="I273" s="97" t="s">
        <v>93</v>
      </c>
      <c r="J273" s="93" t="s">
        <v>95</v>
      </c>
      <c r="K273" s="92" t="s">
        <v>1269</v>
      </c>
      <c r="L273" s="84" t="s">
        <v>79</v>
      </c>
      <c r="M273" s="101" t="s">
        <v>2043</v>
      </c>
      <c r="N273" s="92" t="s">
        <v>1269</v>
      </c>
      <c r="O273" s="84" t="s">
        <v>79</v>
      </c>
      <c r="P273" s="100" t="s">
        <v>442</v>
      </c>
      <c r="Q273" s="92" t="s">
        <v>1269</v>
      </c>
      <c r="R273" s="84" t="s">
        <v>79</v>
      </c>
      <c r="S273" s="100" t="s">
        <v>1596</v>
      </c>
      <c r="T273" s="92" t="s">
        <v>1269</v>
      </c>
      <c r="U273" s="84" t="s">
        <v>79</v>
      </c>
      <c r="V273" s="93" t="s">
        <v>428</v>
      </c>
      <c r="W273" s="92" t="str">
        <f t="array" ref="W273">IFERROR(INDEX('iCoA Register'!$B:$B,MATCH("P060042|I",'iCoA Register'!$P:$P,0)),"iCoA — at issue")&amp;", (29.01.2026) [PP]"</f>
        <v>iCoA-PP_26-040, (29.01.2026) [PP]</v>
      </c>
      <c r="X273" s="84" t="s">
        <v>79</v>
      </c>
      <c r="Y273" s="93" t="s">
        <v>2045</v>
      </c>
      <c r="Z273" s="92" t="s">
        <v>1269</v>
      </c>
      <c r="AA273" s="84" t="s">
        <v>79</v>
      </c>
      <c r="AB273" s="31" t="s">
        <v>585</v>
      </c>
      <c r="AC273" s="32" t="s">
        <v>585</v>
      </c>
      <c r="AD273" s="32" t="s">
        <v>498</v>
      </c>
      <c r="AE273" s="32" t="s">
        <v>451</v>
      </c>
      <c r="AF273" s="32" t="s">
        <v>451</v>
      </c>
      <c r="AG273" s="84" t="s">
        <v>79</v>
      </c>
      <c r="AH273" s="31" t="s">
        <v>452</v>
      </c>
      <c r="AI273" s="32" t="s">
        <v>1272</v>
      </c>
      <c r="AJ273" s="32" t="s">
        <v>452</v>
      </c>
      <c r="AK273" s="84" t="s">
        <v>79</v>
      </c>
      <c r="AL273" s="31" t="s">
        <v>961</v>
      </c>
      <c r="AM273" s="32" t="s">
        <v>1275</v>
      </c>
      <c r="AN273" s="32" t="s">
        <v>1275</v>
      </c>
      <c r="AO273" s="32" t="s">
        <v>1275</v>
      </c>
      <c r="AP273" s="84" t="s">
        <v>79</v>
      </c>
      <c r="AQ273" s="93" t="s">
        <v>459</v>
      </c>
      <c r="AR273" s="92" t="s">
        <v>2046</v>
      </c>
      <c r="AS273" s="98" t="s">
        <v>79</v>
      </c>
    </row>
    <row r="274" spans="1:45" ht="12.75" customHeight="1">
      <c r="A274" s="105"/>
      <c r="B274" s="80"/>
      <c r="C274" s="80"/>
      <c r="D274" s="94"/>
      <c r="E274" s="81"/>
      <c r="F274" s="85"/>
      <c r="G274" s="94"/>
      <c r="H274" s="81"/>
      <c r="I274" s="85"/>
      <c r="J274" s="94"/>
      <c r="K274" s="81"/>
      <c r="L274" s="85"/>
      <c r="M274" s="94"/>
      <c r="N274" s="81"/>
      <c r="O274" s="85"/>
      <c r="P274" s="94"/>
      <c r="Q274" s="81"/>
      <c r="R274" s="85"/>
      <c r="S274" s="94"/>
      <c r="T274" s="81"/>
      <c r="U274" s="85"/>
      <c r="V274" s="94"/>
      <c r="W274" s="81"/>
      <c r="X274" s="85"/>
      <c r="Y274" s="94"/>
      <c r="Z274" s="81"/>
      <c r="AA274" s="85"/>
      <c r="AB274" s="86" t="s">
        <v>2048</v>
      </c>
      <c r="AC274" s="77"/>
      <c r="AD274" s="77"/>
      <c r="AE274" s="77"/>
      <c r="AF274" s="78"/>
      <c r="AG274" s="85"/>
      <c r="AH274" s="86" t="s">
        <v>2046</v>
      </c>
      <c r="AI274" s="77"/>
      <c r="AJ274" s="78"/>
      <c r="AK274" s="85"/>
      <c r="AL274" s="86" t="s">
        <v>2046</v>
      </c>
      <c r="AM274" s="77"/>
      <c r="AN274" s="77"/>
      <c r="AO274" s="78"/>
      <c r="AP274" s="85"/>
      <c r="AQ274" s="94"/>
      <c r="AR274" s="81"/>
      <c r="AS274" s="99"/>
    </row>
    <row r="275" spans="1:45" ht="13.5" customHeight="1">
      <c r="A275" s="105"/>
      <c r="B275" s="80"/>
      <c r="C275" s="80"/>
      <c r="D275" s="33"/>
      <c r="E275" s="34"/>
      <c r="F275" s="35"/>
      <c r="G275" s="102" t="s">
        <v>428</v>
      </c>
      <c r="H275" s="110" t="str">
        <f t="array" ref="H275">IFERROR(INDEX('iCoA Register'!$B:$B,MATCH("P060042|I",'iCoA Register'!$P:$P,0)),"iCoA — at issue")&amp;", (29.01.2026) [PP]"</f>
        <v>iCoA-PP_26-040, (29.01.2026) [PP]</v>
      </c>
      <c r="I275" s="87" t="s">
        <v>79</v>
      </c>
      <c r="J275" s="33"/>
      <c r="K275" s="34"/>
      <c r="L275" s="35"/>
      <c r="M275" s="33"/>
      <c r="N275" s="34"/>
      <c r="O275" s="35"/>
      <c r="P275" s="33"/>
      <c r="Q275" s="34"/>
      <c r="R275" s="35"/>
      <c r="S275" s="33"/>
      <c r="T275" s="34"/>
      <c r="U275" s="35"/>
      <c r="V275" s="33"/>
      <c r="W275" s="34"/>
      <c r="X275" s="35"/>
      <c r="Y275" s="33"/>
      <c r="Z275" s="34"/>
      <c r="AA275" s="35"/>
      <c r="AB275" s="33"/>
      <c r="AC275" s="34"/>
      <c r="AD275" s="34"/>
      <c r="AE275" s="34"/>
      <c r="AF275" s="34"/>
      <c r="AG275" s="35"/>
      <c r="AH275" s="33"/>
      <c r="AI275" s="34"/>
      <c r="AJ275" s="34"/>
      <c r="AK275" s="35"/>
      <c r="AL275" s="33"/>
      <c r="AM275" s="34"/>
      <c r="AN275" s="34"/>
      <c r="AO275" s="34"/>
      <c r="AP275" s="35"/>
      <c r="AQ275" s="33"/>
      <c r="AR275" s="34"/>
      <c r="AS275" s="38"/>
    </row>
    <row r="276" spans="1:45" ht="12.75" customHeight="1">
      <c r="A276" s="106"/>
      <c r="B276" s="108"/>
      <c r="C276" s="108"/>
      <c r="D276" s="39"/>
      <c r="E276" s="40"/>
      <c r="F276" s="41"/>
      <c r="G276" s="103"/>
      <c r="H276" s="108"/>
      <c r="I276" s="88"/>
      <c r="J276" s="39"/>
      <c r="K276" s="40"/>
      <c r="L276" s="41"/>
      <c r="M276" s="39"/>
      <c r="N276" s="40"/>
      <c r="O276" s="41"/>
      <c r="P276" s="39"/>
      <c r="Q276" s="40"/>
      <c r="R276" s="41"/>
      <c r="S276" s="39"/>
      <c r="T276" s="40"/>
      <c r="U276" s="41"/>
      <c r="V276" s="39"/>
      <c r="W276" s="40"/>
      <c r="X276" s="41"/>
      <c r="Y276" s="39"/>
      <c r="Z276" s="40"/>
      <c r="AA276" s="41"/>
      <c r="AB276" s="39"/>
      <c r="AC276" s="40"/>
      <c r="AD276" s="40"/>
      <c r="AE276" s="40"/>
      <c r="AF276" s="40"/>
      <c r="AG276" s="41"/>
      <c r="AH276" s="39"/>
      <c r="AI276" s="40"/>
      <c r="AJ276" s="40"/>
      <c r="AK276" s="41"/>
      <c r="AL276" s="39"/>
      <c r="AM276" s="40"/>
      <c r="AN276" s="40"/>
      <c r="AO276" s="40"/>
      <c r="AP276" s="41"/>
      <c r="AQ276" s="39"/>
      <c r="AR276" s="40"/>
      <c r="AS276" s="42"/>
    </row>
    <row r="277" spans="1:45" ht="17.25" customHeight="1">
      <c r="A277" s="104" t="s">
        <v>154</v>
      </c>
      <c r="B277" s="107" t="s">
        <v>153</v>
      </c>
      <c r="C277" s="109" t="s">
        <v>512</v>
      </c>
      <c r="D277" s="93" t="s">
        <v>428</v>
      </c>
      <c r="E277" s="92" t="str">
        <f t="array" ref="E277">IFERROR(INDEX('iCoA Register'!$B:$B,MATCH("P060052|I",'iCoA Register'!$P:$P,0)),"iCoA — at issue")&amp;", (30.01.2026) [PP]"</f>
        <v>iCoA-PP_26-041, (30.01.2026) [PP]</v>
      </c>
      <c r="F277" s="84" t="s">
        <v>79</v>
      </c>
      <c r="G277" s="95" t="s">
        <v>434</v>
      </c>
      <c r="H277" s="96" t="s">
        <v>2051</v>
      </c>
      <c r="I277" s="97" t="s">
        <v>93</v>
      </c>
      <c r="J277" s="93" t="s">
        <v>95</v>
      </c>
      <c r="K277" s="92" t="s">
        <v>1286</v>
      </c>
      <c r="L277" s="84" t="s">
        <v>79</v>
      </c>
      <c r="M277" s="101" t="s">
        <v>2052</v>
      </c>
      <c r="N277" s="92" t="s">
        <v>1286</v>
      </c>
      <c r="O277" s="84" t="s">
        <v>79</v>
      </c>
      <c r="P277" s="100" t="s">
        <v>1347</v>
      </c>
      <c r="Q277" s="92" t="s">
        <v>1286</v>
      </c>
      <c r="R277" s="84" t="s">
        <v>79</v>
      </c>
      <c r="S277" s="100" t="s">
        <v>1596</v>
      </c>
      <c r="T277" s="92" t="s">
        <v>1286</v>
      </c>
      <c r="U277" s="84" t="s">
        <v>79</v>
      </c>
      <c r="V277" s="93" t="s">
        <v>428</v>
      </c>
      <c r="W277" s="92" t="str">
        <f t="array" ref="W277">IFERROR(INDEX('iCoA Register'!$B:$B,MATCH("P060052|I",'iCoA Register'!$P:$P,0)),"iCoA — at issue")&amp;", (30.01.2026) [PP]"</f>
        <v>iCoA-PP_26-041, (30.01.2026) [PP]</v>
      </c>
      <c r="X277" s="84" t="s">
        <v>79</v>
      </c>
      <c r="Y277" s="93" t="s">
        <v>2054</v>
      </c>
      <c r="Z277" s="92" t="s">
        <v>1286</v>
      </c>
      <c r="AA277" s="84" t="s">
        <v>79</v>
      </c>
      <c r="AB277" s="31" t="s">
        <v>561</v>
      </c>
      <c r="AC277" s="32" t="s">
        <v>561</v>
      </c>
      <c r="AD277" s="32" t="s">
        <v>561</v>
      </c>
      <c r="AE277" s="32" t="s">
        <v>451</v>
      </c>
      <c r="AF277" s="32" t="s">
        <v>451</v>
      </c>
      <c r="AG277" s="84" t="s">
        <v>79</v>
      </c>
      <c r="AH277" s="31" t="s">
        <v>452</v>
      </c>
      <c r="AI277" s="32" t="s">
        <v>453</v>
      </c>
      <c r="AJ277" s="32" t="s">
        <v>452</v>
      </c>
      <c r="AK277" s="84" t="s">
        <v>79</v>
      </c>
      <c r="AL277" s="31" t="s">
        <v>567</v>
      </c>
      <c r="AM277" s="32" t="s">
        <v>1275</v>
      </c>
      <c r="AN277" s="32" t="s">
        <v>1275</v>
      </c>
      <c r="AO277" s="32" t="s">
        <v>1943</v>
      </c>
      <c r="AP277" s="84" t="s">
        <v>79</v>
      </c>
      <c r="AQ277" s="93" t="s">
        <v>459</v>
      </c>
      <c r="AR277" s="92" t="s">
        <v>2057</v>
      </c>
      <c r="AS277" s="98" t="s">
        <v>79</v>
      </c>
    </row>
    <row r="278" spans="1:45" ht="12.75" customHeight="1">
      <c r="A278" s="105"/>
      <c r="B278" s="80"/>
      <c r="C278" s="80"/>
      <c r="D278" s="94"/>
      <c r="E278" s="81"/>
      <c r="F278" s="85"/>
      <c r="G278" s="94"/>
      <c r="H278" s="81"/>
      <c r="I278" s="85"/>
      <c r="J278" s="94"/>
      <c r="K278" s="81"/>
      <c r="L278" s="85"/>
      <c r="M278" s="94"/>
      <c r="N278" s="81"/>
      <c r="O278" s="85"/>
      <c r="P278" s="94"/>
      <c r="Q278" s="81"/>
      <c r="R278" s="85"/>
      <c r="S278" s="94"/>
      <c r="T278" s="81"/>
      <c r="U278" s="85"/>
      <c r="V278" s="94"/>
      <c r="W278" s="81"/>
      <c r="X278" s="85"/>
      <c r="Y278" s="94"/>
      <c r="Z278" s="81"/>
      <c r="AA278" s="85"/>
      <c r="AB278" s="86" t="s">
        <v>2058</v>
      </c>
      <c r="AC278" s="77"/>
      <c r="AD278" s="77"/>
      <c r="AE278" s="77"/>
      <c r="AF278" s="78"/>
      <c r="AG278" s="85"/>
      <c r="AH278" s="86" t="s">
        <v>2057</v>
      </c>
      <c r="AI278" s="77"/>
      <c r="AJ278" s="78"/>
      <c r="AK278" s="85"/>
      <c r="AL278" s="86" t="s">
        <v>2057</v>
      </c>
      <c r="AM278" s="77"/>
      <c r="AN278" s="77"/>
      <c r="AO278" s="78"/>
      <c r="AP278" s="85"/>
      <c r="AQ278" s="94"/>
      <c r="AR278" s="81"/>
      <c r="AS278" s="99"/>
    </row>
    <row r="279" spans="1:45" ht="13.5" customHeight="1">
      <c r="A279" s="105"/>
      <c r="B279" s="80"/>
      <c r="C279" s="80"/>
      <c r="D279" s="33"/>
      <c r="E279" s="34"/>
      <c r="F279" s="35"/>
      <c r="G279" s="102" t="s">
        <v>428</v>
      </c>
      <c r="H279" s="110" t="str">
        <f t="array" ref="H279">IFERROR(INDEX('iCoA Register'!$B:$B,MATCH("P060052|I",'iCoA Register'!$P:$P,0)),"iCoA — at issue")&amp;", (30.01.2026) [PP]"</f>
        <v>iCoA-PP_26-041, (30.01.2026) [PP]</v>
      </c>
      <c r="I279" s="87" t="s">
        <v>79</v>
      </c>
      <c r="J279" s="33"/>
      <c r="K279" s="34"/>
      <c r="L279" s="35"/>
      <c r="M279" s="33"/>
      <c r="N279" s="34"/>
      <c r="O279" s="35"/>
      <c r="P279" s="33"/>
      <c r="Q279" s="34"/>
      <c r="R279" s="35"/>
      <c r="S279" s="33"/>
      <c r="T279" s="34"/>
      <c r="U279" s="35"/>
      <c r="V279" s="33"/>
      <c r="W279" s="34"/>
      <c r="X279" s="35"/>
      <c r="Y279" s="33"/>
      <c r="Z279" s="34"/>
      <c r="AA279" s="35"/>
      <c r="AB279" s="36" t="s">
        <v>561</v>
      </c>
      <c r="AC279" s="37" t="s">
        <v>561</v>
      </c>
      <c r="AD279" s="37" t="s">
        <v>561</v>
      </c>
      <c r="AE279" s="37" t="s">
        <v>528</v>
      </c>
      <c r="AF279" s="37" t="s">
        <v>528</v>
      </c>
      <c r="AG279" s="87" t="s">
        <v>79</v>
      </c>
      <c r="AH279" s="33"/>
      <c r="AI279" s="34"/>
      <c r="AJ279" s="34"/>
      <c r="AK279" s="35"/>
      <c r="AL279" s="33"/>
      <c r="AM279" s="34"/>
      <c r="AN279" s="34"/>
      <c r="AO279" s="34"/>
      <c r="AP279" s="35"/>
      <c r="AQ279" s="33"/>
      <c r="AR279" s="34"/>
      <c r="AS279" s="38"/>
    </row>
    <row r="280" spans="1:45" ht="12.75" customHeight="1">
      <c r="A280" s="106"/>
      <c r="B280" s="108"/>
      <c r="C280" s="108"/>
      <c r="D280" s="39"/>
      <c r="E280" s="40"/>
      <c r="F280" s="41"/>
      <c r="G280" s="103"/>
      <c r="H280" s="108"/>
      <c r="I280" s="88"/>
      <c r="J280" s="39"/>
      <c r="K280" s="40"/>
      <c r="L280" s="41"/>
      <c r="M280" s="39"/>
      <c r="N280" s="40"/>
      <c r="O280" s="41"/>
      <c r="P280" s="39"/>
      <c r="Q280" s="40"/>
      <c r="R280" s="41"/>
      <c r="S280" s="39"/>
      <c r="T280" s="40"/>
      <c r="U280" s="41"/>
      <c r="V280" s="39"/>
      <c r="W280" s="40"/>
      <c r="X280" s="41"/>
      <c r="Y280" s="39"/>
      <c r="Z280" s="40"/>
      <c r="AA280" s="41"/>
      <c r="AB280" s="89" t="s">
        <v>2060</v>
      </c>
      <c r="AC280" s="90"/>
      <c r="AD280" s="90"/>
      <c r="AE280" s="90"/>
      <c r="AF280" s="91"/>
      <c r="AG280" s="88"/>
      <c r="AH280" s="39"/>
      <c r="AI280" s="40"/>
      <c r="AJ280" s="40"/>
      <c r="AK280" s="41"/>
      <c r="AL280" s="39"/>
      <c r="AM280" s="40"/>
      <c r="AN280" s="40"/>
      <c r="AO280" s="40"/>
      <c r="AP280" s="41"/>
      <c r="AQ280" s="39"/>
      <c r="AR280" s="40"/>
      <c r="AS280" s="42"/>
    </row>
    <row r="281" spans="1:45" ht="17.25" customHeight="1">
      <c r="A281" s="104" t="s">
        <v>165</v>
      </c>
      <c r="B281" s="107" t="s">
        <v>160</v>
      </c>
      <c r="C281" s="109" t="s">
        <v>426</v>
      </c>
      <c r="D281" s="93" t="s">
        <v>428</v>
      </c>
      <c r="E281" s="92" t="str">
        <f t="array" ref="E281">IFERROR(INDEX('iCoA Register'!$B:$B,MATCH("P060062|I",'iCoA Register'!$P:$P,0)),"iCoA — at issue")&amp;", (30.01.2026) [PP]"</f>
        <v>iCoA-PP_26-042, (30.01.2026) [PP]</v>
      </c>
      <c r="F281" s="84" t="s">
        <v>79</v>
      </c>
      <c r="G281" s="95" t="s">
        <v>434</v>
      </c>
      <c r="H281" s="96" t="s">
        <v>2064</v>
      </c>
      <c r="I281" s="97" t="s">
        <v>93</v>
      </c>
      <c r="J281" s="93" t="s">
        <v>463</v>
      </c>
      <c r="K281" s="92" t="s">
        <v>1297</v>
      </c>
      <c r="L281" s="84" t="s">
        <v>79</v>
      </c>
      <c r="M281" s="101" t="s">
        <v>2066</v>
      </c>
      <c r="N281" s="92" t="s">
        <v>1297</v>
      </c>
      <c r="O281" s="84" t="s">
        <v>79</v>
      </c>
      <c r="P281" s="100" t="s">
        <v>567</v>
      </c>
      <c r="Q281" s="92" t="s">
        <v>1297</v>
      </c>
      <c r="R281" s="84" t="s">
        <v>79</v>
      </c>
      <c r="S281" s="100" t="s">
        <v>530</v>
      </c>
      <c r="T281" s="92" t="s">
        <v>1297</v>
      </c>
      <c r="U281" s="84" t="s">
        <v>79</v>
      </c>
      <c r="V281" s="93" t="s">
        <v>428</v>
      </c>
      <c r="W281" s="92" t="str">
        <f t="array" ref="W281">IFERROR(INDEX('iCoA Register'!$B:$B,MATCH("P060062|I",'iCoA Register'!$P:$P,0)),"iCoA — at issue")&amp;", (30.01.2026) [PP]"</f>
        <v>iCoA-PP_26-042, (30.01.2026) [PP]</v>
      </c>
      <c r="X281" s="84" t="s">
        <v>79</v>
      </c>
      <c r="Y281" s="93" t="s">
        <v>2067</v>
      </c>
      <c r="Z281" s="92" t="s">
        <v>1297</v>
      </c>
      <c r="AA281" s="84" t="s">
        <v>79</v>
      </c>
      <c r="AB281" s="31" t="s">
        <v>2068</v>
      </c>
      <c r="AC281" s="32" t="s">
        <v>497</v>
      </c>
      <c r="AD281" s="32" t="s">
        <v>561</v>
      </c>
      <c r="AE281" s="32" t="s">
        <v>451</v>
      </c>
      <c r="AF281" s="32" t="s">
        <v>451</v>
      </c>
      <c r="AG281" s="84" t="s">
        <v>79</v>
      </c>
      <c r="AH281" s="31" t="s">
        <v>452</v>
      </c>
      <c r="AI281" s="32" t="s">
        <v>453</v>
      </c>
      <c r="AJ281" s="32" t="s">
        <v>452</v>
      </c>
      <c r="AK281" s="84" t="s">
        <v>79</v>
      </c>
      <c r="AL281" s="31" t="s">
        <v>1364</v>
      </c>
      <c r="AM281" s="32" t="s">
        <v>1315</v>
      </c>
      <c r="AN281" s="32" t="s">
        <v>1315</v>
      </c>
      <c r="AO281" s="32" t="s">
        <v>1315</v>
      </c>
      <c r="AP281" s="84" t="s">
        <v>79</v>
      </c>
      <c r="AQ281" s="93" t="s">
        <v>1063</v>
      </c>
      <c r="AR281" s="92" t="s">
        <v>2070</v>
      </c>
      <c r="AS281" s="98" t="s">
        <v>79</v>
      </c>
    </row>
    <row r="282" spans="1:45" ht="12.75" customHeight="1">
      <c r="A282" s="105"/>
      <c r="B282" s="80"/>
      <c r="C282" s="80"/>
      <c r="D282" s="94"/>
      <c r="E282" s="81"/>
      <c r="F282" s="85"/>
      <c r="G282" s="94"/>
      <c r="H282" s="81"/>
      <c r="I282" s="85"/>
      <c r="J282" s="94"/>
      <c r="K282" s="81"/>
      <c r="L282" s="85"/>
      <c r="M282" s="94"/>
      <c r="N282" s="81"/>
      <c r="O282" s="85"/>
      <c r="P282" s="94"/>
      <c r="Q282" s="81"/>
      <c r="R282" s="85"/>
      <c r="S282" s="94"/>
      <c r="T282" s="81"/>
      <c r="U282" s="85"/>
      <c r="V282" s="94"/>
      <c r="W282" s="81"/>
      <c r="X282" s="85"/>
      <c r="Y282" s="94"/>
      <c r="Z282" s="81"/>
      <c r="AA282" s="85"/>
      <c r="AB282" s="86" t="s">
        <v>2072</v>
      </c>
      <c r="AC282" s="77"/>
      <c r="AD282" s="77"/>
      <c r="AE282" s="77"/>
      <c r="AF282" s="78"/>
      <c r="AG282" s="85"/>
      <c r="AH282" s="86" t="s">
        <v>2070</v>
      </c>
      <c r="AI282" s="77"/>
      <c r="AJ282" s="78"/>
      <c r="AK282" s="85"/>
      <c r="AL282" s="86" t="s">
        <v>2070</v>
      </c>
      <c r="AM282" s="77"/>
      <c r="AN282" s="77"/>
      <c r="AO282" s="78"/>
      <c r="AP282" s="85"/>
      <c r="AQ282" s="94"/>
      <c r="AR282" s="81"/>
      <c r="AS282" s="99"/>
    </row>
    <row r="283" spans="1:45" ht="17.25" customHeight="1">
      <c r="A283" s="105"/>
      <c r="B283" s="80"/>
      <c r="C283" s="80"/>
      <c r="D283" s="33"/>
      <c r="E283" s="34"/>
      <c r="F283" s="35"/>
      <c r="G283" s="102" t="s">
        <v>428</v>
      </c>
      <c r="H283" s="110" t="str">
        <f t="array" ref="H283">IFERROR(INDEX('iCoA Register'!$B:$B,MATCH("P060062|I",'iCoA Register'!$P:$P,0)),"iCoA — at issue")&amp;", (30.01.2026) [PP]"</f>
        <v>iCoA-PP_26-042, (30.01.2026) [PP]</v>
      </c>
      <c r="I283" s="87" t="s">
        <v>79</v>
      </c>
      <c r="J283" s="102" t="s">
        <v>95</v>
      </c>
      <c r="K283" s="110" t="s">
        <v>1934</v>
      </c>
      <c r="L283" s="87" t="s">
        <v>79</v>
      </c>
      <c r="M283" s="124" t="s">
        <v>2075</v>
      </c>
      <c r="N283" s="110" t="s">
        <v>1934</v>
      </c>
      <c r="O283" s="87" t="s">
        <v>79</v>
      </c>
      <c r="P283" s="120" t="s">
        <v>705</v>
      </c>
      <c r="Q283" s="110" t="s">
        <v>1934</v>
      </c>
      <c r="R283" s="87" t="s">
        <v>79</v>
      </c>
      <c r="S283" s="120" t="s">
        <v>705</v>
      </c>
      <c r="T283" s="110" t="s">
        <v>1934</v>
      </c>
      <c r="U283" s="87" t="s">
        <v>79</v>
      </c>
      <c r="V283" s="33"/>
      <c r="W283" s="34"/>
      <c r="X283" s="35"/>
      <c r="Y283" s="121" t="s">
        <v>434</v>
      </c>
      <c r="Z283" s="122" t="s">
        <v>2077</v>
      </c>
      <c r="AA283" s="123" t="s">
        <v>93</v>
      </c>
      <c r="AB283" s="33"/>
      <c r="AC283" s="34"/>
      <c r="AD283" s="34"/>
      <c r="AE283" s="34"/>
      <c r="AF283" s="34"/>
      <c r="AG283" s="35"/>
      <c r="AH283" s="36" t="s">
        <v>472</v>
      </c>
      <c r="AI283" s="37" t="s">
        <v>473</v>
      </c>
      <c r="AJ283" s="37" t="s">
        <v>472</v>
      </c>
      <c r="AK283" s="87" t="s">
        <v>79</v>
      </c>
      <c r="AL283" s="33"/>
      <c r="AM283" s="34"/>
      <c r="AN283" s="34"/>
      <c r="AO283" s="34"/>
      <c r="AP283" s="35"/>
      <c r="AQ283" s="33"/>
      <c r="AR283" s="34"/>
      <c r="AS283" s="38"/>
    </row>
    <row r="284" spans="1:45" ht="15" customHeight="1">
      <c r="A284" s="106"/>
      <c r="B284" s="108"/>
      <c r="C284" s="108"/>
      <c r="D284" s="39"/>
      <c r="E284" s="40"/>
      <c r="F284" s="41"/>
      <c r="G284" s="103"/>
      <c r="H284" s="108"/>
      <c r="I284" s="88"/>
      <c r="J284" s="103"/>
      <c r="K284" s="108"/>
      <c r="L284" s="88"/>
      <c r="M284" s="103"/>
      <c r="N284" s="108"/>
      <c r="O284" s="88"/>
      <c r="P284" s="103"/>
      <c r="Q284" s="108"/>
      <c r="R284" s="88"/>
      <c r="S284" s="103"/>
      <c r="T284" s="108"/>
      <c r="U284" s="88"/>
      <c r="V284" s="39"/>
      <c r="W284" s="40"/>
      <c r="X284" s="41"/>
      <c r="Y284" s="103"/>
      <c r="Z284" s="108"/>
      <c r="AA284" s="88"/>
      <c r="AB284" s="39"/>
      <c r="AC284" s="40"/>
      <c r="AD284" s="40"/>
      <c r="AE284" s="40"/>
      <c r="AF284" s="40"/>
      <c r="AG284" s="41"/>
      <c r="AH284" s="89" t="s">
        <v>1935</v>
      </c>
      <c r="AI284" s="90"/>
      <c r="AJ284" s="91"/>
      <c r="AK284" s="88"/>
      <c r="AL284" s="39"/>
      <c r="AM284" s="40"/>
      <c r="AN284" s="40"/>
      <c r="AO284" s="40"/>
      <c r="AP284" s="41"/>
      <c r="AQ284" s="39"/>
      <c r="AR284" s="40"/>
      <c r="AS284" s="42"/>
    </row>
    <row r="285" spans="1:45" ht="17.25" customHeight="1">
      <c r="A285" s="104" t="s">
        <v>137</v>
      </c>
      <c r="B285" s="107" t="s">
        <v>127</v>
      </c>
      <c r="C285" s="109" t="s">
        <v>512</v>
      </c>
      <c r="D285" s="93" t="s">
        <v>428</v>
      </c>
      <c r="E285" s="92" t="str">
        <f t="array" ref="E285">IFERROR(INDEX('iCoA Register'!$B:$B,MATCH("P060072|I",'iCoA Register'!$P:$P,0)),"iCoA — at issue")&amp;", (02.02.2026) [PP]"</f>
        <v>iCoA-PP_26-043, (02.02.2026) [PP]</v>
      </c>
      <c r="F285" s="84" t="s">
        <v>79</v>
      </c>
      <c r="G285" s="95" t="s">
        <v>434</v>
      </c>
      <c r="H285" s="96" t="s">
        <v>2082</v>
      </c>
      <c r="I285" s="97" t="s">
        <v>93</v>
      </c>
      <c r="J285" s="93" t="s">
        <v>95</v>
      </c>
      <c r="K285" s="92" t="s">
        <v>1307</v>
      </c>
      <c r="L285" s="84" t="s">
        <v>79</v>
      </c>
      <c r="M285" s="101" t="s">
        <v>2083</v>
      </c>
      <c r="N285" s="92" t="s">
        <v>1307</v>
      </c>
      <c r="O285" s="84" t="s">
        <v>79</v>
      </c>
      <c r="P285" s="100" t="s">
        <v>1331</v>
      </c>
      <c r="Q285" s="92" t="s">
        <v>1307</v>
      </c>
      <c r="R285" s="84" t="s">
        <v>79</v>
      </c>
      <c r="S285" s="100" t="s">
        <v>1596</v>
      </c>
      <c r="T285" s="92" t="s">
        <v>1307</v>
      </c>
      <c r="U285" s="84" t="s">
        <v>79</v>
      </c>
      <c r="V285" s="93" t="s">
        <v>428</v>
      </c>
      <c r="W285" s="92" t="str">
        <f t="array" ref="W285">IFERROR(INDEX('iCoA Register'!$B:$B,MATCH("P060072|I",'iCoA Register'!$P:$P,0)),"iCoA — at issue")&amp;", (02.02.2026) [PP]"</f>
        <v>iCoA-PP_26-043, (02.02.2026) [PP]</v>
      </c>
      <c r="X285" s="84" t="s">
        <v>79</v>
      </c>
      <c r="Y285" s="93" t="s">
        <v>2086</v>
      </c>
      <c r="Z285" s="92" t="s">
        <v>1307</v>
      </c>
      <c r="AA285" s="84" t="s">
        <v>79</v>
      </c>
      <c r="AB285" s="31" t="s">
        <v>561</v>
      </c>
      <c r="AC285" s="32" t="s">
        <v>561</v>
      </c>
      <c r="AD285" s="32" t="s">
        <v>561</v>
      </c>
      <c r="AE285" s="32" t="s">
        <v>451</v>
      </c>
      <c r="AF285" s="32" t="s">
        <v>451</v>
      </c>
      <c r="AG285" s="84" t="s">
        <v>79</v>
      </c>
      <c r="AH285" s="31" t="s">
        <v>452</v>
      </c>
      <c r="AI285" s="32" t="s">
        <v>453</v>
      </c>
      <c r="AJ285" s="32" t="s">
        <v>452</v>
      </c>
      <c r="AK285" s="84" t="s">
        <v>79</v>
      </c>
      <c r="AL285" s="31" t="s">
        <v>442</v>
      </c>
      <c r="AM285" s="32" t="s">
        <v>1275</v>
      </c>
      <c r="AN285" s="32" t="s">
        <v>1275</v>
      </c>
      <c r="AO285" s="32" t="s">
        <v>1104</v>
      </c>
      <c r="AP285" s="84" t="s">
        <v>79</v>
      </c>
      <c r="AQ285" s="93" t="s">
        <v>459</v>
      </c>
      <c r="AR285" s="92" t="s">
        <v>2088</v>
      </c>
      <c r="AS285" s="98" t="s">
        <v>79</v>
      </c>
    </row>
    <row r="286" spans="1:45" ht="12.75" customHeight="1">
      <c r="A286" s="105"/>
      <c r="B286" s="80"/>
      <c r="C286" s="80"/>
      <c r="D286" s="94"/>
      <c r="E286" s="81"/>
      <c r="F286" s="85"/>
      <c r="G286" s="94"/>
      <c r="H286" s="81"/>
      <c r="I286" s="85"/>
      <c r="J286" s="94"/>
      <c r="K286" s="81"/>
      <c r="L286" s="85"/>
      <c r="M286" s="94"/>
      <c r="N286" s="81"/>
      <c r="O286" s="85"/>
      <c r="P286" s="94"/>
      <c r="Q286" s="81"/>
      <c r="R286" s="85"/>
      <c r="S286" s="94"/>
      <c r="T286" s="81"/>
      <c r="U286" s="85"/>
      <c r="V286" s="94"/>
      <c r="W286" s="81"/>
      <c r="X286" s="85"/>
      <c r="Y286" s="94"/>
      <c r="Z286" s="81"/>
      <c r="AA286" s="85"/>
      <c r="AB286" s="86" t="s">
        <v>2089</v>
      </c>
      <c r="AC286" s="77"/>
      <c r="AD286" s="77"/>
      <c r="AE286" s="77"/>
      <c r="AF286" s="78"/>
      <c r="AG286" s="85"/>
      <c r="AH286" s="86" t="s">
        <v>2088</v>
      </c>
      <c r="AI286" s="77"/>
      <c r="AJ286" s="78"/>
      <c r="AK286" s="85"/>
      <c r="AL286" s="86" t="s">
        <v>2088</v>
      </c>
      <c r="AM286" s="77"/>
      <c r="AN286" s="77"/>
      <c r="AO286" s="78"/>
      <c r="AP286" s="85"/>
      <c r="AQ286" s="94"/>
      <c r="AR286" s="81"/>
      <c r="AS286" s="99"/>
    </row>
    <row r="287" spans="1:45" ht="13.5" customHeight="1">
      <c r="A287" s="105"/>
      <c r="B287" s="80"/>
      <c r="C287" s="80"/>
      <c r="D287" s="33"/>
      <c r="E287" s="34"/>
      <c r="F287" s="35"/>
      <c r="G287" s="102" t="s">
        <v>428</v>
      </c>
      <c r="H287" s="110" t="str">
        <f t="array" ref="H287">IFERROR(INDEX('iCoA Register'!$B:$B,MATCH("P060072|I",'iCoA Register'!$P:$P,0)),"iCoA — at issue")&amp;", (02.02.2026) [PP]"</f>
        <v>iCoA-PP_26-043, (02.02.2026) [PP]</v>
      </c>
      <c r="I287" s="87" t="s">
        <v>79</v>
      </c>
      <c r="J287" s="33"/>
      <c r="K287" s="34"/>
      <c r="L287" s="35"/>
      <c r="M287" s="33"/>
      <c r="N287" s="34"/>
      <c r="O287" s="35"/>
      <c r="P287" s="33"/>
      <c r="Q287" s="34"/>
      <c r="R287" s="35"/>
      <c r="S287" s="33"/>
      <c r="T287" s="34"/>
      <c r="U287" s="35"/>
      <c r="V287" s="33"/>
      <c r="W287" s="34"/>
      <c r="X287" s="35"/>
      <c r="Y287" s="33"/>
      <c r="Z287" s="34"/>
      <c r="AA287" s="35"/>
      <c r="AB287" s="33"/>
      <c r="AC287" s="34"/>
      <c r="AD287" s="34"/>
      <c r="AE287" s="34"/>
      <c r="AF287" s="34"/>
      <c r="AG287" s="35"/>
      <c r="AH287" s="33"/>
      <c r="AI287" s="34"/>
      <c r="AJ287" s="34"/>
      <c r="AK287" s="35"/>
      <c r="AL287" s="33"/>
      <c r="AM287" s="34"/>
      <c r="AN287" s="34"/>
      <c r="AO287" s="34"/>
      <c r="AP287" s="35"/>
      <c r="AQ287" s="33"/>
      <c r="AR287" s="34"/>
      <c r="AS287" s="38"/>
    </row>
    <row r="288" spans="1:45" ht="12.75" customHeight="1">
      <c r="A288" s="106"/>
      <c r="B288" s="108"/>
      <c r="C288" s="108"/>
      <c r="D288" s="39"/>
      <c r="E288" s="40"/>
      <c r="F288" s="41"/>
      <c r="G288" s="103"/>
      <c r="H288" s="108"/>
      <c r="I288" s="88"/>
      <c r="J288" s="39"/>
      <c r="K288" s="40"/>
      <c r="L288" s="41"/>
      <c r="M288" s="39"/>
      <c r="N288" s="40"/>
      <c r="O288" s="41"/>
      <c r="P288" s="39"/>
      <c r="Q288" s="40"/>
      <c r="R288" s="41"/>
      <c r="S288" s="39"/>
      <c r="T288" s="40"/>
      <c r="U288" s="41"/>
      <c r="V288" s="39"/>
      <c r="W288" s="40"/>
      <c r="X288" s="41"/>
      <c r="Y288" s="39"/>
      <c r="Z288" s="40"/>
      <c r="AA288" s="41"/>
      <c r="AB288" s="39"/>
      <c r="AC288" s="40"/>
      <c r="AD288" s="40"/>
      <c r="AE288" s="40"/>
      <c r="AF288" s="40"/>
      <c r="AG288" s="41"/>
      <c r="AH288" s="39"/>
      <c r="AI288" s="40"/>
      <c r="AJ288" s="40"/>
      <c r="AK288" s="41"/>
      <c r="AL288" s="39"/>
      <c r="AM288" s="40"/>
      <c r="AN288" s="40"/>
      <c r="AO288" s="40"/>
      <c r="AP288" s="41"/>
      <c r="AQ288" s="39"/>
      <c r="AR288" s="40"/>
      <c r="AS288" s="42"/>
    </row>
    <row r="289" spans="1:45" ht="17.25" customHeight="1">
      <c r="A289" s="104" t="s">
        <v>151</v>
      </c>
      <c r="B289" s="107" t="s">
        <v>149</v>
      </c>
      <c r="C289" s="109" t="s">
        <v>512</v>
      </c>
      <c r="D289" s="93" t="s">
        <v>428</v>
      </c>
      <c r="E289" s="92" t="str">
        <f t="array" ref="E289">IFERROR(INDEX('iCoA Register'!$B:$B,MATCH("P060082|I",'iCoA Register'!$P:$P,0)),"iCoA — at issue")&amp;", (02.02.2026) [PP]"</f>
        <v>iCoA-PP_26-044, (02.02.2026) [PP]</v>
      </c>
      <c r="F289" s="84" t="s">
        <v>79</v>
      </c>
      <c r="G289" s="95" t="s">
        <v>434</v>
      </c>
      <c r="H289" s="96" t="s">
        <v>2092</v>
      </c>
      <c r="I289" s="97" t="s">
        <v>93</v>
      </c>
      <c r="J289" s="93" t="s">
        <v>95</v>
      </c>
      <c r="K289" s="92" t="s">
        <v>1318</v>
      </c>
      <c r="L289" s="84" t="s">
        <v>79</v>
      </c>
      <c r="M289" s="101" t="s">
        <v>2093</v>
      </c>
      <c r="N289" s="92" t="s">
        <v>1318</v>
      </c>
      <c r="O289" s="84" t="s">
        <v>79</v>
      </c>
      <c r="P289" s="100" t="s">
        <v>1347</v>
      </c>
      <c r="Q289" s="92" t="s">
        <v>1318</v>
      </c>
      <c r="R289" s="84" t="s">
        <v>79</v>
      </c>
      <c r="S289" s="100" t="s">
        <v>530</v>
      </c>
      <c r="T289" s="92" t="s">
        <v>1318</v>
      </c>
      <c r="U289" s="84" t="s">
        <v>79</v>
      </c>
      <c r="V289" s="93" t="s">
        <v>428</v>
      </c>
      <c r="W289" s="92" t="str">
        <f t="array" ref="W289">IFERROR(INDEX('iCoA Register'!$B:$B,MATCH("P060082|I",'iCoA Register'!$P:$P,0)),"iCoA — at issue")&amp;", (02.02.2026) [PP]"</f>
        <v>iCoA-PP_26-044, (02.02.2026) [PP]</v>
      </c>
      <c r="X289" s="84" t="s">
        <v>79</v>
      </c>
      <c r="Y289" s="93" t="s">
        <v>2094</v>
      </c>
      <c r="Z289" s="92" t="s">
        <v>1318</v>
      </c>
      <c r="AA289" s="84" t="s">
        <v>79</v>
      </c>
      <c r="AB289" s="31" t="s">
        <v>561</v>
      </c>
      <c r="AC289" s="32" t="s">
        <v>561</v>
      </c>
      <c r="AD289" s="32" t="s">
        <v>585</v>
      </c>
      <c r="AE289" s="32" t="s">
        <v>451</v>
      </c>
      <c r="AF289" s="32" t="s">
        <v>451</v>
      </c>
      <c r="AG289" s="84" t="s">
        <v>79</v>
      </c>
      <c r="AH289" s="31" t="s">
        <v>452</v>
      </c>
      <c r="AI289" s="32" t="s">
        <v>1666</v>
      </c>
      <c r="AJ289" s="32" t="s">
        <v>452</v>
      </c>
      <c r="AK289" s="84" t="s">
        <v>79</v>
      </c>
      <c r="AL289" s="31" t="s">
        <v>780</v>
      </c>
      <c r="AM289" s="32" t="s">
        <v>1275</v>
      </c>
      <c r="AN289" s="32" t="s">
        <v>1275</v>
      </c>
      <c r="AO289" s="32" t="s">
        <v>1943</v>
      </c>
      <c r="AP289" s="84" t="s">
        <v>79</v>
      </c>
      <c r="AQ289" s="93" t="s">
        <v>459</v>
      </c>
      <c r="AR289" s="92" t="s">
        <v>2095</v>
      </c>
      <c r="AS289" s="98" t="s">
        <v>79</v>
      </c>
    </row>
    <row r="290" spans="1:45" ht="12.75" customHeight="1">
      <c r="A290" s="105"/>
      <c r="B290" s="80"/>
      <c r="C290" s="80"/>
      <c r="D290" s="94"/>
      <c r="E290" s="81"/>
      <c r="F290" s="85"/>
      <c r="G290" s="94"/>
      <c r="H290" s="81"/>
      <c r="I290" s="85"/>
      <c r="J290" s="94"/>
      <c r="K290" s="81"/>
      <c r="L290" s="85"/>
      <c r="M290" s="94"/>
      <c r="N290" s="81"/>
      <c r="O290" s="85"/>
      <c r="P290" s="94"/>
      <c r="Q290" s="81"/>
      <c r="R290" s="85"/>
      <c r="S290" s="94"/>
      <c r="T290" s="81"/>
      <c r="U290" s="85"/>
      <c r="V290" s="94"/>
      <c r="W290" s="81"/>
      <c r="X290" s="85"/>
      <c r="Y290" s="94"/>
      <c r="Z290" s="81"/>
      <c r="AA290" s="85"/>
      <c r="AB290" s="86" t="s">
        <v>2096</v>
      </c>
      <c r="AC290" s="77"/>
      <c r="AD290" s="77"/>
      <c r="AE290" s="77"/>
      <c r="AF290" s="78"/>
      <c r="AG290" s="85"/>
      <c r="AH290" s="86" t="s">
        <v>2095</v>
      </c>
      <c r="AI290" s="77"/>
      <c r="AJ290" s="78"/>
      <c r="AK290" s="85"/>
      <c r="AL290" s="86" t="s">
        <v>2095</v>
      </c>
      <c r="AM290" s="77"/>
      <c r="AN290" s="77"/>
      <c r="AO290" s="78"/>
      <c r="AP290" s="85"/>
      <c r="AQ290" s="94"/>
      <c r="AR290" s="81"/>
      <c r="AS290" s="99"/>
    </row>
    <row r="291" spans="1:45" ht="13.5" customHeight="1">
      <c r="A291" s="105"/>
      <c r="B291" s="80"/>
      <c r="C291" s="80"/>
      <c r="D291" s="33"/>
      <c r="E291" s="34"/>
      <c r="F291" s="35"/>
      <c r="G291" s="102" t="s">
        <v>428</v>
      </c>
      <c r="H291" s="110" t="str">
        <f t="array" ref="H291">IFERROR(INDEX('iCoA Register'!$B:$B,MATCH("P060082|I",'iCoA Register'!$P:$P,0)),"iCoA — at issue")&amp;", (02.02.2026) [PP]"</f>
        <v>iCoA-PP_26-044, (02.02.2026) [PP]</v>
      </c>
      <c r="I291" s="87" t="s">
        <v>79</v>
      </c>
      <c r="J291" s="33"/>
      <c r="K291" s="34"/>
      <c r="L291" s="35"/>
      <c r="M291" s="33"/>
      <c r="N291" s="34"/>
      <c r="O291" s="35"/>
      <c r="P291" s="33"/>
      <c r="Q291" s="34"/>
      <c r="R291" s="35"/>
      <c r="S291" s="33"/>
      <c r="T291" s="34"/>
      <c r="U291" s="35"/>
      <c r="V291" s="33"/>
      <c r="W291" s="34"/>
      <c r="X291" s="35"/>
      <c r="Y291" s="33"/>
      <c r="Z291" s="34"/>
      <c r="AA291" s="35"/>
      <c r="AB291" s="33"/>
      <c r="AC291" s="34"/>
      <c r="AD291" s="34"/>
      <c r="AE291" s="34"/>
      <c r="AF291" s="34"/>
      <c r="AG291" s="35"/>
      <c r="AH291" s="33"/>
      <c r="AI291" s="34"/>
      <c r="AJ291" s="34"/>
      <c r="AK291" s="35"/>
      <c r="AL291" s="33"/>
      <c r="AM291" s="34"/>
      <c r="AN291" s="34"/>
      <c r="AO291" s="34"/>
      <c r="AP291" s="35"/>
      <c r="AQ291" s="33"/>
      <c r="AR291" s="34"/>
      <c r="AS291" s="38"/>
    </row>
    <row r="292" spans="1:45" ht="12.75" customHeight="1">
      <c r="A292" s="106"/>
      <c r="B292" s="108"/>
      <c r="C292" s="108"/>
      <c r="D292" s="39"/>
      <c r="E292" s="40"/>
      <c r="F292" s="41"/>
      <c r="G292" s="103"/>
      <c r="H292" s="108"/>
      <c r="I292" s="88"/>
      <c r="J292" s="39"/>
      <c r="K292" s="40"/>
      <c r="L292" s="41"/>
      <c r="M292" s="39"/>
      <c r="N292" s="40"/>
      <c r="O292" s="41"/>
      <c r="P292" s="39"/>
      <c r="Q292" s="40"/>
      <c r="R292" s="41"/>
      <c r="S292" s="39"/>
      <c r="T292" s="40"/>
      <c r="U292" s="41"/>
      <c r="V292" s="39"/>
      <c r="W292" s="40"/>
      <c r="X292" s="41"/>
      <c r="Y292" s="39"/>
      <c r="Z292" s="40"/>
      <c r="AA292" s="41"/>
      <c r="AB292" s="39"/>
      <c r="AC292" s="40"/>
      <c r="AD292" s="40"/>
      <c r="AE292" s="40"/>
      <c r="AF292" s="40"/>
      <c r="AG292" s="41"/>
      <c r="AH292" s="39"/>
      <c r="AI292" s="40"/>
      <c r="AJ292" s="40"/>
      <c r="AK292" s="41"/>
      <c r="AL292" s="39"/>
      <c r="AM292" s="40"/>
      <c r="AN292" s="40"/>
      <c r="AO292" s="40"/>
      <c r="AP292" s="41"/>
      <c r="AQ292" s="39"/>
      <c r="AR292" s="40"/>
      <c r="AS292" s="42"/>
    </row>
    <row r="293" spans="1:45" ht="17.25" customHeight="1">
      <c r="A293" s="104" t="s">
        <v>180</v>
      </c>
      <c r="B293" s="107" t="s">
        <v>179</v>
      </c>
      <c r="C293" s="109" t="s">
        <v>512</v>
      </c>
      <c r="D293" s="93" t="s">
        <v>428</v>
      </c>
      <c r="E293" s="92" t="str">
        <f t="array" ref="E293">IFERROR(INDEX('iCoA Register'!$B:$B,MATCH("P060092|I",'iCoA Register'!$P:$P,0)),"iCoA — at issue")&amp;", (03.02.2026) [PP]"</f>
        <v>iCoA-PP_26-045, (03.02.2026) [PP]</v>
      </c>
      <c r="F293" s="84" t="s">
        <v>79</v>
      </c>
      <c r="G293" s="95" t="s">
        <v>434</v>
      </c>
      <c r="H293" s="96" t="s">
        <v>2100</v>
      </c>
      <c r="I293" s="97" t="s">
        <v>93</v>
      </c>
      <c r="J293" s="93" t="s">
        <v>95</v>
      </c>
      <c r="K293" s="92" t="s">
        <v>1326</v>
      </c>
      <c r="L293" s="84" t="s">
        <v>79</v>
      </c>
      <c r="M293" s="101" t="s">
        <v>2101</v>
      </c>
      <c r="N293" s="92" t="s">
        <v>1326</v>
      </c>
      <c r="O293" s="84" t="s">
        <v>79</v>
      </c>
      <c r="P293" s="100" t="s">
        <v>1798</v>
      </c>
      <c r="Q293" s="92" t="s">
        <v>1326</v>
      </c>
      <c r="R293" s="84" t="s">
        <v>79</v>
      </c>
      <c r="S293" s="100" t="s">
        <v>1940</v>
      </c>
      <c r="T293" s="92" t="s">
        <v>1326</v>
      </c>
      <c r="U293" s="84" t="s">
        <v>79</v>
      </c>
      <c r="V293" s="93" t="s">
        <v>428</v>
      </c>
      <c r="W293" s="92" t="str">
        <f t="array" ref="W293">IFERROR(INDEX('iCoA Register'!$B:$B,MATCH("P060092|I",'iCoA Register'!$P:$P,0)),"iCoA — at issue")&amp;", (03.02.2026) [PP]"</f>
        <v>iCoA-PP_26-045, (03.02.2026) [PP]</v>
      </c>
      <c r="X293" s="84" t="s">
        <v>79</v>
      </c>
      <c r="Y293" s="93" t="s">
        <v>2103</v>
      </c>
      <c r="Z293" s="92" t="s">
        <v>1326</v>
      </c>
      <c r="AA293" s="84" t="s">
        <v>79</v>
      </c>
      <c r="AB293" s="31" t="s">
        <v>2104</v>
      </c>
      <c r="AC293" s="32" t="s">
        <v>561</v>
      </c>
      <c r="AD293" s="32" t="s">
        <v>450</v>
      </c>
      <c r="AE293" s="32" t="s">
        <v>451</v>
      </c>
      <c r="AF293" s="32" t="s">
        <v>451</v>
      </c>
      <c r="AG293" s="84" t="s">
        <v>79</v>
      </c>
      <c r="AH293" s="31" t="s">
        <v>452</v>
      </c>
      <c r="AI293" s="32" t="s">
        <v>453</v>
      </c>
      <c r="AJ293" s="32" t="s">
        <v>452</v>
      </c>
      <c r="AK293" s="84" t="s">
        <v>79</v>
      </c>
      <c r="AL293" s="31" t="s">
        <v>961</v>
      </c>
      <c r="AM293" s="32" t="s">
        <v>1315</v>
      </c>
      <c r="AN293" s="32" t="s">
        <v>1315</v>
      </c>
      <c r="AO293" s="32" t="s">
        <v>1601</v>
      </c>
      <c r="AP293" s="84" t="s">
        <v>79</v>
      </c>
      <c r="AQ293" s="93" t="s">
        <v>459</v>
      </c>
      <c r="AR293" s="92" t="s">
        <v>2105</v>
      </c>
      <c r="AS293" s="98" t="s">
        <v>79</v>
      </c>
    </row>
    <row r="294" spans="1:45" ht="12.75" customHeight="1">
      <c r="A294" s="105"/>
      <c r="B294" s="80"/>
      <c r="C294" s="80"/>
      <c r="D294" s="94"/>
      <c r="E294" s="81"/>
      <c r="F294" s="85"/>
      <c r="G294" s="94"/>
      <c r="H294" s="81"/>
      <c r="I294" s="85"/>
      <c r="J294" s="94"/>
      <c r="K294" s="81"/>
      <c r="L294" s="85"/>
      <c r="M294" s="94"/>
      <c r="N294" s="81"/>
      <c r="O294" s="85"/>
      <c r="P294" s="94"/>
      <c r="Q294" s="81"/>
      <c r="R294" s="85"/>
      <c r="S294" s="94"/>
      <c r="T294" s="81"/>
      <c r="U294" s="85"/>
      <c r="V294" s="94"/>
      <c r="W294" s="81"/>
      <c r="X294" s="85"/>
      <c r="Y294" s="94"/>
      <c r="Z294" s="81"/>
      <c r="AA294" s="85"/>
      <c r="AB294" s="86" t="s">
        <v>2108</v>
      </c>
      <c r="AC294" s="77"/>
      <c r="AD294" s="77"/>
      <c r="AE294" s="77"/>
      <c r="AF294" s="78"/>
      <c r="AG294" s="85"/>
      <c r="AH294" s="86" t="s">
        <v>2105</v>
      </c>
      <c r="AI294" s="77"/>
      <c r="AJ294" s="78"/>
      <c r="AK294" s="85"/>
      <c r="AL294" s="86" t="s">
        <v>2105</v>
      </c>
      <c r="AM294" s="77"/>
      <c r="AN294" s="77"/>
      <c r="AO294" s="78"/>
      <c r="AP294" s="85"/>
      <c r="AQ294" s="94"/>
      <c r="AR294" s="81"/>
      <c r="AS294" s="99"/>
    </row>
    <row r="295" spans="1:45" ht="13.5" customHeight="1">
      <c r="A295" s="105"/>
      <c r="B295" s="80"/>
      <c r="C295" s="80"/>
      <c r="D295" s="33"/>
      <c r="E295" s="34"/>
      <c r="F295" s="35"/>
      <c r="G295" s="102" t="s">
        <v>428</v>
      </c>
      <c r="H295" s="110" t="str">
        <f t="array" ref="H295">IFERROR(INDEX('iCoA Register'!$B:$B,MATCH("P060092|I",'iCoA Register'!$P:$P,0)),"iCoA — at issue")&amp;", (03.02.2026) [PP]"</f>
        <v>iCoA-PP_26-045, (03.02.2026) [PP]</v>
      </c>
      <c r="I295" s="87" t="s">
        <v>79</v>
      </c>
      <c r="J295" s="33"/>
      <c r="K295" s="34"/>
      <c r="L295" s="35"/>
      <c r="M295" s="33"/>
      <c r="N295" s="34"/>
      <c r="O295" s="35"/>
      <c r="P295" s="33"/>
      <c r="Q295" s="34"/>
      <c r="R295" s="35"/>
      <c r="S295" s="33"/>
      <c r="T295" s="34"/>
      <c r="U295" s="35"/>
      <c r="V295" s="33"/>
      <c r="W295" s="34"/>
      <c r="X295" s="35"/>
      <c r="Y295" s="33"/>
      <c r="Z295" s="34"/>
      <c r="AA295" s="35"/>
      <c r="AB295" s="33"/>
      <c r="AC295" s="34"/>
      <c r="AD295" s="34"/>
      <c r="AE295" s="34"/>
      <c r="AF295" s="34"/>
      <c r="AG295" s="35"/>
      <c r="AH295" s="33"/>
      <c r="AI295" s="34"/>
      <c r="AJ295" s="34"/>
      <c r="AK295" s="35"/>
      <c r="AL295" s="33"/>
      <c r="AM295" s="34"/>
      <c r="AN295" s="34"/>
      <c r="AO295" s="34"/>
      <c r="AP295" s="35"/>
      <c r="AQ295" s="33"/>
      <c r="AR295" s="34"/>
      <c r="AS295" s="38"/>
    </row>
    <row r="296" spans="1:45" ht="12.75" customHeight="1">
      <c r="A296" s="106"/>
      <c r="B296" s="108"/>
      <c r="C296" s="108"/>
      <c r="D296" s="39"/>
      <c r="E296" s="40"/>
      <c r="F296" s="41"/>
      <c r="G296" s="103"/>
      <c r="H296" s="108"/>
      <c r="I296" s="88"/>
      <c r="J296" s="39"/>
      <c r="K296" s="40"/>
      <c r="L296" s="41"/>
      <c r="M296" s="39"/>
      <c r="N296" s="40"/>
      <c r="O296" s="41"/>
      <c r="P296" s="39"/>
      <c r="Q296" s="40"/>
      <c r="R296" s="41"/>
      <c r="S296" s="39"/>
      <c r="T296" s="40"/>
      <c r="U296" s="41"/>
      <c r="V296" s="39"/>
      <c r="W296" s="40"/>
      <c r="X296" s="41"/>
      <c r="Y296" s="39"/>
      <c r="Z296" s="40"/>
      <c r="AA296" s="41"/>
      <c r="AB296" s="39"/>
      <c r="AC296" s="40"/>
      <c r="AD296" s="40"/>
      <c r="AE296" s="40"/>
      <c r="AF296" s="40"/>
      <c r="AG296" s="41"/>
      <c r="AH296" s="39"/>
      <c r="AI296" s="40"/>
      <c r="AJ296" s="40"/>
      <c r="AK296" s="41"/>
      <c r="AL296" s="39"/>
      <c r="AM296" s="40"/>
      <c r="AN296" s="40"/>
      <c r="AO296" s="40"/>
      <c r="AP296" s="41"/>
      <c r="AQ296" s="39"/>
      <c r="AR296" s="40"/>
      <c r="AS296" s="42"/>
    </row>
    <row r="297" spans="1:45" ht="21" customHeight="1">
      <c r="A297" s="104" t="s">
        <v>155</v>
      </c>
      <c r="B297" s="107" t="s">
        <v>159</v>
      </c>
      <c r="C297" s="118" t="s">
        <v>1231</v>
      </c>
      <c r="D297" s="93" t="s">
        <v>428</v>
      </c>
      <c r="E297" s="92" t="str">
        <f t="array" ref="E297">IFERROR(INDEX('iCoA Register'!$B:$B,MATCH("P060332|I",'iCoA Register'!$P:$P,0)),"iCoA — at issue")&amp;", (22.05.2026) [PP]"</f>
        <v>iCoA-PP_26-065, (22.05.2026) [PP]</v>
      </c>
      <c r="F297" s="84" t="s">
        <v>79</v>
      </c>
      <c r="G297" s="93" t="s">
        <v>428</v>
      </c>
      <c r="H297" s="92" t="str">
        <f t="array" ref="H297">IFERROR(INDEX('iCoA Register'!$B:$B,MATCH("P060332|I",'iCoA Register'!$P:$P,0)),"iCoA — at issue")&amp;", (22.05.2026) [PP]"</f>
        <v>iCoA-PP_26-065, (22.05.2026) [PP]</v>
      </c>
      <c r="I297" s="84" t="s">
        <v>79</v>
      </c>
      <c r="J297" s="93" t="s">
        <v>463</v>
      </c>
      <c r="K297" s="92" t="s">
        <v>2110</v>
      </c>
      <c r="L297" s="84" t="s">
        <v>79</v>
      </c>
      <c r="M297" s="101" t="s">
        <v>2111</v>
      </c>
      <c r="N297" s="92" t="s">
        <v>2110</v>
      </c>
      <c r="O297" s="84" t="s">
        <v>79</v>
      </c>
      <c r="P297" s="100" t="s">
        <v>467</v>
      </c>
      <c r="Q297" s="92" t="s">
        <v>2110</v>
      </c>
      <c r="R297" s="84" t="s">
        <v>79</v>
      </c>
      <c r="S297" s="100" t="s">
        <v>467</v>
      </c>
      <c r="T297" s="92" t="s">
        <v>2110</v>
      </c>
      <c r="U297" s="84" t="s">
        <v>79</v>
      </c>
      <c r="V297" s="93" t="s">
        <v>428</v>
      </c>
      <c r="W297" s="92" t="str">
        <f t="array" ref="W297">IFERROR(INDEX('iCoA Register'!$B:$B,MATCH("P060332|I",'iCoA Register'!$P:$P,0)),"iCoA — at issue")&amp;", (22.05.2026) [PP]"</f>
        <v>iCoA-PP_26-065, (22.05.2026) [PP]</v>
      </c>
      <c r="X297" s="84" t="s">
        <v>79</v>
      </c>
      <c r="Y297" s="95" t="s">
        <v>434</v>
      </c>
      <c r="Z297" s="96" t="s">
        <v>1234</v>
      </c>
      <c r="AA297" s="97" t="s">
        <v>93</v>
      </c>
      <c r="AB297" s="43" t="s">
        <v>531</v>
      </c>
      <c r="AC297" s="44" t="s">
        <v>531</v>
      </c>
      <c r="AD297" s="44" t="s">
        <v>531</v>
      </c>
      <c r="AE297" s="44" t="s">
        <v>531</v>
      </c>
      <c r="AF297" s="44" t="s">
        <v>531</v>
      </c>
      <c r="AG297" s="112" t="s">
        <v>198</v>
      </c>
      <c r="AH297" s="31" t="s">
        <v>472</v>
      </c>
      <c r="AI297" s="32" t="s">
        <v>473</v>
      </c>
      <c r="AJ297" s="32" t="s">
        <v>472</v>
      </c>
      <c r="AK297" s="84" t="s">
        <v>79</v>
      </c>
      <c r="AL297" s="43" t="s">
        <v>531</v>
      </c>
      <c r="AM297" s="44" t="s">
        <v>531</v>
      </c>
      <c r="AN297" s="44" t="s">
        <v>531</v>
      </c>
      <c r="AO297" s="44" t="s">
        <v>531</v>
      </c>
      <c r="AP297" s="112" t="s">
        <v>198</v>
      </c>
      <c r="AQ297" s="113" t="s">
        <v>531</v>
      </c>
      <c r="AR297" s="114" t="s">
        <v>547</v>
      </c>
      <c r="AS297" s="115" t="s">
        <v>198</v>
      </c>
    </row>
    <row r="298" spans="1:45" ht="15" customHeight="1">
      <c r="A298" s="106"/>
      <c r="B298" s="108"/>
      <c r="C298" s="108"/>
      <c r="D298" s="103"/>
      <c r="E298" s="108"/>
      <c r="F298" s="88"/>
      <c r="G298" s="103"/>
      <c r="H298" s="108"/>
      <c r="I298" s="88"/>
      <c r="J298" s="103"/>
      <c r="K298" s="108"/>
      <c r="L298" s="88"/>
      <c r="M298" s="103"/>
      <c r="N298" s="108"/>
      <c r="O298" s="88"/>
      <c r="P298" s="103"/>
      <c r="Q298" s="108"/>
      <c r="R298" s="88"/>
      <c r="S298" s="103"/>
      <c r="T298" s="108"/>
      <c r="U298" s="88"/>
      <c r="V298" s="103"/>
      <c r="W298" s="108"/>
      <c r="X298" s="88"/>
      <c r="Y298" s="103"/>
      <c r="Z298" s="108"/>
      <c r="AA298" s="88"/>
      <c r="AB298" s="117" t="s">
        <v>547</v>
      </c>
      <c r="AC298" s="90"/>
      <c r="AD298" s="90"/>
      <c r="AE298" s="90"/>
      <c r="AF298" s="91"/>
      <c r="AG298" s="88"/>
      <c r="AH298" s="89" t="s">
        <v>1242</v>
      </c>
      <c r="AI298" s="90"/>
      <c r="AJ298" s="91"/>
      <c r="AK298" s="88"/>
      <c r="AL298" s="117" t="s">
        <v>547</v>
      </c>
      <c r="AM298" s="90"/>
      <c r="AN298" s="90"/>
      <c r="AO298" s="91"/>
      <c r="AP298" s="88"/>
      <c r="AQ298" s="103"/>
      <c r="AR298" s="108"/>
      <c r="AS298" s="116"/>
    </row>
    <row r="299" spans="1:45" ht="21" customHeight="1">
      <c r="A299" s="104" t="s">
        <v>636</v>
      </c>
      <c r="B299" s="107" t="s">
        <v>208</v>
      </c>
      <c r="C299" s="118" t="s">
        <v>1231</v>
      </c>
      <c r="D299" s="93" t="s">
        <v>428</v>
      </c>
      <c r="E299" s="92" t="str">
        <f t="array" ref="E299">IFERROR(INDEX('iCoA Register'!$B:$B,MATCH("P060352|I",'iCoA Register'!$P:$P,0)),"iCoA — at issue")&amp;", (23.05.2026) [PP]"</f>
        <v>iCoA-PP_26-067, (23.05.2026) [PP]</v>
      </c>
      <c r="F299" s="84" t="s">
        <v>79</v>
      </c>
      <c r="G299" s="93" t="s">
        <v>428</v>
      </c>
      <c r="H299" s="92" t="str">
        <f t="array" ref="H299">IFERROR(INDEX('iCoA Register'!$B:$B,MATCH("P060352|I",'iCoA Register'!$P:$P,0)),"iCoA — at issue")&amp;", (23.05.2026) [PP]"</f>
        <v>iCoA-PP_26-067, (23.05.2026) [PP]</v>
      </c>
      <c r="I299" s="84" t="s">
        <v>79</v>
      </c>
      <c r="J299" s="93" t="s">
        <v>463</v>
      </c>
      <c r="K299" s="92" t="s">
        <v>2080</v>
      </c>
      <c r="L299" s="84" t="s">
        <v>79</v>
      </c>
      <c r="M299" s="101" t="s">
        <v>2113</v>
      </c>
      <c r="N299" s="92" t="s">
        <v>2080</v>
      </c>
      <c r="O299" s="84" t="s">
        <v>79</v>
      </c>
      <c r="P299" s="100" t="s">
        <v>2114</v>
      </c>
      <c r="Q299" s="92" t="s">
        <v>2080</v>
      </c>
      <c r="R299" s="84" t="s">
        <v>79</v>
      </c>
      <c r="S299" s="100" t="s">
        <v>467</v>
      </c>
      <c r="T299" s="92" t="s">
        <v>2080</v>
      </c>
      <c r="U299" s="84" t="s">
        <v>79</v>
      </c>
      <c r="V299" s="93" t="s">
        <v>428</v>
      </c>
      <c r="W299" s="92" t="str">
        <f t="array" ref="W299">IFERROR(INDEX('iCoA Register'!$B:$B,MATCH("P060352|I",'iCoA Register'!$P:$P,0)),"iCoA — at issue")&amp;", (23.05.2026) [PP]"</f>
        <v>iCoA-PP_26-067, (23.05.2026) [PP]</v>
      </c>
      <c r="X299" s="84" t="s">
        <v>79</v>
      </c>
      <c r="Y299" s="95" t="s">
        <v>434</v>
      </c>
      <c r="Z299" s="96" t="s">
        <v>1247</v>
      </c>
      <c r="AA299" s="97" t="s">
        <v>93</v>
      </c>
      <c r="AB299" s="43" t="s">
        <v>531</v>
      </c>
      <c r="AC299" s="44" t="s">
        <v>531</v>
      </c>
      <c r="AD299" s="44" t="s">
        <v>531</v>
      </c>
      <c r="AE299" s="44" t="s">
        <v>531</v>
      </c>
      <c r="AF299" s="44" t="s">
        <v>531</v>
      </c>
      <c r="AG299" s="112" t="s">
        <v>198</v>
      </c>
      <c r="AH299" s="31" t="s">
        <v>472</v>
      </c>
      <c r="AI299" s="32" t="s">
        <v>473</v>
      </c>
      <c r="AJ299" s="32" t="s">
        <v>472</v>
      </c>
      <c r="AK299" s="84" t="s">
        <v>79</v>
      </c>
      <c r="AL299" s="43" t="s">
        <v>531</v>
      </c>
      <c r="AM299" s="44" t="s">
        <v>531</v>
      </c>
      <c r="AN299" s="44" t="s">
        <v>531</v>
      </c>
      <c r="AO299" s="44" t="s">
        <v>531</v>
      </c>
      <c r="AP299" s="112" t="s">
        <v>198</v>
      </c>
      <c r="AQ299" s="113" t="s">
        <v>531</v>
      </c>
      <c r="AR299" s="114" t="s">
        <v>547</v>
      </c>
      <c r="AS299" s="115" t="s">
        <v>198</v>
      </c>
    </row>
    <row r="300" spans="1:45" ht="15" customHeight="1">
      <c r="A300" s="106"/>
      <c r="B300" s="108"/>
      <c r="C300" s="108"/>
      <c r="D300" s="103"/>
      <c r="E300" s="108"/>
      <c r="F300" s="88"/>
      <c r="G300" s="103"/>
      <c r="H300" s="108"/>
      <c r="I300" s="88"/>
      <c r="J300" s="103"/>
      <c r="K300" s="108"/>
      <c r="L300" s="88"/>
      <c r="M300" s="103"/>
      <c r="N300" s="108"/>
      <c r="O300" s="88"/>
      <c r="P300" s="103"/>
      <c r="Q300" s="108"/>
      <c r="R300" s="88"/>
      <c r="S300" s="103"/>
      <c r="T300" s="108"/>
      <c r="U300" s="88"/>
      <c r="V300" s="103"/>
      <c r="W300" s="108"/>
      <c r="X300" s="88"/>
      <c r="Y300" s="103"/>
      <c r="Z300" s="108"/>
      <c r="AA300" s="88"/>
      <c r="AB300" s="117" t="s">
        <v>547</v>
      </c>
      <c r="AC300" s="90"/>
      <c r="AD300" s="90"/>
      <c r="AE300" s="90"/>
      <c r="AF300" s="91"/>
      <c r="AG300" s="88"/>
      <c r="AH300" s="89" t="s">
        <v>1252</v>
      </c>
      <c r="AI300" s="90"/>
      <c r="AJ300" s="91"/>
      <c r="AK300" s="88"/>
      <c r="AL300" s="117" t="s">
        <v>547</v>
      </c>
      <c r="AM300" s="90"/>
      <c r="AN300" s="90"/>
      <c r="AO300" s="91"/>
      <c r="AP300" s="88"/>
      <c r="AQ300" s="103"/>
      <c r="AR300" s="108"/>
      <c r="AS300" s="116"/>
    </row>
    <row r="301" spans="1:45" ht="21" customHeight="1">
      <c r="A301" s="104" t="s">
        <v>314</v>
      </c>
      <c r="B301" s="107" t="s">
        <v>317</v>
      </c>
      <c r="C301" s="118" t="s">
        <v>1231</v>
      </c>
      <c r="D301" s="93" t="s">
        <v>428</v>
      </c>
      <c r="E301" s="92" t="str">
        <f t="array" ref="E301">IFERROR(INDEX('iCoA Register'!$B:$B,MATCH("P060382|I",'iCoA Register'!$P:$P,0)),"iCoA — at issue")&amp;", (25.05.2026) [PP]"</f>
        <v>iCoA-PP_26-069, (25.05.2026) [PP]</v>
      </c>
      <c r="F301" s="84" t="s">
        <v>79</v>
      </c>
      <c r="G301" s="93" t="s">
        <v>428</v>
      </c>
      <c r="H301" s="92" t="str">
        <f t="array" ref="H301">IFERROR(INDEX('iCoA Register'!$B:$B,MATCH("P060382|I",'iCoA Register'!$P:$P,0)),"iCoA — at issue")&amp;", (25.05.2026) [PP]"</f>
        <v>iCoA-PP_26-069, (25.05.2026) [PP]</v>
      </c>
      <c r="I301" s="84" t="s">
        <v>79</v>
      </c>
      <c r="J301" s="93" t="s">
        <v>463</v>
      </c>
      <c r="K301" s="92" t="s">
        <v>2102</v>
      </c>
      <c r="L301" s="84" t="s">
        <v>79</v>
      </c>
      <c r="M301" s="101" t="s">
        <v>2118</v>
      </c>
      <c r="N301" s="92" t="s">
        <v>2102</v>
      </c>
      <c r="O301" s="84" t="s">
        <v>79</v>
      </c>
      <c r="P301" s="100" t="s">
        <v>705</v>
      </c>
      <c r="Q301" s="92" t="s">
        <v>2102</v>
      </c>
      <c r="R301" s="84" t="s">
        <v>79</v>
      </c>
      <c r="S301" s="100" t="s">
        <v>705</v>
      </c>
      <c r="T301" s="92" t="s">
        <v>2102</v>
      </c>
      <c r="U301" s="84" t="s">
        <v>79</v>
      </c>
      <c r="V301" s="93" t="s">
        <v>428</v>
      </c>
      <c r="W301" s="92" t="str">
        <f t="array" ref="W301">IFERROR(INDEX('iCoA Register'!$B:$B,MATCH("P060382|I",'iCoA Register'!$P:$P,0)),"iCoA — at issue")&amp;", (25.05.2026) [PP]"</f>
        <v>iCoA-PP_26-069, (25.05.2026) [PP]</v>
      </c>
      <c r="X301" s="84" t="s">
        <v>79</v>
      </c>
      <c r="Y301" s="95" t="s">
        <v>434</v>
      </c>
      <c r="Z301" s="96" t="s">
        <v>1256</v>
      </c>
      <c r="AA301" s="97" t="s">
        <v>93</v>
      </c>
      <c r="AB301" s="43" t="s">
        <v>531</v>
      </c>
      <c r="AC301" s="44" t="s">
        <v>531</v>
      </c>
      <c r="AD301" s="44" t="s">
        <v>531</v>
      </c>
      <c r="AE301" s="44" t="s">
        <v>531</v>
      </c>
      <c r="AF301" s="44" t="s">
        <v>531</v>
      </c>
      <c r="AG301" s="112" t="s">
        <v>198</v>
      </c>
      <c r="AH301" s="31" t="s">
        <v>472</v>
      </c>
      <c r="AI301" s="32" t="s">
        <v>473</v>
      </c>
      <c r="AJ301" s="32" t="s">
        <v>472</v>
      </c>
      <c r="AK301" s="84" t="s">
        <v>79</v>
      </c>
      <c r="AL301" s="43" t="s">
        <v>531</v>
      </c>
      <c r="AM301" s="44" t="s">
        <v>531</v>
      </c>
      <c r="AN301" s="44" t="s">
        <v>531</v>
      </c>
      <c r="AO301" s="44" t="s">
        <v>531</v>
      </c>
      <c r="AP301" s="112" t="s">
        <v>198</v>
      </c>
      <c r="AQ301" s="113" t="s">
        <v>531</v>
      </c>
      <c r="AR301" s="114" t="s">
        <v>547</v>
      </c>
      <c r="AS301" s="115" t="s">
        <v>198</v>
      </c>
    </row>
    <row r="302" spans="1:45" ht="15" customHeight="1">
      <c r="A302" s="106"/>
      <c r="B302" s="108"/>
      <c r="C302" s="108"/>
      <c r="D302" s="103"/>
      <c r="E302" s="108"/>
      <c r="F302" s="88"/>
      <c r="G302" s="103"/>
      <c r="H302" s="108"/>
      <c r="I302" s="88"/>
      <c r="J302" s="103"/>
      <c r="K302" s="108"/>
      <c r="L302" s="88"/>
      <c r="M302" s="103"/>
      <c r="N302" s="108"/>
      <c r="O302" s="88"/>
      <c r="P302" s="103"/>
      <c r="Q302" s="108"/>
      <c r="R302" s="88"/>
      <c r="S302" s="103"/>
      <c r="T302" s="108"/>
      <c r="U302" s="88"/>
      <c r="V302" s="103"/>
      <c r="W302" s="108"/>
      <c r="X302" s="88"/>
      <c r="Y302" s="103"/>
      <c r="Z302" s="108"/>
      <c r="AA302" s="88"/>
      <c r="AB302" s="117" t="s">
        <v>547</v>
      </c>
      <c r="AC302" s="90"/>
      <c r="AD302" s="90"/>
      <c r="AE302" s="90"/>
      <c r="AF302" s="91"/>
      <c r="AG302" s="88"/>
      <c r="AH302" s="89" t="s">
        <v>1260</v>
      </c>
      <c r="AI302" s="90"/>
      <c r="AJ302" s="91"/>
      <c r="AK302" s="88"/>
      <c r="AL302" s="117" t="s">
        <v>547</v>
      </c>
      <c r="AM302" s="90"/>
      <c r="AN302" s="90"/>
      <c r="AO302" s="91"/>
      <c r="AP302" s="88"/>
      <c r="AQ302" s="103"/>
      <c r="AR302" s="108"/>
      <c r="AS302" s="116"/>
    </row>
    <row r="303" spans="1:45" ht="21" customHeight="1">
      <c r="A303" s="104" t="s">
        <v>639</v>
      </c>
      <c r="B303" s="107" t="s">
        <v>640</v>
      </c>
      <c r="C303" s="118" t="s">
        <v>577</v>
      </c>
      <c r="D303" s="93" t="s">
        <v>451</v>
      </c>
      <c r="E303" s="92" t="s">
        <v>1264</v>
      </c>
      <c r="F303" s="84" t="s">
        <v>79</v>
      </c>
      <c r="G303" s="93" t="s">
        <v>451</v>
      </c>
      <c r="H303" s="92" t="s">
        <v>1264</v>
      </c>
      <c r="I303" s="84" t="s">
        <v>79</v>
      </c>
      <c r="J303" s="93" t="s">
        <v>95</v>
      </c>
      <c r="K303" s="92" t="s">
        <v>1264</v>
      </c>
      <c r="L303" s="84" t="s">
        <v>79</v>
      </c>
      <c r="M303" s="101" t="s">
        <v>2122</v>
      </c>
      <c r="N303" s="92" t="s">
        <v>1264</v>
      </c>
      <c r="O303" s="84" t="s">
        <v>79</v>
      </c>
      <c r="P303" s="100" t="s">
        <v>728</v>
      </c>
      <c r="Q303" s="92" t="s">
        <v>1264</v>
      </c>
      <c r="R303" s="84" t="s">
        <v>79</v>
      </c>
      <c r="S303" s="100" t="s">
        <v>1785</v>
      </c>
      <c r="T303" s="92" t="s">
        <v>1264</v>
      </c>
      <c r="U303" s="84" t="s">
        <v>79</v>
      </c>
      <c r="V303" s="93" t="s">
        <v>1262</v>
      </c>
      <c r="W303" s="92" t="s">
        <v>1264</v>
      </c>
      <c r="X303" s="84" t="s">
        <v>79</v>
      </c>
      <c r="Y303" s="93" t="s">
        <v>787</v>
      </c>
      <c r="Z303" s="92" t="s">
        <v>1264</v>
      </c>
      <c r="AA303" s="84" t="s">
        <v>79</v>
      </c>
      <c r="AB303" s="43" t="s">
        <v>531</v>
      </c>
      <c r="AC303" s="44" t="s">
        <v>531</v>
      </c>
      <c r="AD303" s="44" t="s">
        <v>531</v>
      </c>
      <c r="AE303" s="44" t="s">
        <v>531</v>
      </c>
      <c r="AF303" s="44" t="s">
        <v>531</v>
      </c>
      <c r="AG303" s="112" t="s">
        <v>198</v>
      </c>
      <c r="AH303" s="43" t="s">
        <v>531</v>
      </c>
      <c r="AI303" s="44" t="s">
        <v>531</v>
      </c>
      <c r="AJ303" s="44" t="s">
        <v>531</v>
      </c>
      <c r="AK303" s="112" t="s">
        <v>198</v>
      </c>
      <c r="AL303" s="43" t="s">
        <v>531</v>
      </c>
      <c r="AM303" s="44" t="s">
        <v>531</v>
      </c>
      <c r="AN303" s="44" t="s">
        <v>531</v>
      </c>
      <c r="AO303" s="44" t="s">
        <v>531</v>
      </c>
      <c r="AP303" s="112" t="s">
        <v>198</v>
      </c>
      <c r="AQ303" s="113" t="s">
        <v>531</v>
      </c>
      <c r="AR303" s="114" t="s">
        <v>547</v>
      </c>
      <c r="AS303" s="115" t="s">
        <v>198</v>
      </c>
    </row>
    <row r="304" spans="1:45" ht="12.75" customHeight="1">
      <c r="A304" s="106"/>
      <c r="B304" s="108"/>
      <c r="C304" s="108"/>
      <c r="D304" s="103"/>
      <c r="E304" s="108"/>
      <c r="F304" s="88"/>
      <c r="G304" s="103"/>
      <c r="H304" s="108"/>
      <c r="I304" s="88"/>
      <c r="J304" s="103"/>
      <c r="K304" s="108"/>
      <c r="L304" s="88"/>
      <c r="M304" s="103"/>
      <c r="N304" s="108"/>
      <c r="O304" s="88"/>
      <c r="P304" s="103"/>
      <c r="Q304" s="108"/>
      <c r="R304" s="88"/>
      <c r="S304" s="103"/>
      <c r="T304" s="108"/>
      <c r="U304" s="88"/>
      <c r="V304" s="103"/>
      <c r="W304" s="108"/>
      <c r="X304" s="88"/>
      <c r="Y304" s="103"/>
      <c r="Z304" s="108"/>
      <c r="AA304" s="88"/>
      <c r="AB304" s="117" t="s">
        <v>547</v>
      </c>
      <c r="AC304" s="90"/>
      <c r="AD304" s="90"/>
      <c r="AE304" s="90"/>
      <c r="AF304" s="91"/>
      <c r="AG304" s="88"/>
      <c r="AH304" s="117" t="s">
        <v>547</v>
      </c>
      <c r="AI304" s="90"/>
      <c r="AJ304" s="91"/>
      <c r="AK304" s="88"/>
      <c r="AL304" s="117" t="s">
        <v>547</v>
      </c>
      <c r="AM304" s="90"/>
      <c r="AN304" s="90"/>
      <c r="AO304" s="91"/>
      <c r="AP304" s="88"/>
      <c r="AQ304" s="103"/>
      <c r="AR304" s="108"/>
      <c r="AS304" s="116"/>
    </row>
    <row r="305" spans="1:45" ht="21" customHeight="1">
      <c r="A305" s="104" t="s">
        <v>639</v>
      </c>
      <c r="B305" s="107" t="s">
        <v>641</v>
      </c>
      <c r="C305" s="118" t="s">
        <v>577</v>
      </c>
      <c r="D305" s="93" t="s">
        <v>451</v>
      </c>
      <c r="E305" s="92" t="s">
        <v>1279</v>
      </c>
      <c r="F305" s="84" t="s">
        <v>79</v>
      </c>
      <c r="G305" s="93" t="s">
        <v>451</v>
      </c>
      <c r="H305" s="92" t="s">
        <v>1279</v>
      </c>
      <c r="I305" s="84" t="s">
        <v>79</v>
      </c>
      <c r="J305" s="93" t="s">
        <v>95</v>
      </c>
      <c r="K305" s="92" t="s">
        <v>1279</v>
      </c>
      <c r="L305" s="84" t="s">
        <v>79</v>
      </c>
      <c r="M305" s="101" t="s">
        <v>2126</v>
      </c>
      <c r="N305" s="92" t="s">
        <v>1279</v>
      </c>
      <c r="O305" s="84" t="s">
        <v>79</v>
      </c>
      <c r="P305" s="100" t="s">
        <v>728</v>
      </c>
      <c r="Q305" s="92" t="s">
        <v>1279</v>
      </c>
      <c r="R305" s="84" t="s">
        <v>79</v>
      </c>
      <c r="S305" s="100" t="s">
        <v>1331</v>
      </c>
      <c r="T305" s="92" t="s">
        <v>1279</v>
      </c>
      <c r="U305" s="84" t="s">
        <v>79</v>
      </c>
      <c r="V305" s="93" t="s">
        <v>515</v>
      </c>
      <c r="W305" s="92" t="s">
        <v>1279</v>
      </c>
      <c r="X305" s="84" t="s">
        <v>79</v>
      </c>
      <c r="Y305" s="93" t="s">
        <v>1281</v>
      </c>
      <c r="Z305" s="92" t="s">
        <v>1279</v>
      </c>
      <c r="AA305" s="84" t="s">
        <v>79</v>
      </c>
      <c r="AB305" s="43" t="s">
        <v>531</v>
      </c>
      <c r="AC305" s="44" t="s">
        <v>531</v>
      </c>
      <c r="AD305" s="44" t="s">
        <v>531</v>
      </c>
      <c r="AE305" s="44" t="s">
        <v>531</v>
      </c>
      <c r="AF305" s="44" t="s">
        <v>531</v>
      </c>
      <c r="AG305" s="112" t="s">
        <v>198</v>
      </c>
      <c r="AH305" s="43" t="s">
        <v>531</v>
      </c>
      <c r="AI305" s="44" t="s">
        <v>531</v>
      </c>
      <c r="AJ305" s="44" t="s">
        <v>531</v>
      </c>
      <c r="AK305" s="112" t="s">
        <v>198</v>
      </c>
      <c r="AL305" s="43" t="s">
        <v>531</v>
      </c>
      <c r="AM305" s="44" t="s">
        <v>531</v>
      </c>
      <c r="AN305" s="44" t="s">
        <v>531</v>
      </c>
      <c r="AO305" s="44" t="s">
        <v>531</v>
      </c>
      <c r="AP305" s="112" t="s">
        <v>198</v>
      </c>
      <c r="AQ305" s="113" t="s">
        <v>531</v>
      </c>
      <c r="AR305" s="114" t="s">
        <v>547</v>
      </c>
      <c r="AS305" s="115" t="s">
        <v>198</v>
      </c>
    </row>
    <row r="306" spans="1:45" ht="12.75" customHeight="1">
      <c r="A306" s="106"/>
      <c r="B306" s="108"/>
      <c r="C306" s="108"/>
      <c r="D306" s="103"/>
      <c r="E306" s="108"/>
      <c r="F306" s="88"/>
      <c r="G306" s="103"/>
      <c r="H306" s="108"/>
      <c r="I306" s="88"/>
      <c r="J306" s="103"/>
      <c r="K306" s="108"/>
      <c r="L306" s="88"/>
      <c r="M306" s="103"/>
      <c r="N306" s="108"/>
      <c r="O306" s="88"/>
      <c r="P306" s="103"/>
      <c r="Q306" s="108"/>
      <c r="R306" s="88"/>
      <c r="S306" s="103"/>
      <c r="T306" s="108"/>
      <c r="U306" s="88"/>
      <c r="V306" s="103"/>
      <c r="W306" s="108"/>
      <c r="X306" s="88"/>
      <c r="Y306" s="103"/>
      <c r="Z306" s="108"/>
      <c r="AA306" s="88"/>
      <c r="AB306" s="117" t="s">
        <v>547</v>
      </c>
      <c r="AC306" s="90"/>
      <c r="AD306" s="90"/>
      <c r="AE306" s="90"/>
      <c r="AF306" s="91"/>
      <c r="AG306" s="88"/>
      <c r="AH306" s="117" t="s">
        <v>547</v>
      </c>
      <c r="AI306" s="90"/>
      <c r="AJ306" s="91"/>
      <c r="AK306" s="88"/>
      <c r="AL306" s="117" t="s">
        <v>547</v>
      </c>
      <c r="AM306" s="90"/>
      <c r="AN306" s="90"/>
      <c r="AO306" s="91"/>
      <c r="AP306" s="88"/>
      <c r="AQ306" s="103"/>
      <c r="AR306" s="108"/>
      <c r="AS306" s="116"/>
    </row>
    <row r="307" spans="1:45" ht="21" customHeight="1">
      <c r="A307" s="104" t="s">
        <v>639</v>
      </c>
      <c r="B307" s="107" t="s">
        <v>646</v>
      </c>
      <c r="C307" s="118" t="s">
        <v>577</v>
      </c>
      <c r="D307" s="93" t="s">
        <v>451</v>
      </c>
      <c r="E307" s="92" t="s">
        <v>1291</v>
      </c>
      <c r="F307" s="84" t="s">
        <v>79</v>
      </c>
      <c r="G307" s="93" t="s">
        <v>451</v>
      </c>
      <c r="H307" s="92" t="s">
        <v>1291</v>
      </c>
      <c r="I307" s="84" t="s">
        <v>79</v>
      </c>
      <c r="J307" s="93" t="s">
        <v>95</v>
      </c>
      <c r="K307" s="92" t="s">
        <v>1291</v>
      </c>
      <c r="L307" s="84" t="s">
        <v>79</v>
      </c>
      <c r="M307" s="101" t="s">
        <v>2127</v>
      </c>
      <c r="N307" s="92" t="s">
        <v>1291</v>
      </c>
      <c r="O307" s="84" t="s">
        <v>79</v>
      </c>
      <c r="P307" s="100" t="s">
        <v>630</v>
      </c>
      <c r="Q307" s="92" t="s">
        <v>1291</v>
      </c>
      <c r="R307" s="84" t="s">
        <v>79</v>
      </c>
      <c r="S307" s="100" t="s">
        <v>780</v>
      </c>
      <c r="T307" s="92" t="s">
        <v>1291</v>
      </c>
      <c r="U307" s="84" t="s">
        <v>79</v>
      </c>
      <c r="V307" s="93" t="s">
        <v>515</v>
      </c>
      <c r="W307" s="92" t="s">
        <v>1291</v>
      </c>
      <c r="X307" s="84" t="s">
        <v>79</v>
      </c>
      <c r="Y307" s="93" t="s">
        <v>1293</v>
      </c>
      <c r="Z307" s="92" t="s">
        <v>1291</v>
      </c>
      <c r="AA307" s="84" t="s">
        <v>79</v>
      </c>
      <c r="AB307" s="43" t="s">
        <v>531</v>
      </c>
      <c r="AC307" s="44" t="s">
        <v>531</v>
      </c>
      <c r="AD307" s="44" t="s">
        <v>531</v>
      </c>
      <c r="AE307" s="44" t="s">
        <v>531</v>
      </c>
      <c r="AF307" s="44" t="s">
        <v>531</v>
      </c>
      <c r="AG307" s="112" t="s">
        <v>198</v>
      </c>
      <c r="AH307" s="43" t="s">
        <v>531</v>
      </c>
      <c r="AI307" s="44" t="s">
        <v>531</v>
      </c>
      <c r="AJ307" s="44" t="s">
        <v>531</v>
      </c>
      <c r="AK307" s="112" t="s">
        <v>198</v>
      </c>
      <c r="AL307" s="43" t="s">
        <v>531</v>
      </c>
      <c r="AM307" s="44" t="s">
        <v>531</v>
      </c>
      <c r="AN307" s="44" t="s">
        <v>531</v>
      </c>
      <c r="AO307" s="44" t="s">
        <v>531</v>
      </c>
      <c r="AP307" s="112" t="s">
        <v>198</v>
      </c>
      <c r="AQ307" s="113" t="s">
        <v>531</v>
      </c>
      <c r="AR307" s="114" t="s">
        <v>547</v>
      </c>
      <c r="AS307" s="115" t="s">
        <v>198</v>
      </c>
    </row>
    <row r="308" spans="1:45" ht="12.75" customHeight="1">
      <c r="A308" s="106"/>
      <c r="B308" s="108"/>
      <c r="C308" s="108"/>
      <c r="D308" s="103"/>
      <c r="E308" s="108"/>
      <c r="F308" s="88"/>
      <c r="G308" s="103"/>
      <c r="H308" s="108"/>
      <c r="I308" s="88"/>
      <c r="J308" s="103"/>
      <c r="K308" s="108"/>
      <c r="L308" s="88"/>
      <c r="M308" s="103"/>
      <c r="N308" s="108"/>
      <c r="O308" s="88"/>
      <c r="P308" s="103"/>
      <c r="Q308" s="108"/>
      <c r="R308" s="88"/>
      <c r="S308" s="103"/>
      <c r="T308" s="108"/>
      <c r="U308" s="88"/>
      <c r="V308" s="103"/>
      <c r="W308" s="108"/>
      <c r="X308" s="88"/>
      <c r="Y308" s="103"/>
      <c r="Z308" s="108"/>
      <c r="AA308" s="88"/>
      <c r="AB308" s="117" t="s">
        <v>547</v>
      </c>
      <c r="AC308" s="90"/>
      <c r="AD308" s="90"/>
      <c r="AE308" s="90"/>
      <c r="AF308" s="91"/>
      <c r="AG308" s="88"/>
      <c r="AH308" s="117" t="s">
        <v>547</v>
      </c>
      <c r="AI308" s="90"/>
      <c r="AJ308" s="91"/>
      <c r="AK308" s="88"/>
      <c r="AL308" s="117" t="s">
        <v>547</v>
      </c>
      <c r="AM308" s="90"/>
      <c r="AN308" s="90"/>
      <c r="AO308" s="91"/>
      <c r="AP308" s="88"/>
      <c r="AQ308" s="103"/>
      <c r="AR308" s="108"/>
      <c r="AS308" s="116"/>
    </row>
    <row r="309" spans="1:45" ht="21" customHeight="1">
      <c r="A309" s="104" t="s">
        <v>471</v>
      </c>
      <c r="B309" s="107" t="s">
        <v>474</v>
      </c>
      <c r="C309" s="118" t="s">
        <v>681</v>
      </c>
      <c r="D309" s="93" t="s">
        <v>428</v>
      </c>
      <c r="E309" s="92" t="str">
        <f t="array" ref="E309">IFERROR(INDEX('iCoA Register'!$B:$B,MATCH("P060232|I",'iCoA Register'!$P:$P,0)),"iCoA — at issue")&amp;", (27.04.2026) [PP]"</f>
        <v>iCoA-PP_26-056, (27.04.2026) [PP]</v>
      </c>
      <c r="F309" s="84" t="s">
        <v>79</v>
      </c>
      <c r="G309" s="95" t="s">
        <v>434</v>
      </c>
      <c r="H309" s="96" t="s">
        <v>2130</v>
      </c>
      <c r="I309" s="97" t="s">
        <v>93</v>
      </c>
      <c r="J309" s="93" t="s">
        <v>95</v>
      </c>
      <c r="K309" s="92" t="s">
        <v>1311</v>
      </c>
      <c r="L309" s="84" t="s">
        <v>79</v>
      </c>
      <c r="M309" s="101" t="s">
        <v>2131</v>
      </c>
      <c r="N309" s="92" t="s">
        <v>1311</v>
      </c>
      <c r="O309" s="84" t="s">
        <v>79</v>
      </c>
      <c r="P309" s="100" t="s">
        <v>1364</v>
      </c>
      <c r="Q309" s="92" t="s">
        <v>1311</v>
      </c>
      <c r="R309" s="84" t="s">
        <v>79</v>
      </c>
      <c r="S309" s="100" t="s">
        <v>2132</v>
      </c>
      <c r="T309" s="92" t="s">
        <v>1311</v>
      </c>
      <c r="U309" s="84" t="s">
        <v>79</v>
      </c>
      <c r="V309" s="93" t="s">
        <v>428</v>
      </c>
      <c r="W309" s="92" t="str">
        <f t="array" ref="W309">IFERROR(INDEX('iCoA Register'!$B:$B,MATCH("P060232|I",'iCoA Register'!$P:$P,0)),"iCoA — at issue")&amp;", (27.04.2026) [PP]"</f>
        <v>iCoA-PP_26-056, (27.04.2026) [PP]</v>
      </c>
      <c r="X309" s="84" t="s">
        <v>79</v>
      </c>
      <c r="Y309" s="93" t="s">
        <v>1309</v>
      </c>
      <c r="Z309" s="92" t="s">
        <v>1311</v>
      </c>
      <c r="AA309" s="84" t="s">
        <v>79</v>
      </c>
      <c r="AB309" s="43" t="s">
        <v>531</v>
      </c>
      <c r="AC309" s="44" t="s">
        <v>531</v>
      </c>
      <c r="AD309" s="44" t="s">
        <v>531</v>
      </c>
      <c r="AE309" s="44" t="s">
        <v>531</v>
      </c>
      <c r="AF309" s="44" t="s">
        <v>531</v>
      </c>
      <c r="AG309" s="112" t="s">
        <v>198</v>
      </c>
      <c r="AH309" s="43" t="s">
        <v>531</v>
      </c>
      <c r="AI309" s="44" t="s">
        <v>531</v>
      </c>
      <c r="AJ309" s="44" t="s">
        <v>531</v>
      </c>
      <c r="AK309" s="112" t="s">
        <v>198</v>
      </c>
      <c r="AL309" s="43" t="s">
        <v>531</v>
      </c>
      <c r="AM309" s="44" t="s">
        <v>531</v>
      </c>
      <c r="AN309" s="44" t="s">
        <v>531</v>
      </c>
      <c r="AO309" s="44" t="s">
        <v>531</v>
      </c>
      <c r="AP309" s="112" t="s">
        <v>198</v>
      </c>
      <c r="AQ309" s="113" t="s">
        <v>531</v>
      </c>
      <c r="AR309" s="114" t="s">
        <v>547</v>
      </c>
      <c r="AS309" s="115" t="s">
        <v>198</v>
      </c>
    </row>
    <row r="310" spans="1:45" ht="12.75" customHeight="1">
      <c r="A310" s="105"/>
      <c r="B310" s="80"/>
      <c r="C310" s="80"/>
      <c r="D310" s="94"/>
      <c r="E310" s="81"/>
      <c r="F310" s="85"/>
      <c r="G310" s="94"/>
      <c r="H310" s="81"/>
      <c r="I310" s="85"/>
      <c r="J310" s="94"/>
      <c r="K310" s="81"/>
      <c r="L310" s="85"/>
      <c r="M310" s="94"/>
      <c r="N310" s="81"/>
      <c r="O310" s="85"/>
      <c r="P310" s="94"/>
      <c r="Q310" s="81"/>
      <c r="R310" s="85"/>
      <c r="S310" s="94"/>
      <c r="T310" s="81"/>
      <c r="U310" s="85"/>
      <c r="V310" s="94"/>
      <c r="W310" s="81"/>
      <c r="X310" s="85"/>
      <c r="Y310" s="94"/>
      <c r="Z310" s="81"/>
      <c r="AA310" s="85"/>
      <c r="AB310" s="119" t="s">
        <v>547</v>
      </c>
      <c r="AC310" s="77"/>
      <c r="AD310" s="77"/>
      <c r="AE310" s="77"/>
      <c r="AF310" s="78"/>
      <c r="AG310" s="85"/>
      <c r="AH310" s="119" t="s">
        <v>547</v>
      </c>
      <c r="AI310" s="77"/>
      <c r="AJ310" s="78"/>
      <c r="AK310" s="85"/>
      <c r="AL310" s="119" t="s">
        <v>547</v>
      </c>
      <c r="AM310" s="77"/>
      <c r="AN310" s="77"/>
      <c r="AO310" s="78"/>
      <c r="AP310" s="85"/>
      <c r="AQ310" s="94"/>
      <c r="AR310" s="81"/>
      <c r="AS310" s="99"/>
    </row>
    <row r="311" spans="1:45" ht="13.5" customHeight="1">
      <c r="A311" s="105"/>
      <c r="B311" s="80"/>
      <c r="C311" s="80"/>
      <c r="D311" s="33"/>
      <c r="E311" s="34"/>
      <c r="F311" s="35"/>
      <c r="G311" s="102" t="s">
        <v>428</v>
      </c>
      <c r="H311" s="110" t="str">
        <f t="array" ref="H311">IFERROR(INDEX('iCoA Register'!$B:$B,MATCH("P060232|I",'iCoA Register'!$P:$P,0)),"iCoA — at issue")&amp;", (27.04.2026) [PP]"</f>
        <v>iCoA-PP_26-056, (27.04.2026) [PP]</v>
      </c>
      <c r="I311" s="87" t="s">
        <v>79</v>
      </c>
      <c r="J311" s="33"/>
      <c r="K311" s="34"/>
      <c r="L311" s="35"/>
      <c r="M311" s="33"/>
      <c r="N311" s="34"/>
      <c r="O311" s="35"/>
      <c r="P311" s="33"/>
      <c r="Q311" s="34"/>
      <c r="R311" s="35"/>
      <c r="S311" s="33"/>
      <c r="T311" s="34"/>
      <c r="U311" s="35"/>
      <c r="V311" s="33"/>
      <c r="W311" s="34"/>
      <c r="X311" s="35"/>
      <c r="Y311" s="33"/>
      <c r="Z311" s="34"/>
      <c r="AA311" s="35"/>
      <c r="AB311" s="33"/>
      <c r="AC311" s="34"/>
      <c r="AD311" s="34"/>
      <c r="AE311" s="34"/>
      <c r="AF311" s="34"/>
      <c r="AG311" s="35"/>
      <c r="AH311" s="33"/>
      <c r="AI311" s="34"/>
      <c r="AJ311" s="34"/>
      <c r="AK311" s="35"/>
      <c r="AL311" s="33"/>
      <c r="AM311" s="34"/>
      <c r="AN311" s="34"/>
      <c r="AO311" s="34"/>
      <c r="AP311" s="35"/>
      <c r="AQ311" s="33"/>
      <c r="AR311" s="34"/>
      <c r="AS311" s="38"/>
    </row>
    <row r="312" spans="1:45" ht="12.75" customHeight="1">
      <c r="A312" s="106"/>
      <c r="B312" s="108"/>
      <c r="C312" s="108"/>
      <c r="D312" s="39"/>
      <c r="E312" s="40"/>
      <c r="F312" s="41"/>
      <c r="G312" s="103"/>
      <c r="H312" s="108"/>
      <c r="I312" s="88"/>
      <c r="J312" s="39"/>
      <c r="K312" s="40"/>
      <c r="L312" s="41"/>
      <c r="M312" s="39"/>
      <c r="N312" s="40"/>
      <c r="O312" s="41"/>
      <c r="P312" s="39"/>
      <c r="Q312" s="40"/>
      <c r="R312" s="41"/>
      <c r="S312" s="39"/>
      <c r="T312" s="40"/>
      <c r="U312" s="41"/>
      <c r="V312" s="39"/>
      <c r="W312" s="40"/>
      <c r="X312" s="41"/>
      <c r="Y312" s="39"/>
      <c r="Z312" s="40"/>
      <c r="AA312" s="41"/>
      <c r="AB312" s="39"/>
      <c r="AC312" s="40"/>
      <c r="AD312" s="40"/>
      <c r="AE312" s="40"/>
      <c r="AF312" s="40"/>
      <c r="AG312" s="41"/>
      <c r="AH312" s="39"/>
      <c r="AI312" s="40"/>
      <c r="AJ312" s="40"/>
      <c r="AK312" s="41"/>
      <c r="AL312" s="39"/>
      <c r="AM312" s="40"/>
      <c r="AN312" s="40"/>
      <c r="AO312" s="40"/>
      <c r="AP312" s="41"/>
      <c r="AQ312" s="39"/>
      <c r="AR312" s="40"/>
      <c r="AS312" s="42"/>
    </row>
    <row r="313" spans="1:45" ht="21" customHeight="1">
      <c r="A313" s="104" t="s">
        <v>600</v>
      </c>
      <c r="B313" s="107" t="s">
        <v>602</v>
      </c>
      <c r="C313" s="111" t="s">
        <v>513</v>
      </c>
      <c r="D313" s="93" t="s">
        <v>1332</v>
      </c>
      <c r="E313" s="92" t="s">
        <v>1335</v>
      </c>
      <c r="F313" s="84" t="s">
        <v>79</v>
      </c>
      <c r="G313" s="93" t="s">
        <v>1332</v>
      </c>
      <c r="H313" s="92" t="s">
        <v>1335</v>
      </c>
      <c r="I313" s="84" t="s">
        <v>79</v>
      </c>
      <c r="J313" s="93" t="s">
        <v>463</v>
      </c>
      <c r="K313" s="92" t="s">
        <v>1335</v>
      </c>
      <c r="L313" s="84" t="s">
        <v>79</v>
      </c>
      <c r="M313" s="101" t="s">
        <v>2136</v>
      </c>
      <c r="N313" s="92" t="s">
        <v>1335</v>
      </c>
      <c r="O313" s="84" t="s">
        <v>79</v>
      </c>
      <c r="P313" s="100" t="s">
        <v>2137</v>
      </c>
      <c r="Q313" s="92" t="s">
        <v>1335</v>
      </c>
      <c r="R313" s="84" t="s">
        <v>79</v>
      </c>
      <c r="S313" s="100" t="s">
        <v>2138</v>
      </c>
      <c r="T313" s="92" t="s">
        <v>1335</v>
      </c>
      <c r="U313" s="84" t="s">
        <v>79</v>
      </c>
      <c r="V313" s="93" t="s">
        <v>1332</v>
      </c>
      <c r="W313" s="92" t="s">
        <v>1335</v>
      </c>
      <c r="X313" s="84" t="s">
        <v>79</v>
      </c>
      <c r="Y313" s="93" t="s">
        <v>1337</v>
      </c>
      <c r="Z313" s="92" t="s">
        <v>1335</v>
      </c>
      <c r="AA313" s="84" t="s">
        <v>79</v>
      </c>
      <c r="AB313" s="31" t="s">
        <v>1073</v>
      </c>
      <c r="AC313" s="32" t="s">
        <v>1339</v>
      </c>
      <c r="AD313" s="32" t="s">
        <v>561</v>
      </c>
      <c r="AE313" s="32" t="s">
        <v>528</v>
      </c>
      <c r="AF313" s="32" t="s">
        <v>528</v>
      </c>
      <c r="AG313" s="84" t="s">
        <v>79</v>
      </c>
      <c r="AH313" s="43" t="s">
        <v>531</v>
      </c>
      <c r="AI313" s="44" t="s">
        <v>531</v>
      </c>
      <c r="AJ313" s="44" t="s">
        <v>531</v>
      </c>
      <c r="AK313" s="112" t="s">
        <v>198</v>
      </c>
      <c r="AL313" s="43" t="s">
        <v>531</v>
      </c>
      <c r="AM313" s="44" t="s">
        <v>531</v>
      </c>
      <c r="AN313" s="44" t="s">
        <v>531</v>
      </c>
      <c r="AO313" s="44" t="s">
        <v>531</v>
      </c>
      <c r="AP313" s="112" t="s">
        <v>198</v>
      </c>
      <c r="AQ313" s="113" t="s">
        <v>531</v>
      </c>
      <c r="AR313" s="114" t="s">
        <v>547</v>
      </c>
      <c r="AS313" s="115" t="s">
        <v>198</v>
      </c>
    </row>
    <row r="314" spans="1:45" ht="12.75" customHeight="1">
      <c r="A314" s="106"/>
      <c r="B314" s="108"/>
      <c r="C314" s="108"/>
      <c r="D314" s="103"/>
      <c r="E314" s="108"/>
      <c r="F314" s="88"/>
      <c r="G314" s="103"/>
      <c r="H314" s="108"/>
      <c r="I314" s="88"/>
      <c r="J314" s="103"/>
      <c r="K314" s="108"/>
      <c r="L314" s="88"/>
      <c r="M314" s="103"/>
      <c r="N314" s="108"/>
      <c r="O314" s="88"/>
      <c r="P314" s="103"/>
      <c r="Q314" s="108"/>
      <c r="R314" s="88"/>
      <c r="S314" s="103"/>
      <c r="T314" s="108"/>
      <c r="U314" s="88"/>
      <c r="V314" s="103"/>
      <c r="W314" s="108"/>
      <c r="X314" s="88"/>
      <c r="Y314" s="103"/>
      <c r="Z314" s="108"/>
      <c r="AA314" s="88"/>
      <c r="AB314" s="89" t="s">
        <v>1346</v>
      </c>
      <c r="AC314" s="90"/>
      <c r="AD314" s="90"/>
      <c r="AE314" s="90"/>
      <c r="AF314" s="91"/>
      <c r="AG314" s="88"/>
      <c r="AH314" s="117" t="s">
        <v>547</v>
      </c>
      <c r="AI314" s="90"/>
      <c r="AJ314" s="91"/>
      <c r="AK314" s="88"/>
      <c r="AL314" s="117" t="s">
        <v>547</v>
      </c>
      <c r="AM314" s="90"/>
      <c r="AN314" s="90"/>
      <c r="AO314" s="91"/>
      <c r="AP314" s="88"/>
      <c r="AQ314" s="103"/>
      <c r="AR314" s="108"/>
      <c r="AS314" s="116"/>
    </row>
    <row r="315" spans="1:45" ht="17.25" customHeight="1">
      <c r="A315" s="104" t="s">
        <v>481</v>
      </c>
      <c r="B315" s="107" t="s">
        <v>482</v>
      </c>
      <c r="C315" s="109" t="s">
        <v>512</v>
      </c>
      <c r="D315" s="93" t="s">
        <v>428</v>
      </c>
      <c r="E315" s="92" t="str">
        <f t="array" ref="E315">IFERROR(INDEX('iCoA Register'!$B:$B,MATCH("P060282|I",'iCoA Register'!$P:$P,0)),"iCoA — at issue")&amp;", (18.05.2026) [PP]"</f>
        <v>iCoA-PP_26-061, (18.05.2026) [PP]</v>
      </c>
      <c r="F315" s="84" t="s">
        <v>79</v>
      </c>
      <c r="G315" s="95" t="s">
        <v>434</v>
      </c>
      <c r="H315" s="96" t="s">
        <v>2142</v>
      </c>
      <c r="I315" s="97" t="s">
        <v>93</v>
      </c>
      <c r="J315" s="93" t="s">
        <v>95</v>
      </c>
      <c r="K315" s="92" t="s">
        <v>1500</v>
      </c>
      <c r="L315" s="84" t="s">
        <v>79</v>
      </c>
      <c r="M315" s="101" t="s">
        <v>2143</v>
      </c>
      <c r="N315" s="92" t="s">
        <v>1500</v>
      </c>
      <c r="O315" s="84" t="s">
        <v>79</v>
      </c>
      <c r="P315" s="100" t="s">
        <v>442</v>
      </c>
      <c r="Q315" s="92" t="s">
        <v>1500</v>
      </c>
      <c r="R315" s="84" t="s">
        <v>79</v>
      </c>
      <c r="S315" s="100" t="s">
        <v>530</v>
      </c>
      <c r="T315" s="92" t="s">
        <v>1500</v>
      </c>
      <c r="U315" s="84" t="s">
        <v>79</v>
      </c>
      <c r="V315" s="93" t="s">
        <v>428</v>
      </c>
      <c r="W315" s="92" t="str">
        <f t="array" ref="W315">IFERROR(INDEX('iCoA Register'!$B:$B,MATCH("P060282|I",'iCoA Register'!$P:$P,0)),"iCoA — at issue")&amp;", (18.05.2026) [PP]"</f>
        <v>iCoA-PP_26-061, (18.05.2026) [PP]</v>
      </c>
      <c r="X315" s="84" t="s">
        <v>79</v>
      </c>
      <c r="Y315" s="93" t="s">
        <v>2145</v>
      </c>
      <c r="Z315" s="92" t="s">
        <v>1500</v>
      </c>
      <c r="AA315" s="84" t="s">
        <v>79</v>
      </c>
      <c r="AB315" s="31" t="s">
        <v>2146</v>
      </c>
      <c r="AC315" s="32" t="s">
        <v>2147</v>
      </c>
      <c r="AD315" s="32" t="s">
        <v>452</v>
      </c>
      <c r="AE315" s="32" t="s">
        <v>652</v>
      </c>
      <c r="AF315" s="32" t="s">
        <v>606</v>
      </c>
      <c r="AG315" s="84" t="s">
        <v>79</v>
      </c>
      <c r="AH315" s="31" t="s">
        <v>452</v>
      </c>
      <c r="AI315" s="32" t="s">
        <v>453</v>
      </c>
      <c r="AJ315" s="32" t="s">
        <v>452</v>
      </c>
      <c r="AK315" s="84" t="s">
        <v>79</v>
      </c>
      <c r="AL315" s="31" t="s">
        <v>2148</v>
      </c>
      <c r="AM315" s="32" t="s">
        <v>1061</v>
      </c>
      <c r="AN315" s="32" t="s">
        <v>796</v>
      </c>
      <c r="AO315" s="32" t="s">
        <v>608</v>
      </c>
      <c r="AP315" s="84" t="s">
        <v>79</v>
      </c>
      <c r="AQ315" s="93" t="s">
        <v>994</v>
      </c>
      <c r="AR315" s="92" t="s">
        <v>2149</v>
      </c>
      <c r="AS315" s="98" t="s">
        <v>79</v>
      </c>
    </row>
    <row r="316" spans="1:45" ht="12.75" customHeight="1">
      <c r="A316" s="105"/>
      <c r="B316" s="80"/>
      <c r="C316" s="80"/>
      <c r="D316" s="94"/>
      <c r="E316" s="81"/>
      <c r="F316" s="85"/>
      <c r="G316" s="94"/>
      <c r="H316" s="81"/>
      <c r="I316" s="85"/>
      <c r="J316" s="94"/>
      <c r="K316" s="81"/>
      <c r="L316" s="85"/>
      <c r="M316" s="94"/>
      <c r="N316" s="81"/>
      <c r="O316" s="85"/>
      <c r="P316" s="94"/>
      <c r="Q316" s="81"/>
      <c r="R316" s="85"/>
      <c r="S316" s="94"/>
      <c r="T316" s="81"/>
      <c r="U316" s="85"/>
      <c r="V316" s="94"/>
      <c r="W316" s="81"/>
      <c r="X316" s="85"/>
      <c r="Y316" s="94"/>
      <c r="Z316" s="81"/>
      <c r="AA316" s="85"/>
      <c r="AB316" s="86" t="s">
        <v>2150</v>
      </c>
      <c r="AC316" s="77"/>
      <c r="AD316" s="77"/>
      <c r="AE316" s="77"/>
      <c r="AF316" s="78"/>
      <c r="AG316" s="85"/>
      <c r="AH316" s="86" t="s">
        <v>2149</v>
      </c>
      <c r="AI316" s="77"/>
      <c r="AJ316" s="78"/>
      <c r="AK316" s="85"/>
      <c r="AL316" s="86" t="s">
        <v>2149</v>
      </c>
      <c r="AM316" s="77"/>
      <c r="AN316" s="77"/>
      <c r="AO316" s="78"/>
      <c r="AP316" s="85"/>
      <c r="AQ316" s="94"/>
      <c r="AR316" s="81"/>
      <c r="AS316" s="99"/>
    </row>
    <row r="317" spans="1:45" ht="13.5" customHeight="1">
      <c r="A317" s="105"/>
      <c r="B317" s="80"/>
      <c r="C317" s="80"/>
      <c r="D317" s="33"/>
      <c r="E317" s="34"/>
      <c r="F317" s="35"/>
      <c r="G317" s="102" t="s">
        <v>428</v>
      </c>
      <c r="H317" s="110" t="str">
        <f t="array" ref="H317">IFERROR(INDEX('iCoA Register'!$B:$B,MATCH("P060282|I",'iCoA Register'!$P:$P,0)),"iCoA — at issue")&amp;", (18.05.2026) [PP]"</f>
        <v>iCoA-PP_26-061, (18.05.2026) [PP]</v>
      </c>
      <c r="I317" s="87" t="s">
        <v>79</v>
      </c>
      <c r="J317" s="33"/>
      <c r="K317" s="34"/>
      <c r="L317" s="35"/>
      <c r="M317" s="33"/>
      <c r="N317" s="34"/>
      <c r="O317" s="35"/>
      <c r="P317" s="33"/>
      <c r="Q317" s="34"/>
      <c r="R317" s="35"/>
      <c r="S317" s="33"/>
      <c r="T317" s="34"/>
      <c r="U317" s="35"/>
      <c r="V317" s="33"/>
      <c r="W317" s="34"/>
      <c r="X317" s="35"/>
      <c r="Y317" s="33"/>
      <c r="Z317" s="34"/>
      <c r="AA317" s="35"/>
      <c r="AB317" s="33"/>
      <c r="AC317" s="34"/>
      <c r="AD317" s="34"/>
      <c r="AE317" s="34"/>
      <c r="AF317" s="34"/>
      <c r="AG317" s="35"/>
      <c r="AH317" s="33"/>
      <c r="AI317" s="34"/>
      <c r="AJ317" s="34"/>
      <c r="AK317" s="35"/>
      <c r="AL317" s="33"/>
      <c r="AM317" s="34"/>
      <c r="AN317" s="34"/>
      <c r="AO317" s="34"/>
      <c r="AP317" s="35"/>
      <c r="AQ317" s="33"/>
      <c r="AR317" s="34"/>
      <c r="AS317" s="38"/>
    </row>
    <row r="318" spans="1:45" ht="12.75" customHeight="1">
      <c r="A318" s="106"/>
      <c r="B318" s="108"/>
      <c r="C318" s="108"/>
      <c r="D318" s="39"/>
      <c r="E318" s="40"/>
      <c r="F318" s="41"/>
      <c r="G318" s="103"/>
      <c r="H318" s="108"/>
      <c r="I318" s="88"/>
      <c r="J318" s="39"/>
      <c r="K318" s="40"/>
      <c r="L318" s="41"/>
      <c r="M318" s="39"/>
      <c r="N318" s="40"/>
      <c r="O318" s="41"/>
      <c r="P318" s="39"/>
      <c r="Q318" s="40"/>
      <c r="R318" s="41"/>
      <c r="S318" s="39"/>
      <c r="T318" s="40"/>
      <c r="U318" s="41"/>
      <c r="V318" s="39"/>
      <c r="W318" s="40"/>
      <c r="X318" s="41"/>
      <c r="Y318" s="39"/>
      <c r="Z318" s="40"/>
      <c r="AA318" s="41"/>
      <c r="AB318" s="39"/>
      <c r="AC318" s="40"/>
      <c r="AD318" s="40"/>
      <c r="AE318" s="40"/>
      <c r="AF318" s="40"/>
      <c r="AG318" s="41"/>
      <c r="AH318" s="39"/>
      <c r="AI318" s="40"/>
      <c r="AJ318" s="40"/>
      <c r="AK318" s="41"/>
      <c r="AL318" s="39"/>
      <c r="AM318" s="40"/>
      <c r="AN318" s="40"/>
      <c r="AO318" s="40"/>
      <c r="AP318" s="41"/>
      <c r="AQ318" s="39"/>
      <c r="AR318" s="40"/>
      <c r="AS318" s="42"/>
    </row>
    <row r="319" spans="1:45" ht="21" customHeight="1">
      <c r="A319" s="104" t="s">
        <v>611</v>
      </c>
      <c r="B319" s="107" t="s">
        <v>614</v>
      </c>
      <c r="C319" s="111" t="s">
        <v>642</v>
      </c>
      <c r="D319" s="93" t="s">
        <v>428</v>
      </c>
      <c r="E319" s="92" t="str">
        <f t="array" ref="E319">IFERROR(INDEX('iCoA Register'!$B:$B,MATCH("P060162|I",'iCoA Register'!$P:$P,0)),"iCoA — at issue")&amp;", (09.03.2026) [PP]"</f>
        <v>iCoA-PP_26-049, (09.03.2026) [PP]</v>
      </c>
      <c r="F319" s="84" t="s">
        <v>79</v>
      </c>
      <c r="G319" s="93" t="s">
        <v>428</v>
      </c>
      <c r="H319" s="92" t="str">
        <f t="array" ref="H319">IFERROR(INDEX('iCoA Register'!$B:$B,MATCH("P060162|I",'iCoA Register'!$P:$P,0)),"iCoA — at issue")&amp;", (09.03.2026) [PP]"</f>
        <v>iCoA-PP_26-049, (09.03.2026) [PP]</v>
      </c>
      <c r="I319" s="84" t="s">
        <v>79</v>
      </c>
      <c r="J319" s="95" t="s">
        <v>434</v>
      </c>
      <c r="K319" s="96" t="s">
        <v>2162</v>
      </c>
      <c r="L319" s="97" t="s">
        <v>93</v>
      </c>
      <c r="M319" s="125" t="s">
        <v>434</v>
      </c>
      <c r="N319" s="96" t="s">
        <v>2162</v>
      </c>
      <c r="O319" s="97" t="s">
        <v>93</v>
      </c>
      <c r="P319" s="126" t="s">
        <v>434</v>
      </c>
      <c r="Q319" s="96" t="s">
        <v>2162</v>
      </c>
      <c r="R319" s="97" t="s">
        <v>93</v>
      </c>
      <c r="S319" s="126" t="s">
        <v>434</v>
      </c>
      <c r="T319" s="96" t="s">
        <v>2162</v>
      </c>
      <c r="U319" s="97" t="s">
        <v>93</v>
      </c>
      <c r="V319" s="93" t="s">
        <v>428</v>
      </c>
      <c r="W319" s="92" t="str">
        <f t="array" ref="W319">IFERROR(INDEX('iCoA Register'!$B:$B,MATCH("P060162|I",'iCoA Register'!$P:$P,0)),"iCoA — at issue")&amp;", (09.03.2026) [PP]"</f>
        <v>iCoA-PP_26-049, (09.03.2026) [PP]</v>
      </c>
      <c r="X319" s="84" t="s">
        <v>79</v>
      </c>
      <c r="Y319" s="93" t="s">
        <v>1352</v>
      </c>
      <c r="Z319" s="92" t="s">
        <v>1353</v>
      </c>
      <c r="AA319" s="84" t="s">
        <v>79</v>
      </c>
      <c r="AB319" s="31" t="s">
        <v>662</v>
      </c>
      <c r="AC319" s="32" t="s">
        <v>1354</v>
      </c>
      <c r="AD319" s="32" t="s">
        <v>561</v>
      </c>
      <c r="AE319" s="32" t="s">
        <v>528</v>
      </c>
      <c r="AF319" s="32" t="s">
        <v>528</v>
      </c>
      <c r="AG319" s="84" t="s">
        <v>79</v>
      </c>
      <c r="AH319" s="43" t="s">
        <v>531</v>
      </c>
      <c r="AI319" s="44" t="s">
        <v>531</v>
      </c>
      <c r="AJ319" s="44" t="s">
        <v>531</v>
      </c>
      <c r="AK319" s="112" t="s">
        <v>198</v>
      </c>
      <c r="AL319" s="43" t="s">
        <v>531</v>
      </c>
      <c r="AM319" s="44" t="s">
        <v>531</v>
      </c>
      <c r="AN319" s="44" t="s">
        <v>531</v>
      </c>
      <c r="AO319" s="44" t="s">
        <v>531</v>
      </c>
      <c r="AP319" s="112" t="s">
        <v>198</v>
      </c>
      <c r="AQ319" s="113" t="s">
        <v>531</v>
      </c>
      <c r="AR319" s="114" t="s">
        <v>547</v>
      </c>
      <c r="AS319" s="115" t="s">
        <v>198</v>
      </c>
    </row>
    <row r="320" spans="1:45" ht="21" customHeight="1">
      <c r="A320" s="105"/>
      <c r="B320" s="80"/>
      <c r="C320" s="80"/>
      <c r="D320" s="94"/>
      <c r="E320" s="81"/>
      <c r="F320" s="85"/>
      <c r="G320" s="94"/>
      <c r="H320" s="81"/>
      <c r="I320" s="85"/>
      <c r="J320" s="94"/>
      <c r="K320" s="81"/>
      <c r="L320" s="85"/>
      <c r="M320" s="94"/>
      <c r="N320" s="81"/>
      <c r="O320" s="85"/>
      <c r="P320" s="94"/>
      <c r="Q320" s="81"/>
      <c r="R320" s="85"/>
      <c r="S320" s="94"/>
      <c r="T320" s="81"/>
      <c r="U320" s="85"/>
      <c r="V320" s="94"/>
      <c r="W320" s="81"/>
      <c r="X320" s="85"/>
      <c r="Y320" s="94"/>
      <c r="Z320" s="81"/>
      <c r="AA320" s="85"/>
      <c r="AB320" s="86" t="s">
        <v>1365</v>
      </c>
      <c r="AC320" s="77"/>
      <c r="AD320" s="77"/>
      <c r="AE320" s="77"/>
      <c r="AF320" s="78"/>
      <c r="AG320" s="85"/>
      <c r="AH320" s="119" t="s">
        <v>547</v>
      </c>
      <c r="AI320" s="77"/>
      <c r="AJ320" s="78"/>
      <c r="AK320" s="85"/>
      <c r="AL320" s="119" t="s">
        <v>547</v>
      </c>
      <c r="AM320" s="77"/>
      <c r="AN320" s="77"/>
      <c r="AO320" s="78"/>
      <c r="AP320" s="85"/>
      <c r="AQ320" s="94"/>
      <c r="AR320" s="81"/>
      <c r="AS320" s="99"/>
    </row>
    <row r="321" spans="1:45" ht="17.25" customHeight="1">
      <c r="A321" s="105"/>
      <c r="B321" s="80"/>
      <c r="C321" s="80"/>
      <c r="D321" s="33"/>
      <c r="E321" s="34"/>
      <c r="F321" s="35"/>
      <c r="G321" s="33"/>
      <c r="H321" s="34"/>
      <c r="I321" s="35"/>
      <c r="J321" s="102" t="s">
        <v>463</v>
      </c>
      <c r="K321" s="110" t="s">
        <v>1384</v>
      </c>
      <c r="L321" s="87" t="s">
        <v>79</v>
      </c>
      <c r="M321" s="124" t="s">
        <v>2202</v>
      </c>
      <c r="N321" s="110" t="s">
        <v>1384</v>
      </c>
      <c r="O321" s="87" t="s">
        <v>79</v>
      </c>
      <c r="P321" s="120" t="s">
        <v>849</v>
      </c>
      <c r="Q321" s="110" t="s">
        <v>1384</v>
      </c>
      <c r="R321" s="87" t="s">
        <v>79</v>
      </c>
      <c r="S321" s="120" t="s">
        <v>849</v>
      </c>
      <c r="T321" s="110" t="s">
        <v>1384</v>
      </c>
      <c r="U321" s="87" t="s">
        <v>79</v>
      </c>
      <c r="V321" s="33"/>
      <c r="W321" s="34"/>
      <c r="X321" s="35"/>
      <c r="Y321" s="121" t="s">
        <v>434</v>
      </c>
      <c r="Z321" s="122" t="s">
        <v>1370</v>
      </c>
      <c r="AA321" s="123" t="s">
        <v>93</v>
      </c>
      <c r="AB321" s="33"/>
      <c r="AC321" s="34"/>
      <c r="AD321" s="34"/>
      <c r="AE321" s="34"/>
      <c r="AF321" s="34"/>
      <c r="AG321" s="35"/>
      <c r="AH321" s="33"/>
      <c r="AI321" s="34"/>
      <c r="AJ321" s="34"/>
      <c r="AK321" s="35"/>
      <c r="AL321" s="33"/>
      <c r="AM321" s="34"/>
      <c r="AN321" s="34"/>
      <c r="AO321" s="34"/>
      <c r="AP321" s="35"/>
      <c r="AQ321" s="33"/>
      <c r="AR321" s="34"/>
      <c r="AS321" s="38"/>
    </row>
    <row r="322" spans="1:45" ht="15" customHeight="1">
      <c r="A322" s="106"/>
      <c r="B322" s="108"/>
      <c r="C322" s="108"/>
      <c r="D322" s="39"/>
      <c r="E322" s="40"/>
      <c r="F322" s="41"/>
      <c r="G322" s="39"/>
      <c r="H322" s="40"/>
      <c r="I322" s="41"/>
      <c r="J322" s="103"/>
      <c r="K322" s="108"/>
      <c r="L322" s="88"/>
      <c r="M322" s="103"/>
      <c r="N322" s="108"/>
      <c r="O322" s="88"/>
      <c r="P322" s="103"/>
      <c r="Q322" s="108"/>
      <c r="R322" s="88"/>
      <c r="S322" s="103"/>
      <c r="T322" s="108"/>
      <c r="U322" s="88"/>
      <c r="V322" s="39"/>
      <c r="W322" s="40"/>
      <c r="X322" s="41"/>
      <c r="Y322" s="103"/>
      <c r="Z322" s="108"/>
      <c r="AA322" s="88"/>
      <c r="AB322" s="39"/>
      <c r="AC322" s="40"/>
      <c r="AD322" s="40"/>
      <c r="AE322" s="40"/>
      <c r="AF322" s="40"/>
      <c r="AG322" s="41"/>
      <c r="AH322" s="39"/>
      <c r="AI322" s="40"/>
      <c r="AJ322" s="40"/>
      <c r="AK322" s="41"/>
      <c r="AL322" s="39"/>
      <c r="AM322" s="40"/>
      <c r="AN322" s="40"/>
      <c r="AO322" s="40"/>
      <c r="AP322" s="41"/>
      <c r="AQ322" s="39"/>
      <c r="AR322" s="40"/>
      <c r="AS322" s="42"/>
    </row>
    <row r="323" spans="1:45" ht="21" customHeight="1">
      <c r="A323" s="104" t="s">
        <v>617</v>
      </c>
      <c r="B323" s="107" t="s">
        <v>619</v>
      </c>
      <c r="C323" s="118" t="s">
        <v>1023</v>
      </c>
      <c r="D323" s="93" t="s">
        <v>428</v>
      </c>
      <c r="E323" s="92" t="str">
        <f t="array" ref="E323">IFERROR(INDEX('iCoA Register'!$B:$B,MATCH("P060192|I",'iCoA Register'!$P:$P,0)),"iCoA — at issue")&amp;", (31.03.2026) [PP]"</f>
        <v>iCoA-PP_26-052, (31.03.2026) [PP]</v>
      </c>
      <c r="F323" s="84" t="s">
        <v>79</v>
      </c>
      <c r="G323" s="93" t="s">
        <v>428</v>
      </c>
      <c r="H323" s="92" t="str">
        <f t="array" ref="H323">IFERROR(INDEX('iCoA Register'!$B:$B,MATCH("P060192|I",'iCoA Register'!$P:$P,0)),"iCoA — at issue")&amp;", (31.03.2026) [PP]"</f>
        <v>iCoA-PP_26-052, (31.03.2026) [PP]</v>
      </c>
      <c r="I323" s="84" t="s">
        <v>79</v>
      </c>
      <c r="J323" s="95" t="s">
        <v>434</v>
      </c>
      <c r="K323" s="96" t="s">
        <v>2233</v>
      </c>
      <c r="L323" s="97" t="s">
        <v>93</v>
      </c>
      <c r="M323" s="125" t="s">
        <v>434</v>
      </c>
      <c r="N323" s="96" t="s">
        <v>2233</v>
      </c>
      <c r="O323" s="97" t="s">
        <v>93</v>
      </c>
      <c r="P323" s="126" t="s">
        <v>434</v>
      </c>
      <c r="Q323" s="96" t="s">
        <v>2233</v>
      </c>
      <c r="R323" s="97" t="s">
        <v>93</v>
      </c>
      <c r="S323" s="126" t="s">
        <v>434</v>
      </c>
      <c r="T323" s="96" t="s">
        <v>2233</v>
      </c>
      <c r="U323" s="97" t="s">
        <v>93</v>
      </c>
      <c r="V323" s="93" t="s">
        <v>428</v>
      </c>
      <c r="W323" s="92" t="str">
        <f t="array" ref="W323">IFERROR(INDEX('iCoA Register'!$B:$B,MATCH("P060192|I",'iCoA Register'!$P:$P,0)),"iCoA — at issue")&amp;", (31.03.2026) [PP]"</f>
        <v>iCoA-PP_26-052, (31.03.2026) [PP]</v>
      </c>
      <c r="X323" s="84" t="s">
        <v>79</v>
      </c>
      <c r="Y323" s="93" t="s">
        <v>1385</v>
      </c>
      <c r="Z323" s="92" t="s">
        <v>1386</v>
      </c>
      <c r="AA323" s="84" t="s">
        <v>79</v>
      </c>
      <c r="AB323" s="43" t="s">
        <v>531</v>
      </c>
      <c r="AC323" s="44" t="s">
        <v>531</v>
      </c>
      <c r="AD323" s="44" t="s">
        <v>531</v>
      </c>
      <c r="AE323" s="44" t="s">
        <v>531</v>
      </c>
      <c r="AF323" s="44" t="s">
        <v>531</v>
      </c>
      <c r="AG323" s="112" t="s">
        <v>198</v>
      </c>
      <c r="AH323" s="43" t="s">
        <v>531</v>
      </c>
      <c r="AI323" s="44" t="s">
        <v>531</v>
      </c>
      <c r="AJ323" s="44" t="s">
        <v>531</v>
      </c>
      <c r="AK323" s="112" t="s">
        <v>198</v>
      </c>
      <c r="AL323" s="43" t="s">
        <v>531</v>
      </c>
      <c r="AM323" s="44" t="s">
        <v>531</v>
      </c>
      <c r="AN323" s="44" t="s">
        <v>531</v>
      </c>
      <c r="AO323" s="44" t="s">
        <v>531</v>
      </c>
      <c r="AP323" s="112" t="s">
        <v>198</v>
      </c>
      <c r="AQ323" s="113" t="s">
        <v>531</v>
      </c>
      <c r="AR323" s="114" t="s">
        <v>547</v>
      </c>
      <c r="AS323" s="115" t="s">
        <v>198</v>
      </c>
    </row>
    <row r="324" spans="1:45" ht="21" customHeight="1">
      <c r="A324" s="105"/>
      <c r="B324" s="80"/>
      <c r="C324" s="80"/>
      <c r="D324" s="94"/>
      <c r="E324" s="81"/>
      <c r="F324" s="85"/>
      <c r="G324" s="94"/>
      <c r="H324" s="81"/>
      <c r="I324" s="85"/>
      <c r="J324" s="94"/>
      <c r="K324" s="81"/>
      <c r="L324" s="85"/>
      <c r="M324" s="94"/>
      <c r="N324" s="81"/>
      <c r="O324" s="85"/>
      <c r="P324" s="94"/>
      <c r="Q324" s="81"/>
      <c r="R324" s="85"/>
      <c r="S324" s="94"/>
      <c r="T324" s="81"/>
      <c r="U324" s="85"/>
      <c r="V324" s="94"/>
      <c r="W324" s="81"/>
      <c r="X324" s="85"/>
      <c r="Y324" s="94"/>
      <c r="Z324" s="81"/>
      <c r="AA324" s="85"/>
      <c r="AB324" s="119" t="s">
        <v>547</v>
      </c>
      <c r="AC324" s="77"/>
      <c r="AD324" s="77"/>
      <c r="AE324" s="77"/>
      <c r="AF324" s="78"/>
      <c r="AG324" s="85"/>
      <c r="AH324" s="119" t="s">
        <v>547</v>
      </c>
      <c r="AI324" s="77"/>
      <c r="AJ324" s="78"/>
      <c r="AK324" s="85"/>
      <c r="AL324" s="119" t="s">
        <v>547</v>
      </c>
      <c r="AM324" s="77"/>
      <c r="AN324" s="77"/>
      <c r="AO324" s="78"/>
      <c r="AP324" s="85"/>
      <c r="AQ324" s="94"/>
      <c r="AR324" s="81"/>
      <c r="AS324" s="99"/>
    </row>
    <row r="325" spans="1:45" ht="17.25" customHeight="1">
      <c r="A325" s="105"/>
      <c r="B325" s="80"/>
      <c r="C325" s="80"/>
      <c r="D325" s="33"/>
      <c r="E325" s="34"/>
      <c r="F325" s="35"/>
      <c r="G325" s="33"/>
      <c r="H325" s="34"/>
      <c r="I325" s="35"/>
      <c r="J325" s="102" t="s">
        <v>463</v>
      </c>
      <c r="K325" s="110" t="s">
        <v>1413</v>
      </c>
      <c r="L325" s="87" t="s">
        <v>79</v>
      </c>
      <c r="M325" s="124" t="s">
        <v>2270</v>
      </c>
      <c r="N325" s="110" t="s">
        <v>1413</v>
      </c>
      <c r="O325" s="87" t="s">
        <v>79</v>
      </c>
      <c r="P325" s="120" t="s">
        <v>849</v>
      </c>
      <c r="Q325" s="110" t="s">
        <v>1413</v>
      </c>
      <c r="R325" s="87" t="s">
        <v>79</v>
      </c>
      <c r="S325" s="120" t="s">
        <v>849</v>
      </c>
      <c r="T325" s="110" t="s">
        <v>1413</v>
      </c>
      <c r="U325" s="87" t="s">
        <v>79</v>
      </c>
      <c r="V325" s="33"/>
      <c r="W325" s="34"/>
      <c r="X325" s="35"/>
      <c r="Y325" s="121" t="s">
        <v>434</v>
      </c>
      <c r="Z325" s="122" t="s">
        <v>1395</v>
      </c>
      <c r="AA325" s="123" t="s">
        <v>93</v>
      </c>
      <c r="AB325" s="33"/>
      <c r="AC325" s="34"/>
      <c r="AD325" s="34"/>
      <c r="AE325" s="34"/>
      <c r="AF325" s="34"/>
      <c r="AG325" s="35"/>
      <c r="AH325" s="33"/>
      <c r="AI325" s="34"/>
      <c r="AJ325" s="34"/>
      <c r="AK325" s="35"/>
      <c r="AL325" s="33"/>
      <c r="AM325" s="34"/>
      <c r="AN325" s="34"/>
      <c r="AO325" s="34"/>
      <c r="AP325" s="35"/>
      <c r="AQ325" s="33"/>
      <c r="AR325" s="34"/>
      <c r="AS325" s="38"/>
    </row>
    <row r="326" spans="1:45" ht="15" customHeight="1">
      <c r="A326" s="106"/>
      <c r="B326" s="108"/>
      <c r="C326" s="108"/>
      <c r="D326" s="39"/>
      <c r="E326" s="40"/>
      <c r="F326" s="41"/>
      <c r="G326" s="39"/>
      <c r="H326" s="40"/>
      <c r="I326" s="41"/>
      <c r="J326" s="103"/>
      <c r="K326" s="108"/>
      <c r="L326" s="88"/>
      <c r="M326" s="103"/>
      <c r="N326" s="108"/>
      <c r="O326" s="88"/>
      <c r="P326" s="103"/>
      <c r="Q326" s="108"/>
      <c r="R326" s="88"/>
      <c r="S326" s="103"/>
      <c r="T326" s="108"/>
      <c r="U326" s="88"/>
      <c r="V326" s="39"/>
      <c r="W326" s="40"/>
      <c r="X326" s="41"/>
      <c r="Y326" s="103"/>
      <c r="Z326" s="108"/>
      <c r="AA326" s="88"/>
      <c r="AB326" s="39"/>
      <c r="AC326" s="40"/>
      <c r="AD326" s="40"/>
      <c r="AE326" s="40"/>
      <c r="AF326" s="40"/>
      <c r="AG326" s="41"/>
      <c r="AH326" s="39"/>
      <c r="AI326" s="40"/>
      <c r="AJ326" s="40"/>
      <c r="AK326" s="41"/>
      <c r="AL326" s="39"/>
      <c r="AM326" s="40"/>
      <c r="AN326" s="40"/>
      <c r="AO326" s="40"/>
      <c r="AP326" s="41"/>
      <c r="AQ326" s="39"/>
      <c r="AR326" s="40"/>
      <c r="AS326" s="42"/>
    </row>
    <row r="327" spans="1:45" ht="21" customHeight="1">
      <c r="A327" s="104" t="s">
        <v>683</v>
      </c>
      <c r="B327" s="107" t="s">
        <v>685</v>
      </c>
      <c r="C327" s="118" t="s">
        <v>2271</v>
      </c>
      <c r="D327" s="93" t="s">
        <v>428</v>
      </c>
      <c r="E327" s="92" t="str">
        <f t="array" ref="E327">IFERROR(INDEX('iCoA Register'!$B:$B,MATCH("P050142|I",'iCoA Register'!$P:$P,0)),"iCoA — at issue")&amp;", (30.09.2025) [PP]"</f>
        <v>iCoA-PP_26-021, (30.09.2025) [PP]</v>
      </c>
      <c r="F327" s="84" t="s">
        <v>79</v>
      </c>
      <c r="G327" s="93" t="s">
        <v>428</v>
      </c>
      <c r="H327" s="92" t="str">
        <f t="array" ref="H327">IFERROR(INDEX('iCoA Register'!$B:$B,MATCH("P050142|I",'iCoA Register'!$P:$P,0)),"iCoA — at issue")&amp;", (30.09.2025) [PP]"</f>
        <v>iCoA-PP_26-021, (30.09.2025) [PP]</v>
      </c>
      <c r="I327" s="84" t="s">
        <v>79</v>
      </c>
      <c r="J327" s="113" t="s">
        <v>531</v>
      </c>
      <c r="K327" s="114" t="s">
        <v>547</v>
      </c>
      <c r="L327" s="112" t="s">
        <v>198</v>
      </c>
      <c r="M327" s="113" t="s">
        <v>531</v>
      </c>
      <c r="N327" s="114" t="s">
        <v>547</v>
      </c>
      <c r="O327" s="112" t="s">
        <v>198</v>
      </c>
      <c r="P327" s="113" t="s">
        <v>531</v>
      </c>
      <c r="Q327" s="114" t="s">
        <v>547</v>
      </c>
      <c r="R327" s="112" t="s">
        <v>198</v>
      </c>
      <c r="S327" s="113" t="s">
        <v>531</v>
      </c>
      <c r="T327" s="114" t="s">
        <v>547</v>
      </c>
      <c r="U327" s="112" t="s">
        <v>198</v>
      </c>
      <c r="V327" s="93" t="s">
        <v>428</v>
      </c>
      <c r="W327" s="92" t="str">
        <f t="array" ref="W327">IFERROR(INDEX('iCoA Register'!$B:$B,MATCH("P050142|I",'iCoA Register'!$P:$P,0)),"iCoA — at issue")&amp;", (30.09.2025) [PP]"</f>
        <v>iCoA-PP_26-021, (30.09.2025) [PP]</v>
      </c>
      <c r="X327" s="84" t="s">
        <v>79</v>
      </c>
      <c r="Y327" s="113" t="s">
        <v>531</v>
      </c>
      <c r="Z327" s="114" t="s">
        <v>547</v>
      </c>
      <c r="AA327" s="112" t="s">
        <v>198</v>
      </c>
      <c r="AB327" s="31" t="s">
        <v>561</v>
      </c>
      <c r="AC327" s="32" t="s">
        <v>561</v>
      </c>
      <c r="AD327" s="32" t="s">
        <v>561</v>
      </c>
      <c r="AE327" s="32" t="s">
        <v>528</v>
      </c>
      <c r="AF327" s="32" t="s">
        <v>528</v>
      </c>
      <c r="AG327" s="84" t="s">
        <v>79</v>
      </c>
      <c r="AH327" s="43" t="s">
        <v>531</v>
      </c>
      <c r="AI327" s="44" t="s">
        <v>531</v>
      </c>
      <c r="AJ327" s="44" t="s">
        <v>531</v>
      </c>
      <c r="AK327" s="112" t="s">
        <v>198</v>
      </c>
      <c r="AL327" s="43" t="s">
        <v>531</v>
      </c>
      <c r="AM327" s="44" t="s">
        <v>531</v>
      </c>
      <c r="AN327" s="44" t="s">
        <v>531</v>
      </c>
      <c r="AO327" s="44" t="s">
        <v>531</v>
      </c>
      <c r="AP327" s="112" t="s">
        <v>198</v>
      </c>
      <c r="AQ327" s="113" t="s">
        <v>531</v>
      </c>
      <c r="AR327" s="114" t="s">
        <v>547</v>
      </c>
      <c r="AS327" s="115" t="s">
        <v>198</v>
      </c>
    </row>
    <row r="328" spans="1:45" ht="12.75" customHeight="1">
      <c r="A328" s="106"/>
      <c r="B328" s="108"/>
      <c r="C328" s="108"/>
      <c r="D328" s="103"/>
      <c r="E328" s="108"/>
      <c r="F328" s="88"/>
      <c r="G328" s="103"/>
      <c r="H328" s="108"/>
      <c r="I328" s="88"/>
      <c r="J328" s="103"/>
      <c r="K328" s="108"/>
      <c r="L328" s="88"/>
      <c r="M328" s="103"/>
      <c r="N328" s="108"/>
      <c r="O328" s="88"/>
      <c r="P328" s="103"/>
      <c r="Q328" s="108"/>
      <c r="R328" s="88"/>
      <c r="S328" s="103"/>
      <c r="T328" s="108"/>
      <c r="U328" s="88"/>
      <c r="V328" s="103"/>
      <c r="W328" s="108"/>
      <c r="X328" s="88"/>
      <c r="Y328" s="103"/>
      <c r="Z328" s="108"/>
      <c r="AA328" s="88"/>
      <c r="AB328" s="89" t="s">
        <v>2276</v>
      </c>
      <c r="AC328" s="90"/>
      <c r="AD328" s="90"/>
      <c r="AE328" s="90"/>
      <c r="AF328" s="91"/>
      <c r="AG328" s="88"/>
      <c r="AH328" s="117" t="s">
        <v>547</v>
      </c>
      <c r="AI328" s="90"/>
      <c r="AJ328" s="91"/>
      <c r="AK328" s="88"/>
      <c r="AL328" s="117" t="s">
        <v>547</v>
      </c>
      <c r="AM328" s="90"/>
      <c r="AN328" s="90"/>
      <c r="AO328" s="91"/>
      <c r="AP328" s="88"/>
      <c r="AQ328" s="103"/>
      <c r="AR328" s="108"/>
      <c r="AS328" s="116"/>
    </row>
    <row r="329" spans="1:45" ht="21" customHeight="1">
      <c r="A329" s="104" t="s">
        <v>622</v>
      </c>
      <c r="B329" s="107" t="s">
        <v>624</v>
      </c>
      <c r="C329" s="118" t="s">
        <v>2271</v>
      </c>
      <c r="D329" s="93" t="s">
        <v>428</v>
      </c>
      <c r="E329" s="92" t="str">
        <f t="array" ref="E329">IFERROR(INDEX('iCoA Register'!$B:$B,MATCH("P060102|I",'iCoA Register'!$P:$P,0)),"iCoA — at issue")&amp;", (16.02.2026) [PP]"</f>
        <v>iCoA-PP_26-046, (16.02.2026) [PP]</v>
      </c>
      <c r="F329" s="84" t="s">
        <v>79</v>
      </c>
      <c r="G329" s="93" t="s">
        <v>428</v>
      </c>
      <c r="H329" s="92" t="str">
        <f t="array" ref="H329">IFERROR(INDEX('iCoA Register'!$B:$B,MATCH("P060102|I",'iCoA Register'!$P:$P,0)),"iCoA — at issue")&amp;", (16.02.2026) [PP]"</f>
        <v>iCoA-PP_26-046, (16.02.2026) [PP]</v>
      </c>
      <c r="I329" s="84" t="s">
        <v>79</v>
      </c>
      <c r="J329" s="113" t="s">
        <v>531</v>
      </c>
      <c r="K329" s="114" t="s">
        <v>547</v>
      </c>
      <c r="L329" s="112" t="s">
        <v>198</v>
      </c>
      <c r="M329" s="113" t="s">
        <v>531</v>
      </c>
      <c r="N329" s="114" t="s">
        <v>547</v>
      </c>
      <c r="O329" s="112" t="s">
        <v>198</v>
      </c>
      <c r="P329" s="113" t="s">
        <v>531</v>
      </c>
      <c r="Q329" s="114" t="s">
        <v>547</v>
      </c>
      <c r="R329" s="112" t="s">
        <v>198</v>
      </c>
      <c r="S329" s="113" t="s">
        <v>531</v>
      </c>
      <c r="T329" s="114" t="s">
        <v>547</v>
      </c>
      <c r="U329" s="112" t="s">
        <v>198</v>
      </c>
      <c r="V329" s="93" t="s">
        <v>428</v>
      </c>
      <c r="W329" s="92" t="str">
        <f t="array" ref="W329">IFERROR(INDEX('iCoA Register'!$B:$B,MATCH("P060102|I",'iCoA Register'!$P:$P,0)),"iCoA — at issue")&amp;", (16.02.2026) [PP]"</f>
        <v>iCoA-PP_26-046, (16.02.2026) [PP]</v>
      </c>
      <c r="X329" s="84" t="s">
        <v>79</v>
      </c>
      <c r="Y329" s="113" t="s">
        <v>531</v>
      </c>
      <c r="Z329" s="114" t="s">
        <v>547</v>
      </c>
      <c r="AA329" s="112" t="s">
        <v>198</v>
      </c>
      <c r="AB329" s="31" t="s">
        <v>561</v>
      </c>
      <c r="AC329" s="32" t="s">
        <v>561</v>
      </c>
      <c r="AD329" s="32" t="s">
        <v>561</v>
      </c>
      <c r="AE329" s="32" t="s">
        <v>528</v>
      </c>
      <c r="AF329" s="32" t="s">
        <v>528</v>
      </c>
      <c r="AG329" s="84" t="s">
        <v>79</v>
      </c>
      <c r="AH329" s="43" t="s">
        <v>531</v>
      </c>
      <c r="AI329" s="44" t="s">
        <v>531</v>
      </c>
      <c r="AJ329" s="44" t="s">
        <v>531</v>
      </c>
      <c r="AK329" s="112" t="s">
        <v>198</v>
      </c>
      <c r="AL329" s="43" t="s">
        <v>531</v>
      </c>
      <c r="AM329" s="44" t="s">
        <v>531</v>
      </c>
      <c r="AN329" s="44" t="s">
        <v>531</v>
      </c>
      <c r="AO329" s="44" t="s">
        <v>531</v>
      </c>
      <c r="AP329" s="112" t="s">
        <v>198</v>
      </c>
      <c r="AQ329" s="113" t="s">
        <v>531</v>
      </c>
      <c r="AR329" s="114" t="s">
        <v>547</v>
      </c>
      <c r="AS329" s="115" t="s">
        <v>198</v>
      </c>
    </row>
    <row r="330" spans="1:45" ht="12.75" customHeight="1">
      <c r="A330" s="106"/>
      <c r="B330" s="108"/>
      <c r="C330" s="108"/>
      <c r="D330" s="103"/>
      <c r="E330" s="108"/>
      <c r="F330" s="88"/>
      <c r="G330" s="103"/>
      <c r="H330" s="108"/>
      <c r="I330" s="88"/>
      <c r="J330" s="103"/>
      <c r="K330" s="108"/>
      <c r="L330" s="88"/>
      <c r="M330" s="103"/>
      <c r="N330" s="108"/>
      <c r="O330" s="88"/>
      <c r="P330" s="103"/>
      <c r="Q330" s="108"/>
      <c r="R330" s="88"/>
      <c r="S330" s="103"/>
      <c r="T330" s="108"/>
      <c r="U330" s="88"/>
      <c r="V330" s="103"/>
      <c r="W330" s="108"/>
      <c r="X330" s="88"/>
      <c r="Y330" s="103"/>
      <c r="Z330" s="108"/>
      <c r="AA330" s="88"/>
      <c r="AB330" s="89" t="s">
        <v>2290</v>
      </c>
      <c r="AC330" s="90"/>
      <c r="AD330" s="90"/>
      <c r="AE330" s="90"/>
      <c r="AF330" s="91"/>
      <c r="AG330" s="88"/>
      <c r="AH330" s="117" t="s">
        <v>547</v>
      </c>
      <c r="AI330" s="90"/>
      <c r="AJ330" s="91"/>
      <c r="AK330" s="88"/>
      <c r="AL330" s="117" t="s">
        <v>547</v>
      </c>
      <c r="AM330" s="90"/>
      <c r="AN330" s="90"/>
      <c r="AO330" s="91"/>
      <c r="AP330" s="88"/>
      <c r="AQ330" s="103"/>
      <c r="AR330" s="108"/>
      <c r="AS330" s="116"/>
    </row>
    <row r="331" spans="1:45" ht="21" customHeight="1">
      <c r="A331" s="104" t="s">
        <v>712</v>
      </c>
      <c r="B331" s="107" t="s">
        <v>595</v>
      </c>
      <c r="C331" s="118" t="s">
        <v>2271</v>
      </c>
      <c r="D331" s="93" t="s">
        <v>428</v>
      </c>
      <c r="E331" s="92" t="str">
        <f t="array" ref="E331">IFERROR(INDEX('iCoA Register'!$B:$B,MATCH("P060342|I",'iCoA Register'!$P:$P,0)),"iCoA — at issue")&amp;", (25.05.2026) [PP]"</f>
        <v>iCoA-PP_26-068, (25.05.2026) [PP]</v>
      </c>
      <c r="F331" s="84" t="s">
        <v>79</v>
      </c>
      <c r="G331" s="93" t="s">
        <v>428</v>
      </c>
      <c r="H331" s="92" t="str">
        <f t="array" ref="H331">IFERROR(INDEX('iCoA Register'!$B:$B,MATCH("P060342|I",'iCoA Register'!$P:$P,0)),"iCoA — at issue")&amp;", (25.05.2026) [PP]"</f>
        <v>iCoA-PP_26-068, (25.05.2026) [PP]</v>
      </c>
      <c r="I331" s="84" t="s">
        <v>79</v>
      </c>
      <c r="J331" s="113" t="s">
        <v>531</v>
      </c>
      <c r="K331" s="114" t="s">
        <v>547</v>
      </c>
      <c r="L331" s="112" t="s">
        <v>198</v>
      </c>
      <c r="M331" s="113" t="s">
        <v>531</v>
      </c>
      <c r="N331" s="114" t="s">
        <v>547</v>
      </c>
      <c r="O331" s="112" t="s">
        <v>198</v>
      </c>
      <c r="P331" s="113" t="s">
        <v>531</v>
      </c>
      <c r="Q331" s="114" t="s">
        <v>547</v>
      </c>
      <c r="R331" s="112" t="s">
        <v>198</v>
      </c>
      <c r="S331" s="113" t="s">
        <v>531</v>
      </c>
      <c r="T331" s="114" t="s">
        <v>547</v>
      </c>
      <c r="U331" s="112" t="s">
        <v>198</v>
      </c>
      <c r="V331" s="93" t="s">
        <v>428</v>
      </c>
      <c r="W331" s="92" t="str">
        <f t="array" ref="W331">IFERROR(INDEX('iCoA Register'!$B:$B,MATCH("P060342|I",'iCoA Register'!$P:$P,0)),"iCoA — at issue")&amp;", (25.05.2026) [PP]"</f>
        <v>iCoA-PP_26-068, (25.05.2026) [PP]</v>
      </c>
      <c r="X331" s="84" t="s">
        <v>79</v>
      </c>
      <c r="Y331" s="113" t="s">
        <v>531</v>
      </c>
      <c r="Z331" s="114" t="s">
        <v>547</v>
      </c>
      <c r="AA331" s="112" t="s">
        <v>198</v>
      </c>
      <c r="AB331" s="31" t="s">
        <v>2310</v>
      </c>
      <c r="AC331" s="32" t="s">
        <v>2311</v>
      </c>
      <c r="AD331" s="32" t="s">
        <v>561</v>
      </c>
      <c r="AE331" s="32" t="s">
        <v>528</v>
      </c>
      <c r="AF331" s="32" t="s">
        <v>528</v>
      </c>
      <c r="AG331" s="84" t="s">
        <v>79</v>
      </c>
      <c r="AH331" s="43" t="s">
        <v>531</v>
      </c>
      <c r="AI331" s="44" t="s">
        <v>531</v>
      </c>
      <c r="AJ331" s="44" t="s">
        <v>531</v>
      </c>
      <c r="AK331" s="112" t="s">
        <v>198</v>
      </c>
      <c r="AL331" s="43" t="s">
        <v>531</v>
      </c>
      <c r="AM331" s="44" t="s">
        <v>531</v>
      </c>
      <c r="AN331" s="44" t="s">
        <v>531</v>
      </c>
      <c r="AO331" s="44" t="s">
        <v>531</v>
      </c>
      <c r="AP331" s="112" t="s">
        <v>198</v>
      </c>
      <c r="AQ331" s="113" t="s">
        <v>531</v>
      </c>
      <c r="AR331" s="114" t="s">
        <v>547</v>
      </c>
      <c r="AS331" s="115" t="s">
        <v>198</v>
      </c>
    </row>
    <row r="332" spans="1:45" ht="12.75" customHeight="1">
      <c r="A332" s="106"/>
      <c r="B332" s="108"/>
      <c r="C332" s="108"/>
      <c r="D332" s="103"/>
      <c r="E332" s="108"/>
      <c r="F332" s="88"/>
      <c r="G332" s="103"/>
      <c r="H332" s="108"/>
      <c r="I332" s="88"/>
      <c r="J332" s="103"/>
      <c r="K332" s="108"/>
      <c r="L332" s="88"/>
      <c r="M332" s="103"/>
      <c r="N332" s="108"/>
      <c r="O332" s="88"/>
      <c r="P332" s="103"/>
      <c r="Q332" s="108"/>
      <c r="R332" s="88"/>
      <c r="S332" s="103"/>
      <c r="T332" s="108"/>
      <c r="U332" s="88"/>
      <c r="V332" s="103"/>
      <c r="W332" s="108"/>
      <c r="X332" s="88"/>
      <c r="Y332" s="103"/>
      <c r="Z332" s="108"/>
      <c r="AA332" s="88"/>
      <c r="AB332" s="89" t="s">
        <v>2314</v>
      </c>
      <c r="AC332" s="90"/>
      <c r="AD332" s="90"/>
      <c r="AE332" s="90"/>
      <c r="AF332" s="91"/>
      <c r="AG332" s="88"/>
      <c r="AH332" s="117" t="s">
        <v>547</v>
      </c>
      <c r="AI332" s="90"/>
      <c r="AJ332" s="91"/>
      <c r="AK332" s="88"/>
      <c r="AL332" s="117" t="s">
        <v>547</v>
      </c>
      <c r="AM332" s="90"/>
      <c r="AN332" s="90"/>
      <c r="AO332" s="91"/>
      <c r="AP332" s="88"/>
      <c r="AQ332" s="103"/>
      <c r="AR332" s="108"/>
      <c r="AS332" s="116"/>
    </row>
    <row r="333" spans="1:45" ht="14.25" customHeight="1"/>
    <row r="334" spans="1:45" ht="61.5" customHeight="1">
      <c r="A334" s="76" t="s">
        <v>1403</v>
      </c>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8"/>
    </row>
    <row r="335" spans="1:45" ht="14.25" customHeight="1"/>
    <row r="336" spans="1:45"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854">
    <mergeCell ref="AS269:AS270"/>
    <mergeCell ref="AL270:AO270"/>
    <mergeCell ref="AB270:AF270"/>
    <mergeCell ref="AH270:AJ270"/>
    <mergeCell ref="V269:V270"/>
    <mergeCell ref="W269:W270"/>
    <mergeCell ref="X269:X270"/>
    <mergeCell ref="Y269:Y270"/>
    <mergeCell ref="Z269:Z270"/>
    <mergeCell ref="AA269:AA270"/>
    <mergeCell ref="AG269:AG270"/>
    <mergeCell ref="I269:I270"/>
    <mergeCell ref="J269:J270"/>
    <mergeCell ref="K269:K270"/>
    <mergeCell ref="L269:L270"/>
    <mergeCell ref="M269:M270"/>
    <mergeCell ref="N269:N270"/>
    <mergeCell ref="O269:O270"/>
    <mergeCell ref="P269:P270"/>
    <mergeCell ref="Q269:Q270"/>
    <mergeCell ref="R269:R270"/>
    <mergeCell ref="S269:S270"/>
    <mergeCell ref="T269:T270"/>
    <mergeCell ref="U269:U270"/>
    <mergeCell ref="AK269:AK270"/>
    <mergeCell ref="AP269:AP270"/>
    <mergeCell ref="AQ269:AQ270"/>
    <mergeCell ref="AR269:AR270"/>
    <mergeCell ref="AP265:AP266"/>
    <mergeCell ref="AQ265:AQ266"/>
    <mergeCell ref="AR265:AR266"/>
    <mergeCell ref="AS265:AS266"/>
    <mergeCell ref="AL266:AO266"/>
    <mergeCell ref="AK261:AK262"/>
    <mergeCell ref="AP261:AP262"/>
    <mergeCell ref="AQ261:AQ262"/>
    <mergeCell ref="AR261:AR262"/>
    <mergeCell ref="AS261:AS262"/>
    <mergeCell ref="AH262:AJ262"/>
    <mergeCell ref="AL262:AO262"/>
    <mergeCell ref="G267:G268"/>
    <mergeCell ref="H267:H268"/>
    <mergeCell ref="I267:I268"/>
    <mergeCell ref="A265:A268"/>
    <mergeCell ref="B265:B268"/>
    <mergeCell ref="C265:C268"/>
    <mergeCell ref="D265:D266"/>
    <mergeCell ref="E265:E266"/>
    <mergeCell ref="F265:F266"/>
    <mergeCell ref="G265:G266"/>
    <mergeCell ref="Y259:Y260"/>
    <mergeCell ref="Z259:Z260"/>
    <mergeCell ref="AA259:AA260"/>
    <mergeCell ref="AK259:AK260"/>
    <mergeCell ref="AH260:AJ260"/>
    <mergeCell ref="N259:N260"/>
    <mergeCell ref="O259:O260"/>
    <mergeCell ref="P259:P260"/>
    <mergeCell ref="Q259:Q260"/>
    <mergeCell ref="R259:R260"/>
    <mergeCell ref="S259:S260"/>
    <mergeCell ref="T259:T260"/>
    <mergeCell ref="H261:H262"/>
    <mergeCell ref="I261:I262"/>
    <mergeCell ref="J261:J262"/>
    <mergeCell ref="K261:K262"/>
    <mergeCell ref="L261:L262"/>
    <mergeCell ref="M261:M262"/>
    <mergeCell ref="N261:N262"/>
    <mergeCell ref="N217:N218"/>
    <mergeCell ref="O217:O218"/>
    <mergeCell ref="G217:G218"/>
    <mergeCell ref="H217:H218"/>
    <mergeCell ref="I217:I218"/>
    <mergeCell ref="J217:J218"/>
    <mergeCell ref="K217:K218"/>
    <mergeCell ref="L217:L218"/>
    <mergeCell ref="M217:M218"/>
    <mergeCell ref="G259:G260"/>
    <mergeCell ref="H259:H260"/>
    <mergeCell ref="I259:I260"/>
    <mergeCell ref="J259:J260"/>
    <mergeCell ref="K259:K260"/>
    <mergeCell ref="L259:L260"/>
    <mergeCell ref="M259:M260"/>
    <mergeCell ref="U259:U260"/>
    <mergeCell ref="N215:N216"/>
    <mergeCell ref="O215:O216"/>
    <mergeCell ref="G215:G216"/>
    <mergeCell ref="H215:H216"/>
    <mergeCell ref="I215:I216"/>
    <mergeCell ref="J215:J216"/>
    <mergeCell ref="K215:K216"/>
    <mergeCell ref="L215:L216"/>
    <mergeCell ref="M215:M216"/>
    <mergeCell ref="Z215:Z216"/>
    <mergeCell ref="AA215:AA216"/>
    <mergeCell ref="P215:P216"/>
    <mergeCell ref="Q215:Q216"/>
    <mergeCell ref="R215:R216"/>
    <mergeCell ref="S215:S216"/>
    <mergeCell ref="T215:T216"/>
    <mergeCell ref="U215:U216"/>
    <mergeCell ref="Y215:Y216"/>
    <mergeCell ref="AR211:AR212"/>
    <mergeCell ref="AS211:AS212"/>
    <mergeCell ref="N213:N214"/>
    <mergeCell ref="O213:O214"/>
    <mergeCell ref="G213:G214"/>
    <mergeCell ref="H213:H214"/>
    <mergeCell ref="I213:I214"/>
    <mergeCell ref="J213:J214"/>
    <mergeCell ref="K213:K214"/>
    <mergeCell ref="L213:L214"/>
    <mergeCell ref="M213:M214"/>
    <mergeCell ref="Z213:Z214"/>
    <mergeCell ref="AA213:AA214"/>
    <mergeCell ref="P213:P214"/>
    <mergeCell ref="Q213:Q214"/>
    <mergeCell ref="R213:R214"/>
    <mergeCell ref="S213:S214"/>
    <mergeCell ref="T213:T214"/>
    <mergeCell ref="U213:U214"/>
    <mergeCell ref="Y213:Y214"/>
    <mergeCell ref="Y211:Y212"/>
    <mergeCell ref="Q211:Q212"/>
    <mergeCell ref="R211:R212"/>
    <mergeCell ref="S211:S212"/>
    <mergeCell ref="T211:T212"/>
    <mergeCell ref="U211:U212"/>
    <mergeCell ref="V211:V212"/>
    <mergeCell ref="W211:W212"/>
    <mergeCell ref="AG211:AG212"/>
    <mergeCell ref="AB212:AF212"/>
    <mergeCell ref="AH212:AJ212"/>
    <mergeCell ref="AL212:AO212"/>
    <mergeCell ref="Z211:Z212"/>
    <mergeCell ref="AA211:AA212"/>
    <mergeCell ref="AK211:AK212"/>
    <mergeCell ref="AP211:AP212"/>
    <mergeCell ref="AQ211:AQ212"/>
    <mergeCell ref="AK163:AK164"/>
    <mergeCell ref="AP163:AP164"/>
    <mergeCell ref="AQ163:AQ164"/>
    <mergeCell ref="AR163:AR164"/>
    <mergeCell ref="AS163:AS164"/>
    <mergeCell ref="AL164:AO164"/>
    <mergeCell ref="AB164:AF164"/>
    <mergeCell ref="AH164:AJ164"/>
    <mergeCell ref="V163:V164"/>
    <mergeCell ref="W163:W164"/>
    <mergeCell ref="X163:X164"/>
    <mergeCell ref="Y163:Y164"/>
    <mergeCell ref="Z163:Z164"/>
    <mergeCell ref="AA163:AA164"/>
    <mergeCell ref="AG163:AG164"/>
    <mergeCell ref="AB168:AF168"/>
    <mergeCell ref="AH168:AJ168"/>
    <mergeCell ref="V167:V168"/>
    <mergeCell ref="W167:W168"/>
    <mergeCell ref="X167:X168"/>
    <mergeCell ref="Y167:Y168"/>
    <mergeCell ref="Z167:Z168"/>
    <mergeCell ref="AA167:AA168"/>
    <mergeCell ref="AG167:AG168"/>
    <mergeCell ref="P145:P146"/>
    <mergeCell ref="Q145:Q146"/>
    <mergeCell ref="R145:R146"/>
    <mergeCell ref="S145:S146"/>
    <mergeCell ref="T145:T146"/>
    <mergeCell ref="U145:U146"/>
    <mergeCell ref="X149:X150"/>
    <mergeCell ref="Y149:Y150"/>
    <mergeCell ref="Z149:Z150"/>
    <mergeCell ref="AA149:AA150"/>
    <mergeCell ref="H149:H150"/>
    <mergeCell ref="I149:I150"/>
    <mergeCell ref="J149:J150"/>
    <mergeCell ref="K149:K150"/>
    <mergeCell ref="L149:L150"/>
    <mergeCell ref="M149:M150"/>
    <mergeCell ref="N149:N150"/>
    <mergeCell ref="V149:V150"/>
    <mergeCell ref="W149:W150"/>
    <mergeCell ref="Y151:Y152"/>
    <mergeCell ref="Z151:Z152"/>
    <mergeCell ref="AA151:AA152"/>
    <mergeCell ref="O149:O150"/>
    <mergeCell ref="P149:P150"/>
    <mergeCell ref="Q149:Q150"/>
    <mergeCell ref="R149:R150"/>
    <mergeCell ref="S149:S150"/>
    <mergeCell ref="T149:T150"/>
    <mergeCell ref="U149:U150"/>
    <mergeCell ref="A137:A140"/>
    <mergeCell ref="B137:B140"/>
    <mergeCell ref="C137:C140"/>
    <mergeCell ref="D137:D138"/>
    <mergeCell ref="E137:E138"/>
    <mergeCell ref="F137:F138"/>
    <mergeCell ref="G137:G138"/>
    <mergeCell ref="G143:G144"/>
    <mergeCell ref="H143:H144"/>
    <mergeCell ref="I143:I144"/>
    <mergeCell ref="A141:A144"/>
    <mergeCell ref="B141:B144"/>
    <mergeCell ref="C141:C144"/>
    <mergeCell ref="D141:D142"/>
    <mergeCell ref="E141:E142"/>
    <mergeCell ref="F141:F142"/>
    <mergeCell ref="G141:G142"/>
    <mergeCell ref="H145:H146"/>
    <mergeCell ref="I145:I146"/>
    <mergeCell ref="J145:J146"/>
    <mergeCell ref="H137:H138"/>
    <mergeCell ref="I137:I138"/>
    <mergeCell ref="J137:J138"/>
    <mergeCell ref="K137:K138"/>
    <mergeCell ref="L137:L138"/>
    <mergeCell ref="M137:M138"/>
    <mergeCell ref="N137:N138"/>
    <mergeCell ref="G139:G140"/>
    <mergeCell ref="H139:H140"/>
    <mergeCell ref="I139:I140"/>
    <mergeCell ref="X141:X142"/>
    <mergeCell ref="Y141:Y142"/>
    <mergeCell ref="Z141:Z142"/>
    <mergeCell ref="AA141:AA142"/>
    <mergeCell ref="H141:H142"/>
    <mergeCell ref="I141:I142"/>
    <mergeCell ref="J141:J142"/>
    <mergeCell ref="K141:K142"/>
    <mergeCell ref="L141:L142"/>
    <mergeCell ref="M141:M142"/>
    <mergeCell ref="N141:N142"/>
    <mergeCell ref="G135:G136"/>
    <mergeCell ref="H135:H136"/>
    <mergeCell ref="I135:I136"/>
    <mergeCell ref="J135:J136"/>
    <mergeCell ref="K135:K136"/>
    <mergeCell ref="L135:L136"/>
    <mergeCell ref="M135:M136"/>
    <mergeCell ref="U135:U136"/>
    <mergeCell ref="Y135:Y136"/>
    <mergeCell ref="Z135:Z136"/>
    <mergeCell ref="AA135:AA136"/>
    <mergeCell ref="N135:N136"/>
    <mergeCell ref="O135:O136"/>
    <mergeCell ref="P135:P136"/>
    <mergeCell ref="Q135:Q136"/>
    <mergeCell ref="R135:R136"/>
    <mergeCell ref="S135:S136"/>
    <mergeCell ref="T135:T136"/>
    <mergeCell ref="O185:O186"/>
    <mergeCell ref="P185:P186"/>
    <mergeCell ref="Q185:Q186"/>
    <mergeCell ref="R185:R186"/>
    <mergeCell ref="S185:S186"/>
    <mergeCell ref="T185:T186"/>
    <mergeCell ref="U185:U186"/>
    <mergeCell ref="AK185:AK186"/>
    <mergeCell ref="AP185:AP186"/>
    <mergeCell ref="AQ185:AQ186"/>
    <mergeCell ref="AR185:AR186"/>
    <mergeCell ref="AS185:AS186"/>
    <mergeCell ref="AL186:AO186"/>
    <mergeCell ref="AB186:AF186"/>
    <mergeCell ref="AH186:AJ186"/>
    <mergeCell ref="V185:V186"/>
    <mergeCell ref="W185:W186"/>
    <mergeCell ref="X185:X186"/>
    <mergeCell ref="Y185:Y186"/>
    <mergeCell ref="Z185:Z186"/>
    <mergeCell ref="AA185:AA186"/>
    <mergeCell ref="AG185:AG186"/>
    <mergeCell ref="G183:G184"/>
    <mergeCell ref="H183:H184"/>
    <mergeCell ref="I183:I184"/>
    <mergeCell ref="A181:A184"/>
    <mergeCell ref="B181:B184"/>
    <mergeCell ref="C181:C184"/>
    <mergeCell ref="D181:D182"/>
    <mergeCell ref="E181:E182"/>
    <mergeCell ref="F181:F182"/>
    <mergeCell ref="G181:G182"/>
    <mergeCell ref="H185:H186"/>
    <mergeCell ref="I185:I186"/>
    <mergeCell ref="J185:J186"/>
    <mergeCell ref="K185:K186"/>
    <mergeCell ref="L185:L186"/>
    <mergeCell ref="M185:M186"/>
    <mergeCell ref="N185:N186"/>
    <mergeCell ref="O181:O182"/>
    <mergeCell ref="P181:P182"/>
    <mergeCell ref="Q181:Q182"/>
    <mergeCell ref="R181:R182"/>
    <mergeCell ref="S181:S182"/>
    <mergeCell ref="T181:T182"/>
    <mergeCell ref="U181:U182"/>
    <mergeCell ref="AK181:AK182"/>
    <mergeCell ref="AP181:AP182"/>
    <mergeCell ref="AQ181:AQ182"/>
    <mergeCell ref="AR181:AR182"/>
    <mergeCell ref="AS181:AS182"/>
    <mergeCell ref="AL182:AO182"/>
    <mergeCell ref="AB182:AF182"/>
    <mergeCell ref="AH182:AJ182"/>
    <mergeCell ref="AG183:AG184"/>
    <mergeCell ref="AB184:AF184"/>
    <mergeCell ref="V181:V182"/>
    <mergeCell ref="W181:W182"/>
    <mergeCell ref="X181:X182"/>
    <mergeCell ref="Y181:Y182"/>
    <mergeCell ref="Z181:Z182"/>
    <mergeCell ref="AA181:AA182"/>
    <mergeCell ref="AG181:AG182"/>
    <mergeCell ref="G179:G180"/>
    <mergeCell ref="H179:H180"/>
    <mergeCell ref="I179:I180"/>
    <mergeCell ref="A177:A180"/>
    <mergeCell ref="B177:B180"/>
    <mergeCell ref="C177:C180"/>
    <mergeCell ref="D177:D178"/>
    <mergeCell ref="E177:E178"/>
    <mergeCell ref="F177:F178"/>
    <mergeCell ref="G177:G178"/>
    <mergeCell ref="H181:H182"/>
    <mergeCell ref="I181:I182"/>
    <mergeCell ref="J181:J182"/>
    <mergeCell ref="K181:K182"/>
    <mergeCell ref="L181:L182"/>
    <mergeCell ref="M181:M182"/>
    <mergeCell ref="N181:N182"/>
    <mergeCell ref="O177:O178"/>
    <mergeCell ref="P177:P178"/>
    <mergeCell ref="Q177:Q178"/>
    <mergeCell ref="R177:R178"/>
    <mergeCell ref="S177:S178"/>
    <mergeCell ref="T177:T178"/>
    <mergeCell ref="U177:U178"/>
    <mergeCell ref="AK177:AK178"/>
    <mergeCell ref="AP177:AP178"/>
    <mergeCell ref="AQ177:AQ178"/>
    <mergeCell ref="AR177:AR178"/>
    <mergeCell ref="AS177:AS178"/>
    <mergeCell ref="AL178:AO178"/>
    <mergeCell ref="AB178:AF178"/>
    <mergeCell ref="AH178:AJ178"/>
    <mergeCell ref="V177:V178"/>
    <mergeCell ref="W177:W178"/>
    <mergeCell ref="X177:X178"/>
    <mergeCell ref="Y177:Y178"/>
    <mergeCell ref="Z177:Z178"/>
    <mergeCell ref="AA177:AA178"/>
    <mergeCell ref="AG177:AG178"/>
    <mergeCell ref="G173:G174"/>
    <mergeCell ref="H173:H174"/>
    <mergeCell ref="I173:I174"/>
    <mergeCell ref="A171:A176"/>
    <mergeCell ref="B171:B176"/>
    <mergeCell ref="C171:C176"/>
    <mergeCell ref="D171:D172"/>
    <mergeCell ref="E171:E172"/>
    <mergeCell ref="F171:F172"/>
    <mergeCell ref="G171:G172"/>
    <mergeCell ref="H177:H178"/>
    <mergeCell ref="I177:I178"/>
    <mergeCell ref="J177:J178"/>
    <mergeCell ref="K177:K178"/>
    <mergeCell ref="L177:L178"/>
    <mergeCell ref="M177:M178"/>
    <mergeCell ref="N177:N178"/>
    <mergeCell ref="AK171:AK172"/>
    <mergeCell ref="AP171:AP172"/>
    <mergeCell ref="AQ171:AQ172"/>
    <mergeCell ref="AR171:AR172"/>
    <mergeCell ref="AS171:AS172"/>
    <mergeCell ref="AL172:AO172"/>
    <mergeCell ref="AB172:AF172"/>
    <mergeCell ref="AH172:AJ172"/>
    <mergeCell ref="AG173:AG174"/>
    <mergeCell ref="AB174:AF174"/>
    <mergeCell ref="AG175:AG176"/>
    <mergeCell ref="AB176:AF176"/>
    <mergeCell ref="V171:V172"/>
    <mergeCell ref="W171:W172"/>
    <mergeCell ref="X171:X172"/>
    <mergeCell ref="Y171:Y172"/>
    <mergeCell ref="Z171:Z172"/>
    <mergeCell ref="AA171:AA172"/>
    <mergeCell ref="AG171:AG172"/>
    <mergeCell ref="K169:K170"/>
    <mergeCell ref="L169:L170"/>
    <mergeCell ref="M169:M170"/>
    <mergeCell ref="H171:H172"/>
    <mergeCell ref="I171:I172"/>
    <mergeCell ref="J171:J172"/>
    <mergeCell ref="K171:K172"/>
    <mergeCell ref="L171:L172"/>
    <mergeCell ref="M171:M172"/>
    <mergeCell ref="N171:N172"/>
    <mergeCell ref="O171:O172"/>
    <mergeCell ref="P171:P172"/>
    <mergeCell ref="Q171:Q172"/>
    <mergeCell ref="R171:R172"/>
    <mergeCell ref="S171:S172"/>
    <mergeCell ref="T171:T172"/>
    <mergeCell ref="U171:U172"/>
    <mergeCell ref="K167:K168"/>
    <mergeCell ref="L167:L168"/>
    <mergeCell ref="M167:M168"/>
    <mergeCell ref="N167:N168"/>
    <mergeCell ref="AK167:AK168"/>
    <mergeCell ref="AP167:AP168"/>
    <mergeCell ref="AQ167:AQ168"/>
    <mergeCell ref="AR167:AR168"/>
    <mergeCell ref="AS167:AS168"/>
    <mergeCell ref="AL168:AO168"/>
    <mergeCell ref="AK169:AK170"/>
    <mergeCell ref="AH170:AJ170"/>
    <mergeCell ref="A167:A170"/>
    <mergeCell ref="B167:B170"/>
    <mergeCell ref="C167:C170"/>
    <mergeCell ref="D167:D168"/>
    <mergeCell ref="E167:E168"/>
    <mergeCell ref="F167:F168"/>
    <mergeCell ref="G167:G168"/>
    <mergeCell ref="O167:O168"/>
    <mergeCell ref="P167:P168"/>
    <mergeCell ref="Q167:Q168"/>
    <mergeCell ref="R167:R168"/>
    <mergeCell ref="S167:S168"/>
    <mergeCell ref="T167:T168"/>
    <mergeCell ref="U167:U168"/>
    <mergeCell ref="N169:N170"/>
    <mergeCell ref="O169:O170"/>
    <mergeCell ref="G169:G170"/>
    <mergeCell ref="H169:H170"/>
    <mergeCell ref="I169:I170"/>
    <mergeCell ref="J169:J170"/>
    <mergeCell ref="Y157:Y158"/>
    <mergeCell ref="Z157:Z158"/>
    <mergeCell ref="AA157:AA158"/>
    <mergeCell ref="Y159:Y160"/>
    <mergeCell ref="Z159:Z160"/>
    <mergeCell ref="AA159:AA160"/>
    <mergeCell ref="N155:N156"/>
    <mergeCell ref="O155:O156"/>
    <mergeCell ref="P155:P156"/>
    <mergeCell ref="Q155:Q156"/>
    <mergeCell ref="R155:R156"/>
    <mergeCell ref="S155:S156"/>
    <mergeCell ref="T155:T156"/>
    <mergeCell ref="Z169:Z170"/>
    <mergeCell ref="AA169:AA170"/>
    <mergeCell ref="P169:P170"/>
    <mergeCell ref="Q169:Q170"/>
    <mergeCell ref="R169:R170"/>
    <mergeCell ref="S169:S170"/>
    <mergeCell ref="T169:T170"/>
    <mergeCell ref="U169:U170"/>
    <mergeCell ref="Y169:Y170"/>
    <mergeCell ref="O163:O164"/>
    <mergeCell ref="P163:P164"/>
    <mergeCell ref="Q163:Q164"/>
    <mergeCell ref="R163:R164"/>
    <mergeCell ref="S163:S164"/>
    <mergeCell ref="T163:T164"/>
    <mergeCell ref="U163:U164"/>
    <mergeCell ref="AQ149:AQ150"/>
    <mergeCell ref="AR149:AR150"/>
    <mergeCell ref="AS149:AS150"/>
    <mergeCell ref="AP153:AP154"/>
    <mergeCell ref="AQ153:AQ154"/>
    <mergeCell ref="AR153:AR154"/>
    <mergeCell ref="AS153:AS154"/>
    <mergeCell ref="N147:N148"/>
    <mergeCell ref="O147:O148"/>
    <mergeCell ref="AK147:AK148"/>
    <mergeCell ref="AH148:AJ148"/>
    <mergeCell ref="AG149:AG150"/>
    <mergeCell ref="AK149:AK150"/>
    <mergeCell ref="AP149:AP150"/>
    <mergeCell ref="AL150:AO150"/>
    <mergeCell ref="AH154:AJ154"/>
    <mergeCell ref="AL154:AO154"/>
    <mergeCell ref="AB150:AF150"/>
    <mergeCell ref="AH150:AJ150"/>
    <mergeCell ref="AK151:AK152"/>
    <mergeCell ref="AH152:AJ152"/>
    <mergeCell ref="AG153:AG154"/>
    <mergeCell ref="AK153:AK154"/>
    <mergeCell ref="AB154:AF154"/>
    <mergeCell ref="Z147:Z148"/>
    <mergeCell ref="AA147:AA148"/>
    <mergeCell ref="P147:P148"/>
    <mergeCell ref="Q147:Q148"/>
    <mergeCell ref="R147:R148"/>
    <mergeCell ref="S147:S148"/>
    <mergeCell ref="T147:T148"/>
    <mergeCell ref="U147:U148"/>
    <mergeCell ref="AQ145:AQ146"/>
    <mergeCell ref="AR145:AR146"/>
    <mergeCell ref="AS145:AS146"/>
    <mergeCell ref="AB146:AF146"/>
    <mergeCell ref="AH146:AJ146"/>
    <mergeCell ref="AG141:AG142"/>
    <mergeCell ref="AB142:AF142"/>
    <mergeCell ref="AG143:AG144"/>
    <mergeCell ref="AB144:AF144"/>
    <mergeCell ref="AG145:AG146"/>
    <mergeCell ref="AK145:AK146"/>
    <mergeCell ref="AP145:AP146"/>
    <mergeCell ref="AL146:AO146"/>
    <mergeCell ref="G147:G148"/>
    <mergeCell ref="H147:H148"/>
    <mergeCell ref="I147:I148"/>
    <mergeCell ref="J147:J148"/>
    <mergeCell ref="K147:K148"/>
    <mergeCell ref="L147:L148"/>
    <mergeCell ref="M147:M148"/>
    <mergeCell ref="Y147:Y148"/>
    <mergeCell ref="K145:K146"/>
    <mergeCell ref="L145:L146"/>
    <mergeCell ref="M145:M146"/>
    <mergeCell ref="N145:N146"/>
    <mergeCell ref="V145:V146"/>
    <mergeCell ref="W145:W146"/>
    <mergeCell ref="X145:X146"/>
    <mergeCell ref="Y145:Y146"/>
    <mergeCell ref="Z145:Z146"/>
    <mergeCell ref="AA145:AA146"/>
    <mergeCell ref="O145:O146"/>
    <mergeCell ref="AG137:AG138"/>
    <mergeCell ref="AB138:AF138"/>
    <mergeCell ref="AG139:AG140"/>
    <mergeCell ref="AB140:AF140"/>
    <mergeCell ref="AK137:AK138"/>
    <mergeCell ref="AP137:AP138"/>
    <mergeCell ref="AQ137:AQ138"/>
    <mergeCell ref="AR137:AR138"/>
    <mergeCell ref="AS137:AS138"/>
    <mergeCell ref="AH138:AJ138"/>
    <mergeCell ref="AL138:AO138"/>
    <mergeCell ref="O141:O142"/>
    <mergeCell ref="P141:P142"/>
    <mergeCell ref="Q141:Q142"/>
    <mergeCell ref="R141:R142"/>
    <mergeCell ref="S141:S142"/>
    <mergeCell ref="T141:T142"/>
    <mergeCell ref="U141:U142"/>
    <mergeCell ref="AH142:AJ142"/>
    <mergeCell ref="AL142:AO142"/>
    <mergeCell ref="V141:V142"/>
    <mergeCell ref="W141:W142"/>
    <mergeCell ref="AK141:AK142"/>
    <mergeCell ref="AP141:AP142"/>
    <mergeCell ref="AQ141:AQ142"/>
    <mergeCell ref="AR141:AR142"/>
    <mergeCell ref="AS141:AS142"/>
    <mergeCell ref="Y133:Y134"/>
    <mergeCell ref="Z133:Z134"/>
    <mergeCell ref="AA133:AA134"/>
    <mergeCell ref="Q125:Q126"/>
    <mergeCell ref="R125:R126"/>
    <mergeCell ref="S125:S126"/>
    <mergeCell ref="T125:T126"/>
    <mergeCell ref="U125:U126"/>
    <mergeCell ref="V125:V126"/>
    <mergeCell ref="W125:W126"/>
    <mergeCell ref="O137:O138"/>
    <mergeCell ref="P137:P138"/>
    <mergeCell ref="Q137:Q138"/>
    <mergeCell ref="R137:R138"/>
    <mergeCell ref="S137:S138"/>
    <mergeCell ref="T137:T138"/>
    <mergeCell ref="U137:U138"/>
    <mergeCell ref="V137:V138"/>
    <mergeCell ref="W137:W138"/>
    <mergeCell ref="X137:X138"/>
    <mergeCell ref="Y137:Y138"/>
    <mergeCell ref="Z137:Z138"/>
    <mergeCell ref="AA137:AA138"/>
    <mergeCell ref="Z125:Z126"/>
    <mergeCell ref="AA125:AA126"/>
    <mergeCell ref="Z127:Z128"/>
    <mergeCell ref="AA127:AA128"/>
    <mergeCell ref="G127:G128"/>
    <mergeCell ref="H127:H128"/>
    <mergeCell ref="I127:I128"/>
    <mergeCell ref="J127:J128"/>
    <mergeCell ref="K127:K128"/>
    <mergeCell ref="L127:L128"/>
    <mergeCell ref="M127:M128"/>
    <mergeCell ref="G123:G124"/>
    <mergeCell ref="H123:H124"/>
    <mergeCell ref="I123:I124"/>
    <mergeCell ref="F125:F126"/>
    <mergeCell ref="G125:G126"/>
    <mergeCell ref="H125:H126"/>
    <mergeCell ref="I125:I126"/>
    <mergeCell ref="J125:J126"/>
    <mergeCell ref="K125:K126"/>
    <mergeCell ref="L125:L126"/>
    <mergeCell ref="M125:M126"/>
    <mergeCell ref="N125:N126"/>
    <mergeCell ref="O125:O126"/>
    <mergeCell ref="P125:P126"/>
    <mergeCell ref="P133:P134"/>
    <mergeCell ref="Q133:Q134"/>
    <mergeCell ref="I133:I134"/>
    <mergeCell ref="J133:J134"/>
    <mergeCell ref="K133:K134"/>
    <mergeCell ref="L133:L134"/>
    <mergeCell ref="M133:M134"/>
    <mergeCell ref="N133:N134"/>
    <mergeCell ref="O133:O134"/>
    <mergeCell ref="A121:A124"/>
    <mergeCell ref="B121:B124"/>
    <mergeCell ref="C121:C124"/>
    <mergeCell ref="D121:D122"/>
    <mergeCell ref="E121:E122"/>
    <mergeCell ref="F121:F122"/>
    <mergeCell ref="G121:G122"/>
    <mergeCell ref="X125:X126"/>
    <mergeCell ref="R133:R134"/>
    <mergeCell ref="S133:S134"/>
    <mergeCell ref="T133:T134"/>
    <mergeCell ref="U133:U134"/>
    <mergeCell ref="A125:A136"/>
    <mergeCell ref="B125:B136"/>
    <mergeCell ref="C125:C136"/>
    <mergeCell ref="D125:D126"/>
    <mergeCell ref="E125:E126"/>
    <mergeCell ref="G133:G134"/>
    <mergeCell ref="H133:H134"/>
    <mergeCell ref="D115:D116"/>
    <mergeCell ref="E115:E116"/>
    <mergeCell ref="F115:F116"/>
    <mergeCell ref="G115:G116"/>
    <mergeCell ref="H121:H122"/>
    <mergeCell ref="I121:I122"/>
    <mergeCell ref="J121:J122"/>
    <mergeCell ref="K121:K122"/>
    <mergeCell ref="L121:L122"/>
    <mergeCell ref="M121:M122"/>
    <mergeCell ref="N121:N122"/>
    <mergeCell ref="V121:V122"/>
    <mergeCell ref="W121:W122"/>
    <mergeCell ref="X121:X122"/>
    <mergeCell ref="Y121:Y122"/>
    <mergeCell ref="Z121:Z122"/>
    <mergeCell ref="AA121:AA122"/>
    <mergeCell ref="O121:O122"/>
    <mergeCell ref="P121:P122"/>
    <mergeCell ref="Q121:Q122"/>
    <mergeCell ref="R121:R122"/>
    <mergeCell ref="S121:S122"/>
    <mergeCell ref="T121:T122"/>
    <mergeCell ref="U121:U122"/>
    <mergeCell ref="AK331:AK332"/>
    <mergeCell ref="AP331:AP332"/>
    <mergeCell ref="AQ331:AQ332"/>
    <mergeCell ref="AR331:AR332"/>
    <mergeCell ref="AS331:AS332"/>
    <mergeCell ref="AL332:AO332"/>
    <mergeCell ref="AB332:AF332"/>
    <mergeCell ref="AH332:AJ332"/>
    <mergeCell ref="A334:AS334"/>
    <mergeCell ref="V331:V332"/>
    <mergeCell ref="W331:W332"/>
    <mergeCell ref="X331:X332"/>
    <mergeCell ref="Y331:Y332"/>
    <mergeCell ref="Z331:Z332"/>
    <mergeCell ref="AA331:AA332"/>
    <mergeCell ref="AG331:AG332"/>
    <mergeCell ref="D109:D110"/>
    <mergeCell ref="E109:E110"/>
    <mergeCell ref="A111:A114"/>
    <mergeCell ref="B111:B114"/>
    <mergeCell ref="C111:C114"/>
    <mergeCell ref="D111:D112"/>
    <mergeCell ref="E111:E112"/>
    <mergeCell ref="Q119:Q120"/>
    <mergeCell ref="R119:R120"/>
    <mergeCell ref="S119:S120"/>
    <mergeCell ref="T119:T120"/>
    <mergeCell ref="U119:U120"/>
    <mergeCell ref="Y119:Y120"/>
    <mergeCell ref="Z119:Z120"/>
    <mergeCell ref="AA119:AA120"/>
    <mergeCell ref="J119:J120"/>
    <mergeCell ref="AG323:AG324"/>
    <mergeCell ref="AB324:AF324"/>
    <mergeCell ref="O329:O330"/>
    <mergeCell ref="P329:P330"/>
    <mergeCell ref="H329:H330"/>
    <mergeCell ref="I329:I330"/>
    <mergeCell ref="J329:J330"/>
    <mergeCell ref="K329:K330"/>
    <mergeCell ref="L329:L330"/>
    <mergeCell ref="M329:M330"/>
    <mergeCell ref="N329:N330"/>
    <mergeCell ref="A331:A332"/>
    <mergeCell ref="B331:B332"/>
    <mergeCell ref="C331:C332"/>
    <mergeCell ref="D331:D332"/>
    <mergeCell ref="E331:E332"/>
    <mergeCell ref="F331:F332"/>
    <mergeCell ref="G331:G332"/>
    <mergeCell ref="H331:H332"/>
    <mergeCell ref="I331:I332"/>
    <mergeCell ref="J331:J332"/>
    <mergeCell ref="K331:K332"/>
    <mergeCell ref="L331:L332"/>
    <mergeCell ref="M331:M332"/>
    <mergeCell ref="N331:N332"/>
    <mergeCell ref="O331:O332"/>
    <mergeCell ref="P331:P332"/>
    <mergeCell ref="Q331:Q332"/>
    <mergeCell ref="R331:R332"/>
    <mergeCell ref="S331:S332"/>
    <mergeCell ref="T331:T332"/>
    <mergeCell ref="U331:U332"/>
    <mergeCell ref="G317:G318"/>
    <mergeCell ref="H317:H318"/>
    <mergeCell ref="I317:I318"/>
    <mergeCell ref="X319:X320"/>
    <mergeCell ref="Y319:Y320"/>
    <mergeCell ref="Z319:Z320"/>
    <mergeCell ref="AA319:AA320"/>
    <mergeCell ref="H319:H320"/>
    <mergeCell ref="I319:I320"/>
    <mergeCell ref="J319:J320"/>
    <mergeCell ref="K319:K320"/>
    <mergeCell ref="L319:L320"/>
    <mergeCell ref="M319:M320"/>
    <mergeCell ref="N319:N320"/>
    <mergeCell ref="O323:O324"/>
    <mergeCell ref="P323:P324"/>
    <mergeCell ref="Q323:Q324"/>
    <mergeCell ref="R323:R324"/>
    <mergeCell ref="S323:S324"/>
    <mergeCell ref="T323:T324"/>
    <mergeCell ref="U323:U324"/>
    <mergeCell ref="V323:V324"/>
    <mergeCell ref="W323:W324"/>
    <mergeCell ref="X323:X324"/>
    <mergeCell ref="Y323:Y324"/>
    <mergeCell ref="Z323:Z324"/>
    <mergeCell ref="AA323:AA324"/>
    <mergeCell ref="D309:D310"/>
    <mergeCell ref="E309:E310"/>
    <mergeCell ref="F309:F310"/>
    <mergeCell ref="G309:G310"/>
    <mergeCell ref="H315:H316"/>
    <mergeCell ref="I315:I316"/>
    <mergeCell ref="J315:J316"/>
    <mergeCell ref="K315:K316"/>
    <mergeCell ref="L315:L316"/>
    <mergeCell ref="M315:M316"/>
    <mergeCell ref="N315:N316"/>
    <mergeCell ref="V315:V316"/>
    <mergeCell ref="W315:W316"/>
    <mergeCell ref="X315:X316"/>
    <mergeCell ref="Y315:Y316"/>
    <mergeCell ref="Z315:Z316"/>
    <mergeCell ref="AA315:AA316"/>
    <mergeCell ref="O315:O316"/>
    <mergeCell ref="P315:P316"/>
    <mergeCell ref="Q315:Q316"/>
    <mergeCell ref="R315:R316"/>
    <mergeCell ref="S315:S316"/>
    <mergeCell ref="T315:T316"/>
    <mergeCell ref="U315:U316"/>
    <mergeCell ref="T307:T308"/>
    <mergeCell ref="U307:U308"/>
    <mergeCell ref="G311:G312"/>
    <mergeCell ref="H311:H312"/>
    <mergeCell ref="I311:I312"/>
    <mergeCell ref="A313:A314"/>
    <mergeCell ref="B313:B314"/>
    <mergeCell ref="C313:C314"/>
    <mergeCell ref="D313:D314"/>
    <mergeCell ref="E313:E314"/>
    <mergeCell ref="F313:F314"/>
    <mergeCell ref="G313:G314"/>
    <mergeCell ref="Z309:Z310"/>
    <mergeCell ref="Z313:Z314"/>
    <mergeCell ref="AA313:AA314"/>
    <mergeCell ref="V307:V308"/>
    <mergeCell ref="W307:W308"/>
    <mergeCell ref="X307:X308"/>
    <mergeCell ref="Y307:Y308"/>
    <mergeCell ref="Z307:Z308"/>
    <mergeCell ref="AA307:AA308"/>
    <mergeCell ref="AA309:AA310"/>
    <mergeCell ref="A307:A308"/>
    <mergeCell ref="B307:B308"/>
    <mergeCell ref="C307:C308"/>
    <mergeCell ref="D307:D308"/>
    <mergeCell ref="E307:E308"/>
    <mergeCell ref="F307:F308"/>
    <mergeCell ref="G307:G308"/>
    <mergeCell ref="A309:A312"/>
    <mergeCell ref="B309:B312"/>
    <mergeCell ref="C309:C312"/>
    <mergeCell ref="AR313:AR314"/>
    <mergeCell ref="AS313:AS314"/>
    <mergeCell ref="AH316:AJ316"/>
    <mergeCell ref="AL316:AO316"/>
    <mergeCell ref="AH314:AJ314"/>
    <mergeCell ref="AL314:AO314"/>
    <mergeCell ref="AK315:AK316"/>
    <mergeCell ref="AP315:AP316"/>
    <mergeCell ref="AQ315:AQ316"/>
    <mergeCell ref="AR315:AR316"/>
    <mergeCell ref="AS315:AS316"/>
    <mergeCell ref="O305:O306"/>
    <mergeCell ref="P305:P306"/>
    <mergeCell ref="H305:H306"/>
    <mergeCell ref="I305:I306"/>
    <mergeCell ref="J305:J306"/>
    <mergeCell ref="K305:K306"/>
    <mergeCell ref="L305:L306"/>
    <mergeCell ref="M305:M306"/>
    <mergeCell ref="N305:N306"/>
    <mergeCell ref="H307:H308"/>
    <mergeCell ref="I307:I308"/>
    <mergeCell ref="J307:J308"/>
    <mergeCell ref="K307:K308"/>
    <mergeCell ref="L307:L308"/>
    <mergeCell ref="M307:M308"/>
    <mergeCell ref="N307:N308"/>
    <mergeCell ref="O307:O308"/>
    <mergeCell ref="P307:P308"/>
    <mergeCell ref="Q307:Q308"/>
    <mergeCell ref="R307:R308"/>
    <mergeCell ref="S307:S308"/>
    <mergeCell ref="AH310:AJ310"/>
    <mergeCell ref="AL310:AO310"/>
    <mergeCell ref="X309:X310"/>
    <mergeCell ref="Y309:Y310"/>
    <mergeCell ref="AK309:AK310"/>
    <mergeCell ref="AP309:AP310"/>
    <mergeCell ref="AQ309:AQ310"/>
    <mergeCell ref="AR309:AR310"/>
    <mergeCell ref="AS309:AS310"/>
    <mergeCell ref="O313:O314"/>
    <mergeCell ref="P313:P314"/>
    <mergeCell ref="H313:H314"/>
    <mergeCell ref="I313:I314"/>
    <mergeCell ref="J313:J314"/>
    <mergeCell ref="K313:K314"/>
    <mergeCell ref="L313:L314"/>
    <mergeCell ref="M313:M314"/>
    <mergeCell ref="N313:N314"/>
    <mergeCell ref="Q313:Q314"/>
    <mergeCell ref="R313:R314"/>
    <mergeCell ref="S313:S314"/>
    <mergeCell ref="T313:T314"/>
    <mergeCell ref="U313:U314"/>
    <mergeCell ref="V313:V314"/>
    <mergeCell ref="W313:W314"/>
    <mergeCell ref="AG313:AG314"/>
    <mergeCell ref="AB314:AF314"/>
    <mergeCell ref="X313:X314"/>
    <mergeCell ref="Y313:Y314"/>
    <mergeCell ref="AK313:AK314"/>
    <mergeCell ref="AP313:AP314"/>
    <mergeCell ref="AQ313:AQ314"/>
    <mergeCell ref="AK327:AK328"/>
    <mergeCell ref="AP327:AP328"/>
    <mergeCell ref="AQ327:AQ328"/>
    <mergeCell ref="AR327:AR328"/>
    <mergeCell ref="AS327:AS328"/>
    <mergeCell ref="AL328:AO328"/>
    <mergeCell ref="AB328:AF328"/>
    <mergeCell ref="AH328:AJ328"/>
    <mergeCell ref="A329:A330"/>
    <mergeCell ref="B329:B330"/>
    <mergeCell ref="C329:C330"/>
    <mergeCell ref="D329:D330"/>
    <mergeCell ref="E329:E330"/>
    <mergeCell ref="F329:F330"/>
    <mergeCell ref="G329:G330"/>
    <mergeCell ref="Q325:Q326"/>
    <mergeCell ref="R325:R326"/>
    <mergeCell ref="Q329:Q330"/>
    <mergeCell ref="R329:R330"/>
    <mergeCell ref="S329:S330"/>
    <mergeCell ref="T329:T330"/>
    <mergeCell ref="U329:U330"/>
    <mergeCell ref="AK329:AK330"/>
    <mergeCell ref="AP329:AP330"/>
    <mergeCell ref="AQ329:AQ330"/>
    <mergeCell ref="AR329:AR330"/>
    <mergeCell ref="AS329:AS330"/>
    <mergeCell ref="AH330:AJ330"/>
    <mergeCell ref="AL330:AO330"/>
    <mergeCell ref="X327:X328"/>
    <mergeCell ref="Y327:Y328"/>
    <mergeCell ref="Z327:Z328"/>
    <mergeCell ref="AA327:AA328"/>
    <mergeCell ref="AG327:AG328"/>
    <mergeCell ref="V329:V330"/>
    <mergeCell ref="W329:W330"/>
    <mergeCell ref="X329:X330"/>
    <mergeCell ref="Y329:Y330"/>
    <mergeCell ref="Z329:Z330"/>
    <mergeCell ref="AA329:AA330"/>
    <mergeCell ref="AG329:AG330"/>
    <mergeCell ref="AB330:AF330"/>
    <mergeCell ref="J325:J326"/>
    <mergeCell ref="K325:K326"/>
    <mergeCell ref="L325:L326"/>
    <mergeCell ref="M325:M326"/>
    <mergeCell ref="N325:N326"/>
    <mergeCell ref="O325:O326"/>
    <mergeCell ref="P325:P326"/>
    <mergeCell ref="O327:O328"/>
    <mergeCell ref="P327:P328"/>
    <mergeCell ref="Q327:Q328"/>
    <mergeCell ref="R327:R328"/>
    <mergeCell ref="S327:S328"/>
    <mergeCell ref="T327:T328"/>
    <mergeCell ref="U327:U328"/>
    <mergeCell ref="N323:N324"/>
    <mergeCell ref="H327:H328"/>
    <mergeCell ref="I327:I328"/>
    <mergeCell ref="J327:J328"/>
    <mergeCell ref="K327:K328"/>
    <mergeCell ref="L327:L328"/>
    <mergeCell ref="M327:M328"/>
    <mergeCell ref="N327:N328"/>
    <mergeCell ref="A327:A328"/>
    <mergeCell ref="B327:B328"/>
    <mergeCell ref="C327:C328"/>
    <mergeCell ref="D327:D328"/>
    <mergeCell ref="E327:E328"/>
    <mergeCell ref="F327:F328"/>
    <mergeCell ref="G327:G328"/>
    <mergeCell ref="V327:V328"/>
    <mergeCell ref="W327:W328"/>
    <mergeCell ref="B319:B322"/>
    <mergeCell ref="C319:C322"/>
    <mergeCell ref="D319:D320"/>
    <mergeCell ref="E319:E320"/>
    <mergeCell ref="F319:F320"/>
    <mergeCell ref="G319:G320"/>
    <mergeCell ref="AK323:AK324"/>
    <mergeCell ref="AP323:AP324"/>
    <mergeCell ref="AQ323:AQ324"/>
    <mergeCell ref="AR323:AR324"/>
    <mergeCell ref="AS323:AS324"/>
    <mergeCell ref="AH324:AJ324"/>
    <mergeCell ref="AL324:AO324"/>
    <mergeCell ref="A323:A326"/>
    <mergeCell ref="B323:B326"/>
    <mergeCell ref="C323:C326"/>
    <mergeCell ref="D323:D324"/>
    <mergeCell ref="E323:E324"/>
    <mergeCell ref="F323:F324"/>
    <mergeCell ref="G323:G324"/>
    <mergeCell ref="S325:S326"/>
    <mergeCell ref="T325:T326"/>
    <mergeCell ref="U325:U326"/>
    <mergeCell ref="Y325:Y326"/>
    <mergeCell ref="Z325:Z326"/>
    <mergeCell ref="AA325:AA326"/>
    <mergeCell ref="H323:H324"/>
    <mergeCell ref="I323:I324"/>
    <mergeCell ref="J323:J324"/>
    <mergeCell ref="K323:K324"/>
    <mergeCell ref="L323:L324"/>
    <mergeCell ref="M323:M324"/>
    <mergeCell ref="AH320:AJ320"/>
    <mergeCell ref="AL320:AO320"/>
    <mergeCell ref="V319:V320"/>
    <mergeCell ref="W319:W320"/>
    <mergeCell ref="AK319:AK320"/>
    <mergeCell ref="AP319:AP320"/>
    <mergeCell ref="AQ319:AQ320"/>
    <mergeCell ref="AR319:AR320"/>
    <mergeCell ref="AS319:AS320"/>
    <mergeCell ref="A315:A318"/>
    <mergeCell ref="B315:B318"/>
    <mergeCell ref="C315:C318"/>
    <mergeCell ref="D315:D316"/>
    <mergeCell ref="E315:E316"/>
    <mergeCell ref="F315:F316"/>
    <mergeCell ref="G315:G316"/>
    <mergeCell ref="Q321:Q322"/>
    <mergeCell ref="R321:R322"/>
    <mergeCell ref="S321:S322"/>
    <mergeCell ref="T321:T322"/>
    <mergeCell ref="U321:U322"/>
    <mergeCell ref="Y321:Y322"/>
    <mergeCell ref="Z321:Z322"/>
    <mergeCell ref="AA321:AA322"/>
    <mergeCell ref="J321:J322"/>
    <mergeCell ref="K321:K322"/>
    <mergeCell ref="L321:L322"/>
    <mergeCell ref="M321:M322"/>
    <mergeCell ref="N321:N322"/>
    <mergeCell ref="O321:O322"/>
    <mergeCell ref="P321:P322"/>
    <mergeCell ref="A319:A322"/>
    <mergeCell ref="O309:O310"/>
    <mergeCell ref="P309:P310"/>
    <mergeCell ref="H309:H310"/>
    <mergeCell ref="I309:I310"/>
    <mergeCell ref="J309:J310"/>
    <mergeCell ref="K309:K310"/>
    <mergeCell ref="L309:L310"/>
    <mergeCell ref="M309:M310"/>
    <mergeCell ref="N309:N310"/>
    <mergeCell ref="O319:O320"/>
    <mergeCell ref="P319:P320"/>
    <mergeCell ref="Q319:Q320"/>
    <mergeCell ref="R319:R320"/>
    <mergeCell ref="S319:S320"/>
    <mergeCell ref="T319:T320"/>
    <mergeCell ref="U319:U320"/>
    <mergeCell ref="AG319:AG320"/>
    <mergeCell ref="AB320:AF320"/>
    <mergeCell ref="Q309:Q310"/>
    <mergeCell ref="R309:R310"/>
    <mergeCell ref="S309:S310"/>
    <mergeCell ref="T309:T310"/>
    <mergeCell ref="U309:U310"/>
    <mergeCell ref="V309:V310"/>
    <mergeCell ref="W309:W310"/>
    <mergeCell ref="AG309:AG310"/>
    <mergeCell ref="AB310:AF310"/>
    <mergeCell ref="AG315:AG316"/>
    <mergeCell ref="AB316:AF316"/>
    <mergeCell ref="Q289:Q290"/>
    <mergeCell ref="R289:R290"/>
    <mergeCell ref="S289:S290"/>
    <mergeCell ref="T289:T290"/>
    <mergeCell ref="U289:U290"/>
    <mergeCell ref="O297:O298"/>
    <mergeCell ref="P297:P298"/>
    <mergeCell ref="H297:H298"/>
    <mergeCell ref="I297:I298"/>
    <mergeCell ref="J297:J298"/>
    <mergeCell ref="K297:K298"/>
    <mergeCell ref="L297:L298"/>
    <mergeCell ref="M297:M298"/>
    <mergeCell ref="N297:N298"/>
    <mergeCell ref="X297:X298"/>
    <mergeCell ref="Y297:Y298"/>
    <mergeCell ref="Q297:Q298"/>
    <mergeCell ref="R297:R298"/>
    <mergeCell ref="S297:S298"/>
    <mergeCell ref="T297:T298"/>
    <mergeCell ref="U297:U298"/>
    <mergeCell ref="V297:V298"/>
    <mergeCell ref="W297:W298"/>
    <mergeCell ref="Y281:Y282"/>
    <mergeCell ref="Z281:Z282"/>
    <mergeCell ref="AA281:AA282"/>
    <mergeCell ref="O281:O282"/>
    <mergeCell ref="P281:P282"/>
    <mergeCell ref="Q281:Q282"/>
    <mergeCell ref="R281:R282"/>
    <mergeCell ref="S281:S282"/>
    <mergeCell ref="T281:T282"/>
    <mergeCell ref="U281:U282"/>
    <mergeCell ref="G275:G276"/>
    <mergeCell ref="G283:G284"/>
    <mergeCell ref="H275:H276"/>
    <mergeCell ref="I275:I276"/>
    <mergeCell ref="A281:A284"/>
    <mergeCell ref="B281:B284"/>
    <mergeCell ref="C281:C284"/>
    <mergeCell ref="D281:D282"/>
    <mergeCell ref="I281:I282"/>
    <mergeCell ref="Y283:Y284"/>
    <mergeCell ref="Z283:Z284"/>
    <mergeCell ref="AA283:AA284"/>
    <mergeCell ref="J277:J278"/>
    <mergeCell ref="K277:K278"/>
    <mergeCell ref="L277:L278"/>
    <mergeCell ref="M277:M278"/>
    <mergeCell ref="N277:N278"/>
    <mergeCell ref="E281:E282"/>
    <mergeCell ref="F281:F282"/>
    <mergeCell ref="G281:G282"/>
    <mergeCell ref="H281:H282"/>
    <mergeCell ref="J281:J282"/>
    <mergeCell ref="K281:K282"/>
    <mergeCell ref="L281:L282"/>
    <mergeCell ref="M281:M282"/>
    <mergeCell ref="N281:N282"/>
    <mergeCell ref="V281:V282"/>
    <mergeCell ref="W281:W282"/>
    <mergeCell ref="X281:X282"/>
    <mergeCell ref="A261:A264"/>
    <mergeCell ref="B261:B264"/>
    <mergeCell ref="C261:C264"/>
    <mergeCell ref="D261:D262"/>
    <mergeCell ref="E261:E262"/>
    <mergeCell ref="F261:F262"/>
    <mergeCell ref="G261:G262"/>
    <mergeCell ref="H273:H274"/>
    <mergeCell ref="I273:I274"/>
    <mergeCell ref="J273:J274"/>
    <mergeCell ref="K273:K274"/>
    <mergeCell ref="L273:L274"/>
    <mergeCell ref="M273:M274"/>
    <mergeCell ref="N273:N274"/>
    <mergeCell ref="V273:V274"/>
    <mergeCell ref="W273:W274"/>
    <mergeCell ref="X273:X274"/>
    <mergeCell ref="O273:O274"/>
    <mergeCell ref="P273:P274"/>
    <mergeCell ref="Q273:Q274"/>
    <mergeCell ref="R273:R274"/>
    <mergeCell ref="S273:S274"/>
    <mergeCell ref="T273:T274"/>
    <mergeCell ref="U273:U274"/>
    <mergeCell ref="G263:G264"/>
    <mergeCell ref="H263:H264"/>
    <mergeCell ref="I263:I264"/>
    <mergeCell ref="Q265:Q266"/>
    <mergeCell ref="R265:R266"/>
    <mergeCell ref="S265:S266"/>
    <mergeCell ref="T265:T266"/>
    <mergeCell ref="H269:H270"/>
    <mergeCell ref="M303:M304"/>
    <mergeCell ref="N303:N304"/>
    <mergeCell ref="V303:V304"/>
    <mergeCell ref="W303:W304"/>
    <mergeCell ref="X303:X304"/>
    <mergeCell ref="Y303:Y304"/>
    <mergeCell ref="Z303:Z304"/>
    <mergeCell ref="AA303:AA304"/>
    <mergeCell ref="Z305:Z306"/>
    <mergeCell ref="AA305:AA306"/>
    <mergeCell ref="A303:A304"/>
    <mergeCell ref="B303:B304"/>
    <mergeCell ref="C303:C304"/>
    <mergeCell ref="D303:D304"/>
    <mergeCell ref="E303:E304"/>
    <mergeCell ref="F303:F304"/>
    <mergeCell ref="G303:G304"/>
    <mergeCell ref="A305:A306"/>
    <mergeCell ref="B305:B306"/>
    <mergeCell ref="C305:C306"/>
    <mergeCell ref="D305:D306"/>
    <mergeCell ref="E305:E306"/>
    <mergeCell ref="F305:F306"/>
    <mergeCell ref="G305:G306"/>
    <mergeCell ref="O303:O304"/>
    <mergeCell ref="P303:P304"/>
    <mergeCell ref="Q303:Q304"/>
    <mergeCell ref="R303:R304"/>
    <mergeCell ref="S303:S304"/>
    <mergeCell ref="T303:T304"/>
    <mergeCell ref="U303:U304"/>
    <mergeCell ref="V305:V306"/>
    <mergeCell ref="W305:W306"/>
    <mergeCell ref="AG305:AG306"/>
    <mergeCell ref="AB306:AF306"/>
    <mergeCell ref="AG307:AG308"/>
    <mergeCell ref="AB308:AF308"/>
    <mergeCell ref="X305:X306"/>
    <mergeCell ref="Y305:Y306"/>
    <mergeCell ref="AK305:AK306"/>
    <mergeCell ref="AP305:AP306"/>
    <mergeCell ref="AQ305:AQ306"/>
    <mergeCell ref="AR305:AR306"/>
    <mergeCell ref="AS305:AS306"/>
    <mergeCell ref="AH308:AJ308"/>
    <mergeCell ref="AL308:AO308"/>
    <mergeCell ref="AH306:AJ306"/>
    <mergeCell ref="AL306:AO306"/>
    <mergeCell ref="AK307:AK308"/>
    <mergeCell ref="AP307:AP308"/>
    <mergeCell ref="AQ307:AQ308"/>
    <mergeCell ref="AR307:AR308"/>
    <mergeCell ref="AS307:AS308"/>
    <mergeCell ref="B301:B302"/>
    <mergeCell ref="C301:C302"/>
    <mergeCell ref="D301:D302"/>
    <mergeCell ref="E301:E302"/>
    <mergeCell ref="F301:F302"/>
    <mergeCell ref="G301:G302"/>
    <mergeCell ref="O299:O300"/>
    <mergeCell ref="P299:P300"/>
    <mergeCell ref="Q299:Q300"/>
    <mergeCell ref="R299:R300"/>
    <mergeCell ref="S299:S300"/>
    <mergeCell ref="T299:T300"/>
    <mergeCell ref="U299:U300"/>
    <mergeCell ref="Q305:Q306"/>
    <mergeCell ref="R305:R306"/>
    <mergeCell ref="S305:S306"/>
    <mergeCell ref="T305:T306"/>
    <mergeCell ref="U305:U306"/>
    <mergeCell ref="O301:O302"/>
    <mergeCell ref="P301:P302"/>
    <mergeCell ref="H301:H302"/>
    <mergeCell ref="I301:I302"/>
    <mergeCell ref="J301:J302"/>
    <mergeCell ref="K301:K302"/>
    <mergeCell ref="L301:L302"/>
    <mergeCell ref="M301:M302"/>
    <mergeCell ref="N301:N302"/>
    <mergeCell ref="H303:H304"/>
    <mergeCell ref="I303:I304"/>
    <mergeCell ref="J303:J304"/>
    <mergeCell ref="K303:K304"/>
    <mergeCell ref="L303:L304"/>
    <mergeCell ref="A289:A292"/>
    <mergeCell ref="B289:B292"/>
    <mergeCell ref="C289:C292"/>
    <mergeCell ref="D289:D290"/>
    <mergeCell ref="E289:E290"/>
    <mergeCell ref="F289:F290"/>
    <mergeCell ref="G289:G290"/>
    <mergeCell ref="A293:A296"/>
    <mergeCell ref="B293:B296"/>
    <mergeCell ref="C293:C296"/>
    <mergeCell ref="D293:D294"/>
    <mergeCell ref="E293:E294"/>
    <mergeCell ref="F293:F294"/>
    <mergeCell ref="G293:G294"/>
    <mergeCell ref="H299:H300"/>
    <mergeCell ref="I299:I300"/>
    <mergeCell ref="J299:J300"/>
    <mergeCell ref="A299:A300"/>
    <mergeCell ref="B299:B300"/>
    <mergeCell ref="C299:C300"/>
    <mergeCell ref="D299:D300"/>
    <mergeCell ref="E299:E300"/>
    <mergeCell ref="F299:F300"/>
    <mergeCell ref="G299:G300"/>
    <mergeCell ref="AG301:AG302"/>
    <mergeCell ref="AB302:AF302"/>
    <mergeCell ref="AG303:AG304"/>
    <mergeCell ref="AB304:AF304"/>
    <mergeCell ref="X301:X302"/>
    <mergeCell ref="Y301:Y302"/>
    <mergeCell ref="AK301:AK302"/>
    <mergeCell ref="AP301:AP302"/>
    <mergeCell ref="AQ301:AQ302"/>
    <mergeCell ref="AR301:AR302"/>
    <mergeCell ref="AS301:AS302"/>
    <mergeCell ref="AH304:AJ304"/>
    <mergeCell ref="AL304:AO304"/>
    <mergeCell ref="AH302:AJ302"/>
    <mergeCell ref="AL302:AO302"/>
    <mergeCell ref="AK303:AK304"/>
    <mergeCell ref="AP303:AP304"/>
    <mergeCell ref="AQ303:AQ304"/>
    <mergeCell ref="AR303:AR304"/>
    <mergeCell ref="AS303:AS304"/>
    <mergeCell ref="Z301:Z302"/>
    <mergeCell ref="AA301:AA302"/>
    <mergeCell ref="A297:A298"/>
    <mergeCell ref="B297:B298"/>
    <mergeCell ref="C297:C298"/>
    <mergeCell ref="D297:D298"/>
    <mergeCell ref="E297:E298"/>
    <mergeCell ref="F297:F298"/>
    <mergeCell ref="G297:G298"/>
    <mergeCell ref="V293:V294"/>
    <mergeCell ref="W293:W294"/>
    <mergeCell ref="X293:X294"/>
    <mergeCell ref="Y293:Y294"/>
    <mergeCell ref="Z293:Z294"/>
    <mergeCell ref="AA293:AA294"/>
    <mergeCell ref="Z297:Z298"/>
    <mergeCell ref="Q301:Q302"/>
    <mergeCell ref="R301:R302"/>
    <mergeCell ref="S301:S302"/>
    <mergeCell ref="T301:T302"/>
    <mergeCell ref="U301:U302"/>
    <mergeCell ref="V301:V302"/>
    <mergeCell ref="W301:W302"/>
    <mergeCell ref="K299:K300"/>
    <mergeCell ref="L299:L300"/>
    <mergeCell ref="M299:M300"/>
    <mergeCell ref="N299:N300"/>
    <mergeCell ref="V299:V300"/>
    <mergeCell ref="W299:W300"/>
    <mergeCell ref="X299:X300"/>
    <mergeCell ref="Y299:Y300"/>
    <mergeCell ref="Z299:Z300"/>
    <mergeCell ref="AA299:AA300"/>
    <mergeCell ref="A301:A302"/>
    <mergeCell ref="AP297:AP298"/>
    <mergeCell ref="AQ297:AQ298"/>
    <mergeCell ref="AR297:AR298"/>
    <mergeCell ref="AS297:AS298"/>
    <mergeCell ref="AL298:AO298"/>
    <mergeCell ref="AG299:AG300"/>
    <mergeCell ref="AB300:AF300"/>
    <mergeCell ref="AH300:AJ300"/>
    <mergeCell ref="AL300:AO300"/>
    <mergeCell ref="AB298:AF298"/>
    <mergeCell ref="AH298:AJ298"/>
    <mergeCell ref="AK299:AK300"/>
    <mergeCell ref="AP299:AP300"/>
    <mergeCell ref="AQ299:AQ300"/>
    <mergeCell ref="AR299:AR300"/>
    <mergeCell ref="AS299:AS300"/>
    <mergeCell ref="A285:A288"/>
    <mergeCell ref="B285:B288"/>
    <mergeCell ref="C285:C288"/>
    <mergeCell ref="D285:D286"/>
    <mergeCell ref="E285:E286"/>
    <mergeCell ref="F285:F286"/>
    <mergeCell ref="G285:G286"/>
    <mergeCell ref="G291:G292"/>
    <mergeCell ref="H291:H292"/>
    <mergeCell ref="I291:I292"/>
    <mergeCell ref="H293:H294"/>
    <mergeCell ref="I293:I294"/>
    <mergeCell ref="J293:J294"/>
    <mergeCell ref="K293:K294"/>
    <mergeCell ref="L293:L294"/>
    <mergeCell ref="M293:M294"/>
    <mergeCell ref="G287:G288"/>
    <mergeCell ref="H287:H288"/>
    <mergeCell ref="I287:I288"/>
    <mergeCell ref="X289:X290"/>
    <mergeCell ref="Y289:Y290"/>
    <mergeCell ref="Z289:Z290"/>
    <mergeCell ref="AA289:AA290"/>
    <mergeCell ref="H289:H290"/>
    <mergeCell ref="I289:I290"/>
    <mergeCell ref="J289:J290"/>
    <mergeCell ref="K289:K290"/>
    <mergeCell ref="L289:L290"/>
    <mergeCell ref="M289:M290"/>
    <mergeCell ref="N289:N290"/>
    <mergeCell ref="AA297:AA298"/>
    <mergeCell ref="AG297:AG298"/>
    <mergeCell ref="AK297:AK298"/>
    <mergeCell ref="N293:N294"/>
    <mergeCell ref="O293:O294"/>
    <mergeCell ref="P293:P294"/>
    <mergeCell ref="Q293:Q294"/>
    <mergeCell ref="R293:R294"/>
    <mergeCell ref="S293:S294"/>
    <mergeCell ref="T293:T294"/>
    <mergeCell ref="U293:U294"/>
    <mergeCell ref="G295:G296"/>
    <mergeCell ref="H295:H296"/>
    <mergeCell ref="I295:I296"/>
    <mergeCell ref="V289:V290"/>
    <mergeCell ref="W289:W290"/>
    <mergeCell ref="O289:O290"/>
    <mergeCell ref="P289:P290"/>
    <mergeCell ref="H285:H286"/>
    <mergeCell ref="I285:I286"/>
    <mergeCell ref="J285:J286"/>
    <mergeCell ref="K285:K286"/>
    <mergeCell ref="L285:L286"/>
    <mergeCell ref="M285:M286"/>
    <mergeCell ref="N285:N286"/>
    <mergeCell ref="V285:V286"/>
    <mergeCell ref="W285:W286"/>
    <mergeCell ref="X285:X286"/>
    <mergeCell ref="Y285:Y286"/>
    <mergeCell ref="Z285:Z286"/>
    <mergeCell ref="AA285:AA286"/>
    <mergeCell ref="O285:O286"/>
    <mergeCell ref="P285:P286"/>
    <mergeCell ref="Q285:Q286"/>
    <mergeCell ref="R285:R286"/>
    <mergeCell ref="S285:S286"/>
    <mergeCell ref="T285:T286"/>
    <mergeCell ref="U285:U286"/>
    <mergeCell ref="AH278:AJ278"/>
    <mergeCell ref="AL278:AO278"/>
    <mergeCell ref="AQ281:AQ282"/>
    <mergeCell ref="AR281:AR282"/>
    <mergeCell ref="O283:O284"/>
    <mergeCell ref="P283:P284"/>
    <mergeCell ref="Q283:Q284"/>
    <mergeCell ref="R283:R284"/>
    <mergeCell ref="S283:S284"/>
    <mergeCell ref="T283:T284"/>
    <mergeCell ref="U283:U284"/>
    <mergeCell ref="H283:H284"/>
    <mergeCell ref="I283:I284"/>
    <mergeCell ref="J283:J284"/>
    <mergeCell ref="K283:K284"/>
    <mergeCell ref="L283:L284"/>
    <mergeCell ref="M283:M284"/>
    <mergeCell ref="N283:N284"/>
    <mergeCell ref="V277:V278"/>
    <mergeCell ref="W277:W278"/>
    <mergeCell ref="O277:O278"/>
    <mergeCell ref="P277:P278"/>
    <mergeCell ref="Q277:Q278"/>
    <mergeCell ref="R277:R278"/>
    <mergeCell ref="S277:S278"/>
    <mergeCell ref="T277:T278"/>
    <mergeCell ref="U277:U278"/>
    <mergeCell ref="X277:X278"/>
    <mergeCell ref="Y277:Y278"/>
    <mergeCell ref="Z277:Z278"/>
    <mergeCell ref="AA277:AA278"/>
    <mergeCell ref="H277:H278"/>
    <mergeCell ref="Q271:Q272"/>
    <mergeCell ref="R271:R272"/>
    <mergeCell ref="S271:S272"/>
    <mergeCell ref="T271:T272"/>
    <mergeCell ref="AK273:AK274"/>
    <mergeCell ref="AP273:AP274"/>
    <mergeCell ref="AQ273:AQ274"/>
    <mergeCell ref="AR273:AR274"/>
    <mergeCell ref="AS273:AS274"/>
    <mergeCell ref="AL274:AO274"/>
    <mergeCell ref="U271:U272"/>
    <mergeCell ref="Y271:Y272"/>
    <mergeCell ref="Z271:Z272"/>
    <mergeCell ref="AA271:AA272"/>
    <mergeCell ref="AK271:AK272"/>
    <mergeCell ref="AH272:AJ272"/>
    <mergeCell ref="AG273:AG274"/>
    <mergeCell ref="Y273:Y274"/>
    <mergeCell ref="Z273:Z274"/>
    <mergeCell ref="AA273:AA274"/>
    <mergeCell ref="AL286:AO286"/>
    <mergeCell ref="AK289:AK290"/>
    <mergeCell ref="AP289:AP290"/>
    <mergeCell ref="AQ289:AQ290"/>
    <mergeCell ref="AR289:AR290"/>
    <mergeCell ref="AS289:AS290"/>
    <mergeCell ref="AH294:AJ294"/>
    <mergeCell ref="AL294:AO294"/>
    <mergeCell ref="AH290:AJ290"/>
    <mergeCell ref="AL290:AO290"/>
    <mergeCell ref="AK293:AK294"/>
    <mergeCell ref="AP293:AP294"/>
    <mergeCell ref="AQ293:AQ294"/>
    <mergeCell ref="AR293:AR294"/>
    <mergeCell ref="AS293:AS294"/>
    <mergeCell ref="A269:A272"/>
    <mergeCell ref="B269:B272"/>
    <mergeCell ref="C269:C272"/>
    <mergeCell ref="D269:D270"/>
    <mergeCell ref="E269:E270"/>
    <mergeCell ref="F269:F270"/>
    <mergeCell ref="G269:G270"/>
    <mergeCell ref="G271:G272"/>
    <mergeCell ref="H271:H272"/>
    <mergeCell ref="I271:I272"/>
    <mergeCell ref="J271:J272"/>
    <mergeCell ref="K271:K272"/>
    <mergeCell ref="L271:L272"/>
    <mergeCell ref="M271:M272"/>
    <mergeCell ref="N271:N272"/>
    <mergeCell ref="O271:O272"/>
    <mergeCell ref="P271:P272"/>
    <mergeCell ref="AB274:AF274"/>
    <mergeCell ref="AH274:AJ274"/>
    <mergeCell ref="AK277:AK278"/>
    <mergeCell ref="AP277:AP278"/>
    <mergeCell ref="AQ277:AQ278"/>
    <mergeCell ref="AR277:AR278"/>
    <mergeCell ref="AS277:AS278"/>
    <mergeCell ref="AG281:AG282"/>
    <mergeCell ref="AB282:AF282"/>
    <mergeCell ref="AB286:AF286"/>
    <mergeCell ref="AG289:AG290"/>
    <mergeCell ref="AB290:AF290"/>
    <mergeCell ref="AG293:AG294"/>
    <mergeCell ref="AB294:AF294"/>
    <mergeCell ref="AG277:AG278"/>
    <mergeCell ref="AB278:AF278"/>
    <mergeCell ref="AG279:AG280"/>
    <mergeCell ref="AB280:AF280"/>
    <mergeCell ref="AK281:AK282"/>
    <mergeCell ref="AP281:AP282"/>
    <mergeCell ref="AS281:AS282"/>
    <mergeCell ref="AQ285:AQ286"/>
    <mergeCell ref="AR285:AR286"/>
    <mergeCell ref="AS285:AS286"/>
    <mergeCell ref="AH282:AJ282"/>
    <mergeCell ref="AL282:AO282"/>
    <mergeCell ref="AK283:AK284"/>
    <mergeCell ref="AH284:AJ284"/>
    <mergeCell ref="AG285:AG286"/>
    <mergeCell ref="AK285:AK286"/>
    <mergeCell ref="AP285:AP286"/>
    <mergeCell ref="AH286:AJ286"/>
    <mergeCell ref="A273:A276"/>
    <mergeCell ref="B273:B276"/>
    <mergeCell ref="C273:C276"/>
    <mergeCell ref="D273:D274"/>
    <mergeCell ref="E273:E274"/>
    <mergeCell ref="F273:F274"/>
    <mergeCell ref="G273:G274"/>
    <mergeCell ref="G279:G280"/>
    <mergeCell ref="H279:H280"/>
    <mergeCell ref="I279:I280"/>
    <mergeCell ref="A277:A280"/>
    <mergeCell ref="B277:B280"/>
    <mergeCell ref="C277:C280"/>
    <mergeCell ref="D277:D278"/>
    <mergeCell ref="E277:E278"/>
    <mergeCell ref="F277:F278"/>
    <mergeCell ref="G277:G278"/>
    <mergeCell ref="I277:I278"/>
    <mergeCell ref="H265:H266"/>
    <mergeCell ref="I265:I266"/>
    <mergeCell ref="J265:J266"/>
    <mergeCell ref="K265:K266"/>
    <mergeCell ref="L265:L266"/>
    <mergeCell ref="M265:M266"/>
    <mergeCell ref="N265:N266"/>
    <mergeCell ref="AG265:AG266"/>
    <mergeCell ref="AK265:AK266"/>
    <mergeCell ref="AH266:AJ266"/>
    <mergeCell ref="U265:U266"/>
    <mergeCell ref="V265:V266"/>
    <mergeCell ref="W265:W266"/>
    <mergeCell ref="X265:X266"/>
    <mergeCell ref="Y265:Y266"/>
    <mergeCell ref="Z265:Z266"/>
    <mergeCell ref="AA265:AA266"/>
    <mergeCell ref="AB266:AF266"/>
    <mergeCell ref="O261:O262"/>
    <mergeCell ref="P261:P262"/>
    <mergeCell ref="Q261:Q262"/>
    <mergeCell ref="R261:R262"/>
    <mergeCell ref="S261:S262"/>
    <mergeCell ref="T261:T262"/>
    <mergeCell ref="U261:U262"/>
    <mergeCell ref="V261:V262"/>
    <mergeCell ref="W261:W262"/>
    <mergeCell ref="X261:X262"/>
    <mergeCell ref="Y261:Y262"/>
    <mergeCell ref="Z261:Z262"/>
    <mergeCell ref="AA261:AA262"/>
    <mergeCell ref="AG261:AG262"/>
    <mergeCell ref="AB262:AF262"/>
    <mergeCell ref="O265:O266"/>
    <mergeCell ref="P265:P266"/>
    <mergeCell ref="K257:K258"/>
    <mergeCell ref="L257:L258"/>
    <mergeCell ref="M257:M258"/>
    <mergeCell ref="N257:N258"/>
    <mergeCell ref="O257:O258"/>
    <mergeCell ref="P257:P258"/>
    <mergeCell ref="Q257:Q258"/>
    <mergeCell ref="R257:R258"/>
    <mergeCell ref="S257:S258"/>
    <mergeCell ref="T257:T258"/>
    <mergeCell ref="U257:U258"/>
    <mergeCell ref="AK257:AK258"/>
    <mergeCell ref="AP257:AP258"/>
    <mergeCell ref="AQ257:AQ258"/>
    <mergeCell ref="AR257:AR258"/>
    <mergeCell ref="AS257:AS258"/>
    <mergeCell ref="AL258:AO258"/>
    <mergeCell ref="AB258:AF258"/>
    <mergeCell ref="AH258:AJ258"/>
    <mergeCell ref="V257:V258"/>
    <mergeCell ref="W257:W258"/>
    <mergeCell ref="X257:X258"/>
    <mergeCell ref="Y257:Y258"/>
    <mergeCell ref="Z257:Z258"/>
    <mergeCell ref="AA257:AA258"/>
    <mergeCell ref="AG257:AG258"/>
    <mergeCell ref="A245:A248"/>
    <mergeCell ref="B245:B248"/>
    <mergeCell ref="C245:C248"/>
    <mergeCell ref="D245:D246"/>
    <mergeCell ref="E245:E246"/>
    <mergeCell ref="F245:F246"/>
    <mergeCell ref="G245:G246"/>
    <mergeCell ref="A249:A252"/>
    <mergeCell ref="B249:B252"/>
    <mergeCell ref="C249:C252"/>
    <mergeCell ref="D249:D250"/>
    <mergeCell ref="E249:E250"/>
    <mergeCell ref="F249:F250"/>
    <mergeCell ref="G249:G250"/>
    <mergeCell ref="H257:H258"/>
    <mergeCell ref="I257:I258"/>
    <mergeCell ref="J257:J258"/>
    <mergeCell ref="A257:A260"/>
    <mergeCell ref="B257:B260"/>
    <mergeCell ref="C257:C260"/>
    <mergeCell ref="D257:D258"/>
    <mergeCell ref="E257:E258"/>
    <mergeCell ref="F257:F258"/>
    <mergeCell ref="G257:G258"/>
    <mergeCell ref="AA249:AA250"/>
    <mergeCell ref="O249:O250"/>
    <mergeCell ref="P249:P250"/>
    <mergeCell ref="Q249:Q250"/>
    <mergeCell ref="R249:R250"/>
    <mergeCell ref="S249:S250"/>
    <mergeCell ref="T249:T250"/>
    <mergeCell ref="U249:U250"/>
    <mergeCell ref="G251:G252"/>
    <mergeCell ref="H251:H252"/>
    <mergeCell ref="I251:I252"/>
    <mergeCell ref="G255:G256"/>
    <mergeCell ref="H255:H256"/>
    <mergeCell ref="I255:I256"/>
    <mergeCell ref="A253:A256"/>
    <mergeCell ref="B253:B256"/>
    <mergeCell ref="C253:C256"/>
    <mergeCell ref="D253:D254"/>
    <mergeCell ref="E253:E254"/>
    <mergeCell ref="F253:F254"/>
    <mergeCell ref="G253:G254"/>
    <mergeCell ref="AL254:AO254"/>
    <mergeCell ref="AB254:AF254"/>
    <mergeCell ref="AH254:AJ254"/>
    <mergeCell ref="V253:V254"/>
    <mergeCell ref="W253:W254"/>
    <mergeCell ref="X253:X254"/>
    <mergeCell ref="Y253:Y254"/>
    <mergeCell ref="Z253:Z254"/>
    <mergeCell ref="AA253:AA254"/>
    <mergeCell ref="AG253:AG254"/>
    <mergeCell ref="A241:A244"/>
    <mergeCell ref="B241:B244"/>
    <mergeCell ref="C241:C244"/>
    <mergeCell ref="D241:D242"/>
    <mergeCell ref="E241:E242"/>
    <mergeCell ref="F241:F242"/>
    <mergeCell ref="G241:G242"/>
    <mergeCell ref="G247:G248"/>
    <mergeCell ref="H247:H248"/>
    <mergeCell ref="I247:I248"/>
    <mergeCell ref="H249:H250"/>
    <mergeCell ref="I249:I250"/>
    <mergeCell ref="J249:J250"/>
    <mergeCell ref="K249:K250"/>
    <mergeCell ref="L249:L250"/>
    <mergeCell ref="M249:M250"/>
    <mergeCell ref="N249:N250"/>
    <mergeCell ref="V249:V250"/>
    <mergeCell ref="W249:W250"/>
    <mergeCell ref="X249:X250"/>
    <mergeCell ref="Y249:Y250"/>
    <mergeCell ref="Z249:Z250"/>
    <mergeCell ref="AQ249:AQ250"/>
    <mergeCell ref="AR249:AR250"/>
    <mergeCell ref="AS249:AS250"/>
    <mergeCell ref="AB250:AF250"/>
    <mergeCell ref="AH250:AJ250"/>
    <mergeCell ref="V245:V246"/>
    <mergeCell ref="W245:W246"/>
    <mergeCell ref="AG247:AG248"/>
    <mergeCell ref="AB248:AF248"/>
    <mergeCell ref="AG249:AG250"/>
    <mergeCell ref="AK249:AK250"/>
    <mergeCell ref="AP249:AP250"/>
    <mergeCell ref="AL250:AO250"/>
    <mergeCell ref="H253:H254"/>
    <mergeCell ref="I253:I254"/>
    <mergeCell ref="J253:J254"/>
    <mergeCell ref="K253:K254"/>
    <mergeCell ref="L253:L254"/>
    <mergeCell ref="M253:M254"/>
    <mergeCell ref="N253:N254"/>
    <mergeCell ref="O253:O254"/>
    <mergeCell ref="P253:P254"/>
    <mergeCell ref="Q253:Q254"/>
    <mergeCell ref="R253:R254"/>
    <mergeCell ref="S253:S254"/>
    <mergeCell ref="T253:T254"/>
    <mergeCell ref="U253:U254"/>
    <mergeCell ref="AK253:AK254"/>
    <mergeCell ref="AP253:AP254"/>
    <mergeCell ref="AQ253:AQ254"/>
    <mergeCell ref="AR253:AR254"/>
    <mergeCell ref="AS253:AS254"/>
    <mergeCell ref="AG241:AG242"/>
    <mergeCell ref="AB242:AF242"/>
    <mergeCell ref="AH242:AJ242"/>
    <mergeCell ref="AL242:AO242"/>
    <mergeCell ref="AB238:AF238"/>
    <mergeCell ref="AH238:AJ238"/>
    <mergeCell ref="AK241:AK242"/>
    <mergeCell ref="AP241:AP242"/>
    <mergeCell ref="AQ241:AQ242"/>
    <mergeCell ref="AR241:AR242"/>
    <mergeCell ref="AS241:AS242"/>
    <mergeCell ref="O245:O246"/>
    <mergeCell ref="P245:P246"/>
    <mergeCell ref="Q245:Q246"/>
    <mergeCell ref="R245:R246"/>
    <mergeCell ref="S245:S246"/>
    <mergeCell ref="T245:T246"/>
    <mergeCell ref="U245:U246"/>
    <mergeCell ref="AK225:AK226"/>
    <mergeCell ref="AP225:AP226"/>
    <mergeCell ref="AQ225:AQ226"/>
    <mergeCell ref="AR225:AR226"/>
    <mergeCell ref="AS225:AS226"/>
    <mergeCell ref="AH226:AJ226"/>
    <mergeCell ref="AL226:AO226"/>
    <mergeCell ref="G227:G228"/>
    <mergeCell ref="H227:H228"/>
    <mergeCell ref="I227:I228"/>
    <mergeCell ref="G231:G232"/>
    <mergeCell ref="H231:H232"/>
    <mergeCell ref="I231:I232"/>
    <mergeCell ref="AG231:AG232"/>
    <mergeCell ref="AB232:AF232"/>
    <mergeCell ref="O237:O238"/>
    <mergeCell ref="P237:P238"/>
    <mergeCell ref="H237:H238"/>
    <mergeCell ref="I237:I238"/>
    <mergeCell ref="J237:J238"/>
    <mergeCell ref="K237:K238"/>
    <mergeCell ref="L237:L238"/>
    <mergeCell ref="M237:M238"/>
    <mergeCell ref="N237:N238"/>
    <mergeCell ref="X237:X238"/>
    <mergeCell ref="Y237:Y238"/>
    <mergeCell ref="Q237:Q238"/>
    <mergeCell ref="R237:R238"/>
    <mergeCell ref="S237:S238"/>
    <mergeCell ref="T237:T238"/>
    <mergeCell ref="U237:U238"/>
    <mergeCell ref="V237:V238"/>
    <mergeCell ref="N245:N246"/>
    <mergeCell ref="O225:O226"/>
    <mergeCell ref="P225:P226"/>
    <mergeCell ref="Q225:Q226"/>
    <mergeCell ref="R225:R226"/>
    <mergeCell ref="S225:S226"/>
    <mergeCell ref="T225:T226"/>
    <mergeCell ref="U225:U226"/>
    <mergeCell ref="V225:V226"/>
    <mergeCell ref="W225:W226"/>
    <mergeCell ref="X225:X226"/>
    <mergeCell ref="Y225:Y226"/>
    <mergeCell ref="Z225:Z226"/>
    <mergeCell ref="AA225:AA226"/>
    <mergeCell ref="AG225:AG226"/>
    <mergeCell ref="AB226:AF226"/>
    <mergeCell ref="G223:G224"/>
    <mergeCell ref="H223:H224"/>
    <mergeCell ref="I223:I224"/>
    <mergeCell ref="J223:J224"/>
    <mergeCell ref="K223:K224"/>
    <mergeCell ref="L223:L224"/>
    <mergeCell ref="M223:M224"/>
    <mergeCell ref="U223:U224"/>
    <mergeCell ref="Y223:Y224"/>
    <mergeCell ref="Z223:Z224"/>
    <mergeCell ref="AA223:AA224"/>
    <mergeCell ref="N223:N224"/>
    <mergeCell ref="O223:O224"/>
    <mergeCell ref="P223:P224"/>
    <mergeCell ref="Q223:Q224"/>
    <mergeCell ref="R223:R224"/>
    <mergeCell ref="A233:A236"/>
    <mergeCell ref="B233:B236"/>
    <mergeCell ref="C233:C236"/>
    <mergeCell ref="D233:D234"/>
    <mergeCell ref="E233:E234"/>
    <mergeCell ref="F233:F234"/>
    <mergeCell ref="G233:G234"/>
    <mergeCell ref="H241:H242"/>
    <mergeCell ref="I241:I242"/>
    <mergeCell ref="J241:J242"/>
    <mergeCell ref="K241:K242"/>
    <mergeCell ref="L241:L242"/>
    <mergeCell ref="M241:M242"/>
    <mergeCell ref="N241:N242"/>
    <mergeCell ref="V241:V242"/>
    <mergeCell ref="W241:W242"/>
    <mergeCell ref="X241:X242"/>
    <mergeCell ref="O241:O242"/>
    <mergeCell ref="P241:P242"/>
    <mergeCell ref="Q241:Q242"/>
    <mergeCell ref="R241:R242"/>
    <mergeCell ref="S241:S242"/>
    <mergeCell ref="T241:T242"/>
    <mergeCell ref="U241:U242"/>
    <mergeCell ref="W237:W238"/>
    <mergeCell ref="A237:A240"/>
    <mergeCell ref="B237:B240"/>
    <mergeCell ref="C237:C240"/>
    <mergeCell ref="D237:D238"/>
    <mergeCell ref="E237:E238"/>
    <mergeCell ref="F237:F238"/>
    <mergeCell ref="G237:G238"/>
    <mergeCell ref="AQ245:AQ246"/>
    <mergeCell ref="AR245:AR246"/>
    <mergeCell ref="AS245:AS246"/>
    <mergeCell ref="AB246:AF246"/>
    <mergeCell ref="AH246:AJ246"/>
    <mergeCell ref="X245:X246"/>
    <mergeCell ref="Y245:Y246"/>
    <mergeCell ref="Z245:Z246"/>
    <mergeCell ref="AA245:AA246"/>
    <mergeCell ref="AG245:AG246"/>
    <mergeCell ref="AK245:AK246"/>
    <mergeCell ref="AP245:AP246"/>
    <mergeCell ref="AL246:AO246"/>
    <mergeCell ref="Y241:Y242"/>
    <mergeCell ref="Z241:Z242"/>
    <mergeCell ref="AA241:AA242"/>
    <mergeCell ref="G243:G244"/>
    <mergeCell ref="H243:H244"/>
    <mergeCell ref="I243:I244"/>
    <mergeCell ref="H245:H246"/>
    <mergeCell ref="I245:I246"/>
    <mergeCell ref="J245:J246"/>
    <mergeCell ref="K245:K246"/>
    <mergeCell ref="L245:L246"/>
    <mergeCell ref="M245:M246"/>
    <mergeCell ref="G235:G236"/>
    <mergeCell ref="H235:H236"/>
    <mergeCell ref="I235:I236"/>
    <mergeCell ref="O233:O234"/>
    <mergeCell ref="P233:P234"/>
    <mergeCell ref="Q233:Q234"/>
    <mergeCell ref="R233:R234"/>
    <mergeCell ref="S233:S234"/>
    <mergeCell ref="T233:T234"/>
    <mergeCell ref="U233:U234"/>
    <mergeCell ref="AK237:AK238"/>
    <mergeCell ref="AP237:AP238"/>
    <mergeCell ref="AQ237:AQ238"/>
    <mergeCell ref="AR237:AR238"/>
    <mergeCell ref="AS237:AS238"/>
    <mergeCell ref="AL238:AO238"/>
    <mergeCell ref="AG239:AG240"/>
    <mergeCell ref="AB240:AF240"/>
    <mergeCell ref="G239:G240"/>
    <mergeCell ref="H239:H240"/>
    <mergeCell ref="I239:I240"/>
    <mergeCell ref="AB234:AF234"/>
    <mergeCell ref="AH234:AJ234"/>
    <mergeCell ref="AG235:AG236"/>
    <mergeCell ref="AB236:AF236"/>
    <mergeCell ref="Z237:Z238"/>
    <mergeCell ref="AA237:AA238"/>
    <mergeCell ref="AG237:AG238"/>
    <mergeCell ref="H233:H234"/>
    <mergeCell ref="I233:I234"/>
    <mergeCell ref="J233:J234"/>
    <mergeCell ref="K233:K234"/>
    <mergeCell ref="L233:L234"/>
    <mergeCell ref="M233:M234"/>
    <mergeCell ref="N233:N234"/>
    <mergeCell ref="AK233:AK234"/>
    <mergeCell ref="AP233:AP234"/>
    <mergeCell ref="AQ233:AQ234"/>
    <mergeCell ref="AR233:AR234"/>
    <mergeCell ref="AS233:AS234"/>
    <mergeCell ref="AL234:AO234"/>
    <mergeCell ref="V233:V234"/>
    <mergeCell ref="W233:W234"/>
    <mergeCell ref="X233:X234"/>
    <mergeCell ref="Y233:Y234"/>
    <mergeCell ref="Z233:Z234"/>
    <mergeCell ref="AA233:AA234"/>
    <mergeCell ref="AG233:AG234"/>
    <mergeCell ref="R229:R230"/>
    <mergeCell ref="S229:S230"/>
    <mergeCell ref="T229:T230"/>
    <mergeCell ref="U229:U230"/>
    <mergeCell ref="AK229:AK230"/>
    <mergeCell ref="AP229:AP230"/>
    <mergeCell ref="AQ229:AQ230"/>
    <mergeCell ref="AR229:AR230"/>
    <mergeCell ref="AS229:AS230"/>
    <mergeCell ref="AL230:AO230"/>
    <mergeCell ref="AB230:AF230"/>
    <mergeCell ref="AH230:AJ230"/>
    <mergeCell ref="V229:V230"/>
    <mergeCell ref="W229:W230"/>
    <mergeCell ref="X229:X230"/>
    <mergeCell ref="Y229:Y230"/>
    <mergeCell ref="Z229:Z230"/>
    <mergeCell ref="AA229:AA230"/>
    <mergeCell ref="AG229:AG230"/>
    <mergeCell ref="A225:A228"/>
    <mergeCell ref="B225:B228"/>
    <mergeCell ref="C225:C228"/>
    <mergeCell ref="D225:D226"/>
    <mergeCell ref="E225:E226"/>
    <mergeCell ref="F225:F226"/>
    <mergeCell ref="G225:G226"/>
    <mergeCell ref="H229:H230"/>
    <mergeCell ref="I229:I230"/>
    <mergeCell ref="J229:J230"/>
    <mergeCell ref="K229:K230"/>
    <mergeCell ref="L229:L230"/>
    <mergeCell ref="M229:M230"/>
    <mergeCell ref="N229:N230"/>
    <mergeCell ref="O229:O230"/>
    <mergeCell ref="P229:P230"/>
    <mergeCell ref="Q229:Q230"/>
    <mergeCell ref="A229:A232"/>
    <mergeCell ref="B229:B232"/>
    <mergeCell ref="C229:C232"/>
    <mergeCell ref="D229:D230"/>
    <mergeCell ref="E229:E230"/>
    <mergeCell ref="F229:F230"/>
    <mergeCell ref="G229:G230"/>
    <mergeCell ref="H225:H226"/>
    <mergeCell ref="I225:I226"/>
    <mergeCell ref="J225:J226"/>
    <mergeCell ref="K225:K226"/>
    <mergeCell ref="L225:L226"/>
    <mergeCell ref="M225:M226"/>
    <mergeCell ref="N225:N226"/>
    <mergeCell ref="AQ221:AQ222"/>
    <mergeCell ref="AR221:AR222"/>
    <mergeCell ref="AS221:AS222"/>
    <mergeCell ref="AL222:AO222"/>
    <mergeCell ref="AB222:AF222"/>
    <mergeCell ref="AH222:AJ222"/>
    <mergeCell ref="V221:V222"/>
    <mergeCell ref="W221:W222"/>
    <mergeCell ref="X221:X222"/>
    <mergeCell ref="Y221:Y222"/>
    <mergeCell ref="Z221:Z222"/>
    <mergeCell ref="AA221:AA222"/>
    <mergeCell ref="AG221:AG222"/>
    <mergeCell ref="A221:A224"/>
    <mergeCell ref="B221:B224"/>
    <mergeCell ref="C221:C224"/>
    <mergeCell ref="D221:D222"/>
    <mergeCell ref="E221:E222"/>
    <mergeCell ref="F221:F222"/>
    <mergeCell ref="G221:G222"/>
    <mergeCell ref="AK223:AK224"/>
    <mergeCell ref="AH224:AJ224"/>
    <mergeCell ref="S223:S224"/>
    <mergeCell ref="T223:T224"/>
    <mergeCell ref="M219:M220"/>
    <mergeCell ref="H221:H222"/>
    <mergeCell ref="I221:I222"/>
    <mergeCell ref="J221:J222"/>
    <mergeCell ref="K221:K222"/>
    <mergeCell ref="L221:L222"/>
    <mergeCell ref="M221:M222"/>
    <mergeCell ref="N221:N222"/>
    <mergeCell ref="O221:O222"/>
    <mergeCell ref="P221:P222"/>
    <mergeCell ref="Q221:Q222"/>
    <mergeCell ref="R221:R222"/>
    <mergeCell ref="S221:S222"/>
    <mergeCell ref="T221:T222"/>
    <mergeCell ref="U221:U222"/>
    <mergeCell ref="AK221:AK222"/>
    <mergeCell ref="AP221:AP222"/>
    <mergeCell ref="Z219:Z220"/>
    <mergeCell ref="AA219:AA220"/>
    <mergeCell ref="P219:P220"/>
    <mergeCell ref="Q219:Q220"/>
    <mergeCell ref="R219:R220"/>
    <mergeCell ref="S219:S220"/>
    <mergeCell ref="T219:T220"/>
    <mergeCell ref="U219:U220"/>
    <mergeCell ref="Y219:Y220"/>
    <mergeCell ref="G203:G204"/>
    <mergeCell ref="H203:H204"/>
    <mergeCell ref="I203:I204"/>
    <mergeCell ref="H205:H206"/>
    <mergeCell ref="I205:I206"/>
    <mergeCell ref="J205:J206"/>
    <mergeCell ref="K205:K206"/>
    <mergeCell ref="L205:L206"/>
    <mergeCell ref="M205:M206"/>
    <mergeCell ref="N205:N206"/>
    <mergeCell ref="V205:V206"/>
    <mergeCell ref="W205:W206"/>
    <mergeCell ref="X205:X206"/>
    <mergeCell ref="Y205:Y206"/>
    <mergeCell ref="Z205:Z206"/>
    <mergeCell ref="AA205:AA206"/>
    <mergeCell ref="O205:O206"/>
    <mergeCell ref="P205:P206"/>
    <mergeCell ref="Q205:Q206"/>
    <mergeCell ref="R205:R206"/>
    <mergeCell ref="S205:S206"/>
    <mergeCell ref="T205:T206"/>
    <mergeCell ref="U205:U206"/>
    <mergeCell ref="AH208:AJ208"/>
    <mergeCell ref="AB206:AF206"/>
    <mergeCell ref="AH206:AJ206"/>
    <mergeCell ref="AG207:AG208"/>
    <mergeCell ref="AK207:AK208"/>
    <mergeCell ref="AQ207:AQ208"/>
    <mergeCell ref="AR207:AR208"/>
    <mergeCell ref="AS207:AS208"/>
    <mergeCell ref="Z217:Z218"/>
    <mergeCell ref="AA217:AA218"/>
    <mergeCell ref="P217:P218"/>
    <mergeCell ref="Q217:Q218"/>
    <mergeCell ref="R217:R218"/>
    <mergeCell ref="S217:S218"/>
    <mergeCell ref="T217:T218"/>
    <mergeCell ref="U217:U218"/>
    <mergeCell ref="Y217:Y218"/>
    <mergeCell ref="AR209:AR210"/>
    <mergeCell ref="AS209:AS210"/>
    <mergeCell ref="AG213:AG214"/>
    <mergeCell ref="AB214:AF214"/>
    <mergeCell ref="AG215:AG216"/>
    <mergeCell ref="AB216:AF216"/>
    <mergeCell ref="AK205:AK206"/>
    <mergeCell ref="AP205:AP206"/>
    <mergeCell ref="AQ205:AQ206"/>
    <mergeCell ref="AR205:AR206"/>
    <mergeCell ref="AS205:AS206"/>
    <mergeCell ref="AL206:AO206"/>
    <mergeCell ref="AQ209:AQ210"/>
    <mergeCell ref="AG205:AG206"/>
    <mergeCell ref="X211:X212"/>
    <mergeCell ref="A205:A210"/>
    <mergeCell ref="B205:B210"/>
    <mergeCell ref="C205:C210"/>
    <mergeCell ref="D205:D206"/>
    <mergeCell ref="E205:E206"/>
    <mergeCell ref="F205:F206"/>
    <mergeCell ref="G205:G206"/>
    <mergeCell ref="O211:O212"/>
    <mergeCell ref="P211:P212"/>
    <mergeCell ref="H211:H212"/>
    <mergeCell ref="I211:I212"/>
    <mergeCell ref="J211:J212"/>
    <mergeCell ref="K211:K212"/>
    <mergeCell ref="L211:L212"/>
    <mergeCell ref="M211:M212"/>
    <mergeCell ref="N211:N212"/>
    <mergeCell ref="AB208:AF208"/>
    <mergeCell ref="A211:A220"/>
    <mergeCell ref="B211:B220"/>
    <mergeCell ref="C211:C220"/>
    <mergeCell ref="D211:D212"/>
    <mergeCell ref="E211:E212"/>
    <mergeCell ref="F211:F212"/>
    <mergeCell ref="G211:G212"/>
    <mergeCell ref="N219:N220"/>
    <mergeCell ref="O219:O220"/>
    <mergeCell ref="G219:G220"/>
    <mergeCell ref="H219:H220"/>
    <mergeCell ref="I219:I220"/>
    <mergeCell ref="J219:J220"/>
    <mergeCell ref="K219:K220"/>
    <mergeCell ref="L219:L220"/>
    <mergeCell ref="R201:R202"/>
    <mergeCell ref="S201:S202"/>
    <mergeCell ref="T201:T202"/>
    <mergeCell ref="U201:U202"/>
    <mergeCell ref="AK201:AK202"/>
    <mergeCell ref="AP201:AP202"/>
    <mergeCell ref="AQ201:AQ202"/>
    <mergeCell ref="AR201:AR202"/>
    <mergeCell ref="AS201:AS202"/>
    <mergeCell ref="AL202:AO202"/>
    <mergeCell ref="AB202:AF202"/>
    <mergeCell ref="AH202:AJ202"/>
    <mergeCell ref="V201:V202"/>
    <mergeCell ref="W201:W202"/>
    <mergeCell ref="X201:X202"/>
    <mergeCell ref="Y201:Y202"/>
    <mergeCell ref="Z201:Z202"/>
    <mergeCell ref="AA201:AA202"/>
    <mergeCell ref="AG201:AG202"/>
    <mergeCell ref="A197:A200"/>
    <mergeCell ref="B197:B200"/>
    <mergeCell ref="C197:C200"/>
    <mergeCell ref="D197:D198"/>
    <mergeCell ref="E197:E198"/>
    <mergeCell ref="F197:F198"/>
    <mergeCell ref="G197:G198"/>
    <mergeCell ref="H201:H202"/>
    <mergeCell ref="I201:I202"/>
    <mergeCell ref="J201:J202"/>
    <mergeCell ref="K201:K202"/>
    <mergeCell ref="L201:L202"/>
    <mergeCell ref="M201:M202"/>
    <mergeCell ref="N201:N202"/>
    <mergeCell ref="O201:O202"/>
    <mergeCell ref="P201:P202"/>
    <mergeCell ref="Q201:Q202"/>
    <mergeCell ref="A201:A204"/>
    <mergeCell ref="B201:B204"/>
    <mergeCell ref="C201:C204"/>
    <mergeCell ref="D201:D202"/>
    <mergeCell ref="E201:E202"/>
    <mergeCell ref="F201:F202"/>
    <mergeCell ref="G201:G202"/>
    <mergeCell ref="AR197:AR198"/>
    <mergeCell ref="AS197:AS198"/>
    <mergeCell ref="AL198:AO198"/>
    <mergeCell ref="AB198:AF198"/>
    <mergeCell ref="AH198:AJ198"/>
    <mergeCell ref="AG199:AG200"/>
    <mergeCell ref="AB200:AF200"/>
    <mergeCell ref="V197:V198"/>
    <mergeCell ref="W197:W198"/>
    <mergeCell ref="X197:X198"/>
    <mergeCell ref="Y197:Y198"/>
    <mergeCell ref="Z197:Z198"/>
    <mergeCell ref="AA197:AA198"/>
    <mergeCell ref="AG197:AG198"/>
    <mergeCell ref="G199:G200"/>
    <mergeCell ref="H199:H200"/>
    <mergeCell ref="I199:I200"/>
    <mergeCell ref="H197:H198"/>
    <mergeCell ref="I197:I198"/>
    <mergeCell ref="J197:J198"/>
    <mergeCell ref="K197:K198"/>
    <mergeCell ref="L197:L198"/>
    <mergeCell ref="M197:M198"/>
    <mergeCell ref="N197:N198"/>
    <mergeCell ref="O197:O198"/>
    <mergeCell ref="P197:P198"/>
    <mergeCell ref="Q197:Q198"/>
    <mergeCell ref="R197:R198"/>
    <mergeCell ref="S197:S198"/>
    <mergeCell ref="T197:T198"/>
    <mergeCell ref="U197:U198"/>
    <mergeCell ref="AK197:AK198"/>
    <mergeCell ref="AP197:AP198"/>
    <mergeCell ref="AQ197:AQ198"/>
    <mergeCell ref="K193:K194"/>
    <mergeCell ref="L193:L194"/>
    <mergeCell ref="M193:M194"/>
    <mergeCell ref="N193:N194"/>
    <mergeCell ref="AK193:AK194"/>
    <mergeCell ref="AK195:AK196"/>
    <mergeCell ref="AH196:AJ196"/>
    <mergeCell ref="AP193:AP194"/>
    <mergeCell ref="AQ193:AQ194"/>
    <mergeCell ref="AR193:AR194"/>
    <mergeCell ref="AS193:AS194"/>
    <mergeCell ref="AB194:AF194"/>
    <mergeCell ref="AH194:AJ194"/>
    <mergeCell ref="AL194:AO194"/>
    <mergeCell ref="N195:N196"/>
    <mergeCell ref="O195:O196"/>
    <mergeCell ref="G195:G196"/>
    <mergeCell ref="H195:H196"/>
    <mergeCell ref="I195:I196"/>
    <mergeCell ref="J195:J196"/>
    <mergeCell ref="K195:K196"/>
    <mergeCell ref="L195:L196"/>
    <mergeCell ref="M195:M196"/>
    <mergeCell ref="O193:O194"/>
    <mergeCell ref="P193:P194"/>
    <mergeCell ref="Q193:Q194"/>
    <mergeCell ref="R193:R194"/>
    <mergeCell ref="S193:S194"/>
    <mergeCell ref="T193:T194"/>
    <mergeCell ref="U193:U194"/>
    <mergeCell ref="V193:V194"/>
    <mergeCell ref="W193:W194"/>
    <mergeCell ref="A189:A192"/>
    <mergeCell ref="B189:B192"/>
    <mergeCell ref="C189:C192"/>
    <mergeCell ref="D189:D190"/>
    <mergeCell ref="E189:E190"/>
    <mergeCell ref="F189:F190"/>
    <mergeCell ref="G189:G190"/>
    <mergeCell ref="A193:A196"/>
    <mergeCell ref="B193:B196"/>
    <mergeCell ref="C193:C196"/>
    <mergeCell ref="D193:D194"/>
    <mergeCell ref="E193:E194"/>
    <mergeCell ref="F193:F194"/>
    <mergeCell ref="G193:G194"/>
    <mergeCell ref="H193:H194"/>
    <mergeCell ref="I193:I194"/>
    <mergeCell ref="J193:J194"/>
    <mergeCell ref="G191:G192"/>
    <mergeCell ref="H191:H192"/>
    <mergeCell ref="I191:I192"/>
    <mergeCell ref="J191:J192"/>
    <mergeCell ref="K191:K192"/>
    <mergeCell ref="L191:L192"/>
    <mergeCell ref="M191:M192"/>
    <mergeCell ref="U191:U192"/>
    <mergeCell ref="Y191:Y192"/>
    <mergeCell ref="Z191:Z192"/>
    <mergeCell ref="AA191:AA192"/>
    <mergeCell ref="AK191:AK192"/>
    <mergeCell ref="AH192:AJ192"/>
    <mergeCell ref="N191:N192"/>
    <mergeCell ref="O191:O192"/>
    <mergeCell ref="P191:P192"/>
    <mergeCell ref="Q191:Q192"/>
    <mergeCell ref="R191:R192"/>
    <mergeCell ref="S191:S192"/>
    <mergeCell ref="T191:T192"/>
    <mergeCell ref="AR189:AR190"/>
    <mergeCell ref="AS189:AS190"/>
    <mergeCell ref="AL190:AO190"/>
    <mergeCell ref="AB190:AF190"/>
    <mergeCell ref="AH190:AJ190"/>
    <mergeCell ref="V189:V190"/>
    <mergeCell ref="W189:W190"/>
    <mergeCell ref="X189:X190"/>
    <mergeCell ref="Y189:Y190"/>
    <mergeCell ref="Z189:Z190"/>
    <mergeCell ref="AA189:AA190"/>
    <mergeCell ref="AG189:AG190"/>
    <mergeCell ref="Z195:Z196"/>
    <mergeCell ref="AA195:AA196"/>
    <mergeCell ref="P195:P196"/>
    <mergeCell ref="Q195:Q196"/>
    <mergeCell ref="R195:R196"/>
    <mergeCell ref="S195:S196"/>
    <mergeCell ref="T195:T196"/>
    <mergeCell ref="U195:U196"/>
    <mergeCell ref="Y195:Y196"/>
    <mergeCell ref="X193:X194"/>
    <mergeCell ref="Y193:Y194"/>
    <mergeCell ref="Z193:Z194"/>
    <mergeCell ref="AA193:AA194"/>
    <mergeCell ref="AG193:AG194"/>
    <mergeCell ref="H189:H190"/>
    <mergeCell ref="I189:I190"/>
    <mergeCell ref="J189:J190"/>
    <mergeCell ref="K189:K190"/>
    <mergeCell ref="L189:L190"/>
    <mergeCell ref="M189:M190"/>
    <mergeCell ref="N189:N190"/>
    <mergeCell ref="O189:O190"/>
    <mergeCell ref="P189:P190"/>
    <mergeCell ref="Q189:Q190"/>
    <mergeCell ref="R189:R190"/>
    <mergeCell ref="S189:S190"/>
    <mergeCell ref="T189:T190"/>
    <mergeCell ref="U189:U190"/>
    <mergeCell ref="AK189:AK190"/>
    <mergeCell ref="AP189:AP190"/>
    <mergeCell ref="AQ189:AQ190"/>
    <mergeCell ref="H163:H164"/>
    <mergeCell ref="I163:I164"/>
    <mergeCell ref="J163:J164"/>
    <mergeCell ref="K163:K164"/>
    <mergeCell ref="L163:L164"/>
    <mergeCell ref="M163:M164"/>
    <mergeCell ref="N163:N164"/>
    <mergeCell ref="G187:G188"/>
    <mergeCell ref="H187:H188"/>
    <mergeCell ref="I187:I188"/>
    <mergeCell ref="AG187:AG188"/>
    <mergeCell ref="AB188:AF188"/>
    <mergeCell ref="A185:A188"/>
    <mergeCell ref="B185:B188"/>
    <mergeCell ref="C185:C188"/>
    <mergeCell ref="D185:D186"/>
    <mergeCell ref="E185:E186"/>
    <mergeCell ref="F185:F186"/>
    <mergeCell ref="G185:G186"/>
    <mergeCell ref="G165:G166"/>
    <mergeCell ref="H165:H166"/>
    <mergeCell ref="I165:I166"/>
    <mergeCell ref="A163:A166"/>
    <mergeCell ref="B163:B166"/>
    <mergeCell ref="C163:C166"/>
    <mergeCell ref="D163:D164"/>
    <mergeCell ref="E163:E164"/>
    <mergeCell ref="F163:F164"/>
    <mergeCell ref="G163:G164"/>
    <mergeCell ref="H167:H168"/>
    <mergeCell ref="I167:I168"/>
    <mergeCell ref="J167:J168"/>
    <mergeCell ref="N159:N160"/>
    <mergeCell ref="O159:O160"/>
    <mergeCell ref="P159:P160"/>
    <mergeCell ref="Q159:Q160"/>
    <mergeCell ref="R159:R160"/>
    <mergeCell ref="S159:S160"/>
    <mergeCell ref="T159:T160"/>
    <mergeCell ref="U159:U160"/>
    <mergeCell ref="G159:G160"/>
    <mergeCell ref="H159:H160"/>
    <mergeCell ref="I159:I160"/>
    <mergeCell ref="J159:J160"/>
    <mergeCell ref="K159:K160"/>
    <mergeCell ref="L159:L160"/>
    <mergeCell ref="M159:M160"/>
    <mergeCell ref="G161:G162"/>
    <mergeCell ref="H161:H162"/>
    <mergeCell ref="I161:I162"/>
    <mergeCell ref="A149:A152"/>
    <mergeCell ref="B149:B152"/>
    <mergeCell ref="C149:C152"/>
    <mergeCell ref="D149:D150"/>
    <mergeCell ref="E149:E150"/>
    <mergeCell ref="F149:F150"/>
    <mergeCell ref="G149:G150"/>
    <mergeCell ref="N157:N158"/>
    <mergeCell ref="O157:O158"/>
    <mergeCell ref="P157:P158"/>
    <mergeCell ref="Q157:Q158"/>
    <mergeCell ref="R157:R158"/>
    <mergeCell ref="S157:S158"/>
    <mergeCell ref="T157:T158"/>
    <mergeCell ref="U157:U158"/>
    <mergeCell ref="G157:G158"/>
    <mergeCell ref="H157:H158"/>
    <mergeCell ref="I157:I158"/>
    <mergeCell ref="J157:J158"/>
    <mergeCell ref="K157:K158"/>
    <mergeCell ref="L157:L158"/>
    <mergeCell ref="M157:M158"/>
    <mergeCell ref="U155:U156"/>
    <mergeCell ref="A153:A162"/>
    <mergeCell ref="B153:B162"/>
    <mergeCell ref="C153:C162"/>
    <mergeCell ref="D153:D154"/>
    <mergeCell ref="E153:E154"/>
    <mergeCell ref="F153:F154"/>
    <mergeCell ref="G153:G154"/>
    <mergeCell ref="V153:V154"/>
    <mergeCell ref="W153:W154"/>
    <mergeCell ref="X153:X154"/>
    <mergeCell ref="Y153:Y154"/>
    <mergeCell ref="Z153:Z154"/>
    <mergeCell ref="AA153:AA154"/>
    <mergeCell ref="Z155:Z156"/>
    <mergeCell ref="AA155:AA156"/>
    <mergeCell ref="O153:O154"/>
    <mergeCell ref="P153:P154"/>
    <mergeCell ref="Q153:Q154"/>
    <mergeCell ref="R153:R154"/>
    <mergeCell ref="S153:S154"/>
    <mergeCell ref="T153:T154"/>
    <mergeCell ref="U153:U154"/>
    <mergeCell ref="G155:G156"/>
    <mergeCell ref="H155:H156"/>
    <mergeCell ref="I155:I156"/>
    <mergeCell ref="J155:J156"/>
    <mergeCell ref="K155:K156"/>
    <mergeCell ref="L155:L156"/>
    <mergeCell ref="M155:M156"/>
    <mergeCell ref="Y155:Y156"/>
    <mergeCell ref="N151:N152"/>
    <mergeCell ref="O151:O152"/>
    <mergeCell ref="P151:P152"/>
    <mergeCell ref="Q151:Q152"/>
    <mergeCell ref="R151:R152"/>
    <mergeCell ref="S151:S152"/>
    <mergeCell ref="T151:T152"/>
    <mergeCell ref="U151:U152"/>
    <mergeCell ref="G151:G152"/>
    <mergeCell ref="H151:H152"/>
    <mergeCell ref="I151:I152"/>
    <mergeCell ref="J151:J152"/>
    <mergeCell ref="K151:K152"/>
    <mergeCell ref="L151:L152"/>
    <mergeCell ref="M151:M152"/>
    <mergeCell ref="H153:H154"/>
    <mergeCell ref="I153:I154"/>
    <mergeCell ref="J153:J154"/>
    <mergeCell ref="K153:K154"/>
    <mergeCell ref="L153:L154"/>
    <mergeCell ref="M153:M154"/>
    <mergeCell ref="N153:N154"/>
    <mergeCell ref="AQ101:AQ102"/>
    <mergeCell ref="AR101:AR102"/>
    <mergeCell ref="AS101:AS102"/>
    <mergeCell ref="AP103:AP104"/>
    <mergeCell ref="AQ103:AQ104"/>
    <mergeCell ref="AR103:AR104"/>
    <mergeCell ref="AS103:AS104"/>
    <mergeCell ref="AR115:AR116"/>
    <mergeCell ref="AS115:AS116"/>
    <mergeCell ref="AP107:AP108"/>
    <mergeCell ref="AQ107:AQ108"/>
    <mergeCell ref="AR107:AR108"/>
    <mergeCell ref="AS107:AS108"/>
    <mergeCell ref="AQ111:AQ112"/>
    <mergeCell ref="AR111:AR112"/>
    <mergeCell ref="AS111:AS112"/>
    <mergeCell ref="A145:A148"/>
    <mergeCell ref="B145:B148"/>
    <mergeCell ref="C145:C148"/>
    <mergeCell ref="D145:D146"/>
    <mergeCell ref="E145:E146"/>
    <mergeCell ref="F145:F146"/>
    <mergeCell ref="G145:G146"/>
    <mergeCell ref="K119:K120"/>
    <mergeCell ref="L119:L120"/>
    <mergeCell ref="M119:M120"/>
    <mergeCell ref="N119:N120"/>
    <mergeCell ref="O119:O120"/>
    <mergeCell ref="P119:P120"/>
    <mergeCell ref="A115:A120"/>
    <mergeCell ref="B115:B120"/>
    <mergeCell ref="C115:C120"/>
    <mergeCell ref="AH98:AJ98"/>
    <mergeCell ref="AL98:AO98"/>
    <mergeCell ref="Z97:Z98"/>
    <mergeCell ref="AA97:AA98"/>
    <mergeCell ref="AK97:AK98"/>
    <mergeCell ref="AP97:AP98"/>
    <mergeCell ref="AQ97:AQ98"/>
    <mergeCell ref="AR97:AR98"/>
    <mergeCell ref="AS97:AS98"/>
    <mergeCell ref="N99:N100"/>
    <mergeCell ref="O99:O100"/>
    <mergeCell ref="G99:G100"/>
    <mergeCell ref="H99:H100"/>
    <mergeCell ref="I99:I100"/>
    <mergeCell ref="J99:J100"/>
    <mergeCell ref="K99:K100"/>
    <mergeCell ref="L99:L100"/>
    <mergeCell ref="M99:M100"/>
    <mergeCell ref="N97:N98"/>
    <mergeCell ref="O97:O98"/>
    <mergeCell ref="G97:G98"/>
    <mergeCell ref="H97:H98"/>
    <mergeCell ref="I97:I98"/>
    <mergeCell ref="J97:J98"/>
    <mergeCell ref="K97:K98"/>
    <mergeCell ref="L97:L98"/>
    <mergeCell ref="M97:M98"/>
    <mergeCell ref="P97:P98"/>
    <mergeCell ref="Q97:Q98"/>
    <mergeCell ref="R97:R98"/>
    <mergeCell ref="S97:S98"/>
    <mergeCell ref="T97:T98"/>
    <mergeCell ref="U97:U98"/>
    <mergeCell ref="Y97:Y98"/>
    <mergeCell ref="AG97:AG98"/>
    <mergeCell ref="AB98:AF98"/>
    <mergeCell ref="AR93:AR94"/>
    <mergeCell ref="AS93:AS94"/>
    <mergeCell ref="O95:O96"/>
    <mergeCell ref="P95:P96"/>
    <mergeCell ref="H95:H96"/>
    <mergeCell ref="I95:I96"/>
    <mergeCell ref="J95:J96"/>
    <mergeCell ref="K95:K96"/>
    <mergeCell ref="L95:L96"/>
    <mergeCell ref="M95:M96"/>
    <mergeCell ref="N95:N96"/>
    <mergeCell ref="Q95:Q96"/>
    <mergeCell ref="R95:R96"/>
    <mergeCell ref="S95:S96"/>
    <mergeCell ref="T95:T96"/>
    <mergeCell ref="U95:U96"/>
    <mergeCell ref="V95:V96"/>
    <mergeCell ref="W95:W96"/>
    <mergeCell ref="AG95:AG96"/>
    <mergeCell ref="AB96:AF96"/>
    <mergeCell ref="AH96:AJ96"/>
    <mergeCell ref="AL96:AO96"/>
    <mergeCell ref="X95:X96"/>
    <mergeCell ref="Y95:Y96"/>
    <mergeCell ref="AK95:AK96"/>
    <mergeCell ref="AP95:AP96"/>
    <mergeCell ref="AQ95:AQ96"/>
    <mergeCell ref="AR95:AR96"/>
    <mergeCell ref="AS95:AS96"/>
    <mergeCell ref="AB112:AF112"/>
    <mergeCell ref="AH112:AJ112"/>
    <mergeCell ref="AG115:AG116"/>
    <mergeCell ref="AB116:AF116"/>
    <mergeCell ref="AP121:AP122"/>
    <mergeCell ref="AP125:AP126"/>
    <mergeCell ref="AQ125:AQ126"/>
    <mergeCell ref="AR125:AR126"/>
    <mergeCell ref="AS125:AS126"/>
    <mergeCell ref="AH116:AJ116"/>
    <mergeCell ref="AH118:AJ118"/>
    <mergeCell ref="AG121:AG122"/>
    <mergeCell ref="AB122:AF122"/>
    <mergeCell ref="AH122:AJ122"/>
    <mergeCell ref="AG123:AG124"/>
    <mergeCell ref="AB124:AF124"/>
    <mergeCell ref="Q93:Q94"/>
    <mergeCell ref="R93:R94"/>
    <mergeCell ref="S93:S94"/>
    <mergeCell ref="T93:T94"/>
    <mergeCell ref="U93:U94"/>
    <mergeCell ref="V93:V94"/>
    <mergeCell ref="W93:W94"/>
    <mergeCell ref="AG93:AG94"/>
    <mergeCell ref="AB94:AF94"/>
    <mergeCell ref="AH94:AJ94"/>
    <mergeCell ref="AL94:AO94"/>
    <mergeCell ref="X93:X94"/>
    <mergeCell ref="Y93:Y94"/>
    <mergeCell ref="AK93:AK94"/>
    <mergeCell ref="AP93:AP94"/>
    <mergeCell ref="AQ93:AQ94"/>
    <mergeCell ref="AK129:AK130"/>
    <mergeCell ref="AH130:AJ130"/>
    <mergeCell ref="AG125:AG126"/>
    <mergeCell ref="AB126:AF126"/>
    <mergeCell ref="AH126:AJ126"/>
    <mergeCell ref="AL126:AO126"/>
    <mergeCell ref="AG127:AG128"/>
    <mergeCell ref="AK127:AK128"/>
    <mergeCell ref="AP127:AP128"/>
    <mergeCell ref="AL128:AO128"/>
    <mergeCell ref="P99:P100"/>
    <mergeCell ref="Q99:Q100"/>
    <mergeCell ref="R99:R100"/>
    <mergeCell ref="S99:S100"/>
    <mergeCell ref="T99:T100"/>
    <mergeCell ref="U99:U100"/>
    <mergeCell ref="Y99:Y100"/>
    <mergeCell ref="Z99:Z100"/>
    <mergeCell ref="AA99:AA100"/>
    <mergeCell ref="AK99:AK100"/>
    <mergeCell ref="AH100:AJ100"/>
    <mergeCell ref="AG101:AG102"/>
    <mergeCell ref="AK101:AK102"/>
    <mergeCell ref="AP101:AP102"/>
    <mergeCell ref="AL102:AO102"/>
    <mergeCell ref="AK103:AK104"/>
    <mergeCell ref="AK107:AK108"/>
    <mergeCell ref="AK111:AK112"/>
    <mergeCell ref="AK115:AK116"/>
    <mergeCell ref="AK117:AK118"/>
    <mergeCell ref="AK121:AK122"/>
    <mergeCell ref="AK125:AK126"/>
    <mergeCell ref="H93:H94"/>
    <mergeCell ref="I93:I94"/>
    <mergeCell ref="J93:J94"/>
    <mergeCell ref="K93:K94"/>
    <mergeCell ref="L93:L94"/>
    <mergeCell ref="M93:M94"/>
    <mergeCell ref="N93:N94"/>
    <mergeCell ref="AP111:AP112"/>
    <mergeCell ref="AL112:AO112"/>
    <mergeCell ref="AP115:AP116"/>
    <mergeCell ref="AQ115:AQ116"/>
    <mergeCell ref="AL116:AO116"/>
    <mergeCell ref="AQ121:AQ122"/>
    <mergeCell ref="AR121:AR122"/>
    <mergeCell ref="AS121:AS122"/>
    <mergeCell ref="AL122:AO122"/>
    <mergeCell ref="AQ127:AQ128"/>
    <mergeCell ref="AR127:AR128"/>
    <mergeCell ref="AS127:AS128"/>
    <mergeCell ref="AB128:AF128"/>
    <mergeCell ref="AH128:AJ128"/>
    <mergeCell ref="AB102:AF102"/>
    <mergeCell ref="AH102:AJ102"/>
    <mergeCell ref="AG103:AG104"/>
    <mergeCell ref="AB104:AF104"/>
    <mergeCell ref="AH104:AJ104"/>
    <mergeCell ref="AL104:AO104"/>
    <mergeCell ref="AG107:AG108"/>
    <mergeCell ref="AL108:AO108"/>
    <mergeCell ref="AB108:AF108"/>
    <mergeCell ref="AH108:AJ108"/>
    <mergeCell ref="AG111:AG112"/>
    <mergeCell ref="M71:M72"/>
    <mergeCell ref="N71:N72"/>
    <mergeCell ref="O71:O72"/>
    <mergeCell ref="P71:P72"/>
    <mergeCell ref="Q73:Q74"/>
    <mergeCell ref="R73:R74"/>
    <mergeCell ref="S73:S74"/>
    <mergeCell ref="T73:T74"/>
    <mergeCell ref="U73:U74"/>
    <mergeCell ref="Y73:Y74"/>
    <mergeCell ref="Z73:Z74"/>
    <mergeCell ref="AA73:AA74"/>
    <mergeCell ref="J73:J74"/>
    <mergeCell ref="K73:K74"/>
    <mergeCell ref="L73:L74"/>
    <mergeCell ref="M73:M74"/>
    <mergeCell ref="N73:N74"/>
    <mergeCell ref="O73:O74"/>
    <mergeCell ref="P73:P74"/>
    <mergeCell ref="M65:M66"/>
    <mergeCell ref="N65:N66"/>
    <mergeCell ref="O65:O66"/>
    <mergeCell ref="P65:P66"/>
    <mergeCell ref="Q69:Q70"/>
    <mergeCell ref="R69:R70"/>
    <mergeCell ref="S69:S70"/>
    <mergeCell ref="T69:T70"/>
    <mergeCell ref="U69:U70"/>
    <mergeCell ref="Y69:Y70"/>
    <mergeCell ref="Z69:Z70"/>
    <mergeCell ref="AA69:AA70"/>
    <mergeCell ref="J69:J70"/>
    <mergeCell ref="K69:K70"/>
    <mergeCell ref="L69:L70"/>
    <mergeCell ref="M69:M70"/>
    <mergeCell ref="N69:N70"/>
    <mergeCell ref="O69:O70"/>
    <mergeCell ref="P69:P70"/>
    <mergeCell ref="G87:G88"/>
    <mergeCell ref="H87:H88"/>
    <mergeCell ref="I87:I88"/>
    <mergeCell ref="X89:X90"/>
    <mergeCell ref="Y89:Y90"/>
    <mergeCell ref="Z89:Z90"/>
    <mergeCell ref="AA89:AA90"/>
    <mergeCell ref="H89:H90"/>
    <mergeCell ref="I89:I90"/>
    <mergeCell ref="J89:J90"/>
    <mergeCell ref="K89:K90"/>
    <mergeCell ref="L89:L90"/>
    <mergeCell ref="M89:M90"/>
    <mergeCell ref="N89:N90"/>
    <mergeCell ref="T67:T68"/>
    <mergeCell ref="U67:U68"/>
    <mergeCell ref="M67:M68"/>
    <mergeCell ref="N67:N68"/>
    <mergeCell ref="O67:O68"/>
    <mergeCell ref="P67:P68"/>
    <mergeCell ref="Q67:Q68"/>
    <mergeCell ref="R67:R68"/>
    <mergeCell ref="S67:S68"/>
    <mergeCell ref="Q71:Q72"/>
    <mergeCell ref="R71:R72"/>
    <mergeCell ref="S71:S72"/>
    <mergeCell ref="T71:T72"/>
    <mergeCell ref="U71:U72"/>
    <mergeCell ref="Y71:Y72"/>
    <mergeCell ref="Z71:Z72"/>
    <mergeCell ref="AA71:AA72"/>
    <mergeCell ref="J71:J72"/>
    <mergeCell ref="A79:A84"/>
    <mergeCell ref="B79:B84"/>
    <mergeCell ref="C79:C84"/>
    <mergeCell ref="D79:D80"/>
    <mergeCell ref="H85:H86"/>
    <mergeCell ref="I85:I86"/>
    <mergeCell ref="J85:J86"/>
    <mergeCell ref="K85:K86"/>
    <mergeCell ref="L85:L86"/>
    <mergeCell ref="M85:M86"/>
    <mergeCell ref="N85:N86"/>
    <mergeCell ref="V85:V86"/>
    <mergeCell ref="W85:W86"/>
    <mergeCell ref="X85:X86"/>
    <mergeCell ref="Y85:Y86"/>
    <mergeCell ref="Z85:Z86"/>
    <mergeCell ref="AA85:AA86"/>
    <mergeCell ref="O85:O86"/>
    <mergeCell ref="P85:P86"/>
    <mergeCell ref="Q85:Q86"/>
    <mergeCell ref="R85:R86"/>
    <mergeCell ref="S85:S86"/>
    <mergeCell ref="T85:T86"/>
    <mergeCell ref="U85:U86"/>
    <mergeCell ref="AQ79:AQ80"/>
    <mergeCell ref="AR79:AR80"/>
    <mergeCell ref="AS79:AS80"/>
    <mergeCell ref="AL80:AO80"/>
    <mergeCell ref="AH82:AJ82"/>
    <mergeCell ref="AL82:AO82"/>
    <mergeCell ref="AB80:AF80"/>
    <mergeCell ref="AH80:AJ80"/>
    <mergeCell ref="AK81:AK82"/>
    <mergeCell ref="AP81:AP82"/>
    <mergeCell ref="AQ81:AQ82"/>
    <mergeCell ref="AR81:AR82"/>
    <mergeCell ref="AS81:AS82"/>
    <mergeCell ref="AQ85:AQ86"/>
    <mergeCell ref="AR85:AR86"/>
    <mergeCell ref="AS85:AS86"/>
    <mergeCell ref="AP89:AP90"/>
    <mergeCell ref="AQ89:AQ90"/>
    <mergeCell ref="AR89:AR90"/>
    <mergeCell ref="AS89:AS90"/>
    <mergeCell ref="AH90:AJ90"/>
    <mergeCell ref="AL90:AO90"/>
    <mergeCell ref="AG87:AG88"/>
    <mergeCell ref="AB88:AF88"/>
    <mergeCell ref="AG89:AG90"/>
    <mergeCell ref="AK89:AK90"/>
    <mergeCell ref="AB90:AF90"/>
    <mergeCell ref="J75:J76"/>
    <mergeCell ref="K75:K76"/>
    <mergeCell ref="L75:L76"/>
    <mergeCell ref="M75:M76"/>
    <mergeCell ref="N75:N76"/>
    <mergeCell ref="O75:O76"/>
    <mergeCell ref="P75:P76"/>
    <mergeCell ref="Q75:Q76"/>
    <mergeCell ref="R75:R76"/>
    <mergeCell ref="S75:S76"/>
    <mergeCell ref="T75:T76"/>
    <mergeCell ref="U75:U76"/>
    <mergeCell ref="Y75:Y76"/>
    <mergeCell ref="Z75:Z76"/>
    <mergeCell ref="AA75:AA76"/>
    <mergeCell ref="AG79:AG80"/>
    <mergeCell ref="AK79:AK80"/>
    <mergeCell ref="S79:S80"/>
    <mergeCell ref="T79:T80"/>
    <mergeCell ref="L79:L80"/>
    <mergeCell ref="M79:M80"/>
    <mergeCell ref="N79:N80"/>
    <mergeCell ref="O79:O80"/>
    <mergeCell ref="P79:P80"/>
    <mergeCell ref="Q79:Q80"/>
    <mergeCell ref="R79:R80"/>
    <mergeCell ref="Q81:Q82"/>
    <mergeCell ref="E79:E80"/>
    <mergeCell ref="F79:F80"/>
    <mergeCell ref="G79:G80"/>
    <mergeCell ref="H79:H80"/>
    <mergeCell ref="I79:I80"/>
    <mergeCell ref="J79:J80"/>
    <mergeCell ref="K79:K80"/>
    <mergeCell ref="AG81:AG82"/>
    <mergeCell ref="AB82:AF82"/>
    <mergeCell ref="AG83:AG84"/>
    <mergeCell ref="AB84:AF84"/>
    <mergeCell ref="AG85:AG86"/>
    <mergeCell ref="AK85:AK86"/>
    <mergeCell ref="AP85:AP86"/>
    <mergeCell ref="AL86:AO86"/>
    <mergeCell ref="AB86:AF86"/>
    <mergeCell ref="AH86:AJ86"/>
    <mergeCell ref="AP79:AP80"/>
    <mergeCell ref="R81:R82"/>
    <mergeCell ref="S81:S82"/>
    <mergeCell ref="T81:T82"/>
    <mergeCell ref="U81:U82"/>
    <mergeCell ref="Y81:Y82"/>
    <mergeCell ref="Z81:Z82"/>
    <mergeCell ref="AA81:AA82"/>
    <mergeCell ref="J81:J82"/>
    <mergeCell ref="K81:K82"/>
    <mergeCell ref="L81:L82"/>
    <mergeCell ref="M81:M82"/>
    <mergeCell ref="N81:N82"/>
    <mergeCell ref="O81:O82"/>
    <mergeCell ref="P81:P82"/>
    <mergeCell ref="Q77:Q78"/>
    <mergeCell ref="R77:R78"/>
    <mergeCell ref="S77:S78"/>
    <mergeCell ref="T77:T78"/>
    <mergeCell ref="U77:U78"/>
    <mergeCell ref="Y77:Y78"/>
    <mergeCell ref="Z77:Z78"/>
    <mergeCell ref="AA77:AA78"/>
    <mergeCell ref="J77:J78"/>
    <mergeCell ref="K77:K78"/>
    <mergeCell ref="L77:L78"/>
    <mergeCell ref="M77:M78"/>
    <mergeCell ref="N77:N78"/>
    <mergeCell ref="O77:O78"/>
    <mergeCell ref="P77:P78"/>
    <mergeCell ref="U79:U80"/>
    <mergeCell ref="V79:V80"/>
    <mergeCell ref="W79:W80"/>
    <mergeCell ref="X79:X80"/>
    <mergeCell ref="Y79:Y80"/>
    <mergeCell ref="Z79:Z80"/>
    <mergeCell ref="AA79:AA80"/>
    <mergeCell ref="Q63:Q64"/>
    <mergeCell ref="R63:R64"/>
    <mergeCell ref="S63:S64"/>
    <mergeCell ref="T63:T64"/>
    <mergeCell ref="U63:U64"/>
    <mergeCell ref="Y63:Y64"/>
    <mergeCell ref="Z63:Z64"/>
    <mergeCell ref="AA63:AA64"/>
    <mergeCell ref="J63:J64"/>
    <mergeCell ref="K63:K64"/>
    <mergeCell ref="L63:L64"/>
    <mergeCell ref="M63:M64"/>
    <mergeCell ref="N63:N64"/>
    <mergeCell ref="O63:O64"/>
    <mergeCell ref="P63:P64"/>
    <mergeCell ref="U65:U66"/>
    <mergeCell ref="V67:V68"/>
    <mergeCell ref="W67:W68"/>
    <mergeCell ref="X67:X68"/>
    <mergeCell ref="Y67:Y68"/>
    <mergeCell ref="Z67:Z68"/>
    <mergeCell ref="AA67:AA68"/>
    <mergeCell ref="Q65:Q66"/>
    <mergeCell ref="R65:R66"/>
    <mergeCell ref="S65:S66"/>
    <mergeCell ref="T65:T66"/>
    <mergeCell ref="Y65:Y66"/>
    <mergeCell ref="Z65:Z66"/>
    <mergeCell ref="AA65:AA66"/>
    <mergeCell ref="J65:J66"/>
    <mergeCell ref="K65:K66"/>
    <mergeCell ref="L65:L66"/>
    <mergeCell ref="G27:G28"/>
    <mergeCell ref="K67:K68"/>
    <mergeCell ref="L67:L68"/>
    <mergeCell ref="D67:D68"/>
    <mergeCell ref="E67:E68"/>
    <mergeCell ref="F67:F68"/>
    <mergeCell ref="G67:G68"/>
    <mergeCell ref="H67:H68"/>
    <mergeCell ref="I67:I68"/>
    <mergeCell ref="J67:J68"/>
    <mergeCell ref="A57:A60"/>
    <mergeCell ref="B57:B60"/>
    <mergeCell ref="C57:C60"/>
    <mergeCell ref="D57:D58"/>
    <mergeCell ref="E57:E58"/>
    <mergeCell ref="F57:F58"/>
    <mergeCell ref="G57:G58"/>
    <mergeCell ref="F59:F60"/>
    <mergeCell ref="D59:D60"/>
    <mergeCell ref="E59:E60"/>
    <mergeCell ref="A61:A66"/>
    <mergeCell ref="B61:B66"/>
    <mergeCell ref="C61:C66"/>
    <mergeCell ref="D61:D62"/>
    <mergeCell ref="E61:E62"/>
    <mergeCell ref="A67:A78"/>
    <mergeCell ref="B67:B78"/>
    <mergeCell ref="C67:C78"/>
    <mergeCell ref="K71:K72"/>
    <mergeCell ref="L71:L72"/>
    <mergeCell ref="Q13:Q14"/>
    <mergeCell ref="R13:R14"/>
    <mergeCell ref="S13:S14"/>
    <mergeCell ref="T13:T14"/>
    <mergeCell ref="U13:U14"/>
    <mergeCell ref="Z17:Z18"/>
    <mergeCell ref="Z21:Z22"/>
    <mergeCell ref="AA21:AA22"/>
    <mergeCell ref="V13:V14"/>
    <mergeCell ref="W13:W14"/>
    <mergeCell ref="X13:X14"/>
    <mergeCell ref="Y13:Y14"/>
    <mergeCell ref="Z13:Z14"/>
    <mergeCell ref="AA13:AA14"/>
    <mergeCell ref="AA17:AA18"/>
    <mergeCell ref="H27:H28"/>
    <mergeCell ref="I27:I28"/>
    <mergeCell ref="J27:J28"/>
    <mergeCell ref="K27:K28"/>
    <mergeCell ref="L27:L28"/>
    <mergeCell ref="M27:M28"/>
    <mergeCell ref="N27:N28"/>
    <mergeCell ref="N7:N8"/>
    <mergeCell ref="I11:I12"/>
    <mergeCell ref="J11:J12"/>
    <mergeCell ref="K11:K12"/>
    <mergeCell ref="L11:L12"/>
    <mergeCell ref="M11:M12"/>
    <mergeCell ref="N11:N12"/>
    <mergeCell ref="H13:H14"/>
    <mergeCell ref="I13:I14"/>
    <mergeCell ref="J13:J14"/>
    <mergeCell ref="K13:K14"/>
    <mergeCell ref="L13:L14"/>
    <mergeCell ref="M13:M14"/>
    <mergeCell ref="N13:N14"/>
    <mergeCell ref="G15:G16"/>
    <mergeCell ref="H15:H16"/>
    <mergeCell ref="I15:I16"/>
    <mergeCell ref="Q11:Q12"/>
    <mergeCell ref="R11:R12"/>
    <mergeCell ref="S11:S12"/>
    <mergeCell ref="X17:X18"/>
    <mergeCell ref="Y17:Y18"/>
    <mergeCell ref="Q17:Q18"/>
    <mergeCell ref="R17:R18"/>
    <mergeCell ref="S17:S18"/>
    <mergeCell ref="T17:T18"/>
    <mergeCell ref="U17:U18"/>
    <mergeCell ref="V17:V18"/>
    <mergeCell ref="W17:W18"/>
    <mergeCell ref="O21:O22"/>
    <mergeCell ref="P21:P22"/>
    <mergeCell ref="H21:H22"/>
    <mergeCell ref="I21:I22"/>
    <mergeCell ref="J21:J22"/>
    <mergeCell ref="K21:K22"/>
    <mergeCell ref="L21:L22"/>
    <mergeCell ref="M21:M22"/>
    <mergeCell ref="N21:N22"/>
    <mergeCell ref="X21:X22"/>
    <mergeCell ref="Y21:Y22"/>
    <mergeCell ref="Q21:Q22"/>
    <mergeCell ref="R21:R22"/>
    <mergeCell ref="S21:S22"/>
    <mergeCell ref="T21:T22"/>
    <mergeCell ref="U21:U22"/>
    <mergeCell ref="V21:V22"/>
    <mergeCell ref="W21:W22"/>
    <mergeCell ref="O13:O14"/>
    <mergeCell ref="P13:P14"/>
    <mergeCell ref="U131:U132"/>
    <mergeCell ref="Y131:Y132"/>
    <mergeCell ref="L5:L6"/>
    <mergeCell ref="M5:M6"/>
    <mergeCell ref="H7:H8"/>
    <mergeCell ref="I7:I8"/>
    <mergeCell ref="J7:J8"/>
    <mergeCell ref="K7:K8"/>
    <mergeCell ref="L7:L8"/>
    <mergeCell ref="M7:M8"/>
    <mergeCell ref="O7:O8"/>
    <mergeCell ref="P7:P8"/>
    <mergeCell ref="Q7:Q8"/>
    <mergeCell ref="R7:R8"/>
    <mergeCell ref="S7:S8"/>
    <mergeCell ref="Z9:Z10"/>
    <mergeCell ref="AA9:AA10"/>
    <mergeCell ref="T7:T8"/>
    <mergeCell ref="U7:U8"/>
    <mergeCell ref="Y7:Y8"/>
    <mergeCell ref="Z7:Z8"/>
    <mergeCell ref="AA7:AA8"/>
    <mergeCell ref="X9:X10"/>
    <mergeCell ref="Y9:Y10"/>
    <mergeCell ref="T11:T12"/>
    <mergeCell ref="U11:U12"/>
    <mergeCell ref="Y11:Y12"/>
    <mergeCell ref="Z11:Z12"/>
    <mergeCell ref="AA11:AA12"/>
    <mergeCell ref="H11:H12"/>
    <mergeCell ref="O11:O12"/>
    <mergeCell ref="P11:P12"/>
    <mergeCell ref="G129:G130"/>
    <mergeCell ref="H129:H130"/>
    <mergeCell ref="I129:I130"/>
    <mergeCell ref="J129:J130"/>
    <mergeCell ref="K129:K130"/>
    <mergeCell ref="L129:L130"/>
    <mergeCell ref="M129:M130"/>
    <mergeCell ref="Z129:Z130"/>
    <mergeCell ref="AA129:AA130"/>
    <mergeCell ref="P129:P130"/>
    <mergeCell ref="Q129:Q130"/>
    <mergeCell ref="R129:R130"/>
    <mergeCell ref="S129:S130"/>
    <mergeCell ref="T129:T130"/>
    <mergeCell ref="U129:U130"/>
    <mergeCell ref="Y129:Y130"/>
    <mergeCell ref="N131:N132"/>
    <mergeCell ref="O131:O132"/>
    <mergeCell ref="G131:G132"/>
    <mergeCell ref="H131:H132"/>
    <mergeCell ref="I131:I132"/>
    <mergeCell ref="J131:J132"/>
    <mergeCell ref="K131:K132"/>
    <mergeCell ref="L131:L132"/>
    <mergeCell ref="M131:M132"/>
    <mergeCell ref="Z131:Z132"/>
    <mergeCell ref="AA131:AA132"/>
    <mergeCell ref="P131:P132"/>
    <mergeCell ref="Q131:Q132"/>
    <mergeCell ref="R131:R132"/>
    <mergeCell ref="S131:S132"/>
    <mergeCell ref="T131:T132"/>
    <mergeCell ref="J117:J118"/>
    <mergeCell ref="K117:K118"/>
    <mergeCell ref="L117:L118"/>
    <mergeCell ref="M117:M118"/>
    <mergeCell ref="N117:N118"/>
    <mergeCell ref="O117:O118"/>
    <mergeCell ref="P117:P118"/>
    <mergeCell ref="U127:U128"/>
    <mergeCell ref="Y127:Y128"/>
    <mergeCell ref="N127:N128"/>
    <mergeCell ref="O127:O128"/>
    <mergeCell ref="P127:P128"/>
    <mergeCell ref="Q127:Q128"/>
    <mergeCell ref="R127:R128"/>
    <mergeCell ref="S127:S128"/>
    <mergeCell ref="T127:T128"/>
    <mergeCell ref="N129:N130"/>
    <mergeCell ref="O129:O130"/>
    <mergeCell ref="Y125:Y126"/>
    <mergeCell ref="Z111:Z112"/>
    <mergeCell ref="Z115:Z116"/>
    <mergeCell ref="AA115:AA116"/>
    <mergeCell ref="T111:T112"/>
    <mergeCell ref="U111:U112"/>
    <mergeCell ref="V111:V112"/>
    <mergeCell ref="W111:W112"/>
    <mergeCell ref="X111:X112"/>
    <mergeCell ref="Y111:Y112"/>
    <mergeCell ref="AA111:AA112"/>
    <mergeCell ref="Q117:Q118"/>
    <mergeCell ref="R117:R118"/>
    <mergeCell ref="S117:S118"/>
    <mergeCell ref="T117:T118"/>
    <mergeCell ref="U117:U118"/>
    <mergeCell ref="Y117:Y118"/>
    <mergeCell ref="Z117:Z118"/>
    <mergeCell ref="AA117:AA118"/>
    <mergeCell ref="F111:F112"/>
    <mergeCell ref="G111:G112"/>
    <mergeCell ref="H111:H112"/>
    <mergeCell ref="I111:I112"/>
    <mergeCell ref="J111:J112"/>
    <mergeCell ref="K111:K112"/>
    <mergeCell ref="L111:L112"/>
    <mergeCell ref="G113:G114"/>
    <mergeCell ref="H113:H114"/>
    <mergeCell ref="I113:I114"/>
    <mergeCell ref="M111:M112"/>
    <mergeCell ref="N111:N112"/>
    <mergeCell ref="O111:O112"/>
    <mergeCell ref="P111:P112"/>
    <mergeCell ref="Q111:Q112"/>
    <mergeCell ref="R111:R112"/>
    <mergeCell ref="S111:S112"/>
    <mergeCell ref="Z105:Z106"/>
    <mergeCell ref="Z107:Z108"/>
    <mergeCell ref="AA107:AA108"/>
    <mergeCell ref="Q105:Q106"/>
    <mergeCell ref="R105:R106"/>
    <mergeCell ref="S105:S106"/>
    <mergeCell ref="T105:T106"/>
    <mergeCell ref="U105:U106"/>
    <mergeCell ref="Y105:Y106"/>
    <mergeCell ref="AA105:AA106"/>
    <mergeCell ref="A107:A110"/>
    <mergeCell ref="B107:B110"/>
    <mergeCell ref="C107:C110"/>
    <mergeCell ref="D107:D108"/>
    <mergeCell ref="E107:E108"/>
    <mergeCell ref="F107:F108"/>
    <mergeCell ref="G107:G108"/>
    <mergeCell ref="F109:F110"/>
    <mergeCell ref="G89:G90"/>
    <mergeCell ref="A93:A94"/>
    <mergeCell ref="B93:B94"/>
    <mergeCell ref="C93:C94"/>
    <mergeCell ref="D93:D94"/>
    <mergeCell ref="E93:E94"/>
    <mergeCell ref="F93:F94"/>
    <mergeCell ref="G93:G94"/>
    <mergeCell ref="V103:V104"/>
    <mergeCell ref="W103:W104"/>
    <mergeCell ref="X103:X104"/>
    <mergeCell ref="Y103:Y104"/>
    <mergeCell ref="Z103:Z104"/>
    <mergeCell ref="AA103:AA104"/>
    <mergeCell ref="O103:O104"/>
    <mergeCell ref="P103:P104"/>
    <mergeCell ref="Q103:Q104"/>
    <mergeCell ref="R103:R104"/>
    <mergeCell ref="S103:S104"/>
    <mergeCell ref="T103:T104"/>
    <mergeCell ref="U103:U104"/>
    <mergeCell ref="V89:V90"/>
    <mergeCell ref="W89:W90"/>
    <mergeCell ref="O89:O90"/>
    <mergeCell ref="P89:P90"/>
    <mergeCell ref="Q89:Q90"/>
    <mergeCell ref="R89:R90"/>
    <mergeCell ref="S89:S90"/>
    <mergeCell ref="T89:T90"/>
    <mergeCell ref="U89:U90"/>
    <mergeCell ref="O93:O94"/>
    <mergeCell ref="P93:P94"/>
    <mergeCell ref="X107:X108"/>
    <mergeCell ref="Y107:Y108"/>
    <mergeCell ref="V109:V110"/>
    <mergeCell ref="W109:W110"/>
    <mergeCell ref="X109:X110"/>
    <mergeCell ref="Q107:Q108"/>
    <mergeCell ref="R107:R108"/>
    <mergeCell ref="S107:S108"/>
    <mergeCell ref="T107:T108"/>
    <mergeCell ref="U107:U108"/>
    <mergeCell ref="V107:V108"/>
    <mergeCell ref="W107:W108"/>
    <mergeCell ref="O115:O116"/>
    <mergeCell ref="P115:P116"/>
    <mergeCell ref="H115:H116"/>
    <mergeCell ref="I115:I116"/>
    <mergeCell ref="J115:J116"/>
    <mergeCell ref="K115:K116"/>
    <mergeCell ref="L115:L116"/>
    <mergeCell ref="M115:M116"/>
    <mergeCell ref="N115:N116"/>
    <mergeCell ref="X115:X116"/>
    <mergeCell ref="Y115:Y116"/>
    <mergeCell ref="Q115:Q116"/>
    <mergeCell ref="R115:R116"/>
    <mergeCell ref="S115:S116"/>
    <mergeCell ref="T115:T116"/>
    <mergeCell ref="U115:U116"/>
    <mergeCell ref="V115:V116"/>
    <mergeCell ref="W115:W116"/>
    <mergeCell ref="H103:H104"/>
    <mergeCell ref="I103:I104"/>
    <mergeCell ref="J103:J104"/>
    <mergeCell ref="K103:K104"/>
    <mergeCell ref="L103:L104"/>
    <mergeCell ref="M103:M104"/>
    <mergeCell ref="N103:N104"/>
    <mergeCell ref="A103:A106"/>
    <mergeCell ref="B103:B106"/>
    <mergeCell ref="C103:C106"/>
    <mergeCell ref="D103:D104"/>
    <mergeCell ref="E103:E104"/>
    <mergeCell ref="F103:F104"/>
    <mergeCell ref="G103:G104"/>
    <mergeCell ref="O107:O108"/>
    <mergeCell ref="P107:P108"/>
    <mergeCell ref="H107:H108"/>
    <mergeCell ref="I107:I108"/>
    <mergeCell ref="J107:J108"/>
    <mergeCell ref="K107:K108"/>
    <mergeCell ref="L107:L108"/>
    <mergeCell ref="M107:M108"/>
    <mergeCell ref="N107:N108"/>
    <mergeCell ref="J105:J106"/>
    <mergeCell ref="K105:K106"/>
    <mergeCell ref="L105:L106"/>
    <mergeCell ref="M105:M106"/>
    <mergeCell ref="N105:N106"/>
    <mergeCell ref="O105:O106"/>
    <mergeCell ref="P105:P106"/>
    <mergeCell ref="Z93:Z94"/>
    <mergeCell ref="AA93:AA94"/>
    <mergeCell ref="Z95:Z96"/>
    <mergeCell ref="AA95:AA96"/>
    <mergeCell ref="T91:T92"/>
    <mergeCell ref="U91:U92"/>
    <mergeCell ref="V91:V92"/>
    <mergeCell ref="W91:W92"/>
    <mergeCell ref="X91:X92"/>
    <mergeCell ref="Y91:Y92"/>
    <mergeCell ref="AA91:AA92"/>
    <mergeCell ref="M91:M92"/>
    <mergeCell ref="N91:N92"/>
    <mergeCell ref="O91:O92"/>
    <mergeCell ref="P91:P92"/>
    <mergeCell ref="Q91:Q92"/>
    <mergeCell ref="R91:R92"/>
    <mergeCell ref="S91:S92"/>
    <mergeCell ref="M101:M102"/>
    <mergeCell ref="N101:N102"/>
    <mergeCell ref="V101:V102"/>
    <mergeCell ref="W101:W102"/>
    <mergeCell ref="X101:X102"/>
    <mergeCell ref="Y101:Y102"/>
    <mergeCell ref="Z101:Z102"/>
    <mergeCell ref="AA101:AA102"/>
    <mergeCell ref="O101:O102"/>
    <mergeCell ref="P101:P102"/>
    <mergeCell ref="Q101:Q102"/>
    <mergeCell ref="R101:R102"/>
    <mergeCell ref="S101:S102"/>
    <mergeCell ref="T101:T102"/>
    <mergeCell ref="U101:U102"/>
    <mergeCell ref="A85:A88"/>
    <mergeCell ref="B85:B88"/>
    <mergeCell ref="C85:C88"/>
    <mergeCell ref="D85:D86"/>
    <mergeCell ref="E85:E86"/>
    <mergeCell ref="F85:F86"/>
    <mergeCell ref="G85:G86"/>
    <mergeCell ref="D91:D92"/>
    <mergeCell ref="E91:E92"/>
    <mergeCell ref="F91:F92"/>
    <mergeCell ref="G91:G92"/>
    <mergeCell ref="H91:H92"/>
    <mergeCell ref="I91:I92"/>
    <mergeCell ref="J91:J92"/>
    <mergeCell ref="K91:K92"/>
    <mergeCell ref="L91:L92"/>
    <mergeCell ref="Z91:Z92"/>
    <mergeCell ref="F61:F62"/>
    <mergeCell ref="G61:G62"/>
    <mergeCell ref="H61:H62"/>
    <mergeCell ref="I61:I62"/>
    <mergeCell ref="J61:J62"/>
    <mergeCell ref="K61:K62"/>
    <mergeCell ref="L61:L62"/>
    <mergeCell ref="A101:A102"/>
    <mergeCell ref="B101:B102"/>
    <mergeCell ref="C101:C102"/>
    <mergeCell ref="D101:D102"/>
    <mergeCell ref="E101:E102"/>
    <mergeCell ref="F101:F102"/>
    <mergeCell ref="G101:G102"/>
    <mergeCell ref="H101:H102"/>
    <mergeCell ref="I101:I102"/>
    <mergeCell ref="J101:J102"/>
    <mergeCell ref="K101:K102"/>
    <mergeCell ref="L101:L102"/>
    <mergeCell ref="A95:A100"/>
    <mergeCell ref="B95:B100"/>
    <mergeCell ref="C95:C100"/>
    <mergeCell ref="D95:D96"/>
    <mergeCell ref="E95:E96"/>
    <mergeCell ref="F95:F96"/>
    <mergeCell ref="G95:G96"/>
    <mergeCell ref="A89:A92"/>
    <mergeCell ref="B89:B92"/>
    <mergeCell ref="C89:C92"/>
    <mergeCell ref="D89:D90"/>
    <mergeCell ref="E89:E90"/>
    <mergeCell ref="F89:F90"/>
    <mergeCell ref="H57:H58"/>
    <mergeCell ref="I57:I58"/>
    <mergeCell ref="J57:J58"/>
    <mergeCell ref="K57:K58"/>
    <mergeCell ref="L57:L58"/>
    <mergeCell ref="M57:M58"/>
    <mergeCell ref="N57:N58"/>
    <mergeCell ref="O57:O58"/>
    <mergeCell ref="P57:P58"/>
    <mergeCell ref="Q57:Q58"/>
    <mergeCell ref="R57:R58"/>
    <mergeCell ref="S57:S58"/>
    <mergeCell ref="T57:T58"/>
    <mergeCell ref="U57:U58"/>
    <mergeCell ref="W59:W60"/>
    <mergeCell ref="X59:X60"/>
    <mergeCell ref="V61:V62"/>
    <mergeCell ref="W61:W62"/>
    <mergeCell ref="X61:X62"/>
    <mergeCell ref="V57:V58"/>
    <mergeCell ref="W57:W58"/>
    <mergeCell ref="X57:X58"/>
    <mergeCell ref="V59:V60"/>
    <mergeCell ref="AP61:AP62"/>
    <mergeCell ref="AQ61:AQ62"/>
    <mergeCell ref="AR61:AR62"/>
    <mergeCell ref="AS61:AS62"/>
    <mergeCell ref="AG67:AG68"/>
    <mergeCell ref="AB68:AF68"/>
    <mergeCell ref="AH68:AJ68"/>
    <mergeCell ref="AL68:AO68"/>
    <mergeCell ref="AG61:AG62"/>
    <mergeCell ref="AB62:AF62"/>
    <mergeCell ref="AK67:AK68"/>
    <mergeCell ref="AP67:AP68"/>
    <mergeCell ref="AQ67:AQ68"/>
    <mergeCell ref="AR67:AR68"/>
    <mergeCell ref="AS67:AS68"/>
    <mergeCell ref="T55:T56"/>
    <mergeCell ref="U55:U56"/>
    <mergeCell ref="Y61:Y62"/>
    <mergeCell ref="Z61:Z62"/>
    <mergeCell ref="AA61:AA62"/>
    <mergeCell ref="Y57:Y58"/>
    <mergeCell ref="Z57:Z58"/>
    <mergeCell ref="AA57:AA58"/>
    <mergeCell ref="J55:J56"/>
    <mergeCell ref="K55:K56"/>
    <mergeCell ref="L55:L56"/>
    <mergeCell ref="W55:W56"/>
    <mergeCell ref="X55:X56"/>
    <mergeCell ref="M61:M62"/>
    <mergeCell ref="N61:N62"/>
    <mergeCell ref="O61:O62"/>
    <mergeCell ref="P61:P62"/>
    <mergeCell ref="Q61:Q62"/>
    <mergeCell ref="R61:R62"/>
    <mergeCell ref="S61:S62"/>
    <mergeCell ref="AH62:AJ62"/>
    <mergeCell ref="AL62:AO62"/>
    <mergeCell ref="T61:T62"/>
    <mergeCell ref="U61:U62"/>
    <mergeCell ref="AK61:AK62"/>
    <mergeCell ref="M55:M56"/>
    <mergeCell ref="N55:N56"/>
    <mergeCell ref="O55:O56"/>
    <mergeCell ref="P55:P56"/>
    <mergeCell ref="Q55:Q56"/>
    <mergeCell ref="R55:R56"/>
    <mergeCell ref="S55:S56"/>
    <mergeCell ref="AG57:AG58"/>
    <mergeCell ref="AB58:AF58"/>
    <mergeCell ref="AH58:AJ58"/>
    <mergeCell ref="AL58:AO58"/>
    <mergeCell ref="Y55:Y56"/>
    <mergeCell ref="Z55:Z56"/>
    <mergeCell ref="AK57:AK58"/>
    <mergeCell ref="AP57:AP58"/>
    <mergeCell ref="AQ57:AQ58"/>
    <mergeCell ref="AR57:AR58"/>
    <mergeCell ref="AS57:AS58"/>
    <mergeCell ref="A45:A48"/>
    <mergeCell ref="B45:B48"/>
    <mergeCell ref="C45:C48"/>
    <mergeCell ref="D45:D46"/>
    <mergeCell ref="E45:E46"/>
    <mergeCell ref="F45:F46"/>
    <mergeCell ref="G45:G46"/>
    <mergeCell ref="F47:F48"/>
    <mergeCell ref="G51:G52"/>
    <mergeCell ref="H51:H52"/>
    <mergeCell ref="I51:I52"/>
    <mergeCell ref="D47:D48"/>
    <mergeCell ref="E47:E48"/>
    <mergeCell ref="A49:A52"/>
    <mergeCell ref="B49:B52"/>
    <mergeCell ref="C49:C52"/>
    <mergeCell ref="D49:D50"/>
    <mergeCell ref="E49:E50"/>
    <mergeCell ref="H53:H54"/>
    <mergeCell ref="I53:I54"/>
    <mergeCell ref="J53:J54"/>
    <mergeCell ref="F55:F56"/>
    <mergeCell ref="G55:G56"/>
    <mergeCell ref="A53:A56"/>
    <mergeCell ref="B53:B56"/>
    <mergeCell ref="C53:C56"/>
    <mergeCell ref="D53:D54"/>
    <mergeCell ref="E53:E54"/>
    <mergeCell ref="F53:F54"/>
    <mergeCell ref="G53:G54"/>
    <mergeCell ref="V53:V54"/>
    <mergeCell ref="W53:W54"/>
    <mergeCell ref="X53:X54"/>
    <mergeCell ref="Y53:Y54"/>
    <mergeCell ref="Z53:Z54"/>
    <mergeCell ref="AA53:AA54"/>
    <mergeCell ref="V55:V56"/>
    <mergeCell ref="AA55:AA56"/>
    <mergeCell ref="K53:K54"/>
    <mergeCell ref="L53:L54"/>
    <mergeCell ref="M53:M54"/>
    <mergeCell ref="N53:N54"/>
    <mergeCell ref="O53:O54"/>
    <mergeCell ref="P53:P54"/>
    <mergeCell ref="Q53:Q54"/>
    <mergeCell ref="R53:R54"/>
    <mergeCell ref="S53:S54"/>
    <mergeCell ref="T53:T54"/>
    <mergeCell ref="U53:U54"/>
    <mergeCell ref="D55:D56"/>
    <mergeCell ref="E55:E56"/>
    <mergeCell ref="H55:H56"/>
    <mergeCell ref="I55:I56"/>
    <mergeCell ref="W47:W48"/>
    <mergeCell ref="X47:X48"/>
    <mergeCell ref="V49:V50"/>
    <mergeCell ref="W49:W50"/>
    <mergeCell ref="X49:X50"/>
    <mergeCell ref="Y49:Y50"/>
    <mergeCell ref="Z49:Z50"/>
    <mergeCell ref="AA49:AA50"/>
    <mergeCell ref="V45:V46"/>
    <mergeCell ref="W45:W46"/>
    <mergeCell ref="X45:X46"/>
    <mergeCell ref="Y45:Y46"/>
    <mergeCell ref="Z45:Z46"/>
    <mergeCell ref="AA45:AA46"/>
    <mergeCell ref="V47:V48"/>
    <mergeCell ref="F49:F50"/>
    <mergeCell ref="G49:G50"/>
    <mergeCell ref="H49:H50"/>
    <mergeCell ref="I49:I50"/>
    <mergeCell ref="J49:J50"/>
    <mergeCell ref="K49:K50"/>
    <mergeCell ref="L49:L50"/>
    <mergeCell ref="K41:K42"/>
    <mergeCell ref="L41:L42"/>
    <mergeCell ref="M41:M42"/>
    <mergeCell ref="N41:N42"/>
    <mergeCell ref="O41:O42"/>
    <mergeCell ref="P41:P42"/>
    <mergeCell ref="H45:H46"/>
    <mergeCell ref="I45:I46"/>
    <mergeCell ref="J45:J46"/>
    <mergeCell ref="K45:K46"/>
    <mergeCell ref="L45:L46"/>
    <mergeCell ref="M45:M46"/>
    <mergeCell ref="N45:N46"/>
    <mergeCell ref="O45:O46"/>
    <mergeCell ref="P45:P46"/>
    <mergeCell ref="Q45:Q46"/>
    <mergeCell ref="R45:R46"/>
    <mergeCell ref="M49:M50"/>
    <mergeCell ref="N49:N50"/>
    <mergeCell ref="O49:O50"/>
    <mergeCell ref="P49:P50"/>
    <mergeCell ref="Q49:Q50"/>
    <mergeCell ref="R49:R50"/>
    <mergeCell ref="S49:S50"/>
    <mergeCell ref="AH50:AJ50"/>
    <mergeCell ref="AL50:AO50"/>
    <mergeCell ref="T49:T50"/>
    <mergeCell ref="U49:U50"/>
    <mergeCell ref="AK49:AK50"/>
    <mergeCell ref="AP49:AP50"/>
    <mergeCell ref="AQ49:AQ50"/>
    <mergeCell ref="AR49:AR50"/>
    <mergeCell ref="AS49:AS50"/>
    <mergeCell ref="AQ53:AQ54"/>
    <mergeCell ref="AR53:AR54"/>
    <mergeCell ref="AS53:AS54"/>
    <mergeCell ref="AB54:AF54"/>
    <mergeCell ref="AH54:AJ54"/>
    <mergeCell ref="AG49:AG50"/>
    <mergeCell ref="AB50:AF50"/>
    <mergeCell ref="AG51:AG52"/>
    <mergeCell ref="AB52:AF52"/>
    <mergeCell ref="AG53:AG54"/>
    <mergeCell ref="AK53:AK54"/>
    <mergeCell ref="AP53:AP54"/>
    <mergeCell ref="AL54:AO54"/>
    <mergeCell ref="Y39:Y40"/>
    <mergeCell ref="Z39:Z40"/>
    <mergeCell ref="AA39:AA40"/>
    <mergeCell ref="S41:S42"/>
    <mergeCell ref="T41:T42"/>
    <mergeCell ref="U41:U42"/>
    <mergeCell ref="Y41:Y42"/>
    <mergeCell ref="Z41:Z42"/>
    <mergeCell ref="AA41:AA42"/>
    <mergeCell ref="Z43:Z44"/>
    <mergeCell ref="AA43:AA44"/>
    <mergeCell ref="O39:O40"/>
    <mergeCell ref="P39:P40"/>
    <mergeCell ref="Q39:Q40"/>
    <mergeCell ref="R39:R40"/>
    <mergeCell ref="S39:S40"/>
    <mergeCell ref="T39:T40"/>
    <mergeCell ref="U39:U40"/>
    <mergeCell ref="Q41:Q42"/>
    <mergeCell ref="R41:R42"/>
    <mergeCell ref="R43:R44"/>
    <mergeCell ref="S43:S44"/>
    <mergeCell ref="T43:T44"/>
    <mergeCell ref="U43:U44"/>
    <mergeCell ref="V43:V44"/>
    <mergeCell ref="W43:W44"/>
    <mergeCell ref="AG43:AG44"/>
    <mergeCell ref="AB44:AF44"/>
    <mergeCell ref="AG45:AG46"/>
    <mergeCell ref="AB46:AF46"/>
    <mergeCell ref="X43:X44"/>
    <mergeCell ref="Y43:Y44"/>
    <mergeCell ref="AK43:AK44"/>
    <mergeCell ref="AP43:AP44"/>
    <mergeCell ref="AQ43:AQ44"/>
    <mergeCell ref="AR43:AR44"/>
    <mergeCell ref="AS43:AS44"/>
    <mergeCell ref="AH46:AJ46"/>
    <mergeCell ref="AL46:AO46"/>
    <mergeCell ref="AH44:AJ44"/>
    <mergeCell ref="AL44:AO44"/>
    <mergeCell ref="AK45:AK46"/>
    <mergeCell ref="AP45:AP46"/>
    <mergeCell ref="AQ45:AQ46"/>
    <mergeCell ref="AR45:AR46"/>
    <mergeCell ref="AS45:AS46"/>
    <mergeCell ref="S45:S46"/>
    <mergeCell ref="T45:T46"/>
    <mergeCell ref="U45:U46"/>
    <mergeCell ref="A39:A42"/>
    <mergeCell ref="B39:B42"/>
    <mergeCell ref="C39:C42"/>
    <mergeCell ref="D39:D40"/>
    <mergeCell ref="E39:E40"/>
    <mergeCell ref="F39:F40"/>
    <mergeCell ref="G39:G40"/>
    <mergeCell ref="O43:O44"/>
    <mergeCell ref="P43:P44"/>
    <mergeCell ref="H43:H44"/>
    <mergeCell ref="I43:I44"/>
    <mergeCell ref="J43:J44"/>
    <mergeCell ref="K43:K44"/>
    <mergeCell ref="L43:L44"/>
    <mergeCell ref="M43:M44"/>
    <mergeCell ref="N43:N44"/>
    <mergeCell ref="Q43:Q44"/>
    <mergeCell ref="H39:H40"/>
    <mergeCell ref="I39:I40"/>
    <mergeCell ref="J39:J40"/>
    <mergeCell ref="K39:K40"/>
    <mergeCell ref="L39:L40"/>
    <mergeCell ref="M39:M40"/>
    <mergeCell ref="N39:N40"/>
    <mergeCell ref="A43:A44"/>
    <mergeCell ref="B43:B44"/>
    <mergeCell ref="C43:C44"/>
    <mergeCell ref="D43:D44"/>
    <mergeCell ref="E43:E44"/>
    <mergeCell ref="F43:F44"/>
    <mergeCell ref="G43:G44"/>
    <mergeCell ref="J41:J42"/>
    <mergeCell ref="G33:G34"/>
    <mergeCell ref="H33:H34"/>
    <mergeCell ref="I33:I34"/>
    <mergeCell ref="X35:X36"/>
    <mergeCell ref="Y35:Y36"/>
    <mergeCell ref="Z35:Z36"/>
    <mergeCell ref="AA35:AA36"/>
    <mergeCell ref="H35:H36"/>
    <mergeCell ref="I35:I36"/>
    <mergeCell ref="J35:J36"/>
    <mergeCell ref="K35:K36"/>
    <mergeCell ref="L35:L36"/>
    <mergeCell ref="M35:M36"/>
    <mergeCell ref="N35:N36"/>
    <mergeCell ref="A35:A38"/>
    <mergeCell ref="B35:B38"/>
    <mergeCell ref="C35:C38"/>
    <mergeCell ref="D35:D36"/>
    <mergeCell ref="E35:E36"/>
    <mergeCell ref="F35:F36"/>
    <mergeCell ref="G35:G36"/>
    <mergeCell ref="A31:A34"/>
    <mergeCell ref="B31:B34"/>
    <mergeCell ref="C31:C34"/>
    <mergeCell ref="D31:D32"/>
    <mergeCell ref="E31:E32"/>
    <mergeCell ref="F31:F32"/>
    <mergeCell ref="G31:G32"/>
    <mergeCell ref="G37:G38"/>
    <mergeCell ref="H37:H38"/>
    <mergeCell ref="I37:I38"/>
    <mergeCell ref="K31:K32"/>
    <mergeCell ref="L31:L32"/>
    <mergeCell ref="M31:M32"/>
    <mergeCell ref="N31:N32"/>
    <mergeCell ref="V31:V32"/>
    <mergeCell ref="W31:W32"/>
    <mergeCell ref="X31:X32"/>
    <mergeCell ref="Y31:Y32"/>
    <mergeCell ref="Z31:Z32"/>
    <mergeCell ref="AA31:AA32"/>
    <mergeCell ref="O31:O32"/>
    <mergeCell ref="P31:P32"/>
    <mergeCell ref="Q31:Q32"/>
    <mergeCell ref="R31:R32"/>
    <mergeCell ref="S31:S32"/>
    <mergeCell ref="T31:T32"/>
    <mergeCell ref="U31:U32"/>
    <mergeCell ref="O35:O36"/>
    <mergeCell ref="P35:P36"/>
    <mergeCell ref="Q35:Q36"/>
    <mergeCell ref="R35:R36"/>
    <mergeCell ref="S35:S36"/>
    <mergeCell ref="T35:T36"/>
    <mergeCell ref="U35:U36"/>
    <mergeCell ref="AH36:AJ36"/>
    <mergeCell ref="AL36:AO36"/>
    <mergeCell ref="V35:V36"/>
    <mergeCell ref="W35:W36"/>
    <mergeCell ref="AK35:AK36"/>
    <mergeCell ref="AP35:AP36"/>
    <mergeCell ref="AQ35:AQ36"/>
    <mergeCell ref="AR35:AR36"/>
    <mergeCell ref="AS35:AS36"/>
    <mergeCell ref="AQ39:AQ40"/>
    <mergeCell ref="AR39:AR40"/>
    <mergeCell ref="AS39:AS40"/>
    <mergeCell ref="AB40:AF40"/>
    <mergeCell ref="AH40:AJ40"/>
    <mergeCell ref="AG35:AG36"/>
    <mergeCell ref="AB36:AF36"/>
    <mergeCell ref="AG37:AG38"/>
    <mergeCell ref="AB38:AF38"/>
    <mergeCell ref="AG39:AG40"/>
    <mergeCell ref="AK39:AK40"/>
    <mergeCell ref="AP39:AP40"/>
    <mergeCell ref="AL40:AO40"/>
    <mergeCell ref="V39:V40"/>
    <mergeCell ref="W39:W40"/>
    <mergeCell ref="X39:X40"/>
    <mergeCell ref="A29:A30"/>
    <mergeCell ref="B29:B30"/>
    <mergeCell ref="C29:C30"/>
    <mergeCell ref="D29:D30"/>
    <mergeCell ref="E29:E30"/>
    <mergeCell ref="F29:F30"/>
    <mergeCell ref="G29:G30"/>
    <mergeCell ref="O27:O28"/>
    <mergeCell ref="P27:P28"/>
    <mergeCell ref="Q27:Q28"/>
    <mergeCell ref="R27:R28"/>
    <mergeCell ref="S27:S28"/>
    <mergeCell ref="T27:T28"/>
    <mergeCell ref="U27:U28"/>
    <mergeCell ref="V27:V28"/>
    <mergeCell ref="W27:W28"/>
    <mergeCell ref="X27:X28"/>
    <mergeCell ref="O29:O30"/>
    <mergeCell ref="P29:P30"/>
    <mergeCell ref="H29:H30"/>
    <mergeCell ref="I29:I30"/>
    <mergeCell ref="J29:J30"/>
    <mergeCell ref="K29:K30"/>
    <mergeCell ref="L29:L30"/>
    <mergeCell ref="M29:M30"/>
    <mergeCell ref="N29:N30"/>
    <mergeCell ref="A27:A28"/>
    <mergeCell ref="B27:B28"/>
    <mergeCell ref="C27:C28"/>
    <mergeCell ref="D27:D28"/>
    <mergeCell ref="E27:E28"/>
    <mergeCell ref="F27:F28"/>
    <mergeCell ref="AK29:AK30"/>
    <mergeCell ref="AP29:AP30"/>
    <mergeCell ref="AQ29:AQ30"/>
    <mergeCell ref="AR29:AR30"/>
    <mergeCell ref="AS29:AS30"/>
    <mergeCell ref="AH32:AJ32"/>
    <mergeCell ref="AL32:AO32"/>
    <mergeCell ref="AH30:AJ30"/>
    <mergeCell ref="AL30:AO30"/>
    <mergeCell ref="AK31:AK32"/>
    <mergeCell ref="AP31:AP32"/>
    <mergeCell ref="AQ31:AQ32"/>
    <mergeCell ref="AR31:AR32"/>
    <mergeCell ref="AS31:AS32"/>
    <mergeCell ref="G19:G20"/>
    <mergeCell ref="H19:H20"/>
    <mergeCell ref="I19:I20"/>
    <mergeCell ref="AK27:AK28"/>
    <mergeCell ref="AP27:AP28"/>
    <mergeCell ref="AQ27:AQ28"/>
    <mergeCell ref="AR27:AR28"/>
    <mergeCell ref="AS27:AS28"/>
    <mergeCell ref="AL28:AO28"/>
    <mergeCell ref="AB28:AF28"/>
    <mergeCell ref="AH28:AJ28"/>
    <mergeCell ref="Y27:Y28"/>
    <mergeCell ref="Z27:Z28"/>
    <mergeCell ref="AA27:AA28"/>
    <mergeCell ref="AG27:AG28"/>
    <mergeCell ref="H31:H32"/>
    <mergeCell ref="I31:I32"/>
    <mergeCell ref="J31:J32"/>
    <mergeCell ref="X29:X30"/>
    <mergeCell ref="Y29:Y30"/>
    <mergeCell ref="Q29:Q30"/>
    <mergeCell ref="R29:R30"/>
    <mergeCell ref="S29:S30"/>
    <mergeCell ref="T29:T30"/>
    <mergeCell ref="U29:U30"/>
    <mergeCell ref="V29:V30"/>
    <mergeCell ref="W29:W30"/>
    <mergeCell ref="AG29:AG30"/>
    <mergeCell ref="AB30:AF30"/>
    <mergeCell ref="AG31:AG32"/>
    <mergeCell ref="AB32:AF32"/>
    <mergeCell ref="AG33:AG34"/>
    <mergeCell ref="AB34:AF34"/>
    <mergeCell ref="Z29:Z30"/>
    <mergeCell ref="AA29:AA30"/>
    <mergeCell ref="J25:J26"/>
    <mergeCell ref="K25:K26"/>
    <mergeCell ref="L25:L26"/>
    <mergeCell ref="M25:M26"/>
    <mergeCell ref="N25:N26"/>
    <mergeCell ref="O25:O26"/>
    <mergeCell ref="P25:P26"/>
    <mergeCell ref="Q25:Q26"/>
    <mergeCell ref="R25:R26"/>
    <mergeCell ref="S25:S26"/>
    <mergeCell ref="T25:T26"/>
    <mergeCell ref="U25:U26"/>
    <mergeCell ref="AK25:AK26"/>
    <mergeCell ref="AP25:AP26"/>
    <mergeCell ref="AQ25:AQ26"/>
    <mergeCell ref="AR25:AR26"/>
    <mergeCell ref="AS25:AS26"/>
    <mergeCell ref="AL26:AO26"/>
    <mergeCell ref="AB26:AF26"/>
    <mergeCell ref="AH26:AJ26"/>
    <mergeCell ref="V25:V26"/>
    <mergeCell ref="W25:W26"/>
    <mergeCell ref="X25:X26"/>
    <mergeCell ref="Y25:Y26"/>
    <mergeCell ref="Z25:Z26"/>
    <mergeCell ref="AA25:AA26"/>
    <mergeCell ref="AG25:AG26"/>
    <mergeCell ref="G23:G24"/>
    <mergeCell ref="H23:H24"/>
    <mergeCell ref="I23:I24"/>
    <mergeCell ref="A21:A24"/>
    <mergeCell ref="B21:B24"/>
    <mergeCell ref="C21:C24"/>
    <mergeCell ref="D21:D22"/>
    <mergeCell ref="E21:E22"/>
    <mergeCell ref="F21:F22"/>
    <mergeCell ref="G21:G22"/>
    <mergeCell ref="A25:A26"/>
    <mergeCell ref="B25:B26"/>
    <mergeCell ref="C25:C26"/>
    <mergeCell ref="D25:D26"/>
    <mergeCell ref="E25:E26"/>
    <mergeCell ref="F25:F26"/>
    <mergeCell ref="G25:G26"/>
    <mergeCell ref="H25:H26"/>
    <mergeCell ref="I25:I26"/>
    <mergeCell ref="L17:L18"/>
    <mergeCell ref="M17:M18"/>
    <mergeCell ref="N17:N18"/>
    <mergeCell ref="AH18:AJ18"/>
    <mergeCell ref="AL18:AO18"/>
    <mergeCell ref="O17:O18"/>
    <mergeCell ref="P17:P18"/>
    <mergeCell ref="AK17:AK18"/>
    <mergeCell ref="AP17:AP18"/>
    <mergeCell ref="AQ17:AQ18"/>
    <mergeCell ref="AR17:AR18"/>
    <mergeCell ref="AS17:AS18"/>
    <mergeCell ref="AQ21:AQ22"/>
    <mergeCell ref="AR21:AR22"/>
    <mergeCell ref="AS21:AS22"/>
    <mergeCell ref="AB22:AF22"/>
    <mergeCell ref="AH22:AJ22"/>
    <mergeCell ref="AG17:AG18"/>
    <mergeCell ref="AB18:AF18"/>
    <mergeCell ref="AG19:AG20"/>
    <mergeCell ref="AB20:AF20"/>
    <mergeCell ref="AG21:AG22"/>
    <mergeCell ref="AK21:AK22"/>
    <mergeCell ref="AP21:AP22"/>
    <mergeCell ref="AL22:AO22"/>
    <mergeCell ref="G7:G8"/>
    <mergeCell ref="A9:A12"/>
    <mergeCell ref="B9:B12"/>
    <mergeCell ref="C9:C12"/>
    <mergeCell ref="D9:D10"/>
    <mergeCell ref="E9:E10"/>
    <mergeCell ref="A13:A16"/>
    <mergeCell ref="B13:B16"/>
    <mergeCell ref="C13:C16"/>
    <mergeCell ref="D13:D14"/>
    <mergeCell ref="E13:E14"/>
    <mergeCell ref="F13:F14"/>
    <mergeCell ref="G13:G14"/>
    <mergeCell ref="H17:H18"/>
    <mergeCell ref="I17:I18"/>
    <mergeCell ref="J17:J18"/>
    <mergeCell ref="K17:K18"/>
    <mergeCell ref="A17:A20"/>
    <mergeCell ref="B17:B20"/>
    <mergeCell ref="C17:C20"/>
    <mergeCell ref="D17:D18"/>
    <mergeCell ref="E17:E18"/>
    <mergeCell ref="F17:F18"/>
    <mergeCell ref="G17:G18"/>
    <mergeCell ref="G11:G12"/>
    <mergeCell ref="A5:A8"/>
    <mergeCell ref="B5:B8"/>
    <mergeCell ref="C5:C8"/>
    <mergeCell ref="D5:D6"/>
    <mergeCell ref="AB14:AF14"/>
    <mergeCell ref="AG15:AG16"/>
    <mergeCell ref="AB16:AF16"/>
    <mergeCell ref="V9:V10"/>
    <mergeCell ref="W9:W10"/>
    <mergeCell ref="AK9:AK10"/>
    <mergeCell ref="AP9:AP10"/>
    <mergeCell ref="AQ9:AQ10"/>
    <mergeCell ref="AR9:AR10"/>
    <mergeCell ref="AS9:AS10"/>
    <mergeCell ref="AQ13:AQ14"/>
    <mergeCell ref="AR13:AR14"/>
    <mergeCell ref="AS13:AS14"/>
    <mergeCell ref="AH14:AJ14"/>
    <mergeCell ref="AL14:AO14"/>
    <mergeCell ref="AH10:AJ10"/>
    <mergeCell ref="AL10:AO10"/>
    <mergeCell ref="AK11:AK12"/>
    <mergeCell ref="AH12:AJ12"/>
    <mergeCell ref="AG13:AG14"/>
    <mergeCell ref="AK13:AK14"/>
    <mergeCell ref="AP13:AP14"/>
    <mergeCell ref="M9:M10"/>
    <mergeCell ref="N9:N10"/>
    <mergeCell ref="F9:F10"/>
    <mergeCell ref="G9:G10"/>
    <mergeCell ref="H9:H10"/>
    <mergeCell ref="I9:I10"/>
    <mergeCell ref="J9:J10"/>
    <mergeCell ref="K9:K10"/>
    <mergeCell ref="L9:L10"/>
    <mergeCell ref="O9:O10"/>
    <mergeCell ref="P9:P10"/>
    <mergeCell ref="Q9:Q10"/>
    <mergeCell ref="R9:R10"/>
    <mergeCell ref="S9:S10"/>
    <mergeCell ref="T9:T10"/>
    <mergeCell ref="U9:U10"/>
    <mergeCell ref="AG9:AG10"/>
    <mergeCell ref="AB10:AF10"/>
    <mergeCell ref="AK7:AK8"/>
    <mergeCell ref="AH8:AJ8"/>
    <mergeCell ref="T5:T6"/>
    <mergeCell ref="U5:U6"/>
    <mergeCell ref="V5:V6"/>
    <mergeCell ref="W5:W6"/>
    <mergeCell ref="X5:X6"/>
    <mergeCell ref="Y5:Y6"/>
    <mergeCell ref="Z5:Z6"/>
    <mergeCell ref="AB2:AG2"/>
    <mergeCell ref="AH2:AK2"/>
    <mergeCell ref="P3:Q3"/>
    <mergeCell ref="S3:T3"/>
    <mergeCell ref="V3:W3"/>
    <mergeCell ref="Y3:Z3"/>
    <mergeCell ref="A1:C1"/>
    <mergeCell ref="D1:L1"/>
    <mergeCell ref="M1:U1"/>
    <mergeCell ref="V1:AA1"/>
    <mergeCell ref="AB1:AG1"/>
    <mergeCell ref="AH1:AS1"/>
    <mergeCell ref="A2:A4"/>
    <mergeCell ref="AQ3:AR3"/>
    <mergeCell ref="F5:F6"/>
    <mergeCell ref="G5:G6"/>
    <mergeCell ref="H5:H6"/>
    <mergeCell ref="I5:I6"/>
    <mergeCell ref="AK5:AK6"/>
    <mergeCell ref="AP5:AP6"/>
    <mergeCell ref="AQ5:AQ6"/>
    <mergeCell ref="AR5:AR6"/>
    <mergeCell ref="AS5:AS6"/>
    <mergeCell ref="B2:B4"/>
    <mergeCell ref="C2:C4"/>
    <mergeCell ref="D2:F2"/>
    <mergeCell ref="G2:I2"/>
    <mergeCell ref="J2:L2"/>
    <mergeCell ref="M2:O2"/>
    <mergeCell ref="P2:R2"/>
    <mergeCell ref="S2:U2"/>
    <mergeCell ref="V2:X2"/>
    <mergeCell ref="Y2:AA2"/>
    <mergeCell ref="AL2:AP2"/>
    <mergeCell ref="AQ2:AS2"/>
    <mergeCell ref="D3:E3"/>
    <mergeCell ref="G3:H3"/>
    <mergeCell ref="AA5:AA6"/>
    <mergeCell ref="AG5:AG6"/>
    <mergeCell ref="AB6:AF6"/>
    <mergeCell ref="AH6:AJ6"/>
    <mergeCell ref="AL6:AO6"/>
    <mergeCell ref="J5:J6"/>
    <mergeCell ref="K5:K6"/>
    <mergeCell ref="O5:O6"/>
    <mergeCell ref="P5:P6"/>
    <mergeCell ref="Q5:Q6"/>
    <mergeCell ref="R5:R6"/>
    <mergeCell ref="S5:S6"/>
    <mergeCell ref="E5:E6"/>
    <mergeCell ref="J3:K3"/>
    <mergeCell ref="M3:N3"/>
    <mergeCell ref="N5:N6"/>
  </mergeCells>
  <pageMargins left="0.25" right="0.25" top="0.75" bottom="0.75" header="0" footer="0"/>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Q1000"/>
  <sheetViews>
    <sheetView workbookViewId="0">
      <pane xSplit="2" ySplit="1" topLeftCell="C2" activePane="bottomRight" state="frozen"/>
      <selection activeCell="B3" sqref="B3"/>
      <selection pane="topRight" activeCell="B3" sqref="B3"/>
      <selection pane="bottomLeft" activeCell="B3" sqref="B3"/>
      <selection pane="bottomRight" activeCell="B3" sqref="B3"/>
    </sheetView>
  </sheetViews>
  <sheetFormatPr defaultColWidth="14.44140625" defaultRowHeight="15" customHeight="1"/>
  <cols>
    <col min="1" max="1" width="6" customWidth="1"/>
    <col min="2" max="2" width="18" customWidth="1"/>
    <col min="3" max="3" width="9" customWidth="1"/>
    <col min="4" max="4" width="18" customWidth="1"/>
    <col min="5" max="6" width="16" customWidth="1"/>
    <col min="7" max="7" width="10" customWidth="1"/>
    <col min="8" max="8" width="20" customWidth="1"/>
    <col min="9" max="9" width="16" customWidth="1"/>
    <col min="10" max="10" width="12" customWidth="1"/>
    <col min="11" max="11" width="20" customWidth="1"/>
    <col min="12" max="12" width="30" customWidth="1"/>
    <col min="13" max="13" width="26" customWidth="1"/>
    <col min="14" max="14" width="16" customWidth="1"/>
    <col min="15" max="15" width="22" customWidth="1"/>
    <col min="16" max="16" width="14" customWidth="1"/>
    <col min="17" max="17" width="60" customWidth="1"/>
    <col min="18" max="26" width="8.6640625" customWidth="1"/>
  </cols>
  <sheetData>
    <row r="1" spans="1:17" ht="21.75" customHeight="1">
      <c r="A1" s="5" t="s">
        <v>1351</v>
      </c>
      <c r="B1" s="5" t="s">
        <v>1356</v>
      </c>
      <c r="C1" s="5" t="s">
        <v>1359</v>
      </c>
      <c r="D1" s="5" t="s">
        <v>1361</v>
      </c>
      <c r="E1" s="5" t="s">
        <v>830</v>
      </c>
      <c r="F1" s="5" t="s">
        <v>835</v>
      </c>
      <c r="G1" s="5" t="s">
        <v>828</v>
      </c>
      <c r="H1" s="5" t="s">
        <v>823</v>
      </c>
      <c r="I1" s="5" t="s">
        <v>2</v>
      </c>
      <c r="J1" s="5" t="s">
        <v>6</v>
      </c>
      <c r="K1" s="5" t="s">
        <v>7</v>
      </c>
      <c r="L1" s="5" t="s">
        <v>836</v>
      </c>
      <c r="M1" s="5" t="s">
        <v>1368</v>
      </c>
      <c r="N1" s="5" t="s">
        <v>1369</v>
      </c>
      <c r="O1" s="5" t="s">
        <v>1371</v>
      </c>
      <c r="P1" s="5" t="s">
        <v>1372</v>
      </c>
      <c r="Q1" s="5" t="s">
        <v>8</v>
      </c>
    </row>
    <row r="2" spans="1:17" ht="14.25" customHeight="1">
      <c r="A2" s="12">
        <f t="shared" ref="A2:A158" si="0">IF(C2="yes",COUNT(A$1:A1)+1,"")</f>
        <v>1</v>
      </c>
      <c r="B2" s="13" t="str">
        <f t="shared" ref="B2:B158" si="1">IF(A2&lt;&gt;"","iCoA-PP_26-"&amp;TEXT(A2,"000"),IF(C2="n/a","not needed","— at issue —"))</f>
        <v>iCoA-PP_26-001</v>
      </c>
      <c r="C2" s="24" t="s">
        <v>1383</v>
      </c>
      <c r="D2" s="45">
        <f t="shared" ref="D2:D158" si="2">IF(A2="","",IF(G2="legacy",DATE(2026,5,15),IF(ISNUMBER(F2),(F2+5)+CHOOSE(WEEKDAY(F2+5,2),0,0,0,0,0,2,1),"")))</f>
        <v>46157</v>
      </c>
      <c r="E2" s="45">
        <f t="array" ref="E2">IFERROR(INDEX('Batch Dates'!$F:$F,MATCH(J2,'Batch Dates'!$C:$C,0)),IFERROR(INDEX('Batch Dates'!$F:$F,MATCH(I2,'Batch Dates'!$B:$B,0)),""))</f>
        <v>45719</v>
      </c>
      <c r="F2" s="45">
        <f t="array" ref="F2">IFERROR(INDEX('Batch Dates'!$G:$G,MATCH(J2,'Batch Dates'!$C:$C,0)),IFERROR(INDEX('Batch Dates'!$G:$G,MATCH(I2,'Batch Dates'!$B:$B,0)),""))</f>
        <v>45719</v>
      </c>
      <c r="G2" s="12" t="s">
        <v>851</v>
      </c>
      <c r="H2" s="12" t="s">
        <v>844</v>
      </c>
      <c r="I2" s="13" t="s">
        <v>173</v>
      </c>
      <c r="J2" s="12" t="s">
        <v>425</v>
      </c>
      <c r="K2" s="12" t="s">
        <v>75</v>
      </c>
      <c r="L2" s="12" t="s">
        <v>856</v>
      </c>
      <c r="M2" s="28" t="s">
        <v>86</v>
      </c>
      <c r="N2" s="12" t="str">
        <f t="array" ref="N2">IFERROR(INDEX('CoQ Register'!$B:$B,MATCH("CJ1024|I",'CoQ Register'!$S:$S,0)),"—")</f>
        <v>CoQ-PP_26-001</v>
      </c>
      <c r="O2" s="28" t="s">
        <v>86</v>
      </c>
      <c r="P2" s="12" t="s">
        <v>1404</v>
      </c>
      <c r="Q2" s="20" t="s">
        <v>858</v>
      </c>
    </row>
    <row r="3" spans="1:17" ht="14.25" customHeight="1">
      <c r="A3" s="12">
        <f t="shared" si="0"/>
        <v>2</v>
      </c>
      <c r="B3" s="13" t="str">
        <f t="shared" si="1"/>
        <v>iCoA-PP_26-002</v>
      </c>
      <c r="C3" s="24" t="s">
        <v>1383</v>
      </c>
      <c r="D3" s="45">
        <f t="shared" si="2"/>
        <v>46157</v>
      </c>
      <c r="E3" s="45">
        <f t="array" ref="E3">IFERROR(INDEX('Batch Dates'!$F:$F,MATCH(J3,'Batch Dates'!$C:$C,0)),IFERROR(INDEX('Batch Dates'!$F:$F,MATCH(I3,'Batch Dates'!$B:$B,0)),""))</f>
        <v>45720</v>
      </c>
      <c r="F3" s="45">
        <f t="array" ref="F3">IFERROR(INDEX('Batch Dates'!$G:$G,MATCH(J3,'Batch Dates'!$C:$C,0)),IFERROR(INDEX('Batch Dates'!$G:$G,MATCH(I3,'Batch Dates'!$B:$B,0)),""))</f>
        <v>45720</v>
      </c>
      <c r="G3" s="12" t="s">
        <v>851</v>
      </c>
      <c r="H3" s="12" t="s">
        <v>844</v>
      </c>
      <c r="I3" s="13" t="s">
        <v>125</v>
      </c>
      <c r="J3" s="12" t="s">
        <v>425</v>
      </c>
      <c r="K3" s="12" t="s">
        <v>129</v>
      </c>
      <c r="L3" s="12" t="s">
        <v>856</v>
      </c>
      <c r="M3" s="28" t="s">
        <v>86</v>
      </c>
      <c r="N3" s="12" t="str">
        <f t="array" ref="N3">IFERROR(INDEX('CoQ Register'!$B:$B,MATCH("BSS1024|I",'CoQ Register'!$S:$S,0)),"—")</f>
        <v>CoQ-PP_26-002</v>
      </c>
      <c r="O3" s="12" t="s">
        <v>1420</v>
      </c>
      <c r="P3" s="12" t="s">
        <v>1423</v>
      </c>
      <c r="Q3" s="20" t="s">
        <v>858</v>
      </c>
    </row>
    <row r="4" spans="1:17" ht="14.25" customHeight="1">
      <c r="A4" s="12">
        <f t="shared" si="0"/>
        <v>3</v>
      </c>
      <c r="B4" s="13" t="str">
        <f t="shared" si="1"/>
        <v>iCoA-PP_26-003</v>
      </c>
      <c r="C4" s="24" t="s">
        <v>1383</v>
      </c>
      <c r="D4" s="45">
        <f t="shared" si="2"/>
        <v>46157</v>
      </c>
      <c r="E4" s="45">
        <f t="array" ref="E4">IFERROR(INDEX('Batch Dates'!$F:$F,MATCH(J4,'Batch Dates'!$C:$C,0)),IFERROR(INDEX('Batch Dates'!$F:$F,MATCH(I4,'Batch Dates'!$B:$B,0)),""))</f>
        <v>45723</v>
      </c>
      <c r="F4" s="45">
        <f t="array" ref="F4">IFERROR(INDEX('Batch Dates'!$G:$G,MATCH(J4,'Batch Dates'!$C:$C,0)),IFERROR(INDEX('Batch Dates'!$G:$G,MATCH(I4,'Batch Dates'!$B:$B,0)),""))</f>
        <v>45723</v>
      </c>
      <c r="G4" s="12" t="s">
        <v>851</v>
      </c>
      <c r="H4" s="12" t="s">
        <v>844</v>
      </c>
      <c r="I4" s="13" t="s">
        <v>71</v>
      </c>
      <c r="J4" s="12" t="s">
        <v>425</v>
      </c>
      <c r="K4" s="12" t="s">
        <v>73</v>
      </c>
      <c r="L4" s="12" t="s">
        <v>856</v>
      </c>
      <c r="M4" s="28" t="s">
        <v>86</v>
      </c>
      <c r="N4" s="12" t="str">
        <f t="array" ref="N4">IFERROR(INDEX('CoQ Register'!$B:$B,MATCH("BG1024|I",'CoQ Register'!$S:$S,0)),"—")</f>
        <v>CoQ-PP_26-003</v>
      </c>
      <c r="O4" s="12" t="s">
        <v>1431</v>
      </c>
      <c r="P4" s="12" t="s">
        <v>1433</v>
      </c>
      <c r="Q4" s="20" t="s">
        <v>858</v>
      </c>
    </row>
    <row r="5" spans="1:17" ht="14.25" customHeight="1">
      <c r="A5" s="12">
        <f t="shared" si="0"/>
        <v>4</v>
      </c>
      <c r="B5" s="13" t="str">
        <f t="shared" si="1"/>
        <v>iCoA-PP_26-004</v>
      </c>
      <c r="C5" s="24" t="s">
        <v>1383</v>
      </c>
      <c r="D5" s="45">
        <f t="shared" si="2"/>
        <v>46157</v>
      </c>
      <c r="E5" s="45">
        <f t="array" ref="E5">IFERROR(INDEX('Batch Dates'!$F:$F,MATCH(J5,'Batch Dates'!$C:$C,0)),IFERROR(INDEX('Batch Dates'!$F:$F,MATCH(I5,'Batch Dates'!$B:$B,0)),""))</f>
        <v>45727</v>
      </c>
      <c r="F5" s="45">
        <f t="array" ref="F5">IFERROR(INDEX('Batch Dates'!$G:$G,MATCH(J5,'Batch Dates'!$C:$C,0)),IFERROR(INDEX('Batch Dates'!$G:$G,MATCH(I5,'Batch Dates'!$B:$B,0)),""))</f>
        <v>45727</v>
      </c>
      <c r="G5" s="12" t="s">
        <v>851</v>
      </c>
      <c r="H5" s="12" t="s">
        <v>844</v>
      </c>
      <c r="I5" s="13" t="s">
        <v>265</v>
      </c>
      <c r="J5" s="12" t="s">
        <v>425</v>
      </c>
      <c r="K5" s="12" t="s">
        <v>234</v>
      </c>
      <c r="L5" s="12" t="s">
        <v>856</v>
      </c>
      <c r="M5" s="28" t="s">
        <v>86</v>
      </c>
      <c r="N5" s="12" t="str">
        <f t="array" ref="N5">IFERROR(INDEX('CoQ Register'!$B:$B,MATCH("GG1024|I",'CoQ Register'!$S:$S,0)),"—")</f>
        <v>CoQ-PP_26-004</v>
      </c>
      <c r="O5" s="12" t="s">
        <v>1444</v>
      </c>
      <c r="P5" s="12" t="s">
        <v>1445</v>
      </c>
      <c r="Q5" s="20" t="s">
        <v>858</v>
      </c>
    </row>
    <row r="6" spans="1:17" ht="14.25" customHeight="1">
      <c r="A6" s="12">
        <f t="shared" si="0"/>
        <v>5</v>
      </c>
      <c r="B6" s="13" t="str">
        <f t="shared" si="1"/>
        <v>iCoA-PP_26-005</v>
      </c>
      <c r="C6" s="24" t="s">
        <v>1383</v>
      </c>
      <c r="D6" s="45">
        <f t="shared" si="2"/>
        <v>46157</v>
      </c>
      <c r="E6" s="45">
        <f t="array" ref="E6">IFERROR(INDEX('Batch Dates'!$F:$F,MATCH(J6,'Batch Dates'!$C:$C,0)),IFERROR(INDEX('Batch Dates'!$F:$F,MATCH(I6,'Batch Dates'!$B:$B,0)),""))</f>
        <v>45758</v>
      </c>
      <c r="F6" s="45">
        <f t="array" ref="F6">IFERROR(INDEX('Batch Dates'!$G:$G,MATCH(J6,'Batch Dates'!$C:$C,0)),IFERROR(INDEX('Batch Dates'!$G:$G,MATCH(I6,'Batch Dates'!$B:$B,0)),""))</f>
        <v>45758</v>
      </c>
      <c r="G6" s="12" t="s">
        <v>851</v>
      </c>
      <c r="H6" s="12" t="s">
        <v>844</v>
      </c>
      <c r="I6" s="13" t="s">
        <v>260</v>
      </c>
      <c r="J6" s="12" t="s">
        <v>425</v>
      </c>
      <c r="K6" s="12" t="s">
        <v>900</v>
      </c>
      <c r="L6" s="12" t="s">
        <v>856</v>
      </c>
      <c r="M6" s="28" t="s">
        <v>86</v>
      </c>
      <c r="N6" s="12" t="str">
        <f t="array" ref="N6">IFERROR(INDEX('CoQ Register'!$B:$B,MATCH("HPA1024|I",'CoQ Register'!$S:$S,0)),"—")</f>
        <v>CoQ-PP_26-005</v>
      </c>
      <c r="O6" s="12" t="s">
        <v>1454</v>
      </c>
      <c r="P6" s="12" t="s">
        <v>1455</v>
      </c>
      <c r="Q6" s="20" t="s">
        <v>858</v>
      </c>
    </row>
    <row r="7" spans="1:17" ht="14.25" customHeight="1">
      <c r="A7" s="12">
        <f t="shared" si="0"/>
        <v>6</v>
      </c>
      <c r="B7" s="13" t="str">
        <f t="shared" si="1"/>
        <v>iCoA-PP_26-006</v>
      </c>
      <c r="C7" s="24" t="s">
        <v>1383</v>
      </c>
      <c r="D7" s="45">
        <f t="shared" si="2"/>
        <v>46157</v>
      </c>
      <c r="E7" s="45">
        <f t="array" ref="E7">IFERROR(INDEX('Batch Dates'!$F:$F,MATCH(J7,'Batch Dates'!$C:$C,0)),IFERROR(INDEX('Batch Dates'!$F:$F,MATCH(I7,'Batch Dates'!$B:$B,0)),""))</f>
        <v>45771</v>
      </c>
      <c r="F7" s="45">
        <f t="array" ref="F7">IFERROR(INDEX('Batch Dates'!$G:$G,MATCH(J7,'Batch Dates'!$C:$C,0)),IFERROR(INDEX('Batch Dates'!$G:$G,MATCH(I7,'Batch Dates'!$B:$B,0)),""))</f>
        <v>45772</v>
      </c>
      <c r="G7" s="12" t="s">
        <v>851</v>
      </c>
      <c r="H7" s="12" t="s">
        <v>844</v>
      </c>
      <c r="I7" s="13" t="s">
        <v>291</v>
      </c>
      <c r="J7" s="12" t="s">
        <v>425</v>
      </c>
      <c r="K7" s="12" t="s">
        <v>910</v>
      </c>
      <c r="L7" s="12" t="s">
        <v>856</v>
      </c>
      <c r="M7" s="28" t="s">
        <v>86</v>
      </c>
      <c r="N7" s="12" t="str">
        <f t="array" ref="N7">IFERROR(INDEX('CoQ Register'!$B:$B,MATCH("OPM1024|I",'CoQ Register'!$S:$S,0)),"—")</f>
        <v>CoQ-PP_26-006</v>
      </c>
      <c r="O7" s="12" t="s">
        <v>1471</v>
      </c>
      <c r="P7" s="12" t="s">
        <v>1472</v>
      </c>
      <c r="Q7" s="20" t="s">
        <v>858</v>
      </c>
    </row>
    <row r="8" spans="1:17" ht="14.25" customHeight="1">
      <c r="A8" s="12">
        <f t="shared" si="0"/>
        <v>7</v>
      </c>
      <c r="B8" s="13" t="str">
        <f t="shared" si="1"/>
        <v>iCoA-PP_26-007</v>
      </c>
      <c r="C8" s="24" t="s">
        <v>1383</v>
      </c>
      <c r="D8" s="45">
        <f t="shared" si="2"/>
        <v>46157</v>
      </c>
      <c r="E8" s="45">
        <f t="array" ref="E8">IFERROR(INDEX('Batch Dates'!$F:$F,MATCH(J8,'Batch Dates'!$C:$C,0)),IFERROR(INDEX('Batch Dates'!$F:$F,MATCH(I8,'Batch Dates'!$B:$B,0)),""))</f>
        <v>45811</v>
      </c>
      <c r="F8" s="45">
        <f t="array" ref="F8">IFERROR(INDEX('Batch Dates'!$G:$G,MATCH(J8,'Batch Dates'!$C:$C,0)),IFERROR(INDEX('Batch Dates'!$G:$G,MATCH(I8,'Batch Dates'!$B:$B,0)),""))</f>
        <v>45819</v>
      </c>
      <c r="G8" s="12" t="s">
        <v>851</v>
      </c>
      <c r="H8" s="12" t="s">
        <v>844</v>
      </c>
      <c r="I8" s="13" t="s">
        <v>247</v>
      </c>
      <c r="J8" s="12" t="s">
        <v>250</v>
      </c>
      <c r="K8" s="12" t="s">
        <v>178</v>
      </c>
      <c r="L8" s="12" t="s">
        <v>856</v>
      </c>
      <c r="M8" s="28" t="s">
        <v>86</v>
      </c>
      <c r="N8" s="12" t="str">
        <f t="array" ref="N8">IFERROR(INDEX('CoQ Register'!$B:$B,MATCH("P050022|I",'CoQ Register'!$S:$S,0)),"—")</f>
        <v>CoQ-PP_26-007</v>
      </c>
      <c r="O8" s="12" t="s">
        <v>1483</v>
      </c>
      <c r="P8" s="12" t="s">
        <v>1484</v>
      </c>
      <c r="Q8" s="20" t="s">
        <v>858</v>
      </c>
    </row>
    <row r="9" spans="1:17" ht="14.25" customHeight="1">
      <c r="A9" s="12">
        <f t="shared" si="0"/>
        <v>8</v>
      </c>
      <c r="B9" s="13" t="str">
        <f t="shared" si="1"/>
        <v>iCoA-PP_26-008</v>
      </c>
      <c r="C9" s="24" t="s">
        <v>1383</v>
      </c>
      <c r="D9" s="45">
        <f t="shared" si="2"/>
        <v>46157</v>
      </c>
      <c r="E9" s="45">
        <f t="array" ref="E9">IFERROR(INDEX('Batch Dates'!$F:$F,MATCH(J9,'Batch Dates'!$C:$C,0)),IFERROR(INDEX('Batch Dates'!$F:$F,MATCH(I9,'Batch Dates'!$B:$B,0)),""))</f>
        <v>45819</v>
      </c>
      <c r="F9" s="45">
        <f t="array" ref="F9">IFERROR(INDEX('Batch Dates'!$G:$G,MATCH(J9,'Batch Dates'!$C:$C,0)),IFERROR(INDEX('Batch Dates'!$G:$G,MATCH(I9,'Batch Dates'!$B:$B,0)),""))</f>
        <v>45824</v>
      </c>
      <c r="G9" s="12" t="s">
        <v>851</v>
      </c>
      <c r="H9" s="12" t="s">
        <v>844</v>
      </c>
      <c r="I9" s="13" t="s">
        <v>313</v>
      </c>
      <c r="J9" s="12" t="s">
        <v>312</v>
      </c>
      <c r="K9" s="12" t="s">
        <v>234</v>
      </c>
      <c r="L9" s="12" t="s">
        <v>856</v>
      </c>
      <c r="M9" s="28" t="s">
        <v>86</v>
      </c>
      <c r="N9" s="12" t="str">
        <f t="array" ref="N9">IFERROR(INDEX('CoQ Register'!$B:$B,MATCH("P050012|I",'CoQ Register'!$S:$S,0)),"—")</f>
        <v>CoQ-PP_26-008</v>
      </c>
      <c r="O9" s="28" t="s">
        <v>86</v>
      </c>
      <c r="P9" s="12" t="s">
        <v>1499</v>
      </c>
      <c r="Q9" s="20" t="s">
        <v>858</v>
      </c>
    </row>
    <row r="10" spans="1:17" ht="14.25" customHeight="1">
      <c r="A10" s="12">
        <f t="shared" si="0"/>
        <v>9</v>
      </c>
      <c r="B10" s="13" t="str">
        <f t="shared" si="1"/>
        <v>iCoA-PP_26-009</v>
      </c>
      <c r="C10" s="24" t="s">
        <v>1383</v>
      </c>
      <c r="D10" s="45">
        <f t="shared" si="2"/>
        <v>46157</v>
      </c>
      <c r="E10" s="45">
        <f t="array" ref="E10">IFERROR(INDEX('Batch Dates'!$F:$F,MATCH(J10,'Batch Dates'!$C:$C,0)),IFERROR(INDEX('Batch Dates'!$F:$F,MATCH(I10,'Batch Dates'!$B:$B,0)),""))</f>
        <v>45824</v>
      </c>
      <c r="F10" s="45">
        <f t="array" ref="F10">IFERROR(INDEX('Batch Dates'!$G:$G,MATCH(J10,'Batch Dates'!$C:$C,0)),IFERROR(INDEX('Batch Dates'!$G:$G,MATCH(I10,'Batch Dates'!$B:$B,0)),""))</f>
        <v>45827</v>
      </c>
      <c r="G10" s="12" t="s">
        <v>851</v>
      </c>
      <c r="H10" s="12" t="s">
        <v>844</v>
      </c>
      <c r="I10" s="13" t="s">
        <v>309</v>
      </c>
      <c r="J10" s="12" t="s">
        <v>306</v>
      </c>
      <c r="K10" s="12" t="s">
        <v>222</v>
      </c>
      <c r="L10" s="12" t="s">
        <v>856</v>
      </c>
      <c r="M10" s="28" t="s">
        <v>86</v>
      </c>
      <c r="N10" s="12" t="str">
        <f t="array" ref="N10">IFERROR(INDEX('CoQ Register'!$B:$B,MATCH("P050032|I",'CoQ Register'!$S:$S,0)),"—")</f>
        <v>CoQ-PP_26-009</v>
      </c>
      <c r="O10" s="28" t="s">
        <v>86</v>
      </c>
      <c r="P10" s="12" t="s">
        <v>1516</v>
      </c>
      <c r="Q10" s="20" t="s">
        <v>858</v>
      </c>
    </row>
    <row r="11" spans="1:17" ht="14.25" customHeight="1">
      <c r="A11" s="12">
        <f t="shared" si="0"/>
        <v>10</v>
      </c>
      <c r="B11" s="13" t="str">
        <f t="shared" si="1"/>
        <v>iCoA-PP_26-010</v>
      </c>
      <c r="C11" s="24" t="s">
        <v>1383</v>
      </c>
      <c r="D11" s="45">
        <f t="shared" si="2"/>
        <v>46157</v>
      </c>
      <c r="E11" s="45">
        <f t="array" ref="E11">IFERROR(INDEX('Batch Dates'!$F:$F,MATCH(J11,'Batch Dates'!$C:$C,0)),IFERROR(INDEX('Batch Dates'!$F:$F,MATCH(I11,'Batch Dates'!$B:$B,0)),""))</f>
        <v>45828</v>
      </c>
      <c r="F11" s="45">
        <f t="array" ref="F11">IFERROR(INDEX('Batch Dates'!$G:$G,MATCH(J11,'Batch Dates'!$C:$C,0)),IFERROR(INDEX('Batch Dates'!$G:$G,MATCH(I11,'Batch Dates'!$B:$B,0)),""))</f>
        <v>45828</v>
      </c>
      <c r="G11" s="12" t="s">
        <v>851</v>
      </c>
      <c r="H11" s="12" t="s">
        <v>844</v>
      </c>
      <c r="I11" s="13" t="s">
        <v>304</v>
      </c>
      <c r="J11" s="12" t="s">
        <v>302</v>
      </c>
      <c r="K11" s="12" t="s">
        <v>103</v>
      </c>
      <c r="L11" s="12" t="s">
        <v>856</v>
      </c>
      <c r="M11" s="28" t="s">
        <v>86</v>
      </c>
      <c r="N11" s="12" t="str">
        <f t="array" ref="N11">IFERROR(INDEX('CoQ Register'!$B:$B,MATCH("P050042|I",'CoQ Register'!$S:$S,0)),"—")</f>
        <v>CoQ-PP_26-010</v>
      </c>
      <c r="O11" s="12" t="s">
        <v>1530</v>
      </c>
      <c r="P11" s="12" t="s">
        <v>1531</v>
      </c>
      <c r="Q11" s="20" t="s">
        <v>858</v>
      </c>
    </row>
    <row r="12" spans="1:17" ht="14.25" customHeight="1">
      <c r="A12" s="12">
        <f t="shared" si="0"/>
        <v>11</v>
      </c>
      <c r="B12" s="13" t="str">
        <f t="shared" si="1"/>
        <v>iCoA-PP_26-011</v>
      </c>
      <c r="C12" s="24" t="s">
        <v>1383</v>
      </c>
      <c r="D12" s="45">
        <f t="shared" si="2"/>
        <v>46157</v>
      </c>
      <c r="E12" s="45">
        <f t="array" ref="E12">IFERROR(INDEX('Batch Dates'!$F:$F,MATCH(J12,'Batch Dates'!$C:$C,0)),IFERROR(INDEX('Batch Dates'!$F:$F,MATCH(I12,'Batch Dates'!$B:$B,0)),""))</f>
        <v>45835</v>
      </c>
      <c r="F12" s="45">
        <f t="array" ref="F12">IFERROR(INDEX('Batch Dates'!$G:$G,MATCH(J12,'Batch Dates'!$C:$C,0)),IFERROR(INDEX('Batch Dates'!$G:$G,MATCH(I12,'Batch Dates'!$B:$B,0)),""))</f>
        <v>45842</v>
      </c>
      <c r="G12" s="12" t="s">
        <v>851</v>
      </c>
      <c r="H12" s="12" t="s">
        <v>844</v>
      </c>
      <c r="I12" s="13" t="s">
        <v>267</v>
      </c>
      <c r="J12" s="12" t="s">
        <v>269</v>
      </c>
      <c r="K12" s="12" t="s">
        <v>261</v>
      </c>
      <c r="L12" s="12" t="s">
        <v>856</v>
      </c>
      <c r="M12" s="28" t="s">
        <v>86</v>
      </c>
      <c r="N12" s="12" t="str">
        <f t="array" ref="N12">IFERROR(INDEX('CoQ Register'!$B:$B,MATCH("P050052|I",'CoQ Register'!$S:$S,0)),"—")</f>
        <v>CoQ-PP_26-011</v>
      </c>
      <c r="O12" s="12" t="s">
        <v>1545</v>
      </c>
      <c r="P12" s="12" t="s">
        <v>1546</v>
      </c>
      <c r="Q12" s="20" t="s">
        <v>858</v>
      </c>
    </row>
    <row r="13" spans="1:17" ht="14.25" customHeight="1">
      <c r="A13" s="12">
        <f t="shared" si="0"/>
        <v>12</v>
      </c>
      <c r="B13" s="13" t="str">
        <f t="shared" si="1"/>
        <v>iCoA-PP_26-012</v>
      </c>
      <c r="C13" s="24" t="s">
        <v>1383</v>
      </c>
      <c r="D13" s="45">
        <f t="shared" si="2"/>
        <v>46157</v>
      </c>
      <c r="E13" s="45">
        <f t="array" ref="E13">IFERROR(INDEX('Batch Dates'!$F:$F,MATCH(J13,'Batch Dates'!$C:$C,0)),IFERROR(INDEX('Batch Dates'!$F:$F,MATCH(I13,'Batch Dates'!$B:$B,0)),""))</f>
        <v>45842</v>
      </c>
      <c r="F13" s="45">
        <f t="array" ref="F13">IFERROR(INDEX('Batch Dates'!$G:$G,MATCH(J13,'Batch Dates'!$C:$C,0)),IFERROR(INDEX('Batch Dates'!$G:$G,MATCH(I13,'Batch Dates'!$B:$B,0)),""))</f>
        <v>45848</v>
      </c>
      <c r="G13" s="12" t="s">
        <v>851</v>
      </c>
      <c r="H13" s="12" t="s">
        <v>844</v>
      </c>
      <c r="I13" s="13" t="s">
        <v>296</v>
      </c>
      <c r="J13" s="12" t="s">
        <v>295</v>
      </c>
      <c r="K13" s="12" t="s">
        <v>103</v>
      </c>
      <c r="L13" s="12" t="s">
        <v>856</v>
      </c>
      <c r="M13" s="28" t="s">
        <v>86</v>
      </c>
      <c r="N13" s="12" t="str">
        <f t="array" ref="N13">IFERROR(INDEX('CoQ Register'!$B:$B,MATCH("P050062|I",'CoQ Register'!$S:$S,0)),"—")</f>
        <v>CoQ-PP_26-012</v>
      </c>
      <c r="O13" s="12" t="s">
        <v>1559</v>
      </c>
      <c r="P13" s="12" t="s">
        <v>1560</v>
      </c>
      <c r="Q13" s="20" t="s">
        <v>858</v>
      </c>
    </row>
    <row r="14" spans="1:17" ht="14.25" customHeight="1">
      <c r="A14" s="12">
        <f t="shared" si="0"/>
        <v>13</v>
      </c>
      <c r="B14" s="13" t="str">
        <f t="shared" si="1"/>
        <v>iCoA-PP_26-013</v>
      </c>
      <c r="C14" s="24" t="s">
        <v>1383</v>
      </c>
      <c r="D14" s="45">
        <f t="shared" si="2"/>
        <v>46157</v>
      </c>
      <c r="E14" s="45">
        <f t="array" ref="E14">IFERROR(INDEX('Batch Dates'!$F:$F,MATCH(J14,'Batch Dates'!$C:$C,0)),IFERROR(INDEX('Batch Dates'!$F:$F,MATCH(I14,'Batch Dates'!$B:$B,0)),""))</f>
        <v>45852</v>
      </c>
      <c r="F14" s="45">
        <f t="array" ref="F14">IFERROR(INDEX('Batch Dates'!$G:$G,MATCH(J14,'Batch Dates'!$C:$C,0)),IFERROR(INDEX('Batch Dates'!$G:$G,MATCH(I14,'Batch Dates'!$B:$B,0)),""))</f>
        <v>45855</v>
      </c>
      <c r="G14" s="12" t="s">
        <v>851</v>
      </c>
      <c r="H14" s="12" t="s">
        <v>844</v>
      </c>
      <c r="I14" s="13" t="s">
        <v>293</v>
      </c>
      <c r="J14" s="12" t="s">
        <v>292</v>
      </c>
      <c r="K14" s="12" t="s">
        <v>178</v>
      </c>
      <c r="L14" s="12" t="s">
        <v>856</v>
      </c>
      <c r="M14" s="28" t="s">
        <v>86</v>
      </c>
      <c r="N14" s="12" t="str">
        <f t="array" ref="N14">IFERROR(INDEX('CoQ Register'!$B:$B,MATCH("P050072|I",'CoQ Register'!$S:$S,0)),"—")</f>
        <v>CoQ-PP_26-013</v>
      </c>
      <c r="O14" s="12" t="s">
        <v>1577</v>
      </c>
      <c r="P14" s="12" t="s">
        <v>1579</v>
      </c>
      <c r="Q14" s="20" t="s">
        <v>858</v>
      </c>
    </row>
    <row r="15" spans="1:17" ht="14.25" customHeight="1">
      <c r="A15" s="12">
        <f t="shared" si="0"/>
        <v>14</v>
      </c>
      <c r="B15" s="13" t="str">
        <f t="shared" si="1"/>
        <v>iCoA-PP_26-014</v>
      </c>
      <c r="C15" s="24" t="s">
        <v>1383</v>
      </c>
      <c r="D15" s="45">
        <f t="shared" si="2"/>
        <v>46157</v>
      </c>
      <c r="E15" s="45">
        <f t="array" ref="E15">IFERROR(INDEX('Batch Dates'!$F:$F,MATCH(J15,'Batch Dates'!$C:$C,0)),IFERROR(INDEX('Batch Dates'!$F:$F,MATCH(I15,'Batch Dates'!$B:$B,0)),""))</f>
        <v>45860</v>
      </c>
      <c r="F15" s="45">
        <f t="array" ref="F15">IFERROR(INDEX('Batch Dates'!$G:$G,MATCH(J15,'Batch Dates'!$C:$C,0)),IFERROR(INDEX('Batch Dates'!$G:$G,MATCH(I15,'Batch Dates'!$B:$B,0)),""))</f>
        <v>45868</v>
      </c>
      <c r="G15" s="12" t="s">
        <v>851</v>
      </c>
      <c r="H15" s="12" t="s">
        <v>844</v>
      </c>
      <c r="I15" s="13" t="s">
        <v>237</v>
      </c>
      <c r="J15" s="12" t="s">
        <v>235</v>
      </c>
      <c r="K15" s="12" t="s">
        <v>103</v>
      </c>
      <c r="L15" s="12" t="s">
        <v>856</v>
      </c>
      <c r="M15" s="28" t="s">
        <v>86</v>
      </c>
      <c r="N15" s="12" t="str">
        <f t="array" ref="N15">IFERROR(INDEX('CoQ Register'!$B:$B,MATCH("P050082|I",'CoQ Register'!$S:$S,0)),"—")</f>
        <v>CoQ-PP_26-014</v>
      </c>
      <c r="O15" s="12" t="s">
        <v>1589</v>
      </c>
      <c r="P15" s="12" t="s">
        <v>1591</v>
      </c>
      <c r="Q15" s="20" t="s">
        <v>858</v>
      </c>
    </row>
    <row r="16" spans="1:17" ht="14.25" customHeight="1">
      <c r="A16" s="12">
        <f t="shared" si="0"/>
        <v>15</v>
      </c>
      <c r="B16" s="13" t="str">
        <f t="shared" si="1"/>
        <v>iCoA-PP_26-015</v>
      </c>
      <c r="C16" s="24" t="s">
        <v>1383</v>
      </c>
      <c r="D16" s="45">
        <f t="shared" si="2"/>
        <v>46157</v>
      </c>
      <c r="E16" s="45">
        <f t="array" ref="E16">IFERROR(INDEX('Batch Dates'!$F:$F,MATCH(J16,'Batch Dates'!$C:$C,0)),IFERROR(INDEX('Batch Dates'!$F:$F,MATCH(I16,'Batch Dates'!$B:$B,0)),""))</f>
        <v>45869</v>
      </c>
      <c r="F16" s="45">
        <f t="array" ref="F16">IFERROR(INDEX('Batch Dates'!$G:$G,MATCH(J16,'Batch Dates'!$C:$C,0)),IFERROR(INDEX('Batch Dates'!$G:$G,MATCH(I16,'Batch Dates'!$B:$B,0)),""))</f>
        <v>45874</v>
      </c>
      <c r="G16" s="12" t="s">
        <v>851</v>
      </c>
      <c r="H16" s="12" t="s">
        <v>844</v>
      </c>
      <c r="I16" s="13" t="s">
        <v>232</v>
      </c>
      <c r="J16" s="12" t="s">
        <v>236</v>
      </c>
      <c r="K16" s="12" t="s">
        <v>234</v>
      </c>
      <c r="L16" s="12" t="s">
        <v>856</v>
      </c>
      <c r="M16" s="28" t="s">
        <v>86</v>
      </c>
      <c r="N16" s="12" t="str">
        <f t="array" ref="N16">IFERROR(INDEX('CoQ Register'!$B:$B,MATCH("P050092|I",'CoQ Register'!$S:$S,0)),"—")</f>
        <v>CoQ-PP_26-015</v>
      </c>
      <c r="O16" s="12" t="s">
        <v>1607</v>
      </c>
      <c r="P16" s="12" t="s">
        <v>1609</v>
      </c>
      <c r="Q16" s="20" t="s">
        <v>858</v>
      </c>
    </row>
    <row r="17" spans="1:17" ht="14.25" customHeight="1">
      <c r="A17" s="12">
        <f t="shared" si="0"/>
        <v>16</v>
      </c>
      <c r="B17" s="13" t="str">
        <f t="shared" si="1"/>
        <v>iCoA-PP_26-016</v>
      </c>
      <c r="C17" s="24" t="s">
        <v>1383</v>
      </c>
      <c r="D17" s="45">
        <f t="shared" si="2"/>
        <v>46157</v>
      </c>
      <c r="E17" s="45">
        <f t="array" ref="E17">IFERROR(INDEX('Batch Dates'!$F:$F,MATCH(J17,'Batch Dates'!$C:$C,0)),IFERROR(INDEX('Batch Dates'!$F:$F,MATCH(I17,'Batch Dates'!$B:$B,0)),""))</f>
        <v>45874</v>
      </c>
      <c r="F17" s="45">
        <f t="array" ref="F17">IFERROR(INDEX('Batch Dates'!$G:$G,MATCH(J17,'Batch Dates'!$C:$C,0)),IFERROR(INDEX('Batch Dates'!$G:$G,MATCH(I17,'Batch Dates'!$B:$B,0)),""))</f>
        <v>45876</v>
      </c>
      <c r="G17" s="12" t="s">
        <v>851</v>
      </c>
      <c r="H17" s="12" t="s">
        <v>844</v>
      </c>
      <c r="I17" s="13" t="s">
        <v>289</v>
      </c>
      <c r="J17" s="12" t="s">
        <v>288</v>
      </c>
      <c r="K17" s="12" t="s">
        <v>178</v>
      </c>
      <c r="L17" s="12" t="s">
        <v>856</v>
      </c>
      <c r="M17" s="28" t="s">
        <v>86</v>
      </c>
      <c r="N17" s="12" t="str">
        <f t="array" ref="N17">IFERROR(INDEX('CoQ Register'!$B:$B,MATCH("P050102|I",'CoQ Register'!$S:$S,0)),"—")</f>
        <v>CoQ-PP_26-016</v>
      </c>
      <c r="O17" s="28" t="s">
        <v>86</v>
      </c>
      <c r="P17" s="12" t="s">
        <v>1618</v>
      </c>
      <c r="Q17" s="20" t="s">
        <v>858</v>
      </c>
    </row>
    <row r="18" spans="1:17" ht="14.25" customHeight="1">
      <c r="A18" s="12">
        <f t="shared" si="0"/>
        <v>17</v>
      </c>
      <c r="B18" s="13" t="str">
        <f t="shared" si="1"/>
        <v>iCoA-PP_26-017</v>
      </c>
      <c r="C18" s="24" t="s">
        <v>1383</v>
      </c>
      <c r="D18" s="45">
        <f t="shared" si="2"/>
        <v>46157</v>
      </c>
      <c r="E18" s="45">
        <f t="array" ref="E18">IFERROR(INDEX('Batch Dates'!$F:$F,MATCH(J18,'Batch Dates'!$C:$C,0)),IFERROR(INDEX('Batch Dates'!$F:$F,MATCH(I18,'Batch Dates'!$B:$B,0)),""))</f>
        <v>45894</v>
      </c>
      <c r="F18" s="45">
        <f t="array" ref="F18">IFERROR(INDEX('Batch Dates'!$G:$G,MATCH(J18,'Batch Dates'!$C:$C,0)),IFERROR(INDEX('Batch Dates'!$G:$G,MATCH(I18,'Batch Dates'!$B:$B,0)),""))</f>
        <v>45900</v>
      </c>
      <c r="G18" s="12" t="s">
        <v>851</v>
      </c>
      <c r="H18" s="12" t="s">
        <v>844</v>
      </c>
      <c r="I18" s="13" t="s">
        <v>227</v>
      </c>
      <c r="J18" s="12" t="s">
        <v>223</v>
      </c>
      <c r="K18" s="12" t="s">
        <v>222</v>
      </c>
      <c r="L18" s="12" t="s">
        <v>856</v>
      </c>
      <c r="M18" s="28" t="s">
        <v>86</v>
      </c>
      <c r="N18" s="12" t="str">
        <f t="array" ref="N18">IFERROR(INDEX('CoQ Register'!$B:$B,MATCH("P050112|I",'CoQ Register'!$S:$S,0)),"—")</f>
        <v>CoQ-PP_26-017</v>
      </c>
      <c r="O18" s="12" t="s">
        <v>1636</v>
      </c>
      <c r="P18" s="12" t="s">
        <v>1637</v>
      </c>
      <c r="Q18" s="20" t="s">
        <v>858</v>
      </c>
    </row>
    <row r="19" spans="1:17" ht="14.25" customHeight="1">
      <c r="A19" s="12">
        <f t="shared" si="0"/>
        <v>18</v>
      </c>
      <c r="B19" s="13" t="str">
        <f t="shared" si="1"/>
        <v>iCoA-PP_26-018</v>
      </c>
      <c r="C19" s="24" t="s">
        <v>1383</v>
      </c>
      <c r="D19" s="45">
        <f t="shared" si="2"/>
        <v>46157</v>
      </c>
      <c r="E19" s="45">
        <f t="array" ref="E19">IFERROR(INDEX('Batch Dates'!$F:$F,MATCH(J19,'Batch Dates'!$C:$C,0)),IFERROR(INDEX('Batch Dates'!$F:$F,MATCH(I19,'Batch Dates'!$B:$B,0)),""))</f>
        <v>45901</v>
      </c>
      <c r="F19" s="45">
        <f t="array" ref="F19">IFERROR(INDEX('Batch Dates'!$G:$G,MATCH(J19,'Batch Dates'!$C:$C,0)),IFERROR(INDEX('Batch Dates'!$G:$G,MATCH(I19,'Batch Dates'!$B:$B,0)),""))</f>
        <v>45909</v>
      </c>
      <c r="G19" s="12" t="s">
        <v>851</v>
      </c>
      <c r="H19" s="12" t="s">
        <v>844</v>
      </c>
      <c r="I19" s="13" t="s">
        <v>280</v>
      </c>
      <c r="J19" s="12" t="s">
        <v>278</v>
      </c>
      <c r="K19" s="12" t="s">
        <v>129</v>
      </c>
      <c r="L19" s="12" t="s">
        <v>856</v>
      </c>
      <c r="M19" s="28" t="s">
        <v>86</v>
      </c>
      <c r="N19" s="12" t="str">
        <f t="array" ref="N19">IFERROR(INDEX('CoQ Register'!$B:$B,MATCH("P050122|I",'CoQ Register'!$S:$S,0)),"—")</f>
        <v>CoQ-PP_26-018</v>
      </c>
      <c r="O19" s="28" t="s">
        <v>86</v>
      </c>
      <c r="P19" s="12" t="s">
        <v>1655</v>
      </c>
      <c r="Q19" s="20" t="s">
        <v>858</v>
      </c>
    </row>
    <row r="20" spans="1:17" ht="14.25" customHeight="1">
      <c r="A20" s="12">
        <f t="shared" si="0"/>
        <v>19</v>
      </c>
      <c r="B20" s="13" t="str">
        <f t="shared" si="1"/>
        <v>iCoA-PP_26-019</v>
      </c>
      <c r="C20" s="24" t="s">
        <v>1383</v>
      </c>
      <c r="D20" s="45">
        <f t="shared" si="2"/>
        <v>46157</v>
      </c>
      <c r="E20" s="45">
        <f t="array" ref="E20">IFERROR(INDEX('Batch Dates'!$F:$F,MATCH(J20,'Batch Dates'!$C:$C,0)),IFERROR(INDEX('Batch Dates'!$F:$F,MATCH(I20,'Batch Dates'!$B:$B,0)),""))</f>
        <v>45909</v>
      </c>
      <c r="F20" s="45">
        <f t="array" ref="F20">IFERROR(INDEX('Batch Dates'!$G:$G,MATCH(J20,'Batch Dates'!$C:$C,0)),IFERROR(INDEX('Batch Dates'!$G:$G,MATCH(I20,'Batch Dates'!$B:$B,0)),""))</f>
        <v>45915</v>
      </c>
      <c r="G20" s="12" t="s">
        <v>851</v>
      </c>
      <c r="H20" s="12" t="s">
        <v>844</v>
      </c>
      <c r="I20" s="13" t="s">
        <v>233</v>
      </c>
      <c r="J20" s="12" t="s">
        <v>231</v>
      </c>
      <c r="K20" s="12" t="s">
        <v>103</v>
      </c>
      <c r="L20" s="12" t="s">
        <v>856</v>
      </c>
      <c r="M20" s="28" t="s">
        <v>86</v>
      </c>
      <c r="N20" s="12" t="str">
        <f t="array" ref="N20">IFERROR(INDEX('CoQ Register'!$B:$B,MATCH("P050132|I",'CoQ Register'!$S:$S,0)),"—")</f>
        <v>CoQ-PP_26-019</v>
      </c>
      <c r="O20" s="28" t="s">
        <v>86</v>
      </c>
      <c r="P20" s="12" t="s">
        <v>1672</v>
      </c>
      <c r="Q20" s="20" t="s">
        <v>858</v>
      </c>
    </row>
    <row r="21" spans="1:17" ht="14.25" customHeight="1">
      <c r="A21" s="12">
        <f t="shared" si="0"/>
        <v>20</v>
      </c>
      <c r="B21" s="13" t="str">
        <f t="shared" si="1"/>
        <v>iCoA-PP_26-020</v>
      </c>
      <c r="C21" s="24" t="s">
        <v>1383</v>
      </c>
      <c r="D21" s="45">
        <f t="shared" si="2"/>
        <v>46157</v>
      </c>
      <c r="E21" s="45">
        <f t="array" ref="E21">IFERROR(INDEX('Batch Dates'!$F:$F,MATCH(J21,'Batch Dates'!$C:$C,0)),IFERROR(INDEX('Batch Dates'!$F:$F,MATCH(I21,'Batch Dates'!$B:$B,0)),""))</f>
        <v>45925</v>
      </c>
      <c r="F21" s="45">
        <f t="array" ref="F21">IFERROR(INDEX('Batch Dates'!$G:$G,MATCH(J21,'Batch Dates'!$C:$C,0)),IFERROR(INDEX('Batch Dates'!$G:$G,MATCH(I21,'Batch Dates'!$B:$B,0)),""))</f>
        <v>45925</v>
      </c>
      <c r="G21" s="12" t="s">
        <v>851</v>
      </c>
      <c r="H21" s="12" t="s">
        <v>844</v>
      </c>
      <c r="I21" s="13" t="s">
        <v>202</v>
      </c>
      <c r="J21" s="12" t="s">
        <v>199</v>
      </c>
      <c r="K21" s="12" t="s">
        <v>178</v>
      </c>
      <c r="L21" s="12" t="s">
        <v>856</v>
      </c>
      <c r="M21" s="28" t="s">
        <v>86</v>
      </c>
      <c r="N21" s="12" t="str">
        <f t="array" ref="N21">IFERROR(INDEX('CoQ Register'!$B:$B,MATCH("P050152|I",'CoQ Register'!$S:$S,0)),"—")</f>
        <v>CoQ-PP_26-020</v>
      </c>
      <c r="O21" s="12" t="s">
        <v>1677</v>
      </c>
      <c r="P21" s="12" t="s">
        <v>1678</v>
      </c>
      <c r="Q21" s="20" t="s">
        <v>858</v>
      </c>
    </row>
    <row r="22" spans="1:17" ht="14.25" customHeight="1">
      <c r="A22" s="12">
        <f t="shared" si="0"/>
        <v>21</v>
      </c>
      <c r="B22" s="13" t="str">
        <f t="shared" si="1"/>
        <v>iCoA-PP_26-021</v>
      </c>
      <c r="C22" s="24" t="s">
        <v>1383</v>
      </c>
      <c r="D22" s="45">
        <f t="shared" si="2"/>
        <v>46157</v>
      </c>
      <c r="E22" s="45">
        <f t="array" ref="E22">IFERROR(INDEX('Batch Dates'!$F:$F,MATCH(J22,'Batch Dates'!$C:$C,0)),IFERROR(INDEX('Batch Dates'!$F:$F,MATCH(I22,'Batch Dates'!$B:$B,0)),""))</f>
        <v>45930</v>
      </c>
      <c r="F22" s="45">
        <f t="array" ref="F22">IFERROR(INDEX('Batch Dates'!$G:$G,MATCH(J22,'Batch Dates'!$C:$C,0)),IFERROR(INDEX('Batch Dates'!$G:$G,MATCH(I22,'Batch Dates'!$B:$B,0)),""))</f>
        <v>45930</v>
      </c>
      <c r="G22" s="12" t="s">
        <v>851</v>
      </c>
      <c r="H22" s="12" t="s">
        <v>844</v>
      </c>
      <c r="I22" s="13" t="s">
        <v>683</v>
      </c>
      <c r="J22" s="12" t="s">
        <v>685</v>
      </c>
      <c r="K22" s="12" t="s">
        <v>129</v>
      </c>
      <c r="L22" s="12" t="s">
        <v>856</v>
      </c>
      <c r="M22" s="28" t="s">
        <v>86</v>
      </c>
      <c r="N22" s="12" t="str">
        <f t="array" ref="N22">IFERROR(INDEX('CoQ Register'!$B:$B,MATCH("P050142|I",'CoQ Register'!$S:$S,0)),"—")</f>
        <v>CoQ-PP_26-021</v>
      </c>
      <c r="O22" s="28" t="s">
        <v>86</v>
      </c>
      <c r="P22" s="12" t="s">
        <v>1697</v>
      </c>
      <c r="Q22" s="20" t="s">
        <v>858</v>
      </c>
    </row>
    <row r="23" spans="1:17" ht="14.25" customHeight="1">
      <c r="A23" s="12">
        <f t="shared" si="0"/>
        <v>22</v>
      </c>
      <c r="B23" s="13" t="str">
        <f t="shared" si="1"/>
        <v>iCoA-PP_26-022</v>
      </c>
      <c r="C23" s="24" t="s">
        <v>1383</v>
      </c>
      <c r="D23" s="45">
        <f t="shared" si="2"/>
        <v>46157</v>
      </c>
      <c r="E23" s="45">
        <f t="array" ref="E23">IFERROR(INDEX('Batch Dates'!$F:$F,MATCH(J23,'Batch Dates'!$C:$C,0)),IFERROR(INDEX('Batch Dates'!$F:$F,MATCH(I23,'Batch Dates'!$B:$B,0)),""))</f>
        <v>45930</v>
      </c>
      <c r="F23" s="45">
        <f t="array" ref="F23">IFERROR(INDEX('Batch Dates'!$G:$G,MATCH(J23,'Batch Dates'!$C:$C,0)),IFERROR(INDEX('Batch Dates'!$G:$G,MATCH(I23,'Batch Dates'!$B:$B,0)),""))</f>
        <v>45931</v>
      </c>
      <c r="G23" s="12" t="s">
        <v>851</v>
      </c>
      <c r="H23" s="12" t="s">
        <v>844</v>
      </c>
      <c r="I23" s="13" t="s">
        <v>171</v>
      </c>
      <c r="J23" s="12" t="s">
        <v>175</v>
      </c>
      <c r="K23" s="12" t="s">
        <v>1088</v>
      </c>
      <c r="L23" s="12" t="s">
        <v>856</v>
      </c>
      <c r="M23" s="28" t="s">
        <v>86</v>
      </c>
      <c r="N23" s="12" t="str">
        <f t="array" ref="N23">IFERROR(INDEX('CoQ Register'!$B:$B,MATCH("P050162|I",'CoQ Register'!$S:$S,0)),"—")</f>
        <v>CoQ-PP_26-022</v>
      </c>
      <c r="O23" s="12" t="s">
        <v>1715</v>
      </c>
      <c r="P23" s="12" t="s">
        <v>1717</v>
      </c>
      <c r="Q23" s="20" t="s">
        <v>858</v>
      </c>
    </row>
    <row r="24" spans="1:17" ht="14.25" customHeight="1">
      <c r="A24" s="12">
        <f t="shared" si="0"/>
        <v>23</v>
      </c>
      <c r="B24" s="13" t="str">
        <f t="shared" si="1"/>
        <v>iCoA-PP_26-023</v>
      </c>
      <c r="C24" s="24" t="s">
        <v>1383</v>
      </c>
      <c r="D24" s="45">
        <f t="shared" si="2"/>
        <v>46157</v>
      </c>
      <c r="E24" s="45">
        <f t="array" ref="E24">IFERROR(INDEX('Batch Dates'!$F:$F,MATCH(J24,'Batch Dates'!$C:$C,0)),IFERROR(INDEX('Batch Dates'!$F:$F,MATCH(I24,'Batch Dates'!$B:$B,0)),""))</f>
        <v>45931</v>
      </c>
      <c r="F24" s="45">
        <f t="array" ref="F24">IFERROR(INDEX('Batch Dates'!$G:$G,MATCH(J24,'Batch Dates'!$C:$C,0)),IFERROR(INDEX('Batch Dates'!$G:$G,MATCH(I24,'Batch Dates'!$B:$B,0)),""))</f>
        <v>45932</v>
      </c>
      <c r="G24" s="12" t="s">
        <v>851</v>
      </c>
      <c r="H24" s="12" t="s">
        <v>844</v>
      </c>
      <c r="I24" s="13" t="s">
        <v>240</v>
      </c>
      <c r="J24" s="12" t="s">
        <v>239</v>
      </c>
      <c r="K24" s="12" t="s">
        <v>75</v>
      </c>
      <c r="L24" s="12" t="s">
        <v>856</v>
      </c>
      <c r="M24" s="28" t="s">
        <v>86</v>
      </c>
      <c r="N24" s="12" t="str">
        <f t="array" ref="N24">IFERROR(INDEX('CoQ Register'!$B:$B,MATCH("P050172|I",'CoQ Register'!$S:$S,0)),"—")</f>
        <v>CoQ-PP_26-023</v>
      </c>
      <c r="O24" s="28" t="s">
        <v>86</v>
      </c>
      <c r="P24" s="12" t="s">
        <v>1726</v>
      </c>
      <c r="Q24" s="20" t="s">
        <v>858</v>
      </c>
    </row>
    <row r="25" spans="1:17" ht="14.25" customHeight="1">
      <c r="A25" s="12">
        <f t="shared" si="0"/>
        <v>24</v>
      </c>
      <c r="B25" s="13" t="str">
        <f t="shared" si="1"/>
        <v>iCoA-PP_26-024</v>
      </c>
      <c r="C25" s="24" t="s">
        <v>1383</v>
      </c>
      <c r="D25" s="45">
        <f t="shared" si="2"/>
        <v>46157</v>
      </c>
      <c r="E25" s="45">
        <f t="array" ref="E25">IFERROR(INDEX('Batch Dates'!$F:$F,MATCH(J25,'Batch Dates'!$C:$C,0)),IFERROR(INDEX('Batch Dates'!$F:$F,MATCH(I25,'Batch Dates'!$B:$B,0)),""))</f>
        <v>45933</v>
      </c>
      <c r="F25" s="45">
        <f t="array" ref="F25">IFERROR(INDEX('Batch Dates'!$G:$G,MATCH(J25,'Batch Dates'!$C:$C,0)),IFERROR(INDEX('Batch Dates'!$G:$G,MATCH(I25,'Batch Dates'!$B:$B,0)),""))</f>
        <v>45939</v>
      </c>
      <c r="G25" s="12" t="s">
        <v>851</v>
      </c>
      <c r="H25" s="12" t="s">
        <v>844</v>
      </c>
      <c r="I25" s="13" t="s">
        <v>273</v>
      </c>
      <c r="J25" s="12" t="s">
        <v>270</v>
      </c>
      <c r="K25" s="12" t="s">
        <v>261</v>
      </c>
      <c r="L25" s="12" t="s">
        <v>856</v>
      </c>
      <c r="M25" s="28" t="s">
        <v>86</v>
      </c>
      <c r="N25" s="12" t="str">
        <f t="array" ref="N25">IFERROR(INDEX('CoQ Register'!$B:$B,MATCH("P050182|I",'CoQ Register'!$S:$S,0)),"—")</f>
        <v>CoQ-PP_26-024</v>
      </c>
      <c r="O25" s="12" t="s">
        <v>1738</v>
      </c>
      <c r="P25" s="12" t="s">
        <v>1740</v>
      </c>
      <c r="Q25" s="20" t="s">
        <v>858</v>
      </c>
    </row>
    <row r="26" spans="1:17" ht="14.25" customHeight="1">
      <c r="A26" s="12">
        <f t="shared" si="0"/>
        <v>25</v>
      </c>
      <c r="B26" s="13" t="str">
        <f t="shared" si="1"/>
        <v>iCoA-PP_26-025</v>
      </c>
      <c r="C26" s="24" t="s">
        <v>1383</v>
      </c>
      <c r="D26" s="45">
        <f t="shared" si="2"/>
        <v>46157</v>
      </c>
      <c r="E26" s="45">
        <f t="array" ref="E26">IFERROR(INDEX('Batch Dates'!$F:$F,MATCH(J26,'Batch Dates'!$C:$C,0)),IFERROR(INDEX('Batch Dates'!$F:$F,MATCH(I26,'Batch Dates'!$B:$B,0)),""))</f>
        <v>45940</v>
      </c>
      <c r="F26" s="45">
        <f t="array" ref="F26">IFERROR(INDEX('Batch Dates'!$G:$G,MATCH(J26,'Batch Dates'!$C:$C,0)),IFERROR(INDEX('Batch Dates'!$G:$G,MATCH(I26,'Batch Dates'!$B:$B,0)),""))</f>
        <v>45951</v>
      </c>
      <c r="G26" s="12" t="s">
        <v>851</v>
      </c>
      <c r="H26" s="12" t="s">
        <v>844</v>
      </c>
      <c r="I26" s="13" t="s">
        <v>263</v>
      </c>
      <c r="J26" s="12" t="s">
        <v>262</v>
      </c>
      <c r="K26" s="12" t="s">
        <v>485</v>
      </c>
      <c r="L26" s="12" t="s">
        <v>856</v>
      </c>
      <c r="M26" s="28" t="s">
        <v>86</v>
      </c>
      <c r="N26" s="12" t="str">
        <f t="array" ref="N26">IFERROR(INDEX('CoQ Register'!$B:$B,MATCH("P050192|I",'CoQ Register'!$S:$S,0)),"—")</f>
        <v>CoQ-PP_26-025</v>
      </c>
      <c r="O26" s="12" t="s">
        <v>1753</v>
      </c>
      <c r="P26" s="12" t="s">
        <v>1755</v>
      </c>
      <c r="Q26" s="20" t="s">
        <v>858</v>
      </c>
    </row>
    <row r="27" spans="1:17" ht="14.25" customHeight="1">
      <c r="A27" s="12">
        <f t="shared" si="0"/>
        <v>26</v>
      </c>
      <c r="B27" s="13" t="str">
        <f t="shared" si="1"/>
        <v>iCoA-PP_26-026</v>
      </c>
      <c r="C27" s="24" t="s">
        <v>1383</v>
      </c>
      <c r="D27" s="45">
        <f t="shared" si="2"/>
        <v>46157</v>
      </c>
      <c r="E27" s="45">
        <f t="array" ref="E27">IFERROR(INDEX('Batch Dates'!$F:$F,MATCH(J27,'Batch Dates'!$C:$C,0)),IFERROR(INDEX('Batch Dates'!$F:$F,MATCH(I27,'Batch Dates'!$B:$B,0)),""))</f>
        <v>45960</v>
      </c>
      <c r="F27" s="45">
        <f t="array" ref="F27">IFERROR(INDEX('Batch Dates'!$G:$G,MATCH(J27,'Batch Dates'!$C:$C,0)),IFERROR(INDEX('Batch Dates'!$G:$G,MATCH(I27,'Batch Dates'!$B:$B,0)),""))</f>
        <v>45968</v>
      </c>
      <c r="G27" s="12" t="s">
        <v>851</v>
      </c>
      <c r="H27" s="12" t="s">
        <v>844</v>
      </c>
      <c r="I27" s="13" t="s">
        <v>516</v>
      </c>
      <c r="J27" s="12" t="s">
        <v>517</v>
      </c>
      <c r="K27" s="12" t="s">
        <v>178</v>
      </c>
      <c r="L27" s="12" t="s">
        <v>856</v>
      </c>
      <c r="M27" s="28" t="s">
        <v>86</v>
      </c>
      <c r="N27" s="12" t="str">
        <f t="array" ref="N27">IFERROR(INDEX('CoQ Register'!$B:$B,MATCH("P050202|I",'CoQ Register'!$S:$S,0)),"—")</f>
        <v>CoQ-PP_26-026</v>
      </c>
      <c r="O27" s="28" t="s">
        <v>86</v>
      </c>
      <c r="P27" s="12" t="s">
        <v>1767</v>
      </c>
      <c r="Q27" s="20" t="s">
        <v>858</v>
      </c>
    </row>
    <row r="28" spans="1:17" ht="14.25" customHeight="1">
      <c r="A28" s="12">
        <f t="shared" si="0"/>
        <v>27</v>
      </c>
      <c r="B28" s="13" t="str">
        <f t="shared" si="1"/>
        <v>iCoA-PP_26-027</v>
      </c>
      <c r="C28" s="24" t="s">
        <v>1383</v>
      </c>
      <c r="D28" s="45">
        <f t="shared" si="2"/>
        <v>46157</v>
      </c>
      <c r="E28" s="45">
        <f t="array" ref="E28">IFERROR(INDEX('Batch Dates'!$F:$F,MATCH(J28,'Batch Dates'!$C:$C,0)),IFERROR(INDEX('Batch Dates'!$F:$F,MATCH(I28,'Batch Dates'!$B:$B,0)),""))</f>
        <v>45979</v>
      </c>
      <c r="F28" s="45">
        <f t="array" ref="F28">IFERROR(INDEX('Batch Dates'!$G:$G,MATCH(J28,'Batch Dates'!$C:$C,0)),IFERROR(INDEX('Batch Dates'!$G:$G,MATCH(I28,'Batch Dates'!$B:$B,0)),""))</f>
        <v>45985</v>
      </c>
      <c r="G28" s="12" t="s">
        <v>851</v>
      </c>
      <c r="H28" s="12" t="s">
        <v>844</v>
      </c>
      <c r="I28" s="13" t="s">
        <v>184</v>
      </c>
      <c r="J28" s="12" t="s">
        <v>188</v>
      </c>
      <c r="K28" s="12" t="s">
        <v>206</v>
      </c>
      <c r="L28" s="12" t="s">
        <v>856</v>
      </c>
      <c r="M28" s="28" t="s">
        <v>86</v>
      </c>
      <c r="N28" s="12" t="str">
        <f t="array" ref="N28">IFERROR(INDEX('CoQ Register'!$B:$B,MATCH("P050212|I",'CoQ Register'!$S:$S,0)),"—")</f>
        <v>CoQ-PP_26-027</v>
      </c>
      <c r="O28" s="28" t="s">
        <v>86</v>
      </c>
      <c r="P28" s="12" t="s">
        <v>1778</v>
      </c>
      <c r="Q28" s="20" t="s">
        <v>858</v>
      </c>
    </row>
    <row r="29" spans="1:17" ht="14.25" customHeight="1">
      <c r="A29" s="12">
        <f t="shared" si="0"/>
        <v>28</v>
      </c>
      <c r="B29" s="13" t="str">
        <f t="shared" si="1"/>
        <v>iCoA-PP_26-028</v>
      </c>
      <c r="C29" s="24" t="s">
        <v>1383</v>
      </c>
      <c r="D29" s="45">
        <f t="shared" si="2"/>
        <v>46157</v>
      </c>
      <c r="E29" s="45">
        <f t="array" ref="E29">IFERROR(INDEX('Batch Dates'!$F:$F,MATCH(J29,'Batch Dates'!$C:$C,0)),IFERROR(INDEX('Batch Dates'!$F:$F,MATCH(I29,'Batch Dates'!$B:$B,0)),""))</f>
        <v>45985</v>
      </c>
      <c r="F29" s="45">
        <f t="array" ref="F29">IFERROR(INDEX('Batch Dates'!$G:$G,MATCH(J29,'Batch Dates'!$C:$C,0)),IFERROR(INDEX('Batch Dates'!$G:$G,MATCH(I29,'Batch Dates'!$B:$B,0)),""))</f>
        <v>45986</v>
      </c>
      <c r="G29" s="12" t="s">
        <v>851</v>
      </c>
      <c r="H29" s="12" t="s">
        <v>844</v>
      </c>
      <c r="I29" s="13" t="s">
        <v>187</v>
      </c>
      <c r="J29" s="12" t="s">
        <v>185</v>
      </c>
      <c r="K29" s="12" t="s">
        <v>206</v>
      </c>
      <c r="L29" s="12" t="s">
        <v>856</v>
      </c>
      <c r="M29" s="28" t="s">
        <v>86</v>
      </c>
      <c r="N29" s="12" t="str">
        <f t="array" ref="N29">IFERROR(INDEX('CoQ Register'!$B:$B,MATCH("P050222|I",'CoQ Register'!$S:$S,0)),"—")</f>
        <v>CoQ-PP_26-028</v>
      </c>
      <c r="O29" s="12" t="s">
        <v>1792</v>
      </c>
      <c r="P29" s="12" t="s">
        <v>1793</v>
      </c>
      <c r="Q29" s="20" t="s">
        <v>858</v>
      </c>
    </row>
    <row r="30" spans="1:17" ht="14.25" customHeight="1">
      <c r="A30" s="12">
        <f t="shared" si="0"/>
        <v>29</v>
      </c>
      <c r="B30" s="13" t="str">
        <f t="shared" si="1"/>
        <v>iCoA-PP_26-029</v>
      </c>
      <c r="C30" s="24" t="s">
        <v>1383</v>
      </c>
      <c r="D30" s="45">
        <f t="shared" si="2"/>
        <v>46157</v>
      </c>
      <c r="E30" s="45">
        <f t="array" ref="E30">IFERROR(INDEX('Batch Dates'!$F:$F,MATCH(J30,'Batch Dates'!$C:$C,0)),IFERROR(INDEX('Batch Dates'!$F:$F,MATCH(I30,'Batch Dates'!$B:$B,0)),""))</f>
        <v>45988</v>
      </c>
      <c r="F30" s="45">
        <f t="array" ref="F30">IFERROR(INDEX('Batch Dates'!$G:$G,MATCH(J30,'Batch Dates'!$C:$C,0)),IFERROR(INDEX('Batch Dates'!$G:$G,MATCH(I30,'Batch Dates'!$B:$B,0)),""))</f>
        <v>45989</v>
      </c>
      <c r="G30" s="12" t="s">
        <v>851</v>
      </c>
      <c r="H30" s="12" t="s">
        <v>844</v>
      </c>
      <c r="I30" s="13" t="s">
        <v>190</v>
      </c>
      <c r="J30" s="12" t="s">
        <v>189</v>
      </c>
      <c r="K30" s="12" t="s">
        <v>75</v>
      </c>
      <c r="L30" s="12" t="s">
        <v>856</v>
      </c>
      <c r="M30" s="28" t="s">
        <v>86</v>
      </c>
      <c r="N30" s="12" t="str">
        <f t="array" ref="N30">IFERROR(INDEX('CoQ Register'!$B:$B,MATCH("P050252|I",'CoQ Register'!$S:$S,0)),"—")</f>
        <v>CoQ-PP_26-029</v>
      </c>
      <c r="O30" s="28" t="s">
        <v>86</v>
      </c>
      <c r="P30" s="12" t="s">
        <v>1797</v>
      </c>
      <c r="Q30" s="20" t="s">
        <v>858</v>
      </c>
    </row>
    <row r="31" spans="1:17" ht="14.25" customHeight="1">
      <c r="A31" s="12">
        <f t="shared" si="0"/>
        <v>30</v>
      </c>
      <c r="B31" s="13" t="str">
        <f t="shared" si="1"/>
        <v>iCoA-PP_26-030</v>
      </c>
      <c r="C31" s="24" t="s">
        <v>1383</v>
      </c>
      <c r="D31" s="45">
        <f t="shared" si="2"/>
        <v>46157</v>
      </c>
      <c r="E31" s="45">
        <f t="array" ref="E31">IFERROR(INDEX('Batch Dates'!$F:$F,MATCH(J31,'Batch Dates'!$C:$C,0)),IFERROR(INDEX('Batch Dates'!$F:$F,MATCH(I31,'Batch Dates'!$B:$B,0)),""))</f>
        <v>45992</v>
      </c>
      <c r="F31" s="45">
        <f t="array" ref="F31">IFERROR(INDEX('Batch Dates'!$G:$G,MATCH(J31,'Batch Dates'!$C:$C,0)),IFERROR(INDEX('Batch Dates'!$G:$G,MATCH(I31,'Batch Dates'!$B:$B,0)),""))</f>
        <v>45992</v>
      </c>
      <c r="G31" s="12" t="s">
        <v>851</v>
      </c>
      <c r="H31" s="12" t="s">
        <v>844</v>
      </c>
      <c r="I31" s="13" t="s">
        <v>197</v>
      </c>
      <c r="J31" s="12" t="s">
        <v>196</v>
      </c>
      <c r="K31" s="12" t="s">
        <v>491</v>
      </c>
      <c r="L31" s="12" t="s">
        <v>856</v>
      </c>
      <c r="M31" s="28" t="s">
        <v>86</v>
      </c>
      <c r="N31" s="12" t="str">
        <f t="array" ref="N31">IFERROR(INDEX('CoQ Register'!$B:$B,MATCH("P050262|I",'CoQ Register'!$S:$S,0)),"—")</f>
        <v>CoQ-PP_26-030</v>
      </c>
      <c r="O31" s="28" t="s">
        <v>86</v>
      </c>
      <c r="P31" s="12" t="s">
        <v>1803</v>
      </c>
      <c r="Q31" s="20" t="s">
        <v>858</v>
      </c>
    </row>
    <row r="32" spans="1:17" ht="14.25" customHeight="1">
      <c r="A32" s="12">
        <f t="shared" si="0"/>
        <v>31</v>
      </c>
      <c r="B32" s="13" t="str">
        <f t="shared" si="1"/>
        <v>iCoA-PP_26-031</v>
      </c>
      <c r="C32" s="24" t="s">
        <v>1383</v>
      </c>
      <c r="D32" s="45">
        <f t="shared" si="2"/>
        <v>46157</v>
      </c>
      <c r="E32" s="45">
        <f t="array" ref="E32">IFERROR(INDEX('Batch Dates'!$F:$F,MATCH(J32,'Batch Dates'!$C:$C,0)),IFERROR(INDEX('Batch Dates'!$F:$F,MATCH(I32,'Batch Dates'!$B:$B,0)),""))</f>
        <v>45993</v>
      </c>
      <c r="F32" s="45">
        <f t="array" ref="F32">IFERROR(INDEX('Batch Dates'!$G:$G,MATCH(J32,'Batch Dates'!$C:$C,0)),IFERROR(INDEX('Batch Dates'!$G:$G,MATCH(I32,'Batch Dates'!$B:$B,0)),""))</f>
        <v>45994</v>
      </c>
      <c r="G32" s="12" t="s">
        <v>851</v>
      </c>
      <c r="H32" s="12" t="s">
        <v>844</v>
      </c>
      <c r="I32" s="13" t="s">
        <v>219</v>
      </c>
      <c r="J32" s="12" t="s">
        <v>217</v>
      </c>
      <c r="K32" s="12" t="s">
        <v>307</v>
      </c>
      <c r="L32" s="12" t="s">
        <v>856</v>
      </c>
      <c r="M32" s="28" t="s">
        <v>86</v>
      </c>
      <c r="N32" s="12" t="str">
        <f t="array" ref="N32">IFERROR(INDEX('CoQ Register'!$B:$B,MATCH("P050272|I",'CoQ Register'!$S:$S,0)),"—")</f>
        <v>CoQ-PP_26-031</v>
      </c>
      <c r="O32" s="28" t="s">
        <v>86</v>
      </c>
      <c r="P32" s="12" t="s">
        <v>1805</v>
      </c>
      <c r="Q32" s="20" t="s">
        <v>858</v>
      </c>
    </row>
    <row r="33" spans="1:17" ht="14.25" customHeight="1">
      <c r="A33" s="12">
        <f t="shared" si="0"/>
        <v>32</v>
      </c>
      <c r="B33" s="13" t="str">
        <f t="shared" si="1"/>
        <v>iCoA-PP_26-032</v>
      </c>
      <c r="C33" s="24" t="s">
        <v>1383</v>
      </c>
      <c r="D33" s="45">
        <f t="shared" si="2"/>
        <v>46157</v>
      </c>
      <c r="E33" s="45">
        <f t="array" ref="E33">IFERROR(INDEX('Batch Dates'!$F:$F,MATCH(J33,'Batch Dates'!$C:$C,0)),IFERROR(INDEX('Batch Dates'!$F:$F,MATCH(I33,'Batch Dates'!$B:$B,0)),""))</f>
        <v>45994</v>
      </c>
      <c r="F33" s="45">
        <f t="array" ref="F33">IFERROR(INDEX('Batch Dates'!$G:$G,MATCH(J33,'Batch Dates'!$C:$C,0)),IFERROR(INDEX('Batch Dates'!$G:$G,MATCH(I33,'Batch Dates'!$B:$B,0)),""))</f>
        <v>45995</v>
      </c>
      <c r="G33" s="12" t="s">
        <v>851</v>
      </c>
      <c r="H33" s="12" t="s">
        <v>844</v>
      </c>
      <c r="I33" s="13" t="s">
        <v>212</v>
      </c>
      <c r="J33" s="12" t="s">
        <v>211</v>
      </c>
      <c r="K33" s="12" t="s">
        <v>568</v>
      </c>
      <c r="L33" s="12" t="s">
        <v>856</v>
      </c>
      <c r="M33" s="28" t="s">
        <v>86</v>
      </c>
      <c r="N33" s="12" t="str">
        <f t="array" ref="N33">IFERROR(INDEX('CoQ Register'!$B:$B,MATCH("P050282|I",'CoQ Register'!$S:$S,0)),"—")</f>
        <v>CoQ-PP_26-032</v>
      </c>
      <c r="O33" s="12" t="s">
        <v>1811</v>
      </c>
      <c r="P33" s="12" t="s">
        <v>1812</v>
      </c>
      <c r="Q33" s="20" t="s">
        <v>858</v>
      </c>
    </row>
    <row r="34" spans="1:17" ht="14.25" customHeight="1">
      <c r="A34" s="12">
        <f t="shared" si="0"/>
        <v>33</v>
      </c>
      <c r="B34" s="13" t="str">
        <f t="shared" si="1"/>
        <v>iCoA-PP_26-033</v>
      </c>
      <c r="C34" s="24" t="s">
        <v>1383</v>
      </c>
      <c r="D34" s="45">
        <f t="shared" si="2"/>
        <v>46157</v>
      </c>
      <c r="E34" s="45">
        <f t="array" ref="E34">IFERROR(INDEX('Batch Dates'!$F:$F,MATCH(J34,'Batch Dates'!$C:$C,0)),IFERROR(INDEX('Batch Dates'!$F:$F,MATCH(I34,'Batch Dates'!$B:$B,0)),""))</f>
        <v>46006</v>
      </c>
      <c r="F34" s="45">
        <f t="array" ref="F34">IFERROR(INDEX('Batch Dates'!$G:$G,MATCH(J34,'Batch Dates'!$C:$C,0)),IFERROR(INDEX('Batch Dates'!$G:$G,MATCH(I34,'Batch Dates'!$B:$B,0)),""))</f>
        <v>46012</v>
      </c>
      <c r="G34" s="12" t="s">
        <v>851</v>
      </c>
      <c r="H34" s="12" t="s">
        <v>844</v>
      </c>
      <c r="I34" s="13" t="s">
        <v>259</v>
      </c>
      <c r="J34" s="12" t="s">
        <v>254</v>
      </c>
      <c r="K34" s="12" t="s">
        <v>178</v>
      </c>
      <c r="L34" s="12" t="s">
        <v>856</v>
      </c>
      <c r="M34" s="28" t="s">
        <v>86</v>
      </c>
      <c r="N34" s="12" t="str">
        <f t="array" ref="N34">IFERROR(INDEX('CoQ Register'!$B:$B,MATCH("P050292|I",'CoQ Register'!$S:$S,0)),"—")</f>
        <v>CoQ-PP_26-033</v>
      </c>
      <c r="O34" s="28" t="s">
        <v>86</v>
      </c>
      <c r="P34" s="12" t="s">
        <v>1818</v>
      </c>
      <c r="Q34" s="20" t="s">
        <v>858</v>
      </c>
    </row>
    <row r="35" spans="1:17" ht="14.25" customHeight="1">
      <c r="A35" s="12">
        <f t="shared" si="0"/>
        <v>34</v>
      </c>
      <c r="B35" s="13" t="str">
        <f t="shared" si="1"/>
        <v>iCoA-PP_26-034</v>
      </c>
      <c r="C35" s="24" t="s">
        <v>1383</v>
      </c>
      <c r="D35" s="45">
        <f t="shared" si="2"/>
        <v>46157</v>
      </c>
      <c r="E35" s="45">
        <f t="array" ref="E35">IFERROR(INDEX('Batch Dates'!$F:$F,MATCH(J35,'Batch Dates'!$C:$C,0)),IFERROR(INDEX('Batch Dates'!$F:$F,MATCH(I35,'Batch Dates'!$B:$B,0)),""))</f>
        <v>46013</v>
      </c>
      <c r="F35" s="45">
        <f t="array" ref="F35">IFERROR(INDEX('Batch Dates'!$G:$G,MATCH(J35,'Batch Dates'!$C:$C,0)),IFERROR(INDEX('Batch Dates'!$G:$G,MATCH(I35,'Batch Dates'!$B:$B,0)),""))</f>
        <v>46013</v>
      </c>
      <c r="G35" s="12" t="s">
        <v>851</v>
      </c>
      <c r="H35" s="12" t="s">
        <v>844</v>
      </c>
      <c r="I35" s="13" t="s">
        <v>253</v>
      </c>
      <c r="J35" s="12" t="s">
        <v>252</v>
      </c>
      <c r="K35" s="12" t="s">
        <v>178</v>
      </c>
      <c r="L35" s="12" t="s">
        <v>856</v>
      </c>
      <c r="M35" s="28" t="s">
        <v>86</v>
      </c>
      <c r="N35" s="12" t="str">
        <f t="array" ref="N35">IFERROR(INDEX('CoQ Register'!$B:$B,MATCH("P050302|I",'CoQ Register'!$S:$S,0)),"—")</f>
        <v>CoQ-PP_26-034</v>
      </c>
      <c r="O35" s="12" t="s">
        <v>1825</v>
      </c>
      <c r="P35" s="12" t="s">
        <v>1826</v>
      </c>
      <c r="Q35" s="20" t="s">
        <v>858</v>
      </c>
    </row>
    <row r="36" spans="1:17" ht="14.25" customHeight="1">
      <c r="A36" s="12">
        <f t="shared" si="0"/>
        <v>35</v>
      </c>
      <c r="B36" s="13" t="str">
        <f t="shared" si="1"/>
        <v>iCoA-PP_26-035</v>
      </c>
      <c r="C36" s="24" t="s">
        <v>1383</v>
      </c>
      <c r="D36" s="45">
        <f t="shared" si="2"/>
        <v>46157</v>
      </c>
      <c r="E36" s="45">
        <f t="array" ref="E36">IFERROR(INDEX('Batch Dates'!$F:$F,MATCH(J36,'Batch Dates'!$C:$C,0)),IFERROR(INDEX('Batch Dates'!$F:$F,MATCH(I36,'Batch Dates'!$B:$B,0)),""))</f>
        <v>46014</v>
      </c>
      <c r="F36" s="45">
        <f t="array" ref="F36">IFERROR(INDEX('Batch Dates'!$G:$G,MATCH(J36,'Batch Dates'!$C:$C,0)),IFERROR(INDEX('Batch Dates'!$G:$G,MATCH(I36,'Batch Dates'!$B:$B,0)),""))</f>
        <v>46017</v>
      </c>
      <c r="G36" s="12" t="s">
        <v>851</v>
      </c>
      <c r="H36" s="12" t="s">
        <v>844</v>
      </c>
      <c r="I36" s="13" t="s">
        <v>244</v>
      </c>
      <c r="J36" s="12" t="s">
        <v>243</v>
      </c>
      <c r="K36" s="12" t="s">
        <v>178</v>
      </c>
      <c r="L36" s="12" t="s">
        <v>856</v>
      </c>
      <c r="M36" s="28" t="s">
        <v>86</v>
      </c>
      <c r="N36" s="12" t="str">
        <f t="array" ref="N36">IFERROR(INDEX('CoQ Register'!$B:$B,MATCH("P050312|I",'CoQ Register'!$S:$S,0)),"—")</f>
        <v>CoQ-PP_26-035</v>
      </c>
      <c r="O36" s="12" t="s">
        <v>1831</v>
      </c>
      <c r="P36" s="12" t="s">
        <v>1832</v>
      </c>
      <c r="Q36" s="20" t="s">
        <v>858</v>
      </c>
    </row>
    <row r="37" spans="1:17" ht="14.25" customHeight="1">
      <c r="A37" s="12">
        <f t="shared" si="0"/>
        <v>36</v>
      </c>
      <c r="B37" s="13" t="str">
        <f t="shared" si="1"/>
        <v>iCoA-PP_26-036</v>
      </c>
      <c r="C37" s="24" t="s">
        <v>1383</v>
      </c>
      <c r="D37" s="45">
        <f t="shared" si="2"/>
        <v>46157</v>
      </c>
      <c r="E37" s="45">
        <f t="array" ref="E37">IFERROR(INDEX('Batch Dates'!$F:$F,MATCH(J37,'Batch Dates'!$C:$C,0)),IFERROR(INDEX('Batch Dates'!$F:$F,MATCH(I37,'Batch Dates'!$B:$B,0)),""))</f>
        <v>46017</v>
      </c>
      <c r="F37" s="45">
        <f t="array" ref="F37">IFERROR(INDEX('Batch Dates'!$G:$G,MATCH(J37,'Batch Dates'!$C:$C,0)),IFERROR(INDEX('Batch Dates'!$G:$G,MATCH(I37,'Batch Dates'!$B:$B,0)),""))</f>
        <v>46017</v>
      </c>
      <c r="G37" s="12" t="s">
        <v>851</v>
      </c>
      <c r="H37" s="12" t="s">
        <v>844</v>
      </c>
      <c r="I37" s="13" t="s">
        <v>248</v>
      </c>
      <c r="J37" s="12" t="s">
        <v>246</v>
      </c>
      <c r="K37" s="12" t="s">
        <v>178</v>
      </c>
      <c r="L37" s="12" t="s">
        <v>856</v>
      </c>
      <c r="M37" s="28" t="s">
        <v>86</v>
      </c>
      <c r="N37" s="12" t="str">
        <f t="array" ref="N37">IFERROR(INDEX('CoQ Register'!$B:$B,MATCH("P050322|I",'CoQ Register'!$S:$S,0)),"—")</f>
        <v>CoQ-PP_26-036</v>
      </c>
      <c r="O37" s="12" t="s">
        <v>1844</v>
      </c>
      <c r="P37" s="12" t="s">
        <v>1846</v>
      </c>
      <c r="Q37" s="20" t="s">
        <v>858</v>
      </c>
    </row>
    <row r="38" spans="1:17" ht="14.25" customHeight="1">
      <c r="A38" s="12">
        <f t="shared" si="0"/>
        <v>37</v>
      </c>
      <c r="B38" s="13" t="str">
        <f t="shared" si="1"/>
        <v>iCoA-PP_26-037</v>
      </c>
      <c r="C38" s="24" t="s">
        <v>1383</v>
      </c>
      <c r="D38" s="45">
        <f t="shared" si="2"/>
        <v>46157</v>
      </c>
      <c r="E38" s="45">
        <f t="array" ref="E38">IFERROR(INDEX('Batch Dates'!$F:$F,MATCH(J38,'Batch Dates'!$C:$C,0)),IFERROR(INDEX('Batch Dates'!$F:$F,MATCH(I38,'Batch Dates'!$B:$B,0)),""))</f>
        <v>46035</v>
      </c>
      <c r="F38" s="45">
        <f t="array" ref="F38">IFERROR(INDEX('Batch Dates'!$G:$G,MATCH(J38,'Batch Dates'!$C:$C,0)),IFERROR(INDEX('Batch Dates'!$G:$G,MATCH(I38,'Batch Dates'!$B:$B,0)),""))</f>
        <v>46036</v>
      </c>
      <c r="G38" s="12" t="s">
        <v>851</v>
      </c>
      <c r="H38" s="12" t="s">
        <v>844</v>
      </c>
      <c r="I38" s="13" t="s">
        <v>170</v>
      </c>
      <c r="J38" s="12" t="s">
        <v>169</v>
      </c>
      <c r="K38" s="12" t="s">
        <v>167</v>
      </c>
      <c r="L38" s="12" t="s">
        <v>856</v>
      </c>
      <c r="M38" s="28" t="s">
        <v>86</v>
      </c>
      <c r="N38" s="12" t="str">
        <f t="array" ref="N38">IFERROR(INDEX('CoQ Register'!$B:$B,MATCH("P060012|I",'CoQ Register'!$S:$S,0)),"—")</f>
        <v>CoQ-PP_26-037</v>
      </c>
      <c r="O38" s="12" t="s">
        <v>1852</v>
      </c>
      <c r="P38" s="12" t="s">
        <v>1853</v>
      </c>
      <c r="Q38" s="20" t="s">
        <v>858</v>
      </c>
    </row>
    <row r="39" spans="1:17" ht="14.25" customHeight="1">
      <c r="A39" s="12">
        <f t="shared" si="0"/>
        <v>38</v>
      </c>
      <c r="B39" s="13" t="str">
        <f t="shared" si="1"/>
        <v>iCoA-PP_26-038</v>
      </c>
      <c r="C39" s="24" t="s">
        <v>1383</v>
      </c>
      <c r="D39" s="45">
        <f t="shared" si="2"/>
        <v>46157</v>
      </c>
      <c r="E39" s="45">
        <f t="array" ref="E39">IFERROR(INDEX('Batch Dates'!$F:$F,MATCH(J39,'Batch Dates'!$C:$C,0)),IFERROR(INDEX('Batch Dates'!$F:$F,MATCH(I39,'Batch Dates'!$B:$B,0)),""))</f>
        <v>46038</v>
      </c>
      <c r="F39" s="45">
        <f t="array" ref="F39">IFERROR(INDEX('Batch Dates'!$G:$G,MATCH(J39,'Batch Dates'!$C:$C,0)),IFERROR(INDEX('Batch Dates'!$G:$G,MATCH(I39,'Batch Dates'!$B:$B,0)),""))</f>
        <v>46038</v>
      </c>
      <c r="G39" s="12" t="s">
        <v>851</v>
      </c>
      <c r="H39" s="12" t="s">
        <v>844</v>
      </c>
      <c r="I39" s="13" t="s">
        <v>82</v>
      </c>
      <c r="J39" s="12" t="s">
        <v>78</v>
      </c>
      <c r="K39" s="12" t="s">
        <v>75</v>
      </c>
      <c r="L39" s="12" t="s">
        <v>856</v>
      </c>
      <c r="M39" s="28" t="s">
        <v>86</v>
      </c>
      <c r="N39" s="12" t="str">
        <f t="array" ref="N39">IFERROR(INDEX('CoQ Register'!$B:$B,MATCH("P060022|I",'CoQ Register'!$S:$S,0)),"—")</f>
        <v>CoQ-PP_26-038</v>
      </c>
      <c r="O39" s="12" t="s">
        <v>1860</v>
      </c>
      <c r="P39" s="12" t="s">
        <v>1861</v>
      </c>
      <c r="Q39" s="20" t="s">
        <v>858</v>
      </c>
    </row>
    <row r="40" spans="1:17" ht="14.25" customHeight="1">
      <c r="A40" s="12">
        <f t="shared" si="0"/>
        <v>39</v>
      </c>
      <c r="B40" s="13" t="str">
        <f t="shared" si="1"/>
        <v>iCoA-PP_26-039</v>
      </c>
      <c r="C40" s="24" t="s">
        <v>1383</v>
      </c>
      <c r="D40" s="45">
        <f t="shared" si="2"/>
        <v>46157</v>
      </c>
      <c r="E40" s="45">
        <f t="array" ref="E40">IFERROR(INDEX('Batch Dates'!$F:$F,MATCH(J40,'Batch Dates'!$C:$C,0)),IFERROR(INDEX('Batch Dates'!$F:$F,MATCH(I40,'Batch Dates'!$B:$B,0)),""))</f>
        <v>46051</v>
      </c>
      <c r="F40" s="45">
        <f t="array" ref="F40">IFERROR(INDEX('Batch Dates'!$G:$G,MATCH(J40,'Batch Dates'!$C:$C,0)),IFERROR(INDEX('Batch Dates'!$G:$G,MATCH(I40,'Batch Dates'!$B:$B,0)),""))</f>
        <v>46051</v>
      </c>
      <c r="G40" s="12" t="s">
        <v>851</v>
      </c>
      <c r="H40" s="12" t="s">
        <v>844</v>
      </c>
      <c r="I40" s="13" t="s">
        <v>176</v>
      </c>
      <c r="J40" s="12" t="s">
        <v>174</v>
      </c>
      <c r="K40" s="12" t="s">
        <v>75</v>
      </c>
      <c r="L40" s="12" t="s">
        <v>856</v>
      </c>
      <c r="M40" s="28" t="s">
        <v>86</v>
      </c>
      <c r="N40" s="12" t="str">
        <f t="array" ref="N40">IFERROR(INDEX('CoQ Register'!$B:$B,MATCH("P060032|I",'CoQ Register'!$S:$S,0)),"—")</f>
        <v>CoQ-PP_26-039</v>
      </c>
      <c r="O40" s="12" t="s">
        <v>1864</v>
      </c>
      <c r="P40" s="12" t="s">
        <v>1867</v>
      </c>
      <c r="Q40" s="20" t="s">
        <v>858</v>
      </c>
    </row>
    <row r="41" spans="1:17" ht="14.25" customHeight="1">
      <c r="A41" s="12">
        <f t="shared" si="0"/>
        <v>40</v>
      </c>
      <c r="B41" s="13" t="str">
        <f t="shared" si="1"/>
        <v>iCoA-PP_26-040</v>
      </c>
      <c r="C41" s="24" t="s">
        <v>1383</v>
      </c>
      <c r="D41" s="45">
        <f t="shared" si="2"/>
        <v>46157</v>
      </c>
      <c r="E41" s="45">
        <f t="array" ref="E41">IFERROR(INDEX('Batch Dates'!$F:$F,MATCH(J41,'Batch Dates'!$C:$C,0)),IFERROR(INDEX('Batch Dates'!$F:$F,MATCH(I41,'Batch Dates'!$B:$B,0)),""))</f>
        <v>46051</v>
      </c>
      <c r="F41" s="45">
        <f t="array" ref="F41">IFERROR(INDEX('Batch Dates'!$G:$G,MATCH(J41,'Batch Dates'!$C:$C,0)),IFERROR(INDEX('Batch Dates'!$G:$G,MATCH(I41,'Batch Dates'!$B:$B,0)),""))</f>
        <v>46051</v>
      </c>
      <c r="G41" s="12" t="s">
        <v>851</v>
      </c>
      <c r="H41" s="12" t="s">
        <v>844</v>
      </c>
      <c r="I41" s="13" t="s">
        <v>116</v>
      </c>
      <c r="J41" s="12" t="s">
        <v>109</v>
      </c>
      <c r="K41" s="12" t="s">
        <v>103</v>
      </c>
      <c r="L41" s="12" t="s">
        <v>856</v>
      </c>
      <c r="M41" s="28" t="s">
        <v>86</v>
      </c>
      <c r="N41" s="12" t="str">
        <f t="array" ref="N41">IFERROR(INDEX('CoQ Register'!$B:$B,MATCH("P060042|I",'CoQ Register'!$S:$S,0)),"—")</f>
        <v>CoQ-PP_26-040</v>
      </c>
      <c r="O41" s="12" t="s">
        <v>1878</v>
      </c>
      <c r="P41" s="12" t="s">
        <v>1879</v>
      </c>
      <c r="Q41" s="20" t="s">
        <v>858</v>
      </c>
    </row>
    <row r="42" spans="1:17" ht="14.25" customHeight="1">
      <c r="A42" s="12">
        <f t="shared" si="0"/>
        <v>41</v>
      </c>
      <c r="B42" s="13" t="str">
        <f t="shared" si="1"/>
        <v>iCoA-PP_26-041</v>
      </c>
      <c r="C42" s="24" t="s">
        <v>1383</v>
      </c>
      <c r="D42" s="45">
        <f t="shared" si="2"/>
        <v>46157</v>
      </c>
      <c r="E42" s="45">
        <f t="array" ref="E42">IFERROR(INDEX('Batch Dates'!$F:$F,MATCH(J42,'Batch Dates'!$C:$C,0)),IFERROR(INDEX('Batch Dates'!$F:$F,MATCH(I42,'Batch Dates'!$B:$B,0)),""))</f>
        <v>46052</v>
      </c>
      <c r="F42" s="45">
        <f t="array" ref="F42">IFERROR(INDEX('Batch Dates'!$G:$G,MATCH(J42,'Batch Dates'!$C:$C,0)),IFERROR(INDEX('Batch Dates'!$G:$G,MATCH(I42,'Batch Dates'!$B:$B,0)),""))</f>
        <v>46052</v>
      </c>
      <c r="G42" s="12" t="s">
        <v>851</v>
      </c>
      <c r="H42" s="12" t="s">
        <v>844</v>
      </c>
      <c r="I42" s="13" t="s">
        <v>154</v>
      </c>
      <c r="J42" s="12" t="s">
        <v>153</v>
      </c>
      <c r="K42" s="12" t="s">
        <v>152</v>
      </c>
      <c r="L42" s="12" t="s">
        <v>856</v>
      </c>
      <c r="M42" s="28" t="s">
        <v>86</v>
      </c>
      <c r="N42" s="12" t="str">
        <f t="array" ref="N42">IFERROR(INDEX('CoQ Register'!$B:$B,MATCH("P060052|I",'CoQ Register'!$S:$S,0)),"—")</f>
        <v>CoQ-PP_26-041</v>
      </c>
      <c r="O42" s="28" t="s">
        <v>86</v>
      </c>
      <c r="P42" s="12" t="s">
        <v>1888</v>
      </c>
      <c r="Q42" s="20" t="s">
        <v>858</v>
      </c>
    </row>
    <row r="43" spans="1:17" ht="14.25" customHeight="1">
      <c r="A43" s="12">
        <f t="shared" si="0"/>
        <v>42</v>
      </c>
      <c r="B43" s="13" t="str">
        <f t="shared" si="1"/>
        <v>iCoA-PP_26-042</v>
      </c>
      <c r="C43" s="24" t="s">
        <v>1383</v>
      </c>
      <c r="D43" s="45">
        <f t="shared" si="2"/>
        <v>46157</v>
      </c>
      <c r="E43" s="45">
        <f t="array" ref="E43">IFERROR(INDEX('Batch Dates'!$F:$F,MATCH(J43,'Batch Dates'!$C:$C,0)),IFERROR(INDEX('Batch Dates'!$F:$F,MATCH(I43,'Batch Dates'!$B:$B,0)),""))</f>
        <v>46052</v>
      </c>
      <c r="F43" s="45">
        <f t="array" ref="F43">IFERROR(INDEX('Batch Dates'!$G:$G,MATCH(J43,'Batch Dates'!$C:$C,0)),IFERROR(INDEX('Batch Dates'!$G:$G,MATCH(I43,'Batch Dates'!$B:$B,0)),""))</f>
        <v>46052</v>
      </c>
      <c r="G43" s="12" t="s">
        <v>851</v>
      </c>
      <c r="H43" s="12" t="s">
        <v>844</v>
      </c>
      <c r="I43" s="13" t="s">
        <v>165</v>
      </c>
      <c r="J43" s="12" t="s">
        <v>160</v>
      </c>
      <c r="K43" s="12" t="s">
        <v>158</v>
      </c>
      <c r="L43" s="12" t="s">
        <v>856</v>
      </c>
      <c r="M43" s="28" t="s">
        <v>86</v>
      </c>
      <c r="N43" s="12" t="str">
        <f t="array" ref="N43">IFERROR(INDEX('CoQ Register'!$B:$B,MATCH("P060062|I",'CoQ Register'!$S:$S,0)),"—")</f>
        <v>CoQ-PP_26-042</v>
      </c>
      <c r="O43" s="12" t="s">
        <v>1894</v>
      </c>
      <c r="P43" s="12" t="s">
        <v>1896</v>
      </c>
      <c r="Q43" s="20" t="s">
        <v>858</v>
      </c>
    </row>
    <row r="44" spans="1:17" ht="14.25" customHeight="1">
      <c r="A44" s="12">
        <f t="shared" si="0"/>
        <v>43</v>
      </c>
      <c r="B44" s="13" t="str">
        <f t="shared" si="1"/>
        <v>iCoA-PP_26-043</v>
      </c>
      <c r="C44" s="24" t="s">
        <v>1383</v>
      </c>
      <c r="D44" s="45">
        <f t="shared" si="2"/>
        <v>46157</v>
      </c>
      <c r="E44" s="45">
        <f t="array" ref="E44">IFERROR(INDEX('Batch Dates'!$F:$F,MATCH(J44,'Batch Dates'!$C:$C,0)),IFERROR(INDEX('Batch Dates'!$F:$F,MATCH(I44,'Batch Dates'!$B:$B,0)),""))</f>
        <v>46055</v>
      </c>
      <c r="F44" s="45">
        <f t="array" ref="F44">IFERROR(INDEX('Batch Dates'!$G:$G,MATCH(J44,'Batch Dates'!$C:$C,0)),IFERROR(INDEX('Batch Dates'!$G:$G,MATCH(I44,'Batch Dates'!$B:$B,0)),""))</f>
        <v>46055</v>
      </c>
      <c r="G44" s="12" t="s">
        <v>851</v>
      </c>
      <c r="H44" s="12" t="s">
        <v>844</v>
      </c>
      <c r="I44" s="13" t="s">
        <v>137</v>
      </c>
      <c r="J44" s="12" t="s">
        <v>127</v>
      </c>
      <c r="K44" s="12" t="s">
        <v>75</v>
      </c>
      <c r="L44" s="12" t="s">
        <v>856</v>
      </c>
      <c r="M44" s="28" t="s">
        <v>86</v>
      </c>
      <c r="N44" s="12" t="str">
        <f t="array" ref="N44">IFERROR(INDEX('CoQ Register'!$B:$B,MATCH("P060072|I",'CoQ Register'!$S:$S,0)),"—")</f>
        <v>CoQ-PP_26-043</v>
      </c>
      <c r="O44" s="12" t="s">
        <v>1902</v>
      </c>
      <c r="P44" s="12" t="s">
        <v>1904</v>
      </c>
      <c r="Q44" s="20" t="s">
        <v>858</v>
      </c>
    </row>
    <row r="45" spans="1:17" ht="14.25" customHeight="1">
      <c r="A45" s="12">
        <f t="shared" si="0"/>
        <v>44</v>
      </c>
      <c r="B45" s="13" t="str">
        <f t="shared" si="1"/>
        <v>iCoA-PP_26-044</v>
      </c>
      <c r="C45" s="24" t="s">
        <v>1383</v>
      </c>
      <c r="D45" s="45">
        <f t="shared" si="2"/>
        <v>46157</v>
      </c>
      <c r="E45" s="45">
        <f t="array" ref="E45">IFERROR(INDEX('Batch Dates'!$F:$F,MATCH(J45,'Batch Dates'!$C:$C,0)),IFERROR(INDEX('Batch Dates'!$F:$F,MATCH(I45,'Batch Dates'!$B:$B,0)),""))</f>
        <v>46055</v>
      </c>
      <c r="F45" s="45">
        <f t="array" ref="F45">IFERROR(INDEX('Batch Dates'!$G:$G,MATCH(J45,'Batch Dates'!$C:$C,0)),IFERROR(INDEX('Batch Dates'!$G:$G,MATCH(I45,'Batch Dates'!$B:$B,0)),""))</f>
        <v>46055</v>
      </c>
      <c r="G45" s="12" t="s">
        <v>851</v>
      </c>
      <c r="H45" s="12" t="s">
        <v>844</v>
      </c>
      <c r="I45" s="13" t="s">
        <v>151</v>
      </c>
      <c r="J45" s="12" t="s">
        <v>149</v>
      </c>
      <c r="K45" s="12"/>
      <c r="L45" s="12" t="s">
        <v>856</v>
      </c>
      <c r="M45" s="28" t="s">
        <v>86</v>
      </c>
      <c r="N45" s="12" t="str">
        <f t="array" ref="N45">IFERROR(INDEX('CoQ Register'!$B:$B,MATCH("P060082|I",'CoQ Register'!$S:$S,0)),"—")</f>
        <v>CoQ-PP_26-044</v>
      </c>
      <c r="O45" s="12" t="s">
        <v>1916</v>
      </c>
      <c r="P45" s="12" t="s">
        <v>1917</v>
      </c>
      <c r="Q45" s="20" t="s">
        <v>858</v>
      </c>
    </row>
    <row r="46" spans="1:17" ht="14.25" customHeight="1">
      <c r="A46" s="12">
        <f t="shared" si="0"/>
        <v>45</v>
      </c>
      <c r="B46" s="13" t="str">
        <f t="shared" si="1"/>
        <v>iCoA-PP_26-045</v>
      </c>
      <c r="C46" s="24" t="s">
        <v>1383</v>
      </c>
      <c r="D46" s="45">
        <f t="shared" si="2"/>
        <v>46157</v>
      </c>
      <c r="E46" s="45">
        <f t="array" ref="E46">IFERROR(INDEX('Batch Dates'!$F:$F,MATCH(J46,'Batch Dates'!$C:$C,0)),IFERROR(INDEX('Batch Dates'!$F:$F,MATCH(I46,'Batch Dates'!$B:$B,0)),""))</f>
        <v>46056</v>
      </c>
      <c r="F46" s="45">
        <f t="array" ref="F46">IFERROR(INDEX('Batch Dates'!$G:$G,MATCH(J46,'Batch Dates'!$C:$C,0)),IFERROR(INDEX('Batch Dates'!$G:$G,MATCH(I46,'Batch Dates'!$B:$B,0)),""))</f>
        <v>46062</v>
      </c>
      <c r="G46" s="12" t="s">
        <v>851</v>
      </c>
      <c r="H46" s="12" t="s">
        <v>844</v>
      </c>
      <c r="I46" s="13" t="s">
        <v>180</v>
      </c>
      <c r="J46" s="12" t="s">
        <v>179</v>
      </c>
      <c r="K46" s="12" t="s">
        <v>178</v>
      </c>
      <c r="L46" s="12" t="s">
        <v>856</v>
      </c>
      <c r="M46" s="28" t="s">
        <v>86</v>
      </c>
      <c r="N46" s="12" t="str">
        <f t="array" ref="N46">IFERROR(INDEX('CoQ Register'!$B:$B,MATCH("P060092|I",'CoQ Register'!$S:$S,0)),"—")</f>
        <v>CoQ-PP_26-045</v>
      </c>
      <c r="O46" s="12" t="s">
        <v>1929</v>
      </c>
      <c r="P46" s="12" t="s">
        <v>1930</v>
      </c>
      <c r="Q46" s="20" t="s">
        <v>858</v>
      </c>
    </row>
    <row r="47" spans="1:17" ht="14.25" customHeight="1">
      <c r="A47" s="12">
        <f t="shared" si="0"/>
        <v>46</v>
      </c>
      <c r="B47" s="13" t="str">
        <f t="shared" si="1"/>
        <v>iCoA-PP_26-046</v>
      </c>
      <c r="C47" s="24" t="s">
        <v>1383</v>
      </c>
      <c r="D47" s="45">
        <f t="shared" si="2"/>
        <v>46157</v>
      </c>
      <c r="E47" s="45">
        <f t="array" ref="E47">IFERROR(INDEX('Batch Dates'!$F:$F,MATCH(J47,'Batch Dates'!$C:$C,0)),IFERROR(INDEX('Batch Dates'!$F:$F,MATCH(I47,'Batch Dates'!$B:$B,0)),""))</f>
        <v>46069</v>
      </c>
      <c r="F47" s="45">
        <f t="array" ref="F47">IFERROR(INDEX('Batch Dates'!$G:$G,MATCH(J47,'Batch Dates'!$C:$C,0)),IFERROR(INDEX('Batch Dates'!$G:$G,MATCH(I47,'Batch Dates'!$B:$B,0)),""))</f>
        <v>46069</v>
      </c>
      <c r="G47" s="12" t="s">
        <v>851</v>
      </c>
      <c r="H47" s="12" t="s">
        <v>844</v>
      </c>
      <c r="I47" s="13" t="s">
        <v>622</v>
      </c>
      <c r="J47" s="12" t="s">
        <v>624</v>
      </c>
      <c r="K47" s="12" t="s">
        <v>623</v>
      </c>
      <c r="L47" s="12" t="s">
        <v>856</v>
      </c>
      <c r="M47" s="28" t="s">
        <v>86</v>
      </c>
      <c r="N47" s="12" t="str">
        <f t="array" ref="N47">IFERROR(INDEX('CoQ Register'!$B:$B,MATCH("P060102|I",'CoQ Register'!$S:$S,0)),"—")</f>
        <v>CoQ-PP_26-046</v>
      </c>
      <c r="O47" s="28" t="s">
        <v>86</v>
      </c>
      <c r="P47" s="12" t="s">
        <v>1937</v>
      </c>
      <c r="Q47" s="20" t="s">
        <v>858</v>
      </c>
    </row>
    <row r="48" spans="1:17" ht="14.25" customHeight="1">
      <c r="A48" s="12">
        <f t="shared" si="0"/>
        <v>47</v>
      </c>
      <c r="B48" s="13" t="str">
        <f t="shared" si="1"/>
        <v>iCoA-PP_26-047</v>
      </c>
      <c r="C48" s="24" t="s">
        <v>1383</v>
      </c>
      <c r="D48" s="45">
        <f t="shared" si="2"/>
        <v>46157</v>
      </c>
      <c r="E48" s="45">
        <f t="array" ref="E48">IFERROR(INDEX('Batch Dates'!$F:$F,MATCH(J48,'Batch Dates'!$C:$C,0)),IFERROR(INDEX('Batch Dates'!$F:$F,MATCH(I48,'Batch Dates'!$B:$B,0)),""))</f>
        <v>46076</v>
      </c>
      <c r="F48" s="45">
        <f t="array" ref="F48">IFERROR(INDEX('Batch Dates'!$G:$G,MATCH(J48,'Batch Dates'!$C:$C,0)),IFERROR(INDEX('Batch Dates'!$G:$G,MATCH(I48,'Batch Dates'!$B:$B,0)),""))</f>
        <v>46076</v>
      </c>
      <c r="G48" s="12" t="s">
        <v>851</v>
      </c>
      <c r="H48" s="12" t="s">
        <v>844</v>
      </c>
      <c r="I48" s="13" t="s">
        <v>283</v>
      </c>
      <c r="J48" s="12" t="s">
        <v>563</v>
      </c>
      <c r="K48" s="12" t="s">
        <v>1342</v>
      </c>
      <c r="L48" s="12" t="s">
        <v>856</v>
      </c>
      <c r="M48" s="28" t="s">
        <v>86</v>
      </c>
      <c r="N48" s="12" t="str">
        <f t="array" ref="N48">IFERROR(INDEX('CoQ Register'!$B:$B,MATCH("P060142|I",'CoQ Register'!$S:$S,0)),"—")</f>
        <v>CoQ-PP_26-047</v>
      </c>
      <c r="O48" s="28" t="s">
        <v>86</v>
      </c>
      <c r="P48" s="12" t="s">
        <v>1946</v>
      </c>
      <c r="Q48" s="20" t="s">
        <v>858</v>
      </c>
    </row>
    <row r="49" spans="1:17" ht="14.25" customHeight="1">
      <c r="A49" s="12">
        <f t="shared" si="0"/>
        <v>48</v>
      </c>
      <c r="B49" s="13" t="str">
        <f t="shared" si="1"/>
        <v>iCoA-PP_26-048</v>
      </c>
      <c r="C49" s="24" t="s">
        <v>1383</v>
      </c>
      <c r="D49" s="45">
        <f t="shared" si="2"/>
        <v>46157</v>
      </c>
      <c r="E49" s="45">
        <f t="array" ref="E49">IFERROR(INDEX('Batch Dates'!$F:$F,MATCH(J49,'Batch Dates'!$C:$C,0)),IFERROR(INDEX('Batch Dates'!$F:$F,MATCH(I49,'Batch Dates'!$B:$B,0)),""))</f>
        <v>46086</v>
      </c>
      <c r="F49" s="45">
        <f t="array" ref="F49">IFERROR(INDEX('Batch Dates'!$G:$G,MATCH(J49,'Batch Dates'!$C:$C,0)),IFERROR(INDEX('Batch Dates'!$G:$G,MATCH(I49,'Batch Dates'!$B:$B,0)),""))</f>
        <v>46086</v>
      </c>
      <c r="G49" s="12" t="s">
        <v>851</v>
      </c>
      <c r="H49" s="12" t="s">
        <v>844</v>
      </c>
      <c r="I49" s="13" t="s">
        <v>276</v>
      </c>
      <c r="J49" s="12" t="s">
        <v>279</v>
      </c>
      <c r="K49" s="12" t="s">
        <v>277</v>
      </c>
      <c r="L49" s="12" t="s">
        <v>856</v>
      </c>
      <c r="M49" s="28" t="s">
        <v>86</v>
      </c>
      <c r="N49" s="12" t="str">
        <f t="array" ref="N49">IFERROR(INDEX('CoQ Register'!$B:$B,MATCH("P060152|I",'CoQ Register'!$S:$S,0)),"—")</f>
        <v>CoQ-PP_26-048</v>
      </c>
      <c r="O49" s="12" t="s">
        <v>1953</v>
      </c>
      <c r="P49" s="12" t="s">
        <v>1954</v>
      </c>
      <c r="Q49" s="20" t="s">
        <v>858</v>
      </c>
    </row>
    <row r="50" spans="1:17" ht="14.25" customHeight="1">
      <c r="A50" s="12">
        <f t="shared" si="0"/>
        <v>49</v>
      </c>
      <c r="B50" s="13" t="str">
        <f t="shared" si="1"/>
        <v>iCoA-PP_26-049</v>
      </c>
      <c r="C50" s="24" t="s">
        <v>1383</v>
      </c>
      <c r="D50" s="45">
        <f t="shared" si="2"/>
        <v>46157</v>
      </c>
      <c r="E50" s="45">
        <f t="array" ref="E50">IFERROR(INDEX('Batch Dates'!$F:$F,MATCH(J50,'Batch Dates'!$C:$C,0)),IFERROR(INDEX('Batch Dates'!$F:$F,MATCH(I50,'Batch Dates'!$B:$B,0)),""))</f>
        <v>46090</v>
      </c>
      <c r="F50" s="45">
        <f t="array" ref="F50">IFERROR(INDEX('Batch Dates'!$G:$G,MATCH(J50,'Batch Dates'!$C:$C,0)),IFERROR(INDEX('Batch Dates'!$G:$G,MATCH(I50,'Batch Dates'!$B:$B,0)),""))</f>
        <v>46090</v>
      </c>
      <c r="G50" s="12" t="s">
        <v>851</v>
      </c>
      <c r="H50" s="12" t="s">
        <v>844</v>
      </c>
      <c r="I50" s="13" t="s">
        <v>611</v>
      </c>
      <c r="J50" s="12" t="s">
        <v>614</v>
      </c>
      <c r="K50" s="12" t="s">
        <v>485</v>
      </c>
      <c r="L50" s="12" t="s">
        <v>856</v>
      </c>
      <c r="M50" s="28" t="s">
        <v>86</v>
      </c>
      <c r="N50" s="12" t="str">
        <f t="array" ref="N50">IFERROR(INDEX('CoQ Register'!$B:$B,MATCH("P060162|I",'CoQ Register'!$S:$S,0)),"—")</f>
        <v>CoQ-PP_26-049</v>
      </c>
      <c r="O50" s="28" t="s">
        <v>86</v>
      </c>
      <c r="P50" s="12" t="s">
        <v>1964</v>
      </c>
      <c r="Q50" s="20" t="s">
        <v>858</v>
      </c>
    </row>
    <row r="51" spans="1:17" ht="14.25" customHeight="1">
      <c r="A51" s="12">
        <f t="shared" si="0"/>
        <v>50</v>
      </c>
      <c r="B51" s="13" t="str">
        <f t="shared" si="1"/>
        <v>iCoA-PP_26-050</v>
      </c>
      <c r="C51" s="24" t="s">
        <v>1383</v>
      </c>
      <c r="D51" s="45">
        <f t="shared" si="2"/>
        <v>46157</v>
      </c>
      <c r="E51" s="45">
        <f t="array" ref="E51">IFERROR(INDEX('Batch Dates'!$F:$F,MATCH(J51,'Batch Dates'!$C:$C,0)),IFERROR(INDEX('Batch Dates'!$F:$F,MATCH(I51,'Batch Dates'!$B:$B,0)),""))</f>
        <v>46093</v>
      </c>
      <c r="F51" s="45">
        <f t="array" ref="F51">IFERROR(INDEX('Batch Dates'!$G:$G,MATCH(J51,'Batch Dates'!$C:$C,0)),IFERROR(INDEX('Batch Dates'!$G:$G,MATCH(I51,'Batch Dates'!$B:$B,0)),""))</f>
        <v>46093</v>
      </c>
      <c r="G51" s="12" t="s">
        <v>851</v>
      </c>
      <c r="H51" s="12" t="s">
        <v>844</v>
      </c>
      <c r="I51" s="13" t="s">
        <v>355</v>
      </c>
      <c r="J51" s="12" t="s">
        <v>357</v>
      </c>
      <c r="K51" s="12" t="s">
        <v>359</v>
      </c>
      <c r="L51" s="12" t="s">
        <v>856</v>
      </c>
      <c r="M51" s="28" t="s">
        <v>86</v>
      </c>
      <c r="N51" s="12" t="str">
        <f t="array" ref="N51">IFERROR(INDEX('CoQ Register'!$B:$B,MATCH("P060172|I",'CoQ Register'!$S:$S,0)),"—")</f>
        <v>CoQ-PP_26-050</v>
      </c>
      <c r="O51" s="12" t="s">
        <v>1969</v>
      </c>
      <c r="P51" s="12" t="s">
        <v>1971</v>
      </c>
      <c r="Q51" s="20" t="s">
        <v>858</v>
      </c>
    </row>
    <row r="52" spans="1:17" ht="14.25" customHeight="1">
      <c r="A52" s="12">
        <f t="shared" si="0"/>
        <v>51</v>
      </c>
      <c r="B52" s="13" t="str">
        <f t="shared" si="1"/>
        <v>iCoA-PP_26-051</v>
      </c>
      <c r="C52" s="24" t="s">
        <v>1383</v>
      </c>
      <c r="D52" s="45">
        <f t="shared" si="2"/>
        <v>46157</v>
      </c>
      <c r="E52" s="45">
        <f t="array" ref="E52">IFERROR(INDEX('Batch Dates'!$F:$F,MATCH(J52,'Batch Dates'!$C:$C,0)),IFERROR(INDEX('Batch Dates'!$F:$F,MATCH(I52,'Batch Dates'!$B:$B,0)),""))</f>
        <v>46095</v>
      </c>
      <c r="F52" s="45">
        <f t="array" ref="F52">IFERROR(INDEX('Batch Dates'!$G:$G,MATCH(J52,'Batch Dates'!$C:$C,0)),IFERROR(INDEX('Batch Dates'!$G:$G,MATCH(I52,'Batch Dates'!$B:$B,0)),""))</f>
        <v>46095</v>
      </c>
      <c r="G52" s="12" t="s">
        <v>851</v>
      </c>
      <c r="H52" s="12" t="s">
        <v>844</v>
      </c>
      <c r="I52" s="13" t="s">
        <v>283</v>
      </c>
      <c r="J52" s="12" t="s">
        <v>416</v>
      </c>
      <c r="K52" s="12" t="s">
        <v>1342</v>
      </c>
      <c r="L52" s="12" t="s">
        <v>856</v>
      </c>
      <c r="M52" s="28" t="s">
        <v>86</v>
      </c>
      <c r="N52" s="12" t="str">
        <f t="array" ref="N52">IFERROR(INDEX('CoQ Register'!$B:$B,MATCH("P060182|I",'CoQ Register'!$S:$S,0)),"—")</f>
        <v>CoQ-PP_26-051</v>
      </c>
      <c r="O52" s="12" t="s">
        <v>1975</v>
      </c>
      <c r="P52" s="12" t="s">
        <v>1976</v>
      </c>
      <c r="Q52" s="20" t="s">
        <v>858</v>
      </c>
    </row>
    <row r="53" spans="1:17" ht="14.25" customHeight="1">
      <c r="A53" s="12">
        <f t="shared" si="0"/>
        <v>52</v>
      </c>
      <c r="B53" s="13" t="str">
        <f t="shared" si="1"/>
        <v>iCoA-PP_26-052</v>
      </c>
      <c r="C53" s="24" t="s">
        <v>1383</v>
      </c>
      <c r="D53" s="45">
        <f t="shared" si="2"/>
        <v>46157</v>
      </c>
      <c r="E53" s="45">
        <f t="array" ref="E53">IFERROR(INDEX('Batch Dates'!$F:$F,MATCH(J53,'Batch Dates'!$C:$C,0)),IFERROR(INDEX('Batch Dates'!$F:$F,MATCH(I53,'Batch Dates'!$B:$B,0)),""))</f>
        <v>46112</v>
      </c>
      <c r="F53" s="45">
        <f t="array" ref="F53">IFERROR(INDEX('Batch Dates'!$G:$G,MATCH(J53,'Batch Dates'!$C:$C,0)),IFERROR(INDEX('Batch Dates'!$G:$G,MATCH(I53,'Batch Dates'!$B:$B,0)),""))</f>
        <v>46112</v>
      </c>
      <c r="G53" s="12" t="s">
        <v>851</v>
      </c>
      <c r="H53" s="12" t="s">
        <v>844</v>
      </c>
      <c r="I53" s="13" t="s">
        <v>617</v>
      </c>
      <c r="J53" s="12" t="s">
        <v>619</v>
      </c>
      <c r="K53" s="12" t="s">
        <v>147</v>
      </c>
      <c r="L53" s="12" t="s">
        <v>856</v>
      </c>
      <c r="M53" s="28" t="s">
        <v>86</v>
      </c>
      <c r="N53" s="12" t="str">
        <f t="array" ref="N53">IFERROR(INDEX('CoQ Register'!$B:$B,MATCH("P060192|I",'CoQ Register'!$S:$S,0)),"—")</f>
        <v>CoQ-PP_26-052</v>
      </c>
      <c r="O53" s="28" t="s">
        <v>86</v>
      </c>
      <c r="P53" s="12" t="s">
        <v>1986</v>
      </c>
      <c r="Q53" s="20" t="s">
        <v>858</v>
      </c>
    </row>
    <row r="54" spans="1:17" ht="14.25" customHeight="1">
      <c r="A54" s="12">
        <f t="shared" si="0"/>
        <v>53</v>
      </c>
      <c r="B54" s="13" t="str">
        <f t="shared" si="1"/>
        <v>iCoA-PP_26-053</v>
      </c>
      <c r="C54" s="24" t="s">
        <v>1383</v>
      </c>
      <c r="D54" s="45">
        <f t="shared" si="2"/>
        <v>46157</v>
      </c>
      <c r="E54" s="45">
        <f t="array" ref="E54">IFERROR(INDEX('Batch Dates'!$F:$F,MATCH(J54,'Batch Dates'!$C:$C,0)),IFERROR(INDEX('Batch Dates'!$F:$F,MATCH(I54,'Batch Dates'!$B:$B,0)),""))</f>
        <v>46129</v>
      </c>
      <c r="F54" s="45">
        <f t="array" ref="F54">IFERROR(INDEX('Batch Dates'!$G:$G,MATCH(J54,'Batch Dates'!$C:$C,0)),IFERROR(INDEX('Batch Dates'!$G:$G,MATCH(I54,'Batch Dates'!$B:$B,0)),""))</f>
        <v>46129</v>
      </c>
      <c r="G54" s="12" t="s">
        <v>851</v>
      </c>
      <c r="H54" s="12" t="s">
        <v>844</v>
      </c>
      <c r="I54" s="13" t="s">
        <v>310</v>
      </c>
      <c r="J54" s="12" t="s">
        <v>311</v>
      </c>
      <c r="K54" s="12" t="s">
        <v>277</v>
      </c>
      <c r="L54" s="12" t="s">
        <v>856</v>
      </c>
      <c r="M54" s="28" t="s">
        <v>86</v>
      </c>
      <c r="N54" s="12" t="str">
        <f t="array" ref="N54">IFERROR(INDEX('CoQ Register'!$B:$B,MATCH("P060202|I",'CoQ Register'!$S:$S,0)),"—")</f>
        <v>CoQ-PP_26-053</v>
      </c>
      <c r="O54" s="28" t="s">
        <v>86</v>
      </c>
      <c r="P54" s="12" t="s">
        <v>1993</v>
      </c>
      <c r="Q54" s="20" t="s">
        <v>858</v>
      </c>
    </row>
    <row r="55" spans="1:17" ht="14.25" customHeight="1">
      <c r="A55" s="12">
        <f t="shared" si="0"/>
        <v>54</v>
      </c>
      <c r="B55" s="13" t="str">
        <f t="shared" si="1"/>
        <v>iCoA-PP_26-054</v>
      </c>
      <c r="C55" s="24" t="s">
        <v>1383</v>
      </c>
      <c r="D55" s="45">
        <f t="shared" si="2"/>
        <v>46157</v>
      </c>
      <c r="E55" s="45">
        <f t="array" ref="E55">IFERROR(INDEX('Batch Dates'!$F:$F,MATCH(J55,'Batch Dates'!$C:$C,0)),IFERROR(INDEX('Batch Dates'!$F:$F,MATCH(I55,'Batch Dates'!$B:$B,0)),""))</f>
        <v>46133</v>
      </c>
      <c r="F55" s="45">
        <f t="array" ref="F55">IFERROR(INDEX('Batch Dates'!$G:$G,MATCH(J55,'Batch Dates'!$C:$C,0)),IFERROR(INDEX('Batch Dates'!$G:$G,MATCH(I55,'Batch Dates'!$B:$B,0)),""))</f>
        <v>46133</v>
      </c>
      <c r="G55" s="12" t="s">
        <v>851</v>
      </c>
      <c r="H55" s="12" t="s">
        <v>844</v>
      </c>
      <c r="I55" s="13" t="s">
        <v>284</v>
      </c>
      <c r="J55" s="12" t="s">
        <v>287</v>
      </c>
      <c r="K55" s="12" t="s">
        <v>331</v>
      </c>
      <c r="L55" s="12" t="s">
        <v>856</v>
      </c>
      <c r="M55" s="28" t="s">
        <v>86</v>
      </c>
      <c r="N55" s="12" t="str">
        <f t="array" ref="N55">IFERROR(INDEX('CoQ Register'!$B:$B,MATCH("P060212|I",'CoQ Register'!$S:$S,0)),"—")</f>
        <v>CoQ-PP_26-054</v>
      </c>
      <c r="O55" s="12" t="s">
        <v>2003</v>
      </c>
      <c r="P55" s="12" t="s">
        <v>2004</v>
      </c>
      <c r="Q55" s="20" t="s">
        <v>858</v>
      </c>
    </row>
    <row r="56" spans="1:17" ht="14.25" customHeight="1">
      <c r="A56" s="12">
        <f t="shared" si="0"/>
        <v>55</v>
      </c>
      <c r="B56" s="13" t="str">
        <f t="shared" si="1"/>
        <v>iCoA-PP_26-055</v>
      </c>
      <c r="C56" s="24" t="s">
        <v>1383</v>
      </c>
      <c r="D56" s="45">
        <f t="shared" si="2"/>
        <v>46157</v>
      </c>
      <c r="E56" s="45">
        <f t="array" ref="E56">IFERROR(INDEX('Batch Dates'!$F:$F,MATCH(J56,'Batch Dates'!$C:$C,0)),IFERROR(INDEX('Batch Dates'!$F:$F,MATCH(I56,'Batch Dates'!$B:$B,0)),""))</f>
        <v>46136</v>
      </c>
      <c r="F56" s="45">
        <f t="array" ref="F56">IFERROR(INDEX('Batch Dates'!$G:$G,MATCH(J56,'Batch Dates'!$C:$C,0)),IFERROR(INDEX('Batch Dates'!$G:$G,MATCH(I56,'Batch Dates'!$B:$B,0)),""))</f>
        <v>46136</v>
      </c>
      <c r="G56" s="12" t="s">
        <v>851</v>
      </c>
      <c r="H56" s="12" t="s">
        <v>844</v>
      </c>
      <c r="I56" s="13" t="s">
        <v>379</v>
      </c>
      <c r="J56" s="12" t="s">
        <v>380</v>
      </c>
      <c r="K56" s="12" t="s">
        <v>103</v>
      </c>
      <c r="L56" s="12" t="s">
        <v>856</v>
      </c>
      <c r="M56" s="28" t="s">
        <v>86</v>
      </c>
      <c r="N56" s="12" t="str">
        <f t="array" ref="N56">IFERROR(INDEX('CoQ Register'!$B:$B,MATCH("P060222|I",'CoQ Register'!$S:$S,0)),"—")</f>
        <v>CoQ-PP_26-055</v>
      </c>
      <c r="O56" s="28" t="s">
        <v>86</v>
      </c>
      <c r="P56" s="12" t="s">
        <v>2016</v>
      </c>
      <c r="Q56" s="20" t="s">
        <v>858</v>
      </c>
    </row>
    <row r="57" spans="1:17" ht="14.25" customHeight="1">
      <c r="A57" s="12">
        <f t="shared" si="0"/>
        <v>56</v>
      </c>
      <c r="B57" s="13" t="str">
        <f t="shared" si="1"/>
        <v>iCoA-PP_26-056</v>
      </c>
      <c r="C57" s="24" t="s">
        <v>1383</v>
      </c>
      <c r="D57" s="45">
        <f t="shared" si="2"/>
        <v>46157</v>
      </c>
      <c r="E57" s="45">
        <f t="array" ref="E57">IFERROR(INDEX('Batch Dates'!$F:$F,MATCH(J57,'Batch Dates'!$C:$C,0)),IFERROR(INDEX('Batch Dates'!$F:$F,MATCH(I57,'Batch Dates'!$B:$B,0)),""))</f>
        <v>46139</v>
      </c>
      <c r="F57" s="45">
        <f t="array" ref="F57">IFERROR(INDEX('Batch Dates'!$G:$G,MATCH(J57,'Batch Dates'!$C:$C,0)),IFERROR(INDEX('Batch Dates'!$G:$G,MATCH(I57,'Batch Dates'!$B:$B,0)),""))</f>
        <v>46139</v>
      </c>
      <c r="G57" s="12" t="s">
        <v>851</v>
      </c>
      <c r="H57" s="12" t="s">
        <v>844</v>
      </c>
      <c r="I57" s="13" t="s">
        <v>471</v>
      </c>
      <c r="J57" s="12" t="s">
        <v>474</v>
      </c>
      <c r="K57" s="12" t="s">
        <v>158</v>
      </c>
      <c r="L57" s="12" t="s">
        <v>856</v>
      </c>
      <c r="M57" s="28" t="s">
        <v>86</v>
      </c>
      <c r="N57" s="12" t="str">
        <f t="array" ref="N57">IFERROR(INDEX('CoQ Register'!$B:$B,MATCH("P060232|I",'CoQ Register'!$S:$S,0)),"—")</f>
        <v>CoQ-PP_26-056</v>
      </c>
      <c r="O57" s="12" t="s">
        <v>2024</v>
      </c>
      <c r="P57" s="12" t="s">
        <v>2025</v>
      </c>
      <c r="Q57" s="20" t="s">
        <v>858</v>
      </c>
    </row>
    <row r="58" spans="1:17" ht="14.25" customHeight="1">
      <c r="A58" s="12">
        <f t="shared" si="0"/>
        <v>57</v>
      </c>
      <c r="B58" s="13" t="str">
        <f t="shared" si="1"/>
        <v>iCoA-PP_26-057</v>
      </c>
      <c r="C58" s="24" t="s">
        <v>1383</v>
      </c>
      <c r="D58" s="45">
        <f t="shared" si="2"/>
        <v>46157</v>
      </c>
      <c r="E58" s="45">
        <f t="array" ref="E58">IFERROR(INDEX('Batch Dates'!$F:$F,MATCH(J58,'Batch Dates'!$C:$C,0)),IFERROR(INDEX('Batch Dates'!$F:$F,MATCH(I58,'Batch Dates'!$B:$B,0)),""))</f>
        <v>46140</v>
      </c>
      <c r="F58" s="45">
        <f t="array" ref="F58">IFERROR(INDEX('Batch Dates'!$G:$G,MATCH(J58,'Batch Dates'!$C:$C,0)),IFERROR(INDEX('Batch Dates'!$G:$G,MATCH(I58,'Batch Dates'!$B:$B,0)),""))</f>
        <v>46140</v>
      </c>
      <c r="G58" s="12" t="s">
        <v>851</v>
      </c>
      <c r="H58" s="12" t="s">
        <v>844</v>
      </c>
      <c r="I58" s="13" t="s">
        <v>299</v>
      </c>
      <c r="J58" s="12" t="s">
        <v>301</v>
      </c>
      <c r="K58" s="12" t="s">
        <v>103</v>
      </c>
      <c r="L58" s="12" t="s">
        <v>856</v>
      </c>
      <c r="M58" s="28" t="s">
        <v>86</v>
      </c>
      <c r="N58" s="12" t="str">
        <f t="array" ref="N58">IFERROR(INDEX('CoQ Register'!$B:$B,MATCH("P060242|I",'CoQ Register'!$S:$S,0)),"—")</f>
        <v>CoQ-PP_26-057</v>
      </c>
      <c r="O58" s="12" t="s">
        <v>2037</v>
      </c>
      <c r="P58" s="12" t="s">
        <v>2038</v>
      </c>
      <c r="Q58" s="20" t="s">
        <v>858</v>
      </c>
    </row>
    <row r="59" spans="1:17" ht="14.25" customHeight="1">
      <c r="A59" s="12">
        <f t="shared" si="0"/>
        <v>58</v>
      </c>
      <c r="B59" s="13" t="str">
        <f t="shared" si="1"/>
        <v>iCoA-PP_26-058</v>
      </c>
      <c r="C59" s="24" t="s">
        <v>1383</v>
      </c>
      <c r="D59" s="45">
        <f t="shared" si="2"/>
        <v>46157</v>
      </c>
      <c r="E59" s="45">
        <f t="array" ref="E59">IFERROR(INDEX('Batch Dates'!$F:$F,MATCH(J59,'Batch Dates'!$C:$C,0)),IFERROR(INDEX('Batch Dates'!$F:$F,MATCH(I59,'Batch Dates'!$B:$B,0)),""))</f>
        <v>46147</v>
      </c>
      <c r="F59" s="45">
        <f t="array" ref="F59">IFERROR(INDEX('Batch Dates'!$G:$G,MATCH(J59,'Batch Dates'!$C:$C,0)),IFERROR(INDEX('Batch Dates'!$G:$G,MATCH(I59,'Batch Dates'!$B:$B,0)),""))</f>
        <v>46147</v>
      </c>
      <c r="G59" s="12" t="s">
        <v>851</v>
      </c>
      <c r="H59" s="12" t="s">
        <v>844</v>
      </c>
      <c r="I59" s="13" t="s">
        <v>274</v>
      </c>
      <c r="J59" s="12" t="s">
        <v>275</v>
      </c>
      <c r="K59" s="12" t="s">
        <v>234</v>
      </c>
      <c r="L59" s="12" t="s">
        <v>856</v>
      </c>
      <c r="M59" s="28" t="s">
        <v>86</v>
      </c>
      <c r="N59" s="12" t="str">
        <f t="array" ref="N59">IFERROR(INDEX('CoQ Register'!$B:$B,MATCH("P060252|I",'CoQ Register'!$S:$S,0)),"—")</f>
        <v>CoQ-PP_26-058</v>
      </c>
      <c r="O59" s="28" t="s">
        <v>86</v>
      </c>
      <c r="P59" s="12" t="s">
        <v>2047</v>
      </c>
      <c r="Q59" s="20" t="s">
        <v>858</v>
      </c>
    </row>
    <row r="60" spans="1:17" ht="14.25" customHeight="1">
      <c r="A60" s="12">
        <f t="shared" si="0"/>
        <v>59</v>
      </c>
      <c r="B60" s="13" t="str">
        <f t="shared" si="1"/>
        <v>iCoA-PP_26-059</v>
      </c>
      <c r="C60" s="24" t="s">
        <v>1383</v>
      </c>
      <c r="D60" s="45">
        <f t="shared" si="2"/>
        <v>46161</v>
      </c>
      <c r="E60" s="45">
        <f t="array" ref="E60">IFERROR(INDEX('Batch Dates'!$F:$F,MATCH(J60,'Batch Dates'!$C:$C,0)),IFERROR(INDEX('Batch Dates'!$F:$F,MATCH(I60,'Batch Dates'!$B:$B,0)),""))</f>
        <v>46156</v>
      </c>
      <c r="F60" s="45">
        <f t="array" ref="F60">IFERROR(INDEX('Batch Dates'!$G:$G,MATCH(J60,'Batch Dates'!$C:$C,0)),IFERROR(INDEX('Batch Dates'!$G:$G,MATCH(I60,'Batch Dates'!$B:$B,0)),""))</f>
        <v>46156</v>
      </c>
      <c r="G60" s="12" t="s">
        <v>1477</v>
      </c>
      <c r="H60" s="12" t="s">
        <v>844</v>
      </c>
      <c r="I60" s="13" t="s">
        <v>318</v>
      </c>
      <c r="J60" s="12" t="s">
        <v>319</v>
      </c>
      <c r="K60" s="12" t="s">
        <v>277</v>
      </c>
      <c r="L60" s="12" t="s">
        <v>856</v>
      </c>
      <c r="M60" s="28" t="s">
        <v>86</v>
      </c>
      <c r="N60" s="12" t="str">
        <f t="array" ref="N60">IFERROR(INDEX('CoQ Register'!$B:$B,MATCH("P060262|I",'CoQ Register'!$S:$S,0)),"—")</f>
        <v>CoQ-PP_26-059</v>
      </c>
      <c r="O60" s="28" t="s">
        <v>86</v>
      </c>
      <c r="P60" s="12" t="s">
        <v>2053</v>
      </c>
      <c r="Q60" s="20" t="s">
        <v>1482</v>
      </c>
    </row>
    <row r="61" spans="1:17" ht="14.25" customHeight="1">
      <c r="A61" s="12">
        <f t="shared" si="0"/>
        <v>60</v>
      </c>
      <c r="B61" s="13" t="str">
        <f t="shared" si="1"/>
        <v>iCoA-PP_26-060</v>
      </c>
      <c r="C61" s="24" t="s">
        <v>1383</v>
      </c>
      <c r="D61" s="45">
        <f t="shared" si="2"/>
        <v>46167</v>
      </c>
      <c r="E61" s="45">
        <f t="array" ref="E61">IFERROR(INDEX('Batch Dates'!$F:$F,MATCH(J61,'Batch Dates'!$C:$C,0)),IFERROR(INDEX('Batch Dates'!$F:$F,MATCH(I61,'Batch Dates'!$B:$B,0)),""))</f>
        <v>46160</v>
      </c>
      <c r="F61" s="45">
        <f t="array" ref="F61">IFERROR(INDEX('Batch Dates'!$G:$G,MATCH(J61,'Batch Dates'!$C:$C,0)),IFERROR(INDEX('Batch Dates'!$G:$G,MATCH(I61,'Batch Dates'!$B:$B,0)),""))</f>
        <v>46160</v>
      </c>
      <c r="G61" s="12" t="s">
        <v>1477</v>
      </c>
      <c r="H61" s="12" t="s">
        <v>844</v>
      </c>
      <c r="I61" s="13" t="s">
        <v>161</v>
      </c>
      <c r="J61" s="12" t="s">
        <v>162</v>
      </c>
      <c r="K61" s="12" t="s">
        <v>1489</v>
      </c>
      <c r="L61" s="12" t="s">
        <v>856</v>
      </c>
      <c r="M61" s="28" t="s">
        <v>86</v>
      </c>
      <c r="N61" s="12" t="str">
        <f t="array" ref="N61">IFERROR(INDEX('CoQ Register'!$B:$B,MATCH("P060272|I",'CoQ Register'!$S:$S,0)),"—")</f>
        <v>CoQ-PP_26-060</v>
      </c>
      <c r="O61" s="28" t="s">
        <v>86</v>
      </c>
      <c r="P61" s="12" t="s">
        <v>2063</v>
      </c>
      <c r="Q61" s="20" t="s">
        <v>1482</v>
      </c>
    </row>
    <row r="62" spans="1:17" ht="14.25" customHeight="1">
      <c r="A62" s="12">
        <f t="shared" si="0"/>
        <v>61</v>
      </c>
      <c r="B62" s="13" t="str">
        <f t="shared" si="1"/>
        <v>iCoA-PP_26-061</v>
      </c>
      <c r="C62" s="24" t="s">
        <v>1383</v>
      </c>
      <c r="D62" s="45">
        <f t="shared" si="2"/>
        <v>46167</v>
      </c>
      <c r="E62" s="45">
        <f t="array" ref="E62">IFERROR(INDEX('Batch Dates'!$F:$F,MATCH(J62,'Batch Dates'!$C:$C,0)),IFERROR(INDEX('Batch Dates'!$F:$F,MATCH(I62,'Batch Dates'!$B:$B,0)),""))</f>
        <v>46160</v>
      </c>
      <c r="F62" s="45">
        <f t="array" ref="F62">IFERROR(INDEX('Batch Dates'!$G:$G,MATCH(J62,'Batch Dates'!$C:$C,0)),IFERROR(INDEX('Batch Dates'!$G:$G,MATCH(I62,'Batch Dates'!$B:$B,0)),""))</f>
        <v>46160</v>
      </c>
      <c r="G62" s="12" t="s">
        <v>1477</v>
      </c>
      <c r="H62" s="12" t="s">
        <v>844</v>
      </c>
      <c r="I62" s="13" t="s">
        <v>481</v>
      </c>
      <c r="J62" s="12" t="s">
        <v>482</v>
      </c>
      <c r="K62" s="12" t="s">
        <v>315</v>
      </c>
      <c r="L62" s="12" t="s">
        <v>856</v>
      </c>
      <c r="M62" s="28" t="s">
        <v>86</v>
      </c>
      <c r="N62" s="12" t="str">
        <f t="array" ref="N62">IFERROR(INDEX('CoQ Register'!$B:$B,MATCH("P060282|I",'CoQ Register'!$S:$S,0)),"—")</f>
        <v>CoQ-PP_26-061</v>
      </c>
      <c r="O62" s="12" t="s">
        <v>2078</v>
      </c>
      <c r="P62" s="12" t="s">
        <v>2079</v>
      </c>
      <c r="Q62" s="20" t="s">
        <v>1482</v>
      </c>
    </row>
    <row r="63" spans="1:17" ht="14.25" customHeight="1">
      <c r="A63" s="12">
        <f t="shared" si="0"/>
        <v>62</v>
      </c>
      <c r="B63" s="13" t="str">
        <f t="shared" si="1"/>
        <v>iCoA-PP_26-062</v>
      </c>
      <c r="C63" s="24" t="s">
        <v>1383</v>
      </c>
      <c r="D63" s="45">
        <f t="shared" si="2"/>
        <v>46167</v>
      </c>
      <c r="E63" s="45">
        <f t="array" ref="E63">IFERROR(INDEX('Batch Dates'!$F:$F,MATCH(J63,'Batch Dates'!$C:$C,0)),IFERROR(INDEX('Batch Dates'!$F:$F,MATCH(I63,'Batch Dates'!$B:$B,0)),""))</f>
        <v>46161</v>
      </c>
      <c r="F63" s="45">
        <f t="array" ref="F63">IFERROR(INDEX('Batch Dates'!$G:$G,MATCH(J63,'Batch Dates'!$C:$C,0)),IFERROR(INDEX('Batch Dates'!$G:$G,MATCH(I63,'Batch Dates'!$B:$B,0)),""))</f>
        <v>46161</v>
      </c>
      <c r="G63" s="12" t="s">
        <v>1477</v>
      </c>
      <c r="H63" s="12" t="s">
        <v>844</v>
      </c>
      <c r="I63" s="13" t="s">
        <v>228</v>
      </c>
      <c r="J63" s="12" t="s">
        <v>229</v>
      </c>
      <c r="K63" s="12" t="s">
        <v>183</v>
      </c>
      <c r="L63" s="12" t="s">
        <v>856</v>
      </c>
      <c r="M63" s="28" t="s">
        <v>86</v>
      </c>
      <c r="N63" s="12" t="str">
        <f t="array" ref="N63">IFERROR(INDEX('CoQ Register'!$B:$B,MATCH("P060292|I",'CoQ Register'!$S:$S,0)),"—")</f>
        <v>CoQ-PP_26-062</v>
      </c>
      <c r="O63" s="28" t="s">
        <v>86</v>
      </c>
      <c r="P63" s="12" t="s">
        <v>2090</v>
      </c>
      <c r="Q63" s="20" t="s">
        <v>1482</v>
      </c>
    </row>
    <row r="64" spans="1:17" ht="14.25" customHeight="1">
      <c r="A64" s="12">
        <f t="shared" si="0"/>
        <v>63</v>
      </c>
      <c r="B64" s="13" t="str">
        <f t="shared" si="1"/>
        <v>iCoA-PP_26-063</v>
      </c>
      <c r="C64" s="24" t="s">
        <v>1383</v>
      </c>
      <c r="D64" s="45">
        <f t="shared" si="2"/>
        <v>46167</v>
      </c>
      <c r="E64" s="45">
        <f t="array" ref="E64">IFERROR(INDEX('Batch Dates'!$F:$F,MATCH(J64,'Batch Dates'!$C:$C,0)),IFERROR(INDEX('Batch Dates'!$F:$F,MATCH(I64,'Batch Dates'!$B:$B,0)),""))</f>
        <v>46162</v>
      </c>
      <c r="F64" s="45">
        <f t="array" ref="F64">IFERROR(INDEX('Batch Dates'!$G:$G,MATCH(J64,'Batch Dates'!$C:$C,0)),IFERROR(INDEX('Batch Dates'!$G:$G,MATCH(I64,'Batch Dates'!$B:$B,0)),""))</f>
        <v>46162</v>
      </c>
      <c r="G64" s="12" t="s">
        <v>1477</v>
      </c>
      <c r="H64" s="12" t="s">
        <v>844</v>
      </c>
      <c r="I64" s="13" t="s">
        <v>241</v>
      </c>
      <c r="J64" s="12" t="s">
        <v>242</v>
      </c>
      <c r="K64" s="12" t="s">
        <v>234</v>
      </c>
      <c r="L64" s="12" t="s">
        <v>856</v>
      </c>
      <c r="M64" s="28" t="s">
        <v>86</v>
      </c>
      <c r="N64" s="12" t="str">
        <f t="array" ref="N64">IFERROR(INDEX('CoQ Register'!$B:$B,MATCH("P060302|I",'CoQ Register'!$S:$S,0)),"—")</f>
        <v>CoQ-PP_26-063</v>
      </c>
      <c r="O64" s="28" t="s">
        <v>86</v>
      </c>
      <c r="P64" s="12" t="s">
        <v>2097</v>
      </c>
      <c r="Q64" s="20" t="s">
        <v>1482</v>
      </c>
    </row>
    <row r="65" spans="1:17" ht="14.25" customHeight="1">
      <c r="A65" s="12">
        <f t="shared" si="0"/>
        <v>64</v>
      </c>
      <c r="B65" s="13" t="str">
        <f t="shared" si="1"/>
        <v>iCoA-PP_26-064</v>
      </c>
      <c r="C65" s="24" t="s">
        <v>1383</v>
      </c>
      <c r="D65" s="45">
        <f t="shared" si="2"/>
        <v>46168</v>
      </c>
      <c r="E65" s="45">
        <f t="array" ref="E65">IFERROR(INDEX('Batch Dates'!$F:$F,MATCH(J65,'Batch Dates'!$C:$C,0)),IFERROR(INDEX('Batch Dates'!$F:$F,MATCH(I65,'Batch Dates'!$B:$B,0)),""))</f>
        <v>46163</v>
      </c>
      <c r="F65" s="45">
        <f t="array" ref="F65">IFERROR(INDEX('Batch Dates'!$G:$G,MATCH(J65,'Batch Dates'!$C:$C,0)),IFERROR(INDEX('Batch Dates'!$G:$G,MATCH(I65,'Batch Dates'!$B:$B,0)),""))</f>
        <v>46163</v>
      </c>
      <c r="G65" s="12" t="s">
        <v>1477</v>
      </c>
      <c r="H65" s="12" t="s">
        <v>844</v>
      </c>
      <c r="I65" s="13" t="s">
        <v>329</v>
      </c>
      <c r="J65" s="12" t="s">
        <v>330</v>
      </c>
      <c r="K65" s="12" t="s">
        <v>331</v>
      </c>
      <c r="L65" s="12" t="s">
        <v>856</v>
      </c>
      <c r="M65" s="28" t="s">
        <v>86</v>
      </c>
      <c r="N65" s="12" t="str">
        <f t="array" ref="N65">IFERROR(INDEX('CoQ Register'!$B:$B,MATCH("P060312|I",'CoQ Register'!$S:$S,0)),"—")</f>
        <v>CoQ-PP_26-064</v>
      </c>
      <c r="O65" s="28" t="s">
        <v>86</v>
      </c>
      <c r="P65" s="12" t="s">
        <v>2109</v>
      </c>
      <c r="Q65" s="20" t="s">
        <v>1482</v>
      </c>
    </row>
    <row r="66" spans="1:17" ht="14.25" customHeight="1">
      <c r="A66" s="12">
        <f t="shared" si="0"/>
        <v>65</v>
      </c>
      <c r="B66" s="13" t="str">
        <f t="shared" si="1"/>
        <v>iCoA-PP_26-065</v>
      </c>
      <c r="C66" s="24" t="s">
        <v>1383</v>
      </c>
      <c r="D66" s="45">
        <f t="shared" si="2"/>
        <v>46169</v>
      </c>
      <c r="E66" s="45">
        <f t="array" ref="E66">IFERROR(INDEX('Batch Dates'!$F:$F,MATCH(J66,'Batch Dates'!$C:$C,0)),IFERROR(INDEX('Batch Dates'!$F:$F,MATCH(I66,'Batch Dates'!$B:$B,0)),""))</f>
        <v>46164</v>
      </c>
      <c r="F66" s="45">
        <f t="array" ref="F66">IFERROR(INDEX('Batch Dates'!$G:$G,MATCH(J66,'Batch Dates'!$C:$C,0)),IFERROR(INDEX('Batch Dates'!$G:$G,MATCH(I66,'Batch Dates'!$B:$B,0)),""))</f>
        <v>46164</v>
      </c>
      <c r="G66" s="12" t="s">
        <v>1477</v>
      </c>
      <c r="H66" s="12" t="s">
        <v>844</v>
      </c>
      <c r="I66" s="13" t="s">
        <v>155</v>
      </c>
      <c r="J66" s="12" t="s">
        <v>159</v>
      </c>
      <c r="K66" s="12"/>
      <c r="L66" s="12" t="s">
        <v>856</v>
      </c>
      <c r="M66" s="28" t="s">
        <v>86</v>
      </c>
      <c r="N66" s="12" t="str">
        <f t="array" ref="N66">IFERROR(INDEX('CoQ Register'!$B:$B,MATCH("P060332|I",'CoQ Register'!$S:$S,0)),"—")</f>
        <v>CoQ-PP_26-065</v>
      </c>
      <c r="O66" s="28" t="s">
        <v>86</v>
      </c>
      <c r="P66" s="12" t="s">
        <v>2112</v>
      </c>
      <c r="Q66" s="20" t="s">
        <v>1482</v>
      </c>
    </row>
    <row r="67" spans="1:17" ht="14.25" customHeight="1">
      <c r="A67" s="12">
        <f t="shared" si="0"/>
        <v>66</v>
      </c>
      <c r="B67" s="13" t="str">
        <f t="shared" si="1"/>
        <v>iCoA-PP_26-066</v>
      </c>
      <c r="C67" s="24" t="s">
        <v>1383</v>
      </c>
      <c r="D67" s="45">
        <f t="shared" si="2"/>
        <v>46169</v>
      </c>
      <c r="E67" s="45">
        <f t="array" ref="E67">IFERROR(INDEX('Batch Dates'!$F:$F,MATCH(J67,'Batch Dates'!$C:$C,0)),IFERROR(INDEX('Batch Dates'!$F:$F,MATCH(I67,'Batch Dates'!$B:$B,0)),""))</f>
        <v>46164</v>
      </c>
      <c r="F67" s="45">
        <f t="array" ref="F67">IFERROR(INDEX('Batch Dates'!$G:$G,MATCH(J67,'Batch Dates'!$C:$C,0)),IFERROR(INDEX('Batch Dates'!$G:$G,MATCH(I67,'Batch Dates'!$B:$B,0)),""))</f>
        <v>46164</v>
      </c>
      <c r="G67" s="12" t="s">
        <v>1477</v>
      </c>
      <c r="H67" s="12" t="s">
        <v>844</v>
      </c>
      <c r="I67" s="13" t="s">
        <v>181</v>
      </c>
      <c r="J67" s="12" t="s">
        <v>182</v>
      </c>
      <c r="K67" s="12" t="s">
        <v>183</v>
      </c>
      <c r="L67" s="12" t="s">
        <v>856</v>
      </c>
      <c r="M67" s="28" t="s">
        <v>86</v>
      </c>
      <c r="N67" s="12" t="str">
        <f t="array" ref="N67">IFERROR(INDEX('CoQ Register'!$B:$B,MATCH("P060322|I",'CoQ Register'!$S:$S,0)),"—")</f>
        <v>CoQ-PP_26-066</v>
      </c>
      <c r="O67" s="12" t="s">
        <v>2117</v>
      </c>
      <c r="P67" s="12" t="s">
        <v>2119</v>
      </c>
      <c r="Q67" s="20" t="s">
        <v>1482</v>
      </c>
    </row>
    <row r="68" spans="1:17" ht="14.25" customHeight="1">
      <c r="A68" s="12">
        <f t="shared" si="0"/>
        <v>67</v>
      </c>
      <c r="B68" s="13" t="str">
        <f t="shared" si="1"/>
        <v>iCoA-PP_26-067</v>
      </c>
      <c r="C68" s="24" t="s">
        <v>1383</v>
      </c>
      <c r="D68" s="45">
        <f t="shared" si="2"/>
        <v>46170</v>
      </c>
      <c r="E68" s="45">
        <f t="array" ref="E68">IFERROR(INDEX('Batch Dates'!$F:$F,MATCH(J68,'Batch Dates'!$C:$C,0)),IFERROR(INDEX('Batch Dates'!$F:$F,MATCH(I68,'Batch Dates'!$B:$B,0)),""))</f>
        <v>46165</v>
      </c>
      <c r="F68" s="45">
        <f t="array" ref="F68">IFERROR(INDEX('Batch Dates'!$G:$G,MATCH(J68,'Batch Dates'!$C:$C,0)),IFERROR(INDEX('Batch Dates'!$G:$G,MATCH(I68,'Batch Dates'!$B:$B,0)),""))</f>
        <v>46165</v>
      </c>
      <c r="G68" s="12" t="s">
        <v>1477</v>
      </c>
      <c r="H68" s="12" t="s">
        <v>844</v>
      </c>
      <c r="I68" s="13" t="s">
        <v>636</v>
      </c>
      <c r="J68" s="12" t="s">
        <v>208</v>
      </c>
      <c r="K68" s="12" t="s">
        <v>183</v>
      </c>
      <c r="L68" s="12" t="s">
        <v>856</v>
      </c>
      <c r="M68" s="28" t="s">
        <v>86</v>
      </c>
      <c r="N68" s="12" t="str">
        <f t="array" ref="N68">IFERROR(INDEX('CoQ Register'!$B:$B,MATCH("P060352|I",'CoQ Register'!$S:$S,0)),"—")</f>
        <v>CoQ-PP_26-067</v>
      </c>
      <c r="O68" s="12" t="s">
        <v>2123</v>
      </c>
      <c r="P68" s="12" t="s">
        <v>2125</v>
      </c>
      <c r="Q68" s="20" t="s">
        <v>1482</v>
      </c>
    </row>
    <row r="69" spans="1:17" ht="14.25" customHeight="1">
      <c r="A69" s="12">
        <f t="shared" si="0"/>
        <v>68</v>
      </c>
      <c r="B69" s="13" t="str">
        <f t="shared" si="1"/>
        <v>iCoA-PP_26-068</v>
      </c>
      <c r="C69" s="24" t="s">
        <v>1383</v>
      </c>
      <c r="D69" s="45">
        <f t="shared" si="2"/>
        <v>46174</v>
      </c>
      <c r="E69" s="45">
        <f t="array" ref="E69">IFERROR(INDEX('Batch Dates'!$F:$F,MATCH(J69,'Batch Dates'!$C:$C,0)),IFERROR(INDEX('Batch Dates'!$F:$F,MATCH(I69,'Batch Dates'!$B:$B,0)),""))</f>
        <v>46167</v>
      </c>
      <c r="F69" s="45">
        <f t="array" ref="F69">IFERROR(INDEX('Batch Dates'!$G:$G,MATCH(J69,'Batch Dates'!$C:$C,0)),IFERROR(INDEX('Batch Dates'!$G:$G,MATCH(I69,'Batch Dates'!$B:$B,0)),""))</f>
        <v>46167</v>
      </c>
      <c r="G69" s="12" t="s">
        <v>1477</v>
      </c>
      <c r="H69" s="12" t="s">
        <v>844</v>
      </c>
      <c r="I69" s="13" t="s">
        <v>712</v>
      </c>
      <c r="J69" s="12" t="s">
        <v>595</v>
      </c>
      <c r="K69" s="12" t="s">
        <v>315</v>
      </c>
      <c r="L69" s="12" t="s">
        <v>856</v>
      </c>
      <c r="M69" s="28" t="s">
        <v>86</v>
      </c>
      <c r="N69" s="12" t="str">
        <f t="array" ref="N69">IFERROR(INDEX('CoQ Register'!$B:$B,MATCH("P060342|I",'CoQ Register'!$S:$S,0)),"—")</f>
        <v>CoQ-PP_26-068</v>
      </c>
      <c r="O69" s="28" t="s">
        <v>86</v>
      </c>
      <c r="P69" s="12" t="s">
        <v>2128</v>
      </c>
      <c r="Q69" s="20" t="s">
        <v>1482</v>
      </c>
    </row>
    <row r="70" spans="1:17" ht="14.25" customHeight="1">
      <c r="A70" s="12">
        <f t="shared" si="0"/>
        <v>69</v>
      </c>
      <c r="B70" s="13" t="str">
        <f t="shared" si="1"/>
        <v>iCoA-PP_26-069</v>
      </c>
      <c r="C70" s="24" t="s">
        <v>1383</v>
      </c>
      <c r="D70" s="45">
        <f t="shared" si="2"/>
        <v>46174</v>
      </c>
      <c r="E70" s="45">
        <f t="array" ref="E70">IFERROR(INDEX('Batch Dates'!$F:$F,MATCH(J70,'Batch Dates'!$C:$C,0)),IFERROR(INDEX('Batch Dates'!$F:$F,MATCH(I70,'Batch Dates'!$B:$B,0)),""))</f>
        <v>46167</v>
      </c>
      <c r="F70" s="45">
        <f t="array" ref="F70">IFERROR(INDEX('Batch Dates'!$G:$G,MATCH(J70,'Batch Dates'!$C:$C,0)),IFERROR(INDEX('Batch Dates'!$G:$G,MATCH(I70,'Batch Dates'!$B:$B,0)),""))</f>
        <v>46167</v>
      </c>
      <c r="G70" s="12" t="s">
        <v>1477</v>
      </c>
      <c r="H70" s="12" t="s">
        <v>844</v>
      </c>
      <c r="I70" s="13" t="s">
        <v>314</v>
      </c>
      <c r="J70" s="12" t="s">
        <v>317</v>
      </c>
      <c r="K70" s="12" t="s">
        <v>315</v>
      </c>
      <c r="L70" s="12" t="s">
        <v>856</v>
      </c>
      <c r="M70" s="28" t="s">
        <v>86</v>
      </c>
      <c r="N70" s="12" t="str">
        <f t="array" ref="N70">IFERROR(INDEX('CoQ Register'!$B:$B,MATCH("P060382|I",'CoQ Register'!$S:$S,0)),"—")</f>
        <v>CoQ-PP_26-069</v>
      </c>
      <c r="O70" s="12" t="s">
        <v>2133</v>
      </c>
      <c r="P70" s="12" t="s">
        <v>2134</v>
      </c>
      <c r="Q70" s="20" t="s">
        <v>1482</v>
      </c>
    </row>
    <row r="71" spans="1:17" ht="14.25" customHeight="1">
      <c r="A71" s="12" t="str">
        <f t="shared" si="0"/>
        <v/>
      </c>
      <c r="B71" s="13" t="str">
        <f t="shared" si="1"/>
        <v>not needed</v>
      </c>
      <c r="C71" s="12" t="s">
        <v>2135</v>
      </c>
      <c r="D71" s="45" t="str">
        <f t="shared" si="2"/>
        <v/>
      </c>
      <c r="E71" s="45">
        <f t="array" ref="E71">IFERROR(INDEX('Batch Dates'!$F:$F,MATCH(J71,'Batch Dates'!$C:$C,0)),IFERROR(INDEX('Batch Dates'!$F:$F,MATCH(I71,'Batch Dates'!$B:$B,0)),""))</f>
        <v>46165</v>
      </c>
      <c r="F71" s="45">
        <f t="array" ref="F71">IFERROR(INDEX('Batch Dates'!$G:$G,MATCH(J71,'Batch Dates'!$C:$C,0)),IFERROR(INDEX('Batch Dates'!$G:$G,MATCH(I71,'Batch Dates'!$B:$B,0)),""))</f>
        <v>46165</v>
      </c>
      <c r="G71" s="12" t="s">
        <v>1477</v>
      </c>
      <c r="H71" s="12" t="s">
        <v>844</v>
      </c>
      <c r="I71" s="13" t="s">
        <v>204</v>
      </c>
      <c r="J71" s="12" t="s">
        <v>205</v>
      </c>
      <c r="K71" s="12" t="s">
        <v>183</v>
      </c>
      <c r="L71" s="12" t="s">
        <v>1566</v>
      </c>
      <c r="M71" s="12" t="s">
        <v>2139</v>
      </c>
      <c r="N71" s="12" t="str">
        <f t="array" ref="N71">IFERROR(INDEX('CoQ Register'!$B:$B,MATCH("P060392|I",'CoQ Register'!$S:$S,0)),"—")</f>
        <v>CoQ-PP_26-070</v>
      </c>
      <c r="O71" s="28" t="s">
        <v>86</v>
      </c>
      <c r="P71" s="12" t="s">
        <v>2140</v>
      </c>
      <c r="Q71" s="19" t="s">
        <v>1568</v>
      </c>
    </row>
    <row r="72" spans="1:17" ht="14.25" customHeight="1">
      <c r="A72" s="12" t="str">
        <f t="shared" si="0"/>
        <v/>
      </c>
      <c r="B72" s="13" t="str">
        <f t="shared" si="1"/>
        <v>not needed</v>
      </c>
      <c r="C72" s="12" t="s">
        <v>2135</v>
      </c>
      <c r="D72" s="45" t="str">
        <f t="shared" si="2"/>
        <v/>
      </c>
      <c r="E72" s="45">
        <f t="array" ref="E72">IFERROR(INDEX('Batch Dates'!$F:$F,MATCH(J72,'Batch Dates'!$C:$C,0)),IFERROR(INDEX('Batch Dates'!$F:$F,MATCH(I72,'Batch Dates'!$B:$B,0)),""))</f>
        <v>46165</v>
      </c>
      <c r="F72" s="45">
        <f t="array" ref="F72">IFERROR(INDEX('Batch Dates'!$G:$G,MATCH(J72,'Batch Dates'!$C:$C,0)),IFERROR(INDEX('Batch Dates'!$G:$G,MATCH(I72,'Batch Dates'!$B:$B,0)),""))</f>
        <v>46165</v>
      </c>
      <c r="G72" s="12" t="s">
        <v>1477</v>
      </c>
      <c r="H72" s="12" t="s">
        <v>844</v>
      </c>
      <c r="I72" s="13" t="s">
        <v>336</v>
      </c>
      <c r="J72" s="12" t="s">
        <v>431</v>
      </c>
      <c r="K72" s="12"/>
      <c r="L72" s="12" t="s">
        <v>1566</v>
      </c>
      <c r="M72" s="12" t="s">
        <v>2152</v>
      </c>
      <c r="N72" s="12" t="str">
        <f t="array" ref="N72">IFERROR(INDEX('CoQ Register'!$B:$B,MATCH("P060362|I",'CoQ Register'!$S:$S,0)),"—")</f>
        <v>CoQ-PP_26-071</v>
      </c>
      <c r="O72" s="12" t="s">
        <v>2153</v>
      </c>
      <c r="P72" s="12" t="s">
        <v>2154</v>
      </c>
      <c r="Q72" s="19" t="s">
        <v>1568</v>
      </c>
    </row>
    <row r="73" spans="1:17" ht="14.25" customHeight="1">
      <c r="A73" s="12" t="str">
        <f t="shared" si="0"/>
        <v/>
      </c>
      <c r="B73" s="13" t="str">
        <f t="shared" si="1"/>
        <v>not needed</v>
      </c>
      <c r="C73" s="12" t="s">
        <v>2135</v>
      </c>
      <c r="D73" s="45" t="str">
        <f t="shared" si="2"/>
        <v/>
      </c>
      <c r="E73" s="45">
        <f t="array" ref="E73">IFERROR(INDEX('Batch Dates'!$F:$F,MATCH(J73,'Batch Dates'!$C:$C,0)),IFERROR(INDEX('Batch Dates'!$F:$F,MATCH(I73,'Batch Dates'!$B:$B,0)),""))</f>
        <v>46165</v>
      </c>
      <c r="F73" s="45">
        <f t="array" ref="F73">IFERROR(INDEX('Batch Dates'!$G:$G,MATCH(J73,'Batch Dates'!$C:$C,0)),IFERROR(INDEX('Batch Dates'!$G:$G,MATCH(I73,'Batch Dates'!$B:$B,0)),""))</f>
        <v>46165</v>
      </c>
      <c r="G73" s="12" t="s">
        <v>1477</v>
      </c>
      <c r="H73" s="12" t="s">
        <v>844</v>
      </c>
      <c r="I73" s="13" t="s">
        <v>336</v>
      </c>
      <c r="J73" s="12" t="s">
        <v>445</v>
      </c>
      <c r="K73" s="12"/>
      <c r="L73" s="12" t="s">
        <v>1566</v>
      </c>
      <c r="M73" s="12" t="s">
        <v>2152</v>
      </c>
      <c r="N73" s="12" t="str">
        <f t="array" ref="N73">IFERROR(INDEX('CoQ Register'!$B:$B,MATCH("P060422|I",'CoQ Register'!$S:$S,0)),"—")</f>
        <v>CoQ-PP_26-072</v>
      </c>
      <c r="O73" s="12" t="s">
        <v>2192</v>
      </c>
      <c r="P73" s="12" t="s">
        <v>2196</v>
      </c>
      <c r="Q73" s="19" t="s">
        <v>1568</v>
      </c>
    </row>
    <row r="74" spans="1:17" ht="14.25" customHeight="1">
      <c r="A74" s="12" t="str">
        <f t="shared" si="0"/>
        <v/>
      </c>
      <c r="B74" s="13" t="str">
        <f t="shared" si="1"/>
        <v>not needed</v>
      </c>
      <c r="C74" s="12" t="s">
        <v>2135</v>
      </c>
      <c r="D74" s="45" t="str">
        <f t="shared" si="2"/>
        <v/>
      </c>
      <c r="E74" s="45">
        <f t="array" ref="E74">IFERROR(INDEX('Batch Dates'!$F:$F,MATCH(J74,'Batch Dates'!$C:$C,0)),IFERROR(INDEX('Batch Dates'!$F:$F,MATCH(I74,'Batch Dates'!$B:$B,0)),""))</f>
        <v>46166</v>
      </c>
      <c r="F74" s="45">
        <f t="array" ref="F74">IFERROR(INDEX('Batch Dates'!$G:$G,MATCH(J74,'Batch Dates'!$C:$C,0)),IFERROR(INDEX('Batch Dates'!$G:$G,MATCH(I74,'Batch Dates'!$B:$B,0)),""))</f>
        <v>46166</v>
      </c>
      <c r="G74" s="12" t="s">
        <v>1477</v>
      </c>
      <c r="H74" s="12" t="s">
        <v>844</v>
      </c>
      <c r="I74" s="13" t="s">
        <v>215</v>
      </c>
      <c r="J74" s="12" t="s">
        <v>218</v>
      </c>
      <c r="K74" s="12" t="s">
        <v>1592</v>
      </c>
      <c r="L74" s="12" t="s">
        <v>1566</v>
      </c>
      <c r="M74" s="12" t="s">
        <v>2243</v>
      </c>
      <c r="N74" s="12" t="str">
        <f t="array" ref="N74">IFERROR(INDEX('CoQ Register'!$B:$B,MATCH("P060402|I",'CoQ Register'!$S:$S,0)),"—")</f>
        <v>CoQ-PP_26-073</v>
      </c>
      <c r="O74" s="12" t="s">
        <v>2254</v>
      </c>
      <c r="P74" s="12" t="s">
        <v>2258</v>
      </c>
      <c r="Q74" s="19" t="s">
        <v>1568</v>
      </c>
    </row>
    <row r="75" spans="1:17" ht="14.25" customHeight="1">
      <c r="A75" s="12" t="str">
        <f t="shared" si="0"/>
        <v/>
      </c>
      <c r="B75" s="13" t="str">
        <f t="shared" si="1"/>
        <v>not needed</v>
      </c>
      <c r="C75" s="12" t="s">
        <v>2135</v>
      </c>
      <c r="D75" s="45" t="str">
        <f t="shared" si="2"/>
        <v/>
      </c>
      <c r="E75" s="45">
        <f t="array" ref="E75">IFERROR(INDEX('Batch Dates'!$F:$F,MATCH(J75,'Batch Dates'!$C:$C,0)),IFERROR(INDEX('Batch Dates'!$F:$F,MATCH(I75,'Batch Dates'!$B:$B,0)),""))</f>
        <v>46166</v>
      </c>
      <c r="F75" s="45">
        <f t="array" ref="F75">IFERROR(INDEX('Batch Dates'!$G:$G,MATCH(J75,'Batch Dates'!$C:$C,0)),IFERROR(INDEX('Batch Dates'!$G:$G,MATCH(I75,'Batch Dates'!$B:$B,0)),""))</f>
        <v>46166</v>
      </c>
      <c r="G75" s="12" t="s">
        <v>1477</v>
      </c>
      <c r="H75" s="12" t="s">
        <v>844</v>
      </c>
      <c r="I75" s="13" t="s">
        <v>336</v>
      </c>
      <c r="J75" s="12" t="s">
        <v>437</v>
      </c>
      <c r="K75" s="12"/>
      <c r="L75" s="12" t="s">
        <v>1566</v>
      </c>
      <c r="M75" s="12" t="s">
        <v>2152</v>
      </c>
      <c r="N75" s="12" t="str">
        <f t="array" ref="N75">IFERROR(INDEX('CoQ Register'!$B:$B,MATCH("P060412|I",'CoQ Register'!$S:$S,0)),"—")</f>
        <v>CoQ-PP_26-074</v>
      </c>
      <c r="O75" s="12" t="s">
        <v>2272</v>
      </c>
      <c r="P75" s="12" t="s">
        <v>2273</v>
      </c>
      <c r="Q75" s="19" t="s">
        <v>1568</v>
      </c>
    </row>
    <row r="76" spans="1:17" ht="14.25" customHeight="1">
      <c r="A76" s="12" t="str">
        <f t="shared" si="0"/>
        <v/>
      </c>
      <c r="B76" s="13" t="str">
        <f t="shared" si="1"/>
        <v>not needed</v>
      </c>
      <c r="C76" s="12" t="s">
        <v>2135</v>
      </c>
      <c r="D76" s="45" t="str">
        <f t="shared" si="2"/>
        <v/>
      </c>
      <c r="E76" s="45">
        <f t="array" ref="E76">IFERROR(INDEX('Batch Dates'!$F:$F,MATCH(J76,'Batch Dates'!$C:$C,0)),IFERROR(INDEX('Batch Dates'!$F:$F,MATCH(I76,'Batch Dates'!$B:$B,0)),""))</f>
        <v>46188</v>
      </c>
      <c r="F76" s="45">
        <f t="array" ref="F76">IFERROR(INDEX('Batch Dates'!$G:$G,MATCH(J76,'Batch Dates'!$C:$C,0)),IFERROR(INDEX('Batch Dates'!$G:$G,MATCH(I76,'Batch Dates'!$B:$B,0)),""))</f>
        <v>46188</v>
      </c>
      <c r="G76" s="12" t="s">
        <v>1477</v>
      </c>
      <c r="H76" s="12" t="s">
        <v>844</v>
      </c>
      <c r="I76" s="13" t="s">
        <v>193</v>
      </c>
      <c r="J76" s="12" t="s">
        <v>194</v>
      </c>
      <c r="K76" s="12" t="s">
        <v>183</v>
      </c>
      <c r="L76" s="12" t="s">
        <v>1566</v>
      </c>
      <c r="M76" s="12" t="s">
        <v>2279</v>
      </c>
      <c r="N76" s="12" t="str">
        <f t="array" ref="N76">IFERROR(INDEX('CoQ Register'!$B:$B,MATCH("P060432|I",'CoQ Register'!$S:$S,0)),"—")</f>
        <v>CoQ-PP_26-075</v>
      </c>
      <c r="O76" s="28" t="s">
        <v>86</v>
      </c>
      <c r="P76" s="12" t="s">
        <v>2283</v>
      </c>
      <c r="Q76" s="19" t="s">
        <v>1568</v>
      </c>
    </row>
    <row r="77" spans="1:17" ht="14.25" customHeight="1">
      <c r="A77" s="12" t="str">
        <f t="shared" si="0"/>
        <v/>
      </c>
      <c r="B77" s="13" t="str">
        <f t="shared" si="1"/>
        <v>not needed</v>
      </c>
      <c r="C77" s="12" t="s">
        <v>2135</v>
      </c>
      <c r="D77" s="45" t="str">
        <f t="shared" si="2"/>
        <v/>
      </c>
      <c r="E77" s="45">
        <f t="array" ref="E77">IFERROR(INDEX('Batch Dates'!$F:$F,MATCH(J77,'Batch Dates'!$C:$C,0)),IFERROR(INDEX('Batch Dates'!$F:$F,MATCH(I77,'Batch Dates'!$B:$B,0)),""))</f>
        <v>46191</v>
      </c>
      <c r="F77" s="45">
        <f t="array" ref="F77">IFERROR(INDEX('Batch Dates'!$G:$G,MATCH(J77,'Batch Dates'!$C:$C,0)),IFERROR(INDEX('Batch Dates'!$G:$G,MATCH(I77,'Batch Dates'!$B:$B,0)),""))</f>
        <v>46191</v>
      </c>
      <c r="G77" s="12" t="s">
        <v>1477</v>
      </c>
      <c r="H77" s="12" t="s">
        <v>844</v>
      </c>
      <c r="I77" s="13" t="s">
        <v>600</v>
      </c>
      <c r="J77" s="12" t="s">
        <v>602</v>
      </c>
      <c r="K77" s="12" t="s">
        <v>315</v>
      </c>
      <c r="L77" s="12" t="s">
        <v>1566</v>
      </c>
      <c r="M77" s="12" t="s">
        <v>2312</v>
      </c>
      <c r="N77" s="12" t="str">
        <f t="array" ref="N77">IFERROR(INDEX('CoQ Register'!$B:$B,MATCH("P060442|I",'CoQ Register'!$S:$S,0)),"—")</f>
        <v>CoQ-PP_26-076</v>
      </c>
      <c r="O77" s="28" t="s">
        <v>86</v>
      </c>
      <c r="P77" s="12" t="s">
        <v>2313</v>
      </c>
      <c r="Q77" s="19" t="s">
        <v>1568</v>
      </c>
    </row>
    <row r="78" spans="1:17" ht="14.25" customHeight="1">
      <c r="A78" s="12" t="str">
        <f t="shared" si="0"/>
        <v/>
      </c>
      <c r="B78" s="13" t="str">
        <f t="shared" si="1"/>
        <v>not needed</v>
      </c>
      <c r="C78" s="12" t="s">
        <v>2135</v>
      </c>
      <c r="D78" s="45" t="str">
        <f t="shared" si="2"/>
        <v/>
      </c>
      <c r="E78" s="45">
        <f t="array" ref="E78">IFERROR(INDEX('Batch Dates'!$F:$F,MATCH(J78,'Batch Dates'!$C:$C,0)),IFERROR(INDEX('Batch Dates'!$F:$F,MATCH(I78,'Batch Dates'!$B:$B,0)),""))</f>
        <v>46202</v>
      </c>
      <c r="F78" s="45">
        <f t="array" ref="F78">IFERROR(INDEX('Batch Dates'!$G:$G,MATCH(J78,'Batch Dates'!$C:$C,0)),IFERROR(INDEX('Batch Dates'!$G:$G,MATCH(I78,'Batch Dates'!$B:$B,0)),""))</f>
        <v>46202</v>
      </c>
      <c r="G78" s="12" t="s">
        <v>1477</v>
      </c>
      <c r="H78" s="12" t="s">
        <v>844</v>
      </c>
      <c r="I78" s="13" t="s">
        <v>213</v>
      </c>
      <c r="J78" s="12" t="s">
        <v>214</v>
      </c>
      <c r="K78" s="12" t="s">
        <v>1644</v>
      </c>
      <c r="L78" s="12" t="s">
        <v>1566</v>
      </c>
      <c r="M78" s="12" t="s">
        <v>2315</v>
      </c>
      <c r="N78" s="12" t="str">
        <f t="array" ref="N78">IFERROR(INDEX('CoQ Register'!$B:$B,MATCH("P060452|I",'CoQ Register'!$S:$S,0)),"—")</f>
        <v>CoQ-PP_26-077</v>
      </c>
      <c r="O78" s="28" t="s">
        <v>86</v>
      </c>
      <c r="P78" s="12" t="s">
        <v>2316</v>
      </c>
      <c r="Q78" s="19" t="s">
        <v>1568</v>
      </c>
    </row>
    <row r="79" spans="1:17" ht="14.25" customHeight="1">
      <c r="A79" s="12" t="str">
        <f t="shared" si="0"/>
        <v/>
      </c>
      <c r="B79" s="13" t="str">
        <f t="shared" si="1"/>
        <v>not needed</v>
      </c>
      <c r="C79" s="12" t="s">
        <v>2135</v>
      </c>
      <c r="D79" s="45" t="str">
        <f t="shared" si="2"/>
        <v/>
      </c>
      <c r="E79" s="45">
        <f t="array" ref="E79">IFERROR(INDEX('Batch Dates'!$F:$F,MATCH(J79,'Batch Dates'!$C:$C,0)),IFERROR(INDEX('Batch Dates'!$F:$F,MATCH(I79,'Batch Dates'!$B:$B,0)),""))</f>
        <v>46219</v>
      </c>
      <c r="F79" s="45">
        <f t="array" ref="F79">IFERROR(INDEX('Batch Dates'!$G:$G,MATCH(J79,'Batch Dates'!$C:$C,0)),IFERROR(INDEX('Batch Dates'!$G:$G,MATCH(I79,'Batch Dates'!$B:$B,0)),""))</f>
        <v>46219</v>
      </c>
      <c r="G79" s="12" t="s">
        <v>1477</v>
      </c>
      <c r="H79" s="12" t="s">
        <v>844</v>
      </c>
      <c r="I79" s="13" t="s">
        <v>257</v>
      </c>
      <c r="J79" s="12" t="s">
        <v>258</v>
      </c>
      <c r="K79" s="12" t="s">
        <v>1592</v>
      </c>
      <c r="L79" s="12" t="s">
        <v>1566</v>
      </c>
      <c r="M79" s="12" t="s">
        <v>2318</v>
      </c>
      <c r="N79" s="12" t="str">
        <f t="array" ref="N79">IFERROR(INDEX('CoQ Register'!$B:$B,MATCH("P060462|I",'CoQ Register'!$S:$S,0)),"—")</f>
        <v>CoQ-PP_26-078</v>
      </c>
      <c r="O79" s="28" t="s">
        <v>86</v>
      </c>
      <c r="P79" s="12" t="s">
        <v>2319</v>
      </c>
      <c r="Q79" s="19" t="s">
        <v>1568</v>
      </c>
    </row>
    <row r="80" spans="1:17" ht="14.25" customHeight="1">
      <c r="A80" s="12" t="str">
        <f t="shared" si="0"/>
        <v/>
      </c>
      <c r="B80" s="13" t="str">
        <f t="shared" si="1"/>
        <v>not needed</v>
      </c>
      <c r="C80" s="12" t="s">
        <v>2135</v>
      </c>
      <c r="D80" s="45" t="str">
        <f t="shared" si="2"/>
        <v/>
      </c>
      <c r="E80" s="45">
        <f t="array" ref="E80">IFERROR(INDEX('Batch Dates'!$F:$F,MATCH(J80,'Batch Dates'!$C:$C,0)),IFERROR(INDEX('Batch Dates'!$F:$F,MATCH(I80,'Batch Dates'!$B:$B,0)),""))</f>
        <v>46239</v>
      </c>
      <c r="F80" s="45">
        <f t="array" ref="F80">IFERROR(INDEX('Batch Dates'!$G:$G,MATCH(J80,'Batch Dates'!$C:$C,0)),IFERROR(INDEX('Batch Dates'!$G:$G,MATCH(I80,'Batch Dates'!$B:$B,0)),""))</f>
        <v>46239</v>
      </c>
      <c r="G80" s="12" t="s">
        <v>1477</v>
      </c>
      <c r="H80" s="12" t="s">
        <v>844</v>
      </c>
      <c r="I80" s="13" t="s">
        <v>344</v>
      </c>
      <c r="J80" s="12" t="s">
        <v>345</v>
      </c>
      <c r="K80" s="12" t="s">
        <v>346</v>
      </c>
      <c r="L80" s="12" t="s">
        <v>1566</v>
      </c>
      <c r="M80" s="12" t="s">
        <v>2321</v>
      </c>
      <c r="N80" s="12" t="str">
        <f t="array" ref="N80">IFERROR(INDEX('CoQ Register'!$B:$B,MATCH("P060482|I",'CoQ Register'!$S:$S,0)),"—")</f>
        <v>CoQ-PP_26-079</v>
      </c>
      <c r="O80" s="28" t="s">
        <v>86</v>
      </c>
      <c r="P80" s="12" t="s">
        <v>2323</v>
      </c>
      <c r="Q80" s="19" t="s">
        <v>1568</v>
      </c>
    </row>
    <row r="81" spans="1:17" ht="14.25" customHeight="1">
      <c r="A81" s="12" t="str">
        <f t="shared" si="0"/>
        <v/>
      </c>
      <c r="B81" s="13" t="str">
        <f t="shared" si="1"/>
        <v>not needed</v>
      </c>
      <c r="C81" s="12" t="s">
        <v>2135</v>
      </c>
      <c r="D81" s="45" t="str">
        <f t="shared" si="2"/>
        <v/>
      </c>
      <c r="E81" s="45" t="str">
        <f t="array" ref="E81">IFERROR(INDEX('Batch Dates'!$F:$F,MATCH(J81,'Batch Dates'!$C:$C,0)),IFERROR(INDEX('Batch Dates'!$F:$F,MATCH(I81,'Batch Dates'!$B:$B,0)),""))</f>
        <v/>
      </c>
      <c r="F81" s="45" t="str">
        <f t="array" ref="F81">IFERROR(INDEX('Batch Dates'!$G:$G,MATCH(J81,'Batch Dates'!$C:$C,0)),IFERROR(INDEX('Batch Dates'!$G:$G,MATCH(I81,'Batch Dates'!$B:$B,0)),""))</f>
        <v/>
      </c>
      <c r="G81" s="12" t="s">
        <v>86</v>
      </c>
      <c r="H81" s="12" t="s">
        <v>844</v>
      </c>
      <c r="I81" s="13" t="s">
        <v>639</v>
      </c>
      <c r="J81" s="12" t="s">
        <v>640</v>
      </c>
      <c r="K81" s="12"/>
      <c r="L81" s="12" t="s">
        <v>1566</v>
      </c>
      <c r="M81" s="12" t="s">
        <v>2324</v>
      </c>
      <c r="N81" s="12" t="str">
        <f t="array" ref="N81">IFERROR(INDEX('CoQ Register'!$B:$B,MATCH("P160012|I",'CoQ Register'!$S:$S,0)),"—")</f>
        <v>— at issue —</v>
      </c>
      <c r="O81" s="28" t="s">
        <v>86</v>
      </c>
      <c r="P81" s="12" t="s">
        <v>2325</v>
      </c>
      <c r="Q81" s="19" t="s">
        <v>1568</v>
      </c>
    </row>
    <row r="82" spans="1:17" ht="14.25" customHeight="1">
      <c r="A82" s="12" t="str">
        <f t="shared" si="0"/>
        <v/>
      </c>
      <c r="B82" s="13" t="str">
        <f t="shared" si="1"/>
        <v>not needed</v>
      </c>
      <c r="C82" s="12" t="s">
        <v>2135</v>
      </c>
      <c r="D82" s="45" t="str">
        <f t="shared" si="2"/>
        <v/>
      </c>
      <c r="E82" s="45" t="str">
        <f t="array" ref="E82">IFERROR(INDEX('Batch Dates'!$F:$F,MATCH(J82,'Batch Dates'!$C:$C,0)),IFERROR(INDEX('Batch Dates'!$F:$F,MATCH(I82,'Batch Dates'!$B:$B,0)),""))</f>
        <v/>
      </c>
      <c r="F82" s="45" t="str">
        <f t="array" ref="F82">IFERROR(INDEX('Batch Dates'!$G:$G,MATCH(J82,'Batch Dates'!$C:$C,0)),IFERROR(INDEX('Batch Dates'!$G:$G,MATCH(I82,'Batch Dates'!$B:$B,0)),""))</f>
        <v/>
      </c>
      <c r="G82" s="12" t="s">
        <v>86</v>
      </c>
      <c r="H82" s="12" t="s">
        <v>844</v>
      </c>
      <c r="I82" s="13" t="s">
        <v>639</v>
      </c>
      <c r="J82" s="12" t="s">
        <v>641</v>
      </c>
      <c r="K82" s="12"/>
      <c r="L82" s="12" t="s">
        <v>1566</v>
      </c>
      <c r="M82" s="12" t="s">
        <v>2328</v>
      </c>
      <c r="N82" s="12" t="str">
        <f t="array" ref="N82">IFERROR(INDEX('CoQ Register'!$B:$B,MATCH("P160022|I",'CoQ Register'!$S:$S,0)),"—")</f>
        <v>— at issue —</v>
      </c>
      <c r="O82" s="28" t="s">
        <v>86</v>
      </c>
      <c r="P82" s="12" t="s">
        <v>2329</v>
      </c>
      <c r="Q82" s="19" t="s">
        <v>1568</v>
      </c>
    </row>
    <row r="83" spans="1:17" ht="14.25" customHeight="1">
      <c r="A83" s="12" t="str">
        <f t="shared" si="0"/>
        <v/>
      </c>
      <c r="B83" s="13" t="str">
        <f t="shared" si="1"/>
        <v>not needed</v>
      </c>
      <c r="C83" s="12" t="s">
        <v>2135</v>
      </c>
      <c r="D83" s="45" t="str">
        <f t="shared" si="2"/>
        <v/>
      </c>
      <c r="E83" s="45" t="str">
        <f t="array" ref="E83">IFERROR(INDEX('Batch Dates'!$F:$F,MATCH(J83,'Batch Dates'!$C:$C,0)),IFERROR(INDEX('Batch Dates'!$F:$F,MATCH(I83,'Batch Dates'!$B:$B,0)),""))</f>
        <v/>
      </c>
      <c r="F83" s="45" t="str">
        <f t="array" ref="F83">IFERROR(INDEX('Batch Dates'!$G:$G,MATCH(J83,'Batch Dates'!$C:$C,0)),IFERROR(INDEX('Batch Dates'!$G:$G,MATCH(I83,'Batch Dates'!$B:$B,0)),""))</f>
        <v/>
      </c>
      <c r="G83" s="12" t="s">
        <v>86</v>
      </c>
      <c r="H83" s="12" t="s">
        <v>844</v>
      </c>
      <c r="I83" s="13" t="s">
        <v>639</v>
      </c>
      <c r="J83" s="12" t="s">
        <v>646</v>
      </c>
      <c r="K83" s="12"/>
      <c r="L83" s="12" t="s">
        <v>1566</v>
      </c>
      <c r="M83" s="12" t="s">
        <v>2331</v>
      </c>
      <c r="N83" s="12" t="str">
        <f t="array" ref="N83">IFERROR(INDEX('CoQ Register'!$B:$B,MATCH("P160032|I",'CoQ Register'!$S:$S,0)),"—")</f>
        <v>— at issue —</v>
      </c>
      <c r="O83" s="28" t="s">
        <v>86</v>
      </c>
      <c r="P83" s="12" t="s">
        <v>2332</v>
      </c>
      <c r="Q83" s="19" t="s">
        <v>1568</v>
      </c>
    </row>
    <row r="84" spans="1:17" ht="14.25" customHeight="1">
      <c r="A84" s="12" t="str">
        <f t="shared" si="0"/>
        <v/>
      </c>
      <c r="B84" s="13" t="str">
        <f t="shared" si="1"/>
        <v>— at issue —</v>
      </c>
      <c r="C84" s="28" t="s">
        <v>2334</v>
      </c>
      <c r="D84" s="45" t="str">
        <f t="shared" si="2"/>
        <v/>
      </c>
      <c r="E84" s="45" t="str">
        <f t="array" ref="E84">IFERROR(INDEX('Batch Dates'!$F:$F,MATCH(J84,'Batch Dates'!$C:$C,0)),IFERROR(INDEX('Batch Dates'!$F:$F,MATCH(I84,'Batch Dates'!$B:$B,0)),""))</f>
        <v/>
      </c>
      <c r="F84" s="45" t="str">
        <f t="array" ref="F84">IFERROR(INDEX('Batch Dates'!$G:$G,MATCH(J84,'Batch Dates'!$C:$C,0)),IFERROR(INDEX('Batch Dates'!$G:$G,MATCH(I84,'Batch Dates'!$B:$B,0)),""))</f>
        <v/>
      </c>
      <c r="G84" s="12" t="s">
        <v>86</v>
      </c>
      <c r="H84" s="12" t="s">
        <v>844</v>
      </c>
      <c r="I84" s="13" t="s">
        <v>349</v>
      </c>
      <c r="J84" s="12" t="s">
        <v>425</v>
      </c>
      <c r="K84" s="12" t="s">
        <v>331</v>
      </c>
      <c r="L84" s="12" t="s">
        <v>856</v>
      </c>
      <c r="M84" s="28" t="s">
        <v>86</v>
      </c>
      <c r="N84" s="12" t="str">
        <f t="array" ref="N84">IFERROR(INDEX('CoQ Register'!$B:$B,MATCH("JD112501|I",'CoQ Register'!$S:$S,0)),"—")</f>
        <v>— at issue —</v>
      </c>
      <c r="O84" s="12" t="s">
        <v>2003</v>
      </c>
      <c r="P84" s="12" t="s">
        <v>2336</v>
      </c>
      <c r="Q84" s="23" t="s">
        <v>1441</v>
      </c>
    </row>
    <row r="85" spans="1:17" ht="14.25" customHeight="1">
      <c r="A85" s="12" t="str">
        <f t="shared" si="0"/>
        <v/>
      </c>
      <c r="B85" s="13" t="str">
        <f t="shared" si="1"/>
        <v>— at issue —</v>
      </c>
      <c r="C85" s="28" t="s">
        <v>2334</v>
      </c>
      <c r="D85" s="45" t="str">
        <f t="shared" si="2"/>
        <v/>
      </c>
      <c r="E85" s="45" t="s">
        <v>1686</v>
      </c>
      <c r="F85" s="45">
        <f t="array" ref="F85">IFERROR(INDEX('Batch Dates'!$G:$G,MATCH(J85,'Batch Dates'!$C:$C,0)),IFERROR(INDEX('Batch Dates'!$G:$G,MATCH(I85,'Batch Dates'!$B:$B,0)),""))</f>
        <v>45720</v>
      </c>
      <c r="G85" s="12" t="s">
        <v>851</v>
      </c>
      <c r="H85" s="12" t="s">
        <v>1695</v>
      </c>
      <c r="I85" s="13" t="s">
        <v>125</v>
      </c>
      <c r="J85" s="12" t="s">
        <v>425</v>
      </c>
      <c r="K85" s="12" t="s">
        <v>129</v>
      </c>
      <c r="L85" s="12" t="s">
        <v>856</v>
      </c>
      <c r="M85" s="28" t="s">
        <v>86</v>
      </c>
      <c r="N85" s="12" t="str">
        <f t="array" ref="N85">IFERROR(INDEX('CoQ Register'!$B:$B,MATCH("BSS1024|R",'CoQ Register'!$S:$S,0)),"—")</f>
        <v>— at issue —</v>
      </c>
      <c r="O85" s="28" t="s">
        <v>86</v>
      </c>
      <c r="P85" s="12" t="s">
        <v>2338</v>
      </c>
      <c r="Q85" s="23" t="s">
        <v>2339</v>
      </c>
    </row>
    <row r="86" spans="1:17" ht="14.25" customHeight="1">
      <c r="A86" s="12" t="str">
        <f t="shared" si="0"/>
        <v/>
      </c>
      <c r="B86" s="13" t="str">
        <f t="shared" si="1"/>
        <v>— at issue —</v>
      </c>
      <c r="C86" s="28" t="s">
        <v>2334</v>
      </c>
      <c r="D86" s="45" t="str">
        <f t="shared" si="2"/>
        <v/>
      </c>
      <c r="E86" s="45" t="s">
        <v>1686</v>
      </c>
      <c r="F86" s="45">
        <f t="array" ref="F86">IFERROR(INDEX('Batch Dates'!$G:$G,MATCH(J86,'Batch Dates'!$C:$C,0)),IFERROR(INDEX('Batch Dates'!$G:$G,MATCH(I86,'Batch Dates'!$B:$B,0)),""))</f>
        <v>45723</v>
      </c>
      <c r="G86" s="12" t="s">
        <v>851</v>
      </c>
      <c r="H86" s="12" t="s">
        <v>1695</v>
      </c>
      <c r="I86" s="13" t="s">
        <v>71</v>
      </c>
      <c r="J86" s="12" t="s">
        <v>425</v>
      </c>
      <c r="K86" s="12" t="s">
        <v>73</v>
      </c>
      <c r="L86" s="12" t="s">
        <v>856</v>
      </c>
      <c r="M86" s="28" t="s">
        <v>86</v>
      </c>
      <c r="N86" s="12" t="str">
        <f t="array" ref="N86">IFERROR(INDEX('CoQ Register'!$B:$B,MATCH("BG1024|R",'CoQ Register'!$S:$S,0)),"—")</f>
        <v>— at issue —</v>
      </c>
      <c r="O86" s="28" t="s">
        <v>86</v>
      </c>
      <c r="P86" s="12" t="s">
        <v>2341</v>
      </c>
      <c r="Q86" s="23" t="s">
        <v>2339</v>
      </c>
    </row>
    <row r="87" spans="1:17" ht="14.25" customHeight="1">
      <c r="A87" s="12" t="str">
        <f t="shared" si="0"/>
        <v/>
      </c>
      <c r="B87" s="13" t="str">
        <f t="shared" si="1"/>
        <v>— at issue —</v>
      </c>
      <c r="C87" s="28" t="s">
        <v>2334</v>
      </c>
      <c r="D87" s="45" t="str">
        <f t="shared" si="2"/>
        <v/>
      </c>
      <c r="E87" s="45" t="s">
        <v>1686</v>
      </c>
      <c r="F87" s="45">
        <f t="array" ref="F87">IFERROR(INDEX('Batch Dates'!$G:$G,MATCH(J87,'Batch Dates'!$C:$C,0)),IFERROR(INDEX('Batch Dates'!$G:$G,MATCH(I87,'Batch Dates'!$B:$B,0)),""))</f>
        <v>45758</v>
      </c>
      <c r="G87" s="12" t="s">
        <v>851</v>
      </c>
      <c r="H87" s="12" t="s">
        <v>1695</v>
      </c>
      <c r="I87" s="13" t="s">
        <v>260</v>
      </c>
      <c r="J87" s="12" t="s">
        <v>425</v>
      </c>
      <c r="K87" s="12" t="s">
        <v>900</v>
      </c>
      <c r="L87" s="12" t="s">
        <v>856</v>
      </c>
      <c r="M87" s="28" t="s">
        <v>86</v>
      </c>
      <c r="N87" s="12" t="str">
        <f t="array" ref="N87">IFERROR(INDEX('CoQ Register'!$B:$B,MATCH("HPA1024|R",'CoQ Register'!$S:$S,0)),"—")</f>
        <v>— at issue —</v>
      </c>
      <c r="O87" s="28" t="s">
        <v>86</v>
      </c>
      <c r="P87" s="12" t="s">
        <v>2343</v>
      </c>
      <c r="Q87" s="23" t="s">
        <v>2339</v>
      </c>
    </row>
    <row r="88" spans="1:17" ht="14.25" customHeight="1">
      <c r="A88" s="12" t="str">
        <f t="shared" si="0"/>
        <v/>
      </c>
      <c r="B88" s="13" t="str">
        <f t="shared" si="1"/>
        <v>— at issue —</v>
      </c>
      <c r="C88" s="28" t="s">
        <v>2334</v>
      </c>
      <c r="D88" s="45" t="str">
        <f t="shared" si="2"/>
        <v/>
      </c>
      <c r="E88" s="45" t="s">
        <v>1686</v>
      </c>
      <c r="F88" s="45">
        <f t="array" ref="F88">IFERROR(INDEX('Batch Dates'!$G:$G,MATCH(J88,'Batch Dates'!$C:$C,0)),IFERROR(INDEX('Batch Dates'!$G:$G,MATCH(I88,'Batch Dates'!$B:$B,0)),""))</f>
        <v>45772</v>
      </c>
      <c r="G88" s="12" t="s">
        <v>851</v>
      </c>
      <c r="H88" s="12" t="s">
        <v>1695</v>
      </c>
      <c r="I88" s="13" t="s">
        <v>291</v>
      </c>
      <c r="J88" s="12" t="s">
        <v>425</v>
      </c>
      <c r="K88" s="12" t="s">
        <v>910</v>
      </c>
      <c r="L88" s="12" t="s">
        <v>856</v>
      </c>
      <c r="M88" s="28" t="s">
        <v>86</v>
      </c>
      <c r="N88" s="12" t="str">
        <f t="array" ref="N88">IFERROR(INDEX('CoQ Register'!$B:$B,MATCH("OPM1024|R",'CoQ Register'!$S:$S,0)),"—")</f>
        <v>— at issue —</v>
      </c>
      <c r="O88" s="28" t="s">
        <v>86</v>
      </c>
      <c r="P88" s="12" t="s">
        <v>2345</v>
      </c>
      <c r="Q88" s="23" t="s">
        <v>2339</v>
      </c>
    </row>
    <row r="89" spans="1:17" ht="14.25" customHeight="1">
      <c r="A89" s="12" t="str">
        <f t="shared" si="0"/>
        <v/>
      </c>
      <c r="B89" s="13" t="str">
        <f t="shared" si="1"/>
        <v>— at issue —</v>
      </c>
      <c r="C89" s="28" t="s">
        <v>2334</v>
      </c>
      <c r="D89" s="45" t="str">
        <f t="shared" si="2"/>
        <v/>
      </c>
      <c r="E89" s="45" t="s">
        <v>1686</v>
      </c>
      <c r="F89" s="45">
        <f t="array" ref="F89">IFERROR(INDEX('Batch Dates'!$G:$G,MATCH(J89,'Batch Dates'!$C:$C,0)),IFERROR(INDEX('Batch Dates'!$G:$G,MATCH(I89,'Batch Dates'!$B:$B,0)),""))</f>
        <v>45819</v>
      </c>
      <c r="G89" s="12" t="s">
        <v>851</v>
      </c>
      <c r="H89" s="12" t="s">
        <v>1695</v>
      </c>
      <c r="I89" s="13" t="s">
        <v>247</v>
      </c>
      <c r="J89" s="12" t="s">
        <v>250</v>
      </c>
      <c r="K89" s="12" t="s">
        <v>178</v>
      </c>
      <c r="L89" s="12" t="s">
        <v>856</v>
      </c>
      <c r="M89" s="28" t="s">
        <v>86</v>
      </c>
      <c r="N89" s="12" t="str">
        <f t="array" ref="N89">IFERROR(INDEX('CoQ Register'!$B:$B,MATCH("P050022|R",'CoQ Register'!$S:$S,0)),"—")</f>
        <v>— at issue —</v>
      </c>
      <c r="O89" s="28" t="s">
        <v>86</v>
      </c>
      <c r="P89" s="12" t="s">
        <v>2347</v>
      </c>
      <c r="Q89" s="23" t="s">
        <v>2339</v>
      </c>
    </row>
    <row r="90" spans="1:17" ht="14.25" customHeight="1">
      <c r="A90" s="12" t="str">
        <f t="shared" si="0"/>
        <v/>
      </c>
      <c r="B90" s="13" t="str">
        <f t="shared" si="1"/>
        <v>— at issue —</v>
      </c>
      <c r="C90" s="28" t="s">
        <v>2334</v>
      </c>
      <c r="D90" s="45" t="str">
        <f t="shared" si="2"/>
        <v/>
      </c>
      <c r="E90" s="45" t="s">
        <v>1686</v>
      </c>
      <c r="F90" s="45">
        <f t="array" ref="F90">IFERROR(INDEX('Batch Dates'!$G:$G,MATCH(J90,'Batch Dates'!$C:$C,0)),IFERROR(INDEX('Batch Dates'!$G:$G,MATCH(I90,'Batch Dates'!$B:$B,0)),""))</f>
        <v>45842</v>
      </c>
      <c r="G90" s="12" t="s">
        <v>851</v>
      </c>
      <c r="H90" s="12" t="s">
        <v>1695</v>
      </c>
      <c r="I90" s="13" t="s">
        <v>267</v>
      </c>
      <c r="J90" s="12" t="s">
        <v>269</v>
      </c>
      <c r="K90" s="12" t="s">
        <v>261</v>
      </c>
      <c r="L90" s="12" t="s">
        <v>856</v>
      </c>
      <c r="M90" s="28" t="s">
        <v>86</v>
      </c>
      <c r="N90" s="12" t="str">
        <f t="array" ref="N90">IFERROR(INDEX('CoQ Register'!$B:$B,MATCH("P050052|R",'CoQ Register'!$S:$S,0)),"—")</f>
        <v>— at issue —</v>
      </c>
      <c r="O90" s="28" t="s">
        <v>86</v>
      </c>
      <c r="P90" s="12" t="s">
        <v>2349</v>
      </c>
      <c r="Q90" s="23" t="s">
        <v>2339</v>
      </c>
    </row>
    <row r="91" spans="1:17" ht="14.25" customHeight="1">
      <c r="A91" s="12" t="str">
        <f t="shared" si="0"/>
        <v/>
      </c>
      <c r="B91" s="13" t="str">
        <f t="shared" si="1"/>
        <v>— at issue —</v>
      </c>
      <c r="C91" s="28" t="s">
        <v>2334</v>
      </c>
      <c r="D91" s="45" t="str">
        <f t="shared" si="2"/>
        <v/>
      </c>
      <c r="E91" s="45" t="s">
        <v>1686</v>
      </c>
      <c r="F91" s="45">
        <f t="array" ref="F91">IFERROR(INDEX('Batch Dates'!$G:$G,MATCH(J91,'Batch Dates'!$C:$C,0)),IFERROR(INDEX('Batch Dates'!$G:$G,MATCH(I91,'Batch Dates'!$B:$B,0)),""))</f>
        <v>45848</v>
      </c>
      <c r="G91" s="12" t="s">
        <v>851</v>
      </c>
      <c r="H91" s="12" t="s">
        <v>1695</v>
      </c>
      <c r="I91" s="13" t="s">
        <v>296</v>
      </c>
      <c r="J91" s="12" t="s">
        <v>295</v>
      </c>
      <c r="K91" s="12" t="s">
        <v>103</v>
      </c>
      <c r="L91" s="12" t="s">
        <v>856</v>
      </c>
      <c r="M91" s="28" t="s">
        <v>86</v>
      </c>
      <c r="N91" s="12" t="str">
        <f t="array" ref="N91">IFERROR(INDEX('CoQ Register'!$B:$B,MATCH("P050062|R",'CoQ Register'!$S:$S,0)),"—")</f>
        <v>— at issue —</v>
      </c>
      <c r="O91" s="28" t="s">
        <v>86</v>
      </c>
      <c r="P91" s="12" t="s">
        <v>2350</v>
      </c>
      <c r="Q91" s="23" t="s">
        <v>2339</v>
      </c>
    </row>
    <row r="92" spans="1:17" ht="14.25" customHeight="1">
      <c r="A92" s="12" t="str">
        <f t="shared" si="0"/>
        <v/>
      </c>
      <c r="B92" s="13" t="str">
        <f t="shared" si="1"/>
        <v>— at issue —</v>
      </c>
      <c r="C92" s="28" t="s">
        <v>2334</v>
      </c>
      <c r="D92" s="45" t="str">
        <f t="shared" si="2"/>
        <v/>
      </c>
      <c r="E92" s="45" t="s">
        <v>1686</v>
      </c>
      <c r="F92" s="45">
        <f t="array" ref="F92">IFERROR(INDEX('Batch Dates'!$G:$G,MATCH(J92,'Batch Dates'!$C:$C,0)),IFERROR(INDEX('Batch Dates'!$G:$G,MATCH(I92,'Batch Dates'!$B:$B,0)),""))</f>
        <v>45874</v>
      </c>
      <c r="G92" s="12" t="s">
        <v>851</v>
      </c>
      <c r="H92" s="12" t="s">
        <v>1695</v>
      </c>
      <c r="I92" s="13" t="s">
        <v>232</v>
      </c>
      <c r="J92" s="12" t="s">
        <v>236</v>
      </c>
      <c r="K92" s="12" t="s">
        <v>234</v>
      </c>
      <c r="L92" s="12" t="s">
        <v>856</v>
      </c>
      <c r="M92" s="28" t="s">
        <v>86</v>
      </c>
      <c r="N92" s="12" t="str">
        <f t="array" ref="N92">IFERROR(INDEX('CoQ Register'!$B:$B,MATCH("P050092|R",'CoQ Register'!$S:$S,0)),"—")</f>
        <v>— at issue —</v>
      </c>
      <c r="O92" s="28" t="s">
        <v>86</v>
      </c>
      <c r="P92" s="12" t="s">
        <v>2352</v>
      </c>
      <c r="Q92" s="23" t="s">
        <v>2339</v>
      </c>
    </row>
    <row r="93" spans="1:17" ht="14.25" customHeight="1">
      <c r="A93" s="12" t="str">
        <f t="shared" si="0"/>
        <v/>
      </c>
      <c r="B93" s="13" t="str">
        <f t="shared" si="1"/>
        <v>— at issue —</v>
      </c>
      <c r="C93" s="28" t="s">
        <v>2334</v>
      </c>
      <c r="D93" s="45" t="str">
        <f t="shared" si="2"/>
        <v/>
      </c>
      <c r="E93" s="45" t="s">
        <v>1686</v>
      </c>
      <c r="F93" s="45">
        <f t="array" ref="F93">IFERROR(INDEX('Batch Dates'!$G:$G,MATCH(J93,'Batch Dates'!$C:$C,0)),IFERROR(INDEX('Batch Dates'!$G:$G,MATCH(I93,'Batch Dates'!$B:$B,0)),""))</f>
        <v>45925</v>
      </c>
      <c r="G93" s="12" t="s">
        <v>851</v>
      </c>
      <c r="H93" s="12" t="s">
        <v>1695</v>
      </c>
      <c r="I93" s="13" t="s">
        <v>202</v>
      </c>
      <c r="J93" s="12" t="s">
        <v>199</v>
      </c>
      <c r="K93" s="12" t="s">
        <v>178</v>
      </c>
      <c r="L93" s="12" t="s">
        <v>856</v>
      </c>
      <c r="M93" s="28" t="s">
        <v>86</v>
      </c>
      <c r="N93" s="12" t="str">
        <f t="array" ref="N93">IFERROR(INDEX('CoQ Register'!$B:$B,MATCH("P050152|R",'CoQ Register'!$S:$S,0)),"—")</f>
        <v>— at issue —</v>
      </c>
      <c r="O93" s="28" t="s">
        <v>86</v>
      </c>
      <c r="P93" s="12" t="s">
        <v>2354</v>
      </c>
      <c r="Q93" s="23" t="s">
        <v>2339</v>
      </c>
    </row>
    <row r="94" spans="1:17" ht="14.25" customHeight="1">
      <c r="A94" s="12" t="str">
        <f t="shared" si="0"/>
        <v/>
      </c>
      <c r="B94" s="13" t="str">
        <f t="shared" si="1"/>
        <v>— at issue —</v>
      </c>
      <c r="C94" s="28" t="s">
        <v>2334</v>
      </c>
      <c r="D94" s="45" t="str">
        <f t="shared" si="2"/>
        <v/>
      </c>
      <c r="E94" s="45" t="s">
        <v>1686</v>
      </c>
      <c r="F94" s="45">
        <f t="array" ref="F94">IFERROR(INDEX('Batch Dates'!$G:$G,MATCH(J94,'Batch Dates'!$C:$C,0)),IFERROR(INDEX('Batch Dates'!$G:$G,MATCH(I94,'Batch Dates'!$B:$B,0)),""))</f>
        <v>45931</v>
      </c>
      <c r="G94" s="12" t="s">
        <v>851</v>
      </c>
      <c r="H94" s="12" t="s">
        <v>1695</v>
      </c>
      <c r="I94" s="13" t="s">
        <v>171</v>
      </c>
      <c r="J94" s="12" t="s">
        <v>175</v>
      </c>
      <c r="K94" s="12" t="s">
        <v>1088</v>
      </c>
      <c r="L94" s="12" t="s">
        <v>856</v>
      </c>
      <c r="M94" s="28" t="s">
        <v>86</v>
      </c>
      <c r="N94" s="12" t="str">
        <f t="array" ref="N94">IFERROR(INDEX('CoQ Register'!$B:$B,MATCH("P050162|R",'CoQ Register'!$S:$S,0)),"—")</f>
        <v>— at issue —</v>
      </c>
      <c r="O94" s="28" t="s">
        <v>86</v>
      </c>
      <c r="P94" s="12" t="s">
        <v>2359</v>
      </c>
      <c r="Q94" s="23" t="s">
        <v>2339</v>
      </c>
    </row>
    <row r="95" spans="1:17" ht="14.25" customHeight="1">
      <c r="A95" s="12" t="str">
        <f t="shared" si="0"/>
        <v/>
      </c>
      <c r="B95" s="13" t="str">
        <f t="shared" si="1"/>
        <v>— at issue —</v>
      </c>
      <c r="C95" s="28" t="s">
        <v>2334</v>
      </c>
      <c r="D95" s="45" t="str">
        <f t="shared" si="2"/>
        <v/>
      </c>
      <c r="E95" s="45" t="s">
        <v>1686</v>
      </c>
      <c r="F95" s="45">
        <f t="array" ref="F95">IFERROR(INDEX('Batch Dates'!$G:$G,MATCH(J95,'Batch Dates'!$C:$C,0)),IFERROR(INDEX('Batch Dates'!$G:$G,MATCH(I95,'Batch Dates'!$B:$B,0)),""))</f>
        <v>46017</v>
      </c>
      <c r="G95" s="12" t="s">
        <v>851</v>
      </c>
      <c r="H95" s="12" t="s">
        <v>1695</v>
      </c>
      <c r="I95" s="13" t="s">
        <v>248</v>
      </c>
      <c r="J95" s="12" t="s">
        <v>246</v>
      </c>
      <c r="K95" s="12" t="s">
        <v>178</v>
      </c>
      <c r="L95" s="12" t="s">
        <v>856</v>
      </c>
      <c r="M95" s="28" t="s">
        <v>86</v>
      </c>
      <c r="N95" s="12" t="str">
        <f t="array" ref="N95">IFERROR(INDEX('CoQ Register'!$B:$B,MATCH("P050322|R",'CoQ Register'!$S:$S,0)),"—")</f>
        <v>— at issue —</v>
      </c>
      <c r="O95" s="28" t="s">
        <v>86</v>
      </c>
      <c r="P95" s="12" t="s">
        <v>2362</v>
      </c>
      <c r="Q95" s="23" t="s">
        <v>2339</v>
      </c>
    </row>
    <row r="96" spans="1:17" ht="14.25" customHeight="1">
      <c r="A96" s="12" t="str">
        <f t="shared" si="0"/>
        <v/>
      </c>
      <c r="B96" s="13" t="str">
        <f t="shared" si="1"/>
        <v>— at issue —</v>
      </c>
      <c r="C96" s="28" t="s">
        <v>2334</v>
      </c>
      <c r="D96" s="45" t="str">
        <f t="shared" si="2"/>
        <v/>
      </c>
      <c r="E96" s="45" t="s">
        <v>1686</v>
      </c>
      <c r="F96" s="45">
        <f t="array" ref="F96">IFERROR(INDEX('Batch Dates'!$G:$G,MATCH(J96,'Batch Dates'!$C:$C,0)),IFERROR(INDEX('Batch Dates'!$G:$G,MATCH(I96,'Batch Dates'!$B:$B,0)),""))</f>
        <v>45985</v>
      </c>
      <c r="G96" s="12" t="s">
        <v>851</v>
      </c>
      <c r="H96" s="12" t="s">
        <v>1695</v>
      </c>
      <c r="I96" s="13" t="s">
        <v>184</v>
      </c>
      <c r="J96" s="12" t="s">
        <v>188</v>
      </c>
      <c r="K96" s="12" t="s">
        <v>206</v>
      </c>
      <c r="L96" s="12" t="s">
        <v>856</v>
      </c>
      <c r="M96" s="28" t="s">
        <v>86</v>
      </c>
      <c r="N96" s="12" t="str">
        <f t="array" ref="N96">IFERROR(INDEX('CoQ Register'!$B:$B,MATCH("P050212|R",'CoQ Register'!$S:$S,0)),"—")</f>
        <v>— at issue —</v>
      </c>
      <c r="O96" s="28" t="s">
        <v>86</v>
      </c>
      <c r="P96" s="12" t="s">
        <v>2367</v>
      </c>
      <c r="Q96" s="23" t="s">
        <v>2339</v>
      </c>
    </row>
    <row r="97" spans="1:17" ht="14.25" customHeight="1">
      <c r="A97" s="12" t="str">
        <f t="shared" si="0"/>
        <v/>
      </c>
      <c r="B97" s="13" t="str">
        <f t="shared" si="1"/>
        <v>— at issue —</v>
      </c>
      <c r="C97" s="28" t="s">
        <v>2334</v>
      </c>
      <c r="D97" s="45" t="str">
        <f t="shared" si="2"/>
        <v/>
      </c>
      <c r="E97" s="45" t="s">
        <v>1686</v>
      </c>
      <c r="F97" s="45">
        <f t="array" ref="F97">IFERROR(INDEX('Batch Dates'!$G:$G,MATCH(J97,'Batch Dates'!$C:$C,0)),IFERROR(INDEX('Batch Dates'!$G:$G,MATCH(I97,'Batch Dates'!$B:$B,0)),""))</f>
        <v>46051</v>
      </c>
      <c r="G97" s="12" t="s">
        <v>851</v>
      </c>
      <c r="H97" s="12" t="s">
        <v>1695</v>
      </c>
      <c r="I97" s="13" t="s">
        <v>176</v>
      </c>
      <c r="J97" s="12" t="s">
        <v>174</v>
      </c>
      <c r="K97" s="12" t="s">
        <v>75</v>
      </c>
      <c r="L97" s="12" t="s">
        <v>856</v>
      </c>
      <c r="M97" s="28" t="s">
        <v>86</v>
      </c>
      <c r="N97" s="12" t="str">
        <f t="array" ref="N97">IFERROR(INDEX('CoQ Register'!$B:$B,MATCH("P060032|R",'CoQ Register'!$S:$S,0)),"—")</f>
        <v>— at issue —</v>
      </c>
      <c r="O97" s="28" t="s">
        <v>86</v>
      </c>
      <c r="P97" s="12" t="s">
        <v>2370</v>
      </c>
      <c r="Q97" s="23" t="s">
        <v>2339</v>
      </c>
    </row>
    <row r="98" spans="1:17" ht="14.25" customHeight="1">
      <c r="A98" s="12" t="str">
        <f t="shared" si="0"/>
        <v/>
      </c>
      <c r="B98" s="13" t="str">
        <f t="shared" si="1"/>
        <v>— at issue —</v>
      </c>
      <c r="C98" s="28" t="s">
        <v>2334</v>
      </c>
      <c r="D98" s="45" t="str">
        <f t="shared" si="2"/>
        <v/>
      </c>
      <c r="E98" s="45" t="s">
        <v>1686</v>
      </c>
      <c r="F98" s="45">
        <f t="array" ref="F98">IFERROR(INDEX('Batch Dates'!$G:$G,MATCH(J98,'Batch Dates'!$C:$C,0)),IFERROR(INDEX('Batch Dates'!$G:$G,MATCH(I98,'Batch Dates'!$B:$B,0)),""))</f>
        <v>46052</v>
      </c>
      <c r="G98" s="12" t="s">
        <v>851</v>
      </c>
      <c r="H98" s="12" t="s">
        <v>1695</v>
      </c>
      <c r="I98" s="13" t="s">
        <v>165</v>
      </c>
      <c r="J98" s="12" t="s">
        <v>160</v>
      </c>
      <c r="K98" s="12" t="s">
        <v>158</v>
      </c>
      <c r="L98" s="12" t="s">
        <v>856</v>
      </c>
      <c r="M98" s="28" t="s">
        <v>86</v>
      </c>
      <c r="N98" s="12" t="str">
        <f t="array" ref="N98">IFERROR(INDEX('CoQ Register'!$B:$B,MATCH("P060062|R",'CoQ Register'!$S:$S,0)),"—")</f>
        <v>— at issue —</v>
      </c>
      <c r="O98" s="28" t="s">
        <v>86</v>
      </c>
      <c r="P98" s="12" t="s">
        <v>2372</v>
      </c>
      <c r="Q98" s="23" t="s">
        <v>2339</v>
      </c>
    </row>
    <row r="99" spans="1:17" ht="14.25" customHeight="1">
      <c r="A99" s="12" t="str">
        <f t="shared" si="0"/>
        <v/>
      </c>
      <c r="B99" s="13" t="str">
        <f t="shared" si="1"/>
        <v>— at issue —</v>
      </c>
      <c r="C99" s="28" t="s">
        <v>2334</v>
      </c>
      <c r="D99" s="45" t="str">
        <f t="shared" si="2"/>
        <v/>
      </c>
      <c r="E99" s="45" t="s">
        <v>1686</v>
      </c>
      <c r="F99" s="45">
        <f t="array" ref="F99">IFERROR(INDEX('Batch Dates'!$G:$G,MATCH(J99,'Batch Dates'!$C:$C,0)),IFERROR(INDEX('Batch Dates'!$G:$G,MATCH(I99,'Batch Dates'!$B:$B,0)),""))</f>
        <v>46086</v>
      </c>
      <c r="G99" s="12" t="s">
        <v>851</v>
      </c>
      <c r="H99" s="12" t="s">
        <v>1695</v>
      </c>
      <c r="I99" s="13" t="s">
        <v>276</v>
      </c>
      <c r="J99" s="12" t="s">
        <v>279</v>
      </c>
      <c r="K99" s="12" t="s">
        <v>277</v>
      </c>
      <c r="L99" s="12" t="s">
        <v>856</v>
      </c>
      <c r="M99" s="28" t="s">
        <v>86</v>
      </c>
      <c r="N99" s="12" t="str">
        <f t="array" ref="N99">IFERROR(INDEX('CoQ Register'!$B:$B,MATCH("P060152|R",'CoQ Register'!$S:$S,0)),"—")</f>
        <v>— at issue —</v>
      </c>
      <c r="O99" s="28" t="s">
        <v>86</v>
      </c>
      <c r="P99" s="12" t="s">
        <v>2375</v>
      </c>
      <c r="Q99" s="23" t="s">
        <v>2339</v>
      </c>
    </row>
    <row r="100" spans="1:17" ht="14.25" customHeight="1">
      <c r="A100" s="12" t="str">
        <f t="shared" si="0"/>
        <v/>
      </c>
      <c r="B100" s="13" t="str">
        <f t="shared" si="1"/>
        <v>— at issue —</v>
      </c>
      <c r="C100" s="28" t="s">
        <v>2334</v>
      </c>
      <c r="D100" s="45" t="str">
        <f t="shared" si="2"/>
        <v/>
      </c>
      <c r="E100" s="45" t="s">
        <v>1686</v>
      </c>
      <c r="F100" s="45">
        <f t="array" ref="F100">IFERROR(INDEX('Batch Dates'!$G:$G,MATCH(J100,'Batch Dates'!$C:$C,0)),IFERROR(INDEX('Batch Dates'!$G:$G,MATCH(I100,'Batch Dates'!$B:$B,0)),""))</f>
        <v>46133</v>
      </c>
      <c r="G100" s="12" t="s">
        <v>851</v>
      </c>
      <c r="H100" s="12" t="s">
        <v>1695</v>
      </c>
      <c r="I100" s="13" t="s">
        <v>284</v>
      </c>
      <c r="J100" s="12" t="s">
        <v>287</v>
      </c>
      <c r="K100" s="12" t="s">
        <v>331</v>
      </c>
      <c r="L100" s="12" t="s">
        <v>856</v>
      </c>
      <c r="M100" s="28" t="s">
        <v>86</v>
      </c>
      <c r="N100" s="12" t="str">
        <f t="array" ref="N100">IFERROR(INDEX('CoQ Register'!$B:$B,MATCH("P060212|R",'CoQ Register'!$S:$S,0)),"—")</f>
        <v>— at issue —</v>
      </c>
      <c r="O100" s="28" t="s">
        <v>86</v>
      </c>
      <c r="P100" s="12" t="s">
        <v>2378</v>
      </c>
      <c r="Q100" s="23" t="s">
        <v>2339</v>
      </c>
    </row>
    <row r="101" spans="1:17" ht="14.25" customHeight="1">
      <c r="A101" s="12" t="str">
        <f t="shared" si="0"/>
        <v/>
      </c>
      <c r="B101" s="13" t="str">
        <f t="shared" si="1"/>
        <v>— at issue —</v>
      </c>
      <c r="C101" s="28" t="s">
        <v>2334</v>
      </c>
      <c r="D101" s="45" t="str">
        <f t="shared" si="2"/>
        <v/>
      </c>
      <c r="E101" s="45" t="s">
        <v>1686</v>
      </c>
      <c r="F101" s="45">
        <f t="array" ref="F101">IFERROR(INDEX('Batch Dates'!$G:$G,MATCH(J101,'Batch Dates'!$C:$C,0)),IFERROR(INDEX('Batch Dates'!$G:$G,MATCH(I101,'Batch Dates'!$B:$B,0)),""))</f>
        <v>46156</v>
      </c>
      <c r="G101" s="12" t="s">
        <v>1477</v>
      </c>
      <c r="H101" s="12" t="s">
        <v>2007</v>
      </c>
      <c r="I101" s="13" t="s">
        <v>318</v>
      </c>
      <c r="J101" s="12" t="s">
        <v>319</v>
      </c>
      <c r="K101" s="12" t="s">
        <v>277</v>
      </c>
      <c r="L101" s="12" t="s">
        <v>856</v>
      </c>
      <c r="M101" s="28" t="s">
        <v>86</v>
      </c>
      <c r="N101" s="12" t="str">
        <f t="array" ref="N101">IFERROR(INDEX('CoQ Register'!$B:$B,MATCH("P060262|R",'CoQ Register'!$S:$S,0)),"—")</f>
        <v>— at issue —</v>
      </c>
      <c r="O101" s="28" t="s">
        <v>86</v>
      </c>
      <c r="P101" s="12" t="s">
        <v>2380</v>
      </c>
      <c r="Q101" s="23" t="s">
        <v>2339</v>
      </c>
    </row>
    <row r="102" spans="1:17" ht="14.25" customHeight="1">
      <c r="A102" s="12" t="str">
        <f t="shared" si="0"/>
        <v/>
      </c>
      <c r="B102" s="13" t="str">
        <f t="shared" si="1"/>
        <v>— at issue —</v>
      </c>
      <c r="C102" s="28" t="s">
        <v>2334</v>
      </c>
      <c r="D102" s="45" t="str">
        <f t="shared" si="2"/>
        <v/>
      </c>
      <c r="E102" s="45" t="s">
        <v>1686</v>
      </c>
      <c r="F102" s="45">
        <f t="array" ref="F102">IFERROR(INDEX('Batch Dates'!$G:$G,MATCH(J102,'Batch Dates'!$C:$C,0)),IFERROR(INDEX('Batch Dates'!$G:$G,MATCH(I102,'Batch Dates'!$B:$B,0)),""))</f>
        <v>46140</v>
      </c>
      <c r="G102" s="12" t="s">
        <v>851</v>
      </c>
      <c r="H102" s="12" t="s">
        <v>1695</v>
      </c>
      <c r="I102" s="13" t="s">
        <v>299</v>
      </c>
      <c r="J102" s="12" t="s">
        <v>301</v>
      </c>
      <c r="K102" s="12" t="s">
        <v>103</v>
      </c>
      <c r="L102" s="12" t="s">
        <v>856</v>
      </c>
      <c r="M102" s="28" t="s">
        <v>86</v>
      </c>
      <c r="N102" s="12" t="str">
        <f t="array" ref="N102">IFERROR(INDEX('CoQ Register'!$B:$B,MATCH("P060242|R",'CoQ Register'!$S:$S,0)),"—")</f>
        <v>— at issue —</v>
      </c>
      <c r="O102" s="28" t="s">
        <v>86</v>
      </c>
      <c r="P102" s="12" t="s">
        <v>2382</v>
      </c>
      <c r="Q102" s="23" t="s">
        <v>2339</v>
      </c>
    </row>
    <row r="103" spans="1:17" ht="14.25" customHeight="1">
      <c r="A103" s="12" t="str">
        <f t="shared" si="0"/>
        <v/>
      </c>
      <c r="B103" s="13" t="str">
        <f t="shared" si="1"/>
        <v>— at issue —</v>
      </c>
      <c r="C103" s="28" t="s">
        <v>2334</v>
      </c>
      <c r="D103" s="45" t="str">
        <f t="shared" si="2"/>
        <v/>
      </c>
      <c r="E103" s="45" t="s">
        <v>1686</v>
      </c>
      <c r="F103" s="45">
        <f t="array" ref="F103">IFERROR(INDEX('Batch Dates'!$G:$G,MATCH(J103,'Batch Dates'!$C:$C,0)),IFERROR(INDEX('Batch Dates'!$G:$G,MATCH(I103,'Batch Dates'!$B:$B,0)),""))</f>
        <v>46165</v>
      </c>
      <c r="G103" s="12" t="s">
        <v>1477</v>
      </c>
      <c r="H103" s="12" t="s">
        <v>2007</v>
      </c>
      <c r="I103" s="13" t="s">
        <v>636</v>
      </c>
      <c r="J103" s="12" t="s">
        <v>208</v>
      </c>
      <c r="K103" s="12" t="s">
        <v>183</v>
      </c>
      <c r="L103" s="12" t="s">
        <v>856</v>
      </c>
      <c r="M103" s="28" t="s">
        <v>86</v>
      </c>
      <c r="N103" s="12" t="str">
        <f t="array" ref="N103">IFERROR(INDEX('CoQ Register'!$B:$B,MATCH("P060352|R",'CoQ Register'!$S:$S,0)),"—")</f>
        <v>— at issue —</v>
      </c>
      <c r="O103" s="28" t="s">
        <v>86</v>
      </c>
      <c r="P103" s="12" t="s">
        <v>2384</v>
      </c>
      <c r="Q103" s="23" t="s">
        <v>2339</v>
      </c>
    </row>
    <row r="104" spans="1:17" ht="14.25" customHeight="1">
      <c r="A104" s="12" t="str">
        <f t="shared" si="0"/>
        <v/>
      </c>
      <c r="B104" s="13" t="str">
        <f t="shared" si="1"/>
        <v>— at issue —</v>
      </c>
      <c r="C104" s="28" t="s">
        <v>2334</v>
      </c>
      <c r="D104" s="45" t="str">
        <f t="shared" si="2"/>
        <v/>
      </c>
      <c r="E104" s="45" t="s">
        <v>1686</v>
      </c>
      <c r="F104" s="45">
        <f t="array" ref="F104">IFERROR(INDEX('Batch Dates'!$G:$G,MATCH(J104,'Batch Dates'!$C:$C,0)),IFERROR(INDEX('Batch Dates'!$G:$G,MATCH(I104,'Batch Dates'!$B:$B,0)),""))</f>
        <v>46165</v>
      </c>
      <c r="G104" s="12" t="s">
        <v>1477</v>
      </c>
      <c r="H104" s="12" t="s">
        <v>2007</v>
      </c>
      <c r="I104" s="13" t="s">
        <v>336</v>
      </c>
      <c r="J104" s="12" t="s">
        <v>431</v>
      </c>
      <c r="K104" s="12"/>
      <c r="L104" s="12" t="s">
        <v>856</v>
      </c>
      <c r="M104" s="28" t="s">
        <v>86</v>
      </c>
      <c r="N104" s="12" t="str">
        <f t="array" ref="N104">IFERROR(INDEX('CoQ Register'!$B:$B,MATCH("P060362|R",'CoQ Register'!$S:$S,0)),"—")</f>
        <v>— at issue —</v>
      </c>
      <c r="O104" s="28" t="s">
        <v>86</v>
      </c>
      <c r="P104" s="12" t="s">
        <v>2386</v>
      </c>
      <c r="Q104" s="23" t="s">
        <v>2339</v>
      </c>
    </row>
    <row r="105" spans="1:17" ht="14.25" customHeight="1">
      <c r="A105" s="12" t="str">
        <f t="shared" si="0"/>
        <v/>
      </c>
      <c r="B105" s="13" t="str">
        <f t="shared" si="1"/>
        <v>— at issue —</v>
      </c>
      <c r="C105" s="28" t="s">
        <v>2334</v>
      </c>
      <c r="D105" s="45" t="str">
        <f t="shared" si="2"/>
        <v/>
      </c>
      <c r="E105" s="45" t="s">
        <v>1686</v>
      </c>
      <c r="F105" s="45">
        <f t="array" ref="F105">IFERROR(INDEX('Batch Dates'!$G:$G,MATCH(J105,'Batch Dates'!$C:$C,0)),IFERROR(INDEX('Batch Dates'!$G:$G,MATCH(I105,'Batch Dates'!$B:$B,0)),""))</f>
        <v>46165</v>
      </c>
      <c r="G105" s="12" t="s">
        <v>1477</v>
      </c>
      <c r="H105" s="12" t="s">
        <v>2007</v>
      </c>
      <c r="I105" s="13" t="s">
        <v>336</v>
      </c>
      <c r="J105" s="12" t="s">
        <v>445</v>
      </c>
      <c r="K105" s="12"/>
      <c r="L105" s="12" t="s">
        <v>856</v>
      </c>
      <c r="M105" s="28" t="s">
        <v>86</v>
      </c>
      <c r="N105" s="12" t="str">
        <f t="array" ref="N105">IFERROR(INDEX('CoQ Register'!$B:$B,MATCH("P060422|R",'CoQ Register'!$S:$S,0)),"—")</f>
        <v>— at issue —</v>
      </c>
      <c r="O105" s="28" t="s">
        <v>86</v>
      </c>
      <c r="P105" s="12" t="s">
        <v>2388</v>
      </c>
      <c r="Q105" s="23" t="s">
        <v>2339</v>
      </c>
    </row>
    <row r="106" spans="1:17" ht="14.25" customHeight="1">
      <c r="A106" s="12" t="str">
        <f t="shared" si="0"/>
        <v/>
      </c>
      <c r="B106" s="13" t="str">
        <f t="shared" si="1"/>
        <v>— at issue —</v>
      </c>
      <c r="C106" s="28" t="s">
        <v>2334</v>
      </c>
      <c r="D106" s="45" t="str">
        <f t="shared" si="2"/>
        <v/>
      </c>
      <c r="E106" s="45" t="s">
        <v>1686</v>
      </c>
      <c r="F106" s="45">
        <f t="array" ref="F106">IFERROR(INDEX('Batch Dates'!$G:$G,MATCH(J106,'Batch Dates'!$C:$C,0)),IFERROR(INDEX('Batch Dates'!$G:$G,MATCH(I106,'Batch Dates'!$B:$B,0)),""))</f>
        <v>46166</v>
      </c>
      <c r="G106" s="12" t="s">
        <v>1477</v>
      </c>
      <c r="H106" s="12" t="s">
        <v>2007</v>
      </c>
      <c r="I106" s="13" t="s">
        <v>215</v>
      </c>
      <c r="J106" s="12" t="s">
        <v>218</v>
      </c>
      <c r="K106" s="12" t="s">
        <v>1592</v>
      </c>
      <c r="L106" s="12" t="s">
        <v>856</v>
      </c>
      <c r="M106" s="28" t="s">
        <v>86</v>
      </c>
      <c r="N106" s="12" t="str">
        <f t="array" ref="N106">IFERROR(INDEX('CoQ Register'!$B:$B,MATCH("P060402|R",'CoQ Register'!$S:$S,0)),"—")</f>
        <v>— at issue —</v>
      </c>
      <c r="O106" s="28" t="s">
        <v>86</v>
      </c>
      <c r="P106" s="12" t="s">
        <v>2391</v>
      </c>
      <c r="Q106" s="23" t="s">
        <v>2339</v>
      </c>
    </row>
    <row r="107" spans="1:17" ht="14.25" customHeight="1">
      <c r="A107" s="12" t="str">
        <f t="shared" si="0"/>
        <v/>
      </c>
      <c r="B107" s="13" t="str">
        <f t="shared" si="1"/>
        <v>— at issue —</v>
      </c>
      <c r="C107" s="28" t="s">
        <v>2334</v>
      </c>
      <c r="D107" s="45" t="str">
        <f t="shared" si="2"/>
        <v/>
      </c>
      <c r="E107" s="45" t="s">
        <v>1686</v>
      </c>
      <c r="F107" s="45">
        <f t="array" ref="F107">IFERROR(INDEX('Batch Dates'!$G:$G,MATCH(J107,'Batch Dates'!$C:$C,0)),IFERROR(INDEX('Batch Dates'!$G:$G,MATCH(I107,'Batch Dates'!$B:$B,0)),""))</f>
        <v>46166</v>
      </c>
      <c r="G107" s="12" t="s">
        <v>1477</v>
      </c>
      <c r="H107" s="12" t="s">
        <v>2007</v>
      </c>
      <c r="I107" s="13" t="s">
        <v>336</v>
      </c>
      <c r="J107" s="12" t="s">
        <v>437</v>
      </c>
      <c r="K107" s="12"/>
      <c r="L107" s="12" t="s">
        <v>856</v>
      </c>
      <c r="M107" s="28" t="s">
        <v>86</v>
      </c>
      <c r="N107" s="12" t="str">
        <f t="array" ref="N107">IFERROR(INDEX('CoQ Register'!$B:$B,MATCH("P060412|R",'CoQ Register'!$S:$S,0)),"—")</f>
        <v>— at issue —</v>
      </c>
      <c r="O107" s="28" t="s">
        <v>86</v>
      </c>
      <c r="P107" s="12" t="s">
        <v>2392</v>
      </c>
      <c r="Q107" s="23" t="s">
        <v>2339</v>
      </c>
    </row>
    <row r="108" spans="1:17" ht="14.25" customHeight="1">
      <c r="A108" s="12" t="str">
        <f t="shared" si="0"/>
        <v/>
      </c>
      <c r="B108" s="13" t="str">
        <f t="shared" si="1"/>
        <v>— at issue —</v>
      </c>
      <c r="C108" s="28" t="s">
        <v>2334</v>
      </c>
      <c r="D108" s="45" t="str">
        <f t="shared" si="2"/>
        <v/>
      </c>
      <c r="E108" s="45" t="s">
        <v>1686</v>
      </c>
      <c r="F108" s="45">
        <f t="array" ref="F108">IFERROR(INDEX('Batch Dates'!$G:$G,MATCH(J108,'Batch Dates'!$C:$C,0)),IFERROR(INDEX('Batch Dates'!$G:$G,MATCH(I108,'Batch Dates'!$B:$B,0)),""))</f>
        <v>46167</v>
      </c>
      <c r="G108" s="12" t="s">
        <v>1477</v>
      </c>
      <c r="H108" s="12" t="s">
        <v>2007</v>
      </c>
      <c r="I108" s="13" t="s">
        <v>314</v>
      </c>
      <c r="J108" s="12" t="s">
        <v>317</v>
      </c>
      <c r="K108" s="12" t="s">
        <v>315</v>
      </c>
      <c r="L108" s="12" t="s">
        <v>856</v>
      </c>
      <c r="M108" s="28" t="s">
        <v>86</v>
      </c>
      <c r="N108" s="12" t="str">
        <f t="array" ref="N108">IFERROR(INDEX('CoQ Register'!$B:$B,MATCH("P060382|R",'CoQ Register'!$S:$S,0)),"—")</f>
        <v>— at issue —</v>
      </c>
      <c r="O108" s="28" t="s">
        <v>86</v>
      </c>
      <c r="P108" s="12" t="s">
        <v>2394</v>
      </c>
      <c r="Q108" s="23" t="s">
        <v>2339</v>
      </c>
    </row>
    <row r="109" spans="1:17" ht="14.25" customHeight="1">
      <c r="A109" s="12" t="str">
        <f t="shared" si="0"/>
        <v/>
      </c>
      <c r="B109" s="13" t="str">
        <f t="shared" si="1"/>
        <v>— at issue —</v>
      </c>
      <c r="C109" s="28" t="s">
        <v>2334</v>
      </c>
      <c r="D109" s="45" t="str">
        <f t="shared" si="2"/>
        <v/>
      </c>
      <c r="E109" s="45" t="s">
        <v>1686</v>
      </c>
      <c r="F109" s="45">
        <f t="array" ref="F109">IFERROR(INDEX('Batch Dates'!$G:$G,MATCH(J109,'Batch Dates'!$C:$C,0)),IFERROR(INDEX('Batch Dates'!$G:$G,MATCH(I109,'Batch Dates'!$B:$B,0)),""))</f>
        <v>45719</v>
      </c>
      <c r="G109" s="12" t="s">
        <v>851</v>
      </c>
      <c r="H109" s="12" t="s">
        <v>1680</v>
      </c>
      <c r="I109" s="13" t="s">
        <v>173</v>
      </c>
      <c r="J109" s="12" t="s">
        <v>425</v>
      </c>
      <c r="K109" s="12" t="s">
        <v>75</v>
      </c>
      <c r="L109" s="12" t="s">
        <v>856</v>
      </c>
      <c r="M109" s="28" t="s">
        <v>86</v>
      </c>
      <c r="N109" s="12" t="str">
        <f t="array" ref="N109">IFERROR(INDEX('CoQ Register'!$B:$B,MATCH("CJ1024|R",'CoQ Register'!$S:$S,0)),"—")</f>
        <v>— at issue —</v>
      </c>
      <c r="O109" s="28" t="s">
        <v>86</v>
      </c>
      <c r="P109" s="12" t="s">
        <v>2356</v>
      </c>
      <c r="Q109" s="23" t="s">
        <v>2396</v>
      </c>
    </row>
    <row r="110" spans="1:17" ht="14.25" customHeight="1">
      <c r="A110" s="12" t="str">
        <f t="shared" si="0"/>
        <v/>
      </c>
      <c r="B110" s="13" t="str">
        <f t="shared" si="1"/>
        <v>— at issue —</v>
      </c>
      <c r="C110" s="28" t="s">
        <v>2334</v>
      </c>
      <c r="D110" s="45" t="str">
        <f t="shared" si="2"/>
        <v/>
      </c>
      <c r="E110" s="45" t="s">
        <v>1686</v>
      </c>
      <c r="F110" s="45">
        <f t="array" ref="F110">IFERROR(INDEX('Batch Dates'!$G:$G,MATCH(J110,'Batch Dates'!$C:$C,0)),IFERROR(INDEX('Batch Dates'!$G:$G,MATCH(I110,'Batch Dates'!$B:$B,0)),""))</f>
        <v>45727</v>
      </c>
      <c r="G110" s="12" t="s">
        <v>851</v>
      </c>
      <c r="H110" s="12" t="s">
        <v>1714</v>
      </c>
      <c r="I110" s="13" t="s">
        <v>265</v>
      </c>
      <c r="J110" s="12" t="s">
        <v>425</v>
      </c>
      <c r="K110" s="12" t="s">
        <v>234</v>
      </c>
      <c r="L110" s="12" t="s">
        <v>856</v>
      </c>
      <c r="M110" s="28" t="s">
        <v>86</v>
      </c>
      <c r="N110" s="12" t="str">
        <f t="array" ref="N110">IFERROR(INDEX('CoQ Register'!$B:$B,MATCH("GG1024|R",'CoQ Register'!$S:$S,0)),"—")</f>
        <v>— at issue —</v>
      </c>
      <c r="O110" s="28" t="s">
        <v>86</v>
      </c>
      <c r="P110" s="12" t="s">
        <v>2364</v>
      </c>
      <c r="Q110" s="23" t="s">
        <v>2396</v>
      </c>
    </row>
    <row r="111" spans="1:17" ht="14.25" customHeight="1">
      <c r="A111" s="12" t="str">
        <f t="shared" si="0"/>
        <v/>
      </c>
      <c r="B111" s="13" t="str">
        <f t="shared" si="1"/>
        <v>— at issue —</v>
      </c>
      <c r="C111" s="28" t="s">
        <v>2334</v>
      </c>
      <c r="D111" s="45" t="str">
        <f t="shared" si="2"/>
        <v/>
      </c>
      <c r="E111" s="45" t="s">
        <v>1686</v>
      </c>
      <c r="F111" s="45">
        <f t="array" ref="F111">IFERROR(INDEX('Batch Dates'!$G:$G,MATCH(J111,'Batch Dates'!$C:$C,0)),IFERROR(INDEX('Batch Dates'!$G:$G,MATCH(I111,'Batch Dates'!$B:$B,0)),""))</f>
        <v>45876</v>
      </c>
      <c r="G111" s="12" t="s">
        <v>851</v>
      </c>
      <c r="H111" s="12" t="s">
        <v>1680</v>
      </c>
      <c r="I111" s="13" t="s">
        <v>289</v>
      </c>
      <c r="J111" s="12" t="s">
        <v>288</v>
      </c>
      <c r="K111" s="12" t="s">
        <v>178</v>
      </c>
      <c r="L111" s="12" t="s">
        <v>856</v>
      </c>
      <c r="M111" s="28" t="s">
        <v>86</v>
      </c>
      <c r="N111" s="12" t="str">
        <f t="array" ref="N111">IFERROR(INDEX('CoQ Register'!$B:$B,MATCH("P050102|R",'CoQ Register'!$S:$S,0)),"—")</f>
        <v>— at issue —</v>
      </c>
      <c r="O111" s="28" t="s">
        <v>86</v>
      </c>
      <c r="P111" s="12" t="s">
        <v>2369</v>
      </c>
      <c r="Q111" s="23" t="s">
        <v>2396</v>
      </c>
    </row>
    <row r="112" spans="1:17" ht="14.25" customHeight="1">
      <c r="A112" s="12" t="str">
        <f t="shared" si="0"/>
        <v/>
      </c>
      <c r="B112" s="13" t="str">
        <f t="shared" si="1"/>
        <v>— at issue —</v>
      </c>
      <c r="C112" s="28" t="s">
        <v>2334</v>
      </c>
      <c r="D112" s="45" t="str">
        <f t="shared" si="2"/>
        <v/>
      </c>
      <c r="E112" s="45" t="s">
        <v>1686</v>
      </c>
      <c r="F112" s="45">
        <f t="array" ref="F112">IFERROR(INDEX('Batch Dates'!$G:$G,MATCH(J112,'Batch Dates'!$C:$C,0)),IFERROR(INDEX('Batch Dates'!$G:$G,MATCH(I112,'Batch Dates'!$B:$B,0)),""))</f>
        <v>45827</v>
      </c>
      <c r="G112" s="12" t="s">
        <v>851</v>
      </c>
      <c r="H112" s="12" t="s">
        <v>1680</v>
      </c>
      <c r="I112" s="13" t="s">
        <v>309</v>
      </c>
      <c r="J112" s="12" t="s">
        <v>306</v>
      </c>
      <c r="K112" s="12" t="s">
        <v>222</v>
      </c>
      <c r="L112" s="12" t="s">
        <v>856</v>
      </c>
      <c r="M112" s="28" t="s">
        <v>86</v>
      </c>
      <c r="N112" s="12" t="str">
        <f t="array" ref="N112">IFERROR(INDEX('CoQ Register'!$B:$B,MATCH("P050032|R",'CoQ Register'!$S:$S,0)),"—")</f>
        <v>— at issue —</v>
      </c>
      <c r="O112" s="28" t="s">
        <v>86</v>
      </c>
      <c r="P112" s="12" t="s">
        <v>2374</v>
      </c>
      <c r="Q112" s="23" t="s">
        <v>2396</v>
      </c>
    </row>
    <row r="113" spans="1:17" ht="14.25" customHeight="1">
      <c r="A113" s="12" t="str">
        <f t="shared" si="0"/>
        <v/>
      </c>
      <c r="B113" s="13" t="str">
        <f t="shared" si="1"/>
        <v>— at issue —</v>
      </c>
      <c r="C113" s="28" t="s">
        <v>2334</v>
      </c>
      <c r="D113" s="45" t="str">
        <f t="shared" si="2"/>
        <v/>
      </c>
      <c r="E113" s="45" t="s">
        <v>1686</v>
      </c>
      <c r="F113" s="45">
        <f t="array" ref="F113">IFERROR(INDEX('Batch Dates'!$G:$G,MATCH(J113,'Batch Dates'!$C:$C,0)),IFERROR(INDEX('Batch Dates'!$G:$G,MATCH(I113,'Batch Dates'!$B:$B,0)),""))</f>
        <v>45824</v>
      </c>
      <c r="G113" s="12" t="s">
        <v>851</v>
      </c>
      <c r="H113" s="12" t="s">
        <v>1680</v>
      </c>
      <c r="I113" s="13" t="s">
        <v>313</v>
      </c>
      <c r="J113" s="12" t="s">
        <v>312</v>
      </c>
      <c r="K113" s="12" t="s">
        <v>234</v>
      </c>
      <c r="L113" s="12" t="s">
        <v>856</v>
      </c>
      <c r="M113" s="28" t="s">
        <v>86</v>
      </c>
      <c r="N113" s="12" t="str">
        <f t="array" ref="N113">IFERROR(INDEX('CoQ Register'!$B:$B,MATCH("P050012|R",'CoQ Register'!$S:$S,0)),"—")</f>
        <v>— at issue —</v>
      </c>
      <c r="O113" s="28" t="s">
        <v>86</v>
      </c>
      <c r="P113" s="12" t="s">
        <v>2377</v>
      </c>
      <c r="Q113" s="23" t="s">
        <v>2396</v>
      </c>
    </row>
    <row r="114" spans="1:17" ht="14.25" customHeight="1">
      <c r="A114" s="12" t="str">
        <f t="shared" si="0"/>
        <v/>
      </c>
      <c r="B114" s="13" t="str">
        <f t="shared" si="1"/>
        <v>— at issue —</v>
      </c>
      <c r="C114" s="28" t="s">
        <v>2334</v>
      </c>
      <c r="D114" s="45" t="str">
        <f t="shared" si="2"/>
        <v/>
      </c>
      <c r="E114" s="45" t="s">
        <v>1686</v>
      </c>
      <c r="F114" s="45">
        <f t="array" ref="F114">IFERROR(INDEX('Batch Dates'!$G:$G,MATCH(J114,'Batch Dates'!$C:$C,0)),IFERROR(INDEX('Batch Dates'!$G:$G,MATCH(I114,'Batch Dates'!$B:$B,0)),""))</f>
        <v>45828</v>
      </c>
      <c r="G114" s="12" t="s">
        <v>851</v>
      </c>
      <c r="H114" s="12" t="s">
        <v>1714</v>
      </c>
      <c r="I114" s="13" t="s">
        <v>304</v>
      </c>
      <c r="J114" s="12" t="s">
        <v>302</v>
      </c>
      <c r="K114" s="12" t="s">
        <v>103</v>
      </c>
      <c r="L114" s="12" t="s">
        <v>856</v>
      </c>
      <c r="M114" s="28" t="s">
        <v>86</v>
      </c>
      <c r="N114" s="12" t="str">
        <f t="array" ref="N114">IFERROR(INDEX('CoQ Register'!$B:$B,MATCH("P050042|R",'CoQ Register'!$S:$S,0)),"—")</f>
        <v>— at issue —</v>
      </c>
      <c r="O114" s="28" t="s">
        <v>86</v>
      </c>
      <c r="P114" s="12" t="s">
        <v>2381</v>
      </c>
      <c r="Q114" s="23" t="s">
        <v>2396</v>
      </c>
    </row>
    <row r="115" spans="1:17" ht="14.25" customHeight="1">
      <c r="A115" s="12" t="str">
        <f t="shared" si="0"/>
        <v/>
      </c>
      <c r="B115" s="13" t="str">
        <f t="shared" si="1"/>
        <v>— at issue —</v>
      </c>
      <c r="C115" s="28" t="s">
        <v>2334</v>
      </c>
      <c r="D115" s="45" t="str">
        <f t="shared" si="2"/>
        <v/>
      </c>
      <c r="E115" s="45" t="s">
        <v>1686</v>
      </c>
      <c r="F115" s="45">
        <f t="array" ref="F115">IFERROR(INDEX('Batch Dates'!$G:$G,MATCH(J115,'Batch Dates'!$C:$C,0)),IFERROR(INDEX('Batch Dates'!$G:$G,MATCH(I115,'Batch Dates'!$B:$B,0)),""))</f>
        <v>45855</v>
      </c>
      <c r="G115" s="12" t="s">
        <v>851</v>
      </c>
      <c r="H115" s="12" t="s">
        <v>1714</v>
      </c>
      <c r="I115" s="13" t="s">
        <v>293</v>
      </c>
      <c r="J115" s="12" t="s">
        <v>292</v>
      </c>
      <c r="K115" s="12" t="s">
        <v>178</v>
      </c>
      <c r="L115" s="12" t="s">
        <v>856</v>
      </c>
      <c r="M115" s="28" t="s">
        <v>86</v>
      </c>
      <c r="N115" s="12" t="str">
        <f t="array" ref="N115">IFERROR(INDEX('CoQ Register'!$B:$B,MATCH("P050072|R",'CoQ Register'!$S:$S,0)),"—")</f>
        <v>— at issue —</v>
      </c>
      <c r="O115" s="28" t="s">
        <v>86</v>
      </c>
      <c r="P115" s="12" t="s">
        <v>2387</v>
      </c>
      <c r="Q115" s="23" t="s">
        <v>2396</v>
      </c>
    </row>
    <row r="116" spans="1:17" ht="14.25" customHeight="1">
      <c r="A116" s="12" t="str">
        <f t="shared" si="0"/>
        <v/>
      </c>
      <c r="B116" s="13" t="str">
        <f t="shared" si="1"/>
        <v>— at issue —</v>
      </c>
      <c r="C116" s="28" t="s">
        <v>2334</v>
      </c>
      <c r="D116" s="45" t="str">
        <f t="shared" si="2"/>
        <v/>
      </c>
      <c r="E116" s="45" t="s">
        <v>1686</v>
      </c>
      <c r="F116" s="45">
        <f t="array" ref="F116">IFERROR(INDEX('Batch Dates'!$G:$G,MATCH(J116,'Batch Dates'!$C:$C,0)),IFERROR(INDEX('Batch Dates'!$G:$G,MATCH(I116,'Batch Dates'!$B:$B,0)),""))</f>
        <v>45868</v>
      </c>
      <c r="G116" s="12" t="s">
        <v>851</v>
      </c>
      <c r="H116" s="12" t="s">
        <v>1714</v>
      </c>
      <c r="I116" s="13" t="s">
        <v>237</v>
      </c>
      <c r="J116" s="12" t="s">
        <v>235</v>
      </c>
      <c r="K116" s="12" t="s">
        <v>103</v>
      </c>
      <c r="L116" s="12" t="s">
        <v>856</v>
      </c>
      <c r="M116" s="28" t="s">
        <v>86</v>
      </c>
      <c r="N116" s="12" t="str">
        <f t="array" ref="N116">IFERROR(INDEX('CoQ Register'!$B:$B,MATCH("P050082|R",'CoQ Register'!$S:$S,0)),"—")</f>
        <v>— at issue —</v>
      </c>
      <c r="O116" s="28" t="s">
        <v>86</v>
      </c>
      <c r="P116" s="12" t="s">
        <v>2389</v>
      </c>
      <c r="Q116" s="23" t="s">
        <v>2396</v>
      </c>
    </row>
    <row r="117" spans="1:17" ht="14.25" customHeight="1">
      <c r="A117" s="12" t="str">
        <f t="shared" si="0"/>
        <v/>
      </c>
      <c r="B117" s="13" t="str">
        <f t="shared" si="1"/>
        <v>— at issue —</v>
      </c>
      <c r="C117" s="28" t="s">
        <v>2334</v>
      </c>
      <c r="D117" s="45" t="str">
        <f t="shared" si="2"/>
        <v/>
      </c>
      <c r="E117" s="45" t="s">
        <v>1686</v>
      </c>
      <c r="F117" s="45">
        <f t="array" ref="F117">IFERROR(INDEX('Batch Dates'!$G:$G,MATCH(J117,'Batch Dates'!$C:$C,0)),IFERROR(INDEX('Batch Dates'!$G:$G,MATCH(I117,'Batch Dates'!$B:$B,0)),""))</f>
        <v>45900</v>
      </c>
      <c r="G117" s="12" t="s">
        <v>851</v>
      </c>
      <c r="H117" s="12" t="s">
        <v>1714</v>
      </c>
      <c r="I117" s="13" t="s">
        <v>227</v>
      </c>
      <c r="J117" s="12" t="s">
        <v>223</v>
      </c>
      <c r="K117" s="12" t="s">
        <v>222</v>
      </c>
      <c r="L117" s="12" t="s">
        <v>856</v>
      </c>
      <c r="M117" s="28" t="s">
        <v>86</v>
      </c>
      <c r="N117" s="12" t="str">
        <f t="array" ref="N117">IFERROR(INDEX('CoQ Register'!$B:$B,MATCH("P050112|R",'CoQ Register'!$S:$S,0)),"—")</f>
        <v>— at issue —</v>
      </c>
      <c r="O117" s="28" t="s">
        <v>86</v>
      </c>
      <c r="P117" s="12" t="s">
        <v>2393</v>
      </c>
      <c r="Q117" s="23" t="s">
        <v>2396</v>
      </c>
    </row>
    <row r="118" spans="1:17" ht="14.25" customHeight="1">
      <c r="A118" s="12" t="str">
        <f t="shared" si="0"/>
        <v/>
      </c>
      <c r="B118" s="13" t="str">
        <f t="shared" si="1"/>
        <v>— at issue —</v>
      </c>
      <c r="C118" s="28" t="s">
        <v>2334</v>
      </c>
      <c r="D118" s="45" t="str">
        <f t="shared" si="2"/>
        <v/>
      </c>
      <c r="E118" s="45" t="s">
        <v>1686</v>
      </c>
      <c r="F118" s="45">
        <f t="array" ref="F118">IFERROR(INDEX('Batch Dates'!$G:$G,MATCH(J118,'Batch Dates'!$C:$C,0)),IFERROR(INDEX('Batch Dates'!$G:$G,MATCH(I118,'Batch Dates'!$B:$B,0)),""))</f>
        <v>45915</v>
      </c>
      <c r="G118" s="12" t="s">
        <v>851</v>
      </c>
      <c r="H118" s="12" t="s">
        <v>1680</v>
      </c>
      <c r="I118" s="13" t="s">
        <v>233</v>
      </c>
      <c r="J118" s="12" t="s">
        <v>231</v>
      </c>
      <c r="K118" s="12" t="s">
        <v>103</v>
      </c>
      <c r="L118" s="12" t="s">
        <v>856</v>
      </c>
      <c r="M118" s="28" t="s">
        <v>86</v>
      </c>
      <c r="N118" s="12" t="str">
        <f t="array" ref="N118">IFERROR(INDEX('CoQ Register'!$B:$B,MATCH("P050132|R",'CoQ Register'!$S:$S,0)),"—")</f>
        <v>— at issue —</v>
      </c>
      <c r="O118" s="28" t="s">
        <v>86</v>
      </c>
      <c r="P118" s="12" t="s">
        <v>2397</v>
      </c>
      <c r="Q118" s="23" t="s">
        <v>2396</v>
      </c>
    </row>
    <row r="119" spans="1:17" ht="14.25" customHeight="1">
      <c r="A119" s="12" t="str">
        <f t="shared" si="0"/>
        <v/>
      </c>
      <c r="B119" s="13" t="str">
        <f t="shared" si="1"/>
        <v>— at issue —</v>
      </c>
      <c r="C119" s="28" t="s">
        <v>2334</v>
      </c>
      <c r="D119" s="45" t="str">
        <f t="shared" si="2"/>
        <v/>
      </c>
      <c r="E119" s="45" t="s">
        <v>1686</v>
      </c>
      <c r="F119" s="45">
        <f t="array" ref="F119">IFERROR(INDEX('Batch Dates'!$G:$G,MATCH(J119,'Batch Dates'!$C:$C,0)),IFERROR(INDEX('Batch Dates'!$G:$G,MATCH(I119,'Batch Dates'!$B:$B,0)),""))</f>
        <v>45932</v>
      </c>
      <c r="G119" s="12" t="s">
        <v>851</v>
      </c>
      <c r="H119" s="12" t="s">
        <v>1680</v>
      </c>
      <c r="I119" s="13" t="s">
        <v>240</v>
      </c>
      <c r="J119" s="12" t="s">
        <v>239</v>
      </c>
      <c r="K119" s="12" t="s">
        <v>75</v>
      </c>
      <c r="L119" s="12" t="s">
        <v>856</v>
      </c>
      <c r="M119" s="28" t="s">
        <v>86</v>
      </c>
      <c r="N119" s="12" t="str">
        <f t="array" ref="N119">IFERROR(INDEX('CoQ Register'!$B:$B,MATCH("P050172|R",'CoQ Register'!$S:$S,0)),"—")</f>
        <v>— at issue —</v>
      </c>
      <c r="O119" s="28" t="s">
        <v>86</v>
      </c>
      <c r="P119" s="12" t="s">
        <v>2399</v>
      </c>
      <c r="Q119" s="23" t="s">
        <v>2396</v>
      </c>
    </row>
    <row r="120" spans="1:17" ht="14.25" customHeight="1">
      <c r="A120" s="12" t="str">
        <f t="shared" si="0"/>
        <v/>
      </c>
      <c r="B120" s="13" t="str">
        <f t="shared" si="1"/>
        <v>— at issue —</v>
      </c>
      <c r="C120" s="28" t="s">
        <v>2334</v>
      </c>
      <c r="D120" s="45" t="str">
        <f t="shared" si="2"/>
        <v/>
      </c>
      <c r="E120" s="45" t="s">
        <v>1686</v>
      </c>
      <c r="F120" s="45">
        <f t="array" ref="F120">IFERROR(INDEX('Batch Dates'!$G:$G,MATCH(J120,'Batch Dates'!$C:$C,0)),IFERROR(INDEX('Batch Dates'!$G:$G,MATCH(I120,'Batch Dates'!$B:$B,0)),""))</f>
        <v>45939</v>
      </c>
      <c r="G120" s="12" t="s">
        <v>851</v>
      </c>
      <c r="H120" s="12" t="s">
        <v>1714</v>
      </c>
      <c r="I120" s="13" t="s">
        <v>273</v>
      </c>
      <c r="J120" s="12" t="s">
        <v>270</v>
      </c>
      <c r="K120" s="12" t="s">
        <v>261</v>
      </c>
      <c r="L120" s="12" t="s">
        <v>856</v>
      </c>
      <c r="M120" s="28" t="s">
        <v>86</v>
      </c>
      <c r="N120" s="12" t="str">
        <f t="array" ref="N120">IFERROR(INDEX('CoQ Register'!$B:$B,MATCH("P050182|R",'CoQ Register'!$S:$S,0)),"—")</f>
        <v>— at issue —</v>
      </c>
      <c r="O120" s="28" t="s">
        <v>86</v>
      </c>
      <c r="P120" s="12" t="s">
        <v>2402</v>
      </c>
      <c r="Q120" s="23" t="s">
        <v>2396</v>
      </c>
    </row>
    <row r="121" spans="1:17" ht="14.25" customHeight="1">
      <c r="A121" s="12" t="str">
        <f t="shared" si="0"/>
        <v/>
      </c>
      <c r="B121" s="13" t="str">
        <f t="shared" si="1"/>
        <v>— at issue —</v>
      </c>
      <c r="C121" s="28" t="s">
        <v>2334</v>
      </c>
      <c r="D121" s="45" t="str">
        <f t="shared" si="2"/>
        <v/>
      </c>
      <c r="E121" s="45" t="s">
        <v>1686</v>
      </c>
      <c r="F121" s="45">
        <f t="array" ref="F121">IFERROR(INDEX('Batch Dates'!$G:$G,MATCH(J121,'Batch Dates'!$C:$C,0)),IFERROR(INDEX('Batch Dates'!$G:$G,MATCH(I121,'Batch Dates'!$B:$B,0)),""))</f>
        <v>45951</v>
      </c>
      <c r="G121" s="12" t="s">
        <v>851</v>
      </c>
      <c r="H121" s="12" t="s">
        <v>1680</v>
      </c>
      <c r="I121" s="13" t="s">
        <v>263</v>
      </c>
      <c r="J121" s="12" t="s">
        <v>262</v>
      </c>
      <c r="K121" s="12" t="s">
        <v>485</v>
      </c>
      <c r="L121" s="12" t="s">
        <v>856</v>
      </c>
      <c r="M121" s="28" t="s">
        <v>86</v>
      </c>
      <c r="N121" s="12" t="str">
        <f t="array" ref="N121">IFERROR(INDEX('CoQ Register'!$B:$B,MATCH("P050192|R",'CoQ Register'!$S:$S,0)),"—")</f>
        <v>— at issue —</v>
      </c>
      <c r="O121" s="28" t="s">
        <v>86</v>
      </c>
      <c r="P121" s="12" t="s">
        <v>2404</v>
      </c>
      <c r="Q121" s="23" t="s">
        <v>2396</v>
      </c>
    </row>
    <row r="122" spans="1:17" ht="14.25" customHeight="1">
      <c r="A122" s="12" t="str">
        <f t="shared" si="0"/>
        <v/>
      </c>
      <c r="B122" s="13" t="str">
        <f t="shared" si="1"/>
        <v>— at issue —</v>
      </c>
      <c r="C122" s="28" t="s">
        <v>2334</v>
      </c>
      <c r="D122" s="45" t="str">
        <f t="shared" si="2"/>
        <v/>
      </c>
      <c r="E122" s="45" t="s">
        <v>1686</v>
      </c>
      <c r="F122" s="45">
        <f t="array" ref="F122">IFERROR(INDEX('Batch Dates'!$G:$G,MATCH(J122,'Batch Dates'!$C:$C,0)),IFERROR(INDEX('Batch Dates'!$G:$G,MATCH(I122,'Batch Dates'!$B:$B,0)),""))</f>
        <v>45986</v>
      </c>
      <c r="G122" s="12" t="s">
        <v>851</v>
      </c>
      <c r="H122" s="12" t="s">
        <v>1714</v>
      </c>
      <c r="I122" s="13" t="s">
        <v>187</v>
      </c>
      <c r="J122" s="12" t="s">
        <v>185</v>
      </c>
      <c r="K122" s="12" t="s">
        <v>206</v>
      </c>
      <c r="L122" s="12" t="s">
        <v>856</v>
      </c>
      <c r="M122" s="28" t="s">
        <v>86</v>
      </c>
      <c r="N122" s="12" t="str">
        <f t="array" ref="N122">IFERROR(INDEX('CoQ Register'!$B:$B,MATCH("P050222|R",'CoQ Register'!$S:$S,0)),"—")</f>
        <v>— at issue —</v>
      </c>
      <c r="O122" s="28" t="s">
        <v>86</v>
      </c>
      <c r="P122" s="12" t="s">
        <v>2405</v>
      </c>
      <c r="Q122" s="23" t="s">
        <v>2396</v>
      </c>
    </row>
    <row r="123" spans="1:17" ht="14.25" customHeight="1">
      <c r="A123" s="12" t="str">
        <f t="shared" si="0"/>
        <v/>
      </c>
      <c r="B123" s="13" t="str">
        <f t="shared" si="1"/>
        <v>— at issue —</v>
      </c>
      <c r="C123" s="28" t="s">
        <v>2334</v>
      </c>
      <c r="D123" s="45" t="str">
        <f t="shared" si="2"/>
        <v/>
      </c>
      <c r="E123" s="45" t="s">
        <v>1686</v>
      </c>
      <c r="F123" s="45">
        <f t="array" ref="F123">IFERROR(INDEX('Batch Dates'!$G:$G,MATCH(J123,'Batch Dates'!$C:$C,0)),IFERROR(INDEX('Batch Dates'!$G:$G,MATCH(I123,'Batch Dates'!$B:$B,0)),""))</f>
        <v>45989</v>
      </c>
      <c r="G123" s="12" t="s">
        <v>851</v>
      </c>
      <c r="H123" s="12" t="s">
        <v>1680</v>
      </c>
      <c r="I123" s="13" t="s">
        <v>190</v>
      </c>
      <c r="J123" s="12" t="s">
        <v>189</v>
      </c>
      <c r="K123" s="12" t="s">
        <v>75</v>
      </c>
      <c r="L123" s="12" t="s">
        <v>856</v>
      </c>
      <c r="M123" s="28" t="s">
        <v>86</v>
      </c>
      <c r="N123" s="12" t="str">
        <f t="array" ref="N123">IFERROR(INDEX('CoQ Register'!$B:$B,MATCH("P050252|R",'CoQ Register'!$S:$S,0)),"—")</f>
        <v>— at issue —</v>
      </c>
      <c r="O123" s="28" t="s">
        <v>86</v>
      </c>
      <c r="P123" s="12" t="s">
        <v>2407</v>
      </c>
      <c r="Q123" s="23" t="s">
        <v>2396</v>
      </c>
    </row>
    <row r="124" spans="1:17" ht="14.25" customHeight="1">
      <c r="A124" s="12" t="str">
        <f t="shared" si="0"/>
        <v/>
      </c>
      <c r="B124" s="13" t="str">
        <f t="shared" si="1"/>
        <v>— at issue —</v>
      </c>
      <c r="C124" s="28" t="s">
        <v>2334</v>
      </c>
      <c r="D124" s="45" t="str">
        <f t="shared" si="2"/>
        <v/>
      </c>
      <c r="E124" s="45" t="s">
        <v>1686</v>
      </c>
      <c r="F124" s="45">
        <f t="array" ref="F124">IFERROR(INDEX('Batch Dates'!$G:$G,MATCH(J124,'Batch Dates'!$C:$C,0)),IFERROR(INDEX('Batch Dates'!$G:$G,MATCH(I124,'Batch Dates'!$B:$B,0)),""))</f>
        <v>45992</v>
      </c>
      <c r="G124" s="12" t="s">
        <v>851</v>
      </c>
      <c r="H124" s="12" t="s">
        <v>1680</v>
      </c>
      <c r="I124" s="13" t="s">
        <v>197</v>
      </c>
      <c r="J124" s="12" t="s">
        <v>196</v>
      </c>
      <c r="K124" s="12" t="s">
        <v>491</v>
      </c>
      <c r="L124" s="12" t="s">
        <v>856</v>
      </c>
      <c r="M124" s="28" t="s">
        <v>86</v>
      </c>
      <c r="N124" s="12" t="str">
        <f t="array" ref="N124">IFERROR(INDEX('CoQ Register'!$B:$B,MATCH("P050262|R",'CoQ Register'!$S:$S,0)),"—")</f>
        <v>— at issue —</v>
      </c>
      <c r="O124" s="28" t="s">
        <v>86</v>
      </c>
      <c r="P124" s="12" t="s">
        <v>2409</v>
      </c>
      <c r="Q124" s="23" t="s">
        <v>2396</v>
      </c>
    </row>
    <row r="125" spans="1:17" ht="14.25" customHeight="1">
      <c r="A125" s="12" t="str">
        <f t="shared" si="0"/>
        <v/>
      </c>
      <c r="B125" s="13" t="str">
        <f t="shared" si="1"/>
        <v>— at issue —</v>
      </c>
      <c r="C125" s="28" t="s">
        <v>2334</v>
      </c>
      <c r="D125" s="45" t="str">
        <f t="shared" si="2"/>
        <v/>
      </c>
      <c r="E125" s="45" t="s">
        <v>1686</v>
      </c>
      <c r="F125" s="45">
        <f t="array" ref="F125">IFERROR(INDEX('Batch Dates'!$G:$G,MATCH(J125,'Batch Dates'!$C:$C,0)),IFERROR(INDEX('Batch Dates'!$G:$G,MATCH(I125,'Batch Dates'!$B:$B,0)),""))</f>
        <v>45995</v>
      </c>
      <c r="G125" s="12" t="s">
        <v>851</v>
      </c>
      <c r="H125" s="12" t="s">
        <v>1714</v>
      </c>
      <c r="I125" s="13" t="s">
        <v>212</v>
      </c>
      <c r="J125" s="12" t="s">
        <v>211</v>
      </c>
      <c r="K125" s="12" t="s">
        <v>568</v>
      </c>
      <c r="L125" s="12" t="s">
        <v>856</v>
      </c>
      <c r="M125" s="28" t="s">
        <v>86</v>
      </c>
      <c r="N125" s="12" t="str">
        <f t="array" ref="N125">IFERROR(INDEX('CoQ Register'!$B:$B,MATCH("P050282|R",'CoQ Register'!$S:$S,0)),"—")</f>
        <v>— at issue —</v>
      </c>
      <c r="O125" s="28" t="s">
        <v>86</v>
      </c>
      <c r="P125" s="12" t="s">
        <v>2410</v>
      </c>
      <c r="Q125" s="23" t="s">
        <v>2396</v>
      </c>
    </row>
    <row r="126" spans="1:17" ht="14.25" customHeight="1">
      <c r="A126" s="12" t="str">
        <f t="shared" si="0"/>
        <v/>
      </c>
      <c r="B126" s="13" t="str">
        <f t="shared" si="1"/>
        <v>— at issue —</v>
      </c>
      <c r="C126" s="28" t="s">
        <v>2334</v>
      </c>
      <c r="D126" s="45" t="str">
        <f t="shared" si="2"/>
        <v/>
      </c>
      <c r="E126" s="45" t="s">
        <v>1686</v>
      </c>
      <c r="F126" s="45">
        <f t="array" ref="F126">IFERROR(INDEX('Batch Dates'!$G:$G,MATCH(J126,'Batch Dates'!$C:$C,0)),IFERROR(INDEX('Batch Dates'!$G:$G,MATCH(I126,'Batch Dates'!$B:$B,0)),""))</f>
        <v>46013</v>
      </c>
      <c r="G126" s="12" t="s">
        <v>851</v>
      </c>
      <c r="H126" s="12" t="s">
        <v>1714</v>
      </c>
      <c r="I126" s="13" t="s">
        <v>253</v>
      </c>
      <c r="J126" s="12" t="s">
        <v>252</v>
      </c>
      <c r="K126" s="12" t="s">
        <v>178</v>
      </c>
      <c r="L126" s="12" t="s">
        <v>856</v>
      </c>
      <c r="M126" s="28" t="s">
        <v>86</v>
      </c>
      <c r="N126" s="12" t="str">
        <f t="array" ref="N126">IFERROR(INDEX('CoQ Register'!$B:$B,MATCH("P050302|R",'CoQ Register'!$S:$S,0)),"—")</f>
        <v>— at issue —</v>
      </c>
      <c r="O126" s="28" t="s">
        <v>86</v>
      </c>
      <c r="P126" s="12" t="s">
        <v>2411</v>
      </c>
      <c r="Q126" s="23" t="s">
        <v>2396</v>
      </c>
    </row>
    <row r="127" spans="1:17" ht="14.25" customHeight="1">
      <c r="A127" s="12" t="str">
        <f t="shared" si="0"/>
        <v/>
      </c>
      <c r="B127" s="13" t="str">
        <f t="shared" si="1"/>
        <v>— at issue —</v>
      </c>
      <c r="C127" s="28" t="s">
        <v>2334</v>
      </c>
      <c r="D127" s="45" t="str">
        <f t="shared" si="2"/>
        <v/>
      </c>
      <c r="E127" s="45" t="s">
        <v>1686</v>
      </c>
      <c r="F127" s="45">
        <f t="array" ref="F127">IFERROR(INDEX('Batch Dates'!$G:$G,MATCH(J127,'Batch Dates'!$C:$C,0)),IFERROR(INDEX('Batch Dates'!$G:$G,MATCH(I127,'Batch Dates'!$B:$B,0)),""))</f>
        <v>46017</v>
      </c>
      <c r="G127" s="12" t="s">
        <v>851</v>
      </c>
      <c r="H127" s="12" t="s">
        <v>1714</v>
      </c>
      <c r="I127" s="13" t="s">
        <v>244</v>
      </c>
      <c r="J127" s="12" t="s">
        <v>243</v>
      </c>
      <c r="K127" s="12" t="s">
        <v>178</v>
      </c>
      <c r="L127" s="12" t="s">
        <v>856</v>
      </c>
      <c r="M127" s="28" t="s">
        <v>86</v>
      </c>
      <c r="N127" s="12" t="str">
        <f t="array" ref="N127">IFERROR(INDEX('CoQ Register'!$B:$B,MATCH("P050312|R",'CoQ Register'!$S:$S,0)),"—")</f>
        <v>— at issue —</v>
      </c>
      <c r="O127" s="28" t="s">
        <v>86</v>
      </c>
      <c r="P127" s="12" t="s">
        <v>2412</v>
      </c>
      <c r="Q127" s="23" t="s">
        <v>2396</v>
      </c>
    </row>
    <row r="128" spans="1:17" ht="14.25" customHeight="1">
      <c r="A128" s="12" t="str">
        <f t="shared" si="0"/>
        <v/>
      </c>
      <c r="B128" s="13" t="str">
        <f t="shared" si="1"/>
        <v>— at issue —</v>
      </c>
      <c r="C128" s="28" t="s">
        <v>2334</v>
      </c>
      <c r="D128" s="45" t="str">
        <f t="shared" si="2"/>
        <v/>
      </c>
      <c r="E128" s="45" t="s">
        <v>1686</v>
      </c>
      <c r="F128" s="45">
        <f t="array" ref="F128">IFERROR(INDEX('Batch Dates'!$G:$G,MATCH(J128,'Batch Dates'!$C:$C,0)),IFERROR(INDEX('Batch Dates'!$G:$G,MATCH(I128,'Batch Dates'!$B:$B,0)),""))</f>
        <v>46036</v>
      </c>
      <c r="G128" s="12" t="s">
        <v>851</v>
      </c>
      <c r="H128" s="12" t="s">
        <v>1714</v>
      </c>
      <c r="I128" s="13" t="s">
        <v>170</v>
      </c>
      <c r="J128" s="12" t="s">
        <v>169</v>
      </c>
      <c r="K128" s="12" t="s">
        <v>167</v>
      </c>
      <c r="L128" s="12" t="s">
        <v>856</v>
      </c>
      <c r="M128" s="28" t="s">
        <v>86</v>
      </c>
      <c r="N128" s="12" t="str">
        <f t="array" ref="N128">IFERROR(INDEX('CoQ Register'!$B:$B,MATCH("P060012|R",'CoQ Register'!$S:$S,0)),"—")</f>
        <v>— at issue —</v>
      </c>
      <c r="O128" s="28" t="s">
        <v>86</v>
      </c>
      <c r="P128" s="12" t="s">
        <v>2414</v>
      </c>
      <c r="Q128" s="23" t="s">
        <v>2396</v>
      </c>
    </row>
    <row r="129" spans="1:17" ht="14.25" customHeight="1">
      <c r="A129" s="12" t="str">
        <f t="shared" si="0"/>
        <v/>
      </c>
      <c r="B129" s="13" t="str">
        <f t="shared" si="1"/>
        <v>— at issue —</v>
      </c>
      <c r="C129" s="28" t="s">
        <v>2334</v>
      </c>
      <c r="D129" s="45" t="str">
        <f t="shared" si="2"/>
        <v/>
      </c>
      <c r="E129" s="45" t="s">
        <v>1686</v>
      </c>
      <c r="F129" s="45">
        <f t="array" ref="F129">IFERROR(INDEX('Batch Dates'!$G:$G,MATCH(J129,'Batch Dates'!$C:$C,0)),IFERROR(INDEX('Batch Dates'!$G:$G,MATCH(I129,'Batch Dates'!$B:$B,0)),""))</f>
        <v>46038</v>
      </c>
      <c r="G129" s="12" t="s">
        <v>851</v>
      </c>
      <c r="H129" s="12" t="s">
        <v>1714</v>
      </c>
      <c r="I129" s="13" t="s">
        <v>82</v>
      </c>
      <c r="J129" s="12" t="s">
        <v>78</v>
      </c>
      <c r="K129" s="12" t="s">
        <v>75</v>
      </c>
      <c r="L129" s="12" t="s">
        <v>856</v>
      </c>
      <c r="M129" s="28" t="s">
        <v>86</v>
      </c>
      <c r="N129" s="12" t="str">
        <f t="array" ref="N129">IFERROR(INDEX('CoQ Register'!$B:$B,MATCH("P060022|R",'CoQ Register'!$S:$S,0)),"—")</f>
        <v>— at issue —</v>
      </c>
      <c r="O129" s="28" t="s">
        <v>86</v>
      </c>
      <c r="P129" s="12" t="s">
        <v>2415</v>
      </c>
      <c r="Q129" s="23" t="s">
        <v>2396</v>
      </c>
    </row>
    <row r="130" spans="1:17" ht="14.25" customHeight="1">
      <c r="A130" s="12" t="str">
        <f t="shared" si="0"/>
        <v/>
      </c>
      <c r="B130" s="13" t="str">
        <f t="shared" si="1"/>
        <v>— at issue —</v>
      </c>
      <c r="C130" s="28" t="s">
        <v>2334</v>
      </c>
      <c r="D130" s="45" t="str">
        <f t="shared" si="2"/>
        <v/>
      </c>
      <c r="E130" s="45" t="s">
        <v>1686</v>
      </c>
      <c r="F130" s="45">
        <f t="array" ref="F130">IFERROR(INDEX('Batch Dates'!$G:$G,MATCH(J130,'Batch Dates'!$C:$C,0)),IFERROR(INDEX('Batch Dates'!$G:$G,MATCH(I130,'Batch Dates'!$B:$B,0)),""))</f>
        <v>46012</v>
      </c>
      <c r="G130" s="12" t="s">
        <v>851</v>
      </c>
      <c r="H130" s="12" t="s">
        <v>1680</v>
      </c>
      <c r="I130" s="13" t="s">
        <v>259</v>
      </c>
      <c r="J130" s="12" t="s">
        <v>254</v>
      </c>
      <c r="K130" s="12" t="s">
        <v>178</v>
      </c>
      <c r="L130" s="12" t="s">
        <v>856</v>
      </c>
      <c r="M130" s="28" t="s">
        <v>86</v>
      </c>
      <c r="N130" s="12" t="str">
        <f t="array" ref="N130">IFERROR(INDEX('CoQ Register'!$B:$B,MATCH("P050292|R",'CoQ Register'!$S:$S,0)),"—")</f>
        <v>— at issue —</v>
      </c>
      <c r="O130" s="28" t="s">
        <v>86</v>
      </c>
      <c r="P130" s="12" t="s">
        <v>2417</v>
      </c>
      <c r="Q130" s="23" t="s">
        <v>2396</v>
      </c>
    </row>
    <row r="131" spans="1:17" ht="14.25" customHeight="1">
      <c r="A131" s="12" t="str">
        <f t="shared" si="0"/>
        <v/>
      </c>
      <c r="B131" s="13" t="str">
        <f t="shared" si="1"/>
        <v>— at issue —</v>
      </c>
      <c r="C131" s="28" t="s">
        <v>2334</v>
      </c>
      <c r="D131" s="45" t="str">
        <f t="shared" si="2"/>
        <v/>
      </c>
      <c r="E131" s="45" t="s">
        <v>1686</v>
      </c>
      <c r="F131" s="45">
        <f t="array" ref="F131">IFERROR(INDEX('Batch Dates'!$G:$G,MATCH(J131,'Batch Dates'!$C:$C,0)),IFERROR(INDEX('Batch Dates'!$G:$G,MATCH(I131,'Batch Dates'!$B:$B,0)),""))</f>
        <v>45994</v>
      </c>
      <c r="G131" s="12" t="s">
        <v>851</v>
      </c>
      <c r="H131" s="12" t="s">
        <v>1680</v>
      </c>
      <c r="I131" s="13" t="s">
        <v>219</v>
      </c>
      <c r="J131" s="12" t="s">
        <v>217</v>
      </c>
      <c r="K131" s="12" t="s">
        <v>307</v>
      </c>
      <c r="L131" s="12" t="s">
        <v>856</v>
      </c>
      <c r="M131" s="28" t="s">
        <v>86</v>
      </c>
      <c r="N131" s="12" t="str">
        <f t="array" ref="N131">IFERROR(INDEX('CoQ Register'!$B:$B,MATCH("P050272|R",'CoQ Register'!$S:$S,0)),"—")</f>
        <v>— at issue —</v>
      </c>
      <c r="O131" s="28" t="s">
        <v>86</v>
      </c>
      <c r="P131" s="12" t="s">
        <v>2419</v>
      </c>
      <c r="Q131" s="23" t="s">
        <v>2396</v>
      </c>
    </row>
    <row r="132" spans="1:17" ht="14.25" customHeight="1">
      <c r="A132" s="12" t="str">
        <f t="shared" si="0"/>
        <v/>
      </c>
      <c r="B132" s="13" t="str">
        <f t="shared" si="1"/>
        <v>— at issue —</v>
      </c>
      <c r="C132" s="28" t="s">
        <v>2334</v>
      </c>
      <c r="D132" s="45" t="str">
        <f t="shared" si="2"/>
        <v/>
      </c>
      <c r="E132" s="45" t="s">
        <v>1686</v>
      </c>
      <c r="F132" s="45">
        <f t="array" ref="F132">IFERROR(INDEX('Batch Dates'!$G:$G,MATCH(J132,'Batch Dates'!$C:$C,0)),IFERROR(INDEX('Batch Dates'!$G:$G,MATCH(I132,'Batch Dates'!$B:$B,0)),""))</f>
        <v>46051</v>
      </c>
      <c r="G132" s="12" t="s">
        <v>851</v>
      </c>
      <c r="H132" s="12" t="s">
        <v>1714</v>
      </c>
      <c r="I132" s="13" t="s">
        <v>116</v>
      </c>
      <c r="J132" s="12" t="s">
        <v>109</v>
      </c>
      <c r="K132" s="12" t="s">
        <v>103</v>
      </c>
      <c r="L132" s="12" t="s">
        <v>856</v>
      </c>
      <c r="M132" s="28" t="s">
        <v>86</v>
      </c>
      <c r="N132" s="12" t="str">
        <f t="array" ref="N132">IFERROR(INDEX('CoQ Register'!$B:$B,MATCH("P060042|R",'CoQ Register'!$S:$S,0)),"—")</f>
        <v>— at issue —</v>
      </c>
      <c r="O132" s="28" t="s">
        <v>86</v>
      </c>
      <c r="P132" s="12" t="s">
        <v>2421</v>
      </c>
      <c r="Q132" s="23" t="s">
        <v>2396</v>
      </c>
    </row>
    <row r="133" spans="1:17" ht="14.25" customHeight="1">
      <c r="A133" s="12" t="str">
        <f t="shared" si="0"/>
        <v/>
      </c>
      <c r="B133" s="13" t="str">
        <f t="shared" si="1"/>
        <v>— at issue —</v>
      </c>
      <c r="C133" s="28" t="s">
        <v>2334</v>
      </c>
      <c r="D133" s="45" t="str">
        <f t="shared" si="2"/>
        <v/>
      </c>
      <c r="E133" s="45" t="s">
        <v>1686</v>
      </c>
      <c r="F133" s="45">
        <f t="array" ref="F133">IFERROR(INDEX('Batch Dates'!$G:$G,MATCH(J133,'Batch Dates'!$C:$C,0)),IFERROR(INDEX('Batch Dates'!$G:$G,MATCH(I133,'Batch Dates'!$B:$B,0)),""))</f>
        <v>46055</v>
      </c>
      <c r="G133" s="12" t="s">
        <v>851</v>
      </c>
      <c r="H133" s="12" t="s">
        <v>1714</v>
      </c>
      <c r="I133" s="13" t="s">
        <v>137</v>
      </c>
      <c r="J133" s="12" t="s">
        <v>127</v>
      </c>
      <c r="K133" s="12" t="s">
        <v>75</v>
      </c>
      <c r="L133" s="12" t="s">
        <v>856</v>
      </c>
      <c r="M133" s="28" t="s">
        <v>86</v>
      </c>
      <c r="N133" s="12" t="str">
        <f t="array" ref="N133">IFERROR(INDEX('CoQ Register'!$B:$B,MATCH("P060072|R",'CoQ Register'!$S:$S,0)),"—")</f>
        <v>— at issue —</v>
      </c>
      <c r="O133" s="28" t="s">
        <v>86</v>
      </c>
      <c r="P133" s="12" t="s">
        <v>2423</v>
      </c>
      <c r="Q133" s="23" t="s">
        <v>2396</v>
      </c>
    </row>
    <row r="134" spans="1:17" ht="14.25" customHeight="1">
      <c r="A134" s="12" t="str">
        <f t="shared" si="0"/>
        <v/>
      </c>
      <c r="B134" s="13" t="str">
        <f t="shared" si="1"/>
        <v>— at issue —</v>
      </c>
      <c r="C134" s="28" t="s">
        <v>2334</v>
      </c>
      <c r="D134" s="45" t="str">
        <f t="shared" si="2"/>
        <v/>
      </c>
      <c r="E134" s="45" t="s">
        <v>1686</v>
      </c>
      <c r="F134" s="45">
        <f t="array" ref="F134">IFERROR(INDEX('Batch Dates'!$G:$G,MATCH(J134,'Batch Dates'!$C:$C,0)),IFERROR(INDEX('Batch Dates'!$G:$G,MATCH(I134,'Batch Dates'!$B:$B,0)),""))</f>
        <v>46055</v>
      </c>
      <c r="G134" s="12" t="s">
        <v>851</v>
      </c>
      <c r="H134" s="12" t="s">
        <v>1714</v>
      </c>
      <c r="I134" s="13" t="s">
        <v>151</v>
      </c>
      <c r="J134" s="12" t="s">
        <v>149</v>
      </c>
      <c r="K134" s="12"/>
      <c r="L134" s="12" t="s">
        <v>856</v>
      </c>
      <c r="M134" s="28" t="s">
        <v>86</v>
      </c>
      <c r="N134" s="12" t="str">
        <f t="array" ref="N134">IFERROR(INDEX('CoQ Register'!$B:$B,MATCH("P060082|R",'CoQ Register'!$S:$S,0)),"—")</f>
        <v>— at issue —</v>
      </c>
      <c r="O134" s="28" t="s">
        <v>86</v>
      </c>
      <c r="P134" s="12" t="s">
        <v>2424</v>
      </c>
      <c r="Q134" s="23" t="s">
        <v>2396</v>
      </c>
    </row>
    <row r="135" spans="1:17" ht="14.25" customHeight="1">
      <c r="A135" s="12" t="str">
        <f t="shared" si="0"/>
        <v/>
      </c>
      <c r="B135" s="13" t="str">
        <f t="shared" si="1"/>
        <v>— at issue —</v>
      </c>
      <c r="C135" s="28" t="s">
        <v>2334</v>
      </c>
      <c r="D135" s="45" t="str">
        <f t="shared" si="2"/>
        <v/>
      </c>
      <c r="E135" s="45" t="s">
        <v>1686</v>
      </c>
      <c r="F135" s="45">
        <f t="array" ref="F135">IFERROR(INDEX('Batch Dates'!$G:$G,MATCH(J135,'Batch Dates'!$C:$C,0)),IFERROR(INDEX('Batch Dates'!$G:$G,MATCH(I135,'Batch Dates'!$B:$B,0)),""))</f>
        <v>46062</v>
      </c>
      <c r="G135" s="12" t="s">
        <v>851</v>
      </c>
      <c r="H135" s="12" t="s">
        <v>1714</v>
      </c>
      <c r="I135" s="13" t="s">
        <v>180</v>
      </c>
      <c r="J135" s="12" t="s">
        <v>179</v>
      </c>
      <c r="K135" s="12" t="s">
        <v>178</v>
      </c>
      <c r="L135" s="12" t="s">
        <v>856</v>
      </c>
      <c r="M135" s="28" t="s">
        <v>86</v>
      </c>
      <c r="N135" s="12" t="str">
        <f t="array" ref="N135">IFERROR(INDEX('CoQ Register'!$B:$B,MATCH("P060092|R",'CoQ Register'!$S:$S,0)),"—")</f>
        <v>— at issue —</v>
      </c>
      <c r="O135" s="28" t="s">
        <v>86</v>
      </c>
      <c r="P135" s="12" t="s">
        <v>2425</v>
      </c>
      <c r="Q135" s="23" t="s">
        <v>2396</v>
      </c>
    </row>
    <row r="136" spans="1:17" ht="14.25" customHeight="1">
      <c r="A136" s="12" t="str">
        <f t="shared" si="0"/>
        <v/>
      </c>
      <c r="B136" s="13" t="str">
        <f t="shared" si="1"/>
        <v>— at issue —</v>
      </c>
      <c r="C136" s="28" t="s">
        <v>2334</v>
      </c>
      <c r="D136" s="45" t="str">
        <f t="shared" si="2"/>
        <v/>
      </c>
      <c r="E136" s="45" t="s">
        <v>1686</v>
      </c>
      <c r="F136" s="45">
        <f t="array" ref="F136">IFERROR(INDEX('Batch Dates'!$G:$G,MATCH(J136,'Batch Dates'!$C:$C,0)),IFERROR(INDEX('Batch Dates'!$G:$G,MATCH(I136,'Batch Dates'!$B:$B,0)),""))</f>
        <v>46052</v>
      </c>
      <c r="G136" s="12" t="s">
        <v>851</v>
      </c>
      <c r="H136" s="12" t="s">
        <v>1680</v>
      </c>
      <c r="I136" s="13" t="s">
        <v>154</v>
      </c>
      <c r="J136" s="12" t="s">
        <v>153</v>
      </c>
      <c r="K136" s="12" t="s">
        <v>152</v>
      </c>
      <c r="L136" s="12" t="s">
        <v>856</v>
      </c>
      <c r="M136" s="28" t="s">
        <v>86</v>
      </c>
      <c r="N136" s="12" t="str">
        <f t="array" ref="N136">IFERROR(INDEX('CoQ Register'!$B:$B,MATCH("P060052|R",'CoQ Register'!$S:$S,0)),"—")</f>
        <v>— at issue —</v>
      </c>
      <c r="O136" s="28" t="s">
        <v>86</v>
      </c>
      <c r="P136" s="12" t="s">
        <v>2427</v>
      </c>
      <c r="Q136" s="23" t="s">
        <v>2396</v>
      </c>
    </row>
    <row r="137" spans="1:17" ht="14.25" customHeight="1">
      <c r="A137" s="12" t="str">
        <f t="shared" si="0"/>
        <v/>
      </c>
      <c r="B137" s="13" t="str">
        <f t="shared" si="1"/>
        <v>— at issue —</v>
      </c>
      <c r="C137" s="28" t="s">
        <v>2334</v>
      </c>
      <c r="D137" s="45" t="str">
        <f t="shared" si="2"/>
        <v/>
      </c>
      <c r="E137" s="45" t="s">
        <v>1686</v>
      </c>
      <c r="F137" s="45">
        <f t="array" ref="F137">IFERROR(INDEX('Batch Dates'!$G:$G,MATCH(J137,'Batch Dates'!$C:$C,0)),IFERROR(INDEX('Batch Dates'!$G:$G,MATCH(I137,'Batch Dates'!$B:$B,0)),""))</f>
        <v>46090</v>
      </c>
      <c r="G137" s="12" t="s">
        <v>851</v>
      </c>
      <c r="H137" s="12" t="s">
        <v>1680</v>
      </c>
      <c r="I137" s="13" t="s">
        <v>611</v>
      </c>
      <c r="J137" s="12" t="s">
        <v>614</v>
      </c>
      <c r="K137" s="12" t="s">
        <v>485</v>
      </c>
      <c r="L137" s="12" t="s">
        <v>856</v>
      </c>
      <c r="M137" s="28" t="s">
        <v>86</v>
      </c>
      <c r="N137" s="12" t="str">
        <f t="array" ref="N137">IFERROR(INDEX('CoQ Register'!$B:$B,MATCH("P060162|R",'CoQ Register'!$S:$S,0)),"—")</f>
        <v>— at issue —</v>
      </c>
      <c r="O137" s="28" t="s">
        <v>86</v>
      </c>
      <c r="P137" s="12" t="s">
        <v>2428</v>
      </c>
      <c r="Q137" s="23" t="s">
        <v>2396</v>
      </c>
    </row>
    <row r="138" spans="1:17" ht="14.25" customHeight="1">
      <c r="A138" s="12" t="str">
        <f t="shared" si="0"/>
        <v/>
      </c>
      <c r="B138" s="13" t="str">
        <f t="shared" si="1"/>
        <v>— at issue —</v>
      </c>
      <c r="C138" s="28" t="s">
        <v>2334</v>
      </c>
      <c r="D138" s="45" t="str">
        <f t="shared" si="2"/>
        <v/>
      </c>
      <c r="E138" s="45" t="s">
        <v>1686</v>
      </c>
      <c r="F138" s="45">
        <f t="array" ref="F138">IFERROR(INDEX('Batch Dates'!$G:$G,MATCH(J138,'Batch Dates'!$C:$C,0)),IFERROR(INDEX('Batch Dates'!$G:$G,MATCH(I138,'Batch Dates'!$B:$B,0)),""))</f>
        <v>46112</v>
      </c>
      <c r="G138" s="12" t="s">
        <v>851</v>
      </c>
      <c r="H138" s="12" t="s">
        <v>1714</v>
      </c>
      <c r="I138" s="13" t="s">
        <v>617</v>
      </c>
      <c r="J138" s="12" t="s">
        <v>619</v>
      </c>
      <c r="K138" s="12" t="s">
        <v>147</v>
      </c>
      <c r="L138" s="12" t="s">
        <v>856</v>
      </c>
      <c r="M138" s="28" t="s">
        <v>86</v>
      </c>
      <c r="N138" s="12" t="str">
        <f t="array" ref="N138">IFERROR(INDEX('CoQ Register'!$B:$B,MATCH("P060192|R",'CoQ Register'!$S:$S,0)),"—")</f>
        <v>— at issue —</v>
      </c>
      <c r="O138" s="28" t="s">
        <v>86</v>
      </c>
      <c r="P138" s="12" t="s">
        <v>2429</v>
      </c>
      <c r="Q138" s="23" t="s">
        <v>2396</v>
      </c>
    </row>
    <row r="139" spans="1:17" ht="14.25" customHeight="1">
      <c r="A139" s="12" t="str">
        <f t="shared" si="0"/>
        <v/>
      </c>
      <c r="B139" s="13" t="str">
        <f t="shared" si="1"/>
        <v>— at issue —</v>
      </c>
      <c r="C139" s="28" t="s">
        <v>2334</v>
      </c>
      <c r="D139" s="45" t="str">
        <f t="shared" si="2"/>
        <v/>
      </c>
      <c r="E139" s="45" t="s">
        <v>1686</v>
      </c>
      <c r="F139" s="45">
        <f t="array" ref="F139">IFERROR(INDEX('Batch Dates'!$G:$G,MATCH(J139,'Batch Dates'!$C:$C,0)),IFERROR(INDEX('Batch Dates'!$G:$G,MATCH(I139,'Batch Dates'!$B:$B,0)),""))</f>
        <v>46136</v>
      </c>
      <c r="G139" s="12" t="s">
        <v>851</v>
      </c>
      <c r="H139" s="12" t="s">
        <v>1680</v>
      </c>
      <c r="I139" s="13" t="s">
        <v>379</v>
      </c>
      <c r="J139" s="12" t="s">
        <v>380</v>
      </c>
      <c r="K139" s="12" t="s">
        <v>103</v>
      </c>
      <c r="L139" s="12" t="s">
        <v>856</v>
      </c>
      <c r="M139" s="28" t="s">
        <v>86</v>
      </c>
      <c r="N139" s="12" t="str">
        <f t="array" ref="N139">IFERROR(INDEX('CoQ Register'!$B:$B,MATCH("P060222|R",'CoQ Register'!$S:$S,0)),"—")</f>
        <v>— at issue —</v>
      </c>
      <c r="O139" s="28" t="s">
        <v>86</v>
      </c>
      <c r="P139" s="12" t="s">
        <v>2430</v>
      </c>
      <c r="Q139" s="23" t="s">
        <v>2396</v>
      </c>
    </row>
    <row r="140" spans="1:17" ht="14.25" customHeight="1">
      <c r="A140" s="12" t="str">
        <f t="shared" si="0"/>
        <v/>
      </c>
      <c r="B140" s="13" t="str">
        <f t="shared" si="1"/>
        <v>— at issue —</v>
      </c>
      <c r="C140" s="28" t="s">
        <v>2334</v>
      </c>
      <c r="D140" s="45" t="str">
        <f t="shared" si="2"/>
        <v/>
      </c>
      <c r="E140" s="45" t="s">
        <v>1686</v>
      </c>
      <c r="F140" s="45">
        <f t="array" ref="F140">IFERROR(INDEX('Batch Dates'!$G:$G,MATCH(J140,'Batch Dates'!$C:$C,0)),IFERROR(INDEX('Batch Dates'!$G:$G,MATCH(I140,'Batch Dates'!$B:$B,0)),""))</f>
        <v>46093</v>
      </c>
      <c r="G140" s="12" t="s">
        <v>851</v>
      </c>
      <c r="H140" s="12" t="s">
        <v>1714</v>
      </c>
      <c r="I140" s="13" t="s">
        <v>355</v>
      </c>
      <c r="J140" s="12" t="s">
        <v>357</v>
      </c>
      <c r="K140" s="12" t="s">
        <v>359</v>
      </c>
      <c r="L140" s="12" t="s">
        <v>856</v>
      </c>
      <c r="M140" s="28" t="s">
        <v>86</v>
      </c>
      <c r="N140" s="12" t="str">
        <f t="array" ref="N140">IFERROR(INDEX('CoQ Register'!$B:$B,MATCH("P060172|R",'CoQ Register'!$S:$S,0)),"—")</f>
        <v>— at issue —</v>
      </c>
      <c r="O140" s="28" t="s">
        <v>86</v>
      </c>
      <c r="P140" s="12" t="s">
        <v>2431</v>
      </c>
      <c r="Q140" s="23" t="s">
        <v>2396</v>
      </c>
    </row>
    <row r="141" spans="1:17" ht="14.25" customHeight="1">
      <c r="A141" s="12" t="str">
        <f t="shared" si="0"/>
        <v/>
      </c>
      <c r="B141" s="13" t="str">
        <f t="shared" si="1"/>
        <v>— at issue —</v>
      </c>
      <c r="C141" s="28" t="s">
        <v>2334</v>
      </c>
      <c r="D141" s="45" t="str">
        <f t="shared" si="2"/>
        <v/>
      </c>
      <c r="E141" s="45" t="s">
        <v>1686</v>
      </c>
      <c r="F141" s="45">
        <f t="array" ref="F141">IFERROR(INDEX('Batch Dates'!$G:$G,MATCH(J141,'Batch Dates'!$C:$C,0)),IFERROR(INDEX('Batch Dates'!$G:$G,MATCH(I141,'Batch Dates'!$B:$B,0)),""))</f>
        <v>46095</v>
      </c>
      <c r="G141" s="12" t="s">
        <v>851</v>
      </c>
      <c r="H141" s="12" t="s">
        <v>1680</v>
      </c>
      <c r="I141" s="13" t="s">
        <v>283</v>
      </c>
      <c r="J141" s="12" t="s">
        <v>416</v>
      </c>
      <c r="K141" s="12" t="s">
        <v>1342</v>
      </c>
      <c r="L141" s="12" t="s">
        <v>856</v>
      </c>
      <c r="M141" s="28" t="s">
        <v>86</v>
      </c>
      <c r="N141" s="12" t="str">
        <f t="array" ref="N141">IFERROR(INDEX('CoQ Register'!$B:$B,MATCH("P060182|R",'CoQ Register'!$S:$S,0)),"—")</f>
        <v>— at issue —</v>
      </c>
      <c r="O141" s="28" t="s">
        <v>86</v>
      </c>
      <c r="P141" s="12" t="s">
        <v>2433</v>
      </c>
      <c r="Q141" s="23" t="s">
        <v>2396</v>
      </c>
    </row>
    <row r="142" spans="1:17" ht="14.25" customHeight="1">
      <c r="A142" s="12" t="str">
        <f t="shared" si="0"/>
        <v/>
      </c>
      <c r="B142" s="13" t="str">
        <f t="shared" si="1"/>
        <v>— at issue —</v>
      </c>
      <c r="C142" s="28" t="s">
        <v>2334</v>
      </c>
      <c r="D142" s="45" t="str">
        <f t="shared" si="2"/>
        <v/>
      </c>
      <c r="E142" s="45" t="s">
        <v>1686</v>
      </c>
      <c r="F142" s="45">
        <f t="array" ref="F142">IFERROR(INDEX('Batch Dates'!$G:$G,MATCH(J142,'Batch Dates'!$C:$C,0)),IFERROR(INDEX('Batch Dates'!$G:$G,MATCH(I142,'Batch Dates'!$B:$B,0)),""))</f>
        <v>46129</v>
      </c>
      <c r="G142" s="12" t="s">
        <v>851</v>
      </c>
      <c r="H142" s="12" t="s">
        <v>1680</v>
      </c>
      <c r="I142" s="13" t="s">
        <v>310</v>
      </c>
      <c r="J142" s="12" t="s">
        <v>311</v>
      </c>
      <c r="K142" s="12" t="s">
        <v>277</v>
      </c>
      <c r="L142" s="12" t="s">
        <v>856</v>
      </c>
      <c r="M142" s="28" t="s">
        <v>86</v>
      </c>
      <c r="N142" s="12" t="str">
        <f t="array" ref="N142">IFERROR(INDEX('CoQ Register'!$B:$B,MATCH("P060202|R",'CoQ Register'!$S:$S,0)),"—")</f>
        <v>— at issue —</v>
      </c>
      <c r="O142" s="28" t="s">
        <v>86</v>
      </c>
      <c r="P142" s="12" t="s">
        <v>2434</v>
      </c>
      <c r="Q142" s="23" t="s">
        <v>2396</v>
      </c>
    </row>
    <row r="143" spans="1:17" ht="14.25" customHeight="1">
      <c r="A143" s="12" t="str">
        <f t="shared" si="0"/>
        <v/>
      </c>
      <c r="B143" s="13" t="str">
        <f t="shared" si="1"/>
        <v>— at issue —</v>
      </c>
      <c r="C143" s="28" t="s">
        <v>2334</v>
      </c>
      <c r="D143" s="45" t="str">
        <f t="shared" si="2"/>
        <v/>
      </c>
      <c r="E143" s="45" t="s">
        <v>1686</v>
      </c>
      <c r="F143" s="45" t="str">
        <f t="array" ref="F143">IFERROR(INDEX('Batch Dates'!$G:$G,MATCH(J143,'Batch Dates'!$C:$C,0)),IFERROR(INDEX('Batch Dates'!$G:$G,MATCH(I143,'Batch Dates'!$B:$B,0)),""))</f>
        <v/>
      </c>
      <c r="G143" s="12" t="s">
        <v>86</v>
      </c>
      <c r="H143" s="12" t="s">
        <v>1714</v>
      </c>
      <c r="I143" s="13" t="s">
        <v>349</v>
      </c>
      <c r="J143" s="12" t="s">
        <v>425</v>
      </c>
      <c r="K143" s="12" t="s">
        <v>331</v>
      </c>
      <c r="L143" s="12" t="s">
        <v>856</v>
      </c>
      <c r="M143" s="28" t="s">
        <v>86</v>
      </c>
      <c r="N143" s="12" t="str">
        <f t="array" ref="N143">IFERROR(INDEX('CoQ Register'!$B:$B,MATCH("JD112501|R",'CoQ Register'!$S:$S,0)),"—")</f>
        <v>— at issue —</v>
      </c>
      <c r="O143" s="28" t="s">
        <v>86</v>
      </c>
      <c r="P143" s="12" t="s">
        <v>2436</v>
      </c>
      <c r="Q143" s="23" t="s">
        <v>2396</v>
      </c>
    </row>
    <row r="144" spans="1:17" ht="14.25" customHeight="1">
      <c r="A144" s="12" t="str">
        <f t="shared" si="0"/>
        <v/>
      </c>
      <c r="B144" s="13" t="str">
        <f t="shared" si="1"/>
        <v>— at issue —</v>
      </c>
      <c r="C144" s="28" t="s">
        <v>2334</v>
      </c>
      <c r="D144" s="45" t="str">
        <f t="shared" si="2"/>
        <v/>
      </c>
      <c r="E144" s="45" t="s">
        <v>1686</v>
      </c>
      <c r="F144" s="45">
        <f t="array" ref="F144">IFERROR(INDEX('Batch Dates'!$G:$G,MATCH(J144,'Batch Dates'!$C:$C,0)),IFERROR(INDEX('Batch Dates'!$G:$G,MATCH(I144,'Batch Dates'!$B:$B,0)),""))</f>
        <v>46139</v>
      </c>
      <c r="G144" s="12" t="s">
        <v>851</v>
      </c>
      <c r="H144" s="12" t="s">
        <v>1714</v>
      </c>
      <c r="I144" s="13" t="s">
        <v>471</v>
      </c>
      <c r="J144" s="12" t="s">
        <v>474</v>
      </c>
      <c r="K144" s="12" t="s">
        <v>158</v>
      </c>
      <c r="L144" s="12" t="s">
        <v>856</v>
      </c>
      <c r="M144" s="28" t="s">
        <v>86</v>
      </c>
      <c r="N144" s="12" t="str">
        <f t="array" ref="N144">IFERROR(INDEX('CoQ Register'!$B:$B,MATCH("P060232|R",'CoQ Register'!$S:$S,0)),"—")</f>
        <v>— at issue —</v>
      </c>
      <c r="O144" s="28" t="s">
        <v>86</v>
      </c>
      <c r="P144" s="12" t="s">
        <v>2437</v>
      </c>
      <c r="Q144" s="23" t="s">
        <v>2396</v>
      </c>
    </row>
    <row r="145" spans="1:17" ht="14.25" customHeight="1">
      <c r="A145" s="12" t="str">
        <f t="shared" si="0"/>
        <v/>
      </c>
      <c r="B145" s="13" t="str">
        <f t="shared" si="1"/>
        <v>— at issue —</v>
      </c>
      <c r="C145" s="28" t="s">
        <v>2334</v>
      </c>
      <c r="D145" s="45" t="str">
        <f t="shared" si="2"/>
        <v/>
      </c>
      <c r="E145" s="45" t="s">
        <v>1686</v>
      </c>
      <c r="F145" s="45">
        <f t="array" ref="F145">IFERROR(INDEX('Batch Dates'!$G:$G,MATCH(J145,'Batch Dates'!$C:$C,0)),IFERROR(INDEX('Batch Dates'!$G:$G,MATCH(I145,'Batch Dates'!$B:$B,0)),""))</f>
        <v>46160</v>
      </c>
      <c r="G145" s="12" t="s">
        <v>1477</v>
      </c>
      <c r="H145" s="12" t="s">
        <v>1680</v>
      </c>
      <c r="I145" s="13" t="s">
        <v>161</v>
      </c>
      <c r="J145" s="12" t="s">
        <v>162</v>
      </c>
      <c r="K145" s="12" t="s">
        <v>1489</v>
      </c>
      <c r="L145" s="12" t="s">
        <v>856</v>
      </c>
      <c r="M145" s="28" t="s">
        <v>86</v>
      </c>
      <c r="N145" s="12" t="str">
        <f t="array" ref="N145">IFERROR(INDEX('CoQ Register'!$B:$B,MATCH("P060272|R",'CoQ Register'!$S:$S,0)),"—")</f>
        <v>— at issue —</v>
      </c>
      <c r="O145" s="28" t="s">
        <v>86</v>
      </c>
      <c r="P145" s="12" t="s">
        <v>2439</v>
      </c>
      <c r="Q145" s="23" t="s">
        <v>2396</v>
      </c>
    </row>
    <row r="146" spans="1:17" ht="14.25" customHeight="1">
      <c r="A146" s="12" t="str">
        <f t="shared" si="0"/>
        <v/>
      </c>
      <c r="B146" s="13" t="str">
        <f t="shared" si="1"/>
        <v>— at issue —</v>
      </c>
      <c r="C146" s="28" t="s">
        <v>2334</v>
      </c>
      <c r="D146" s="45" t="str">
        <f t="shared" si="2"/>
        <v/>
      </c>
      <c r="E146" s="45" t="s">
        <v>1686</v>
      </c>
      <c r="F146" s="45">
        <f t="array" ref="F146">IFERROR(INDEX('Batch Dates'!$G:$G,MATCH(J146,'Batch Dates'!$C:$C,0)),IFERROR(INDEX('Batch Dates'!$G:$G,MATCH(I146,'Batch Dates'!$B:$B,0)),""))</f>
        <v>46161</v>
      </c>
      <c r="G146" s="12" t="s">
        <v>1477</v>
      </c>
      <c r="H146" s="12" t="s">
        <v>1680</v>
      </c>
      <c r="I146" s="13" t="s">
        <v>228</v>
      </c>
      <c r="J146" s="12" t="s">
        <v>229</v>
      </c>
      <c r="K146" s="12" t="s">
        <v>183</v>
      </c>
      <c r="L146" s="12" t="s">
        <v>856</v>
      </c>
      <c r="M146" s="28" t="s">
        <v>86</v>
      </c>
      <c r="N146" s="12" t="str">
        <f t="array" ref="N146">IFERROR(INDEX('CoQ Register'!$B:$B,MATCH("P060292|R",'CoQ Register'!$S:$S,0)),"—")</f>
        <v>— at issue —</v>
      </c>
      <c r="O146" s="28" t="s">
        <v>86</v>
      </c>
      <c r="P146" s="12" t="s">
        <v>2440</v>
      </c>
      <c r="Q146" s="23" t="s">
        <v>2396</v>
      </c>
    </row>
    <row r="147" spans="1:17" ht="14.25" customHeight="1">
      <c r="A147" s="12" t="str">
        <f t="shared" si="0"/>
        <v/>
      </c>
      <c r="B147" s="13" t="str">
        <f t="shared" si="1"/>
        <v>— at issue —</v>
      </c>
      <c r="C147" s="28" t="s">
        <v>2334</v>
      </c>
      <c r="D147" s="45" t="str">
        <f t="shared" si="2"/>
        <v/>
      </c>
      <c r="E147" s="45" t="s">
        <v>1686</v>
      </c>
      <c r="F147" s="45">
        <f t="array" ref="F147">IFERROR(INDEX('Batch Dates'!$G:$G,MATCH(J147,'Batch Dates'!$C:$C,0)),IFERROR(INDEX('Batch Dates'!$G:$G,MATCH(I147,'Batch Dates'!$B:$B,0)),""))</f>
        <v>46162</v>
      </c>
      <c r="G147" s="12" t="s">
        <v>1477</v>
      </c>
      <c r="H147" s="12" t="s">
        <v>1680</v>
      </c>
      <c r="I147" s="13" t="s">
        <v>241</v>
      </c>
      <c r="J147" s="12" t="s">
        <v>242</v>
      </c>
      <c r="K147" s="12" t="s">
        <v>234</v>
      </c>
      <c r="L147" s="12" t="s">
        <v>856</v>
      </c>
      <c r="M147" s="28" t="s">
        <v>86</v>
      </c>
      <c r="N147" s="12" t="str">
        <f t="array" ref="N147">IFERROR(INDEX('CoQ Register'!$B:$B,MATCH("P060302|R",'CoQ Register'!$S:$S,0)),"—")</f>
        <v>— at issue —</v>
      </c>
      <c r="O147" s="28" t="s">
        <v>86</v>
      </c>
      <c r="P147" s="12" t="s">
        <v>2442</v>
      </c>
      <c r="Q147" s="23" t="s">
        <v>2396</v>
      </c>
    </row>
    <row r="148" spans="1:17" ht="14.25" customHeight="1">
      <c r="A148" s="12" t="str">
        <f t="shared" si="0"/>
        <v/>
      </c>
      <c r="B148" s="13" t="str">
        <f t="shared" si="1"/>
        <v>— at issue —</v>
      </c>
      <c r="C148" s="28" t="s">
        <v>2334</v>
      </c>
      <c r="D148" s="45" t="str">
        <f t="shared" si="2"/>
        <v/>
      </c>
      <c r="E148" s="45" t="s">
        <v>1686</v>
      </c>
      <c r="F148" s="45">
        <f t="array" ref="F148">IFERROR(INDEX('Batch Dates'!$G:$G,MATCH(J148,'Batch Dates'!$C:$C,0)),IFERROR(INDEX('Batch Dates'!$G:$G,MATCH(I148,'Batch Dates'!$B:$B,0)),""))</f>
        <v>46147</v>
      </c>
      <c r="G148" s="12" t="s">
        <v>851</v>
      </c>
      <c r="H148" s="12" t="s">
        <v>1680</v>
      </c>
      <c r="I148" s="13" t="s">
        <v>274</v>
      </c>
      <c r="J148" s="12" t="s">
        <v>275</v>
      </c>
      <c r="K148" s="12" t="s">
        <v>234</v>
      </c>
      <c r="L148" s="12" t="s">
        <v>856</v>
      </c>
      <c r="M148" s="28" t="s">
        <v>86</v>
      </c>
      <c r="N148" s="12" t="str">
        <f t="array" ref="N148">IFERROR(INDEX('CoQ Register'!$B:$B,MATCH("P060252|R",'CoQ Register'!$S:$S,0)),"—")</f>
        <v>— at issue —</v>
      </c>
      <c r="O148" s="28" t="s">
        <v>86</v>
      </c>
      <c r="P148" s="12" t="s">
        <v>2443</v>
      </c>
      <c r="Q148" s="23" t="s">
        <v>2396</v>
      </c>
    </row>
    <row r="149" spans="1:17" ht="14.25" customHeight="1">
      <c r="A149" s="12" t="str">
        <f t="shared" si="0"/>
        <v/>
      </c>
      <c r="B149" s="13" t="str">
        <f t="shared" si="1"/>
        <v>— at issue —</v>
      </c>
      <c r="C149" s="28" t="s">
        <v>2334</v>
      </c>
      <c r="D149" s="45" t="str">
        <f t="shared" si="2"/>
        <v/>
      </c>
      <c r="E149" s="45" t="s">
        <v>1686</v>
      </c>
      <c r="F149" s="45">
        <f t="array" ref="F149">IFERROR(INDEX('Batch Dates'!$G:$G,MATCH(J149,'Batch Dates'!$C:$C,0)),IFERROR(INDEX('Batch Dates'!$G:$G,MATCH(I149,'Batch Dates'!$B:$B,0)),""))</f>
        <v>45968</v>
      </c>
      <c r="G149" s="12" t="s">
        <v>851</v>
      </c>
      <c r="H149" s="12" t="s">
        <v>1680</v>
      </c>
      <c r="I149" s="13" t="s">
        <v>516</v>
      </c>
      <c r="J149" s="12" t="s">
        <v>517</v>
      </c>
      <c r="K149" s="12" t="s">
        <v>178</v>
      </c>
      <c r="L149" s="12" t="s">
        <v>856</v>
      </c>
      <c r="M149" s="28" t="s">
        <v>86</v>
      </c>
      <c r="N149" s="12" t="str">
        <f t="array" ref="N149">IFERROR(INDEX('CoQ Register'!$B:$B,MATCH("P050202|R",'CoQ Register'!$S:$S,0)),"—")</f>
        <v>— at issue —</v>
      </c>
      <c r="O149" s="28" t="s">
        <v>86</v>
      </c>
      <c r="P149" s="12" t="s">
        <v>2445</v>
      </c>
      <c r="Q149" s="23" t="s">
        <v>2396</v>
      </c>
    </row>
    <row r="150" spans="1:17" ht="14.25" customHeight="1">
      <c r="A150" s="12" t="str">
        <f t="shared" si="0"/>
        <v/>
      </c>
      <c r="B150" s="13" t="str">
        <f t="shared" si="1"/>
        <v>— at issue —</v>
      </c>
      <c r="C150" s="28" t="s">
        <v>2334</v>
      </c>
      <c r="D150" s="45" t="str">
        <f t="shared" si="2"/>
        <v/>
      </c>
      <c r="E150" s="45" t="s">
        <v>1686</v>
      </c>
      <c r="F150" s="45">
        <f t="array" ref="F150">IFERROR(INDEX('Batch Dates'!$G:$G,MATCH(J150,'Batch Dates'!$C:$C,0)),IFERROR(INDEX('Batch Dates'!$G:$G,MATCH(I150,'Batch Dates'!$B:$B,0)),""))</f>
        <v>46163</v>
      </c>
      <c r="G150" s="12" t="s">
        <v>1477</v>
      </c>
      <c r="H150" s="12" t="s">
        <v>1680</v>
      </c>
      <c r="I150" s="13" t="s">
        <v>329</v>
      </c>
      <c r="J150" s="12" t="s">
        <v>330</v>
      </c>
      <c r="K150" s="12" t="s">
        <v>331</v>
      </c>
      <c r="L150" s="12" t="s">
        <v>856</v>
      </c>
      <c r="M150" s="28" t="s">
        <v>86</v>
      </c>
      <c r="N150" s="12" t="str">
        <f t="array" ref="N150">IFERROR(INDEX('CoQ Register'!$B:$B,MATCH("P060312|R",'CoQ Register'!$S:$S,0)),"—")</f>
        <v>— at issue —</v>
      </c>
      <c r="O150" s="28" t="s">
        <v>86</v>
      </c>
      <c r="P150" s="12" t="s">
        <v>2446</v>
      </c>
      <c r="Q150" s="23" t="s">
        <v>2396</v>
      </c>
    </row>
    <row r="151" spans="1:17" ht="14.25" customHeight="1">
      <c r="A151" s="12" t="str">
        <f t="shared" si="0"/>
        <v/>
      </c>
      <c r="B151" s="13" t="str">
        <f t="shared" si="1"/>
        <v>— at issue —</v>
      </c>
      <c r="C151" s="28" t="s">
        <v>2334</v>
      </c>
      <c r="D151" s="45" t="str">
        <f t="shared" si="2"/>
        <v/>
      </c>
      <c r="E151" s="45" t="s">
        <v>1686</v>
      </c>
      <c r="F151" s="45">
        <f t="array" ref="F151">IFERROR(INDEX('Batch Dates'!$G:$G,MATCH(J151,'Batch Dates'!$C:$C,0)),IFERROR(INDEX('Batch Dates'!$G:$G,MATCH(I151,'Batch Dates'!$B:$B,0)),""))</f>
        <v>46160</v>
      </c>
      <c r="G151" s="12" t="s">
        <v>1477</v>
      </c>
      <c r="H151" s="12" t="s">
        <v>1714</v>
      </c>
      <c r="I151" s="13" t="s">
        <v>481</v>
      </c>
      <c r="J151" s="12" t="s">
        <v>482</v>
      </c>
      <c r="K151" s="12" t="s">
        <v>315</v>
      </c>
      <c r="L151" s="12" t="s">
        <v>856</v>
      </c>
      <c r="M151" s="28" t="s">
        <v>86</v>
      </c>
      <c r="N151" s="12" t="str">
        <f t="array" ref="N151">IFERROR(INDEX('CoQ Register'!$B:$B,MATCH("P060282|R",'CoQ Register'!$S:$S,0)),"—")</f>
        <v>— at issue —</v>
      </c>
      <c r="O151" s="28" t="s">
        <v>86</v>
      </c>
      <c r="P151" s="12" t="s">
        <v>2448</v>
      </c>
      <c r="Q151" s="23" t="s">
        <v>2396</v>
      </c>
    </row>
    <row r="152" spans="1:17" ht="14.25" customHeight="1">
      <c r="A152" s="12" t="str">
        <f t="shared" si="0"/>
        <v/>
      </c>
      <c r="B152" s="13" t="str">
        <f t="shared" si="1"/>
        <v>— at issue —</v>
      </c>
      <c r="C152" s="28" t="s">
        <v>2334</v>
      </c>
      <c r="D152" s="45" t="str">
        <f t="shared" si="2"/>
        <v/>
      </c>
      <c r="E152" s="45" t="s">
        <v>1686</v>
      </c>
      <c r="F152" s="45">
        <f t="array" ref="F152">IFERROR(INDEX('Batch Dates'!$G:$G,MATCH(J152,'Batch Dates'!$C:$C,0)),IFERROR(INDEX('Batch Dates'!$G:$G,MATCH(I152,'Batch Dates'!$B:$B,0)),""))</f>
        <v>46164</v>
      </c>
      <c r="G152" s="12" t="s">
        <v>1477</v>
      </c>
      <c r="H152" s="12" t="s">
        <v>1714</v>
      </c>
      <c r="I152" s="13" t="s">
        <v>181</v>
      </c>
      <c r="J152" s="12" t="s">
        <v>182</v>
      </c>
      <c r="K152" s="12" t="s">
        <v>183</v>
      </c>
      <c r="L152" s="12" t="s">
        <v>856</v>
      </c>
      <c r="M152" s="28" t="s">
        <v>86</v>
      </c>
      <c r="N152" s="12" t="str">
        <f t="array" ref="N152">IFERROR(INDEX('CoQ Register'!$B:$B,MATCH("P060322|R",'CoQ Register'!$S:$S,0)),"—")</f>
        <v>— at issue —</v>
      </c>
      <c r="O152" s="28" t="s">
        <v>86</v>
      </c>
      <c r="P152" s="12" t="s">
        <v>2450</v>
      </c>
      <c r="Q152" s="23" t="s">
        <v>2396</v>
      </c>
    </row>
    <row r="153" spans="1:17" ht="14.25" customHeight="1">
      <c r="A153" s="12" t="str">
        <f t="shared" si="0"/>
        <v/>
      </c>
      <c r="B153" s="13" t="str">
        <f t="shared" si="1"/>
        <v>— at issue —</v>
      </c>
      <c r="C153" s="28" t="s">
        <v>2334</v>
      </c>
      <c r="D153" s="45" t="str">
        <f t="shared" si="2"/>
        <v/>
      </c>
      <c r="E153" s="45" t="s">
        <v>1686</v>
      </c>
      <c r="F153" s="45">
        <f t="array" ref="F153">IFERROR(INDEX('Batch Dates'!$G:$G,MATCH(J153,'Batch Dates'!$C:$C,0)),IFERROR(INDEX('Batch Dates'!$G:$G,MATCH(I153,'Batch Dates'!$B:$B,0)),""))</f>
        <v>46188</v>
      </c>
      <c r="G153" s="12" t="s">
        <v>1477</v>
      </c>
      <c r="H153" s="12" t="s">
        <v>1680</v>
      </c>
      <c r="I153" s="13" t="s">
        <v>193</v>
      </c>
      <c r="J153" s="12" t="s">
        <v>194</v>
      </c>
      <c r="K153" s="12" t="s">
        <v>183</v>
      </c>
      <c r="L153" s="12" t="s">
        <v>856</v>
      </c>
      <c r="M153" s="28" t="s">
        <v>86</v>
      </c>
      <c r="N153" s="12" t="str">
        <f t="array" ref="N153">IFERROR(INDEX('CoQ Register'!$B:$B,MATCH("P060432|R",'CoQ Register'!$S:$S,0)),"—")</f>
        <v>— at issue —</v>
      </c>
      <c r="O153" s="28" t="s">
        <v>86</v>
      </c>
      <c r="P153" s="12" t="s">
        <v>2451</v>
      </c>
      <c r="Q153" s="23" t="s">
        <v>2396</v>
      </c>
    </row>
    <row r="154" spans="1:17" ht="14.25" customHeight="1">
      <c r="A154" s="12" t="str">
        <f t="shared" si="0"/>
        <v/>
      </c>
      <c r="B154" s="13" t="str">
        <f t="shared" si="1"/>
        <v>— at issue —</v>
      </c>
      <c r="C154" s="28" t="s">
        <v>2334</v>
      </c>
      <c r="D154" s="45" t="str">
        <f t="shared" si="2"/>
        <v/>
      </c>
      <c r="E154" s="45" t="s">
        <v>1686</v>
      </c>
      <c r="F154" s="45">
        <f t="array" ref="F154">IFERROR(INDEX('Batch Dates'!$G:$G,MATCH(J154,'Batch Dates'!$C:$C,0)),IFERROR(INDEX('Batch Dates'!$G:$G,MATCH(I154,'Batch Dates'!$B:$B,0)),""))</f>
        <v>46165</v>
      </c>
      <c r="G154" s="12" t="s">
        <v>1477</v>
      </c>
      <c r="H154" s="12" t="s">
        <v>1680</v>
      </c>
      <c r="I154" s="13" t="s">
        <v>204</v>
      </c>
      <c r="J154" s="12" t="s">
        <v>205</v>
      </c>
      <c r="K154" s="12" t="s">
        <v>183</v>
      </c>
      <c r="L154" s="12" t="s">
        <v>856</v>
      </c>
      <c r="M154" s="28" t="s">
        <v>86</v>
      </c>
      <c r="N154" s="12" t="str">
        <f t="array" ref="N154">IFERROR(INDEX('CoQ Register'!$B:$B,MATCH("P060392|R",'CoQ Register'!$S:$S,0)),"—")</f>
        <v>— at issue —</v>
      </c>
      <c r="O154" s="28" t="s">
        <v>86</v>
      </c>
      <c r="P154" s="12" t="s">
        <v>2453</v>
      </c>
      <c r="Q154" s="23" t="s">
        <v>2396</v>
      </c>
    </row>
    <row r="155" spans="1:17" ht="14.25" customHeight="1">
      <c r="A155" s="12" t="str">
        <f t="shared" si="0"/>
        <v/>
      </c>
      <c r="B155" s="13" t="str">
        <f t="shared" si="1"/>
        <v>— at issue —</v>
      </c>
      <c r="C155" s="28" t="s">
        <v>2334</v>
      </c>
      <c r="D155" s="45" t="str">
        <f t="shared" si="2"/>
        <v/>
      </c>
      <c r="E155" s="45" t="s">
        <v>1686</v>
      </c>
      <c r="F155" s="45">
        <f t="array" ref="F155">IFERROR(INDEX('Batch Dates'!$G:$G,MATCH(J155,'Batch Dates'!$C:$C,0)),IFERROR(INDEX('Batch Dates'!$G:$G,MATCH(I155,'Batch Dates'!$B:$B,0)),""))</f>
        <v>46239</v>
      </c>
      <c r="G155" s="12" t="s">
        <v>1477</v>
      </c>
      <c r="H155" s="12" t="s">
        <v>1714</v>
      </c>
      <c r="I155" s="13" t="s">
        <v>344</v>
      </c>
      <c r="J155" s="12" t="s">
        <v>345</v>
      </c>
      <c r="K155" s="12" t="s">
        <v>346</v>
      </c>
      <c r="L155" s="12" t="s">
        <v>856</v>
      </c>
      <c r="M155" s="28" t="s">
        <v>86</v>
      </c>
      <c r="N155" s="12" t="str">
        <f t="array" ref="N155">IFERROR(INDEX('CoQ Register'!$B:$B,MATCH("P060482|R",'CoQ Register'!$S:$S,0)),"—")</f>
        <v>— at issue —</v>
      </c>
      <c r="O155" s="28" t="s">
        <v>86</v>
      </c>
      <c r="P155" s="12" t="s">
        <v>2455</v>
      </c>
      <c r="Q155" s="23" t="s">
        <v>2396</v>
      </c>
    </row>
    <row r="156" spans="1:17" ht="14.25" customHeight="1">
      <c r="A156" s="12" t="str">
        <f t="shared" si="0"/>
        <v/>
      </c>
      <c r="B156" s="13" t="str">
        <f t="shared" si="1"/>
        <v>— at issue —</v>
      </c>
      <c r="C156" s="28" t="s">
        <v>2334</v>
      </c>
      <c r="D156" s="45" t="str">
        <f t="shared" si="2"/>
        <v/>
      </c>
      <c r="E156" s="45" t="s">
        <v>1686</v>
      </c>
      <c r="F156" s="45">
        <f t="array" ref="F156">IFERROR(INDEX('Batch Dates'!$G:$G,MATCH(J156,'Batch Dates'!$C:$C,0)),IFERROR(INDEX('Batch Dates'!$G:$G,MATCH(I156,'Batch Dates'!$B:$B,0)),""))</f>
        <v>46191</v>
      </c>
      <c r="G156" s="12" t="s">
        <v>1477</v>
      </c>
      <c r="H156" s="12" t="s">
        <v>1680</v>
      </c>
      <c r="I156" s="13" t="s">
        <v>600</v>
      </c>
      <c r="J156" s="12" t="s">
        <v>602</v>
      </c>
      <c r="K156" s="12" t="s">
        <v>315</v>
      </c>
      <c r="L156" s="12" t="s">
        <v>856</v>
      </c>
      <c r="M156" s="28" t="s">
        <v>86</v>
      </c>
      <c r="N156" s="12" t="str">
        <f t="array" ref="N156">IFERROR(INDEX('CoQ Register'!$B:$B,MATCH("P060442|R",'CoQ Register'!$S:$S,0)),"—")</f>
        <v>— at issue —</v>
      </c>
      <c r="O156" s="28" t="s">
        <v>86</v>
      </c>
      <c r="P156" s="12" t="s">
        <v>2457</v>
      </c>
      <c r="Q156" s="23" t="s">
        <v>2396</v>
      </c>
    </row>
    <row r="157" spans="1:17" ht="14.25" customHeight="1">
      <c r="A157" s="12" t="str">
        <f t="shared" si="0"/>
        <v/>
      </c>
      <c r="B157" s="13" t="str">
        <f t="shared" si="1"/>
        <v>— at issue —</v>
      </c>
      <c r="C157" s="28" t="s">
        <v>2334</v>
      </c>
      <c r="D157" s="45" t="str">
        <f t="shared" si="2"/>
        <v/>
      </c>
      <c r="E157" s="45" t="s">
        <v>1686</v>
      </c>
      <c r="F157" s="45">
        <f t="array" ref="F157">IFERROR(INDEX('Batch Dates'!$G:$G,MATCH(J157,'Batch Dates'!$C:$C,0)),IFERROR(INDEX('Batch Dates'!$G:$G,MATCH(I157,'Batch Dates'!$B:$B,0)),""))</f>
        <v>46202</v>
      </c>
      <c r="G157" s="12" t="s">
        <v>1477</v>
      </c>
      <c r="H157" s="12" t="s">
        <v>1714</v>
      </c>
      <c r="I157" s="13" t="s">
        <v>213</v>
      </c>
      <c r="J157" s="12" t="s">
        <v>214</v>
      </c>
      <c r="K157" s="12" t="s">
        <v>1644</v>
      </c>
      <c r="L157" s="12" t="s">
        <v>856</v>
      </c>
      <c r="M157" s="28" t="s">
        <v>86</v>
      </c>
      <c r="N157" s="12" t="str">
        <f t="array" ref="N157">IFERROR(INDEX('CoQ Register'!$B:$B,MATCH("P060452|R",'CoQ Register'!$S:$S,0)),"—")</f>
        <v>— at issue —</v>
      </c>
      <c r="O157" s="28" t="s">
        <v>86</v>
      </c>
      <c r="P157" s="12" t="s">
        <v>2459</v>
      </c>
      <c r="Q157" s="23" t="s">
        <v>2396</v>
      </c>
    </row>
    <row r="158" spans="1:17" ht="14.25" customHeight="1">
      <c r="A158" s="12" t="str">
        <f t="shared" si="0"/>
        <v/>
      </c>
      <c r="B158" s="13" t="str">
        <f t="shared" si="1"/>
        <v>— at issue —</v>
      </c>
      <c r="C158" s="28" t="s">
        <v>2334</v>
      </c>
      <c r="D158" s="45" t="str">
        <f t="shared" si="2"/>
        <v/>
      </c>
      <c r="E158" s="45" t="s">
        <v>1686</v>
      </c>
      <c r="F158" s="45">
        <f t="array" ref="F158">IFERROR(INDEX('Batch Dates'!$G:$G,MATCH(J158,'Batch Dates'!$C:$C,0)),IFERROR(INDEX('Batch Dates'!$G:$G,MATCH(I158,'Batch Dates'!$B:$B,0)),""))</f>
        <v>46219</v>
      </c>
      <c r="G158" s="12" t="s">
        <v>1477</v>
      </c>
      <c r="H158" s="12" t="s">
        <v>1714</v>
      </c>
      <c r="I158" s="13" t="s">
        <v>257</v>
      </c>
      <c r="J158" s="12" t="s">
        <v>258</v>
      </c>
      <c r="K158" s="12" t="s">
        <v>1592</v>
      </c>
      <c r="L158" s="12" t="s">
        <v>856</v>
      </c>
      <c r="M158" s="28" t="s">
        <v>86</v>
      </c>
      <c r="N158" s="12" t="str">
        <f t="array" ref="N158">IFERROR(INDEX('CoQ Register'!$B:$B,MATCH("P060462|R",'CoQ Register'!$S:$S,0)),"—")</f>
        <v>— at issue —</v>
      </c>
      <c r="O158" s="28" t="s">
        <v>86</v>
      </c>
      <c r="P158" s="12" t="s">
        <v>2461</v>
      </c>
      <c r="Q158" s="23" t="s">
        <v>2396</v>
      </c>
    </row>
    <row r="159" spans="1:17" ht="14.25" customHeight="1"/>
    <row r="160" spans="1:17" ht="109.5" customHeight="1">
      <c r="A160" s="76" t="s">
        <v>2462</v>
      </c>
      <c r="B160" s="77"/>
      <c r="C160" s="77"/>
      <c r="D160" s="77"/>
      <c r="E160" s="77"/>
      <c r="F160" s="77"/>
      <c r="G160" s="77"/>
      <c r="H160" s="77"/>
      <c r="I160" s="77"/>
      <c r="J160" s="77"/>
      <c r="K160" s="77"/>
      <c r="L160" s="77"/>
      <c r="M160" s="77"/>
      <c r="N160" s="77"/>
      <c r="O160" s="77"/>
      <c r="P160" s="77"/>
      <c r="Q160" s="78"/>
    </row>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1D5A0679-5061-47F9-94B8-8303689B5899}" filter="1" showAutoFilter="1">
      <pageMargins left="0.7" right="0.7" top="0.75" bottom="0.75" header="0.3" footer="0.3"/>
      <autoFilter ref="A1:Q158" xr:uid="{064836B2-6D84-49AD-94AA-95CDBC67649A}"/>
      <extLst>
        <ext uri="GoogleSheetsCustomDataVersion1">
          <go:sheetsCustomData xmlns:go="http://customooxmlschemas.google.com/" filterViewId="1308989655"/>
        </ext>
      </extLst>
    </customSheetView>
  </customSheetViews>
  <mergeCells count="1">
    <mergeCell ref="A160:Q160"/>
  </mergeCells>
  <pageMargins left="0.25" right="0.25" top="0.75" bottom="0.75" header="0" footer="0"/>
  <pageSetup paperSize="8"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Y1000"/>
  <sheetViews>
    <sheetView workbookViewId="0">
      <pane ySplit="1" topLeftCell="A2" activePane="bottomLeft" state="frozen"/>
      <selection activeCell="B3" sqref="B3"/>
      <selection pane="bottomLeft" activeCell="B3" sqref="B3"/>
    </sheetView>
  </sheetViews>
  <sheetFormatPr defaultColWidth="14.44140625" defaultRowHeight="15" customHeight="1"/>
  <cols>
    <col min="1" max="1" width="6" customWidth="1"/>
    <col min="2" max="4" width="20" customWidth="1"/>
    <col min="5" max="5" width="30" customWidth="1"/>
    <col min="6" max="6" width="10" customWidth="1"/>
    <col min="7" max="7" width="12" customWidth="1"/>
    <col min="8" max="8" width="14" customWidth="1"/>
    <col min="9" max="11" width="16" customWidth="1"/>
    <col min="12" max="12" width="22" customWidth="1"/>
    <col min="13" max="13" width="20" customWidth="1"/>
    <col min="14" max="14" width="24" customWidth="1"/>
    <col min="15" max="15" width="28" customWidth="1"/>
    <col min="16" max="16" width="18" customWidth="1"/>
    <col min="17" max="17" width="30" customWidth="1"/>
    <col min="18" max="19" width="14" customWidth="1"/>
    <col min="20" max="20" width="16" customWidth="1"/>
    <col min="21" max="23" width="34" customWidth="1"/>
    <col min="24" max="24" width="30" customWidth="1"/>
    <col min="25" max="25" width="48" customWidth="1"/>
    <col min="26" max="26" width="8.6640625" customWidth="1"/>
  </cols>
  <sheetData>
    <row r="1" spans="1:25" ht="21.75" customHeight="1">
      <c r="A1" s="5" t="s">
        <v>822</v>
      </c>
      <c r="B1" s="5" t="s">
        <v>823</v>
      </c>
      <c r="C1" s="5" t="s">
        <v>825</v>
      </c>
      <c r="D1" s="5" t="s">
        <v>826</v>
      </c>
      <c r="E1" s="5" t="s">
        <v>827</v>
      </c>
      <c r="F1" s="5" t="s">
        <v>828</v>
      </c>
      <c r="G1" s="5" t="s">
        <v>829</v>
      </c>
      <c r="H1" s="5" t="s">
        <v>830</v>
      </c>
      <c r="I1" s="5" t="s">
        <v>831</v>
      </c>
      <c r="J1" s="5" t="s">
        <v>832</v>
      </c>
      <c r="K1" s="5" t="s">
        <v>2</v>
      </c>
      <c r="L1" s="5" t="s">
        <v>6</v>
      </c>
      <c r="M1" s="5" t="s">
        <v>7</v>
      </c>
      <c r="N1" s="5" t="s">
        <v>833</v>
      </c>
      <c r="O1" s="5" t="s">
        <v>834</v>
      </c>
      <c r="P1" s="5" t="s">
        <v>835</v>
      </c>
      <c r="Q1" s="5" t="s">
        <v>836</v>
      </c>
      <c r="R1" s="5" t="s">
        <v>837</v>
      </c>
      <c r="S1" s="5" t="s">
        <v>838</v>
      </c>
      <c r="T1" s="5" t="s">
        <v>839</v>
      </c>
      <c r="U1" s="5" t="s">
        <v>840</v>
      </c>
      <c r="V1" s="5" t="s">
        <v>841</v>
      </c>
      <c r="W1" s="5" t="s">
        <v>842</v>
      </c>
      <c r="X1" s="5" t="s">
        <v>843</v>
      </c>
      <c r="Y1" s="5" t="s">
        <v>8</v>
      </c>
    </row>
    <row r="2" spans="1:25" ht="14.25" customHeight="1">
      <c r="A2" s="12">
        <v>1</v>
      </c>
      <c r="B2" s="12" t="s">
        <v>844</v>
      </c>
      <c r="C2" s="13" t="str">
        <f t="array" ref="C2">IFERROR(INDEX('iCoA Register'!$B:$B,MATCH("CJ1024|I",'iCoA Register'!$P:$P,0)),"— at issue —")</f>
        <v>iCoA-PP_26-001</v>
      </c>
      <c r="D2" s="13" t="str">
        <f t="array" ref="D2">IFERROR(INDEX('CoQ Register'!$B:$B,MATCH("CJ1024|I",'CoQ Register'!$S:$S,0)),"—")</f>
        <v>CoQ-PP_26-001</v>
      </c>
      <c r="E2" s="12" t="s">
        <v>850</v>
      </c>
      <c r="F2" s="12" t="s">
        <v>851</v>
      </c>
      <c r="G2" s="12" t="s">
        <v>852</v>
      </c>
      <c r="H2" s="12" t="s">
        <v>853</v>
      </c>
      <c r="I2" s="45">
        <f t="array" ref="I2">IFERROR(INDEX('iCoA Register'!$D:$D,MATCH("CJ1024|I",'iCoA Register'!$P:$P,0)),"")</f>
        <v>46157</v>
      </c>
      <c r="J2" s="45">
        <f t="array" ref="J2">IFERROR(INDEX('CoQ Register'!$D:$D,MATCH("CJ1024|I",'CoQ Register'!$S:$S,0)),"")</f>
        <v>46169</v>
      </c>
      <c r="K2" s="13" t="s">
        <v>173</v>
      </c>
      <c r="L2" s="12" t="s">
        <v>425</v>
      </c>
      <c r="M2" s="12" t="s">
        <v>75</v>
      </c>
      <c r="N2" s="12" t="s">
        <v>854</v>
      </c>
      <c r="O2" s="12" t="s">
        <v>855</v>
      </c>
      <c r="P2" s="12" t="s">
        <v>853</v>
      </c>
      <c r="Q2" s="12" t="s">
        <v>856</v>
      </c>
      <c r="R2" s="12" t="s">
        <v>428</v>
      </c>
      <c r="S2" s="12" t="s">
        <v>428</v>
      </c>
      <c r="T2" s="12" t="s">
        <v>428</v>
      </c>
      <c r="U2" s="12" t="s">
        <v>565</v>
      </c>
      <c r="V2" s="12"/>
      <c r="W2" s="12"/>
      <c r="X2" s="12"/>
      <c r="Y2" s="24" t="s">
        <v>858</v>
      </c>
    </row>
    <row r="3" spans="1:25" ht="14.25" customHeight="1">
      <c r="A3" s="12">
        <v>2</v>
      </c>
      <c r="B3" s="12" t="s">
        <v>844</v>
      </c>
      <c r="C3" s="13" t="str">
        <f t="array" ref="C3">IFERROR(INDEX('iCoA Register'!$B:$B,MATCH("BSS1024|I",'iCoA Register'!$P:$P,0)),"— at issue —")</f>
        <v>iCoA-PP_26-002</v>
      </c>
      <c r="D3" s="13" t="str">
        <f t="array" ref="D3">IFERROR(INDEX('CoQ Register'!$B:$B,MATCH("BSS1024|I",'CoQ Register'!$S:$S,0)),"—")</f>
        <v>CoQ-PP_26-002</v>
      </c>
      <c r="E3" s="12" t="s">
        <v>862</v>
      </c>
      <c r="F3" s="12" t="s">
        <v>851</v>
      </c>
      <c r="G3" s="12" t="s">
        <v>864</v>
      </c>
      <c r="H3" s="12" t="s">
        <v>864</v>
      </c>
      <c r="I3" s="45">
        <f t="array" ref="I3">IFERROR(INDEX('iCoA Register'!$D:$D,MATCH("BSS1024|I",'iCoA Register'!$P:$P,0)),"")</f>
        <v>46157</v>
      </c>
      <c r="J3" s="45">
        <f t="array" ref="J3">IFERROR(INDEX('CoQ Register'!$D:$D,MATCH("BSS1024|I",'CoQ Register'!$S:$S,0)),"")</f>
        <v>46169</v>
      </c>
      <c r="K3" s="13" t="s">
        <v>125</v>
      </c>
      <c r="L3" s="12" t="s">
        <v>425</v>
      </c>
      <c r="M3" s="12" t="s">
        <v>129</v>
      </c>
      <c r="N3" s="12" t="s">
        <v>871</v>
      </c>
      <c r="O3" s="12" t="s">
        <v>864</v>
      </c>
      <c r="P3" s="12" t="s">
        <v>864</v>
      </c>
      <c r="Q3" s="12" t="s">
        <v>856</v>
      </c>
      <c r="R3" s="12" t="s">
        <v>428</v>
      </c>
      <c r="S3" s="12" t="s">
        <v>428</v>
      </c>
      <c r="T3" s="12" t="s">
        <v>428</v>
      </c>
      <c r="U3" s="12" t="s">
        <v>489</v>
      </c>
      <c r="V3" s="12"/>
      <c r="W3" s="12"/>
      <c r="X3" s="12"/>
      <c r="Y3" s="24" t="s">
        <v>858</v>
      </c>
    </row>
    <row r="4" spans="1:25" ht="14.25" customHeight="1">
      <c r="A4" s="12">
        <v>3</v>
      </c>
      <c r="B4" s="12" t="s">
        <v>844</v>
      </c>
      <c r="C4" s="13" t="str">
        <f t="array" ref="C4">IFERROR(INDEX('iCoA Register'!$B:$B,MATCH("BG1024|I",'iCoA Register'!$P:$P,0)),"— at issue —")</f>
        <v>iCoA-PP_26-003</v>
      </c>
      <c r="D4" s="13" t="str">
        <f t="array" ref="D4">IFERROR(INDEX('CoQ Register'!$B:$B,MATCH("BG1024|I",'CoQ Register'!$S:$S,0)),"—")</f>
        <v>CoQ-PP_26-003</v>
      </c>
      <c r="E4" s="12" t="s">
        <v>875</v>
      </c>
      <c r="F4" s="12" t="s">
        <v>851</v>
      </c>
      <c r="G4" s="12" t="s">
        <v>876</v>
      </c>
      <c r="H4" s="12" t="s">
        <v>876</v>
      </c>
      <c r="I4" s="45">
        <f t="array" ref="I4">IFERROR(INDEX('iCoA Register'!$D:$D,MATCH("BG1024|I",'iCoA Register'!$P:$P,0)),"")</f>
        <v>46157</v>
      </c>
      <c r="J4" s="45">
        <f t="array" ref="J4">IFERROR(INDEX('CoQ Register'!$D:$D,MATCH("BG1024|I",'CoQ Register'!$S:$S,0)),"")</f>
        <v>46169</v>
      </c>
      <c r="K4" s="13" t="s">
        <v>71</v>
      </c>
      <c r="L4" s="12" t="s">
        <v>425</v>
      </c>
      <c r="M4" s="12" t="s">
        <v>73</v>
      </c>
      <c r="N4" s="12" t="s">
        <v>879</v>
      </c>
      <c r="O4" s="12" t="s">
        <v>876</v>
      </c>
      <c r="P4" s="12" t="s">
        <v>876</v>
      </c>
      <c r="Q4" s="12" t="s">
        <v>856</v>
      </c>
      <c r="R4" s="12" t="s">
        <v>428</v>
      </c>
      <c r="S4" s="12" t="s">
        <v>428</v>
      </c>
      <c r="T4" s="12" t="s">
        <v>428</v>
      </c>
      <c r="U4" s="12" t="s">
        <v>438</v>
      </c>
      <c r="V4" s="12"/>
      <c r="W4" s="12"/>
      <c r="X4" s="12"/>
      <c r="Y4" s="24" t="s">
        <v>858</v>
      </c>
    </row>
    <row r="5" spans="1:25" ht="14.25" customHeight="1">
      <c r="A5" s="12">
        <v>4</v>
      </c>
      <c r="B5" s="12" t="s">
        <v>844</v>
      </c>
      <c r="C5" s="13" t="str">
        <f t="array" ref="C5">IFERROR(INDEX('iCoA Register'!$B:$B,MATCH("GG1024|I",'iCoA Register'!$P:$P,0)),"— at issue —")</f>
        <v>iCoA-PP_26-004</v>
      </c>
      <c r="D5" s="13" t="str">
        <f t="array" ref="D5">IFERROR(INDEX('CoQ Register'!$B:$B,MATCH("GG1024|I",'CoQ Register'!$S:$S,0)),"—")</f>
        <v>CoQ-PP_26-004</v>
      </c>
      <c r="E5" s="12" t="s">
        <v>883</v>
      </c>
      <c r="F5" s="12" t="s">
        <v>851</v>
      </c>
      <c r="G5" s="12" t="s">
        <v>884</v>
      </c>
      <c r="H5" s="12" t="s">
        <v>884</v>
      </c>
      <c r="I5" s="45">
        <f t="array" ref="I5">IFERROR(INDEX('iCoA Register'!$D:$D,MATCH("GG1024|I",'iCoA Register'!$P:$P,0)),"")</f>
        <v>46157</v>
      </c>
      <c r="J5" s="45">
        <f t="array" ref="J5">IFERROR(INDEX('CoQ Register'!$D:$D,MATCH("GG1024|I",'CoQ Register'!$S:$S,0)),"")</f>
        <v>46169</v>
      </c>
      <c r="K5" s="13" t="s">
        <v>265</v>
      </c>
      <c r="L5" s="12" t="s">
        <v>425</v>
      </c>
      <c r="M5" s="12" t="s">
        <v>234</v>
      </c>
      <c r="N5" s="12" t="s">
        <v>854</v>
      </c>
      <c r="O5" s="12" t="s">
        <v>884</v>
      </c>
      <c r="P5" s="12" t="s">
        <v>884</v>
      </c>
      <c r="Q5" s="12" t="s">
        <v>856</v>
      </c>
      <c r="R5" s="12" t="s">
        <v>428</v>
      </c>
      <c r="S5" s="12" t="s">
        <v>428</v>
      </c>
      <c r="T5" s="12" t="s">
        <v>632</v>
      </c>
      <c r="U5" s="28" t="s">
        <v>893</v>
      </c>
      <c r="V5" s="12"/>
      <c r="W5" s="12"/>
      <c r="X5" s="12"/>
      <c r="Y5" s="24" t="s">
        <v>858</v>
      </c>
    </row>
    <row r="6" spans="1:25" ht="14.25" customHeight="1">
      <c r="A6" s="12">
        <v>5</v>
      </c>
      <c r="B6" s="12" t="s">
        <v>844</v>
      </c>
      <c r="C6" s="13" t="str">
        <f t="array" ref="C6">IFERROR(INDEX('iCoA Register'!$B:$B,MATCH("HPA1024|I",'iCoA Register'!$P:$P,0)),"— at issue —")</f>
        <v>iCoA-PP_26-005</v>
      </c>
      <c r="D6" s="13" t="str">
        <f t="array" ref="D6">IFERROR(INDEX('CoQ Register'!$B:$B,MATCH("HPA1024|I",'CoQ Register'!$S:$S,0)),"—")</f>
        <v>CoQ-PP_26-005</v>
      </c>
      <c r="E6" s="12" t="s">
        <v>895</v>
      </c>
      <c r="F6" s="12" t="s">
        <v>851</v>
      </c>
      <c r="G6" s="12" t="s">
        <v>896</v>
      </c>
      <c r="H6" s="12" t="s">
        <v>896</v>
      </c>
      <c r="I6" s="45">
        <f t="array" ref="I6">IFERROR(INDEX('iCoA Register'!$D:$D,MATCH("HPA1024|I",'iCoA Register'!$P:$P,0)),"")</f>
        <v>46157</v>
      </c>
      <c r="J6" s="45">
        <f t="array" ref="J6">IFERROR(INDEX('CoQ Register'!$D:$D,MATCH("HPA1024|I",'CoQ Register'!$S:$S,0)),"")</f>
        <v>46169</v>
      </c>
      <c r="K6" s="13" t="s">
        <v>260</v>
      </c>
      <c r="L6" s="12" t="s">
        <v>425</v>
      </c>
      <c r="M6" s="12" t="s">
        <v>900</v>
      </c>
      <c r="N6" s="12" t="s">
        <v>871</v>
      </c>
      <c r="O6" s="12" t="s">
        <v>896</v>
      </c>
      <c r="P6" s="12" t="s">
        <v>896</v>
      </c>
      <c r="Q6" s="12" t="s">
        <v>856</v>
      </c>
      <c r="R6" s="12" t="s">
        <v>428</v>
      </c>
      <c r="S6" s="12" t="s">
        <v>428</v>
      </c>
      <c r="T6" s="12" t="s">
        <v>428</v>
      </c>
      <c r="U6" s="28" t="s">
        <v>893</v>
      </c>
      <c r="V6" s="12"/>
      <c r="W6" s="12"/>
      <c r="X6" s="12"/>
      <c r="Y6" s="24" t="s">
        <v>858</v>
      </c>
    </row>
    <row r="7" spans="1:25" ht="14.25" customHeight="1">
      <c r="A7" s="12">
        <v>6</v>
      </c>
      <c r="B7" s="12" t="s">
        <v>844</v>
      </c>
      <c r="C7" s="13" t="str">
        <f t="array" ref="C7">IFERROR(INDEX('iCoA Register'!$B:$B,MATCH("OPM1024|I",'iCoA Register'!$P:$P,0)),"— at issue —")</f>
        <v>iCoA-PP_26-006</v>
      </c>
      <c r="D7" s="13" t="str">
        <f t="array" ref="D7">IFERROR(INDEX('CoQ Register'!$B:$B,MATCH("OPM1024|I",'CoQ Register'!$S:$S,0)),"—")</f>
        <v>CoQ-PP_26-006</v>
      </c>
      <c r="E7" s="12" t="s">
        <v>907</v>
      </c>
      <c r="F7" s="12" t="s">
        <v>851</v>
      </c>
      <c r="G7" s="12" t="s">
        <v>908</v>
      </c>
      <c r="H7" s="12" t="s">
        <v>908</v>
      </c>
      <c r="I7" s="45">
        <f t="array" ref="I7">IFERROR(INDEX('iCoA Register'!$D:$D,MATCH("OPM1024|I",'iCoA Register'!$P:$P,0)),"")</f>
        <v>46157</v>
      </c>
      <c r="J7" s="45">
        <f t="array" ref="J7">IFERROR(INDEX('CoQ Register'!$D:$D,MATCH("OPM1024|I",'CoQ Register'!$S:$S,0)),"")</f>
        <v>46169</v>
      </c>
      <c r="K7" s="13" t="s">
        <v>291</v>
      </c>
      <c r="L7" s="12" t="s">
        <v>425</v>
      </c>
      <c r="M7" s="12" t="s">
        <v>910</v>
      </c>
      <c r="N7" s="12" t="s">
        <v>879</v>
      </c>
      <c r="O7" s="12" t="s">
        <v>911</v>
      </c>
      <c r="P7" s="12" t="s">
        <v>912</v>
      </c>
      <c r="Q7" s="12" t="s">
        <v>856</v>
      </c>
      <c r="R7" s="12" t="s">
        <v>428</v>
      </c>
      <c r="S7" s="12" t="s">
        <v>428</v>
      </c>
      <c r="T7" s="12" t="s">
        <v>428</v>
      </c>
      <c r="U7" s="28" t="s">
        <v>893</v>
      </c>
      <c r="V7" s="12"/>
      <c r="W7" s="12"/>
      <c r="X7" s="12"/>
      <c r="Y7" s="24" t="s">
        <v>858</v>
      </c>
    </row>
    <row r="8" spans="1:25" ht="14.25" customHeight="1">
      <c r="A8" s="12">
        <v>7</v>
      </c>
      <c r="B8" s="12" t="s">
        <v>844</v>
      </c>
      <c r="C8" s="13" t="str">
        <f t="array" ref="C8">IFERROR(INDEX('iCoA Register'!$B:$B,MATCH("P050022|I",'iCoA Register'!$P:$P,0)),"— at issue —")</f>
        <v>iCoA-PP_26-007</v>
      </c>
      <c r="D8" s="13" t="str">
        <f t="array" ref="D8">IFERROR(INDEX('CoQ Register'!$B:$B,MATCH("P050022|I",'CoQ Register'!$S:$S,0)),"—")</f>
        <v>CoQ-PP_26-007</v>
      </c>
      <c r="E8" s="12" t="s">
        <v>918</v>
      </c>
      <c r="F8" s="12" t="s">
        <v>851</v>
      </c>
      <c r="G8" s="12" t="s">
        <v>919</v>
      </c>
      <c r="H8" s="12" t="s">
        <v>919</v>
      </c>
      <c r="I8" s="45">
        <f t="array" ref="I8">IFERROR(INDEX('iCoA Register'!$D:$D,MATCH("P050022|I",'iCoA Register'!$P:$P,0)),"")</f>
        <v>46157</v>
      </c>
      <c r="J8" s="45">
        <f t="array" ref="J8">IFERROR(INDEX('CoQ Register'!$D:$D,MATCH("P050022|I",'CoQ Register'!$S:$S,0)),"")</f>
        <v>46169</v>
      </c>
      <c r="K8" s="13" t="s">
        <v>247</v>
      </c>
      <c r="L8" s="12" t="s">
        <v>250</v>
      </c>
      <c r="M8" s="12" t="s">
        <v>178</v>
      </c>
      <c r="N8" s="12" t="s">
        <v>920</v>
      </c>
      <c r="O8" s="12" t="s">
        <v>921</v>
      </c>
      <c r="P8" s="12" t="s">
        <v>922</v>
      </c>
      <c r="Q8" s="12" t="s">
        <v>856</v>
      </c>
      <c r="R8" s="12" t="s">
        <v>428</v>
      </c>
      <c r="S8" s="12" t="s">
        <v>428</v>
      </c>
      <c r="T8" s="12" t="s">
        <v>428</v>
      </c>
      <c r="U8" s="12" t="s">
        <v>924</v>
      </c>
      <c r="V8" s="12"/>
      <c r="W8" s="12"/>
      <c r="X8" s="12"/>
      <c r="Y8" s="24" t="s">
        <v>858</v>
      </c>
    </row>
    <row r="9" spans="1:25" ht="14.25" customHeight="1">
      <c r="A9" s="12">
        <v>8</v>
      </c>
      <c r="B9" s="12" t="s">
        <v>844</v>
      </c>
      <c r="C9" s="13" t="str">
        <f t="array" ref="C9">IFERROR(INDEX('iCoA Register'!$B:$B,MATCH("P050012|I",'iCoA Register'!$P:$P,0)),"— at issue —")</f>
        <v>iCoA-PP_26-008</v>
      </c>
      <c r="D9" s="13" t="str">
        <f t="array" ref="D9">IFERROR(INDEX('CoQ Register'!$B:$B,MATCH("P050012|I",'CoQ Register'!$S:$S,0)),"—")</f>
        <v>CoQ-PP_26-008</v>
      </c>
      <c r="E9" s="12" t="s">
        <v>850</v>
      </c>
      <c r="F9" s="12" t="s">
        <v>851</v>
      </c>
      <c r="G9" s="12" t="s">
        <v>930</v>
      </c>
      <c r="H9" s="12" t="s">
        <v>922</v>
      </c>
      <c r="I9" s="45">
        <f t="array" ref="I9">IFERROR(INDEX('iCoA Register'!$D:$D,MATCH("P050012|I",'iCoA Register'!$P:$P,0)),"")</f>
        <v>46157</v>
      </c>
      <c r="J9" s="45">
        <f t="array" ref="J9">IFERROR(INDEX('CoQ Register'!$D:$D,MATCH("P050012|I",'CoQ Register'!$S:$S,0)),"")</f>
        <v>46169</v>
      </c>
      <c r="K9" s="13" t="s">
        <v>313</v>
      </c>
      <c r="L9" s="12" t="s">
        <v>312</v>
      </c>
      <c r="M9" s="12" t="s">
        <v>234</v>
      </c>
      <c r="N9" s="12" t="s">
        <v>933</v>
      </c>
      <c r="O9" s="12" t="s">
        <v>935</v>
      </c>
      <c r="P9" s="12" t="s">
        <v>936</v>
      </c>
      <c r="Q9" s="12" t="s">
        <v>856</v>
      </c>
      <c r="R9" s="12" t="s">
        <v>428</v>
      </c>
      <c r="S9" s="12" t="s">
        <v>428</v>
      </c>
      <c r="T9" s="12" t="s">
        <v>428</v>
      </c>
      <c r="U9" s="12" t="s">
        <v>937</v>
      </c>
      <c r="V9" s="12"/>
      <c r="W9" s="12"/>
      <c r="X9" s="12"/>
      <c r="Y9" s="24" t="s">
        <v>858</v>
      </c>
    </row>
    <row r="10" spans="1:25" ht="14.25" customHeight="1">
      <c r="A10" s="12">
        <v>9</v>
      </c>
      <c r="B10" s="12" t="s">
        <v>844</v>
      </c>
      <c r="C10" s="13" t="str">
        <f t="array" ref="C10">IFERROR(INDEX('iCoA Register'!$B:$B,MATCH("P050032|I",'iCoA Register'!$P:$P,0)),"— at issue —")</f>
        <v>iCoA-PP_26-009</v>
      </c>
      <c r="D10" s="13" t="str">
        <f t="array" ref="D10">IFERROR(INDEX('CoQ Register'!$B:$B,MATCH("P050032|I",'CoQ Register'!$S:$S,0)),"—")</f>
        <v>CoQ-PP_26-009</v>
      </c>
      <c r="E10" s="12" t="s">
        <v>850</v>
      </c>
      <c r="F10" s="12" t="s">
        <v>851</v>
      </c>
      <c r="G10" s="12" t="s">
        <v>939</v>
      </c>
      <c r="H10" s="12" t="s">
        <v>936</v>
      </c>
      <c r="I10" s="45">
        <f t="array" ref="I10">IFERROR(INDEX('iCoA Register'!$D:$D,MATCH("P050032|I",'iCoA Register'!$P:$P,0)),"")</f>
        <v>46157</v>
      </c>
      <c r="J10" s="45">
        <f t="array" ref="J10">IFERROR(INDEX('CoQ Register'!$D:$D,MATCH("P050032|I",'CoQ Register'!$S:$S,0)),"")</f>
        <v>46169</v>
      </c>
      <c r="K10" s="13" t="s">
        <v>309</v>
      </c>
      <c r="L10" s="12" t="s">
        <v>306</v>
      </c>
      <c r="M10" s="12" t="s">
        <v>222</v>
      </c>
      <c r="N10" s="12" t="s">
        <v>944</v>
      </c>
      <c r="O10" s="12" t="s">
        <v>945</v>
      </c>
      <c r="P10" s="12" t="s">
        <v>946</v>
      </c>
      <c r="Q10" s="12" t="s">
        <v>856</v>
      </c>
      <c r="R10" s="12" t="s">
        <v>428</v>
      </c>
      <c r="S10" s="12" t="s">
        <v>428</v>
      </c>
      <c r="T10" s="12" t="s">
        <v>428</v>
      </c>
      <c r="U10" s="12" t="s">
        <v>947</v>
      </c>
      <c r="V10" s="12"/>
      <c r="W10" s="12"/>
      <c r="X10" s="12"/>
      <c r="Y10" s="24" t="s">
        <v>858</v>
      </c>
    </row>
    <row r="11" spans="1:25" ht="14.25" customHeight="1">
      <c r="A11" s="12">
        <v>10</v>
      </c>
      <c r="B11" s="12" t="s">
        <v>844</v>
      </c>
      <c r="C11" s="13" t="str">
        <f t="array" ref="C11">IFERROR(INDEX('iCoA Register'!$B:$B,MATCH("P050042|I",'iCoA Register'!$P:$P,0)),"— at issue —")</f>
        <v>iCoA-PP_26-010</v>
      </c>
      <c r="D11" s="13" t="str">
        <f t="array" ref="D11">IFERROR(INDEX('CoQ Register'!$B:$B,MATCH("P050042|I",'CoQ Register'!$S:$S,0)),"—")</f>
        <v>CoQ-PP_26-010</v>
      </c>
      <c r="E11" s="12" t="s">
        <v>948</v>
      </c>
      <c r="F11" s="12" t="s">
        <v>851</v>
      </c>
      <c r="G11" s="12" t="s">
        <v>950</v>
      </c>
      <c r="H11" s="12" t="s">
        <v>950</v>
      </c>
      <c r="I11" s="45">
        <f t="array" ref="I11">IFERROR(INDEX('iCoA Register'!$D:$D,MATCH("P050042|I",'iCoA Register'!$P:$P,0)),"")</f>
        <v>46157</v>
      </c>
      <c r="J11" s="45">
        <f t="array" ref="J11">IFERROR(INDEX('CoQ Register'!$D:$D,MATCH("P050042|I",'CoQ Register'!$S:$S,0)),"")</f>
        <v>46169</v>
      </c>
      <c r="K11" s="13" t="s">
        <v>304</v>
      </c>
      <c r="L11" s="12" t="s">
        <v>302</v>
      </c>
      <c r="M11" s="12" t="s">
        <v>103</v>
      </c>
      <c r="N11" s="12" t="s">
        <v>953</v>
      </c>
      <c r="O11" s="12" t="s">
        <v>950</v>
      </c>
      <c r="P11" s="12" t="s">
        <v>950</v>
      </c>
      <c r="Q11" s="12" t="s">
        <v>856</v>
      </c>
      <c r="R11" s="12" t="s">
        <v>428</v>
      </c>
      <c r="S11" s="12" t="s">
        <v>428</v>
      </c>
      <c r="T11" s="12" t="s">
        <v>428</v>
      </c>
      <c r="U11" s="12" t="s">
        <v>954</v>
      </c>
      <c r="V11" s="12"/>
      <c r="W11" s="12"/>
      <c r="X11" s="12"/>
      <c r="Y11" s="24" t="s">
        <v>858</v>
      </c>
    </row>
    <row r="12" spans="1:25" ht="14.25" customHeight="1">
      <c r="A12" s="12">
        <v>11</v>
      </c>
      <c r="B12" s="12" t="s">
        <v>844</v>
      </c>
      <c r="C12" s="13" t="str">
        <f t="array" ref="C12">IFERROR(INDEX('iCoA Register'!$B:$B,MATCH("P050052|I",'iCoA Register'!$P:$P,0)),"— at issue —")</f>
        <v>iCoA-PP_26-011</v>
      </c>
      <c r="D12" s="13" t="str">
        <f t="array" ref="D12">IFERROR(INDEX('CoQ Register'!$B:$B,MATCH("P050052|I",'CoQ Register'!$S:$S,0)),"—")</f>
        <v>CoQ-PP_26-011</v>
      </c>
      <c r="E12" s="12" t="s">
        <v>959</v>
      </c>
      <c r="F12" s="12" t="s">
        <v>851</v>
      </c>
      <c r="G12" s="12" t="s">
        <v>960</v>
      </c>
      <c r="H12" s="12" t="s">
        <v>960</v>
      </c>
      <c r="I12" s="45">
        <f t="array" ref="I12">IFERROR(INDEX('iCoA Register'!$D:$D,MATCH("P050052|I",'iCoA Register'!$P:$P,0)),"")</f>
        <v>46157</v>
      </c>
      <c r="J12" s="45">
        <f t="array" ref="J12">IFERROR(INDEX('CoQ Register'!$D:$D,MATCH("P050052|I",'CoQ Register'!$S:$S,0)),"")</f>
        <v>46169</v>
      </c>
      <c r="K12" s="13" t="s">
        <v>267</v>
      </c>
      <c r="L12" s="12" t="s">
        <v>269</v>
      </c>
      <c r="M12" s="12" t="s">
        <v>261</v>
      </c>
      <c r="N12" s="12" t="s">
        <v>965</v>
      </c>
      <c r="O12" s="12" t="s">
        <v>966</v>
      </c>
      <c r="P12" s="12" t="s">
        <v>967</v>
      </c>
      <c r="Q12" s="12" t="s">
        <v>856</v>
      </c>
      <c r="R12" s="12" t="s">
        <v>428</v>
      </c>
      <c r="S12" s="12" t="s">
        <v>428</v>
      </c>
      <c r="T12" s="12" t="s">
        <v>428</v>
      </c>
      <c r="U12" s="12" t="s">
        <v>969</v>
      </c>
      <c r="V12" s="12"/>
      <c r="W12" s="12"/>
      <c r="X12" s="12"/>
      <c r="Y12" s="24" t="s">
        <v>858</v>
      </c>
    </row>
    <row r="13" spans="1:25" ht="14.25" customHeight="1">
      <c r="A13" s="12">
        <v>12</v>
      </c>
      <c r="B13" s="12" t="s">
        <v>844</v>
      </c>
      <c r="C13" s="13" t="str">
        <f t="array" ref="C13">IFERROR(INDEX('iCoA Register'!$B:$B,MATCH("P050062|I",'iCoA Register'!$P:$P,0)),"— at issue —")</f>
        <v>iCoA-PP_26-012</v>
      </c>
      <c r="D13" s="13" t="str">
        <f t="array" ref="D13">IFERROR(INDEX('CoQ Register'!$B:$B,MATCH("P050062|I",'CoQ Register'!$S:$S,0)),"—")</f>
        <v>CoQ-PP_26-012</v>
      </c>
      <c r="E13" s="12" t="s">
        <v>973</v>
      </c>
      <c r="F13" s="12" t="s">
        <v>851</v>
      </c>
      <c r="G13" s="12" t="s">
        <v>967</v>
      </c>
      <c r="H13" s="12" t="s">
        <v>967</v>
      </c>
      <c r="I13" s="45">
        <f t="array" ref="I13">IFERROR(INDEX('iCoA Register'!$D:$D,MATCH("P050062|I",'iCoA Register'!$P:$P,0)),"")</f>
        <v>46157</v>
      </c>
      <c r="J13" s="45">
        <f t="array" ref="J13">IFERROR(INDEX('CoQ Register'!$D:$D,MATCH("P050062|I",'CoQ Register'!$S:$S,0)),"")</f>
        <v>46169</v>
      </c>
      <c r="K13" s="13" t="s">
        <v>296</v>
      </c>
      <c r="L13" s="12" t="s">
        <v>295</v>
      </c>
      <c r="M13" s="12" t="s">
        <v>103</v>
      </c>
      <c r="N13" s="12" t="s">
        <v>978</v>
      </c>
      <c r="O13" s="12" t="s">
        <v>979</v>
      </c>
      <c r="P13" s="12" t="s">
        <v>981</v>
      </c>
      <c r="Q13" s="12" t="s">
        <v>856</v>
      </c>
      <c r="R13" s="12" t="s">
        <v>428</v>
      </c>
      <c r="S13" s="12" t="s">
        <v>428</v>
      </c>
      <c r="T13" s="12" t="s">
        <v>428</v>
      </c>
      <c r="U13" s="12" t="s">
        <v>985</v>
      </c>
      <c r="V13" s="12"/>
      <c r="W13" s="12"/>
      <c r="X13" s="12"/>
      <c r="Y13" s="24" t="s">
        <v>858</v>
      </c>
    </row>
    <row r="14" spans="1:25" ht="14.25" customHeight="1">
      <c r="A14" s="12">
        <v>13</v>
      </c>
      <c r="B14" s="12" t="s">
        <v>844</v>
      </c>
      <c r="C14" s="13" t="str">
        <f t="array" ref="C14">IFERROR(INDEX('iCoA Register'!$B:$B,MATCH("P050072|I",'iCoA Register'!$P:$P,0)),"— at issue —")</f>
        <v>iCoA-PP_26-013</v>
      </c>
      <c r="D14" s="13" t="str">
        <f t="array" ref="D14">IFERROR(INDEX('CoQ Register'!$B:$B,MATCH("P050072|I",'CoQ Register'!$S:$S,0)),"—")</f>
        <v>CoQ-PP_26-013</v>
      </c>
      <c r="E14" s="12" t="s">
        <v>992</v>
      </c>
      <c r="F14" s="12" t="s">
        <v>851</v>
      </c>
      <c r="G14" s="12" t="s">
        <v>993</v>
      </c>
      <c r="H14" s="12" t="s">
        <v>993</v>
      </c>
      <c r="I14" s="45">
        <f t="array" ref="I14">IFERROR(INDEX('iCoA Register'!$D:$D,MATCH("P050072|I",'iCoA Register'!$P:$P,0)),"")</f>
        <v>46157</v>
      </c>
      <c r="J14" s="45">
        <f t="array" ref="J14">IFERROR(INDEX('CoQ Register'!$D:$D,MATCH("P050072|I",'CoQ Register'!$S:$S,0)),"")</f>
        <v>46169</v>
      </c>
      <c r="K14" s="13" t="s">
        <v>293</v>
      </c>
      <c r="L14" s="12" t="s">
        <v>292</v>
      </c>
      <c r="M14" s="12" t="s">
        <v>178</v>
      </c>
      <c r="N14" s="12" t="s">
        <v>997</v>
      </c>
      <c r="O14" s="12" t="s">
        <v>998</v>
      </c>
      <c r="P14" s="12" t="s">
        <v>999</v>
      </c>
      <c r="Q14" s="12" t="s">
        <v>856</v>
      </c>
      <c r="R14" s="12" t="s">
        <v>428</v>
      </c>
      <c r="S14" s="12" t="s">
        <v>428</v>
      </c>
      <c r="T14" s="12" t="s">
        <v>428</v>
      </c>
      <c r="U14" s="12" t="s">
        <v>1002</v>
      </c>
      <c r="V14" s="12"/>
      <c r="W14" s="12"/>
      <c r="X14" s="12"/>
      <c r="Y14" s="24" t="s">
        <v>858</v>
      </c>
    </row>
    <row r="15" spans="1:25" ht="14.25" customHeight="1">
      <c r="A15" s="12">
        <v>14</v>
      </c>
      <c r="B15" s="12" t="s">
        <v>844</v>
      </c>
      <c r="C15" s="13" t="str">
        <f t="array" ref="C15">IFERROR(INDEX('iCoA Register'!$B:$B,MATCH("P050082|I",'iCoA Register'!$P:$P,0)),"— at issue —")</f>
        <v>iCoA-PP_26-014</v>
      </c>
      <c r="D15" s="13" t="str">
        <f t="array" ref="D15">IFERROR(INDEX('CoQ Register'!$B:$B,MATCH("P050082|I",'CoQ Register'!$S:$S,0)),"—")</f>
        <v>CoQ-PP_26-014</v>
      </c>
      <c r="E15" s="12" t="s">
        <v>1005</v>
      </c>
      <c r="F15" s="12" t="s">
        <v>851</v>
      </c>
      <c r="G15" s="12" t="s">
        <v>1006</v>
      </c>
      <c r="H15" s="12" t="s">
        <v>1006</v>
      </c>
      <c r="I15" s="45">
        <f t="array" ref="I15">IFERROR(INDEX('iCoA Register'!$D:$D,MATCH("P050082|I",'iCoA Register'!$P:$P,0)),"")</f>
        <v>46157</v>
      </c>
      <c r="J15" s="45">
        <f t="array" ref="J15">IFERROR(INDEX('CoQ Register'!$D:$D,MATCH("P050082|I",'CoQ Register'!$S:$S,0)),"")</f>
        <v>46169</v>
      </c>
      <c r="K15" s="13" t="s">
        <v>237</v>
      </c>
      <c r="L15" s="12" t="s">
        <v>235</v>
      </c>
      <c r="M15" s="12" t="s">
        <v>103</v>
      </c>
      <c r="N15" s="12" t="s">
        <v>1011</v>
      </c>
      <c r="O15" s="12" t="s">
        <v>1012</v>
      </c>
      <c r="P15" s="12" t="s">
        <v>1013</v>
      </c>
      <c r="Q15" s="12" t="s">
        <v>856</v>
      </c>
      <c r="R15" s="12" t="s">
        <v>428</v>
      </c>
      <c r="S15" s="12" t="s">
        <v>428</v>
      </c>
      <c r="T15" s="12" t="s">
        <v>428</v>
      </c>
      <c r="U15" s="12" t="s">
        <v>1017</v>
      </c>
      <c r="V15" s="12"/>
      <c r="W15" s="12"/>
      <c r="X15" s="12"/>
      <c r="Y15" s="24" t="s">
        <v>858</v>
      </c>
    </row>
    <row r="16" spans="1:25" ht="14.25" customHeight="1">
      <c r="A16" s="12">
        <v>15</v>
      </c>
      <c r="B16" s="12" t="s">
        <v>844</v>
      </c>
      <c r="C16" s="13" t="str">
        <f t="array" ref="C16">IFERROR(INDEX('iCoA Register'!$B:$B,MATCH("P050092|I",'iCoA Register'!$P:$P,0)),"— at issue —")</f>
        <v>iCoA-PP_26-015</v>
      </c>
      <c r="D16" s="13" t="str">
        <f t="array" ref="D16">IFERROR(INDEX('CoQ Register'!$B:$B,MATCH("P050092|I",'CoQ Register'!$S:$S,0)),"—")</f>
        <v>CoQ-PP_26-015</v>
      </c>
      <c r="E16" s="12" t="s">
        <v>1020</v>
      </c>
      <c r="F16" s="12" t="s">
        <v>851</v>
      </c>
      <c r="G16" s="12" t="s">
        <v>1022</v>
      </c>
      <c r="H16" s="12" t="s">
        <v>1022</v>
      </c>
      <c r="I16" s="45">
        <f t="array" ref="I16">IFERROR(INDEX('iCoA Register'!$D:$D,MATCH("P050092|I",'iCoA Register'!$P:$P,0)),"")</f>
        <v>46157</v>
      </c>
      <c r="J16" s="45">
        <f t="array" ref="J16">IFERROR(INDEX('CoQ Register'!$D:$D,MATCH("P050092|I",'CoQ Register'!$S:$S,0)),"")</f>
        <v>46169</v>
      </c>
      <c r="K16" s="13" t="s">
        <v>232</v>
      </c>
      <c r="L16" s="12" t="s">
        <v>236</v>
      </c>
      <c r="M16" s="12" t="s">
        <v>234</v>
      </c>
      <c r="N16" s="12" t="s">
        <v>1024</v>
      </c>
      <c r="O16" s="12" t="s">
        <v>1025</v>
      </c>
      <c r="P16" s="12" t="s">
        <v>1026</v>
      </c>
      <c r="Q16" s="12" t="s">
        <v>856</v>
      </c>
      <c r="R16" s="12" t="s">
        <v>428</v>
      </c>
      <c r="S16" s="12" t="s">
        <v>428</v>
      </c>
      <c r="T16" s="12" t="s">
        <v>428</v>
      </c>
      <c r="U16" s="12" t="s">
        <v>1027</v>
      </c>
      <c r="V16" s="12"/>
      <c r="W16" s="12"/>
      <c r="X16" s="12"/>
      <c r="Y16" s="24" t="s">
        <v>858</v>
      </c>
    </row>
    <row r="17" spans="1:25" ht="14.25" customHeight="1">
      <c r="A17" s="12">
        <v>16</v>
      </c>
      <c r="B17" s="12" t="s">
        <v>844</v>
      </c>
      <c r="C17" s="13" t="str">
        <f t="array" ref="C17">IFERROR(INDEX('iCoA Register'!$B:$B,MATCH("P050102|I",'iCoA Register'!$P:$P,0)),"— at issue —")</f>
        <v>iCoA-PP_26-016</v>
      </c>
      <c r="D17" s="13" t="str">
        <f t="array" ref="D17">IFERROR(INDEX('CoQ Register'!$B:$B,MATCH("P050102|I",'CoQ Register'!$S:$S,0)),"—")</f>
        <v>CoQ-PP_26-016</v>
      </c>
      <c r="E17" s="12" t="s">
        <v>850</v>
      </c>
      <c r="F17" s="12" t="s">
        <v>851</v>
      </c>
      <c r="G17" s="12" t="s">
        <v>1033</v>
      </c>
      <c r="H17" s="12" t="s">
        <v>1026</v>
      </c>
      <c r="I17" s="45">
        <f t="array" ref="I17">IFERROR(INDEX('iCoA Register'!$D:$D,MATCH("P050102|I",'iCoA Register'!$P:$P,0)),"")</f>
        <v>46157</v>
      </c>
      <c r="J17" s="45">
        <f t="array" ref="J17">IFERROR(INDEX('CoQ Register'!$D:$D,MATCH("P050102|I",'CoQ Register'!$S:$S,0)),"")</f>
        <v>46169</v>
      </c>
      <c r="K17" s="13" t="s">
        <v>289</v>
      </c>
      <c r="L17" s="12" t="s">
        <v>288</v>
      </c>
      <c r="M17" s="12" t="s">
        <v>178</v>
      </c>
      <c r="N17" s="12" t="s">
        <v>1034</v>
      </c>
      <c r="O17" s="12" t="s">
        <v>1035</v>
      </c>
      <c r="P17" s="12" t="s">
        <v>1036</v>
      </c>
      <c r="Q17" s="12" t="s">
        <v>856</v>
      </c>
      <c r="R17" s="12" t="s">
        <v>428</v>
      </c>
      <c r="S17" s="12" t="s">
        <v>428</v>
      </c>
      <c r="T17" s="12" t="s">
        <v>428</v>
      </c>
      <c r="U17" s="12" t="s">
        <v>1038</v>
      </c>
      <c r="V17" s="12"/>
      <c r="W17" s="12"/>
      <c r="X17" s="12"/>
      <c r="Y17" s="24" t="s">
        <v>858</v>
      </c>
    </row>
    <row r="18" spans="1:25" ht="14.25" customHeight="1">
      <c r="A18" s="12">
        <v>17</v>
      </c>
      <c r="B18" s="12" t="s">
        <v>844</v>
      </c>
      <c r="C18" s="13" t="str">
        <f t="array" ref="C18">IFERROR(INDEX('iCoA Register'!$B:$B,MATCH("P050112|I",'iCoA Register'!$P:$P,0)),"— at issue —")</f>
        <v>iCoA-PP_26-017</v>
      </c>
      <c r="D18" s="13" t="str">
        <f t="array" ref="D18">IFERROR(INDEX('CoQ Register'!$B:$B,MATCH("P050112|I",'CoQ Register'!$S:$S,0)),"—")</f>
        <v>CoQ-PP_26-017</v>
      </c>
      <c r="E18" s="12" t="s">
        <v>1040</v>
      </c>
      <c r="F18" s="12" t="s">
        <v>851</v>
      </c>
      <c r="G18" s="12" t="s">
        <v>1041</v>
      </c>
      <c r="H18" s="12" t="s">
        <v>1041</v>
      </c>
      <c r="I18" s="45">
        <f t="array" ref="I18">IFERROR(INDEX('iCoA Register'!$D:$D,MATCH("P050112|I",'iCoA Register'!$P:$P,0)),"")</f>
        <v>46157</v>
      </c>
      <c r="J18" s="45">
        <f t="array" ref="J18">IFERROR(INDEX('CoQ Register'!$D:$D,MATCH("P050112|I",'CoQ Register'!$S:$S,0)),"")</f>
        <v>46169</v>
      </c>
      <c r="K18" s="13" t="s">
        <v>227</v>
      </c>
      <c r="L18" s="12" t="s">
        <v>223</v>
      </c>
      <c r="M18" s="12" t="s">
        <v>222</v>
      </c>
      <c r="N18" s="12" t="s">
        <v>1044</v>
      </c>
      <c r="O18" s="12" t="s">
        <v>1045</v>
      </c>
      <c r="P18" s="12" t="s">
        <v>1046</v>
      </c>
      <c r="Q18" s="12" t="s">
        <v>856</v>
      </c>
      <c r="R18" s="12" t="s">
        <v>428</v>
      </c>
      <c r="S18" s="12" t="s">
        <v>428</v>
      </c>
      <c r="T18" s="12" t="s">
        <v>428</v>
      </c>
      <c r="U18" s="12" t="s">
        <v>1047</v>
      </c>
      <c r="V18" s="12"/>
      <c r="W18" s="12"/>
      <c r="X18" s="12"/>
      <c r="Y18" s="24" t="s">
        <v>858</v>
      </c>
    </row>
    <row r="19" spans="1:25" ht="14.25" customHeight="1">
      <c r="A19" s="12">
        <v>18</v>
      </c>
      <c r="B19" s="12" t="s">
        <v>844</v>
      </c>
      <c r="C19" s="13" t="str">
        <f t="array" ref="C19">IFERROR(INDEX('iCoA Register'!$B:$B,MATCH("P050122|I",'iCoA Register'!$P:$P,0)),"— at issue —")</f>
        <v>iCoA-PP_26-018</v>
      </c>
      <c r="D19" s="13" t="str">
        <f t="array" ref="D19">IFERROR(INDEX('CoQ Register'!$B:$B,MATCH("P050122|I",'CoQ Register'!$S:$S,0)),"—")</f>
        <v>CoQ-PP_26-018</v>
      </c>
      <c r="E19" s="12" t="s">
        <v>86</v>
      </c>
      <c r="F19" s="12" t="s">
        <v>851</v>
      </c>
      <c r="G19" s="12" t="s">
        <v>1049</v>
      </c>
      <c r="H19" s="12" t="s">
        <v>1049</v>
      </c>
      <c r="I19" s="45">
        <f t="array" ref="I19">IFERROR(INDEX('iCoA Register'!$D:$D,MATCH("P050122|I",'iCoA Register'!$P:$P,0)),"")</f>
        <v>46157</v>
      </c>
      <c r="J19" s="45">
        <f t="array" ref="J19">IFERROR(INDEX('CoQ Register'!$D:$D,MATCH("P050122|I",'CoQ Register'!$S:$S,0)),"")</f>
        <v>46169</v>
      </c>
      <c r="K19" s="13" t="s">
        <v>280</v>
      </c>
      <c r="L19" s="12" t="s">
        <v>278</v>
      </c>
      <c r="M19" s="12" t="s">
        <v>129</v>
      </c>
      <c r="N19" s="12" t="s">
        <v>1052</v>
      </c>
      <c r="O19" s="12" t="s">
        <v>1054</v>
      </c>
      <c r="P19" s="12" t="s">
        <v>1055</v>
      </c>
      <c r="Q19" s="12" t="s">
        <v>856</v>
      </c>
      <c r="R19" s="12" t="s">
        <v>428</v>
      </c>
      <c r="S19" s="12" t="s">
        <v>428</v>
      </c>
      <c r="T19" s="12" t="s">
        <v>428</v>
      </c>
      <c r="U19" s="12" t="s">
        <v>1057</v>
      </c>
      <c r="V19" s="12"/>
      <c r="W19" s="12"/>
      <c r="X19" s="12"/>
      <c r="Y19" s="24" t="s">
        <v>858</v>
      </c>
    </row>
    <row r="20" spans="1:25" ht="14.25" customHeight="1">
      <c r="A20" s="12">
        <v>19</v>
      </c>
      <c r="B20" s="12" t="s">
        <v>844</v>
      </c>
      <c r="C20" s="13" t="str">
        <f t="array" ref="C20">IFERROR(INDEX('iCoA Register'!$B:$B,MATCH("P050132|I",'iCoA Register'!$P:$P,0)),"— at issue —")</f>
        <v>iCoA-PP_26-019</v>
      </c>
      <c r="D20" s="13" t="str">
        <f t="array" ref="D20">IFERROR(INDEX('CoQ Register'!$B:$B,MATCH("P050132|I",'CoQ Register'!$S:$S,0)),"—")</f>
        <v>CoQ-PP_26-019</v>
      </c>
      <c r="E20" s="12" t="s">
        <v>850</v>
      </c>
      <c r="F20" s="12" t="s">
        <v>851</v>
      </c>
      <c r="G20" s="12" t="s">
        <v>1065</v>
      </c>
      <c r="H20" s="12" t="s">
        <v>1055</v>
      </c>
      <c r="I20" s="45">
        <f t="array" ref="I20">IFERROR(INDEX('iCoA Register'!$D:$D,MATCH("P050132|I",'iCoA Register'!$P:$P,0)),"")</f>
        <v>46157</v>
      </c>
      <c r="J20" s="45">
        <f t="array" ref="J20">IFERROR(INDEX('CoQ Register'!$D:$D,MATCH("P050132|I",'CoQ Register'!$S:$S,0)),"")</f>
        <v>46169</v>
      </c>
      <c r="K20" s="13" t="s">
        <v>233</v>
      </c>
      <c r="L20" s="12" t="s">
        <v>231</v>
      </c>
      <c r="M20" s="12" t="s">
        <v>103</v>
      </c>
      <c r="N20" s="12" t="s">
        <v>1068</v>
      </c>
      <c r="O20" s="12" t="s">
        <v>1069</v>
      </c>
      <c r="P20" s="12" t="s">
        <v>1070</v>
      </c>
      <c r="Q20" s="12" t="s">
        <v>856</v>
      </c>
      <c r="R20" s="12" t="s">
        <v>428</v>
      </c>
      <c r="S20" s="12" t="s">
        <v>428</v>
      </c>
      <c r="T20" s="12" t="s">
        <v>428</v>
      </c>
      <c r="U20" s="12" t="s">
        <v>1071</v>
      </c>
      <c r="V20" s="12"/>
      <c r="W20" s="12"/>
      <c r="X20" s="12"/>
      <c r="Y20" s="24" t="s">
        <v>858</v>
      </c>
    </row>
    <row r="21" spans="1:25" ht="14.25" customHeight="1">
      <c r="A21" s="12">
        <v>20</v>
      </c>
      <c r="B21" s="12" t="s">
        <v>844</v>
      </c>
      <c r="C21" s="13" t="str">
        <f t="array" ref="C21">IFERROR(INDEX('iCoA Register'!$B:$B,MATCH("P050152|I",'iCoA Register'!$P:$P,0)),"— at issue —")</f>
        <v>iCoA-PP_26-020</v>
      </c>
      <c r="D21" s="13" t="str">
        <f t="array" ref="D21">IFERROR(INDEX('CoQ Register'!$B:$B,MATCH("P050152|I",'CoQ Register'!$S:$S,0)),"—")</f>
        <v>CoQ-PP_26-020</v>
      </c>
      <c r="E21" s="12" t="s">
        <v>1074</v>
      </c>
      <c r="F21" s="12" t="s">
        <v>851</v>
      </c>
      <c r="G21" s="12" t="s">
        <v>1076</v>
      </c>
      <c r="H21" s="12" t="s">
        <v>1076</v>
      </c>
      <c r="I21" s="45">
        <f t="array" ref="I21">IFERROR(INDEX('iCoA Register'!$D:$D,MATCH("P050152|I",'iCoA Register'!$P:$P,0)),"")</f>
        <v>46157</v>
      </c>
      <c r="J21" s="45">
        <f t="array" ref="J21">IFERROR(INDEX('CoQ Register'!$D:$D,MATCH("P050152|I",'CoQ Register'!$S:$S,0)),"")</f>
        <v>46169</v>
      </c>
      <c r="K21" s="13" t="s">
        <v>202</v>
      </c>
      <c r="L21" s="12" t="s">
        <v>199</v>
      </c>
      <c r="M21" s="12" t="s">
        <v>178</v>
      </c>
      <c r="N21" s="28" t="s">
        <v>1079</v>
      </c>
      <c r="O21" s="12" t="s">
        <v>1076</v>
      </c>
      <c r="P21" s="12" t="s">
        <v>1076</v>
      </c>
      <c r="Q21" s="12" t="s">
        <v>856</v>
      </c>
      <c r="R21" s="12" t="s">
        <v>428</v>
      </c>
      <c r="S21" s="12" t="s">
        <v>428</v>
      </c>
      <c r="T21" s="12" t="s">
        <v>428</v>
      </c>
      <c r="U21" s="12" t="s">
        <v>1080</v>
      </c>
      <c r="V21" s="12"/>
      <c r="W21" s="12"/>
      <c r="X21" s="12"/>
      <c r="Y21" s="24" t="s">
        <v>858</v>
      </c>
    </row>
    <row r="22" spans="1:25" ht="14.25" customHeight="1">
      <c r="A22" s="12">
        <v>21</v>
      </c>
      <c r="B22" s="12" t="s">
        <v>844</v>
      </c>
      <c r="C22" s="13" t="str">
        <f t="array" ref="C22">IFERROR(INDEX('iCoA Register'!$B:$B,MATCH("P050142|I",'iCoA Register'!$P:$P,0)),"— at issue —")</f>
        <v>iCoA-PP_26-021</v>
      </c>
      <c r="D22" s="13" t="str">
        <f t="array" ref="D22">IFERROR(INDEX('CoQ Register'!$B:$B,MATCH("P050142|I",'CoQ Register'!$S:$S,0)),"—")</f>
        <v>CoQ-PP_26-021</v>
      </c>
      <c r="E22" s="12" t="s">
        <v>86</v>
      </c>
      <c r="F22" s="12" t="s">
        <v>851</v>
      </c>
      <c r="G22" s="12" t="s">
        <v>1083</v>
      </c>
      <c r="H22" s="12" t="s">
        <v>1083</v>
      </c>
      <c r="I22" s="45">
        <f t="array" ref="I22">IFERROR(INDEX('iCoA Register'!$D:$D,MATCH("P050142|I",'iCoA Register'!$P:$P,0)),"")</f>
        <v>46157</v>
      </c>
      <c r="J22" s="45">
        <f t="array" ref="J22">IFERROR(INDEX('CoQ Register'!$D:$D,MATCH("P050142|I",'CoQ Register'!$S:$S,0)),"")</f>
        <v>46169</v>
      </c>
      <c r="K22" s="13" t="s">
        <v>683</v>
      </c>
      <c r="L22" s="12" t="s">
        <v>685</v>
      </c>
      <c r="M22" s="12" t="s">
        <v>129</v>
      </c>
      <c r="N22" s="28" t="s">
        <v>1079</v>
      </c>
      <c r="O22" s="12" t="s">
        <v>1083</v>
      </c>
      <c r="P22" s="12" t="s">
        <v>1083</v>
      </c>
      <c r="Q22" s="12" t="s">
        <v>856</v>
      </c>
      <c r="R22" s="12" t="s">
        <v>428</v>
      </c>
      <c r="S22" s="12" t="s">
        <v>428</v>
      </c>
      <c r="T22" s="12" t="s">
        <v>428</v>
      </c>
      <c r="U22" s="28" t="s">
        <v>893</v>
      </c>
      <c r="V22" s="12"/>
      <c r="W22" s="12"/>
      <c r="X22" s="12"/>
      <c r="Y22" s="24" t="s">
        <v>858</v>
      </c>
    </row>
    <row r="23" spans="1:25" ht="14.25" customHeight="1">
      <c r="A23" s="12">
        <v>22</v>
      </c>
      <c r="B23" s="12" t="s">
        <v>844</v>
      </c>
      <c r="C23" s="13" t="str">
        <f t="array" ref="C23">IFERROR(INDEX('iCoA Register'!$B:$B,MATCH("P050162|I",'iCoA Register'!$P:$P,0)),"— at issue —")</f>
        <v>iCoA-PP_26-022</v>
      </c>
      <c r="D23" s="13" t="str">
        <f t="array" ref="D23">IFERROR(INDEX('CoQ Register'!$B:$B,MATCH("P050162|I",'CoQ Register'!$S:$S,0)),"—")</f>
        <v>CoQ-PP_26-022</v>
      </c>
      <c r="E23" s="12" t="s">
        <v>1087</v>
      </c>
      <c r="F23" s="12" t="s">
        <v>851</v>
      </c>
      <c r="G23" s="12" t="s">
        <v>1083</v>
      </c>
      <c r="H23" s="12" t="s">
        <v>1083</v>
      </c>
      <c r="I23" s="45">
        <f t="array" ref="I23">IFERROR(INDEX('iCoA Register'!$D:$D,MATCH("P050162|I",'iCoA Register'!$P:$P,0)),"")</f>
        <v>46157</v>
      </c>
      <c r="J23" s="45">
        <f t="array" ref="J23">IFERROR(INDEX('CoQ Register'!$D:$D,MATCH("P050162|I",'CoQ Register'!$S:$S,0)),"")</f>
        <v>46169</v>
      </c>
      <c r="K23" s="13" t="s">
        <v>171</v>
      </c>
      <c r="L23" s="12" t="s">
        <v>175</v>
      </c>
      <c r="M23" s="12" t="s">
        <v>1088</v>
      </c>
      <c r="N23" s="12" t="s">
        <v>1089</v>
      </c>
      <c r="O23" s="12" t="s">
        <v>1090</v>
      </c>
      <c r="P23" s="12" t="s">
        <v>1091</v>
      </c>
      <c r="Q23" s="12" t="s">
        <v>856</v>
      </c>
      <c r="R23" s="12" t="s">
        <v>428</v>
      </c>
      <c r="S23" s="12" t="s">
        <v>428</v>
      </c>
      <c r="T23" s="12" t="s">
        <v>428</v>
      </c>
      <c r="U23" s="12" t="s">
        <v>1092</v>
      </c>
      <c r="V23" s="12"/>
      <c r="W23" s="12"/>
      <c r="X23" s="12"/>
      <c r="Y23" s="24" t="s">
        <v>858</v>
      </c>
    </row>
    <row r="24" spans="1:25" ht="14.25" customHeight="1">
      <c r="A24" s="12">
        <v>23</v>
      </c>
      <c r="B24" s="12" t="s">
        <v>844</v>
      </c>
      <c r="C24" s="13" t="str">
        <f t="array" ref="C24">IFERROR(INDEX('iCoA Register'!$B:$B,MATCH("P050172|I",'iCoA Register'!$P:$P,0)),"— at issue —")</f>
        <v>iCoA-PP_26-023</v>
      </c>
      <c r="D24" s="13" t="str">
        <f t="array" ref="D24">IFERROR(INDEX('CoQ Register'!$B:$B,MATCH("P050172|I",'CoQ Register'!$S:$S,0)),"—")</f>
        <v>CoQ-PP_26-023</v>
      </c>
      <c r="E24" s="12" t="s">
        <v>850</v>
      </c>
      <c r="F24" s="12" t="s">
        <v>851</v>
      </c>
      <c r="G24" s="12" t="s">
        <v>1095</v>
      </c>
      <c r="H24" s="12" t="s">
        <v>1091</v>
      </c>
      <c r="I24" s="45">
        <f t="array" ref="I24">IFERROR(INDEX('iCoA Register'!$D:$D,MATCH("P050172|I",'iCoA Register'!$P:$P,0)),"")</f>
        <v>46157</v>
      </c>
      <c r="J24" s="45">
        <f t="array" ref="J24">IFERROR(INDEX('CoQ Register'!$D:$D,MATCH("P050172|I",'CoQ Register'!$S:$S,0)),"")</f>
        <v>46169</v>
      </c>
      <c r="K24" s="13" t="s">
        <v>240</v>
      </c>
      <c r="L24" s="12" t="s">
        <v>239</v>
      </c>
      <c r="M24" s="12" t="s">
        <v>75</v>
      </c>
      <c r="N24" s="12" t="s">
        <v>1089</v>
      </c>
      <c r="O24" s="12" t="s">
        <v>1096</v>
      </c>
      <c r="P24" s="12" t="s">
        <v>1097</v>
      </c>
      <c r="Q24" s="12" t="s">
        <v>856</v>
      </c>
      <c r="R24" s="12" t="s">
        <v>428</v>
      </c>
      <c r="S24" s="12" t="s">
        <v>428</v>
      </c>
      <c r="T24" s="12" t="s">
        <v>428</v>
      </c>
      <c r="U24" s="12" t="s">
        <v>1099</v>
      </c>
      <c r="V24" s="12"/>
      <c r="W24" s="12"/>
      <c r="X24" s="12"/>
      <c r="Y24" s="24" t="s">
        <v>858</v>
      </c>
    </row>
    <row r="25" spans="1:25" ht="14.25" customHeight="1">
      <c r="A25" s="12">
        <v>24</v>
      </c>
      <c r="B25" s="12" t="s">
        <v>844</v>
      </c>
      <c r="C25" s="13" t="str">
        <f t="array" ref="C25">IFERROR(INDEX('iCoA Register'!$B:$B,MATCH("P050182|I",'iCoA Register'!$P:$P,0)),"— at issue —")</f>
        <v>iCoA-PP_26-024</v>
      </c>
      <c r="D25" s="13" t="str">
        <f t="array" ref="D25">IFERROR(INDEX('CoQ Register'!$B:$B,MATCH("P050182|I",'CoQ Register'!$S:$S,0)),"—")</f>
        <v>CoQ-PP_26-024</v>
      </c>
      <c r="E25" s="12" t="s">
        <v>1109</v>
      </c>
      <c r="F25" s="12" t="s">
        <v>851</v>
      </c>
      <c r="G25" s="12" t="s">
        <v>1111</v>
      </c>
      <c r="H25" s="12" t="s">
        <v>1111</v>
      </c>
      <c r="I25" s="45">
        <f t="array" ref="I25">IFERROR(INDEX('iCoA Register'!$D:$D,MATCH("P050182|I",'iCoA Register'!$P:$P,0)),"")</f>
        <v>46157</v>
      </c>
      <c r="J25" s="45">
        <f t="array" ref="J25">IFERROR(INDEX('CoQ Register'!$D:$D,MATCH("P050182|I",'CoQ Register'!$S:$S,0)),"")</f>
        <v>46169</v>
      </c>
      <c r="K25" s="13" t="s">
        <v>273</v>
      </c>
      <c r="L25" s="12" t="s">
        <v>270</v>
      </c>
      <c r="M25" s="12" t="s">
        <v>261</v>
      </c>
      <c r="N25" s="12" t="s">
        <v>1116</v>
      </c>
      <c r="O25" s="12" t="s">
        <v>1117</v>
      </c>
      <c r="P25" s="12" t="s">
        <v>1118</v>
      </c>
      <c r="Q25" s="12" t="s">
        <v>856</v>
      </c>
      <c r="R25" s="12" t="s">
        <v>428</v>
      </c>
      <c r="S25" s="12" t="s">
        <v>428</v>
      </c>
      <c r="T25" s="12" t="s">
        <v>428</v>
      </c>
      <c r="U25" s="12" t="s">
        <v>1120</v>
      </c>
      <c r="V25" s="12"/>
      <c r="W25" s="12"/>
      <c r="X25" s="12"/>
      <c r="Y25" s="24" t="s">
        <v>858</v>
      </c>
    </row>
    <row r="26" spans="1:25" ht="14.25" customHeight="1">
      <c r="A26" s="12">
        <v>25</v>
      </c>
      <c r="B26" s="12" t="s">
        <v>844</v>
      </c>
      <c r="C26" s="13" t="str">
        <f t="array" ref="C26">IFERROR(INDEX('iCoA Register'!$B:$B,MATCH("P050192|I",'iCoA Register'!$P:$P,0)),"— at issue —")</f>
        <v>iCoA-PP_26-025</v>
      </c>
      <c r="D26" s="13" t="str">
        <f t="array" ref="D26">IFERROR(INDEX('CoQ Register'!$B:$B,MATCH("P050192|I",'CoQ Register'!$S:$S,0)),"—")</f>
        <v>CoQ-PP_26-025</v>
      </c>
      <c r="E26" s="12" t="s">
        <v>1126</v>
      </c>
      <c r="F26" s="12" t="s">
        <v>851</v>
      </c>
      <c r="G26" s="12" t="s">
        <v>1128</v>
      </c>
      <c r="H26" s="12" t="s">
        <v>1128</v>
      </c>
      <c r="I26" s="45">
        <f t="array" ref="I26">IFERROR(INDEX('iCoA Register'!$D:$D,MATCH("P050192|I",'iCoA Register'!$P:$P,0)),"")</f>
        <v>46157</v>
      </c>
      <c r="J26" s="45">
        <f t="array" ref="J26">IFERROR(INDEX('CoQ Register'!$D:$D,MATCH("P050192|I",'CoQ Register'!$S:$S,0)),"")</f>
        <v>46169</v>
      </c>
      <c r="K26" s="13" t="s">
        <v>263</v>
      </c>
      <c r="L26" s="12" t="s">
        <v>262</v>
      </c>
      <c r="M26" s="12" t="s">
        <v>485</v>
      </c>
      <c r="N26" s="12" t="s">
        <v>1133</v>
      </c>
      <c r="O26" s="12" t="s">
        <v>1135</v>
      </c>
      <c r="P26" s="12" t="s">
        <v>1136</v>
      </c>
      <c r="Q26" s="12" t="s">
        <v>856</v>
      </c>
      <c r="R26" s="12" t="s">
        <v>428</v>
      </c>
      <c r="S26" s="12" t="s">
        <v>428</v>
      </c>
      <c r="T26" s="12" t="s">
        <v>428</v>
      </c>
      <c r="U26" s="12" t="s">
        <v>1098</v>
      </c>
      <c r="V26" s="12"/>
      <c r="W26" s="12"/>
      <c r="X26" s="12"/>
      <c r="Y26" s="24" t="s">
        <v>858</v>
      </c>
    </row>
    <row r="27" spans="1:25" ht="14.25" customHeight="1">
      <c r="A27" s="12">
        <v>26</v>
      </c>
      <c r="B27" s="12" t="s">
        <v>844</v>
      </c>
      <c r="C27" s="13" t="str">
        <f t="array" ref="C27">IFERROR(INDEX('iCoA Register'!$B:$B,MATCH("P050202|I",'iCoA Register'!$P:$P,0)),"— at issue —")</f>
        <v>iCoA-PP_26-026</v>
      </c>
      <c r="D27" s="13" t="str">
        <f t="array" ref="D27">IFERROR(INDEX('CoQ Register'!$B:$B,MATCH("P050202|I",'CoQ Register'!$S:$S,0)),"—")</f>
        <v>CoQ-PP_26-026</v>
      </c>
      <c r="E27" s="12" t="s">
        <v>850</v>
      </c>
      <c r="F27" s="12" t="s">
        <v>851</v>
      </c>
      <c r="G27" s="12" t="s">
        <v>1143</v>
      </c>
      <c r="H27" s="12" t="s">
        <v>1144</v>
      </c>
      <c r="I27" s="45">
        <f t="array" ref="I27">IFERROR(INDEX('iCoA Register'!$D:$D,MATCH("P050202|I",'iCoA Register'!$P:$P,0)),"")</f>
        <v>46157</v>
      </c>
      <c r="J27" s="45">
        <f t="array" ref="J27">IFERROR(INDEX('CoQ Register'!$D:$D,MATCH("P050202|I",'CoQ Register'!$S:$S,0)),"")</f>
        <v>46169</v>
      </c>
      <c r="K27" s="13" t="s">
        <v>516</v>
      </c>
      <c r="L27" s="12" t="s">
        <v>517</v>
      </c>
      <c r="M27" s="12" t="s">
        <v>178</v>
      </c>
      <c r="N27" s="12" t="s">
        <v>1146</v>
      </c>
      <c r="O27" s="12" t="s">
        <v>1147</v>
      </c>
      <c r="P27" s="12" t="s">
        <v>1148</v>
      </c>
      <c r="Q27" s="12" t="s">
        <v>856</v>
      </c>
      <c r="R27" s="12" t="s">
        <v>428</v>
      </c>
      <c r="S27" s="12" t="s">
        <v>428</v>
      </c>
      <c r="T27" s="12" t="s">
        <v>428</v>
      </c>
      <c r="U27" s="12" t="s">
        <v>1098</v>
      </c>
      <c r="V27" s="12"/>
      <c r="W27" s="12"/>
      <c r="X27" s="12"/>
      <c r="Y27" s="24" t="s">
        <v>858</v>
      </c>
    </row>
    <row r="28" spans="1:25" ht="14.25" customHeight="1">
      <c r="A28" s="12">
        <v>27</v>
      </c>
      <c r="B28" s="12" t="s">
        <v>844</v>
      </c>
      <c r="C28" s="13" t="str">
        <f t="array" ref="C28">IFERROR(INDEX('iCoA Register'!$B:$B,MATCH("P050212|I",'iCoA Register'!$P:$P,0)),"— at issue —")</f>
        <v>iCoA-PP_26-027</v>
      </c>
      <c r="D28" s="13" t="str">
        <f t="array" ref="D28">IFERROR(INDEX('CoQ Register'!$B:$B,MATCH("P050212|I",'CoQ Register'!$S:$S,0)),"—")</f>
        <v>CoQ-PP_26-027</v>
      </c>
      <c r="E28" s="12" t="s">
        <v>850</v>
      </c>
      <c r="F28" s="12" t="s">
        <v>851</v>
      </c>
      <c r="G28" s="12" t="s">
        <v>1149</v>
      </c>
      <c r="H28" s="12" t="s">
        <v>1150</v>
      </c>
      <c r="I28" s="45">
        <f t="array" ref="I28">IFERROR(INDEX('iCoA Register'!$D:$D,MATCH("P050212|I",'iCoA Register'!$P:$P,0)),"")</f>
        <v>46157</v>
      </c>
      <c r="J28" s="45">
        <f t="array" ref="J28">IFERROR(INDEX('CoQ Register'!$D:$D,MATCH("P050212|I",'CoQ Register'!$S:$S,0)),"")</f>
        <v>46169</v>
      </c>
      <c r="K28" s="13" t="s">
        <v>184</v>
      </c>
      <c r="L28" s="12" t="s">
        <v>188</v>
      </c>
      <c r="M28" s="12" t="s">
        <v>206</v>
      </c>
      <c r="N28" s="12" t="s">
        <v>1153</v>
      </c>
      <c r="O28" s="12" t="s">
        <v>1154</v>
      </c>
      <c r="P28" s="12" t="s">
        <v>1155</v>
      </c>
      <c r="Q28" s="12" t="s">
        <v>856</v>
      </c>
      <c r="R28" s="12" t="s">
        <v>428</v>
      </c>
      <c r="S28" s="12" t="s">
        <v>428</v>
      </c>
      <c r="T28" s="12" t="s">
        <v>428</v>
      </c>
      <c r="U28" s="12" t="s">
        <v>1156</v>
      </c>
      <c r="V28" s="12"/>
      <c r="W28" s="12"/>
      <c r="X28" s="12"/>
      <c r="Y28" s="24" t="s">
        <v>858</v>
      </c>
    </row>
    <row r="29" spans="1:25" ht="14.25" customHeight="1">
      <c r="A29" s="12">
        <v>28</v>
      </c>
      <c r="B29" s="12" t="s">
        <v>844</v>
      </c>
      <c r="C29" s="13" t="str">
        <f t="array" ref="C29">IFERROR(INDEX('iCoA Register'!$B:$B,MATCH("P050222|I",'iCoA Register'!$P:$P,0)),"— at issue —")</f>
        <v>iCoA-PP_26-028</v>
      </c>
      <c r="D29" s="13" t="str">
        <f t="array" ref="D29">IFERROR(INDEX('CoQ Register'!$B:$B,MATCH("P050222|I",'CoQ Register'!$S:$S,0)),"—")</f>
        <v>CoQ-PP_26-028</v>
      </c>
      <c r="E29" s="12" t="s">
        <v>1159</v>
      </c>
      <c r="F29" s="12" t="s">
        <v>851</v>
      </c>
      <c r="G29" s="12" t="s">
        <v>1155</v>
      </c>
      <c r="H29" s="12" t="s">
        <v>1155</v>
      </c>
      <c r="I29" s="45">
        <f t="array" ref="I29">IFERROR(INDEX('iCoA Register'!$D:$D,MATCH("P050222|I",'iCoA Register'!$P:$P,0)),"")</f>
        <v>46157</v>
      </c>
      <c r="J29" s="45">
        <f t="array" ref="J29">IFERROR(INDEX('CoQ Register'!$D:$D,MATCH("P050222|I",'CoQ Register'!$S:$S,0)),"")</f>
        <v>46169</v>
      </c>
      <c r="K29" s="13" t="s">
        <v>187</v>
      </c>
      <c r="L29" s="12" t="s">
        <v>185</v>
      </c>
      <c r="M29" s="12" t="s">
        <v>206</v>
      </c>
      <c r="N29" s="12" t="s">
        <v>1161</v>
      </c>
      <c r="O29" s="12" t="s">
        <v>1162</v>
      </c>
      <c r="P29" s="12" t="s">
        <v>1163</v>
      </c>
      <c r="Q29" s="12" t="s">
        <v>856</v>
      </c>
      <c r="R29" s="12" t="s">
        <v>428</v>
      </c>
      <c r="S29" s="12" t="s">
        <v>428</v>
      </c>
      <c r="T29" s="12" t="s">
        <v>428</v>
      </c>
      <c r="U29" s="12" t="s">
        <v>1164</v>
      </c>
      <c r="V29" s="12"/>
      <c r="W29" s="12"/>
      <c r="X29" s="12"/>
      <c r="Y29" s="24" t="s">
        <v>858</v>
      </c>
    </row>
    <row r="30" spans="1:25" ht="14.25" customHeight="1">
      <c r="A30" s="12">
        <v>29</v>
      </c>
      <c r="B30" s="12" t="s">
        <v>844</v>
      </c>
      <c r="C30" s="13" t="str">
        <f t="array" ref="C30">IFERROR(INDEX('iCoA Register'!$B:$B,MATCH("P050252|I",'iCoA Register'!$P:$P,0)),"— at issue —")</f>
        <v>iCoA-PP_26-029</v>
      </c>
      <c r="D30" s="13" t="str">
        <f t="array" ref="D30">IFERROR(INDEX('CoQ Register'!$B:$B,MATCH("P050252|I",'CoQ Register'!$S:$S,0)),"—")</f>
        <v>CoQ-PP_26-029</v>
      </c>
      <c r="E30" s="12" t="s">
        <v>850</v>
      </c>
      <c r="F30" s="12" t="s">
        <v>851</v>
      </c>
      <c r="G30" s="12" t="s">
        <v>1169</v>
      </c>
      <c r="H30" s="12" t="s">
        <v>1170</v>
      </c>
      <c r="I30" s="45">
        <f t="array" ref="I30">IFERROR(INDEX('iCoA Register'!$D:$D,MATCH("P050252|I",'iCoA Register'!$P:$P,0)),"")</f>
        <v>46157</v>
      </c>
      <c r="J30" s="45">
        <f t="array" ref="J30">IFERROR(INDEX('CoQ Register'!$D:$D,MATCH("P050252|I",'CoQ Register'!$S:$S,0)),"")</f>
        <v>46169</v>
      </c>
      <c r="K30" s="13" t="s">
        <v>190</v>
      </c>
      <c r="L30" s="12" t="s">
        <v>189</v>
      </c>
      <c r="M30" s="12" t="s">
        <v>75</v>
      </c>
      <c r="N30" s="12" t="s">
        <v>1174</v>
      </c>
      <c r="O30" s="12" t="s">
        <v>1175</v>
      </c>
      <c r="P30" s="12" t="s">
        <v>1176</v>
      </c>
      <c r="Q30" s="12" t="s">
        <v>856</v>
      </c>
      <c r="R30" s="12" t="s">
        <v>428</v>
      </c>
      <c r="S30" s="12" t="s">
        <v>428</v>
      </c>
      <c r="T30" s="12" t="s">
        <v>428</v>
      </c>
      <c r="U30" s="12" t="s">
        <v>1178</v>
      </c>
      <c r="V30" s="12"/>
      <c r="W30" s="12"/>
      <c r="X30" s="12"/>
      <c r="Y30" s="24" t="s">
        <v>858</v>
      </c>
    </row>
    <row r="31" spans="1:25" ht="14.25" customHeight="1">
      <c r="A31" s="12">
        <v>30</v>
      </c>
      <c r="B31" s="12" t="s">
        <v>844</v>
      </c>
      <c r="C31" s="13" t="str">
        <f t="array" ref="C31">IFERROR(INDEX('iCoA Register'!$B:$B,MATCH("P050262|I",'iCoA Register'!$P:$P,0)),"— at issue —")</f>
        <v>iCoA-PP_26-030</v>
      </c>
      <c r="D31" s="13" t="str">
        <f t="array" ref="D31">IFERROR(INDEX('CoQ Register'!$B:$B,MATCH("P050262|I",'CoQ Register'!$S:$S,0)),"—")</f>
        <v>CoQ-PP_26-030</v>
      </c>
      <c r="E31" s="12" t="s">
        <v>850</v>
      </c>
      <c r="F31" s="12" t="s">
        <v>851</v>
      </c>
      <c r="G31" s="12" t="s">
        <v>1169</v>
      </c>
      <c r="H31" s="12" t="s">
        <v>1183</v>
      </c>
      <c r="I31" s="45">
        <f t="array" ref="I31">IFERROR(INDEX('iCoA Register'!$D:$D,MATCH("P050262|I",'iCoA Register'!$P:$P,0)),"")</f>
        <v>46157</v>
      </c>
      <c r="J31" s="45">
        <f t="array" ref="J31">IFERROR(INDEX('CoQ Register'!$D:$D,MATCH("P050262|I",'CoQ Register'!$S:$S,0)),"")</f>
        <v>46169</v>
      </c>
      <c r="K31" s="13" t="s">
        <v>197</v>
      </c>
      <c r="L31" s="12" t="s">
        <v>196</v>
      </c>
      <c r="M31" s="12" t="s">
        <v>491</v>
      </c>
      <c r="N31" s="12" t="s">
        <v>1188</v>
      </c>
      <c r="O31" s="12" t="s">
        <v>1189</v>
      </c>
      <c r="P31" s="12" t="s">
        <v>1183</v>
      </c>
      <c r="Q31" s="12" t="s">
        <v>856</v>
      </c>
      <c r="R31" s="12" t="s">
        <v>428</v>
      </c>
      <c r="S31" s="12" t="s">
        <v>428</v>
      </c>
      <c r="T31" s="12" t="s">
        <v>428</v>
      </c>
      <c r="U31" s="12" t="s">
        <v>1192</v>
      </c>
      <c r="V31" s="12"/>
      <c r="W31" s="12"/>
      <c r="X31" s="12"/>
      <c r="Y31" s="24" t="s">
        <v>858</v>
      </c>
    </row>
    <row r="32" spans="1:25" ht="14.25" customHeight="1">
      <c r="A32" s="12">
        <v>31</v>
      </c>
      <c r="B32" s="12" t="s">
        <v>844</v>
      </c>
      <c r="C32" s="13" t="str">
        <f t="array" ref="C32">IFERROR(INDEX('iCoA Register'!$B:$B,MATCH("P050272|I",'iCoA Register'!$P:$P,0)),"— at issue —")</f>
        <v>iCoA-PP_26-031</v>
      </c>
      <c r="D32" s="13" t="str">
        <f t="array" ref="D32">IFERROR(INDEX('CoQ Register'!$B:$B,MATCH("P050272|I",'CoQ Register'!$S:$S,0)),"—")</f>
        <v>CoQ-PP_26-031</v>
      </c>
      <c r="E32" s="12" t="s">
        <v>850</v>
      </c>
      <c r="F32" s="12" t="s">
        <v>851</v>
      </c>
      <c r="G32" s="12" t="s">
        <v>1195</v>
      </c>
      <c r="H32" s="12" t="s">
        <v>1169</v>
      </c>
      <c r="I32" s="45">
        <f t="array" ref="I32">IFERROR(INDEX('iCoA Register'!$D:$D,MATCH("P050272|I",'iCoA Register'!$P:$P,0)),"")</f>
        <v>46157</v>
      </c>
      <c r="J32" s="45">
        <f t="array" ref="J32">IFERROR(INDEX('CoQ Register'!$D:$D,MATCH("P050272|I",'CoQ Register'!$S:$S,0)),"")</f>
        <v>46169</v>
      </c>
      <c r="K32" s="13" t="s">
        <v>219</v>
      </c>
      <c r="L32" s="12" t="s">
        <v>217</v>
      </c>
      <c r="M32" s="12" t="s">
        <v>307</v>
      </c>
      <c r="N32" s="12" t="s">
        <v>1174</v>
      </c>
      <c r="O32" s="12" t="s">
        <v>1197</v>
      </c>
      <c r="P32" s="12" t="s">
        <v>1198</v>
      </c>
      <c r="Q32" s="12" t="s">
        <v>856</v>
      </c>
      <c r="R32" s="12" t="s">
        <v>428</v>
      </c>
      <c r="S32" s="12" t="s">
        <v>428</v>
      </c>
      <c r="T32" s="12" t="s">
        <v>428</v>
      </c>
      <c r="U32" s="12" t="s">
        <v>1199</v>
      </c>
      <c r="V32" s="12"/>
      <c r="W32" s="12"/>
      <c r="X32" s="12"/>
      <c r="Y32" s="24" t="s">
        <v>858</v>
      </c>
    </row>
    <row r="33" spans="1:25" ht="14.25" customHeight="1">
      <c r="A33" s="12">
        <v>32</v>
      </c>
      <c r="B33" s="12" t="s">
        <v>844</v>
      </c>
      <c r="C33" s="13" t="str">
        <f t="array" ref="C33">IFERROR(INDEX('iCoA Register'!$B:$B,MATCH("P050282|I",'iCoA Register'!$P:$P,0)),"— at issue —")</f>
        <v>iCoA-PP_26-032</v>
      </c>
      <c r="D33" s="13" t="str">
        <f t="array" ref="D33">IFERROR(INDEX('CoQ Register'!$B:$B,MATCH("P050282|I",'CoQ Register'!$S:$S,0)),"—")</f>
        <v>CoQ-PP_26-032</v>
      </c>
      <c r="E33" s="12" t="s">
        <v>1205</v>
      </c>
      <c r="F33" s="12" t="s">
        <v>851</v>
      </c>
      <c r="G33" s="12" t="s">
        <v>1198</v>
      </c>
      <c r="H33" s="12" t="s">
        <v>1198</v>
      </c>
      <c r="I33" s="45">
        <f t="array" ref="I33">IFERROR(INDEX('iCoA Register'!$D:$D,MATCH("P050282|I",'iCoA Register'!$P:$P,0)),"")</f>
        <v>46157</v>
      </c>
      <c r="J33" s="45">
        <f t="array" ref="J33">IFERROR(INDEX('CoQ Register'!$D:$D,MATCH("P050282|I",'CoQ Register'!$S:$S,0)),"")</f>
        <v>46169</v>
      </c>
      <c r="K33" s="13" t="s">
        <v>212</v>
      </c>
      <c r="L33" s="12" t="s">
        <v>211</v>
      </c>
      <c r="M33" s="12" t="s">
        <v>568</v>
      </c>
      <c r="N33" s="12" t="s">
        <v>1206</v>
      </c>
      <c r="O33" s="12" t="s">
        <v>1207</v>
      </c>
      <c r="P33" s="12" t="s">
        <v>1208</v>
      </c>
      <c r="Q33" s="12" t="s">
        <v>856</v>
      </c>
      <c r="R33" s="12" t="s">
        <v>428</v>
      </c>
      <c r="S33" s="12" t="s">
        <v>428</v>
      </c>
      <c r="T33" s="12" t="s">
        <v>428</v>
      </c>
      <c r="U33" s="12" t="s">
        <v>1209</v>
      </c>
      <c r="V33" s="12"/>
      <c r="W33" s="12"/>
      <c r="X33" s="12"/>
      <c r="Y33" s="24" t="s">
        <v>858</v>
      </c>
    </row>
    <row r="34" spans="1:25" ht="14.25" customHeight="1">
      <c r="A34" s="12">
        <v>33</v>
      </c>
      <c r="B34" s="12" t="s">
        <v>844</v>
      </c>
      <c r="C34" s="13" t="str">
        <f t="array" ref="C34">IFERROR(INDEX('iCoA Register'!$B:$B,MATCH("P050292|I",'iCoA Register'!$P:$P,0)),"— at issue —")</f>
        <v>iCoA-PP_26-033</v>
      </c>
      <c r="D34" s="13" t="str">
        <f t="array" ref="D34">IFERROR(INDEX('CoQ Register'!$B:$B,MATCH("P050292|I",'CoQ Register'!$S:$S,0)),"—")</f>
        <v>CoQ-PP_26-033</v>
      </c>
      <c r="E34" s="12" t="s">
        <v>850</v>
      </c>
      <c r="F34" s="12" t="s">
        <v>851</v>
      </c>
      <c r="G34" s="12" t="s">
        <v>1195</v>
      </c>
      <c r="H34" s="12" t="s">
        <v>1211</v>
      </c>
      <c r="I34" s="45">
        <f t="array" ref="I34">IFERROR(INDEX('iCoA Register'!$D:$D,MATCH("P050292|I",'iCoA Register'!$P:$P,0)),"")</f>
        <v>46157</v>
      </c>
      <c r="J34" s="45">
        <f t="array" ref="J34">IFERROR(INDEX('CoQ Register'!$D:$D,MATCH("P050292|I",'CoQ Register'!$S:$S,0)),"")</f>
        <v>46169</v>
      </c>
      <c r="K34" s="13" t="s">
        <v>259</v>
      </c>
      <c r="L34" s="12" t="s">
        <v>254</v>
      </c>
      <c r="M34" s="12" t="s">
        <v>178</v>
      </c>
      <c r="N34" s="12" t="s">
        <v>1214</v>
      </c>
      <c r="O34" s="12" t="s">
        <v>1215</v>
      </c>
      <c r="P34" s="12" t="s">
        <v>1216</v>
      </c>
      <c r="Q34" s="12" t="s">
        <v>856</v>
      </c>
      <c r="R34" s="12" t="s">
        <v>428</v>
      </c>
      <c r="S34" s="12" t="s">
        <v>428</v>
      </c>
      <c r="T34" s="12" t="s">
        <v>428</v>
      </c>
      <c r="U34" s="12" t="s">
        <v>1218</v>
      </c>
      <c r="V34" s="12"/>
      <c r="W34" s="12"/>
      <c r="X34" s="12"/>
      <c r="Y34" s="24" t="s">
        <v>858</v>
      </c>
    </row>
    <row r="35" spans="1:25" ht="14.25" customHeight="1">
      <c r="A35" s="12">
        <v>34</v>
      </c>
      <c r="B35" s="12" t="s">
        <v>844</v>
      </c>
      <c r="C35" s="13" t="str">
        <f t="array" ref="C35">IFERROR(INDEX('iCoA Register'!$B:$B,MATCH("P050302|I",'iCoA Register'!$P:$P,0)),"— at issue —")</f>
        <v>iCoA-PP_26-034</v>
      </c>
      <c r="D35" s="13" t="str">
        <f t="array" ref="D35">IFERROR(INDEX('CoQ Register'!$B:$B,MATCH("P050302|I",'CoQ Register'!$S:$S,0)),"—")</f>
        <v>CoQ-PP_26-034</v>
      </c>
      <c r="E35" s="12" t="s">
        <v>1220</v>
      </c>
      <c r="F35" s="12" t="s">
        <v>851</v>
      </c>
      <c r="G35" s="12" t="s">
        <v>1221</v>
      </c>
      <c r="H35" s="12" t="s">
        <v>1221</v>
      </c>
      <c r="I35" s="45">
        <f t="array" ref="I35">IFERROR(INDEX('iCoA Register'!$D:$D,MATCH("P050302|I",'iCoA Register'!$P:$P,0)),"")</f>
        <v>46157</v>
      </c>
      <c r="J35" s="45">
        <f t="array" ref="J35">IFERROR(INDEX('CoQ Register'!$D:$D,MATCH("P050302|I",'CoQ Register'!$S:$S,0)),"")</f>
        <v>46169</v>
      </c>
      <c r="K35" s="13" t="s">
        <v>253</v>
      </c>
      <c r="L35" s="12" t="s">
        <v>252</v>
      </c>
      <c r="M35" s="12" t="s">
        <v>178</v>
      </c>
      <c r="N35" s="12" t="s">
        <v>1222</v>
      </c>
      <c r="O35" s="12" t="s">
        <v>1221</v>
      </c>
      <c r="P35" s="12" t="s">
        <v>1221</v>
      </c>
      <c r="Q35" s="12" t="s">
        <v>856</v>
      </c>
      <c r="R35" s="12" t="s">
        <v>428</v>
      </c>
      <c r="S35" s="12" t="s">
        <v>428</v>
      </c>
      <c r="T35" s="12" t="s">
        <v>428</v>
      </c>
      <c r="U35" s="12" t="s">
        <v>1224</v>
      </c>
      <c r="V35" s="12"/>
      <c r="W35" s="12"/>
      <c r="X35" s="12"/>
      <c r="Y35" s="24" t="s">
        <v>858</v>
      </c>
    </row>
    <row r="36" spans="1:25" ht="14.25" customHeight="1">
      <c r="A36" s="12">
        <v>35</v>
      </c>
      <c r="B36" s="12" t="s">
        <v>844</v>
      </c>
      <c r="C36" s="13" t="str">
        <f t="array" ref="C36">IFERROR(INDEX('iCoA Register'!$B:$B,MATCH("P050312|I",'iCoA Register'!$P:$P,0)),"— at issue —")</f>
        <v>iCoA-PP_26-035</v>
      </c>
      <c r="D36" s="13" t="str">
        <f t="array" ref="D36">IFERROR(INDEX('CoQ Register'!$B:$B,MATCH("P050312|I",'CoQ Register'!$S:$S,0)),"—")</f>
        <v>CoQ-PP_26-035</v>
      </c>
      <c r="E36" s="12" t="s">
        <v>1226</v>
      </c>
      <c r="F36" s="12" t="s">
        <v>851</v>
      </c>
      <c r="G36" s="12" t="s">
        <v>1227</v>
      </c>
      <c r="H36" s="12" t="s">
        <v>1227</v>
      </c>
      <c r="I36" s="45">
        <f t="array" ref="I36">IFERROR(INDEX('iCoA Register'!$D:$D,MATCH("P050312|I",'iCoA Register'!$P:$P,0)),"")</f>
        <v>46157</v>
      </c>
      <c r="J36" s="45">
        <f t="array" ref="J36">IFERROR(INDEX('CoQ Register'!$D:$D,MATCH("P050312|I",'CoQ Register'!$S:$S,0)),"")</f>
        <v>46169</v>
      </c>
      <c r="K36" s="13" t="s">
        <v>244</v>
      </c>
      <c r="L36" s="12" t="s">
        <v>243</v>
      </c>
      <c r="M36" s="12" t="s">
        <v>178</v>
      </c>
      <c r="N36" s="12" t="s">
        <v>1228</v>
      </c>
      <c r="O36" s="12" t="s">
        <v>1229</v>
      </c>
      <c r="P36" s="12" t="s">
        <v>1230</v>
      </c>
      <c r="Q36" s="12" t="s">
        <v>856</v>
      </c>
      <c r="R36" s="12" t="s">
        <v>428</v>
      </c>
      <c r="S36" s="12" t="s">
        <v>428</v>
      </c>
      <c r="T36" s="12" t="s">
        <v>428</v>
      </c>
      <c r="U36" s="12" t="s">
        <v>1232</v>
      </c>
      <c r="V36" s="12"/>
      <c r="W36" s="12"/>
      <c r="X36" s="12"/>
      <c r="Y36" s="24" t="s">
        <v>858</v>
      </c>
    </row>
    <row r="37" spans="1:25" ht="14.25" customHeight="1">
      <c r="A37" s="12">
        <v>36</v>
      </c>
      <c r="B37" s="12" t="s">
        <v>844</v>
      </c>
      <c r="C37" s="13" t="str">
        <f t="array" ref="C37">IFERROR(INDEX('iCoA Register'!$B:$B,MATCH("P050322|I",'iCoA Register'!$P:$P,0)),"— at issue —")</f>
        <v>iCoA-PP_26-036</v>
      </c>
      <c r="D37" s="13" t="str">
        <f t="array" ref="D37">IFERROR(INDEX('CoQ Register'!$B:$B,MATCH("P050322|I",'CoQ Register'!$S:$S,0)),"—")</f>
        <v>CoQ-PP_26-036</v>
      </c>
      <c r="E37" s="12" t="s">
        <v>1233</v>
      </c>
      <c r="F37" s="12" t="s">
        <v>851</v>
      </c>
      <c r="G37" s="12" t="s">
        <v>1230</v>
      </c>
      <c r="H37" s="12" t="s">
        <v>1230</v>
      </c>
      <c r="I37" s="45">
        <f t="array" ref="I37">IFERROR(INDEX('iCoA Register'!$D:$D,MATCH("P050322|I",'iCoA Register'!$P:$P,0)),"")</f>
        <v>46157</v>
      </c>
      <c r="J37" s="45">
        <f t="array" ref="J37">IFERROR(INDEX('CoQ Register'!$D:$D,MATCH("P050322|I",'CoQ Register'!$S:$S,0)),"")</f>
        <v>46169</v>
      </c>
      <c r="K37" s="13" t="s">
        <v>248</v>
      </c>
      <c r="L37" s="12" t="s">
        <v>246</v>
      </c>
      <c r="M37" s="12" t="s">
        <v>178</v>
      </c>
      <c r="N37" s="12" t="s">
        <v>1236</v>
      </c>
      <c r="O37" s="12" t="s">
        <v>1230</v>
      </c>
      <c r="P37" s="12" t="s">
        <v>1230</v>
      </c>
      <c r="Q37" s="12" t="s">
        <v>856</v>
      </c>
      <c r="R37" s="12" t="s">
        <v>428</v>
      </c>
      <c r="S37" s="12" t="s">
        <v>428</v>
      </c>
      <c r="T37" s="12" t="s">
        <v>428</v>
      </c>
      <c r="U37" s="12" t="s">
        <v>1239</v>
      </c>
      <c r="V37" s="12"/>
      <c r="W37" s="12"/>
      <c r="X37" s="12"/>
      <c r="Y37" s="24" t="s">
        <v>858</v>
      </c>
    </row>
    <row r="38" spans="1:25" ht="14.25" customHeight="1">
      <c r="A38" s="12">
        <v>37</v>
      </c>
      <c r="B38" s="12" t="s">
        <v>844</v>
      </c>
      <c r="C38" s="13" t="str">
        <f t="array" ref="C38">IFERROR(INDEX('iCoA Register'!$B:$B,MATCH("P060012|I",'iCoA Register'!$P:$P,0)),"— at issue —")</f>
        <v>iCoA-PP_26-037</v>
      </c>
      <c r="D38" s="13" t="str">
        <f t="array" ref="D38">IFERROR(INDEX('CoQ Register'!$B:$B,MATCH("P060012|I",'CoQ Register'!$S:$S,0)),"—")</f>
        <v>CoQ-PP_26-037</v>
      </c>
      <c r="E38" s="12" t="s">
        <v>1240</v>
      </c>
      <c r="F38" s="12" t="s">
        <v>851</v>
      </c>
      <c r="G38" s="12" t="s">
        <v>1241</v>
      </c>
      <c r="H38" s="12" t="s">
        <v>1241</v>
      </c>
      <c r="I38" s="45">
        <f t="array" ref="I38">IFERROR(INDEX('iCoA Register'!$D:$D,MATCH("P060012|I",'iCoA Register'!$P:$P,0)),"")</f>
        <v>46157</v>
      </c>
      <c r="J38" s="45">
        <f t="array" ref="J38">IFERROR(INDEX('CoQ Register'!$D:$D,MATCH("P060012|I",'CoQ Register'!$S:$S,0)),"")</f>
        <v>46169</v>
      </c>
      <c r="K38" s="13" t="s">
        <v>170</v>
      </c>
      <c r="L38" s="12" t="s">
        <v>169</v>
      </c>
      <c r="M38" s="12" t="s">
        <v>167</v>
      </c>
      <c r="N38" s="12" t="s">
        <v>1243</v>
      </c>
      <c r="O38" s="12" t="s">
        <v>1244</v>
      </c>
      <c r="P38" s="12" t="s">
        <v>1245</v>
      </c>
      <c r="Q38" s="12" t="s">
        <v>856</v>
      </c>
      <c r="R38" s="12" t="s">
        <v>428</v>
      </c>
      <c r="S38" s="12" t="s">
        <v>428</v>
      </c>
      <c r="T38" s="12" t="s">
        <v>428</v>
      </c>
      <c r="U38" s="12" t="s">
        <v>1246</v>
      </c>
      <c r="V38" s="12"/>
      <c r="W38" s="12"/>
      <c r="X38" s="12"/>
      <c r="Y38" s="24" t="s">
        <v>858</v>
      </c>
    </row>
    <row r="39" spans="1:25" ht="14.25" customHeight="1">
      <c r="A39" s="12">
        <v>38</v>
      </c>
      <c r="B39" s="12" t="s">
        <v>844</v>
      </c>
      <c r="C39" s="13" t="str">
        <f t="array" ref="C39">IFERROR(INDEX('iCoA Register'!$B:$B,MATCH("P060022|I",'iCoA Register'!$P:$P,0)),"— at issue —")</f>
        <v>iCoA-PP_26-038</v>
      </c>
      <c r="D39" s="13" t="str">
        <f t="array" ref="D39">IFERROR(INDEX('CoQ Register'!$B:$B,MATCH("P060022|I",'CoQ Register'!$S:$S,0)),"—")</f>
        <v>CoQ-PP_26-038</v>
      </c>
      <c r="E39" s="12" t="s">
        <v>1248</v>
      </c>
      <c r="F39" s="12" t="s">
        <v>851</v>
      </c>
      <c r="G39" s="12" t="s">
        <v>1249</v>
      </c>
      <c r="H39" s="12" t="s">
        <v>1249</v>
      </c>
      <c r="I39" s="45">
        <f t="array" ref="I39">IFERROR(INDEX('iCoA Register'!$D:$D,MATCH("P060022|I",'iCoA Register'!$P:$P,0)),"")</f>
        <v>46157</v>
      </c>
      <c r="J39" s="45">
        <f t="array" ref="J39">IFERROR(INDEX('CoQ Register'!$D:$D,MATCH("P060022|I",'CoQ Register'!$S:$S,0)),"")</f>
        <v>46169</v>
      </c>
      <c r="K39" s="13" t="s">
        <v>82</v>
      </c>
      <c r="L39" s="12" t="s">
        <v>78</v>
      </c>
      <c r="M39" s="12" t="s">
        <v>75</v>
      </c>
      <c r="N39" s="12" t="s">
        <v>1250</v>
      </c>
      <c r="O39" s="12" t="s">
        <v>1249</v>
      </c>
      <c r="P39" s="12" t="s">
        <v>1249</v>
      </c>
      <c r="Q39" s="12" t="s">
        <v>856</v>
      </c>
      <c r="R39" s="12" t="s">
        <v>428</v>
      </c>
      <c r="S39" s="12" t="s">
        <v>428</v>
      </c>
      <c r="T39" s="12" t="s">
        <v>428</v>
      </c>
      <c r="U39" s="12" t="s">
        <v>1251</v>
      </c>
      <c r="V39" s="12"/>
      <c r="W39" s="12"/>
      <c r="X39" s="12"/>
      <c r="Y39" s="24" t="s">
        <v>858</v>
      </c>
    </row>
    <row r="40" spans="1:25" ht="14.25" customHeight="1">
      <c r="A40" s="12">
        <v>39</v>
      </c>
      <c r="B40" s="12" t="s">
        <v>844</v>
      </c>
      <c r="C40" s="13" t="str">
        <f t="array" ref="C40">IFERROR(INDEX('iCoA Register'!$B:$B,MATCH("P060032|I",'iCoA Register'!$P:$P,0)),"— at issue —")</f>
        <v>iCoA-PP_26-039</v>
      </c>
      <c r="D40" s="13" t="str">
        <f t="array" ref="D40">IFERROR(INDEX('CoQ Register'!$B:$B,MATCH("P060032|I",'CoQ Register'!$S:$S,0)),"—")</f>
        <v>CoQ-PP_26-039</v>
      </c>
      <c r="E40" s="12" t="s">
        <v>1253</v>
      </c>
      <c r="F40" s="12" t="s">
        <v>851</v>
      </c>
      <c r="G40" s="12" t="s">
        <v>1254</v>
      </c>
      <c r="H40" s="12" t="s">
        <v>1254</v>
      </c>
      <c r="I40" s="45">
        <f t="array" ref="I40">IFERROR(INDEX('iCoA Register'!$D:$D,MATCH("P060032|I",'iCoA Register'!$P:$P,0)),"")</f>
        <v>46157</v>
      </c>
      <c r="J40" s="45">
        <f t="array" ref="J40">IFERROR(INDEX('CoQ Register'!$D:$D,MATCH("P060032|I",'CoQ Register'!$S:$S,0)),"")</f>
        <v>46169</v>
      </c>
      <c r="K40" s="13" t="s">
        <v>176</v>
      </c>
      <c r="L40" s="12" t="s">
        <v>174</v>
      </c>
      <c r="M40" s="12" t="s">
        <v>75</v>
      </c>
      <c r="N40" s="12" t="s">
        <v>1258</v>
      </c>
      <c r="O40" s="12" t="s">
        <v>1254</v>
      </c>
      <c r="P40" s="12" t="s">
        <v>1254</v>
      </c>
      <c r="Q40" s="12" t="s">
        <v>856</v>
      </c>
      <c r="R40" s="12" t="s">
        <v>428</v>
      </c>
      <c r="S40" s="12" t="s">
        <v>428</v>
      </c>
      <c r="T40" s="12" t="s">
        <v>428</v>
      </c>
      <c r="U40" s="12" t="s">
        <v>1259</v>
      </c>
      <c r="V40" s="12"/>
      <c r="W40" s="12"/>
      <c r="X40" s="12"/>
      <c r="Y40" s="24" t="s">
        <v>858</v>
      </c>
    </row>
    <row r="41" spans="1:25" ht="14.25" customHeight="1">
      <c r="A41" s="12">
        <v>40</v>
      </c>
      <c r="B41" s="12" t="s">
        <v>844</v>
      </c>
      <c r="C41" s="13" t="str">
        <f t="array" ref="C41">IFERROR(INDEX('iCoA Register'!$B:$B,MATCH("P060042|I",'iCoA Register'!$P:$P,0)),"— at issue —")</f>
        <v>iCoA-PP_26-040</v>
      </c>
      <c r="D41" s="13" t="str">
        <f t="array" ref="D41">IFERROR(INDEX('CoQ Register'!$B:$B,MATCH("P060042|I",'CoQ Register'!$S:$S,0)),"—")</f>
        <v>CoQ-PP_26-040</v>
      </c>
      <c r="E41" s="12" t="s">
        <v>1263</v>
      </c>
      <c r="F41" s="12" t="s">
        <v>851</v>
      </c>
      <c r="G41" s="12" t="s">
        <v>1254</v>
      </c>
      <c r="H41" s="12" t="s">
        <v>1254</v>
      </c>
      <c r="I41" s="45">
        <f t="array" ref="I41">IFERROR(INDEX('iCoA Register'!$D:$D,MATCH("P060042|I",'iCoA Register'!$P:$P,0)),"")</f>
        <v>46157</v>
      </c>
      <c r="J41" s="45">
        <f t="array" ref="J41">IFERROR(INDEX('CoQ Register'!$D:$D,MATCH("P060042|I",'CoQ Register'!$S:$S,0)),"")</f>
        <v>46169</v>
      </c>
      <c r="K41" s="13" t="s">
        <v>116</v>
      </c>
      <c r="L41" s="12" t="s">
        <v>109</v>
      </c>
      <c r="M41" s="12" t="s">
        <v>103</v>
      </c>
      <c r="N41" s="12" t="s">
        <v>1267</v>
      </c>
      <c r="O41" s="12" t="s">
        <v>1254</v>
      </c>
      <c r="P41" s="12" t="s">
        <v>1254</v>
      </c>
      <c r="Q41" s="12" t="s">
        <v>856</v>
      </c>
      <c r="R41" s="12" t="s">
        <v>428</v>
      </c>
      <c r="S41" s="12" t="s">
        <v>428</v>
      </c>
      <c r="T41" s="12" t="s">
        <v>428</v>
      </c>
      <c r="U41" s="12" t="s">
        <v>1269</v>
      </c>
      <c r="V41" s="12"/>
      <c r="W41" s="12"/>
      <c r="X41" s="12"/>
      <c r="Y41" s="24" t="s">
        <v>858</v>
      </c>
    </row>
    <row r="42" spans="1:25" ht="14.25" customHeight="1">
      <c r="A42" s="12">
        <v>41</v>
      </c>
      <c r="B42" s="12" t="s">
        <v>844</v>
      </c>
      <c r="C42" s="13" t="str">
        <f t="array" ref="C42">IFERROR(INDEX('iCoA Register'!$B:$B,MATCH("P060052|I",'iCoA Register'!$P:$P,0)),"— at issue —")</f>
        <v>iCoA-PP_26-041</v>
      </c>
      <c r="D42" s="13" t="str">
        <f t="array" ref="D42">IFERROR(INDEX('CoQ Register'!$B:$B,MATCH("P060052|I",'CoQ Register'!$S:$S,0)),"—")</f>
        <v>CoQ-PP_26-041</v>
      </c>
      <c r="E42" s="12" t="s">
        <v>850</v>
      </c>
      <c r="F42" s="12" t="s">
        <v>851</v>
      </c>
      <c r="G42" s="12" t="s">
        <v>1278</v>
      </c>
      <c r="H42" s="12" t="s">
        <v>1280</v>
      </c>
      <c r="I42" s="45">
        <f t="array" ref="I42">IFERROR(INDEX('iCoA Register'!$D:$D,MATCH("P060052|I",'iCoA Register'!$P:$P,0)),"")</f>
        <v>46157</v>
      </c>
      <c r="J42" s="45">
        <f t="array" ref="J42">IFERROR(INDEX('CoQ Register'!$D:$D,MATCH("P060052|I",'CoQ Register'!$S:$S,0)),"")</f>
        <v>46169</v>
      </c>
      <c r="K42" s="13" t="s">
        <v>154</v>
      </c>
      <c r="L42" s="12" t="s">
        <v>153</v>
      </c>
      <c r="M42" s="12" t="s">
        <v>152</v>
      </c>
      <c r="N42" s="12" t="s">
        <v>1284</v>
      </c>
      <c r="O42" s="12" t="s">
        <v>1285</v>
      </c>
      <c r="P42" s="12" t="s">
        <v>1280</v>
      </c>
      <c r="Q42" s="12" t="s">
        <v>856</v>
      </c>
      <c r="R42" s="12" t="s">
        <v>428</v>
      </c>
      <c r="S42" s="12" t="s">
        <v>428</v>
      </c>
      <c r="T42" s="12" t="s">
        <v>428</v>
      </c>
      <c r="U42" s="12" t="s">
        <v>1286</v>
      </c>
      <c r="V42" s="12"/>
      <c r="W42" s="12"/>
      <c r="X42" s="12"/>
      <c r="Y42" s="24" t="s">
        <v>858</v>
      </c>
    </row>
    <row r="43" spans="1:25" ht="14.25" customHeight="1">
      <c r="A43" s="12">
        <v>42</v>
      </c>
      <c r="B43" s="12" t="s">
        <v>844</v>
      </c>
      <c r="C43" s="13" t="str">
        <f t="array" ref="C43">IFERROR(INDEX('iCoA Register'!$B:$B,MATCH("P060062|I",'iCoA Register'!$P:$P,0)),"— at issue —")</f>
        <v>iCoA-PP_26-042</v>
      </c>
      <c r="D43" s="13" t="str">
        <f t="array" ref="D43">IFERROR(INDEX('CoQ Register'!$B:$B,MATCH("P060062|I",'CoQ Register'!$S:$S,0)),"—")</f>
        <v>CoQ-PP_26-042</v>
      </c>
      <c r="E43" s="12" t="s">
        <v>1289</v>
      </c>
      <c r="F43" s="12" t="s">
        <v>851</v>
      </c>
      <c r="G43" s="12" t="s">
        <v>1280</v>
      </c>
      <c r="H43" s="12" t="s">
        <v>1280</v>
      </c>
      <c r="I43" s="45">
        <f t="array" ref="I43">IFERROR(INDEX('iCoA Register'!$D:$D,MATCH("P060062|I",'iCoA Register'!$P:$P,0)),"")</f>
        <v>46157</v>
      </c>
      <c r="J43" s="45">
        <f t="array" ref="J43">IFERROR(INDEX('CoQ Register'!$D:$D,MATCH("P060062|I",'CoQ Register'!$S:$S,0)),"")</f>
        <v>46169</v>
      </c>
      <c r="K43" s="13" t="s">
        <v>165</v>
      </c>
      <c r="L43" s="12" t="s">
        <v>160</v>
      </c>
      <c r="M43" s="12" t="s">
        <v>158</v>
      </c>
      <c r="N43" s="12" t="s">
        <v>1284</v>
      </c>
      <c r="O43" s="12" t="s">
        <v>1280</v>
      </c>
      <c r="P43" s="12" t="s">
        <v>1280</v>
      </c>
      <c r="Q43" s="12" t="s">
        <v>856</v>
      </c>
      <c r="R43" s="12" t="s">
        <v>428</v>
      </c>
      <c r="S43" s="12" t="s">
        <v>428</v>
      </c>
      <c r="T43" s="12" t="s">
        <v>428</v>
      </c>
      <c r="U43" s="12" t="s">
        <v>1297</v>
      </c>
      <c r="V43" s="12"/>
      <c r="W43" s="12"/>
      <c r="X43" s="12"/>
      <c r="Y43" s="24" t="s">
        <v>858</v>
      </c>
    </row>
    <row r="44" spans="1:25" ht="14.25" customHeight="1">
      <c r="A44" s="12">
        <v>43</v>
      </c>
      <c r="B44" s="12" t="s">
        <v>844</v>
      </c>
      <c r="C44" s="13" t="str">
        <f t="array" ref="C44">IFERROR(INDEX('iCoA Register'!$B:$B,MATCH("P060072|I",'iCoA Register'!$P:$P,0)),"— at issue —")</f>
        <v>iCoA-PP_26-043</v>
      </c>
      <c r="D44" s="13" t="str">
        <f t="array" ref="D44">IFERROR(INDEX('CoQ Register'!$B:$B,MATCH("P060072|I",'CoQ Register'!$S:$S,0)),"—")</f>
        <v>CoQ-PP_26-043</v>
      </c>
      <c r="E44" s="12" t="s">
        <v>1301</v>
      </c>
      <c r="F44" s="12" t="s">
        <v>851</v>
      </c>
      <c r="G44" s="12" t="s">
        <v>1302</v>
      </c>
      <c r="H44" s="12" t="s">
        <v>1302</v>
      </c>
      <c r="I44" s="45">
        <f t="array" ref="I44">IFERROR(INDEX('iCoA Register'!$D:$D,MATCH("P060072|I",'iCoA Register'!$P:$P,0)),"")</f>
        <v>46157</v>
      </c>
      <c r="J44" s="45">
        <f t="array" ref="J44">IFERROR(INDEX('CoQ Register'!$D:$D,MATCH("P060072|I",'CoQ Register'!$S:$S,0)),"")</f>
        <v>46169</v>
      </c>
      <c r="K44" s="13" t="s">
        <v>137</v>
      </c>
      <c r="L44" s="12" t="s">
        <v>127</v>
      </c>
      <c r="M44" s="12" t="s">
        <v>75</v>
      </c>
      <c r="N44" s="12" t="s">
        <v>1267</v>
      </c>
      <c r="O44" s="12" t="s">
        <v>1302</v>
      </c>
      <c r="P44" s="12" t="s">
        <v>1302</v>
      </c>
      <c r="Q44" s="12" t="s">
        <v>856</v>
      </c>
      <c r="R44" s="12" t="s">
        <v>428</v>
      </c>
      <c r="S44" s="12" t="s">
        <v>428</v>
      </c>
      <c r="T44" s="12" t="s">
        <v>428</v>
      </c>
      <c r="U44" s="12" t="s">
        <v>1307</v>
      </c>
      <c r="V44" s="12"/>
      <c r="W44" s="12"/>
      <c r="X44" s="12"/>
      <c r="Y44" s="24" t="s">
        <v>858</v>
      </c>
    </row>
    <row r="45" spans="1:25" ht="14.25" customHeight="1">
      <c r="A45" s="12">
        <v>44</v>
      </c>
      <c r="B45" s="12" t="s">
        <v>844</v>
      </c>
      <c r="C45" s="13" t="str">
        <f t="array" ref="C45">IFERROR(INDEX('iCoA Register'!$B:$B,MATCH("P060082|I",'iCoA Register'!$P:$P,0)),"— at issue —")</f>
        <v>iCoA-PP_26-044</v>
      </c>
      <c r="D45" s="13" t="str">
        <f t="array" ref="D45">IFERROR(INDEX('CoQ Register'!$B:$B,MATCH("P060082|I",'CoQ Register'!$S:$S,0)),"—")</f>
        <v>CoQ-PP_26-044</v>
      </c>
      <c r="E45" s="12" t="s">
        <v>1312</v>
      </c>
      <c r="F45" s="12" t="s">
        <v>851</v>
      </c>
      <c r="G45" s="12" t="s">
        <v>1302</v>
      </c>
      <c r="H45" s="12" t="s">
        <v>1302</v>
      </c>
      <c r="I45" s="45">
        <f t="array" ref="I45">IFERROR(INDEX('iCoA Register'!$D:$D,MATCH("P060082|I",'iCoA Register'!$P:$P,0)),"")</f>
        <v>46157</v>
      </c>
      <c r="J45" s="45">
        <f t="array" ref="J45">IFERROR(INDEX('CoQ Register'!$D:$D,MATCH("P060082|I",'CoQ Register'!$S:$S,0)),"")</f>
        <v>46169</v>
      </c>
      <c r="K45" s="13" t="s">
        <v>151</v>
      </c>
      <c r="L45" s="12" t="s">
        <v>149</v>
      </c>
      <c r="M45" s="12"/>
      <c r="N45" s="12" t="s">
        <v>1317</v>
      </c>
      <c r="O45" s="12" t="s">
        <v>1302</v>
      </c>
      <c r="P45" s="12" t="s">
        <v>1302</v>
      </c>
      <c r="Q45" s="12" t="s">
        <v>856</v>
      </c>
      <c r="R45" s="12" t="s">
        <v>428</v>
      </c>
      <c r="S45" s="12" t="s">
        <v>428</v>
      </c>
      <c r="T45" s="12" t="s">
        <v>428</v>
      </c>
      <c r="U45" s="12" t="s">
        <v>1318</v>
      </c>
      <c r="V45" s="12"/>
      <c r="W45" s="12"/>
      <c r="X45" s="12"/>
      <c r="Y45" s="24" t="s">
        <v>858</v>
      </c>
    </row>
    <row r="46" spans="1:25" ht="14.25" customHeight="1">
      <c r="A46" s="12">
        <v>45</v>
      </c>
      <c r="B46" s="12" t="s">
        <v>844</v>
      </c>
      <c r="C46" s="13" t="str">
        <f t="array" ref="C46">IFERROR(INDEX('iCoA Register'!$B:$B,MATCH("P060092|I",'iCoA Register'!$P:$P,0)),"— at issue —")</f>
        <v>iCoA-PP_26-045</v>
      </c>
      <c r="D46" s="13" t="str">
        <f t="array" ref="D46">IFERROR(INDEX('CoQ Register'!$B:$B,MATCH("P060092|I",'CoQ Register'!$S:$S,0)),"—")</f>
        <v>CoQ-PP_26-045</v>
      </c>
      <c r="E46" s="12" t="s">
        <v>1320</v>
      </c>
      <c r="F46" s="12" t="s">
        <v>851</v>
      </c>
      <c r="G46" s="12" t="s">
        <v>1321</v>
      </c>
      <c r="H46" s="12" t="s">
        <v>1321</v>
      </c>
      <c r="I46" s="45">
        <f t="array" ref="I46">IFERROR(INDEX('iCoA Register'!$D:$D,MATCH("P060092|I",'iCoA Register'!$P:$P,0)),"")</f>
        <v>46157</v>
      </c>
      <c r="J46" s="45">
        <f t="array" ref="J46">IFERROR(INDEX('CoQ Register'!$D:$D,MATCH("P060092|I",'CoQ Register'!$S:$S,0)),"")</f>
        <v>46169</v>
      </c>
      <c r="K46" s="13" t="s">
        <v>180</v>
      </c>
      <c r="L46" s="12" t="s">
        <v>179</v>
      </c>
      <c r="M46" s="12" t="s">
        <v>178</v>
      </c>
      <c r="N46" s="12" t="s">
        <v>1322</v>
      </c>
      <c r="O46" s="12" t="s">
        <v>1323</v>
      </c>
      <c r="P46" s="12" t="s">
        <v>1324</v>
      </c>
      <c r="Q46" s="12" t="s">
        <v>856</v>
      </c>
      <c r="R46" s="12" t="s">
        <v>428</v>
      </c>
      <c r="S46" s="12" t="s">
        <v>428</v>
      </c>
      <c r="T46" s="12" t="s">
        <v>428</v>
      </c>
      <c r="U46" s="12" t="s">
        <v>1326</v>
      </c>
      <c r="V46" s="12"/>
      <c r="W46" s="12"/>
      <c r="X46" s="12"/>
      <c r="Y46" s="24" t="s">
        <v>858</v>
      </c>
    </row>
    <row r="47" spans="1:25" ht="14.25" customHeight="1">
      <c r="A47" s="12">
        <v>46</v>
      </c>
      <c r="B47" s="12" t="s">
        <v>844</v>
      </c>
      <c r="C47" s="13" t="str">
        <f t="array" ref="C47">IFERROR(INDEX('iCoA Register'!$B:$B,MATCH("P060102|I",'iCoA Register'!$P:$P,0)),"— at issue —")</f>
        <v>iCoA-PP_26-046</v>
      </c>
      <c r="D47" s="13" t="str">
        <f t="array" ref="D47">IFERROR(INDEX('CoQ Register'!$B:$B,MATCH("P060102|I",'CoQ Register'!$S:$S,0)),"—")</f>
        <v>CoQ-PP_26-046</v>
      </c>
      <c r="E47" s="12" t="s">
        <v>86</v>
      </c>
      <c r="F47" s="12" t="s">
        <v>851</v>
      </c>
      <c r="G47" s="12" t="s">
        <v>1329</v>
      </c>
      <c r="H47" s="12" t="s">
        <v>1329</v>
      </c>
      <c r="I47" s="45">
        <f t="array" ref="I47">IFERROR(INDEX('iCoA Register'!$D:$D,MATCH("P060102|I",'iCoA Register'!$P:$P,0)),"")</f>
        <v>46157</v>
      </c>
      <c r="J47" s="45">
        <f t="array" ref="J47">IFERROR(INDEX('CoQ Register'!$D:$D,MATCH("P060102|I",'CoQ Register'!$S:$S,0)),"")</f>
        <v>46169</v>
      </c>
      <c r="K47" s="13" t="s">
        <v>622</v>
      </c>
      <c r="L47" s="12" t="s">
        <v>624</v>
      </c>
      <c r="M47" s="12" t="s">
        <v>623</v>
      </c>
      <c r="N47" s="12" t="s">
        <v>1333</v>
      </c>
      <c r="O47" s="12" t="s">
        <v>1329</v>
      </c>
      <c r="P47" s="12" t="s">
        <v>1329</v>
      </c>
      <c r="Q47" s="12" t="s">
        <v>856</v>
      </c>
      <c r="R47" s="12" t="s">
        <v>428</v>
      </c>
      <c r="S47" s="12" t="s">
        <v>428</v>
      </c>
      <c r="T47" s="12" t="s">
        <v>428</v>
      </c>
      <c r="U47" s="28" t="s">
        <v>893</v>
      </c>
      <c r="V47" s="12"/>
      <c r="W47" s="12"/>
      <c r="X47" s="12"/>
      <c r="Y47" s="24" t="s">
        <v>858</v>
      </c>
    </row>
    <row r="48" spans="1:25" ht="14.25" customHeight="1">
      <c r="A48" s="12">
        <v>47</v>
      </c>
      <c r="B48" s="12" t="s">
        <v>844</v>
      </c>
      <c r="C48" s="13" t="str">
        <f t="array" ref="C48">IFERROR(INDEX('iCoA Register'!$B:$B,MATCH("P060142|I",'iCoA Register'!$P:$P,0)),"— at issue —")</f>
        <v>iCoA-PP_26-047</v>
      </c>
      <c r="D48" s="13" t="str">
        <f t="array" ref="D48">IFERROR(INDEX('CoQ Register'!$B:$B,MATCH("P060142|I",'CoQ Register'!$S:$S,0)),"—")</f>
        <v>CoQ-PP_26-047</v>
      </c>
      <c r="E48" s="12" t="s">
        <v>86</v>
      </c>
      <c r="F48" s="12" t="s">
        <v>851</v>
      </c>
      <c r="G48" s="12" t="s">
        <v>1340</v>
      </c>
      <c r="H48" s="12" t="s">
        <v>1340</v>
      </c>
      <c r="I48" s="45">
        <f t="array" ref="I48">IFERROR(INDEX('iCoA Register'!$D:$D,MATCH("P060142|I",'iCoA Register'!$P:$P,0)),"")</f>
        <v>46157</v>
      </c>
      <c r="J48" s="45">
        <f t="array" ref="J48">IFERROR(INDEX('CoQ Register'!$D:$D,MATCH("P060142|I",'CoQ Register'!$S:$S,0)),"")</f>
        <v>46169</v>
      </c>
      <c r="K48" s="13" t="s">
        <v>283</v>
      </c>
      <c r="L48" s="12" t="s">
        <v>563</v>
      </c>
      <c r="M48" s="12" t="s">
        <v>1342</v>
      </c>
      <c r="N48" s="12" t="s">
        <v>1344</v>
      </c>
      <c r="O48" s="12" t="s">
        <v>1340</v>
      </c>
      <c r="P48" s="12" t="s">
        <v>1340</v>
      </c>
      <c r="Q48" s="12" t="s">
        <v>856</v>
      </c>
      <c r="R48" s="12" t="s">
        <v>428</v>
      </c>
      <c r="S48" s="12" t="s">
        <v>428</v>
      </c>
      <c r="T48" s="12" t="s">
        <v>428</v>
      </c>
      <c r="U48" s="12" t="s">
        <v>845</v>
      </c>
      <c r="V48" s="12"/>
      <c r="W48" s="12"/>
      <c r="X48" s="12"/>
      <c r="Y48" s="24" t="s">
        <v>858</v>
      </c>
    </row>
    <row r="49" spans="1:25" ht="14.25" customHeight="1">
      <c r="A49" s="12">
        <v>48</v>
      </c>
      <c r="B49" s="12" t="s">
        <v>844</v>
      </c>
      <c r="C49" s="13" t="str">
        <f t="array" ref="C49">IFERROR(INDEX('iCoA Register'!$B:$B,MATCH("P060152|I",'iCoA Register'!$P:$P,0)),"— at issue —")</f>
        <v>iCoA-PP_26-048</v>
      </c>
      <c r="D49" s="13" t="str">
        <f t="array" ref="D49">IFERROR(INDEX('CoQ Register'!$B:$B,MATCH("P060152|I",'CoQ Register'!$S:$S,0)),"—")</f>
        <v>CoQ-PP_26-048</v>
      </c>
      <c r="E49" s="12" t="s">
        <v>1357</v>
      </c>
      <c r="F49" s="12" t="s">
        <v>851</v>
      </c>
      <c r="G49" s="12" t="s">
        <v>1358</v>
      </c>
      <c r="H49" s="12" t="s">
        <v>1358</v>
      </c>
      <c r="I49" s="45">
        <f t="array" ref="I49">IFERROR(INDEX('iCoA Register'!$D:$D,MATCH("P060152|I",'iCoA Register'!$P:$P,0)),"")</f>
        <v>46157</v>
      </c>
      <c r="J49" s="45">
        <f t="array" ref="J49">IFERROR(INDEX('CoQ Register'!$D:$D,MATCH("P060152|I",'CoQ Register'!$S:$S,0)),"")</f>
        <v>46169</v>
      </c>
      <c r="K49" s="13" t="s">
        <v>276</v>
      </c>
      <c r="L49" s="12" t="s">
        <v>279</v>
      </c>
      <c r="M49" s="12" t="s">
        <v>277</v>
      </c>
      <c r="N49" s="12" t="s">
        <v>1195</v>
      </c>
      <c r="O49" s="12" t="s">
        <v>1358</v>
      </c>
      <c r="P49" s="12" t="s">
        <v>1358</v>
      </c>
      <c r="Q49" s="12" t="s">
        <v>856</v>
      </c>
      <c r="R49" s="12" t="s">
        <v>428</v>
      </c>
      <c r="S49" s="12" t="s">
        <v>428</v>
      </c>
      <c r="T49" s="12" t="s">
        <v>428</v>
      </c>
      <c r="U49" s="12" t="s">
        <v>905</v>
      </c>
      <c r="V49" s="12"/>
      <c r="W49" s="12"/>
      <c r="X49" s="12"/>
      <c r="Y49" s="24" t="s">
        <v>858</v>
      </c>
    </row>
    <row r="50" spans="1:25" ht="14.25" customHeight="1">
      <c r="A50" s="12">
        <v>49</v>
      </c>
      <c r="B50" s="12" t="s">
        <v>844</v>
      </c>
      <c r="C50" s="13" t="str">
        <f t="array" ref="C50">IFERROR(INDEX('iCoA Register'!$B:$B,MATCH("P060162|I",'iCoA Register'!$P:$P,0)),"— at issue —")</f>
        <v>iCoA-PP_26-049</v>
      </c>
      <c r="D50" s="13" t="str">
        <f t="array" ref="D50">IFERROR(INDEX('CoQ Register'!$B:$B,MATCH("P060162|I",'CoQ Register'!$S:$S,0)),"—")</f>
        <v>CoQ-PP_26-049</v>
      </c>
      <c r="E50" s="12" t="s">
        <v>850</v>
      </c>
      <c r="F50" s="12" t="s">
        <v>851</v>
      </c>
      <c r="G50" s="12" t="s">
        <v>1374</v>
      </c>
      <c r="H50" s="12" t="s">
        <v>1375</v>
      </c>
      <c r="I50" s="45">
        <f t="array" ref="I50">IFERROR(INDEX('iCoA Register'!$D:$D,MATCH("P060162|I",'iCoA Register'!$P:$P,0)),"")</f>
        <v>46157</v>
      </c>
      <c r="J50" s="45">
        <f t="array" ref="J50">IFERROR(INDEX('CoQ Register'!$D:$D,MATCH("P060162|I",'CoQ Register'!$S:$S,0)),"")</f>
        <v>46169</v>
      </c>
      <c r="K50" s="13" t="s">
        <v>611</v>
      </c>
      <c r="L50" s="12" t="s">
        <v>614</v>
      </c>
      <c r="M50" s="12" t="s">
        <v>485</v>
      </c>
      <c r="N50" s="12" t="s">
        <v>1381</v>
      </c>
      <c r="O50" s="12" t="s">
        <v>1382</v>
      </c>
      <c r="P50" s="12" t="s">
        <v>1375</v>
      </c>
      <c r="Q50" s="12" t="s">
        <v>856</v>
      </c>
      <c r="R50" s="12" t="s">
        <v>428</v>
      </c>
      <c r="S50" s="12" t="s">
        <v>428</v>
      </c>
      <c r="T50" s="12" t="s">
        <v>428</v>
      </c>
      <c r="U50" s="12" t="s">
        <v>1384</v>
      </c>
      <c r="V50" s="12"/>
      <c r="W50" s="12"/>
      <c r="X50" s="12"/>
      <c r="Y50" s="24" t="s">
        <v>858</v>
      </c>
    </row>
    <row r="51" spans="1:25" ht="14.25" customHeight="1">
      <c r="A51" s="12">
        <v>50</v>
      </c>
      <c r="B51" s="12" t="s">
        <v>844</v>
      </c>
      <c r="C51" s="13" t="str">
        <f t="array" ref="C51">IFERROR(INDEX('iCoA Register'!$B:$B,MATCH("P060172|I",'iCoA Register'!$P:$P,0)),"— at issue —")</f>
        <v>iCoA-PP_26-050</v>
      </c>
      <c r="D51" s="13" t="str">
        <f t="array" ref="D51">IFERROR(INDEX('CoQ Register'!$B:$B,MATCH("P060172|I",'CoQ Register'!$S:$S,0)),"—")</f>
        <v>CoQ-PP_26-050</v>
      </c>
      <c r="E51" s="12" t="s">
        <v>1390</v>
      </c>
      <c r="F51" s="12" t="s">
        <v>851</v>
      </c>
      <c r="G51" s="12" t="s">
        <v>1391</v>
      </c>
      <c r="H51" s="12" t="s">
        <v>1391</v>
      </c>
      <c r="I51" s="45">
        <f t="array" ref="I51">IFERROR(INDEX('iCoA Register'!$D:$D,MATCH("P060172|I",'iCoA Register'!$P:$P,0)),"")</f>
        <v>46157</v>
      </c>
      <c r="J51" s="45">
        <f t="array" ref="J51">IFERROR(INDEX('CoQ Register'!$D:$D,MATCH("P060172|I",'CoQ Register'!$S:$S,0)),"")</f>
        <v>46169</v>
      </c>
      <c r="K51" s="13" t="s">
        <v>355</v>
      </c>
      <c r="L51" s="12" t="s">
        <v>357</v>
      </c>
      <c r="M51" s="12" t="s">
        <v>359</v>
      </c>
      <c r="N51" s="12" t="s">
        <v>1394</v>
      </c>
      <c r="O51" s="12" t="s">
        <v>1391</v>
      </c>
      <c r="P51" s="12" t="s">
        <v>1391</v>
      </c>
      <c r="Q51" s="12" t="s">
        <v>856</v>
      </c>
      <c r="R51" s="12" t="s">
        <v>428</v>
      </c>
      <c r="S51" s="12" t="s">
        <v>428</v>
      </c>
      <c r="T51" s="12" t="s">
        <v>428</v>
      </c>
      <c r="U51" s="12" t="s">
        <v>1202</v>
      </c>
      <c r="V51" s="12"/>
      <c r="W51" s="12"/>
      <c r="X51" s="12"/>
      <c r="Y51" s="24" t="s">
        <v>858</v>
      </c>
    </row>
    <row r="52" spans="1:25" ht="14.25" customHeight="1">
      <c r="A52" s="12">
        <v>51</v>
      </c>
      <c r="B52" s="12" t="s">
        <v>844</v>
      </c>
      <c r="C52" s="13" t="str">
        <f t="array" ref="C52">IFERROR(INDEX('iCoA Register'!$B:$B,MATCH("P060182|I",'iCoA Register'!$P:$P,0)),"— at issue —")</f>
        <v>iCoA-PP_26-051</v>
      </c>
      <c r="D52" s="13" t="str">
        <f t="array" ref="D52">IFERROR(INDEX('CoQ Register'!$B:$B,MATCH("P060182|I",'CoQ Register'!$S:$S,0)),"—")</f>
        <v>CoQ-PP_26-051</v>
      </c>
      <c r="E52" s="12" t="s">
        <v>1400</v>
      </c>
      <c r="F52" s="12" t="s">
        <v>851</v>
      </c>
      <c r="G52" s="12" t="s">
        <v>1401</v>
      </c>
      <c r="H52" s="12" t="s">
        <v>1401</v>
      </c>
      <c r="I52" s="45">
        <f t="array" ref="I52">IFERROR(INDEX('iCoA Register'!$D:$D,MATCH("P060182|I",'iCoA Register'!$P:$P,0)),"")</f>
        <v>46157</v>
      </c>
      <c r="J52" s="45">
        <f t="array" ref="J52">IFERROR(INDEX('CoQ Register'!$D:$D,MATCH("P060182|I",'CoQ Register'!$S:$S,0)),"")</f>
        <v>46169</v>
      </c>
      <c r="K52" s="13" t="s">
        <v>283</v>
      </c>
      <c r="L52" s="12" t="s">
        <v>416</v>
      </c>
      <c r="M52" s="12" t="s">
        <v>1342</v>
      </c>
      <c r="N52" s="12" t="s">
        <v>1381</v>
      </c>
      <c r="O52" s="12" t="s">
        <v>1401</v>
      </c>
      <c r="P52" s="12" t="s">
        <v>1401</v>
      </c>
      <c r="Q52" s="12" t="s">
        <v>856</v>
      </c>
      <c r="R52" s="12" t="s">
        <v>428</v>
      </c>
      <c r="S52" s="12" t="s">
        <v>428</v>
      </c>
      <c r="T52" s="12" t="s">
        <v>428</v>
      </c>
      <c r="U52" s="12" t="s">
        <v>845</v>
      </c>
      <c r="V52" s="12"/>
      <c r="W52" s="12"/>
      <c r="X52" s="12"/>
      <c r="Y52" s="24" t="s">
        <v>858</v>
      </c>
    </row>
    <row r="53" spans="1:25" ht="14.25" customHeight="1">
      <c r="A53" s="12">
        <v>52</v>
      </c>
      <c r="B53" s="12" t="s">
        <v>844</v>
      </c>
      <c r="C53" s="13" t="str">
        <f t="array" ref="C53">IFERROR(INDEX('iCoA Register'!$B:$B,MATCH("P060192|I",'iCoA Register'!$P:$P,0)),"— at issue —")</f>
        <v>iCoA-PP_26-052</v>
      </c>
      <c r="D53" s="13" t="str">
        <f t="array" ref="D53">IFERROR(INDEX('CoQ Register'!$B:$B,MATCH("P060192|I",'CoQ Register'!$S:$S,0)),"—")</f>
        <v>CoQ-PP_26-052</v>
      </c>
      <c r="E53" s="12" t="s">
        <v>850</v>
      </c>
      <c r="F53" s="12" t="s">
        <v>851</v>
      </c>
      <c r="G53" s="12" t="s">
        <v>1374</v>
      </c>
      <c r="H53" s="12" t="s">
        <v>1407</v>
      </c>
      <c r="I53" s="45">
        <f t="array" ref="I53">IFERROR(INDEX('iCoA Register'!$D:$D,MATCH("P060192|I",'iCoA Register'!$P:$P,0)),"")</f>
        <v>46157</v>
      </c>
      <c r="J53" s="45">
        <f t="array" ref="J53">IFERROR(INDEX('CoQ Register'!$D:$D,MATCH("P060192|I",'CoQ Register'!$S:$S,0)),"")</f>
        <v>46169</v>
      </c>
      <c r="K53" s="13" t="s">
        <v>617</v>
      </c>
      <c r="L53" s="12" t="s">
        <v>619</v>
      </c>
      <c r="M53" s="12" t="s">
        <v>147</v>
      </c>
      <c r="N53" s="12" t="s">
        <v>1410</v>
      </c>
      <c r="O53" s="12" t="s">
        <v>1411</v>
      </c>
      <c r="P53" s="12" t="s">
        <v>1407</v>
      </c>
      <c r="Q53" s="12" t="s">
        <v>856</v>
      </c>
      <c r="R53" s="12" t="s">
        <v>428</v>
      </c>
      <c r="S53" s="12" t="s">
        <v>428</v>
      </c>
      <c r="T53" s="12" t="s">
        <v>428</v>
      </c>
      <c r="U53" s="12" t="s">
        <v>1413</v>
      </c>
      <c r="V53" s="12"/>
      <c r="W53" s="12"/>
      <c r="X53" s="12"/>
      <c r="Y53" s="24" t="s">
        <v>858</v>
      </c>
    </row>
    <row r="54" spans="1:25" ht="14.25" customHeight="1">
      <c r="A54" s="12">
        <v>53</v>
      </c>
      <c r="B54" s="12" t="s">
        <v>844</v>
      </c>
      <c r="C54" s="13" t="str">
        <f t="array" ref="C54">IFERROR(INDEX('iCoA Register'!$B:$B,MATCH("P060202|I",'iCoA Register'!$P:$P,0)),"— at issue —")</f>
        <v>iCoA-PP_26-053</v>
      </c>
      <c r="D54" s="13" t="str">
        <f t="array" ref="D54">IFERROR(INDEX('CoQ Register'!$B:$B,MATCH("P060202|I",'CoQ Register'!$S:$S,0)),"—")</f>
        <v>CoQ-PP_26-053</v>
      </c>
      <c r="E54" s="12" t="s">
        <v>850</v>
      </c>
      <c r="F54" s="12" t="s">
        <v>851</v>
      </c>
      <c r="G54" s="12" t="s">
        <v>1421</v>
      </c>
      <c r="H54" s="12" t="s">
        <v>1422</v>
      </c>
      <c r="I54" s="45">
        <f t="array" ref="I54">IFERROR(INDEX('iCoA Register'!$D:$D,MATCH("P060202|I",'iCoA Register'!$P:$P,0)),"")</f>
        <v>46157</v>
      </c>
      <c r="J54" s="45">
        <f t="array" ref="J54">IFERROR(INDEX('CoQ Register'!$D:$D,MATCH("P060202|I",'CoQ Register'!$S:$S,0)),"")</f>
        <v>46169</v>
      </c>
      <c r="K54" s="13" t="s">
        <v>310</v>
      </c>
      <c r="L54" s="12" t="s">
        <v>311</v>
      </c>
      <c r="M54" s="12" t="s">
        <v>277</v>
      </c>
      <c r="N54" s="12" t="s">
        <v>1425</v>
      </c>
      <c r="O54" s="12" t="s">
        <v>1426</v>
      </c>
      <c r="P54" s="12" t="s">
        <v>1422</v>
      </c>
      <c r="Q54" s="12" t="s">
        <v>856</v>
      </c>
      <c r="R54" s="12" t="s">
        <v>428</v>
      </c>
      <c r="S54" s="12" t="s">
        <v>428</v>
      </c>
      <c r="T54" s="12" t="s">
        <v>428</v>
      </c>
      <c r="U54" s="12" t="s">
        <v>942</v>
      </c>
      <c r="V54" s="12"/>
      <c r="W54" s="12"/>
      <c r="X54" s="12"/>
      <c r="Y54" s="24" t="s">
        <v>858</v>
      </c>
    </row>
    <row r="55" spans="1:25" ht="14.25" customHeight="1">
      <c r="A55" s="12">
        <v>54</v>
      </c>
      <c r="B55" s="12" t="s">
        <v>844</v>
      </c>
      <c r="C55" s="13" t="str">
        <f t="array" ref="C55">IFERROR(INDEX('iCoA Register'!$B:$B,MATCH("P060212|I",'iCoA Register'!$P:$P,0)),"— at issue —")</f>
        <v>iCoA-PP_26-054</v>
      </c>
      <c r="D55" s="13" t="str">
        <f t="array" ref="D55">IFERROR(INDEX('CoQ Register'!$B:$B,MATCH("P060212|I",'CoQ Register'!$S:$S,0)),"—")</f>
        <v>CoQ-PP_26-054</v>
      </c>
      <c r="E55" s="12" t="s">
        <v>1427</v>
      </c>
      <c r="F55" s="12" t="s">
        <v>851</v>
      </c>
      <c r="G55" s="12" t="s">
        <v>1428</v>
      </c>
      <c r="H55" s="12" t="s">
        <v>1428</v>
      </c>
      <c r="I55" s="45">
        <f t="array" ref="I55">IFERROR(INDEX('iCoA Register'!$D:$D,MATCH("P060212|I",'iCoA Register'!$P:$P,0)),"")</f>
        <v>46157</v>
      </c>
      <c r="J55" s="45">
        <f t="array" ref="J55">IFERROR(INDEX('CoQ Register'!$D:$D,MATCH("P060212|I",'CoQ Register'!$S:$S,0)),"")</f>
        <v>46169</v>
      </c>
      <c r="K55" s="13" t="s">
        <v>284</v>
      </c>
      <c r="L55" s="12" t="s">
        <v>287</v>
      </c>
      <c r="M55" s="12" t="s">
        <v>331</v>
      </c>
      <c r="N55" s="12" t="s">
        <v>1430</v>
      </c>
      <c r="O55" s="12" t="s">
        <v>1428</v>
      </c>
      <c r="P55" s="12" t="s">
        <v>1428</v>
      </c>
      <c r="Q55" s="12" t="s">
        <v>856</v>
      </c>
      <c r="R55" s="12" t="s">
        <v>428</v>
      </c>
      <c r="S55" s="12" t="s">
        <v>428</v>
      </c>
      <c r="T55" s="12" t="s">
        <v>428</v>
      </c>
      <c r="U55" s="12" t="s">
        <v>956</v>
      </c>
      <c r="V55" s="12"/>
      <c r="W55" s="12"/>
      <c r="X55" s="12"/>
      <c r="Y55" s="24" t="s">
        <v>858</v>
      </c>
    </row>
    <row r="56" spans="1:25" ht="14.25" customHeight="1">
      <c r="A56" s="12">
        <v>55</v>
      </c>
      <c r="B56" s="12" t="s">
        <v>844</v>
      </c>
      <c r="C56" s="13" t="str">
        <f t="array" ref="C56">IFERROR(INDEX('iCoA Register'!$B:$B,MATCH("JD112501|I",'iCoA Register'!$P:$P,0)),"— at issue —")</f>
        <v>— at issue —</v>
      </c>
      <c r="D56" s="13" t="str">
        <f t="array" ref="D56">IFERROR(INDEX('CoQ Register'!$B:$B,MATCH("JD112501|I",'CoQ Register'!$S:$S,0)),"—")</f>
        <v>— at issue —</v>
      </c>
      <c r="E56" s="12" t="s">
        <v>1427</v>
      </c>
      <c r="F56" s="12" t="s">
        <v>86</v>
      </c>
      <c r="G56" s="12" t="s">
        <v>1428</v>
      </c>
      <c r="H56" s="12" t="s">
        <v>1435</v>
      </c>
      <c r="I56" s="12" t="s">
        <v>1436</v>
      </c>
      <c r="J56" s="45" t="str">
        <f t="array" ref="J56">IFERROR(INDEX('CoQ Register'!$D:$D,MATCH("JD112501|I",'CoQ Register'!$S:$S,0)),"")</f>
        <v/>
      </c>
      <c r="K56" s="13" t="s">
        <v>349</v>
      </c>
      <c r="L56" s="12" t="s">
        <v>425</v>
      </c>
      <c r="M56" s="12" t="s">
        <v>331</v>
      </c>
      <c r="N56" s="28" t="s">
        <v>1438</v>
      </c>
      <c r="O56" s="28" t="s">
        <v>1438</v>
      </c>
      <c r="P56" s="28" t="s">
        <v>1436</v>
      </c>
      <c r="Q56" s="12" t="s">
        <v>856</v>
      </c>
      <c r="R56" s="12" t="s">
        <v>428</v>
      </c>
      <c r="S56" s="12" t="s">
        <v>428</v>
      </c>
      <c r="T56" s="12" t="s">
        <v>428</v>
      </c>
      <c r="U56" s="12" t="s">
        <v>1166</v>
      </c>
      <c r="V56" s="12"/>
      <c r="W56" s="12"/>
      <c r="X56" s="12"/>
      <c r="Y56" s="28" t="s">
        <v>1441</v>
      </c>
    </row>
    <row r="57" spans="1:25" ht="14.25" customHeight="1">
      <c r="A57" s="12">
        <v>56</v>
      </c>
      <c r="B57" s="12" t="s">
        <v>844</v>
      </c>
      <c r="C57" s="13" t="str">
        <f t="array" ref="C57">IFERROR(INDEX('iCoA Register'!$B:$B,MATCH("P060222|I",'iCoA Register'!$P:$P,0)),"— at issue —")</f>
        <v>iCoA-PP_26-055</v>
      </c>
      <c r="D57" s="13" t="str">
        <f t="array" ref="D57">IFERROR(INDEX('CoQ Register'!$B:$B,MATCH("P060222|I",'CoQ Register'!$S:$S,0)),"—")</f>
        <v>CoQ-PP_26-055</v>
      </c>
      <c r="E57" s="12" t="s">
        <v>850</v>
      </c>
      <c r="F57" s="12" t="s">
        <v>851</v>
      </c>
      <c r="G57" s="12" t="s">
        <v>1358</v>
      </c>
      <c r="H57" s="12" t="s">
        <v>1443</v>
      </c>
      <c r="I57" s="45">
        <f t="array" ref="I57">IFERROR(INDEX('iCoA Register'!$D:$D,MATCH("P060222|I",'iCoA Register'!$P:$P,0)),"")</f>
        <v>46157</v>
      </c>
      <c r="J57" s="45">
        <f t="array" ref="J57">IFERROR(INDEX('CoQ Register'!$D:$D,MATCH("P060222|I",'CoQ Register'!$S:$S,0)),"")</f>
        <v>46169</v>
      </c>
      <c r="K57" s="13" t="s">
        <v>379</v>
      </c>
      <c r="L57" s="12" t="s">
        <v>380</v>
      </c>
      <c r="M57" s="12" t="s">
        <v>103</v>
      </c>
      <c r="N57" s="12" t="s">
        <v>1446</v>
      </c>
      <c r="O57" s="12" t="s">
        <v>1447</v>
      </c>
      <c r="P57" s="12" t="s">
        <v>1443</v>
      </c>
      <c r="Q57" s="12" t="s">
        <v>856</v>
      </c>
      <c r="R57" s="12" t="s">
        <v>428</v>
      </c>
      <c r="S57" s="12" t="s">
        <v>428</v>
      </c>
      <c r="T57" s="12" t="s">
        <v>428</v>
      </c>
      <c r="U57" s="12" t="s">
        <v>1084</v>
      </c>
      <c r="V57" s="12"/>
      <c r="W57" s="12"/>
      <c r="X57" s="12"/>
      <c r="Y57" s="24" t="s">
        <v>858</v>
      </c>
    </row>
    <row r="58" spans="1:25" ht="14.25" customHeight="1">
      <c r="A58" s="12">
        <v>57</v>
      </c>
      <c r="B58" s="12" t="s">
        <v>844</v>
      </c>
      <c r="C58" s="13" t="str">
        <f t="array" ref="C58">IFERROR(INDEX('iCoA Register'!$B:$B,MATCH("P060232|I",'iCoA Register'!$P:$P,0)),"— at issue —")</f>
        <v>iCoA-PP_26-056</v>
      </c>
      <c r="D58" s="13" t="str">
        <f t="array" ref="D58">IFERROR(INDEX('CoQ Register'!$B:$B,MATCH("P060232|I",'CoQ Register'!$S:$S,0)),"—")</f>
        <v>CoQ-PP_26-056</v>
      </c>
      <c r="E58" s="12" t="s">
        <v>1450</v>
      </c>
      <c r="F58" s="12" t="s">
        <v>851</v>
      </c>
      <c r="G58" s="12" t="s">
        <v>1451</v>
      </c>
      <c r="H58" s="12" t="s">
        <v>1451</v>
      </c>
      <c r="I58" s="45">
        <f t="array" ref="I58">IFERROR(INDEX('iCoA Register'!$D:$D,MATCH("P060232|I",'iCoA Register'!$P:$P,0)),"")</f>
        <v>46157</v>
      </c>
      <c r="J58" s="45">
        <f t="array" ref="J58">IFERROR(INDEX('CoQ Register'!$D:$D,MATCH("P060232|I",'CoQ Register'!$S:$S,0)),"")</f>
        <v>46169</v>
      </c>
      <c r="K58" s="13" t="s">
        <v>471</v>
      </c>
      <c r="L58" s="12" t="s">
        <v>474</v>
      </c>
      <c r="M58" s="12" t="s">
        <v>158</v>
      </c>
      <c r="N58" s="12" t="s">
        <v>1446</v>
      </c>
      <c r="O58" s="12" t="s">
        <v>1451</v>
      </c>
      <c r="P58" s="12" t="s">
        <v>1451</v>
      </c>
      <c r="Q58" s="12" t="s">
        <v>856</v>
      </c>
      <c r="R58" s="12" t="s">
        <v>428</v>
      </c>
      <c r="S58" s="12" t="s">
        <v>428</v>
      </c>
      <c r="T58" s="12" t="s">
        <v>428</v>
      </c>
      <c r="U58" s="12" t="s">
        <v>1311</v>
      </c>
      <c r="V58" s="12"/>
      <c r="W58" s="12"/>
      <c r="X58" s="12"/>
      <c r="Y58" s="24" t="s">
        <v>858</v>
      </c>
    </row>
    <row r="59" spans="1:25" ht="14.25" customHeight="1">
      <c r="A59" s="12">
        <v>58</v>
      </c>
      <c r="B59" s="12" t="s">
        <v>844</v>
      </c>
      <c r="C59" s="13" t="str">
        <f t="array" ref="C59">IFERROR(INDEX('iCoA Register'!$B:$B,MATCH("P060242|I",'iCoA Register'!$P:$P,0)),"— at issue —")</f>
        <v>iCoA-PP_26-057</v>
      </c>
      <c r="D59" s="13" t="str">
        <f t="array" ref="D59">IFERROR(INDEX('CoQ Register'!$B:$B,MATCH("P060242|I",'CoQ Register'!$S:$S,0)),"—")</f>
        <v>CoQ-PP_26-057</v>
      </c>
      <c r="E59" s="12" t="s">
        <v>1459</v>
      </c>
      <c r="F59" s="12" t="s">
        <v>851</v>
      </c>
      <c r="G59" s="12" t="s">
        <v>1462</v>
      </c>
      <c r="H59" s="12" t="s">
        <v>1462</v>
      </c>
      <c r="I59" s="45">
        <f t="array" ref="I59">IFERROR(INDEX('iCoA Register'!$D:$D,MATCH("P060242|I",'iCoA Register'!$P:$P,0)),"")</f>
        <v>46157</v>
      </c>
      <c r="J59" s="45">
        <f t="array" ref="J59">IFERROR(INDEX('CoQ Register'!$D:$D,MATCH("P060242|I",'CoQ Register'!$S:$S,0)),"")</f>
        <v>46169</v>
      </c>
      <c r="K59" s="13" t="s">
        <v>299</v>
      </c>
      <c r="L59" s="12" t="s">
        <v>301</v>
      </c>
      <c r="M59" s="12" t="s">
        <v>103</v>
      </c>
      <c r="N59" s="12" t="s">
        <v>1466</v>
      </c>
      <c r="O59" s="12" t="s">
        <v>1462</v>
      </c>
      <c r="P59" s="12" t="s">
        <v>1462</v>
      </c>
      <c r="Q59" s="12" t="s">
        <v>856</v>
      </c>
      <c r="R59" s="12" t="s">
        <v>428</v>
      </c>
      <c r="S59" s="12" t="s">
        <v>428</v>
      </c>
      <c r="T59" s="12" t="s">
        <v>428</v>
      </c>
      <c r="U59" s="12" t="s">
        <v>1265</v>
      </c>
      <c r="V59" s="12"/>
      <c r="W59" s="12"/>
      <c r="X59" s="12"/>
      <c r="Y59" s="24" t="s">
        <v>858</v>
      </c>
    </row>
    <row r="60" spans="1:25" ht="14.25" customHeight="1">
      <c r="A60" s="12">
        <v>59</v>
      </c>
      <c r="B60" s="12" t="s">
        <v>844</v>
      </c>
      <c r="C60" s="13" t="str">
        <f t="array" ref="C60">IFERROR(INDEX('iCoA Register'!$B:$B,MATCH("P060252|I",'iCoA Register'!$P:$P,0)),"— at issue —")</f>
        <v>iCoA-PP_26-058</v>
      </c>
      <c r="D60" s="13" t="str">
        <f t="array" ref="D60">IFERROR(INDEX('CoQ Register'!$B:$B,MATCH("P060252|I",'CoQ Register'!$S:$S,0)),"—")</f>
        <v>CoQ-PP_26-058</v>
      </c>
      <c r="E60" s="12" t="s">
        <v>850</v>
      </c>
      <c r="F60" s="12" t="s">
        <v>851</v>
      </c>
      <c r="G60" s="12" t="s">
        <v>1143</v>
      </c>
      <c r="H60" s="12" t="s">
        <v>1470</v>
      </c>
      <c r="I60" s="45">
        <f t="array" ref="I60">IFERROR(INDEX('iCoA Register'!$D:$D,MATCH("P060252|I",'iCoA Register'!$P:$P,0)),"")</f>
        <v>46157</v>
      </c>
      <c r="J60" s="45">
        <f t="array" ref="J60">IFERROR(INDEX('CoQ Register'!$D:$D,MATCH("P060252|I",'CoQ Register'!$S:$S,0)),"")</f>
        <v>46169</v>
      </c>
      <c r="K60" s="13" t="s">
        <v>274</v>
      </c>
      <c r="L60" s="12" t="s">
        <v>275</v>
      </c>
      <c r="M60" s="12" t="s">
        <v>234</v>
      </c>
      <c r="N60" s="12" t="s">
        <v>1430</v>
      </c>
      <c r="O60" s="12" t="s">
        <v>1474</v>
      </c>
      <c r="P60" s="12" t="s">
        <v>1470</v>
      </c>
      <c r="Q60" s="12" t="s">
        <v>856</v>
      </c>
      <c r="R60" s="12" t="s">
        <v>428</v>
      </c>
      <c r="S60" s="12" t="s">
        <v>428</v>
      </c>
      <c r="T60" s="12" t="s">
        <v>428</v>
      </c>
      <c r="U60" s="12" t="s">
        <v>775</v>
      </c>
      <c r="V60" s="12"/>
      <c r="W60" s="12"/>
      <c r="X60" s="12"/>
      <c r="Y60" s="24" t="s">
        <v>858</v>
      </c>
    </row>
    <row r="61" spans="1:25" ht="14.25" customHeight="1">
      <c r="A61" s="12">
        <v>60</v>
      </c>
      <c r="B61" s="12" t="s">
        <v>844</v>
      </c>
      <c r="C61" s="13" t="str">
        <f t="array" ref="C61">IFERROR(INDEX('iCoA Register'!$B:$B,MATCH("P060262|I",'iCoA Register'!$P:$P,0)),"— at issue —")</f>
        <v>iCoA-PP_26-059</v>
      </c>
      <c r="D61" s="13" t="str">
        <f t="array" ref="D61">IFERROR(INDEX('CoQ Register'!$B:$B,MATCH("P060262|I",'CoQ Register'!$S:$S,0)),"—")</f>
        <v>CoQ-PP_26-059</v>
      </c>
      <c r="E61" s="12" t="s">
        <v>850</v>
      </c>
      <c r="F61" s="12" t="s">
        <v>1477</v>
      </c>
      <c r="G61" s="12" t="s">
        <v>1478</v>
      </c>
      <c r="H61" s="12" t="s">
        <v>1479</v>
      </c>
      <c r="I61" s="45">
        <f t="array" ref="I61">IFERROR(INDEX('iCoA Register'!$D:$D,MATCH("P060262|I",'iCoA Register'!$P:$P,0)),"")</f>
        <v>46161</v>
      </c>
      <c r="J61" s="45">
        <f t="array" ref="J61">IFERROR(INDEX('CoQ Register'!$D:$D,MATCH("P060262|I",'CoQ Register'!$S:$S,0)),"")</f>
        <v>46169</v>
      </c>
      <c r="K61" s="13" t="s">
        <v>318</v>
      </c>
      <c r="L61" s="12" t="s">
        <v>319</v>
      </c>
      <c r="M61" s="12" t="s">
        <v>277</v>
      </c>
      <c r="N61" s="12" t="s">
        <v>1374</v>
      </c>
      <c r="O61" s="12" t="s">
        <v>1481</v>
      </c>
      <c r="P61" s="12" t="s">
        <v>1479</v>
      </c>
      <c r="Q61" s="12" t="s">
        <v>856</v>
      </c>
      <c r="R61" s="12" t="s">
        <v>428</v>
      </c>
      <c r="S61" s="12" t="s">
        <v>428</v>
      </c>
      <c r="T61" s="12" t="s">
        <v>428</v>
      </c>
      <c r="U61" s="12" t="s">
        <v>1009</v>
      </c>
      <c r="V61" s="12"/>
      <c r="W61" s="12"/>
      <c r="X61" s="12"/>
      <c r="Y61" s="24" t="s">
        <v>1482</v>
      </c>
    </row>
    <row r="62" spans="1:25" ht="14.25" customHeight="1">
      <c r="A62" s="12">
        <v>61</v>
      </c>
      <c r="B62" s="12" t="s">
        <v>844</v>
      </c>
      <c r="C62" s="13" t="str">
        <f t="array" ref="C62">IFERROR(INDEX('iCoA Register'!$B:$B,MATCH("P060272|I",'iCoA Register'!$P:$P,0)),"— at issue —")</f>
        <v>iCoA-PP_26-060</v>
      </c>
      <c r="D62" s="13" t="str">
        <f t="array" ref="D62">IFERROR(INDEX('CoQ Register'!$B:$B,MATCH("P060272|I",'CoQ Register'!$S:$S,0)),"—")</f>
        <v>CoQ-PP_26-060</v>
      </c>
      <c r="E62" s="12" t="s">
        <v>850</v>
      </c>
      <c r="F62" s="12" t="s">
        <v>1477</v>
      </c>
      <c r="G62" s="12" t="s">
        <v>1143</v>
      </c>
      <c r="H62" s="12" t="s">
        <v>1485</v>
      </c>
      <c r="I62" s="45">
        <f t="array" ref="I62">IFERROR(INDEX('iCoA Register'!$D:$D,MATCH("P060272|I",'iCoA Register'!$P:$P,0)),"")</f>
        <v>46167</v>
      </c>
      <c r="J62" s="45">
        <f t="array" ref="J62">IFERROR(INDEX('CoQ Register'!$D:$D,MATCH("P060272|I",'CoQ Register'!$S:$S,0)),"")</f>
        <v>46169</v>
      </c>
      <c r="K62" s="13" t="s">
        <v>161</v>
      </c>
      <c r="L62" s="12" t="s">
        <v>162</v>
      </c>
      <c r="M62" s="12" t="s">
        <v>1489</v>
      </c>
      <c r="N62" s="12" t="s">
        <v>1430</v>
      </c>
      <c r="O62" s="12" t="s">
        <v>1490</v>
      </c>
      <c r="P62" s="12" t="s">
        <v>1485</v>
      </c>
      <c r="Q62" s="12" t="s">
        <v>856</v>
      </c>
      <c r="R62" s="12" t="s">
        <v>428</v>
      </c>
      <c r="S62" s="12" t="s">
        <v>428</v>
      </c>
      <c r="T62" s="12" t="s">
        <v>428</v>
      </c>
      <c r="U62" s="12" t="s">
        <v>523</v>
      </c>
      <c r="V62" s="12"/>
      <c r="W62" s="12"/>
      <c r="X62" s="12"/>
      <c r="Y62" s="24" t="s">
        <v>1482</v>
      </c>
    </row>
    <row r="63" spans="1:25" ht="14.25" customHeight="1">
      <c r="A63" s="12">
        <v>62</v>
      </c>
      <c r="B63" s="12" t="s">
        <v>844</v>
      </c>
      <c r="C63" s="13" t="str">
        <f t="array" ref="C63">IFERROR(INDEX('iCoA Register'!$B:$B,MATCH("P060282|I",'iCoA Register'!$P:$P,0)),"— at issue —")</f>
        <v>iCoA-PP_26-061</v>
      </c>
      <c r="D63" s="13" t="str">
        <f t="array" ref="D63">IFERROR(INDEX('CoQ Register'!$B:$B,MATCH("P060282|I",'CoQ Register'!$S:$S,0)),"—")</f>
        <v>CoQ-PP_26-061</v>
      </c>
      <c r="E63" s="12" t="s">
        <v>1496</v>
      </c>
      <c r="F63" s="12" t="s">
        <v>1477</v>
      </c>
      <c r="G63" s="12" t="s">
        <v>1485</v>
      </c>
      <c r="H63" s="12" t="s">
        <v>1485</v>
      </c>
      <c r="I63" s="45">
        <f t="array" ref="I63">IFERROR(INDEX('iCoA Register'!$D:$D,MATCH("P060282|I",'iCoA Register'!$P:$P,0)),"")</f>
        <v>46167</v>
      </c>
      <c r="J63" s="45">
        <f t="array" ref="J63">IFERROR(INDEX('CoQ Register'!$D:$D,MATCH("P060282|I",'CoQ Register'!$S:$S,0)),"")</f>
        <v>46169</v>
      </c>
      <c r="K63" s="13" t="s">
        <v>481</v>
      </c>
      <c r="L63" s="12" t="s">
        <v>482</v>
      </c>
      <c r="M63" s="12" t="s">
        <v>315</v>
      </c>
      <c r="N63" s="12" t="s">
        <v>1430</v>
      </c>
      <c r="O63" s="12" t="s">
        <v>1485</v>
      </c>
      <c r="P63" s="12" t="s">
        <v>1485</v>
      </c>
      <c r="Q63" s="12" t="s">
        <v>856</v>
      </c>
      <c r="R63" s="12" t="s">
        <v>428</v>
      </c>
      <c r="S63" s="12" t="s">
        <v>428</v>
      </c>
      <c r="T63" s="12" t="s">
        <v>428</v>
      </c>
      <c r="U63" s="12" t="s">
        <v>1500</v>
      </c>
      <c r="V63" s="12"/>
      <c r="W63" s="12"/>
      <c r="X63" s="12"/>
      <c r="Y63" s="24" t="s">
        <v>1482</v>
      </c>
    </row>
    <row r="64" spans="1:25" ht="14.25" customHeight="1">
      <c r="A64" s="12">
        <v>63</v>
      </c>
      <c r="B64" s="12" t="s">
        <v>844</v>
      </c>
      <c r="C64" s="13" t="str">
        <f t="array" ref="C64">IFERROR(INDEX('iCoA Register'!$B:$B,MATCH("P060292|I",'iCoA Register'!$P:$P,0)),"— at issue —")</f>
        <v>iCoA-PP_26-062</v>
      </c>
      <c r="D64" s="13" t="str">
        <f t="array" ref="D64">IFERROR(INDEX('CoQ Register'!$B:$B,MATCH("P060292|I",'CoQ Register'!$S:$S,0)),"—")</f>
        <v>CoQ-PP_26-062</v>
      </c>
      <c r="E64" s="12" t="s">
        <v>850</v>
      </c>
      <c r="F64" s="12" t="s">
        <v>1477</v>
      </c>
      <c r="G64" s="12" t="s">
        <v>1143</v>
      </c>
      <c r="H64" s="12" t="s">
        <v>1509</v>
      </c>
      <c r="I64" s="45">
        <f t="array" ref="I64">IFERROR(INDEX('iCoA Register'!$D:$D,MATCH("P060292|I",'iCoA Register'!$P:$P,0)),"")</f>
        <v>46167</v>
      </c>
      <c r="J64" s="45">
        <f t="array" ref="J64">IFERROR(INDEX('CoQ Register'!$D:$D,MATCH("P060292|I",'CoQ Register'!$S:$S,0)),"")</f>
        <v>46169</v>
      </c>
      <c r="K64" s="13" t="s">
        <v>228</v>
      </c>
      <c r="L64" s="12" t="s">
        <v>229</v>
      </c>
      <c r="M64" s="12" t="s">
        <v>183</v>
      </c>
      <c r="N64" s="12" t="s">
        <v>1430</v>
      </c>
      <c r="O64" s="12" t="s">
        <v>1513</v>
      </c>
      <c r="P64" s="12" t="s">
        <v>1509</v>
      </c>
      <c r="Q64" s="12" t="s">
        <v>856</v>
      </c>
      <c r="R64" s="12" t="s">
        <v>428</v>
      </c>
      <c r="S64" s="12" t="s">
        <v>428</v>
      </c>
      <c r="T64" s="12" t="s">
        <v>428</v>
      </c>
      <c r="U64" s="12" t="s">
        <v>644</v>
      </c>
      <c r="V64" s="12"/>
      <c r="W64" s="12"/>
      <c r="X64" s="12"/>
      <c r="Y64" s="24" t="s">
        <v>1482</v>
      </c>
    </row>
    <row r="65" spans="1:25" ht="14.25" customHeight="1">
      <c r="A65" s="12">
        <v>64</v>
      </c>
      <c r="B65" s="12" t="s">
        <v>844</v>
      </c>
      <c r="C65" s="13" t="str">
        <f t="array" ref="C65">IFERROR(INDEX('iCoA Register'!$B:$B,MATCH("P060302|I",'iCoA Register'!$P:$P,0)),"— at issue —")</f>
        <v>iCoA-PP_26-063</v>
      </c>
      <c r="D65" s="13" t="str">
        <f t="array" ref="D65">IFERROR(INDEX('CoQ Register'!$B:$B,MATCH("P060302|I",'CoQ Register'!$S:$S,0)),"—")</f>
        <v>CoQ-PP_26-063</v>
      </c>
      <c r="E65" s="12" t="s">
        <v>850</v>
      </c>
      <c r="F65" s="12" t="s">
        <v>1477</v>
      </c>
      <c r="G65" s="12" t="s">
        <v>1143</v>
      </c>
      <c r="H65" s="12" t="s">
        <v>1518</v>
      </c>
      <c r="I65" s="45">
        <f t="array" ref="I65">IFERROR(INDEX('iCoA Register'!$D:$D,MATCH("P060302|I",'iCoA Register'!$P:$P,0)),"")</f>
        <v>46167</v>
      </c>
      <c r="J65" s="45">
        <f t="array" ref="J65">IFERROR(INDEX('CoQ Register'!$D:$D,MATCH("P060302|I",'CoQ Register'!$S:$S,0)),"")</f>
        <v>46169</v>
      </c>
      <c r="K65" s="13" t="s">
        <v>241</v>
      </c>
      <c r="L65" s="12" t="s">
        <v>242</v>
      </c>
      <c r="M65" s="12" t="s">
        <v>234</v>
      </c>
      <c r="N65" s="12" t="s">
        <v>1520</v>
      </c>
      <c r="O65" s="12" t="s">
        <v>1521</v>
      </c>
      <c r="P65" s="12" t="s">
        <v>1518</v>
      </c>
      <c r="Q65" s="12" t="s">
        <v>856</v>
      </c>
      <c r="R65" s="12" t="s">
        <v>428</v>
      </c>
      <c r="S65" s="12" t="s">
        <v>428</v>
      </c>
      <c r="T65" s="12" t="s">
        <v>428</v>
      </c>
      <c r="U65" s="12" t="s">
        <v>676</v>
      </c>
      <c r="V65" s="12"/>
      <c r="W65" s="12"/>
      <c r="X65" s="12"/>
      <c r="Y65" s="24" t="s">
        <v>1482</v>
      </c>
    </row>
    <row r="66" spans="1:25" ht="14.25" customHeight="1">
      <c r="A66" s="12">
        <v>65</v>
      </c>
      <c r="B66" s="12" t="s">
        <v>844</v>
      </c>
      <c r="C66" s="13" t="str">
        <f t="array" ref="C66">IFERROR(INDEX('iCoA Register'!$B:$B,MATCH("P060312|I",'iCoA Register'!$P:$P,0)),"— at issue —")</f>
        <v>iCoA-PP_26-064</v>
      </c>
      <c r="D66" s="13" t="str">
        <f t="array" ref="D66">IFERROR(INDEX('CoQ Register'!$B:$B,MATCH("P060312|I",'CoQ Register'!$S:$S,0)),"—")</f>
        <v>CoQ-PP_26-064</v>
      </c>
      <c r="E66" s="12" t="s">
        <v>850</v>
      </c>
      <c r="F66" s="12" t="s">
        <v>1477</v>
      </c>
      <c r="G66" s="12" t="s">
        <v>1143</v>
      </c>
      <c r="H66" s="12" t="s">
        <v>1528</v>
      </c>
      <c r="I66" s="45">
        <f t="array" ref="I66">IFERROR(INDEX('iCoA Register'!$D:$D,MATCH("P060312|I",'iCoA Register'!$P:$P,0)),"")</f>
        <v>46168</v>
      </c>
      <c r="J66" s="45">
        <f t="array" ref="J66">IFERROR(INDEX('CoQ Register'!$D:$D,MATCH("P060312|I",'CoQ Register'!$S:$S,0)),"")</f>
        <v>46169</v>
      </c>
      <c r="K66" s="13" t="s">
        <v>329</v>
      </c>
      <c r="L66" s="12" t="s">
        <v>330</v>
      </c>
      <c r="M66" s="12" t="s">
        <v>331</v>
      </c>
      <c r="N66" s="12" t="s">
        <v>1520</v>
      </c>
      <c r="O66" s="12" t="s">
        <v>1532</v>
      </c>
      <c r="P66" s="12" t="s">
        <v>1528</v>
      </c>
      <c r="Q66" s="12" t="s">
        <v>856</v>
      </c>
      <c r="R66" s="12" t="s">
        <v>428</v>
      </c>
      <c r="S66" s="12" t="s">
        <v>428</v>
      </c>
      <c r="T66" s="12" t="s">
        <v>428</v>
      </c>
      <c r="U66" s="12" t="s">
        <v>1050</v>
      </c>
      <c r="V66" s="12"/>
      <c r="W66" s="12"/>
      <c r="X66" s="12"/>
      <c r="Y66" s="24" t="s">
        <v>1482</v>
      </c>
    </row>
    <row r="67" spans="1:25" ht="14.25" customHeight="1">
      <c r="A67" s="12">
        <v>66</v>
      </c>
      <c r="B67" s="12" t="s">
        <v>844</v>
      </c>
      <c r="C67" s="13" t="str">
        <f t="array" ref="C67">IFERROR(INDEX('iCoA Register'!$B:$B,MATCH("P060332|I",'iCoA Register'!$P:$P,0)),"— at issue —")</f>
        <v>iCoA-PP_26-065</v>
      </c>
      <c r="D67" s="13" t="str">
        <f t="array" ref="D67">IFERROR(INDEX('CoQ Register'!$B:$B,MATCH("P060332|I",'CoQ Register'!$S:$S,0)),"—")</f>
        <v>CoQ-PP_26-065</v>
      </c>
      <c r="E67" s="12" t="s">
        <v>86</v>
      </c>
      <c r="F67" s="12" t="s">
        <v>1477</v>
      </c>
      <c r="G67" s="12" t="s">
        <v>1537</v>
      </c>
      <c r="H67" s="12" t="s">
        <v>1537</v>
      </c>
      <c r="I67" s="45">
        <f t="array" ref="I67">IFERROR(INDEX('iCoA Register'!$D:$D,MATCH("P060332|I",'iCoA Register'!$P:$P,0)),"")</f>
        <v>46169</v>
      </c>
      <c r="J67" s="45">
        <f t="array" ref="J67">IFERROR(INDEX('CoQ Register'!$D:$D,MATCH("P060332|I",'CoQ Register'!$S:$S,0)),"")</f>
        <v>46169</v>
      </c>
      <c r="K67" s="13" t="s">
        <v>155</v>
      </c>
      <c r="L67" s="12" t="s">
        <v>159</v>
      </c>
      <c r="M67" s="12"/>
      <c r="N67" s="12" t="s">
        <v>1539</v>
      </c>
      <c r="O67" s="12" t="s">
        <v>1537</v>
      </c>
      <c r="P67" s="12" t="s">
        <v>1537</v>
      </c>
      <c r="Q67" s="12" t="s">
        <v>856</v>
      </c>
      <c r="R67" s="12" t="s">
        <v>428</v>
      </c>
      <c r="S67" s="12" t="s">
        <v>428</v>
      </c>
      <c r="T67" s="12" t="s">
        <v>428</v>
      </c>
      <c r="U67" s="28" t="s">
        <v>893</v>
      </c>
      <c r="V67" s="12"/>
      <c r="W67" s="12"/>
      <c r="X67" s="12"/>
      <c r="Y67" s="24" t="s">
        <v>1482</v>
      </c>
    </row>
    <row r="68" spans="1:25" ht="14.25" customHeight="1">
      <c r="A68" s="12">
        <v>67</v>
      </c>
      <c r="B68" s="12" t="s">
        <v>844</v>
      </c>
      <c r="C68" s="13" t="str">
        <f t="array" ref="C68">IFERROR(INDEX('iCoA Register'!$B:$B,MATCH("P060322|I",'iCoA Register'!$P:$P,0)),"— at issue —")</f>
        <v>iCoA-PP_26-066</v>
      </c>
      <c r="D68" s="13" t="str">
        <f t="array" ref="D68">IFERROR(INDEX('CoQ Register'!$B:$B,MATCH("P060322|I",'CoQ Register'!$S:$S,0)),"—")</f>
        <v>CoQ-PP_26-066</v>
      </c>
      <c r="E68" s="12" t="s">
        <v>1543</v>
      </c>
      <c r="F68" s="12" t="s">
        <v>1477</v>
      </c>
      <c r="G68" s="12" t="s">
        <v>1537</v>
      </c>
      <c r="H68" s="12" t="s">
        <v>1537</v>
      </c>
      <c r="I68" s="45">
        <f t="array" ref="I68">IFERROR(INDEX('iCoA Register'!$D:$D,MATCH("P060322|I",'iCoA Register'!$P:$P,0)),"")</f>
        <v>46169</v>
      </c>
      <c r="J68" s="45">
        <f t="array" ref="J68">IFERROR(INDEX('CoQ Register'!$D:$D,MATCH("P060322|I",'CoQ Register'!$S:$S,0)),"")</f>
        <v>46169</v>
      </c>
      <c r="K68" s="13" t="s">
        <v>181</v>
      </c>
      <c r="L68" s="12" t="s">
        <v>182</v>
      </c>
      <c r="M68" s="12" t="s">
        <v>183</v>
      </c>
      <c r="N68" s="12" t="s">
        <v>1520</v>
      </c>
      <c r="O68" s="12" t="s">
        <v>1537</v>
      </c>
      <c r="P68" s="12" t="s">
        <v>1537</v>
      </c>
      <c r="Q68" s="12" t="s">
        <v>856</v>
      </c>
      <c r="R68" s="12" t="s">
        <v>428</v>
      </c>
      <c r="S68" s="12" t="s">
        <v>428</v>
      </c>
      <c r="T68" s="12" t="s">
        <v>428</v>
      </c>
      <c r="U68" s="12" t="s">
        <v>592</v>
      </c>
      <c r="V68" s="12"/>
      <c r="W68" s="12"/>
      <c r="X68" s="12"/>
      <c r="Y68" s="24" t="s">
        <v>1482</v>
      </c>
    </row>
    <row r="69" spans="1:25" ht="14.25" customHeight="1">
      <c r="A69" s="12">
        <v>68</v>
      </c>
      <c r="B69" s="12" t="s">
        <v>844</v>
      </c>
      <c r="C69" s="13" t="str">
        <f t="array" ref="C69">IFERROR(INDEX('iCoA Register'!$B:$B,MATCH("P060352|I",'iCoA Register'!$P:$P,0)),"— at issue —")</f>
        <v>iCoA-PP_26-067</v>
      </c>
      <c r="D69" s="13" t="str">
        <f t="array" ref="D69">IFERROR(INDEX('CoQ Register'!$B:$B,MATCH("P060352|I",'CoQ Register'!$S:$S,0)),"—")</f>
        <v>CoQ-PP_26-067</v>
      </c>
      <c r="E69" s="12" t="s">
        <v>1554</v>
      </c>
      <c r="F69" s="12" t="s">
        <v>1477</v>
      </c>
      <c r="G69" s="12" t="s">
        <v>1555</v>
      </c>
      <c r="H69" s="12" t="s">
        <v>1555</v>
      </c>
      <c r="I69" s="45">
        <f t="array" ref="I69">IFERROR(INDEX('iCoA Register'!$D:$D,MATCH("P060352|I",'iCoA Register'!$P:$P,0)),"")</f>
        <v>46170</v>
      </c>
      <c r="J69" s="45">
        <f t="array" ref="J69">IFERROR(INDEX('CoQ Register'!$D:$D,MATCH("P060352|I",'CoQ Register'!$S:$S,0)),"")</f>
        <v>46170</v>
      </c>
      <c r="K69" s="13" t="s">
        <v>636</v>
      </c>
      <c r="L69" s="12" t="s">
        <v>208</v>
      </c>
      <c r="M69" s="12" t="s">
        <v>183</v>
      </c>
      <c r="N69" s="12" t="s">
        <v>1539</v>
      </c>
      <c r="O69" s="12" t="s">
        <v>1555</v>
      </c>
      <c r="P69" s="12" t="s">
        <v>1555</v>
      </c>
      <c r="Q69" s="12" t="s">
        <v>856</v>
      </c>
      <c r="R69" s="12" t="s">
        <v>428</v>
      </c>
      <c r="S69" s="12" t="s">
        <v>428</v>
      </c>
      <c r="T69" s="12" t="s">
        <v>428</v>
      </c>
      <c r="U69" s="28" t="s">
        <v>893</v>
      </c>
      <c r="V69" s="12"/>
      <c r="W69" s="12"/>
      <c r="X69" s="12"/>
      <c r="Y69" s="24" t="s">
        <v>1482</v>
      </c>
    </row>
    <row r="70" spans="1:25" ht="14.25" customHeight="1">
      <c r="A70" s="12">
        <v>69</v>
      </c>
      <c r="B70" s="12" t="s">
        <v>844</v>
      </c>
      <c r="C70" s="13" t="s">
        <v>1558</v>
      </c>
      <c r="D70" s="13" t="str">
        <f t="array" ref="D70">IFERROR(INDEX('CoQ Register'!$B:$B,MATCH("P060392|I",'CoQ Register'!$S:$S,0)),"—")</f>
        <v>CoQ-PP_26-070</v>
      </c>
      <c r="E70" s="12" t="s">
        <v>850</v>
      </c>
      <c r="F70" s="12" t="s">
        <v>1477</v>
      </c>
      <c r="G70" s="12" t="s">
        <v>1561</v>
      </c>
      <c r="H70" s="12" t="s">
        <v>1555</v>
      </c>
      <c r="I70" s="12" t="s">
        <v>1562</v>
      </c>
      <c r="J70" s="45">
        <f t="array" ref="J70">IFERROR(INDEX('CoQ Register'!$D:$D,MATCH("P060392|I",'CoQ Register'!$S:$S,0)),"")</f>
        <v>46210</v>
      </c>
      <c r="K70" s="13" t="s">
        <v>204</v>
      </c>
      <c r="L70" s="12" t="s">
        <v>205</v>
      </c>
      <c r="M70" s="12" t="s">
        <v>183</v>
      </c>
      <c r="N70" s="12" t="s">
        <v>1564</v>
      </c>
      <c r="O70" s="12" t="s">
        <v>1565</v>
      </c>
      <c r="P70" s="12" t="s">
        <v>1555</v>
      </c>
      <c r="Q70" s="12" t="s">
        <v>1566</v>
      </c>
      <c r="R70" s="61" t="s">
        <v>1567</v>
      </c>
      <c r="S70" s="61" t="s">
        <v>1567</v>
      </c>
      <c r="T70" s="61" t="s">
        <v>1567</v>
      </c>
      <c r="U70" s="12" t="s">
        <v>555</v>
      </c>
      <c r="V70" s="12"/>
      <c r="W70" s="12"/>
      <c r="X70" s="12"/>
      <c r="Y70" s="12" t="s">
        <v>1568</v>
      </c>
    </row>
    <row r="71" spans="1:25" ht="14.25" customHeight="1">
      <c r="A71" s="12">
        <v>70</v>
      </c>
      <c r="B71" s="12" t="s">
        <v>844</v>
      </c>
      <c r="C71" s="13" t="s">
        <v>1558</v>
      </c>
      <c r="D71" s="13" t="str">
        <f t="array" ref="D71">IFERROR(INDEX('CoQ Register'!$B:$B,MATCH("P060362|I",'CoQ Register'!$S:$S,0)),"—")</f>
        <v>CoQ-PP_26-071</v>
      </c>
      <c r="E71" s="12" t="s">
        <v>1570</v>
      </c>
      <c r="F71" s="12" t="s">
        <v>1477</v>
      </c>
      <c r="G71" s="12" t="s">
        <v>1555</v>
      </c>
      <c r="H71" s="12" t="s">
        <v>1555</v>
      </c>
      <c r="I71" s="12" t="s">
        <v>1562</v>
      </c>
      <c r="J71" s="45">
        <f t="array" ref="J71">IFERROR(INDEX('CoQ Register'!$D:$D,MATCH("P060362|I",'CoQ Register'!$S:$S,0)),"")</f>
        <v>46210</v>
      </c>
      <c r="K71" s="13" t="s">
        <v>336</v>
      </c>
      <c r="L71" s="12" t="s">
        <v>431</v>
      </c>
      <c r="M71" s="12"/>
      <c r="N71" s="12" t="s">
        <v>1572</v>
      </c>
      <c r="O71" s="12" t="s">
        <v>1555</v>
      </c>
      <c r="P71" s="12" t="s">
        <v>1555</v>
      </c>
      <c r="Q71" s="12" t="s">
        <v>1566</v>
      </c>
      <c r="R71" s="61" t="s">
        <v>1575</v>
      </c>
      <c r="S71" s="61" t="s">
        <v>1575</v>
      </c>
      <c r="T71" s="61" t="s">
        <v>1575</v>
      </c>
      <c r="U71" s="12" t="s">
        <v>913</v>
      </c>
      <c r="V71" s="12"/>
      <c r="W71" s="12"/>
      <c r="X71" s="12"/>
      <c r="Y71" s="12" t="s">
        <v>1568</v>
      </c>
    </row>
    <row r="72" spans="1:25" ht="14.25" customHeight="1">
      <c r="A72" s="12">
        <v>71</v>
      </c>
      <c r="B72" s="12" t="s">
        <v>844</v>
      </c>
      <c r="C72" s="13" t="s">
        <v>1558</v>
      </c>
      <c r="D72" s="13" t="str">
        <f t="array" ref="D72">IFERROR(INDEX('CoQ Register'!$B:$B,MATCH("P060422|I",'CoQ Register'!$S:$S,0)),"—")</f>
        <v>CoQ-PP_26-072</v>
      </c>
      <c r="E72" s="12" t="s">
        <v>1582</v>
      </c>
      <c r="F72" s="12" t="s">
        <v>1477</v>
      </c>
      <c r="G72" s="12" t="s">
        <v>1555</v>
      </c>
      <c r="H72" s="12" t="s">
        <v>1555</v>
      </c>
      <c r="I72" s="12" t="s">
        <v>1562</v>
      </c>
      <c r="J72" s="45">
        <f t="array" ref="J72">IFERROR(INDEX('CoQ Register'!$D:$D,MATCH("P060422|I",'CoQ Register'!$S:$S,0)),"")</f>
        <v>46210</v>
      </c>
      <c r="K72" s="13" t="s">
        <v>336</v>
      </c>
      <c r="L72" s="12" t="s">
        <v>445</v>
      </c>
      <c r="M72" s="12"/>
      <c r="N72" s="12" t="s">
        <v>1564</v>
      </c>
      <c r="O72" s="12" t="s">
        <v>1555</v>
      </c>
      <c r="P72" s="12" t="s">
        <v>1555</v>
      </c>
      <c r="Q72" s="12" t="s">
        <v>1566</v>
      </c>
      <c r="R72" s="61" t="s">
        <v>1575</v>
      </c>
      <c r="S72" s="61" t="s">
        <v>1575</v>
      </c>
      <c r="T72" s="61" t="s">
        <v>1575</v>
      </c>
      <c r="U72" s="12" t="s">
        <v>913</v>
      </c>
      <c r="V72" s="12"/>
      <c r="W72" s="12"/>
      <c r="X72" s="12"/>
      <c r="Y72" s="12" t="s">
        <v>1568</v>
      </c>
    </row>
    <row r="73" spans="1:25" ht="14.25" customHeight="1">
      <c r="A73" s="12">
        <v>72</v>
      </c>
      <c r="B73" s="12" t="s">
        <v>844</v>
      </c>
      <c r="C73" s="13" t="s">
        <v>1558</v>
      </c>
      <c r="D73" s="13" t="str">
        <f t="array" ref="D73">IFERROR(INDEX('CoQ Register'!$B:$B,MATCH("P060402|I",'CoQ Register'!$S:$S,0)),"—")</f>
        <v>CoQ-PP_26-073</v>
      </c>
      <c r="E73" s="12" t="s">
        <v>1585</v>
      </c>
      <c r="F73" s="12" t="s">
        <v>1477</v>
      </c>
      <c r="G73" s="12" t="s">
        <v>1586</v>
      </c>
      <c r="H73" s="12" t="s">
        <v>1586</v>
      </c>
      <c r="I73" s="12" t="s">
        <v>1588</v>
      </c>
      <c r="J73" s="45">
        <f t="array" ref="J73">IFERROR(INDEX('CoQ Register'!$D:$D,MATCH("P060402|I",'CoQ Register'!$S:$S,0)),"")</f>
        <v>46210</v>
      </c>
      <c r="K73" s="13" t="s">
        <v>215</v>
      </c>
      <c r="L73" s="12" t="s">
        <v>218</v>
      </c>
      <c r="M73" s="12" t="s">
        <v>1592</v>
      </c>
      <c r="N73" s="12" t="s">
        <v>1593</v>
      </c>
      <c r="O73" s="12" t="s">
        <v>1586</v>
      </c>
      <c r="P73" s="12" t="s">
        <v>1586</v>
      </c>
      <c r="Q73" s="12" t="s">
        <v>1566</v>
      </c>
      <c r="R73" s="61" t="s">
        <v>1595</v>
      </c>
      <c r="S73" s="61" t="s">
        <v>1595</v>
      </c>
      <c r="T73" s="61" t="s">
        <v>1595</v>
      </c>
      <c r="U73" s="12" t="s">
        <v>590</v>
      </c>
      <c r="V73" s="12"/>
      <c r="W73" s="12"/>
      <c r="X73" s="12"/>
      <c r="Y73" s="12" t="s">
        <v>1568</v>
      </c>
    </row>
    <row r="74" spans="1:25" ht="14.25" customHeight="1">
      <c r="A74" s="12">
        <v>73</v>
      </c>
      <c r="B74" s="12" t="s">
        <v>844</v>
      </c>
      <c r="C74" s="13" t="s">
        <v>1558</v>
      </c>
      <c r="D74" s="13" t="str">
        <f t="array" ref="D74">IFERROR(INDEX('CoQ Register'!$B:$B,MATCH("P060412|I",'CoQ Register'!$S:$S,0)),"—")</f>
        <v>CoQ-PP_26-074</v>
      </c>
      <c r="E74" s="12" t="s">
        <v>1600</v>
      </c>
      <c r="F74" s="12" t="s">
        <v>1477</v>
      </c>
      <c r="G74" s="12" t="s">
        <v>1586</v>
      </c>
      <c r="H74" s="12" t="s">
        <v>1586</v>
      </c>
      <c r="I74" s="12" t="s">
        <v>1588</v>
      </c>
      <c r="J74" s="45">
        <f t="array" ref="J74">IFERROR(INDEX('CoQ Register'!$D:$D,MATCH("P060412|I",'CoQ Register'!$S:$S,0)),"")</f>
        <v>46210</v>
      </c>
      <c r="K74" s="13" t="s">
        <v>336</v>
      </c>
      <c r="L74" s="12" t="s">
        <v>437</v>
      </c>
      <c r="M74" s="12"/>
      <c r="N74" s="12" t="s">
        <v>1593</v>
      </c>
      <c r="O74" s="12" t="s">
        <v>1586</v>
      </c>
      <c r="P74" s="12" t="s">
        <v>1586</v>
      </c>
      <c r="Q74" s="12" t="s">
        <v>1566</v>
      </c>
      <c r="R74" s="61" t="s">
        <v>1575</v>
      </c>
      <c r="S74" s="61" t="s">
        <v>1575</v>
      </c>
      <c r="T74" s="61" t="s">
        <v>1575</v>
      </c>
      <c r="U74" s="12" t="s">
        <v>913</v>
      </c>
      <c r="V74" s="12"/>
      <c r="W74" s="12"/>
      <c r="X74" s="12"/>
      <c r="Y74" s="12" t="s">
        <v>1568</v>
      </c>
    </row>
    <row r="75" spans="1:25" ht="14.25" customHeight="1">
      <c r="A75" s="12">
        <v>74</v>
      </c>
      <c r="B75" s="12" t="s">
        <v>844</v>
      </c>
      <c r="C75" s="13" t="str">
        <f t="array" ref="C75">IFERROR(INDEX('iCoA Register'!$B:$B,MATCH("P060342|I",'iCoA Register'!$P:$P,0)),"— at issue —")</f>
        <v>iCoA-PP_26-068</v>
      </c>
      <c r="D75" s="13" t="str">
        <f t="array" ref="D75">IFERROR(INDEX('CoQ Register'!$B:$B,MATCH("P060342|I",'CoQ Register'!$S:$S,0)),"—")</f>
        <v>CoQ-PP_26-068</v>
      </c>
      <c r="E75" s="12" t="s">
        <v>86</v>
      </c>
      <c r="F75" s="12" t="s">
        <v>1477</v>
      </c>
      <c r="G75" s="12" t="s">
        <v>1608</v>
      </c>
      <c r="H75" s="12" t="s">
        <v>1608</v>
      </c>
      <c r="I75" s="45">
        <f t="array" ref="I75">IFERROR(INDEX('iCoA Register'!$D:$D,MATCH("P060342|I",'iCoA Register'!$P:$P,0)),"")</f>
        <v>46174</v>
      </c>
      <c r="J75" s="45">
        <f t="array" ref="J75">IFERROR(INDEX('CoQ Register'!$D:$D,MATCH("P060342|I",'CoQ Register'!$S:$S,0)),"")</f>
        <v>46174</v>
      </c>
      <c r="K75" s="13" t="s">
        <v>712</v>
      </c>
      <c r="L75" s="12" t="s">
        <v>595</v>
      </c>
      <c r="M75" s="12" t="s">
        <v>315</v>
      </c>
      <c r="N75" s="12" t="s">
        <v>1539</v>
      </c>
      <c r="O75" s="12" t="s">
        <v>1608</v>
      </c>
      <c r="P75" s="12" t="s">
        <v>1608</v>
      </c>
      <c r="Q75" s="12" t="s">
        <v>856</v>
      </c>
      <c r="R75" s="12" t="s">
        <v>428</v>
      </c>
      <c r="S75" s="12" t="s">
        <v>428</v>
      </c>
      <c r="T75" s="12" t="s">
        <v>428</v>
      </c>
      <c r="U75" s="28" t="s">
        <v>893</v>
      </c>
      <c r="V75" s="12"/>
      <c r="W75" s="12"/>
      <c r="X75" s="12"/>
      <c r="Y75" s="24" t="s">
        <v>1482</v>
      </c>
    </row>
    <row r="76" spans="1:25" ht="14.25" customHeight="1">
      <c r="A76" s="12">
        <v>75</v>
      </c>
      <c r="B76" s="12" t="s">
        <v>844</v>
      </c>
      <c r="C76" s="13" t="str">
        <f t="array" ref="C76">IFERROR(INDEX('iCoA Register'!$B:$B,MATCH("P060382|I",'iCoA Register'!$P:$P,0)),"— at issue —")</f>
        <v>iCoA-PP_26-069</v>
      </c>
      <c r="D76" s="13" t="str">
        <f t="array" ref="D76">IFERROR(INDEX('CoQ Register'!$B:$B,MATCH("P060382|I",'CoQ Register'!$S:$S,0)),"—")</f>
        <v>CoQ-PP_26-069</v>
      </c>
      <c r="E76" s="12" t="s">
        <v>1614</v>
      </c>
      <c r="F76" s="12" t="s">
        <v>1477</v>
      </c>
      <c r="G76" s="12" t="s">
        <v>1608</v>
      </c>
      <c r="H76" s="12" t="s">
        <v>1608</v>
      </c>
      <c r="I76" s="45">
        <f t="array" ref="I76">IFERROR(INDEX('iCoA Register'!$D:$D,MATCH("P060382|I",'iCoA Register'!$P:$P,0)),"")</f>
        <v>46174</v>
      </c>
      <c r="J76" s="45">
        <f t="array" ref="J76">IFERROR(INDEX('CoQ Register'!$D:$D,MATCH("P060382|I",'CoQ Register'!$S:$S,0)),"")</f>
        <v>46174</v>
      </c>
      <c r="K76" s="13" t="s">
        <v>314</v>
      </c>
      <c r="L76" s="12" t="s">
        <v>317</v>
      </c>
      <c r="M76" s="12" t="s">
        <v>315</v>
      </c>
      <c r="N76" s="12" t="s">
        <v>1572</v>
      </c>
      <c r="O76" s="12" t="s">
        <v>1608</v>
      </c>
      <c r="P76" s="12" t="s">
        <v>1608</v>
      </c>
      <c r="Q76" s="12" t="s">
        <v>856</v>
      </c>
      <c r="R76" s="12" t="s">
        <v>428</v>
      </c>
      <c r="S76" s="12" t="s">
        <v>428</v>
      </c>
      <c r="T76" s="12" t="s">
        <v>428</v>
      </c>
      <c r="U76" s="28" t="s">
        <v>893</v>
      </c>
      <c r="V76" s="12"/>
      <c r="W76" s="12"/>
      <c r="X76" s="12"/>
      <c r="Y76" s="24" t="s">
        <v>1482</v>
      </c>
    </row>
    <row r="77" spans="1:25" ht="14.25" customHeight="1">
      <c r="A77" s="12">
        <v>76</v>
      </c>
      <c r="B77" s="12" t="s">
        <v>844</v>
      </c>
      <c r="C77" s="13" t="s">
        <v>1558</v>
      </c>
      <c r="D77" s="13" t="str">
        <f t="array" ref="D77">IFERROR(INDEX('CoQ Register'!$B:$B,MATCH("P060432|I",'CoQ Register'!$S:$S,0)),"—")</f>
        <v>CoQ-PP_26-075</v>
      </c>
      <c r="E77" s="12" t="s">
        <v>850</v>
      </c>
      <c r="F77" s="12" t="s">
        <v>1477</v>
      </c>
      <c r="G77" s="12" t="s">
        <v>1561</v>
      </c>
      <c r="H77" s="12" t="s">
        <v>1621</v>
      </c>
      <c r="I77" s="12" t="s">
        <v>1622</v>
      </c>
      <c r="J77" s="45">
        <f t="array" ref="J77">IFERROR(INDEX('CoQ Register'!$D:$D,MATCH("P060432|I",'CoQ Register'!$S:$S,0)),"")</f>
        <v>46210</v>
      </c>
      <c r="K77" s="13" t="s">
        <v>193</v>
      </c>
      <c r="L77" s="12" t="s">
        <v>194</v>
      </c>
      <c r="M77" s="12" t="s">
        <v>183</v>
      </c>
      <c r="N77" s="12" t="s">
        <v>1593</v>
      </c>
      <c r="O77" s="12" t="s">
        <v>1626</v>
      </c>
      <c r="P77" s="12" t="s">
        <v>1621</v>
      </c>
      <c r="Q77" s="12" t="s">
        <v>1566</v>
      </c>
      <c r="R77" s="61" t="s">
        <v>1627</v>
      </c>
      <c r="S77" s="61" t="s">
        <v>1627</v>
      </c>
      <c r="T77" s="61" t="s">
        <v>1627</v>
      </c>
      <c r="U77" s="12" t="s">
        <v>519</v>
      </c>
      <c r="V77" s="12"/>
      <c r="W77" s="12"/>
      <c r="X77" s="12"/>
      <c r="Y77" s="12" t="s">
        <v>1568</v>
      </c>
    </row>
    <row r="78" spans="1:25" ht="14.25" customHeight="1">
      <c r="A78" s="12">
        <v>77</v>
      </c>
      <c r="B78" s="12" t="s">
        <v>844</v>
      </c>
      <c r="C78" s="13" t="s">
        <v>1558</v>
      </c>
      <c r="D78" s="13" t="str">
        <f t="array" ref="D78">IFERROR(INDEX('CoQ Register'!$B:$B,MATCH("P060442|I",'CoQ Register'!$S:$S,0)),"—")</f>
        <v>CoQ-PP_26-076</v>
      </c>
      <c r="E78" s="12" t="s">
        <v>850</v>
      </c>
      <c r="F78" s="12" t="s">
        <v>1477</v>
      </c>
      <c r="G78" s="12" t="s">
        <v>1631</v>
      </c>
      <c r="H78" s="12" t="s">
        <v>1632</v>
      </c>
      <c r="I78" s="12" t="s">
        <v>1633</v>
      </c>
      <c r="J78" s="45">
        <f t="array" ref="J78">IFERROR(INDEX('CoQ Register'!$D:$D,MATCH("P060442|I",'CoQ Register'!$S:$S,0)),"")</f>
        <v>46216</v>
      </c>
      <c r="K78" s="13" t="s">
        <v>600</v>
      </c>
      <c r="L78" s="12" t="s">
        <v>602</v>
      </c>
      <c r="M78" s="12" t="s">
        <v>315</v>
      </c>
      <c r="N78" s="12" t="s">
        <v>1634</v>
      </c>
      <c r="O78" s="12" t="s">
        <v>1635</v>
      </c>
      <c r="P78" s="12" t="s">
        <v>1632</v>
      </c>
      <c r="Q78" s="12" t="s">
        <v>1566</v>
      </c>
      <c r="R78" s="61" t="s">
        <v>1638</v>
      </c>
      <c r="S78" s="61" t="s">
        <v>1638</v>
      </c>
      <c r="T78" s="61" t="s">
        <v>1638</v>
      </c>
      <c r="U78" s="12" t="s">
        <v>1335</v>
      </c>
      <c r="V78" s="12"/>
      <c r="W78" s="12"/>
      <c r="X78" s="12"/>
      <c r="Y78" s="12" t="s">
        <v>1568</v>
      </c>
    </row>
    <row r="79" spans="1:25" ht="14.25" customHeight="1">
      <c r="A79" s="12">
        <v>78</v>
      </c>
      <c r="B79" s="12" t="s">
        <v>844</v>
      </c>
      <c r="C79" s="13" t="s">
        <v>1558</v>
      </c>
      <c r="D79" s="13" t="str">
        <f t="array" ref="D79">IFERROR(INDEX('CoQ Register'!$B:$B,MATCH("P060452|I",'CoQ Register'!$S:$S,0)),"—")</f>
        <v>CoQ-PP_26-077</v>
      </c>
      <c r="E79" s="12" t="s">
        <v>850</v>
      </c>
      <c r="F79" s="12" t="s">
        <v>1477</v>
      </c>
      <c r="G79" s="12" t="s">
        <v>1641</v>
      </c>
      <c r="H79" s="12" t="s">
        <v>1642</v>
      </c>
      <c r="I79" s="12" t="s">
        <v>1631</v>
      </c>
      <c r="J79" s="45">
        <f t="array" ref="J79">IFERROR(INDEX('CoQ Register'!$D:$D,MATCH("P060452|I",'CoQ Register'!$S:$S,0)),"")</f>
        <v>46231</v>
      </c>
      <c r="K79" s="13" t="s">
        <v>213</v>
      </c>
      <c r="L79" s="12" t="s">
        <v>214</v>
      </c>
      <c r="M79" s="12" t="s">
        <v>1644</v>
      </c>
      <c r="N79" s="12" t="s">
        <v>1645</v>
      </c>
      <c r="O79" s="12" t="s">
        <v>1646</v>
      </c>
      <c r="P79" s="12" t="s">
        <v>1642</v>
      </c>
      <c r="Q79" s="12" t="s">
        <v>1566</v>
      </c>
      <c r="R79" s="61" t="s">
        <v>1647</v>
      </c>
      <c r="S79" s="61" t="s">
        <v>1647</v>
      </c>
      <c r="T79" s="61" t="s">
        <v>1647</v>
      </c>
      <c r="U79" s="12" t="s">
        <v>581</v>
      </c>
      <c r="V79" s="12"/>
      <c r="W79" s="12"/>
      <c r="X79" s="12"/>
      <c r="Y79" s="12" t="s">
        <v>1568</v>
      </c>
    </row>
    <row r="80" spans="1:25" ht="14.25" customHeight="1">
      <c r="A80" s="12">
        <v>79</v>
      </c>
      <c r="B80" s="12" t="s">
        <v>844</v>
      </c>
      <c r="C80" s="13" t="s">
        <v>1558</v>
      </c>
      <c r="D80" s="13" t="str">
        <f t="array" ref="D80">IFERROR(INDEX('CoQ Register'!$B:$B,MATCH("P060462|I",'CoQ Register'!$S:$S,0)),"—")</f>
        <v>CoQ-PP_26-078</v>
      </c>
      <c r="E80" s="12" t="s">
        <v>850</v>
      </c>
      <c r="F80" s="12" t="s">
        <v>1477</v>
      </c>
      <c r="G80" s="12" t="s">
        <v>1641</v>
      </c>
      <c r="H80" s="12" t="s">
        <v>1650</v>
      </c>
      <c r="I80" s="12" t="s">
        <v>1641</v>
      </c>
      <c r="J80" s="45">
        <f t="array" ref="J80">IFERROR(INDEX('CoQ Register'!$D:$D,MATCH("P060462|I",'CoQ Register'!$S:$S,0)),"")</f>
        <v>46231</v>
      </c>
      <c r="K80" s="13" t="s">
        <v>257</v>
      </c>
      <c r="L80" s="12" t="s">
        <v>258</v>
      </c>
      <c r="M80" s="12" t="s">
        <v>1592</v>
      </c>
      <c r="N80" s="12" t="s">
        <v>1652</v>
      </c>
      <c r="O80" s="12" t="s">
        <v>1653</v>
      </c>
      <c r="P80" s="12" t="s">
        <v>1650</v>
      </c>
      <c r="Q80" s="12" t="s">
        <v>1566</v>
      </c>
      <c r="R80" s="61" t="s">
        <v>1654</v>
      </c>
      <c r="S80" s="61" t="s">
        <v>1654</v>
      </c>
      <c r="T80" s="61" t="s">
        <v>1654</v>
      </c>
      <c r="U80" s="12" t="s">
        <v>626</v>
      </c>
      <c r="V80" s="12"/>
      <c r="W80" s="12"/>
      <c r="X80" s="12"/>
      <c r="Y80" s="12" t="s">
        <v>1568</v>
      </c>
    </row>
    <row r="81" spans="1:25" ht="14.25" customHeight="1">
      <c r="A81" s="12">
        <v>80</v>
      </c>
      <c r="B81" s="12" t="s">
        <v>844</v>
      </c>
      <c r="C81" s="13" t="s">
        <v>1558</v>
      </c>
      <c r="D81" s="13" t="str">
        <f t="array" ref="D81">IFERROR(INDEX('CoQ Register'!$B:$B,MATCH("P060482|I",'CoQ Register'!$S:$S,0)),"—")</f>
        <v>CoQ-PP_26-079</v>
      </c>
      <c r="E81" s="12" t="s">
        <v>850</v>
      </c>
      <c r="F81" s="12" t="s">
        <v>1477</v>
      </c>
      <c r="G81" s="12" t="s">
        <v>1561</v>
      </c>
      <c r="H81" s="12" t="s">
        <v>1659</v>
      </c>
      <c r="I81" s="12" t="s">
        <v>1660</v>
      </c>
      <c r="J81" s="45">
        <f t="array" ref="J81">IFERROR(INDEX('CoQ Register'!$D:$D,MATCH("P060482|I",'CoQ Register'!$S:$S,0)),"")</f>
        <v>46239</v>
      </c>
      <c r="K81" s="13" t="s">
        <v>344</v>
      </c>
      <c r="L81" s="12" t="s">
        <v>345</v>
      </c>
      <c r="M81" s="12" t="s">
        <v>346</v>
      </c>
      <c r="N81" s="12" t="s">
        <v>1485</v>
      </c>
      <c r="O81" s="12" t="s">
        <v>1662</v>
      </c>
      <c r="P81" s="12" t="s">
        <v>1659</v>
      </c>
      <c r="Q81" s="12" t="s">
        <v>1566</v>
      </c>
      <c r="R81" s="61" t="s">
        <v>1664</v>
      </c>
      <c r="S81" s="61" t="s">
        <v>1664</v>
      </c>
      <c r="T81" s="61" t="s">
        <v>1664</v>
      </c>
      <c r="U81" s="12" t="s">
        <v>940</v>
      </c>
      <c r="V81" s="12"/>
      <c r="W81" s="12"/>
      <c r="X81" s="12"/>
      <c r="Y81" s="12" t="s">
        <v>1568</v>
      </c>
    </row>
    <row r="82" spans="1:25" ht="14.25" customHeight="1">
      <c r="A82" s="12">
        <v>81</v>
      </c>
      <c r="B82" s="12" t="s">
        <v>844</v>
      </c>
      <c r="C82" s="13" t="s">
        <v>1558</v>
      </c>
      <c r="D82" s="13" t="str">
        <f t="array" ref="D82">IFERROR(INDEX('CoQ Register'!$B:$B,MATCH("P160012|I",'CoQ Register'!$S:$S,0)),"—")</f>
        <v>— at issue —</v>
      </c>
      <c r="E82" s="12" t="s">
        <v>86</v>
      </c>
      <c r="F82" s="12" t="s">
        <v>86</v>
      </c>
      <c r="G82" s="12"/>
      <c r="H82" s="12" t="s">
        <v>1435</v>
      </c>
      <c r="I82" s="12" t="s">
        <v>1436</v>
      </c>
      <c r="J82" s="45" t="str">
        <f t="array" ref="J82">IFERROR(INDEX('CoQ Register'!$D:$D,MATCH("P160012|I",'CoQ Register'!$S:$S,0)),"")</f>
        <v/>
      </c>
      <c r="K82" s="13" t="s">
        <v>639</v>
      </c>
      <c r="L82" s="12" t="s">
        <v>640</v>
      </c>
      <c r="M82" s="12"/>
      <c r="N82" s="28" t="s">
        <v>1438</v>
      </c>
      <c r="O82" s="28" t="s">
        <v>1438</v>
      </c>
      <c r="P82" s="28" t="s">
        <v>1436</v>
      </c>
      <c r="Q82" s="12" t="s">
        <v>1566</v>
      </c>
      <c r="R82" s="61" t="s">
        <v>1671</v>
      </c>
      <c r="S82" s="61" t="s">
        <v>1671</v>
      </c>
      <c r="T82" s="61" t="s">
        <v>1671</v>
      </c>
      <c r="U82" s="12" t="s">
        <v>1264</v>
      </c>
      <c r="V82" s="12"/>
      <c r="W82" s="12"/>
      <c r="X82" s="12"/>
      <c r="Y82" s="12" t="s">
        <v>1568</v>
      </c>
    </row>
    <row r="83" spans="1:25" ht="14.25" customHeight="1">
      <c r="A83" s="12">
        <v>82</v>
      </c>
      <c r="B83" s="12" t="s">
        <v>844</v>
      </c>
      <c r="C83" s="13" t="s">
        <v>1558</v>
      </c>
      <c r="D83" s="13" t="str">
        <f t="array" ref="D83">IFERROR(INDEX('CoQ Register'!$B:$B,MATCH("P160022|I",'CoQ Register'!$S:$S,0)),"—")</f>
        <v>— at issue —</v>
      </c>
      <c r="E83" s="12" t="s">
        <v>86</v>
      </c>
      <c r="F83" s="12" t="s">
        <v>86</v>
      </c>
      <c r="G83" s="12"/>
      <c r="H83" s="12" t="s">
        <v>1435</v>
      </c>
      <c r="I83" s="12" t="s">
        <v>1436</v>
      </c>
      <c r="J83" s="45" t="str">
        <f t="array" ref="J83">IFERROR(INDEX('CoQ Register'!$D:$D,MATCH("P160022|I",'CoQ Register'!$S:$S,0)),"")</f>
        <v/>
      </c>
      <c r="K83" s="13" t="s">
        <v>639</v>
      </c>
      <c r="L83" s="12" t="s">
        <v>641</v>
      </c>
      <c r="M83" s="12"/>
      <c r="N83" s="28" t="s">
        <v>1438</v>
      </c>
      <c r="O83" s="28" t="s">
        <v>1438</v>
      </c>
      <c r="P83" s="28" t="s">
        <v>1436</v>
      </c>
      <c r="Q83" s="12" t="s">
        <v>1566</v>
      </c>
      <c r="R83" s="61" t="s">
        <v>1674</v>
      </c>
      <c r="S83" s="61" t="s">
        <v>1674</v>
      </c>
      <c r="T83" s="61" t="s">
        <v>1674</v>
      </c>
      <c r="U83" s="12" t="s">
        <v>1279</v>
      </c>
      <c r="V83" s="12"/>
      <c r="W83" s="12"/>
      <c r="X83" s="12"/>
      <c r="Y83" s="12" t="s">
        <v>1568</v>
      </c>
    </row>
    <row r="84" spans="1:25" ht="14.25" customHeight="1">
      <c r="A84" s="12">
        <v>83</v>
      </c>
      <c r="B84" s="12" t="s">
        <v>844</v>
      </c>
      <c r="C84" s="13" t="s">
        <v>1558</v>
      </c>
      <c r="D84" s="13" t="str">
        <f t="array" ref="D84">IFERROR(INDEX('CoQ Register'!$B:$B,MATCH("P160032|I",'CoQ Register'!$S:$S,0)),"—")</f>
        <v>— at issue —</v>
      </c>
      <c r="E84" s="12" t="s">
        <v>86</v>
      </c>
      <c r="F84" s="12" t="s">
        <v>86</v>
      </c>
      <c r="G84" s="12"/>
      <c r="H84" s="12" t="s">
        <v>1435</v>
      </c>
      <c r="I84" s="12" t="s">
        <v>1436</v>
      </c>
      <c r="J84" s="45" t="str">
        <f t="array" ref="J84">IFERROR(INDEX('CoQ Register'!$D:$D,MATCH("P160032|I",'CoQ Register'!$S:$S,0)),"")</f>
        <v/>
      </c>
      <c r="K84" s="13" t="s">
        <v>639</v>
      </c>
      <c r="L84" s="12" t="s">
        <v>646</v>
      </c>
      <c r="M84" s="12"/>
      <c r="N84" s="28" t="s">
        <v>1438</v>
      </c>
      <c r="O84" s="28" t="s">
        <v>1438</v>
      </c>
      <c r="P84" s="28" t="s">
        <v>1436</v>
      </c>
      <c r="Q84" s="12" t="s">
        <v>1566</v>
      </c>
      <c r="R84" s="61" t="s">
        <v>1679</v>
      </c>
      <c r="S84" s="61" t="s">
        <v>1679</v>
      </c>
      <c r="T84" s="61" t="s">
        <v>1679</v>
      </c>
      <c r="U84" s="12" t="s">
        <v>1291</v>
      </c>
      <c r="V84" s="12"/>
      <c r="W84" s="12"/>
      <c r="X84" s="12"/>
      <c r="Y84" s="12" t="s">
        <v>1568</v>
      </c>
    </row>
    <row r="85" spans="1:25" ht="14.25" customHeight="1">
      <c r="A85" s="12">
        <v>84</v>
      </c>
      <c r="B85" s="12" t="s">
        <v>1680</v>
      </c>
      <c r="C85" s="13" t="str">
        <f t="array" ref="C85">IFERROR(INDEX('iCoA Register'!$B:$B,MATCH("CJ1024|R",'iCoA Register'!$P:$P,0)),"— at issue —")</f>
        <v>— at issue —</v>
      </c>
      <c r="D85" s="13" t="str">
        <f t="array" ref="D85">IFERROR(INDEX('CoQ Register'!$B:$B,MATCH("CJ1024|R",'CoQ Register'!$S:$S,0)),"—")</f>
        <v>— at issue —</v>
      </c>
      <c r="E85" s="12" t="s">
        <v>1684</v>
      </c>
      <c r="F85" s="12" t="s">
        <v>851</v>
      </c>
      <c r="G85" s="12" t="s">
        <v>1685</v>
      </c>
      <c r="H85" s="12" t="s">
        <v>1686</v>
      </c>
      <c r="I85" s="12" t="s">
        <v>1687</v>
      </c>
      <c r="J85" s="45" t="str">
        <f t="array" ref="J85">IFERROR(INDEX('CoQ Register'!$D:$D,MATCH("CJ1024|R",'CoQ Register'!$S:$S,0)),"")</f>
        <v/>
      </c>
      <c r="K85" s="13" t="s">
        <v>173</v>
      </c>
      <c r="L85" s="12" t="s">
        <v>425</v>
      </c>
      <c r="M85" s="12" t="s">
        <v>75</v>
      </c>
      <c r="N85" s="12" t="s">
        <v>854</v>
      </c>
      <c r="O85" s="12" t="s">
        <v>855</v>
      </c>
      <c r="P85" s="12" t="s">
        <v>853</v>
      </c>
      <c r="Q85" s="12" t="s">
        <v>856</v>
      </c>
      <c r="R85" s="12" t="s">
        <v>1689</v>
      </c>
      <c r="S85" s="12" t="s">
        <v>1689</v>
      </c>
      <c r="T85" s="12" t="s">
        <v>1689</v>
      </c>
      <c r="U85" s="28" t="s">
        <v>1691</v>
      </c>
      <c r="V85" s="28" t="s">
        <v>1692</v>
      </c>
      <c r="W85" s="28" t="s">
        <v>1692</v>
      </c>
      <c r="X85" s="12" t="s">
        <v>1693</v>
      </c>
      <c r="Y85" s="12" t="s">
        <v>1694</v>
      </c>
    </row>
    <row r="86" spans="1:25" ht="14.25" customHeight="1">
      <c r="A86" s="12">
        <v>85</v>
      </c>
      <c r="B86" s="12" t="s">
        <v>1695</v>
      </c>
      <c r="C86" s="13" t="str">
        <f t="array" ref="C86">IFERROR(INDEX('iCoA Register'!$B:$B,MATCH("BSS1024|R",'iCoA Register'!$P:$P,0)),"— at issue —")</f>
        <v>— at issue —</v>
      </c>
      <c r="D86" s="13" t="str">
        <f t="array" ref="D86">IFERROR(INDEX('CoQ Register'!$B:$B,MATCH("BSS1024|R",'CoQ Register'!$S:$S,0)),"—")</f>
        <v>— at issue —</v>
      </c>
      <c r="E86" s="12" t="s">
        <v>1698</v>
      </c>
      <c r="F86" s="12" t="s">
        <v>851</v>
      </c>
      <c r="G86" s="12" t="s">
        <v>1374</v>
      </c>
      <c r="H86" s="12" t="s">
        <v>1686</v>
      </c>
      <c r="I86" s="12" t="s">
        <v>1699</v>
      </c>
      <c r="J86" s="45" t="str">
        <f t="array" ref="J86">IFERROR(INDEX('CoQ Register'!$D:$D,MATCH("BSS1024|R",'CoQ Register'!$S:$S,0)),"")</f>
        <v/>
      </c>
      <c r="K86" s="13" t="s">
        <v>125</v>
      </c>
      <c r="L86" s="12" t="s">
        <v>425</v>
      </c>
      <c r="M86" s="12" t="s">
        <v>129</v>
      </c>
      <c r="N86" s="12" t="s">
        <v>871</v>
      </c>
      <c r="O86" s="12" t="s">
        <v>864</v>
      </c>
      <c r="P86" s="12" t="s">
        <v>864</v>
      </c>
      <c r="Q86" s="12" t="s">
        <v>856</v>
      </c>
      <c r="R86" s="12" t="s">
        <v>1689</v>
      </c>
      <c r="S86" s="12" t="s">
        <v>1689</v>
      </c>
      <c r="T86" s="12" t="s">
        <v>1689</v>
      </c>
      <c r="U86" s="12" t="s">
        <v>505</v>
      </c>
      <c r="V86" s="12" t="s">
        <v>505</v>
      </c>
      <c r="W86" s="12" t="s">
        <v>510</v>
      </c>
      <c r="X86" s="12" t="s">
        <v>1693</v>
      </c>
      <c r="Y86" s="24" t="s">
        <v>1703</v>
      </c>
    </row>
    <row r="87" spans="1:25" ht="14.25" customHeight="1">
      <c r="A87" s="12">
        <v>86</v>
      </c>
      <c r="B87" s="12" t="s">
        <v>1695</v>
      </c>
      <c r="C87" s="13" t="str">
        <f t="array" ref="C87">IFERROR(INDEX('iCoA Register'!$B:$B,MATCH("BG1024|R",'iCoA Register'!$P:$P,0)),"— at issue —")</f>
        <v>— at issue —</v>
      </c>
      <c r="D87" s="13" t="str">
        <f t="array" ref="D87">IFERROR(INDEX('CoQ Register'!$B:$B,MATCH("BG1024|R",'CoQ Register'!$S:$S,0)),"—")</f>
        <v>— at issue —</v>
      </c>
      <c r="E87" s="12" t="s">
        <v>1706</v>
      </c>
      <c r="F87" s="12" t="s">
        <v>851</v>
      </c>
      <c r="G87" s="12" t="s">
        <v>1707</v>
      </c>
      <c r="H87" s="12" t="s">
        <v>1686</v>
      </c>
      <c r="I87" s="12" t="s">
        <v>1699</v>
      </c>
      <c r="J87" s="45" t="str">
        <f t="array" ref="J87">IFERROR(INDEX('CoQ Register'!$D:$D,MATCH("BG1024|R",'CoQ Register'!$S:$S,0)),"")</f>
        <v/>
      </c>
      <c r="K87" s="13" t="s">
        <v>71</v>
      </c>
      <c r="L87" s="12" t="s">
        <v>425</v>
      </c>
      <c r="M87" s="12" t="s">
        <v>73</v>
      </c>
      <c r="N87" s="12" t="s">
        <v>879</v>
      </c>
      <c r="O87" s="12" t="s">
        <v>876</v>
      </c>
      <c r="P87" s="12" t="s">
        <v>876</v>
      </c>
      <c r="Q87" s="12" t="s">
        <v>856</v>
      </c>
      <c r="R87" s="12" t="s">
        <v>1689</v>
      </c>
      <c r="S87" s="12" t="s">
        <v>1689</v>
      </c>
      <c r="T87" s="12" t="s">
        <v>1689</v>
      </c>
      <c r="U87" s="12" t="s">
        <v>464</v>
      </c>
      <c r="V87" s="12" t="s">
        <v>464</v>
      </c>
      <c r="W87" s="12" t="s">
        <v>480</v>
      </c>
      <c r="X87" s="12" t="s">
        <v>1693</v>
      </c>
      <c r="Y87" s="24" t="s">
        <v>1703</v>
      </c>
    </row>
    <row r="88" spans="1:25" ht="14.25" customHeight="1">
      <c r="A88" s="12">
        <v>87</v>
      </c>
      <c r="B88" s="12" t="s">
        <v>1714</v>
      </c>
      <c r="C88" s="13" t="str">
        <f t="array" ref="C88">IFERROR(INDEX('iCoA Register'!$B:$B,MATCH("GG1024|R",'iCoA Register'!$P:$P,0)),"— at issue —")</f>
        <v>— at issue —</v>
      </c>
      <c r="D88" s="13" t="str">
        <f t="array" ref="D88">IFERROR(INDEX('CoQ Register'!$B:$B,MATCH("GG1024|R",'CoQ Register'!$S:$S,0)),"—")</f>
        <v>— at issue —</v>
      </c>
      <c r="E88" s="12" t="s">
        <v>1718</v>
      </c>
      <c r="F88" s="12" t="s">
        <v>851</v>
      </c>
      <c r="G88" s="12" t="s">
        <v>1466</v>
      </c>
      <c r="H88" s="12" t="s">
        <v>1686</v>
      </c>
      <c r="I88" s="12" t="s">
        <v>1719</v>
      </c>
      <c r="J88" s="45" t="str">
        <f t="array" ref="J88">IFERROR(INDEX('CoQ Register'!$D:$D,MATCH("GG1024|R",'CoQ Register'!$S:$S,0)),"")</f>
        <v/>
      </c>
      <c r="K88" s="13" t="s">
        <v>265</v>
      </c>
      <c r="L88" s="12" t="s">
        <v>425</v>
      </c>
      <c r="M88" s="12" t="s">
        <v>234</v>
      </c>
      <c r="N88" s="12" t="s">
        <v>854</v>
      </c>
      <c r="O88" s="12" t="s">
        <v>884</v>
      </c>
      <c r="P88" s="12" t="s">
        <v>884</v>
      </c>
      <c r="Q88" s="12" t="s">
        <v>856</v>
      </c>
      <c r="R88" s="12" t="s">
        <v>1689</v>
      </c>
      <c r="S88" s="12" t="s">
        <v>1689</v>
      </c>
      <c r="T88" s="12" t="s">
        <v>1689</v>
      </c>
      <c r="U88" s="28" t="s">
        <v>1691</v>
      </c>
      <c r="V88" s="28" t="s">
        <v>1692</v>
      </c>
      <c r="W88" s="28" t="s">
        <v>1692</v>
      </c>
      <c r="X88" s="12" t="s">
        <v>1693</v>
      </c>
      <c r="Y88" s="28" t="s">
        <v>1720</v>
      </c>
    </row>
    <row r="89" spans="1:25" ht="14.25" customHeight="1">
      <c r="A89" s="12">
        <v>88</v>
      </c>
      <c r="B89" s="12" t="s">
        <v>1695</v>
      </c>
      <c r="C89" s="13" t="str">
        <f t="array" ref="C89">IFERROR(INDEX('iCoA Register'!$B:$B,MATCH("HPA1024|R",'iCoA Register'!$P:$P,0)),"— at issue —")</f>
        <v>— at issue —</v>
      </c>
      <c r="D89" s="13" t="str">
        <f t="array" ref="D89">IFERROR(INDEX('CoQ Register'!$B:$B,MATCH("HPA1024|R",'CoQ Register'!$S:$S,0)),"—")</f>
        <v>— at issue —</v>
      </c>
      <c r="E89" s="12" t="s">
        <v>1723</v>
      </c>
      <c r="F89" s="12" t="s">
        <v>851</v>
      </c>
      <c r="G89" s="12" t="s">
        <v>1724</v>
      </c>
      <c r="H89" s="12" t="s">
        <v>1686</v>
      </c>
      <c r="I89" s="12" t="s">
        <v>1699</v>
      </c>
      <c r="J89" s="45" t="str">
        <f t="array" ref="J89">IFERROR(INDEX('CoQ Register'!$D:$D,MATCH("HPA1024|R",'CoQ Register'!$S:$S,0)),"")</f>
        <v/>
      </c>
      <c r="K89" s="13" t="s">
        <v>260</v>
      </c>
      <c r="L89" s="12" t="s">
        <v>425</v>
      </c>
      <c r="M89" s="12" t="s">
        <v>900</v>
      </c>
      <c r="N89" s="12" t="s">
        <v>871</v>
      </c>
      <c r="O89" s="12" t="s">
        <v>896</v>
      </c>
      <c r="P89" s="12" t="s">
        <v>896</v>
      </c>
      <c r="Q89" s="12" t="s">
        <v>856</v>
      </c>
      <c r="R89" s="12" t="s">
        <v>1689</v>
      </c>
      <c r="S89" s="12" t="s">
        <v>1689</v>
      </c>
      <c r="T89" s="12" t="s">
        <v>1689</v>
      </c>
      <c r="U89" s="12" t="s">
        <v>860</v>
      </c>
      <c r="V89" s="12" t="s">
        <v>860</v>
      </c>
      <c r="W89" s="12" t="s">
        <v>718</v>
      </c>
      <c r="X89" s="12" t="s">
        <v>1693</v>
      </c>
      <c r="Y89" s="24" t="s">
        <v>1703</v>
      </c>
    </row>
    <row r="90" spans="1:25" ht="14.25" customHeight="1">
      <c r="A90" s="12">
        <v>89</v>
      </c>
      <c r="B90" s="12" t="s">
        <v>1680</v>
      </c>
      <c r="C90" s="13" t="str">
        <f t="array" ref="C90">IFERROR(INDEX('iCoA Register'!$B:$B,MATCH("P050102|R",'iCoA Register'!$P:$P,0)),"— at issue —")</f>
        <v>— at issue —</v>
      </c>
      <c r="D90" s="13" t="str">
        <f t="array" ref="D90">IFERROR(INDEX('CoQ Register'!$B:$B,MATCH("P050102|R",'CoQ Register'!$S:$S,0)),"—")</f>
        <v>— at issue —</v>
      </c>
      <c r="E90" s="12" t="s">
        <v>1684</v>
      </c>
      <c r="F90" s="12" t="s">
        <v>851</v>
      </c>
      <c r="G90" s="12" t="s">
        <v>1422</v>
      </c>
      <c r="H90" s="12" t="s">
        <v>1686</v>
      </c>
      <c r="I90" s="12" t="s">
        <v>1687</v>
      </c>
      <c r="J90" s="45" t="str">
        <f t="array" ref="J90">IFERROR(INDEX('CoQ Register'!$D:$D,MATCH("P050102|R",'CoQ Register'!$S:$S,0)),"")</f>
        <v/>
      </c>
      <c r="K90" s="13" t="s">
        <v>289</v>
      </c>
      <c r="L90" s="12" t="s">
        <v>288</v>
      </c>
      <c r="M90" s="12" t="s">
        <v>178</v>
      </c>
      <c r="N90" s="12" t="s">
        <v>1034</v>
      </c>
      <c r="O90" s="12" t="s">
        <v>1035</v>
      </c>
      <c r="P90" s="12" t="s">
        <v>1036</v>
      </c>
      <c r="Q90" s="12" t="s">
        <v>856</v>
      </c>
      <c r="R90" s="12" t="s">
        <v>1689</v>
      </c>
      <c r="S90" s="12" t="s">
        <v>1689</v>
      </c>
      <c r="T90" s="12" t="s">
        <v>1689</v>
      </c>
      <c r="U90" s="28" t="s">
        <v>1691</v>
      </c>
      <c r="V90" s="28" t="s">
        <v>1692</v>
      </c>
      <c r="W90" s="28" t="s">
        <v>1692</v>
      </c>
      <c r="X90" s="12" t="s">
        <v>1693</v>
      </c>
      <c r="Y90" s="12" t="s">
        <v>1694</v>
      </c>
    </row>
    <row r="91" spans="1:25" ht="14.25" customHeight="1">
      <c r="A91" s="12">
        <v>90</v>
      </c>
      <c r="B91" s="12" t="s">
        <v>1695</v>
      </c>
      <c r="C91" s="13" t="str">
        <f t="array" ref="C91">IFERROR(INDEX('iCoA Register'!$B:$B,MATCH("OPM1024|R",'iCoA Register'!$P:$P,0)),"— at issue —")</f>
        <v>— at issue —</v>
      </c>
      <c r="D91" s="13" t="str">
        <f t="array" ref="D91">IFERROR(INDEX('CoQ Register'!$B:$B,MATCH("OPM1024|R",'CoQ Register'!$S:$S,0)),"—")</f>
        <v>— at issue —</v>
      </c>
      <c r="E91" s="12" t="s">
        <v>1735</v>
      </c>
      <c r="F91" s="12" t="s">
        <v>851</v>
      </c>
      <c r="G91" s="12" t="s">
        <v>1443</v>
      </c>
      <c r="H91" s="12" t="s">
        <v>1686</v>
      </c>
      <c r="I91" s="12" t="s">
        <v>1699</v>
      </c>
      <c r="J91" s="45" t="str">
        <f t="array" ref="J91">IFERROR(INDEX('CoQ Register'!$D:$D,MATCH("OPM1024|R",'CoQ Register'!$S:$S,0)),"")</f>
        <v/>
      </c>
      <c r="K91" s="13" t="s">
        <v>291</v>
      </c>
      <c r="L91" s="12" t="s">
        <v>425</v>
      </c>
      <c r="M91" s="12" t="s">
        <v>910</v>
      </c>
      <c r="N91" s="12" t="s">
        <v>879</v>
      </c>
      <c r="O91" s="12" t="s">
        <v>911</v>
      </c>
      <c r="P91" s="12" t="s">
        <v>912</v>
      </c>
      <c r="Q91" s="12" t="s">
        <v>856</v>
      </c>
      <c r="R91" s="12" t="s">
        <v>1689</v>
      </c>
      <c r="S91" s="12" t="s">
        <v>1689</v>
      </c>
      <c r="T91" s="12" t="s">
        <v>1689</v>
      </c>
      <c r="U91" s="12" t="s">
        <v>1217</v>
      </c>
      <c r="V91" s="12" t="s">
        <v>1217</v>
      </c>
      <c r="W91" s="12" t="s">
        <v>1067</v>
      </c>
      <c r="X91" s="12" t="s">
        <v>1693</v>
      </c>
      <c r="Y91" s="24" t="s">
        <v>1703</v>
      </c>
    </row>
    <row r="92" spans="1:25" ht="14.25" customHeight="1">
      <c r="A92" s="12">
        <v>91</v>
      </c>
      <c r="B92" s="12" t="s">
        <v>1680</v>
      </c>
      <c r="C92" s="13" t="str">
        <f t="array" ref="C92">IFERROR(INDEX('iCoA Register'!$B:$B,MATCH("P050032|R",'iCoA Register'!$P:$P,0)),"— at issue —")</f>
        <v>— at issue —</v>
      </c>
      <c r="D92" s="13" t="str">
        <f t="array" ref="D92">IFERROR(INDEX('CoQ Register'!$B:$B,MATCH("P050032|R",'CoQ Register'!$S:$S,0)),"—")</f>
        <v>— at issue —</v>
      </c>
      <c r="E92" s="12" t="s">
        <v>1684</v>
      </c>
      <c r="F92" s="12" t="s">
        <v>851</v>
      </c>
      <c r="G92" s="12" t="s">
        <v>1744</v>
      </c>
      <c r="H92" s="12" t="s">
        <v>1686</v>
      </c>
      <c r="I92" s="12" t="s">
        <v>1687</v>
      </c>
      <c r="J92" s="45" t="str">
        <f t="array" ref="J92">IFERROR(INDEX('CoQ Register'!$D:$D,MATCH("P050032|R",'CoQ Register'!$S:$S,0)),"")</f>
        <v/>
      </c>
      <c r="K92" s="13" t="s">
        <v>309</v>
      </c>
      <c r="L92" s="12" t="s">
        <v>306</v>
      </c>
      <c r="M92" s="12" t="s">
        <v>222</v>
      </c>
      <c r="N92" s="12" t="s">
        <v>944</v>
      </c>
      <c r="O92" s="12" t="s">
        <v>945</v>
      </c>
      <c r="P92" s="12" t="s">
        <v>946</v>
      </c>
      <c r="Q92" s="12" t="s">
        <v>856</v>
      </c>
      <c r="R92" s="12" t="s">
        <v>1689</v>
      </c>
      <c r="S92" s="12" t="s">
        <v>1689</v>
      </c>
      <c r="T92" s="12" t="s">
        <v>1689</v>
      </c>
      <c r="U92" s="28" t="s">
        <v>1691</v>
      </c>
      <c r="V92" s="28" t="s">
        <v>1692</v>
      </c>
      <c r="W92" s="28" t="s">
        <v>1692</v>
      </c>
      <c r="X92" s="12" t="s">
        <v>1693</v>
      </c>
      <c r="Y92" s="12" t="s">
        <v>1694</v>
      </c>
    </row>
    <row r="93" spans="1:25" ht="14.25" customHeight="1">
      <c r="A93" s="12">
        <v>92</v>
      </c>
      <c r="B93" s="12" t="s">
        <v>1680</v>
      </c>
      <c r="C93" s="13" t="str">
        <f t="array" ref="C93">IFERROR(INDEX('iCoA Register'!$B:$B,MATCH("P050012|R",'iCoA Register'!$P:$P,0)),"— at issue —")</f>
        <v>— at issue —</v>
      </c>
      <c r="D93" s="13" t="str">
        <f t="array" ref="D93">IFERROR(INDEX('CoQ Register'!$B:$B,MATCH("P050012|R",'CoQ Register'!$S:$S,0)),"—")</f>
        <v>— at issue —</v>
      </c>
      <c r="E93" s="12" t="s">
        <v>1684</v>
      </c>
      <c r="F93" s="12" t="s">
        <v>851</v>
      </c>
      <c r="G93" s="12" t="s">
        <v>1752</v>
      </c>
      <c r="H93" s="12" t="s">
        <v>1686</v>
      </c>
      <c r="I93" s="12" t="s">
        <v>1687</v>
      </c>
      <c r="J93" s="45" t="str">
        <f t="array" ref="J93">IFERROR(INDEX('CoQ Register'!$D:$D,MATCH("P050012|R",'CoQ Register'!$S:$S,0)),"")</f>
        <v/>
      </c>
      <c r="K93" s="13" t="s">
        <v>313</v>
      </c>
      <c r="L93" s="12" t="s">
        <v>312</v>
      </c>
      <c r="M93" s="12" t="s">
        <v>234</v>
      </c>
      <c r="N93" s="12" t="s">
        <v>933</v>
      </c>
      <c r="O93" s="12" t="s">
        <v>935</v>
      </c>
      <c r="P93" s="12" t="s">
        <v>936</v>
      </c>
      <c r="Q93" s="12" t="s">
        <v>856</v>
      </c>
      <c r="R93" s="12" t="s">
        <v>1689</v>
      </c>
      <c r="S93" s="12" t="s">
        <v>1689</v>
      </c>
      <c r="T93" s="12" t="s">
        <v>1689</v>
      </c>
      <c r="U93" s="28" t="s">
        <v>1691</v>
      </c>
      <c r="V93" s="28" t="s">
        <v>1692</v>
      </c>
      <c r="W93" s="28" t="s">
        <v>1692</v>
      </c>
      <c r="X93" s="12" t="s">
        <v>1693</v>
      </c>
      <c r="Y93" s="12" t="s">
        <v>1694</v>
      </c>
    </row>
    <row r="94" spans="1:25" ht="14.25" customHeight="1">
      <c r="A94" s="12">
        <v>93</v>
      </c>
      <c r="B94" s="12" t="s">
        <v>1695</v>
      </c>
      <c r="C94" s="13" t="str">
        <f t="array" ref="C94">IFERROR(INDEX('iCoA Register'!$B:$B,MATCH("P050022|R",'iCoA Register'!$P:$P,0)),"— at issue —")</f>
        <v>— at issue —</v>
      </c>
      <c r="D94" s="13" t="str">
        <f t="array" ref="D94">IFERROR(INDEX('CoQ Register'!$B:$B,MATCH("P050022|R",'CoQ Register'!$S:$S,0)),"—")</f>
        <v>— at issue —</v>
      </c>
      <c r="E94" s="12" t="s">
        <v>1759</v>
      </c>
      <c r="F94" s="12" t="s">
        <v>851</v>
      </c>
      <c r="G94" s="12" t="s">
        <v>1760</v>
      </c>
      <c r="H94" s="12" t="s">
        <v>1686</v>
      </c>
      <c r="I94" s="12" t="s">
        <v>1699</v>
      </c>
      <c r="J94" s="45" t="str">
        <f t="array" ref="J94">IFERROR(INDEX('CoQ Register'!$D:$D,MATCH("P050022|R",'CoQ Register'!$S:$S,0)),"")</f>
        <v/>
      </c>
      <c r="K94" s="13" t="s">
        <v>247</v>
      </c>
      <c r="L94" s="12" t="s">
        <v>250</v>
      </c>
      <c r="M94" s="12" t="s">
        <v>178</v>
      </c>
      <c r="N94" s="12" t="s">
        <v>920</v>
      </c>
      <c r="O94" s="12" t="s">
        <v>921</v>
      </c>
      <c r="P94" s="12" t="s">
        <v>922</v>
      </c>
      <c r="Q94" s="12" t="s">
        <v>856</v>
      </c>
      <c r="R94" s="12" t="s">
        <v>1689</v>
      </c>
      <c r="S94" s="12" t="s">
        <v>1689</v>
      </c>
      <c r="T94" s="12" t="s">
        <v>1689</v>
      </c>
      <c r="U94" s="12" t="s">
        <v>1397</v>
      </c>
      <c r="V94" s="12" t="s">
        <v>1397</v>
      </c>
      <c r="W94" s="12" t="s">
        <v>1373</v>
      </c>
      <c r="X94" s="12" t="s">
        <v>1693</v>
      </c>
      <c r="Y94" s="24" t="s">
        <v>1703</v>
      </c>
    </row>
    <row r="95" spans="1:25" ht="14.25" customHeight="1">
      <c r="A95" s="12">
        <v>94</v>
      </c>
      <c r="B95" s="12" t="s">
        <v>1714</v>
      </c>
      <c r="C95" s="13" t="str">
        <f t="array" ref="C95">IFERROR(INDEX('iCoA Register'!$B:$B,MATCH("P050042|R",'iCoA Register'!$P:$P,0)),"— at issue —")</f>
        <v>— at issue —</v>
      </c>
      <c r="D95" s="13" t="str">
        <f t="array" ref="D95">IFERROR(INDEX('CoQ Register'!$B:$B,MATCH("P050042|R",'CoQ Register'!$S:$S,0)),"—")</f>
        <v>— at issue —</v>
      </c>
      <c r="E95" s="12" t="s">
        <v>1764</v>
      </c>
      <c r="F95" s="12" t="s">
        <v>851</v>
      </c>
      <c r="G95" s="12" t="s">
        <v>1766</v>
      </c>
      <c r="H95" s="12" t="s">
        <v>1686</v>
      </c>
      <c r="I95" s="12" t="s">
        <v>1719</v>
      </c>
      <c r="J95" s="45" t="str">
        <f t="array" ref="J95">IFERROR(INDEX('CoQ Register'!$D:$D,MATCH("P050042|R",'CoQ Register'!$S:$S,0)),"")</f>
        <v/>
      </c>
      <c r="K95" s="13" t="s">
        <v>304</v>
      </c>
      <c r="L95" s="12" t="s">
        <v>302</v>
      </c>
      <c r="M95" s="12" t="s">
        <v>103</v>
      </c>
      <c r="N95" s="12" t="s">
        <v>953</v>
      </c>
      <c r="O95" s="12" t="s">
        <v>950</v>
      </c>
      <c r="P95" s="12" t="s">
        <v>950</v>
      </c>
      <c r="Q95" s="12" t="s">
        <v>856</v>
      </c>
      <c r="R95" s="12" t="s">
        <v>1689</v>
      </c>
      <c r="S95" s="12" t="s">
        <v>1689</v>
      </c>
      <c r="T95" s="12" t="s">
        <v>1689</v>
      </c>
      <c r="U95" s="28" t="s">
        <v>1691</v>
      </c>
      <c r="V95" s="28" t="s">
        <v>1692</v>
      </c>
      <c r="W95" s="28" t="s">
        <v>1692</v>
      </c>
      <c r="X95" s="12" t="s">
        <v>1693</v>
      </c>
      <c r="Y95" s="28" t="s">
        <v>1720</v>
      </c>
    </row>
    <row r="96" spans="1:25" ht="14.25" customHeight="1">
      <c r="A96" s="12">
        <v>95</v>
      </c>
      <c r="B96" s="12" t="s">
        <v>1695</v>
      </c>
      <c r="C96" s="13" t="str">
        <f t="array" ref="C96">IFERROR(INDEX('iCoA Register'!$B:$B,MATCH("P050052|R",'iCoA Register'!$P:$P,0)),"— at issue —")</f>
        <v>— at issue —</v>
      </c>
      <c r="D96" s="13" t="str">
        <f t="array" ref="D96">IFERROR(INDEX('CoQ Register'!$B:$B,MATCH("P050052|R",'CoQ Register'!$S:$S,0)),"—")</f>
        <v>— at issue —</v>
      </c>
      <c r="E96" s="12" t="s">
        <v>1776</v>
      </c>
      <c r="F96" s="12" t="s">
        <v>851</v>
      </c>
      <c r="G96" s="12" t="s">
        <v>1777</v>
      </c>
      <c r="H96" s="12" t="s">
        <v>1686</v>
      </c>
      <c r="I96" s="12" t="s">
        <v>1699</v>
      </c>
      <c r="J96" s="45" t="str">
        <f t="array" ref="J96">IFERROR(INDEX('CoQ Register'!$D:$D,MATCH("P050052|R",'CoQ Register'!$S:$S,0)),"")</f>
        <v/>
      </c>
      <c r="K96" s="13" t="s">
        <v>267</v>
      </c>
      <c r="L96" s="12" t="s">
        <v>269</v>
      </c>
      <c r="M96" s="12" t="s">
        <v>261</v>
      </c>
      <c r="N96" s="12" t="s">
        <v>965</v>
      </c>
      <c r="O96" s="12" t="s">
        <v>966</v>
      </c>
      <c r="P96" s="12" t="s">
        <v>967</v>
      </c>
      <c r="Q96" s="12" t="s">
        <v>856</v>
      </c>
      <c r="R96" s="12" t="s">
        <v>1689</v>
      </c>
      <c r="S96" s="12" t="s">
        <v>1689</v>
      </c>
      <c r="T96" s="12" t="s">
        <v>1689</v>
      </c>
      <c r="U96" s="12" t="s">
        <v>1467</v>
      </c>
      <c r="V96" s="12" t="s">
        <v>1467</v>
      </c>
      <c r="W96" s="12" t="s">
        <v>1475</v>
      </c>
      <c r="X96" s="12" t="s">
        <v>1693</v>
      </c>
      <c r="Y96" s="24" t="s">
        <v>1703</v>
      </c>
    </row>
    <row r="97" spans="1:25" ht="14.25" customHeight="1">
      <c r="A97" s="12">
        <v>96</v>
      </c>
      <c r="B97" s="12" t="s">
        <v>1695</v>
      </c>
      <c r="C97" s="13" t="str">
        <f t="array" ref="C97">IFERROR(INDEX('iCoA Register'!$B:$B,MATCH("P050062|R",'iCoA Register'!$P:$P,0)),"— at issue —")</f>
        <v>— at issue —</v>
      </c>
      <c r="D97" s="13" t="str">
        <f t="array" ref="D97">IFERROR(INDEX('CoQ Register'!$B:$B,MATCH("P050062|R",'CoQ Register'!$S:$S,0)),"—")</f>
        <v>— at issue —</v>
      </c>
      <c r="E97" s="12" t="s">
        <v>1782</v>
      </c>
      <c r="F97" s="12" t="s">
        <v>851</v>
      </c>
      <c r="G97" s="12" t="s">
        <v>1783</v>
      </c>
      <c r="H97" s="12" t="s">
        <v>1686</v>
      </c>
      <c r="I97" s="12" t="s">
        <v>1699</v>
      </c>
      <c r="J97" s="45" t="str">
        <f t="array" ref="J97">IFERROR(INDEX('CoQ Register'!$D:$D,MATCH("P050062|R",'CoQ Register'!$S:$S,0)),"")</f>
        <v/>
      </c>
      <c r="K97" s="13" t="s">
        <v>296</v>
      </c>
      <c r="L97" s="12" t="s">
        <v>295</v>
      </c>
      <c r="M97" s="12" t="s">
        <v>103</v>
      </c>
      <c r="N97" s="12" t="s">
        <v>978</v>
      </c>
      <c r="O97" s="12" t="s">
        <v>979</v>
      </c>
      <c r="P97" s="12" t="s">
        <v>981</v>
      </c>
      <c r="Q97" s="12" t="s">
        <v>856</v>
      </c>
      <c r="R97" s="12" t="s">
        <v>1689</v>
      </c>
      <c r="S97" s="12" t="s">
        <v>1689</v>
      </c>
      <c r="T97" s="12" t="s">
        <v>1689</v>
      </c>
      <c r="U97" s="12" t="s">
        <v>1503</v>
      </c>
      <c r="V97" s="12" t="s">
        <v>1503</v>
      </c>
      <c r="W97" s="12" t="s">
        <v>1514</v>
      </c>
      <c r="X97" s="12" t="s">
        <v>1693</v>
      </c>
      <c r="Y97" s="24" t="s">
        <v>1703</v>
      </c>
    </row>
    <row r="98" spans="1:25" ht="14.25" customHeight="1">
      <c r="A98" s="12">
        <v>97</v>
      </c>
      <c r="B98" s="12" t="s">
        <v>1714</v>
      </c>
      <c r="C98" s="13" t="str">
        <f t="array" ref="C98">IFERROR(INDEX('iCoA Register'!$B:$B,MATCH("P050072|R",'iCoA Register'!$P:$P,0)),"— at issue —")</f>
        <v>— at issue —</v>
      </c>
      <c r="D98" s="13" t="str">
        <f t="array" ref="D98">IFERROR(INDEX('CoQ Register'!$B:$B,MATCH("P050072|R",'CoQ Register'!$S:$S,0)),"—")</f>
        <v>— at issue —</v>
      </c>
      <c r="E98" s="12" t="s">
        <v>1795</v>
      </c>
      <c r="F98" s="12" t="s">
        <v>851</v>
      </c>
      <c r="G98" s="12" t="s">
        <v>1796</v>
      </c>
      <c r="H98" s="12" t="s">
        <v>1686</v>
      </c>
      <c r="I98" s="12" t="s">
        <v>1719</v>
      </c>
      <c r="J98" s="45" t="str">
        <f t="array" ref="J98">IFERROR(INDEX('CoQ Register'!$D:$D,MATCH("P050072|R",'CoQ Register'!$S:$S,0)),"")</f>
        <v/>
      </c>
      <c r="K98" s="13" t="s">
        <v>293</v>
      </c>
      <c r="L98" s="12" t="s">
        <v>292</v>
      </c>
      <c r="M98" s="12" t="s">
        <v>178</v>
      </c>
      <c r="N98" s="12" t="s">
        <v>997</v>
      </c>
      <c r="O98" s="12" t="s">
        <v>998</v>
      </c>
      <c r="P98" s="12" t="s">
        <v>999</v>
      </c>
      <c r="Q98" s="12" t="s">
        <v>856</v>
      </c>
      <c r="R98" s="12" t="s">
        <v>1689</v>
      </c>
      <c r="S98" s="12" t="s">
        <v>1689</v>
      </c>
      <c r="T98" s="12" t="s">
        <v>1689</v>
      </c>
      <c r="U98" s="28" t="s">
        <v>1691</v>
      </c>
      <c r="V98" s="28" t="s">
        <v>1692</v>
      </c>
      <c r="W98" s="28" t="s">
        <v>1692</v>
      </c>
      <c r="X98" s="12" t="s">
        <v>1693</v>
      </c>
      <c r="Y98" s="28" t="s">
        <v>1720</v>
      </c>
    </row>
    <row r="99" spans="1:25" ht="14.25" customHeight="1">
      <c r="A99" s="12">
        <v>98</v>
      </c>
      <c r="B99" s="12" t="s">
        <v>1714</v>
      </c>
      <c r="C99" s="13" t="str">
        <f t="array" ref="C99">IFERROR(INDEX('iCoA Register'!$B:$B,MATCH("P050082|R",'iCoA Register'!$P:$P,0)),"— at issue —")</f>
        <v>— at issue —</v>
      </c>
      <c r="D99" s="13" t="str">
        <f t="array" ref="D99">IFERROR(INDEX('CoQ Register'!$B:$B,MATCH("P050082|R",'CoQ Register'!$S:$S,0)),"—")</f>
        <v>— at issue —</v>
      </c>
      <c r="E99" s="12" t="s">
        <v>1800</v>
      </c>
      <c r="F99" s="12" t="s">
        <v>851</v>
      </c>
      <c r="G99" s="12" t="s">
        <v>1801</v>
      </c>
      <c r="H99" s="12" t="s">
        <v>1686</v>
      </c>
      <c r="I99" s="12" t="s">
        <v>1719</v>
      </c>
      <c r="J99" s="45" t="str">
        <f t="array" ref="J99">IFERROR(INDEX('CoQ Register'!$D:$D,MATCH("P050082|R",'CoQ Register'!$S:$S,0)),"")</f>
        <v/>
      </c>
      <c r="K99" s="13" t="s">
        <v>237</v>
      </c>
      <c r="L99" s="12" t="s">
        <v>235</v>
      </c>
      <c r="M99" s="12" t="s">
        <v>103</v>
      </c>
      <c r="N99" s="12" t="s">
        <v>1011</v>
      </c>
      <c r="O99" s="12" t="s">
        <v>1012</v>
      </c>
      <c r="P99" s="12" t="s">
        <v>1013</v>
      </c>
      <c r="Q99" s="12" t="s">
        <v>856</v>
      </c>
      <c r="R99" s="12" t="s">
        <v>1689</v>
      </c>
      <c r="S99" s="12" t="s">
        <v>1689</v>
      </c>
      <c r="T99" s="12" t="s">
        <v>1689</v>
      </c>
      <c r="U99" s="28" t="s">
        <v>1691</v>
      </c>
      <c r="V99" s="28" t="s">
        <v>1692</v>
      </c>
      <c r="W99" s="28" t="s">
        <v>1692</v>
      </c>
      <c r="X99" s="12" t="s">
        <v>1693</v>
      </c>
      <c r="Y99" s="28" t="s">
        <v>1720</v>
      </c>
    </row>
    <row r="100" spans="1:25" ht="14.25" customHeight="1">
      <c r="A100" s="12">
        <v>99</v>
      </c>
      <c r="B100" s="12" t="s">
        <v>1695</v>
      </c>
      <c r="C100" s="13" t="str">
        <f t="array" ref="C100">IFERROR(INDEX('iCoA Register'!$B:$B,MATCH("P050092|R",'iCoA Register'!$P:$P,0)),"— at issue —")</f>
        <v>— at issue —</v>
      </c>
      <c r="D100" s="13" t="str">
        <f t="array" ref="D100">IFERROR(INDEX('CoQ Register'!$B:$B,MATCH("P050092|R",'CoQ Register'!$S:$S,0)),"—")</f>
        <v>— at issue —</v>
      </c>
      <c r="E100" s="12" t="s">
        <v>1804</v>
      </c>
      <c r="F100" s="12" t="s">
        <v>851</v>
      </c>
      <c r="G100" s="12" t="s">
        <v>72</v>
      </c>
      <c r="H100" s="12" t="s">
        <v>1686</v>
      </c>
      <c r="I100" s="12" t="s">
        <v>1699</v>
      </c>
      <c r="J100" s="45" t="str">
        <f t="array" ref="J100">IFERROR(INDEX('CoQ Register'!$D:$D,MATCH("P050092|R",'CoQ Register'!$S:$S,0)),"")</f>
        <v/>
      </c>
      <c r="K100" s="13" t="s">
        <v>232</v>
      </c>
      <c r="L100" s="12" t="s">
        <v>236</v>
      </c>
      <c r="M100" s="12" t="s">
        <v>234</v>
      </c>
      <c r="N100" s="12" t="s">
        <v>1024</v>
      </c>
      <c r="O100" s="12" t="s">
        <v>1025</v>
      </c>
      <c r="P100" s="12" t="s">
        <v>1026</v>
      </c>
      <c r="Q100" s="12" t="s">
        <v>856</v>
      </c>
      <c r="R100" s="12" t="s">
        <v>1689</v>
      </c>
      <c r="S100" s="12" t="s">
        <v>1689</v>
      </c>
      <c r="T100" s="12" t="s">
        <v>1689</v>
      </c>
      <c r="U100" s="12" t="s">
        <v>1610</v>
      </c>
      <c r="V100" s="12" t="s">
        <v>1610</v>
      </c>
      <c r="W100" s="12" t="s">
        <v>1615</v>
      </c>
      <c r="X100" s="12" t="s">
        <v>1693</v>
      </c>
      <c r="Y100" s="24" t="s">
        <v>1703</v>
      </c>
    </row>
    <row r="101" spans="1:25" ht="14.25" customHeight="1">
      <c r="A101" s="12">
        <v>100</v>
      </c>
      <c r="B101" s="12" t="s">
        <v>1714</v>
      </c>
      <c r="C101" s="13" t="str">
        <f t="array" ref="C101">IFERROR(INDEX('iCoA Register'!$B:$B,MATCH("P050112|R",'iCoA Register'!$P:$P,0)),"— at issue —")</f>
        <v>— at issue —</v>
      </c>
      <c r="D101" s="13" t="str">
        <f t="array" ref="D101">IFERROR(INDEX('CoQ Register'!$B:$B,MATCH("P050112|R",'CoQ Register'!$S:$S,0)),"—")</f>
        <v>— at issue —</v>
      </c>
      <c r="E101" s="12" t="s">
        <v>1807</v>
      </c>
      <c r="F101" s="12" t="s">
        <v>851</v>
      </c>
      <c r="G101" s="12" t="s">
        <v>1808</v>
      </c>
      <c r="H101" s="12" t="s">
        <v>1686</v>
      </c>
      <c r="I101" s="12" t="s">
        <v>1719</v>
      </c>
      <c r="J101" s="45" t="str">
        <f t="array" ref="J101">IFERROR(INDEX('CoQ Register'!$D:$D,MATCH("P050112|R",'CoQ Register'!$S:$S,0)),"")</f>
        <v/>
      </c>
      <c r="K101" s="13" t="s">
        <v>227</v>
      </c>
      <c r="L101" s="12" t="s">
        <v>223</v>
      </c>
      <c r="M101" s="12" t="s">
        <v>222</v>
      </c>
      <c r="N101" s="12" t="s">
        <v>1044</v>
      </c>
      <c r="O101" s="12" t="s">
        <v>1045</v>
      </c>
      <c r="P101" s="12" t="s">
        <v>1046</v>
      </c>
      <c r="Q101" s="12" t="s">
        <v>856</v>
      </c>
      <c r="R101" s="12" t="s">
        <v>1689</v>
      </c>
      <c r="S101" s="12" t="s">
        <v>1689</v>
      </c>
      <c r="T101" s="12" t="s">
        <v>1689</v>
      </c>
      <c r="U101" s="28" t="s">
        <v>1691</v>
      </c>
      <c r="V101" s="28" t="s">
        <v>1692</v>
      </c>
      <c r="W101" s="28" t="s">
        <v>1692</v>
      </c>
      <c r="X101" s="12" t="s">
        <v>1693</v>
      </c>
      <c r="Y101" s="28" t="s">
        <v>1720</v>
      </c>
    </row>
    <row r="102" spans="1:25" ht="14.25" customHeight="1">
      <c r="A102" s="12">
        <v>101</v>
      </c>
      <c r="B102" s="12" t="s">
        <v>1680</v>
      </c>
      <c r="C102" s="13" t="str">
        <f t="array" ref="C102">IFERROR(INDEX('iCoA Register'!$B:$B,MATCH("P050132|R",'iCoA Register'!$P:$P,0)),"— at issue —")</f>
        <v>— at issue —</v>
      </c>
      <c r="D102" s="13" t="str">
        <f t="array" ref="D102">IFERROR(INDEX('CoQ Register'!$B:$B,MATCH("P050132|R",'CoQ Register'!$S:$S,0)),"—")</f>
        <v>— at issue —</v>
      </c>
      <c r="E102" s="12" t="s">
        <v>1684</v>
      </c>
      <c r="F102" s="12" t="s">
        <v>851</v>
      </c>
      <c r="G102" s="12" t="s">
        <v>1813</v>
      </c>
      <c r="H102" s="12" t="s">
        <v>1686</v>
      </c>
      <c r="I102" s="12" t="s">
        <v>1687</v>
      </c>
      <c r="J102" s="45" t="str">
        <f t="array" ref="J102">IFERROR(INDEX('CoQ Register'!$D:$D,MATCH("P050132|R",'CoQ Register'!$S:$S,0)),"")</f>
        <v/>
      </c>
      <c r="K102" s="13" t="s">
        <v>233</v>
      </c>
      <c r="L102" s="12" t="s">
        <v>231</v>
      </c>
      <c r="M102" s="12" t="s">
        <v>103</v>
      </c>
      <c r="N102" s="12" t="s">
        <v>1068</v>
      </c>
      <c r="O102" s="12" t="s">
        <v>1069</v>
      </c>
      <c r="P102" s="12" t="s">
        <v>1070</v>
      </c>
      <c r="Q102" s="12" t="s">
        <v>856</v>
      </c>
      <c r="R102" s="12" t="s">
        <v>1689</v>
      </c>
      <c r="S102" s="12" t="s">
        <v>1689</v>
      </c>
      <c r="T102" s="12" t="s">
        <v>1689</v>
      </c>
      <c r="U102" s="28" t="s">
        <v>1691</v>
      </c>
      <c r="V102" s="28" t="s">
        <v>1692</v>
      </c>
      <c r="W102" s="28" t="s">
        <v>1692</v>
      </c>
      <c r="X102" s="12" t="s">
        <v>1693</v>
      </c>
      <c r="Y102" s="12" t="s">
        <v>1694</v>
      </c>
    </row>
    <row r="103" spans="1:25" ht="14.25" customHeight="1">
      <c r="A103" s="12">
        <v>102</v>
      </c>
      <c r="B103" s="12" t="s">
        <v>1680</v>
      </c>
      <c r="C103" s="13" t="str">
        <f t="array" ref="C103">IFERROR(INDEX('iCoA Register'!$B:$B,MATCH("P050172|R",'iCoA Register'!$P:$P,0)),"— at issue —")</f>
        <v>— at issue —</v>
      </c>
      <c r="D103" s="13" t="str">
        <f t="array" ref="D103">IFERROR(INDEX('CoQ Register'!$B:$B,MATCH("P050172|R",'CoQ Register'!$S:$S,0)),"—")</f>
        <v>— at issue —</v>
      </c>
      <c r="E103" s="12" t="s">
        <v>1684</v>
      </c>
      <c r="F103" s="12" t="s">
        <v>851</v>
      </c>
      <c r="G103" s="12" t="s">
        <v>1816</v>
      </c>
      <c r="H103" s="12" t="s">
        <v>1686</v>
      </c>
      <c r="I103" s="12" t="s">
        <v>1687</v>
      </c>
      <c r="J103" s="45" t="str">
        <f t="array" ref="J103">IFERROR(INDEX('CoQ Register'!$D:$D,MATCH("P050172|R",'CoQ Register'!$S:$S,0)),"")</f>
        <v/>
      </c>
      <c r="K103" s="13" t="s">
        <v>240</v>
      </c>
      <c r="L103" s="12" t="s">
        <v>239</v>
      </c>
      <c r="M103" s="12" t="s">
        <v>75</v>
      </c>
      <c r="N103" s="12" t="s">
        <v>1089</v>
      </c>
      <c r="O103" s="12" t="s">
        <v>1096</v>
      </c>
      <c r="P103" s="12" t="s">
        <v>1097</v>
      </c>
      <c r="Q103" s="12" t="s">
        <v>856</v>
      </c>
      <c r="R103" s="12" t="s">
        <v>1689</v>
      </c>
      <c r="S103" s="12" t="s">
        <v>1689</v>
      </c>
      <c r="T103" s="12" t="s">
        <v>1689</v>
      </c>
      <c r="U103" s="28" t="s">
        <v>1691</v>
      </c>
      <c r="V103" s="28" t="s">
        <v>1692</v>
      </c>
      <c r="W103" s="28" t="s">
        <v>1692</v>
      </c>
      <c r="X103" s="12" t="s">
        <v>1693</v>
      </c>
      <c r="Y103" s="12" t="s">
        <v>1694</v>
      </c>
    </row>
    <row r="104" spans="1:25" ht="14.25" customHeight="1">
      <c r="A104" s="12">
        <v>103</v>
      </c>
      <c r="B104" s="12" t="s">
        <v>1695</v>
      </c>
      <c r="C104" s="13" t="str">
        <f t="array" ref="C104">IFERROR(INDEX('iCoA Register'!$B:$B,MATCH("P050152|R",'iCoA Register'!$P:$P,0)),"— at issue —")</f>
        <v>— at issue —</v>
      </c>
      <c r="D104" s="13" t="str">
        <f t="array" ref="D104">IFERROR(INDEX('CoQ Register'!$B:$B,MATCH("P050152|R",'CoQ Register'!$S:$S,0)),"—")</f>
        <v>— at issue —</v>
      </c>
      <c r="E104" s="12" t="s">
        <v>1684</v>
      </c>
      <c r="F104" s="12" t="s">
        <v>851</v>
      </c>
      <c r="G104" s="12" t="s">
        <v>1822</v>
      </c>
      <c r="H104" s="12" t="s">
        <v>1686</v>
      </c>
      <c r="I104" s="12" t="s">
        <v>1699</v>
      </c>
      <c r="J104" s="45" t="str">
        <f t="array" ref="J104">IFERROR(INDEX('CoQ Register'!$D:$D,MATCH("P050152|R",'CoQ Register'!$S:$S,0)),"")</f>
        <v/>
      </c>
      <c r="K104" s="13" t="s">
        <v>202</v>
      </c>
      <c r="L104" s="12" t="s">
        <v>199</v>
      </c>
      <c r="M104" s="12" t="s">
        <v>178</v>
      </c>
      <c r="N104" s="28" t="s">
        <v>1079</v>
      </c>
      <c r="O104" s="12" t="s">
        <v>1076</v>
      </c>
      <c r="P104" s="12" t="s">
        <v>1076</v>
      </c>
      <c r="Q104" s="12" t="s">
        <v>856</v>
      </c>
      <c r="R104" s="12" t="s">
        <v>1689</v>
      </c>
      <c r="S104" s="12" t="s">
        <v>1689</v>
      </c>
      <c r="T104" s="12" t="s">
        <v>1689</v>
      </c>
      <c r="U104" s="12" t="s">
        <v>1736</v>
      </c>
      <c r="V104" s="12" t="s">
        <v>1736</v>
      </c>
      <c r="W104" s="12" t="s">
        <v>1741</v>
      </c>
      <c r="X104" s="12" t="s">
        <v>1693</v>
      </c>
      <c r="Y104" s="24" t="s">
        <v>1703</v>
      </c>
    </row>
    <row r="105" spans="1:25" ht="14.25" customHeight="1">
      <c r="A105" s="12">
        <v>104</v>
      </c>
      <c r="B105" s="12" t="s">
        <v>1695</v>
      </c>
      <c r="C105" s="13" t="str">
        <f t="array" ref="C105">IFERROR(INDEX('iCoA Register'!$B:$B,MATCH("P050162|R",'iCoA Register'!$P:$P,0)),"— at issue —")</f>
        <v>— at issue —</v>
      </c>
      <c r="D105" s="13" t="str">
        <f t="array" ref="D105">IFERROR(INDEX('CoQ Register'!$B:$B,MATCH("P050162|R",'CoQ Register'!$S:$S,0)),"—")</f>
        <v>— at issue —</v>
      </c>
      <c r="E105" s="12" t="s">
        <v>1684</v>
      </c>
      <c r="F105" s="12" t="s">
        <v>851</v>
      </c>
      <c r="G105" s="12" t="s">
        <v>1829</v>
      </c>
      <c r="H105" s="12" t="s">
        <v>1686</v>
      </c>
      <c r="I105" s="12" t="s">
        <v>1699</v>
      </c>
      <c r="J105" s="45" t="str">
        <f t="array" ref="J105">IFERROR(INDEX('CoQ Register'!$D:$D,MATCH("P050162|R",'CoQ Register'!$S:$S,0)),"")</f>
        <v/>
      </c>
      <c r="K105" s="13" t="s">
        <v>171</v>
      </c>
      <c r="L105" s="12" t="s">
        <v>175</v>
      </c>
      <c r="M105" s="12" t="s">
        <v>1088</v>
      </c>
      <c r="N105" s="12" t="s">
        <v>1089</v>
      </c>
      <c r="O105" s="12" t="s">
        <v>1090</v>
      </c>
      <c r="P105" s="12" t="s">
        <v>1091</v>
      </c>
      <c r="Q105" s="12" t="s">
        <v>856</v>
      </c>
      <c r="R105" s="12" t="s">
        <v>1689</v>
      </c>
      <c r="S105" s="12" t="s">
        <v>1689</v>
      </c>
      <c r="T105" s="12" t="s">
        <v>1689</v>
      </c>
      <c r="U105" s="12" t="s">
        <v>1756</v>
      </c>
      <c r="V105" s="12" t="s">
        <v>1756</v>
      </c>
      <c r="W105" s="12" t="s">
        <v>1762</v>
      </c>
      <c r="X105" s="12" t="s">
        <v>1693</v>
      </c>
      <c r="Y105" s="24" t="s">
        <v>1703</v>
      </c>
    </row>
    <row r="106" spans="1:25" ht="14.25" customHeight="1">
      <c r="A106" s="12">
        <v>105</v>
      </c>
      <c r="B106" s="12" t="s">
        <v>1714</v>
      </c>
      <c r="C106" s="13" t="str">
        <f t="array" ref="C106">IFERROR(INDEX('iCoA Register'!$B:$B,MATCH("P050182|R",'iCoA Register'!$P:$P,0)),"— at issue —")</f>
        <v>— at issue —</v>
      </c>
      <c r="D106" s="13" t="str">
        <f t="array" ref="D106">IFERROR(INDEX('CoQ Register'!$B:$B,MATCH("P050182|R",'CoQ Register'!$S:$S,0)),"—")</f>
        <v>— at issue —</v>
      </c>
      <c r="E106" s="12" t="s">
        <v>1684</v>
      </c>
      <c r="F106" s="12" t="s">
        <v>851</v>
      </c>
      <c r="G106" s="12" t="s">
        <v>1833</v>
      </c>
      <c r="H106" s="12" t="s">
        <v>1686</v>
      </c>
      <c r="I106" s="12" t="s">
        <v>1719</v>
      </c>
      <c r="J106" s="45" t="str">
        <f t="array" ref="J106">IFERROR(INDEX('CoQ Register'!$D:$D,MATCH("P050182|R",'CoQ Register'!$S:$S,0)),"")</f>
        <v/>
      </c>
      <c r="K106" s="13" t="s">
        <v>273</v>
      </c>
      <c r="L106" s="12" t="s">
        <v>270</v>
      </c>
      <c r="M106" s="12" t="s">
        <v>261</v>
      </c>
      <c r="N106" s="12" t="s">
        <v>1116</v>
      </c>
      <c r="O106" s="12" t="s">
        <v>1117</v>
      </c>
      <c r="P106" s="12" t="s">
        <v>1118</v>
      </c>
      <c r="Q106" s="12" t="s">
        <v>856</v>
      </c>
      <c r="R106" s="12" t="s">
        <v>1689</v>
      </c>
      <c r="S106" s="12" t="s">
        <v>1689</v>
      </c>
      <c r="T106" s="12" t="s">
        <v>1689</v>
      </c>
      <c r="U106" s="28" t="s">
        <v>1691</v>
      </c>
      <c r="V106" s="28" t="s">
        <v>1692</v>
      </c>
      <c r="W106" s="28" t="s">
        <v>1692</v>
      </c>
      <c r="X106" s="12" t="s">
        <v>1693</v>
      </c>
      <c r="Y106" s="28" t="s">
        <v>1720</v>
      </c>
    </row>
    <row r="107" spans="1:25" ht="14.25" customHeight="1">
      <c r="A107" s="12">
        <v>106</v>
      </c>
      <c r="B107" s="12" t="s">
        <v>1680</v>
      </c>
      <c r="C107" s="13" t="str">
        <f t="array" ref="C107">IFERROR(INDEX('iCoA Register'!$B:$B,MATCH("P050192|R",'iCoA Register'!$P:$P,0)),"— at issue —")</f>
        <v>— at issue —</v>
      </c>
      <c r="D107" s="13" t="str">
        <f t="array" ref="D107">IFERROR(INDEX('CoQ Register'!$B:$B,MATCH("P050192|R",'CoQ Register'!$S:$S,0)),"—")</f>
        <v>— at issue —</v>
      </c>
      <c r="E107" s="12" t="s">
        <v>1684</v>
      </c>
      <c r="F107" s="12" t="s">
        <v>851</v>
      </c>
      <c r="G107" s="12" t="s">
        <v>1845</v>
      </c>
      <c r="H107" s="12" t="s">
        <v>1686</v>
      </c>
      <c r="I107" s="12" t="s">
        <v>1687</v>
      </c>
      <c r="J107" s="45" t="str">
        <f t="array" ref="J107">IFERROR(INDEX('CoQ Register'!$D:$D,MATCH("P050192|R",'CoQ Register'!$S:$S,0)),"")</f>
        <v/>
      </c>
      <c r="K107" s="13" t="s">
        <v>263</v>
      </c>
      <c r="L107" s="12" t="s">
        <v>262</v>
      </c>
      <c r="M107" s="12" t="s">
        <v>485</v>
      </c>
      <c r="N107" s="12" t="s">
        <v>1133</v>
      </c>
      <c r="O107" s="12" t="s">
        <v>1135</v>
      </c>
      <c r="P107" s="12" t="s">
        <v>1136</v>
      </c>
      <c r="Q107" s="12" t="s">
        <v>856</v>
      </c>
      <c r="R107" s="12" t="s">
        <v>1689</v>
      </c>
      <c r="S107" s="12" t="s">
        <v>1689</v>
      </c>
      <c r="T107" s="12" t="s">
        <v>1689</v>
      </c>
      <c r="U107" s="28" t="s">
        <v>1691</v>
      </c>
      <c r="V107" s="28" t="s">
        <v>1692</v>
      </c>
      <c r="W107" s="28" t="s">
        <v>1692</v>
      </c>
      <c r="X107" s="12" t="s">
        <v>1693</v>
      </c>
      <c r="Y107" s="12" t="s">
        <v>1694</v>
      </c>
    </row>
    <row r="108" spans="1:25" ht="14.25" customHeight="1">
      <c r="A108" s="12">
        <v>107</v>
      </c>
      <c r="B108" s="12" t="s">
        <v>1714</v>
      </c>
      <c r="C108" s="13" t="str">
        <f t="array" ref="C108">IFERROR(INDEX('iCoA Register'!$B:$B,MATCH("P050222|R",'iCoA Register'!$P:$P,0)),"— at issue —")</f>
        <v>— at issue —</v>
      </c>
      <c r="D108" s="13" t="str">
        <f t="array" ref="D108">IFERROR(INDEX('CoQ Register'!$B:$B,MATCH("P050222|R",'CoQ Register'!$S:$S,0)),"—")</f>
        <v>— at issue —</v>
      </c>
      <c r="E108" s="12" t="s">
        <v>1684</v>
      </c>
      <c r="F108" s="12" t="s">
        <v>851</v>
      </c>
      <c r="G108" s="12" t="s">
        <v>1851</v>
      </c>
      <c r="H108" s="12" t="s">
        <v>1686</v>
      </c>
      <c r="I108" s="12" t="s">
        <v>1719</v>
      </c>
      <c r="J108" s="45" t="str">
        <f t="array" ref="J108">IFERROR(INDEX('CoQ Register'!$D:$D,MATCH("P050222|R",'CoQ Register'!$S:$S,0)),"")</f>
        <v/>
      </c>
      <c r="K108" s="13" t="s">
        <v>187</v>
      </c>
      <c r="L108" s="12" t="s">
        <v>185</v>
      </c>
      <c r="M108" s="12" t="s">
        <v>206</v>
      </c>
      <c r="N108" s="12" t="s">
        <v>1161</v>
      </c>
      <c r="O108" s="12" t="s">
        <v>1162</v>
      </c>
      <c r="P108" s="12" t="s">
        <v>1163</v>
      </c>
      <c r="Q108" s="12" t="s">
        <v>856</v>
      </c>
      <c r="R108" s="12" t="s">
        <v>1689</v>
      </c>
      <c r="S108" s="12" t="s">
        <v>1689</v>
      </c>
      <c r="T108" s="12" t="s">
        <v>1689</v>
      </c>
      <c r="U108" s="28" t="s">
        <v>1691</v>
      </c>
      <c r="V108" s="28" t="s">
        <v>1692</v>
      </c>
      <c r="W108" s="28" t="s">
        <v>1692</v>
      </c>
      <c r="X108" s="12" t="s">
        <v>1693</v>
      </c>
      <c r="Y108" s="28" t="s">
        <v>1720</v>
      </c>
    </row>
    <row r="109" spans="1:25" ht="14.25" customHeight="1">
      <c r="A109" s="12">
        <v>108</v>
      </c>
      <c r="B109" s="12" t="s">
        <v>1680</v>
      </c>
      <c r="C109" s="13" t="str">
        <f t="array" ref="C109">IFERROR(INDEX('iCoA Register'!$B:$B,MATCH("P050252|R",'iCoA Register'!$P:$P,0)),"— at issue —")</f>
        <v>— at issue —</v>
      </c>
      <c r="D109" s="13" t="str">
        <f t="array" ref="D109">IFERROR(INDEX('CoQ Register'!$B:$B,MATCH("P050252|R",'CoQ Register'!$S:$S,0)),"—")</f>
        <v>— at issue —</v>
      </c>
      <c r="E109" s="12" t="s">
        <v>1684</v>
      </c>
      <c r="F109" s="12" t="s">
        <v>851</v>
      </c>
      <c r="G109" s="12" t="s">
        <v>1857</v>
      </c>
      <c r="H109" s="12" t="s">
        <v>1686</v>
      </c>
      <c r="I109" s="12" t="s">
        <v>1687</v>
      </c>
      <c r="J109" s="45" t="str">
        <f t="array" ref="J109">IFERROR(INDEX('CoQ Register'!$D:$D,MATCH("P050252|R",'CoQ Register'!$S:$S,0)),"")</f>
        <v/>
      </c>
      <c r="K109" s="13" t="s">
        <v>190</v>
      </c>
      <c r="L109" s="12" t="s">
        <v>189</v>
      </c>
      <c r="M109" s="12" t="s">
        <v>75</v>
      </c>
      <c r="N109" s="12" t="s">
        <v>1174</v>
      </c>
      <c r="O109" s="12" t="s">
        <v>1175</v>
      </c>
      <c r="P109" s="12" t="s">
        <v>1176</v>
      </c>
      <c r="Q109" s="12" t="s">
        <v>856</v>
      </c>
      <c r="R109" s="12" t="s">
        <v>1689</v>
      </c>
      <c r="S109" s="12" t="s">
        <v>1689</v>
      </c>
      <c r="T109" s="12" t="s">
        <v>1689</v>
      </c>
      <c r="U109" s="28" t="s">
        <v>1691</v>
      </c>
      <c r="V109" s="28" t="s">
        <v>1692</v>
      </c>
      <c r="W109" s="28" t="s">
        <v>1692</v>
      </c>
      <c r="X109" s="12" t="s">
        <v>1693</v>
      </c>
      <c r="Y109" s="12" t="s">
        <v>1694</v>
      </c>
    </row>
    <row r="110" spans="1:25" ht="14.25" customHeight="1">
      <c r="A110" s="12">
        <v>109</v>
      </c>
      <c r="B110" s="12" t="s">
        <v>1680</v>
      </c>
      <c r="C110" s="13" t="str">
        <f t="array" ref="C110">IFERROR(INDEX('iCoA Register'!$B:$B,MATCH("P050262|R",'iCoA Register'!$P:$P,0)),"— at issue —")</f>
        <v>— at issue —</v>
      </c>
      <c r="D110" s="13" t="str">
        <f t="array" ref="D110">IFERROR(INDEX('CoQ Register'!$B:$B,MATCH("P050262|R",'CoQ Register'!$S:$S,0)),"—")</f>
        <v>— at issue —</v>
      </c>
      <c r="E110" s="12" t="s">
        <v>1684</v>
      </c>
      <c r="F110" s="12" t="s">
        <v>851</v>
      </c>
      <c r="G110" s="12" t="s">
        <v>1857</v>
      </c>
      <c r="H110" s="12" t="s">
        <v>1686</v>
      </c>
      <c r="I110" s="12" t="s">
        <v>1687</v>
      </c>
      <c r="J110" s="45" t="str">
        <f t="array" ref="J110">IFERROR(INDEX('CoQ Register'!$D:$D,MATCH("P050262|R",'CoQ Register'!$S:$S,0)),"")</f>
        <v/>
      </c>
      <c r="K110" s="13" t="s">
        <v>197</v>
      </c>
      <c r="L110" s="12" t="s">
        <v>196</v>
      </c>
      <c r="M110" s="12" t="s">
        <v>491</v>
      </c>
      <c r="N110" s="12" t="s">
        <v>1188</v>
      </c>
      <c r="O110" s="12" t="s">
        <v>1189</v>
      </c>
      <c r="P110" s="12" t="s">
        <v>1183</v>
      </c>
      <c r="Q110" s="12" t="s">
        <v>856</v>
      </c>
      <c r="R110" s="12" t="s">
        <v>1689</v>
      </c>
      <c r="S110" s="12" t="s">
        <v>1689</v>
      </c>
      <c r="T110" s="12" t="s">
        <v>1689</v>
      </c>
      <c r="U110" s="28" t="s">
        <v>1691</v>
      </c>
      <c r="V110" s="28" t="s">
        <v>1692</v>
      </c>
      <c r="W110" s="28" t="s">
        <v>1692</v>
      </c>
      <c r="X110" s="12" t="s">
        <v>1693</v>
      </c>
      <c r="Y110" s="12" t="s">
        <v>1694</v>
      </c>
    </row>
    <row r="111" spans="1:25" ht="14.25" customHeight="1">
      <c r="A111" s="12">
        <v>110</v>
      </c>
      <c r="B111" s="12" t="s">
        <v>1714</v>
      </c>
      <c r="C111" s="13" t="str">
        <f t="array" ref="C111">IFERROR(INDEX('iCoA Register'!$B:$B,MATCH("P050282|R",'iCoA Register'!$P:$P,0)),"— at issue —")</f>
        <v>— at issue —</v>
      </c>
      <c r="D111" s="13" t="str">
        <f t="array" ref="D111">IFERROR(INDEX('CoQ Register'!$B:$B,MATCH("P050282|R",'CoQ Register'!$S:$S,0)),"—")</f>
        <v>— at issue —</v>
      </c>
      <c r="E111" s="12" t="s">
        <v>1684</v>
      </c>
      <c r="F111" s="12" t="s">
        <v>851</v>
      </c>
      <c r="G111" s="12" t="s">
        <v>1866</v>
      </c>
      <c r="H111" s="12" t="s">
        <v>1686</v>
      </c>
      <c r="I111" s="12" t="s">
        <v>1719</v>
      </c>
      <c r="J111" s="45" t="str">
        <f t="array" ref="J111">IFERROR(INDEX('CoQ Register'!$D:$D,MATCH("P050282|R",'CoQ Register'!$S:$S,0)),"")</f>
        <v/>
      </c>
      <c r="K111" s="13" t="s">
        <v>212</v>
      </c>
      <c r="L111" s="12" t="s">
        <v>211</v>
      </c>
      <c r="M111" s="12" t="s">
        <v>568</v>
      </c>
      <c r="N111" s="12" t="s">
        <v>1206</v>
      </c>
      <c r="O111" s="12" t="s">
        <v>1207</v>
      </c>
      <c r="P111" s="12" t="s">
        <v>1208</v>
      </c>
      <c r="Q111" s="12" t="s">
        <v>856</v>
      </c>
      <c r="R111" s="12" t="s">
        <v>1689</v>
      </c>
      <c r="S111" s="12" t="s">
        <v>1689</v>
      </c>
      <c r="T111" s="12" t="s">
        <v>1689</v>
      </c>
      <c r="U111" s="28" t="s">
        <v>1691</v>
      </c>
      <c r="V111" s="28" t="s">
        <v>1692</v>
      </c>
      <c r="W111" s="28" t="s">
        <v>1692</v>
      </c>
      <c r="X111" s="12" t="s">
        <v>1693</v>
      </c>
      <c r="Y111" s="28" t="s">
        <v>1720</v>
      </c>
    </row>
    <row r="112" spans="1:25" ht="14.25" customHeight="1">
      <c r="A112" s="12">
        <v>111</v>
      </c>
      <c r="B112" s="12" t="s">
        <v>1714</v>
      </c>
      <c r="C112" s="13" t="str">
        <f t="array" ref="C112">IFERROR(INDEX('iCoA Register'!$B:$B,MATCH("P050302|R",'iCoA Register'!$P:$P,0)),"— at issue —")</f>
        <v>— at issue —</v>
      </c>
      <c r="D112" s="13" t="str">
        <f t="array" ref="D112">IFERROR(INDEX('CoQ Register'!$B:$B,MATCH("P050302|R",'CoQ Register'!$S:$S,0)),"—")</f>
        <v>— at issue —</v>
      </c>
      <c r="E112" s="12" t="s">
        <v>1684</v>
      </c>
      <c r="F112" s="12" t="s">
        <v>851</v>
      </c>
      <c r="G112" s="12" t="s">
        <v>1872</v>
      </c>
      <c r="H112" s="12" t="s">
        <v>1686</v>
      </c>
      <c r="I112" s="12" t="s">
        <v>1719</v>
      </c>
      <c r="J112" s="45" t="str">
        <f t="array" ref="J112">IFERROR(INDEX('CoQ Register'!$D:$D,MATCH("P050302|R",'CoQ Register'!$S:$S,0)),"")</f>
        <v/>
      </c>
      <c r="K112" s="13" t="s">
        <v>253</v>
      </c>
      <c r="L112" s="12" t="s">
        <v>252</v>
      </c>
      <c r="M112" s="12" t="s">
        <v>178</v>
      </c>
      <c r="N112" s="12" t="s">
        <v>1222</v>
      </c>
      <c r="O112" s="12" t="s">
        <v>1221</v>
      </c>
      <c r="P112" s="12" t="s">
        <v>1221</v>
      </c>
      <c r="Q112" s="12" t="s">
        <v>856</v>
      </c>
      <c r="R112" s="12" t="s">
        <v>1689</v>
      </c>
      <c r="S112" s="12" t="s">
        <v>1689</v>
      </c>
      <c r="T112" s="12" t="s">
        <v>1689</v>
      </c>
      <c r="U112" s="28" t="s">
        <v>1691</v>
      </c>
      <c r="V112" s="28" t="s">
        <v>1692</v>
      </c>
      <c r="W112" s="28" t="s">
        <v>1692</v>
      </c>
      <c r="X112" s="12" t="s">
        <v>1693</v>
      </c>
      <c r="Y112" s="28" t="s">
        <v>1720</v>
      </c>
    </row>
    <row r="113" spans="1:25" ht="14.25" customHeight="1">
      <c r="A113" s="12">
        <v>112</v>
      </c>
      <c r="B113" s="12" t="s">
        <v>1714</v>
      </c>
      <c r="C113" s="13" t="str">
        <f t="array" ref="C113">IFERROR(INDEX('iCoA Register'!$B:$B,MATCH("P050312|R",'iCoA Register'!$P:$P,0)),"— at issue —")</f>
        <v>— at issue —</v>
      </c>
      <c r="D113" s="13" t="str">
        <f t="array" ref="D113">IFERROR(INDEX('CoQ Register'!$B:$B,MATCH("P050312|R",'CoQ Register'!$S:$S,0)),"—")</f>
        <v>— at issue —</v>
      </c>
      <c r="E113" s="12" t="s">
        <v>1684</v>
      </c>
      <c r="F113" s="12" t="s">
        <v>851</v>
      </c>
      <c r="G113" s="12" t="s">
        <v>1877</v>
      </c>
      <c r="H113" s="12" t="s">
        <v>1686</v>
      </c>
      <c r="I113" s="12" t="s">
        <v>1719</v>
      </c>
      <c r="J113" s="45" t="str">
        <f t="array" ref="J113">IFERROR(INDEX('CoQ Register'!$D:$D,MATCH("P050312|R",'CoQ Register'!$S:$S,0)),"")</f>
        <v/>
      </c>
      <c r="K113" s="13" t="s">
        <v>244</v>
      </c>
      <c r="L113" s="12" t="s">
        <v>243</v>
      </c>
      <c r="M113" s="12" t="s">
        <v>178</v>
      </c>
      <c r="N113" s="12" t="s">
        <v>1228</v>
      </c>
      <c r="O113" s="12" t="s">
        <v>1229</v>
      </c>
      <c r="P113" s="12" t="s">
        <v>1230</v>
      </c>
      <c r="Q113" s="12" t="s">
        <v>856</v>
      </c>
      <c r="R113" s="12" t="s">
        <v>1689</v>
      </c>
      <c r="S113" s="12" t="s">
        <v>1689</v>
      </c>
      <c r="T113" s="12" t="s">
        <v>1689</v>
      </c>
      <c r="U113" s="28" t="s">
        <v>1691</v>
      </c>
      <c r="V113" s="28" t="s">
        <v>1692</v>
      </c>
      <c r="W113" s="28" t="s">
        <v>1692</v>
      </c>
      <c r="X113" s="12" t="s">
        <v>1693</v>
      </c>
      <c r="Y113" s="28" t="s">
        <v>1720</v>
      </c>
    </row>
    <row r="114" spans="1:25" ht="14.25" customHeight="1">
      <c r="A114" s="12">
        <v>113</v>
      </c>
      <c r="B114" s="12" t="s">
        <v>1695</v>
      </c>
      <c r="C114" s="13" t="str">
        <f t="array" ref="C114">IFERROR(INDEX('iCoA Register'!$B:$B,MATCH("P050322|R",'iCoA Register'!$P:$P,0)),"— at issue —")</f>
        <v>— at issue —</v>
      </c>
      <c r="D114" s="13" t="str">
        <f t="array" ref="D114">IFERROR(INDEX('CoQ Register'!$B:$B,MATCH("P050322|R",'CoQ Register'!$S:$S,0)),"—")</f>
        <v>— at issue —</v>
      </c>
      <c r="E114" s="12" t="s">
        <v>1684</v>
      </c>
      <c r="F114" s="12" t="s">
        <v>851</v>
      </c>
      <c r="G114" s="12" t="s">
        <v>1883</v>
      </c>
      <c r="H114" s="12" t="s">
        <v>1686</v>
      </c>
      <c r="I114" s="12" t="s">
        <v>1699</v>
      </c>
      <c r="J114" s="45" t="str">
        <f t="array" ref="J114">IFERROR(INDEX('CoQ Register'!$D:$D,MATCH("P050322|R",'CoQ Register'!$S:$S,0)),"")</f>
        <v/>
      </c>
      <c r="K114" s="13" t="s">
        <v>248</v>
      </c>
      <c r="L114" s="12" t="s">
        <v>246</v>
      </c>
      <c r="M114" s="12" t="s">
        <v>178</v>
      </c>
      <c r="N114" s="12" t="s">
        <v>1236</v>
      </c>
      <c r="O114" s="12" t="s">
        <v>1230</v>
      </c>
      <c r="P114" s="12" t="s">
        <v>1230</v>
      </c>
      <c r="Q114" s="12" t="s">
        <v>856</v>
      </c>
      <c r="R114" s="12" t="s">
        <v>1689</v>
      </c>
      <c r="S114" s="12" t="s">
        <v>1689</v>
      </c>
      <c r="T114" s="12" t="s">
        <v>1689</v>
      </c>
      <c r="U114" s="12" t="s">
        <v>1884</v>
      </c>
      <c r="V114" s="12" t="s">
        <v>1884</v>
      </c>
      <c r="W114" s="12" t="s">
        <v>1885</v>
      </c>
      <c r="X114" s="12" t="s">
        <v>1693</v>
      </c>
      <c r="Y114" s="24" t="s">
        <v>1703</v>
      </c>
    </row>
    <row r="115" spans="1:25" ht="14.25" customHeight="1">
      <c r="A115" s="12">
        <v>114</v>
      </c>
      <c r="B115" s="12" t="s">
        <v>1714</v>
      </c>
      <c r="C115" s="13" t="str">
        <f t="array" ref="C115">IFERROR(INDEX('iCoA Register'!$B:$B,MATCH("P060012|R",'iCoA Register'!$P:$P,0)),"— at issue —")</f>
        <v>— at issue —</v>
      </c>
      <c r="D115" s="13" t="str">
        <f t="array" ref="D115">IFERROR(INDEX('CoQ Register'!$B:$B,MATCH("P060012|R",'CoQ Register'!$S:$S,0)),"—")</f>
        <v>— at issue —</v>
      </c>
      <c r="E115" s="12" t="s">
        <v>1684</v>
      </c>
      <c r="F115" s="12" t="s">
        <v>851</v>
      </c>
      <c r="G115" s="12" t="s">
        <v>1887</v>
      </c>
      <c r="H115" s="12" t="s">
        <v>1686</v>
      </c>
      <c r="I115" s="12" t="s">
        <v>1719</v>
      </c>
      <c r="J115" s="45" t="str">
        <f t="array" ref="J115">IFERROR(INDEX('CoQ Register'!$D:$D,MATCH("P060012|R",'CoQ Register'!$S:$S,0)),"")</f>
        <v/>
      </c>
      <c r="K115" s="13" t="s">
        <v>170</v>
      </c>
      <c r="L115" s="12" t="s">
        <v>169</v>
      </c>
      <c r="M115" s="12" t="s">
        <v>167</v>
      </c>
      <c r="N115" s="12" t="s">
        <v>1243</v>
      </c>
      <c r="O115" s="12" t="s">
        <v>1244</v>
      </c>
      <c r="P115" s="12" t="s">
        <v>1245</v>
      </c>
      <c r="Q115" s="12" t="s">
        <v>856</v>
      </c>
      <c r="R115" s="12" t="s">
        <v>1689</v>
      </c>
      <c r="S115" s="12" t="s">
        <v>1689</v>
      </c>
      <c r="T115" s="12" t="s">
        <v>1689</v>
      </c>
      <c r="U115" s="28" t="s">
        <v>1691</v>
      </c>
      <c r="V115" s="28" t="s">
        <v>1692</v>
      </c>
      <c r="W115" s="28" t="s">
        <v>1692</v>
      </c>
      <c r="X115" s="12" t="s">
        <v>1693</v>
      </c>
      <c r="Y115" s="28" t="s">
        <v>1720</v>
      </c>
    </row>
    <row r="116" spans="1:25" ht="14.25" customHeight="1">
      <c r="A116" s="12">
        <v>115</v>
      </c>
      <c r="B116" s="12" t="s">
        <v>1714</v>
      </c>
      <c r="C116" s="13" t="str">
        <f t="array" ref="C116">IFERROR(INDEX('iCoA Register'!$B:$B,MATCH("P060022|R",'iCoA Register'!$P:$P,0)),"— at issue —")</f>
        <v>— at issue —</v>
      </c>
      <c r="D116" s="13" t="str">
        <f t="array" ref="D116">IFERROR(INDEX('CoQ Register'!$B:$B,MATCH("P060022|R",'CoQ Register'!$S:$S,0)),"—")</f>
        <v>— at issue —</v>
      </c>
      <c r="E116" s="12" t="s">
        <v>1684</v>
      </c>
      <c r="F116" s="12" t="s">
        <v>851</v>
      </c>
      <c r="G116" s="12" t="s">
        <v>1889</v>
      </c>
      <c r="H116" s="12" t="s">
        <v>1686</v>
      </c>
      <c r="I116" s="12" t="s">
        <v>1719</v>
      </c>
      <c r="J116" s="45" t="str">
        <f t="array" ref="J116">IFERROR(INDEX('CoQ Register'!$D:$D,MATCH("P060022|R",'CoQ Register'!$S:$S,0)),"")</f>
        <v/>
      </c>
      <c r="K116" s="13" t="s">
        <v>82</v>
      </c>
      <c r="L116" s="12" t="s">
        <v>78</v>
      </c>
      <c r="M116" s="12" t="s">
        <v>75</v>
      </c>
      <c r="N116" s="12" t="s">
        <v>1250</v>
      </c>
      <c r="O116" s="12" t="s">
        <v>1249</v>
      </c>
      <c r="P116" s="12" t="s">
        <v>1249</v>
      </c>
      <c r="Q116" s="12" t="s">
        <v>856</v>
      </c>
      <c r="R116" s="12" t="s">
        <v>1689</v>
      </c>
      <c r="S116" s="12" t="s">
        <v>1689</v>
      </c>
      <c r="T116" s="12" t="s">
        <v>1689</v>
      </c>
      <c r="U116" s="28" t="s">
        <v>1691</v>
      </c>
      <c r="V116" s="28" t="s">
        <v>1692</v>
      </c>
      <c r="W116" s="28" t="s">
        <v>1692</v>
      </c>
      <c r="X116" s="12" t="s">
        <v>1693</v>
      </c>
      <c r="Y116" s="28" t="s">
        <v>1720</v>
      </c>
    </row>
    <row r="117" spans="1:25" ht="14.25" customHeight="1">
      <c r="A117" s="12">
        <v>116</v>
      </c>
      <c r="B117" s="12" t="s">
        <v>1680</v>
      </c>
      <c r="C117" s="13" t="str">
        <f t="array" ref="C117">IFERROR(INDEX('iCoA Register'!$B:$B,MATCH("P050292|R",'iCoA Register'!$P:$P,0)),"— at issue —")</f>
        <v>— at issue —</v>
      </c>
      <c r="D117" s="13" t="str">
        <f t="array" ref="D117">IFERROR(INDEX('CoQ Register'!$B:$B,MATCH("P050292|R",'CoQ Register'!$S:$S,0)),"—")</f>
        <v>— at issue —</v>
      </c>
      <c r="E117" s="12" t="s">
        <v>1684</v>
      </c>
      <c r="F117" s="12" t="s">
        <v>851</v>
      </c>
      <c r="G117" s="12" t="s">
        <v>1897</v>
      </c>
      <c r="H117" s="12" t="s">
        <v>1686</v>
      </c>
      <c r="I117" s="12" t="s">
        <v>1687</v>
      </c>
      <c r="J117" s="45" t="str">
        <f t="array" ref="J117">IFERROR(INDEX('CoQ Register'!$D:$D,MATCH("P050292|R",'CoQ Register'!$S:$S,0)),"")</f>
        <v/>
      </c>
      <c r="K117" s="13" t="s">
        <v>259</v>
      </c>
      <c r="L117" s="12" t="s">
        <v>254</v>
      </c>
      <c r="M117" s="12" t="s">
        <v>178</v>
      </c>
      <c r="N117" s="12" t="s">
        <v>1214</v>
      </c>
      <c r="O117" s="12" t="s">
        <v>1215</v>
      </c>
      <c r="P117" s="12" t="s">
        <v>1216</v>
      </c>
      <c r="Q117" s="12" t="s">
        <v>856</v>
      </c>
      <c r="R117" s="12" t="s">
        <v>1689</v>
      </c>
      <c r="S117" s="12" t="s">
        <v>1689</v>
      </c>
      <c r="T117" s="12" t="s">
        <v>1689</v>
      </c>
      <c r="U117" s="28" t="s">
        <v>1691</v>
      </c>
      <c r="V117" s="28" t="s">
        <v>1692</v>
      </c>
      <c r="W117" s="28" t="s">
        <v>1692</v>
      </c>
      <c r="X117" s="12" t="s">
        <v>1693</v>
      </c>
      <c r="Y117" s="12" t="s">
        <v>1694</v>
      </c>
    </row>
    <row r="118" spans="1:25" ht="14.25" customHeight="1">
      <c r="A118" s="12">
        <v>117</v>
      </c>
      <c r="B118" s="12" t="s">
        <v>1680</v>
      </c>
      <c r="C118" s="13" t="str">
        <f t="array" ref="C118">IFERROR(INDEX('iCoA Register'!$B:$B,MATCH("P050272|R",'iCoA Register'!$P:$P,0)),"— at issue —")</f>
        <v>— at issue —</v>
      </c>
      <c r="D118" s="13" t="str">
        <f t="array" ref="D118">IFERROR(INDEX('CoQ Register'!$B:$B,MATCH("P050272|R",'CoQ Register'!$S:$S,0)),"—")</f>
        <v>— at issue —</v>
      </c>
      <c r="E118" s="12" t="s">
        <v>1684</v>
      </c>
      <c r="F118" s="12" t="s">
        <v>851</v>
      </c>
      <c r="G118" s="12" t="s">
        <v>1897</v>
      </c>
      <c r="H118" s="12" t="s">
        <v>1686</v>
      </c>
      <c r="I118" s="12" t="s">
        <v>1687</v>
      </c>
      <c r="J118" s="45" t="str">
        <f t="array" ref="J118">IFERROR(INDEX('CoQ Register'!$D:$D,MATCH("P050272|R",'CoQ Register'!$S:$S,0)),"")</f>
        <v/>
      </c>
      <c r="K118" s="13" t="s">
        <v>219</v>
      </c>
      <c r="L118" s="12" t="s">
        <v>217</v>
      </c>
      <c r="M118" s="12" t="s">
        <v>307</v>
      </c>
      <c r="N118" s="12" t="s">
        <v>1174</v>
      </c>
      <c r="O118" s="12" t="s">
        <v>1197</v>
      </c>
      <c r="P118" s="12" t="s">
        <v>1198</v>
      </c>
      <c r="Q118" s="12" t="s">
        <v>856</v>
      </c>
      <c r="R118" s="12" t="s">
        <v>1689</v>
      </c>
      <c r="S118" s="12" t="s">
        <v>1689</v>
      </c>
      <c r="T118" s="12" t="s">
        <v>1689</v>
      </c>
      <c r="U118" s="28" t="s">
        <v>1691</v>
      </c>
      <c r="V118" s="28" t="s">
        <v>1692</v>
      </c>
      <c r="W118" s="28" t="s">
        <v>1692</v>
      </c>
      <c r="X118" s="12" t="s">
        <v>1693</v>
      </c>
      <c r="Y118" s="12" t="s">
        <v>1694</v>
      </c>
    </row>
    <row r="119" spans="1:25" ht="14.25" customHeight="1">
      <c r="A119" s="12">
        <v>118</v>
      </c>
      <c r="B119" s="12" t="s">
        <v>1695</v>
      </c>
      <c r="C119" s="13" t="str">
        <f t="array" ref="C119">IFERROR(INDEX('iCoA Register'!$B:$B,MATCH("P050212|R",'iCoA Register'!$P:$P,0)),"— at issue —")</f>
        <v>— at issue —</v>
      </c>
      <c r="D119" s="13" t="str">
        <f t="array" ref="D119">IFERROR(INDEX('CoQ Register'!$B:$B,MATCH("P050212|R",'CoQ Register'!$S:$S,0)),"—")</f>
        <v>— at issue —</v>
      </c>
      <c r="E119" s="12" t="s">
        <v>1684</v>
      </c>
      <c r="F119" s="12" t="s">
        <v>851</v>
      </c>
      <c r="G119" s="12" t="s">
        <v>1913</v>
      </c>
      <c r="H119" s="12" t="s">
        <v>1686</v>
      </c>
      <c r="I119" s="12" t="s">
        <v>1699</v>
      </c>
      <c r="J119" s="45" t="str">
        <f t="array" ref="J119">IFERROR(INDEX('CoQ Register'!$D:$D,MATCH("P050212|R",'CoQ Register'!$S:$S,0)),"")</f>
        <v/>
      </c>
      <c r="K119" s="13" t="s">
        <v>184</v>
      </c>
      <c r="L119" s="12" t="s">
        <v>188</v>
      </c>
      <c r="M119" s="12" t="s">
        <v>206</v>
      </c>
      <c r="N119" s="12" t="s">
        <v>1153</v>
      </c>
      <c r="O119" s="12" t="s">
        <v>1154</v>
      </c>
      <c r="P119" s="12" t="s">
        <v>1155</v>
      </c>
      <c r="Q119" s="12" t="s">
        <v>856</v>
      </c>
      <c r="R119" s="12" t="s">
        <v>1689</v>
      </c>
      <c r="S119" s="12" t="s">
        <v>1689</v>
      </c>
      <c r="T119" s="12" t="s">
        <v>1689</v>
      </c>
      <c r="U119" s="12" t="s">
        <v>1848</v>
      </c>
      <c r="V119" s="12" t="s">
        <v>1848</v>
      </c>
      <c r="W119" s="12" t="s">
        <v>1854</v>
      </c>
      <c r="X119" s="12" t="s">
        <v>1693</v>
      </c>
      <c r="Y119" s="24" t="s">
        <v>1703</v>
      </c>
    </row>
    <row r="120" spans="1:25" ht="14.25" customHeight="1">
      <c r="A120" s="12">
        <v>119</v>
      </c>
      <c r="B120" s="12" t="s">
        <v>1695</v>
      </c>
      <c r="C120" s="13" t="str">
        <f t="array" ref="C120">IFERROR(INDEX('iCoA Register'!$B:$B,MATCH("P060032|R",'iCoA Register'!$P:$P,0)),"— at issue —")</f>
        <v>— at issue —</v>
      </c>
      <c r="D120" s="13" t="str">
        <f t="array" ref="D120">IFERROR(INDEX('CoQ Register'!$B:$B,MATCH("P060032|R",'CoQ Register'!$S:$S,0)),"—")</f>
        <v>— at issue —</v>
      </c>
      <c r="E120" s="12" t="s">
        <v>1684</v>
      </c>
      <c r="F120" s="12" t="s">
        <v>851</v>
      </c>
      <c r="G120" s="12" t="s">
        <v>1918</v>
      </c>
      <c r="H120" s="12" t="s">
        <v>1686</v>
      </c>
      <c r="I120" s="12" t="s">
        <v>1699</v>
      </c>
      <c r="J120" s="45" t="str">
        <f t="array" ref="J120">IFERROR(INDEX('CoQ Register'!$D:$D,MATCH("P060032|R",'CoQ Register'!$S:$S,0)),"")</f>
        <v/>
      </c>
      <c r="K120" s="13" t="s">
        <v>176</v>
      </c>
      <c r="L120" s="12" t="s">
        <v>174</v>
      </c>
      <c r="M120" s="12" t="s">
        <v>75</v>
      </c>
      <c r="N120" s="12" t="s">
        <v>1258</v>
      </c>
      <c r="O120" s="12" t="s">
        <v>1254</v>
      </c>
      <c r="P120" s="12" t="s">
        <v>1254</v>
      </c>
      <c r="Q120" s="12" t="s">
        <v>856</v>
      </c>
      <c r="R120" s="12" t="s">
        <v>1689</v>
      </c>
      <c r="S120" s="12" t="s">
        <v>1689</v>
      </c>
      <c r="T120" s="12" t="s">
        <v>1689</v>
      </c>
      <c r="U120" s="12" t="s">
        <v>1921</v>
      </c>
      <c r="V120" s="12" t="s">
        <v>1921</v>
      </c>
      <c r="W120" s="12" t="s">
        <v>1922</v>
      </c>
      <c r="X120" s="12" t="s">
        <v>1693</v>
      </c>
      <c r="Y120" s="24" t="s">
        <v>1703</v>
      </c>
    </row>
    <row r="121" spans="1:25" ht="14.25" customHeight="1">
      <c r="A121" s="12">
        <v>120</v>
      </c>
      <c r="B121" s="12" t="s">
        <v>1714</v>
      </c>
      <c r="C121" s="13" t="str">
        <f t="array" ref="C121">IFERROR(INDEX('iCoA Register'!$B:$B,MATCH("P060042|R",'iCoA Register'!$P:$P,0)),"— at issue —")</f>
        <v>— at issue —</v>
      </c>
      <c r="D121" s="13" t="str">
        <f t="array" ref="D121">IFERROR(INDEX('CoQ Register'!$B:$B,MATCH("P060042|R",'CoQ Register'!$S:$S,0)),"—")</f>
        <v>— at issue —</v>
      </c>
      <c r="E121" s="12" t="s">
        <v>1684</v>
      </c>
      <c r="F121" s="12" t="s">
        <v>851</v>
      </c>
      <c r="G121" s="12" t="s">
        <v>1918</v>
      </c>
      <c r="H121" s="12" t="s">
        <v>1686</v>
      </c>
      <c r="I121" s="12" t="s">
        <v>1719</v>
      </c>
      <c r="J121" s="45" t="str">
        <f t="array" ref="J121">IFERROR(INDEX('CoQ Register'!$D:$D,MATCH("P060042|R",'CoQ Register'!$S:$S,0)),"")</f>
        <v/>
      </c>
      <c r="K121" s="13" t="s">
        <v>116</v>
      </c>
      <c r="L121" s="12" t="s">
        <v>109</v>
      </c>
      <c r="M121" s="12" t="s">
        <v>103</v>
      </c>
      <c r="N121" s="12" t="s">
        <v>1267</v>
      </c>
      <c r="O121" s="12" t="s">
        <v>1254</v>
      </c>
      <c r="P121" s="12" t="s">
        <v>1254</v>
      </c>
      <c r="Q121" s="12" t="s">
        <v>856</v>
      </c>
      <c r="R121" s="12" t="s">
        <v>1689</v>
      </c>
      <c r="S121" s="12" t="s">
        <v>1689</v>
      </c>
      <c r="T121" s="12" t="s">
        <v>1689</v>
      </c>
      <c r="U121" s="28" t="s">
        <v>1691</v>
      </c>
      <c r="V121" s="28" t="s">
        <v>1692</v>
      </c>
      <c r="W121" s="28" t="s">
        <v>1692</v>
      </c>
      <c r="X121" s="12" t="s">
        <v>1693</v>
      </c>
      <c r="Y121" s="28" t="s">
        <v>1720</v>
      </c>
    </row>
    <row r="122" spans="1:25" ht="14.25" customHeight="1">
      <c r="A122" s="12">
        <v>121</v>
      </c>
      <c r="B122" s="12" t="s">
        <v>1695</v>
      </c>
      <c r="C122" s="13" t="str">
        <f t="array" ref="C122">IFERROR(INDEX('iCoA Register'!$B:$B,MATCH("P060062|R",'iCoA Register'!$P:$P,0)),"— at issue —")</f>
        <v>— at issue —</v>
      </c>
      <c r="D122" s="13" t="str">
        <f t="array" ref="D122">IFERROR(INDEX('CoQ Register'!$B:$B,MATCH("P060062|R",'CoQ Register'!$S:$S,0)),"—")</f>
        <v>— at issue —</v>
      </c>
      <c r="E122" s="12" t="s">
        <v>1684</v>
      </c>
      <c r="F122" s="12" t="s">
        <v>851</v>
      </c>
      <c r="G122" s="12" t="s">
        <v>1932</v>
      </c>
      <c r="H122" s="12" t="s">
        <v>1686</v>
      </c>
      <c r="I122" s="12" t="s">
        <v>1699</v>
      </c>
      <c r="J122" s="45" t="str">
        <f t="array" ref="J122">IFERROR(INDEX('CoQ Register'!$D:$D,MATCH("P060062|R",'CoQ Register'!$S:$S,0)),"")</f>
        <v/>
      </c>
      <c r="K122" s="13" t="s">
        <v>165</v>
      </c>
      <c r="L122" s="12" t="s">
        <v>160</v>
      </c>
      <c r="M122" s="12" t="s">
        <v>158</v>
      </c>
      <c r="N122" s="12" t="s">
        <v>1284</v>
      </c>
      <c r="O122" s="12" t="s">
        <v>1280</v>
      </c>
      <c r="P122" s="12" t="s">
        <v>1280</v>
      </c>
      <c r="Q122" s="12" t="s">
        <v>856</v>
      </c>
      <c r="R122" s="12" t="s">
        <v>1689</v>
      </c>
      <c r="S122" s="12" t="s">
        <v>1689</v>
      </c>
      <c r="T122" s="12" t="s">
        <v>1689</v>
      </c>
      <c r="U122" s="12" t="s">
        <v>1934</v>
      </c>
      <c r="V122" s="12" t="s">
        <v>1934</v>
      </c>
      <c r="W122" s="12" t="s">
        <v>1935</v>
      </c>
      <c r="X122" s="12" t="s">
        <v>1693</v>
      </c>
      <c r="Y122" s="24" t="s">
        <v>1703</v>
      </c>
    </row>
    <row r="123" spans="1:25" ht="14.25" customHeight="1">
      <c r="A123" s="12">
        <v>122</v>
      </c>
      <c r="B123" s="12" t="s">
        <v>1714</v>
      </c>
      <c r="C123" s="13" t="str">
        <f t="array" ref="C123">IFERROR(INDEX('iCoA Register'!$B:$B,MATCH("P060072|R",'iCoA Register'!$P:$P,0)),"— at issue —")</f>
        <v>— at issue —</v>
      </c>
      <c r="D123" s="13" t="str">
        <f t="array" ref="D123">IFERROR(INDEX('CoQ Register'!$B:$B,MATCH("P060072|R",'CoQ Register'!$S:$S,0)),"—")</f>
        <v>— at issue —</v>
      </c>
      <c r="E123" s="12" t="s">
        <v>1684</v>
      </c>
      <c r="F123" s="12" t="s">
        <v>851</v>
      </c>
      <c r="G123" s="12" t="s">
        <v>1936</v>
      </c>
      <c r="H123" s="12" t="s">
        <v>1686</v>
      </c>
      <c r="I123" s="12" t="s">
        <v>1719</v>
      </c>
      <c r="J123" s="45" t="str">
        <f t="array" ref="J123">IFERROR(INDEX('CoQ Register'!$D:$D,MATCH("P060072|R",'CoQ Register'!$S:$S,0)),"")</f>
        <v/>
      </c>
      <c r="K123" s="13" t="s">
        <v>137</v>
      </c>
      <c r="L123" s="12" t="s">
        <v>127</v>
      </c>
      <c r="M123" s="12" t="s">
        <v>75</v>
      </c>
      <c r="N123" s="12" t="s">
        <v>1267</v>
      </c>
      <c r="O123" s="12" t="s">
        <v>1302</v>
      </c>
      <c r="P123" s="12" t="s">
        <v>1302</v>
      </c>
      <c r="Q123" s="12" t="s">
        <v>856</v>
      </c>
      <c r="R123" s="12" t="s">
        <v>1689</v>
      </c>
      <c r="S123" s="12" t="s">
        <v>1689</v>
      </c>
      <c r="T123" s="12" t="s">
        <v>1689</v>
      </c>
      <c r="U123" s="28" t="s">
        <v>1691</v>
      </c>
      <c r="V123" s="28" t="s">
        <v>1692</v>
      </c>
      <c r="W123" s="28" t="s">
        <v>1692</v>
      </c>
      <c r="X123" s="12" t="s">
        <v>1693</v>
      </c>
      <c r="Y123" s="28" t="s">
        <v>1720</v>
      </c>
    </row>
    <row r="124" spans="1:25" ht="14.25" customHeight="1">
      <c r="A124" s="12">
        <v>123</v>
      </c>
      <c r="B124" s="12" t="s">
        <v>1714</v>
      </c>
      <c r="C124" s="13" t="str">
        <f t="array" ref="C124">IFERROR(INDEX('iCoA Register'!$B:$B,MATCH("P060082|R",'iCoA Register'!$P:$P,0)),"— at issue —")</f>
        <v>— at issue —</v>
      </c>
      <c r="D124" s="13" t="str">
        <f t="array" ref="D124">IFERROR(INDEX('CoQ Register'!$B:$B,MATCH("P060082|R",'CoQ Register'!$S:$S,0)),"—")</f>
        <v>— at issue —</v>
      </c>
      <c r="E124" s="12" t="s">
        <v>1684</v>
      </c>
      <c r="F124" s="12" t="s">
        <v>851</v>
      </c>
      <c r="G124" s="12" t="s">
        <v>1936</v>
      </c>
      <c r="H124" s="12" t="s">
        <v>1686</v>
      </c>
      <c r="I124" s="12" t="s">
        <v>1719</v>
      </c>
      <c r="J124" s="45" t="str">
        <f t="array" ref="J124">IFERROR(INDEX('CoQ Register'!$D:$D,MATCH("P060082|R",'CoQ Register'!$S:$S,0)),"")</f>
        <v/>
      </c>
      <c r="K124" s="13" t="s">
        <v>151</v>
      </c>
      <c r="L124" s="12" t="s">
        <v>149</v>
      </c>
      <c r="M124" s="12"/>
      <c r="N124" s="12" t="s">
        <v>1317</v>
      </c>
      <c r="O124" s="12" t="s">
        <v>1302</v>
      </c>
      <c r="P124" s="12" t="s">
        <v>1302</v>
      </c>
      <c r="Q124" s="12" t="s">
        <v>856</v>
      </c>
      <c r="R124" s="12" t="s">
        <v>1689</v>
      </c>
      <c r="S124" s="12" t="s">
        <v>1689</v>
      </c>
      <c r="T124" s="12" t="s">
        <v>1689</v>
      </c>
      <c r="U124" s="28" t="s">
        <v>1691</v>
      </c>
      <c r="V124" s="28" t="s">
        <v>1692</v>
      </c>
      <c r="W124" s="28" t="s">
        <v>1692</v>
      </c>
      <c r="X124" s="12" t="s">
        <v>1693</v>
      </c>
      <c r="Y124" s="28" t="s">
        <v>1720</v>
      </c>
    </row>
    <row r="125" spans="1:25" ht="14.25" customHeight="1">
      <c r="A125" s="12">
        <v>124</v>
      </c>
      <c r="B125" s="12" t="s">
        <v>1714</v>
      </c>
      <c r="C125" s="13" t="str">
        <f t="array" ref="C125">IFERROR(INDEX('iCoA Register'!$B:$B,MATCH("P060092|R",'iCoA Register'!$P:$P,0)),"— at issue —")</f>
        <v>— at issue —</v>
      </c>
      <c r="D125" s="13" t="str">
        <f t="array" ref="D125">IFERROR(INDEX('CoQ Register'!$B:$B,MATCH("P060092|R",'CoQ Register'!$S:$S,0)),"—")</f>
        <v>— at issue —</v>
      </c>
      <c r="E125" s="12" t="s">
        <v>1684</v>
      </c>
      <c r="F125" s="12" t="s">
        <v>851</v>
      </c>
      <c r="G125" s="12" t="s">
        <v>1948</v>
      </c>
      <c r="H125" s="12" t="s">
        <v>1686</v>
      </c>
      <c r="I125" s="12" t="s">
        <v>1719</v>
      </c>
      <c r="J125" s="45" t="str">
        <f t="array" ref="J125">IFERROR(INDEX('CoQ Register'!$D:$D,MATCH("P060092|R",'CoQ Register'!$S:$S,0)),"")</f>
        <v/>
      </c>
      <c r="K125" s="13" t="s">
        <v>180</v>
      </c>
      <c r="L125" s="12" t="s">
        <v>179</v>
      </c>
      <c r="M125" s="12" t="s">
        <v>178</v>
      </c>
      <c r="N125" s="12" t="s">
        <v>1322</v>
      </c>
      <c r="O125" s="12" t="s">
        <v>1323</v>
      </c>
      <c r="P125" s="12" t="s">
        <v>1324</v>
      </c>
      <c r="Q125" s="12" t="s">
        <v>856</v>
      </c>
      <c r="R125" s="12" t="s">
        <v>1689</v>
      </c>
      <c r="S125" s="12" t="s">
        <v>1689</v>
      </c>
      <c r="T125" s="12" t="s">
        <v>1689</v>
      </c>
      <c r="U125" s="28" t="s">
        <v>1691</v>
      </c>
      <c r="V125" s="28" t="s">
        <v>1692</v>
      </c>
      <c r="W125" s="28" t="s">
        <v>1692</v>
      </c>
      <c r="X125" s="12" t="s">
        <v>1693</v>
      </c>
      <c r="Y125" s="28" t="s">
        <v>1720</v>
      </c>
    </row>
    <row r="126" spans="1:25" ht="14.25" customHeight="1">
      <c r="A126" s="12">
        <v>125</v>
      </c>
      <c r="B126" s="12" t="s">
        <v>1680</v>
      </c>
      <c r="C126" s="13" t="str">
        <f t="array" ref="C126">IFERROR(INDEX('iCoA Register'!$B:$B,MATCH("P060052|R",'iCoA Register'!$P:$P,0)),"— at issue —")</f>
        <v>— at issue —</v>
      </c>
      <c r="D126" s="13" t="str">
        <f t="array" ref="D126">IFERROR(INDEX('CoQ Register'!$B:$B,MATCH("P060052|R",'CoQ Register'!$S:$S,0)),"—")</f>
        <v>— at issue —</v>
      </c>
      <c r="E126" s="12" t="s">
        <v>1684</v>
      </c>
      <c r="F126" s="12" t="s">
        <v>851</v>
      </c>
      <c r="G126" s="12" t="s">
        <v>1955</v>
      </c>
      <c r="H126" s="12" t="s">
        <v>1686</v>
      </c>
      <c r="I126" s="12" t="s">
        <v>1687</v>
      </c>
      <c r="J126" s="45" t="str">
        <f t="array" ref="J126">IFERROR(INDEX('CoQ Register'!$D:$D,MATCH("P060052|R",'CoQ Register'!$S:$S,0)),"")</f>
        <v/>
      </c>
      <c r="K126" s="13" t="s">
        <v>154</v>
      </c>
      <c r="L126" s="12" t="s">
        <v>153</v>
      </c>
      <c r="M126" s="12" t="s">
        <v>152</v>
      </c>
      <c r="N126" s="12" t="s">
        <v>1284</v>
      </c>
      <c r="O126" s="12" t="s">
        <v>1285</v>
      </c>
      <c r="P126" s="12" t="s">
        <v>1280</v>
      </c>
      <c r="Q126" s="12" t="s">
        <v>856</v>
      </c>
      <c r="R126" s="12" t="s">
        <v>1689</v>
      </c>
      <c r="S126" s="12" t="s">
        <v>1689</v>
      </c>
      <c r="T126" s="12" t="s">
        <v>1689</v>
      </c>
      <c r="U126" s="28" t="s">
        <v>1691</v>
      </c>
      <c r="V126" s="28" t="s">
        <v>1692</v>
      </c>
      <c r="W126" s="28" t="s">
        <v>1692</v>
      </c>
      <c r="X126" s="12" t="s">
        <v>1693</v>
      </c>
      <c r="Y126" s="12" t="s">
        <v>1694</v>
      </c>
    </row>
    <row r="127" spans="1:25" ht="14.25" customHeight="1">
      <c r="A127" s="12">
        <v>126</v>
      </c>
      <c r="B127" s="12" t="s">
        <v>1680</v>
      </c>
      <c r="C127" s="13" t="str">
        <f t="array" ref="C127">IFERROR(INDEX('iCoA Register'!$B:$B,MATCH("P060162|R",'iCoA Register'!$P:$P,0)),"— at issue —")</f>
        <v>— at issue —</v>
      </c>
      <c r="D127" s="13" t="str">
        <f t="array" ref="D127">IFERROR(INDEX('CoQ Register'!$B:$B,MATCH("P060162|R",'CoQ Register'!$S:$S,0)),"—")</f>
        <v>— at issue —</v>
      </c>
      <c r="E127" s="12" t="s">
        <v>1684</v>
      </c>
      <c r="F127" s="12" t="s">
        <v>851</v>
      </c>
      <c r="G127" s="12" t="s">
        <v>1963</v>
      </c>
      <c r="H127" s="12" t="s">
        <v>1686</v>
      </c>
      <c r="I127" s="12" t="s">
        <v>1687</v>
      </c>
      <c r="J127" s="45" t="str">
        <f t="array" ref="J127">IFERROR(INDEX('CoQ Register'!$D:$D,MATCH("P060162|R",'CoQ Register'!$S:$S,0)),"")</f>
        <v/>
      </c>
      <c r="K127" s="13" t="s">
        <v>611</v>
      </c>
      <c r="L127" s="12" t="s">
        <v>614</v>
      </c>
      <c r="M127" s="12" t="s">
        <v>485</v>
      </c>
      <c r="N127" s="12" t="s">
        <v>1381</v>
      </c>
      <c r="O127" s="12" t="s">
        <v>1382</v>
      </c>
      <c r="P127" s="12" t="s">
        <v>1375</v>
      </c>
      <c r="Q127" s="12" t="s">
        <v>856</v>
      </c>
      <c r="R127" s="12" t="s">
        <v>1689</v>
      </c>
      <c r="S127" s="12" t="s">
        <v>1689</v>
      </c>
      <c r="T127" s="12" t="s">
        <v>1689</v>
      </c>
      <c r="U127" s="28" t="s">
        <v>1691</v>
      </c>
      <c r="V127" s="28" t="s">
        <v>1692</v>
      </c>
      <c r="W127" s="28" t="s">
        <v>1692</v>
      </c>
      <c r="X127" s="12" t="s">
        <v>1693</v>
      </c>
      <c r="Y127" s="12" t="s">
        <v>1694</v>
      </c>
    </row>
    <row r="128" spans="1:25" ht="14.25" customHeight="1">
      <c r="A128" s="12">
        <v>127</v>
      </c>
      <c r="B128" s="12" t="s">
        <v>1714</v>
      </c>
      <c r="C128" s="13" t="str">
        <f t="array" ref="C128">IFERROR(INDEX('iCoA Register'!$B:$B,MATCH("P060192|R",'iCoA Register'!$P:$P,0)),"— at issue —")</f>
        <v>— at issue —</v>
      </c>
      <c r="D128" s="13" t="str">
        <f t="array" ref="D128">IFERROR(INDEX('CoQ Register'!$B:$B,MATCH("P060192|R",'CoQ Register'!$S:$S,0)),"—")</f>
        <v>— at issue —</v>
      </c>
      <c r="E128" s="12" t="s">
        <v>1684</v>
      </c>
      <c r="F128" s="12" t="s">
        <v>851</v>
      </c>
      <c r="G128" s="12" t="s">
        <v>1963</v>
      </c>
      <c r="H128" s="12" t="s">
        <v>1686</v>
      </c>
      <c r="I128" s="12" t="s">
        <v>1719</v>
      </c>
      <c r="J128" s="45" t="str">
        <f t="array" ref="J128">IFERROR(INDEX('CoQ Register'!$D:$D,MATCH("P060192|R",'CoQ Register'!$S:$S,0)),"")</f>
        <v/>
      </c>
      <c r="K128" s="13" t="s">
        <v>617</v>
      </c>
      <c r="L128" s="12" t="s">
        <v>619</v>
      </c>
      <c r="M128" s="12" t="s">
        <v>147</v>
      </c>
      <c r="N128" s="12" t="s">
        <v>1410</v>
      </c>
      <c r="O128" s="12" t="s">
        <v>1411</v>
      </c>
      <c r="P128" s="12" t="s">
        <v>1407</v>
      </c>
      <c r="Q128" s="12" t="s">
        <v>856</v>
      </c>
      <c r="R128" s="12" t="s">
        <v>1689</v>
      </c>
      <c r="S128" s="12" t="s">
        <v>1689</v>
      </c>
      <c r="T128" s="12" t="s">
        <v>1689</v>
      </c>
      <c r="U128" s="28" t="s">
        <v>1691</v>
      </c>
      <c r="V128" s="28" t="s">
        <v>1692</v>
      </c>
      <c r="W128" s="28" t="s">
        <v>1692</v>
      </c>
      <c r="X128" s="12" t="s">
        <v>1693</v>
      </c>
      <c r="Y128" s="28" t="s">
        <v>1720</v>
      </c>
    </row>
    <row r="129" spans="1:25" ht="14.25" customHeight="1">
      <c r="A129" s="12">
        <v>128</v>
      </c>
      <c r="B129" s="12" t="s">
        <v>1695</v>
      </c>
      <c r="C129" s="13" t="str">
        <f t="array" ref="C129">IFERROR(INDEX('iCoA Register'!$B:$B,MATCH("P060152|R",'iCoA Register'!$P:$P,0)),"— at issue —")</f>
        <v>— at issue —</v>
      </c>
      <c r="D129" s="13" t="str">
        <f t="array" ref="D129">IFERROR(INDEX('CoQ Register'!$B:$B,MATCH("P060152|R",'CoQ Register'!$S:$S,0)),"—")</f>
        <v>— at issue —</v>
      </c>
      <c r="E129" s="12" t="s">
        <v>1684</v>
      </c>
      <c r="F129" s="12" t="s">
        <v>851</v>
      </c>
      <c r="G129" s="12" t="s">
        <v>1970</v>
      </c>
      <c r="H129" s="12" t="s">
        <v>1686</v>
      </c>
      <c r="I129" s="12" t="s">
        <v>1699</v>
      </c>
      <c r="J129" s="45" t="str">
        <f t="array" ref="J129">IFERROR(INDEX('CoQ Register'!$D:$D,MATCH("P060152|R",'CoQ Register'!$S:$S,0)),"")</f>
        <v/>
      </c>
      <c r="K129" s="13" t="s">
        <v>276</v>
      </c>
      <c r="L129" s="12" t="s">
        <v>279</v>
      </c>
      <c r="M129" s="12" t="s">
        <v>277</v>
      </c>
      <c r="N129" s="12" t="s">
        <v>1195</v>
      </c>
      <c r="O129" s="12" t="s">
        <v>1358</v>
      </c>
      <c r="P129" s="12" t="s">
        <v>1358</v>
      </c>
      <c r="Q129" s="12" t="s">
        <v>856</v>
      </c>
      <c r="R129" s="12" t="s">
        <v>1689</v>
      </c>
      <c r="S129" s="12" t="s">
        <v>1689</v>
      </c>
      <c r="T129" s="12" t="s">
        <v>1689</v>
      </c>
      <c r="U129" s="12" t="s">
        <v>916</v>
      </c>
      <c r="V129" s="12" t="s">
        <v>916</v>
      </c>
      <c r="W129" s="12" t="s">
        <v>736</v>
      </c>
      <c r="X129" s="12" t="s">
        <v>1693</v>
      </c>
      <c r="Y129" s="24" t="s">
        <v>1703</v>
      </c>
    </row>
    <row r="130" spans="1:25" ht="14.25" customHeight="1">
      <c r="A130" s="12">
        <v>129</v>
      </c>
      <c r="B130" s="12" t="s">
        <v>1680</v>
      </c>
      <c r="C130" s="13" t="str">
        <f t="array" ref="C130">IFERROR(INDEX('iCoA Register'!$B:$B,MATCH("P060222|R",'iCoA Register'!$P:$P,0)),"— at issue —")</f>
        <v>— at issue —</v>
      </c>
      <c r="D130" s="13" t="str">
        <f t="array" ref="D130">IFERROR(INDEX('CoQ Register'!$B:$B,MATCH("P060222|R",'CoQ Register'!$S:$S,0)),"—")</f>
        <v>— at issue —</v>
      </c>
      <c r="E130" s="12" t="s">
        <v>1684</v>
      </c>
      <c r="F130" s="12" t="s">
        <v>851</v>
      </c>
      <c r="G130" s="12" t="s">
        <v>1970</v>
      </c>
      <c r="H130" s="12" t="s">
        <v>1686</v>
      </c>
      <c r="I130" s="12" t="s">
        <v>1687</v>
      </c>
      <c r="J130" s="45" t="str">
        <f t="array" ref="J130">IFERROR(INDEX('CoQ Register'!$D:$D,MATCH("P060222|R",'CoQ Register'!$S:$S,0)),"")</f>
        <v/>
      </c>
      <c r="K130" s="13" t="s">
        <v>379</v>
      </c>
      <c r="L130" s="12" t="s">
        <v>380</v>
      </c>
      <c r="M130" s="12" t="s">
        <v>103</v>
      </c>
      <c r="N130" s="12" t="s">
        <v>1446</v>
      </c>
      <c r="O130" s="12" t="s">
        <v>1447</v>
      </c>
      <c r="P130" s="12" t="s">
        <v>1443</v>
      </c>
      <c r="Q130" s="12" t="s">
        <v>856</v>
      </c>
      <c r="R130" s="12" t="s">
        <v>1689</v>
      </c>
      <c r="S130" s="12" t="s">
        <v>1689</v>
      </c>
      <c r="T130" s="12" t="s">
        <v>1689</v>
      </c>
      <c r="U130" s="28" t="s">
        <v>1691</v>
      </c>
      <c r="V130" s="28" t="s">
        <v>1692</v>
      </c>
      <c r="W130" s="28" t="s">
        <v>1692</v>
      </c>
      <c r="X130" s="12" t="s">
        <v>1693</v>
      </c>
      <c r="Y130" s="12" t="s">
        <v>1694</v>
      </c>
    </row>
    <row r="131" spans="1:25" ht="14.25" customHeight="1">
      <c r="A131" s="12">
        <v>130</v>
      </c>
      <c r="B131" s="12" t="s">
        <v>1714</v>
      </c>
      <c r="C131" s="13" t="str">
        <f t="array" ref="C131">IFERROR(INDEX('iCoA Register'!$B:$B,MATCH("P060172|R",'iCoA Register'!$P:$P,0)),"— at issue —")</f>
        <v>— at issue —</v>
      </c>
      <c r="D131" s="13" t="str">
        <f t="array" ref="D131">IFERROR(INDEX('CoQ Register'!$B:$B,MATCH("P060172|R",'CoQ Register'!$S:$S,0)),"—")</f>
        <v>— at issue —</v>
      </c>
      <c r="E131" s="12" t="s">
        <v>1684</v>
      </c>
      <c r="F131" s="12" t="s">
        <v>851</v>
      </c>
      <c r="G131" s="12" t="s">
        <v>1982</v>
      </c>
      <c r="H131" s="12" t="s">
        <v>1686</v>
      </c>
      <c r="I131" s="12" t="s">
        <v>1719</v>
      </c>
      <c r="J131" s="45" t="str">
        <f t="array" ref="J131">IFERROR(INDEX('CoQ Register'!$D:$D,MATCH("P060172|R",'CoQ Register'!$S:$S,0)),"")</f>
        <v/>
      </c>
      <c r="K131" s="13" t="s">
        <v>355</v>
      </c>
      <c r="L131" s="12" t="s">
        <v>357</v>
      </c>
      <c r="M131" s="12" t="s">
        <v>359</v>
      </c>
      <c r="N131" s="12" t="s">
        <v>1394</v>
      </c>
      <c r="O131" s="12" t="s">
        <v>1391</v>
      </c>
      <c r="P131" s="12" t="s">
        <v>1391</v>
      </c>
      <c r="Q131" s="12" t="s">
        <v>856</v>
      </c>
      <c r="R131" s="12" t="s">
        <v>1689</v>
      </c>
      <c r="S131" s="12" t="s">
        <v>1689</v>
      </c>
      <c r="T131" s="12" t="s">
        <v>1689</v>
      </c>
      <c r="U131" s="28" t="s">
        <v>1691</v>
      </c>
      <c r="V131" s="28" t="s">
        <v>1692</v>
      </c>
      <c r="W131" s="28" t="s">
        <v>1692</v>
      </c>
      <c r="X131" s="12" t="s">
        <v>1693</v>
      </c>
      <c r="Y131" s="28" t="s">
        <v>1720</v>
      </c>
    </row>
    <row r="132" spans="1:25" ht="14.25" customHeight="1">
      <c r="A132" s="12">
        <v>131</v>
      </c>
      <c r="B132" s="12" t="s">
        <v>1680</v>
      </c>
      <c r="C132" s="13" t="str">
        <f t="array" ref="C132">IFERROR(INDEX('iCoA Register'!$B:$B,MATCH("P060182|R",'iCoA Register'!$P:$P,0)),"— at issue —")</f>
        <v>— at issue —</v>
      </c>
      <c r="D132" s="13" t="str">
        <f t="array" ref="D132">IFERROR(INDEX('CoQ Register'!$B:$B,MATCH("P060182|R",'CoQ Register'!$S:$S,0)),"—")</f>
        <v>— at issue —</v>
      </c>
      <c r="E132" s="12" t="s">
        <v>1684</v>
      </c>
      <c r="F132" s="12" t="s">
        <v>851</v>
      </c>
      <c r="G132" s="12" t="s">
        <v>1987</v>
      </c>
      <c r="H132" s="12" t="s">
        <v>1686</v>
      </c>
      <c r="I132" s="12" t="s">
        <v>1687</v>
      </c>
      <c r="J132" s="45" t="str">
        <f t="array" ref="J132">IFERROR(INDEX('CoQ Register'!$D:$D,MATCH("P060182|R",'CoQ Register'!$S:$S,0)),"")</f>
        <v/>
      </c>
      <c r="K132" s="13" t="s">
        <v>283</v>
      </c>
      <c r="L132" s="12" t="s">
        <v>416</v>
      </c>
      <c r="M132" s="12" t="s">
        <v>1342</v>
      </c>
      <c r="N132" s="12" t="s">
        <v>1381</v>
      </c>
      <c r="O132" s="12" t="s">
        <v>1401</v>
      </c>
      <c r="P132" s="12" t="s">
        <v>1401</v>
      </c>
      <c r="Q132" s="12" t="s">
        <v>856</v>
      </c>
      <c r="R132" s="12" t="s">
        <v>1689</v>
      </c>
      <c r="S132" s="12" t="s">
        <v>1689</v>
      </c>
      <c r="T132" s="12" t="s">
        <v>1689</v>
      </c>
      <c r="U132" s="28" t="s">
        <v>1691</v>
      </c>
      <c r="V132" s="28" t="s">
        <v>1692</v>
      </c>
      <c r="W132" s="28" t="s">
        <v>1692</v>
      </c>
      <c r="X132" s="12" t="s">
        <v>1693</v>
      </c>
      <c r="Y132" s="12" t="s">
        <v>1694</v>
      </c>
    </row>
    <row r="133" spans="1:25" ht="14.25" customHeight="1">
      <c r="A133" s="12">
        <v>132</v>
      </c>
      <c r="B133" s="12" t="s">
        <v>1680</v>
      </c>
      <c r="C133" s="13" t="str">
        <f t="array" ref="C133">IFERROR(INDEX('iCoA Register'!$B:$B,MATCH("P060202|R",'iCoA Register'!$P:$P,0)),"— at issue —")</f>
        <v>— at issue —</v>
      </c>
      <c r="D133" s="13" t="str">
        <f t="array" ref="D133">IFERROR(INDEX('CoQ Register'!$B:$B,MATCH("P060202|R",'CoQ Register'!$S:$S,0)),"—")</f>
        <v>— at issue —</v>
      </c>
      <c r="E133" s="12" t="s">
        <v>1684</v>
      </c>
      <c r="F133" s="12" t="s">
        <v>851</v>
      </c>
      <c r="G133" s="12" t="s">
        <v>1991</v>
      </c>
      <c r="H133" s="12" t="s">
        <v>1686</v>
      </c>
      <c r="I133" s="12" t="s">
        <v>1687</v>
      </c>
      <c r="J133" s="45" t="str">
        <f t="array" ref="J133">IFERROR(INDEX('CoQ Register'!$D:$D,MATCH("P060202|R",'CoQ Register'!$S:$S,0)),"")</f>
        <v/>
      </c>
      <c r="K133" s="13" t="s">
        <v>310</v>
      </c>
      <c r="L133" s="12" t="s">
        <v>311</v>
      </c>
      <c r="M133" s="12" t="s">
        <v>277</v>
      </c>
      <c r="N133" s="12" t="s">
        <v>1425</v>
      </c>
      <c r="O133" s="12" t="s">
        <v>1426</v>
      </c>
      <c r="P133" s="12" t="s">
        <v>1422</v>
      </c>
      <c r="Q133" s="12" t="s">
        <v>856</v>
      </c>
      <c r="R133" s="12" t="s">
        <v>1689</v>
      </c>
      <c r="S133" s="12" t="s">
        <v>1689</v>
      </c>
      <c r="T133" s="12" t="s">
        <v>1689</v>
      </c>
      <c r="U133" s="28" t="s">
        <v>1691</v>
      </c>
      <c r="V133" s="28" t="s">
        <v>1692</v>
      </c>
      <c r="W133" s="28" t="s">
        <v>1692</v>
      </c>
      <c r="X133" s="12" t="s">
        <v>1693</v>
      </c>
      <c r="Y133" s="12" t="s">
        <v>1694</v>
      </c>
    </row>
    <row r="134" spans="1:25" ht="14.25" customHeight="1">
      <c r="A134" s="12">
        <v>133</v>
      </c>
      <c r="B134" s="12" t="s">
        <v>1695</v>
      </c>
      <c r="C134" s="13" t="str">
        <f t="array" ref="C134">IFERROR(INDEX('iCoA Register'!$B:$B,MATCH("P060212|R",'iCoA Register'!$P:$P,0)),"— at issue —")</f>
        <v>— at issue —</v>
      </c>
      <c r="D134" s="13" t="str">
        <f t="array" ref="D134">IFERROR(INDEX('CoQ Register'!$B:$B,MATCH("P060212|R",'CoQ Register'!$S:$S,0)),"—")</f>
        <v>— at issue —</v>
      </c>
      <c r="E134" s="12" t="s">
        <v>1684</v>
      </c>
      <c r="F134" s="12" t="s">
        <v>851</v>
      </c>
      <c r="G134" s="12" t="s">
        <v>1998</v>
      </c>
      <c r="H134" s="12" t="s">
        <v>1686</v>
      </c>
      <c r="I134" s="12" t="s">
        <v>1699</v>
      </c>
      <c r="J134" s="45" t="str">
        <f t="array" ref="J134">IFERROR(INDEX('CoQ Register'!$D:$D,MATCH("P060212|R",'CoQ Register'!$S:$S,0)),"")</f>
        <v/>
      </c>
      <c r="K134" s="13" t="s">
        <v>284</v>
      </c>
      <c r="L134" s="12" t="s">
        <v>287</v>
      </c>
      <c r="M134" s="12" t="s">
        <v>331</v>
      </c>
      <c r="N134" s="12" t="s">
        <v>1430</v>
      </c>
      <c r="O134" s="12" t="s">
        <v>1428</v>
      </c>
      <c r="P134" s="12" t="s">
        <v>1428</v>
      </c>
      <c r="Q134" s="12" t="s">
        <v>856</v>
      </c>
      <c r="R134" s="12" t="s">
        <v>1689</v>
      </c>
      <c r="S134" s="12" t="s">
        <v>1689</v>
      </c>
      <c r="T134" s="12" t="s">
        <v>1689</v>
      </c>
      <c r="U134" s="12" t="s">
        <v>1151</v>
      </c>
      <c r="V134" s="12" t="s">
        <v>1151</v>
      </c>
      <c r="W134" s="12" t="s">
        <v>1021</v>
      </c>
      <c r="X134" s="12" t="s">
        <v>1693</v>
      </c>
      <c r="Y134" s="24" t="s">
        <v>1703</v>
      </c>
    </row>
    <row r="135" spans="1:25" ht="14.25" customHeight="1">
      <c r="A135" s="12">
        <v>134</v>
      </c>
      <c r="B135" s="12" t="s">
        <v>1714</v>
      </c>
      <c r="C135" s="13" t="str">
        <f t="array" ref="C135">IFERROR(INDEX('iCoA Register'!$B:$B,MATCH("JD112501|R",'iCoA Register'!$P:$P,0)),"— at issue —")</f>
        <v>— at issue —</v>
      </c>
      <c r="D135" s="13" t="str">
        <f t="array" ref="D135">IFERROR(INDEX('CoQ Register'!$B:$B,MATCH("JD112501|R",'CoQ Register'!$S:$S,0)),"—")</f>
        <v>— at issue —</v>
      </c>
      <c r="E135" s="12" t="s">
        <v>1684</v>
      </c>
      <c r="F135" s="12" t="s">
        <v>86</v>
      </c>
      <c r="G135" s="12" t="s">
        <v>1998</v>
      </c>
      <c r="H135" s="12" t="s">
        <v>1686</v>
      </c>
      <c r="I135" s="12" t="s">
        <v>1719</v>
      </c>
      <c r="J135" s="45" t="str">
        <f t="array" ref="J135">IFERROR(INDEX('CoQ Register'!$D:$D,MATCH("JD112501|R",'CoQ Register'!$S:$S,0)),"")</f>
        <v/>
      </c>
      <c r="K135" s="13" t="s">
        <v>349</v>
      </c>
      <c r="L135" s="12" t="s">
        <v>425</v>
      </c>
      <c r="M135" s="12" t="s">
        <v>331</v>
      </c>
      <c r="N135" s="28" t="s">
        <v>1438</v>
      </c>
      <c r="O135" s="28" t="s">
        <v>1438</v>
      </c>
      <c r="P135" s="28" t="s">
        <v>1436</v>
      </c>
      <c r="Q135" s="12" t="s">
        <v>856</v>
      </c>
      <c r="R135" s="12" t="s">
        <v>1689</v>
      </c>
      <c r="S135" s="12" t="s">
        <v>1689</v>
      </c>
      <c r="T135" s="12" t="s">
        <v>1689</v>
      </c>
      <c r="U135" s="28" t="s">
        <v>1691</v>
      </c>
      <c r="V135" s="28" t="s">
        <v>1692</v>
      </c>
      <c r="W135" s="28" t="s">
        <v>1692</v>
      </c>
      <c r="X135" s="12" t="s">
        <v>1693</v>
      </c>
      <c r="Y135" s="28" t="s">
        <v>1720</v>
      </c>
    </row>
    <row r="136" spans="1:25" ht="14.25" customHeight="1">
      <c r="A136" s="12">
        <v>135</v>
      </c>
      <c r="B136" s="12" t="s">
        <v>2007</v>
      </c>
      <c r="C136" s="13" t="str">
        <f t="array" ref="C136">IFERROR(INDEX('iCoA Register'!$B:$B,MATCH("P060262|R",'iCoA Register'!$P:$P,0)),"— at issue —")</f>
        <v>— at issue —</v>
      </c>
      <c r="D136" s="13" t="str">
        <f t="array" ref="D136">IFERROR(INDEX('CoQ Register'!$B:$B,MATCH("P060262|R",'CoQ Register'!$S:$S,0)),"—")</f>
        <v>— at issue —</v>
      </c>
      <c r="E136" s="12" t="s">
        <v>1684</v>
      </c>
      <c r="F136" s="12" t="s">
        <v>1477</v>
      </c>
      <c r="G136" s="12" t="s">
        <v>2010</v>
      </c>
      <c r="H136" s="12" t="s">
        <v>1686</v>
      </c>
      <c r="I136" s="12" t="s">
        <v>2013</v>
      </c>
      <c r="J136" s="45" t="str">
        <f t="array" ref="J136">IFERROR(INDEX('CoQ Register'!$D:$D,MATCH("P060262|R",'CoQ Register'!$S:$S,0)),"")</f>
        <v/>
      </c>
      <c r="K136" s="13" t="s">
        <v>318</v>
      </c>
      <c r="L136" s="12" t="s">
        <v>319</v>
      </c>
      <c r="M136" s="12" t="s">
        <v>277</v>
      </c>
      <c r="N136" s="12" t="s">
        <v>1374</v>
      </c>
      <c r="O136" s="12" t="s">
        <v>1481</v>
      </c>
      <c r="P136" s="12" t="s">
        <v>1479</v>
      </c>
      <c r="Q136" s="12" t="s">
        <v>856</v>
      </c>
      <c r="R136" s="12" t="s">
        <v>1689</v>
      </c>
      <c r="S136" s="12" t="s">
        <v>1689</v>
      </c>
      <c r="T136" s="12" t="s">
        <v>1689</v>
      </c>
      <c r="U136" s="12" t="s">
        <v>1028</v>
      </c>
      <c r="V136" s="12" t="s">
        <v>1028</v>
      </c>
      <c r="W136" s="12" t="s">
        <v>894</v>
      </c>
      <c r="X136" s="12" t="s">
        <v>1693</v>
      </c>
      <c r="Y136" s="24" t="s">
        <v>2018</v>
      </c>
    </row>
    <row r="137" spans="1:25" ht="14.25" customHeight="1">
      <c r="A137" s="12">
        <v>136</v>
      </c>
      <c r="B137" s="12" t="s">
        <v>1714</v>
      </c>
      <c r="C137" s="13" t="str">
        <f t="array" ref="C137">IFERROR(INDEX('iCoA Register'!$B:$B,MATCH("P060232|R",'iCoA Register'!$P:$P,0)),"— at issue —")</f>
        <v>— at issue —</v>
      </c>
      <c r="D137" s="13" t="str">
        <f t="array" ref="D137">IFERROR(INDEX('CoQ Register'!$B:$B,MATCH("P060232|R",'CoQ Register'!$S:$S,0)),"—")</f>
        <v>— at issue —</v>
      </c>
      <c r="E137" s="12" t="s">
        <v>1684</v>
      </c>
      <c r="F137" s="12" t="s">
        <v>851</v>
      </c>
      <c r="G137" s="12" t="s">
        <v>2020</v>
      </c>
      <c r="H137" s="12" t="s">
        <v>1686</v>
      </c>
      <c r="I137" s="12" t="s">
        <v>1719</v>
      </c>
      <c r="J137" s="45" t="str">
        <f t="array" ref="J137">IFERROR(INDEX('CoQ Register'!$D:$D,MATCH("P060232|R",'CoQ Register'!$S:$S,0)),"")</f>
        <v/>
      </c>
      <c r="K137" s="13" t="s">
        <v>471</v>
      </c>
      <c r="L137" s="12" t="s">
        <v>474</v>
      </c>
      <c r="M137" s="12" t="s">
        <v>158</v>
      </c>
      <c r="N137" s="12" t="s">
        <v>1446</v>
      </c>
      <c r="O137" s="12" t="s">
        <v>1451</v>
      </c>
      <c r="P137" s="12" t="s">
        <v>1451</v>
      </c>
      <c r="Q137" s="12" t="s">
        <v>856</v>
      </c>
      <c r="R137" s="12" t="s">
        <v>1689</v>
      </c>
      <c r="S137" s="12" t="s">
        <v>1689</v>
      </c>
      <c r="T137" s="12" t="s">
        <v>1689</v>
      </c>
      <c r="U137" s="28" t="s">
        <v>1691</v>
      </c>
      <c r="V137" s="28" t="s">
        <v>1692</v>
      </c>
      <c r="W137" s="28" t="s">
        <v>1692</v>
      </c>
      <c r="X137" s="12" t="s">
        <v>1693</v>
      </c>
      <c r="Y137" s="28" t="s">
        <v>1720</v>
      </c>
    </row>
    <row r="138" spans="1:25" ht="14.25" customHeight="1">
      <c r="A138" s="12">
        <v>137</v>
      </c>
      <c r="B138" s="12" t="s">
        <v>1695</v>
      </c>
      <c r="C138" s="13" t="str">
        <f t="array" ref="C138">IFERROR(INDEX('iCoA Register'!$B:$B,MATCH("P060242|R",'iCoA Register'!$P:$P,0)),"— at issue —")</f>
        <v>— at issue —</v>
      </c>
      <c r="D138" s="13" t="str">
        <f t="array" ref="D138">IFERROR(INDEX('CoQ Register'!$B:$B,MATCH("P060242|R",'CoQ Register'!$S:$S,0)),"—")</f>
        <v>— at issue —</v>
      </c>
      <c r="E138" s="12" t="s">
        <v>1684</v>
      </c>
      <c r="F138" s="12" t="s">
        <v>851</v>
      </c>
      <c r="G138" s="12" t="s">
        <v>2028</v>
      </c>
      <c r="H138" s="12" t="s">
        <v>1686</v>
      </c>
      <c r="I138" s="12" t="s">
        <v>1699</v>
      </c>
      <c r="J138" s="45" t="str">
        <f t="array" ref="J138">IFERROR(INDEX('CoQ Register'!$D:$D,MATCH("P060242|R",'CoQ Register'!$S:$S,0)),"")</f>
        <v/>
      </c>
      <c r="K138" s="13" t="s">
        <v>299</v>
      </c>
      <c r="L138" s="12" t="s">
        <v>301</v>
      </c>
      <c r="M138" s="12" t="s">
        <v>103</v>
      </c>
      <c r="N138" s="12" t="s">
        <v>1466</v>
      </c>
      <c r="O138" s="12" t="s">
        <v>1462</v>
      </c>
      <c r="P138" s="12" t="s">
        <v>1462</v>
      </c>
      <c r="Q138" s="12" t="s">
        <v>856</v>
      </c>
      <c r="R138" s="12" t="s">
        <v>1689</v>
      </c>
      <c r="S138" s="12" t="s">
        <v>1689</v>
      </c>
      <c r="T138" s="12" t="s">
        <v>1689</v>
      </c>
      <c r="U138" s="12" t="s">
        <v>1292</v>
      </c>
      <c r="V138" s="12" t="s">
        <v>1292</v>
      </c>
      <c r="W138" s="12" t="s">
        <v>1290</v>
      </c>
      <c r="X138" s="12" t="s">
        <v>1693</v>
      </c>
      <c r="Y138" s="24" t="s">
        <v>1703</v>
      </c>
    </row>
    <row r="139" spans="1:25" ht="14.25" customHeight="1">
      <c r="A139" s="12">
        <v>138</v>
      </c>
      <c r="B139" s="12" t="s">
        <v>1680</v>
      </c>
      <c r="C139" s="13" t="str">
        <f t="array" ref="C139">IFERROR(INDEX('iCoA Register'!$B:$B,MATCH("P060272|R",'iCoA Register'!$P:$P,0)),"— at issue —")</f>
        <v>— at issue —</v>
      </c>
      <c r="D139" s="13" t="str">
        <f t="array" ref="D139">IFERROR(INDEX('CoQ Register'!$B:$B,MATCH("P060272|R",'CoQ Register'!$S:$S,0)),"—")</f>
        <v>— at issue —</v>
      </c>
      <c r="E139" s="12" t="s">
        <v>1684</v>
      </c>
      <c r="F139" s="12" t="s">
        <v>1477</v>
      </c>
      <c r="G139" s="12" t="s">
        <v>2035</v>
      </c>
      <c r="H139" s="12" t="s">
        <v>1686</v>
      </c>
      <c r="I139" s="12" t="s">
        <v>1687</v>
      </c>
      <c r="J139" s="45" t="str">
        <f t="array" ref="J139">IFERROR(INDEX('CoQ Register'!$D:$D,MATCH("P060272|R",'CoQ Register'!$S:$S,0)),"")</f>
        <v/>
      </c>
      <c r="K139" s="13" t="s">
        <v>161</v>
      </c>
      <c r="L139" s="12" t="s">
        <v>162</v>
      </c>
      <c r="M139" s="12" t="s">
        <v>1489</v>
      </c>
      <c r="N139" s="12" t="s">
        <v>1430</v>
      </c>
      <c r="O139" s="12" t="s">
        <v>1490</v>
      </c>
      <c r="P139" s="12" t="s">
        <v>1485</v>
      </c>
      <c r="Q139" s="12" t="s">
        <v>856</v>
      </c>
      <c r="R139" s="12" t="s">
        <v>1689</v>
      </c>
      <c r="S139" s="12" t="s">
        <v>1689</v>
      </c>
      <c r="T139" s="12" t="s">
        <v>1689</v>
      </c>
      <c r="U139" s="28" t="s">
        <v>1691</v>
      </c>
      <c r="V139" s="28" t="s">
        <v>1692</v>
      </c>
      <c r="W139" s="28" t="s">
        <v>1692</v>
      </c>
      <c r="X139" s="12" t="s">
        <v>1693</v>
      </c>
      <c r="Y139" s="12" t="s">
        <v>1694</v>
      </c>
    </row>
    <row r="140" spans="1:25" ht="14.25" customHeight="1">
      <c r="A140" s="12">
        <v>139</v>
      </c>
      <c r="B140" s="12" t="s">
        <v>1680</v>
      </c>
      <c r="C140" s="13" t="str">
        <f t="array" ref="C140">IFERROR(INDEX('iCoA Register'!$B:$B,MATCH("P060292|R",'iCoA Register'!$P:$P,0)),"— at issue —")</f>
        <v>— at issue —</v>
      </c>
      <c r="D140" s="13" t="str">
        <f t="array" ref="D140">IFERROR(INDEX('CoQ Register'!$B:$B,MATCH("P060292|R",'CoQ Register'!$S:$S,0)),"—")</f>
        <v>— at issue —</v>
      </c>
      <c r="E140" s="12" t="s">
        <v>1684</v>
      </c>
      <c r="F140" s="12" t="s">
        <v>1477</v>
      </c>
      <c r="G140" s="12" t="s">
        <v>2035</v>
      </c>
      <c r="H140" s="12" t="s">
        <v>1686</v>
      </c>
      <c r="I140" s="12" t="s">
        <v>1687</v>
      </c>
      <c r="J140" s="45" t="str">
        <f t="array" ref="J140">IFERROR(INDEX('CoQ Register'!$D:$D,MATCH("P060292|R",'CoQ Register'!$S:$S,0)),"")</f>
        <v/>
      </c>
      <c r="K140" s="13" t="s">
        <v>228</v>
      </c>
      <c r="L140" s="12" t="s">
        <v>229</v>
      </c>
      <c r="M140" s="12" t="s">
        <v>183</v>
      </c>
      <c r="N140" s="12" t="s">
        <v>1430</v>
      </c>
      <c r="O140" s="12" t="s">
        <v>1513</v>
      </c>
      <c r="P140" s="12" t="s">
        <v>1509</v>
      </c>
      <c r="Q140" s="12" t="s">
        <v>856</v>
      </c>
      <c r="R140" s="12" t="s">
        <v>1689</v>
      </c>
      <c r="S140" s="12" t="s">
        <v>1689</v>
      </c>
      <c r="T140" s="12" t="s">
        <v>1689</v>
      </c>
      <c r="U140" s="28" t="s">
        <v>1691</v>
      </c>
      <c r="V140" s="28" t="s">
        <v>1692</v>
      </c>
      <c r="W140" s="28" t="s">
        <v>1692</v>
      </c>
      <c r="X140" s="12" t="s">
        <v>1693</v>
      </c>
      <c r="Y140" s="12" t="s">
        <v>1694</v>
      </c>
    </row>
    <row r="141" spans="1:25" ht="14.25" customHeight="1">
      <c r="A141" s="12">
        <v>140</v>
      </c>
      <c r="B141" s="12" t="s">
        <v>1680</v>
      </c>
      <c r="C141" s="13" t="str">
        <f t="array" ref="C141">IFERROR(INDEX('iCoA Register'!$B:$B,MATCH("P060302|R",'iCoA Register'!$P:$P,0)),"— at issue —")</f>
        <v>— at issue —</v>
      </c>
      <c r="D141" s="13" t="str">
        <f t="array" ref="D141">IFERROR(INDEX('CoQ Register'!$B:$B,MATCH("P060302|R",'CoQ Register'!$S:$S,0)),"—")</f>
        <v>— at issue —</v>
      </c>
      <c r="E141" s="12" t="s">
        <v>1684</v>
      </c>
      <c r="F141" s="12" t="s">
        <v>1477</v>
      </c>
      <c r="G141" s="12" t="s">
        <v>2035</v>
      </c>
      <c r="H141" s="12" t="s">
        <v>1686</v>
      </c>
      <c r="I141" s="12" t="s">
        <v>1687</v>
      </c>
      <c r="J141" s="45" t="str">
        <f t="array" ref="J141">IFERROR(INDEX('CoQ Register'!$D:$D,MATCH("P060302|R",'CoQ Register'!$S:$S,0)),"")</f>
        <v/>
      </c>
      <c r="K141" s="13" t="s">
        <v>241</v>
      </c>
      <c r="L141" s="12" t="s">
        <v>242</v>
      </c>
      <c r="M141" s="12" t="s">
        <v>234</v>
      </c>
      <c r="N141" s="12" t="s">
        <v>1520</v>
      </c>
      <c r="O141" s="12" t="s">
        <v>1521</v>
      </c>
      <c r="P141" s="12" t="s">
        <v>1518</v>
      </c>
      <c r="Q141" s="12" t="s">
        <v>856</v>
      </c>
      <c r="R141" s="12" t="s">
        <v>1689</v>
      </c>
      <c r="S141" s="12" t="s">
        <v>1689</v>
      </c>
      <c r="T141" s="12" t="s">
        <v>1689</v>
      </c>
      <c r="U141" s="28" t="s">
        <v>1691</v>
      </c>
      <c r="V141" s="28" t="s">
        <v>1692</v>
      </c>
      <c r="W141" s="28" t="s">
        <v>1692</v>
      </c>
      <c r="X141" s="12" t="s">
        <v>1693</v>
      </c>
      <c r="Y141" s="12" t="s">
        <v>1694</v>
      </c>
    </row>
    <row r="142" spans="1:25" ht="14.25" customHeight="1">
      <c r="A142" s="12">
        <v>141</v>
      </c>
      <c r="B142" s="12" t="s">
        <v>1680</v>
      </c>
      <c r="C142" s="13" t="str">
        <f t="array" ref="C142">IFERROR(INDEX('iCoA Register'!$B:$B,MATCH("P060252|R",'iCoA Register'!$P:$P,0)),"— at issue —")</f>
        <v>— at issue —</v>
      </c>
      <c r="D142" s="13" t="str">
        <f t="array" ref="D142">IFERROR(INDEX('CoQ Register'!$B:$B,MATCH("P060252|R",'CoQ Register'!$S:$S,0)),"—")</f>
        <v>— at issue —</v>
      </c>
      <c r="E142" s="12" t="s">
        <v>1684</v>
      </c>
      <c r="F142" s="12" t="s">
        <v>851</v>
      </c>
      <c r="G142" s="12" t="s">
        <v>2035</v>
      </c>
      <c r="H142" s="12" t="s">
        <v>1686</v>
      </c>
      <c r="I142" s="12" t="s">
        <v>1687</v>
      </c>
      <c r="J142" s="45" t="str">
        <f t="array" ref="J142">IFERROR(INDEX('CoQ Register'!$D:$D,MATCH("P060252|R",'CoQ Register'!$S:$S,0)),"")</f>
        <v/>
      </c>
      <c r="K142" s="13" t="s">
        <v>274</v>
      </c>
      <c r="L142" s="12" t="s">
        <v>275</v>
      </c>
      <c r="M142" s="12" t="s">
        <v>234</v>
      </c>
      <c r="N142" s="12" t="s">
        <v>1430</v>
      </c>
      <c r="O142" s="12" t="s">
        <v>1474</v>
      </c>
      <c r="P142" s="12" t="s">
        <v>1470</v>
      </c>
      <c r="Q142" s="12" t="s">
        <v>856</v>
      </c>
      <c r="R142" s="12" t="s">
        <v>1689</v>
      </c>
      <c r="S142" s="12" t="s">
        <v>1689</v>
      </c>
      <c r="T142" s="12" t="s">
        <v>1689</v>
      </c>
      <c r="U142" s="28" t="s">
        <v>1691</v>
      </c>
      <c r="V142" s="28" t="s">
        <v>1692</v>
      </c>
      <c r="W142" s="28" t="s">
        <v>1692</v>
      </c>
      <c r="X142" s="12" t="s">
        <v>1693</v>
      </c>
      <c r="Y142" s="12" t="s">
        <v>1694</v>
      </c>
    </row>
    <row r="143" spans="1:25" ht="14.25" customHeight="1">
      <c r="A143" s="12">
        <v>142</v>
      </c>
      <c r="B143" s="12" t="s">
        <v>1680</v>
      </c>
      <c r="C143" s="13" t="str">
        <f t="array" ref="C143">IFERROR(INDEX('iCoA Register'!$B:$B,MATCH("P050202|R",'iCoA Register'!$P:$P,0)),"— at issue —")</f>
        <v>— at issue —</v>
      </c>
      <c r="D143" s="13" t="str">
        <f t="array" ref="D143">IFERROR(INDEX('CoQ Register'!$B:$B,MATCH("P050202|R",'CoQ Register'!$S:$S,0)),"—")</f>
        <v>— at issue —</v>
      </c>
      <c r="E143" s="12" t="s">
        <v>1684</v>
      </c>
      <c r="F143" s="12" t="s">
        <v>851</v>
      </c>
      <c r="G143" s="12" t="s">
        <v>2035</v>
      </c>
      <c r="H143" s="12" t="s">
        <v>1686</v>
      </c>
      <c r="I143" s="12" t="s">
        <v>1687</v>
      </c>
      <c r="J143" s="45" t="str">
        <f t="array" ref="J143">IFERROR(INDEX('CoQ Register'!$D:$D,MATCH("P050202|R",'CoQ Register'!$S:$S,0)),"")</f>
        <v/>
      </c>
      <c r="K143" s="13" t="s">
        <v>516</v>
      </c>
      <c r="L143" s="12" t="s">
        <v>517</v>
      </c>
      <c r="M143" s="12" t="s">
        <v>178</v>
      </c>
      <c r="N143" s="12" t="s">
        <v>1146</v>
      </c>
      <c r="O143" s="12" t="s">
        <v>1147</v>
      </c>
      <c r="P143" s="12" t="s">
        <v>1148</v>
      </c>
      <c r="Q143" s="12" t="s">
        <v>856</v>
      </c>
      <c r="R143" s="12" t="s">
        <v>1689</v>
      </c>
      <c r="S143" s="12" t="s">
        <v>1689</v>
      </c>
      <c r="T143" s="12" t="s">
        <v>1689</v>
      </c>
      <c r="U143" s="28" t="s">
        <v>1691</v>
      </c>
      <c r="V143" s="28" t="s">
        <v>1692</v>
      </c>
      <c r="W143" s="28" t="s">
        <v>1692</v>
      </c>
      <c r="X143" s="12" t="s">
        <v>1693</v>
      </c>
      <c r="Y143" s="12" t="s">
        <v>1694</v>
      </c>
    </row>
    <row r="144" spans="1:25" ht="14.25" customHeight="1">
      <c r="A144" s="12">
        <v>143</v>
      </c>
      <c r="B144" s="12" t="s">
        <v>1680</v>
      </c>
      <c r="C144" s="13" t="str">
        <f t="array" ref="C144">IFERROR(INDEX('iCoA Register'!$B:$B,MATCH("P060312|R",'iCoA Register'!$P:$P,0)),"— at issue —")</f>
        <v>— at issue —</v>
      </c>
      <c r="D144" s="13" t="str">
        <f t="array" ref="D144">IFERROR(INDEX('CoQ Register'!$B:$B,MATCH("P060312|R",'CoQ Register'!$S:$S,0)),"—")</f>
        <v>— at issue —</v>
      </c>
      <c r="E144" s="12" t="s">
        <v>1684</v>
      </c>
      <c r="F144" s="12" t="s">
        <v>1477</v>
      </c>
      <c r="G144" s="12" t="s">
        <v>2035</v>
      </c>
      <c r="H144" s="12" t="s">
        <v>1686</v>
      </c>
      <c r="I144" s="12" t="s">
        <v>1687</v>
      </c>
      <c r="J144" s="45" t="str">
        <f t="array" ref="J144">IFERROR(INDEX('CoQ Register'!$D:$D,MATCH("P060312|R",'CoQ Register'!$S:$S,0)),"")</f>
        <v/>
      </c>
      <c r="K144" s="13" t="s">
        <v>329</v>
      </c>
      <c r="L144" s="12" t="s">
        <v>330</v>
      </c>
      <c r="M144" s="12" t="s">
        <v>331</v>
      </c>
      <c r="N144" s="12" t="s">
        <v>1520</v>
      </c>
      <c r="O144" s="12" t="s">
        <v>1532</v>
      </c>
      <c r="P144" s="12" t="s">
        <v>1528</v>
      </c>
      <c r="Q144" s="12" t="s">
        <v>856</v>
      </c>
      <c r="R144" s="12" t="s">
        <v>1689</v>
      </c>
      <c r="S144" s="12" t="s">
        <v>1689</v>
      </c>
      <c r="T144" s="12" t="s">
        <v>1689</v>
      </c>
      <c r="U144" s="28" t="s">
        <v>1691</v>
      </c>
      <c r="V144" s="28" t="s">
        <v>1692</v>
      </c>
      <c r="W144" s="28" t="s">
        <v>1692</v>
      </c>
      <c r="X144" s="12" t="s">
        <v>1693</v>
      </c>
      <c r="Y144" s="12" t="s">
        <v>1694</v>
      </c>
    </row>
    <row r="145" spans="1:25" ht="14.25" customHeight="1">
      <c r="A145" s="12">
        <v>144</v>
      </c>
      <c r="B145" s="12" t="s">
        <v>1714</v>
      </c>
      <c r="C145" s="13" t="str">
        <f t="array" ref="C145">IFERROR(INDEX('iCoA Register'!$B:$B,MATCH("P060282|R",'iCoA Register'!$P:$P,0)),"— at issue —")</f>
        <v>— at issue —</v>
      </c>
      <c r="D145" s="13" t="str">
        <f t="array" ref="D145">IFERROR(INDEX('CoQ Register'!$B:$B,MATCH("P060282|R",'CoQ Register'!$S:$S,0)),"—")</f>
        <v>— at issue —</v>
      </c>
      <c r="E145" s="12" t="s">
        <v>1684</v>
      </c>
      <c r="F145" s="12" t="s">
        <v>1477</v>
      </c>
      <c r="G145" s="12" t="s">
        <v>2065</v>
      </c>
      <c r="H145" s="12" t="s">
        <v>1686</v>
      </c>
      <c r="I145" s="12" t="s">
        <v>1719</v>
      </c>
      <c r="J145" s="45" t="str">
        <f t="array" ref="J145">IFERROR(INDEX('CoQ Register'!$D:$D,MATCH("P060282|R",'CoQ Register'!$S:$S,0)),"")</f>
        <v/>
      </c>
      <c r="K145" s="13" t="s">
        <v>481</v>
      </c>
      <c r="L145" s="12" t="s">
        <v>482</v>
      </c>
      <c r="M145" s="12" t="s">
        <v>315</v>
      </c>
      <c r="N145" s="12" t="s">
        <v>1430</v>
      </c>
      <c r="O145" s="12" t="s">
        <v>1485</v>
      </c>
      <c r="P145" s="12" t="s">
        <v>1485</v>
      </c>
      <c r="Q145" s="12" t="s">
        <v>856</v>
      </c>
      <c r="R145" s="12" t="s">
        <v>1689</v>
      </c>
      <c r="S145" s="12" t="s">
        <v>1689</v>
      </c>
      <c r="T145" s="12" t="s">
        <v>1689</v>
      </c>
      <c r="U145" s="28" t="s">
        <v>1691</v>
      </c>
      <c r="V145" s="28" t="s">
        <v>1692</v>
      </c>
      <c r="W145" s="28" t="s">
        <v>1692</v>
      </c>
      <c r="X145" s="12" t="s">
        <v>1693</v>
      </c>
      <c r="Y145" s="28" t="s">
        <v>1720</v>
      </c>
    </row>
    <row r="146" spans="1:25" ht="14.25" customHeight="1">
      <c r="A146" s="12">
        <v>145</v>
      </c>
      <c r="B146" s="12" t="s">
        <v>1714</v>
      </c>
      <c r="C146" s="13" t="str">
        <f t="array" ref="C146">IFERROR(INDEX('iCoA Register'!$B:$B,MATCH("P060322|R",'iCoA Register'!$P:$P,0)),"— at issue —")</f>
        <v>— at issue —</v>
      </c>
      <c r="D146" s="13" t="str">
        <f t="array" ref="D146">IFERROR(INDEX('CoQ Register'!$B:$B,MATCH("P060322|R",'CoQ Register'!$S:$S,0)),"—")</f>
        <v>— at issue —</v>
      </c>
      <c r="E146" s="12" t="s">
        <v>1684</v>
      </c>
      <c r="F146" s="12" t="s">
        <v>1477</v>
      </c>
      <c r="G146" s="12" t="s">
        <v>2071</v>
      </c>
      <c r="H146" s="12" t="s">
        <v>1686</v>
      </c>
      <c r="I146" s="12" t="s">
        <v>1719</v>
      </c>
      <c r="J146" s="45" t="str">
        <f t="array" ref="J146">IFERROR(INDEX('CoQ Register'!$D:$D,MATCH("P060322|R",'CoQ Register'!$S:$S,0)),"")</f>
        <v/>
      </c>
      <c r="K146" s="13" t="s">
        <v>181</v>
      </c>
      <c r="L146" s="12" t="s">
        <v>182</v>
      </c>
      <c r="M146" s="12" t="s">
        <v>183</v>
      </c>
      <c r="N146" s="12" t="s">
        <v>1520</v>
      </c>
      <c r="O146" s="12" t="s">
        <v>1537</v>
      </c>
      <c r="P146" s="12" t="s">
        <v>1537</v>
      </c>
      <c r="Q146" s="12" t="s">
        <v>856</v>
      </c>
      <c r="R146" s="12" t="s">
        <v>1689</v>
      </c>
      <c r="S146" s="12" t="s">
        <v>1689</v>
      </c>
      <c r="T146" s="12" t="s">
        <v>1689</v>
      </c>
      <c r="U146" s="28" t="s">
        <v>1691</v>
      </c>
      <c r="V146" s="28" t="s">
        <v>1692</v>
      </c>
      <c r="W146" s="28" t="s">
        <v>1692</v>
      </c>
      <c r="X146" s="12" t="s">
        <v>1693</v>
      </c>
      <c r="Y146" s="28" t="s">
        <v>1720</v>
      </c>
    </row>
    <row r="147" spans="1:25" ht="14.25" customHeight="1">
      <c r="A147" s="12">
        <v>146</v>
      </c>
      <c r="B147" s="12" t="s">
        <v>2007</v>
      </c>
      <c r="C147" s="13" t="str">
        <f t="array" ref="C147">IFERROR(INDEX('iCoA Register'!$B:$B,MATCH("P060352|R",'iCoA Register'!$P:$P,0)),"— at issue —")</f>
        <v>— at issue —</v>
      </c>
      <c r="D147" s="13" t="str">
        <f t="array" ref="D147">IFERROR(INDEX('CoQ Register'!$B:$B,MATCH("P060352|R",'CoQ Register'!$S:$S,0)),"—")</f>
        <v>— at issue —</v>
      </c>
      <c r="E147" s="12" t="s">
        <v>1684</v>
      </c>
      <c r="F147" s="12" t="s">
        <v>1477</v>
      </c>
      <c r="G147" s="12" t="s">
        <v>2076</v>
      </c>
      <c r="H147" s="12" t="s">
        <v>1686</v>
      </c>
      <c r="I147" s="12" t="s">
        <v>2013</v>
      </c>
      <c r="J147" s="45" t="str">
        <f t="array" ref="J147">IFERROR(INDEX('CoQ Register'!$D:$D,MATCH("P060352|R",'CoQ Register'!$S:$S,0)),"")</f>
        <v/>
      </c>
      <c r="K147" s="13" t="s">
        <v>636</v>
      </c>
      <c r="L147" s="12" t="s">
        <v>208</v>
      </c>
      <c r="M147" s="12" t="s">
        <v>183</v>
      </c>
      <c r="N147" s="12" t="s">
        <v>1539</v>
      </c>
      <c r="O147" s="12" t="s">
        <v>1555</v>
      </c>
      <c r="P147" s="12" t="s">
        <v>1555</v>
      </c>
      <c r="Q147" s="12" t="s">
        <v>856</v>
      </c>
      <c r="R147" s="12" t="s">
        <v>1689</v>
      </c>
      <c r="S147" s="12" t="s">
        <v>1689</v>
      </c>
      <c r="T147" s="12" t="s">
        <v>1689</v>
      </c>
      <c r="U147" s="12" t="s">
        <v>2080</v>
      </c>
      <c r="V147" s="12" t="s">
        <v>2080</v>
      </c>
      <c r="W147" s="12" t="s">
        <v>1252</v>
      </c>
      <c r="X147" s="12" t="s">
        <v>1693</v>
      </c>
      <c r="Y147" s="24" t="s">
        <v>1703</v>
      </c>
    </row>
    <row r="148" spans="1:25" ht="14.25" customHeight="1">
      <c r="A148" s="12">
        <v>147</v>
      </c>
      <c r="B148" s="12" t="s">
        <v>2007</v>
      </c>
      <c r="C148" s="13" t="str">
        <f t="array" ref="C148">IFERROR(INDEX('iCoA Register'!$B:$B,MATCH("P060362|R",'iCoA Register'!$P:$P,0)),"— at issue —")</f>
        <v>— at issue —</v>
      </c>
      <c r="D148" s="13" t="str">
        <f t="array" ref="D148">IFERROR(INDEX('CoQ Register'!$B:$B,MATCH("P060362|R",'CoQ Register'!$S:$S,0)),"—")</f>
        <v>— at issue —</v>
      </c>
      <c r="E148" s="12" t="s">
        <v>1684</v>
      </c>
      <c r="F148" s="12" t="s">
        <v>1477</v>
      </c>
      <c r="G148" s="12" t="s">
        <v>2076</v>
      </c>
      <c r="H148" s="12" t="s">
        <v>1686</v>
      </c>
      <c r="I148" s="12" t="s">
        <v>2013</v>
      </c>
      <c r="J148" s="45" t="str">
        <f t="array" ref="J148">IFERROR(INDEX('CoQ Register'!$D:$D,MATCH("P060362|R",'CoQ Register'!$S:$S,0)),"")</f>
        <v/>
      </c>
      <c r="K148" s="13" t="s">
        <v>336</v>
      </c>
      <c r="L148" s="12" t="s">
        <v>431</v>
      </c>
      <c r="M148" s="12"/>
      <c r="N148" s="12" t="s">
        <v>1572</v>
      </c>
      <c r="O148" s="12" t="s">
        <v>1555</v>
      </c>
      <c r="P148" s="12" t="s">
        <v>1555</v>
      </c>
      <c r="Q148" s="12" t="s">
        <v>856</v>
      </c>
      <c r="R148" s="12" t="s">
        <v>1689</v>
      </c>
      <c r="S148" s="12" t="s">
        <v>1689</v>
      </c>
      <c r="T148" s="12" t="s">
        <v>1689</v>
      </c>
      <c r="U148" s="12" t="s">
        <v>932</v>
      </c>
      <c r="V148" s="12" t="s">
        <v>932</v>
      </c>
      <c r="W148" s="28" t="s">
        <v>1692</v>
      </c>
      <c r="X148" s="12" t="s">
        <v>1693</v>
      </c>
      <c r="Y148" s="24" t="s">
        <v>2087</v>
      </c>
    </row>
    <row r="149" spans="1:25" ht="14.25" customHeight="1">
      <c r="A149" s="12">
        <v>148</v>
      </c>
      <c r="B149" s="12" t="s">
        <v>2007</v>
      </c>
      <c r="C149" s="13" t="str">
        <f t="array" ref="C149">IFERROR(INDEX('iCoA Register'!$B:$B,MATCH("P060422|R",'iCoA Register'!$P:$P,0)),"— at issue —")</f>
        <v>— at issue —</v>
      </c>
      <c r="D149" s="13" t="str">
        <f t="array" ref="D149">IFERROR(INDEX('CoQ Register'!$B:$B,MATCH("P060422|R",'CoQ Register'!$S:$S,0)),"—")</f>
        <v>— at issue —</v>
      </c>
      <c r="E149" s="12" t="s">
        <v>1684</v>
      </c>
      <c r="F149" s="12" t="s">
        <v>1477</v>
      </c>
      <c r="G149" s="12" t="s">
        <v>2076</v>
      </c>
      <c r="H149" s="12" t="s">
        <v>1686</v>
      </c>
      <c r="I149" s="12" t="s">
        <v>2013</v>
      </c>
      <c r="J149" s="45" t="str">
        <f t="array" ref="J149">IFERROR(INDEX('CoQ Register'!$D:$D,MATCH("P060422|R",'CoQ Register'!$S:$S,0)),"")</f>
        <v/>
      </c>
      <c r="K149" s="13" t="s">
        <v>336</v>
      </c>
      <c r="L149" s="12" t="s">
        <v>445</v>
      </c>
      <c r="M149" s="12"/>
      <c r="N149" s="12" t="s">
        <v>1564</v>
      </c>
      <c r="O149" s="12" t="s">
        <v>1555</v>
      </c>
      <c r="P149" s="12" t="s">
        <v>1555</v>
      </c>
      <c r="Q149" s="12" t="s">
        <v>856</v>
      </c>
      <c r="R149" s="12" t="s">
        <v>1689</v>
      </c>
      <c r="S149" s="12" t="s">
        <v>1689</v>
      </c>
      <c r="T149" s="12" t="s">
        <v>1689</v>
      </c>
      <c r="U149" s="12" t="s">
        <v>932</v>
      </c>
      <c r="V149" s="12" t="s">
        <v>932</v>
      </c>
      <c r="W149" s="28" t="s">
        <v>1692</v>
      </c>
      <c r="X149" s="12" t="s">
        <v>1693</v>
      </c>
      <c r="Y149" s="24" t="s">
        <v>2087</v>
      </c>
    </row>
    <row r="150" spans="1:25" ht="14.25" customHeight="1">
      <c r="A150" s="12">
        <v>149</v>
      </c>
      <c r="B150" s="12" t="s">
        <v>2007</v>
      </c>
      <c r="C150" s="13" t="str">
        <f t="array" ref="C150">IFERROR(INDEX('iCoA Register'!$B:$B,MATCH("P060402|R",'iCoA Register'!$P:$P,0)),"— at issue —")</f>
        <v>— at issue —</v>
      </c>
      <c r="D150" s="13" t="str">
        <f t="array" ref="D150">IFERROR(INDEX('CoQ Register'!$B:$B,MATCH("P060402|R",'CoQ Register'!$S:$S,0)),"—")</f>
        <v>— at issue —</v>
      </c>
      <c r="E150" s="12" t="s">
        <v>1684</v>
      </c>
      <c r="F150" s="12" t="s">
        <v>1477</v>
      </c>
      <c r="G150" s="12" t="s">
        <v>2091</v>
      </c>
      <c r="H150" s="12" t="s">
        <v>1686</v>
      </c>
      <c r="I150" s="12" t="s">
        <v>2013</v>
      </c>
      <c r="J150" s="45" t="str">
        <f t="array" ref="J150">IFERROR(INDEX('CoQ Register'!$D:$D,MATCH("P060402|R",'CoQ Register'!$S:$S,0)),"")</f>
        <v/>
      </c>
      <c r="K150" s="13" t="s">
        <v>215</v>
      </c>
      <c r="L150" s="12" t="s">
        <v>218</v>
      </c>
      <c r="M150" s="12" t="s">
        <v>1592</v>
      </c>
      <c r="N150" s="12" t="s">
        <v>1593</v>
      </c>
      <c r="O150" s="12" t="s">
        <v>1586</v>
      </c>
      <c r="P150" s="12" t="s">
        <v>1586</v>
      </c>
      <c r="Q150" s="12" t="s">
        <v>856</v>
      </c>
      <c r="R150" s="12" t="s">
        <v>1689</v>
      </c>
      <c r="S150" s="12" t="s">
        <v>1689</v>
      </c>
      <c r="T150" s="12" t="s">
        <v>1689</v>
      </c>
      <c r="U150" s="12" t="s">
        <v>730</v>
      </c>
      <c r="V150" s="12" t="s">
        <v>730</v>
      </c>
      <c r="W150" s="12" t="s">
        <v>618</v>
      </c>
      <c r="X150" s="12" t="s">
        <v>1693</v>
      </c>
      <c r="Y150" s="24" t="s">
        <v>1703</v>
      </c>
    </row>
    <row r="151" spans="1:25" ht="14.25" customHeight="1">
      <c r="A151" s="12">
        <v>150</v>
      </c>
      <c r="B151" s="12" t="s">
        <v>2007</v>
      </c>
      <c r="C151" s="13" t="str">
        <f t="array" ref="C151">IFERROR(INDEX('iCoA Register'!$B:$B,MATCH("P060412|R",'iCoA Register'!$P:$P,0)),"— at issue —")</f>
        <v>— at issue —</v>
      </c>
      <c r="D151" s="13" t="str">
        <f t="array" ref="D151">IFERROR(INDEX('CoQ Register'!$B:$B,MATCH("P060412|R",'CoQ Register'!$S:$S,0)),"—")</f>
        <v>— at issue —</v>
      </c>
      <c r="E151" s="12" t="s">
        <v>1684</v>
      </c>
      <c r="F151" s="12" t="s">
        <v>1477</v>
      </c>
      <c r="G151" s="12" t="s">
        <v>2091</v>
      </c>
      <c r="H151" s="12" t="s">
        <v>1686</v>
      </c>
      <c r="I151" s="12" t="s">
        <v>2013</v>
      </c>
      <c r="J151" s="45" t="str">
        <f t="array" ref="J151">IFERROR(INDEX('CoQ Register'!$D:$D,MATCH("P060412|R",'CoQ Register'!$S:$S,0)),"")</f>
        <v/>
      </c>
      <c r="K151" s="13" t="s">
        <v>336</v>
      </c>
      <c r="L151" s="12" t="s">
        <v>437</v>
      </c>
      <c r="M151" s="12"/>
      <c r="N151" s="12" t="s">
        <v>1593</v>
      </c>
      <c r="O151" s="12" t="s">
        <v>1586</v>
      </c>
      <c r="P151" s="12" t="s">
        <v>1586</v>
      </c>
      <c r="Q151" s="12" t="s">
        <v>856</v>
      </c>
      <c r="R151" s="12" t="s">
        <v>1689</v>
      </c>
      <c r="S151" s="12" t="s">
        <v>1689</v>
      </c>
      <c r="T151" s="12" t="s">
        <v>1689</v>
      </c>
      <c r="U151" s="12" t="s">
        <v>932</v>
      </c>
      <c r="V151" s="12" t="s">
        <v>932</v>
      </c>
      <c r="W151" s="28" t="s">
        <v>1692</v>
      </c>
      <c r="X151" s="12" t="s">
        <v>1693</v>
      </c>
      <c r="Y151" s="24" t="s">
        <v>2087</v>
      </c>
    </row>
    <row r="152" spans="1:25" ht="14.25" customHeight="1">
      <c r="A152" s="12">
        <v>151</v>
      </c>
      <c r="B152" s="12" t="s">
        <v>2007</v>
      </c>
      <c r="C152" s="13" t="str">
        <f t="array" ref="C152">IFERROR(INDEX('iCoA Register'!$B:$B,MATCH("P060382|R",'iCoA Register'!$P:$P,0)),"— at issue —")</f>
        <v>— at issue —</v>
      </c>
      <c r="D152" s="13" t="str">
        <f t="array" ref="D152">IFERROR(INDEX('CoQ Register'!$B:$B,MATCH("P060382|R",'CoQ Register'!$S:$S,0)),"—")</f>
        <v>— at issue —</v>
      </c>
      <c r="E152" s="12" t="s">
        <v>1684</v>
      </c>
      <c r="F152" s="12" t="s">
        <v>1477</v>
      </c>
      <c r="G152" s="12" t="s">
        <v>2099</v>
      </c>
      <c r="H152" s="12" t="s">
        <v>1686</v>
      </c>
      <c r="I152" s="12" t="s">
        <v>2013</v>
      </c>
      <c r="J152" s="45" t="str">
        <f t="array" ref="J152">IFERROR(INDEX('CoQ Register'!$D:$D,MATCH("P060382|R",'CoQ Register'!$S:$S,0)),"")</f>
        <v/>
      </c>
      <c r="K152" s="13" t="s">
        <v>314</v>
      </c>
      <c r="L152" s="12" t="s">
        <v>317</v>
      </c>
      <c r="M152" s="12" t="s">
        <v>315</v>
      </c>
      <c r="N152" s="12" t="s">
        <v>1572</v>
      </c>
      <c r="O152" s="12" t="s">
        <v>1608</v>
      </c>
      <c r="P152" s="12" t="s">
        <v>1608</v>
      </c>
      <c r="Q152" s="12" t="s">
        <v>856</v>
      </c>
      <c r="R152" s="12" t="s">
        <v>1689</v>
      </c>
      <c r="S152" s="12" t="s">
        <v>1689</v>
      </c>
      <c r="T152" s="12" t="s">
        <v>1689</v>
      </c>
      <c r="U152" s="12" t="s">
        <v>2102</v>
      </c>
      <c r="V152" s="12" t="s">
        <v>2102</v>
      </c>
      <c r="W152" s="12" t="s">
        <v>1260</v>
      </c>
      <c r="X152" s="12" t="s">
        <v>1693</v>
      </c>
      <c r="Y152" s="24" t="s">
        <v>1703</v>
      </c>
    </row>
    <row r="153" spans="1:25" ht="14.25" customHeight="1">
      <c r="A153" s="12">
        <v>152</v>
      </c>
      <c r="B153" s="12" t="s">
        <v>1680</v>
      </c>
      <c r="C153" s="13" t="str">
        <f t="array" ref="C153">IFERROR(INDEX('iCoA Register'!$B:$B,MATCH("P060432|R",'iCoA Register'!$P:$P,0)),"— at issue —")</f>
        <v>— at issue —</v>
      </c>
      <c r="D153" s="13" t="str">
        <f t="array" ref="D153">IFERROR(INDEX('CoQ Register'!$B:$B,MATCH("P060432|R",'CoQ Register'!$S:$S,0)),"—")</f>
        <v>— at issue —</v>
      </c>
      <c r="E153" s="12" t="s">
        <v>1684</v>
      </c>
      <c r="F153" s="12" t="s">
        <v>1477</v>
      </c>
      <c r="G153" s="12" t="s">
        <v>2106</v>
      </c>
      <c r="H153" s="12" t="s">
        <v>1686</v>
      </c>
      <c r="I153" s="12" t="s">
        <v>1687</v>
      </c>
      <c r="J153" s="45" t="str">
        <f t="array" ref="J153">IFERROR(INDEX('CoQ Register'!$D:$D,MATCH("P060432|R",'CoQ Register'!$S:$S,0)),"")</f>
        <v/>
      </c>
      <c r="K153" s="13" t="s">
        <v>193</v>
      </c>
      <c r="L153" s="12" t="s">
        <v>194</v>
      </c>
      <c r="M153" s="12" t="s">
        <v>183</v>
      </c>
      <c r="N153" s="12" t="s">
        <v>1593</v>
      </c>
      <c r="O153" s="12" t="s">
        <v>1626</v>
      </c>
      <c r="P153" s="12" t="s">
        <v>1621</v>
      </c>
      <c r="Q153" s="12" t="s">
        <v>856</v>
      </c>
      <c r="R153" s="12" t="s">
        <v>1689</v>
      </c>
      <c r="S153" s="12" t="s">
        <v>1689</v>
      </c>
      <c r="T153" s="12" t="s">
        <v>1689</v>
      </c>
      <c r="U153" s="28" t="s">
        <v>1691</v>
      </c>
      <c r="V153" s="28" t="s">
        <v>1692</v>
      </c>
      <c r="W153" s="28" t="s">
        <v>1692</v>
      </c>
      <c r="X153" s="12" t="s">
        <v>1693</v>
      </c>
      <c r="Y153" s="12" t="s">
        <v>1694</v>
      </c>
    </row>
    <row r="154" spans="1:25" ht="14.25" customHeight="1">
      <c r="A154" s="12">
        <v>153</v>
      </c>
      <c r="B154" s="12" t="s">
        <v>1680</v>
      </c>
      <c r="C154" s="13" t="str">
        <f t="array" ref="C154">IFERROR(INDEX('iCoA Register'!$B:$B,MATCH("P060392|R",'iCoA Register'!$P:$P,0)),"— at issue —")</f>
        <v>— at issue —</v>
      </c>
      <c r="D154" s="13" t="str">
        <f t="array" ref="D154">IFERROR(INDEX('CoQ Register'!$B:$B,MATCH("P060392|R",'CoQ Register'!$S:$S,0)),"—")</f>
        <v>— at issue —</v>
      </c>
      <c r="E154" s="12" t="s">
        <v>1684</v>
      </c>
      <c r="F154" s="12" t="s">
        <v>1477</v>
      </c>
      <c r="G154" s="12" t="s">
        <v>2106</v>
      </c>
      <c r="H154" s="12" t="s">
        <v>1686</v>
      </c>
      <c r="I154" s="12" t="s">
        <v>1687</v>
      </c>
      <c r="J154" s="45" t="str">
        <f t="array" ref="J154">IFERROR(INDEX('CoQ Register'!$D:$D,MATCH("P060392|R",'CoQ Register'!$S:$S,0)),"")</f>
        <v/>
      </c>
      <c r="K154" s="13" t="s">
        <v>204</v>
      </c>
      <c r="L154" s="12" t="s">
        <v>205</v>
      </c>
      <c r="M154" s="12" t="s">
        <v>183</v>
      </c>
      <c r="N154" s="12" t="s">
        <v>1564</v>
      </c>
      <c r="O154" s="12" t="s">
        <v>1565</v>
      </c>
      <c r="P154" s="12" t="s">
        <v>1555</v>
      </c>
      <c r="Q154" s="12" t="s">
        <v>856</v>
      </c>
      <c r="R154" s="12" t="s">
        <v>1689</v>
      </c>
      <c r="S154" s="12" t="s">
        <v>1689</v>
      </c>
      <c r="T154" s="12" t="s">
        <v>1689</v>
      </c>
      <c r="U154" s="28" t="s">
        <v>1691</v>
      </c>
      <c r="V154" s="28" t="s">
        <v>1692</v>
      </c>
      <c r="W154" s="28" t="s">
        <v>1692</v>
      </c>
      <c r="X154" s="12" t="s">
        <v>1693</v>
      </c>
      <c r="Y154" s="12" t="s">
        <v>1694</v>
      </c>
    </row>
    <row r="155" spans="1:25" ht="14.25" customHeight="1">
      <c r="A155" s="12">
        <v>154</v>
      </c>
      <c r="B155" s="12" t="s">
        <v>1714</v>
      </c>
      <c r="C155" s="13" t="str">
        <f t="array" ref="C155">IFERROR(INDEX('iCoA Register'!$B:$B,MATCH("P060482|R",'iCoA Register'!$P:$P,0)),"— at issue —")</f>
        <v>— at issue —</v>
      </c>
      <c r="D155" s="13" t="str">
        <f t="array" ref="D155">IFERROR(INDEX('CoQ Register'!$B:$B,MATCH("P060482|R",'CoQ Register'!$S:$S,0)),"—")</f>
        <v>— at issue —</v>
      </c>
      <c r="E155" s="12" t="s">
        <v>1684</v>
      </c>
      <c r="F155" s="12" t="s">
        <v>1477</v>
      </c>
      <c r="G155" s="12" t="s">
        <v>2106</v>
      </c>
      <c r="H155" s="12" t="s">
        <v>1686</v>
      </c>
      <c r="I155" s="12" t="s">
        <v>1719</v>
      </c>
      <c r="J155" s="45" t="str">
        <f t="array" ref="J155">IFERROR(INDEX('CoQ Register'!$D:$D,MATCH("P060482|R",'CoQ Register'!$S:$S,0)),"")</f>
        <v/>
      </c>
      <c r="K155" s="13" t="s">
        <v>344</v>
      </c>
      <c r="L155" s="12" t="s">
        <v>345</v>
      </c>
      <c r="M155" s="12" t="s">
        <v>346</v>
      </c>
      <c r="N155" s="12" t="s">
        <v>1485</v>
      </c>
      <c r="O155" s="12" t="s">
        <v>1662</v>
      </c>
      <c r="P155" s="12" t="s">
        <v>1659</v>
      </c>
      <c r="Q155" s="12" t="s">
        <v>856</v>
      </c>
      <c r="R155" s="12" t="s">
        <v>1689</v>
      </c>
      <c r="S155" s="12" t="s">
        <v>1689</v>
      </c>
      <c r="T155" s="12" t="s">
        <v>1689</v>
      </c>
      <c r="U155" s="28" t="s">
        <v>1691</v>
      </c>
      <c r="V155" s="28" t="s">
        <v>1692</v>
      </c>
      <c r="W155" s="28" t="s">
        <v>1692</v>
      </c>
      <c r="X155" s="12" t="s">
        <v>1693</v>
      </c>
      <c r="Y155" s="28" t="s">
        <v>1720</v>
      </c>
    </row>
    <row r="156" spans="1:25" ht="14.25" customHeight="1">
      <c r="A156" s="12">
        <v>155</v>
      </c>
      <c r="B156" s="12" t="s">
        <v>1680</v>
      </c>
      <c r="C156" s="13" t="str">
        <f t="array" ref="C156">IFERROR(INDEX('iCoA Register'!$B:$B,MATCH("P060442|R",'iCoA Register'!$P:$P,0)),"— at issue —")</f>
        <v>— at issue —</v>
      </c>
      <c r="D156" s="13" t="str">
        <f t="array" ref="D156">IFERROR(INDEX('CoQ Register'!$B:$B,MATCH("P060442|R",'CoQ Register'!$S:$S,0)),"—")</f>
        <v>— at issue —</v>
      </c>
      <c r="E156" s="12" t="s">
        <v>1684</v>
      </c>
      <c r="F156" s="12" t="s">
        <v>1477</v>
      </c>
      <c r="G156" s="12" t="s">
        <v>2116</v>
      </c>
      <c r="H156" s="12" t="s">
        <v>1686</v>
      </c>
      <c r="I156" s="12" t="s">
        <v>1687</v>
      </c>
      <c r="J156" s="45" t="str">
        <f t="array" ref="J156">IFERROR(INDEX('CoQ Register'!$D:$D,MATCH("P060442|R",'CoQ Register'!$S:$S,0)),"")</f>
        <v/>
      </c>
      <c r="K156" s="13" t="s">
        <v>600</v>
      </c>
      <c r="L156" s="12" t="s">
        <v>602</v>
      </c>
      <c r="M156" s="12" t="s">
        <v>315</v>
      </c>
      <c r="N156" s="12" t="s">
        <v>1634</v>
      </c>
      <c r="O156" s="12" t="s">
        <v>1635</v>
      </c>
      <c r="P156" s="12" t="s">
        <v>1632</v>
      </c>
      <c r="Q156" s="12" t="s">
        <v>856</v>
      </c>
      <c r="R156" s="12" t="s">
        <v>1689</v>
      </c>
      <c r="S156" s="12" t="s">
        <v>1689</v>
      </c>
      <c r="T156" s="12" t="s">
        <v>1689</v>
      </c>
      <c r="U156" s="28" t="s">
        <v>1691</v>
      </c>
      <c r="V156" s="28" t="s">
        <v>1692</v>
      </c>
      <c r="W156" s="28" t="s">
        <v>1692</v>
      </c>
      <c r="X156" s="12" t="s">
        <v>1693</v>
      </c>
      <c r="Y156" s="12" t="s">
        <v>1694</v>
      </c>
    </row>
    <row r="157" spans="1:25" ht="14.25" customHeight="1">
      <c r="A157" s="12">
        <v>156</v>
      </c>
      <c r="B157" s="12" t="s">
        <v>1714</v>
      </c>
      <c r="C157" s="13" t="str">
        <f t="array" ref="C157">IFERROR(INDEX('iCoA Register'!$B:$B,MATCH("P060452|R",'iCoA Register'!$P:$P,0)),"— at issue —")</f>
        <v>— at issue —</v>
      </c>
      <c r="D157" s="13" t="str">
        <f t="array" ref="D157">IFERROR(INDEX('CoQ Register'!$B:$B,MATCH("P060452|R",'CoQ Register'!$S:$S,0)),"—")</f>
        <v>— at issue —</v>
      </c>
      <c r="E157" s="12" t="s">
        <v>1684</v>
      </c>
      <c r="F157" s="12" t="s">
        <v>1477</v>
      </c>
      <c r="G157" s="12" t="s">
        <v>2120</v>
      </c>
      <c r="H157" s="12" t="s">
        <v>1686</v>
      </c>
      <c r="I157" s="12" t="s">
        <v>1719</v>
      </c>
      <c r="J157" s="45" t="str">
        <f t="array" ref="J157">IFERROR(INDEX('CoQ Register'!$D:$D,MATCH("P060452|R",'CoQ Register'!$S:$S,0)),"")</f>
        <v/>
      </c>
      <c r="K157" s="13" t="s">
        <v>213</v>
      </c>
      <c r="L157" s="12" t="s">
        <v>214</v>
      </c>
      <c r="M157" s="12" t="s">
        <v>1644</v>
      </c>
      <c r="N157" s="12" t="s">
        <v>1645</v>
      </c>
      <c r="O157" s="12" t="s">
        <v>1646</v>
      </c>
      <c r="P157" s="12" t="s">
        <v>1642</v>
      </c>
      <c r="Q157" s="12" t="s">
        <v>856</v>
      </c>
      <c r="R157" s="12" t="s">
        <v>1689</v>
      </c>
      <c r="S157" s="12" t="s">
        <v>1689</v>
      </c>
      <c r="T157" s="12" t="s">
        <v>1689</v>
      </c>
      <c r="U157" s="28" t="s">
        <v>1691</v>
      </c>
      <c r="V157" s="28" t="s">
        <v>1692</v>
      </c>
      <c r="W157" s="28" t="s">
        <v>1692</v>
      </c>
      <c r="X157" s="12" t="s">
        <v>1693</v>
      </c>
      <c r="Y157" s="28" t="s">
        <v>1720</v>
      </c>
    </row>
    <row r="158" spans="1:25" ht="14.25" customHeight="1">
      <c r="A158" s="12">
        <v>157</v>
      </c>
      <c r="B158" s="12" t="s">
        <v>1714</v>
      </c>
      <c r="C158" s="13" t="str">
        <f t="array" ref="C158">IFERROR(INDEX('iCoA Register'!$B:$B,MATCH("P060462|R",'iCoA Register'!$P:$P,0)),"— at issue —")</f>
        <v>— at issue —</v>
      </c>
      <c r="D158" s="13" t="str">
        <f t="array" ref="D158">IFERROR(INDEX('CoQ Register'!$B:$B,MATCH("P060462|R",'CoQ Register'!$S:$S,0)),"—")</f>
        <v>— at issue —</v>
      </c>
      <c r="E158" s="12" t="s">
        <v>1684</v>
      </c>
      <c r="F158" s="12" t="s">
        <v>1477</v>
      </c>
      <c r="G158" s="12" t="s">
        <v>2120</v>
      </c>
      <c r="H158" s="12" t="s">
        <v>1686</v>
      </c>
      <c r="I158" s="12" t="s">
        <v>1719</v>
      </c>
      <c r="J158" s="45" t="str">
        <f t="array" ref="J158">IFERROR(INDEX('CoQ Register'!$D:$D,MATCH("P060462|R",'CoQ Register'!$S:$S,0)),"")</f>
        <v/>
      </c>
      <c r="K158" s="13" t="s">
        <v>257</v>
      </c>
      <c r="L158" s="12" t="s">
        <v>258</v>
      </c>
      <c r="M158" s="12" t="s">
        <v>1592</v>
      </c>
      <c r="N158" s="12" t="s">
        <v>1652</v>
      </c>
      <c r="O158" s="12" t="s">
        <v>1653</v>
      </c>
      <c r="P158" s="12" t="s">
        <v>1650</v>
      </c>
      <c r="Q158" s="12" t="s">
        <v>856</v>
      </c>
      <c r="R158" s="12" t="s">
        <v>1689</v>
      </c>
      <c r="S158" s="12" t="s">
        <v>1689</v>
      </c>
      <c r="T158" s="12" t="s">
        <v>1689</v>
      </c>
      <c r="U158" s="28" t="s">
        <v>1691</v>
      </c>
      <c r="V158" s="28" t="s">
        <v>1692</v>
      </c>
      <c r="W158" s="28" t="s">
        <v>1692</v>
      </c>
      <c r="X158" s="12" t="s">
        <v>1693</v>
      </c>
      <c r="Y158" s="28" t="s">
        <v>1720</v>
      </c>
    </row>
    <row r="159" spans="1:25" ht="14.25" customHeight="1"/>
    <row r="160" spans="1:25" ht="84" customHeight="1">
      <c r="A160" s="76" t="s">
        <v>2124</v>
      </c>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8"/>
    </row>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Y158" xr:uid="{00000000-0009-0000-0000-000009000000}"/>
  <mergeCells count="1">
    <mergeCell ref="A160:Y160"/>
  </mergeCells>
  <pageMargins left="0.25" right="0.25" top="0.75" bottom="0.75" header="0" footer="0"/>
  <pageSetup paperSize="8"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T1000"/>
  <sheetViews>
    <sheetView workbookViewId="0">
      <pane xSplit="2" ySplit="1" topLeftCell="C2" activePane="bottomRight" state="frozen"/>
      <selection activeCell="B3" sqref="B3"/>
      <selection pane="topRight" activeCell="B3" sqref="B3"/>
      <selection pane="bottomLeft" activeCell="B3" sqref="B3"/>
      <selection pane="bottomRight" activeCell="B3" sqref="B3"/>
    </sheetView>
  </sheetViews>
  <sheetFormatPr defaultColWidth="14.44140625" defaultRowHeight="15" customHeight="1"/>
  <cols>
    <col min="1" max="1" width="6" customWidth="1"/>
    <col min="2" max="2" width="18" customWidth="1"/>
    <col min="3" max="3" width="9" customWidth="1"/>
    <col min="4" max="4" width="18" customWidth="1"/>
    <col min="5" max="5" width="14" customWidth="1"/>
    <col min="6" max="6" width="16" customWidth="1"/>
    <col min="7" max="7" width="22" customWidth="1"/>
    <col min="8" max="8" width="16" customWidth="1"/>
    <col min="9" max="9" width="14" customWidth="1"/>
    <col min="10" max="10" width="10" customWidth="1"/>
    <col min="11" max="11" width="20" customWidth="1"/>
    <col min="12" max="12" width="16" customWidth="1"/>
    <col min="13" max="13" width="12" customWidth="1"/>
    <col min="14" max="14" width="20" customWidth="1"/>
    <col min="15" max="15" width="34" customWidth="1"/>
    <col min="16" max="17" width="26" customWidth="1"/>
    <col min="18" max="18" width="22" customWidth="1"/>
    <col min="19" max="19" width="14" customWidth="1"/>
    <col min="20" max="20" width="64" customWidth="1"/>
    <col min="21" max="26" width="8.6640625" customWidth="1"/>
  </cols>
  <sheetData>
    <row r="1" spans="1:20" ht="21.75" customHeight="1">
      <c r="A1" s="5" t="s">
        <v>1351</v>
      </c>
      <c r="B1" s="5" t="s">
        <v>1498</v>
      </c>
      <c r="C1" s="5" t="s">
        <v>1359</v>
      </c>
      <c r="D1" s="5" t="s">
        <v>1361</v>
      </c>
      <c r="E1" s="5" t="s">
        <v>1501</v>
      </c>
      <c r="F1" s="5" t="s">
        <v>1502</v>
      </c>
      <c r="G1" s="5" t="s">
        <v>1504</v>
      </c>
      <c r="H1" s="5" t="s">
        <v>1506</v>
      </c>
      <c r="I1" s="5" t="s">
        <v>1507</v>
      </c>
      <c r="J1" s="5" t="s">
        <v>828</v>
      </c>
      <c r="K1" s="5" t="s">
        <v>823</v>
      </c>
      <c r="L1" s="5" t="s">
        <v>2</v>
      </c>
      <c r="M1" s="5" t="s">
        <v>6</v>
      </c>
      <c r="N1" s="5" t="s">
        <v>7</v>
      </c>
      <c r="O1" s="5" t="s">
        <v>1510</v>
      </c>
      <c r="P1" s="5" t="s">
        <v>1511</v>
      </c>
      <c r="Q1" s="5" t="s">
        <v>1512</v>
      </c>
      <c r="R1" s="5" t="s">
        <v>1371</v>
      </c>
      <c r="S1" s="5" t="s">
        <v>1372</v>
      </c>
      <c r="T1" s="5" t="s">
        <v>8</v>
      </c>
    </row>
    <row r="2" spans="1:20" ht="14.25" customHeight="1">
      <c r="A2" s="12">
        <f t="shared" ref="A2:A158" si="0">IF(C2="yes",COUNT(A$1:A1)+1,"")</f>
        <v>1</v>
      </c>
      <c r="B2" s="13" t="str">
        <f t="shared" ref="B2:B158" si="1">IF(A2&lt;&gt;"","CoQ-PP_26-"&amp;TEXT(A2,"000"),"— at issue —")</f>
        <v>CoQ-PP_26-001</v>
      </c>
      <c r="C2" s="24" t="s">
        <v>1383</v>
      </c>
      <c r="D2" s="45">
        <f t="array" ref="D2">IF(A2="","",MAX(E2,IF(ISNUMBER(I2),I2,0),IFERROR(IF(ISNUMBER(INDEX('iCoA Register'!$F:$F,MATCH(S2,'iCoA Register'!$P:$P,0))),(INDEX('iCoA Register'!$F:$F,MATCH(S2,'iCoA Register'!$P:$P,0)))+CHOOSE(WEEKDAY(INDEX('iCoA Register'!$F:$F,MATCH(S2,'iCoA Register'!$P:$P,0)),2),0,0,0,0,0,2,1),0),0)))</f>
        <v>46169</v>
      </c>
      <c r="E2" s="45">
        <f t="shared" ref="E2:E84" si="2">IF(ISNUMBER(F2),IF(AND(J2="legacy",F2&lt;=DATE(2026,5,27)),DATE(2026,5,27),MAX(DATE(2026,5,27),(F2+7)+CHOOSE(WEEKDAY(F2+7,2),0,0,0,0,0,2,1))),IF(J2="legacy",DATE(2026,5,27),""))</f>
        <v>46169</v>
      </c>
      <c r="F2" s="45">
        <v>45715</v>
      </c>
      <c r="G2" s="12" t="s">
        <v>1534</v>
      </c>
      <c r="H2" s="12" t="str">
        <f t="array" ref="H2">IFERROR(INDEX('iCoA Register'!$B:$B,MATCH("CJ1024|I",'iCoA Register'!$P:$P,0)),"—")</f>
        <v>iCoA-PP_26-001</v>
      </c>
      <c r="I2" s="45">
        <f t="array" ref="I2">IFERROR(INDEX('iCoA Register'!$D:$D,MATCH("CJ1024|I",'iCoA Register'!$P:$P,0)),"")</f>
        <v>46157</v>
      </c>
      <c r="J2" s="12" t="s">
        <v>851</v>
      </c>
      <c r="K2" s="12" t="s">
        <v>844</v>
      </c>
      <c r="L2" s="13" t="s">
        <v>173</v>
      </c>
      <c r="M2" s="12" t="s">
        <v>425</v>
      </c>
      <c r="N2" s="12" t="s">
        <v>75</v>
      </c>
      <c r="O2" s="12" t="s">
        <v>565</v>
      </c>
      <c r="P2" s="28" t="s">
        <v>86</v>
      </c>
      <c r="Q2" s="12" t="s">
        <v>86</v>
      </c>
      <c r="R2" s="12" t="s">
        <v>850</v>
      </c>
      <c r="S2" s="12" t="s">
        <v>1404</v>
      </c>
      <c r="T2" s="20" t="s">
        <v>1544</v>
      </c>
    </row>
    <row r="3" spans="1:20" ht="14.25" customHeight="1">
      <c r="A3" s="12">
        <f t="shared" si="0"/>
        <v>2</v>
      </c>
      <c r="B3" s="13" t="str">
        <f t="shared" si="1"/>
        <v>CoQ-PP_26-002</v>
      </c>
      <c r="C3" s="24" t="s">
        <v>1383</v>
      </c>
      <c r="D3" s="45">
        <f t="array" ref="D3">IF(A3="","",MAX(E3,IF(ISNUMBER(I3),I3,0),IFERROR(IF(ISNUMBER(INDEX('iCoA Register'!$F:$F,MATCH(S3,'iCoA Register'!$P:$P,0))),(INDEX('iCoA Register'!$F:$F,MATCH(S3,'iCoA Register'!$P:$P,0)))+CHOOSE(WEEKDAY(INDEX('iCoA Register'!$F:$F,MATCH(S3,'iCoA Register'!$P:$P,0)),2),0,0,0,0,0,2,1),0),0)))</f>
        <v>46169</v>
      </c>
      <c r="E3" s="45">
        <f t="shared" si="2"/>
        <v>46169</v>
      </c>
      <c r="F3" s="45">
        <v>45715</v>
      </c>
      <c r="G3" s="12" t="s">
        <v>1552</v>
      </c>
      <c r="H3" s="12" t="str">
        <f t="array" ref="H3">IFERROR(INDEX('iCoA Register'!$B:$B,MATCH("BSS1024|I",'iCoA Register'!$P:$P,0)),"—")</f>
        <v>iCoA-PP_26-002</v>
      </c>
      <c r="I3" s="45">
        <f t="array" ref="I3">IFERROR(INDEX('iCoA Register'!$D:$D,MATCH("BSS1024|I",'iCoA Register'!$P:$P,0)),"")</f>
        <v>46157</v>
      </c>
      <c r="J3" s="12" t="s">
        <v>851</v>
      </c>
      <c r="K3" s="12" t="s">
        <v>844</v>
      </c>
      <c r="L3" s="13" t="s">
        <v>125</v>
      </c>
      <c r="M3" s="12" t="s">
        <v>425</v>
      </c>
      <c r="N3" s="12" t="s">
        <v>129</v>
      </c>
      <c r="O3" s="12" t="s">
        <v>489</v>
      </c>
      <c r="P3" s="28" t="s">
        <v>86</v>
      </c>
      <c r="Q3" s="12" t="s">
        <v>86</v>
      </c>
      <c r="R3" s="12" t="s">
        <v>1563</v>
      </c>
      <c r="S3" s="12" t="s">
        <v>1423</v>
      </c>
      <c r="T3" s="20" t="s">
        <v>1544</v>
      </c>
    </row>
    <row r="4" spans="1:20" ht="14.25" customHeight="1">
      <c r="A4" s="12">
        <f t="shared" si="0"/>
        <v>3</v>
      </c>
      <c r="B4" s="13" t="str">
        <f t="shared" si="1"/>
        <v>CoQ-PP_26-003</v>
      </c>
      <c r="C4" s="24" t="s">
        <v>1383</v>
      </c>
      <c r="D4" s="45">
        <f t="array" ref="D4">IF(A4="","",MAX(E4,IF(ISNUMBER(I4),I4,0),IFERROR(IF(ISNUMBER(INDEX('iCoA Register'!$F:$F,MATCH(S4,'iCoA Register'!$P:$P,0))),(INDEX('iCoA Register'!$F:$F,MATCH(S4,'iCoA Register'!$P:$P,0)))+CHOOSE(WEEKDAY(INDEX('iCoA Register'!$F:$F,MATCH(S4,'iCoA Register'!$P:$P,0)),2),0,0,0,0,0,2,1),0),0)))</f>
        <v>46169</v>
      </c>
      <c r="E4" s="45">
        <f t="shared" si="2"/>
        <v>46169</v>
      </c>
      <c r="F4" s="45">
        <v>45715</v>
      </c>
      <c r="G4" s="12" t="s">
        <v>1571</v>
      </c>
      <c r="H4" s="12" t="str">
        <f t="array" ref="H4">IFERROR(INDEX('iCoA Register'!$B:$B,MATCH("BG1024|I",'iCoA Register'!$P:$P,0)),"—")</f>
        <v>iCoA-PP_26-003</v>
      </c>
      <c r="I4" s="45">
        <f t="array" ref="I4">IFERROR(INDEX('iCoA Register'!$D:$D,MATCH("BG1024|I",'iCoA Register'!$P:$P,0)),"")</f>
        <v>46157</v>
      </c>
      <c r="J4" s="12" t="s">
        <v>851</v>
      </c>
      <c r="K4" s="12" t="s">
        <v>844</v>
      </c>
      <c r="L4" s="13" t="s">
        <v>71</v>
      </c>
      <c r="M4" s="12" t="s">
        <v>425</v>
      </c>
      <c r="N4" s="12" t="s">
        <v>73</v>
      </c>
      <c r="O4" s="12" t="s">
        <v>438</v>
      </c>
      <c r="P4" s="28" t="s">
        <v>86</v>
      </c>
      <c r="Q4" s="12" t="s">
        <v>86</v>
      </c>
      <c r="R4" s="12" t="s">
        <v>1584</v>
      </c>
      <c r="S4" s="12" t="s">
        <v>1433</v>
      </c>
      <c r="T4" s="20" t="s">
        <v>1544</v>
      </c>
    </row>
    <row r="5" spans="1:20" ht="14.25" customHeight="1">
      <c r="A5" s="12">
        <f t="shared" si="0"/>
        <v>4</v>
      </c>
      <c r="B5" s="13" t="str">
        <f t="shared" si="1"/>
        <v>CoQ-PP_26-004</v>
      </c>
      <c r="C5" s="24" t="s">
        <v>1383</v>
      </c>
      <c r="D5" s="45">
        <f t="array" ref="D5">IF(A5="","",MAX(E5,IF(ISNUMBER(I5),I5,0),IFERROR(IF(ISNUMBER(INDEX('iCoA Register'!$F:$F,MATCH(S5,'iCoA Register'!$P:$P,0))),(INDEX('iCoA Register'!$F:$F,MATCH(S5,'iCoA Register'!$P:$P,0)))+CHOOSE(WEEKDAY(INDEX('iCoA Register'!$F:$F,MATCH(S5,'iCoA Register'!$P:$P,0)),2),0,0,0,0,0,2,1),0),0)))</f>
        <v>46169</v>
      </c>
      <c r="E5" s="45">
        <f t="shared" si="2"/>
        <v>46169</v>
      </c>
      <c r="F5" s="45" t="s">
        <v>86</v>
      </c>
      <c r="G5" s="12" t="s">
        <v>86</v>
      </c>
      <c r="H5" s="12" t="str">
        <f t="array" ref="H5">IFERROR(INDEX('iCoA Register'!$B:$B,MATCH("GG1024|I",'iCoA Register'!$P:$P,0)),"—")</f>
        <v>iCoA-PP_26-004</v>
      </c>
      <c r="I5" s="45">
        <f t="array" ref="I5">IFERROR(INDEX('iCoA Register'!$D:$D,MATCH("GG1024|I",'iCoA Register'!$P:$P,0)),"")</f>
        <v>46157</v>
      </c>
      <c r="J5" s="12" t="s">
        <v>851</v>
      </c>
      <c r="K5" s="12" t="s">
        <v>844</v>
      </c>
      <c r="L5" s="13" t="s">
        <v>265</v>
      </c>
      <c r="M5" s="12" t="s">
        <v>425</v>
      </c>
      <c r="N5" s="12" t="s">
        <v>234</v>
      </c>
      <c r="O5" s="28" t="s">
        <v>893</v>
      </c>
      <c r="P5" s="28" t="s">
        <v>86</v>
      </c>
      <c r="Q5" s="12" t="s">
        <v>86</v>
      </c>
      <c r="R5" s="12" t="s">
        <v>1605</v>
      </c>
      <c r="S5" s="12" t="s">
        <v>1445</v>
      </c>
      <c r="T5" s="20" t="s">
        <v>1606</v>
      </c>
    </row>
    <row r="6" spans="1:20" ht="14.25" customHeight="1">
      <c r="A6" s="12">
        <f t="shared" si="0"/>
        <v>5</v>
      </c>
      <c r="B6" s="13" t="str">
        <f t="shared" si="1"/>
        <v>CoQ-PP_26-005</v>
      </c>
      <c r="C6" s="24" t="s">
        <v>1383</v>
      </c>
      <c r="D6" s="45">
        <f t="array" ref="D6">IF(A6="","",MAX(E6,IF(ISNUMBER(I6),I6,0),IFERROR(IF(ISNUMBER(INDEX('iCoA Register'!$F:$F,MATCH(S6,'iCoA Register'!$P:$P,0))),(INDEX('iCoA Register'!$F:$F,MATCH(S6,'iCoA Register'!$P:$P,0)))+CHOOSE(WEEKDAY(INDEX('iCoA Register'!$F:$F,MATCH(S6,'iCoA Register'!$P:$P,0)),2),0,0,0,0,0,2,1),0),0)))</f>
        <v>46169</v>
      </c>
      <c r="E6" s="45">
        <f t="shared" si="2"/>
        <v>46169</v>
      </c>
      <c r="F6" s="45" t="s">
        <v>86</v>
      </c>
      <c r="G6" s="12" t="s">
        <v>86</v>
      </c>
      <c r="H6" s="12" t="str">
        <f t="array" ref="H6">IFERROR(INDEX('iCoA Register'!$B:$B,MATCH("HPA1024|I",'iCoA Register'!$P:$P,0)),"—")</f>
        <v>iCoA-PP_26-005</v>
      </c>
      <c r="I6" s="45">
        <f t="array" ref="I6">IFERROR(INDEX('iCoA Register'!$D:$D,MATCH("HPA1024|I",'iCoA Register'!$P:$P,0)),"")</f>
        <v>46157</v>
      </c>
      <c r="J6" s="12" t="s">
        <v>851</v>
      </c>
      <c r="K6" s="12" t="s">
        <v>844</v>
      </c>
      <c r="L6" s="13" t="s">
        <v>260</v>
      </c>
      <c r="M6" s="12" t="s">
        <v>425</v>
      </c>
      <c r="N6" s="12" t="s">
        <v>900</v>
      </c>
      <c r="O6" s="28" t="s">
        <v>893</v>
      </c>
      <c r="P6" s="28" t="s">
        <v>86</v>
      </c>
      <c r="Q6" s="12" t="s">
        <v>86</v>
      </c>
      <c r="R6" s="12" t="s">
        <v>1620</v>
      </c>
      <c r="S6" s="12" t="s">
        <v>1455</v>
      </c>
      <c r="T6" s="20" t="s">
        <v>1606</v>
      </c>
    </row>
    <row r="7" spans="1:20" ht="14.25" customHeight="1">
      <c r="A7" s="12">
        <f t="shared" si="0"/>
        <v>6</v>
      </c>
      <c r="B7" s="13" t="str">
        <f t="shared" si="1"/>
        <v>CoQ-PP_26-006</v>
      </c>
      <c r="C7" s="24" t="s">
        <v>1383</v>
      </c>
      <c r="D7" s="45">
        <f t="array" ref="D7">IF(A7="","",MAX(E7,IF(ISNUMBER(I7),I7,0),IFERROR(IF(ISNUMBER(INDEX('iCoA Register'!$F:$F,MATCH(S7,'iCoA Register'!$P:$P,0))),(INDEX('iCoA Register'!$F:$F,MATCH(S7,'iCoA Register'!$P:$P,0)))+CHOOSE(WEEKDAY(INDEX('iCoA Register'!$F:$F,MATCH(S7,'iCoA Register'!$P:$P,0)),2),0,0,0,0,0,2,1),0),0)))</f>
        <v>46169</v>
      </c>
      <c r="E7" s="45">
        <f t="shared" si="2"/>
        <v>46169</v>
      </c>
      <c r="F7" s="45" t="s">
        <v>86</v>
      </c>
      <c r="G7" s="12" t="s">
        <v>86</v>
      </c>
      <c r="H7" s="12" t="str">
        <f t="array" ref="H7">IFERROR(INDEX('iCoA Register'!$B:$B,MATCH("OPM1024|I",'iCoA Register'!$P:$P,0)),"—")</f>
        <v>iCoA-PP_26-006</v>
      </c>
      <c r="I7" s="45">
        <f t="array" ref="I7">IFERROR(INDEX('iCoA Register'!$D:$D,MATCH("OPM1024|I",'iCoA Register'!$P:$P,0)),"")</f>
        <v>46157</v>
      </c>
      <c r="J7" s="12" t="s">
        <v>851</v>
      </c>
      <c r="K7" s="12" t="s">
        <v>844</v>
      </c>
      <c r="L7" s="13" t="s">
        <v>291</v>
      </c>
      <c r="M7" s="12" t="s">
        <v>425</v>
      </c>
      <c r="N7" s="12" t="s">
        <v>910</v>
      </c>
      <c r="O7" s="28" t="s">
        <v>893</v>
      </c>
      <c r="P7" s="28" t="s">
        <v>86</v>
      </c>
      <c r="Q7" s="12" t="s">
        <v>86</v>
      </c>
      <c r="R7" s="12" t="s">
        <v>1649</v>
      </c>
      <c r="S7" s="12" t="s">
        <v>1472</v>
      </c>
      <c r="T7" s="20" t="s">
        <v>1606</v>
      </c>
    </row>
    <row r="8" spans="1:20" ht="14.25" customHeight="1">
      <c r="A8" s="12">
        <f t="shared" si="0"/>
        <v>7</v>
      </c>
      <c r="B8" s="13" t="str">
        <f t="shared" si="1"/>
        <v>CoQ-PP_26-007</v>
      </c>
      <c r="C8" s="24" t="s">
        <v>1383</v>
      </c>
      <c r="D8" s="45">
        <f t="array" ref="D8">IF(A8="","",MAX(E8,IF(ISNUMBER(I8),I8,0),IFERROR(IF(ISNUMBER(INDEX('iCoA Register'!$F:$F,MATCH(S8,'iCoA Register'!$P:$P,0))),(INDEX('iCoA Register'!$F:$F,MATCH(S8,'iCoA Register'!$P:$P,0)))+CHOOSE(WEEKDAY(INDEX('iCoA Register'!$F:$F,MATCH(S8,'iCoA Register'!$P:$P,0)),2),0,0,0,0,0,2,1),0),0)))</f>
        <v>46169</v>
      </c>
      <c r="E8" s="45">
        <f t="shared" si="2"/>
        <v>46169</v>
      </c>
      <c r="F8" s="45">
        <v>45807</v>
      </c>
      <c r="G8" s="12" t="s">
        <v>1657</v>
      </c>
      <c r="H8" s="12" t="str">
        <f t="array" ref="H8">IFERROR(INDEX('iCoA Register'!$B:$B,MATCH("P050022|I",'iCoA Register'!$P:$P,0)),"—")</f>
        <v>iCoA-PP_26-007</v>
      </c>
      <c r="I8" s="45">
        <f t="array" ref="I8">IFERROR(INDEX('iCoA Register'!$D:$D,MATCH("P050022|I",'iCoA Register'!$P:$P,0)),"")</f>
        <v>46157</v>
      </c>
      <c r="J8" s="12" t="s">
        <v>851</v>
      </c>
      <c r="K8" s="12" t="s">
        <v>844</v>
      </c>
      <c r="L8" s="13" t="s">
        <v>247</v>
      </c>
      <c r="M8" s="12" t="s">
        <v>250</v>
      </c>
      <c r="N8" s="12" t="s">
        <v>178</v>
      </c>
      <c r="O8" s="12" t="s">
        <v>924</v>
      </c>
      <c r="P8" s="28" t="s">
        <v>86</v>
      </c>
      <c r="Q8" s="12" t="s">
        <v>86</v>
      </c>
      <c r="R8" s="12" t="s">
        <v>1669</v>
      </c>
      <c r="S8" s="12" t="s">
        <v>1484</v>
      </c>
      <c r="T8" s="20" t="s">
        <v>1544</v>
      </c>
    </row>
    <row r="9" spans="1:20" ht="14.25" customHeight="1">
      <c r="A9" s="12">
        <f t="shared" si="0"/>
        <v>8</v>
      </c>
      <c r="B9" s="13" t="str">
        <f t="shared" si="1"/>
        <v>CoQ-PP_26-008</v>
      </c>
      <c r="C9" s="24" t="s">
        <v>1383</v>
      </c>
      <c r="D9" s="45">
        <f t="array" ref="D9">IF(A9="","",MAX(E9,IF(ISNUMBER(I9),I9,0),IFERROR(IF(ISNUMBER(INDEX('iCoA Register'!$F:$F,MATCH(S9,'iCoA Register'!$P:$P,0))),(INDEX('iCoA Register'!$F:$F,MATCH(S9,'iCoA Register'!$P:$P,0)))+CHOOSE(WEEKDAY(INDEX('iCoA Register'!$F:$F,MATCH(S9,'iCoA Register'!$P:$P,0)),2),0,0,0,0,0,2,1),0),0)))</f>
        <v>46169</v>
      </c>
      <c r="E9" s="45">
        <f t="shared" si="2"/>
        <v>46169</v>
      </c>
      <c r="F9" s="45">
        <v>45807</v>
      </c>
      <c r="G9" s="12" t="s">
        <v>1673</v>
      </c>
      <c r="H9" s="12" t="str">
        <f t="array" ref="H9">IFERROR(INDEX('iCoA Register'!$B:$B,MATCH("P050012|I",'iCoA Register'!$P:$P,0)),"—")</f>
        <v>iCoA-PP_26-008</v>
      </c>
      <c r="I9" s="45">
        <f t="array" ref="I9">IFERROR(INDEX('iCoA Register'!$D:$D,MATCH("P050012|I",'iCoA Register'!$P:$P,0)),"")</f>
        <v>46157</v>
      </c>
      <c r="J9" s="12" t="s">
        <v>851</v>
      </c>
      <c r="K9" s="12" t="s">
        <v>844</v>
      </c>
      <c r="L9" s="13" t="s">
        <v>313</v>
      </c>
      <c r="M9" s="12" t="s">
        <v>312</v>
      </c>
      <c r="N9" s="12" t="s">
        <v>234</v>
      </c>
      <c r="O9" s="12" t="s">
        <v>937</v>
      </c>
      <c r="P9" s="28" t="s">
        <v>86</v>
      </c>
      <c r="Q9" s="12" t="s">
        <v>86</v>
      </c>
      <c r="R9" s="12" t="s">
        <v>850</v>
      </c>
      <c r="S9" s="12" t="s">
        <v>1499</v>
      </c>
      <c r="T9" s="20" t="s">
        <v>1544</v>
      </c>
    </row>
    <row r="10" spans="1:20" ht="14.25" customHeight="1">
      <c r="A10" s="12">
        <f t="shared" si="0"/>
        <v>9</v>
      </c>
      <c r="B10" s="13" t="str">
        <f t="shared" si="1"/>
        <v>CoQ-PP_26-009</v>
      </c>
      <c r="C10" s="24" t="s">
        <v>1383</v>
      </c>
      <c r="D10" s="45">
        <f t="array" ref="D10">IF(A10="","",MAX(E10,IF(ISNUMBER(I10),I10,0),IFERROR(IF(ISNUMBER(INDEX('iCoA Register'!$F:$F,MATCH(S10,'iCoA Register'!$P:$P,0))),(INDEX('iCoA Register'!$F:$F,MATCH(S10,'iCoA Register'!$P:$P,0)))+CHOOSE(WEEKDAY(INDEX('iCoA Register'!$F:$F,MATCH(S10,'iCoA Register'!$P:$P,0)),2),0,0,0,0,0,2,1),0),0)))</f>
        <v>46169</v>
      </c>
      <c r="E10" s="45">
        <f t="shared" si="2"/>
        <v>46169</v>
      </c>
      <c r="F10" s="45">
        <v>45784</v>
      </c>
      <c r="G10" s="12" t="s">
        <v>1690</v>
      </c>
      <c r="H10" s="12" t="str">
        <f t="array" ref="H10">IFERROR(INDEX('iCoA Register'!$B:$B,MATCH("P050032|I",'iCoA Register'!$P:$P,0)),"—")</f>
        <v>iCoA-PP_26-009</v>
      </c>
      <c r="I10" s="45">
        <f t="array" ref="I10">IFERROR(INDEX('iCoA Register'!$D:$D,MATCH("P050032|I",'iCoA Register'!$P:$P,0)),"")</f>
        <v>46157</v>
      </c>
      <c r="J10" s="12" t="s">
        <v>851</v>
      </c>
      <c r="K10" s="12" t="s">
        <v>844</v>
      </c>
      <c r="L10" s="13" t="s">
        <v>309</v>
      </c>
      <c r="M10" s="12" t="s">
        <v>306</v>
      </c>
      <c r="N10" s="12" t="s">
        <v>222</v>
      </c>
      <c r="O10" s="12" t="s">
        <v>947</v>
      </c>
      <c r="P10" s="28" t="s">
        <v>86</v>
      </c>
      <c r="Q10" s="12" t="s">
        <v>86</v>
      </c>
      <c r="R10" s="12" t="s">
        <v>850</v>
      </c>
      <c r="S10" s="12" t="s">
        <v>1516</v>
      </c>
      <c r="T10" s="20" t="s">
        <v>1544</v>
      </c>
    </row>
    <row r="11" spans="1:20" ht="14.25" customHeight="1">
      <c r="A11" s="12">
        <f t="shared" si="0"/>
        <v>10</v>
      </c>
      <c r="B11" s="13" t="str">
        <f t="shared" si="1"/>
        <v>CoQ-PP_26-010</v>
      </c>
      <c r="C11" s="24" t="s">
        <v>1383</v>
      </c>
      <c r="D11" s="45">
        <f t="array" ref="D11">IF(A11="","",MAX(E11,IF(ISNUMBER(I11),I11,0),IFERROR(IF(ISNUMBER(INDEX('iCoA Register'!$F:$F,MATCH(S11,'iCoA Register'!$P:$P,0))),(INDEX('iCoA Register'!$F:$F,MATCH(S11,'iCoA Register'!$P:$P,0)))+CHOOSE(WEEKDAY(INDEX('iCoA Register'!$F:$F,MATCH(S11,'iCoA Register'!$P:$P,0)),2),0,0,0,0,0,2,1),0),0)))</f>
        <v>46169</v>
      </c>
      <c r="E11" s="45">
        <f t="shared" si="2"/>
        <v>46169</v>
      </c>
      <c r="F11" s="45">
        <v>45784</v>
      </c>
      <c r="G11" s="12" t="s">
        <v>1713</v>
      </c>
      <c r="H11" s="12" t="str">
        <f t="array" ref="H11">IFERROR(INDEX('iCoA Register'!$B:$B,MATCH("P050042|I",'iCoA Register'!$P:$P,0)),"—")</f>
        <v>iCoA-PP_26-010</v>
      </c>
      <c r="I11" s="45">
        <f t="array" ref="I11">IFERROR(INDEX('iCoA Register'!$D:$D,MATCH("P050042|I",'iCoA Register'!$P:$P,0)),"")</f>
        <v>46157</v>
      </c>
      <c r="J11" s="12" t="s">
        <v>851</v>
      </c>
      <c r="K11" s="12" t="s">
        <v>844</v>
      </c>
      <c r="L11" s="13" t="s">
        <v>304</v>
      </c>
      <c r="M11" s="12" t="s">
        <v>302</v>
      </c>
      <c r="N11" s="12" t="s">
        <v>103</v>
      </c>
      <c r="O11" s="12" t="s">
        <v>954</v>
      </c>
      <c r="P11" s="28" t="s">
        <v>86</v>
      </c>
      <c r="Q11" s="12" t="s">
        <v>86</v>
      </c>
      <c r="R11" s="12" t="s">
        <v>1721</v>
      </c>
      <c r="S11" s="12" t="s">
        <v>1531</v>
      </c>
      <c r="T11" s="20" t="s">
        <v>1544</v>
      </c>
    </row>
    <row r="12" spans="1:20" ht="14.25" customHeight="1">
      <c r="A12" s="12">
        <f t="shared" si="0"/>
        <v>11</v>
      </c>
      <c r="B12" s="13" t="str">
        <f t="shared" si="1"/>
        <v>CoQ-PP_26-011</v>
      </c>
      <c r="C12" s="24" t="s">
        <v>1383</v>
      </c>
      <c r="D12" s="45">
        <f t="array" ref="D12">IF(A12="","",MAX(E12,IF(ISNUMBER(I12),I12,0),IFERROR(IF(ISNUMBER(INDEX('iCoA Register'!$F:$F,MATCH(S12,'iCoA Register'!$P:$P,0))),(INDEX('iCoA Register'!$F:$F,MATCH(S12,'iCoA Register'!$P:$P,0)))+CHOOSE(WEEKDAY(INDEX('iCoA Register'!$F:$F,MATCH(S12,'iCoA Register'!$P:$P,0)),2),0,0,0,0,0,2,1),0),0)))</f>
        <v>46169</v>
      </c>
      <c r="E12" s="45">
        <f t="shared" si="2"/>
        <v>46169</v>
      </c>
      <c r="F12" s="45">
        <v>45832</v>
      </c>
      <c r="G12" s="12" t="s">
        <v>1032</v>
      </c>
      <c r="H12" s="12" t="str">
        <f t="array" ref="H12">IFERROR(INDEX('iCoA Register'!$B:$B,MATCH("P050052|I",'iCoA Register'!$P:$P,0)),"—")</f>
        <v>iCoA-PP_26-011</v>
      </c>
      <c r="I12" s="45">
        <f t="array" ref="I12">IFERROR(INDEX('iCoA Register'!$D:$D,MATCH("P050052|I",'iCoA Register'!$P:$P,0)),"")</f>
        <v>46157</v>
      </c>
      <c r="J12" s="12" t="s">
        <v>851</v>
      </c>
      <c r="K12" s="12" t="s">
        <v>844</v>
      </c>
      <c r="L12" s="13" t="s">
        <v>267</v>
      </c>
      <c r="M12" s="12" t="s">
        <v>269</v>
      </c>
      <c r="N12" s="12" t="s">
        <v>261</v>
      </c>
      <c r="O12" s="12" t="s">
        <v>969</v>
      </c>
      <c r="P12" s="28" t="s">
        <v>86</v>
      </c>
      <c r="Q12" s="12" t="s">
        <v>86</v>
      </c>
      <c r="R12" s="12" t="s">
        <v>1734</v>
      </c>
      <c r="S12" s="12" t="s">
        <v>1546</v>
      </c>
      <c r="T12" s="20" t="s">
        <v>1544</v>
      </c>
    </row>
    <row r="13" spans="1:20" ht="14.25" customHeight="1">
      <c r="A13" s="12">
        <f t="shared" si="0"/>
        <v>12</v>
      </c>
      <c r="B13" s="13" t="str">
        <f t="shared" si="1"/>
        <v>CoQ-PP_26-012</v>
      </c>
      <c r="C13" s="24" t="s">
        <v>1383</v>
      </c>
      <c r="D13" s="45">
        <f t="array" ref="D13">IF(A13="","",MAX(E13,IF(ISNUMBER(I13),I13,0),IFERROR(IF(ISNUMBER(INDEX('iCoA Register'!$F:$F,MATCH(S13,'iCoA Register'!$P:$P,0))),(INDEX('iCoA Register'!$F:$F,MATCH(S13,'iCoA Register'!$P:$P,0)))+CHOOSE(WEEKDAY(INDEX('iCoA Register'!$F:$F,MATCH(S13,'iCoA Register'!$P:$P,0)),2),0,0,0,0,0,2,1),0),0)))</f>
        <v>46169</v>
      </c>
      <c r="E13" s="45">
        <f t="shared" si="2"/>
        <v>46169</v>
      </c>
      <c r="F13" s="45">
        <v>45832</v>
      </c>
      <c r="G13" s="12" t="s">
        <v>297</v>
      </c>
      <c r="H13" s="12" t="str">
        <f t="array" ref="H13">IFERROR(INDEX('iCoA Register'!$B:$B,MATCH("P050062|I",'iCoA Register'!$P:$P,0)),"—")</f>
        <v>iCoA-PP_26-012</v>
      </c>
      <c r="I13" s="45">
        <f t="array" ref="I13">IFERROR(INDEX('iCoA Register'!$D:$D,MATCH("P050062|I",'iCoA Register'!$P:$P,0)),"")</f>
        <v>46157</v>
      </c>
      <c r="J13" s="12" t="s">
        <v>851</v>
      </c>
      <c r="K13" s="12" t="s">
        <v>844</v>
      </c>
      <c r="L13" s="13" t="s">
        <v>296</v>
      </c>
      <c r="M13" s="12" t="s">
        <v>295</v>
      </c>
      <c r="N13" s="12" t="s">
        <v>103</v>
      </c>
      <c r="O13" s="12" t="s">
        <v>985</v>
      </c>
      <c r="P13" s="28" t="s">
        <v>86</v>
      </c>
      <c r="Q13" s="12" t="s">
        <v>86</v>
      </c>
      <c r="R13" s="12" t="s">
        <v>1748</v>
      </c>
      <c r="S13" s="12" t="s">
        <v>1560</v>
      </c>
      <c r="T13" s="20" t="s">
        <v>1544</v>
      </c>
    </row>
    <row r="14" spans="1:20" ht="14.25" customHeight="1">
      <c r="A14" s="12">
        <f t="shared" si="0"/>
        <v>13</v>
      </c>
      <c r="B14" s="13" t="str">
        <f t="shared" si="1"/>
        <v>CoQ-PP_26-013</v>
      </c>
      <c r="C14" s="24" t="s">
        <v>1383</v>
      </c>
      <c r="D14" s="45">
        <f t="array" ref="D14">IF(A14="","",MAX(E14,IF(ISNUMBER(I14),I14,0),IFERROR(IF(ISNUMBER(INDEX('iCoA Register'!$F:$F,MATCH(S14,'iCoA Register'!$P:$P,0))),(INDEX('iCoA Register'!$F:$F,MATCH(S14,'iCoA Register'!$P:$P,0)))+CHOOSE(WEEKDAY(INDEX('iCoA Register'!$F:$F,MATCH(S14,'iCoA Register'!$P:$P,0)),2),0,0,0,0,0,2,1),0),0)))</f>
        <v>46169</v>
      </c>
      <c r="E14" s="45">
        <f t="shared" si="2"/>
        <v>46169</v>
      </c>
      <c r="F14" s="45">
        <v>45848</v>
      </c>
      <c r="G14" s="12" t="s">
        <v>389</v>
      </c>
      <c r="H14" s="12" t="str">
        <f t="array" ref="H14">IFERROR(INDEX('iCoA Register'!$B:$B,MATCH("P050072|I",'iCoA Register'!$P:$P,0)),"—")</f>
        <v>iCoA-PP_26-013</v>
      </c>
      <c r="I14" s="45">
        <f t="array" ref="I14">IFERROR(INDEX('iCoA Register'!$D:$D,MATCH("P050072|I",'iCoA Register'!$P:$P,0)),"")</f>
        <v>46157</v>
      </c>
      <c r="J14" s="12" t="s">
        <v>851</v>
      </c>
      <c r="K14" s="12" t="s">
        <v>844</v>
      </c>
      <c r="L14" s="13" t="s">
        <v>293</v>
      </c>
      <c r="M14" s="12" t="s">
        <v>292</v>
      </c>
      <c r="N14" s="12" t="s">
        <v>178</v>
      </c>
      <c r="O14" s="12" t="s">
        <v>1002</v>
      </c>
      <c r="P14" s="28" t="s">
        <v>86</v>
      </c>
      <c r="Q14" s="12" t="s">
        <v>86</v>
      </c>
      <c r="R14" s="12" t="s">
        <v>1761</v>
      </c>
      <c r="S14" s="12" t="s">
        <v>1579</v>
      </c>
      <c r="T14" s="20" t="s">
        <v>1544</v>
      </c>
    </row>
    <row r="15" spans="1:20" ht="14.25" customHeight="1">
      <c r="A15" s="12">
        <f t="shared" si="0"/>
        <v>14</v>
      </c>
      <c r="B15" s="13" t="str">
        <f t="shared" si="1"/>
        <v>CoQ-PP_26-014</v>
      </c>
      <c r="C15" s="24" t="s">
        <v>1383</v>
      </c>
      <c r="D15" s="45">
        <f t="array" ref="D15">IF(A15="","",MAX(E15,IF(ISNUMBER(I15),I15,0),IFERROR(IF(ISNUMBER(INDEX('iCoA Register'!$F:$F,MATCH(S15,'iCoA Register'!$P:$P,0))),(INDEX('iCoA Register'!$F:$F,MATCH(S15,'iCoA Register'!$P:$P,0)))+CHOOSE(WEEKDAY(INDEX('iCoA Register'!$F:$F,MATCH(S15,'iCoA Register'!$P:$P,0)),2),0,0,0,0,0,2,1),0),0)))</f>
        <v>46169</v>
      </c>
      <c r="E15" s="45">
        <f t="shared" si="2"/>
        <v>46169</v>
      </c>
      <c r="F15" s="45">
        <v>45867</v>
      </c>
      <c r="G15" s="12" t="s">
        <v>1768</v>
      </c>
      <c r="H15" s="12" t="str">
        <f t="array" ref="H15">IFERROR(INDEX('iCoA Register'!$B:$B,MATCH("P050082|I",'iCoA Register'!$P:$P,0)),"—")</f>
        <v>iCoA-PP_26-014</v>
      </c>
      <c r="I15" s="45">
        <f t="array" ref="I15">IFERROR(INDEX('iCoA Register'!$D:$D,MATCH("P050082|I",'iCoA Register'!$P:$P,0)),"")</f>
        <v>46157</v>
      </c>
      <c r="J15" s="12" t="s">
        <v>851</v>
      </c>
      <c r="K15" s="12" t="s">
        <v>844</v>
      </c>
      <c r="L15" s="13" t="s">
        <v>237</v>
      </c>
      <c r="M15" s="12" t="s">
        <v>235</v>
      </c>
      <c r="N15" s="12" t="s">
        <v>103</v>
      </c>
      <c r="O15" s="12" t="s">
        <v>1017</v>
      </c>
      <c r="P15" s="28" t="s">
        <v>86</v>
      </c>
      <c r="Q15" s="12" t="s">
        <v>86</v>
      </c>
      <c r="R15" s="12" t="s">
        <v>1775</v>
      </c>
      <c r="S15" s="12" t="s">
        <v>1591</v>
      </c>
      <c r="T15" s="20" t="s">
        <v>1544</v>
      </c>
    </row>
    <row r="16" spans="1:20" ht="14.25" customHeight="1">
      <c r="A16" s="12">
        <f t="shared" si="0"/>
        <v>15</v>
      </c>
      <c r="B16" s="13" t="str">
        <f t="shared" si="1"/>
        <v>CoQ-PP_26-015</v>
      </c>
      <c r="C16" s="24" t="s">
        <v>1383</v>
      </c>
      <c r="D16" s="45">
        <f t="array" ref="D16">IF(A16="","",MAX(E16,IF(ISNUMBER(I16),I16,0),IFERROR(IF(ISNUMBER(INDEX('iCoA Register'!$F:$F,MATCH(S16,'iCoA Register'!$P:$P,0))),(INDEX('iCoA Register'!$F:$F,MATCH(S16,'iCoA Register'!$P:$P,0)))+CHOOSE(WEEKDAY(INDEX('iCoA Register'!$F:$F,MATCH(S16,'iCoA Register'!$P:$P,0)),2),0,0,0,0,0,2,1),0),0)))</f>
        <v>46169</v>
      </c>
      <c r="E16" s="45">
        <f t="shared" si="2"/>
        <v>46169</v>
      </c>
      <c r="F16" s="45">
        <v>45764</v>
      </c>
      <c r="G16" s="12" t="s">
        <v>238</v>
      </c>
      <c r="H16" s="12" t="str">
        <f t="array" ref="H16">IFERROR(INDEX('iCoA Register'!$B:$B,MATCH("P050092|I",'iCoA Register'!$P:$P,0)),"—")</f>
        <v>iCoA-PP_26-015</v>
      </c>
      <c r="I16" s="45">
        <f t="array" ref="I16">IFERROR(INDEX('iCoA Register'!$D:$D,MATCH("P050092|I",'iCoA Register'!$P:$P,0)),"")</f>
        <v>46157</v>
      </c>
      <c r="J16" s="12" t="s">
        <v>851</v>
      </c>
      <c r="K16" s="12" t="s">
        <v>844</v>
      </c>
      <c r="L16" s="13" t="s">
        <v>232</v>
      </c>
      <c r="M16" s="12" t="s">
        <v>236</v>
      </c>
      <c r="N16" s="12" t="s">
        <v>234</v>
      </c>
      <c r="O16" s="12" t="s">
        <v>1027</v>
      </c>
      <c r="P16" s="28" t="s">
        <v>86</v>
      </c>
      <c r="Q16" s="12" t="s">
        <v>86</v>
      </c>
      <c r="R16" s="12" t="s">
        <v>1786</v>
      </c>
      <c r="S16" s="12" t="s">
        <v>1609</v>
      </c>
      <c r="T16" s="20" t="s">
        <v>1544</v>
      </c>
    </row>
    <row r="17" spans="1:20" ht="14.25" customHeight="1">
      <c r="A17" s="12">
        <f t="shared" si="0"/>
        <v>16</v>
      </c>
      <c r="B17" s="13" t="str">
        <f t="shared" si="1"/>
        <v>CoQ-PP_26-016</v>
      </c>
      <c r="C17" s="24" t="s">
        <v>1383</v>
      </c>
      <c r="D17" s="45">
        <f t="array" ref="D17">IF(A17="","",MAX(E17,IF(ISNUMBER(I17),I17,0),IFERROR(IF(ISNUMBER(INDEX('iCoA Register'!$F:$F,MATCH(S17,'iCoA Register'!$P:$P,0))),(INDEX('iCoA Register'!$F:$F,MATCH(S17,'iCoA Register'!$P:$P,0)))+CHOOSE(WEEKDAY(INDEX('iCoA Register'!$F:$F,MATCH(S17,'iCoA Register'!$P:$P,0)),2),0,0,0,0,0,2,1),0),0)))</f>
        <v>46169</v>
      </c>
      <c r="E17" s="45">
        <f t="shared" si="2"/>
        <v>46169</v>
      </c>
      <c r="F17" s="45">
        <v>45764</v>
      </c>
      <c r="G17" s="12" t="s">
        <v>996</v>
      </c>
      <c r="H17" s="12" t="str">
        <f t="array" ref="H17">IFERROR(INDEX('iCoA Register'!$B:$B,MATCH("P050102|I",'iCoA Register'!$P:$P,0)),"—")</f>
        <v>iCoA-PP_26-016</v>
      </c>
      <c r="I17" s="45">
        <f t="array" ref="I17">IFERROR(INDEX('iCoA Register'!$D:$D,MATCH("P050102|I",'iCoA Register'!$P:$P,0)),"")</f>
        <v>46157</v>
      </c>
      <c r="J17" s="12" t="s">
        <v>851</v>
      </c>
      <c r="K17" s="12" t="s">
        <v>844</v>
      </c>
      <c r="L17" s="13" t="s">
        <v>289</v>
      </c>
      <c r="M17" s="12" t="s">
        <v>288</v>
      </c>
      <c r="N17" s="12" t="s">
        <v>178</v>
      </c>
      <c r="O17" s="12" t="s">
        <v>1038</v>
      </c>
      <c r="P17" s="28" t="s">
        <v>86</v>
      </c>
      <c r="Q17" s="12" t="s">
        <v>86</v>
      </c>
      <c r="R17" s="12" t="s">
        <v>850</v>
      </c>
      <c r="S17" s="12" t="s">
        <v>1618</v>
      </c>
      <c r="T17" s="20" t="s">
        <v>1544</v>
      </c>
    </row>
    <row r="18" spans="1:20" ht="14.25" customHeight="1">
      <c r="A18" s="12">
        <f t="shared" si="0"/>
        <v>17</v>
      </c>
      <c r="B18" s="13" t="str">
        <f t="shared" si="1"/>
        <v>CoQ-PP_26-017</v>
      </c>
      <c r="C18" s="24" t="s">
        <v>1383</v>
      </c>
      <c r="D18" s="45">
        <f t="array" ref="D18">IF(A18="","",MAX(E18,IF(ISNUMBER(I18),I18,0),IFERROR(IF(ISNUMBER(INDEX('iCoA Register'!$F:$F,MATCH(S18,'iCoA Register'!$P:$P,0))),(INDEX('iCoA Register'!$F:$F,MATCH(S18,'iCoA Register'!$P:$P,0)))+CHOOSE(WEEKDAY(INDEX('iCoA Register'!$F:$F,MATCH(S18,'iCoA Register'!$P:$P,0)),2),0,0,0,0,0,2,1),0),0)))</f>
        <v>46169</v>
      </c>
      <c r="E18" s="45">
        <f t="shared" si="2"/>
        <v>46169</v>
      </c>
      <c r="F18" s="45">
        <v>45867</v>
      </c>
      <c r="G18" s="12" t="s">
        <v>1799</v>
      </c>
      <c r="H18" s="12" t="str">
        <f t="array" ref="H18">IFERROR(INDEX('iCoA Register'!$B:$B,MATCH("P050112|I",'iCoA Register'!$P:$P,0)),"—")</f>
        <v>iCoA-PP_26-017</v>
      </c>
      <c r="I18" s="45">
        <f t="array" ref="I18">IFERROR(INDEX('iCoA Register'!$D:$D,MATCH("P050112|I",'iCoA Register'!$P:$P,0)),"")</f>
        <v>46157</v>
      </c>
      <c r="J18" s="12" t="s">
        <v>851</v>
      </c>
      <c r="K18" s="12" t="s">
        <v>844</v>
      </c>
      <c r="L18" s="13" t="s">
        <v>227</v>
      </c>
      <c r="M18" s="12" t="s">
        <v>223</v>
      </c>
      <c r="N18" s="12" t="s">
        <v>222</v>
      </c>
      <c r="O18" s="12" t="s">
        <v>1047</v>
      </c>
      <c r="P18" s="28" t="s">
        <v>86</v>
      </c>
      <c r="Q18" s="12" t="s">
        <v>86</v>
      </c>
      <c r="R18" s="12" t="s">
        <v>1802</v>
      </c>
      <c r="S18" s="12" t="s">
        <v>1637</v>
      </c>
      <c r="T18" s="20" t="s">
        <v>1544</v>
      </c>
    </row>
    <row r="19" spans="1:20" ht="14.25" customHeight="1">
      <c r="A19" s="12">
        <f t="shared" si="0"/>
        <v>18</v>
      </c>
      <c r="B19" s="13" t="str">
        <f t="shared" si="1"/>
        <v>CoQ-PP_26-018</v>
      </c>
      <c r="C19" s="24" t="s">
        <v>1383</v>
      </c>
      <c r="D19" s="45">
        <f t="array" ref="D19">IF(A19="","",MAX(E19,IF(ISNUMBER(I19),I19,0),IFERROR(IF(ISNUMBER(INDEX('iCoA Register'!$F:$F,MATCH(S19,'iCoA Register'!$P:$P,0))),(INDEX('iCoA Register'!$F:$F,MATCH(S19,'iCoA Register'!$P:$P,0)))+CHOOSE(WEEKDAY(INDEX('iCoA Register'!$F:$F,MATCH(S19,'iCoA Register'!$P:$P,0)),2),0,0,0,0,0,2,1),0),0)))</f>
        <v>46169</v>
      </c>
      <c r="E19" s="45">
        <f t="shared" si="2"/>
        <v>46169</v>
      </c>
      <c r="F19" s="45">
        <v>45848</v>
      </c>
      <c r="G19" s="12" t="s">
        <v>934</v>
      </c>
      <c r="H19" s="12" t="str">
        <f t="array" ref="H19">IFERROR(INDEX('iCoA Register'!$B:$B,MATCH("P050122|I",'iCoA Register'!$P:$P,0)),"—")</f>
        <v>iCoA-PP_26-018</v>
      </c>
      <c r="I19" s="45">
        <f t="array" ref="I19">IFERROR(INDEX('iCoA Register'!$D:$D,MATCH("P050122|I",'iCoA Register'!$P:$P,0)),"")</f>
        <v>46157</v>
      </c>
      <c r="J19" s="12" t="s">
        <v>851</v>
      </c>
      <c r="K19" s="12" t="s">
        <v>844</v>
      </c>
      <c r="L19" s="13" t="s">
        <v>280</v>
      </c>
      <c r="M19" s="12" t="s">
        <v>278</v>
      </c>
      <c r="N19" s="12" t="s">
        <v>129</v>
      </c>
      <c r="O19" s="12" t="s">
        <v>1057</v>
      </c>
      <c r="P19" s="28" t="s">
        <v>86</v>
      </c>
      <c r="Q19" s="12" t="s">
        <v>86</v>
      </c>
      <c r="R19" s="12" t="s">
        <v>1806</v>
      </c>
      <c r="S19" s="12" t="s">
        <v>1655</v>
      </c>
      <c r="T19" s="20" t="s">
        <v>1544</v>
      </c>
    </row>
    <row r="20" spans="1:20" ht="14.25" customHeight="1">
      <c r="A20" s="12">
        <f t="shared" si="0"/>
        <v>19</v>
      </c>
      <c r="B20" s="13" t="str">
        <f t="shared" si="1"/>
        <v>CoQ-PP_26-019</v>
      </c>
      <c r="C20" s="24" t="s">
        <v>1383</v>
      </c>
      <c r="D20" s="45">
        <f t="array" ref="D20">IF(A20="","",MAX(E20,IF(ISNUMBER(I20),I20,0),IFERROR(IF(ISNUMBER(INDEX('iCoA Register'!$F:$F,MATCH(S20,'iCoA Register'!$P:$P,0))),(INDEX('iCoA Register'!$F:$F,MATCH(S20,'iCoA Register'!$P:$P,0)))+CHOOSE(WEEKDAY(INDEX('iCoA Register'!$F:$F,MATCH(S20,'iCoA Register'!$P:$P,0)),2),0,0,0,0,0,2,1),0),0)))</f>
        <v>46169</v>
      </c>
      <c r="E20" s="45">
        <f t="shared" si="2"/>
        <v>46169</v>
      </c>
      <c r="F20" s="45">
        <v>45905</v>
      </c>
      <c r="G20" s="12" t="s">
        <v>713</v>
      </c>
      <c r="H20" s="12" t="str">
        <f t="array" ref="H20">IFERROR(INDEX('iCoA Register'!$B:$B,MATCH("P050132|I",'iCoA Register'!$P:$P,0)),"—")</f>
        <v>iCoA-PP_26-019</v>
      </c>
      <c r="I20" s="45">
        <f t="array" ref="I20">IFERROR(INDEX('iCoA Register'!$D:$D,MATCH("P050132|I",'iCoA Register'!$P:$P,0)),"")</f>
        <v>46157</v>
      </c>
      <c r="J20" s="12" t="s">
        <v>851</v>
      </c>
      <c r="K20" s="12" t="s">
        <v>844</v>
      </c>
      <c r="L20" s="13" t="s">
        <v>233</v>
      </c>
      <c r="M20" s="12" t="s">
        <v>231</v>
      </c>
      <c r="N20" s="12" t="s">
        <v>103</v>
      </c>
      <c r="O20" s="12" t="s">
        <v>1071</v>
      </c>
      <c r="P20" s="28" t="s">
        <v>86</v>
      </c>
      <c r="Q20" s="12" t="s">
        <v>86</v>
      </c>
      <c r="R20" s="12" t="s">
        <v>850</v>
      </c>
      <c r="S20" s="12" t="s">
        <v>1672</v>
      </c>
      <c r="T20" s="20" t="s">
        <v>1544</v>
      </c>
    </row>
    <row r="21" spans="1:20" ht="14.25" customHeight="1">
      <c r="A21" s="12">
        <f t="shared" si="0"/>
        <v>20</v>
      </c>
      <c r="B21" s="13" t="str">
        <f t="shared" si="1"/>
        <v>CoQ-PP_26-020</v>
      </c>
      <c r="C21" s="24" t="s">
        <v>1383</v>
      </c>
      <c r="D21" s="45">
        <f t="array" ref="D21">IF(A21="","",MAX(E21,IF(ISNUMBER(I21),I21,0),IFERROR(IF(ISNUMBER(INDEX('iCoA Register'!$F:$F,MATCH(S21,'iCoA Register'!$P:$P,0))),(INDEX('iCoA Register'!$F:$F,MATCH(S21,'iCoA Register'!$P:$P,0)))+CHOOSE(WEEKDAY(INDEX('iCoA Register'!$F:$F,MATCH(S21,'iCoA Register'!$P:$P,0)),2),0,0,0,0,0,2,1),0),0)))</f>
        <v>46169</v>
      </c>
      <c r="E21" s="45">
        <f t="shared" si="2"/>
        <v>46169</v>
      </c>
      <c r="F21" s="45">
        <v>45919</v>
      </c>
      <c r="G21" s="12" t="s">
        <v>245</v>
      </c>
      <c r="H21" s="12" t="str">
        <f t="array" ref="H21">IFERROR(INDEX('iCoA Register'!$B:$B,MATCH("P050152|I",'iCoA Register'!$P:$P,0)),"—")</f>
        <v>iCoA-PP_26-020</v>
      </c>
      <c r="I21" s="45">
        <f t="array" ref="I21">IFERROR(INDEX('iCoA Register'!$D:$D,MATCH("P050152|I",'iCoA Register'!$P:$P,0)),"")</f>
        <v>46157</v>
      </c>
      <c r="J21" s="12" t="s">
        <v>851</v>
      </c>
      <c r="K21" s="12" t="s">
        <v>844</v>
      </c>
      <c r="L21" s="13" t="s">
        <v>202</v>
      </c>
      <c r="M21" s="12" t="s">
        <v>199</v>
      </c>
      <c r="N21" s="12" t="s">
        <v>178</v>
      </c>
      <c r="O21" s="12" t="s">
        <v>1080</v>
      </c>
      <c r="P21" s="28" t="s">
        <v>86</v>
      </c>
      <c r="Q21" s="12" t="s">
        <v>86</v>
      </c>
      <c r="R21" s="12" t="s">
        <v>1821</v>
      </c>
      <c r="S21" s="12" t="s">
        <v>1678</v>
      </c>
      <c r="T21" s="20" t="s">
        <v>1544</v>
      </c>
    </row>
    <row r="22" spans="1:20" ht="14.25" customHeight="1">
      <c r="A22" s="12">
        <f t="shared" si="0"/>
        <v>21</v>
      </c>
      <c r="B22" s="13" t="str">
        <f t="shared" si="1"/>
        <v>CoQ-PP_26-021</v>
      </c>
      <c r="C22" s="24" t="s">
        <v>1383</v>
      </c>
      <c r="D22" s="45">
        <f t="array" ref="D22">IF(A22="","",MAX(E22,IF(ISNUMBER(I22),I22,0),IFERROR(IF(ISNUMBER(INDEX('iCoA Register'!$F:$F,MATCH(S22,'iCoA Register'!$P:$P,0))),(INDEX('iCoA Register'!$F:$F,MATCH(S22,'iCoA Register'!$P:$P,0)))+CHOOSE(WEEKDAY(INDEX('iCoA Register'!$F:$F,MATCH(S22,'iCoA Register'!$P:$P,0)),2),0,0,0,0,0,2,1),0),0)))</f>
        <v>46169</v>
      </c>
      <c r="E22" s="45">
        <f t="shared" si="2"/>
        <v>46169</v>
      </c>
      <c r="F22" s="45" t="s">
        <v>86</v>
      </c>
      <c r="G22" s="12" t="s">
        <v>86</v>
      </c>
      <c r="H22" s="12" t="str">
        <f t="array" ref="H22">IFERROR(INDEX('iCoA Register'!$B:$B,MATCH("P050142|I",'iCoA Register'!$P:$P,0)),"—")</f>
        <v>iCoA-PP_26-021</v>
      </c>
      <c r="I22" s="45">
        <f t="array" ref="I22">IFERROR(INDEX('iCoA Register'!$D:$D,MATCH("P050142|I",'iCoA Register'!$P:$P,0)),"")</f>
        <v>46157</v>
      </c>
      <c r="J22" s="12" t="s">
        <v>851</v>
      </c>
      <c r="K22" s="12" t="s">
        <v>844</v>
      </c>
      <c r="L22" s="13" t="s">
        <v>683</v>
      </c>
      <c r="M22" s="12" t="s">
        <v>685</v>
      </c>
      <c r="N22" s="12" t="s">
        <v>129</v>
      </c>
      <c r="O22" s="28" t="s">
        <v>893</v>
      </c>
      <c r="P22" s="28" t="s">
        <v>86</v>
      </c>
      <c r="Q22" s="12" t="s">
        <v>86</v>
      </c>
      <c r="R22" s="12" t="s">
        <v>1806</v>
      </c>
      <c r="S22" s="12" t="s">
        <v>1697</v>
      </c>
      <c r="T22" s="20" t="s">
        <v>1606</v>
      </c>
    </row>
    <row r="23" spans="1:20" ht="14.25" customHeight="1">
      <c r="A23" s="12">
        <f t="shared" si="0"/>
        <v>22</v>
      </c>
      <c r="B23" s="13" t="str">
        <f t="shared" si="1"/>
        <v>CoQ-PP_26-022</v>
      </c>
      <c r="C23" s="24" t="s">
        <v>1383</v>
      </c>
      <c r="D23" s="45">
        <f t="array" ref="D23">IF(A23="","",MAX(E23,IF(ISNUMBER(I23),I23,0),IFERROR(IF(ISNUMBER(INDEX('iCoA Register'!$F:$F,MATCH(S23,'iCoA Register'!$P:$P,0))),(INDEX('iCoA Register'!$F:$F,MATCH(S23,'iCoA Register'!$P:$P,0)))+CHOOSE(WEEKDAY(INDEX('iCoA Register'!$F:$F,MATCH(S23,'iCoA Register'!$P:$P,0)),2),0,0,0,0,0,2,1),0),0)))</f>
        <v>46169</v>
      </c>
      <c r="E23" s="45">
        <f t="shared" si="2"/>
        <v>46169</v>
      </c>
      <c r="F23" s="45">
        <v>45917</v>
      </c>
      <c r="G23" s="12" t="s">
        <v>938</v>
      </c>
      <c r="H23" s="12" t="str">
        <f t="array" ref="H23">IFERROR(INDEX('iCoA Register'!$B:$B,MATCH("P050162|I",'iCoA Register'!$P:$P,0)),"—")</f>
        <v>iCoA-PP_26-022</v>
      </c>
      <c r="I23" s="45">
        <f t="array" ref="I23">IFERROR(INDEX('iCoA Register'!$D:$D,MATCH("P050162|I",'iCoA Register'!$P:$P,0)),"")</f>
        <v>46157</v>
      </c>
      <c r="J23" s="12" t="s">
        <v>851</v>
      </c>
      <c r="K23" s="12" t="s">
        <v>844</v>
      </c>
      <c r="L23" s="13" t="s">
        <v>171</v>
      </c>
      <c r="M23" s="12" t="s">
        <v>175</v>
      </c>
      <c r="N23" s="12" t="s">
        <v>1088</v>
      </c>
      <c r="O23" s="12" t="s">
        <v>1092</v>
      </c>
      <c r="P23" s="28" t="s">
        <v>86</v>
      </c>
      <c r="Q23" s="12" t="s">
        <v>86</v>
      </c>
      <c r="R23" s="12" t="s">
        <v>1843</v>
      </c>
      <c r="S23" s="12" t="s">
        <v>1717</v>
      </c>
      <c r="T23" s="20" t="s">
        <v>1544</v>
      </c>
    </row>
    <row r="24" spans="1:20" ht="14.25" customHeight="1">
      <c r="A24" s="12">
        <f t="shared" si="0"/>
        <v>23</v>
      </c>
      <c r="B24" s="13" t="str">
        <f t="shared" si="1"/>
        <v>CoQ-PP_26-023</v>
      </c>
      <c r="C24" s="24" t="s">
        <v>1383</v>
      </c>
      <c r="D24" s="45">
        <f t="array" ref="D24">IF(A24="","",MAX(E24,IF(ISNUMBER(I24),I24,0),IFERROR(IF(ISNUMBER(INDEX('iCoA Register'!$F:$F,MATCH(S24,'iCoA Register'!$P:$P,0))),(INDEX('iCoA Register'!$F:$F,MATCH(S24,'iCoA Register'!$P:$P,0)))+CHOOSE(WEEKDAY(INDEX('iCoA Register'!$F:$F,MATCH(S24,'iCoA Register'!$P:$P,0)),2),0,0,0,0,0,2,1),0),0)))</f>
        <v>46169</v>
      </c>
      <c r="E24" s="45">
        <f t="shared" si="2"/>
        <v>46169</v>
      </c>
      <c r="F24" s="45">
        <v>45917</v>
      </c>
      <c r="G24" s="12" t="s">
        <v>507</v>
      </c>
      <c r="H24" s="12" t="str">
        <f t="array" ref="H24">IFERROR(INDEX('iCoA Register'!$B:$B,MATCH("P050172|I",'iCoA Register'!$P:$P,0)),"—")</f>
        <v>iCoA-PP_26-023</v>
      </c>
      <c r="I24" s="45">
        <f t="array" ref="I24">IFERROR(INDEX('iCoA Register'!$D:$D,MATCH("P050172|I",'iCoA Register'!$P:$P,0)),"")</f>
        <v>46157</v>
      </c>
      <c r="J24" s="12" t="s">
        <v>851</v>
      </c>
      <c r="K24" s="12" t="s">
        <v>844</v>
      </c>
      <c r="L24" s="13" t="s">
        <v>240</v>
      </c>
      <c r="M24" s="12" t="s">
        <v>239</v>
      </c>
      <c r="N24" s="12" t="s">
        <v>75</v>
      </c>
      <c r="O24" s="12" t="s">
        <v>1099</v>
      </c>
      <c r="P24" s="28" t="s">
        <v>86</v>
      </c>
      <c r="Q24" s="12" t="s">
        <v>86</v>
      </c>
      <c r="R24" s="12" t="s">
        <v>850</v>
      </c>
      <c r="S24" s="12" t="s">
        <v>1726</v>
      </c>
      <c r="T24" s="20" t="s">
        <v>1544</v>
      </c>
    </row>
    <row r="25" spans="1:20" ht="14.25" customHeight="1">
      <c r="A25" s="12">
        <f t="shared" si="0"/>
        <v>24</v>
      </c>
      <c r="B25" s="13" t="str">
        <f t="shared" si="1"/>
        <v>CoQ-PP_26-024</v>
      </c>
      <c r="C25" s="24" t="s">
        <v>1383</v>
      </c>
      <c r="D25" s="45">
        <f t="array" ref="D25">IF(A25="","",MAX(E25,IF(ISNUMBER(I25),I25,0),IFERROR(IF(ISNUMBER(INDEX('iCoA Register'!$F:$F,MATCH(S25,'iCoA Register'!$P:$P,0))),(INDEX('iCoA Register'!$F:$F,MATCH(S25,'iCoA Register'!$P:$P,0)))+CHOOSE(WEEKDAY(INDEX('iCoA Register'!$F:$F,MATCH(S25,'iCoA Register'!$P:$P,0)),2),0,0,0,0,0,2,1),0),0)))</f>
        <v>46169</v>
      </c>
      <c r="E25" s="45">
        <f t="shared" si="2"/>
        <v>46169</v>
      </c>
      <c r="F25" s="45">
        <v>45919</v>
      </c>
      <c r="G25" s="12" t="s">
        <v>429</v>
      </c>
      <c r="H25" s="12" t="str">
        <f t="array" ref="H25">IFERROR(INDEX('iCoA Register'!$B:$B,MATCH("P050182|I",'iCoA Register'!$P:$P,0)),"—")</f>
        <v>iCoA-PP_26-024</v>
      </c>
      <c r="I25" s="45">
        <f t="array" ref="I25">IFERROR(INDEX('iCoA Register'!$D:$D,MATCH("P050182|I",'iCoA Register'!$P:$P,0)),"")</f>
        <v>46157</v>
      </c>
      <c r="J25" s="12" t="s">
        <v>851</v>
      </c>
      <c r="K25" s="12" t="s">
        <v>844</v>
      </c>
      <c r="L25" s="13" t="s">
        <v>273</v>
      </c>
      <c r="M25" s="12" t="s">
        <v>270</v>
      </c>
      <c r="N25" s="12" t="s">
        <v>261</v>
      </c>
      <c r="O25" s="12" t="s">
        <v>1120</v>
      </c>
      <c r="P25" s="28" t="s">
        <v>86</v>
      </c>
      <c r="Q25" s="12" t="s">
        <v>86</v>
      </c>
      <c r="R25" s="12" t="s">
        <v>1863</v>
      </c>
      <c r="S25" s="12" t="s">
        <v>1740</v>
      </c>
      <c r="T25" s="20" t="s">
        <v>1544</v>
      </c>
    </row>
    <row r="26" spans="1:20" ht="14.25" customHeight="1">
      <c r="A26" s="12">
        <f t="shared" si="0"/>
        <v>25</v>
      </c>
      <c r="B26" s="13" t="str">
        <f t="shared" si="1"/>
        <v>CoQ-PP_26-025</v>
      </c>
      <c r="C26" s="24" t="s">
        <v>1383</v>
      </c>
      <c r="D26" s="45">
        <f t="array" ref="D26">IF(A26="","",MAX(E26,IF(ISNUMBER(I26),I26,0),IFERROR(IF(ISNUMBER(INDEX('iCoA Register'!$F:$F,MATCH(S26,'iCoA Register'!$P:$P,0))),(INDEX('iCoA Register'!$F:$F,MATCH(S26,'iCoA Register'!$P:$P,0)))+CHOOSE(WEEKDAY(INDEX('iCoA Register'!$F:$F,MATCH(S26,'iCoA Register'!$P:$P,0)),2),0,0,0,0,0,2,1),0),0)))</f>
        <v>46169</v>
      </c>
      <c r="E26" s="45">
        <f t="shared" si="2"/>
        <v>46169</v>
      </c>
      <c r="F26" s="45">
        <v>45992</v>
      </c>
      <c r="G26" s="12" t="s">
        <v>722</v>
      </c>
      <c r="H26" s="12" t="str">
        <f t="array" ref="H26">IFERROR(INDEX('iCoA Register'!$B:$B,MATCH("P050192|I",'iCoA Register'!$P:$P,0)),"—")</f>
        <v>iCoA-PP_26-025</v>
      </c>
      <c r="I26" s="45">
        <f t="array" ref="I26">IFERROR(INDEX('iCoA Register'!$D:$D,MATCH("P050192|I",'iCoA Register'!$P:$P,0)),"")</f>
        <v>46157</v>
      </c>
      <c r="J26" s="12" t="s">
        <v>851</v>
      </c>
      <c r="K26" s="12" t="s">
        <v>844</v>
      </c>
      <c r="L26" s="13" t="s">
        <v>263</v>
      </c>
      <c r="M26" s="12" t="s">
        <v>262</v>
      </c>
      <c r="N26" s="12" t="s">
        <v>485</v>
      </c>
      <c r="O26" s="12" t="s">
        <v>1098</v>
      </c>
      <c r="P26" s="28" t="s">
        <v>86</v>
      </c>
      <c r="Q26" s="12" t="s">
        <v>1874</v>
      </c>
      <c r="R26" s="12" t="s">
        <v>1875</v>
      </c>
      <c r="S26" s="12" t="s">
        <v>1755</v>
      </c>
      <c r="T26" s="20" t="s">
        <v>1544</v>
      </c>
    </row>
    <row r="27" spans="1:20" ht="14.25" customHeight="1">
      <c r="A27" s="12">
        <f t="shared" si="0"/>
        <v>26</v>
      </c>
      <c r="B27" s="13" t="str">
        <f t="shared" si="1"/>
        <v>CoQ-PP_26-026</v>
      </c>
      <c r="C27" s="24" t="s">
        <v>1383</v>
      </c>
      <c r="D27" s="45">
        <f t="array" ref="D27">IF(A27="","",MAX(E27,IF(ISNUMBER(I27),I27,0),IFERROR(IF(ISNUMBER(INDEX('iCoA Register'!$F:$F,MATCH(S27,'iCoA Register'!$P:$P,0))),(INDEX('iCoA Register'!$F:$F,MATCH(S27,'iCoA Register'!$P:$P,0)))+CHOOSE(WEEKDAY(INDEX('iCoA Register'!$F:$F,MATCH(S27,'iCoA Register'!$P:$P,0)),2),0,0,0,0,0,2,1),0),0)))</f>
        <v>46169</v>
      </c>
      <c r="E27" s="45">
        <f t="shared" si="2"/>
        <v>46169</v>
      </c>
      <c r="F27" s="45">
        <v>46086</v>
      </c>
      <c r="G27" s="12" t="s">
        <v>971</v>
      </c>
      <c r="H27" s="12" t="str">
        <f t="array" ref="H27">IFERROR(INDEX('iCoA Register'!$B:$B,MATCH("P050202|I",'iCoA Register'!$P:$P,0)),"—")</f>
        <v>iCoA-PP_26-026</v>
      </c>
      <c r="I27" s="45">
        <f t="array" ref="I27">IFERROR(INDEX('iCoA Register'!$D:$D,MATCH("P050202|I",'iCoA Register'!$P:$P,0)),"")</f>
        <v>46157</v>
      </c>
      <c r="J27" s="12" t="s">
        <v>851</v>
      </c>
      <c r="K27" s="12" t="s">
        <v>844</v>
      </c>
      <c r="L27" s="13" t="s">
        <v>516</v>
      </c>
      <c r="M27" s="12" t="s">
        <v>517</v>
      </c>
      <c r="N27" s="12" t="s">
        <v>178</v>
      </c>
      <c r="O27" s="12" t="s">
        <v>1098</v>
      </c>
      <c r="P27" s="28" t="s">
        <v>86</v>
      </c>
      <c r="Q27" s="12" t="s">
        <v>1886</v>
      </c>
      <c r="R27" s="12" t="s">
        <v>850</v>
      </c>
      <c r="S27" s="12" t="s">
        <v>1767</v>
      </c>
      <c r="T27" s="20" t="s">
        <v>1544</v>
      </c>
    </row>
    <row r="28" spans="1:20" ht="14.25" customHeight="1">
      <c r="A28" s="12">
        <f t="shared" si="0"/>
        <v>27</v>
      </c>
      <c r="B28" s="13" t="str">
        <f t="shared" si="1"/>
        <v>CoQ-PP_26-027</v>
      </c>
      <c r="C28" s="24" t="s">
        <v>1383</v>
      </c>
      <c r="D28" s="45">
        <f t="array" ref="D28">IF(A28="","",MAX(E28,IF(ISNUMBER(I28),I28,0),IFERROR(IF(ISNUMBER(INDEX('iCoA Register'!$F:$F,MATCH(S28,'iCoA Register'!$P:$P,0))),(INDEX('iCoA Register'!$F:$F,MATCH(S28,'iCoA Register'!$P:$P,0)))+CHOOSE(WEEKDAY(INDEX('iCoA Register'!$F:$F,MATCH(S28,'iCoA Register'!$P:$P,0)),2),0,0,0,0,0,2,1),0),0)))</f>
        <v>46169</v>
      </c>
      <c r="E28" s="45">
        <f t="shared" si="2"/>
        <v>46169</v>
      </c>
      <c r="F28" s="45">
        <v>45954</v>
      </c>
      <c r="G28" s="12" t="s">
        <v>1891</v>
      </c>
      <c r="H28" s="12" t="str">
        <f t="array" ref="H28">IFERROR(INDEX('iCoA Register'!$B:$B,MATCH("P050212|I",'iCoA Register'!$P:$P,0)),"—")</f>
        <v>iCoA-PP_26-027</v>
      </c>
      <c r="I28" s="45">
        <f t="array" ref="I28">IFERROR(INDEX('iCoA Register'!$D:$D,MATCH("P050212|I",'iCoA Register'!$P:$P,0)),"")</f>
        <v>46157</v>
      </c>
      <c r="J28" s="12" t="s">
        <v>851</v>
      </c>
      <c r="K28" s="12" t="s">
        <v>844</v>
      </c>
      <c r="L28" s="13" t="s">
        <v>184</v>
      </c>
      <c r="M28" s="12" t="s">
        <v>188</v>
      </c>
      <c r="N28" s="12" t="s">
        <v>206</v>
      </c>
      <c r="O28" s="12" t="s">
        <v>1156</v>
      </c>
      <c r="P28" s="28" t="s">
        <v>86</v>
      </c>
      <c r="Q28" s="12" t="s">
        <v>1898</v>
      </c>
      <c r="R28" s="12" t="s">
        <v>850</v>
      </c>
      <c r="S28" s="12" t="s">
        <v>1778</v>
      </c>
      <c r="T28" s="20" t="s">
        <v>1544</v>
      </c>
    </row>
    <row r="29" spans="1:20" ht="14.25" customHeight="1">
      <c r="A29" s="12">
        <f t="shared" si="0"/>
        <v>28</v>
      </c>
      <c r="B29" s="13" t="str">
        <f t="shared" si="1"/>
        <v>CoQ-PP_26-028</v>
      </c>
      <c r="C29" s="24" t="s">
        <v>1383</v>
      </c>
      <c r="D29" s="45">
        <f t="array" ref="D29">IF(A29="","",MAX(E29,IF(ISNUMBER(I29),I29,0),IFERROR(IF(ISNUMBER(INDEX('iCoA Register'!$F:$F,MATCH(S29,'iCoA Register'!$P:$P,0))),(INDEX('iCoA Register'!$F:$F,MATCH(S29,'iCoA Register'!$P:$P,0)))+CHOOSE(WEEKDAY(INDEX('iCoA Register'!$F:$F,MATCH(S29,'iCoA Register'!$P:$P,0)),2),0,0,0,0,0,2,1),0),0)))</f>
        <v>46169</v>
      </c>
      <c r="E29" s="45">
        <f t="shared" si="2"/>
        <v>46169</v>
      </c>
      <c r="F29" s="45">
        <v>45992</v>
      </c>
      <c r="G29" s="12" t="s">
        <v>1903</v>
      </c>
      <c r="H29" s="12" t="str">
        <f t="array" ref="H29">IFERROR(INDEX('iCoA Register'!$B:$B,MATCH("P050222|I",'iCoA Register'!$P:$P,0)),"—")</f>
        <v>iCoA-PP_26-028</v>
      </c>
      <c r="I29" s="45">
        <f t="array" ref="I29">IFERROR(INDEX('iCoA Register'!$D:$D,MATCH("P050222|I",'iCoA Register'!$P:$P,0)),"")</f>
        <v>46157</v>
      </c>
      <c r="J29" s="12" t="s">
        <v>851</v>
      </c>
      <c r="K29" s="12" t="s">
        <v>844</v>
      </c>
      <c r="L29" s="13" t="s">
        <v>187</v>
      </c>
      <c r="M29" s="12" t="s">
        <v>185</v>
      </c>
      <c r="N29" s="12" t="s">
        <v>206</v>
      </c>
      <c r="O29" s="12" t="s">
        <v>1164</v>
      </c>
      <c r="P29" s="28" t="s">
        <v>86</v>
      </c>
      <c r="Q29" s="12" t="s">
        <v>86</v>
      </c>
      <c r="R29" s="12" t="s">
        <v>1914</v>
      </c>
      <c r="S29" s="12" t="s">
        <v>1793</v>
      </c>
      <c r="T29" s="20" t="s">
        <v>1544</v>
      </c>
    </row>
    <row r="30" spans="1:20" ht="14.25" customHeight="1">
      <c r="A30" s="12">
        <f t="shared" si="0"/>
        <v>29</v>
      </c>
      <c r="B30" s="13" t="str">
        <f t="shared" si="1"/>
        <v>CoQ-PP_26-029</v>
      </c>
      <c r="C30" s="24" t="s">
        <v>1383</v>
      </c>
      <c r="D30" s="45">
        <f t="array" ref="D30">IF(A30="","",MAX(E30,IF(ISNUMBER(I30),I30,0),IFERROR(IF(ISNUMBER(INDEX('iCoA Register'!$F:$F,MATCH(S30,'iCoA Register'!$P:$P,0))),(INDEX('iCoA Register'!$F:$F,MATCH(S30,'iCoA Register'!$P:$P,0)))+CHOOSE(WEEKDAY(INDEX('iCoA Register'!$F:$F,MATCH(S30,'iCoA Register'!$P:$P,0)),2),0,0,0,0,0,2,1),0),0)))</f>
        <v>46169</v>
      </c>
      <c r="E30" s="45">
        <f t="shared" si="2"/>
        <v>46169</v>
      </c>
      <c r="F30" s="45">
        <v>45993</v>
      </c>
      <c r="G30" s="12" t="s">
        <v>1920</v>
      </c>
      <c r="H30" s="12" t="str">
        <f t="array" ref="H30">IFERROR(INDEX('iCoA Register'!$B:$B,MATCH("P050252|I",'iCoA Register'!$P:$P,0)),"—")</f>
        <v>iCoA-PP_26-029</v>
      </c>
      <c r="I30" s="45">
        <f t="array" ref="I30">IFERROR(INDEX('iCoA Register'!$D:$D,MATCH("P050252|I",'iCoA Register'!$P:$P,0)),"")</f>
        <v>46157</v>
      </c>
      <c r="J30" s="12" t="s">
        <v>851</v>
      </c>
      <c r="K30" s="12" t="s">
        <v>844</v>
      </c>
      <c r="L30" s="13" t="s">
        <v>190</v>
      </c>
      <c r="M30" s="12" t="s">
        <v>189</v>
      </c>
      <c r="N30" s="12" t="s">
        <v>75</v>
      </c>
      <c r="O30" s="12" t="s">
        <v>1178</v>
      </c>
      <c r="P30" s="28" t="s">
        <v>86</v>
      </c>
      <c r="Q30" s="12" t="s">
        <v>86</v>
      </c>
      <c r="R30" s="12" t="s">
        <v>850</v>
      </c>
      <c r="S30" s="12" t="s">
        <v>1797</v>
      </c>
      <c r="T30" s="20" t="s">
        <v>1544</v>
      </c>
    </row>
    <row r="31" spans="1:20" ht="14.25" customHeight="1">
      <c r="A31" s="12">
        <f t="shared" si="0"/>
        <v>30</v>
      </c>
      <c r="B31" s="13" t="str">
        <f t="shared" si="1"/>
        <v>CoQ-PP_26-030</v>
      </c>
      <c r="C31" s="24" t="s">
        <v>1383</v>
      </c>
      <c r="D31" s="45">
        <f t="array" ref="D31">IF(A31="","",MAX(E31,IF(ISNUMBER(I31),I31,0),IFERROR(IF(ISNUMBER(INDEX('iCoA Register'!$F:$F,MATCH(S31,'iCoA Register'!$P:$P,0))),(INDEX('iCoA Register'!$F:$F,MATCH(S31,'iCoA Register'!$P:$P,0)))+CHOOSE(WEEKDAY(INDEX('iCoA Register'!$F:$F,MATCH(S31,'iCoA Register'!$P:$P,0)),2),0,0,0,0,0,2,1),0),0)))</f>
        <v>46169</v>
      </c>
      <c r="E31" s="45">
        <f t="shared" si="2"/>
        <v>46169</v>
      </c>
      <c r="F31" s="45">
        <v>45993</v>
      </c>
      <c r="G31" s="12" t="s">
        <v>1933</v>
      </c>
      <c r="H31" s="12" t="str">
        <f t="array" ref="H31">IFERROR(INDEX('iCoA Register'!$B:$B,MATCH("P050262|I",'iCoA Register'!$P:$P,0)),"—")</f>
        <v>iCoA-PP_26-030</v>
      </c>
      <c r="I31" s="45">
        <f t="array" ref="I31">IFERROR(INDEX('iCoA Register'!$D:$D,MATCH("P050262|I",'iCoA Register'!$P:$P,0)),"")</f>
        <v>46157</v>
      </c>
      <c r="J31" s="12" t="s">
        <v>851</v>
      </c>
      <c r="K31" s="12" t="s">
        <v>844</v>
      </c>
      <c r="L31" s="13" t="s">
        <v>197</v>
      </c>
      <c r="M31" s="12" t="s">
        <v>196</v>
      </c>
      <c r="N31" s="12" t="s">
        <v>491</v>
      </c>
      <c r="O31" s="12" t="s">
        <v>1192</v>
      </c>
      <c r="P31" s="28" t="s">
        <v>86</v>
      </c>
      <c r="Q31" s="12" t="s">
        <v>86</v>
      </c>
      <c r="R31" s="12" t="s">
        <v>850</v>
      </c>
      <c r="S31" s="12" t="s">
        <v>1803</v>
      </c>
      <c r="T31" s="20" t="s">
        <v>1544</v>
      </c>
    </row>
    <row r="32" spans="1:20" ht="14.25" customHeight="1">
      <c r="A32" s="12">
        <f t="shared" si="0"/>
        <v>31</v>
      </c>
      <c r="B32" s="13" t="str">
        <f t="shared" si="1"/>
        <v>CoQ-PP_26-031</v>
      </c>
      <c r="C32" s="24" t="s">
        <v>1383</v>
      </c>
      <c r="D32" s="45">
        <f t="array" ref="D32">IF(A32="","",MAX(E32,IF(ISNUMBER(I32),I32,0),IFERROR(IF(ISNUMBER(INDEX('iCoA Register'!$F:$F,MATCH(S32,'iCoA Register'!$P:$P,0))),(INDEX('iCoA Register'!$F:$F,MATCH(S32,'iCoA Register'!$P:$P,0)))+CHOOSE(WEEKDAY(INDEX('iCoA Register'!$F:$F,MATCH(S32,'iCoA Register'!$P:$P,0)),2),0,0,0,0,0,2,1),0),0)))</f>
        <v>46169</v>
      </c>
      <c r="E32" s="45">
        <f t="shared" si="2"/>
        <v>46169</v>
      </c>
      <c r="F32" s="45">
        <v>45993</v>
      </c>
      <c r="G32" s="12" t="s">
        <v>1942</v>
      </c>
      <c r="H32" s="12" t="str">
        <f t="array" ref="H32">IFERROR(INDEX('iCoA Register'!$B:$B,MATCH("P050272|I",'iCoA Register'!$P:$P,0)),"—")</f>
        <v>iCoA-PP_26-031</v>
      </c>
      <c r="I32" s="45">
        <f t="array" ref="I32">IFERROR(INDEX('iCoA Register'!$D:$D,MATCH("P050272|I",'iCoA Register'!$P:$P,0)),"")</f>
        <v>46157</v>
      </c>
      <c r="J32" s="12" t="s">
        <v>851</v>
      </c>
      <c r="K32" s="12" t="s">
        <v>844</v>
      </c>
      <c r="L32" s="13" t="s">
        <v>219</v>
      </c>
      <c r="M32" s="12" t="s">
        <v>217</v>
      </c>
      <c r="N32" s="12" t="s">
        <v>307</v>
      </c>
      <c r="O32" s="12" t="s">
        <v>1199</v>
      </c>
      <c r="P32" s="28" t="s">
        <v>86</v>
      </c>
      <c r="Q32" s="12" t="s">
        <v>1947</v>
      </c>
      <c r="R32" s="12" t="s">
        <v>850</v>
      </c>
      <c r="S32" s="12" t="s">
        <v>1805</v>
      </c>
      <c r="T32" s="20" t="s">
        <v>1544</v>
      </c>
    </row>
    <row r="33" spans="1:20" ht="14.25" customHeight="1">
      <c r="A33" s="12">
        <f t="shared" si="0"/>
        <v>32</v>
      </c>
      <c r="B33" s="13" t="str">
        <f t="shared" si="1"/>
        <v>CoQ-PP_26-032</v>
      </c>
      <c r="C33" s="24" t="s">
        <v>1383</v>
      </c>
      <c r="D33" s="45">
        <f t="array" ref="D33">IF(A33="","",MAX(E33,IF(ISNUMBER(I33),I33,0),IFERROR(IF(ISNUMBER(INDEX('iCoA Register'!$F:$F,MATCH(S33,'iCoA Register'!$P:$P,0))),(INDEX('iCoA Register'!$F:$F,MATCH(S33,'iCoA Register'!$P:$P,0)))+CHOOSE(WEEKDAY(INDEX('iCoA Register'!$F:$F,MATCH(S33,'iCoA Register'!$P:$P,0)),2),0,0,0,0,0,2,1),0),0)))</f>
        <v>46169</v>
      </c>
      <c r="E33" s="45">
        <f t="shared" si="2"/>
        <v>46169</v>
      </c>
      <c r="F33" s="45">
        <v>45993</v>
      </c>
      <c r="G33" s="12" t="s">
        <v>1950</v>
      </c>
      <c r="H33" s="12" t="str">
        <f t="array" ref="H33">IFERROR(INDEX('iCoA Register'!$B:$B,MATCH("P050282|I",'iCoA Register'!$P:$P,0)),"—")</f>
        <v>iCoA-PP_26-032</v>
      </c>
      <c r="I33" s="45">
        <f t="array" ref="I33">IFERROR(INDEX('iCoA Register'!$D:$D,MATCH("P050282|I",'iCoA Register'!$P:$P,0)),"")</f>
        <v>46157</v>
      </c>
      <c r="J33" s="12" t="s">
        <v>851</v>
      </c>
      <c r="K33" s="12" t="s">
        <v>844</v>
      </c>
      <c r="L33" s="13" t="s">
        <v>212</v>
      </c>
      <c r="M33" s="12" t="s">
        <v>211</v>
      </c>
      <c r="N33" s="12" t="s">
        <v>568</v>
      </c>
      <c r="O33" s="12" t="s">
        <v>1209</v>
      </c>
      <c r="P33" s="28" t="s">
        <v>86</v>
      </c>
      <c r="Q33" s="12" t="s">
        <v>86</v>
      </c>
      <c r="R33" s="12" t="s">
        <v>1958</v>
      </c>
      <c r="S33" s="12" t="s">
        <v>1812</v>
      </c>
      <c r="T33" s="20" t="s">
        <v>1544</v>
      </c>
    </row>
    <row r="34" spans="1:20" ht="14.25" customHeight="1">
      <c r="A34" s="12">
        <f t="shared" si="0"/>
        <v>33</v>
      </c>
      <c r="B34" s="13" t="str">
        <f t="shared" si="1"/>
        <v>CoQ-PP_26-033</v>
      </c>
      <c r="C34" s="24" t="s">
        <v>1383</v>
      </c>
      <c r="D34" s="45">
        <f t="array" ref="D34">IF(A34="","",MAX(E34,IF(ISNUMBER(I34),I34,0),IFERROR(IF(ISNUMBER(INDEX('iCoA Register'!$F:$F,MATCH(S34,'iCoA Register'!$P:$P,0))),(INDEX('iCoA Register'!$F:$F,MATCH(S34,'iCoA Register'!$P:$P,0)))+CHOOSE(WEEKDAY(INDEX('iCoA Register'!$F:$F,MATCH(S34,'iCoA Register'!$P:$P,0)),2),0,0,0,0,0,2,1),0),0)))</f>
        <v>46169</v>
      </c>
      <c r="E34" s="45">
        <f t="shared" si="2"/>
        <v>46169</v>
      </c>
      <c r="F34" s="45">
        <v>46003</v>
      </c>
      <c r="G34" s="12" t="s">
        <v>560</v>
      </c>
      <c r="H34" s="12" t="str">
        <f t="array" ref="H34">IFERROR(INDEX('iCoA Register'!$B:$B,MATCH("P050292|I",'iCoA Register'!$P:$P,0)),"—")</f>
        <v>iCoA-PP_26-033</v>
      </c>
      <c r="I34" s="45">
        <f t="array" ref="I34">IFERROR(INDEX('iCoA Register'!$D:$D,MATCH("P050292|I",'iCoA Register'!$P:$P,0)),"")</f>
        <v>46157</v>
      </c>
      <c r="J34" s="12" t="s">
        <v>851</v>
      </c>
      <c r="K34" s="12" t="s">
        <v>844</v>
      </c>
      <c r="L34" s="13" t="s">
        <v>259</v>
      </c>
      <c r="M34" s="12" t="s">
        <v>254</v>
      </c>
      <c r="N34" s="12" t="s">
        <v>178</v>
      </c>
      <c r="O34" s="12" t="s">
        <v>1218</v>
      </c>
      <c r="P34" s="28" t="s">
        <v>86</v>
      </c>
      <c r="Q34" s="12" t="s">
        <v>86</v>
      </c>
      <c r="R34" s="12" t="s">
        <v>850</v>
      </c>
      <c r="S34" s="12" t="s">
        <v>1818</v>
      </c>
      <c r="T34" s="20" t="s">
        <v>1544</v>
      </c>
    </row>
    <row r="35" spans="1:20" ht="14.25" customHeight="1">
      <c r="A35" s="12">
        <f t="shared" si="0"/>
        <v>34</v>
      </c>
      <c r="B35" s="13" t="str">
        <f t="shared" si="1"/>
        <v>CoQ-PP_26-034</v>
      </c>
      <c r="C35" s="24" t="s">
        <v>1383</v>
      </c>
      <c r="D35" s="45">
        <f t="array" ref="D35">IF(A35="","",MAX(E35,IF(ISNUMBER(I35),I35,0),IFERROR(IF(ISNUMBER(INDEX('iCoA Register'!$F:$F,MATCH(S35,'iCoA Register'!$P:$P,0))),(INDEX('iCoA Register'!$F:$F,MATCH(S35,'iCoA Register'!$P:$P,0)))+CHOOSE(WEEKDAY(INDEX('iCoA Register'!$F:$F,MATCH(S35,'iCoA Register'!$P:$P,0)),2),0,0,0,0,0,2,1),0),0)))</f>
        <v>46169</v>
      </c>
      <c r="E35" s="45">
        <f t="shared" si="2"/>
        <v>46169</v>
      </c>
      <c r="F35" s="45">
        <v>46003</v>
      </c>
      <c r="G35" s="12" t="s">
        <v>382</v>
      </c>
      <c r="H35" s="12" t="str">
        <f t="array" ref="H35">IFERROR(INDEX('iCoA Register'!$B:$B,MATCH("P050302|I",'iCoA Register'!$P:$P,0)),"—")</f>
        <v>iCoA-PP_26-034</v>
      </c>
      <c r="I35" s="45">
        <f t="array" ref="I35">IFERROR(INDEX('iCoA Register'!$D:$D,MATCH("P050302|I",'iCoA Register'!$P:$P,0)),"")</f>
        <v>46157</v>
      </c>
      <c r="J35" s="12" t="s">
        <v>851</v>
      </c>
      <c r="K35" s="12" t="s">
        <v>844</v>
      </c>
      <c r="L35" s="13" t="s">
        <v>253</v>
      </c>
      <c r="M35" s="12" t="s">
        <v>252</v>
      </c>
      <c r="N35" s="12" t="s">
        <v>178</v>
      </c>
      <c r="O35" s="12" t="s">
        <v>1224</v>
      </c>
      <c r="P35" s="28" t="s">
        <v>86</v>
      </c>
      <c r="Q35" s="12" t="s">
        <v>86</v>
      </c>
      <c r="R35" s="12" t="s">
        <v>1974</v>
      </c>
      <c r="S35" s="12" t="s">
        <v>1826</v>
      </c>
      <c r="T35" s="20" t="s">
        <v>1544</v>
      </c>
    </row>
    <row r="36" spans="1:20" ht="14.25" customHeight="1">
      <c r="A36" s="12">
        <f t="shared" si="0"/>
        <v>35</v>
      </c>
      <c r="B36" s="13" t="str">
        <f t="shared" si="1"/>
        <v>CoQ-PP_26-035</v>
      </c>
      <c r="C36" s="24" t="s">
        <v>1383</v>
      </c>
      <c r="D36" s="45">
        <f t="array" ref="D36">IF(A36="","",MAX(E36,IF(ISNUMBER(I36),I36,0),IFERROR(IF(ISNUMBER(INDEX('iCoA Register'!$F:$F,MATCH(S36,'iCoA Register'!$P:$P,0))),(INDEX('iCoA Register'!$F:$F,MATCH(S36,'iCoA Register'!$P:$P,0)))+CHOOSE(WEEKDAY(INDEX('iCoA Register'!$F:$F,MATCH(S36,'iCoA Register'!$P:$P,0)),2),0,0,0,0,0,2,1),0),0)))</f>
        <v>46169</v>
      </c>
      <c r="E36" s="45">
        <f t="shared" si="2"/>
        <v>46169</v>
      </c>
      <c r="F36" s="45">
        <v>46003</v>
      </c>
      <c r="G36" s="12" t="s">
        <v>403</v>
      </c>
      <c r="H36" s="12" t="str">
        <f t="array" ref="H36">IFERROR(INDEX('iCoA Register'!$B:$B,MATCH("P050312|I",'iCoA Register'!$P:$P,0)),"—")</f>
        <v>iCoA-PP_26-035</v>
      </c>
      <c r="I36" s="45">
        <f t="array" ref="I36">IFERROR(INDEX('iCoA Register'!$D:$D,MATCH("P050312|I",'iCoA Register'!$P:$P,0)),"")</f>
        <v>46157</v>
      </c>
      <c r="J36" s="12" t="s">
        <v>851</v>
      </c>
      <c r="K36" s="12" t="s">
        <v>844</v>
      </c>
      <c r="L36" s="13" t="s">
        <v>244</v>
      </c>
      <c r="M36" s="12" t="s">
        <v>243</v>
      </c>
      <c r="N36" s="12" t="s">
        <v>178</v>
      </c>
      <c r="O36" s="12" t="s">
        <v>1232</v>
      </c>
      <c r="P36" s="28" t="s">
        <v>86</v>
      </c>
      <c r="Q36" s="12" t="s">
        <v>86</v>
      </c>
      <c r="R36" s="12" t="s">
        <v>1984</v>
      </c>
      <c r="S36" s="12" t="s">
        <v>1832</v>
      </c>
      <c r="T36" s="20" t="s">
        <v>1544</v>
      </c>
    </row>
    <row r="37" spans="1:20" ht="14.25" customHeight="1">
      <c r="A37" s="12">
        <f t="shared" si="0"/>
        <v>36</v>
      </c>
      <c r="B37" s="13" t="str">
        <f t="shared" si="1"/>
        <v>CoQ-PP_26-036</v>
      </c>
      <c r="C37" s="24" t="s">
        <v>1383</v>
      </c>
      <c r="D37" s="45">
        <f t="array" ref="D37">IF(A37="","",MAX(E37,IF(ISNUMBER(I37),I37,0),IFERROR(IF(ISNUMBER(INDEX('iCoA Register'!$F:$F,MATCH(S37,'iCoA Register'!$P:$P,0))),(INDEX('iCoA Register'!$F:$F,MATCH(S37,'iCoA Register'!$P:$P,0)))+CHOOSE(WEEKDAY(INDEX('iCoA Register'!$F:$F,MATCH(S37,'iCoA Register'!$P:$P,0)),2),0,0,0,0,0,2,1),0),0)))</f>
        <v>46169</v>
      </c>
      <c r="E37" s="45">
        <f t="shared" si="2"/>
        <v>46169</v>
      </c>
      <c r="F37" s="45">
        <v>46003</v>
      </c>
      <c r="G37" s="12" t="s">
        <v>256</v>
      </c>
      <c r="H37" s="12" t="str">
        <f t="array" ref="H37">IFERROR(INDEX('iCoA Register'!$B:$B,MATCH("P050322|I",'iCoA Register'!$P:$P,0)),"—")</f>
        <v>iCoA-PP_26-036</v>
      </c>
      <c r="I37" s="45">
        <f t="array" ref="I37">IFERROR(INDEX('iCoA Register'!$D:$D,MATCH("P050322|I",'iCoA Register'!$P:$P,0)),"")</f>
        <v>46157</v>
      </c>
      <c r="J37" s="12" t="s">
        <v>851</v>
      </c>
      <c r="K37" s="12" t="s">
        <v>844</v>
      </c>
      <c r="L37" s="13" t="s">
        <v>248</v>
      </c>
      <c r="M37" s="12" t="s">
        <v>246</v>
      </c>
      <c r="N37" s="12" t="s">
        <v>178</v>
      </c>
      <c r="O37" s="12" t="s">
        <v>1239</v>
      </c>
      <c r="P37" s="28" t="s">
        <v>86</v>
      </c>
      <c r="Q37" s="12" t="s">
        <v>86</v>
      </c>
      <c r="R37" s="12" t="s">
        <v>1990</v>
      </c>
      <c r="S37" s="12" t="s">
        <v>1846</v>
      </c>
      <c r="T37" s="20" t="s">
        <v>1544</v>
      </c>
    </row>
    <row r="38" spans="1:20" ht="14.25" customHeight="1">
      <c r="A38" s="12">
        <f t="shared" si="0"/>
        <v>37</v>
      </c>
      <c r="B38" s="13" t="str">
        <f t="shared" si="1"/>
        <v>CoQ-PP_26-037</v>
      </c>
      <c r="C38" s="24" t="s">
        <v>1383</v>
      </c>
      <c r="D38" s="45">
        <f t="array" ref="D38">IF(A38="","",MAX(E38,IF(ISNUMBER(I38),I38,0),IFERROR(IF(ISNUMBER(INDEX('iCoA Register'!$F:$F,MATCH(S38,'iCoA Register'!$P:$P,0))),(INDEX('iCoA Register'!$F:$F,MATCH(S38,'iCoA Register'!$P:$P,0)))+CHOOSE(WEEKDAY(INDEX('iCoA Register'!$F:$F,MATCH(S38,'iCoA Register'!$P:$P,0)),2),0,0,0,0,0,2,1),0),0)))</f>
        <v>46169</v>
      </c>
      <c r="E38" s="45">
        <f t="shared" si="2"/>
        <v>46169</v>
      </c>
      <c r="F38" s="45">
        <v>46055</v>
      </c>
      <c r="G38" s="12" t="s">
        <v>1996</v>
      </c>
      <c r="H38" s="12" t="str">
        <f t="array" ref="H38">IFERROR(INDEX('iCoA Register'!$B:$B,MATCH("P060012|I",'iCoA Register'!$P:$P,0)),"—")</f>
        <v>iCoA-PP_26-037</v>
      </c>
      <c r="I38" s="45">
        <f t="array" ref="I38">IFERROR(INDEX('iCoA Register'!$D:$D,MATCH("P060012|I",'iCoA Register'!$P:$P,0)),"")</f>
        <v>46157</v>
      </c>
      <c r="J38" s="12" t="s">
        <v>851</v>
      </c>
      <c r="K38" s="12" t="s">
        <v>844</v>
      </c>
      <c r="L38" s="13" t="s">
        <v>170</v>
      </c>
      <c r="M38" s="12" t="s">
        <v>169</v>
      </c>
      <c r="N38" s="12" t="s">
        <v>167</v>
      </c>
      <c r="O38" s="12" t="s">
        <v>1246</v>
      </c>
      <c r="P38" s="28" t="s">
        <v>86</v>
      </c>
      <c r="Q38" s="12" t="s">
        <v>2001</v>
      </c>
      <c r="R38" s="12" t="s">
        <v>2002</v>
      </c>
      <c r="S38" s="12" t="s">
        <v>1853</v>
      </c>
      <c r="T38" s="20" t="s">
        <v>1544</v>
      </c>
    </row>
    <row r="39" spans="1:20" ht="14.25" customHeight="1">
      <c r="A39" s="12">
        <f t="shared" si="0"/>
        <v>38</v>
      </c>
      <c r="B39" s="13" t="str">
        <f t="shared" si="1"/>
        <v>CoQ-PP_26-038</v>
      </c>
      <c r="C39" s="24" t="s">
        <v>1383</v>
      </c>
      <c r="D39" s="45">
        <f t="array" ref="D39">IF(A39="","",MAX(E39,IF(ISNUMBER(I39),I39,0),IFERROR(IF(ISNUMBER(INDEX('iCoA Register'!$F:$F,MATCH(S39,'iCoA Register'!$P:$P,0))),(INDEX('iCoA Register'!$F:$F,MATCH(S39,'iCoA Register'!$P:$P,0)))+CHOOSE(WEEKDAY(INDEX('iCoA Register'!$F:$F,MATCH(S39,'iCoA Register'!$P:$P,0)),2),0,0,0,0,0,2,1),0),0)))</f>
        <v>46169</v>
      </c>
      <c r="E39" s="45">
        <f t="shared" si="2"/>
        <v>46169</v>
      </c>
      <c r="F39" s="45">
        <v>46055</v>
      </c>
      <c r="G39" s="12" t="s">
        <v>2005</v>
      </c>
      <c r="H39" s="12" t="str">
        <f t="array" ref="H39">IFERROR(INDEX('iCoA Register'!$B:$B,MATCH("P060022|I",'iCoA Register'!$P:$P,0)),"—")</f>
        <v>iCoA-PP_26-038</v>
      </c>
      <c r="I39" s="45">
        <f t="array" ref="I39">IFERROR(INDEX('iCoA Register'!$D:$D,MATCH("P060022|I",'iCoA Register'!$P:$P,0)),"")</f>
        <v>46157</v>
      </c>
      <c r="J39" s="12" t="s">
        <v>851</v>
      </c>
      <c r="K39" s="12" t="s">
        <v>844</v>
      </c>
      <c r="L39" s="13" t="s">
        <v>82</v>
      </c>
      <c r="M39" s="12" t="s">
        <v>78</v>
      </c>
      <c r="N39" s="12" t="s">
        <v>75</v>
      </c>
      <c r="O39" s="12" t="s">
        <v>1251</v>
      </c>
      <c r="P39" s="28" t="s">
        <v>86</v>
      </c>
      <c r="Q39" s="12" t="s">
        <v>2012</v>
      </c>
      <c r="R39" s="12" t="s">
        <v>2014</v>
      </c>
      <c r="S39" s="12" t="s">
        <v>1861</v>
      </c>
      <c r="T39" s="20" t="s">
        <v>1544</v>
      </c>
    </row>
    <row r="40" spans="1:20" ht="14.25" customHeight="1">
      <c r="A40" s="12">
        <f t="shared" si="0"/>
        <v>39</v>
      </c>
      <c r="B40" s="13" t="str">
        <f t="shared" si="1"/>
        <v>CoQ-PP_26-039</v>
      </c>
      <c r="C40" s="24" t="s">
        <v>1383</v>
      </c>
      <c r="D40" s="45">
        <f t="array" ref="D40">IF(A40="","",MAX(E40,IF(ISNUMBER(I40),I40,0),IFERROR(IF(ISNUMBER(INDEX('iCoA Register'!$F:$F,MATCH(S40,'iCoA Register'!$P:$P,0))),(INDEX('iCoA Register'!$F:$F,MATCH(S40,'iCoA Register'!$P:$P,0)))+CHOOSE(WEEKDAY(INDEX('iCoA Register'!$F:$F,MATCH(S40,'iCoA Register'!$P:$P,0)),2),0,0,0,0,0,2,1),0),0)))</f>
        <v>46169</v>
      </c>
      <c r="E40" s="45">
        <f t="shared" si="2"/>
        <v>46169</v>
      </c>
      <c r="F40" s="45">
        <v>46055</v>
      </c>
      <c r="G40" s="12" t="s">
        <v>2021</v>
      </c>
      <c r="H40" s="12" t="str">
        <f t="array" ref="H40">IFERROR(INDEX('iCoA Register'!$B:$B,MATCH("P060032|I",'iCoA Register'!$P:$P,0)),"—")</f>
        <v>iCoA-PP_26-039</v>
      </c>
      <c r="I40" s="45">
        <f t="array" ref="I40">IFERROR(INDEX('iCoA Register'!$D:$D,MATCH("P060032|I",'iCoA Register'!$P:$P,0)),"")</f>
        <v>46157</v>
      </c>
      <c r="J40" s="12" t="s">
        <v>851</v>
      </c>
      <c r="K40" s="12" t="s">
        <v>844</v>
      </c>
      <c r="L40" s="13" t="s">
        <v>176</v>
      </c>
      <c r="M40" s="12" t="s">
        <v>174</v>
      </c>
      <c r="N40" s="12" t="s">
        <v>75</v>
      </c>
      <c r="O40" s="12" t="s">
        <v>1259</v>
      </c>
      <c r="P40" s="28" t="s">
        <v>86</v>
      </c>
      <c r="Q40" s="12" t="s">
        <v>2026</v>
      </c>
      <c r="R40" s="12" t="s">
        <v>2027</v>
      </c>
      <c r="S40" s="12" t="s">
        <v>1867</v>
      </c>
      <c r="T40" s="20" t="s">
        <v>1544</v>
      </c>
    </row>
    <row r="41" spans="1:20" ht="14.25" customHeight="1">
      <c r="A41" s="12">
        <f t="shared" si="0"/>
        <v>40</v>
      </c>
      <c r="B41" s="13" t="str">
        <f t="shared" si="1"/>
        <v>CoQ-PP_26-040</v>
      </c>
      <c r="C41" s="24" t="s">
        <v>1383</v>
      </c>
      <c r="D41" s="45">
        <f t="array" ref="D41">IF(A41="","",MAX(E41,IF(ISNUMBER(I41),I41,0),IFERROR(IF(ISNUMBER(INDEX('iCoA Register'!$F:$F,MATCH(S41,'iCoA Register'!$P:$P,0))),(INDEX('iCoA Register'!$F:$F,MATCH(S41,'iCoA Register'!$P:$P,0)))+CHOOSE(WEEKDAY(INDEX('iCoA Register'!$F:$F,MATCH(S41,'iCoA Register'!$P:$P,0)),2),0,0,0,0,0,2,1),0),0)))</f>
        <v>46169</v>
      </c>
      <c r="E41" s="45">
        <f t="shared" si="2"/>
        <v>46169</v>
      </c>
      <c r="F41" s="45">
        <v>46056</v>
      </c>
      <c r="G41" s="12" t="s">
        <v>2036</v>
      </c>
      <c r="H41" s="12" t="str">
        <f t="array" ref="H41">IFERROR(INDEX('iCoA Register'!$B:$B,MATCH("P060042|I",'iCoA Register'!$P:$P,0)),"—")</f>
        <v>iCoA-PP_26-040</v>
      </c>
      <c r="I41" s="45">
        <f t="array" ref="I41">IFERROR(INDEX('iCoA Register'!$D:$D,MATCH("P060042|I",'iCoA Register'!$P:$P,0)),"")</f>
        <v>46157</v>
      </c>
      <c r="J41" s="12" t="s">
        <v>851</v>
      </c>
      <c r="K41" s="12" t="s">
        <v>844</v>
      </c>
      <c r="L41" s="13" t="s">
        <v>116</v>
      </c>
      <c r="M41" s="12" t="s">
        <v>109</v>
      </c>
      <c r="N41" s="12" t="s">
        <v>103</v>
      </c>
      <c r="O41" s="12" t="s">
        <v>1269</v>
      </c>
      <c r="P41" s="28" t="s">
        <v>86</v>
      </c>
      <c r="Q41" s="12" t="s">
        <v>2040</v>
      </c>
      <c r="R41" s="12" t="s">
        <v>2041</v>
      </c>
      <c r="S41" s="12" t="s">
        <v>1879</v>
      </c>
      <c r="T41" s="20" t="s">
        <v>1544</v>
      </c>
    </row>
    <row r="42" spans="1:20" ht="14.25" customHeight="1">
      <c r="A42" s="12">
        <f t="shared" si="0"/>
        <v>41</v>
      </c>
      <c r="B42" s="13" t="str">
        <f t="shared" si="1"/>
        <v>CoQ-PP_26-041</v>
      </c>
      <c r="C42" s="24" t="s">
        <v>1383</v>
      </c>
      <c r="D42" s="45">
        <f t="array" ref="D42">IF(A42="","",MAX(E42,IF(ISNUMBER(I42),I42,0),IFERROR(IF(ISNUMBER(INDEX('iCoA Register'!$F:$F,MATCH(S42,'iCoA Register'!$P:$P,0))),(INDEX('iCoA Register'!$F:$F,MATCH(S42,'iCoA Register'!$P:$P,0)))+CHOOSE(WEEKDAY(INDEX('iCoA Register'!$F:$F,MATCH(S42,'iCoA Register'!$P:$P,0)),2),0,0,0,0,0,2,1),0),0)))</f>
        <v>46169</v>
      </c>
      <c r="E42" s="45">
        <f t="shared" si="2"/>
        <v>46169</v>
      </c>
      <c r="F42" s="45">
        <v>46055</v>
      </c>
      <c r="G42" s="12" t="s">
        <v>2044</v>
      </c>
      <c r="H42" s="12" t="str">
        <f t="array" ref="H42">IFERROR(INDEX('iCoA Register'!$B:$B,MATCH("P060052|I",'iCoA Register'!$P:$P,0)),"—")</f>
        <v>iCoA-PP_26-041</v>
      </c>
      <c r="I42" s="45">
        <f t="array" ref="I42">IFERROR(INDEX('iCoA Register'!$D:$D,MATCH("P060052|I",'iCoA Register'!$P:$P,0)),"")</f>
        <v>46157</v>
      </c>
      <c r="J42" s="12" t="s">
        <v>851</v>
      </c>
      <c r="K42" s="12" t="s">
        <v>844</v>
      </c>
      <c r="L42" s="13" t="s">
        <v>154</v>
      </c>
      <c r="M42" s="12" t="s">
        <v>153</v>
      </c>
      <c r="N42" s="12" t="s">
        <v>152</v>
      </c>
      <c r="O42" s="12" t="s">
        <v>1286</v>
      </c>
      <c r="P42" s="28" t="s">
        <v>86</v>
      </c>
      <c r="Q42" s="12" t="s">
        <v>2049</v>
      </c>
      <c r="R42" s="12" t="s">
        <v>850</v>
      </c>
      <c r="S42" s="12" t="s">
        <v>1888</v>
      </c>
      <c r="T42" s="20" t="s">
        <v>1544</v>
      </c>
    </row>
    <row r="43" spans="1:20" ht="14.25" customHeight="1">
      <c r="A43" s="12">
        <f t="shared" si="0"/>
        <v>42</v>
      </c>
      <c r="B43" s="13" t="str">
        <f t="shared" si="1"/>
        <v>CoQ-PP_26-042</v>
      </c>
      <c r="C43" s="24" t="s">
        <v>1383</v>
      </c>
      <c r="D43" s="45">
        <f t="array" ref="D43">IF(A43="","",MAX(E43,IF(ISNUMBER(I43),I43,0),IFERROR(IF(ISNUMBER(INDEX('iCoA Register'!$F:$F,MATCH(S43,'iCoA Register'!$P:$P,0))),(INDEX('iCoA Register'!$F:$F,MATCH(S43,'iCoA Register'!$P:$P,0)))+CHOOSE(WEEKDAY(INDEX('iCoA Register'!$F:$F,MATCH(S43,'iCoA Register'!$P:$P,0)),2),0,0,0,0,0,2,1),0),0)))</f>
        <v>46169</v>
      </c>
      <c r="E43" s="45">
        <f t="shared" si="2"/>
        <v>46169</v>
      </c>
      <c r="F43" s="45">
        <v>46055</v>
      </c>
      <c r="G43" s="12" t="s">
        <v>2050</v>
      </c>
      <c r="H43" s="12" t="str">
        <f t="array" ref="H43">IFERROR(INDEX('iCoA Register'!$B:$B,MATCH("P060062|I",'iCoA Register'!$P:$P,0)),"—")</f>
        <v>iCoA-PP_26-042</v>
      </c>
      <c r="I43" s="45">
        <f t="array" ref="I43">IFERROR(INDEX('iCoA Register'!$D:$D,MATCH("P060062|I",'iCoA Register'!$P:$P,0)),"")</f>
        <v>46157</v>
      </c>
      <c r="J43" s="12" t="s">
        <v>851</v>
      </c>
      <c r="K43" s="12" t="s">
        <v>844</v>
      </c>
      <c r="L43" s="13" t="s">
        <v>165</v>
      </c>
      <c r="M43" s="12" t="s">
        <v>160</v>
      </c>
      <c r="N43" s="12" t="s">
        <v>158</v>
      </c>
      <c r="O43" s="12" t="s">
        <v>1297</v>
      </c>
      <c r="P43" s="28" t="s">
        <v>86</v>
      </c>
      <c r="Q43" s="12" t="s">
        <v>2055</v>
      </c>
      <c r="R43" s="12" t="s">
        <v>2056</v>
      </c>
      <c r="S43" s="12" t="s">
        <v>1896</v>
      </c>
      <c r="T43" s="20" t="s">
        <v>1544</v>
      </c>
    </row>
    <row r="44" spans="1:20" ht="14.25" customHeight="1">
      <c r="A44" s="12">
        <f t="shared" si="0"/>
        <v>43</v>
      </c>
      <c r="B44" s="13" t="str">
        <f t="shared" si="1"/>
        <v>CoQ-PP_26-043</v>
      </c>
      <c r="C44" s="24" t="s">
        <v>1383</v>
      </c>
      <c r="D44" s="45">
        <f t="array" ref="D44">IF(A44="","",MAX(E44,IF(ISNUMBER(I44),I44,0),IFERROR(IF(ISNUMBER(INDEX('iCoA Register'!$F:$F,MATCH(S44,'iCoA Register'!$P:$P,0))),(INDEX('iCoA Register'!$F:$F,MATCH(S44,'iCoA Register'!$P:$P,0)))+CHOOSE(WEEKDAY(INDEX('iCoA Register'!$F:$F,MATCH(S44,'iCoA Register'!$P:$P,0)),2),0,0,0,0,0,2,1),0),0)))</f>
        <v>46169</v>
      </c>
      <c r="E44" s="45">
        <f t="shared" si="2"/>
        <v>46169</v>
      </c>
      <c r="F44" s="45">
        <v>46055</v>
      </c>
      <c r="G44" s="12" t="s">
        <v>2059</v>
      </c>
      <c r="H44" s="12" t="str">
        <f t="array" ref="H44">IFERROR(INDEX('iCoA Register'!$B:$B,MATCH("P060072|I",'iCoA Register'!$P:$P,0)),"—")</f>
        <v>iCoA-PP_26-043</v>
      </c>
      <c r="I44" s="45">
        <f t="array" ref="I44">IFERROR(INDEX('iCoA Register'!$D:$D,MATCH("P060072|I",'iCoA Register'!$P:$P,0)),"")</f>
        <v>46157</v>
      </c>
      <c r="J44" s="12" t="s">
        <v>851</v>
      </c>
      <c r="K44" s="12" t="s">
        <v>844</v>
      </c>
      <c r="L44" s="13" t="s">
        <v>137</v>
      </c>
      <c r="M44" s="12" t="s">
        <v>127</v>
      </c>
      <c r="N44" s="12" t="s">
        <v>75</v>
      </c>
      <c r="O44" s="12" t="s">
        <v>1307</v>
      </c>
      <c r="P44" s="28" t="s">
        <v>86</v>
      </c>
      <c r="Q44" s="12" t="s">
        <v>2061</v>
      </c>
      <c r="R44" s="12" t="s">
        <v>2062</v>
      </c>
      <c r="S44" s="12" t="s">
        <v>1904</v>
      </c>
      <c r="T44" s="20" t="s">
        <v>1544</v>
      </c>
    </row>
    <row r="45" spans="1:20" ht="14.25" customHeight="1">
      <c r="A45" s="12">
        <f t="shared" si="0"/>
        <v>44</v>
      </c>
      <c r="B45" s="13" t="str">
        <f t="shared" si="1"/>
        <v>CoQ-PP_26-044</v>
      </c>
      <c r="C45" s="24" t="s">
        <v>1383</v>
      </c>
      <c r="D45" s="45">
        <f t="array" ref="D45">IF(A45="","",MAX(E45,IF(ISNUMBER(I45),I45,0),IFERROR(IF(ISNUMBER(INDEX('iCoA Register'!$F:$F,MATCH(S45,'iCoA Register'!$P:$P,0))),(INDEX('iCoA Register'!$F:$F,MATCH(S45,'iCoA Register'!$P:$P,0)))+CHOOSE(WEEKDAY(INDEX('iCoA Register'!$F:$F,MATCH(S45,'iCoA Register'!$P:$P,0)),2),0,0,0,0,0,2,1),0),0)))</f>
        <v>46169</v>
      </c>
      <c r="E45" s="45">
        <f t="shared" si="2"/>
        <v>46169</v>
      </c>
      <c r="F45" s="45">
        <v>46055</v>
      </c>
      <c r="G45" s="12" t="s">
        <v>2069</v>
      </c>
      <c r="H45" s="12" t="str">
        <f t="array" ref="H45">IFERROR(INDEX('iCoA Register'!$B:$B,MATCH("P060082|I",'iCoA Register'!$P:$P,0)),"—")</f>
        <v>iCoA-PP_26-044</v>
      </c>
      <c r="I45" s="45">
        <f t="array" ref="I45">IFERROR(INDEX('iCoA Register'!$D:$D,MATCH("P060082|I",'iCoA Register'!$P:$P,0)),"")</f>
        <v>46157</v>
      </c>
      <c r="J45" s="12" t="s">
        <v>851</v>
      </c>
      <c r="K45" s="12" t="s">
        <v>844</v>
      </c>
      <c r="L45" s="13" t="s">
        <v>151</v>
      </c>
      <c r="M45" s="12" t="s">
        <v>149</v>
      </c>
      <c r="N45" s="12"/>
      <c r="O45" s="12" t="s">
        <v>1318</v>
      </c>
      <c r="P45" s="28" t="s">
        <v>86</v>
      </c>
      <c r="Q45" s="12" t="s">
        <v>2073</v>
      </c>
      <c r="R45" s="12" t="s">
        <v>2074</v>
      </c>
      <c r="S45" s="12" t="s">
        <v>1917</v>
      </c>
      <c r="T45" s="20" t="s">
        <v>1544</v>
      </c>
    </row>
    <row r="46" spans="1:20" ht="14.25" customHeight="1">
      <c r="A46" s="12">
        <f t="shared" si="0"/>
        <v>45</v>
      </c>
      <c r="B46" s="13" t="str">
        <f t="shared" si="1"/>
        <v>CoQ-PP_26-045</v>
      </c>
      <c r="C46" s="24" t="s">
        <v>1383</v>
      </c>
      <c r="D46" s="45">
        <f t="array" ref="D46">IF(A46="","",MAX(E46,IF(ISNUMBER(I46),I46,0),IFERROR(IF(ISNUMBER(INDEX('iCoA Register'!$F:$F,MATCH(S46,'iCoA Register'!$P:$P,0))),(INDEX('iCoA Register'!$F:$F,MATCH(S46,'iCoA Register'!$P:$P,0)))+CHOOSE(WEEKDAY(INDEX('iCoA Register'!$F:$F,MATCH(S46,'iCoA Register'!$P:$P,0)),2),0,0,0,0,0,2,1),0),0)))</f>
        <v>46169</v>
      </c>
      <c r="E46" s="45">
        <f t="shared" si="2"/>
        <v>46169</v>
      </c>
      <c r="F46" s="45">
        <v>46056</v>
      </c>
      <c r="G46" s="12" t="s">
        <v>2081</v>
      </c>
      <c r="H46" s="12" t="str">
        <f t="array" ref="H46">IFERROR(INDEX('iCoA Register'!$B:$B,MATCH("P060092|I",'iCoA Register'!$P:$P,0)),"—")</f>
        <v>iCoA-PP_26-045</v>
      </c>
      <c r="I46" s="45">
        <f t="array" ref="I46">IFERROR(INDEX('iCoA Register'!$D:$D,MATCH("P060092|I",'iCoA Register'!$P:$P,0)),"")</f>
        <v>46157</v>
      </c>
      <c r="J46" s="12" t="s">
        <v>851</v>
      </c>
      <c r="K46" s="12" t="s">
        <v>844</v>
      </c>
      <c r="L46" s="13" t="s">
        <v>180</v>
      </c>
      <c r="M46" s="12" t="s">
        <v>179</v>
      </c>
      <c r="N46" s="12" t="s">
        <v>178</v>
      </c>
      <c r="O46" s="12" t="s">
        <v>1326</v>
      </c>
      <c r="P46" s="28" t="s">
        <v>86</v>
      </c>
      <c r="Q46" s="12" t="s">
        <v>2084</v>
      </c>
      <c r="R46" s="12" t="s">
        <v>2085</v>
      </c>
      <c r="S46" s="12" t="s">
        <v>1930</v>
      </c>
      <c r="T46" s="20" t="s">
        <v>1544</v>
      </c>
    </row>
    <row r="47" spans="1:20" ht="14.25" customHeight="1">
      <c r="A47" s="12">
        <f t="shared" si="0"/>
        <v>46</v>
      </c>
      <c r="B47" s="13" t="str">
        <f t="shared" si="1"/>
        <v>CoQ-PP_26-046</v>
      </c>
      <c r="C47" s="24" t="s">
        <v>1383</v>
      </c>
      <c r="D47" s="45">
        <f t="array" ref="D47">IF(A47="","",MAX(E47,IF(ISNUMBER(I47),I47,0),IFERROR(IF(ISNUMBER(INDEX('iCoA Register'!$F:$F,MATCH(S47,'iCoA Register'!$P:$P,0))),(INDEX('iCoA Register'!$F:$F,MATCH(S47,'iCoA Register'!$P:$P,0)))+CHOOSE(WEEKDAY(INDEX('iCoA Register'!$F:$F,MATCH(S47,'iCoA Register'!$P:$P,0)),2),0,0,0,0,0,2,1),0),0)))</f>
        <v>46169</v>
      </c>
      <c r="E47" s="45">
        <f t="shared" si="2"/>
        <v>46169</v>
      </c>
      <c r="F47" s="45" t="s">
        <v>86</v>
      </c>
      <c r="G47" s="12" t="s">
        <v>86</v>
      </c>
      <c r="H47" s="12" t="str">
        <f t="array" ref="H47">IFERROR(INDEX('iCoA Register'!$B:$B,MATCH("P060102|I",'iCoA Register'!$P:$P,0)),"—")</f>
        <v>iCoA-PP_26-046</v>
      </c>
      <c r="I47" s="45">
        <f t="array" ref="I47">IFERROR(INDEX('iCoA Register'!$D:$D,MATCH("P060102|I",'iCoA Register'!$P:$P,0)),"")</f>
        <v>46157</v>
      </c>
      <c r="J47" s="12" t="s">
        <v>851</v>
      </c>
      <c r="K47" s="12" t="s">
        <v>844</v>
      </c>
      <c r="L47" s="13" t="s">
        <v>622</v>
      </c>
      <c r="M47" s="12" t="s">
        <v>624</v>
      </c>
      <c r="N47" s="12" t="s">
        <v>623</v>
      </c>
      <c r="O47" s="28" t="s">
        <v>893</v>
      </c>
      <c r="P47" s="28" t="s">
        <v>86</v>
      </c>
      <c r="Q47" s="12" t="s">
        <v>86</v>
      </c>
      <c r="R47" s="12" t="s">
        <v>1806</v>
      </c>
      <c r="S47" s="12" t="s">
        <v>1937</v>
      </c>
      <c r="T47" s="20" t="s">
        <v>1606</v>
      </c>
    </row>
    <row r="48" spans="1:20" ht="14.25" customHeight="1">
      <c r="A48" s="12">
        <f t="shared" si="0"/>
        <v>47</v>
      </c>
      <c r="B48" s="13" t="str">
        <f t="shared" si="1"/>
        <v>CoQ-PP_26-047</v>
      </c>
      <c r="C48" s="24" t="s">
        <v>1383</v>
      </c>
      <c r="D48" s="45">
        <f t="array" ref="D48">IF(A48="","",MAX(E48,IF(ISNUMBER(I48),I48,0),IFERROR(IF(ISNUMBER(INDEX('iCoA Register'!$F:$F,MATCH(S48,'iCoA Register'!$P:$P,0))),(INDEX('iCoA Register'!$F:$F,MATCH(S48,'iCoA Register'!$P:$P,0)))+CHOOSE(WEEKDAY(INDEX('iCoA Register'!$F:$F,MATCH(S48,'iCoA Register'!$P:$P,0)),2),0,0,0,0,0,2,1),0),0)))</f>
        <v>46169</v>
      </c>
      <c r="E48" s="45">
        <f t="shared" si="2"/>
        <v>46169</v>
      </c>
      <c r="F48" s="45">
        <v>46083</v>
      </c>
      <c r="G48" s="12" t="s">
        <v>773</v>
      </c>
      <c r="H48" s="12" t="str">
        <f t="array" ref="H48">IFERROR(INDEX('iCoA Register'!$B:$B,MATCH("P060142|I",'iCoA Register'!$P:$P,0)),"—")</f>
        <v>iCoA-PP_26-047</v>
      </c>
      <c r="I48" s="45">
        <f t="array" ref="I48">IFERROR(INDEX('iCoA Register'!$D:$D,MATCH("P060142|I",'iCoA Register'!$P:$P,0)),"")</f>
        <v>46157</v>
      </c>
      <c r="J48" s="12" t="s">
        <v>851</v>
      </c>
      <c r="K48" s="12" t="s">
        <v>844</v>
      </c>
      <c r="L48" s="13" t="s">
        <v>283</v>
      </c>
      <c r="M48" s="12" t="s">
        <v>563</v>
      </c>
      <c r="N48" s="12" t="s">
        <v>1342</v>
      </c>
      <c r="O48" s="12" t="s">
        <v>845</v>
      </c>
      <c r="P48" s="28" t="s">
        <v>86</v>
      </c>
      <c r="Q48" s="12" t="s">
        <v>86</v>
      </c>
      <c r="R48" s="12" t="s">
        <v>1806</v>
      </c>
      <c r="S48" s="12" t="s">
        <v>1946</v>
      </c>
      <c r="T48" s="20" t="s">
        <v>2098</v>
      </c>
    </row>
    <row r="49" spans="1:20" ht="14.25" customHeight="1">
      <c r="A49" s="12">
        <f t="shared" si="0"/>
        <v>48</v>
      </c>
      <c r="B49" s="13" t="str">
        <f t="shared" si="1"/>
        <v>CoQ-PP_26-048</v>
      </c>
      <c r="C49" s="24" t="s">
        <v>1383</v>
      </c>
      <c r="D49" s="45">
        <f t="array" ref="D49">IF(A49="","",MAX(E49,IF(ISNUMBER(I49),I49,0),IFERROR(IF(ISNUMBER(INDEX('iCoA Register'!$F:$F,MATCH(S49,'iCoA Register'!$P:$P,0))),(INDEX('iCoA Register'!$F:$F,MATCH(S49,'iCoA Register'!$P:$P,0)))+CHOOSE(WEEKDAY(INDEX('iCoA Register'!$F:$F,MATCH(S49,'iCoA Register'!$P:$P,0)),2),0,0,0,0,0,2,1),0),0)))</f>
        <v>46169</v>
      </c>
      <c r="E49" s="45">
        <f t="shared" si="2"/>
        <v>46169</v>
      </c>
      <c r="F49" s="45">
        <v>46083</v>
      </c>
      <c r="G49" s="12" t="s">
        <v>806</v>
      </c>
      <c r="H49" s="12" t="str">
        <f t="array" ref="H49">IFERROR(INDEX('iCoA Register'!$B:$B,MATCH("P060152|I",'iCoA Register'!$P:$P,0)),"—")</f>
        <v>iCoA-PP_26-048</v>
      </c>
      <c r="I49" s="45">
        <f t="array" ref="I49">IFERROR(INDEX('iCoA Register'!$D:$D,MATCH("P060152|I",'iCoA Register'!$P:$P,0)),"")</f>
        <v>46157</v>
      </c>
      <c r="J49" s="12" t="s">
        <v>851</v>
      </c>
      <c r="K49" s="12" t="s">
        <v>844</v>
      </c>
      <c r="L49" s="13" t="s">
        <v>276</v>
      </c>
      <c r="M49" s="12" t="s">
        <v>279</v>
      </c>
      <c r="N49" s="12" t="s">
        <v>277</v>
      </c>
      <c r="O49" s="12" t="s">
        <v>905</v>
      </c>
      <c r="P49" s="28" t="s">
        <v>86</v>
      </c>
      <c r="Q49" s="12" t="s">
        <v>86</v>
      </c>
      <c r="R49" s="12" t="s">
        <v>2107</v>
      </c>
      <c r="S49" s="12" t="s">
        <v>1954</v>
      </c>
      <c r="T49" s="20" t="s">
        <v>2098</v>
      </c>
    </row>
    <row r="50" spans="1:20" ht="14.25" customHeight="1">
      <c r="A50" s="12">
        <f t="shared" si="0"/>
        <v>49</v>
      </c>
      <c r="B50" s="13" t="str">
        <f t="shared" si="1"/>
        <v>CoQ-PP_26-049</v>
      </c>
      <c r="C50" s="24" t="s">
        <v>1383</v>
      </c>
      <c r="D50" s="45">
        <f t="array" ref="D50">IF(A50="","",MAX(E50,IF(ISNUMBER(I50),I50,0),IFERROR(IF(ISNUMBER(INDEX('iCoA Register'!$F:$F,MATCH(S50,'iCoA Register'!$P:$P,0))),(INDEX('iCoA Register'!$F:$F,MATCH(S50,'iCoA Register'!$P:$P,0)))+CHOOSE(WEEKDAY(INDEX('iCoA Register'!$F:$F,MATCH(S50,'iCoA Register'!$P:$P,0)),2),0,0,0,0,0,2,1),0),0)))</f>
        <v>46169</v>
      </c>
      <c r="E50" s="45">
        <f t="shared" si="2"/>
        <v>46169</v>
      </c>
      <c r="F50" s="45">
        <v>46083</v>
      </c>
      <c r="G50" s="12" t="s">
        <v>904</v>
      </c>
      <c r="H50" s="12" t="str">
        <f t="array" ref="H50">IFERROR(INDEX('iCoA Register'!$B:$B,MATCH("P060162|I",'iCoA Register'!$P:$P,0)),"—")</f>
        <v>iCoA-PP_26-049</v>
      </c>
      <c r="I50" s="45">
        <f t="array" ref="I50">IFERROR(INDEX('iCoA Register'!$D:$D,MATCH("P060162|I",'iCoA Register'!$P:$P,0)),"")</f>
        <v>46157</v>
      </c>
      <c r="J50" s="12" t="s">
        <v>851</v>
      </c>
      <c r="K50" s="12" t="s">
        <v>844</v>
      </c>
      <c r="L50" s="13" t="s">
        <v>611</v>
      </c>
      <c r="M50" s="12" t="s">
        <v>614</v>
      </c>
      <c r="N50" s="12" t="s">
        <v>485</v>
      </c>
      <c r="O50" s="12" t="s">
        <v>1384</v>
      </c>
      <c r="P50" s="28" t="s">
        <v>86</v>
      </c>
      <c r="Q50" s="12" t="s">
        <v>86</v>
      </c>
      <c r="R50" s="12" t="s">
        <v>850</v>
      </c>
      <c r="S50" s="12" t="s">
        <v>1964</v>
      </c>
      <c r="T50" s="20" t="s">
        <v>2098</v>
      </c>
    </row>
    <row r="51" spans="1:20" ht="14.25" customHeight="1">
      <c r="A51" s="12">
        <f t="shared" si="0"/>
        <v>50</v>
      </c>
      <c r="B51" s="13" t="str">
        <f t="shared" si="1"/>
        <v>CoQ-PP_26-050</v>
      </c>
      <c r="C51" s="24" t="s">
        <v>1383</v>
      </c>
      <c r="D51" s="45">
        <f t="array" ref="D51">IF(A51="","",MAX(E51,IF(ISNUMBER(I51),I51,0),IFERROR(IF(ISNUMBER(INDEX('iCoA Register'!$F:$F,MATCH(S51,'iCoA Register'!$P:$P,0))),(INDEX('iCoA Register'!$F:$F,MATCH(S51,'iCoA Register'!$P:$P,0)))+CHOOSE(WEEKDAY(INDEX('iCoA Register'!$F:$F,MATCH(S51,'iCoA Register'!$P:$P,0)),2),0,0,0,0,0,2,1),0),0)))</f>
        <v>46169</v>
      </c>
      <c r="E51" s="45">
        <f t="shared" si="2"/>
        <v>46169</v>
      </c>
      <c r="F51" s="45">
        <v>46083</v>
      </c>
      <c r="G51" s="12" t="s">
        <v>874</v>
      </c>
      <c r="H51" s="12" t="str">
        <f t="array" ref="H51">IFERROR(INDEX('iCoA Register'!$B:$B,MATCH("P060172|I",'iCoA Register'!$P:$P,0)),"—")</f>
        <v>iCoA-PP_26-050</v>
      </c>
      <c r="I51" s="45">
        <f t="array" ref="I51">IFERROR(INDEX('iCoA Register'!$D:$D,MATCH("P060172|I",'iCoA Register'!$P:$P,0)),"")</f>
        <v>46157</v>
      </c>
      <c r="J51" s="12" t="s">
        <v>851</v>
      </c>
      <c r="K51" s="12" t="s">
        <v>844</v>
      </c>
      <c r="L51" s="13" t="s">
        <v>355</v>
      </c>
      <c r="M51" s="12" t="s">
        <v>357</v>
      </c>
      <c r="N51" s="12" t="s">
        <v>359</v>
      </c>
      <c r="O51" s="12" t="s">
        <v>1202</v>
      </c>
      <c r="P51" s="28" t="s">
        <v>86</v>
      </c>
      <c r="Q51" s="12" t="s">
        <v>86</v>
      </c>
      <c r="R51" s="12" t="s">
        <v>2115</v>
      </c>
      <c r="S51" s="12" t="s">
        <v>1971</v>
      </c>
      <c r="T51" s="20" t="s">
        <v>2098</v>
      </c>
    </row>
    <row r="52" spans="1:20" ht="14.25" customHeight="1">
      <c r="A52" s="12">
        <f t="shared" si="0"/>
        <v>51</v>
      </c>
      <c r="B52" s="13" t="str">
        <f t="shared" si="1"/>
        <v>CoQ-PP_26-051</v>
      </c>
      <c r="C52" s="24" t="s">
        <v>1383</v>
      </c>
      <c r="D52" s="45">
        <f t="array" ref="D52">IF(A52="","",MAX(E52,IF(ISNUMBER(I52),I52,0),IFERROR(IF(ISNUMBER(INDEX('iCoA Register'!$F:$F,MATCH(S52,'iCoA Register'!$P:$P,0))),(INDEX('iCoA Register'!$F:$F,MATCH(S52,'iCoA Register'!$P:$P,0)))+CHOOSE(WEEKDAY(INDEX('iCoA Register'!$F:$F,MATCH(S52,'iCoA Register'!$P:$P,0)),2),0,0,0,0,0,2,1),0),0)))</f>
        <v>46169</v>
      </c>
      <c r="E52" s="45">
        <f t="shared" si="2"/>
        <v>46169</v>
      </c>
      <c r="F52" s="45">
        <v>46083</v>
      </c>
      <c r="G52" s="12" t="s">
        <v>773</v>
      </c>
      <c r="H52" s="12" t="str">
        <f t="array" ref="H52">IFERROR(INDEX('iCoA Register'!$B:$B,MATCH("P060182|I",'iCoA Register'!$P:$P,0)),"—")</f>
        <v>iCoA-PP_26-051</v>
      </c>
      <c r="I52" s="45">
        <f t="array" ref="I52">IFERROR(INDEX('iCoA Register'!$D:$D,MATCH("P060182|I",'iCoA Register'!$P:$P,0)),"")</f>
        <v>46157</v>
      </c>
      <c r="J52" s="12" t="s">
        <v>851</v>
      </c>
      <c r="K52" s="12" t="s">
        <v>844</v>
      </c>
      <c r="L52" s="13" t="s">
        <v>283</v>
      </c>
      <c r="M52" s="12" t="s">
        <v>416</v>
      </c>
      <c r="N52" s="12" t="s">
        <v>1342</v>
      </c>
      <c r="O52" s="12" t="s">
        <v>845</v>
      </c>
      <c r="P52" s="28" t="s">
        <v>86</v>
      </c>
      <c r="Q52" s="12" t="s">
        <v>86</v>
      </c>
      <c r="R52" s="12" t="s">
        <v>2121</v>
      </c>
      <c r="S52" s="12" t="s">
        <v>1976</v>
      </c>
      <c r="T52" s="20" t="s">
        <v>2098</v>
      </c>
    </row>
    <row r="53" spans="1:20" ht="14.25" customHeight="1">
      <c r="A53" s="12">
        <f t="shared" si="0"/>
        <v>52</v>
      </c>
      <c r="B53" s="13" t="str">
        <f t="shared" si="1"/>
        <v>CoQ-PP_26-052</v>
      </c>
      <c r="C53" s="24" t="s">
        <v>1383</v>
      </c>
      <c r="D53" s="45">
        <f t="array" ref="D53">IF(A53="","",MAX(E53,IF(ISNUMBER(I53),I53,0),IFERROR(IF(ISNUMBER(INDEX('iCoA Register'!$F:$F,MATCH(S53,'iCoA Register'!$P:$P,0))),(INDEX('iCoA Register'!$F:$F,MATCH(S53,'iCoA Register'!$P:$P,0)))+CHOOSE(WEEKDAY(INDEX('iCoA Register'!$F:$F,MATCH(S53,'iCoA Register'!$P:$P,0)),2),0,0,0,0,0,2,1),0),0)))</f>
        <v>46169</v>
      </c>
      <c r="E53" s="45">
        <f t="shared" si="2"/>
        <v>46169</v>
      </c>
      <c r="F53" s="45">
        <v>46083</v>
      </c>
      <c r="G53" s="12" t="s">
        <v>915</v>
      </c>
      <c r="H53" s="12" t="str">
        <f t="array" ref="H53">IFERROR(INDEX('iCoA Register'!$B:$B,MATCH("P060192|I",'iCoA Register'!$P:$P,0)),"—")</f>
        <v>iCoA-PP_26-052</v>
      </c>
      <c r="I53" s="45">
        <f t="array" ref="I53">IFERROR(INDEX('iCoA Register'!$D:$D,MATCH("P060192|I",'iCoA Register'!$P:$P,0)),"")</f>
        <v>46157</v>
      </c>
      <c r="J53" s="12" t="s">
        <v>851</v>
      </c>
      <c r="K53" s="12" t="s">
        <v>844</v>
      </c>
      <c r="L53" s="13" t="s">
        <v>617</v>
      </c>
      <c r="M53" s="12" t="s">
        <v>619</v>
      </c>
      <c r="N53" s="12" t="s">
        <v>147</v>
      </c>
      <c r="O53" s="12" t="s">
        <v>1413</v>
      </c>
      <c r="P53" s="28" t="s">
        <v>86</v>
      </c>
      <c r="Q53" s="12" t="s">
        <v>86</v>
      </c>
      <c r="R53" s="12" t="s">
        <v>850</v>
      </c>
      <c r="S53" s="12" t="s">
        <v>1986</v>
      </c>
      <c r="T53" s="20" t="s">
        <v>2098</v>
      </c>
    </row>
    <row r="54" spans="1:20" ht="14.25" customHeight="1">
      <c r="A54" s="12">
        <f t="shared" si="0"/>
        <v>53</v>
      </c>
      <c r="B54" s="13" t="str">
        <f t="shared" si="1"/>
        <v>CoQ-PP_26-053</v>
      </c>
      <c r="C54" s="24" t="s">
        <v>1383</v>
      </c>
      <c r="D54" s="45">
        <f t="array" ref="D54">IF(A54="","",MAX(E54,IF(ISNUMBER(I54),I54,0),IFERROR(IF(ISNUMBER(INDEX('iCoA Register'!$F:$F,MATCH(S54,'iCoA Register'!$P:$P,0))),(INDEX('iCoA Register'!$F:$F,MATCH(S54,'iCoA Register'!$P:$P,0)))+CHOOSE(WEEKDAY(INDEX('iCoA Register'!$F:$F,MATCH(S54,'iCoA Register'!$P:$P,0)),2),0,0,0,0,0,2,1),0),0)))</f>
        <v>46169</v>
      </c>
      <c r="E54" s="45">
        <f t="shared" si="2"/>
        <v>46169</v>
      </c>
      <c r="F54" s="45">
        <v>46083</v>
      </c>
      <c r="G54" s="12" t="s">
        <v>815</v>
      </c>
      <c r="H54" s="12" t="str">
        <f t="array" ref="H54">IFERROR(INDEX('iCoA Register'!$B:$B,MATCH("P060202|I",'iCoA Register'!$P:$P,0)),"—")</f>
        <v>iCoA-PP_26-053</v>
      </c>
      <c r="I54" s="45">
        <f t="array" ref="I54">IFERROR(INDEX('iCoA Register'!$D:$D,MATCH("P060202|I",'iCoA Register'!$P:$P,0)),"")</f>
        <v>46157</v>
      </c>
      <c r="J54" s="12" t="s">
        <v>851</v>
      </c>
      <c r="K54" s="12" t="s">
        <v>844</v>
      </c>
      <c r="L54" s="13" t="s">
        <v>310</v>
      </c>
      <c r="M54" s="12" t="s">
        <v>311</v>
      </c>
      <c r="N54" s="12" t="s">
        <v>277</v>
      </c>
      <c r="O54" s="12" t="s">
        <v>942</v>
      </c>
      <c r="P54" s="28" t="s">
        <v>86</v>
      </c>
      <c r="Q54" s="12" t="s">
        <v>86</v>
      </c>
      <c r="R54" s="12" t="s">
        <v>850</v>
      </c>
      <c r="S54" s="12" t="s">
        <v>1993</v>
      </c>
      <c r="T54" s="20" t="s">
        <v>2098</v>
      </c>
    </row>
    <row r="55" spans="1:20" ht="14.25" customHeight="1">
      <c r="A55" s="12">
        <f t="shared" si="0"/>
        <v>54</v>
      </c>
      <c r="B55" s="13" t="str">
        <f t="shared" si="1"/>
        <v>CoQ-PP_26-054</v>
      </c>
      <c r="C55" s="24" t="s">
        <v>1383</v>
      </c>
      <c r="D55" s="45">
        <f t="array" ref="D55">IF(A55="","",MAX(E55,IF(ISNUMBER(I55),I55,0),IFERROR(IF(ISNUMBER(INDEX('iCoA Register'!$F:$F,MATCH(S55,'iCoA Register'!$P:$P,0))),(INDEX('iCoA Register'!$F:$F,MATCH(S55,'iCoA Register'!$P:$P,0)))+CHOOSE(WEEKDAY(INDEX('iCoA Register'!$F:$F,MATCH(S55,'iCoA Register'!$P:$P,0)),2),0,0,0,0,0,2,1),0),0)))</f>
        <v>46169</v>
      </c>
      <c r="E55" s="45">
        <f t="shared" si="2"/>
        <v>46169</v>
      </c>
      <c r="F55" s="45">
        <v>46153</v>
      </c>
      <c r="G55" s="12" t="s">
        <v>290</v>
      </c>
      <c r="H55" s="12" t="str">
        <f t="array" ref="H55">IFERROR(INDEX('iCoA Register'!$B:$B,MATCH("P060212|I",'iCoA Register'!$P:$P,0)),"—")</f>
        <v>iCoA-PP_26-054</v>
      </c>
      <c r="I55" s="45">
        <f t="array" ref="I55">IFERROR(INDEX('iCoA Register'!$D:$D,MATCH("P060212|I",'iCoA Register'!$P:$P,0)),"")</f>
        <v>46157</v>
      </c>
      <c r="J55" s="12" t="s">
        <v>851</v>
      </c>
      <c r="K55" s="12" t="s">
        <v>844</v>
      </c>
      <c r="L55" s="13" t="s">
        <v>284</v>
      </c>
      <c r="M55" s="12" t="s">
        <v>287</v>
      </c>
      <c r="N55" s="12" t="s">
        <v>331</v>
      </c>
      <c r="O55" s="12" t="s">
        <v>956</v>
      </c>
      <c r="P55" s="28" t="s">
        <v>86</v>
      </c>
      <c r="Q55" s="12" t="s">
        <v>86</v>
      </c>
      <c r="R55" s="12" t="s">
        <v>2129</v>
      </c>
      <c r="S55" s="12" t="s">
        <v>2004</v>
      </c>
      <c r="T55" s="20" t="s">
        <v>1544</v>
      </c>
    </row>
    <row r="56" spans="1:20" ht="14.25" customHeight="1">
      <c r="A56" s="12">
        <f t="shared" si="0"/>
        <v>55</v>
      </c>
      <c r="B56" s="13" t="str">
        <f t="shared" si="1"/>
        <v>CoQ-PP_26-055</v>
      </c>
      <c r="C56" s="24" t="s">
        <v>1383</v>
      </c>
      <c r="D56" s="45">
        <f t="array" ref="D56">IF(A56="","",MAX(E56,IF(ISNUMBER(I56),I56,0),IFERROR(IF(ISNUMBER(INDEX('iCoA Register'!$F:$F,MATCH(S56,'iCoA Register'!$P:$P,0))),(INDEX('iCoA Register'!$F:$F,MATCH(S56,'iCoA Register'!$P:$P,0)))+CHOOSE(WEEKDAY(INDEX('iCoA Register'!$F:$F,MATCH(S56,'iCoA Register'!$P:$P,0)),2),0,0,0,0,0,2,1),0),0)))</f>
        <v>46169</v>
      </c>
      <c r="E56" s="45">
        <f t="shared" si="2"/>
        <v>46169</v>
      </c>
      <c r="F56" s="45">
        <v>46086</v>
      </c>
      <c r="G56" s="12" t="s">
        <v>715</v>
      </c>
      <c r="H56" s="12" t="str">
        <f t="array" ref="H56">IFERROR(INDEX('iCoA Register'!$B:$B,MATCH("P060222|I",'iCoA Register'!$P:$P,0)),"—")</f>
        <v>iCoA-PP_26-055</v>
      </c>
      <c r="I56" s="45">
        <f t="array" ref="I56">IFERROR(INDEX('iCoA Register'!$D:$D,MATCH("P060222|I",'iCoA Register'!$P:$P,0)),"")</f>
        <v>46157</v>
      </c>
      <c r="J56" s="12" t="s">
        <v>851</v>
      </c>
      <c r="K56" s="12" t="s">
        <v>844</v>
      </c>
      <c r="L56" s="13" t="s">
        <v>379</v>
      </c>
      <c r="M56" s="12" t="s">
        <v>380</v>
      </c>
      <c r="N56" s="12" t="s">
        <v>103</v>
      </c>
      <c r="O56" s="12" t="s">
        <v>1084</v>
      </c>
      <c r="P56" s="28" t="s">
        <v>86</v>
      </c>
      <c r="Q56" s="12" t="s">
        <v>86</v>
      </c>
      <c r="R56" s="12" t="s">
        <v>850</v>
      </c>
      <c r="S56" s="12" t="s">
        <v>2016</v>
      </c>
      <c r="T56" s="20" t="s">
        <v>2098</v>
      </c>
    </row>
    <row r="57" spans="1:20" ht="14.25" customHeight="1">
      <c r="A57" s="12">
        <f t="shared" si="0"/>
        <v>56</v>
      </c>
      <c r="B57" s="13" t="str">
        <f t="shared" si="1"/>
        <v>CoQ-PP_26-056</v>
      </c>
      <c r="C57" s="24" t="s">
        <v>1383</v>
      </c>
      <c r="D57" s="45">
        <f t="array" ref="D57">IF(A57="","",MAX(E57,IF(ISNUMBER(I57),I57,0),IFERROR(IF(ISNUMBER(INDEX('iCoA Register'!$F:$F,MATCH(S57,'iCoA Register'!$P:$P,0))),(INDEX('iCoA Register'!$F:$F,MATCH(S57,'iCoA Register'!$P:$P,0)))+CHOOSE(WEEKDAY(INDEX('iCoA Register'!$F:$F,MATCH(S57,'iCoA Register'!$P:$P,0)),2),0,0,0,0,0,2,1),0),0)))</f>
        <v>46169</v>
      </c>
      <c r="E57" s="45">
        <f t="shared" si="2"/>
        <v>46169</v>
      </c>
      <c r="F57" s="45">
        <v>46086</v>
      </c>
      <c r="G57" s="12" t="s">
        <v>475</v>
      </c>
      <c r="H57" s="12" t="str">
        <f t="array" ref="H57">IFERROR(INDEX('iCoA Register'!$B:$B,MATCH("P060232|I",'iCoA Register'!$P:$P,0)),"—")</f>
        <v>iCoA-PP_26-056</v>
      </c>
      <c r="I57" s="45">
        <f t="array" ref="I57">IFERROR(INDEX('iCoA Register'!$D:$D,MATCH("P060232|I",'iCoA Register'!$P:$P,0)),"")</f>
        <v>46157</v>
      </c>
      <c r="J57" s="12" t="s">
        <v>851</v>
      </c>
      <c r="K57" s="12" t="s">
        <v>844</v>
      </c>
      <c r="L57" s="13" t="s">
        <v>471</v>
      </c>
      <c r="M57" s="12" t="s">
        <v>474</v>
      </c>
      <c r="N57" s="12" t="s">
        <v>158</v>
      </c>
      <c r="O57" s="12" t="s">
        <v>1311</v>
      </c>
      <c r="P57" s="28" t="s">
        <v>86</v>
      </c>
      <c r="Q57" s="12" t="s">
        <v>86</v>
      </c>
      <c r="R57" s="12" t="s">
        <v>2141</v>
      </c>
      <c r="S57" s="12" t="s">
        <v>2025</v>
      </c>
      <c r="T57" s="20" t="s">
        <v>2098</v>
      </c>
    </row>
    <row r="58" spans="1:20" ht="14.25" customHeight="1">
      <c r="A58" s="12">
        <f t="shared" si="0"/>
        <v>57</v>
      </c>
      <c r="B58" s="13" t="str">
        <f t="shared" si="1"/>
        <v>CoQ-PP_26-057</v>
      </c>
      <c r="C58" s="24" t="s">
        <v>1383</v>
      </c>
      <c r="D58" s="45">
        <f t="array" ref="D58">IF(A58="","",MAX(E58,IF(ISNUMBER(I58),I58,0),IFERROR(IF(ISNUMBER(INDEX('iCoA Register'!$F:$F,MATCH(S58,'iCoA Register'!$P:$P,0))),(INDEX('iCoA Register'!$F:$F,MATCH(S58,'iCoA Register'!$P:$P,0)))+CHOOSE(WEEKDAY(INDEX('iCoA Register'!$F:$F,MATCH(S58,'iCoA Register'!$P:$P,0)),2),0,0,0,0,0,2,1),0),0)))</f>
        <v>46169</v>
      </c>
      <c r="E58" s="45">
        <f t="shared" si="2"/>
        <v>46169</v>
      </c>
      <c r="F58" s="45">
        <v>46135</v>
      </c>
      <c r="G58" s="12" t="s">
        <v>2144</v>
      </c>
      <c r="H58" s="12" t="str">
        <f t="array" ref="H58">IFERROR(INDEX('iCoA Register'!$B:$B,MATCH("P060242|I",'iCoA Register'!$P:$P,0)),"—")</f>
        <v>iCoA-PP_26-057</v>
      </c>
      <c r="I58" s="45">
        <f t="array" ref="I58">IFERROR(INDEX('iCoA Register'!$D:$D,MATCH("P060242|I",'iCoA Register'!$P:$P,0)),"")</f>
        <v>46157</v>
      </c>
      <c r="J58" s="12" t="s">
        <v>851</v>
      </c>
      <c r="K58" s="12" t="s">
        <v>844</v>
      </c>
      <c r="L58" s="13" t="s">
        <v>299</v>
      </c>
      <c r="M58" s="12" t="s">
        <v>301</v>
      </c>
      <c r="N58" s="12" t="s">
        <v>103</v>
      </c>
      <c r="O58" s="12" t="s">
        <v>1265</v>
      </c>
      <c r="P58" s="28" t="s">
        <v>86</v>
      </c>
      <c r="Q58" s="12" t="s">
        <v>86</v>
      </c>
      <c r="R58" s="12" t="s">
        <v>2151</v>
      </c>
      <c r="S58" s="12" t="s">
        <v>2038</v>
      </c>
      <c r="T58" s="20" t="s">
        <v>1544</v>
      </c>
    </row>
    <row r="59" spans="1:20" ht="14.25" customHeight="1">
      <c r="A59" s="12">
        <f t="shared" si="0"/>
        <v>58</v>
      </c>
      <c r="B59" s="13" t="str">
        <f t="shared" si="1"/>
        <v>CoQ-PP_26-058</v>
      </c>
      <c r="C59" s="24" t="s">
        <v>1383</v>
      </c>
      <c r="D59" s="45">
        <f t="array" ref="D59">IF(A59="","",MAX(E59,IF(ISNUMBER(I59),I59,0),IFERROR(IF(ISNUMBER(INDEX('iCoA Register'!$F:$F,MATCH(S59,'iCoA Register'!$P:$P,0))),(INDEX('iCoA Register'!$F:$F,MATCH(S59,'iCoA Register'!$P:$P,0)))+CHOOSE(WEEKDAY(INDEX('iCoA Register'!$F:$F,MATCH(S59,'iCoA Register'!$P:$P,0)),2),0,0,0,0,0,2,1),0),0)))</f>
        <v>46169</v>
      </c>
      <c r="E59" s="45">
        <f t="shared" si="2"/>
        <v>46169</v>
      </c>
      <c r="F59" s="45">
        <v>46153</v>
      </c>
      <c r="G59" s="12" t="s">
        <v>551</v>
      </c>
      <c r="H59" s="12" t="str">
        <f t="array" ref="H59">IFERROR(INDEX('iCoA Register'!$B:$B,MATCH("P060252|I",'iCoA Register'!$P:$P,0)),"—")</f>
        <v>iCoA-PP_26-058</v>
      </c>
      <c r="I59" s="45">
        <f t="array" ref="I59">IFERROR(INDEX('iCoA Register'!$D:$D,MATCH("P060252|I",'iCoA Register'!$P:$P,0)),"")</f>
        <v>46157</v>
      </c>
      <c r="J59" s="12" t="s">
        <v>851</v>
      </c>
      <c r="K59" s="12" t="s">
        <v>844</v>
      </c>
      <c r="L59" s="13" t="s">
        <v>274</v>
      </c>
      <c r="M59" s="12" t="s">
        <v>275</v>
      </c>
      <c r="N59" s="12" t="s">
        <v>234</v>
      </c>
      <c r="O59" s="12" t="s">
        <v>775</v>
      </c>
      <c r="P59" s="28" t="s">
        <v>86</v>
      </c>
      <c r="Q59" s="12" t="s">
        <v>86</v>
      </c>
      <c r="R59" s="12" t="s">
        <v>850</v>
      </c>
      <c r="S59" s="12" t="s">
        <v>2047</v>
      </c>
      <c r="T59" s="20" t="s">
        <v>1544</v>
      </c>
    </row>
    <row r="60" spans="1:20" ht="14.25" customHeight="1">
      <c r="A60" s="12">
        <f t="shared" si="0"/>
        <v>59</v>
      </c>
      <c r="B60" s="13" t="str">
        <f t="shared" si="1"/>
        <v>CoQ-PP_26-059</v>
      </c>
      <c r="C60" s="24" t="s">
        <v>1383</v>
      </c>
      <c r="D60" s="45">
        <f t="array" ref="D60">IF(A60="","",MAX(E60,IF(ISNUMBER(I60),I60,0),IFERROR(IF(ISNUMBER(INDEX('iCoA Register'!$F:$F,MATCH(S60,'iCoA Register'!$P:$P,0))),(INDEX('iCoA Register'!$F:$F,MATCH(S60,'iCoA Register'!$P:$P,0)))+CHOOSE(WEEKDAY(INDEX('iCoA Register'!$F:$F,MATCH(S60,'iCoA Register'!$P:$P,0)),2),0,0,0,0,0,2,1),0),0)))</f>
        <v>46169</v>
      </c>
      <c r="E60" s="45">
        <f t="shared" si="2"/>
        <v>46169</v>
      </c>
      <c r="F60" s="45">
        <v>46135</v>
      </c>
      <c r="G60" s="12" t="s">
        <v>707</v>
      </c>
      <c r="H60" s="12" t="str">
        <f t="array" ref="H60">IFERROR(INDEX('iCoA Register'!$B:$B,MATCH("P060262|I",'iCoA Register'!$P:$P,0)),"—")</f>
        <v>iCoA-PP_26-059</v>
      </c>
      <c r="I60" s="45">
        <f t="array" ref="I60">IFERROR(INDEX('iCoA Register'!$D:$D,MATCH("P060262|I",'iCoA Register'!$P:$P,0)),"")</f>
        <v>46161</v>
      </c>
      <c r="J60" s="12" t="s">
        <v>1477</v>
      </c>
      <c r="K60" s="12" t="s">
        <v>844</v>
      </c>
      <c r="L60" s="13" t="s">
        <v>318</v>
      </c>
      <c r="M60" s="12" t="s">
        <v>319</v>
      </c>
      <c r="N60" s="12" t="s">
        <v>277</v>
      </c>
      <c r="O60" s="12" t="s">
        <v>1009</v>
      </c>
      <c r="P60" s="28" t="s">
        <v>86</v>
      </c>
      <c r="Q60" s="12" t="s">
        <v>86</v>
      </c>
      <c r="R60" s="12" t="s">
        <v>850</v>
      </c>
      <c r="S60" s="12" t="s">
        <v>2053</v>
      </c>
      <c r="T60" s="20" t="s">
        <v>2209</v>
      </c>
    </row>
    <row r="61" spans="1:20" ht="14.25" customHeight="1">
      <c r="A61" s="12">
        <f t="shared" si="0"/>
        <v>60</v>
      </c>
      <c r="B61" s="13" t="str">
        <f t="shared" si="1"/>
        <v>CoQ-PP_26-060</v>
      </c>
      <c r="C61" s="24" t="s">
        <v>1383</v>
      </c>
      <c r="D61" s="45">
        <f t="array" ref="D61">IF(A61="","",MAX(E61,IF(ISNUMBER(I61),I61,0),IFERROR(IF(ISNUMBER(INDEX('iCoA Register'!$F:$F,MATCH(S61,'iCoA Register'!$P:$P,0))),(INDEX('iCoA Register'!$F:$F,MATCH(S61,'iCoA Register'!$P:$P,0)))+CHOOSE(WEEKDAY(INDEX('iCoA Register'!$F:$F,MATCH(S61,'iCoA Register'!$P:$P,0)),2),0,0,0,0,0,2,1),0),0)))</f>
        <v>46169</v>
      </c>
      <c r="E61" s="45">
        <f t="shared" si="2"/>
        <v>46169</v>
      </c>
      <c r="F61" s="45">
        <v>46153</v>
      </c>
      <c r="G61" s="12" t="s">
        <v>504</v>
      </c>
      <c r="H61" s="12" t="str">
        <f t="array" ref="H61">IFERROR(INDEX('iCoA Register'!$B:$B,MATCH("P060272|I",'iCoA Register'!$P:$P,0)),"—")</f>
        <v>iCoA-PP_26-060</v>
      </c>
      <c r="I61" s="45">
        <f t="array" ref="I61">IFERROR(INDEX('iCoA Register'!$D:$D,MATCH("P060272|I",'iCoA Register'!$P:$P,0)),"")</f>
        <v>46167</v>
      </c>
      <c r="J61" s="12" t="s">
        <v>1477</v>
      </c>
      <c r="K61" s="12" t="s">
        <v>844</v>
      </c>
      <c r="L61" s="13" t="s">
        <v>161</v>
      </c>
      <c r="M61" s="12" t="s">
        <v>162</v>
      </c>
      <c r="N61" s="12" t="s">
        <v>1489</v>
      </c>
      <c r="O61" s="12" t="s">
        <v>523</v>
      </c>
      <c r="P61" s="28" t="s">
        <v>86</v>
      </c>
      <c r="Q61" s="12" t="s">
        <v>86</v>
      </c>
      <c r="R61" s="12" t="s">
        <v>850</v>
      </c>
      <c r="S61" s="12" t="s">
        <v>2063</v>
      </c>
      <c r="T61" s="20" t="s">
        <v>2269</v>
      </c>
    </row>
    <row r="62" spans="1:20" ht="14.25" customHeight="1">
      <c r="A62" s="12">
        <f t="shared" si="0"/>
        <v>61</v>
      </c>
      <c r="B62" s="13" t="str">
        <f t="shared" si="1"/>
        <v>CoQ-PP_26-061</v>
      </c>
      <c r="C62" s="24" t="s">
        <v>1383</v>
      </c>
      <c r="D62" s="45">
        <f t="array" ref="D62">IF(A62="","",MAX(E62,IF(ISNUMBER(I62),I62,0),IFERROR(IF(ISNUMBER(INDEX('iCoA Register'!$F:$F,MATCH(S62,'iCoA Register'!$P:$P,0))),(INDEX('iCoA Register'!$F:$F,MATCH(S62,'iCoA Register'!$P:$P,0)))+CHOOSE(WEEKDAY(INDEX('iCoA Register'!$F:$F,MATCH(S62,'iCoA Register'!$P:$P,0)),2),0,0,0,0,0,2,1),0),0)))</f>
        <v>46169</v>
      </c>
      <c r="E62" s="45">
        <f t="shared" si="2"/>
        <v>46169</v>
      </c>
      <c r="F62" s="45">
        <v>46153</v>
      </c>
      <c r="G62" s="12" t="s">
        <v>483</v>
      </c>
      <c r="H62" s="12" t="str">
        <f t="array" ref="H62">IFERROR(INDEX('iCoA Register'!$B:$B,MATCH("P060282|I",'iCoA Register'!$P:$P,0)),"—")</f>
        <v>iCoA-PP_26-061</v>
      </c>
      <c r="I62" s="45">
        <f t="array" ref="I62">IFERROR(INDEX('iCoA Register'!$D:$D,MATCH("P060282|I",'iCoA Register'!$P:$P,0)),"")</f>
        <v>46167</v>
      </c>
      <c r="J62" s="12" t="s">
        <v>1477</v>
      </c>
      <c r="K62" s="12" t="s">
        <v>844</v>
      </c>
      <c r="L62" s="13" t="s">
        <v>481</v>
      </c>
      <c r="M62" s="12" t="s">
        <v>482</v>
      </c>
      <c r="N62" s="12" t="s">
        <v>315</v>
      </c>
      <c r="O62" s="12" t="s">
        <v>1500</v>
      </c>
      <c r="P62" s="28" t="s">
        <v>86</v>
      </c>
      <c r="Q62" s="12" t="s">
        <v>86</v>
      </c>
      <c r="R62" s="12" t="s">
        <v>2274</v>
      </c>
      <c r="S62" s="12" t="s">
        <v>2079</v>
      </c>
      <c r="T62" s="20" t="s">
        <v>2269</v>
      </c>
    </row>
    <row r="63" spans="1:20" ht="14.25" customHeight="1">
      <c r="A63" s="12">
        <f t="shared" si="0"/>
        <v>62</v>
      </c>
      <c r="B63" s="13" t="str">
        <f t="shared" si="1"/>
        <v>CoQ-PP_26-062</v>
      </c>
      <c r="C63" s="24" t="s">
        <v>1383</v>
      </c>
      <c r="D63" s="45">
        <f t="array" ref="D63">IF(A63="","",MAX(E63,IF(ISNUMBER(I63),I63,0),IFERROR(IF(ISNUMBER(INDEX('iCoA Register'!$F:$F,MATCH(S63,'iCoA Register'!$P:$P,0))),(INDEX('iCoA Register'!$F:$F,MATCH(S63,'iCoA Register'!$P:$P,0)))+CHOOSE(WEEKDAY(INDEX('iCoA Register'!$F:$F,MATCH(S63,'iCoA Register'!$P:$P,0)),2),0,0,0,0,0,2,1),0),0)))</f>
        <v>46169</v>
      </c>
      <c r="E63" s="45">
        <f t="shared" si="2"/>
        <v>46169</v>
      </c>
      <c r="F63" s="45">
        <v>46153</v>
      </c>
      <c r="G63" s="12" t="s">
        <v>534</v>
      </c>
      <c r="H63" s="12" t="str">
        <f t="array" ref="H63">IFERROR(INDEX('iCoA Register'!$B:$B,MATCH("P060292|I",'iCoA Register'!$P:$P,0)),"—")</f>
        <v>iCoA-PP_26-062</v>
      </c>
      <c r="I63" s="45">
        <f t="array" ref="I63">IFERROR(INDEX('iCoA Register'!$D:$D,MATCH("P060292|I",'iCoA Register'!$P:$P,0)),"")</f>
        <v>46167</v>
      </c>
      <c r="J63" s="12" t="s">
        <v>1477</v>
      </c>
      <c r="K63" s="12" t="s">
        <v>844</v>
      </c>
      <c r="L63" s="13" t="s">
        <v>228</v>
      </c>
      <c r="M63" s="12" t="s">
        <v>229</v>
      </c>
      <c r="N63" s="12" t="s">
        <v>183</v>
      </c>
      <c r="O63" s="12" t="s">
        <v>644</v>
      </c>
      <c r="P63" s="28" t="s">
        <v>86</v>
      </c>
      <c r="Q63" s="12" t="s">
        <v>86</v>
      </c>
      <c r="R63" s="12" t="s">
        <v>850</v>
      </c>
      <c r="S63" s="12" t="s">
        <v>2090</v>
      </c>
      <c r="T63" s="20" t="s">
        <v>2269</v>
      </c>
    </row>
    <row r="64" spans="1:20" ht="14.25" customHeight="1">
      <c r="A64" s="12">
        <f t="shared" si="0"/>
        <v>63</v>
      </c>
      <c r="B64" s="13" t="str">
        <f t="shared" si="1"/>
        <v>CoQ-PP_26-063</v>
      </c>
      <c r="C64" s="24" t="s">
        <v>1383</v>
      </c>
      <c r="D64" s="45">
        <f t="array" ref="D64">IF(A64="","",MAX(E64,IF(ISNUMBER(I64),I64,0),IFERROR(IF(ISNUMBER(INDEX('iCoA Register'!$F:$F,MATCH(S64,'iCoA Register'!$P:$P,0))),(INDEX('iCoA Register'!$F:$F,MATCH(S64,'iCoA Register'!$P:$P,0)))+CHOOSE(WEEKDAY(INDEX('iCoA Register'!$F:$F,MATCH(S64,'iCoA Register'!$P:$P,0)),2),0,0,0,0,0,2,1),0),0)))</f>
        <v>46169</v>
      </c>
      <c r="E64" s="45">
        <f t="shared" si="2"/>
        <v>46169</v>
      </c>
      <c r="F64" s="45">
        <v>46153</v>
      </c>
      <c r="G64" s="12" t="s">
        <v>546</v>
      </c>
      <c r="H64" s="12" t="str">
        <f t="array" ref="H64">IFERROR(INDEX('iCoA Register'!$B:$B,MATCH("P060302|I",'iCoA Register'!$P:$P,0)),"—")</f>
        <v>iCoA-PP_26-063</v>
      </c>
      <c r="I64" s="45">
        <f t="array" ref="I64">IFERROR(INDEX('iCoA Register'!$D:$D,MATCH("P060302|I",'iCoA Register'!$P:$P,0)),"")</f>
        <v>46167</v>
      </c>
      <c r="J64" s="12" t="s">
        <v>1477</v>
      </c>
      <c r="K64" s="12" t="s">
        <v>844</v>
      </c>
      <c r="L64" s="13" t="s">
        <v>241</v>
      </c>
      <c r="M64" s="12" t="s">
        <v>242</v>
      </c>
      <c r="N64" s="12" t="s">
        <v>234</v>
      </c>
      <c r="O64" s="12" t="s">
        <v>676</v>
      </c>
      <c r="P64" s="28" t="s">
        <v>86</v>
      </c>
      <c r="Q64" s="12" t="s">
        <v>86</v>
      </c>
      <c r="R64" s="12" t="s">
        <v>850</v>
      </c>
      <c r="S64" s="12" t="s">
        <v>2097</v>
      </c>
      <c r="T64" s="20" t="s">
        <v>2269</v>
      </c>
    </row>
    <row r="65" spans="1:20" ht="14.25" customHeight="1">
      <c r="A65" s="12">
        <f t="shared" si="0"/>
        <v>64</v>
      </c>
      <c r="B65" s="13" t="str">
        <f t="shared" si="1"/>
        <v>CoQ-PP_26-064</v>
      </c>
      <c r="C65" s="24" t="s">
        <v>1383</v>
      </c>
      <c r="D65" s="45">
        <f t="array" ref="D65">IF(A65="","",MAX(E65,IF(ISNUMBER(I65),I65,0),IFERROR(IF(ISNUMBER(INDEX('iCoA Register'!$F:$F,MATCH(S65,'iCoA Register'!$P:$P,0))),(INDEX('iCoA Register'!$F:$F,MATCH(S65,'iCoA Register'!$P:$P,0)))+CHOOSE(WEEKDAY(INDEX('iCoA Register'!$F:$F,MATCH(S65,'iCoA Register'!$P:$P,0)),2),0,0,0,0,0,2,1),0),0)))</f>
        <v>46169</v>
      </c>
      <c r="E65" s="45">
        <f t="shared" si="2"/>
        <v>46169</v>
      </c>
      <c r="F65" s="45">
        <v>46153</v>
      </c>
      <c r="G65" s="12" t="s">
        <v>582</v>
      </c>
      <c r="H65" s="12" t="str">
        <f t="array" ref="H65">IFERROR(INDEX('iCoA Register'!$B:$B,MATCH("P060312|I",'iCoA Register'!$P:$P,0)),"—")</f>
        <v>iCoA-PP_26-064</v>
      </c>
      <c r="I65" s="45">
        <f t="array" ref="I65">IFERROR(INDEX('iCoA Register'!$D:$D,MATCH("P060312|I",'iCoA Register'!$P:$P,0)),"")</f>
        <v>46168</v>
      </c>
      <c r="J65" s="12" t="s">
        <v>1477</v>
      </c>
      <c r="K65" s="12" t="s">
        <v>844</v>
      </c>
      <c r="L65" s="13" t="s">
        <v>329</v>
      </c>
      <c r="M65" s="12" t="s">
        <v>330</v>
      </c>
      <c r="N65" s="12" t="s">
        <v>331</v>
      </c>
      <c r="O65" s="12" t="s">
        <v>1050</v>
      </c>
      <c r="P65" s="28" t="s">
        <v>86</v>
      </c>
      <c r="Q65" s="12" t="s">
        <v>86</v>
      </c>
      <c r="R65" s="12" t="s">
        <v>850</v>
      </c>
      <c r="S65" s="12" t="s">
        <v>2109</v>
      </c>
      <c r="T65" s="20" t="s">
        <v>2269</v>
      </c>
    </row>
    <row r="66" spans="1:20" ht="14.25" customHeight="1">
      <c r="A66" s="12">
        <f t="shared" si="0"/>
        <v>65</v>
      </c>
      <c r="B66" s="13" t="str">
        <f t="shared" si="1"/>
        <v>CoQ-PP_26-065</v>
      </c>
      <c r="C66" s="24" t="s">
        <v>1383</v>
      </c>
      <c r="D66" s="45">
        <f t="array" ref="D66">IF(A66="","",MAX(E66,IF(ISNUMBER(I66),I66,0),IFERROR(IF(ISNUMBER(INDEX('iCoA Register'!$F:$F,MATCH(S66,'iCoA Register'!$P:$P,0))),(INDEX('iCoA Register'!$F:$F,MATCH(S66,'iCoA Register'!$P:$P,0)))+CHOOSE(WEEKDAY(INDEX('iCoA Register'!$F:$F,MATCH(S66,'iCoA Register'!$P:$P,0)),2),0,0,0,0,0,2,1),0),0)))</f>
        <v>46169</v>
      </c>
      <c r="E66" s="45" t="str">
        <f t="shared" si="2"/>
        <v/>
      </c>
      <c r="F66" s="45" t="s">
        <v>86</v>
      </c>
      <c r="G66" s="12" t="s">
        <v>86</v>
      </c>
      <c r="H66" s="12" t="str">
        <f t="array" ref="H66">IFERROR(INDEX('iCoA Register'!$B:$B,MATCH("P060332|I",'iCoA Register'!$P:$P,0)),"—")</f>
        <v>iCoA-PP_26-065</v>
      </c>
      <c r="I66" s="45">
        <f t="array" ref="I66">IFERROR(INDEX('iCoA Register'!$D:$D,MATCH("P060332|I",'iCoA Register'!$P:$P,0)),"")</f>
        <v>46169</v>
      </c>
      <c r="J66" s="12" t="s">
        <v>1477</v>
      </c>
      <c r="K66" s="12" t="s">
        <v>844</v>
      </c>
      <c r="L66" s="13" t="s">
        <v>155</v>
      </c>
      <c r="M66" s="12" t="s">
        <v>159</v>
      </c>
      <c r="N66" s="12"/>
      <c r="O66" s="28" t="s">
        <v>893</v>
      </c>
      <c r="P66" s="28" t="s">
        <v>86</v>
      </c>
      <c r="Q66" s="12" t="s">
        <v>86</v>
      </c>
      <c r="R66" s="12" t="s">
        <v>1806</v>
      </c>
      <c r="S66" s="12" t="s">
        <v>2112</v>
      </c>
      <c r="T66" s="20" t="s">
        <v>2317</v>
      </c>
    </row>
    <row r="67" spans="1:20" ht="14.25" customHeight="1">
      <c r="A67" s="12">
        <f t="shared" si="0"/>
        <v>66</v>
      </c>
      <c r="B67" s="13" t="str">
        <f t="shared" si="1"/>
        <v>CoQ-PP_26-066</v>
      </c>
      <c r="C67" s="24" t="s">
        <v>1383</v>
      </c>
      <c r="D67" s="45">
        <f t="array" ref="D67">IF(A67="","",MAX(E67,IF(ISNUMBER(I67),I67,0),IFERROR(IF(ISNUMBER(INDEX('iCoA Register'!$F:$F,MATCH(S67,'iCoA Register'!$P:$P,0))),(INDEX('iCoA Register'!$F:$F,MATCH(S67,'iCoA Register'!$P:$P,0)))+CHOOSE(WEEKDAY(INDEX('iCoA Register'!$F:$F,MATCH(S67,'iCoA Register'!$P:$P,0)),2),0,0,0,0,0,2,1),0),0)))</f>
        <v>46169</v>
      </c>
      <c r="E67" s="45">
        <f t="shared" si="2"/>
        <v>46169</v>
      </c>
      <c r="F67" s="45">
        <v>46153</v>
      </c>
      <c r="G67" s="12" t="s">
        <v>365</v>
      </c>
      <c r="H67" s="12" t="str">
        <f t="array" ref="H67">IFERROR(INDEX('iCoA Register'!$B:$B,MATCH("P060322|I",'iCoA Register'!$P:$P,0)),"—")</f>
        <v>iCoA-PP_26-066</v>
      </c>
      <c r="I67" s="45">
        <f t="array" ref="I67">IFERROR(INDEX('iCoA Register'!$D:$D,MATCH("P060322|I",'iCoA Register'!$P:$P,0)),"")</f>
        <v>46169</v>
      </c>
      <c r="J67" s="12" t="s">
        <v>1477</v>
      </c>
      <c r="K67" s="12" t="s">
        <v>844</v>
      </c>
      <c r="L67" s="13" t="s">
        <v>181</v>
      </c>
      <c r="M67" s="12" t="s">
        <v>182</v>
      </c>
      <c r="N67" s="12" t="s">
        <v>183</v>
      </c>
      <c r="O67" s="12" t="s">
        <v>592</v>
      </c>
      <c r="P67" s="28" t="s">
        <v>86</v>
      </c>
      <c r="Q67" s="12" t="s">
        <v>86</v>
      </c>
      <c r="R67" s="12" t="s">
        <v>2320</v>
      </c>
      <c r="S67" s="12" t="s">
        <v>2119</v>
      </c>
      <c r="T67" s="20" t="s">
        <v>2269</v>
      </c>
    </row>
    <row r="68" spans="1:20" ht="14.25" customHeight="1">
      <c r="A68" s="12">
        <f t="shared" si="0"/>
        <v>67</v>
      </c>
      <c r="B68" s="13" t="str">
        <f t="shared" si="1"/>
        <v>CoQ-PP_26-067</v>
      </c>
      <c r="C68" s="24" t="s">
        <v>1383</v>
      </c>
      <c r="D68" s="45">
        <f t="array" ref="D68">IF(A68="","",MAX(E68,IF(ISNUMBER(I68),I68,0),IFERROR(IF(ISNUMBER(INDEX('iCoA Register'!$F:$F,MATCH(S68,'iCoA Register'!$P:$P,0))),(INDEX('iCoA Register'!$F:$F,MATCH(S68,'iCoA Register'!$P:$P,0)))+CHOOSE(WEEKDAY(INDEX('iCoA Register'!$F:$F,MATCH(S68,'iCoA Register'!$P:$P,0)),2),0,0,0,0,0,2,1),0),0)))</f>
        <v>46170</v>
      </c>
      <c r="E68" s="45" t="str">
        <f t="shared" si="2"/>
        <v/>
      </c>
      <c r="F68" s="45" t="s">
        <v>86</v>
      </c>
      <c r="G68" s="12" t="s">
        <v>86</v>
      </c>
      <c r="H68" s="12" t="str">
        <f t="array" ref="H68">IFERROR(INDEX('iCoA Register'!$B:$B,MATCH("P060352|I",'iCoA Register'!$P:$P,0)),"—")</f>
        <v>iCoA-PP_26-067</v>
      </c>
      <c r="I68" s="45">
        <f t="array" ref="I68">IFERROR(INDEX('iCoA Register'!$D:$D,MATCH("P060352|I",'iCoA Register'!$P:$P,0)),"")</f>
        <v>46170</v>
      </c>
      <c r="J68" s="12" t="s">
        <v>1477</v>
      </c>
      <c r="K68" s="12" t="s">
        <v>844</v>
      </c>
      <c r="L68" s="13" t="s">
        <v>636</v>
      </c>
      <c r="M68" s="12" t="s">
        <v>208</v>
      </c>
      <c r="N68" s="12" t="s">
        <v>183</v>
      </c>
      <c r="O68" s="28" t="s">
        <v>893</v>
      </c>
      <c r="P68" s="28" t="s">
        <v>86</v>
      </c>
      <c r="Q68" s="12" t="s">
        <v>86</v>
      </c>
      <c r="R68" s="12" t="s">
        <v>2322</v>
      </c>
      <c r="S68" s="12" t="s">
        <v>2125</v>
      </c>
      <c r="T68" s="20" t="s">
        <v>2317</v>
      </c>
    </row>
    <row r="69" spans="1:20" ht="14.25" customHeight="1">
      <c r="A69" s="12">
        <f t="shared" si="0"/>
        <v>68</v>
      </c>
      <c r="B69" s="13" t="str">
        <f t="shared" si="1"/>
        <v>CoQ-PP_26-068</v>
      </c>
      <c r="C69" s="24" t="s">
        <v>1383</v>
      </c>
      <c r="D69" s="45">
        <f t="array" ref="D69">IF(A69="","",MAX(E69,IF(ISNUMBER(I69),I69,0),IFERROR(IF(ISNUMBER(INDEX('iCoA Register'!$F:$F,MATCH(S69,'iCoA Register'!$P:$P,0))),(INDEX('iCoA Register'!$F:$F,MATCH(S69,'iCoA Register'!$P:$P,0)))+CHOOSE(WEEKDAY(INDEX('iCoA Register'!$F:$F,MATCH(S69,'iCoA Register'!$P:$P,0)),2),0,0,0,0,0,2,1),0),0)))</f>
        <v>46174</v>
      </c>
      <c r="E69" s="45" t="str">
        <f t="shared" si="2"/>
        <v/>
      </c>
      <c r="F69" s="45" t="s">
        <v>86</v>
      </c>
      <c r="G69" s="12" t="s">
        <v>86</v>
      </c>
      <c r="H69" s="12" t="str">
        <f t="array" ref="H69">IFERROR(INDEX('iCoA Register'!$B:$B,MATCH("P060342|I",'iCoA Register'!$P:$P,0)),"—")</f>
        <v>iCoA-PP_26-068</v>
      </c>
      <c r="I69" s="45">
        <f t="array" ref="I69">IFERROR(INDEX('iCoA Register'!$D:$D,MATCH("P060342|I",'iCoA Register'!$P:$P,0)),"")</f>
        <v>46174</v>
      </c>
      <c r="J69" s="12" t="s">
        <v>1477</v>
      </c>
      <c r="K69" s="12" t="s">
        <v>844</v>
      </c>
      <c r="L69" s="13" t="s">
        <v>712</v>
      </c>
      <c r="M69" s="12" t="s">
        <v>595</v>
      </c>
      <c r="N69" s="12" t="s">
        <v>315</v>
      </c>
      <c r="O69" s="28" t="s">
        <v>893</v>
      </c>
      <c r="P69" s="28" t="s">
        <v>86</v>
      </c>
      <c r="Q69" s="12" t="s">
        <v>86</v>
      </c>
      <c r="R69" s="12" t="s">
        <v>1806</v>
      </c>
      <c r="S69" s="12" t="s">
        <v>2128</v>
      </c>
      <c r="T69" s="20" t="s">
        <v>2317</v>
      </c>
    </row>
    <row r="70" spans="1:20" ht="14.25" customHeight="1">
      <c r="A70" s="12">
        <f t="shared" si="0"/>
        <v>69</v>
      </c>
      <c r="B70" s="13" t="str">
        <f t="shared" si="1"/>
        <v>CoQ-PP_26-069</v>
      </c>
      <c r="C70" s="24" t="s">
        <v>1383</v>
      </c>
      <c r="D70" s="45">
        <f t="array" ref="D70">IF(A70="","",MAX(E70,IF(ISNUMBER(I70),I70,0),IFERROR(IF(ISNUMBER(INDEX('iCoA Register'!$F:$F,MATCH(S70,'iCoA Register'!$P:$P,0))),(INDEX('iCoA Register'!$F:$F,MATCH(S70,'iCoA Register'!$P:$P,0)))+CHOOSE(WEEKDAY(INDEX('iCoA Register'!$F:$F,MATCH(S70,'iCoA Register'!$P:$P,0)),2),0,0,0,0,0,2,1),0),0)))</f>
        <v>46174</v>
      </c>
      <c r="E70" s="45" t="str">
        <f t="shared" si="2"/>
        <v/>
      </c>
      <c r="F70" s="45" t="s">
        <v>86</v>
      </c>
      <c r="G70" s="12" t="s">
        <v>86</v>
      </c>
      <c r="H70" s="12" t="str">
        <f t="array" ref="H70">IFERROR(INDEX('iCoA Register'!$B:$B,MATCH("P060382|I",'iCoA Register'!$P:$P,0)),"—")</f>
        <v>iCoA-PP_26-069</v>
      </c>
      <c r="I70" s="45">
        <f t="array" ref="I70">IFERROR(INDEX('iCoA Register'!$D:$D,MATCH("P060382|I",'iCoA Register'!$P:$P,0)),"")</f>
        <v>46174</v>
      </c>
      <c r="J70" s="12" t="s">
        <v>1477</v>
      </c>
      <c r="K70" s="12" t="s">
        <v>844</v>
      </c>
      <c r="L70" s="13" t="s">
        <v>314</v>
      </c>
      <c r="M70" s="12" t="s">
        <v>317</v>
      </c>
      <c r="N70" s="12" t="s">
        <v>315</v>
      </c>
      <c r="O70" s="28" t="s">
        <v>893</v>
      </c>
      <c r="P70" s="28" t="s">
        <v>86</v>
      </c>
      <c r="Q70" s="12" t="s">
        <v>86</v>
      </c>
      <c r="R70" s="12" t="s">
        <v>2326</v>
      </c>
      <c r="S70" s="12" t="s">
        <v>2134</v>
      </c>
      <c r="T70" s="20" t="s">
        <v>2317</v>
      </c>
    </row>
    <row r="71" spans="1:20" ht="14.25" customHeight="1">
      <c r="A71" s="12">
        <f t="shared" si="0"/>
        <v>70</v>
      </c>
      <c r="B71" s="13" t="str">
        <f t="shared" si="1"/>
        <v>CoQ-PP_26-070</v>
      </c>
      <c r="C71" s="24" t="s">
        <v>1383</v>
      </c>
      <c r="D71" s="45">
        <f t="array" ref="D71">IF(A71="","",MAX(E71,IF(ISNUMBER(I71),I71,0),IFERROR(IF(ISNUMBER(INDEX('iCoA Register'!$F:$F,MATCH(S71,'iCoA Register'!$P:$P,0))),(INDEX('iCoA Register'!$F:$F,MATCH(S71,'iCoA Register'!$P:$P,0)))+CHOOSE(WEEKDAY(INDEX('iCoA Register'!$F:$F,MATCH(S71,'iCoA Register'!$P:$P,0)),2),0,0,0,0,0,2,1),0),0)))</f>
        <v>46210</v>
      </c>
      <c r="E71" s="45">
        <f t="shared" si="2"/>
        <v>46210</v>
      </c>
      <c r="F71" s="45">
        <v>46203</v>
      </c>
      <c r="G71" s="12" t="s">
        <v>527</v>
      </c>
      <c r="H71" s="12" t="str">
        <f t="array" ref="H71">IFERROR(INDEX('iCoA Register'!$B:$B,MATCH("P060392|I",'iCoA Register'!$P:$P,0)),"—")</f>
        <v>not needed</v>
      </c>
      <c r="I71" s="45" t="str">
        <f t="array" ref="I71">IFERROR(INDEX('iCoA Register'!$D:$D,MATCH("P060392|I",'iCoA Register'!$P:$P,0)),"")</f>
        <v/>
      </c>
      <c r="J71" s="12" t="s">
        <v>1477</v>
      </c>
      <c r="K71" s="12" t="s">
        <v>844</v>
      </c>
      <c r="L71" s="13" t="s">
        <v>204</v>
      </c>
      <c r="M71" s="12" t="s">
        <v>205</v>
      </c>
      <c r="N71" s="12" t="s">
        <v>183</v>
      </c>
      <c r="O71" s="12" t="s">
        <v>555</v>
      </c>
      <c r="P71" s="12" t="s">
        <v>2139</v>
      </c>
      <c r="Q71" s="12" t="s">
        <v>86</v>
      </c>
      <c r="R71" s="12" t="s">
        <v>850</v>
      </c>
      <c r="S71" s="12" t="s">
        <v>2140</v>
      </c>
      <c r="T71" s="20" t="s">
        <v>2327</v>
      </c>
    </row>
    <row r="72" spans="1:20" ht="14.25" customHeight="1">
      <c r="A72" s="12">
        <f t="shared" si="0"/>
        <v>71</v>
      </c>
      <c r="B72" s="13" t="str">
        <f t="shared" si="1"/>
        <v>CoQ-PP_26-071</v>
      </c>
      <c r="C72" s="24" t="s">
        <v>1383</v>
      </c>
      <c r="D72" s="45">
        <f t="array" ref="D72">IF(A72="","",MAX(E72,IF(ISNUMBER(I72),I72,0),IFERROR(IF(ISNUMBER(INDEX('iCoA Register'!$F:$F,MATCH(S72,'iCoA Register'!$P:$P,0))),(INDEX('iCoA Register'!$F:$F,MATCH(S72,'iCoA Register'!$P:$P,0)))+CHOOSE(WEEKDAY(INDEX('iCoA Register'!$F:$F,MATCH(S72,'iCoA Register'!$P:$P,0)),2),0,0,0,0,0,2,1),0),0)))</f>
        <v>46210</v>
      </c>
      <c r="E72" s="45">
        <f t="shared" si="2"/>
        <v>46210</v>
      </c>
      <c r="F72" s="45">
        <v>46203</v>
      </c>
      <c r="G72" s="12" t="s">
        <v>446</v>
      </c>
      <c r="H72" s="12" t="str">
        <f t="array" ref="H72">IFERROR(INDEX('iCoA Register'!$B:$B,MATCH("P060362|I",'iCoA Register'!$P:$P,0)),"—")</f>
        <v>not needed</v>
      </c>
      <c r="I72" s="45" t="str">
        <f t="array" ref="I72">IFERROR(INDEX('iCoA Register'!$D:$D,MATCH("P060362|I",'iCoA Register'!$P:$P,0)),"")</f>
        <v/>
      </c>
      <c r="J72" s="12" t="s">
        <v>1477</v>
      </c>
      <c r="K72" s="12" t="s">
        <v>844</v>
      </c>
      <c r="L72" s="13" t="s">
        <v>336</v>
      </c>
      <c r="M72" s="12" t="s">
        <v>431</v>
      </c>
      <c r="N72" s="12"/>
      <c r="O72" s="12" t="s">
        <v>913</v>
      </c>
      <c r="P72" s="12" t="s">
        <v>2152</v>
      </c>
      <c r="Q72" s="12" t="s">
        <v>86</v>
      </c>
      <c r="R72" s="12" t="s">
        <v>2330</v>
      </c>
      <c r="S72" s="12" t="s">
        <v>2154</v>
      </c>
      <c r="T72" s="20" t="s">
        <v>2327</v>
      </c>
    </row>
    <row r="73" spans="1:20" ht="14.25" customHeight="1">
      <c r="A73" s="12">
        <f t="shared" si="0"/>
        <v>72</v>
      </c>
      <c r="B73" s="13" t="str">
        <f t="shared" si="1"/>
        <v>CoQ-PP_26-072</v>
      </c>
      <c r="C73" s="24" t="s">
        <v>1383</v>
      </c>
      <c r="D73" s="45">
        <f t="array" ref="D73">IF(A73="","",MAX(E73,IF(ISNUMBER(I73),I73,0),IFERROR(IF(ISNUMBER(INDEX('iCoA Register'!$F:$F,MATCH(S73,'iCoA Register'!$P:$P,0))),(INDEX('iCoA Register'!$F:$F,MATCH(S73,'iCoA Register'!$P:$P,0)))+CHOOSE(WEEKDAY(INDEX('iCoA Register'!$F:$F,MATCH(S73,'iCoA Register'!$P:$P,0)),2),0,0,0,0,0,2,1),0),0)))</f>
        <v>46210</v>
      </c>
      <c r="E73" s="45">
        <f t="shared" si="2"/>
        <v>46210</v>
      </c>
      <c r="F73" s="45">
        <v>46203</v>
      </c>
      <c r="G73" s="12" t="s">
        <v>446</v>
      </c>
      <c r="H73" s="12" t="str">
        <f t="array" ref="H73">IFERROR(INDEX('iCoA Register'!$B:$B,MATCH("P060422|I",'iCoA Register'!$P:$P,0)),"—")</f>
        <v>not needed</v>
      </c>
      <c r="I73" s="45" t="str">
        <f t="array" ref="I73">IFERROR(INDEX('iCoA Register'!$D:$D,MATCH("P060422|I",'iCoA Register'!$P:$P,0)),"")</f>
        <v/>
      </c>
      <c r="J73" s="12" t="s">
        <v>1477</v>
      </c>
      <c r="K73" s="12" t="s">
        <v>844</v>
      </c>
      <c r="L73" s="13" t="s">
        <v>336</v>
      </c>
      <c r="M73" s="12" t="s">
        <v>445</v>
      </c>
      <c r="N73" s="12"/>
      <c r="O73" s="12" t="s">
        <v>913</v>
      </c>
      <c r="P73" s="12" t="s">
        <v>2152</v>
      </c>
      <c r="Q73" s="12" t="s">
        <v>86</v>
      </c>
      <c r="R73" s="12" t="s">
        <v>2333</v>
      </c>
      <c r="S73" s="12" t="s">
        <v>2196</v>
      </c>
      <c r="T73" s="20" t="s">
        <v>2327</v>
      </c>
    </row>
    <row r="74" spans="1:20" ht="14.25" customHeight="1">
      <c r="A74" s="12">
        <f t="shared" si="0"/>
        <v>73</v>
      </c>
      <c r="B74" s="13" t="str">
        <f t="shared" si="1"/>
        <v>CoQ-PP_26-073</v>
      </c>
      <c r="C74" s="24" t="s">
        <v>1383</v>
      </c>
      <c r="D74" s="45">
        <f t="array" ref="D74">IF(A74="","",MAX(E74,IF(ISNUMBER(I74),I74,0),IFERROR(IF(ISNUMBER(INDEX('iCoA Register'!$F:$F,MATCH(S74,'iCoA Register'!$P:$P,0))),(INDEX('iCoA Register'!$F:$F,MATCH(S74,'iCoA Register'!$P:$P,0)))+CHOOSE(WEEKDAY(INDEX('iCoA Register'!$F:$F,MATCH(S74,'iCoA Register'!$P:$P,0)),2),0,0,0,0,0,2,1),0),0)))</f>
        <v>46210</v>
      </c>
      <c r="E74" s="45">
        <f t="shared" si="2"/>
        <v>46210</v>
      </c>
      <c r="F74" s="45">
        <v>46203</v>
      </c>
      <c r="G74" s="12" t="s">
        <v>225</v>
      </c>
      <c r="H74" s="12" t="str">
        <f t="array" ref="H74">IFERROR(INDEX('iCoA Register'!$B:$B,MATCH("P060402|I",'iCoA Register'!$P:$P,0)),"—")</f>
        <v>not needed</v>
      </c>
      <c r="I74" s="45" t="str">
        <f t="array" ref="I74">IFERROR(INDEX('iCoA Register'!$D:$D,MATCH("P060402|I",'iCoA Register'!$P:$P,0)),"")</f>
        <v/>
      </c>
      <c r="J74" s="12" t="s">
        <v>1477</v>
      </c>
      <c r="K74" s="12" t="s">
        <v>844</v>
      </c>
      <c r="L74" s="13" t="s">
        <v>215</v>
      </c>
      <c r="M74" s="12" t="s">
        <v>218</v>
      </c>
      <c r="N74" s="12" t="s">
        <v>1592</v>
      </c>
      <c r="O74" s="12" t="s">
        <v>590</v>
      </c>
      <c r="P74" s="12" t="s">
        <v>2243</v>
      </c>
      <c r="Q74" s="12" t="s">
        <v>86</v>
      </c>
      <c r="R74" s="12" t="s">
        <v>2335</v>
      </c>
      <c r="S74" s="12" t="s">
        <v>2258</v>
      </c>
      <c r="T74" s="20" t="s">
        <v>2327</v>
      </c>
    </row>
    <row r="75" spans="1:20" ht="14.25" customHeight="1">
      <c r="A75" s="12">
        <f t="shared" si="0"/>
        <v>74</v>
      </c>
      <c r="B75" s="13" t="str">
        <f t="shared" si="1"/>
        <v>CoQ-PP_26-074</v>
      </c>
      <c r="C75" s="24" t="s">
        <v>1383</v>
      </c>
      <c r="D75" s="45">
        <f t="array" ref="D75">IF(A75="","",MAX(E75,IF(ISNUMBER(I75),I75,0),IFERROR(IF(ISNUMBER(INDEX('iCoA Register'!$F:$F,MATCH(S75,'iCoA Register'!$P:$P,0))),(INDEX('iCoA Register'!$F:$F,MATCH(S75,'iCoA Register'!$P:$P,0)))+CHOOSE(WEEKDAY(INDEX('iCoA Register'!$F:$F,MATCH(S75,'iCoA Register'!$P:$P,0)),2),0,0,0,0,0,2,1),0),0)))</f>
        <v>46210</v>
      </c>
      <c r="E75" s="45">
        <f t="shared" si="2"/>
        <v>46210</v>
      </c>
      <c r="F75" s="45">
        <v>46203</v>
      </c>
      <c r="G75" s="12" t="s">
        <v>446</v>
      </c>
      <c r="H75" s="12" t="str">
        <f t="array" ref="H75">IFERROR(INDEX('iCoA Register'!$B:$B,MATCH("P060412|I",'iCoA Register'!$P:$P,0)),"—")</f>
        <v>not needed</v>
      </c>
      <c r="I75" s="45" t="str">
        <f t="array" ref="I75">IFERROR(INDEX('iCoA Register'!$D:$D,MATCH("P060412|I",'iCoA Register'!$P:$P,0)),"")</f>
        <v/>
      </c>
      <c r="J75" s="12" t="s">
        <v>1477</v>
      </c>
      <c r="K75" s="12" t="s">
        <v>844</v>
      </c>
      <c r="L75" s="13" t="s">
        <v>336</v>
      </c>
      <c r="M75" s="12" t="s">
        <v>437</v>
      </c>
      <c r="N75" s="12"/>
      <c r="O75" s="12" t="s">
        <v>913</v>
      </c>
      <c r="P75" s="12" t="s">
        <v>2152</v>
      </c>
      <c r="Q75" s="12" t="s">
        <v>86</v>
      </c>
      <c r="R75" s="12" t="s">
        <v>2337</v>
      </c>
      <c r="S75" s="12" t="s">
        <v>2273</v>
      </c>
      <c r="T75" s="20" t="s">
        <v>2327</v>
      </c>
    </row>
    <row r="76" spans="1:20" ht="14.25" customHeight="1">
      <c r="A76" s="12">
        <f t="shared" si="0"/>
        <v>75</v>
      </c>
      <c r="B76" s="13" t="str">
        <f t="shared" si="1"/>
        <v>CoQ-PP_26-075</v>
      </c>
      <c r="C76" s="24" t="s">
        <v>1383</v>
      </c>
      <c r="D76" s="45">
        <f t="array" ref="D76">IF(A76="","",MAX(E76,IF(ISNUMBER(I76),I76,0),IFERROR(IF(ISNUMBER(INDEX('iCoA Register'!$F:$F,MATCH(S76,'iCoA Register'!$P:$P,0))),(INDEX('iCoA Register'!$F:$F,MATCH(S76,'iCoA Register'!$P:$P,0)))+CHOOSE(WEEKDAY(INDEX('iCoA Register'!$F:$F,MATCH(S76,'iCoA Register'!$P:$P,0)),2),0,0,0,0,0,2,1),0),0)))</f>
        <v>46210</v>
      </c>
      <c r="E76" s="45">
        <f t="shared" si="2"/>
        <v>46210</v>
      </c>
      <c r="F76" s="45">
        <v>46203</v>
      </c>
      <c r="G76" s="12" t="s">
        <v>518</v>
      </c>
      <c r="H76" s="12" t="str">
        <f t="array" ref="H76">IFERROR(INDEX('iCoA Register'!$B:$B,MATCH("P060432|I",'iCoA Register'!$P:$P,0)),"—")</f>
        <v>not needed</v>
      </c>
      <c r="I76" s="45" t="str">
        <f t="array" ref="I76">IFERROR(INDEX('iCoA Register'!$D:$D,MATCH("P060432|I",'iCoA Register'!$P:$P,0)),"")</f>
        <v/>
      </c>
      <c r="J76" s="12" t="s">
        <v>1477</v>
      </c>
      <c r="K76" s="12" t="s">
        <v>844</v>
      </c>
      <c r="L76" s="13" t="s">
        <v>193</v>
      </c>
      <c r="M76" s="12" t="s">
        <v>194</v>
      </c>
      <c r="N76" s="12" t="s">
        <v>183</v>
      </c>
      <c r="O76" s="12" t="s">
        <v>519</v>
      </c>
      <c r="P76" s="12" t="s">
        <v>2279</v>
      </c>
      <c r="Q76" s="12" t="s">
        <v>86</v>
      </c>
      <c r="R76" s="12" t="s">
        <v>850</v>
      </c>
      <c r="S76" s="12" t="s">
        <v>2283</v>
      </c>
      <c r="T76" s="20" t="s">
        <v>2327</v>
      </c>
    </row>
    <row r="77" spans="1:20" ht="14.25" customHeight="1">
      <c r="A77" s="12">
        <f t="shared" si="0"/>
        <v>76</v>
      </c>
      <c r="B77" s="13" t="str">
        <f t="shared" si="1"/>
        <v>CoQ-PP_26-076</v>
      </c>
      <c r="C77" s="24" t="s">
        <v>1383</v>
      </c>
      <c r="D77" s="45">
        <f t="array" ref="D77">IF(A77="","",MAX(E77,IF(ISNUMBER(I77),I77,0),IFERROR(IF(ISNUMBER(INDEX('iCoA Register'!$F:$F,MATCH(S77,'iCoA Register'!$P:$P,0))),(INDEX('iCoA Register'!$F:$F,MATCH(S77,'iCoA Register'!$P:$P,0)))+CHOOSE(WEEKDAY(INDEX('iCoA Register'!$F:$F,MATCH(S77,'iCoA Register'!$P:$P,0)),2),0,0,0,0,0,2,1),0),0)))</f>
        <v>46216</v>
      </c>
      <c r="E77" s="45">
        <f t="shared" si="2"/>
        <v>46216</v>
      </c>
      <c r="F77" s="45">
        <v>46209</v>
      </c>
      <c r="G77" s="12" t="s">
        <v>2340</v>
      </c>
      <c r="H77" s="12" t="str">
        <f t="array" ref="H77">IFERROR(INDEX('iCoA Register'!$B:$B,MATCH("P060442|I",'iCoA Register'!$P:$P,0)),"—")</f>
        <v>not needed</v>
      </c>
      <c r="I77" s="45" t="str">
        <f t="array" ref="I77">IFERROR(INDEX('iCoA Register'!$D:$D,MATCH("P060442|I",'iCoA Register'!$P:$P,0)),"")</f>
        <v/>
      </c>
      <c r="J77" s="12" t="s">
        <v>1477</v>
      </c>
      <c r="K77" s="12" t="s">
        <v>844</v>
      </c>
      <c r="L77" s="13" t="s">
        <v>600</v>
      </c>
      <c r="M77" s="12" t="s">
        <v>602</v>
      </c>
      <c r="N77" s="12" t="s">
        <v>315</v>
      </c>
      <c r="O77" s="12" t="s">
        <v>1335</v>
      </c>
      <c r="P77" s="12" t="s">
        <v>2312</v>
      </c>
      <c r="Q77" s="12" t="s">
        <v>86</v>
      </c>
      <c r="R77" s="12" t="s">
        <v>850</v>
      </c>
      <c r="S77" s="12" t="s">
        <v>2313</v>
      </c>
      <c r="T77" s="20" t="s">
        <v>2327</v>
      </c>
    </row>
    <row r="78" spans="1:20" ht="14.25" customHeight="1">
      <c r="A78" s="12">
        <f t="shared" si="0"/>
        <v>77</v>
      </c>
      <c r="B78" s="13" t="str">
        <f t="shared" si="1"/>
        <v>CoQ-PP_26-077</v>
      </c>
      <c r="C78" s="24" t="s">
        <v>1383</v>
      </c>
      <c r="D78" s="45">
        <f t="array" ref="D78">IF(A78="","",MAX(E78,IF(ISNUMBER(I78),I78,0),IFERROR(IF(ISNUMBER(INDEX('iCoA Register'!$F:$F,MATCH(S78,'iCoA Register'!$P:$P,0))),(INDEX('iCoA Register'!$F:$F,MATCH(S78,'iCoA Register'!$P:$P,0)))+CHOOSE(WEEKDAY(INDEX('iCoA Register'!$F:$F,MATCH(S78,'iCoA Register'!$P:$P,0)),2),0,0,0,0,0,2,1),0),0)))</f>
        <v>46231</v>
      </c>
      <c r="E78" s="45">
        <f t="shared" si="2"/>
        <v>46231</v>
      </c>
      <c r="F78" s="45">
        <v>46224</v>
      </c>
      <c r="G78" s="12" t="s">
        <v>689</v>
      </c>
      <c r="H78" s="12" t="str">
        <f t="array" ref="H78">IFERROR(INDEX('iCoA Register'!$B:$B,MATCH("P060452|I",'iCoA Register'!$P:$P,0)),"—")</f>
        <v>not needed</v>
      </c>
      <c r="I78" s="45" t="str">
        <f t="array" ref="I78">IFERROR(INDEX('iCoA Register'!$D:$D,MATCH("P060452|I",'iCoA Register'!$P:$P,0)),"")</f>
        <v/>
      </c>
      <c r="J78" s="12" t="s">
        <v>1477</v>
      </c>
      <c r="K78" s="12" t="s">
        <v>844</v>
      </c>
      <c r="L78" s="13" t="s">
        <v>213</v>
      </c>
      <c r="M78" s="12" t="s">
        <v>214</v>
      </c>
      <c r="N78" s="12" t="s">
        <v>1644</v>
      </c>
      <c r="O78" s="12" t="s">
        <v>581</v>
      </c>
      <c r="P78" s="12" t="s">
        <v>2315</v>
      </c>
      <c r="Q78" s="12" t="s">
        <v>86</v>
      </c>
      <c r="R78" s="12" t="s">
        <v>850</v>
      </c>
      <c r="S78" s="12" t="s">
        <v>2316</v>
      </c>
      <c r="T78" s="20" t="s">
        <v>2327</v>
      </c>
    </row>
    <row r="79" spans="1:20" ht="14.25" customHeight="1">
      <c r="A79" s="12">
        <f t="shared" si="0"/>
        <v>78</v>
      </c>
      <c r="B79" s="13" t="str">
        <f t="shared" si="1"/>
        <v>CoQ-PP_26-078</v>
      </c>
      <c r="C79" s="24" t="s">
        <v>1383</v>
      </c>
      <c r="D79" s="45">
        <f t="array" ref="D79">IF(A79="","",MAX(E79,IF(ISNUMBER(I79),I79,0),IFERROR(IF(ISNUMBER(INDEX('iCoA Register'!$F:$F,MATCH(S79,'iCoA Register'!$P:$P,0))),(INDEX('iCoA Register'!$F:$F,MATCH(S79,'iCoA Register'!$P:$P,0)))+CHOOSE(WEEKDAY(INDEX('iCoA Register'!$F:$F,MATCH(S79,'iCoA Register'!$P:$P,0)),2),0,0,0,0,0,2,1),0),0)))</f>
        <v>46231</v>
      </c>
      <c r="E79" s="45">
        <f t="shared" si="2"/>
        <v>46231</v>
      </c>
      <c r="F79" s="45">
        <v>46224</v>
      </c>
      <c r="G79" s="12" t="s">
        <v>2342</v>
      </c>
      <c r="H79" s="12" t="str">
        <f t="array" ref="H79">IFERROR(INDEX('iCoA Register'!$B:$B,MATCH("P060462|I",'iCoA Register'!$P:$P,0)),"—")</f>
        <v>not needed</v>
      </c>
      <c r="I79" s="45" t="str">
        <f t="array" ref="I79">IFERROR(INDEX('iCoA Register'!$D:$D,MATCH("P060462|I",'iCoA Register'!$P:$P,0)),"")</f>
        <v/>
      </c>
      <c r="J79" s="12" t="s">
        <v>1477</v>
      </c>
      <c r="K79" s="12" t="s">
        <v>844</v>
      </c>
      <c r="L79" s="13" t="s">
        <v>257</v>
      </c>
      <c r="M79" s="12" t="s">
        <v>258</v>
      </c>
      <c r="N79" s="12" t="s">
        <v>1592</v>
      </c>
      <c r="O79" s="12" t="s">
        <v>626</v>
      </c>
      <c r="P79" s="12" t="s">
        <v>2318</v>
      </c>
      <c r="Q79" s="12" t="s">
        <v>86</v>
      </c>
      <c r="R79" s="12" t="s">
        <v>850</v>
      </c>
      <c r="S79" s="12" t="s">
        <v>2319</v>
      </c>
      <c r="T79" s="20" t="s">
        <v>2327</v>
      </c>
    </row>
    <row r="80" spans="1:20" ht="14.25" customHeight="1">
      <c r="A80" s="12">
        <f t="shared" si="0"/>
        <v>79</v>
      </c>
      <c r="B80" s="13" t="str">
        <f t="shared" si="1"/>
        <v>CoQ-PP_26-079</v>
      </c>
      <c r="C80" s="24" t="s">
        <v>1383</v>
      </c>
      <c r="D80" s="45">
        <f t="array" ref="D80">IF(A80="","",MAX(E80,IF(ISNUMBER(I80),I80,0),IFERROR(IF(ISNUMBER(INDEX('iCoA Register'!$F:$F,MATCH(S80,'iCoA Register'!$P:$P,0))),(INDEX('iCoA Register'!$F:$F,MATCH(S80,'iCoA Register'!$P:$P,0)))+CHOOSE(WEEKDAY(INDEX('iCoA Register'!$F:$F,MATCH(S80,'iCoA Register'!$P:$P,0)),2),0,0,0,0,0,2,1),0),0)))</f>
        <v>46239</v>
      </c>
      <c r="E80" s="45">
        <f t="shared" si="2"/>
        <v>46210</v>
      </c>
      <c r="F80" s="45">
        <v>46203</v>
      </c>
      <c r="G80" s="12" t="s">
        <v>2344</v>
      </c>
      <c r="H80" s="12" t="str">
        <f t="array" ref="H80">IFERROR(INDEX('iCoA Register'!$B:$B,MATCH("P060482|I",'iCoA Register'!$P:$P,0)),"—")</f>
        <v>not needed</v>
      </c>
      <c r="I80" s="45" t="str">
        <f t="array" ref="I80">IFERROR(INDEX('iCoA Register'!$D:$D,MATCH("P060482|I",'iCoA Register'!$P:$P,0)),"")</f>
        <v/>
      </c>
      <c r="J80" s="12" t="s">
        <v>1477</v>
      </c>
      <c r="K80" s="12" t="s">
        <v>844</v>
      </c>
      <c r="L80" s="13" t="s">
        <v>344</v>
      </c>
      <c r="M80" s="12" t="s">
        <v>345</v>
      </c>
      <c r="N80" s="12" t="s">
        <v>346</v>
      </c>
      <c r="O80" s="12" t="s">
        <v>940</v>
      </c>
      <c r="P80" s="12" t="s">
        <v>2321</v>
      </c>
      <c r="Q80" s="12" t="s">
        <v>86</v>
      </c>
      <c r="R80" s="12" t="s">
        <v>850</v>
      </c>
      <c r="S80" s="12" t="s">
        <v>2323</v>
      </c>
      <c r="T80" s="20" t="s">
        <v>2346</v>
      </c>
    </row>
    <row r="81" spans="1:20" ht="14.25" customHeight="1">
      <c r="A81" s="12" t="str">
        <f t="shared" si="0"/>
        <v/>
      </c>
      <c r="B81" s="13" t="str">
        <f t="shared" si="1"/>
        <v>— at issue —</v>
      </c>
      <c r="C81" s="28" t="s">
        <v>2334</v>
      </c>
      <c r="D81" s="45" t="str">
        <f t="array" ref="D81">IF(A81="","",MAX(E81,IF(ISNUMBER(I81),I81,0),IFERROR(IF(ISNUMBER(INDEX('iCoA Register'!$F:$F,MATCH(S81,'iCoA Register'!$P:$P,0))),(INDEX('iCoA Register'!$F:$F,MATCH(S81,'iCoA Register'!$P:$P,0)))+CHOOSE(WEEKDAY(INDEX('iCoA Register'!$F:$F,MATCH(S81,'iCoA Register'!$P:$P,0)),2),0,0,0,0,0,2,1),0),0)))</f>
        <v/>
      </c>
      <c r="E81" s="45">
        <f t="shared" si="2"/>
        <v>46169</v>
      </c>
      <c r="F81" s="45">
        <v>46153</v>
      </c>
      <c r="G81" s="12" t="s">
        <v>1037</v>
      </c>
      <c r="H81" s="12" t="str">
        <f t="array" ref="H81">IFERROR(INDEX('iCoA Register'!$B:$B,MATCH("JD112501|I",'iCoA Register'!$P:$P,0)),"—")</f>
        <v>— at issue —</v>
      </c>
      <c r="I81" s="45" t="str">
        <f t="array" ref="I81">IFERROR(INDEX('iCoA Register'!$D:$D,MATCH("JD112501|I",'iCoA Register'!$P:$P,0)),"")</f>
        <v/>
      </c>
      <c r="J81" s="12" t="s">
        <v>86</v>
      </c>
      <c r="K81" s="12" t="s">
        <v>844</v>
      </c>
      <c r="L81" s="13" t="s">
        <v>349</v>
      </c>
      <c r="M81" s="12" t="s">
        <v>425</v>
      </c>
      <c r="N81" s="12" t="s">
        <v>331</v>
      </c>
      <c r="O81" s="12" t="s">
        <v>1166</v>
      </c>
      <c r="P81" s="28" t="s">
        <v>86</v>
      </c>
      <c r="Q81" s="12" t="s">
        <v>86</v>
      </c>
      <c r="R81" s="12" t="s">
        <v>2129</v>
      </c>
      <c r="S81" s="12" t="s">
        <v>2336</v>
      </c>
      <c r="T81" s="23" t="s">
        <v>1441</v>
      </c>
    </row>
    <row r="82" spans="1:20" ht="14.25" customHeight="1">
      <c r="A82" s="12" t="str">
        <f t="shared" si="0"/>
        <v/>
      </c>
      <c r="B82" s="13" t="str">
        <f t="shared" si="1"/>
        <v>— at issue —</v>
      </c>
      <c r="C82" s="28" t="s">
        <v>2334</v>
      </c>
      <c r="D82" s="45" t="str">
        <f t="array" ref="D82">IF(A82="","",MAX(E82,IF(ISNUMBER(I82),I82,0),IFERROR(IF(ISNUMBER(INDEX('iCoA Register'!$F:$F,MATCH(S82,'iCoA Register'!$P:$P,0))),(INDEX('iCoA Register'!$F:$F,MATCH(S82,'iCoA Register'!$P:$P,0)))+CHOOSE(WEEKDAY(INDEX('iCoA Register'!$F:$F,MATCH(S82,'iCoA Register'!$P:$P,0)),2),0,0,0,0,0,2,1),0),0)))</f>
        <v/>
      </c>
      <c r="E82" s="45">
        <f t="shared" si="2"/>
        <v>46216</v>
      </c>
      <c r="F82" s="45">
        <v>46209</v>
      </c>
      <c r="G82" s="12" t="s">
        <v>2348</v>
      </c>
      <c r="H82" s="12" t="str">
        <f t="array" ref="H82">IFERROR(INDEX('iCoA Register'!$B:$B,MATCH("P160012|I",'iCoA Register'!$P:$P,0)),"—")</f>
        <v>not needed</v>
      </c>
      <c r="I82" s="45" t="str">
        <f t="array" ref="I82">IFERROR(INDEX('iCoA Register'!$D:$D,MATCH("P160012|I",'iCoA Register'!$P:$P,0)),"")</f>
        <v/>
      </c>
      <c r="J82" s="12" t="s">
        <v>86</v>
      </c>
      <c r="K82" s="12" t="s">
        <v>844</v>
      </c>
      <c r="L82" s="13" t="s">
        <v>639</v>
      </c>
      <c r="M82" s="12" t="s">
        <v>640</v>
      </c>
      <c r="N82" s="12"/>
      <c r="O82" s="12" t="s">
        <v>1264</v>
      </c>
      <c r="P82" s="12" t="s">
        <v>2324</v>
      </c>
      <c r="Q82" s="12" t="s">
        <v>86</v>
      </c>
      <c r="R82" s="12" t="s">
        <v>1806</v>
      </c>
      <c r="S82" s="12" t="s">
        <v>2325</v>
      </c>
      <c r="T82" s="23" t="s">
        <v>1441</v>
      </c>
    </row>
    <row r="83" spans="1:20" ht="14.25" customHeight="1">
      <c r="A83" s="12" t="str">
        <f t="shared" si="0"/>
        <v/>
      </c>
      <c r="B83" s="13" t="str">
        <f t="shared" si="1"/>
        <v>— at issue —</v>
      </c>
      <c r="C83" s="28" t="s">
        <v>2334</v>
      </c>
      <c r="D83" s="45" t="str">
        <f t="array" ref="D83">IF(A83="","",MAX(E83,IF(ISNUMBER(I83),I83,0),IFERROR(IF(ISNUMBER(INDEX('iCoA Register'!$F:$F,MATCH(S83,'iCoA Register'!$P:$P,0))),(INDEX('iCoA Register'!$F:$F,MATCH(S83,'iCoA Register'!$P:$P,0)))+CHOOSE(WEEKDAY(INDEX('iCoA Register'!$F:$F,MATCH(S83,'iCoA Register'!$P:$P,0)),2),0,0,0,0,0,2,1),0),0)))</f>
        <v/>
      </c>
      <c r="E83" s="45">
        <f t="shared" si="2"/>
        <v>46216</v>
      </c>
      <c r="F83" s="45">
        <v>46209</v>
      </c>
      <c r="G83" s="12" t="s">
        <v>2351</v>
      </c>
      <c r="H83" s="12" t="str">
        <f t="array" ref="H83">IFERROR(INDEX('iCoA Register'!$B:$B,MATCH("P160022|I",'iCoA Register'!$P:$P,0)),"—")</f>
        <v>not needed</v>
      </c>
      <c r="I83" s="45" t="str">
        <f t="array" ref="I83">IFERROR(INDEX('iCoA Register'!$D:$D,MATCH("P160022|I",'iCoA Register'!$P:$P,0)),"")</f>
        <v/>
      </c>
      <c r="J83" s="12" t="s">
        <v>86</v>
      </c>
      <c r="K83" s="12" t="s">
        <v>844</v>
      </c>
      <c r="L83" s="13" t="s">
        <v>639</v>
      </c>
      <c r="M83" s="12" t="s">
        <v>641</v>
      </c>
      <c r="N83" s="12"/>
      <c r="O83" s="12" t="s">
        <v>1279</v>
      </c>
      <c r="P83" s="12" t="s">
        <v>2328</v>
      </c>
      <c r="Q83" s="12" t="s">
        <v>86</v>
      </c>
      <c r="R83" s="12" t="s">
        <v>1806</v>
      </c>
      <c r="S83" s="12" t="s">
        <v>2329</v>
      </c>
      <c r="T83" s="23" t="s">
        <v>1441</v>
      </c>
    </row>
    <row r="84" spans="1:20" ht="14.25" customHeight="1">
      <c r="A84" s="12" t="str">
        <f t="shared" si="0"/>
        <v/>
      </c>
      <c r="B84" s="13" t="str">
        <f t="shared" si="1"/>
        <v>— at issue —</v>
      </c>
      <c r="C84" s="28" t="s">
        <v>2334</v>
      </c>
      <c r="D84" s="45" t="str">
        <f t="array" ref="D84">IF(A84="","",MAX(E84,IF(ISNUMBER(I84),I84,0),IFERROR(IF(ISNUMBER(INDEX('iCoA Register'!$F:$F,MATCH(S84,'iCoA Register'!$P:$P,0))),(INDEX('iCoA Register'!$F:$F,MATCH(S84,'iCoA Register'!$P:$P,0)))+CHOOSE(WEEKDAY(INDEX('iCoA Register'!$F:$F,MATCH(S84,'iCoA Register'!$P:$P,0)),2),0,0,0,0,0,2,1),0),0)))</f>
        <v/>
      </c>
      <c r="E84" s="45">
        <f t="shared" si="2"/>
        <v>46216</v>
      </c>
      <c r="F84" s="45">
        <v>46209</v>
      </c>
      <c r="G84" s="12" t="s">
        <v>2353</v>
      </c>
      <c r="H84" s="12" t="str">
        <f t="array" ref="H84">IFERROR(INDEX('iCoA Register'!$B:$B,MATCH("P160032|I",'iCoA Register'!$P:$P,0)),"—")</f>
        <v>not needed</v>
      </c>
      <c r="I84" s="45" t="str">
        <f t="array" ref="I84">IFERROR(INDEX('iCoA Register'!$D:$D,MATCH("P160032|I",'iCoA Register'!$P:$P,0)),"")</f>
        <v/>
      </c>
      <c r="J84" s="12" t="s">
        <v>86</v>
      </c>
      <c r="K84" s="12" t="s">
        <v>844</v>
      </c>
      <c r="L84" s="13" t="s">
        <v>639</v>
      </c>
      <c r="M84" s="12" t="s">
        <v>646</v>
      </c>
      <c r="N84" s="12"/>
      <c r="O84" s="12" t="s">
        <v>1291</v>
      </c>
      <c r="P84" s="12" t="s">
        <v>2331</v>
      </c>
      <c r="Q84" s="12" t="s">
        <v>86</v>
      </c>
      <c r="R84" s="12" t="s">
        <v>1806</v>
      </c>
      <c r="S84" s="12" t="s">
        <v>2332</v>
      </c>
      <c r="T84" s="23" t="s">
        <v>1441</v>
      </c>
    </row>
    <row r="85" spans="1:20" ht="14.25" customHeight="1">
      <c r="A85" s="12" t="str">
        <f t="shared" si="0"/>
        <v/>
      </c>
      <c r="B85" s="13" t="str">
        <f t="shared" si="1"/>
        <v>— at issue —</v>
      </c>
      <c r="C85" s="28" t="s">
        <v>2334</v>
      </c>
      <c r="D85" s="45" t="str">
        <f t="array" ref="D85">IF(A85="","",MAX(E85,IF(ISNUMBER(I85),I85,0),IFERROR(IF(ISNUMBER(INDEX('iCoA Register'!$F:$F,MATCH(S85,'iCoA Register'!$P:$P,0))),(INDEX('iCoA Register'!$F:$F,MATCH(S85,'iCoA Register'!$P:$P,0)))+CHOOSE(WEEKDAY(INDEX('iCoA Register'!$F:$F,MATCH(S85,'iCoA Register'!$P:$P,0)),2),0,0,0,0,0,2,1),0),0)))</f>
        <v/>
      </c>
      <c r="E85" s="45">
        <f t="shared" ref="E85:E158" si="3">IF(ISNUMBER(F85),MAX(DATE(2026,5,27),(F85+7)+CHOOSE(WEEKDAY(F85+7,2),0,0,0,0,0,2,1)),"at retest sampling")</f>
        <v>46273</v>
      </c>
      <c r="F85" s="45">
        <v>46266</v>
      </c>
      <c r="G85" s="12" t="s">
        <v>2355</v>
      </c>
      <c r="H85" s="12" t="str">
        <f t="array" ref="H85">IFERROR(INDEX('iCoA Register'!$B:$B,MATCH("CJ1024|R",'iCoA Register'!$P:$P,0)),"—")</f>
        <v>— at issue —</v>
      </c>
      <c r="I85" s="45" t="str">
        <f t="array" ref="I85">IFERROR(INDEX('iCoA Register'!$D:$D,MATCH("CJ1024|R",'iCoA Register'!$P:$P,0)),"")</f>
        <v/>
      </c>
      <c r="J85" s="12" t="s">
        <v>851</v>
      </c>
      <c r="K85" s="12" t="s">
        <v>1680</v>
      </c>
      <c r="L85" s="13" t="s">
        <v>173</v>
      </c>
      <c r="M85" s="12" t="s">
        <v>425</v>
      </c>
      <c r="N85" s="12" t="s">
        <v>75</v>
      </c>
      <c r="O85" s="28" t="s">
        <v>1691</v>
      </c>
      <c r="P85" s="28" t="s">
        <v>86</v>
      </c>
      <c r="Q85" s="12" t="s">
        <v>86</v>
      </c>
      <c r="R85" s="12" t="s">
        <v>1684</v>
      </c>
      <c r="S85" s="12" t="s">
        <v>2356</v>
      </c>
      <c r="T85" s="23" t="s">
        <v>2357</v>
      </c>
    </row>
    <row r="86" spans="1:20" ht="14.25" customHeight="1">
      <c r="A86" s="12" t="str">
        <f t="shared" si="0"/>
        <v/>
      </c>
      <c r="B86" s="13" t="str">
        <f t="shared" si="1"/>
        <v>— at issue —</v>
      </c>
      <c r="C86" s="28" t="s">
        <v>2334</v>
      </c>
      <c r="D86" s="45" t="str">
        <f t="array" ref="D86">IF(A86="","",MAX(E86,IF(ISNUMBER(I86),I86,0),IFERROR(IF(ISNUMBER(INDEX('iCoA Register'!$F:$F,MATCH(S86,'iCoA Register'!$P:$P,0))),(INDEX('iCoA Register'!$F:$F,MATCH(S86,'iCoA Register'!$P:$P,0)))+CHOOSE(WEEKDAY(INDEX('iCoA Register'!$F:$F,MATCH(S86,'iCoA Register'!$P:$P,0)),2),0,0,0,0,0,2,1),0),0)))</f>
        <v/>
      </c>
      <c r="E86" s="45">
        <f t="shared" si="3"/>
        <v>46251</v>
      </c>
      <c r="F86" s="45">
        <v>46244</v>
      </c>
      <c r="G86" s="12" t="s">
        <v>2358</v>
      </c>
      <c r="H86" s="12" t="str">
        <f t="array" ref="H86">IFERROR(INDEX('iCoA Register'!$B:$B,MATCH("BSS1024|R",'iCoA Register'!$P:$P,0)),"—")</f>
        <v>— at issue —</v>
      </c>
      <c r="I86" s="45" t="str">
        <f t="array" ref="I86">IFERROR(INDEX('iCoA Register'!$D:$D,MATCH("BSS1024|R",'iCoA Register'!$P:$P,0)),"")</f>
        <v/>
      </c>
      <c r="J86" s="12" t="s">
        <v>851</v>
      </c>
      <c r="K86" s="12" t="s">
        <v>1695</v>
      </c>
      <c r="L86" s="13" t="s">
        <v>125</v>
      </c>
      <c r="M86" s="12" t="s">
        <v>425</v>
      </c>
      <c r="N86" s="12" t="s">
        <v>129</v>
      </c>
      <c r="O86" s="12" t="s">
        <v>505</v>
      </c>
      <c r="P86" s="28" t="s">
        <v>86</v>
      </c>
      <c r="Q86" s="12" t="s">
        <v>86</v>
      </c>
      <c r="R86" s="12" t="s">
        <v>1698</v>
      </c>
      <c r="S86" s="12" t="s">
        <v>2338</v>
      </c>
      <c r="T86" s="23" t="s">
        <v>2360</v>
      </c>
    </row>
    <row r="87" spans="1:20" ht="14.25" customHeight="1">
      <c r="A87" s="12" t="str">
        <f t="shared" si="0"/>
        <v/>
      </c>
      <c r="B87" s="13" t="str">
        <f t="shared" si="1"/>
        <v>— at issue —</v>
      </c>
      <c r="C87" s="28" t="s">
        <v>2334</v>
      </c>
      <c r="D87" s="45" t="str">
        <f t="array" ref="D87">IF(A87="","",MAX(E87,IF(ISNUMBER(I87),I87,0),IFERROR(IF(ISNUMBER(INDEX('iCoA Register'!$F:$F,MATCH(S87,'iCoA Register'!$P:$P,0))),(INDEX('iCoA Register'!$F:$F,MATCH(S87,'iCoA Register'!$P:$P,0)))+CHOOSE(WEEKDAY(INDEX('iCoA Register'!$F:$F,MATCH(S87,'iCoA Register'!$P:$P,0)),2),0,0,0,0,0,2,1),0),0)))</f>
        <v/>
      </c>
      <c r="E87" s="45">
        <f t="shared" si="3"/>
        <v>46251</v>
      </c>
      <c r="F87" s="45">
        <v>46244</v>
      </c>
      <c r="G87" s="12" t="s">
        <v>2361</v>
      </c>
      <c r="H87" s="12" t="str">
        <f t="array" ref="H87">IFERROR(INDEX('iCoA Register'!$B:$B,MATCH("BG1024|R",'iCoA Register'!$P:$P,0)),"—")</f>
        <v>— at issue —</v>
      </c>
      <c r="I87" s="45" t="str">
        <f t="array" ref="I87">IFERROR(INDEX('iCoA Register'!$D:$D,MATCH("BG1024|R",'iCoA Register'!$P:$P,0)),"")</f>
        <v/>
      </c>
      <c r="J87" s="12" t="s">
        <v>851</v>
      </c>
      <c r="K87" s="12" t="s">
        <v>1695</v>
      </c>
      <c r="L87" s="13" t="s">
        <v>71</v>
      </c>
      <c r="M87" s="12" t="s">
        <v>425</v>
      </c>
      <c r="N87" s="12" t="s">
        <v>73</v>
      </c>
      <c r="O87" s="12" t="s">
        <v>464</v>
      </c>
      <c r="P87" s="28" t="s">
        <v>86</v>
      </c>
      <c r="Q87" s="12" t="s">
        <v>86</v>
      </c>
      <c r="R87" s="12" t="s">
        <v>1706</v>
      </c>
      <c r="S87" s="12" t="s">
        <v>2341</v>
      </c>
      <c r="T87" s="23" t="s">
        <v>2360</v>
      </c>
    </row>
    <row r="88" spans="1:20" ht="14.25" customHeight="1">
      <c r="A88" s="12" t="str">
        <f t="shared" si="0"/>
        <v/>
      </c>
      <c r="B88" s="13" t="str">
        <f t="shared" si="1"/>
        <v>— at issue —</v>
      </c>
      <c r="C88" s="28" t="s">
        <v>2334</v>
      </c>
      <c r="D88" s="45" t="str">
        <f t="array" ref="D88">IF(A88="","",MAX(E88,IF(ISNUMBER(I88),I88,0),IFERROR(IF(ISNUMBER(INDEX('iCoA Register'!$F:$F,MATCH(S88,'iCoA Register'!$P:$P,0))),(INDEX('iCoA Register'!$F:$F,MATCH(S88,'iCoA Register'!$P:$P,0)))+CHOOSE(WEEKDAY(INDEX('iCoA Register'!$F:$F,MATCH(S88,'iCoA Register'!$P:$P,0)),2),0,0,0,0,0,2,1),0),0)))</f>
        <v/>
      </c>
      <c r="E88" s="45" t="str">
        <f t="shared" si="3"/>
        <v>at retest sampling</v>
      </c>
      <c r="F88" s="45" t="s">
        <v>2363</v>
      </c>
      <c r="G88" s="12" t="s">
        <v>86</v>
      </c>
      <c r="H88" s="12" t="str">
        <f t="array" ref="H88">IFERROR(INDEX('iCoA Register'!$B:$B,MATCH("GG1024|R",'iCoA Register'!$P:$P,0)),"—")</f>
        <v>— at issue —</v>
      </c>
      <c r="I88" s="45" t="str">
        <f t="array" ref="I88">IFERROR(INDEX('iCoA Register'!$D:$D,MATCH("GG1024|R",'iCoA Register'!$P:$P,0)),"")</f>
        <v/>
      </c>
      <c r="J88" s="12" t="s">
        <v>851</v>
      </c>
      <c r="K88" s="12" t="s">
        <v>1714</v>
      </c>
      <c r="L88" s="13" t="s">
        <v>265</v>
      </c>
      <c r="M88" s="12" t="s">
        <v>425</v>
      </c>
      <c r="N88" s="12" t="s">
        <v>234</v>
      </c>
      <c r="O88" s="28" t="s">
        <v>1691</v>
      </c>
      <c r="P88" s="28" t="s">
        <v>86</v>
      </c>
      <c r="Q88" s="12" t="s">
        <v>86</v>
      </c>
      <c r="R88" s="12" t="s">
        <v>1718</v>
      </c>
      <c r="S88" s="12" t="s">
        <v>2364</v>
      </c>
      <c r="T88" s="23" t="s">
        <v>2365</v>
      </c>
    </row>
    <row r="89" spans="1:20" ht="14.25" customHeight="1">
      <c r="A89" s="12" t="str">
        <f t="shared" si="0"/>
        <v/>
      </c>
      <c r="B89" s="13" t="str">
        <f t="shared" si="1"/>
        <v>— at issue —</v>
      </c>
      <c r="C89" s="28" t="s">
        <v>2334</v>
      </c>
      <c r="D89" s="45" t="str">
        <f t="array" ref="D89">IF(A89="","",MAX(E89,IF(ISNUMBER(I89),I89,0),IFERROR(IF(ISNUMBER(INDEX('iCoA Register'!$F:$F,MATCH(S89,'iCoA Register'!$P:$P,0))),(INDEX('iCoA Register'!$F:$F,MATCH(S89,'iCoA Register'!$P:$P,0)))+CHOOSE(WEEKDAY(INDEX('iCoA Register'!$F:$F,MATCH(S89,'iCoA Register'!$P:$P,0)),2),0,0,0,0,0,2,1),0),0)))</f>
        <v/>
      </c>
      <c r="E89" s="45">
        <f t="shared" si="3"/>
        <v>46251</v>
      </c>
      <c r="F89" s="45">
        <v>46244</v>
      </c>
      <c r="G89" s="12" t="s">
        <v>2366</v>
      </c>
      <c r="H89" s="12" t="str">
        <f t="array" ref="H89">IFERROR(INDEX('iCoA Register'!$B:$B,MATCH("HPA1024|R",'iCoA Register'!$P:$P,0)),"—")</f>
        <v>— at issue —</v>
      </c>
      <c r="I89" s="45" t="str">
        <f t="array" ref="I89">IFERROR(INDEX('iCoA Register'!$D:$D,MATCH("HPA1024|R",'iCoA Register'!$P:$P,0)),"")</f>
        <v/>
      </c>
      <c r="J89" s="12" t="s">
        <v>851</v>
      </c>
      <c r="K89" s="12" t="s">
        <v>1695</v>
      </c>
      <c r="L89" s="13" t="s">
        <v>260</v>
      </c>
      <c r="M89" s="12" t="s">
        <v>425</v>
      </c>
      <c r="N89" s="12" t="s">
        <v>900</v>
      </c>
      <c r="O89" s="12" t="s">
        <v>860</v>
      </c>
      <c r="P89" s="28" t="s">
        <v>86</v>
      </c>
      <c r="Q89" s="12" t="s">
        <v>86</v>
      </c>
      <c r="R89" s="12" t="s">
        <v>1723</v>
      </c>
      <c r="S89" s="12" t="s">
        <v>2343</v>
      </c>
      <c r="T89" s="23" t="s">
        <v>2360</v>
      </c>
    </row>
    <row r="90" spans="1:20" ht="14.25" customHeight="1">
      <c r="A90" s="12" t="str">
        <f t="shared" si="0"/>
        <v/>
      </c>
      <c r="B90" s="13" t="str">
        <f t="shared" si="1"/>
        <v>— at issue —</v>
      </c>
      <c r="C90" s="28" t="s">
        <v>2334</v>
      </c>
      <c r="D90" s="45" t="str">
        <f t="array" ref="D90">IF(A90="","",MAX(E90,IF(ISNUMBER(I90),I90,0),IFERROR(IF(ISNUMBER(INDEX('iCoA Register'!$F:$F,MATCH(S90,'iCoA Register'!$P:$P,0))),(INDEX('iCoA Register'!$F:$F,MATCH(S90,'iCoA Register'!$P:$P,0)))+CHOOSE(WEEKDAY(INDEX('iCoA Register'!$F:$F,MATCH(S90,'iCoA Register'!$P:$P,0)),2),0,0,0,0,0,2,1),0),0)))</f>
        <v/>
      </c>
      <c r="E90" s="45">
        <f t="shared" si="3"/>
        <v>46273</v>
      </c>
      <c r="F90" s="45">
        <v>46266</v>
      </c>
      <c r="G90" s="12" t="s">
        <v>2368</v>
      </c>
      <c r="H90" s="12" t="str">
        <f t="array" ref="H90">IFERROR(INDEX('iCoA Register'!$B:$B,MATCH("P050102|R",'iCoA Register'!$P:$P,0)),"—")</f>
        <v>— at issue —</v>
      </c>
      <c r="I90" s="45" t="str">
        <f t="array" ref="I90">IFERROR(INDEX('iCoA Register'!$D:$D,MATCH("P050102|R",'iCoA Register'!$P:$P,0)),"")</f>
        <v/>
      </c>
      <c r="J90" s="12" t="s">
        <v>851</v>
      </c>
      <c r="K90" s="12" t="s">
        <v>1680</v>
      </c>
      <c r="L90" s="13" t="s">
        <v>289</v>
      </c>
      <c r="M90" s="12" t="s">
        <v>288</v>
      </c>
      <c r="N90" s="12" t="s">
        <v>178</v>
      </c>
      <c r="O90" s="28" t="s">
        <v>1691</v>
      </c>
      <c r="P90" s="28" t="s">
        <v>86</v>
      </c>
      <c r="Q90" s="12" t="s">
        <v>86</v>
      </c>
      <c r="R90" s="12" t="s">
        <v>1684</v>
      </c>
      <c r="S90" s="12" t="s">
        <v>2369</v>
      </c>
      <c r="T90" s="23" t="s">
        <v>2357</v>
      </c>
    </row>
    <row r="91" spans="1:20" ht="14.25" customHeight="1">
      <c r="A91" s="12" t="str">
        <f t="shared" si="0"/>
        <v/>
      </c>
      <c r="B91" s="13" t="str">
        <f t="shared" si="1"/>
        <v>— at issue —</v>
      </c>
      <c r="C91" s="28" t="s">
        <v>2334</v>
      </c>
      <c r="D91" s="45" t="str">
        <f t="array" ref="D91">IF(A91="","",MAX(E91,IF(ISNUMBER(I91),I91,0),IFERROR(IF(ISNUMBER(INDEX('iCoA Register'!$F:$F,MATCH(S91,'iCoA Register'!$P:$P,0))),(INDEX('iCoA Register'!$F:$F,MATCH(S91,'iCoA Register'!$P:$P,0)))+CHOOSE(WEEKDAY(INDEX('iCoA Register'!$F:$F,MATCH(S91,'iCoA Register'!$P:$P,0)),2),0,0,0,0,0,2,1),0),0)))</f>
        <v/>
      </c>
      <c r="E91" s="45">
        <f t="shared" si="3"/>
        <v>46251</v>
      </c>
      <c r="F91" s="45">
        <v>46244</v>
      </c>
      <c r="G91" s="12" t="s">
        <v>2371</v>
      </c>
      <c r="H91" s="12" t="str">
        <f t="array" ref="H91">IFERROR(INDEX('iCoA Register'!$B:$B,MATCH("OPM1024|R",'iCoA Register'!$P:$P,0)),"—")</f>
        <v>— at issue —</v>
      </c>
      <c r="I91" s="45" t="str">
        <f t="array" ref="I91">IFERROR(INDEX('iCoA Register'!$D:$D,MATCH("OPM1024|R",'iCoA Register'!$P:$P,0)),"")</f>
        <v/>
      </c>
      <c r="J91" s="12" t="s">
        <v>851</v>
      </c>
      <c r="K91" s="12" t="s">
        <v>1695</v>
      </c>
      <c r="L91" s="13" t="s">
        <v>291</v>
      </c>
      <c r="M91" s="12" t="s">
        <v>425</v>
      </c>
      <c r="N91" s="12" t="s">
        <v>910</v>
      </c>
      <c r="O91" s="12" t="s">
        <v>1217</v>
      </c>
      <c r="P91" s="28" t="s">
        <v>86</v>
      </c>
      <c r="Q91" s="12" t="s">
        <v>86</v>
      </c>
      <c r="R91" s="12" t="s">
        <v>1735</v>
      </c>
      <c r="S91" s="12" t="s">
        <v>2345</v>
      </c>
      <c r="T91" s="23" t="s">
        <v>2360</v>
      </c>
    </row>
    <row r="92" spans="1:20" ht="14.25" customHeight="1">
      <c r="A92" s="12" t="str">
        <f t="shared" si="0"/>
        <v/>
      </c>
      <c r="B92" s="13" t="str">
        <f t="shared" si="1"/>
        <v>— at issue —</v>
      </c>
      <c r="C92" s="28" t="s">
        <v>2334</v>
      </c>
      <c r="D92" s="45" t="str">
        <f t="array" ref="D92">IF(A92="","",MAX(E92,IF(ISNUMBER(I92),I92,0),IFERROR(IF(ISNUMBER(INDEX('iCoA Register'!$F:$F,MATCH(S92,'iCoA Register'!$P:$P,0))),(INDEX('iCoA Register'!$F:$F,MATCH(S92,'iCoA Register'!$P:$P,0)))+CHOOSE(WEEKDAY(INDEX('iCoA Register'!$F:$F,MATCH(S92,'iCoA Register'!$P:$P,0)),2),0,0,0,0,0,2,1),0),0)))</f>
        <v/>
      </c>
      <c r="E92" s="45">
        <f t="shared" si="3"/>
        <v>46273</v>
      </c>
      <c r="F92" s="45">
        <v>46266</v>
      </c>
      <c r="G92" s="12" t="s">
        <v>2373</v>
      </c>
      <c r="H92" s="12" t="str">
        <f t="array" ref="H92">IFERROR(INDEX('iCoA Register'!$B:$B,MATCH("P050032|R",'iCoA Register'!$P:$P,0)),"—")</f>
        <v>— at issue —</v>
      </c>
      <c r="I92" s="45" t="str">
        <f t="array" ref="I92">IFERROR(INDEX('iCoA Register'!$D:$D,MATCH("P050032|R",'iCoA Register'!$P:$P,0)),"")</f>
        <v/>
      </c>
      <c r="J92" s="12" t="s">
        <v>851</v>
      </c>
      <c r="K92" s="12" t="s">
        <v>1680</v>
      </c>
      <c r="L92" s="13" t="s">
        <v>309</v>
      </c>
      <c r="M92" s="12" t="s">
        <v>306</v>
      </c>
      <c r="N92" s="12" t="s">
        <v>222</v>
      </c>
      <c r="O92" s="28" t="s">
        <v>1691</v>
      </c>
      <c r="P92" s="28" t="s">
        <v>86</v>
      </c>
      <c r="Q92" s="12" t="s">
        <v>86</v>
      </c>
      <c r="R92" s="12" t="s">
        <v>1684</v>
      </c>
      <c r="S92" s="12" t="s">
        <v>2374</v>
      </c>
      <c r="T92" s="23" t="s">
        <v>2357</v>
      </c>
    </row>
    <row r="93" spans="1:20" ht="14.25" customHeight="1">
      <c r="A93" s="12" t="str">
        <f t="shared" si="0"/>
        <v/>
      </c>
      <c r="B93" s="13" t="str">
        <f t="shared" si="1"/>
        <v>— at issue —</v>
      </c>
      <c r="C93" s="28" t="s">
        <v>2334</v>
      </c>
      <c r="D93" s="45" t="str">
        <f t="array" ref="D93">IF(A93="","",MAX(E93,IF(ISNUMBER(I93),I93,0),IFERROR(IF(ISNUMBER(INDEX('iCoA Register'!$F:$F,MATCH(S93,'iCoA Register'!$P:$P,0))),(INDEX('iCoA Register'!$F:$F,MATCH(S93,'iCoA Register'!$P:$P,0)))+CHOOSE(WEEKDAY(INDEX('iCoA Register'!$F:$F,MATCH(S93,'iCoA Register'!$P:$P,0)),2),0,0,0,0,0,2,1),0),0)))</f>
        <v/>
      </c>
      <c r="E93" s="45">
        <f t="shared" si="3"/>
        <v>46273</v>
      </c>
      <c r="F93" s="45">
        <v>46266</v>
      </c>
      <c r="G93" s="12" t="s">
        <v>2376</v>
      </c>
      <c r="H93" s="12" t="str">
        <f t="array" ref="H93">IFERROR(INDEX('iCoA Register'!$B:$B,MATCH("P050012|R",'iCoA Register'!$P:$P,0)),"—")</f>
        <v>— at issue —</v>
      </c>
      <c r="I93" s="45" t="str">
        <f t="array" ref="I93">IFERROR(INDEX('iCoA Register'!$D:$D,MATCH("P050012|R",'iCoA Register'!$P:$P,0)),"")</f>
        <v/>
      </c>
      <c r="J93" s="12" t="s">
        <v>851</v>
      </c>
      <c r="K93" s="12" t="s">
        <v>1680</v>
      </c>
      <c r="L93" s="13" t="s">
        <v>313</v>
      </c>
      <c r="M93" s="12" t="s">
        <v>312</v>
      </c>
      <c r="N93" s="12" t="s">
        <v>234</v>
      </c>
      <c r="O93" s="28" t="s">
        <v>1691</v>
      </c>
      <c r="P93" s="28" t="s">
        <v>86</v>
      </c>
      <c r="Q93" s="12" t="s">
        <v>86</v>
      </c>
      <c r="R93" s="12" t="s">
        <v>1684</v>
      </c>
      <c r="S93" s="12" t="s">
        <v>2377</v>
      </c>
      <c r="T93" s="23" t="s">
        <v>2357</v>
      </c>
    </row>
    <row r="94" spans="1:20" ht="14.25" customHeight="1">
      <c r="A94" s="12" t="str">
        <f t="shared" si="0"/>
        <v/>
      </c>
      <c r="B94" s="13" t="str">
        <f t="shared" si="1"/>
        <v>— at issue —</v>
      </c>
      <c r="C94" s="28" t="s">
        <v>2334</v>
      </c>
      <c r="D94" s="45" t="str">
        <f t="array" ref="D94">IF(A94="","",MAX(E94,IF(ISNUMBER(I94),I94,0),IFERROR(IF(ISNUMBER(INDEX('iCoA Register'!$F:$F,MATCH(S94,'iCoA Register'!$P:$P,0))),(INDEX('iCoA Register'!$F:$F,MATCH(S94,'iCoA Register'!$P:$P,0)))+CHOOSE(WEEKDAY(INDEX('iCoA Register'!$F:$F,MATCH(S94,'iCoA Register'!$P:$P,0)),2),0,0,0,0,0,2,1),0),0)))</f>
        <v/>
      </c>
      <c r="E94" s="45">
        <f t="shared" si="3"/>
        <v>46251</v>
      </c>
      <c r="F94" s="45">
        <v>46244</v>
      </c>
      <c r="G94" s="12" t="s">
        <v>2379</v>
      </c>
      <c r="H94" s="12" t="str">
        <f t="array" ref="H94">IFERROR(INDEX('iCoA Register'!$B:$B,MATCH("P050022|R",'iCoA Register'!$P:$P,0)),"—")</f>
        <v>— at issue —</v>
      </c>
      <c r="I94" s="45" t="str">
        <f t="array" ref="I94">IFERROR(INDEX('iCoA Register'!$D:$D,MATCH("P050022|R",'iCoA Register'!$P:$P,0)),"")</f>
        <v/>
      </c>
      <c r="J94" s="12" t="s">
        <v>851</v>
      </c>
      <c r="K94" s="12" t="s">
        <v>1695</v>
      </c>
      <c r="L94" s="13" t="s">
        <v>247</v>
      </c>
      <c r="M94" s="12" t="s">
        <v>250</v>
      </c>
      <c r="N94" s="12" t="s">
        <v>178</v>
      </c>
      <c r="O94" s="12" t="s">
        <v>1397</v>
      </c>
      <c r="P94" s="28" t="s">
        <v>86</v>
      </c>
      <c r="Q94" s="12" t="s">
        <v>86</v>
      </c>
      <c r="R94" s="12" t="s">
        <v>1759</v>
      </c>
      <c r="S94" s="12" t="s">
        <v>2347</v>
      </c>
      <c r="T94" s="23" t="s">
        <v>2360</v>
      </c>
    </row>
    <row r="95" spans="1:20" ht="14.25" customHeight="1">
      <c r="A95" s="12" t="str">
        <f t="shared" si="0"/>
        <v/>
      </c>
      <c r="B95" s="13" t="str">
        <f t="shared" si="1"/>
        <v>— at issue —</v>
      </c>
      <c r="C95" s="28" t="s">
        <v>2334</v>
      </c>
      <c r="D95" s="45" t="str">
        <f t="array" ref="D95">IF(A95="","",MAX(E95,IF(ISNUMBER(I95),I95,0),IFERROR(IF(ISNUMBER(INDEX('iCoA Register'!$F:$F,MATCH(S95,'iCoA Register'!$P:$P,0))),(INDEX('iCoA Register'!$F:$F,MATCH(S95,'iCoA Register'!$P:$P,0)))+CHOOSE(WEEKDAY(INDEX('iCoA Register'!$F:$F,MATCH(S95,'iCoA Register'!$P:$P,0)),2),0,0,0,0,0,2,1),0),0)))</f>
        <v/>
      </c>
      <c r="E95" s="45" t="str">
        <f t="shared" si="3"/>
        <v>at retest sampling</v>
      </c>
      <c r="F95" s="45" t="s">
        <v>2363</v>
      </c>
      <c r="G95" s="12" t="s">
        <v>86</v>
      </c>
      <c r="H95" s="12" t="str">
        <f t="array" ref="H95">IFERROR(INDEX('iCoA Register'!$B:$B,MATCH("P050042|R",'iCoA Register'!$P:$P,0)),"—")</f>
        <v>— at issue —</v>
      </c>
      <c r="I95" s="45" t="str">
        <f t="array" ref="I95">IFERROR(INDEX('iCoA Register'!$D:$D,MATCH("P050042|R",'iCoA Register'!$P:$P,0)),"")</f>
        <v/>
      </c>
      <c r="J95" s="12" t="s">
        <v>851</v>
      </c>
      <c r="K95" s="12" t="s">
        <v>1714</v>
      </c>
      <c r="L95" s="13" t="s">
        <v>304</v>
      </c>
      <c r="M95" s="12" t="s">
        <v>302</v>
      </c>
      <c r="N95" s="12" t="s">
        <v>103</v>
      </c>
      <c r="O95" s="28" t="s">
        <v>1691</v>
      </c>
      <c r="P95" s="28" t="s">
        <v>86</v>
      </c>
      <c r="Q95" s="12" t="s">
        <v>86</v>
      </c>
      <c r="R95" s="12" t="s">
        <v>1764</v>
      </c>
      <c r="S95" s="12" t="s">
        <v>2381</v>
      </c>
      <c r="T95" s="23" t="s">
        <v>2365</v>
      </c>
    </row>
    <row r="96" spans="1:20" ht="14.25" customHeight="1">
      <c r="A96" s="12" t="str">
        <f t="shared" si="0"/>
        <v/>
      </c>
      <c r="B96" s="13" t="str">
        <f t="shared" si="1"/>
        <v>— at issue —</v>
      </c>
      <c r="C96" s="28" t="s">
        <v>2334</v>
      </c>
      <c r="D96" s="45" t="str">
        <f t="array" ref="D96">IF(A96="","",MAX(E96,IF(ISNUMBER(I96),I96,0),IFERROR(IF(ISNUMBER(INDEX('iCoA Register'!$F:$F,MATCH(S96,'iCoA Register'!$P:$P,0))),(INDEX('iCoA Register'!$F:$F,MATCH(S96,'iCoA Register'!$P:$P,0)))+CHOOSE(WEEKDAY(INDEX('iCoA Register'!$F:$F,MATCH(S96,'iCoA Register'!$P:$P,0)),2),0,0,0,0,0,2,1),0),0)))</f>
        <v/>
      </c>
      <c r="E96" s="45">
        <f t="shared" si="3"/>
        <v>46251</v>
      </c>
      <c r="F96" s="45">
        <v>46244</v>
      </c>
      <c r="G96" s="12" t="s">
        <v>2383</v>
      </c>
      <c r="H96" s="12" t="str">
        <f t="array" ref="H96">IFERROR(INDEX('iCoA Register'!$B:$B,MATCH("P050052|R",'iCoA Register'!$P:$P,0)),"—")</f>
        <v>— at issue —</v>
      </c>
      <c r="I96" s="45" t="str">
        <f t="array" ref="I96">IFERROR(INDEX('iCoA Register'!$D:$D,MATCH("P050052|R",'iCoA Register'!$P:$P,0)),"")</f>
        <v/>
      </c>
      <c r="J96" s="12" t="s">
        <v>851</v>
      </c>
      <c r="K96" s="12" t="s">
        <v>1695</v>
      </c>
      <c r="L96" s="13" t="s">
        <v>267</v>
      </c>
      <c r="M96" s="12" t="s">
        <v>269</v>
      </c>
      <c r="N96" s="12" t="s">
        <v>261</v>
      </c>
      <c r="O96" s="12" t="s">
        <v>1467</v>
      </c>
      <c r="P96" s="28" t="s">
        <v>86</v>
      </c>
      <c r="Q96" s="12" t="s">
        <v>86</v>
      </c>
      <c r="R96" s="12" t="s">
        <v>1776</v>
      </c>
      <c r="S96" s="12" t="s">
        <v>2349</v>
      </c>
      <c r="T96" s="23" t="s">
        <v>2360</v>
      </c>
    </row>
    <row r="97" spans="1:20" ht="14.25" customHeight="1">
      <c r="A97" s="12" t="str">
        <f t="shared" si="0"/>
        <v/>
      </c>
      <c r="B97" s="13" t="str">
        <f t="shared" si="1"/>
        <v>— at issue —</v>
      </c>
      <c r="C97" s="28" t="s">
        <v>2334</v>
      </c>
      <c r="D97" s="45" t="str">
        <f t="array" ref="D97">IF(A97="","",MAX(E97,IF(ISNUMBER(I97),I97,0),IFERROR(IF(ISNUMBER(INDEX('iCoA Register'!$F:$F,MATCH(S97,'iCoA Register'!$P:$P,0))),(INDEX('iCoA Register'!$F:$F,MATCH(S97,'iCoA Register'!$P:$P,0)))+CHOOSE(WEEKDAY(INDEX('iCoA Register'!$F:$F,MATCH(S97,'iCoA Register'!$P:$P,0)),2),0,0,0,0,0,2,1),0),0)))</f>
        <v/>
      </c>
      <c r="E97" s="45">
        <f t="shared" si="3"/>
        <v>46251</v>
      </c>
      <c r="F97" s="45">
        <v>46244</v>
      </c>
      <c r="G97" s="12" t="s">
        <v>2385</v>
      </c>
      <c r="H97" s="12" t="str">
        <f t="array" ref="H97">IFERROR(INDEX('iCoA Register'!$B:$B,MATCH("P050062|R",'iCoA Register'!$P:$P,0)),"—")</f>
        <v>— at issue —</v>
      </c>
      <c r="I97" s="45" t="str">
        <f t="array" ref="I97">IFERROR(INDEX('iCoA Register'!$D:$D,MATCH("P050062|R",'iCoA Register'!$P:$P,0)),"")</f>
        <v/>
      </c>
      <c r="J97" s="12" t="s">
        <v>851</v>
      </c>
      <c r="K97" s="12" t="s">
        <v>1695</v>
      </c>
      <c r="L97" s="13" t="s">
        <v>296</v>
      </c>
      <c r="M97" s="12" t="s">
        <v>295</v>
      </c>
      <c r="N97" s="12" t="s">
        <v>103</v>
      </c>
      <c r="O97" s="12" t="s">
        <v>1503</v>
      </c>
      <c r="P97" s="28" t="s">
        <v>86</v>
      </c>
      <c r="Q97" s="12" t="s">
        <v>86</v>
      </c>
      <c r="R97" s="12" t="s">
        <v>1782</v>
      </c>
      <c r="S97" s="12" t="s">
        <v>2350</v>
      </c>
      <c r="T97" s="23" t="s">
        <v>2360</v>
      </c>
    </row>
    <row r="98" spans="1:20" ht="14.25" customHeight="1">
      <c r="A98" s="12" t="str">
        <f t="shared" si="0"/>
        <v/>
      </c>
      <c r="B98" s="13" t="str">
        <f t="shared" si="1"/>
        <v>— at issue —</v>
      </c>
      <c r="C98" s="28" t="s">
        <v>2334</v>
      </c>
      <c r="D98" s="45" t="str">
        <f t="array" ref="D98">IF(A98="","",MAX(E98,IF(ISNUMBER(I98),I98,0),IFERROR(IF(ISNUMBER(INDEX('iCoA Register'!$F:$F,MATCH(S98,'iCoA Register'!$P:$P,0))),(INDEX('iCoA Register'!$F:$F,MATCH(S98,'iCoA Register'!$P:$P,0)))+CHOOSE(WEEKDAY(INDEX('iCoA Register'!$F:$F,MATCH(S98,'iCoA Register'!$P:$P,0)),2),0,0,0,0,0,2,1),0),0)))</f>
        <v/>
      </c>
      <c r="E98" s="45" t="str">
        <f t="shared" si="3"/>
        <v>at retest sampling</v>
      </c>
      <c r="F98" s="45" t="s">
        <v>2363</v>
      </c>
      <c r="G98" s="12" t="s">
        <v>86</v>
      </c>
      <c r="H98" s="12" t="str">
        <f t="array" ref="H98">IFERROR(INDEX('iCoA Register'!$B:$B,MATCH("P050072|R",'iCoA Register'!$P:$P,0)),"—")</f>
        <v>— at issue —</v>
      </c>
      <c r="I98" s="45" t="str">
        <f t="array" ref="I98">IFERROR(INDEX('iCoA Register'!$D:$D,MATCH("P050072|R",'iCoA Register'!$P:$P,0)),"")</f>
        <v/>
      </c>
      <c r="J98" s="12" t="s">
        <v>851</v>
      </c>
      <c r="K98" s="12" t="s">
        <v>1714</v>
      </c>
      <c r="L98" s="13" t="s">
        <v>293</v>
      </c>
      <c r="M98" s="12" t="s">
        <v>292</v>
      </c>
      <c r="N98" s="12" t="s">
        <v>178</v>
      </c>
      <c r="O98" s="28" t="s">
        <v>1691</v>
      </c>
      <c r="P98" s="28" t="s">
        <v>86</v>
      </c>
      <c r="Q98" s="12" t="s">
        <v>86</v>
      </c>
      <c r="R98" s="12" t="s">
        <v>1795</v>
      </c>
      <c r="S98" s="12" t="s">
        <v>2387</v>
      </c>
      <c r="T98" s="23" t="s">
        <v>2365</v>
      </c>
    </row>
    <row r="99" spans="1:20" ht="14.25" customHeight="1">
      <c r="A99" s="12" t="str">
        <f t="shared" si="0"/>
        <v/>
      </c>
      <c r="B99" s="13" t="str">
        <f t="shared" si="1"/>
        <v>— at issue —</v>
      </c>
      <c r="C99" s="28" t="s">
        <v>2334</v>
      </c>
      <c r="D99" s="45" t="str">
        <f t="array" ref="D99">IF(A99="","",MAX(E99,IF(ISNUMBER(I99),I99,0),IFERROR(IF(ISNUMBER(INDEX('iCoA Register'!$F:$F,MATCH(S99,'iCoA Register'!$P:$P,0))),(INDEX('iCoA Register'!$F:$F,MATCH(S99,'iCoA Register'!$P:$P,0)))+CHOOSE(WEEKDAY(INDEX('iCoA Register'!$F:$F,MATCH(S99,'iCoA Register'!$P:$P,0)),2),0,0,0,0,0,2,1),0),0)))</f>
        <v/>
      </c>
      <c r="E99" s="45" t="str">
        <f t="shared" si="3"/>
        <v>at retest sampling</v>
      </c>
      <c r="F99" s="45" t="s">
        <v>2363</v>
      </c>
      <c r="G99" s="12" t="s">
        <v>86</v>
      </c>
      <c r="H99" s="12" t="str">
        <f t="array" ref="H99">IFERROR(INDEX('iCoA Register'!$B:$B,MATCH("P050082|R",'iCoA Register'!$P:$P,0)),"—")</f>
        <v>— at issue —</v>
      </c>
      <c r="I99" s="45" t="str">
        <f t="array" ref="I99">IFERROR(INDEX('iCoA Register'!$D:$D,MATCH("P050082|R",'iCoA Register'!$P:$P,0)),"")</f>
        <v/>
      </c>
      <c r="J99" s="12" t="s">
        <v>851</v>
      </c>
      <c r="K99" s="12" t="s">
        <v>1714</v>
      </c>
      <c r="L99" s="13" t="s">
        <v>237</v>
      </c>
      <c r="M99" s="12" t="s">
        <v>235</v>
      </c>
      <c r="N99" s="12" t="s">
        <v>103</v>
      </c>
      <c r="O99" s="28" t="s">
        <v>1691</v>
      </c>
      <c r="P99" s="28" t="s">
        <v>86</v>
      </c>
      <c r="Q99" s="12" t="s">
        <v>86</v>
      </c>
      <c r="R99" s="12" t="s">
        <v>1800</v>
      </c>
      <c r="S99" s="12" t="s">
        <v>2389</v>
      </c>
      <c r="T99" s="23" t="s">
        <v>2365</v>
      </c>
    </row>
    <row r="100" spans="1:20" ht="14.25" customHeight="1">
      <c r="A100" s="12" t="str">
        <f t="shared" si="0"/>
        <v/>
      </c>
      <c r="B100" s="13" t="str">
        <f t="shared" si="1"/>
        <v>— at issue —</v>
      </c>
      <c r="C100" s="28" t="s">
        <v>2334</v>
      </c>
      <c r="D100" s="45" t="str">
        <f t="array" ref="D100">IF(A100="","",MAX(E100,IF(ISNUMBER(I100),I100,0),IFERROR(IF(ISNUMBER(INDEX('iCoA Register'!$F:$F,MATCH(S100,'iCoA Register'!$P:$P,0))),(INDEX('iCoA Register'!$F:$F,MATCH(S100,'iCoA Register'!$P:$P,0)))+CHOOSE(WEEKDAY(INDEX('iCoA Register'!$F:$F,MATCH(S100,'iCoA Register'!$P:$P,0)),2),0,0,0,0,0,2,1),0),0)))</f>
        <v/>
      </c>
      <c r="E100" s="45">
        <f t="shared" si="3"/>
        <v>46251</v>
      </c>
      <c r="F100" s="45">
        <v>46244</v>
      </c>
      <c r="G100" s="12" t="s">
        <v>2390</v>
      </c>
      <c r="H100" s="12" t="str">
        <f t="array" ref="H100">IFERROR(INDEX('iCoA Register'!$B:$B,MATCH("P050092|R",'iCoA Register'!$P:$P,0)),"—")</f>
        <v>— at issue —</v>
      </c>
      <c r="I100" s="45" t="str">
        <f t="array" ref="I100">IFERROR(INDEX('iCoA Register'!$D:$D,MATCH("P050092|R",'iCoA Register'!$P:$P,0)),"")</f>
        <v/>
      </c>
      <c r="J100" s="12" t="s">
        <v>851</v>
      </c>
      <c r="K100" s="12" t="s">
        <v>1695</v>
      </c>
      <c r="L100" s="13" t="s">
        <v>232</v>
      </c>
      <c r="M100" s="12" t="s">
        <v>236</v>
      </c>
      <c r="N100" s="12" t="s">
        <v>234</v>
      </c>
      <c r="O100" s="12" t="s">
        <v>1610</v>
      </c>
      <c r="P100" s="28" t="s">
        <v>86</v>
      </c>
      <c r="Q100" s="12" t="s">
        <v>86</v>
      </c>
      <c r="R100" s="12" t="s">
        <v>1804</v>
      </c>
      <c r="S100" s="12" t="s">
        <v>2352</v>
      </c>
      <c r="T100" s="23" t="s">
        <v>2360</v>
      </c>
    </row>
    <row r="101" spans="1:20" ht="14.25" customHeight="1">
      <c r="A101" s="12" t="str">
        <f t="shared" si="0"/>
        <v/>
      </c>
      <c r="B101" s="13" t="str">
        <f t="shared" si="1"/>
        <v>— at issue —</v>
      </c>
      <c r="C101" s="28" t="s">
        <v>2334</v>
      </c>
      <c r="D101" s="45" t="str">
        <f t="array" ref="D101">IF(A101="","",MAX(E101,IF(ISNUMBER(I101),I101,0),IFERROR(IF(ISNUMBER(INDEX('iCoA Register'!$F:$F,MATCH(S101,'iCoA Register'!$P:$P,0))),(INDEX('iCoA Register'!$F:$F,MATCH(S101,'iCoA Register'!$P:$P,0)))+CHOOSE(WEEKDAY(INDEX('iCoA Register'!$F:$F,MATCH(S101,'iCoA Register'!$P:$P,0)),2),0,0,0,0,0,2,1),0),0)))</f>
        <v/>
      </c>
      <c r="E101" s="45" t="str">
        <f t="shared" si="3"/>
        <v>at retest sampling</v>
      </c>
      <c r="F101" s="45" t="s">
        <v>2363</v>
      </c>
      <c r="G101" s="12" t="s">
        <v>86</v>
      </c>
      <c r="H101" s="12" t="str">
        <f t="array" ref="H101">IFERROR(INDEX('iCoA Register'!$B:$B,MATCH("P050112|R",'iCoA Register'!$P:$P,0)),"—")</f>
        <v>— at issue —</v>
      </c>
      <c r="I101" s="45" t="str">
        <f t="array" ref="I101">IFERROR(INDEX('iCoA Register'!$D:$D,MATCH("P050112|R",'iCoA Register'!$P:$P,0)),"")</f>
        <v/>
      </c>
      <c r="J101" s="12" t="s">
        <v>851</v>
      </c>
      <c r="K101" s="12" t="s">
        <v>1714</v>
      </c>
      <c r="L101" s="13" t="s">
        <v>227</v>
      </c>
      <c r="M101" s="12" t="s">
        <v>223</v>
      </c>
      <c r="N101" s="12" t="s">
        <v>222</v>
      </c>
      <c r="O101" s="28" t="s">
        <v>1691</v>
      </c>
      <c r="P101" s="28" t="s">
        <v>86</v>
      </c>
      <c r="Q101" s="12" t="s">
        <v>86</v>
      </c>
      <c r="R101" s="12" t="s">
        <v>1807</v>
      </c>
      <c r="S101" s="12" t="s">
        <v>2393</v>
      </c>
      <c r="T101" s="23" t="s">
        <v>2365</v>
      </c>
    </row>
    <row r="102" spans="1:20" ht="14.25" customHeight="1">
      <c r="A102" s="12" t="str">
        <f t="shared" si="0"/>
        <v/>
      </c>
      <c r="B102" s="13" t="str">
        <f t="shared" si="1"/>
        <v>— at issue —</v>
      </c>
      <c r="C102" s="28" t="s">
        <v>2334</v>
      </c>
      <c r="D102" s="45" t="str">
        <f t="array" ref="D102">IF(A102="","",MAX(E102,IF(ISNUMBER(I102),I102,0),IFERROR(IF(ISNUMBER(INDEX('iCoA Register'!$F:$F,MATCH(S102,'iCoA Register'!$P:$P,0))),(INDEX('iCoA Register'!$F:$F,MATCH(S102,'iCoA Register'!$P:$P,0)))+CHOOSE(WEEKDAY(INDEX('iCoA Register'!$F:$F,MATCH(S102,'iCoA Register'!$P:$P,0)),2),0,0,0,0,0,2,1),0),0)))</f>
        <v/>
      </c>
      <c r="E102" s="45">
        <f t="shared" si="3"/>
        <v>46273</v>
      </c>
      <c r="F102" s="45">
        <v>46266</v>
      </c>
      <c r="G102" s="12" t="s">
        <v>2395</v>
      </c>
      <c r="H102" s="12" t="str">
        <f t="array" ref="H102">IFERROR(INDEX('iCoA Register'!$B:$B,MATCH("P050132|R",'iCoA Register'!$P:$P,0)),"—")</f>
        <v>— at issue —</v>
      </c>
      <c r="I102" s="45" t="str">
        <f t="array" ref="I102">IFERROR(INDEX('iCoA Register'!$D:$D,MATCH("P050132|R",'iCoA Register'!$P:$P,0)),"")</f>
        <v/>
      </c>
      <c r="J102" s="12" t="s">
        <v>851</v>
      </c>
      <c r="K102" s="12" t="s">
        <v>1680</v>
      </c>
      <c r="L102" s="13" t="s">
        <v>233</v>
      </c>
      <c r="M102" s="12" t="s">
        <v>231</v>
      </c>
      <c r="N102" s="12" t="s">
        <v>103</v>
      </c>
      <c r="O102" s="28" t="s">
        <v>1691</v>
      </c>
      <c r="P102" s="28" t="s">
        <v>86</v>
      </c>
      <c r="Q102" s="12" t="s">
        <v>86</v>
      </c>
      <c r="R102" s="12" t="s">
        <v>1684</v>
      </c>
      <c r="S102" s="12" t="s">
        <v>2397</v>
      </c>
      <c r="T102" s="23" t="s">
        <v>2357</v>
      </c>
    </row>
    <row r="103" spans="1:20" ht="14.25" customHeight="1">
      <c r="A103" s="12" t="str">
        <f t="shared" si="0"/>
        <v/>
      </c>
      <c r="B103" s="13" t="str">
        <f t="shared" si="1"/>
        <v>— at issue —</v>
      </c>
      <c r="C103" s="28" t="s">
        <v>2334</v>
      </c>
      <c r="D103" s="45" t="str">
        <f t="array" ref="D103">IF(A103="","",MAX(E103,IF(ISNUMBER(I103),I103,0),IFERROR(IF(ISNUMBER(INDEX('iCoA Register'!$F:$F,MATCH(S103,'iCoA Register'!$P:$P,0))),(INDEX('iCoA Register'!$F:$F,MATCH(S103,'iCoA Register'!$P:$P,0)))+CHOOSE(WEEKDAY(INDEX('iCoA Register'!$F:$F,MATCH(S103,'iCoA Register'!$P:$P,0)),2),0,0,0,0,0,2,1),0),0)))</f>
        <v/>
      </c>
      <c r="E103" s="45">
        <f t="shared" si="3"/>
        <v>46273</v>
      </c>
      <c r="F103" s="45">
        <v>46266</v>
      </c>
      <c r="G103" s="12" t="s">
        <v>2398</v>
      </c>
      <c r="H103" s="12" t="str">
        <f t="array" ref="H103">IFERROR(INDEX('iCoA Register'!$B:$B,MATCH("P050172|R",'iCoA Register'!$P:$P,0)),"—")</f>
        <v>— at issue —</v>
      </c>
      <c r="I103" s="45" t="str">
        <f t="array" ref="I103">IFERROR(INDEX('iCoA Register'!$D:$D,MATCH("P050172|R",'iCoA Register'!$P:$P,0)),"")</f>
        <v/>
      </c>
      <c r="J103" s="12" t="s">
        <v>851</v>
      </c>
      <c r="K103" s="12" t="s">
        <v>1680</v>
      </c>
      <c r="L103" s="13" t="s">
        <v>240</v>
      </c>
      <c r="M103" s="12" t="s">
        <v>239</v>
      </c>
      <c r="N103" s="12" t="s">
        <v>75</v>
      </c>
      <c r="O103" s="28" t="s">
        <v>1691</v>
      </c>
      <c r="P103" s="28" t="s">
        <v>86</v>
      </c>
      <c r="Q103" s="12" t="s">
        <v>86</v>
      </c>
      <c r="R103" s="12" t="s">
        <v>1684</v>
      </c>
      <c r="S103" s="12" t="s">
        <v>2399</v>
      </c>
      <c r="T103" s="23" t="s">
        <v>2357</v>
      </c>
    </row>
    <row r="104" spans="1:20" ht="14.25" customHeight="1">
      <c r="A104" s="12" t="str">
        <f t="shared" si="0"/>
        <v/>
      </c>
      <c r="B104" s="13" t="str">
        <f t="shared" si="1"/>
        <v>— at issue —</v>
      </c>
      <c r="C104" s="28" t="s">
        <v>2334</v>
      </c>
      <c r="D104" s="45" t="str">
        <f t="array" ref="D104">IF(A104="","",MAX(E104,IF(ISNUMBER(I104),I104,0),IFERROR(IF(ISNUMBER(INDEX('iCoA Register'!$F:$F,MATCH(S104,'iCoA Register'!$P:$P,0))),(INDEX('iCoA Register'!$F:$F,MATCH(S104,'iCoA Register'!$P:$P,0)))+CHOOSE(WEEKDAY(INDEX('iCoA Register'!$F:$F,MATCH(S104,'iCoA Register'!$P:$P,0)),2),0,0,0,0,0,2,1),0),0)))</f>
        <v/>
      </c>
      <c r="E104" s="45">
        <f t="shared" si="3"/>
        <v>46251</v>
      </c>
      <c r="F104" s="45">
        <v>46244</v>
      </c>
      <c r="G104" s="12" t="s">
        <v>2400</v>
      </c>
      <c r="H104" s="12" t="str">
        <f t="array" ref="H104">IFERROR(INDEX('iCoA Register'!$B:$B,MATCH("P050152|R",'iCoA Register'!$P:$P,0)),"—")</f>
        <v>— at issue —</v>
      </c>
      <c r="I104" s="45" t="str">
        <f t="array" ref="I104">IFERROR(INDEX('iCoA Register'!$D:$D,MATCH("P050152|R",'iCoA Register'!$P:$P,0)),"")</f>
        <v/>
      </c>
      <c r="J104" s="12" t="s">
        <v>851</v>
      </c>
      <c r="K104" s="12" t="s">
        <v>1695</v>
      </c>
      <c r="L104" s="13" t="s">
        <v>202</v>
      </c>
      <c r="M104" s="12" t="s">
        <v>199</v>
      </c>
      <c r="N104" s="12" t="s">
        <v>178</v>
      </c>
      <c r="O104" s="12" t="s">
        <v>1736</v>
      </c>
      <c r="P104" s="28" t="s">
        <v>86</v>
      </c>
      <c r="Q104" s="12" t="s">
        <v>86</v>
      </c>
      <c r="R104" s="12" t="s">
        <v>1684</v>
      </c>
      <c r="S104" s="12" t="s">
        <v>2354</v>
      </c>
      <c r="T104" s="23" t="s">
        <v>2360</v>
      </c>
    </row>
    <row r="105" spans="1:20" ht="14.25" customHeight="1">
      <c r="A105" s="12" t="str">
        <f t="shared" si="0"/>
        <v/>
      </c>
      <c r="B105" s="13" t="str">
        <f t="shared" si="1"/>
        <v>— at issue —</v>
      </c>
      <c r="C105" s="28" t="s">
        <v>2334</v>
      </c>
      <c r="D105" s="45" t="str">
        <f t="array" ref="D105">IF(A105="","",MAX(E105,IF(ISNUMBER(I105),I105,0),IFERROR(IF(ISNUMBER(INDEX('iCoA Register'!$F:$F,MATCH(S105,'iCoA Register'!$P:$P,0))),(INDEX('iCoA Register'!$F:$F,MATCH(S105,'iCoA Register'!$P:$P,0)))+CHOOSE(WEEKDAY(INDEX('iCoA Register'!$F:$F,MATCH(S105,'iCoA Register'!$P:$P,0)),2),0,0,0,0,0,2,1),0),0)))</f>
        <v/>
      </c>
      <c r="E105" s="45">
        <f t="shared" si="3"/>
        <v>46251</v>
      </c>
      <c r="F105" s="45">
        <v>46244</v>
      </c>
      <c r="G105" s="12" t="s">
        <v>2401</v>
      </c>
      <c r="H105" s="12" t="str">
        <f t="array" ref="H105">IFERROR(INDEX('iCoA Register'!$B:$B,MATCH("P050162|R",'iCoA Register'!$P:$P,0)),"—")</f>
        <v>— at issue —</v>
      </c>
      <c r="I105" s="45" t="str">
        <f t="array" ref="I105">IFERROR(INDEX('iCoA Register'!$D:$D,MATCH("P050162|R",'iCoA Register'!$P:$P,0)),"")</f>
        <v/>
      </c>
      <c r="J105" s="12" t="s">
        <v>851</v>
      </c>
      <c r="K105" s="12" t="s">
        <v>1695</v>
      </c>
      <c r="L105" s="13" t="s">
        <v>171</v>
      </c>
      <c r="M105" s="12" t="s">
        <v>175</v>
      </c>
      <c r="N105" s="12" t="s">
        <v>1088</v>
      </c>
      <c r="O105" s="12" t="s">
        <v>1756</v>
      </c>
      <c r="P105" s="28" t="s">
        <v>86</v>
      </c>
      <c r="Q105" s="12" t="s">
        <v>86</v>
      </c>
      <c r="R105" s="12" t="s">
        <v>1684</v>
      </c>
      <c r="S105" s="12" t="s">
        <v>2359</v>
      </c>
      <c r="T105" s="23" t="s">
        <v>2360</v>
      </c>
    </row>
    <row r="106" spans="1:20" ht="14.25" customHeight="1">
      <c r="A106" s="12" t="str">
        <f t="shared" si="0"/>
        <v/>
      </c>
      <c r="B106" s="13" t="str">
        <f t="shared" si="1"/>
        <v>— at issue —</v>
      </c>
      <c r="C106" s="28" t="s">
        <v>2334</v>
      </c>
      <c r="D106" s="45" t="str">
        <f t="array" ref="D106">IF(A106="","",MAX(E106,IF(ISNUMBER(I106),I106,0),IFERROR(IF(ISNUMBER(INDEX('iCoA Register'!$F:$F,MATCH(S106,'iCoA Register'!$P:$P,0))),(INDEX('iCoA Register'!$F:$F,MATCH(S106,'iCoA Register'!$P:$P,0)))+CHOOSE(WEEKDAY(INDEX('iCoA Register'!$F:$F,MATCH(S106,'iCoA Register'!$P:$P,0)),2),0,0,0,0,0,2,1),0),0)))</f>
        <v/>
      </c>
      <c r="E106" s="45" t="str">
        <f t="shared" si="3"/>
        <v>at retest sampling</v>
      </c>
      <c r="F106" s="45" t="s">
        <v>2363</v>
      </c>
      <c r="G106" s="12" t="s">
        <v>86</v>
      </c>
      <c r="H106" s="12" t="str">
        <f t="array" ref="H106">IFERROR(INDEX('iCoA Register'!$B:$B,MATCH("P050182|R",'iCoA Register'!$P:$P,0)),"—")</f>
        <v>— at issue —</v>
      </c>
      <c r="I106" s="45" t="str">
        <f t="array" ref="I106">IFERROR(INDEX('iCoA Register'!$D:$D,MATCH("P050182|R",'iCoA Register'!$P:$P,0)),"")</f>
        <v/>
      </c>
      <c r="J106" s="12" t="s">
        <v>851</v>
      </c>
      <c r="K106" s="12" t="s">
        <v>1714</v>
      </c>
      <c r="L106" s="13" t="s">
        <v>273</v>
      </c>
      <c r="M106" s="12" t="s">
        <v>270</v>
      </c>
      <c r="N106" s="12" t="s">
        <v>261</v>
      </c>
      <c r="O106" s="28" t="s">
        <v>1691</v>
      </c>
      <c r="P106" s="28" t="s">
        <v>86</v>
      </c>
      <c r="Q106" s="12" t="s">
        <v>86</v>
      </c>
      <c r="R106" s="12" t="s">
        <v>1684</v>
      </c>
      <c r="S106" s="12" t="s">
        <v>2402</v>
      </c>
      <c r="T106" s="23" t="s">
        <v>2365</v>
      </c>
    </row>
    <row r="107" spans="1:20" ht="14.25" customHeight="1">
      <c r="A107" s="12" t="str">
        <f t="shared" si="0"/>
        <v/>
      </c>
      <c r="B107" s="13" t="str">
        <f t="shared" si="1"/>
        <v>— at issue —</v>
      </c>
      <c r="C107" s="28" t="s">
        <v>2334</v>
      </c>
      <c r="D107" s="45" t="str">
        <f t="array" ref="D107">IF(A107="","",MAX(E107,IF(ISNUMBER(I107),I107,0),IFERROR(IF(ISNUMBER(INDEX('iCoA Register'!$F:$F,MATCH(S107,'iCoA Register'!$P:$P,0))),(INDEX('iCoA Register'!$F:$F,MATCH(S107,'iCoA Register'!$P:$P,0)))+CHOOSE(WEEKDAY(INDEX('iCoA Register'!$F:$F,MATCH(S107,'iCoA Register'!$P:$P,0)),2),0,0,0,0,0,2,1),0),0)))</f>
        <v/>
      </c>
      <c r="E107" s="45">
        <f t="shared" si="3"/>
        <v>46272</v>
      </c>
      <c r="F107" s="45">
        <v>46265</v>
      </c>
      <c r="G107" s="12" t="s">
        <v>2403</v>
      </c>
      <c r="H107" s="12" t="str">
        <f t="array" ref="H107">IFERROR(INDEX('iCoA Register'!$B:$B,MATCH("P050192|R",'iCoA Register'!$P:$P,0)),"—")</f>
        <v>— at issue —</v>
      </c>
      <c r="I107" s="45" t="str">
        <f t="array" ref="I107">IFERROR(INDEX('iCoA Register'!$D:$D,MATCH("P050192|R",'iCoA Register'!$P:$P,0)),"")</f>
        <v/>
      </c>
      <c r="J107" s="12" t="s">
        <v>851</v>
      </c>
      <c r="K107" s="12" t="s">
        <v>1680</v>
      </c>
      <c r="L107" s="13" t="s">
        <v>263</v>
      </c>
      <c r="M107" s="12" t="s">
        <v>262</v>
      </c>
      <c r="N107" s="12" t="s">
        <v>485</v>
      </c>
      <c r="O107" s="28" t="s">
        <v>1691</v>
      </c>
      <c r="P107" s="28" t="s">
        <v>86</v>
      </c>
      <c r="Q107" s="12" t="s">
        <v>86</v>
      </c>
      <c r="R107" s="12" t="s">
        <v>1684</v>
      </c>
      <c r="S107" s="12" t="s">
        <v>2404</v>
      </c>
      <c r="T107" s="23" t="s">
        <v>2357</v>
      </c>
    </row>
    <row r="108" spans="1:20" ht="14.25" customHeight="1">
      <c r="A108" s="12" t="str">
        <f t="shared" si="0"/>
        <v/>
      </c>
      <c r="B108" s="13" t="str">
        <f t="shared" si="1"/>
        <v>— at issue —</v>
      </c>
      <c r="C108" s="28" t="s">
        <v>2334</v>
      </c>
      <c r="D108" s="45" t="str">
        <f t="array" ref="D108">IF(A108="","",MAX(E108,IF(ISNUMBER(I108),I108,0),IFERROR(IF(ISNUMBER(INDEX('iCoA Register'!$F:$F,MATCH(S108,'iCoA Register'!$P:$P,0))),(INDEX('iCoA Register'!$F:$F,MATCH(S108,'iCoA Register'!$P:$P,0)))+CHOOSE(WEEKDAY(INDEX('iCoA Register'!$F:$F,MATCH(S108,'iCoA Register'!$P:$P,0)),2),0,0,0,0,0,2,1),0),0)))</f>
        <v/>
      </c>
      <c r="E108" s="45" t="str">
        <f t="shared" si="3"/>
        <v>at retest sampling</v>
      </c>
      <c r="F108" s="45" t="s">
        <v>2363</v>
      </c>
      <c r="G108" s="12" t="s">
        <v>86</v>
      </c>
      <c r="H108" s="12" t="str">
        <f t="array" ref="H108">IFERROR(INDEX('iCoA Register'!$B:$B,MATCH("P050222|R",'iCoA Register'!$P:$P,0)),"—")</f>
        <v>— at issue —</v>
      </c>
      <c r="I108" s="45" t="str">
        <f t="array" ref="I108">IFERROR(INDEX('iCoA Register'!$D:$D,MATCH("P050222|R",'iCoA Register'!$P:$P,0)),"")</f>
        <v/>
      </c>
      <c r="J108" s="12" t="s">
        <v>851</v>
      </c>
      <c r="K108" s="12" t="s">
        <v>1714</v>
      </c>
      <c r="L108" s="13" t="s">
        <v>187</v>
      </c>
      <c r="M108" s="12" t="s">
        <v>185</v>
      </c>
      <c r="N108" s="12" t="s">
        <v>206</v>
      </c>
      <c r="O108" s="28" t="s">
        <v>1691</v>
      </c>
      <c r="P108" s="28" t="s">
        <v>86</v>
      </c>
      <c r="Q108" s="12" t="s">
        <v>86</v>
      </c>
      <c r="R108" s="12" t="s">
        <v>1684</v>
      </c>
      <c r="S108" s="12" t="s">
        <v>2405</v>
      </c>
      <c r="T108" s="23" t="s">
        <v>2365</v>
      </c>
    </row>
    <row r="109" spans="1:20" ht="14.25" customHeight="1">
      <c r="A109" s="12" t="str">
        <f t="shared" si="0"/>
        <v/>
      </c>
      <c r="B109" s="13" t="str">
        <f t="shared" si="1"/>
        <v>— at issue —</v>
      </c>
      <c r="C109" s="28" t="s">
        <v>2334</v>
      </c>
      <c r="D109" s="45" t="str">
        <f t="array" ref="D109">IF(A109="","",MAX(E109,IF(ISNUMBER(I109),I109,0),IFERROR(IF(ISNUMBER(INDEX('iCoA Register'!$F:$F,MATCH(S109,'iCoA Register'!$P:$P,0))),(INDEX('iCoA Register'!$F:$F,MATCH(S109,'iCoA Register'!$P:$P,0)))+CHOOSE(WEEKDAY(INDEX('iCoA Register'!$F:$F,MATCH(S109,'iCoA Register'!$P:$P,0)),2),0,0,0,0,0,2,1),0),0)))</f>
        <v/>
      </c>
      <c r="E109" s="45">
        <f t="shared" si="3"/>
        <v>46273</v>
      </c>
      <c r="F109" s="45">
        <v>46266</v>
      </c>
      <c r="G109" s="12" t="s">
        <v>2406</v>
      </c>
      <c r="H109" s="12" t="str">
        <f t="array" ref="H109">IFERROR(INDEX('iCoA Register'!$B:$B,MATCH("P050252|R",'iCoA Register'!$P:$P,0)),"—")</f>
        <v>— at issue —</v>
      </c>
      <c r="I109" s="45" t="str">
        <f t="array" ref="I109">IFERROR(INDEX('iCoA Register'!$D:$D,MATCH("P050252|R",'iCoA Register'!$P:$P,0)),"")</f>
        <v/>
      </c>
      <c r="J109" s="12" t="s">
        <v>851</v>
      </c>
      <c r="K109" s="12" t="s">
        <v>1680</v>
      </c>
      <c r="L109" s="13" t="s">
        <v>190</v>
      </c>
      <c r="M109" s="12" t="s">
        <v>189</v>
      </c>
      <c r="N109" s="12" t="s">
        <v>75</v>
      </c>
      <c r="O109" s="28" t="s">
        <v>1691</v>
      </c>
      <c r="P109" s="28" t="s">
        <v>86</v>
      </c>
      <c r="Q109" s="12" t="s">
        <v>86</v>
      </c>
      <c r="R109" s="12" t="s">
        <v>1684</v>
      </c>
      <c r="S109" s="12" t="s">
        <v>2407</v>
      </c>
      <c r="T109" s="23" t="s">
        <v>2357</v>
      </c>
    </row>
    <row r="110" spans="1:20" ht="14.25" customHeight="1">
      <c r="A110" s="12" t="str">
        <f t="shared" si="0"/>
        <v/>
      </c>
      <c r="B110" s="13" t="str">
        <f t="shared" si="1"/>
        <v>— at issue —</v>
      </c>
      <c r="C110" s="28" t="s">
        <v>2334</v>
      </c>
      <c r="D110" s="45" t="str">
        <f t="array" ref="D110">IF(A110="","",MAX(E110,IF(ISNUMBER(I110),I110,0),IFERROR(IF(ISNUMBER(INDEX('iCoA Register'!$F:$F,MATCH(S110,'iCoA Register'!$P:$P,0))),(INDEX('iCoA Register'!$F:$F,MATCH(S110,'iCoA Register'!$P:$P,0)))+CHOOSE(WEEKDAY(INDEX('iCoA Register'!$F:$F,MATCH(S110,'iCoA Register'!$P:$P,0)),2),0,0,0,0,0,2,1),0),0)))</f>
        <v/>
      </c>
      <c r="E110" s="45">
        <f t="shared" si="3"/>
        <v>46273</v>
      </c>
      <c r="F110" s="45">
        <v>46266</v>
      </c>
      <c r="G110" s="12" t="s">
        <v>2408</v>
      </c>
      <c r="H110" s="12" t="str">
        <f t="array" ref="H110">IFERROR(INDEX('iCoA Register'!$B:$B,MATCH("P050262|R",'iCoA Register'!$P:$P,0)),"—")</f>
        <v>— at issue —</v>
      </c>
      <c r="I110" s="45" t="str">
        <f t="array" ref="I110">IFERROR(INDEX('iCoA Register'!$D:$D,MATCH("P050262|R",'iCoA Register'!$P:$P,0)),"")</f>
        <v/>
      </c>
      <c r="J110" s="12" t="s">
        <v>851</v>
      </c>
      <c r="K110" s="12" t="s">
        <v>1680</v>
      </c>
      <c r="L110" s="13" t="s">
        <v>197</v>
      </c>
      <c r="M110" s="12" t="s">
        <v>196</v>
      </c>
      <c r="N110" s="12" t="s">
        <v>491</v>
      </c>
      <c r="O110" s="28" t="s">
        <v>1691</v>
      </c>
      <c r="P110" s="28" t="s">
        <v>86</v>
      </c>
      <c r="Q110" s="12" t="s">
        <v>86</v>
      </c>
      <c r="R110" s="12" t="s">
        <v>1684</v>
      </c>
      <c r="S110" s="12" t="s">
        <v>2409</v>
      </c>
      <c r="T110" s="23" t="s">
        <v>2357</v>
      </c>
    </row>
    <row r="111" spans="1:20" ht="14.25" customHeight="1">
      <c r="A111" s="12" t="str">
        <f t="shared" si="0"/>
        <v/>
      </c>
      <c r="B111" s="13" t="str">
        <f t="shared" si="1"/>
        <v>— at issue —</v>
      </c>
      <c r="C111" s="28" t="s">
        <v>2334</v>
      </c>
      <c r="D111" s="45" t="str">
        <f t="array" ref="D111">IF(A111="","",MAX(E111,IF(ISNUMBER(I111),I111,0),IFERROR(IF(ISNUMBER(INDEX('iCoA Register'!$F:$F,MATCH(S111,'iCoA Register'!$P:$P,0))),(INDEX('iCoA Register'!$F:$F,MATCH(S111,'iCoA Register'!$P:$P,0)))+CHOOSE(WEEKDAY(INDEX('iCoA Register'!$F:$F,MATCH(S111,'iCoA Register'!$P:$P,0)),2),0,0,0,0,0,2,1),0),0)))</f>
        <v/>
      </c>
      <c r="E111" s="45" t="str">
        <f t="shared" si="3"/>
        <v>at retest sampling</v>
      </c>
      <c r="F111" s="45" t="s">
        <v>2363</v>
      </c>
      <c r="G111" s="12" t="s">
        <v>86</v>
      </c>
      <c r="H111" s="12" t="str">
        <f t="array" ref="H111">IFERROR(INDEX('iCoA Register'!$B:$B,MATCH("P050282|R",'iCoA Register'!$P:$P,0)),"—")</f>
        <v>— at issue —</v>
      </c>
      <c r="I111" s="45" t="str">
        <f t="array" ref="I111">IFERROR(INDEX('iCoA Register'!$D:$D,MATCH("P050282|R",'iCoA Register'!$P:$P,0)),"")</f>
        <v/>
      </c>
      <c r="J111" s="12" t="s">
        <v>851</v>
      </c>
      <c r="K111" s="12" t="s">
        <v>1714</v>
      </c>
      <c r="L111" s="13" t="s">
        <v>212</v>
      </c>
      <c r="M111" s="12" t="s">
        <v>211</v>
      </c>
      <c r="N111" s="12" t="s">
        <v>568</v>
      </c>
      <c r="O111" s="28" t="s">
        <v>1691</v>
      </c>
      <c r="P111" s="28" t="s">
        <v>86</v>
      </c>
      <c r="Q111" s="12" t="s">
        <v>86</v>
      </c>
      <c r="R111" s="12" t="s">
        <v>1684</v>
      </c>
      <c r="S111" s="12" t="s">
        <v>2410</v>
      </c>
      <c r="T111" s="23" t="s">
        <v>2365</v>
      </c>
    </row>
    <row r="112" spans="1:20" ht="14.25" customHeight="1">
      <c r="A112" s="12" t="str">
        <f t="shared" si="0"/>
        <v/>
      </c>
      <c r="B112" s="13" t="str">
        <f t="shared" si="1"/>
        <v>— at issue —</v>
      </c>
      <c r="C112" s="28" t="s">
        <v>2334</v>
      </c>
      <c r="D112" s="45" t="str">
        <f t="array" ref="D112">IF(A112="","",MAX(E112,IF(ISNUMBER(I112),I112,0),IFERROR(IF(ISNUMBER(INDEX('iCoA Register'!$F:$F,MATCH(S112,'iCoA Register'!$P:$P,0))),(INDEX('iCoA Register'!$F:$F,MATCH(S112,'iCoA Register'!$P:$P,0)))+CHOOSE(WEEKDAY(INDEX('iCoA Register'!$F:$F,MATCH(S112,'iCoA Register'!$P:$P,0)),2),0,0,0,0,0,2,1),0),0)))</f>
        <v/>
      </c>
      <c r="E112" s="45" t="str">
        <f t="shared" si="3"/>
        <v>at retest sampling</v>
      </c>
      <c r="F112" s="45" t="s">
        <v>2363</v>
      </c>
      <c r="G112" s="12" t="s">
        <v>86</v>
      </c>
      <c r="H112" s="12" t="str">
        <f t="array" ref="H112">IFERROR(INDEX('iCoA Register'!$B:$B,MATCH("P050302|R",'iCoA Register'!$P:$P,0)),"—")</f>
        <v>— at issue —</v>
      </c>
      <c r="I112" s="45" t="str">
        <f t="array" ref="I112">IFERROR(INDEX('iCoA Register'!$D:$D,MATCH("P050302|R",'iCoA Register'!$P:$P,0)),"")</f>
        <v/>
      </c>
      <c r="J112" s="12" t="s">
        <v>851</v>
      </c>
      <c r="K112" s="12" t="s">
        <v>1714</v>
      </c>
      <c r="L112" s="13" t="s">
        <v>253</v>
      </c>
      <c r="M112" s="12" t="s">
        <v>252</v>
      </c>
      <c r="N112" s="12" t="s">
        <v>178</v>
      </c>
      <c r="O112" s="28" t="s">
        <v>1691</v>
      </c>
      <c r="P112" s="28" t="s">
        <v>86</v>
      </c>
      <c r="Q112" s="12" t="s">
        <v>86</v>
      </c>
      <c r="R112" s="12" t="s">
        <v>1684</v>
      </c>
      <c r="S112" s="12" t="s">
        <v>2411</v>
      </c>
      <c r="T112" s="23" t="s">
        <v>2365</v>
      </c>
    </row>
    <row r="113" spans="1:20" ht="14.25" customHeight="1">
      <c r="A113" s="12" t="str">
        <f t="shared" si="0"/>
        <v/>
      </c>
      <c r="B113" s="13" t="str">
        <f t="shared" si="1"/>
        <v>— at issue —</v>
      </c>
      <c r="C113" s="28" t="s">
        <v>2334</v>
      </c>
      <c r="D113" s="45" t="str">
        <f t="array" ref="D113">IF(A113="","",MAX(E113,IF(ISNUMBER(I113),I113,0),IFERROR(IF(ISNUMBER(INDEX('iCoA Register'!$F:$F,MATCH(S113,'iCoA Register'!$P:$P,0))),(INDEX('iCoA Register'!$F:$F,MATCH(S113,'iCoA Register'!$P:$P,0)))+CHOOSE(WEEKDAY(INDEX('iCoA Register'!$F:$F,MATCH(S113,'iCoA Register'!$P:$P,0)),2),0,0,0,0,0,2,1),0),0)))</f>
        <v/>
      </c>
      <c r="E113" s="45" t="str">
        <f t="shared" si="3"/>
        <v>at retest sampling</v>
      </c>
      <c r="F113" s="45" t="s">
        <v>2363</v>
      </c>
      <c r="G113" s="12" t="s">
        <v>86</v>
      </c>
      <c r="H113" s="12" t="str">
        <f t="array" ref="H113">IFERROR(INDEX('iCoA Register'!$B:$B,MATCH("P050312|R",'iCoA Register'!$P:$P,0)),"—")</f>
        <v>— at issue —</v>
      </c>
      <c r="I113" s="45" t="str">
        <f t="array" ref="I113">IFERROR(INDEX('iCoA Register'!$D:$D,MATCH("P050312|R",'iCoA Register'!$P:$P,0)),"")</f>
        <v/>
      </c>
      <c r="J113" s="12" t="s">
        <v>851</v>
      </c>
      <c r="K113" s="12" t="s">
        <v>1714</v>
      </c>
      <c r="L113" s="13" t="s">
        <v>244</v>
      </c>
      <c r="M113" s="12" t="s">
        <v>243</v>
      </c>
      <c r="N113" s="12" t="s">
        <v>178</v>
      </c>
      <c r="O113" s="28" t="s">
        <v>1691</v>
      </c>
      <c r="P113" s="28" t="s">
        <v>86</v>
      </c>
      <c r="Q113" s="12" t="s">
        <v>86</v>
      </c>
      <c r="R113" s="12" t="s">
        <v>1684</v>
      </c>
      <c r="S113" s="12" t="s">
        <v>2412</v>
      </c>
      <c r="T113" s="23" t="s">
        <v>2365</v>
      </c>
    </row>
    <row r="114" spans="1:20" ht="14.25" customHeight="1">
      <c r="A114" s="12" t="str">
        <f t="shared" si="0"/>
        <v/>
      </c>
      <c r="B114" s="13" t="str">
        <f t="shared" si="1"/>
        <v>— at issue —</v>
      </c>
      <c r="C114" s="28" t="s">
        <v>2334</v>
      </c>
      <c r="D114" s="45" t="str">
        <f t="array" ref="D114">IF(A114="","",MAX(E114,IF(ISNUMBER(I114),I114,0),IFERROR(IF(ISNUMBER(INDEX('iCoA Register'!$F:$F,MATCH(S114,'iCoA Register'!$P:$P,0))),(INDEX('iCoA Register'!$F:$F,MATCH(S114,'iCoA Register'!$P:$P,0)))+CHOOSE(WEEKDAY(INDEX('iCoA Register'!$F:$F,MATCH(S114,'iCoA Register'!$P:$P,0)),2),0,0,0,0,0,2,1),0),0)))</f>
        <v/>
      </c>
      <c r="E114" s="45">
        <f t="shared" si="3"/>
        <v>46251</v>
      </c>
      <c r="F114" s="45">
        <v>46244</v>
      </c>
      <c r="G114" s="12" t="s">
        <v>2413</v>
      </c>
      <c r="H114" s="12" t="str">
        <f t="array" ref="H114">IFERROR(INDEX('iCoA Register'!$B:$B,MATCH("P050322|R",'iCoA Register'!$P:$P,0)),"—")</f>
        <v>— at issue —</v>
      </c>
      <c r="I114" s="45" t="str">
        <f t="array" ref="I114">IFERROR(INDEX('iCoA Register'!$D:$D,MATCH("P050322|R",'iCoA Register'!$P:$P,0)),"")</f>
        <v/>
      </c>
      <c r="J114" s="12" t="s">
        <v>851</v>
      </c>
      <c r="K114" s="12" t="s">
        <v>1695</v>
      </c>
      <c r="L114" s="13" t="s">
        <v>248</v>
      </c>
      <c r="M114" s="12" t="s">
        <v>246</v>
      </c>
      <c r="N114" s="12" t="s">
        <v>178</v>
      </c>
      <c r="O114" s="12" t="s">
        <v>1884</v>
      </c>
      <c r="P114" s="28" t="s">
        <v>86</v>
      </c>
      <c r="Q114" s="12" t="s">
        <v>86</v>
      </c>
      <c r="R114" s="12" t="s">
        <v>1684</v>
      </c>
      <c r="S114" s="12" t="s">
        <v>2362</v>
      </c>
      <c r="T114" s="23" t="s">
        <v>2360</v>
      </c>
    </row>
    <row r="115" spans="1:20" ht="14.25" customHeight="1">
      <c r="A115" s="12" t="str">
        <f t="shared" si="0"/>
        <v/>
      </c>
      <c r="B115" s="13" t="str">
        <f t="shared" si="1"/>
        <v>— at issue —</v>
      </c>
      <c r="C115" s="28" t="s">
        <v>2334</v>
      </c>
      <c r="D115" s="45" t="str">
        <f t="array" ref="D115">IF(A115="","",MAX(E115,IF(ISNUMBER(I115),I115,0),IFERROR(IF(ISNUMBER(INDEX('iCoA Register'!$F:$F,MATCH(S115,'iCoA Register'!$P:$P,0))),(INDEX('iCoA Register'!$F:$F,MATCH(S115,'iCoA Register'!$P:$P,0)))+CHOOSE(WEEKDAY(INDEX('iCoA Register'!$F:$F,MATCH(S115,'iCoA Register'!$P:$P,0)),2),0,0,0,0,0,2,1),0),0)))</f>
        <v/>
      </c>
      <c r="E115" s="45" t="str">
        <f t="shared" si="3"/>
        <v>at retest sampling</v>
      </c>
      <c r="F115" s="45" t="s">
        <v>2363</v>
      </c>
      <c r="G115" s="12" t="s">
        <v>86</v>
      </c>
      <c r="H115" s="12" t="str">
        <f t="array" ref="H115">IFERROR(INDEX('iCoA Register'!$B:$B,MATCH("P060012|R",'iCoA Register'!$P:$P,0)),"—")</f>
        <v>— at issue —</v>
      </c>
      <c r="I115" s="45" t="str">
        <f t="array" ref="I115">IFERROR(INDEX('iCoA Register'!$D:$D,MATCH("P060012|R",'iCoA Register'!$P:$P,0)),"")</f>
        <v/>
      </c>
      <c r="J115" s="12" t="s">
        <v>851</v>
      </c>
      <c r="K115" s="12" t="s">
        <v>1714</v>
      </c>
      <c r="L115" s="13" t="s">
        <v>170</v>
      </c>
      <c r="M115" s="12" t="s">
        <v>169</v>
      </c>
      <c r="N115" s="12" t="s">
        <v>167</v>
      </c>
      <c r="O115" s="28" t="s">
        <v>1691</v>
      </c>
      <c r="P115" s="28" t="s">
        <v>86</v>
      </c>
      <c r="Q115" s="12" t="s">
        <v>86</v>
      </c>
      <c r="R115" s="12" t="s">
        <v>1684</v>
      </c>
      <c r="S115" s="12" t="s">
        <v>2414</v>
      </c>
      <c r="T115" s="23" t="s">
        <v>2365</v>
      </c>
    </row>
    <row r="116" spans="1:20" ht="14.25" customHeight="1">
      <c r="A116" s="12" t="str">
        <f t="shared" si="0"/>
        <v/>
      </c>
      <c r="B116" s="13" t="str">
        <f t="shared" si="1"/>
        <v>— at issue —</v>
      </c>
      <c r="C116" s="28" t="s">
        <v>2334</v>
      </c>
      <c r="D116" s="45" t="str">
        <f t="array" ref="D116">IF(A116="","",MAX(E116,IF(ISNUMBER(I116),I116,0),IFERROR(IF(ISNUMBER(INDEX('iCoA Register'!$F:$F,MATCH(S116,'iCoA Register'!$P:$P,0))),(INDEX('iCoA Register'!$F:$F,MATCH(S116,'iCoA Register'!$P:$P,0)))+CHOOSE(WEEKDAY(INDEX('iCoA Register'!$F:$F,MATCH(S116,'iCoA Register'!$P:$P,0)),2),0,0,0,0,0,2,1),0),0)))</f>
        <v/>
      </c>
      <c r="E116" s="45" t="str">
        <f t="shared" si="3"/>
        <v>at retest sampling</v>
      </c>
      <c r="F116" s="45" t="s">
        <v>2363</v>
      </c>
      <c r="G116" s="12" t="s">
        <v>86</v>
      </c>
      <c r="H116" s="12" t="str">
        <f t="array" ref="H116">IFERROR(INDEX('iCoA Register'!$B:$B,MATCH("P060022|R",'iCoA Register'!$P:$P,0)),"—")</f>
        <v>— at issue —</v>
      </c>
      <c r="I116" s="45" t="str">
        <f t="array" ref="I116">IFERROR(INDEX('iCoA Register'!$D:$D,MATCH("P060022|R",'iCoA Register'!$P:$P,0)),"")</f>
        <v/>
      </c>
      <c r="J116" s="12" t="s">
        <v>851</v>
      </c>
      <c r="K116" s="12" t="s">
        <v>1714</v>
      </c>
      <c r="L116" s="13" t="s">
        <v>82</v>
      </c>
      <c r="M116" s="12" t="s">
        <v>78</v>
      </c>
      <c r="N116" s="12" t="s">
        <v>75</v>
      </c>
      <c r="O116" s="28" t="s">
        <v>1691</v>
      </c>
      <c r="P116" s="28" t="s">
        <v>86</v>
      </c>
      <c r="Q116" s="12" t="s">
        <v>86</v>
      </c>
      <c r="R116" s="12" t="s">
        <v>1684</v>
      </c>
      <c r="S116" s="12" t="s">
        <v>2415</v>
      </c>
      <c r="T116" s="23" t="s">
        <v>2365</v>
      </c>
    </row>
    <row r="117" spans="1:20" ht="14.25" customHeight="1">
      <c r="A117" s="12" t="str">
        <f t="shared" si="0"/>
        <v/>
      </c>
      <c r="B117" s="13" t="str">
        <f t="shared" si="1"/>
        <v>— at issue —</v>
      </c>
      <c r="C117" s="28" t="s">
        <v>2334</v>
      </c>
      <c r="D117" s="45" t="str">
        <f t="array" ref="D117">IF(A117="","",MAX(E117,IF(ISNUMBER(I117),I117,0),IFERROR(IF(ISNUMBER(INDEX('iCoA Register'!$F:$F,MATCH(S117,'iCoA Register'!$P:$P,0))),(INDEX('iCoA Register'!$F:$F,MATCH(S117,'iCoA Register'!$P:$P,0)))+CHOOSE(WEEKDAY(INDEX('iCoA Register'!$F:$F,MATCH(S117,'iCoA Register'!$P:$P,0)),2),0,0,0,0,0,2,1),0),0)))</f>
        <v/>
      </c>
      <c r="E117" s="45">
        <f t="shared" si="3"/>
        <v>46273</v>
      </c>
      <c r="F117" s="45">
        <v>46266</v>
      </c>
      <c r="G117" s="12" t="s">
        <v>2416</v>
      </c>
      <c r="H117" s="12" t="str">
        <f t="array" ref="H117">IFERROR(INDEX('iCoA Register'!$B:$B,MATCH("P050292|R",'iCoA Register'!$P:$P,0)),"—")</f>
        <v>— at issue —</v>
      </c>
      <c r="I117" s="45" t="str">
        <f t="array" ref="I117">IFERROR(INDEX('iCoA Register'!$D:$D,MATCH("P050292|R",'iCoA Register'!$P:$P,0)),"")</f>
        <v/>
      </c>
      <c r="J117" s="12" t="s">
        <v>851</v>
      </c>
      <c r="K117" s="12" t="s">
        <v>1680</v>
      </c>
      <c r="L117" s="13" t="s">
        <v>259</v>
      </c>
      <c r="M117" s="12" t="s">
        <v>254</v>
      </c>
      <c r="N117" s="12" t="s">
        <v>178</v>
      </c>
      <c r="O117" s="28" t="s">
        <v>1691</v>
      </c>
      <c r="P117" s="28" t="s">
        <v>86</v>
      </c>
      <c r="Q117" s="12" t="s">
        <v>86</v>
      </c>
      <c r="R117" s="12" t="s">
        <v>1684</v>
      </c>
      <c r="S117" s="12" t="s">
        <v>2417</v>
      </c>
      <c r="T117" s="23" t="s">
        <v>2357</v>
      </c>
    </row>
    <row r="118" spans="1:20" ht="14.25" customHeight="1">
      <c r="A118" s="12" t="str">
        <f t="shared" si="0"/>
        <v/>
      </c>
      <c r="B118" s="13" t="str">
        <f t="shared" si="1"/>
        <v>— at issue —</v>
      </c>
      <c r="C118" s="28" t="s">
        <v>2334</v>
      </c>
      <c r="D118" s="45" t="str">
        <f t="array" ref="D118">IF(A118="","",MAX(E118,IF(ISNUMBER(I118),I118,0),IFERROR(IF(ISNUMBER(INDEX('iCoA Register'!$F:$F,MATCH(S118,'iCoA Register'!$P:$P,0))),(INDEX('iCoA Register'!$F:$F,MATCH(S118,'iCoA Register'!$P:$P,0)))+CHOOSE(WEEKDAY(INDEX('iCoA Register'!$F:$F,MATCH(S118,'iCoA Register'!$P:$P,0)),2),0,0,0,0,0,2,1),0),0)))</f>
        <v/>
      </c>
      <c r="E118" s="45">
        <f t="shared" si="3"/>
        <v>46273</v>
      </c>
      <c r="F118" s="45">
        <v>46266</v>
      </c>
      <c r="G118" s="12" t="s">
        <v>2418</v>
      </c>
      <c r="H118" s="12" t="str">
        <f t="array" ref="H118">IFERROR(INDEX('iCoA Register'!$B:$B,MATCH("P050272|R",'iCoA Register'!$P:$P,0)),"—")</f>
        <v>— at issue —</v>
      </c>
      <c r="I118" s="45" t="str">
        <f t="array" ref="I118">IFERROR(INDEX('iCoA Register'!$D:$D,MATCH("P050272|R",'iCoA Register'!$P:$P,0)),"")</f>
        <v/>
      </c>
      <c r="J118" s="12" t="s">
        <v>851</v>
      </c>
      <c r="K118" s="12" t="s">
        <v>1680</v>
      </c>
      <c r="L118" s="13" t="s">
        <v>219</v>
      </c>
      <c r="M118" s="12" t="s">
        <v>217</v>
      </c>
      <c r="N118" s="12" t="s">
        <v>307</v>
      </c>
      <c r="O118" s="28" t="s">
        <v>1691</v>
      </c>
      <c r="P118" s="28" t="s">
        <v>86</v>
      </c>
      <c r="Q118" s="12" t="s">
        <v>86</v>
      </c>
      <c r="R118" s="12" t="s">
        <v>1684</v>
      </c>
      <c r="S118" s="12" t="s">
        <v>2419</v>
      </c>
      <c r="T118" s="23" t="s">
        <v>2357</v>
      </c>
    </row>
    <row r="119" spans="1:20" ht="14.25" customHeight="1">
      <c r="A119" s="12" t="str">
        <f t="shared" si="0"/>
        <v/>
      </c>
      <c r="B119" s="13" t="str">
        <f t="shared" si="1"/>
        <v>— at issue —</v>
      </c>
      <c r="C119" s="28" t="s">
        <v>2334</v>
      </c>
      <c r="D119" s="45" t="str">
        <f t="array" ref="D119">IF(A119="","",MAX(E119,IF(ISNUMBER(I119),I119,0),IFERROR(IF(ISNUMBER(INDEX('iCoA Register'!$F:$F,MATCH(S119,'iCoA Register'!$P:$P,0))),(INDEX('iCoA Register'!$F:$F,MATCH(S119,'iCoA Register'!$P:$P,0)))+CHOOSE(WEEKDAY(INDEX('iCoA Register'!$F:$F,MATCH(S119,'iCoA Register'!$P:$P,0)),2),0,0,0,0,0,2,1),0),0)))</f>
        <v/>
      </c>
      <c r="E119" s="45">
        <f t="shared" si="3"/>
        <v>46251</v>
      </c>
      <c r="F119" s="45">
        <v>46244</v>
      </c>
      <c r="G119" s="12" t="s">
        <v>2420</v>
      </c>
      <c r="H119" s="12" t="str">
        <f t="array" ref="H119">IFERROR(INDEX('iCoA Register'!$B:$B,MATCH("P050212|R",'iCoA Register'!$P:$P,0)),"—")</f>
        <v>— at issue —</v>
      </c>
      <c r="I119" s="45" t="str">
        <f t="array" ref="I119">IFERROR(INDEX('iCoA Register'!$D:$D,MATCH("P050212|R",'iCoA Register'!$P:$P,0)),"")</f>
        <v/>
      </c>
      <c r="J119" s="12" t="s">
        <v>851</v>
      </c>
      <c r="K119" s="12" t="s">
        <v>1695</v>
      </c>
      <c r="L119" s="13" t="s">
        <v>184</v>
      </c>
      <c r="M119" s="12" t="s">
        <v>188</v>
      </c>
      <c r="N119" s="12" t="s">
        <v>206</v>
      </c>
      <c r="O119" s="12" t="s">
        <v>1848</v>
      </c>
      <c r="P119" s="28" t="s">
        <v>86</v>
      </c>
      <c r="Q119" s="12" t="s">
        <v>86</v>
      </c>
      <c r="R119" s="12" t="s">
        <v>1684</v>
      </c>
      <c r="S119" s="12" t="s">
        <v>2367</v>
      </c>
      <c r="T119" s="23" t="s">
        <v>2360</v>
      </c>
    </row>
    <row r="120" spans="1:20" ht="14.25" customHeight="1">
      <c r="A120" s="12" t="str">
        <f t="shared" si="0"/>
        <v/>
      </c>
      <c r="B120" s="13" t="str">
        <f t="shared" si="1"/>
        <v>— at issue —</v>
      </c>
      <c r="C120" s="28" t="s">
        <v>2334</v>
      </c>
      <c r="D120" s="45" t="str">
        <f t="array" ref="D120">IF(A120="","",MAX(E120,IF(ISNUMBER(I120),I120,0),IFERROR(IF(ISNUMBER(INDEX('iCoA Register'!$F:$F,MATCH(S120,'iCoA Register'!$P:$P,0))),(INDEX('iCoA Register'!$F:$F,MATCH(S120,'iCoA Register'!$P:$P,0)))+CHOOSE(WEEKDAY(INDEX('iCoA Register'!$F:$F,MATCH(S120,'iCoA Register'!$P:$P,0)),2),0,0,0,0,0,2,1),0),0)))</f>
        <v/>
      </c>
      <c r="E120" s="45">
        <f t="shared" si="3"/>
        <v>46251</v>
      </c>
      <c r="F120" s="45">
        <v>46244</v>
      </c>
      <c r="G120" s="12" t="s">
        <v>2422</v>
      </c>
      <c r="H120" s="12" t="str">
        <f t="array" ref="H120">IFERROR(INDEX('iCoA Register'!$B:$B,MATCH("P060032|R",'iCoA Register'!$P:$P,0)),"—")</f>
        <v>— at issue —</v>
      </c>
      <c r="I120" s="45" t="str">
        <f t="array" ref="I120">IFERROR(INDEX('iCoA Register'!$D:$D,MATCH("P060032|R",'iCoA Register'!$P:$P,0)),"")</f>
        <v/>
      </c>
      <c r="J120" s="12" t="s">
        <v>851</v>
      </c>
      <c r="K120" s="12" t="s">
        <v>1695</v>
      </c>
      <c r="L120" s="13" t="s">
        <v>176</v>
      </c>
      <c r="M120" s="12" t="s">
        <v>174</v>
      </c>
      <c r="N120" s="12" t="s">
        <v>75</v>
      </c>
      <c r="O120" s="12" t="s">
        <v>1921</v>
      </c>
      <c r="P120" s="28" t="s">
        <v>86</v>
      </c>
      <c r="Q120" s="12" t="s">
        <v>86</v>
      </c>
      <c r="R120" s="12" t="s">
        <v>1684</v>
      </c>
      <c r="S120" s="12" t="s">
        <v>2370</v>
      </c>
      <c r="T120" s="23" t="s">
        <v>2360</v>
      </c>
    </row>
    <row r="121" spans="1:20" ht="14.25" customHeight="1">
      <c r="A121" s="12" t="str">
        <f t="shared" si="0"/>
        <v/>
      </c>
      <c r="B121" s="13" t="str">
        <f t="shared" si="1"/>
        <v>— at issue —</v>
      </c>
      <c r="C121" s="28" t="s">
        <v>2334</v>
      </c>
      <c r="D121" s="45" t="str">
        <f t="array" ref="D121">IF(A121="","",MAX(E121,IF(ISNUMBER(I121),I121,0),IFERROR(IF(ISNUMBER(INDEX('iCoA Register'!$F:$F,MATCH(S121,'iCoA Register'!$P:$P,0))),(INDEX('iCoA Register'!$F:$F,MATCH(S121,'iCoA Register'!$P:$P,0)))+CHOOSE(WEEKDAY(INDEX('iCoA Register'!$F:$F,MATCH(S121,'iCoA Register'!$P:$P,0)),2),0,0,0,0,0,2,1),0),0)))</f>
        <v/>
      </c>
      <c r="E121" s="45" t="str">
        <f t="shared" si="3"/>
        <v>at retest sampling</v>
      </c>
      <c r="F121" s="45" t="s">
        <v>2363</v>
      </c>
      <c r="G121" s="12" t="s">
        <v>86</v>
      </c>
      <c r="H121" s="12" t="str">
        <f t="array" ref="H121">IFERROR(INDEX('iCoA Register'!$B:$B,MATCH("P060042|R",'iCoA Register'!$P:$P,0)),"—")</f>
        <v>— at issue —</v>
      </c>
      <c r="I121" s="45" t="str">
        <f t="array" ref="I121">IFERROR(INDEX('iCoA Register'!$D:$D,MATCH("P060042|R",'iCoA Register'!$P:$P,0)),"")</f>
        <v/>
      </c>
      <c r="J121" s="12" t="s">
        <v>851</v>
      </c>
      <c r="K121" s="12" t="s">
        <v>1714</v>
      </c>
      <c r="L121" s="13" t="s">
        <v>116</v>
      </c>
      <c r="M121" s="12" t="s">
        <v>109</v>
      </c>
      <c r="N121" s="12" t="s">
        <v>103</v>
      </c>
      <c r="O121" s="28" t="s">
        <v>1691</v>
      </c>
      <c r="P121" s="28" t="s">
        <v>86</v>
      </c>
      <c r="Q121" s="12" t="s">
        <v>86</v>
      </c>
      <c r="R121" s="12" t="s">
        <v>1684</v>
      </c>
      <c r="S121" s="12" t="s">
        <v>2421</v>
      </c>
      <c r="T121" s="23" t="s">
        <v>2365</v>
      </c>
    </row>
    <row r="122" spans="1:20" ht="14.25" customHeight="1">
      <c r="A122" s="12" t="str">
        <f t="shared" si="0"/>
        <v/>
      </c>
      <c r="B122" s="13" t="str">
        <f t="shared" si="1"/>
        <v>— at issue —</v>
      </c>
      <c r="C122" s="28" t="s">
        <v>2334</v>
      </c>
      <c r="D122" s="45" t="str">
        <f t="array" ref="D122">IF(A122="","",MAX(E122,IF(ISNUMBER(I122),I122,0),IFERROR(IF(ISNUMBER(INDEX('iCoA Register'!$F:$F,MATCH(S122,'iCoA Register'!$P:$P,0))),(INDEX('iCoA Register'!$F:$F,MATCH(S122,'iCoA Register'!$P:$P,0)))+CHOOSE(WEEKDAY(INDEX('iCoA Register'!$F:$F,MATCH(S122,'iCoA Register'!$P:$P,0)),2),0,0,0,0,0,2,1),0),0)))</f>
        <v/>
      </c>
      <c r="E122" s="45">
        <f t="shared" si="3"/>
        <v>46251</v>
      </c>
      <c r="F122" s="45">
        <v>46244</v>
      </c>
      <c r="G122" s="12" t="s">
        <v>2426</v>
      </c>
      <c r="H122" s="12" t="str">
        <f t="array" ref="H122">IFERROR(INDEX('iCoA Register'!$B:$B,MATCH("P060062|R",'iCoA Register'!$P:$P,0)),"—")</f>
        <v>— at issue —</v>
      </c>
      <c r="I122" s="45" t="str">
        <f t="array" ref="I122">IFERROR(INDEX('iCoA Register'!$D:$D,MATCH("P060062|R",'iCoA Register'!$P:$P,0)),"")</f>
        <v/>
      </c>
      <c r="J122" s="12" t="s">
        <v>851</v>
      </c>
      <c r="K122" s="12" t="s">
        <v>1695</v>
      </c>
      <c r="L122" s="13" t="s">
        <v>165</v>
      </c>
      <c r="M122" s="12" t="s">
        <v>160</v>
      </c>
      <c r="N122" s="12" t="s">
        <v>158</v>
      </c>
      <c r="O122" s="12" t="s">
        <v>1934</v>
      </c>
      <c r="P122" s="28" t="s">
        <v>86</v>
      </c>
      <c r="Q122" s="12" t="s">
        <v>86</v>
      </c>
      <c r="R122" s="12" t="s">
        <v>1684</v>
      </c>
      <c r="S122" s="12" t="s">
        <v>2372</v>
      </c>
      <c r="T122" s="23" t="s">
        <v>2360</v>
      </c>
    </row>
    <row r="123" spans="1:20" ht="14.25" customHeight="1">
      <c r="A123" s="12" t="str">
        <f t="shared" si="0"/>
        <v/>
      </c>
      <c r="B123" s="13" t="str">
        <f t="shared" si="1"/>
        <v>— at issue —</v>
      </c>
      <c r="C123" s="28" t="s">
        <v>2334</v>
      </c>
      <c r="D123" s="45" t="str">
        <f t="array" ref="D123">IF(A123="","",MAX(E123,IF(ISNUMBER(I123),I123,0),IFERROR(IF(ISNUMBER(INDEX('iCoA Register'!$F:$F,MATCH(S123,'iCoA Register'!$P:$P,0))),(INDEX('iCoA Register'!$F:$F,MATCH(S123,'iCoA Register'!$P:$P,0)))+CHOOSE(WEEKDAY(INDEX('iCoA Register'!$F:$F,MATCH(S123,'iCoA Register'!$P:$P,0)),2),0,0,0,0,0,2,1),0),0)))</f>
        <v/>
      </c>
      <c r="E123" s="45" t="str">
        <f t="shared" si="3"/>
        <v>at retest sampling</v>
      </c>
      <c r="F123" s="45" t="s">
        <v>2363</v>
      </c>
      <c r="G123" s="12" t="s">
        <v>86</v>
      </c>
      <c r="H123" s="12" t="str">
        <f t="array" ref="H123">IFERROR(INDEX('iCoA Register'!$B:$B,MATCH("P060072|R",'iCoA Register'!$P:$P,0)),"—")</f>
        <v>— at issue —</v>
      </c>
      <c r="I123" s="45" t="str">
        <f t="array" ref="I123">IFERROR(INDEX('iCoA Register'!$D:$D,MATCH("P060072|R",'iCoA Register'!$P:$P,0)),"")</f>
        <v/>
      </c>
      <c r="J123" s="12" t="s">
        <v>851</v>
      </c>
      <c r="K123" s="12" t="s">
        <v>1714</v>
      </c>
      <c r="L123" s="13" t="s">
        <v>137</v>
      </c>
      <c r="M123" s="12" t="s">
        <v>127</v>
      </c>
      <c r="N123" s="12" t="s">
        <v>75</v>
      </c>
      <c r="O123" s="28" t="s">
        <v>1691</v>
      </c>
      <c r="P123" s="28" t="s">
        <v>86</v>
      </c>
      <c r="Q123" s="12" t="s">
        <v>86</v>
      </c>
      <c r="R123" s="12" t="s">
        <v>1684</v>
      </c>
      <c r="S123" s="12" t="s">
        <v>2423</v>
      </c>
      <c r="T123" s="23" t="s">
        <v>2365</v>
      </c>
    </row>
    <row r="124" spans="1:20" ht="14.25" customHeight="1">
      <c r="A124" s="12" t="str">
        <f t="shared" si="0"/>
        <v/>
      </c>
      <c r="B124" s="13" t="str">
        <f t="shared" si="1"/>
        <v>— at issue —</v>
      </c>
      <c r="C124" s="28" t="s">
        <v>2334</v>
      </c>
      <c r="D124" s="45" t="str">
        <f t="array" ref="D124">IF(A124="","",MAX(E124,IF(ISNUMBER(I124),I124,0),IFERROR(IF(ISNUMBER(INDEX('iCoA Register'!$F:$F,MATCH(S124,'iCoA Register'!$P:$P,0))),(INDEX('iCoA Register'!$F:$F,MATCH(S124,'iCoA Register'!$P:$P,0)))+CHOOSE(WEEKDAY(INDEX('iCoA Register'!$F:$F,MATCH(S124,'iCoA Register'!$P:$P,0)),2),0,0,0,0,0,2,1),0),0)))</f>
        <v/>
      </c>
      <c r="E124" s="45" t="str">
        <f t="shared" si="3"/>
        <v>at retest sampling</v>
      </c>
      <c r="F124" s="45" t="s">
        <v>2363</v>
      </c>
      <c r="G124" s="12" t="s">
        <v>86</v>
      </c>
      <c r="H124" s="12" t="str">
        <f t="array" ref="H124">IFERROR(INDEX('iCoA Register'!$B:$B,MATCH("P060082|R",'iCoA Register'!$P:$P,0)),"—")</f>
        <v>— at issue —</v>
      </c>
      <c r="I124" s="45" t="str">
        <f t="array" ref="I124">IFERROR(INDEX('iCoA Register'!$D:$D,MATCH("P060082|R",'iCoA Register'!$P:$P,0)),"")</f>
        <v/>
      </c>
      <c r="J124" s="12" t="s">
        <v>851</v>
      </c>
      <c r="K124" s="12" t="s">
        <v>1714</v>
      </c>
      <c r="L124" s="13" t="s">
        <v>151</v>
      </c>
      <c r="M124" s="12" t="s">
        <v>149</v>
      </c>
      <c r="N124" s="12"/>
      <c r="O124" s="28" t="s">
        <v>1691</v>
      </c>
      <c r="P124" s="28" t="s">
        <v>86</v>
      </c>
      <c r="Q124" s="12" t="s">
        <v>86</v>
      </c>
      <c r="R124" s="12" t="s">
        <v>1684</v>
      </c>
      <c r="S124" s="12" t="s">
        <v>2424</v>
      </c>
      <c r="T124" s="23" t="s">
        <v>2365</v>
      </c>
    </row>
    <row r="125" spans="1:20" ht="14.25" customHeight="1">
      <c r="A125" s="12" t="str">
        <f t="shared" si="0"/>
        <v/>
      </c>
      <c r="B125" s="13" t="str">
        <f t="shared" si="1"/>
        <v>— at issue —</v>
      </c>
      <c r="C125" s="28" t="s">
        <v>2334</v>
      </c>
      <c r="D125" s="45" t="str">
        <f t="array" ref="D125">IF(A125="","",MAX(E125,IF(ISNUMBER(I125),I125,0),IFERROR(IF(ISNUMBER(INDEX('iCoA Register'!$F:$F,MATCH(S125,'iCoA Register'!$P:$P,0))),(INDEX('iCoA Register'!$F:$F,MATCH(S125,'iCoA Register'!$P:$P,0)))+CHOOSE(WEEKDAY(INDEX('iCoA Register'!$F:$F,MATCH(S125,'iCoA Register'!$P:$P,0)),2),0,0,0,0,0,2,1),0),0)))</f>
        <v/>
      </c>
      <c r="E125" s="45" t="str">
        <f t="shared" si="3"/>
        <v>at retest sampling</v>
      </c>
      <c r="F125" s="45" t="s">
        <v>2363</v>
      </c>
      <c r="G125" s="12" t="s">
        <v>86</v>
      </c>
      <c r="H125" s="12" t="str">
        <f t="array" ref="H125">IFERROR(INDEX('iCoA Register'!$B:$B,MATCH("P060092|R",'iCoA Register'!$P:$P,0)),"—")</f>
        <v>— at issue —</v>
      </c>
      <c r="I125" s="45" t="str">
        <f t="array" ref="I125">IFERROR(INDEX('iCoA Register'!$D:$D,MATCH("P060092|R",'iCoA Register'!$P:$P,0)),"")</f>
        <v/>
      </c>
      <c r="J125" s="12" t="s">
        <v>851</v>
      </c>
      <c r="K125" s="12" t="s">
        <v>1714</v>
      </c>
      <c r="L125" s="13" t="s">
        <v>180</v>
      </c>
      <c r="M125" s="12" t="s">
        <v>179</v>
      </c>
      <c r="N125" s="12" t="s">
        <v>178</v>
      </c>
      <c r="O125" s="28" t="s">
        <v>1691</v>
      </c>
      <c r="P125" s="28" t="s">
        <v>86</v>
      </c>
      <c r="Q125" s="12" t="s">
        <v>86</v>
      </c>
      <c r="R125" s="12" t="s">
        <v>1684</v>
      </c>
      <c r="S125" s="12" t="s">
        <v>2425</v>
      </c>
      <c r="T125" s="23" t="s">
        <v>2365</v>
      </c>
    </row>
    <row r="126" spans="1:20" ht="14.25" customHeight="1">
      <c r="A126" s="12" t="str">
        <f t="shared" si="0"/>
        <v/>
      </c>
      <c r="B126" s="13" t="str">
        <f t="shared" si="1"/>
        <v>— at issue —</v>
      </c>
      <c r="C126" s="28" t="s">
        <v>2334</v>
      </c>
      <c r="D126" s="45" t="str">
        <f t="array" ref="D126">IF(A126="","",MAX(E126,IF(ISNUMBER(I126),I126,0),IFERROR(IF(ISNUMBER(INDEX('iCoA Register'!$F:$F,MATCH(S126,'iCoA Register'!$P:$P,0))),(INDEX('iCoA Register'!$F:$F,MATCH(S126,'iCoA Register'!$P:$P,0)))+CHOOSE(WEEKDAY(INDEX('iCoA Register'!$F:$F,MATCH(S126,'iCoA Register'!$P:$P,0)),2),0,0,0,0,0,2,1),0),0)))</f>
        <v/>
      </c>
      <c r="E126" s="45">
        <f t="shared" si="3"/>
        <v>46273</v>
      </c>
      <c r="F126" s="45">
        <v>46266</v>
      </c>
      <c r="G126" s="12" t="s">
        <v>2432</v>
      </c>
      <c r="H126" s="12" t="str">
        <f t="array" ref="H126">IFERROR(INDEX('iCoA Register'!$B:$B,MATCH("P060052|R",'iCoA Register'!$P:$P,0)),"—")</f>
        <v>— at issue —</v>
      </c>
      <c r="I126" s="45" t="str">
        <f t="array" ref="I126">IFERROR(INDEX('iCoA Register'!$D:$D,MATCH("P060052|R",'iCoA Register'!$P:$P,0)),"")</f>
        <v/>
      </c>
      <c r="J126" s="12" t="s">
        <v>851</v>
      </c>
      <c r="K126" s="12" t="s">
        <v>1680</v>
      </c>
      <c r="L126" s="13" t="s">
        <v>154</v>
      </c>
      <c r="M126" s="12" t="s">
        <v>153</v>
      </c>
      <c r="N126" s="12" t="s">
        <v>152</v>
      </c>
      <c r="O126" s="28" t="s">
        <v>1691</v>
      </c>
      <c r="P126" s="28" t="s">
        <v>86</v>
      </c>
      <c r="Q126" s="12" t="s">
        <v>86</v>
      </c>
      <c r="R126" s="12" t="s">
        <v>1684</v>
      </c>
      <c r="S126" s="12" t="s">
        <v>2427</v>
      </c>
      <c r="T126" s="23" t="s">
        <v>2357</v>
      </c>
    </row>
    <row r="127" spans="1:20" ht="14.25" customHeight="1">
      <c r="A127" s="12" t="str">
        <f t="shared" si="0"/>
        <v/>
      </c>
      <c r="B127" s="13" t="str">
        <f t="shared" si="1"/>
        <v>— at issue —</v>
      </c>
      <c r="C127" s="28" t="s">
        <v>2334</v>
      </c>
      <c r="D127" s="45" t="str">
        <f t="array" ref="D127">IF(A127="","",MAX(E127,IF(ISNUMBER(I127),I127,0),IFERROR(IF(ISNUMBER(INDEX('iCoA Register'!$F:$F,MATCH(S127,'iCoA Register'!$P:$P,0))),(INDEX('iCoA Register'!$F:$F,MATCH(S127,'iCoA Register'!$P:$P,0)))+CHOOSE(WEEKDAY(INDEX('iCoA Register'!$F:$F,MATCH(S127,'iCoA Register'!$P:$P,0)),2),0,0,0,0,0,2,1),0),0)))</f>
        <v/>
      </c>
      <c r="E127" s="45">
        <f t="shared" si="3"/>
        <v>46272</v>
      </c>
      <c r="F127" s="45">
        <v>46265</v>
      </c>
      <c r="G127" s="12" t="s">
        <v>2435</v>
      </c>
      <c r="H127" s="12" t="str">
        <f t="array" ref="H127">IFERROR(INDEX('iCoA Register'!$B:$B,MATCH("P060162|R",'iCoA Register'!$P:$P,0)),"—")</f>
        <v>— at issue —</v>
      </c>
      <c r="I127" s="45" t="str">
        <f t="array" ref="I127">IFERROR(INDEX('iCoA Register'!$D:$D,MATCH("P060162|R",'iCoA Register'!$P:$P,0)),"")</f>
        <v/>
      </c>
      <c r="J127" s="12" t="s">
        <v>851</v>
      </c>
      <c r="K127" s="12" t="s">
        <v>1680</v>
      </c>
      <c r="L127" s="13" t="s">
        <v>611</v>
      </c>
      <c r="M127" s="12" t="s">
        <v>614</v>
      </c>
      <c r="N127" s="12" t="s">
        <v>485</v>
      </c>
      <c r="O127" s="28" t="s">
        <v>1691</v>
      </c>
      <c r="P127" s="28" t="s">
        <v>86</v>
      </c>
      <c r="Q127" s="12" t="s">
        <v>86</v>
      </c>
      <c r="R127" s="12" t="s">
        <v>1684</v>
      </c>
      <c r="S127" s="12" t="s">
        <v>2428</v>
      </c>
      <c r="T127" s="23" t="s">
        <v>2357</v>
      </c>
    </row>
    <row r="128" spans="1:20" ht="14.25" customHeight="1">
      <c r="A128" s="12" t="str">
        <f t="shared" si="0"/>
        <v/>
      </c>
      <c r="B128" s="13" t="str">
        <f t="shared" si="1"/>
        <v>— at issue —</v>
      </c>
      <c r="C128" s="28" t="s">
        <v>2334</v>
      </c>
      <c r="D128" s="45" t="str">
        <f t="array" ref="D128">IF(A128="","",MAX(E128,IF(ISNUMBER(I128),I128,0),IFERROR(IF(ISNUMBER(INDEX('iCoA Register'!$F:$F,MATCH(S128,'iCoA Register'!$P:$P,0))),(INDEX('iCoA Register'!$F:$F,MATCH(S128,'iCoA Register'!$P:$P,0)))+CHOOSE(WEEKDAY(INDEX('iCoA Register'!$F:$F,MATCH(S128,'iCoA Register'!$P:$P,0)),2),0,0,0,0,0,2,1),0),0)))</f>
        <v/>
      </c>
      <c r="E128" s="45" t="str">
        <f t="shared" si="3"/>
        <v>at retest sampling</v>
      </c>
      <c r="F128" s="45" t="s">
        <v>2363</v>
      </c>
      <c r="G128" s="12" t="s">
        <v>86</v>
      </c>
      <c r="H128" s="12" t="str">
        <f t="array" ref="H128">IFERROR(INDEX('iCoA Register'!$B:$B,MATCH("P060192|R",'iCoA Register'!$P:$P,0)),"—")</f>
        <v>— at issue —</v>
      </c>
      <c r="I128" s="45" t="str">
        <f t="array" ref="I128">IFERROR(INDEX('iCoA Register'!$D:$D,MATCH("P060192|R",'iCoA Register'!$P:$P,0)),"")</f>
        <v/>
      </c>
      <c r="J128" s="12" t="s">
        <v>851</v>
      </c>
      <c r="K128" s="12" t="s">
        <v>1714</v>
      </c>
      <c r="L128" s="13" t="s">
        <v>617</v>
      </c>
      <c r="M128" s="12" t="s">
        <v>619</v>
      </c>
      <c r="N128" s="12" t="s">
        <v>147</v>
      </c>
      <c r="O128" s="28" t="s">
        <v>1691</v>
      </c>
      <c r="P128" s="28" t="s">
        <v>86</v>
      </c>
      <c r="Q128" s="12" t="s">
        <v>86</v>
      </c>
      <c r="R128" s="12" t="s">
        <v>1684</v>
      </c>
      <c r="S128" s="12" t="s">
        <v>2429</v>
      </c>
      <c r="T128" s="23" t="s">
        <v>2365</v>
      </c>
    </row>
    <row r="129" spans="1:20" ht="14.25" customHeight="1">
      <c r="A129" s="12" t="str">
        <f t="shared" si="0"/>
        <v/>
      </c>
      <c r="B129" s="13" t="str">
        <f t="shared" si="1"/>
        <v>— at issue —</v>
      </c>
      <c r="C129" s="28" t="s">
        <v>2334</v>
      </c>
      <c r="D129" s="45" t="str">
        <f t="array" ref="D129">IF(A129="","",MAX(E129,IF(ISNUMBER(I129),I129,0),IFERROR(IF(ISNUMBER(INDEX('iCoA Register'!$F:$F,MATCH(S129,'iCoA Register'!$P:$P,0))),(INDEX('iCoA Register'!$F:$F,MATCH(S129,'iCoA Register'!$P:$P,0)))+CHOOSE(WEEKDAY(INDEX('iCoA Register'!$F:$F,MATCH(S129,'iCoA Register'!$P:$P,0)),2),0,0,0,0,0,2,1),0),0)))</f>
        <v/>
      </c>
      <c r="E129" s="45">
        <f t="shared" si="3"/>
        <v>46251</v>
      </c>
      <c r="F129" s="45">
        <v>46244</v>
      </c>
      <c r="G129" s="12" t="s">
        <v>2438</v>
      </c>
      <c r="H129" s="12" t="str">
        <f t="array" ref="H129">IFERROR(INDEX('iCoA Register'!$B:$B,MATCH("P060152|R",'iCoA Register'!$P:$P,0)),"—")</f>
        <v>— at issue —</v>
      </c>
      <c r="I129" s="45" t="str">
        <f t="array" ref="I129">IFERROR(INDEX('iCoA Register'!$D:$D,MATCH("P060152|R",'iCoA Register'!$P:$P,0)),"")</f>
        <v/>
      </c>
      <c r="J129" s="12" t="s">
        <v>851</v>
      </c>
      <c r="K129" s="12" t="s">
        <v>1695</v>
      </c>
      <c r="L129" s="13" t="s">
        <v>276</v>
      </c>
      <c r="M129" s="12" t="s">
        <v>279</v>
      </c>
      <c r="N129" s="12" t="s">
        <v>277</v>
      </c>
      <c r="O129" s="12" t="s">
        <v>916</v>
      </c>
      <c r="P129" s="28" t="s">
        <v>86</v>
      </c>
      <c r="Q129" s="12" t="s">
        <v>86</v>
      </c>
      <c r="R129" s="12" t="s">
        <v>1684</v>
      </c>
      <c r="S129" s="12" t="s">
        <v>2375</v>
      </c>
      <c r="T129" s="23" t="s">
        <v>2360</v>
      </c>
    </row>
    <row r="130" spans="1:20" ht="14.25" customHeight="1">
      <c r="A130" s="12" t="str">
        <f t="shared" si="0"/>
        <v/>
      </c>
      <c r="B130" s="13" t="str">
        <f t="shared" si="1"/>
        <v>— at issue —</v>
      </c>
      <c r="C130" s="28" t="s">
        <v>2334</v>
      </c>
      <c r="D130" s="45" t="str">
        <f t="array" ref="D130">IF(A130="","",MAX(E130,IF(ISNUMBER(I130),I130,0),IFERROR(IF(ISNUMBER(INDEX('iCoA Register'!$F:$F,MATCH(S130,'iCoA Register'!$P:$P,0))),(INDEX('iCoA Register'!$F:$F,MATCH(S130,'iCoA Register'!$P:$P,0)))+CHOOSE(WEEKDAY(INDEX('iCoA Register'!$F:$F,MATCH(S130,'iCoA Register'!$P:$P,0)),2),0,0,0,0,0,2,1),0),0)))</f>
        <v/>
      </c>
      <c r="E130" s="45">
        <f t="shared" si="3"/>
        <v>46272</v>
      </c>
      <c r="F130" s="45">
        <v>46265</v>
      </c>
      <c r="G130" s="12" t="s">
        <v>2441</v>
      </c>
      <c r="H130" s="12" t="str">
        <f t="array" ref="H130">IFERROR(INDEX('iCoA Register'!$B:$B,MATCH("P060222|R",'iCoA Register'!$P:$P,0)),"—")</f>
        <v>— at issue —</v>
      </c>
      <c r="I130" s="45" t="str">
        <f t="array" ref="I130">IFERROR(INDEX('iCoA Register'!$D:$D,MATCH("P060222|R",'iCoA Register'!$P:$P,0)),"")</f>
        <v/>
      </c>
      <c r="J130" s="12" t="s">
        <v>851</v>
      </c>
      <c r="K130" s="12" t="s">
        <v>1680</v>
      </c>
      <c r="L130" s="13" t="s">
        <v>379</v>
      </c>
      <c r="M130" s="12" t="s">
        <v>380</v>
      </c>
      <c r="N130" s="12" t="s">
        <v>103</v>
      </c>
      <c r="O130" s="28" t="s">
        <v>1691</v>
      </c>
      <c r="P130" s="28" t="s">
        <v>86</v>
      </c>
      <c r="Q130" s="12" t="s">
        <v>86</v>
      </c>
      <c r="R130" s="12" t="s">
        <v>1684</v>
      </c>
      <c r="S130" s="12" t="s">
        <v>2430</v>
      </c>
      <c r="T130" s="23" t="s">
        <v>2357</v>
      </c>
    </row>
    <row r="131" spans="1:20" ht="14.25" customHeight="1">
      <c r="A131" s="12" t="str">
        <f t="shared" si="0"/>
        <v/>
      </c>
      <c r="B131" s="13" t="str">
        <f t="shared" si="1"/>
        <v>— at issue —</v>
      </c>
      <c r="C131" s="28" t="s">
        <v>2334</v>
      </c>
      <c r="D131" s="45" t="str">
        <f t="array" ref="D131">IF(A131="","",MAX(E131,IF(ISNUMBER(I131),I131,0),IFERROR(IF(ISNUMBER(INDEX('iCoA Register'!$F:$F,MATCH(S131,'iCoA Register'!$P:$P,0))),(INDEX('iCoA Register'!$F:$F,MATCH(S131,'iCoA Register'!$P:$P,0)))+CHOOSE(WEEKDAY(INDEX('iCoA Register'!$F:$F,MATCH(S131,'iCoA Register'!$P:$P,0)),2),0,0,0,0,0,2,1),0),0)))</f>
        <v/>
      </c>
      <c r="E131" s="45" t="str">
        <f t="shared" si="3"/>
        <v>at retest sampling</v>
      </c>
      <c r="F131" s="45" t="s">
        <v>2363</v>
      </c>
      <c r="G131" s="12" t="s">
        <v>86</v>
      </c>
      <c r="H131" s="12" t="str">
        <f t="array" ref="H131">IFERROR(INDEX('iCoA Register'!$B:$B,MATCH("P060172|R",'iCoA Register'!$P:$P,0)),"—")</f>
        <v>— at issue —</v>
      </c>
      <c r="I131" s="45" t="str">
        <f t="array" ref="I131">IFERROR(INDEX('iCoA Register'!$D:$D,MATCH("P060172|R",'iCoA Register'!$P:$P,0)),"")</f>
        <v/>
      </c>
      <c r="J131" s="12" t="s">
        <v>851</v>
      </c>
      <c r="K131" s="12" t="s">
        <v>1714</v>
      </c>
      <c r="L131" s="13" t="s">
        <v>355</v>
      </c>
      <c r="M131" s="12" t="s">
        <v>357</v>
      </c>
      <c r="N131" s="12" t="s">
        <v>359</v>
      </c>
      <c r="O131" s="28" t="s">
        <v>1691</v>
      </c>
      <c r="P131" s="28" t="s">
        <v>86</v>
      </c>
      <c r="Q131" s="12" t="s">
        <v>86</v>
      </c>
      <c r="R131" s="12" t="s">
        <v>1684</v>
      </c>
      <c r="S131" s="12" t="s">
        <v>2431</v>
      </c>
      <c r="T131" s="23" t="s">
        <v>2365</v>
      </c>
    </row>
    <row r="132" spans="1:20" ht="14.25" customHeight="1">
      <c r="A132" s="12" t="str">
        <f t="shared" si="0"/>
        <v/>
      </c>
      <c r="B132" s="13" t="str">
        <f t="shared" si="1"/>
        <v>— at issue —</v>
      </c>
      <c r="C132" s="28" t="s">
        <v>2334</v>
      </c>
      <c r="D132" s="45" t="str">
        <f t="array" ref="D132">IF(A132="","",MAX(E132,IF(ISNUMBER(I132),I132,0),IFERROR(IF(ISNUMBER(INDEX('iCoA Register'!$F:$F,MATCH(S132,'iCoA Register'!$P:$P,0))),(INDEX('iCoA Register'!$F:$F,MATCH(S132,'iCoA Register'!$P:$P,0)))+CHOOSE(WEEKDAY(INDEX('iCoA Register'!$F:$F,MATCH(S132,'iCoA Register'!$P:$P,0)),2),0,0,0,0,0,2,1),0),0)))</f>
        <v/>
      </c>
      <c r="E132" s="45">
        <f t="shared" si="3"/>
        <v>46273</v>
      </c>
      <c r="F132" s="45">
        <v>46266</v>
      </c>
      <c r="G132" s="12" t="s">
        <v>2444</v>
      </c>
      <c r="H132" s="12" t="str">
        <f t="array" ref="H132">IFERROR(INDEX('iCoA Register'!$B:$B,MATCH("P060182|R",'iCoA Register'!$P:$P,0)),"—")</f>
        <v>— at issue —</v>
      </c>
      <c r="I132" s="45" t="str">
        <f t="array" ref="I132">IFERROR(INDEX('iCoA Register'!$D:$D,MATCH("P060182|R",'iCoA Register'!$P:$P,0)),"")</f>
        <v/>
      </c>
      <c r="J132" s="12" t="s">
        <v>851</v>
      </c>
      <c r="K132" s="12" t="s">
        <v>1680</v>
      </c>
      <c r="L132" s="13" t="s">
        <v>283</v>
      </c>
      <c r="M132" s="12" t="s">
        <v>416</v>
      </c>
      <c r="N132" s="12" t="s">
        <v>1342</v>
      </c>
      <c r="O132" s="28" t="s">
        <v>1691</v>
      </c>
      <c r="P132" s="28" t="s">
        <v>86</v>
      </c>
      <c r="Q132" s="12" t="s">
        <v>86</v>
      </c>
      <c r="R132" s="12" t="s">
        <v>1684</v>
      </c>
      <c r="S132" s="12" t="s">
        <v>2433</v>
      </c>
      <c r="T132" s="23" t="s">
        <v>2357</v>
      </c>
    </row>
    <row r="133" spans="1:20" ht="14.25" customHeight="1">
      <c r="A133" s="12" t="str">
        <f t="shared" si="0"/>
        <v/>
      </c>
      <c r="B133" s="13" t="str">
        <f t="shared" si="1"/>
        <v>— at issue —</v>
      </c>
      <c r="C133" s="28" t="s">
        <v>2334</v>
      </c>
      <c r="D133" s="45" t="str">
        <f t="array" ref="D133">IF(A133="","",MAX(E133,IF(ISNUMBER(I133),I133,0),IFERROR(IF(ISNUMBER(INDEX('iCoA Register'!$F:$F,MATCH(S133,'iCoA Register'!$P:$P,0))),(INDEX('iCoA Register'!$F:$F,MATCH(S133,'iCoA Register'!$P:$P,0)))+CHOOSE(WEEKDAY(INDEX('iCoA Register'!$F:$F,MATCH(S133,'iCoA Register'!$P:$P,0)),2),0,0,0,0,0,2,1),0),0)))</f>
        <v/>
      </c>
      <c r="E133" s="45">
        <f t="shared" si="3"/>
        <v>46272</v>
      </c>
      <c r="F133" s="45">
        <v>46265</v>
      </c>
      <c r="G133" s="12" t="s">
        <v>2447</v>
      </c>
      <c r="H133" s="12" t="str">
        <f t="array" ref="H133">IFERROR(INDEX('iCoA Register'!$B:$B,MATCH("P060202|R",'iCoA Register'!$P:$P,0)),"—")</f>
        <v>— at issue —</v>
      </c>
      <c r="I133" s="45" t="str">
        <f t="array" ref="I133">IFERROR(INDEX('iCoA Register'!$D:$D,MATCH("P060202|R",'iCoA Register'!$P:$P,0)),"")</f>
        <v/>
      </c>
      <c r="J133" s="12" t="s">
        <v>851</v>
      </c>
      <c r="K133" s="12" t="s">
        <v>1680</v>
      </c>
      <c r="L133" s="13" t="s">
        <v>310</v>
      </c>
      <c r="M133" s="12" t="s">
        <v>311</v>
      </c>
      <c r="N133" s="12" t="s">
        <v>277</v>
      </c>
      <c r="O133" s="28" t="s">
        <v>1691</v>
      </c>
      <c r="P133" s="28" t="s">
        <v>86</v>
      </c>
      <c r="Q133" s="12" t="s">
        <v>86</v>
      </c>
      <c r="R133" s="12" t="s">
        <v>1684</v>
      </c>
      <c r="S133" s="12" t="s">
        <v>2434</v>
      </c>
      <c r="T133" s="23" t="s">
        <v>2357</v>
      </c>
    </row>
    <row r="134" spans="1:20" ht="14.25" customHeight="1">
      <c r="A134" s="12" t="str">
        <f t="shared" si="0"/>
        <v/>
      </c>
      <c r="B134" s="13" t="str">
        <f t="shared" si="1"/>
        <v>— at issue —</v>
      </c>
      <c r="C134" s="28" t="s">
        <v>2334</v>
      </c>
      <c r="D134" s="45" t="str">
        <f t="array" ref="D134">IF(A134="","",MAX(E134,IF(ISNUMBER(I134),I134,0),IFERROR(IF(ISNUMBER(INDEX('iCoA Register'!$F:$F,MATCH(S134,'iCoA Register'!$P:$P,0))),(INDEX('iCoA Register'!$F:$F,MATCH(S134,'iCoA Register'!$P:$P,0)))+CHOOSE(WEEKDAY(INDEX('iCoA Register'!$F:$F,MATCH(S134,'iCoA Register'!$P:$P,0)),2),0,0,0,0,0,2,1),0),0)))</f>
        <v/>
      </c>
      <c r="E134" s="45">
        <f t="shared" si="3"/>
        <v>46251</v>
      </c>
      <c r="F134" s="45">
        <v>46244</v>
      </c>
      <c r="G134" s="12" t="s">
        <v>2449</v>
      </c>
      <c r="H134" s="12" t="str">
        <f t="array" ref="H134">IFERROR(INDEX('iCoA Register'!$B:$B,MATCH("P060212|R",'iCoA Register'!$P:$P,0)),"—")</f>
        <v>— at issue —</v>
      </c>
      <c r="I134" s="45" t="str">
        <f t="array" ref="I134">IFERROR(INDEX('iCoA Register'!$D:$D,MATCH("P060212|R",'iCoA Register'!$P:$P,0)),"")</f>
        <v/>
      </c>
      <c r="J134" s="12" t="s">
        <v>851</v>
      </c>
      <c r="K134" s="12" t="s">
        <v>1695</v>
      </c>
      <c r="L134" s="13" t="s">
        <v>284</v>
      </c>
      <c r="M134" s="12" t="s">
        <v>287</v>
      </c>
      <c r="N134" s="12" t="s">
        <v>331</v>
      </c>
      <c r="O134" s="12" t="s">
        <v>1151</v>
      </c>
      <c r="P134" s="28" t="s">
        <v>86</v>
      </c>
      <c r="Q134" s="12" t="s">
        <v>86</v>
      </c>
      <c r="R134" s="12" t="s">
        <v>1684</v>
      </c>
      <c r="S134" s="12" t="s">
        <v>2378</v>
      </c>
      <c r="T134" s="23" t="s">
        <v>2360</v>
      </c>
    </row>
    <row r="135" spans="1:20" ht="14.25" customHeight="1">
      <c r="A135" s="12" t="str">
        <f t="shared" si="0"/>
        <v/>
      </c>
      <c r="B135" s="13" t="str">
        <f t="shared" si="1"/>
        <v>— at issue —</v>
      </c>
      <c r="C135" s="28" t="s">
        <v>2334</v>
      </c>
      <c r="D135" s="45" t="str">
        <f t="array" ref="D135">IF(A135="","",MAX(E135,IF(ISNUMBER(I135),I135,0),IFERROR(IF(ISNUMBER(INDEX('iCoA Register'!$F:$F,MATCH(S135,'iCoA Register'!$P:$P,0))),(INDEX('iCoA Register'!$F:$F,MATCH(S135,'iCoA Register'!$P:$P,0)))+CHOOSE(WEEKDAY(INDEX('iCoA Register'!$F:$F,MATCH(S135,'iCoA Register'!$P:$P,0)),2),0,0,0,0,0,2,1),0),0)))</f>
        <v/>
      </c>
      <c r="E135" s="45" t="str">
        <f t="shared" si="3"/>
        <v>at retest sampling</v>
      </c>
      <c r="F135" s="45" t="s">
        <v>2363</v>
      </c>
      <c r="G135" s="12" t="s">
        <v>86</v>
      </c>
      <c r="H135" s="12" t="str">
        <f t="array" ref="H135">IFERROR(INDEX('iCoA Register'!$B:$B,MATCH("JD112501|R",'iCoA Register'!$P:$P,0)),"—")</f>
        <v>— at issue —</v>
      </c>
      <c r="I135" s="45" t="str">
        <f t="array" ref="I135">IFERROR(INDEX('iCoA Register'!$D:$D,MATCH("JD112501|R",'iCoA Register'!$P:$P,0)),"")</f>
        <v/>
      </c>
      <c r="J135" s="12" t="s">
        <v>86</v>
      </c>
      <c r="K135" s="12" t="s">
        <v>1714</v>
      </c>
      <c r="L135" s="13" t="s">
        <v>349</v>
      </c>
      <c r="M135" s="12" t="s">
        <v>425</v>
      </c>
      <c r="N135" s="12" t="s">
        <v>331</v>
      </c>
      <c r="O135" s="28" t="s">
        <v>1691</v>
      </c>
      <c r="P135" s="28" t="s">
        <v>86</v>
      </c>
      <c r="Q135" s="12" t="s">
        <v>86</v>
      </c>
      <c r="R135" s="12" t="s">
        <v>1684</v>
      </c>
      <c r="S135" s="12" t="s">
        <v>2436</v>
      </c>
      <c r="T135" s="23" t="s">
        <v>2365</v>
      </c>
    </row>
    <row r="136" spans="1:20" ht="14.25" customHeight="1">
      <c r="A136" s="12" t="str">
        <f t="shared" si="0"/>
        <v/>
      </c>
      <c r="B136" s="13" t="str">
        <f t="shared" si="1"/>
        <v>— at issue —</v>
      </c>
      <c r="C136" s="28" t="s">
        <v>2334</v>
      </c>
      <c r="D136" s="45" t="str">
        <f t="array" ref="D136">IF(A136="","",MAX(E136,IF(ISNUMBER(I136),I136,0),IFERROR(IF(ISNUMBER(INDEX('iCoA Register'!$F:$F,MATCH(S136,'iCoA Register'!$P:$P,0))),(INDEX('iCoA Register'!$F:$F,MATCH(S136,'iCoA Register'!$P:$P,0)))+CHOOSE(WEEKDAY(INDEX('iCoA Register'!$F:$F,MATCH(S136,'iCoA Register'!$P:$P,0)),2),0,0,0,0,0,2,1),0),0)))</f>
        <v/>
      </c>
      <c r="E136" s="45">
        <f t="shared" si="3"/>
        <v>46169</v>
      </c>
      <c r="F136" s="45">
        <v>46135</v>
      </c>
      <c r="G136" s="12" t="s">
        <v>2452</v>
      </c>
      <c r="H136" s="12" t="str">
        <f t="array" ref="H136">IFERROR(INDEX('iCoA Register'!$B:$B,MATCH("P060262|R",'iCoA Register'!$P:$P,0)),"—")</f>
        <v>— at issue —</v>
      </c>
      <c r="I136" s="45" t="str">
        <f t="array" ref="I136">IFERROR(INDEX('iCoA Register'!$D:$D,MATCH("P060262|R",'iCoA Register'!$P:$P,0)),"")</f>
        <v/>
      </c>
      <c r="J136" s="12" t="s">
        <v>1477</v>
      </c>
      <c r="K136" s="12" t="s">
        <v>2007</v>
      </c>
      <c r="L136" s="13" t="s">
        <v>318</v>
      </c>
      <c r="M136" s="12" t="s">
        <v>319</v>
      </c>
      <c r="N136" s="12" t="s">
        <v>277</v>
      </c>
      <c r="O136" s="12" t="s">
        <v>1028</v>
      </c>
      <c r="P136" s="28" t="s">
        <v>86</v>
      </c>
      <c r="Q136" s="12" t="s">
        <v>86</v>
      </c>
      <c r="R136" s="12" t="s">
        <v>1684</v>
      </c>
      <c r="S136" s="12" t="s">
        <v>2380</v>
      </c>
      <c r="T136" s="23" t="s">
        <v>2454</v>
      </c>
    </row>
    <row r="137" spans="1:20" ht="14.25" customHeight="1">
      <c r="A137" s="12" t="str">
        <f t="shared" si="0"/>
        <v/>
      </c>
      <c r="B137" s="13" t="str">
        <f t="shared" si="1"/>
        <v>— at issue —</v>
      </c>
      <c r="C137" s="28" t="s">
        <v>2334</v>
      </c>
      <c r="D137" s="45" t="str">
        <f t="array" ref="D137">IF(A137="","",MAX(E137,IF(ISNUMBER(I137),I137,0),IFERROR(IF(ISNUMBER(INDEX('iCoA Register'!$F:$F,MATCH(S137,'iCoA Register'!$P:$P,0))),(INDEX('iCoA Register'!$F:$F,MATCH(S137,'iCoA Register'!$P:$P,0)))+CHOOSE(WEEKDAY(INDEX('iCoA Register'!$F:$F,MATCH(S137,'iCoA Register'!$P:$P,0)),2),0,0,0,0,0,2,1),0),0)))</f>
        <v/>
      </c>
      <c r="E137" s="45" t="str">
        <f t="shared" si="3"/>
        <v>at retest sampling</v>
      </c>
      <c r="F137" s="45" t="s">
        <v>2363</v>
      </c>
      <c r="G137" s="12" t="s">
        <v>86</v>
      </c>
      <c r="H137" s="12" t="str">
        <f t="array" ref="H137">IFERROR(INDEX('iCoA Register'!$B:$B,MATCH("P060232|R",'iCoA Register'!$P:$P,0)),"—")</f>
        <v>— at issue —</v>
      </c>
      <c r="I137" s="45" t="str">
        <f t="array" ref="I137">IFERROR(INDEX('iCoA Register'!$D:$D,MATCH("P060232|R",'iCoA Register'!$P:$P,0)),"")</f>
        <v/>
      </c>
      <c r="J137" s="12" t="s">
        <v>851</v>
      </c>
      <c r="K137" s="12" t="s">
        <v>1714</v>
      </c>
      <c r="L137" s="13" t="s">
        <v>471</v>
      </c>
      <c r="M137" s="12" t="s">
        <v>474</v>
      </c>
      <c r="N137" s="12" t="s">
        <v>158</v>
      </c>
      <c r="O137" s="28" t="s">
        <v>1691</v>
      </c>
      <c r="P137" s="28" t="s">
        <v>86</v>
      </c>
      <c r="Q137" s="12" t="s">
        <v>86</v>
      </c>
      <c r="R137" s="12" t="s">
        <v>1684</v>
      </c>
      <c r="S137" s="12" t="s">
        <v>2437</v>
      </c>
      <c r="T137" s="23" t="s">
        <v>2365</v>
      </c>
    </row>
    <row r="138" spans="1:20" ht="14.25" customHeight="1">
      <c r="A138" s="12" t="str">
        <f t="shared" si="0"/>
        <v/>
      </c>
      <c r="B138" s="13" t="str">
        <f t="shared" si="1"/>
        <v>— at issue —</v>
      </c>
      <c r="C138" s="28" t="s">
        <v>2334</v>
      </c>
      <c r="D138" s="45" t="str">
        <f t="array" ref="D138">IF(A138="","",MAX(E138,IF(ISNUMBER(I138),I138,0),IFERROR(IF(ISNUMBER(INDEX('iCoA Register'!$F:$F,MATCH(S138,'iCoA Register'!$P:$P,0))),(INDEX('iCoA Register'!$F:$F,MATCH(S138,'iCoA Register'!$P:$P,0)))+CHOOSE(WEEKDAY(INDEX('iCoA Register'!$F:$F,MATCH(S138,'iCoA Register'!$P:$P,0)),2),0,0,0,0,0,2,1),0),0)))</f>
        <v/>
      </c>
      <c r="E138" s="45">
        <f t="shared" si="3"/>
        <v>46251</v>
      </c>
      <c r="F138" s="45">
        <v>46244</v>
      </c>
      <c r="G138" s="12" t="s">
        <v>2456</v>
      </c>
      <c r="H138" s="12" t="str">
        <f t="array" ref="H138">IFERROR(INDEX('iCoA Register'!$B:$B,MATCH("P060242|R",'iCoA Register'!$P:$P,0)),"—")</f>
        <v>— at issue —</v>
      </c>
      <c r="I138" s="45" t="str">
        <f t="array" ref="I138">IFERROR(INDEX('iCoA Register'!$D:$D,MATCH("P060242|R",'iCoA Register'!$P:$P,0)),"")</f>
        <v/>
      </c>
      <c r="J138" s="12" t="s">
        <v>851</v>
      </c>
      <c r="K138" s="12" t="s">
        <v>1695</v>
      </c>
      <c r="L138" s="13" t="s">
        <v>299</v>
      </c>
      <c r="M138" s="12" t="s">
        <v>301</v>
      </c>
      <c r="N138" s="12" t="s">
        <v>103</v>
      </c>
      <c r="O138" s="12" t="s">
        <v>1292</v>
      </c>
      <c r="P138" s="28" t="s">
        <v>86</v>
      </c>
      <c r="Q138" s="12" t="s">
        <v>86</v>
      </c>
      <c r="R138" s="12" t="s">
        <v>1684</v>
      </c>
      <c r="S138" s="12" t="s">
        <v>2382</v>
      </c>
      <c r="T138" s="23" t="s">
        <v>2360</v>
      </c>
    </row>
    <row r="139" spans="1:20" ht="14.25" customHeight="1">
      <c r="A139" s="12" t="str">
        <f t="shared" si="0"/>
        <v/>
      </c>
      <c r="B139" s="13" t="str">
        <f t="shared" si="1"/>
        <v>— at issue —</v>
      </c>
      <c r="C139" s="28" t="s">
        <v>2334</v>
      </c>
      <c r="D139" s="45" t="str">
        <f t="array" ref="D139">IF(A139="","",MAX(E139,IF(ISNUMBER(I139),I139,0),IFERROR(IF(ISNUMBER(INDEX('iCoA Register'!$F:$F,MATCH(S139,'iCoA Register'!$P:$P,0))),(INDEX('iCoA Register'!$F:$F,MATCH(S139,'iCoA Register'!$P:$P,0)))+CHOOSE(WEEKDAY(INDEX('iCoA Register'!$F:$F,MATCH(S139,'iCoA Register'!$P:$P,0)),2),0,0,0,0,0,2,1),0),0)))</f>
        <v/>
      </c>
      <c r="E139" s="45">
        <f t="shared" si="3"/>
        <v>46272</v>
      </c>
      <c r="F139" s="45">
        <v>46265</v>
      </c>
      <c r="G139" s="12" t="s">
        <v>2458</v>
      </c>
      <c r="H139" s="12" t="str">
        <f t="array" ref="H139">IFERROR(INDEX('iCoA Register'!$B:$B,MATCH("P060272|R",'iCoA Register'!$P:$P,0)),"—")</f>
        <v>— at issue —</v>
      </c>
      <c r="I139" s="45" t="str">
        <f t="array" ref="I139">IFERROR(INDEX('iCoA Register'!$D:$D,MATCH("P060272|R",'iCoA Register'!$P:$P,0)),"")</f>
        <v/>
      </c>
      <c r="J139" s="12" t="s">
        <v>1477</v>
      </c>
      <c r="K139" s="12" t="s">
        <v>1680</v>
      </c>
      <c r="L139" s="13" t="s">
        <v>161</v>
      </c>
      <c r="M139" s="12" t="s">
        <v>162</v>
      </c>
      <c r="N139" s="12" t="s">
        <v>1489</v>
      </c>
      <c r="O139" s="28" t="s">
        <v>1691</v>
      </c>
      <c r="P139" s="28" t="s">
        <v>86</v>
      </c>
      <c r="Q139" s="12" t="s">
        <v>86</v>
      </c>
      <c r="R139" s="12" t="s">
        <v>1684</v>
      </c>
      <c r="S139" s="12" t="s">
        <v>2439</v>
      </c>
      <c r="T139" s="23" t="s">
        <v>2357</v>
      </c>
    </row>
    <row r="140" spans="1:20" ht="14.25" customHeight="1">
      <c r="A140" s="12" t="str">
        <f t="shared" si="0"/>
        <v/>
      </c>
      <c r="B140" s="13" t="str">
        <f t="shared" si="1"/>
        <v>— at issue —</v>
      </c>
      <c r="C140" s="28" t="s">
        <v>2334</v>
      </c>
      <c r="D140" s="45" t="str">
        <f t="array" ref="D140">IF(A140="","",MAX(E140,IF(ISNUMBER(I140),I140,0),IFERROR(IF(ISNUMBER(INDEX('iCoA Register'!$F:$F,MATCH(S140,'iCoA Register'!$P:$P,0))),(INDEX('iCoA Register'!$F:$F,MATCH(S140,'iCoA Register'!$P:$P,0)))+CHOOSE(WEEKDAY(INDEX('iCoA Register'!$F:$F,MATCH(S140,'iCoA Register'!$P:$P,0)),2),0,0,0,0,0,2,1),0),0)))</f>
        <v/>
      </c>
      <c r="E140" s="45">
        <f t="shared" si="3"/>
        <v>46272</v>
      </c>
      <c r="F140" s="45">
        <v>46265</v>
      </c>
      <c r="G140" s="12" t="s">
        <v>2460</v>
      </c>
      <c r="H140" s="12" t="str">
        <f t="array" ref="H140">IFERROR(INDEX('iCoA Register'!$B:$B,MATCH("P060292|R",'iCoA Register'!$P:$P,0)),"—")</f>
        <v>— at issue —</v>
      </c>
      <c r="I140" s="45" t="str">
        <f t="array" ref="I140">IFERROR(INDEX('iCoA Register'!$D:$D,MATCH("P060292|R",'iCoA Register'!$P:$P,0)),"")</f>
        <v/>
      </c>
      <c r="J140" s="12" t="s">
        <v>1477</v>
      </c>
      <c r="K140" s="12" t="s">
        <v>1680</v>
      </c>
      <c r="L140" s="13" t="s">
        <v>228</v>
      </c>
      <c r="M140" s="12" t="s">
        <v>229</v>
      </c>
      <c r="N140" s="12" t="s">
        <v>183</v>
      </c>
      <c r="O140" s="28" t="s">
        <v>1691</v>
      </c>
      <c r="P140" s="28" t="s">
        <v>86</v>
      </c>
      <c r="Q140" s="12" t="s">
        <v>86</v>
      </c>
      <c r="R140" s="12" t="s">
        <v>1684</v>
      </c>
      <c r="S140" s="12" t="s">
        <v>2440</v>
      </c>
      <c r="T140" s="23" t="s">
        <v>2357</v>
      </c>
    </row>
    <row r="141" spans="1:20" ht="14.25" customHeight="1">
      <c r="A141" s="12" t="str">
        <f t="shared" si="0"/>
        <v/>
      </c>
      <c r="B141" s="13" t="str">
        <f t="shared" si="1"/>
        <v>— at issue —</v>
      </c>
      <c r="C141" s="28" t="s">
        <v>2334</v>
      </c>
      <c r="D141" s="45" t="str">
        <f t="array" ref="D141">IF(A141="","",MAX(E141,IF(ISNUMBER(I141),I141,0),IFERROR(IF(ISNUMBER(INDEX('iCoA Register'!$F:$F,MATCH(S141,'iCoA Register'!$P:$P,0))),(INDEX('iCoA Register'!$F:$F,MATCH(S141,'iCoA Register'!$P:$P,0)))+CHOOSE(WEEKDAY(INDEX('iCoA Register'!$F:$F,MATCH(S141,'iCoA Register'!$P:$P,0)),2),0,0,0,0,0,2,1),0),0)))</f>
        <v/>
      </c>
      <c r="E141" s="45">
        <f t="shared" si="3"/>
        <v>46272</v>
      </c>
      <c r="F141" s="45">
        <v>46265</v>
      </c>
      <c r="G141" s="12" t="s">
        <v>2463</v>
      </c>
      <c r="H141" s="12" t="str">
        <f t="array" ref="H141">IFERROR(INDEX('iCoA Register'!$B:$B,MATCH("P060302|R",'iCoA Register'!$P:$P,0)),"—")</f>
        <v>— at issue —</v>
      </c>
      <c r="I141" s="45" t="str">
        <f t="array" ref="I141">IFERROR(INDEX('iCoA Register'!$D:$D,MATCH("P060302|R",'iCoA Register'!$P:$P,0)),"")</f>
        <v/>
      </c>
      <c r="J141" s="12" t="s">
        <v>1477</v>
      </c>
      <c r="K141" s="12" t="s">
        <v>1680</v>
      </c>
      <c r="L141" s="13" t="s">
        <v>241</v>
      </c>
      <c r="M141" s="12" t="s">
        <v>242</v>
      </c>
      <c r="N141" s="12" t="s">
        <v>234</v>
      </c>
      <c r="O141" s="28" t="s">
        <v>1691</v>
      </c>
      <c r="P141" s="28" t="s">
        <v>86</v>
      </c>
      <c r="Q141" s="12" t="s">
        <v>86</v>
      </c>
      <c r="R141" s="12" t="s">
        <v>1684</v>
      </c>
      <c r="S141" s="12" t="s">
        <v>2442</v>
      </c>
      <c r="T141" s="23" t="s">
        <v>2357</v>
      </c>
    </row>
    <row r="142" spans="1:20" ht="14.25" customHeight="1">
      <c r="A142" s="12" t="str">
        <f t="shared" si="0"/>
        <v/>
      </c>
      <c r="B142" s="13" t="str">
        <f t="shared" si="1"/>
        <v>— at issue —</v>
      </c>
      <c r="C142" s="28" t="s">
        <v>2334</v>
      </c>
      <c r="D142" s="45" t="str">
        <f t="array" ref="D142">IF(A142="","",MAX(E142,IF(ISNUMBER(I142),I142,0),IFERROR(IF(ISNUMBER(INDEX('iCoA Register'!$F:$F,MATCH(S142,'iCoA Register'!$P:$P,0))),(INDEX('iCoA Register'!$F:$F,MATCH(S142,'iCoA Register'!$P:$P,0)))+CHOOSE(WEEKDAY(INDEX('iCoA Register'!$F:$F,MATCH(S142,'iCoA Register'!$P:$P,0)),2),0,0,0,0,0,2,1),0),0)))</f>
        <v/>
      </c>
      <c r="E142" s="45">
        <f t="shared" si="3"/>
        <v>46272</v>
      </c>
      <c r="F142" s="45">
        <v>46265</v>
      </c>
      <c r="G142" s="12" t="s">
        <v>2464</v>
      </c>
      <c r="H142" s="12" t="str">
        <f t="array" ref="H142">IFERROR(INDEX('iCoA Register'!$B:$B,MATCH("P060252|R",'iCoA Register'!$P:$P,0)),"—")</f>
        <v>— at issue —</v>
      </c>
      <c r="I142" s="45" t="str">
        <f t="array" ref="I142">IFERROR(INDEX('iCoA Register'!$D:$D,MATCH("P060252|R",'iCoA Register'!$P:$P,0)),"")</f>
        <v/>
      </c>
      <c r="J142" s="12" t="s">
        <v>851</v>
      </c>
      <c r="K142" s="12" t="s">
        <v>1680</v>
      </c>
      <c r="L142" s="13" t="s">
        <v>274</v>
      </c>
      <c r="M142" s="12" t="s">
        <v>275</v>
      </c>
      <c r="N142" s="12" t="s">
        <v>234</v>
      </c>
      <c r="O142" s="28" t="s">
        <v>1691</v>
      </c>
      <c r="P142" s="28" t="s">
        <v>86</v>
      </c>
      <c r="Q142" s="12" t="s">
        <v>86</v>
      </c>
      <c r="R142" s="12" t="s">
        <v>1684</v>
      </c>
      <c r="S142" s="12" t="s">
        <v>2443</v>
      </c>
      <c r="T142" s="23" t="s">
        <v>2357</v>
      </c>
    </row>
    <row r="143" spans="1:20" ht="14.25" customHeight="1">
      <c r="A143" s="12" t="str">
        <f t="shared" si="0"/>
        <v/>
      </c>
      <c r="B143" s="13" t="str">
        <f t="shared" si="1"/>
        <v>— at issue —</v>
      </c>
      <c r="C143" s="28" t="s">
        <v>2334</v>
      </c>
      <c r="D143" s="45" t="str">
        <f t="array" ref="D143">IF(A143="","",MAX(E143,IF(ISNUMBER(I143),I143,0),IFERROR(IF(ISNUMBER(INDEX('iCoA Register'!$F:$F,MATCH(S143,'iCoA Register'!$P:$P,0))),(INDEX('iCoA Register'!$F:$F,MATCH(S143,'iCoA Register'!$P:$P,0)))+CHOOSE(WEEKDAY(INDEX('iCoA Register'!$F:$F,MATCH(S143,'iCoA Register'!$P:$P,0)),2),0,0,0,0,0,2,1),0),0)))</f>
        <v/>
      </c>
      <c r="E143" s="45">
        <f t="shared" si="3"/>
        <v>46273</v>
      </c>
      <c r="F143" s="45">
        <v>46266</v>
      </c>
      <c r="G143" s="12" t="s">
        <v>2465</v>
      </c>
      <c r="H143" s="12" t="str">
        <f t="array" ref="H143">IFERROR(INDEX('iCoA Register'!$B:$B,MATCH("P050202|R",'iCoA Register'!$P:$P,0)),"—")</f>
        <v>— at issue —</v>
      </c>
      <c r="I143" s="45" t="str">
        <f t="array" ref="I143">IFERROR(INDEX('iCoA Register'!$D:$D,MATCH("P050202|R",'iCoA Register'!$P:$P,0)),"")</f>
        <v/>
      </c>
      <c r="J143" s="12" t="s">
        <v>851</v>
      </c>
      <c r="K143" s="12" t="s">
        <v>1680</v>
      </c>
      <c r="L143" s="13" t="s">
        <v>516</v>
      </c>
      <c r="M143" s="12" t="s">
        <v>517</v>
      </c>
      <c r="N143" s="12" t="s">
        <v>178</v>
      </c>
      <c r="O143" s="28" t="s">
        <v>1691</v>
      </c>
      <c r="P143" s="28" t="s">
        <v>86</v>
      </c>
      <c r="Q143" s="12" t="s">
        <v>86</v>
      </c>
      <c r="R143" s="12" t="s">
        <v>1684</v>
      </c>
      <c r="S143" s="12" t="s">
        <v>2445</v>
      </c>
      <c r="T143" s="23" t="s">
        <v>2357</v>
      </c>
    </row>
    <row r="144" spans="1:20" ht="14.25" customHeight="1">
      <c r="A144" s="12" t="str">
        <f t="shared" si="0"/>
        <v/>
      </c>
      <c r="B144" s="13" t="str">
        <f t="shared" si="1"/>
        <v>— at issue —</v>
      </c>
      <c r="C144" s="28" t="s">
        <v>2334</v>
      </c>
      <c r="D144" s="45" t="str">
        <f t="array" ref="D144">IF(A144="","",MAX(E144,IF(ISNUMBER(I144),I144,0),IFERROR(IF(ISNUMBER(INDEX('iCoA Register'!$F:$F,MATCH(S144,'iCoA Register'!$P:$P,0))),(INDEX('iCoA Register'!$F:$F,MATCH(S144,'iCoA Register'!$P:$P,0)))+CHOOSE(WEEKDAY(INDEX('iCoA Register'!$F:$F,MATCH(S144,'iCoA Register'!$P:$P,0)),2),0,0,0,0,0,2,1),0),0)))</f>
        <v/>
      </c>
      <c r="E144" s="45">
        <f t="shared" si="3"/>
        <v>46272</v>
      </c>
      <c r="F144" s="45">
        <v>46265</v>
      </c>
      <c r="G144" s="12" t="s">
        <v>2466</v>
      </c>
      <c r="H144" s="12" t="str">
        <f t="array" ref="H144">IFERROR(INDEX('iCoA Register'!$B:$B,MATCH("P060312|R",'iCoA Register'!$P:$P,0)),"—")</f>
        <v>— at issue —</v>
      </c>
      <c r="I144" s="45" t="str">
        <f t="array" ref="I144">IFERROR(INDEX('iCoA Register'!$D:$D,MATCH("P060312|R",'iCoA Register'!$P:$P,0)),"")</f>
        <v/>
      </c>
      <c r="J144" s="12" t="s">
        <v>1477</v>
      </c>
      <c r="K144" s="12" t="s">
        <v>1680</v>
      </c>
      <c r="L144" s="13" t="s">
        <v>329</v>
      </c>
      <c r="M144" s="12" t="s">
        <v>330</v>
      </c>
      <c r="N144" s="12" t="s">
        <v>331</v>
      </c>
      <c r="O144" s="28" t="s">
        <v>1691</v>
      </c>
      <c r="P144" s="28" t="s">
        <v>86</v>
      </c>
      <c r="Q144" s="12" t="s">
        <v>86</v>
      </c>
      <c r="R144" s="12" t="s">
        <v>1684</v>
      </c>
      <c r="S144" s="12" t="s">
        <v>2446</v>
      </c>
      <c r="T144" s="23" t="s">
        <v>2357</v>
      </c>
    </row>
    <row r="145" spans="1:20" ht="14.25" customHeight="1">
      <c r="A145" s="12" t="str">
        <f t="shared" si="0"/>
        <v/>
      </c>
      <c r="B145" s="13" t="str">
        <f t="shared" si="1"/>
        <v>— at issue —</v>
      </c>
      <c r="C145" s="28" t="s">
        <v>2334</v>
      </c>
      <c r="D145" s="45" t="str">
        <f t="array" ref="D145">IF(A145="","",MAX(E145,IF(ISNUMBER(I145),I145,0),IFERROR(IF(ISNUMBER(INDEX('iCoA Register'!$F:$F,MATCH(S145,'iCoA Register'!$P:$P,0))),(INDEX('iCoA Register'!$F:$F,MATCH(S145,'iCoA Register'!$P:$P,0)))+CHOOSE(WEEKDAY(INDEX('iCoA Register'!$F:$F,MATCH(S145,'iCoA Register'!$P:$P,0)),2),0,0,0,0,0,2,1),0),0)))</f>
        <v/>
      </c>
      <c r="E145" s="45" t="str">
        <f t="shared" si="3"/>
        <v>at retest sampling</v>
      </c>
      <c r="F145" s="45" t="s">
        <v>2363</v>
      </c>
      <c r="G145" s="12" t="s">
        <v>86</v>
      </c>
      <c r="H145" s="12" t="str">
        <f t="array" ref="H145">IFERROR(INDEX('iCoA Register'!$B:$B,MATCH("P060282|R",'iCoA Register'!$P:$P,0)),"—")</f>
        <v>— at issue —</v>
      </c>
      <c r="I145" s="45" t="str">
        <f t="array" ref="I145">IFERROR(INDEX('iCoA Register'!$D:$D,MATCH("P060282|R",'iCoA Register'!$P:$P,0)),"")</f>
        <v/>
      </c>
      <c r="J145" s="12" t="s">
        <v>1477</v>
      </c>
      <c r="K145" s="12" t="s">
        <v>1714</v>
      </c>
      <c r="L145" s="13" t="s">
        <v>481</v>
      </c>
      <c r="M145" s="12" t="s">
        <v>482</v>
      </c>
      <c r="N145" s="12" t="s">
        <v>315</v>
      </c>
      <c r="O145" s="28" t="s">
        <v>1691</v>
      </c>
      <c r="P145" s="28" t="s">
        <v>86</v>
      </c>
      <c r="Q145" s="12" t="s">
        <v>86</v>
      </c>
      <c r="R145" s="12" t="s">
        <v>1684</v>
      </c>
      <c r="S145" s="12" t="s">
        <v>2448</v>
      </c>
      <c r="T145" s="23" t="s">
        <v>2365</v>
      </c>
    </row>
    <row r="146" spans="1:20" ht="14.25" customHeight="1">
      <c r="A146" s="12" t="str">
        <f t="shared" si="0"/>
        <v/>
      </c>
      <c r="B146" s="13" t="str">
        <f t="shared" si="1"/>
        <v>— at issue —</v>
      </c>
      <c r="C146" s="28" t="s">
        <v>2334</v>
      </c>
      <c r="D146" s="45" t="str">
        <f t="array" ref="D146">IF(A146="","",MAX(E146,IF(ISNUMBER(I146),I146,0),IFERROR(IF(ISNUMBER(INDEX('iCoA Register'!$F:$F,MATCH(S146,'iCoA Register'!$P:$P,0))),(INDEX('iCoA Register'!$F:$F,MATCH(S146,'iCoA Register'!$P:$P,0)))+CHOOSE(WEEKDAY(INDEX('iCoA Register'!$F:$F,MATCH(S146,'iCoA Register'!$P:$P,0)),2),0,0,0,0,0,2,1),0),0)))</f>
        <v/>
      </c>
      <c r="E146" s="45" t="str">
        <f t="shared" si="3"/>
        <v>at retest sampling</v>
      </c>
      <c r="F146" s="45" t="s">
        <v>2363</v>
      </c>
      <c r="G146" s="12" t="s">
        <v>86</v>
      </c>
      <c r="H146" s="12" t="str">
        <f t="array" ref="H146">IFERROR(INDEX('iCoA Register'!$B:$B,MATCH("P060322|R",'iCoA Register'!$P:$P,0)),"—")</f>
        <v>— at issue —</v>
      </c>
      <c r="I146" s="45" t="str">
        <f t="array" ref="I146">IFERROR(INDEX('iCoA Register'!$D:$D,MATCH("P060322|R",'iCoA Register'!$P:$P,0)),"")</f>
        <v/>
      </c>
      <c r="J146" s="12" t="s">
        <v>1477</v>
      </c>
      <c r="K146" s="12" t="s">
        <v>1714</v>
      </c>
      <c r="L146" s="13" t="s">
        <v>181</v>
      </c>
      <c r="M146" s="12" t="s">
        <v>182</v>
      </c>
      <c r="N146" s="12" t="s">
        <v>183</v>
      </c>
      <c r="O146" s="28" t="s">
        <v>1691</v>
      </c>
      <c r="P146" s="28" t="s">
        <v>86</v>
      </c>
      <c r="Q146" s="12" t="s">
        <v>86</v>
      </c>
      <c r="R146" s="12" t="s">
        <v>1684</v>
      </c>
      <c r="S146" s="12" t="s">
        <v>2450</v>
      </c>
      <c r="T146" s="23" t="s">
        <v>2365</v>
      </c>
    </row>
    <row r="147" spans="1:20" ht="14.25" customHeight="1">
      <c r="A147" s="12" t="str">
        <f t="shared" si="0"/>
        <v/>
      </c>
      <c r="B147" s="13" t="str">
        <f t="shared" si="1"/>
        <v>— at issue —</v>
      </c>
      <c r="C147" s="28" t="s">
        <v>2334</v>
      </c>
      <c r="D147" s="45" t="str">
        <f t="array" ref="D147">IF(A147="","",MAX(E147,IF(ISNUMBER(I147),I147,0),IFERROR(IF(ISNUMBER(INDEX('iCoA Register'!$F:$F,MATCH(S147,'iCoA Register'!$P:$P,0))),(INDEX('iCoA Register'!$F:$F,MATCH(S147,'iCoA Register'!$P:$P,0)))+CHOOSE(WEEKDAY(INDEX('iCoA Register'!$F:$F,MATCH(S147,'iCoA Register'!$P:$P,0)),2),0,0,0,0,0,2,1),0),0)))</f>
        <v/>
      </c>
      <c r="E147" s="45">
        <f t="shared" si="3"/>
        <v>46251</v>
      </c>
      <c r="F147" s="45">
        <v>46244</v>
      </c>
      <c r="G147" s="12" t="s">
        <v>2467</v>
      </c>
      <c r="H147" s="12" t="str">
        <f t="array" ref="H147">IFERROR(INDEX('iCoA Register'!$B:$B,MATCH("P060352|R",'iCoA Register'!$P:$P,0)),"—")</f>
        <v>— at issue —</v>
      </c>
      <c r="I147" s="45" t="str">
        <f t="array" ref="I147">IFERROR(INDEX('iCoA Register'!$D:$D,MATCH("P060352|R",'iCoA Register'!$P:$P,0)),"")</f>
        <v/>
      </c>
      <c r="J147" s="12" t="s">
        <v>1477</v>
      </c>
      <c r="K147" s="12" t="s">
        <v>2007</v>
      </c>
      <c r="L147" s="13" t="s">
        <v>636</v>
      </c>
      <c r="M147" s="12" t="s">
        <v>208</v>
      </c>
      <c r="N147" s="12" t="s">
        <v>183</v>
      </c>
      <c r="O147" s="12" t="s">
        <v>2080</v>
      </c>
      <c r="P147" s="28" t="s">
        <v>86</v>
      </c>
      <c r="Q147" s="12" t="s">
        <v>86</v>
      </c>
      <c r="R147" s="12" t="s">
        <v>1684</v>
      </c>
      <c r="S147" s="12" t="s">
        <v>2384</v>
      </c>
      <c r="T147" s="23" t="s">
        <v>2360</v>
      </c>
    </row>
    <row r="148" spans="1:20" ht="14.25" customHeight="1">
      <c r="A148" s="12" t="str">
        <f t="shared" si="0"/>
        <v/>
      </c>
      <c r="B148" s="13" t="str">
        <f t="shared" si="1"/>
        <v>— at issue —</v>
      </c>
      <c r="C148" s="28" t="s">
        <v>2334</v>
      </c>
      <c r="D148" s="45" t="str">
        <f t="array" ref="D148">IF(A148="","",MAX(E148,IF(ISNUMBER(I148),I148,0),IFERROR(IF(ISNUMBER(INDEX('iCoA Register'!$F:$F,MATCH(S148,'iCoA Register'!$P:$P,0))),(INDEX('iCoA Register'!$F:$F,MATCH(S148,'iCoA Register'!$P:$P,0)))+CHOOSE(WEEKDAY(INDEX('iCoA Register'!$F:$F,MATCH(S148,'iCoA Register'!$P:$P,0)),2),0,0,0,0,0,2,1),0),0)))</f>
        <v/>
      </c>
      <c r="E148" s="45">
        <f t="shared" si="3"/>
        <v>46210</v>
      </c>
      <c r="F148" s="45">
        <v>46203</v>
      </c>
      <c r="G148" s="12" t="s">
        <v>440</v>
      </c>
      <c r="H148" s="12" t="str">
        <f t="array" ref="H148">IFERROR(INDEX('iCoA Register'!$B:$B,MATCH("P060362|R",'iCoA Register'!$P:$P,0)),"—")</f>
        <v>— at issue —</v>
      </c>
      <c r="I148" s="45" t="str">
        <f t="array" ref="I148">IFERROR(INDEX('iCoA Register'!$D:$D,MATCH("P060362|R",'iCoA Register'!$P:$P,0)),"")</f>
        <v/>
      </c>
      <c r="J148" s="12" t="s">
        <v>1477</v>
      </c>
      <c r="K148" s="12" t="s">
        <v>2007</v>
      </c>
      <c r="L148" s="13" t="s">
        <v>336</v>
      </c>
      <c r="M148" s="12" t="s">
        <v>431</v>
      </c>
      <c r="N148" s="12"/>
      <c r="O148" s="12" t="s">
        <v>932</v>
      </c>
      <c r="P148" s="28" t="s">
        <v>86</v>
      </c>
      <c r="Q148" s="12" t="s">
        <v>86</v>
      </c>
      <c r="R148" s="12" t="s">
        <v>1684</v>
      </c>
      <c r="S148" s="12" t="s">
        <v>2386</v>
      </c>
      <c r="T148" s="23" t="s">
        <v>2468</v>
      </c>
    </row>
    <row r="149" spans="1:20" ht="14.25" customHeight="1">
      <c r="A149" s="12" t="str">
        <f t="shared" si="0"/>
        <v/>
      </c>
      <c r="B149" s="13" t="str">
        <f t="shared" si="1"/>
        <v>— at issue —</v>
      </c>
      <c r="C149" s="28" t="s">
        <v>2334</v>
      </c>
      <c r="D149" s="45" t="str">
        <f t="array" ref="D149">IF(A149="","",MAX(E149,IF(ISNUMBER(I149),I149,0),IFERROR(IF(ISNUMBER(INDEX('iCoA Register'!$F:$F,MATCH(S149,'iCoA Register'!$P:$P,0))),(INDEX('iCoA Register'!$F:$F,MATCH(S149,'iCoA Register'!$P:$P,0)))+CHOOSE(WEEKDAY(INDEX('iCoA Register'!$F:$F,MATCH(S149,'iCoA Register'!$P:$P,0)),2),0,0,0,0,0,2,1),0),0)))</f>
        <v/>
      </c>
      <c r="E149" s="45">
        <f t="shared" si="3"/>
        <v>46210</v>
      </c>
      <c r="F149" s="45">
        <v>46203</v>
      </c>
      <c r="G149" s="12" t="s">
        <v>440</v>
      </c>
      <c r="H149" s="12" t="str">
        <f t="array" ref="H149">IFERROR(INDEX('iCoA Register'!$B:$B,MATCH("P060422|R",'iCoA Register'!$P:$P,0)),"—")</f>
        <v>— at issue —</v>
      </c>
      <c r="I149" s="45" t="str">
        <f t="array" ref="I149">IFERROR(INDEX('iCoA Register'!$D:$D,MATCH("P060422|R",'iCoA Register'!$P:$P,0)),"")</f>
        <v/>
      </c>
      <c r="J149" s="12" t="s">
        <v>1477</v>
      </c>
      <c r="K149" s="12" t="s">
        <v>2007</v>
      </c>
      <c r="L149" s="13" t="s">
        <v>336</v>
      </c>
      <c r="M149" s="12" t="s">
        <v>445</v>
      </c>
      <c r="N149" s="12"/>
      <c r="O149" s="12" t="s">
        <v>932</v>
      </c>
      <c r="P149" s="28" t="s">
        <v>86</v>
      </c>
      <c r="Q149" s="12" t="s">
        <v>86</v>
      </c>
      <c r="R149" s="12" t="s">
        <v>1684</v>
      </c>
      <c r="S149" s="12" t="s">
        <v>2388</v>
      </c>
      <c r="T149" s="23" t="s">
        <v>2468</v>
      </c>
    </row>
    <row r="150" spans="1:20" ht="14.25" customHeight="1">
      <c r="A150" s="12" t="str">
        <f t="shared" si="0"/>
        <v/>
      </c>
      <c r="B150" s="13" t="str">
        <f t="shared" si="1"/>
        <v>— at issue —</v>
      </c>
      <c r="C150" s="28" t="s">
        <v>2334</v>
      </c>
      <c r="D150" s="45" t="str">
        <f t="array" ref="D150">IF(A150="","",MAX(E150,IF(ISNUMBER(I150),I150,0),IFERROR(IF(ISNUMBER(INDEX('iCoA Register'!$F:$F,MATCH(S150,'iCoA Register'!$P:$P,0))),(INDEX('iCoA Register'!$F:$F,MATCH(S150,'iCoA Register'!$P:$P,0)))+CHOOSE(WEEKDAY(INDEX('iCoA Register'!$F:$F,MATCH(S150,'iCoA Register'!$P:$P,0)),2),0,0,0,0,0,2,1),0),0)))</f>
        <v/>
      </c>
      <c r="E150" s="45">
        <f t="shared" si="3"/>
        <v>46251</v>
      </c>
      <c r="F150" s="45">
        <v>46244</v>
      </c>
      <c r="G150" s="12" t="s">
        <v>2469</v>
      </c>
      <c r="H150" s="12" t="str">
        <f t="array" ref="H150">IFERROR(INDEX('iCoA Register'!$B:$B,MATCH("P060402|R",'iCoA Register'!$P:$P,0)),"—")</f>
        <v>— at issue —</v>
      </c>
      <c r="I150" s="45" t="str">
        <f t="array" ref="I150">IFERROR(INDEX('iCoA Register'!$D:$D,MATCH("P060402|R",'iCoA Register'!$P:$P,0)),"")</f>
        <v/>
      </c>
      <c r="J150" s="12" t="s">
        <v>1477</v>
      </c>
      <c r="K150" s="12" t="s">
        <v>2007</v>
      </c>
      <c r="L150" s="13" t="s">
        <v>215</v>
      </c>
      <c r="M150" s="12" t="s">
        <v>218</v>
      </c>
      <c r="N150" s="12" t="s">
        <v>1592</v>
      </c>
      <c r="O150" s="12" t="s">
        <v>730</v>
      </c>
      <c r="P150" s="28" t="s">
        <v>86</v>
      </c>
      <c r="Q150" s="12" t="s">
        <v>86</v>
      </c>
      <c r="R150" s="12" t="s">
        <v>1684</v>
      </c>
      <c r="S150" s="12" t="s">
        <v>2391</v>
      </c>
      <c r="T150" s="23" t="s">
        <v>2360</v>
      </c>
    </row>
    <row r="151" spans="1:20" ht="14.25" customHeight="1">
      <c r="A151" s="12" t="str">
        <f t="shared" si="0"/>
        <v/>
      </c>
      <c r="B151" s="13" t="str">
        <f t="shared" si="1"/>
        <v>— at issue —</v>
      </c>
      <c r="C151" s="28" t="s">
        <v>2334</v>
      </c>
      <c r="D151" s="45" t="str">
        <f t="array" ref="D151">IF(A151="","",MAX(E151,IF(ISNUMBER(I151),I151,0),IFERROR(IF(ISNUMBER(INDEX('iCoA Register'!$F:$F,MATCH(S151,'iCoA Register'!$P:$P,0))),(INDEX('iCoA Register'!$F:$F,MATCH(S151,'iCoA Register'!$P:$P,0)))+CHOOSE(WEEKDAY(INDEX('iCoA Register'!$F:$F,MATCH(S151,'iCoA Register'!$P:$P,0)),2),0,0,0,0,0,2,1),0),0)))</f>
        <v/>
      </c>
      <c r="E151" s="45">
        <f t="shared" si="3"/>
        <v>46210</v>
      </c>
      <c r="F151" s="45">
        <v>46203</v>
      </c>
      <c r="G151" s="12" t="s">
        <v>440</v>
      </c>
      <c r="H151" s="12" t="str">
        <f t="array" ref="H151">IFERROR(INDEX('iCoA Register'!$B:$B,MATCH("P060412|R",'iCoA Register'!$P:$P,0)),"—")</f>
        <v>— at issue —</v>
      </c>
      <c r="I151" s="45" t="str">
        <f t="array" ref="I151">IFERROR(INDEX('iCoA Register'!$D:$D,MATCH("P060412|R",'iCoA Register'!$P:$P,0)),"")</f>
        <v/>
      </c>
      <c r="J151" s="12" t="s">
        <v>1477</v>
      </c>
      <c r="K151" s="12" t="s">
        <v>2007</v>
      </c>
      <c r="L151" s="13" t="s">
        <v>336</v>
      </c>
      <c r="M151" s="12" t="s">
        <v>437</v>
      </c>
      <c r="N151" s="12"/>
      <c r="O151" s="12" t="s">
        <v>932</v>
      </c>
      <c r="P151" s="28" t="s">
        <v>86</v>
      </c>
      <c r="Q151" s="12" t="s">
        <v>86</v>
      </c>
      <c r="R151" s="12" t="s">
        <v>1684</v>
      </c>
      <c r="S151" s="12" t="s">
        <v>2392</v>
      </c>
      <c r="T151" s="23" t="s">
        <v>2468</v>
      </c>
    </row>
    <row r="152" spans="1:20" ht="14.25" customHeight="1">
      <c r="A152" s="12" t="str">
        <f t="shared" si="0"/>
        <v/>
      </c>
      <c r="B152" s="13" t="str">
        <f t="shared" si="1"/>
        <v>— at issue —</v>
      </c>
      <c r="C152" s="28" t="s">
        <v>2334</v>
      </c>
      <c r="D152" s="45" t="str">
        <f t="array" ref="D152">IF(A152="","",MAX(E152,IF(ISNUMBER(I152),I152,0),IFERROR(IF(ISNUMBER(INDEX('iCoA Register'!$F:$F,MATCH(S152,'iCoA Register'!$P:$P,0))),(INDEX('iCoA Register'!$F:$F,MATCH(S152,'iCoA Register'!$P:$P,0)))+CHOOSE(WEEKDAY(INDEX('iCoA Register'!$F:$F,MATCH(S152,'iCoA Register'!$P:$P,0)),2),0,0,0,0,0,2,1),0),0)))</f>
        <v/>
      </c>
      <c r="E152" s="45">
        <f t="shared" si="3"/>
        <v>46251</v>
      </c>
      <c r="F152" s="45">
        <v>46244</v>
      </c>
      <c r="G152" s="12" t="s">
        <v>2470</v>
      </c>
      <c r="H152" s="12" t="str">
        <f t="array" ref="H152">IFERROR(INDEX('iCoA Register'!$B:$B,MATCH("P060382|R",'iCoA Register'!$P:$P,0)),"—")</f>
        <v>— at issue —</v>
      </c>
      <c r="I152" s="45" t="str">
        <f t="array" ref="I152">IFERROR(INDEX('iCoA Register'!$D:$D,MATCH("P060382|R",'iCoA Register'!$P:$P,0)),"")</f>
        <v/>
      </c>
      <c r="J152" s="12" t="s">
        <v>1477</v>
      </c>
      <c r="K152" s="12" t="s">
        <v>2007</v>
      </c>
      <c r="L152" s="13" t="s">
        <v>314</v>
      </c>
      <c r="M152" s="12" t="s">
        <v>317</v>
      </c>
      <c r="N152" s="12" t="s">
        <v>315</v>
      </c>
      <c r="O152" s="12" t="s">
        <v>2102</v>
      </c>
      <c r="P152" s="28" t="s">
        <v>86</v>
      </c>
      <c r="Q152" s="12" t="s">
        <v>86</v>
      </c>
      <c r="R152" s="12" t="s">
        <v>1684</v>
      </c>
      <c r="S152" s="12" t="s">
        <v>2394</v>
      </c>
      <c r="T152" s="23" t="s">
        <v>2360</v>
      </c>
    </row>
    <row r="153" spans="1:20" ht="14.25" customHeight="1">
      <c r="A153" s="12" t="str">
        <f t="shared" si="0"/>
        <v/>
      </c>
      <c r="B153" s="13" t="str">
        <f t="shared" si="1"/>
        <v>— at issue —</v>
      </c>
      <c r="C153" s="28" t="s">
        <v>2334</v>
      </c>
      <c r="D153" s="45" t="str">
        <f t="array" ref="D153">IF(A153="","",MAX(E153,IF(ISNUMBER(I153),I153,0),IFERROR(IF(ISNUMBER(INDEX('iCoA Register'!$F:$F,MATCH(S153,'iCoA Register'!$P:$P,0))),(INDEX('iCoA Register'!$F:$F,MATCH(S153,'iCoA Register'!$P:$P,0)))+CHOOSE(WEEKDAY(INDEX('iCoA Register'!$F:$F,MATCH(S153,'iCoA Register'!$P:$P,0)),2),0,0,0,0,0,2,1),0),0)))</f>
        <v/>
      </c>
      <c r="E153" s="45">
        <f t="shared" si="3"/>
        <v>46272</v>
      </c>
      <c r="F153" s="45">
        <v>46265</v>
      </c>
      <c r="G153" s="12" t="s">
        <v>2471</v>
      </c>
      <c r="H153" s="12" t="str">
        <f t="array" ref="H153">IFERROR(INDEX('iCoA Register'!$B:$B,MATCH("P060432|R",'iCoA Register'!$P:$P,0)),"—")</f>
        <v>— at issue —</v>
      </c>
      <c r="I153" s="45" t="str">
        <f t="array" ref="I153">IFERROR(INDEX('iCoA Register'!$D:$D,MATCH("P060432|R",'iCoA Register'!$P:$P,0)),"")</f>
        <v/>
      </c>
      <c r="J153" s="12" t="s">
        <v>1477</v>
      </c>
      <c r="K153" s="12" t="s">
        <v>1680</v>
      </c>
      <c r="L153" s="13" t="s">
        <v>193</v>
      </c>
      <c r="M153" s="12" t="s">
        <v>194</v>
      </c>
      <c r="N153" s="12" t="s">
        <v>183</v>
      </c>
      <c r="O153" s="28" t="s">
        <v>1691</v>
      </c>
      <c r="P153" s="28" t="s">
        <v>86</v>
      </c>
      <c r="Q153" s="12" t="s">
        <v>86</v>
      </c>
      <c r="R153" s="12" t="s">
        <v>1684</v>
      </c>
      <c r="S153" s="12" t="s">
        <v>2451</v>
      </c>
      <c r="T153" s="23" t="s">
        <v>2357</v>
      </c>
    </row>
    <row r="154" spans="1:20" ht="14.25" customHeight="1">
      <c r="A154" s="12" t="str">
        <f t="shared" si="0"/>
        <v/>
      </c>
      <c r="B154" s="13" t="str">
        <f t="shared" si="1"/>
        <v>— at issue —</v>
      </c>
      <c r="C154" s="28" t="s">
        <v>2334</v>
      </c>
      <c r="D154" s="45" t="str">
        <f t="array" ref="D154">IF(A154="","",MAX(E154,IF(ISNUMBER(I154),I154,0),IFERROR(IF(ISNUMBER(INDEX('iCoA Register'!$F:$F,MATCH(S154,'iCoA Register'!$P:$P,0))),(INDEX('iCoA Register'!$F:$F,MATCH(S154,'iCoA Register'!$P:$P,0)))+CHOOSE(WEEKDAY(INDEX('iCoA Register'!$F:$F,MATCH(S154,'iCoA Register'!$P:$P,0)),2),0,0,0,0,0,2,1),0),0)))</f>
        <v/>
      </c>
      <c r="E154" s="45">
        <f t="shared" si="3"/>
        <v>46272</v>
      </c>
      <c r="F154" s="45">
        <v>46265</v>
      </c>
      <c r="G154" s="12" t="s">
        <v>2472</v>
      </c>
      <c r="H154" s="12" t="str">
        <f t="array" ref="H154">IFERROR(INDEX('iCoA Register'!$B:$B,MATCH("P060392|R",'iCoA Register'!$P:$P,0)),"—")</f>
        <v>— at issue —</v>
      </c>
      <c r="I154" s="45" t="str">
        <f t="array" ref="I154">IFERROR(INDEX('iCoA Register'!$D:$D,MATCH("P060392|R",'iCoA Register'!$P:$P,0)),"")</f>
        <v/>
      </c>
      <c r="J154" s="12" t="s">
        <v>1477</v>
      </c>
      <c r="K154" s="12" t="s">
        <v>1680</v>
      </c>
      <c r="L154" s="13" t="s">
        <v>204</v>
      </c>
      <c r="M154" s="12" t="s">
        <v>205</v>
      </c>
      <c r="N154" s="12" t="s">
        <v>183</v>
      </c>
      <c r="O154" s="28" t="s">
        <v>1691</v>
      </c>
      <c r="P154" s="28" t="s">
        <v>86</v>
      </c>
      <c r="Q154" s="12" t="s">
        <v>86</v>
      </c>
      <c r="R154" s="12" t="s">
        <v>1684</v>
      </c>
      <c r="S154" s="12" t="s">
        <v>2453</v>
      </c>
      <c r="T154" s="23" t="s">
        <v>2357</v>
      </c>
    </row>
    <row r="155" spans="1:20" ht="14.25" customHeight="1">
      <c r="A155" s="12" t="str">
        <f t="shared" si="0"/>
        <v/>
      </c>
      <c r="B155" s="13" t="str">
        <f t="shared" si="1"/>
        <v>— at issue —</v>
      </c>
      <c r="C155" s="28" t="s">
        <v>2334</v>
      </c>
      <c r="D155" s="45" t="str">
        <f t="array" ref="D155">IF(A155="","",MAX(E155,IF(ISNUMBER(I155),I155,0),IFERROR(IF(ISNUMBER(INDEX('iCoA Register'!$F:$F,MATCH(S155,'iCoA Register'!$P:$P,0))),(INDEX('iCoA Register'!$F:$F,MATCH(S155,'iCoA Register'!$P:$P,0)))+CHOOSE(WEEKDAY(INDEX('iCoA Register'!$F:$F,MATCH(S155,'iCoA Register'!$P:$P,0)),2),0,0,0,0,0,2,1),0),0)))</f>
        <v/>
      </c>
      <c r="E155" s="45" t="str">
        <f t="shared" si="3"/>
        <v>at retest sampling</v>
      </c>
      <c r="F155" s="45" t="s">
        <v>2363</v>
      </c>
      <c r="G155" s="12" t="s">
        <v>86</v>
      </c>
      <c r="H155" s="12" t="str">
        <f t="array" ref="H155">IFERROR(INDEX('iCoA Register'!$B:$B,MATCH("P060482|R",'iCoA Register'!$P:$P,0)),"—")</f>
        <v>— at issue —</v>
      </c>
      <c r="I155" s="45" t="str">
        <f t="array" ref="I155">IFERROR(INDEX('iCoA Register'!$D:$D,MATCH("P060482|R",'iCoA Register'!$P:$P,0)),"")</f>
        <v/>
      </c>
      <c r="J155" s="12" t="s">
        <v>1477</v>
      </c>
      <c r="K155" s="12" t="s">
        <v>1714</v>
      </c>
      <c r="L155" s="13" t="s">
        <v>344</v>
      </c>
      <c r="M155" s="12" t="s">
        <v>345</v>
      </c>
      <c r="N155" s="12" t="s">
        <v>346</v>
      </c>
      <c r="O155" s="28" t="s">
        <v>1691</v>
      </c>
      <c r="P155" s="28" t="s">
        <v>86</v>
      </c>
      <c r="Q155" s="12" t="s">
        <v>86</v>
      </c>
      <c r="R155" s="12" t="s">
        <v>1684</v>
      </c>
      <c r="S155" s="12" t="s">
        <v>2455</v>
      </c>
      <c r="T155" s="23" t="s">
        <v>2365</v>
      </c>
    </row>
    <row r="156" spans="1:20" ht="14.25" customHeight="1">
      <c r="A156" s="12" t="str">
        <f t="shared" si="0"/>
        <v/>
      </c>
      <c r="B156" s="13" t="str">
        <f t="shared" si="1"/>
        <v>— at issue —</v>
      </c>
      <c r="C156" s="28" t="s">
        <v>2334</v>
      </c>
      <c r="D156" s="45" t="str">
        <f t="array" ref="D156">IF(A156="","",MAX(E156,IF(ISNUMBER(I156),I156,0),IFERROR(IF(ISNUMBER(INDEX('iCoA Register'!$F:$F,MATCH(S156,'iCoA Register'!$P:$P,0))),(INDEX('iCoA Register'!$F:$F,MATCH(S156,'iCoA Register'!$P:$P,0)))+CHOOSE(WEEKDAY(INDEX('iCoA Register'!$F:$F,MATCH(S156,'iCoA Register'!$P:$P,0)),2),0,0,0,0,0,2,1),0),0)))</f>
        <v/>
      </c>
      <c r="E156" s="45">
        <f t="shared" si="3"/>
        <v>46272</v>
      </c>
      <c r="F156" s="45">
        <v>46265</v>
      </c>
      <c r="G156" s="12" t="s">
        <v>2473</v>
      </c>
      <c r="H156" s="12" t="str">
        <f t="array" ref="H156">IFERROR(INDEX('iCoA Register'!$B:$B,MATCH("P060442|R",'iCoA Register'!$P:$P,0)),"—")</f>
        <v>— at issue —</v>
      </c>
      <c r="I156" s="45" t="str">
        <f t="array" ref="I156">IFERROR(INDEX('iCoA Register'!$D:$D,MATCH("P060442|R",'iCoA Register'!$P:$P,0)),"")</f>
        <v/>
      </c>
      <c r="J156" s="12" t="s">
        <v>1477</v>
      </c>
      <c r="K156" s="12" t="s">
        <v>1680</v>
      </c>
      <c r="L156" s="13" t="s">
        <v>600</v>
      </c>
      <c r="M156" s="12" t="s">
        <v>602</v>
      </c>
      <c r="N156" s="12" t="s">
        <v>315</v>
      </c>
      <c r="O156" s="28" t="s">
        <v>1691</v>
      </c>
      <c r="P156" s="28" t="s">
        <v>86</v>
      </c>
      <c r="Q156" s="12" t="s">
        <v>86</v>
      </c>
      <c r="R156" s="12" t="s">
        <v>1684</v>
      </c>
      <c r="S156" s="12" t="s">
        <v>2457</v>
      </c>
      <c r="T156" s="23" t="s">
        <v>2357</v>
      </c>
    </row>
    <row r="157" spans="1:20" ht="14.25" customHeight="1">
      <c r="A157" s="12" t="str">
        <f t="shared" si="0"/>
        <v/>
      </c>
      <c r="B157" s="13" t="str">
        <f t="shared" si="1"/>
        <v>— at issue —</v>
      </c>
      <c r="C157" s="28" t="s">
        <v>2334</v>
      </c>
      <c r="D157" s="45" t="str">
        <f t="array" ref="D157">IF(A157="","",MAX(E157,IF(ISNUMBER(I157),I157,0),IFERROR(IF(ISNUMBER(INDEX('iCoA Register'!$F:$F,MATCH(S157,'iCoA Register'!$P:$P,0))),(INDEX('iCoA Register'!$F:$F,MATCH(S157,'iCoA Register'!$P:$P,0)))+CHOOSE(WEEKDAY(INDEX('iCoA Register'!$F:$F,MATCH(S157,'iCoA Register'!$P:$P,0)),2),0,0,0,0,0,2,1),0),0)))</f>
        <v/>
      </c>
      <c r="E157" s="45" t="str">
        <f t="shared" si="3"/>
        <v>at retest sampling</v>
      </c>
      <c r="F157" s="45" t="s">
        <v>2363</v>
      </c>
      <c r="G157" s="12" t="s">
        <v>86</v>
      </c>
      <c r="H157" s="12" t="str">
        <f t="array" ref="H157">IFERROR(INDEX('iCoA Register'!$B:$B,MATCH("P060452|R",'iCoA Register'!$P:$P,0)),"—")</f>
        <v>— at issue —</v>
      </c>
      <c r="I157" s="45" t="str">
        <f t="array" ref="I157">IFERROR(INDEX('iCoA Register'!$D:$D,MATCH("P060452|R",'iCoA Register'!$P:$P,0)),"")</f>
        <v/>
      </c>
      <c r="J157" s="12" t="s">
        <v>1477</v>
      </c>
      <c r="K157" s="12" t="s">
        <v>1714</v>
      </c>
      <c r="L157" s="13" t="s">
        <v>213</v>
      </c>
      <c r="M157" s="12" t="s">
        <v>214</v>
      </c>
      <c r="N157" s="12" t="s">
        <v>1644</v>
      </c>
      <c r="O157" s="28" t="s">
        <v>1691</v>
      </c>
      <c r="P157" s="28" t="s">
        <v>86</v>
      </c>
      <c r="Q157" s="12" t="s">
        <v>86</v>
      </c>
      <c r="R157" s="12" t="s">
        <v>1684</v>
      </c>
      <c r="S157" s="12" t="s">
        <v>2459</v>
      </c>
      <c r="T157" s="23" t="s">
        <v>2365</v>
      </c>
    </row>
    <row r="158" spans="1:20" ht="14.25" customHeight="1">
      <c r="A158" s="12" t="str">
        <f t="shared" si="0"/>
        <v/>
      </c>
      <c r="B158" s="13" t="str">
        <f t="shared" si="1"/>
        <v>— at issue —</v>
      </c>
      <c r="C158" s="28" t="s">
        <v>2334</v>
      </c>
      <c r="D158" s="45" t="str">
        <f t="array" ref="D158">IF(A158="","",MAX(E158,IF(ISNUMBER(I158),I158,0),IFERROR(IF(ISNUMBER(INDEX('iCoA Register'!$F:$F,MATCH(S158,'iCoA Register'!$P:$P,0))),(INDEX('iCoA Register'!$F:$F,MATCH(S158,'iCoA Register'!$P:$P,0)))+CHOOSE(WEEKDAY(INDEX('iCoA Register'!$F:$F,MATCH(S158,'iCoA Register'!$P:$P,0)),2),0,0,0,0,0,2,1),0),0)))</f>
        <v/>
      </c>
      <c r="E158" s="45" t="str">
        <f t="shared" si="3"/>
        <v>at retest sampling</v>
      </c>
      <c r="F158" s="45" t="s">
        <v>2363</v>
      </c>
      <c r="G158" s="12" t="s">
        <v>86</v>
      </c>
      <c r="H158" s="12" t="str">
        <f t="array" ref="H158">IFERROR(INDEX('iCoA Register'!$B:$B,MATCH("P060462|R",'iCoA Register'!$P:$P,0)),"—")</f>
        <v>— at issue —</v>
      </c>
      <c r="I158" s="45" t="str">
        <f t="array" ref="I158">IFERROR(INDEX('iCoA Register'!$D:$D,MATCH("P060462|R",'iCoA Register'!$P:$P,0)),"")</f>
        <v/>
      </c>
      <c r="J158" s="12" t="s">
        <v>1477</v>
      </c>
      <c r="K158" s="12" t="s">
        <v>1714</v>
      </c>
      <c r="L158" s="13" t="s">
        <v>257</v>
      </c>
      <c r="M158" s="12" t="s">
        <v>258</v>
      </c>
      <c r="N158" s="12" t="s">
        <v>1592</v>
      </c>
      <c r="O158" s="28" t="s">
        <v>1691</v>
      </c>
      <c r="P158" s="28" t="s">
        <v>86</v>
      </c>
      <c r="Q158" s="12" t="s">
        <v>86</v>
      </c>
      <c r="R158" s="12" t="s">
        <v>1684</v>
      </c>
      <c r="S158" s="12" t="s">
        <v>2461</v>
      </c>
      <c r="T158" s="23" t="s">
        <v>2365</v>
      </c>
    </row>
    <row r="159" spans="1:20" ht="14.25" customHeight="1"/>
    <row r="160" spans="1:20" ht="150" customHeight="1">
      <c r="A160" s="76" t="s">
        <v>2474</v>
      </c>
      <c r="B160" s="77"/>
      <c r="C160" s="77"/>
      <c r="D160" s="77"/>
      <c r="E160" s="77"/>
      <c r="F160" s="77"/>
      <c r="G160" s="77"/>
      <c r="H160" s="77"/>
      <c r="I160" s="77"/>
      <c r="J160" s="77"/>
      <c r="K160" s="77"/>
      <c r="L160" s="77"/>
      <c r="M160" s="77"/>
      <c r="N160" s="77"/>
      <c r="O160" s="77"/>
      <c r="P160" s="77"/>
      <c r="Q160" s="77"/>
      <c r="R160" s="77"/>
      <c r="S160" s="77"/>
      <c r="T160" s="78"/>
    </row>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376E67C0-DFE7-4F4E-821B-DA3394D6640E}" filter="1" showAutoFilter="1">
      <pageMargins left="0.7" right="0.7" top="0.75" bottom="0.75" header="0.3" footer="0.3"/>
      <autoFilter ref="A1:T158" xr:uid="{3EDD41DA-4ECA-498F-ADC1-F9E29ADBEC0F}"/>
      <extLst>
        <ext uri="GoogleSheetsCustomDataVersion1">
          <go:sheetsCustomData xmlns:go="http://customooxmlschemas.google.com/" filterViewId="769489548"/>
        </ext>
      </extLst>
    </customSheetView>
  </customSheetViews>
  <mergeCells count="1">
    <mergeCell ref="A160:T160"/>
  </mergeCells>
  <pageMargins left="0.25" right="0.25" top="0.75" bottom="0.75" header="0" footer="0"/>
  <pageSetup paperSize="8"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000"/>
  <sheetViews>
    <sheetView workbookViewId="0">
      <pane xSplit="3" ySplit="1" topLeftCell="D2" activePane="bottomRight" state="frozen"/>
      <selection activeCell="B3" sqref="B3"/>
      <selection pane="topRight" activeCell="B3" sqref="B3"/>
      <selection pane="bottomLeft" activeCell="B3" sqref="B3"/>
      <selection pane="bottomRight" activeCell="B3" sqref="B3"/>
    </sheetView>
  </sheetViews>
  <sheetFormatPr defaultColWidth="14.44140625" defaultRowHeight="15" customHeight="1"/>
  <cols>
    <col min="1" max="1" width="8" customWidth="1"/>
    <col min="2" max="2" width="11" customWidth="1"/>
    <col min="3" max="3" width="18" customWidth="1"/>
    <col min="4" max="4" width="20" customWidth="1"/>
    <col min="5" max="7" width="9" customWidth="1"/>
    <col min="8" max="8" width="10" customWidth="1"/>
    <col min="9" max="9" width="18" customWidth="1"/>
    <col min="10" max="10" width="14" customWidth="1"/>
    <col min="11" max="11" width="40" customWidth="1"/>
    <col min="12" max="12" width="11" customWidth="1"/>
    <col min="13" max="13" width="16" customWidth="1"/>
    <col min="14" max="14" width="7" customWidth="1"/>
    <col min="15" max="15" width="46" customWidth="1"/>
    <col min="16" max="26" width="8.6640625" customWidth="1"/>
  </cols>
  <sheetData>
    <row r="1" spans="1:15" ht="24" customHeight="1">
      <c r="A1" s="5" t="s">
        <v>3</v>
      </c>
      <c r="B1" s="5" t="s">
        <v>9</v>
      </c>
      <c r="C1" s="5" t="s">
        <v>12</v>
      </c>
      <c r="D1" s="5" t="s">
        <v>7</v>
      </c>
      <c r="E1" s="5" t="s">
        <v>20</v>
      </c>
      <c r="F1" s="5" t="s">
        <v>25</v>
      </c>
      <c r="G1" s="5" t="s">
        <v>30</v>
      </c>
      <c r="H1" s="5" t="s">
        <v>34</v>
      </c>
      <c r="I1" s="5" t="s">
        <v>38</v>
      </c>
      <c r="J1" s="5" t="s">
        <v>40</v>
      </c>
      <c r="K1" s="5" t="s">
        <v>43</v>
      </c>
      <c r="L1" s="5" t="s">
        <v>47</v>
      </c>
      <c r="M1" s="5" t="s">
        <v>51</v>
      </c>
      <c r="N1" s="5" t="s">
        <v>55</v>
      </c>
      <c r="O1" s="5" t="s">
        <v>58</v>
      </c>
    </row>
    <row r="2" spans="1:15" ht="14.25" customHeight="1">
      <c r="A2" s="12">
        <v>1</v>
      </c>
      <c r="B2" s="12" t="s">
        <v>72</v>
      </c>
      <c r="C2" s="13" t="s">
        <v>71</v>
      </c>
      <c r="D2" s="12" t="s">
        <v>73</v>
      </c>
      <c r="E2" s="16">
        <v>43.87</v>
      </c>
      <c r="F2" s="12" t="s">
        <v>77</v>
      </c>
      <c r="G2" s="18">
        <v>0.218</v>
      </c>
      <c r="H2" s="12" t="s">
        <v>86</v>
      </c>
      <c r="I2" s="12" t="s">
        <v>71</v>
      </c>
      <c r="J2" s="12" t="s">
        <v>76</v>
      </c>
      <c r="K2" s="19" t="s">
        <v>86</v>
      </c>
      <c r="L2" s="18">
        <v>0.218</v>
      </c>
      <c r="M2" s="12" t="s">
        <v>105</v>
      </c>
      <c r="N2" s="18">
        <v>0</v>
      </c>
      <c r="O2" s="20" t="s">
        <v>112</v>
      </c>
    </row>
    <row r="3" spans="1:15" ht="14.25" customHeight="1">
      <c r="A3" s="12">
        <v>1</v>
      </c>
      <c r="B3" s="12" t="s">
        <v>72</v>
      </c>
      <c r="C3" s="13" t="s">
        <v>125</v>
      </c>
      <c r="D3" s="12" t="s">
        <v>129</v>
      </c>
      <c r="E3" s="16">
        <v>50.2</v>
      </c>
      <c r="F3" s="12" t="s">
        <v>77</v>
      </c>
      <c r="G3" s="18">
        <v>0.21</v>
      </c>
      <c r="H3" s="12" t="s">
        <v>86</v>
      </c>
      <c r="I3" s="12" t="s">
        <v>125</v>
      </c>
      <c r="J3" s="12" t="s">
        <v>76</v>
      </c>
      <c r="K3" s="19" t="s">
        <v>86</v>
      </c>
      <c r="L3" s="18">
        <v>0.21029999999999999</v>
      </c>
      <c r="M3" s="12" t="s">
        <v>150</v>
      </c>
      <c r="N3" s="18">
        <v>3.0000000000001141E-4</v>
      </c>
      <c r="O3" s="20" t="s">
        <v>112</v>
      </c>
    </row>
    <row r="4" spans="1:15" ht="14.25" customHeight="1">
      <c r="A4" s="12">
        <v>1</v>
      </c>
      <c r="B4" s="12" t="s">
        <v>72</v>
      </c>
      <c r="C4" s="13" t="s">
        <v>155</v>
      </c>
      <c r="D4" s="12" t="s">
        <v>156</v>
      </c>
      <c r="E4" s="16">
        <v>9.15</v>
      </c>
      <c r="F4" s="12" t="s">
        <v>157</v>
      </c>
      <c r="G4" s="18">
        <v>0.15629999999999999</v>
      </c>
      <c r="H4" s="12" t="s">
        <v>159</v>
      </c>
      <c r="I4" s="12" t="s">
        <v>155</v>
      </c>
      <c r="J4" s="12" t="s">
        <v>163</v>
      </c>
      <c r="K4" s="19" t="s">
        <v>164</v>
      </c>
      <c r="L4" s="18" t="s">
        <v>166</v>
      </c>
      <c r="M4" s="12" t="s">
        <v>86</v>
      </c>
      <c r="N4" s="18" t="s">
        <v>86</v>
      </c>
      <c r="O4" s="23" t="s">
        <v>168</v>
      </c>
    </row>
    <row r="5" spans="1:15" ht="14.25" customHeight="1">
      <c r="A5" s="12">
        <v>1</v>
      </c>
      <c r="B5" s="12" t="s">
        <v>72</v>
      </c>
      <c r="C5" s="13" t="s">
        <v>171</v>
      </c>
      <c r="D5" s="12" t="s">
        <v>75</v>
      </c>
      <c r="E5" s="16">
        <v>64.53</v>
      </c>
      <c r="F5" s="12" t="s">
        <v>77</v>
      </c>
      <c r="G5" s="18">
        <v>0.2029</v>
      </c>
      <c r="H5" s="12" t="s">
        <v>175</v>
      </c>
      <c r="I5" s="12" t="s">
        <v>171</v>
      </c>
      <c r="J5" s="12" t="s">
        <v>76</v>
      </c>
      <c r="K5" s="19" t="s">
        <v>86</v>
      </c>
      <c r="L5" s="18">
        <v>0.2029</v>
      </c>
      <c r="M5" s="12" t="s">
        <v>177</v>
      </c>
      <c r="N5" s="18">
        <v>0</v>
      </c>
      <c r="O5" s="20" t="s">
        <v>112</v>
      </c>
    </row>
    <row r="6" spans="1:15" ht="14.25" customHeight="1">
      <c r="A6" s="12">
        <v>1</v>
      </c>
      <c r="B6" s="12" t="s">
        <v>72</v>
      </c>
      <c r="C6" s="13" t="s">
        <v>184</v>
      </c>
      <c r="D6" s="12" t="s">
        <v>75</v>
      </c>
      <c r="E6" s="16">
        <v>146.52000000000001</v>
      </c>
      <c r="F6" s="12" t="s">
        <v>186</v>
      </c>
      <c r="G6" s="18">
        <v>0.1656</v>
      </c>
      <c r="H6" s="12" t="s">
        <v>188</v>
      </c>
      <c r="I6" s="12" t="s">
        <v>184</v>
      </c>
      <c r="J6" s="12" t="s">
        <v>76</v>
      </c>
      <c r="K6" s="19" t="s">
        <v>86</v>
      </c>
      <c r="L6" s="18">
        <v>0.1656</v>
      </c>
      <c r="M6" s="12" t="s">
        <v>191</v>
      </c>
      <c r="N6" s="18">
        <v>0</v>
      </c>
      <c r="O6" s="20" t="s">
        <v>112</v>
      </c>
    </row>
    <row r="7" spans="1:15" ht="14.25" customHeight="1">
      <c r="A7" s="12">
        <v>1</v>
      </c>
      <c r="B7" s="12" t="s">
        <v>72</v>
      </c>
      <c r="C7" s="13" t="s">
        <v>176</v>
      </c>
      <c r="D7" s="12" t="s">
        <v>75</v>
      </c>
      <c r="E7" s="16">
        <v>14.75</v>
      </c>
      <c r="F7" s="12" t="s">
        <v>77</v>
      </c>
      <c r="G7" s="18">
        <v>0.2084</v>
      </c>
      <c r="H7" s="12" t="s">
        <v>174</v>
      </c>
      <c r="I7" s="12" t="s">
        <v>176</v>
      </c>
      <c r="J7" s="12" t="s">
        <v>76</v>
      </c>
      <c r="K7" s="19" t="s">
        <v>86</v>
      </c>
      <c r="L7" s="18">
        <v>0.2084</v>
      </c>
      <c r="M7" s="12" t="s">
        <v>201</v>
      </c>
      <c r="N7" s="18">
        <v>0</v>
      </c>
      <c r="O7" s="20" t="s">
        <v>112</v>
      </c>
    </row>
    <row r="8" spans="1:15" ht="14.25" customHeight="1">
      <c r="A8" s="12">
        <v>1</v>
      </c>
      <c r="B8" s="12" t="s">
        <v>72</v>
      </c>
      <c r="C8" s="13" t="s">
        <v>207</v>
      </c>
      <c r="D8" s="12" t="s">
        <v>183</v>
      </c>
      <c r="E8" s="16">
        <v>75.92</v>
      </c>
      <c r="F8" s="12" t="s">
        <v>77</v>
      </c>
      <c r="G8" s="18">
        <v>0.19769999999999999</v>
      </c>
      <c r="H8" s="12" t="s">
        <v>208</v>
      </c>
      <c r="I8" s="12" t="s">
        <v>209</v>
      </c>
      <c r="J8" s="12" t="s">
        <v>163</v>
      </c>
      <c r="K8" s="19" t="s">
        <v>164</v>
      </c>
      <c r="L8" s="18" t="s">
        <v>166</v>
      </c>
      <c r="M8" s="12" t="s">
        <v>86</v>
      </c>
      <c r="N8" s="18" t="s">
        <v>86</v>
      </c>
      <c r="O8" s="23" t="s">
        <v>168</v>
      </c>
    </row>
    <row r="9" spans="1:15" ht="14.25" customHeight="1">
      <c r="A9" s="12">
        <v>1</v>
      </c>
      <c r="B9" s="12" t="s">
        <v>72</v>
      </c>
      <c r="C9" s="13" t="s">
        <v>215</v>
      </c>
      <c r="D9" s="12" t="s">
        <v>216</v>
      </c>
      <c r="E9" s="16">
        <v>40</v>
      </c>
      <c r="F9" s="12" t="s">
        <v>157</v>
      </c>
      <c r="G9" s="18">
        <v>0.15590000000000001</v>
      </c>
      <c r="H9" s="12" t="s">
        <v>218</v>
      </c>
      <c r="I9" s="12" t="s">
        <v>215</v>
      </c>
      <c r="J9" s="12" t="s">
        <v>195</v>
      </c>
      <c r="K9" s="19" t="s">
        <v>221</v>
      </c>
      <c r="L9" s="25">
        <v>0.1759</v>
      </c>
      <c r="M9" s="26" t="s">
        <v>225</v>
      </c>
      <c r="N9" s="25">
        <v>0.02</v>
      </c>
      <c r="O9" s="27" t="s">
        <v>230</v>
      </c>
    </row>
    <row r="10" spans="1:15" ht="14.25" customHeight="1">
      <c r="A10" s="12">
        <v>1</v>
      </c>
      <c r="B10" s="12" t="s">
        <v>72</v>
      </c>
      <c r="C10" s="13" t="s">
        <v>232</v>
      </c>
      <c r="D10" s="12" t="s">
        <v>234</v>
      </c>
      <c r="E10" s="16">
        <v>0.87</v>
      </c>
      <c r="F10" s="12" t="s">
        <v>186</v>
      </c>
      <c r="G10" s="18">
        <v>0.17</v>
      </c>
      <c r="H10" s="12" t="s">
        <v>236</v>
      </c>
      <c r="I10" s="12" t="s">
        <v>232</v>
      </c>
      <c r="J10" s="12" t="s">
        <v>76</v>
      </c>
      <c r="K10" s="19" t="s">
        <v>86</v>
      </c>
      <c r="L10" s="18">
        <v>0.17219999999999999</v>
      </c>
      <c r="M10" s="12" t="s">
        <v>238</v>
      </c>
      <c r="N10" s="18">
        <v>2.199999999999988E-3</v>
      </c>
      <c r="O10" s="20" t="s">
        <v>112</v>
      </c>
    </row>
    <row r="11" spans="1:15" ht="14.25" customHeight="1">
      <c r="A11" s="12">
        <v>1</v>
      </c>
      <c r="B11" s="12" t="s">
        <v>72</v>
      </c>
      <c r="C11" s="13" t="s">
        <v>202</v>
      </c>
      <c r="D11" s="12" t="s">
        <v>178</v>
      </c>
      <c r="E11" s="16">
        <v>151.13999999999999</v>
      </c>
      <c r="F11" s="12" t="s">
        <v>186</v>
      </c>
      <c r="G11" s="18">
        <v>0.1898</v>
      </c>
      <c r="H11" s="12" t="s">
        <v>199</v>
      </c>
      <c r="I11" s="12" t="s">
        <v>202</v>
      </c>
      <c r="J11" s="12" t="s">
        <v>76</v>
      </c>
      <c r="K11" s="19" t="s">
        <v>86</v>
      </c>
      <c r="L11" s="18">
        <v>0.1898</v>
      </c>
      <c r="M11" s="12" t="s">
        <v>245</v>
      </c>
      <c r="N11" s="18">
        <v>0</v>
      </c>
      <c r="O11" s="20" t="s">
        <v>112</v>
      </c>
    </row>
    <row r="12" spans="1:15" ht="14.25" customHeight="1">
      <c r="A12" s="12">
        <v>1</v>
      </c>
      <c r="B12" s="12" t="s">
        <v>72</v>
      </c>
      <c r="C12" s="13" t="s">
        <v>247</v>
      </c>
      <c r="D12" s="12" t="s">
        <v>178</v>
      </c>
      <c r="E12" s="16">
        <v>208.46</v>
      </c>
      <c r="F12" s="12" t="s">
        <v>249</v>
      </c>
      <c r="G12" s="18">
        <v>0.2379</v>
      </c>
      <c r="H12" s="12" t="s">
        <v>250</v>
      </c>
      <c r="I12" s="12" t="s">
        <v>247</v>
      </c>
      <c r="J12" s="12" t="s">
        <v>76</v>
      </c>
      <c r="K12" s="19" t="s">
        <v>86</v>
      </c>
      <c r="L12" s="18">
        <v>0.2379</v>
      </c>
      <c r="M12" s="12" t="s">
        <v>251</v>
      </c>
      <c r="N12" s="18">
        <v>0</v>
      </c>
      <c r="O12" s="20" t="s">
        <v>112</v>
      </c>
    </row>
    <row r="13" spans="1:15" ht="14.25" customHeight="1">
      <c r="A13" s="12">
        <v>1</v>
      </c>
      <c r="B13" s="12" t="s">
        <v>72</v>
      </c>
      <c r="C13" s="13" t="s">
        <v>248</v>
      </c>
      <c r="D13" s="12" t="s">
        <v>178</v>
      </c>
      <c r="E13" s="16">
        <v>22.84</v>
      </c>
      <c r="F13" s="12" t="s">
        <v>157</v>
      </c>
      <c r="G13" s="18">
        <v>0.14829999999999999</v>
      </c>
      <c r="H13" s="12" t="s">
        <v>246</v>
      </c>
      <c r="I13" s="12" t="s">
        <v>248</v>
      </c>
      <c r="J13" s="12" t="s">
        <v>76</v>
      </c>
      <c r="K13" s="19" t="s">
        <v>86</v>
      </c>
      <c r="L13" s="18">
        <v>0.14829999999999999</v>
      </c>
      <c r="M13" s="12" t="s">
        <v>256</v>
      </c>
      <c r="N13" s="18">
        <v>0</v>
      </c>
      <c r="O13" s="20" t="s">
        <v>112</v>
      </c>
    </row>
    <row r="14" spans="1:15" ht="14.25" customHeight="1">
      <c r="A14" s="12">
        <v>1</v>
      </c>
      <c r="B14" s="12" t="s">
        <v>72</v>
      </c>
      <c r="C14" s="13" t="s">
        <v>260</v>
      </c>
      <c r="D14" s="12" t="s">
        <v>261</v>
      </c>
      <c r="E14" s="16">
        <v>40.83</v>
      </c>
      <c r="F14" s="12" t="s">
        <v>157</v>
      </c>
      <c r="G14" s="18">
        <v>0.1497</v>
      </c>
      <c r="H14" s="12" t="s">
        <v>86</v>
      </c>
      <c r="I14" s="12" t="s">
        <v>260</v>
      </c>
      <c r="J14" s="12" t="s">
        <v>163</v>
      </c>
      <c r="K14" s="19" t="s">
        <v>164</v>
      </c>
      <c r="L14" s="18">
        <v>0.1497</v>
      </c>
      <c r="M14" s="12" t="s">
        <v>177</v>
      </c>
      <c r="N14" s="18">
        <v>0</v>
      </c>
      <c r="O14" s="23" t="s">
        <v>168</v>
      </c>
    </row>
    <row r="15" spans="1:15" ht="14.25" customHeight="1">
      <c r="A15" s="12">
        <v>1</v>
      </c>
      <c r="B15" s="12" t="s">
        <v>72</v>
      </c>
      <c r="C15" s="13" t="s">
        <v>267</v>
      </c>
      <c r="D15" s="12" t="s">
        <v>261</v>
      </c>
      <c r="E15" s="16">
        <v>140.5</v>
      </c>
      <c r="F15" s="12" t="s">
        <v>249</v>
      </c>
      <c r="G15" s="18">
        <v>0.2243</v>
      </c>
      <c r="H15" s="12" t="s">
        <v>269</v>
      </c>
      <c r="I15" s="12" t="s">
        <v>267</v>
      </c>
      <c r="J15" s="12" t="s">
        <v>76</v>
      </c>
      <c r="K15" s="19" t="s">
        <v>86</v>
      </c>
      <c r="L15" s="18">
        <v>0.2243</v>
      </c>
      <c r="M15" s="12" t="s">
        <v>177</v>
      </c>
      <c r="N15" s="18">
        <v>0</v>
      </c>
      <c r="O15" s="20" t="s">
        <v>112</v>
      </c>
    </row>
    <row r="16" spans="1:15" ht="14.25" customHeight="1">
      <c r="A16" s="12">
        <v>1</v>
      </c>
      <c r="B16" s="12" t="s">
        <v>72</v>
      </c>
      <c r="C16" s="13" t="s">
        <v>276</v>
      </c>
      <c r="D16" s="12" t="s">
        <v>277</v>
      </c>
      <c r="E16" s="16">
        <v>23.64</v>
      </c>
      <c r="F16" s="12" t="s">
        <v>77</v>
      </c>
      <c r="G16" s="18">
        <v>0.19139999999999999</v>
      </c>
      <c r="H16" s="12" t="s">
        <v>279</v>
      </c>
      <c r="I16" s="12" t="s">
        <v>276</v>
      </c>
      <c r="J16" s="12" t="s">
        <v>195</v>
      </c>
      <c r="K16" s="19" t="s">
        <v>221</v>
      </c>
      <c r="L16" s="18">
        <v>0.19139999999999999</v>
      </c>
      <c r="M16" s="12" t="s">
        <v>281</v>
      </c>
      <c r="N16" s="18">
        <v>0</v>
      </c>
      <c r="O16" s="23" t="s">
        <v>282</v>
      </c>
    </row>
    <row r="17" spans="1:15" ht="14.25" customHeight="1">
      <c r="A17" s="12">
        <v>1</v>
      </c>
      <c r="B17" s="12" t="s">
        <v>72</v>
      </c>
      <c r="C17" s="13" t="s">
        <v>284</v>
      </c>
      <c r="D17" s="12" t="s">
        <v>286</v>
      </c>
      <c r="E17" s="16">
        <v>41.54</v>
      </c>
      <c r="F17" s="12" t="s">
        <v>77</v>
      </c>
      <c r="G17" s="18">
        <v>0.19639999999999999</v>
      </c>
      <c r="H17" s="12" t="s">
        <v>287</v>
      </c>
      <c r="I17" s="12" t="s">
        <v>284</v>
      </c>
      <c r="J17" s="12" t="s">
        <v>76</v>
      </c>
      <c r="K17" s="19" t="s">
        <v>86</v>
      </c>
      <c r="L17" s="18">
        <v>0.19639999999999999</v>
      </c>
      <c r="M17" s="12" t="s">
        <v>290</v>
      </c>
      <c r="N17" s="18">
        <v>0</v>
      </c>
      <c r="O17" s="20" t="s">
        <v>112</v>
      </c>
    </row>
    <row r="18" spans="1:15" ht="14.25" customHeight="1">
      <c r="A18" s="12">
        <v>1</v>
      </c>
      <c r="B18" s="12" t="s">
        <v>72</v>
      </c>
      <c r="C18" s="13" t="s">
        <v>291</v>
      </c>
      <c r="D18" s="12" t="s">
        <v>103</v>
      </c>
      <c r="E18" s="16">
        <v>45.46</v>
      </c>
      <c r="F18" s="12" t="s">
        <v>77</v>
      </c>
      <c r="G18" s="18">
        <v>0.1996</v>
      </c>
      <c r="H18" s="12" t="s">
        <v>86</v>
      </c>
      <c r="I18" s="12" t="s">
        <v>291</v>
      </c>
      <c r="J18" s="12" t="s">
        <v>163</v>
      </c>
      <c r="K18" s="19" t="s">
        <v>164</v>
      </c>
      <c r="L18" s="18">
        <v>0.1996</v>
      </c>
      <c r="M18" s="12" t="s">
        <v>177</v>
      </c>
      <c r="N18" s="18">
        <v>0</v>
      </c>
      <c r="O18" s="23" t="s">
        <v>168</v>
      </c>
    </row>
    <row r="19" spans="1:15" ht="14.25" customHeight="1">
      <c r="A19" s="12">
        <v>1</v>
      </c>
      <c r="B19" s="12" t="s">
        <v>72</v>
      </c>
      <c r="C19" s="13" t="s">
        <v>296</v>
      </c>
      <c r="D19" s="12" t="s">
        <v>103</v>
      </c>
      <c r="E19" s="16">
        <v>156.13999999999999</v>
      </c>
      <c r="F19" s="12" t="s">
        <v>186</v>
      </c>
      <c r="G19" s="18">
        <v>0.1827</v>
      </c>
      <c r="H19" s="12" t="s">
        <v>295</v>
      </c>
      <c r="I19" s="12" t="s">
        <v>296</v>
      </c>
      <c r="J19" s="12" t="s">
        <v>76</v>
      </c>
      <c r="K19" s="19" t="s">
        <v>86</v>
      </c>
      <c r="L19" s="18">
        <v>0.1827</v>
      </c>
      <c r="M19" s="12" t="s">
        <v>297</v>
      </c>
      <c r="N19" s="18">
        <v>0</v>
      </c>
      <c r="O19" s="20" t="s">
        <v>112</v>
      </c>
    </row>
    <row r="20" spans="1:15" ht="14.25" customHeight="1">
      <c r="A20" s="12">
        <v>1</v>
      </c>
      <c r="B20" s="12" t="s">
        <v>72</v>
      </c>
      <c r="C20" s="13" t="s">
        <v>299</v>
      </c>
      <c r="D20" s="12" t="s">
        <v>103</v>
      </c>
      <c r="E20" s="16">
        <v>104.26</v>
      </c>
      <c r="F20" s="12" t="s">
        <v>300</v>
      </c>
      <c r="G20" s="18">
        <v>0.11</v>
      </c>
      <c r="H20" s="12" t="s">
        <v>301</v>
      </c>
      <c r="I20" s="12" t="s">
        <v>299</v>
      </c>
      <c r="J20" s="12" t="s">
        <v>76</v>
      </c>
      <c r="K20" s="19" t="s">
        <v>86</v>
      </c>
      <c r="L20" s="25">
        <v>8.09E-2</v>
      </c>
      <c r="M20" s="26" t="s">
        <v>303</v>
      </c>
      <c r="N20" s="25">
        <v>-2.9100000000000001E-2</v>
      </c>
      <c r="O20" s="27" t="s">
        <v>305</v>
      </c>
    </row>
    <row r="21" spans="1:15" ht="14.25" customHeight="1">
      <c r="A21" s="12">
        <v>1</v>
      </c>
      <c r="B21" s="12" t="s">
        <v>72</v>
      </c>
      <c r="C21" s="13" t="s">
        <v>165</v>
      </c>
      <c r="D21" s="12" t="s">
        <v>307</v>
      </c>
      <c r="E21" s="16">
        <v>20.23</v>
      </c>
      <c r="F21" s="12" t="s">
        <v>157</v>
      </c>
      <c r="G21" s="18">
        <v>0.1406</v>
      </c>
      <c r="H21" s="12" t="s">
        <v>160</v>
      </c>
      <c r="I21" s="12" t="s">
        <v>165</v>
      </c>
      <c r="J21" s="12" t="s">
        <v>76</v>
      </c>
      <c r="K21" s="19" t="s">
        <v>86</v>
      </c>
      <c r="L21" s="18" t="s">
        <v>166</v>
      </c>
      <c r="M21" s="12" t="s">
        <v>86</v>
      </c>
      <c r="N21" s="18" t="s">
        <v>86</v>
      </c>
      <c r="O21" s="20" t="s">
        <v>112</v>
      </c>
    </row>
    <row r="22" spans="1:15" ht="14.25" customHeight="1">
      <c r="A22" s="12">
        <v>1</v>
      </c>
      <c r="B22" s="12" t="s">
        <v>72</v>
      </c>
      <c r="C22" s="13" t="s">
        <v>314</v>
      </c>
      <c r="D22" s="12" t="s">
        <v>315</v>
      </c>
      <c r="E22" s="16">
        <v>79.81</v>
      </c>
      <c r="F22" s="12" t="s">
        <v>186</v>
      </c>
      <c r="G22" s="18">
        <v>0.17</v>
      </c>
      <c r="H22" s="12" t="s">
        <v>317</v>
      </c>
      <c r="I22" s="12" t="s">
        <v>314</v>
      </c>
      <c r="J22" s="12" t="s">
        <v>163</v>
      </c>
      <c r="K22" s="19" t="s">
        <v>164</v>
      </c>
      <c r="L22" s="18" t="s">
        <v>166</v>
      </c>
      <c r="M22" s="12" t="s">
        <v>86</v>
      </c>
      <c r="N22" s="18" t="s">
        <v>86</v>
      </c>
      <c r="O22" s="23" t="s">
        <v>168</v>
      </c>
    </row>
    <row r="23" spans="1:15" ht="14.25" customHeight="1">
      <c r="A23" s="12">
        <v>2</v>
      </c>
      <c r="B23" s="12" t="s">
        <v>320</v>
      </c>
      <c r="C23" s="13" t="s">
        <v>321</v>
      </c>
      <c r="D23" s="12" t="s">
        <v>322</v>
      </c>
      <c r="E23" s="16">
        <v>38.880000000000003</v>
      </c>
      <c r="F23" s="12" t="s">
        <v>300</v>
      </c>
      <c r="G23" s="18">
        <v>0.12909999999999999</v>
      </c>
      <c r="H23" s="12" t="s">
        <v>323</v>
      </c>
      <c r="I23" s="12" t="s">
        <v>86</v>
      </c>
      <c r="J23" s="12" t="s">
        <v>324</v>
      </c>
      <c r="K23" s="19" t="s">
        <v>325</v>
      </c>
      <c r="L23" s="18" t="s">
        <v>166</v>
      </c>
      <c r="M23" s="12" t="s">
        <v>86</v>
      </c>
      <c r="N23" s="18" t="s">
        <v>86</v>
      </c>
      <c r="O23" s="27" t="s">
        <v>328</v>
      </c>
    </row>
    <row r="24" spans="1:15" ht="14.25" customHeight="1">
      <c r="A24" s="12">
        <v>2</v>
      </c>
      <c r="B24" s="12" t="s">
        <v>320</v>
      </c>
      <c r="C24" s="13" t="s">
        <v>263</v>
      </c>
      <c r="D24" s="12" t="s">
        <v>129</v>
      </c>
      <c r="E24" s="16">
        <v>345.71</v>
      </c>
      <c r="F24" s="12" t="s">
        <v>77</v>
      </c>
      <c r="G24" s="18">
        <v>0.20469999999999999</v>
      </c>
      <c r="H24" s="12" t="s">
        <v>262</v>
      </c>
      <c r="I24" s="12" t="s">
        <v>263</v>
      </c>
      <c r="J24" s="12" t="s">
        <v>264</v>
      </c>
      <c r="K24" s="19" t="s">
        <v>332</v>
      </c>
      <c r="L24" s="18">
        <v>0.2039</v>
      </c>
      <c r="M24" s="12" t="s">
        <v>333</v>
      </c>
      <c r="N24" s="18">
        <v>-7.9999999999998291E-4</v>
      </c>
      <c r="O24" s="23" t="s">
        <v>334</v>
      </c>
    </row>
    <row r="25" spans="1:15" ht="14.25" customHeight="1">
      <c r="A25" s="12">
        <v>2</v>
      </c>
      <c r="B25" s="12" t="s">
        <v>320</v>
      </c>
      <c r="C25" s="13" t="s">
        <v>335</v>
      </c>
      <c r="D25" s="12" t="s">
        <v>156</v>
      </c>
      <c r="E25" s="16">
        <v>56.18</v>
      </c>
      <c r="F25" s="12" t="s">
        <v>300</v>
      </c>
      <c r="G25" s="18">
        <v>0.1232</v>
      </c>
      <c r="H25" s="12" t="s">
        <v>338</v>
      </c>
      <c r="I25" s="12" t="s">
        <v>86</v>
      </c>
      <c r="J25" s="12" t="s">
        <v>324</v>
      </c>
      <c r="K25" s="19" t="s">
        <v>325</v>
      </c>
      <c r="L25" s="18" t="s">
        <v>166</v>
      </c>
      <c r="M25" s="12" t="s">
        <v>86</v>
      </c>
      <c r="N25" s="18" t="s">
        <v>86</v>
      </c>
      <c r="O25" s="27" t="s">
        <v>328</v>
      </c>
    </row>
    <row r="26" spans="1:15" ht="14.25" customHeight="1">
      <c r="A26" s="12">
        <v>2</v>
      </c>
      <c r="B26" s="12" t="s">
        <v>320</v>
      </c>
      <c r="C26" s="13" t="s">
        <v>339</v>
      </c>
      <c r="D26" s="12" t="s">
        <v>340</v>
      </c>
      <c r="E26" s="16">
        <v>48.35</v>
      </c>
      <c r="F26" s="12" t="s">
        <v>341</v>
      </c>
      <c r="G26" s="18">
        <v>9.8299999999999998E-2</v>
      </c>
      <c r="H26" s="12" t="s">
        <v>342</v>
      </c>
      <c r="I26" s="12" t="s">
        <v>86</v>
      </c>
      <c r="J26" s="12" t="s">
        <v>324</v>
      </c>
      <c r="K26" s="19" t="s">
        <v>325</v>
      </c>
      <c r="L26" s="18" t="s">
        <v>166</v>
      </c>
      <c r="M26" s="12" t="s">
        <v>86</v>
      </c>
      <c r="N26" s="18" t="s">
        <v>86</v>
      </c>
      <c r="O26" s="27" t="s">
        <v>328</v>
      </c>
    </row>
    <row r="27" spans="1:15" ht="14.25" customHeight="1">
      <c r="A27" s="12">
        <v>2</v>
      </c>
      <c r="B27" s="12" t="s">
        <v>320</v>
      </c>
      <c r="C27" s="13" t="s">
        <v>187</v>
      </c>
      <c r="D27" s="12" t="s">
        <v>75</v>
      </c>
      <c r="E27" s="16">
        <v>77.72</v>
      </c>
      <c r="F27" s="12" t="s">
        <v>77</v>
      </c>
      <c r="G27" s="18">
        <v>0.21510000000000001</v>
      </c>
      <c r="H27" s="12" t="s">
        <v>185</v>
      </c>
      <c r="I27" s="12" t="s">
        <v>187</v>
      </c>
      <c r="J27" s="12" t="s">
        <v>76</v>
      </c>
      <c r="K27" s="19" t="s">
        <v>86</v>
      </c>
      <c r="L27" s="18">
        <v>0.21510000000000001</v>
      </c>
      <c r="M27" s="12" t="s">
        <v>347</v>
      </c>
      <c r="N27" s="18">
        <v>0</v>
      </c>
      <c r="O27" s="20" t="s">
        <v>112</v>
      </c>
    </row>
    <row r="28" spans="1:15" ht="14.25" customHeight="1">
      <c r="A28" s="12">
        <v>2</v>
      </c>
      <c r="B28" s="12" t="s">
        <v>320</v>
      </c>
      <c r="C28" s="13" t="s">
        <v>82</v>
      </c>
      <c r="D28" s="12" t="s">
        <v>75</v>
      </c>
      <c r="E28" s="16">
        <v>115.6</v>
      </c>
      <c r="F28" s="12" t="s">
        <v>249</v>
      </c>
      <c r="G28" s="18">
        <v>0.24959999999999999</v>
      </c>
      <c r="H28" s="12" t="s">
        <v>78</v>
      </c>
      <c r="I28" s="12" t="s">
        <v>82</v>
      </c>
      <c r="J28" s="12" t="s">
        <v>76</v>
      </c>
      <c r="K28" s="19" t="s">
        <v>86</v>
      </c>
      <c r="L28" s="18">
        <v>0.24959999999999999</v>
      </c>
      <c r="M28" s="12" t="s">
        <v>348</v>
      </c>
      <c r="N28" s="18">
        <v>0</v>
      </c>
      <c r="O28" s="20" t="s">
        <v>112</v>
      </c>
    </row>
    <row r="29" spans="1:15" ht="14.25" customHeight="1">
      <c r="A29" s="12">
        <v>2</v>
      </c>
      <c r="B29" s="12" t="s">
        <v>320</v>
      </c>
      <c r="C29" s="13" t="s">
        <v>137</v>
      </c>
      <c r="D29" s="12" t="s">
        <v>75</v>
      </c>
      <c r="E29" s="16">
        <v>28.38</v>
      </c>
      <c r="F29" s="12" t="s">
        <v>249</v>
      </c>
      <c r="G29" s="18">
        <v>0.223</v>
      </c>
      <c r="H29" s="12" t="s">
        <v>127</v>
      </c>
      <c r="I29" s="12" t="s">
        <v>137</v>
      </c>
      <c r="J29" s="12" t="s">
        <v>76</v>
      </c>
      <c r="K29" s="19" t="s">
        <v>86</v>
      </c>
      <c r="L29" s="18">
        <v>0.223</v>
      </c>
      <c r="M29" s="12" t="s">
        <v>351</v>
      </c>
      <c r="N29" s="18">
        <v>0</v>
      </c>
      <c r="O29" s="20" t="s">
        <v>112</v>
      </c>
    </row>
    <row r="30" spans="1:15" ht="14.25" customHeight="1">
      <c r="A30" s="12">
        <v>2</v>
      </c>
      <c r="B30" s="12" t="s">
        <v>320</v>
      </c>
      <c r="C30" s="13" t="s">
        <v>212</v>
      </c>
      <c r="D30" s="12" t="s">
        <v>353</v>
      </c>
      <c r="E30" s="16">
        <v>27.07</v>
      </c>
      <c r="F30" s="12" t="s">
        <v>341</v>
      </c>
      <c r="G30" s="18">
        <v>8.0199999999999994E-2</v>
      </c>
      <c r="H30" s="12" t="s">
        <v>211</v>
      </c>
      <c r="I30" s="12" t="s">
        <v>212</v>
      </c>
      <c r="J30" s="12" t="s">
        <v>76</v>
      </c>
      <c r="K30" s="19" t="s">
        <v>86</v>
      </c>
      <c r="L30" s="18">
        <v>8.0199999999999994E-2</v>
      </c>
      <c r="M30" s="12" t="s">
        <v>358</v>
      </c>
      <c r="N30" s="18">
        <v>0</v>
      </c>
      <c r="O30" s="20" t="s">
        <v>112</v>
      </c>
    </row>
    <row r="31" spans="1:15" ht="14.25" customHeight="1">
      <c r="A31" s="12">
        <v>2</v>
      </c>
      <c r="B31" s="12" t="s">
        <v>320</v>
      </c>
      <c r="C31" s="13" t="s">
        <v>362</v>
      </c>
      <c r="D31" s="12" t="s">
        <v>183</v>
      </c>
      <c r="E31" s="16">
        <v>8.85</v>
      </c>
      <c r="F31" s="12" t="s">
        <v>157</v>
      </c>
      <c r="G31" s="18">
        <v>0.14680000000000001</v>
      </c>
      <c r="H31" s="12" t="s">
        <v>182</v>
      </c>
      <c r="I31" s="12" t="s">
        <v>181</v>
      </c>
      <c r="J31" s="12" t="s">
        <v>76</v>
      </c>
      <c r="K31" s="19" t="s">
        <v>86</v>
      </c>
      <c r="L31" s="18">
        <v>0.14680000000000001</v>
      </c>
      <c r="M31" s="12" t="s">
        <v>365</v>
      </c>
      <c r="N31" s="18">
        <v>0</v>
      </c>
      <c r="O31" s="20" t="s">
        <v>112</v>
      </c>
    </row>
    <row r="32" spans="1:15" ht="14.25" customHeight="1">
      <c r="A32" s="12">
        <v>2</v>
      </c>
      <c r="B32" s="12" t="s">
        <v>320</v>
      </c>
      <c r="C32" s="13" t="s">
        <v>265</v>
      </c>
      <c r="D32" s="12" t="s">
        <v>234</v>
      </c>
      <c r="E32" s="16">
        <v>44.84</v>
      </c>
      <c r="F32" s="12" t="s">
        <v>157</v>
      </c>
      <c r="G32" s="18">
        <v>0.13339999999999999</v>
      </c>
      <c r="H32" s="12" t="s">
        <v>86</v>
      </c>
      <c r="I32" s="12" t="s">
        <v>265</v>
      </c>
      <c r="J32" s="12" t="s">
        <v>268</v>
      </c>
      <c r="K32" s="19" t="s">
        <v>271</v>
      </c>
      <c r="L32" s="18">
        <v>0.13339999999999999</v>
      </c>
      <c r="M32" s="12" t="s">
        <v>177</v>
      </c>
      <c r="N32" s="18">
        <v>0</v>
      </c>
      <c r="O32" s="23" t="s">
        <v>375</v>
      </c>
    </row>
    <row r="33" spans="1:15" ht="14.25" customHeight="1">
      <c r="A33" s="12">
        <v>2</v>
      </c>
      <c r="B33" s="12" t="s">
        <v>320</v>
      </c>
      <c r="C33" s="13" t="s">
        <v>253</v>
      </c>
      <c r="D33" s="12" t="s">
        <v>178</v>
      </c>
      <c r="E33" s="16">
        <v>13.63</v>
      </c>
      <c r="F33" s="12" t="s">
        <v>77</v>
      </c>
      <c r="G33" s="18">
        <v>0.1981</v>
      </c>
      <c r="H33" s="12" t="s">
        <v>252</v>
      </c>
      <c r="I33" s="12" t="s">
        <v>253</v>
      </c>
      <c r="J33" s="12" t="s">
        <v>76</v>
      </c>
      <c r="K33" s="19" t="s">
        <v>86</v>
      </c>
      <c r="L33" s="18">
        <v>0.1981</v>
      </c>
      <c r="M33" s="12" t="s">
        <v>382</v>
      </c>
      <c r="N33" s="18">
        <v>0</v>
      </c>
      <c r="O33" s="20" t="s">
        <v>112</v>
      </c>
    </row>
    <row r="34" spans="1:15" ht="14.25" customHeight="1">
      <c r="A34" s="12">
        <v>2</v>
      </c>
      <c r="B34" s="12" t="s">
        <v>320</v>
      </c>
      <c r="C34" s="13" t="s">
        <v>293</v>
      </c>
      <c r="D34" s="12" t="s">
        <v>178</v>
      </c>
      <c r="E34" s="16">
        <v>237.67</v>
      </c>
      <c r="F34" s="12" t="s">
        <v>384</v>
      </c>
      <c r="G34" s="18">
        <v>0.2545</v>
      </c>
      <c r="H34" s="12" t="s">
        <v>292</v>
      </c>
      <c r="I34" s="12" t="s">
        <v>293</v>
      </c>
      <c r="J34" s="12" t="s">
        <v>76</v>
      </c>
      <c r="K34" s="19" t="s">
        <v>86</v>
      </c>
      <c r="L34" s="18">
        <v>0.2545</v>
      </c>
      <c r="M34" s="12" t="s">
        <v>389</v>
      </c>
      <c r="N34" s="18">
        <v>0</v>
      </c>
      <c r="O34" s="20" t="s">
        <v>112</v>
      </c>
    </row>
    <row r="35" spans="1:15" ht="14.25" customHeight="1">
      <c r="A35" s="12">
        <v>2</v>
      </c>
      <c r="B35" s="12" t="s">
        <v>320</v>
      </c>
      <c r="C35" s="13" t="s">
        <v>244</v>
      </c>
      <c r="D35" s="12" t="s">
        <v>178</v>
      </c>
      <c r="E35" s="16">
        <v>200.42</v>
      </c>
      <c r="F35" s="12" t="s">
        <v>77</v>
      </c>
      <c r="G35" s="18">
        <v>0.21290000000000001</v>
      </c>
      <c r="H35" s="12" t="s">
        <v>243</v>
      </c>
      <c r="I35" s="12" t="s">
        <v>244</v>
      </c>
      <c r="J35" s="12" t="s">
        <v>76</v>
      </c>
      <c r="K35" s="19" t="s">
        <v>86</v>
      </c>
      <c r="L35" s="18">
        <v>0.21290000000000001</v>
      </c>
      <c r="M35" s="12" t="s">
        <v>403</v>
      </c>
      <c r="N35" s="18">
        <v>0</v>
      </c>
      <c r="O35" s="20" t="s">
        <v>112</v>
      </c>
    </row>
    <row r="36" spans="1:15" ht="14.25" customHeight="1">
      <c r="A36" s="12">
        <v>2</v>
      </c>
      <c r="B36" s="12" t="s">
        <v>320</v>
      </c>
      <c r="C36" s="13" t="s">
        <v>180</v>
      </c>
      <c r="D36" s="12" t="s">
        <v>178</v>
      </c>
      <c r="E36" s="16">
        <v>171.03</v>
      </c>
      <c r="F36" s="12" t="s">
        <v>384</v>
      </c>
      <c r="G36" s="18">
        <v>0.25729999999999997</v>
      </c>
      <c r="H36" s="12" t="s">
        <v>179</v>
      </c>
      <c r="I36" s="12" t="s">
        <v>180</v>
      </c>
      <c r="J36" s="12" t="s">
        <v>76</v>
      </c>
      <c r="K36" s="19" t="s">
        <v>86</v>
      </c>
      <c r="L36" s="18">
        <v>0.25729999999999997</v>
      </c>
      <c r="M36" s="12" t="s">
        <v>408</v>
      </c>
      <c r="N36" s="18">
        <v>0</v>
      </c>
      <c r="O36" s="20" t="s">
        <v>112</v>
      </c>
    </row>
    <row r="37" spans="1:15" ht="14.25" customHeight="1">
      <c r="A37" s="12">
        <v>2</v>
      </c>
      <c r="B37" s="12" t="s">
        <v>320</v>
      </c>
      <c r="C37" s="13" t="s">
        <v>409</v>
      </c>
      <c r="D37" s="12" t="s">
        <v>410</v>
      </c>
      <c r="E37" s="16">
        <v>20.170000000000002</v>
      </c>
      <c r="F37" s="12" t="s">
        <v>300</v>
      </c>
      <c r="G37" s="18">
        <v>0.1153</v>
      </c>
      <c r="H37" s="12" t="s">
        <v>416</v>
      </c>
      <c r="I37" s="12" t="s">
        <v>418</v>
      </c>
      <c r="J37" s="12" t="s">
        <v>195</v>
      </c>
      <c r="K37" s="19" t="s">
        <v>200</v>
      </c>
      <c r="L37" s="18">
        <v>0.1153</v>
      </c>
      <c r="M37" s="12" t="s">
        <v>177</v>
      </c>
      <c r="N37" s="18">
        <v>0</v>
      </c>
      <c r="O37" s="23" t="s">
        <v>282</v>
      </c>
    </row>
    <row r="38" spans="1:15" ht="14.25" customHeight="1">
      <c r="A38" s="12">
        <v>2</v>
      </c>
      <c r="B38" s="12" t="s">
        <v>320</v>
      </c>
      <c r="C38" s="13" t="s">
        <v>273</v>
      </c>
      <c r="D38" s="12" t="s">
        <v>261</v>
      </c>
      <c r="E38" s="16">
        <v>249.95</v>
      </c>
      <c r="F38" s="12" t="s">
        <v>77</v>
      </c>
      <c r="G38" s="18">
        <v>0.2039</v>
      </c>
      <c r="H38" s="12" t="s">
        <v>270</v>
      </c>
      <c r="I38" s="12" t="s">
        <v>273</v>
      </c>
      <c r="J38" s="12" t="s">
        <v>76</v>
      </c>
      <c r="K38" s="19" t="s">
        <v>86</v>
      </c>
      <c r="L38" s="18">
        <v>0.2039</v>
      </c>
      <c r="M38" s="12" t="s">
        <v>429</v>
      </c>
      <c r="N38" s="18">
        <v>0</v>
      </c>
      <c r="O38" s="20" t="s">
        <v>112</v>
      </c>
    </row>
    <row r="39" spans="1:15" ht="14.25" customHeight="1">
      <c r="A39" s="12">
        <v>2</v>
      </c>
      <c r="B39" s="12" t="s">
        <v>320</v>
      </c>
      <c r="C39" s="13" t="s">
        <v>430</v>
      </c>
      <c r="D39" s="12" t="s">
        <v>286</v>
      </c>
      <c r="E39" s="16">
        <v>12</v>
      </c>
      <c r="F39" s="12" t="s">
        <v>186</v>
      </c>
      <c r="G39" s="18">
        <v>0.1671</v>
      </c>
      <c r="H39" s="12" t="s">
        <v>431</v>
      </c>
      <c r="I39" s="12" t="s">
        <v>433</v>
      </c>
      <c r="J39" s="12" t="s">
        <v>163</v>
      </c>
      <c r="K39" s="19" t="s">
        <v>224</v>
      </c>
      <c r="L39" s="18" t="s">
        <v>166</v>
      </c>
      <c r="M39" s="12" t="s">
        <v>86</v>
      </c>
      <c r="N39" s="18" t="s">
        <v>86</v>
      </c>
      <c r="O39" s="23" t="s">
        <v>168</v>
      </c>
    </row>
    <row r="40" spans="1:15" ht="14.25" customHeight="1">
      <c r="A40" s="12">
        <v>2</v>
      </c>
      <c r="B40" s="12" t="s">
        <v>320</v>
      </c>
      <c r="C40" s="13" t="s">
        <v>436</v>
      </c>
      <c r="D40" s="12" t="s">
        <v>286</v>
      </c>
      <c r="E40" s="16">
        <v>46</v>
      </c>
      <c r="F40" s="12" t="s">
        <v>157</v>
      </c>
      <c r="G40" s="18">
        <v>0.13300000000000001</v>
      </c>
      <c r="H40" s="12" t="s">
        <v>437</v>
      </c>
      <c r="I40" s="12" t="s">
        <v>433</v>
      </c>
      <c r="J40" s="12" t="s">
        <v>163</v>
      </c>
      <c r="K40" s="19" t="s">
        <v>224</v>
      </c>
      <c r="L40" s="25">
        <v>0.2054</v>
      </c>
      <c r="M40" s="26" t="s">
        <v>440</v>
      </c>
      <c r="N40" s="25">
        <v>7.2399999999999978E-2</v>
      </c>
      <c r="O40" s="27" t="s">
        <v>441</v>
      </c>
    </row>
    <row r="41" spans="1:15" ht="14.25" customHeight="1">
      <c r="A41" s="12">
        <v>2</v>
      </c>
      <c r="B41" s="12" t="s">
        <v>320</v>
      </c>
      <c r="C41" s="13" t="s">
        <v>443</v>
      </c>
      <c r="D41" s="12" t="s">
        <v>286</v>
      </c>
      <c r="E41" s="16">
        <v>11</v>
      </c>
      <c r="F41" s="12" t="s">
        <v>157</v>
      </c>
      <c r="G41" s="18">
        <v>0.1497</v>
      </c>
      <c r="H41" s="12" t="s">
        <v>445</v>
      </c>
      <c r="I41" s="12" t="s">
        <v>433</v>
      </c>
      <c r="J41" s="12" t="s">
        <v>163</v>
      </c>
      <c r="K41" s="19" t="s">
        <v>224</v>
      </c>
      <c r="L41" s="18">
        <v>0.15160000000000001</v>
      </c>
      <c r="M41" s="12" t="s">
        <v>446</v>
      </c>
      <c r="N41" s="18">
        <v>1.899999999999995E-3</v>
      </c>
      <c r="O41" s="23" t="s">
        <v>168</v>
      </c>
    </row>
    <row r="42" spans="1:15" ht="14.25" customHeight="1">
      <c r="A42" s="12">
        <v>2</v>
      </c>
      <c r="B42" s="12" t="s">
        <v>320</v>
      </c>
      <c r="C42" s="13" t="s">
        <v>355</v>
      </c>
      <c r="D42" s="12" t="s">
        <v>359</v>
      </c>
      <c r="E42" s="16">
        <v>21.67</v>
      </c>
      <c r="F42" s="12" t="s">
        <v>186</v>
      </c>
      <c r="G42" s="18">
        <v>0.17399999999999999</v>
      </c>
      <c r="H42" s="12" t="s">
        <v>357</v>
      </c>
      <c r="I42" s="12" t="s">
        <v>355</v>
      </c>
      <c r="J42" s="12" t="s">
        <v>163</v>
      </c>
      <c r="K42" s="19" t="s">
        <v>224</v>
      </c>
      <c r="L42" s="18">
        <v>0.1704</v>
      </c>
      <c r="M42" s="12" t="s">
        <v>457</v>
      </c>
      <c r="N42" s="18">
        <v>-3.5999999999999938E-3</v>
      </c>
      <c r="O42" s="23" t="s">
        <v>168</v>
      </c>
    </row>
    <row r="43" spans="1:15" ht="14.25" customHeight="1">
      <c r="A43" s="12">
        <v>2</v>
      </c>
      <c r="B43" s="12" t="s">
        <v>320</v>
      </c>
      <c r="C43" s="13" t="s">
        <v>227</v>
      </c>
      <c r="D43" s="12" t="s">
        <v>222</v>
      </c>
      <c r="E43" s="16">
        <v>244.06</v>
      </c>
      <c r="F43" s="12" t="s">
        <v>186</v>
      </c>
      <c r="G43" s="18">
        <v>0.16819999999999999</v>
      </c>
      <c r="H43" s="12" t="s">
        <v>223</v>
      </c>
      <c r="I43" s="12" t="s">
        <v>227</v>
      </c>
      <c r="J43" s="12" t="s">
        <v>76</v>
      </c>
      <c r="K43" s="19" t="s">
        <v>86</v>
      </c>
      <c r="L43" s="18">
        <v>0.16819999999999999</v>
      </c>
      <c r="M43" s="12" t="s">
        <v>177</v>
      </c>
      <c r="N43" s="18">
        <v>0</v>
      </c>
      <c r="O43" s="20" t="s">
        <v>112</v>
      </c>
    </row>
    <row r="44" spans="1:15" ht="14.25" customHeight="1">
      <c r="A44" s="12">
        <v>2</v>
      </c>
      <c r="B44" s="12" t="s">
        <v>320</v>
      </c>
      <c r="C44" s="13" t="s">
        <v>304</v>
      </c>
      <c r="D44" s="12" t="s">
        <v>103</v>
      </c>
      <c r="E44" s="16">
        <v>213.59</v>
      </c>
      <c r="F44" s="12" t="s">
        <v>157</v>
      </c>
      <c r="G44" s="18">
        <v>0.15379999999999999</v>
      </c>
      <c r="H44" s="12" t="s">
        <v>302</v>
      </c>
      <c r="I44" s="12" t="s">
        <v>304</v>
      </c>
      <c r="J44" s="12" t="s">
        <v>76</v>
      </c>
      <c r="K44" s="19" t="s">
        <v>86</v>
      </c>
      <c r="L44" s="18" t="s">
        <v>166</v>
      </c>
      <c r="M44" s="12" t="s">
        <v>86</v>
      </c>
      <c r="N44" s="18" t="s">
        <v>86</v>
      </c>
      <c r="O44" s="20" t="s">
        <v>112</v>
      </c>
    </row>
    <row r="45" spans="1:15" ht="14.25" customHeight="1">
      <c r="A45" s="12">
        <v>2</v>
      </c>
      <c r="B45" s="12" t="s">
        <v>320</v>
      </c>
      <c r="C45" s="13" t="s">
        <v>116</v>
      </c>
      <c r="D45" s="12" t="s">
        <v>103</v>
      </c>
      <c r="E45" s="16">
        <v>14.76</v>
      </c>
      <c r="F45" s="12" t="s">
        <v>341</v>
      </c>
      <c r="G45" s="18">
        <v>9.4299999999999995E-2</v>
      </c>
      <c r="H45" s="12" t="s">
        <v>109</v>
      </c>
      <c r="I45" s="12" t="s">
        <v>116</v>
      </c>
      <c r="J45" s="12" t="s">
        <v>76</v>
      </c>
      <c r="K45" s="19" t="s">
        <v>86</v>
      </c>
      <c r="L45" s="18">
        <v>9.4299999999999995E-2</v>
      </c>
      <c r="M45" s="12" t="s">
        <v>466</v>
      </c>
      <c r="N45" s="18">
        <v>0</v>
      </c>
      <c r="O45" s="20" t="s">
        <v>112</v>
      </c>
    </row>
    <row r="46" spans="1:15" ht="14.25" customHeight="1">
      <c r="A46" s="12">
        <v>2</v>
      </c>
      <c r="B46" s="12" t="s">
        <v>320</v>
      </c>
      <c r="C46" s="13" t="s">
        <v>237</v>
      </c>
      <c r="D46" s="12" t="s">
        <v>103</v>
      </c>
      <c r="E46" s="16">
        <v>267.58999999999997</v>
      </c>
      <c r="F46" s="12" t="s">
        <v>186</v>
      </c>
      <c r="G46" s="18">
        <v>0.16550000000000001</v>
      </c>
      <c r="H46" s="12" t="s">
        <v>235</v>
      </c>
      <c r="I46" s="12" t="s">
        <v>237</v>
      </c>
      <c r="J46" s="12" t="s">
        <v>76</v>
      </c>
      <c r="K46" s="19" t="s">
        <v>86</v>
      </c>
      <c r="L46" s="18">
        <v>0.16550000000000001</v>
      </c>
      <c r="M46" s="12" t="s">
        <v>470</v>
      </c>
      <c r="N46" s="18">
        <v>0</v>
      </c>
      <c r="O46" s="20" t="s">
        <v>112</v>
      </c>
    </row>
    <row r="47" spans="1:15" ht="14.25" customHeight="1">
      <c r="A47" s="12">
        <v>2</v>
      </c>
      <c r="B47" s="12" t="s">
        <v>320</v>
      </c>
      <c r="C47" s="13" t="s">
        <v>471</v>
      </c>
      <c r="D47" s="12" t="s">
        <v>307</v>
      </c>
      <c r="E47" s="16">
        <v>48.09</v>
      </c>
      <c r="F47" s="12" t="s">
        <v>157</v>
      </c>
      <c r="G47" s="18">
        <v>0.13</v>
      </c>
      <c r="H47" s="12" t="s">
        <v>474</v>
      </c>
      <c r="I47" s="12" t="s">
        <v>471</v>
      </c>
      <c r="J47" s="12" t="s">
        <v>163</v>
      </c>
      <c r="K47" s="19" t="s">
        <v>224</v>
      </c>
      <c r="L47" s="18">
        <v>0.1333</v>
      </c>
      <c r="M47" s="12" t="s">
        <v>475</v>
      </c>
      <c r="N47" s="18">
        <v>3.3000000000000008E-3</v>
      </c>
      <c r="O47" s="23" t="s">
        <v>168</v>
      </c>
    </row>
    <row r="48" spans="1:15" ht="14.25" customHeight="1">
      <c r="A48" s="12">
        <v>2</v>
      </c>
      <c r="B48" s="12" t="s">
        <v>320</v>
      </c>
      <c r="C48" s="13" t="s">
        <v>476</v>
      </c>
      <c r="D48" s="12" t="s">
        <v>477</v>
      </c>
      <c r="E48" s="16">
        <v>49.91</v>
      </c>
      <c r="F48" s="12" t="s">
        <v>157</v>
      </c>
      <c r="G48" s="18">
        <v>0.15629999999999999</v>
      </c>
      <c r="H48" s="12" t="s">
        <v>479</v>
      </c>
      <c r="I48" s="12" t="s">
        <v>86</v>
      </c>
      <c r="J48" s="12" t="s">
        <v>324</v>
      </c>
      <c r="K48" s="19" t="s">
        <v>325</v>
      </c>
      <c r="L48" s="18" t="s">
        <v>166</v>
      </c>
      <c r="M48" s="12" t="s">
        <v>86</v>
      </c>
      <c r="N48" s="18" t="s">
        <v>86</v>
      </c>
      <c r="O48" s="27" t="s">
        <v>328</v>
      </c>
    </row>
    <row r="49" spans="1:15" ht="14.25" customHeight="1">
      <c r="A49" s="12">
        <v>2</v>
      </c>
      <c r="B49" s="12" t="s">
        <v>320</v>
      </c>
      <c r="C49" s="13" t="s">
        <v>481</v>
      </c>
      <c r="D49" s="12" t="s">
        <v>315</v>
      </c>
      <c r="E49" s="16">
        <v>23.44</v>
      </c>
      <c r="F49" s="12" t="s">
        <v>186</v>
      </c>
      <c r="G49" s="18">
        <v>0.17130000000000001</v>
      </c>
      <c r="H49" s="12" t="s">
        <v>482</v>
      </c>
      <c r="I49" s="12" t="s">
        <v>481</v>
      </c>
      <c r="J49" s="12" t="s">
        <v>76</v>
      </c>
      <c r="K49" s="19" t="s">
        <v>86</v>
      </c>
      <c r="L49" s="18">
        <v>0.17130000000000001</v>
      </c>
      <c r="M49" s="12" t="s">
        <v>483</v>
      </c>
      <c r="N49" s="18">
        <v>0</v>
      </c>
      <c r="O49" s="20" t="s">
        <v>112</v>
      </c>
    </row>
    <row r="50" spans="1:15" ht="14.25" customHeight="1">
      <c r="A50" s="12">
        <v>2</v>
      </c>
      <c r="B50" s="12" t="s">
        <v>320</v>
      </c>
      <c r="C50" s="13" t="s">
        <v>484</v>
      </c>
      <c r="D50" s="12" t="s">
        <v>485</v>
      </c>
      <c r="E50" s="16">
        <v>28.68</v>
      </c>
      <c r="F50" s="12" t="s">
        <v>300</v>
      </c>
      <c r="G50" s="18">
        <v>0.1096</v>
      </c>
      <c r="H50" s="12" t="s">
        <v>86</v>
      </c>
      <c r="I50" s="12" t="s">
        <v>486</v>
      </c>
      <c r="J50" s="12" t="s">
        <v>76</v>
      </c>
      <c r="K50" s="19" t="s">
        <v>86</v>
      </c>
      <c r="L50" s="18">
        <v>0.1096</v>
      </c>
      <c r="M50" s="12" t="s">
        <v>488</v>
      </c>
      <c r="N50" s="18">
        <v>0</v>
      </c>
      <c r="O50" s="20" t="s">
        <v>112</v>
      </c>
    </row>
    <row r="51" spans="1:15" ht="14.25" customHeight="1">
      <c r="A51" s="12">
        <v>2</v>
      </c>
      <c r="B51" s="12" t="s">
        <v>320</v>
      </c>
      <c r="C51" s="13" t="s">
        <v>170</v>
      </c>
      <c r="D51" s="12" t="s">
        <v>491</v>
      </c>
      <c r="E51" s="16">
        <v>82.63</v>
      </c>
      <c r="F51" s="12" t="s">
        <v>77</v>
      </c>
      <c r="G51" s="18">
        <v>0.2167</v>
      </c>
      <c r="H51" s="12" t="s">
        <v>169</v>
      </c>
      <c r="I51" s="12" t="s">
        <v>170</v>
      </c>
      <c r="J51" s="12" t="s">
        <v>76</v>
      </c>
      <c r="K51" s="19" t="s">
        <v>86</v>
      </c>
      <c r="L51" s="18">
        <v>0.2167</v>
      </c>
      <c r="M51" s="12" t="s">
        <v>492</v>
      </c>
      <c r="N51" s="18">
        <v>0</v>
      </c>
      <c r="O51" s="20" t="s">
        <v>112</v>
      </c>
    </row>
    <row r="52" spans="1:15" ht="14.25" customHeight="1">
      <c r="A52" s="12">
        <v>3</v>
      </c>
      <c r="B52" s="12" t="s">
        <v>493</v>
      </c>
      <c r="C52" s="13" t="s">
        <v>154</v>
      </c>
      <c r="D52" s="12" t="s">
        <v>494</v>
      </c>
      <c r="E52" s="16">
        <v>24.37</v>
      </c>
      <c r="F52" s="12" t="s">
        <v>186</v>
      </c>
      <c r="G52" s="18">
        <v>0.16930000000000001</v>
      </c>
      <c r="H52" s="12" t="s">
        <v>153</v>
      </c>
      <c r="I52" s="12" t="s">
        <v>154</v>
      </c>
      <c r="J52" s="12" t="s">
        <v>76</v>
      </c>
      <c r="K52" s="19" t="s">
        <v>86</v>
      </c>
      <c r="L52" s="18">
        <v>0.16930000000000001</v>
      </c>
      <c r="M52" s="12" t="s">
        <v>499</v>
      </c>
      <c r="N52" s="18">
        <v>0</v>
      </c>
      <c r="O52" s="20" t="s">
        <v>112</v>
      </c>
    </row>
    <row r="53" spans="1:15" ht="14.25" customHeight="1">
      <c r="A53" s="12">
        <v>3</v>
      </c>
      <c r="B53" s="12" t="s">
        <v>493</v>
      </c>
      <c r="C53" s="13" t="s">
        <v>280</v>
      </c>
      <c r="D53" s="12" t="s">
        <v>129</v>
      </c>
      <c r="E53" s="16">
        <v>251.02</v>
      </c>
      <c r="F53" s="12" t="s">
        <v>249</v>
      </c>
      <c r="G53" s="18">
        <v>0.23419999999999999</v>
      </c>
      <c r="H53" s="12" t="s">
        <v>278</v>
      </c>
      <c r="I53" s="12" t="s">
        <v>280</v>
      </c>
      <c r="J53" s="12" t="s">
        <v>76</v>
      </c>
      <c r="K53" s="19" t="s">
        <v>86</v>
      </c>
      <c r="L53" s="18" t="s">
        <v>166</v>
      </c>
      <c r="M53" s="12" t="s">
        <v>86</v>
      </c>
      <c r="N53" s="18" t="s">
        <v>86</v>
      </c>
      <c r="O53" s="20" t="s">
        <v>112</v>
      </c>
    </row>
    <row r="54" spans="1:15" ht="14.25" customHeight="1">
      <c r="A54" s="12">
        <v>3</v>
      </c>
      <c r="B54" s="12" t="s">
        <v>493</v>
      </c>
      <c r="C54" s="13" t="s">
        <v>161</v>
      </c>
      <c r="D54" s="12" t="s">
        <v>156</v>
      </c>
      <c r="E54" s="16">
        <v>13.94</v>
      </c>
      <c r="F54" s="12" t="s">
        <v>157</v>
      </c>
      <c r="G54" s="18">
        <v>0.13350000000000001</v>
      </c>
      <c r="H54" s="12" t="s">
        <v>162</v>
      </c>
      <c r="I54" s="12" t="s">
        <v>161</v>
      </c>
      <c r="J54" s="12" t="s">
        <v>76</v>
      </c>
      <c r="K54" s="19" t="s">
        <v>86</v>
      </c>
      <c r="L54" s="18">
        <v>0.13350000000000001</v>
      </c>
      <c r="M54" s="12" t="s">
        <v>504</v>
      </c>
      <c r="N54" s="18">
        <v>0</v>
      </c>
      <c r="O54" s="20" t="s">
        <v>112</v>
      </c>
    </row>
    <row r="55" spans="1:15" ht="14.25" customHeight="1">
      <c r="A55" s="12">
        <v>3</v>
      </c>
      <c r="B55" s="12" t="s">
        <v>493</v>
      </c>
      <c r="C55" s="13" t="s">
        <v>240</v>
      </c>
      <c r="D55" s="12" t="s">
        <v>75</v>
      </c>
      <c r="E55" s="16">
        <v>43.95</v>
      </c>
      <c r="F55" s="12" t="s">
        <v>157</v>
      </c>
      <c r="G55" s="18">
        <v>0.1449</v>
      </c>
      <c r="H55" s="12" t="s">
        <v>239</v>
      </c>
      <c r="I55" s="12" t="s">
        <v>240</v>
      </c>
      <c r="J55" s="12" t="s">
        <v>76</v>
      </c>
      <c r="K55" s="19" t="s">
        <v>86</v>
      </c>
      <c r="L55" s="18">
        <v>0.14929999999999999</v>
      </c>
      <c r="M55" s="12" t="s">
        <v>507</v>
      </c>
      <c r="N55" s="18">
        <v>4.3999999999999951E-3</v>
      </c>
      <c r="O55" s="20" t="s">
        <v>112</v>
      </c>
    </row>
    <row r="56" spans="1:15" ht="14.25" customHeight="1">
      <c r="A56" s="12">
        <v>3</v>
      </c>
      <c r="B56" s="12" t="s">
        <v>493</v>
      </c>
      <c r="C56" s="13" t="s">
        <v>190</v>
      </c>
      <c r="D56" s="12" t="s">
        <v>75</v>
      </c>
      <c r="E56" s="16">
        <v>39.72</v>
      </c>
      <c r="F56" s="12" t="s">
        <v>249</v>
      </c>
      <c r="G56" s="18">
        <v>0.23699999999999999</v>
      </c>
      <c r="H56" s="12" t="s">
        <v>189</v>
      </c>
      <c r="I56" s="12" t="s">
        <v>190</v>
      </c>
      <c r="J56" s="12" t="s">
        <v>76</v>
      </c>
      <c r="K56" s="19" t="s">
        <v>86</v>
      </c>
      <c r="L56" s="18">
        <v>0.23699999999999999</v>
      </c>
      <c r="M56" s="12" t="s">
        <v>509</v>
      </c>
      <c r="N56" s="18">
        <v>0</v>
      </c>
      <c r="O56" s="20" t="s">
        <v>112</v>
      </c>
    </row>
    <row r="57" spans="1:15" ht="14.25" customHeight="1">
      <c r="A57" s="12">
        <v>3</v>
      </c>
      <c r="B57" s="12" t="s">
        <v>493</v>
      </c>
      <c r="C57" s="13" t="s">
        <v>173</v>
      </c>
      <c r="D57" s="12" t="s">
        <v>75</v>
      </c>
      <c r="E57" s="16">
        <v>21.21</v>
      </c>
      <c r="F57" s="12" t="s">
        <v>249</v>
      </c>
      <c r="G57" s="18">
        <v>0.23</v>
      </c>
      <c r="H57" s="12" t="s">
        <v>86</v>
      </c>
      <c r="I57" s="12" t="s">
        <v>173</v>
      </c>
      <c r="J57" s="12" t="s">
        <v>76</v>
      </c>
      <c r="K57" s="19" t="s">
        <v>86</v>
      </c>
      <c r="L57" s="18">
        <v>0.23</v>
      </c>
      <c r="M57" s="12" t="s">
        <v>511</v>
      </c>
      <c r="N57" s="18">
        <v>0</v>
      </c>
      <c r="O57" s="20" t="s">
        <v>112</v>
      </c>
    </row>
    <row r="58" spans="1:15" ht="14.25" customHeight="1">
      <c r="A58" s="12">
        <v>3</v>
      </c>
      <c r="B58" s="12" t="s">
        <v>493</v>
      </c>
      <c r="C58" s="13" t="s">
        <v>193</v>
      </c>
      <c r="D58" s="12" t="s">
        <v>183</v>
      </c>
      <c r="E58" s="16">
        <v>75</v>
      </c>
      <c r="F58" s="12" t="s">
        <v>157</v>
      </c>
      <c r="G58" s="18">
        <v>0.14649999999999999</v>
      </c>
      <c r="H58" s="12" t="s">
        <v>194</v>
      </c>
      <c r="I58" s="12" t="s">
        <v>193</v>
      </c>
      <c r="J58" s="12" t="s">
        <v>195</v>
      </c>
      <c r="K58" s="19" t="s">
        <v>200</v>
      </c>
      <c r="L58" s="25">
        <v>0.20830000000000001</v>
      </c>
      <c r="M58" s="26" t="s">
        <v>518</v>
      </c>
      <c r="N58" s="25">
        <v>6.179999999999998E-2</v>
      </c>
      <c r="O58" s="27" t="s">
        <v>520</v>
      </c>
    </row>
    <row r="59" spans="1:15" ht="14.25" customHeight="1">
      <c r="A59" s="12">
        <v>3</v>
      </c>
      <c r="B59" s="12" t="s">
        <v>493</v>
      </c>
      <c r="C59" s="13" t="s">
        <v>204</v>
      </c>
      <c r="D59" s="12" t="s">
        <v>183</v>
      </c>
      <c r="E59" s="16">
        <v>16</v>
      </c>
      <c r="F59" s="12" t="s">
        <v>157</v>
      </c>
      <c r="G59" s="18">
        <v>0.156</v>
      </c>
      <c r="H59" s="12" t="s">
        <v>205</v>
      </c>
      <c r="I59" s="12" t="s">
        <v>204</v>
      </c>
      <c r="J59" s="12" t="s">
        <v>195</v>
      </c>
      <c r="K59" s="19" t="s">
        <v>200</v>
      </c>
      <c r="L59" s="25">
        <v>0.18290000000000001</v>
      </c>
      <c r="M59" s="26" t="s">
        <v>527</v>
      </c>
      <c r="N59" s="25">
        <v>2.689999999999999E-2</v>
      </c>
      <c r="O59" s="27" t="s">
        <v>529</v>
      </c>
    </row>
    <row r="60" spans="1:15" ht="14.25" customHeight="1">
      <c r="A60" s="12">
        <v>3</v>
      </c>
      <c r="B60" s="12" t="s">
        <v>493</v>
      </c>
      <c r="C60" s="13" t="s">
        <v>228</v>
      </c>
      <c r="D60" s="12" t="s">
        <v>183</v>
      </c>
      <c r="E60" s="16">
        <v>42.1</v>
      </c>
      <c r="F60" s="12" t="s">
        <v>186</v>
      </c>
      <c r="G60" s="18">
        <v>0.16689999999999999</v>
      </c>
      <c r="H60" s="12" t="s">
        <v>229</v>
      </c>
      <c r="I60" s="12" t="s">
        <v>228</v>
      </c>
      <c r="J60" s="12" t="s">
        <v>76</v>
      </c>
      <c r="K60" s="19" t="s">
        <v>86</v>
      </c>
      <c r="L60" s="18">
        <v>0.16689999999999999</v>
      </c>
      <c r="M60" s="12" t="s">
        <v>534</v>
      </c>
      <c r="N60" s="18">
        <v>0</v>
      </c>
      <c r="O60" s="20" t="s">
        <v>112</v>
      </c>
    </row>
    <row r="61" spans="1:15" ht="14.25" customHeight="1">
      <c r="A61" s="12">
        <v>3</v>
      </c>
      <c r="B61" s="12" t="s">
        <v>493</v>
      </c>
      <c r="C61" s="13" t="s">
        <v>540</v>
      </c>
      <c r="D61" s="12" t="s">
        <v>216</v>
      </c>
      <c r="E61" s="16">
        <v>77.849999999999994</v>
      </c>
      <c r="F61" s="12" t="s">
        <v>157</v>
      </c>
      <c r="G61" s="18">
        <v>0.1535</v>
      </c>
      <c r="H61" s="12" t="s">
        <v>242</v>
      </c>
      <c r="I61" s="12" t="s">
        <v>544</v>
      </c>
      <c r="J61" s="12" t="s">
        <v>76</v>
      </c>
      <c r="K61" s="19" t="s">
        <v>86</v>
      </c>
      <c r="L61" s="18">
        <v>0.1535</v>
      </c>
      <c r="M61" s="12" t="s">
        <v>546</v>
      </c>
      <c r="N61" s="18">
        <v>0</v>
      </c>
      <c r="O61" s="20" t="s">
        <v>112</v>
      </c>
    </row>
    <row r="62" spans="1:15" ht="14.25" customHeight="1">
      <c r="A62" s="12">
        <v>3</v>
      </c>
      <c r="B62" s="12" t="s">
        <v>493</v>
      </c>
      <c r="C62" s="13" t="s">
        <v>313</v>
      </c>
      <c r="D62" s="12" t="s">
        <v>234</v>
      </c>
      <c r="E62" s="16">
        <v>184.89</v>
      </c>
      <c r="F62" s="12" t="s">
        <v>157</v>
      </c>
      <c r="G62" s="18">
        <v>0.1595</v>
      </c>
      <c r="H62" s="12" t="s">
        <v>312</v>
      </c>
      <c r="I62" s="12" t="s">
        <v>313</v>
      </c>
      <c r="J62" s="12" t="s">
        <v>76</v>
      </c>
      <c r="K62" s="19" t="s">
        <v>86</v>
      </c>
      <c r="L62" s="18">
        <v>0.1595</v>
      </c>
      <c r="M62" s="12" t="s">
        <v>549</v>
      </c>
      <c r="N62" s="18">
        <v>0</v>
      </c>
      <c r="O62" s="20" t="s">
        <v>112</v>
      </c>
    </row>
    <row r="63" spans="1:15" ht="14.25" customHeight="1">
      <c r="A63" s="12">
        <v>3</v>
      </c>
      <c r="B63" s="12" t="s">
        <v>493</v>
      </c>
      <c r="C63" s="13" t="s">
        <v>274</v>
      </c>
      <c r="D63" s="12" t="s">
        <v>216</v>
      </c>
      <c r="E63" s="16">
        <v>56.19</v>
      </c>
      <c r="F63" s="12" t="s">
        <v>186</v>
      </c>
      <c r="G63" s="18">
        <v>0.1794</v>
      </c>
      <c r="H63" s="12" t="s">
        <v>275</v>
      </c>
      <c r="I63" s="12" t="s">
        <v>274</v>
      </c>
      <c r="J63" s="12" t="s">
        <v>76</v>
      </c>
      <c r="K63" s="19" t="s">
        <v>86</v>
      </c>
      <c r="L63" s="18">
        <v>0.1794</v>
      </c>
      <c r="M63" s="12" t="s">
        <v>551</v>
      </c>
      <c r="N63" s="18">
        <v>0</v>
      </c>
      <c r="O63" s="20" t="s">
        <v>112</v>
      </c>
    </row>
    <row r="64" spans="1:15" ht="14.25" customHeight="1">
      <c r="A64" s="12">
        <v>3</v>
      </c>
      <c r="B64" s="12" t="s">
        <v>493</v>
      </c>
      <c r="C64" s="13" t="s">
        <v>516</v>
      </c>
      <c r="D64" s="12" t="s">
        <v>178</v>
      </c>
      <c r="E64" s="16">
        <v>303.41000000000003</v>
      </c>
      <c r="F64" s="12" t="s">
        <v>249</v>
      </c>
      <c r="G64" s="18">
        <v>0.22889999999999999</v>
      </c>
      <c r="H64" s="12" t="s">
        <v>517</v>
      </c>
      <c r="I64" s="12" t="s">
        <v>516</v>
      </c>
      <c r="J64" s="12" t="s">
        <v>220</v>
      </c>
      <c r="K64" s="19" t="s">
        <v>432</v>
      </c>
      <c r="L64" s="18">
        <v>0.24890000000000001</v>
      </c>
      <c r="M64" s="12" t="s">
        <v>554</v>
      </c>
      <c r="N64" s="18">
        <v>0.02</v>
      </c>
      <c r="O64" s="23" t="s">
        <v>556</v>
      </c>
    </row>
    <row r="65" spans="1:15" ht="14.25" customHeight="1">
      <c r="A65" s="12">
        <v>3</v>
      </c>
      <c r="B65" s="12" t="s">
        <v>493</v>
      </c>
      <c r="C65" s="13" t="s">
        <v>259</v>
      </c>
      <c r="D65" s="12" t="s">
        <v>178</v>
      </c>
      <c r="E65" s="16">
        <v>229.79</v>
      </c>
      <c r="F65" s="12" t="s">
        <v>77</v>
      </c>
      <c r="G65" s="18">
        <v>0.21360000000000001</v>
      </c>
      <c r="H65" s="12" t="s">
        <v>254</v>
      </c>
      <c r="I65" s="12" t="s">
        <v>259</v>
      </c>
      <c r="J65" s="12" t="s">
        <v>76</v>
      </c>
      <c r="K65" s="19" t="s">
        <v>86</v>
      </c>
      <c r="L65" s="18">
        <v>0.21360000000000001</v>
      </c>
      <c r="M65" s="12" t="s">
        <v>560</v>
      </c>
      <c r="N65" s="18">
        <v>0</v>
      </c>
      <c r="O65" s="20" t="s">
        <v>112</v>
      </c>
    </row>
    <row r="66" spans="1:15" ht="14.25" customHeight="1">
      <c r="A66" s="12">
        <v>3</v>
      </c>
      <c r="B66" s="12" t="s">
        <v>493</v>
      </c>
      <c r="C66" s="13" t="s">
        <v>562</v>
      </c>
      <c r="D66" s="12" t="s">
        <v>410</v>
      </c>
      <c r="E66" s="16">
        <v>10.69</v>
      </c>
      <c r="F66" s="12" t="s">
        <v>341</v>
      </c>
      <c r="G66" s="18">
        <v>7.0499999999999993E-2</v>
      </c>
      <c r="H66" s="12" t="s">
        <v>563</v>
      </c>
      <c r="I66" s="12" t="s">
        <v>418</v>
      </c>
      <c r="J66" s="12" t="s">
        <v>195</v>
      </c>
      <c r="K66" s="19" t="s">
        <v>200</v>
      </c>
      <c r="L66" s="18" t="s">
        <v>166</v>
      </c>
      <c r="M66" s="12" t="s">
        <v>86</v>
      </c>
      <c r="N66" s="18" t="s">
        <v>86</v>
      </c>
      <c r="O66" s="23" t="s">
        <v>282</v>
      </c>
    </row>
    <row r="67" spans="1:15" ht="14.25" customHeight="1">
      <c r="A67" s="12">
        <v>3</v>
      </c>
      <c r="B67" s="12" t="s">
        <v>493</v>
      </c>
      <c r="C67" s="13" t="s">
        <v>310</v>
      </c>
      <c r="D67" s="12" t="s">
        <v>277</v>
      </c>
      <c r="E67" s="16">
        <v>86.38</v>
      </c>
      <c r="F67" s="12" t="s">
        <v>384</v>
      </c>
      <c r="G67" s="18">
        <v>0.25</v>
      </c>
      <c r="H67" s="12" t="s">
        <v>311</v>
      </c>
      <c r="I67" s="12" t="s">
        <v>310</v>
      </c>
      <c r="J67" s="12" t="s">
        <v>195</v>
      </c>
      <c r="K67" s="19" t="s">
        <v>200</v>
      </c>
      <c r="L67" s="18">
        <v>0.25269999999999998</v>
      </c>
      <c r="M67" s="12" t="s">
        <v>177</v>
      </c>
      <c r="N67" s="18">
        <v>2.6999999999999958E-3</v>
      </c>
      <c r="O67" s="23" t="s">
        <v>282</v>
      </c>
    </row>
    <row r="68" spans="1:15" ht="14.25" customHeight="1">
      <c r="A68" s="12">
        <v>3</v>
      </c>
      <c r="B68" s="12" t="s">
        <v>493</v>
      </c>
      <c r="C68" s="13" t="s">
        <v>318</v>
      </c>
      <c r="D68" s="12" t="s">
        <v>277</v>
      </c>
      <c r="E68" s="16">
        <v>136.63999999999999</v>
      </c>
      <c r="F68" s="12" t="s">
        <v>77</v>
      </c>
      <c r="G68" s="18">
        <v>0.2177</v>
      </c>
      <c r="H68" s="12" t="s">
        <v>319</v>
      </c>
      <c r="I68" s="12" t="s">
        <v>318</v>
      </c>
      <c r="J68" s="12" t="s">
        <v>220</v>
      </c>
      <c r="K68" s="19" t="s">
        <v>326</v>
      </c>
      <c r="L68" s="18" t="s">
        <v>166</v>
      </c>
      <c r="M68" s="12" t="s">
        <v>86</v>
      </c>
      <c r="N68" s="18" t="s">
        <v>86</v>
      </c>
      <c r="O68" s="23" t="s">
        <v>556</v>
      </c>
    </row>
    <row r="69" spans="1:15" ht="14.25" customHeight="1">
      <c r="A69" s="12">
        <v>3</v>
      </c>
      <c r="B69" s="12" t="s">
        <v>493</v>
      </c>
      <c r="C69" s="13" t="s">
        <v>572</v>
      </c>
      <c r="D69" s="12" t="s">
        <v>286</v>
      </c>
      <c r="E69" s="16">
        <v>78.930000000000007</v>
      </c>
      <c r="F69" s="12" t="s">
        <v>186</v>
      </c>
      <c r="G69" s="18">
        <v>0.18160000000000001</v>
      </c>
      <c r="H69" s="12" t="s">
        <v>330</v>
      </c>
      <c r="I69" s="12" t="s">
        <v>580</v>
      </c>
      <c r="J69" s="12" t="s">
        <v>76</v>
      </c>
      <c r="K69" s="19" t="s">
        <v>86</v>
      </c>
      <c r="L69" s="18">
        <v>0.18160000000000001</v>
      </c>
      <c r="M69" s="12" t="s">
        <v>582</v>
      </c>
      <c r="N69" s="18">
        <v>0</v>
      </c>
      <c r="O69" s="20" t="s">
        <v>112</v>
      </c>
    </row>
    <row r="70" spans="1:15" ht="14.25" customHeight="1">
      <c r="A70" s="12">
        <v>3</v>
      </c>
      <c r="B70" s="12" t="s">
        <v>493</v>
      </c>
      <c r="C70" s="13" t="s">
        <v>309</v>
      </c>
      <c r="D70" s="12" t="s">
        <v>222</v>
      </c>
      <c r="E70" s="16">
        <v>175.22</v>
      </c>
      <c r="F70" s="12" t="s">
        <v>186</v>
      </c>
      <c r="G70" s="18">
        <v>0.1867</v>
      </c>
      <c r="H70" s="12" t="s">
        <v>306</v>
      </c>
      <c r="I70" s="12" t="s">
        <v>309</v>
      </c>
      <c r="J70" s="12" t="s">
        <v>220</v>
      </c>
      <c r="K70" s="19" t="s">
        <v>432</v>
      </c>
      <c r="L70" s="18" t="s">
        <v>166</v>
      </c>
      <c r="M70" s="12" t="s">
        <v>86</v>
      </c>
      <c r="N70" s="18" t="s">
        <v>86</v>
      </c>
      <c r="O70" s="23" t="s">
        <v>556</v>
      </c>
    </row>
    <row r="71" spans="1:15" ht="14.25" customHeight="1">
      <c r="A71" s="12">
        <v>3</v>
      </c>
      <c r="B71" s="12" t="s">
        <v>493</v>
      </c>
      <c r="C71" s="13" t="s">
        <v>233</v>
      </c>
      <c r="D71" s="12" t="s">
        <v>103</v>
      </c>
      <c r="E71" s="16">
        <v>292.95</v>
      </c>
      <c r="F71" s="12" t="s">
        <v>157</v>
      </c>
      <c r="G71" s="18">
        <v>0.1416</v>
      </c>
      <c r="H71" s="12" t="s">
        <v>231</v>
      </c>
      <c r="I71" s="12" t="s">
        <v>233</v>
      </c>
      <c r="J71" s="12" t="s">
        <v>220</v>
      </c>
      <c r="K71" s="19" t="s">
        <v>432</v>
      </c>
      <c r="L71" s="18" t="s">
        <v>166</v>
      </c>
      <c r="M71" s="12" t="s">
        <v>86</v>
      </c>
      <c r="N71" s="18" t="s">
        <v>86</v>
      </c>
      <c r="O71" s="23" t="s">
        <v>556</v>
      </c>
    </row>
    <row r="72" spans="1:15" ht="14.25" customHeight="1">
      <c r="A72" s="12">
        <v>3</v>
      </c>
      <c r="B72" s="12" t="s">
        <v>493</v>
      </c>
      <c r="C72" s="13" t="s">
        <v>379</v>
      </c>
      <c r="D72" s="12" t="s">
        <v>103</v>
      </c>
      <c r="E72" s="16">
        <v>39.369999999999997</v>
      </c>
      <c r="F72" s="12" t="s">
        <v>341</v>
      </c>
      <c r="G72" s="18">
        <v>0.08</v>
      </c>
      <c r="H72" s="12" t="s">
        <v>380</v>
      </c>
      <c r="I72" s="12" t="s">
        <v>379</v>
      </c>
      <c r="J72" s="12" t="s">
        <v>163</v>
      </c>
      <c r="K72" s="19" t="s">
        <v>386</v>
      </c>
      <c r="L72" s="18" t="s">
        <v>166</v>
      </c>
      <c r="M72" s="12" t="s">
        <v>86</v>
      </c>
      <c r="N72" s="18" t="s">
        <v>86</v>
      </c>
      <c r="O72" s="23" t="s">
        <v>168</v>
      </c>
    </row>
    <row r="73" spans="1:15" ht="14.25" customHeight="1">
      <c r="A73" s="12">
        <v>3</v>
      </c>
      <c r="B73" s="12" t="s">
        <v>493</v>
      </c>
      <c r="C73" s="13" t="s">
        <v>219</v>
      </c>
      <c r="D73" s="12" t="s">
        <v>307</v>
      </c>
      <c r="E73" s="16">
        <v>26.78</v>
      </c>
      <c r="F73" s="12" t="s">
        <v>300</v>
      </c>
      <c r="G73" s="18">
        <v>0.10009999999999999</v>
      </c>
      <c r="H73" s="12" t="s">
        <v>217</v>
      </c>
      <c r="I73" s="12" t="s">
        <v>219</v>
      </c>
      <c r="J73" s="12" t="s">
        <v>220</v>
      </c>
      <c r="K73" s="19" t="s">
        <v>432</v>
      </c>
      <c r="L73" s="18" t="s">
        <v>166</v>
      </c>
      <c r="M73" s="12" t="s">
        <v>86</v>
      </c>
      <c r="N73" s="18" t="s">
        <v>86</v>
      </c>
      <c r="O73" s="23" t="s">
        <v>556</v>
      </c>
    </row>
    <row r="74" spans="1:15" ht="14.25" customHeight="1">
      <c r="A74" s="12">
        <v>3</v>
      </c>
      <c r="B74" s="12" t="s">
        <v>493</v>
      </c>
      <c r="C74" s="13" t="s">
        <v>591</v>
      </c>
      <c r="D74" s="12" t="s">
        <v>315</v>
      </c>
      <c r="E74" s="16">
        <v>90</v>
      </c>
      <c r="F74" s="12" t="s">
        <v>186</v>
      </c>
      <c r="G74" s="18">
        <v>0.1807</v>
      </c>
      <c r="H74" s="12" t="s">
        <v>595</v>
      </c>
      <c r="I74" s="12" t="s">
        <v>596</v>
      </c>
      <c r="J74" s="12" t="s">
        <v>597</v>
      </c>
      <c r="K74" s="19" t="s">
        <v>598</v>
      </c>
      <c r="L74" s="18" t="s">
        <v>166</v>
      </c>
      <c r="M74" s="12" t="s">
        <v>86</v>
      </c>
      <c r="N74" s="18" t="s">
        <v>86</v>
      </c>
      <c r="O74" s="23" t="s">
        <v>599</v>
      </c>
    </row>
    <row r="75" spans="1:15" ht="14.25" customHeight="1">
      <c r="A75" s="12">
        <v>3</v>
      </c>
      <c r="B75" s="12" t="s">
        <v>493</v>
      </c>
      <c r="C75" s="13" t="s">
        <v>600</v>
      </c>
      <c r="D75" s="12" t="s">
        <v>315</v>
      </c>
      <c r="E75" s="16">
        <v>210</v>
      </c>
      <c r="F75" s="12" t="s">
        <v>186</v>
      </c>
      <c r="G75" s="18">
        <v>0.16</v>
      </c>
      <c r="H75" s="12" t="s">
        <v>602</v>
      </c>
      <c r="I75" s="12" t="s">
        <v>600</v>
      </c>
      <c r="J75" s="12" t="s">
        <v>195</v>
      </c>
      <c r="K75" s="19" t="s">
        <v>200</v>
      </c>
      <c r="L75" s="18" t="s">
        <v>166</v>
      </c>
      <c r="M75" s="12" t="s">
        <v>86</v>
      </c>
      <c r="N75" s="18" t="s">
        <v>86</v>
      </c>
      <c r="O75" s="23" t="s">
        <v>282</v>
      </c>
    </row>
    <row r="76" spans="1:15" ht="14.25" customHeight="1">
      <c r="A76" s="12">
        <v>3</v>
      </c>
      <c r="B76" s="12" t="s">
        <v>493</v>
      </c>
      <c r="C76" s="13" t="s">
        <v>611</v>
      </c>
      <c r="D76" s="12" t="s">
        <v>485</v>
      </c>
      <c r="E76" s="16">
        <v>66.37</v>
      </c>
      <c r="F76" s="12" t="s">
        <v>300</v>
      </c>
      <c r="G76" s="18">
        <v>0.112</v>
      </c>
      <c r="H76" s="12" t="s">
        <v>614</v>
      </c>
      <c r="I76" s="12" t="s">
        <v>611</v>
      </c>
      <c r="J76" s="12" t="s">
        <v>195</v>
      </c>
      <c r="K76" s="19" t="s">
        <v>200</v>
      </c>
      <c r="L76" s="18">
        <v>0.112</v>
      </c>
      <c r="M76" s="12" t="s">
        <v>615</v>
      </c>
      <c r="N76" s="18">
        <v>0</v>
      </c>
      <c r="O76" s="23" t="s">
        <v>282</v>
      </c>
    </row>
    <row r="77" spans="1:15" ht="14.25" customHeight="1">
      <c r="A77" s="12">
        <v>3</v>
      </c>
      <c r="B77" s="12" t="s">
        <v>493</v>
      </c>
      <c r="C77" s="13" t="s">
        <v>617</v>
      </c>
      <c r="D77" s="12" t="s">
        <v>485</v>
      </c>
      <c r="E77" s="16">
        <v>48.6</v>
      </c>
      <c r="F77" s="12" t="s">
        <v>341</v>
      </c>
      <c r="G77" s="18">
        <v>0.09</v>
      </c>
      <c r="H77" s="12" t="s">
        <v>619</v>
      </c>
      <c r="I77" s="12" t="s">
        <v>617</v>
      </c>
      <c r="J77" s="12" t="s">
        <v>163</v>
      </c>
      <c r="K77" s="19" t="s">
        <v>224</v>
      </c>
      <c r="L77" s="18" t="s">
        <v>166</v>
      </c>
      <c r="M77" s="12" t="s">
        <v>86</v>
      </c>
      <c r="N77" s="18" t="s">
        <v>86</v>
      </c>
      <c r="O77" s="23" t="s">
        <v>168</v>
      </c>
    </row>
    <row r="78" spans="1:15" ht="14.25" customHeight="1">
      <c r="A78" s="12">
        <v>3</v>
      </c>
      <c r="B78" s="12" t="s">
        <v>493</v>
      </c>
      <c r="C78" s="13" t="s">
        <v>197</v>
      </c>
      <c r="D78" s="12" t="s">
        <v>491</v>
      </c>
      <c r="E78" s="16">
        <v>29.95</v>
      </c>
      <c r="F78" s="12" t="s">
        <v>249</v>
      </c>
      <c r="G78" s="18">
        <v>0.22109999999999999</v>
      </c>
      <c r="H78" s="12" t="s">
        <v>196</v>
      </c>
      <c r="I78" s="12" t="s">
        <v>197</v>
      </c>
      <c r="J78" s="12" t="s">
        <v>76</v>
      </c>
      <c r="K78" s="19" t="s">
        <v>86</v>
      </c>
      <c r="L78" s="18">
        <v>0.22109999999999999</v>
      </c>
      <c r="M78" s="12" t="s">
        <v>621</v>
      </c>
      <c r="N78" s="18">
        <v>0</v>
      </c>
      <c r="O78" s="20" t="s">
        <v>112</v>
      </c>
    </row>
    <row r="79" spans="1:15" ht="14.25" customHeight="1">
      <c r="A79" s="12">
        <v>3</v>
      </c>
      <c r="B79" s="12" t="s">
        <v>493</v>
      </c>
      <c r="C79" s="13" t="s">
        <v>622</v>
      </c>
      <c r="D79" s="12" t="s">
        <v>623</v>
      </c>
      <c r="E79" s="16">
        <v>34.409999999999997</v>
      </c>
      <c r="F79" s="12" t="s">
        <v>249</v>
      </c>
      <c r="G79" s="18">
        <v>0.2205</v>
      </c>
      <c r="H79" s="12" t="s">
        <v>624</v>
      </c>
      <c r="I79" s="12" t="s">
        <v>622</v>
      </c>
      <c r="J79" s="12" t="s">
        <v>597</v>
      </c>
      <c r="K79" s="19" t="s">
        <v>598</v>
      </c>
      <c r="L79" s="18" t="s">
        <v>166</v>
      </c>
      <c r="M79" s="12" t="s">
        <v>86</v>
      </c>
      <c r="N79" s="18" t="s">
        <v>86</v>
      </c>
      <c r="O79" s="23" t="s">
        <v>599</v>
      </c>
    </row>
    <row r="80" spans="1:15" ht="14.25" customHeight="1"/>
    <row r="81" spans="1:15" ht="61.5" customHeight="1">
      <c r="A81" s="76" t="s">
        <v>625</v>
      </c>
      <c r="B81" s="77"/>
      <c r="C81" s="77"/>
      <c r="D81" s="77"/>
      <c r="E81" s="77"/>
      <c r="F81" s="77"/>
      <c r="G81" s="77"/>
      <c r="H81" s="77"/>
      <c r="I81" s="77"/>
      <c r="J81" s="77"/>
      <c r="K81" s="77"/>
      <c r="L81" s="77"/>
      <c r="M81" s="77"/>
      <c r="N81" s="77"/>
      <c r="O81" s="78"/>
    </row>
    <row r="82" spans="1:15" ht="14.25" customHeight="1"/>
    <row r="83" spans="1:15" ht="14.25" customHeight="1"/>
    <row r="84" spans="1:15" ht="14.25" customHeight="1"/>
    <row r="85" spans="1:15" ht="14.25" customHeight="1"/>
    <row r="86" spans="1:15" ht="14.25" customHeight="1"/>
    <row r="87" spans="1:15" ht="14.25" customHeight="1"/>
    <row r="88" spans="1:15" ht="14.25" customHeight="1"/>
    <row r="89" spans="1:15" ht="14.25" customHeight="1"/>
    <row r="90" spans="1:15" ht="14.25" customHeight="1"/>
    <row r="91" spans="1:15" ht="14.25" customHeight="1"/>
    <row r="92" spans="1:15" ht="14.25" customHeight="1"/>
    <row r="93" spans="1:15" ht="14.25" customHeight="1"/>
    <row r="94" spans="1:15" ht="14.25" customHeight="1"/>
    <row r="95" spans="1:15" ht="14.25" customHeight="1"/>
    <row r="96" spans="1:15"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O79" xr:uid="{00000000-0009-0000-0000-000002000000}"/>
  <mergeCells count="1">
    <mergeCell ref="A81:O81"/>
  </mergeCells>
  <pageMargins left="0.75" right="0.75" top="1" bottom="1" header="0" footer="0"/>
  <pageSetup paperSize="8"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G1000"/>
  <sheetViews>
    <sheetView workbookViewId="0">
      <pane ySplit="1" topLeftCell="A2" activePane="bottomLeft" state="frozen"/>
      <selection activeCell="B3" sqref="B3"/>
      <selection pane="bottomLeft" activeCell="B3" sqref="B3"/>
    </sheetView>
  </sheetViews>
  <sheetFormatPr defaultColWidth="14.44140625" defaultRowHeight="15" customHeight="1"/>
  <cols>
    <col min="1" max="1" width="6" customWidth="1"/>
    <col min="2" max="2" width="28" customWidth="1"/>
    <col min="3" max="3" width="34" customWidth="1"/>
    <col min="4" max="4" width="42" customWidth="1"/>
    <col min="5" max="5" width="40" customWidth="1"/>
    <col min="6" max="6" width="60" customWidth="1"/>
    <col min="7" max="7" width="12" customWidth="1"/>
    <col min="8" max="26" width="8.6640625" customWidth="1"/>
  </cols>
  <sheetData>
    <row r="1" spans="1:7" ht="24" customHeight="1">
      <c r="A1" s="4" t="s">
        <v>667</v>
      </c>
      <c r="B1" s="4" t="s">
        <v>668</v>
      </c>
      <c r="C1" s="4" t="s">
        <v>2155</v>
      </c>
      <c r="D1" s="4" t="s">
        <v>2156</v>
      </c>
      <c r="E1" s="4" t="s">
        <v>2157</v>
      </c>
      <c r="F1" s="4" t="s">
        <v>2158</v>
      </c>
      <c r="G1" s="4" t="s">
        <v>2159</v>
      </c>
    </row>
    <row r="2" spans="1:7" ht="14.25" customHeight="1">
      <c r="A2" s="63" t="s">
        <v>2160</v>
      </c>
      <c r="B2" s="14" t="s">
        <v>2161</v>
      </c>
      <c r="C2" s="21" t="s">
        <v>2163</v>
      </c>
      <c r="D2" s="21" t="s">
        <v>2164</v>
      </c>
      <c r="E2" s="21" t="s">
        <v>2165</v>
      </c>
      <c r="F2" s="21" t="s">
        <v>2166</v>
      </c>
      <c r="G2" s="22" t="s">
        <v>2167</v>
      </c>
    </row>
    <row r="3" spans="1:7" ht="14.25" customHeight="1">
      <c r="A3" s="63" t="s">
        <v>1666</v>
      </c>
      <c r="B3" s="14" t="s">
        <v>2168</v>
      </c>
      <c r="C3" s="21" t="s">
        <v>2169</v>
      </c>
      <c r="D3" s="21" t="s">
        <v>2170</v>
      </c>
      <c r="E3" s="21" t="s">
        <v>2165</v>
      </c>
      <c r="F3" s="21" t="s">
        <v>2166</v>
      </c>
      <c r="G3" s="22" t="s">
        <v>2171</v>
      </c>
    </row>
    <row r="4" spans="1:7" ht="14.25" customHeight="1">
      <c r="A4" s="63" t="s">
        <v>2172</v>
      </c>
      <c r="B4" s="14" t="s">
        <v>2173</v>
      </c>
      <c r="C4" s="21" t="s">
        <v>2174</v>
      </c>
      <c r="D4" s="21" t="s">
        <v>2175</v>
      </c>
      <c r="E4" s="21" t="s">
        <v>2165</v>
      </c>
      <c r="F4" s="21" t="s">
        <v>2176</v>
      </c>
      <c r="G4" s="22" t="s">
        <v>2177</v>
      </c>
    </row>
    <row r="5" spans="1:7" ht="14.25" customHeight="1">
      <c r="A5" s="63" t="s">
        <v>2178</v>
      </c>
      <c r="B5" s="14" t="s">
        <v>2179</v>
      </c>
      <c r="C5" s="21" t="s">
        <v>2179</v>
      </c>
      <c r="D5" s="21" t="s">
        <v>2180</v>
      </c>
      <c r="E5" s="21" t="s">
        <v>2181</v>
      </c>
      <c r="F5" s="21" t="s">
        <v>2182</v>
      </c>
      <c r="G5" s="22" t="s">
        <v>2183</v>
      </c>
    </row>
    <row r="6" spans="1:7" ht="14.25" customHeight="1">
      <c r="A6" s="63" t="s">
        <v>2184</v>
      </c>
      <c r="B6" s="14" t="s">
        <v>2185</v>
      </c>
      <c r="C6" s="21" t="s">
        <v>2185</v>
      </c>
      <c r="D6" s="21" t="s">
        <v>2186</v>
      </c>
      <c r="E6" s="21" t="s">
        <v>2187</v>
      </c>
      <c r="F6" s="21" t="s">
        <v>2182</v>
      </c>
      <c r="G6" s="22" t="s">
        <v>2188</v>
      </c>
    </row>
    <row r="7" spans="1:7" ht="14.25" customHeight="1">
      <c r="A7" s="63" t="s">
        <v>2189</v>
      </c>
      <c r="B7" s="14" t="s">
        <v>2190</v>
      </c>
      <c r="C7" s="21" t="s">
        <v>2190</v>
      </c>
      <c r="D7" s="21" t="s">
        <v>2191</v>
      </c>
      <c r="E7" s="21" t="s">
        <v>2187</v>
      </c>
      <c r="F7" s="21" t="s">
        <v>2182</v>
      </c>
      <c r="G7" s="22" t="s">
        <v>2193</v>
      </c>
    </row>
    <row r="8" spans="1:7" ht="14.25" customHeight="1">
      <c r="A8" s="63" t="s">
        <v>2194</v>
      </c>
      <c r="B8" s="14" t="s">
        <v>2195</v>
      </c>
      <c r="C8" s="21" t="s">
        <v>2195</v>
      </c>
      <c r="D8" s="21" t="s">
        <v>2197</v>
      </c>
      <c r="E8" s="21" t="s">
        <v>2198</v>
      </c>
      <c r="F8" s="21" t="s">
        <v>2166</v>
      </c>
      <c r="G8" s="22" t="s">
        <v>2199</v>
      </c>
    </row>
    <row r="9" spans="1:7" ht="14.25" customHeight="1">
      <c r="A9" s="63" t="s">
        <v>2200</v>
      </c>
      <c r="B9" s="14" t="s">
        <v>2201</v>
      </c>
      <c r="C9" s="21" t="s">
        <v>2201</v>
      </c>
      <c r="D9" s="21" t="s">
        <v>2203</v>
      </c>
      <c r="E9" s="21" t="s">
        <v>2204</v>
      </c>
      <c r="F9" s="21" t="s">
        <v>2182</v>
      </c>
      <c r="G9" s="22" t="s">
        <v>2205</v>
      </c>
    </row>
    <row r="10" spans="1:7" ht="14.25" customHeight="1">
      <c r="A10" s="63" t="s">
        <v>2206</v>
      </c>
      <c r="B10" s="14" t="s">
        <v>2207</v>
      </c>
      <c r="C10" s="21" t="s">
        <v>411</v>
      </c>
      <c r="D10" s="21" t="s">
        <v>2208</v>
      </c>
      <c r="E10" s="21" t="s">
        <v>2210</v>
      </c>
      <c r="F10" s="21" t="s">
        <v>2182</v>
      </c>
      <c r="G10" s="22" t="s">
        <v>2211</v>
      </c>
    </row>
    <row r="11" spans="1:7" ht="14.25" customHeight="1">
      <c r="A11" s="63" t="s">
        <v>2212</v>
      </c>
      <c r="B11" s="14" t="s">
        <v>2207</v>
      </c>
      <c r="C11" s="21" t="s">
        <v>412</v>
      </c>
      <c r="D11" s="21" t="s">
        <v>2208</v>
      </c>
      <c r="E11" s="21" t="s">
        <v>2213</v>
      </c>
      <c r="F11" s="21" t="s">
        <v>2182</v>
      </c>
      <c r="G11" s="22" t="s">
        <v>2214</v>
      </c>
    </row>
    <row r="12" spans="1:7" ht="14.25" customHeight="1">
      <c r="A12" s="63" t="s">
        <v>2215</v>
      </c>
      <c r="B12" s="14" t="s">
        <v>2207</v>
      </c>
      <c r="C12" s="21" t="s">
        <v>2216</v>
      </c>
      <c r="D12" s="21" t="s">
        <v>2217</v>
      </c>
      <c r="E12" s="21" t="s">
        <v>2213</v>
      </c>
      <c r="F12" s="21" t="s">
        <v>2182</v>
      </c>
      <c r="G12" s="22" t="s">
        <v>2218</v>
      </c>
    </row>
    <row r="13" spans="1:7" ht="14.25" customHeight="1">
      <c r="A13" s="63" t="s">
        <v>2219</v>
      </c>
      <c r="B13" s="14" t="s">
        <v>2207</v>
      </c>
      <c r="C13" s="21" t="s">
        <v>2220</v>
      </c>
      <c r="D13" s="21" t="s">
        <v>2217</v>
      </c>
      <c r="E13" s="21" t="s">
        <v>2221</v>
      </c>
      <c r="F13" s="21" t="s">
        <v>2182</v>
      </c>
      <c r="G13" s="22" t="s">
        <v>2222</v>
      </c>
    </row>
    <row r="14" spans="1:7" ht="14.25" customHeight="1">
      <c r="A14" s="63" t="s">
        <v>2223</v>
      </c>
      <c r="B14" s="14" t="s">
        <v>2207</v>
      </c>
      <c r="C14" s="21" t="s">
        <v>2224</v>
      </c>
      <c r="D14" s="21" t="s">
        <v>2225</v>
      </c>
      <c r="E14" s="21" t="s">
        <v>2226</v>
      </c>
      <c r="F14" s="21" t="s">
        <v>2182</v>
      </c>
      <c r="G14" s="22" t="s">
        <v>2227</v>
      </c>
    </row>
    <row r="15" spans="1:7" ht="14.25" customHeight="1">
      <c r="A15" s="63" t="s">
        <v>2228</v>
      </c>
      <c r="B15" s="14" t="s">
        <v>2229</v>
      </c>
      <c r="C15" s="21" t="s">
        <v>2230</v>
      </c>
      <c r="D15" s="21" t="s">
        <v>2231</v>
      </c>
      <c r="E15" s="21" t="s">
        <v>2232</v>
      </c>
      <c r="F15" s="21" t="s">
        <v>2182</v>
      </c>
      <c r="G15" s="22" t="s">
        <v>2234</v>
      </c>
    </row>
    <row r="16" spans="1:7" ht="14.25" customHeight="1">
      <c r="A16" s="63" t="s">
        <v>2235</v>
      </c>
      <c r="B16" s="14" t="s">
        <v>2229</v>
      </c>
      <c r="C16" s="21" t="s">
        <v>2236</v>
      </c>
      <c r="D16" s="21" t="s">
        <v>2231</v>
      </c>
      <c r="E16" s="21" t="s">
        <v>2237</v>
      </c>
      <c r="F16" s="21" t="s">
        <v>2182</v>
      </c>
      <c r="G16" s="22" t="s">
        <v>2238</v>
      </c>
    </row>
    <row r="17" spans="1:7" ht="14.25" customHeight="1">
      <c r="A17" s="63" t="s">
        <v>847</v>
      </c>
      <c r="B17" s="14" t="s">
        <v>2229</v>
      </c>
      <c r="C17" s="21" t="s">
        <v>2239</v>
      </c>
      <c r="D17" s="21" t="s">
        <v>2240</v>
      </c>
      <c r="E17" s="21" t="s">
        <v>2241</v>
      </c>
      <c r="F17" s="21" t="s">
        <v>2182</v>
      </c>
      <c r="G17" s="22" t="s">
        <v>2242</v>
      </c>
    </row>
    <row r="18" spans="1:7" ht="14.25" customHeight="1">
      <c r="A18" s="63" t="s">
        <v>2244</v>
      </c>
      <c r="B18" s="14" t="s">
        <v>2245</v>
      </c>
      <c r="C18" s="21" t="s">
        <v>2246</v>
      </c>
      <c r="D18" s="21" t="s">
        <v>2247</v>
      </c>
      <c r="E18" s="21" t="s">
        <v>2248</v>
      </c>
      <c r="F18" s="21" t="s">
        <v>2182</v>
      </c>
      <c r="G18" s="22" t="s">
        <v>2249</v>
      </c>
    </row>
    <row r="19" spans="1:7" ht="14.25" customHeight="1">
      <c r="A19" s="63" t="s">
        <v>2250</v>
      </c>
      <c r="B19" s="14" t="s">
        <v>2245</v>
      </c>
      <c r="C19" s="21" t="s">
        <v>2251</v>
      </c>
      <c r="D19" s="21" t="s">
        <v>2247</v>
      </c>
      <c r="E19" s="21" t="s">
        <v>2252</v>
      </c>
      <c r="F19" s="21" t="s">
        <v>2182</v>
      </c>
      <c r="G19" s="22" t="s">
        <v>2253</v>
      </c>
    </row>
    <row r="20" spans="1:7" ht="14.25" customHeight="1">
      <c r="A20" s="63" t="s">
        <v>2255</v>
      </c>
      <c r="B20" s="14" t="s">
        <v>2245</v>
      </c>
      <c r="C20" s="21" t="s">
        <v>2256</v>
      </c>
      <c r="D20" s="21" t="s">
        <v>2247</v>
      </c>
      <c r="E20" s="21" t="s">
        <v>2257</v>
      </c>
      <c r="F20" s="21" t="s">
        <v>2182</v>
      </c>
      <c r="G20" s="22" t="s">
        <v>2259</v>
      </c>
    </row>
    <row r="21" spans="1:7" ht="14.25" customHeight="1">
      <c r="A21" s="63" t="s">
        <v>2260</v>
      </c>
      <c r="B21" s="14" t="s">
        <v>2245</v>
      </c>
      <c r="C21" s="21" t="s">
        <v>2261</v>
      </c>
      <c r="D21" s="21" t="s">
        <v>2247</v>
      </c>
      <c r="E21" s="21" t="s">
        <v>2262</v>
      </c>
      <c r="F21" s="21" t="s">
        <v>2182</v>
      </c>
      <c r="G21" s="22" t="s">
        <v>2263</v>
      </c>
    </row>
    <row r="22" spans="1:7" ht="14.25" customHeight="1">
      <c r="A22" s="63" t="s">
        <v>2264</v>
      </c>
      <c r="B22" s="14" t="s">
        <v>2265</v>
      </c>
      <c r="C22" s="21" t="s">
        <v>2265</v>
      </c>
      <c r="D22" s="21" t="s">
        <v>2266</v>
      </c>
      <c r="E22" s="21" t="s">
        <v>2267</v>
      </c>
      <c r="F22" s="21" t="s">
        <v>2182</v>
      </c>
      <c r="G22" s="22" t="s">
        <v>2268</v>
      </c>
    </row>
    <row r="23" spans="1:7" ht="14.25" customHeight="1"/>
    <row r="24" spans="1:7" ht="14.25" customHeight="1"/>
    <row r="25" spans="1:7" ht="14.25" customHeight="1"/>
    <row r="26" spans="1:7" ht="14.25" customHeight="1"/>
    <row r="27" spans="1:7" ht="14.25" customHeight="1"/>
    <row r="28" spans="1:7" ht="14.25" customHeight="1"/>
    <row r="29" spans="1:7" ht="14.25" customHeight="1"/>
    <row r="30" spans="1:7" ht="14.25" customHeight="1"/>
    <row r="31" spans="1:7" ht="14.25" customHeight="1"/>
    <row r="32" spans="1: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G22" xr:uid="{00000000-0009-0000-0000-00000D000000}"/>
  <pageMargins left="0.3" right="0.3" top="0.4" bottom="0.4" header="0" footer="0"/>
  <pageSetup paperSize="8"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1000"/>
  <sheetViews>
    <sheetView workbookViewId="0">
      <pane ySplit="1" topLeftCell="A2" activePane="bottomLeft" state="frozen"/>
      <selection activeCell="B3" sqref="B3"/>
      <selection pane="bottomLeft" activeCell="B3" sqref="B3"/>
    </sheetView>
  </sheetViews>
  <sheetFormatPr defaultColWidth="14.44140625" defaultRowHeight="15" customHeight="1"/>
  <cols>
    <col min="1" max="2" width="14" customWidth="1"/>
    <col min="3" max="3" width="24" customWidth="1"/>
    <col min="4" max="4" width="11" customWidth="1"/>
    <col min="5" max="5" width="8" customWidth="1"/>
    <col min="6" max="6" width="5" customWidth="1"/>
    <col min="7" max="7" width="30" customWidth="1"/>
    <col min="8" max="8" width="22" customWidth="1"/>
    <col min="9" max="9" width="52" customWidth="1"/>
    <col min="10" max="26" width="8.6640625" customWidth="1"/>
  </cols>
  <sheetData>
    <row r="1" spans="1:9" ht="21.75" customHeight="1">
      <c r="A1" s="5" t="s">
        <v>2</v>
      </c>
      <c r="B1" s="5" t="s">
        <v>6</v>
      </c>
      <c r="C1" s="5" t="s">
        <v>51</v>
      </c>
      <c r="D1" s="5" t="s">
        <v>665</v>
      </c>
      <c r="E1" s="5" t="s">
        <v>666</v>
      </c>
      <c r="F1" s="5" t="s">
        <v>667</v>
      </c>
      <c r="G1" s="5" t="s">
        <v>668</v>
      </c>
      <c r="H1" s="5" t="s">
        <v>669</v>
      </c>
      <c r="I1" s="5" t="s">
        <v>670</v>
      </c>
    </row>
    <row r="2" spans="1:9" ht="14.25" customHeight="1">
      <c r="A2" s="13" t="s">
        <v>263</v>
      </c>
      <c r="B2" s="12" t="s">
        <v>262</v>
      </c>
      <c r="C2" s="12" t="s">
        <v>671</v>
      </c>
      <c r="D2" s="45">
        <v>45989</v>
      </c>
      <c r="E2" s="12" t="s">
        <v>673</v>
      </c>
      <c r="F2" s="12" t="s">
        <v>675</v>
      </c>
      <c r="G2" s="19" t="s">
        <v>677</v>
      </c>
      <c r="H2" s="46" t="s">
        <v>678</v>
      </c>
      <c r="I2" s="47" t="s">
        <v>680</v>
      </c>
    </row>
    <row r="3" spans="1:9" ht="14.25" customHeight="1">
      <c r="A3" s="13" t="s">
        <v>516</v>
      </c>
      <c r="B3" s="12" t="s">
        <v>517</v>
      </c>
      <c r="C3" s="12" t="s">
        <v>671</v>
      </c>
      <c r="D3" s="45">
        <v>45989</v>
      </c>
      <c r="E3" s="12" t="s">
        <v>673</v>
      </c>
      <c r="F3" s="12" t="s">
        <v>675</v>
      </c>
      <c r="G3" s="19" t="s">
        <v>677</v>
      </c>
      <c r="H3" s="46" t="s">
        <v>678</v>
      </c>
      <c r="I3" s="47" t="s">
        <v>680</v>
      </c>
    </row>
    <row r="4" spans="1:9" ht="14.25" customHeight="1">
      <c r="A4" s="13" t="s">
        <v>310</v>
      </c>
      <c r="B4" s="12" t="s">
        <v>311</v>
      </c>
      <c r="C4" s="12" t="s">
        <v>682</v>
      </c>
      <c r="D4" s="45">
        <v>46121</v>
      </c>
      <c r="E4" s="12" t="s">
        <v>684</v>
      </c>
      <c r="F4" s="12" t="s">
        <v>686</v>
      </c>
      <c r="G4" s="19" t="s">
        <v>688</v>
      </c>
      <c r="H4" s="46" t="s">
        <v>678</v>
      </c>
      <c r="I4" s="47" t="s">
        <v>680</v>
      </c>
    </row>
    <row r="5" spans="1:9" ht="14.25" customHeight="1">
      <c r="A5" s="13" t="s">
        <v>213</v>
      </c>
      <c r="B5" s="12" t="s">
        <v>214</v>
      </c>
      <c r="C5" s="12" t="s">
        <v>689</v>
      </c>
      <c r="D5" s="45">
        <v>46224</v>
      </c>
      <c r="E5" s="12" t="s">
        <v>690</v>
      </c>
      <c r="F5" s="12" t="s">
        <v>691</v>
      </c>
      <c r="G5" s="19" t="s">
        <v>692</v>
      </c>
      <c r="H5" s="46" t="s">
        <v>694</v>
      </c>
      <c r="I5" s="47" t="s">
        <v>698</v>
      </c>
    </row>
    <row r="6" spans="1:9" ht="14.25" customHeight="1">
      <c r="A6" s="13" t="s">
        <v>318</v>
      </c>
      <c r="B6" s="12" t="s">
        <v>319</v>
      </c>
      <c r="C6" s="12" t="s">
        <v>702</v>
      </c>
      <c r="D6" s="45">
        <v>46121</v>
      </c>
      <c r="E6" s="12" t="s">
        <v>684</v>
      </c>
      <c r="F6" s="12" t="s">
        <v>686</v>
      </c>
      <c r="G6" s="19" t="s">
        <v>688</v>
      </c>
      <c r="H6" s="46" t="s">
        <v>703</v>
      </c>
      <c r="I6" s="47" t="s">
        <v>704</v>
      </c>
    </row>
    <row r="7" spans="1:9" ht="14.25" customHeight="1">
      <c r="A7" s="13" t="s">
        <v>318</v>
      </c>
      <c r="B7" s="12" t="s">
        <v>319</v>
      </c>
      <c r="C7" s="12" t="s">
        <v>707</v>
      </c>
      <c r="D7" s="45">
        <v>46135</v>
      </c>
      <c r="E7" s="12" t="s">
        <v>708</v>
      </c>
      <c r="F7" s="12" t="s">
        <v>709</v>
      </c>
      <c r="G7" s="19" t="s">
        <v>710</v>
      </c>
      <c r="H7" s="46" t="s">
        <v>703</v>
      </c>
      <c r="I7" s="47" t="s">
        <v>704</v>
      </c>
    </row>
    <row r="8" spans="1:9" ht="14.25" customHeight="1">
      <c r="A8" s="13" t="s">
        <v>309</v>
      </c>
      <c r="B8" s="12" t="s">
        <v>306</v>
      </c>
      <c r="C8" s="12" t="s">
        <v>711</v>
      </c>
      <c r="D8" s="45">
        <v>45783</v>
      </c>
      <c r="E8" s="12" t="s">
        <v>690</v>
      </c>
      <c r="F8" s="12" t="s">
        <v>675</v>
      </c>
      <c r="G8" s="19" t="s">
        <v>677</v>
      </c>
      <c r="H8" s="46" t="s">
        <v>703</v>
      </c>
      <c r="I8" s="47" t="s">
        <v>704</v>
      </c>
    </row>
    <row r="9" spans="1:9" ht="14.25" customHeight="1">
      <c r="A9" s="13" t="s">
        <v>233</v>
      </c>
      <c r="B9" s="12" t="s">
        <v>231</v>
      </c>
      <c r="C9" s="12" t="s">
        <v>713</v>
      </c>
      <c r="D9" s="45">
        <v>45905</v>
      </c>
      <c r="E9" s="12" t="s">
        <v>690</v>
      </c>
      <c r="F9" s="12" t="s">
        <v>675</v>
      </c>
      <c r="G9" s="19" t="s">
        <v>677</v>
      </c>
      <c r="H9" s="46" t="s">
        <v>703</v>
      </c>
      <c r="I9" s="47" t="s">
        <v>704</v>
      </c>
    </row>
    <row r="10" spans="1:9" ht="14.25" customHeight="1">
      <c r="A10" s="13" t="s">
        <v>379</v>
      </c>
      <c r="B10" s="12" t="s">
        <v>380</v>
      </c>
      <c r="C10" s="12" t="s">
        <v>715</v>
      </c>
      <c r="D10" s="45">
        <v>46086</v>
      </c>
      <c r="E10" s="12" t="s">
        <v>690</v>
      </c>
      <c r="F10" s="12" t="s">
        <v>675</v>
      </c>
      <c r="G10" s="19" t="s">
        <v>677</v>
      </c>
      <c r="H10" s="46" t="s">
        <v>703</v>
      </c>
      <c r="I10" s="47" t="s">
        <v>704</v>
      </c>
    </row>
    <row r="11" spans="1:9" ht="14.25" customHeight="1">
      <c r="A11" s="13" t="s">
        <v>219</v>
      </c>
      <c r="B11" s="12" t="s">
        <v>217</v>
      </c>
      <c r="C11" s="12" t="s">
        <v>716</v>
      </c>
      <c r="D11" s="45">
        <v>45989</v>
      </c>
      <c r="E11" s="12" t="s">
        <v>690</v>
      </c>
      <c r="F11" s="12" t="s">
        <v>675</v>
      </c>
      <c r="G11" s="19" t="s">
        <v>677</v>
      </c>
      <c r="H11" s="46" t="s">
        <v>703</v>
      </c>
      <c r="I11" s="47" t="s">
        <v>704</v>
      </c>
    </row>
    <row r="12" spans="1:9" ht="14.25" customHeight="1">
      <c r="A12" s="13" t="s">
        <v>263</v>
      </c>
      <c r="B12" s="12" t="s">
        <v>262</v>
      </c>
      <c r="C12" s="12" t="s">
        <v>671</v>
      </c>
      <c r="D12" s="45">
        <v>45989</v>
      </c>
      <c r="E12" s="12" t="s">
        <v>673</v>
      </c>
      <c r="F12" s="12" t="s">
        <v>719</v>
      </c>
      <c r="G12" s="19" t="s">
        <v>720</v>
      </c>
      <c r="H12" s="48" t="s">
        <v>434</v>
      </c>
      <c r="I12" s="47" t="s">
        <v>721</v>
      </c>
    </row>
    <row r="13" spans="1:9" ht="14.25" customHeight="1">
      <c r="A13" s="13" t="s">
        <v>263</v>
      </c>
      <c r="B13" s="12" t="s">
        <v>262</v>
      </c>
      <c r="C13" s="12" t="s">
        <v>722</v>
      </c>
      <c r="D13" s="45">
        <v>45992</v>
      </c>
      <c r="E13" s="12" t="s">
        <v>708</v>
      </c>
      <c r="F13" s="12" t="s">
        <v>723</v>
      </c>
      <c r="G13" s="19" t="s">
        <v>724</v>
      </c>
      <c r="H13" s="48" t="s">
        <v>434</v>
      </c>
      <c r="I13" s="47" t="s">
        <v>721</v>
      </c>
    </row>
    <row r="14" spans="1:9" ht="14.25" customHeight="1">
      <c r="A14" s="13" t="s">
        <v>263</v>
      </c>
      <c r="B14" s="12" t="s">
        <v>262</v>
      </c>
      <c r="C14" s="12" t="s">
        <v>722</v>
      </c>
      <c r="D14" s="45">
        <v>45992</v>
      </c>
      <c r="E14" s="12" t="s">
        <v>708</v>
      </c>
      <c r="F14" s="12" t="s">
        <v>726</v>
      </c>
      <c r="G14" s="19" t="s">
        <v>727</v>
      </c>
      <c r="H14" s="48" t="s">
        <v>434</v>
      </c>
      <c r="I14" s="47" t="s">
        <v>721</v>
      </c>
    </row>
    <row r="15" spans="1:9" ht="14.25" customHeight="1"/>
    <row r="16" spans="1: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I14" xr:uid="{00000000-0009-0000-0000-000006000000}"/>
  <pageMargins left="0.75" right="0.75" top="1" bottom="1" header="0" footer="0"/>
  <pageSetup paperSize="8"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1000"/>
  <sheetViews>
    <sheetView workbookViewId="0">
      <pane ySplit="1" topLeftCell="A2" activePane="bottomLeft" state="frozen"/>
      <selection activeCell="B3" sqref="B3"/>
      <selection pane="bottomLeft" activeCell="B3" sqref="B3"/>
    </sheetView>
  </sheetViews>
  <sheetFormatPr defaultColWidth="14.44140625" defaultRowHeight="15" customHeight="1"/>
  <cols>
    <col min="1" max="2" width="14" customWidth="1"/>
    <col min="3" max="3" width="24" customWidth="1"/>
    <col min="4" max="4" width="11" customWidth="1"/>
    <col min="5" max="5" width="8" customWidth="1"/>
    <col min="6" max="6" width="5" customWidth="1"/>
    <col min="7" max="7" width="30" customWidth="1"/>
    <col min="8" max="8" width="24" customWidth="1"/>
    <col min="9" max="9" width="58" customWidth="1"/>
    <col min="10" max="26" width="8.6640625" customWidth="1"/>
  </cols>
  <sheetData>
    <row r="1" spans="1:9" ht="21.75" customHeight="1">
      <c r="A1" s="5" t="s">
        <v>2</v>
      </c>
      <c r="B1" s="5" t="s">
        <v>6</v>
      </c>
      <c r="C1" s="5" t="s">
        <v>51</v>
      </c>
      <c r="D1" s="5" t="s">
        <v>665</v>
      </c>
      <c r="E1" s="5" t="s">
        <v>666</v>
      </c>
      <c r="F1" s="5" t="s">
        <v>667</v>
      </c>
      <c r="G1" s="5" t="s">
        <v>668</v>
      </c>
      <c r="H1" s="5" t="s">
        <v>738</v>
      </c>
      <c r="I1" s="5" t="s">
        <v>739</v>
      </c>
    </row>
    <row r="2" spans="1:9" ht="14.25" customHeight="1">
      <c r="A2" s="13" t="s">
        <v>71</v>
      </c>
      <c r="B2" s="12" t="s">
        <v>425</v>
      </c>
      <c r="C2" s="12" t="s">
        <v>740</v>
      </c>
      <c r="D2" s="45">
        <v>46241</v>
      </c>
      <c r="E2" s="12" t="s">
        <v>684</v>
      </c>
      <c r="F2" s="12" t="s">
        <v>719</v>
      </c>
      <c r="G2" s="19" t="s">
        <v>720</v>
      </c>
      <c r="H2" s="48" t="s">
        <v>741</v>
      </c>
      <c r="I2" s="47" t="s">
        <v>742</v>
      </c>
    </row>
    <row r="3" spans="1:9" ht="14.25" customHeight="1">
      <c r="A3" s="13" t="s">
        <v>125</v>
      </c>
      <c r="B3" s="12" t="s">
        <v>425</v>
      </c>
      <c r="C3" s="12" t="s">
        <v>743</v>
      </c>
      <c r="D3" s="45">
        <v>46241</v>
      </c>
      <c r="E3" s="12" t="s">
        <v>684</v>
      </c>
      <c r="F3" s="12" t="s">
        <v>719</v>
      </c>
      <c r="G3" s="19" t="s">
        <v>720</v>
      </c>
      <c r="H3" s="48" t="s">
        <v>741</v>
      </c>
      <c r="I3" s="47" t="s">
        <v>742</v>
      </c>
    </row>
    <row r="4" spans="1:9" ht="14.25" customHeight="1">
      <c r="A4" s="13" t="s">
        <v>155</v>
      </c>
      <c r="B4" s="12" t="s">
        <v>159</v>
      </c>
      <c r="C4" s="12" t="s">
        <v>746</v>
      </c>
      <c r="D4" s="45">
        <v>46241</v>
      </c>
      <c r="E4" s="12" t="s">
        <v>684</v>
      </c>
      <c r="F4" s="12" t="s">
        <v>719</v>
      </c>
      <c r="G4" s="19" t="s">
        <v>720</v>
      </c>
      <c r="H4" s="48" t="s">
        <v>741</v>
      </c>
      <c r="I4" s="47" t="s">
        <v>742</v>
      </c>
    </row>
    <row r="5" spans="1:9" ht="14.25" customHeight="1">
      <c r="A5" s="13" t="s">
        <v>171</v>
      </c>
      <c r="B5" s="12" t="s">
        <v>175</v>
      </c>
      <c r="C5" s="12" t="s">
        <v>750</v>
      </c>
      <c r="D5" s="45">
        <v>46241</v>
      </c>
      <c r="E5" s="12" t="s">
        <v>684</v>
      </c>
      <c r="F5" s="12" t="s">
        <v>719</v>
      </c>
      <c r="G5" s="19" t="s">
        <v>720</v>
      </c>
      <c r="H5" s="48" t="s">
        <v>741</v>
      </c>
      <c r="I5" s="47" t="s">
        <v>742</v>
      </c>
    </row>
    <row r="6" spans="1:9" ht="14.25" customHeight="1">
      <c r="A6" s="13" t="s">
        <v>184</v>
      </c>
      <c r="B6" s="12" t="s">
        <v>188</v>
      </c>
      <c r="C6" s="12" t="s">
        <v>751</v>
      </c>
      <c r="D6" s="45">
        <v>46241</v>
      </c>
      <c r="E6" s="12" t="s">
        <v>684</v>
      </c>
      <c r="F6" s="12" t="s">
        <v>719</v>
      </c>
      <c r="G6" s="19" t="s">
        <v>720</v>
      </c>
      <c r="H6" s="48" t="s">
        <v>741</v>
      </c>
      <c r="I6" s="47" t="s">
        <v>742</v>
      </c>
    </row>
    <row r="7" spans="1:9" ht="14.25" customHeight="1">
      <c r="A7" s="13" t="s">
        <v>176</v>
      </c>
      <c r="B7" s="12" t="s">
        <v>174</v>
      </c>
      <c r="C7" s="12" t="s">
        <v>754</v>
      </c>
      <c r="D7" s="45">
        <v>46241</v>
      </c>
      <c r="E7" s="12" t="s">
        <v>684</v>
      </c>
      <c r="F7" s="12" t="s">
        <v>719</v>
      </c>
      <c r="G7" s="19" t="s">
        <v>720</v>
      </c>
      <c r="H7" s="48" t="s">
        <v>741</v>
      </c>
      <c r="I7" s="47" t="s">
        <v>742</v>
      </c>
    </row>
    <row r="8" spans="1:9" ht="14.25" customHeight="1">
      <c r="A8" s="13" t="s">
        <v>636</v>
      </c>
      <c r="B8" s="12" t="s">
        <v>208</v>
      </c>
      <c r="C8" s="12" t="s">
        <v>759</v>
      </c>
      <c r="D8" s="45">
        <v>46241</v>
      </c>
      <c r="E8" s="12" t="s">
        <v>684</v>
      </c>
      <c r="F8" s="12" t="s">
        <v>719</v>
      </c>
      <c r="G8" s="19" t="s">
        <v>720</v>
      </c>
      <c r="H8" s="48" t="s">
        <v>741</v>
      </c>
      <c r="I8" s="47" t="s">
        <v>742</v>
      </c>
    </row>
    <row r="9" spans="1:9" ht="14.25" customHeight="1">
      <c r="A9" s="13" t="s">
        <v>215</v>
      </c>
      <c r="B9" s="12" t="s">
        <v>218</v>
      </c>
      <c r="C9" s="12" t="s">
        <v>762</v>
      </c>
      <c r="D9" s="45">
        <v>46241</v>
      </c>
      <c r="E9" s="12" t="s">
        <v>684</v>
      </c>
      <c r="F9" s="12" t="s">
        <v>719</v>
      </c>
      <c r="G9" s="19" t="s">
        <v>720</v>
      </c>
      <c r="H9" s="48" t="s">
        <v>741</v>
      </c>
      <c r="I9" s="47" t="s">
        <v>742</v>
      </c>
    </row>
    <row r="10" spans="1:9" ht="14.25" customHeight="1">
      <c r="A10" s="13" t="s">
        <v>232</v>
      </c>
      <c r="B10" s="12" t="s">
        <v>236</v>
      </c>
      <c r="C10" s="12" t="s">
        <v>764</v>
      </c>
      <c r="D10" s="45">
        <v>46241</v>
      </c>
      <c r="E10" s="12" t="s">
        <v>684</v>
      </c>
      <c r="F10" s="12" t="s">
        <v>719</v>
      </c>
      <c r="G10" s="19" t="s">
        <v>720</v>
      </c>
      <c r="H10" s="48" t="s">
        <v>741</v>
      </c>
      <c r="I10" s="47" t="s">
        <v>742</v>
      </c>
    </row>
    <row r="11" spans="1:9" ht="14.25" customHeight="1">
      <c r="A11" s="13" t="s">
        <v>202</v>
      </c>
      <c r="B11" s="12" t="s">
        <v>199</v>
      </c>
      <c r="C11" s="12" t="s">
        <v>766</v>
      </c>
      <c r="D11" s="45">
        <v>46241</v>
      </c>
      <c r="E11" s="12" t="s">
        <v>684</v>
      </c>
      <c r="F11" s="12" t="s">
        <v>719</v>
      </c>
      <c r="G11" s="19" t="s">
        <v>720</v>
      </c>
      <c r="H11" s="48" t="s">
        <v>741</v>
      </c>
      <c r="I11" s="47" t="s">
        <v>742</v>
      </c>
    </row>
    <row r="12" spans="1:9" ht="14.25" customHeight="1">
      <c r="A12" s="13" t="s">
        <v>247</v>
      </c>
      <c r="B12" s="12" t="s">
        <v>250</v>
      </c>
      <c r="C12" s="12" t="s">
        <v>769</v>
      </c>
      <c r="D12" s="45">
        <v>46241</v>
      </c>
      <c r="E12" s="12" t="s">
        <v>684</v>
      </c>
      <c r="F12" s="12" t="s">
        <v>719</v>
      </c>
      <c r="G12" s="19" t="s">
        <v>720</v>
      </c>
      <c r="H12" s="48" t="s">
        <v>741</v>
      </c>
      <c r="I12" s="47" t="s">
        <v>742</v>
      </c>
    </row>
    <row r="13" spans="1:9" ht="14.25" customHeight="1">
      <c r="A13" s="13" t="s">
        <v>248</v>
      </c>
      <c r="B13" s="12" t="s">
        <v>246</v>
      </c>
      <c r="C13" s="12" t="s">
        <v>772</v>
      </c>
      <c r="D13" s="45">
        <v>46241</v>
      </c>
      <c r="E13" s="12" t="s">
        <v>684</v>
      </c>
      <c r="F13" s="12" t="s">
        <v>719</v>
      </c>
      <c r="G13" s="19" t="s">
        <v>720</v>
      </c>
      <c r="H13" s="48" t="s">
        <v>741</v>
      </c>
      <c r="I13" s="47" t="s">
        <v>742</v>
      </c>
    </row>
    <row r="14" spans="1:9" ht="14.25" customHeight="1">
      <c r="A14" s="13" t="s">
        <v>283</v>
      </c>
      <c r="B14" s="12" t="s">
        <v>285</v>
      </c>
      <c r="C14" s="12" t="s">
        <v>773</v>
      </c>
      <c r="D14" s="45">
        <v>46083</v>
      </c>
      <c r="E14" s="12" t="s">
        <v>684</v>
      </c>
      <c r="F14" s="12" t="s">
        <v>686</v>
      </c>
      <c r="G14" s="19" t="s">
        <v>688</v>
      </c>
      <c r="H14" s="48" t="s">
        <v>741</v>
      </c>
      <c r="I14" s="47" t="s">
        <v>774</v>
      </c>
    </row>
    <row r="15" spans="1:9" ht="14.25" customHeight="1">
      <c r="A15" s="13" t="s">
        <v>283</v>
      </c>
      <c r="B15" s="12" t="s">
        <v>285</v>
      </c>
      <c r="C15" s="12" t="s">
        <v>773</v>
      </c>
      <c r="D15" s="45">
        <v>46083</v>
      </c>
      <c r="E15" s="12" t="s">
        <v>684</v>
      </c>
      <c r="F15" s="12" t="s">
        <v>779</v>
      </c>
      <c r="G15" s="19" t="s">
        <v>782</v>
      </c>
      <c r="H15" s="48" t="s">
        <v>741</v>
      </c>
      <c r="I15" s="47" t="s">
        <v>774</v>
      </c>
    </row>
    <row r="16" spans="1:9" ht="14.25" customHeight="1">
      <c r="A16" s="13" t="s">
        <v>283</v>
      </c>
      <c r="B16" s="12" t="s">
        <v>285</v>
      </c>
      <c r="C16" s="12" t="s">
        <v>773</v>
      </c>
      <c r="D16" s="45">
        <v>46083</v>
      </c>
      <c r="E16" s="12" t="s">
        <v>684</v>
      </c>
      <c r="F16" s="12" t="s">
        <v>784</v>
      </c>
      <c r="G16" s="19" t="s">
        <v>785</v>
      </c>
      <c r="H16" s="48" t="s">
        <v>741</v>
      </c>
      <c r="I16" s="47" t="s">
        <v>774</v>
      </c>
    </row>
    <row r="17" spans="1:9" ht="14.25" customHeight="1">
      <c r="A17" s="13" t="s">
        <v>283</v>
      </c>
      <c r="B17" s="12" t="s">
        <v>285</v>
      </c>
      <c r="C17" s="12" t="s">
        <v>773</v>
      </c>
      <c r="D17" s="45">
        <v>46083</v>
      </c>
      <c r="E17" s="12" t="s">
        <v>684</v>
      </c>
      <c r="F17" s="12" t="s">
        <v>675</v>
      </c>
      <c r="G17" s="19" t="s">
        <v>677</v>
      </c>
      <c r="H17" s="48" t="s">
        <v>741</v>
      </c>
      <c r="I17" s="47" t="s">
        <v>774</v>
      </c>
    </row>
    <row r="18" spans="1:9" ht="14.25" customHeight="1">
      <c r="A18" s="13" t="s">
        <v>283</v>
      </c>
      <c r="B18" s="12" t="s">
        <v>285</v>
      </c>
      <c r="C18" s="12" t="s">
        <v>793</v>
      </c>
      <c r="D18" s="45">
        <v>46085</v>
      </c>
      <c r="E18" s="12" t="s">
        <v>684</v>
      </c>
      <c r="F18" s="12" t="s">
        <v>719</v>
      </c>
      <c r="G18" s="19" t="s">
        <v>720</v>
      </c>
      <c r="H18" s="48" t="s">
        <v>741</v>
      </c>
      <c r="I18" s="47" t="s">
        <v>742</v>
      </c>
    </row>
    <row r="19" spans="1:9" ht="14.25" customHeight="1">
      <c r="A19" s="13" t="s">
        <v>260</v>
      </c>
      <c r="B19" s="12" t="s">
        <v>425</v>
      </c>
      <c r="C19" s="12" t="s">
        <v>801</v>
      </c>
      <c r="D19" s="45">
        <v>46241</v>
      </c>
      <c r="E19" s="12" t="s">
        <v>684</v>
      </c>
      <c r="F19" s="12" t="s">
        <v>719</v>
      </c>
      <c r="G19" s="19" t="s">
        <v>720</v>
      </c>
      <c r="H19" s="48" t="s">
        <v>741</v>
      </c>
      <c r="I19" s="47" t="s">
        <v>742</v>
      </c>
    </row>
    <row r="20" spans="1:9" ht="14.25" customHeight="1">
      <c r="A20" s="13" t="s">
        <v>267</v>
      </c>
      <c r="B20" s="12" t="s">
        <v>269</v>
      </c>
      <c r="C20" s="12" t="s">
        <v>804</v>
      </c>
      <c r="D20" s="45">
        <v>46241</v>
      </c>
      <c r="E20" s="12" t="s">
        <v>684</v>
      </c>
      <c r="F20" s="12" t="s">
        <v>719</v>
      </c>
      <c r="G20" s="19" t="s">
        <v>720</v>
      </c>
      <c r="H20" s="48" t="s">
        <v>741</v>
      </c>
      <c r="I20" s="47" t="s">
        <v>742</v>
      </c>
    </row>
    <row r="21" spans="1:9" ht="14.25" customHeight="1">
      <c r="A21" s="13" t="s">
        <v>276</v>
      </c>
      <c r="B21" s="12" t="s">
        <v>279</v>
      </c>
      <c r="C21" s="12" t="s">
        <v>806</v>
      </c>
      <c r="D21" s="45">
        <v>46083</v>
      </c>
      <c r="E21" s="12" t="s">
        <v>684</v>
      </c>
      <c r="F21" s="12" t="s">
        <v>686</v>
      </c>
      <c r="G21" s="19" t="s">
        <v>688</v>
      </c>
      <c r="H21" s="48" t="s">
        <v>741</v>
      </c>
      <c r="I21" s="47" t="s">
        <v>774</v>
      </c>
    </row>
    <row r="22" spans="1:9" ht="14.25" customHeight="1">
      <c r="A22" s="13" t="s">
        <v>276</v>
      </c>
      <c r="B22" s="12" t="s">
        <v>279</v>
      </c>
      <c r="C22" s="12" t="s">
        <v>806</v>
      </c>
      <c r="D22" s="45">
        <v>46083</v>
      </c>
      <c r="E22" s="12" t="s">
        <v>684</v>
      </c>
      <c r="F22" s="12" t="s">
        <v>779</v>
      </c>
      <c r="G22" s="19" t="s">
        <v>782</v>
      </c>
      <c r="H22" s="48" t="s">
        <v>741</v>
      </c>
      <c r="I22" s="47" t="s">
        <v>774</v>
      </c>
    </row>
    <row r="23" spans="1:9" ht="14.25" customHeight="1">
      <c r="A23" s="13" t="s">
        <v>276</v>
      </c>
      <c r="B23" s="12" t="s">
        <v>279</v>
      </c>
      <c r="C23" s="12" t="s">
        <v>806</v>
      </c>
      <c r="D23" s="45">
        <v>46083</v>
      </c>
      <c r="E23" s="12" t="s">
        <v>684</v>
      </c>
      <c r="F23" s="12" t="s">
        <v>784</v>
      </c>
      <c r="G23" s="19" t="s">
        <v>785</v>
      </c>
      <c r="H23" s="48" t="s">
        <v>741</v>
      </c>
      <c r="I23" s="47" t="s">
        <v>774</v>
      </c>
    </row>
    <row r="24" spans="1:9" ht="14.25" customHeight="1">
      <c r="A24" s="13" t="s">
        <v>276</v>
      </c>
      <c r="B24" s="12" t="s">
        <v>279</v>
      </c>
      <c r="C24" s="12" t="s">
        <v>806</v>
      </c>
      <c r="D24" s="45">
        <v>46083</v>
      </c>
      <c r="E24" s="12" t="s">
        <v>684</v>
      </c>
      <c r="F24" s="12" t="s">
        <v>675</v>
      </c>
      <c r="G24" s="19" t="s">
        <v>677</v>
      </c>
      <c r="H24" s="48" t="s">
        <v>741</v>
      </c>
      <c r="I24" s="47" t="s">
        <v>774</v>
      </c>
    </row>
    <row r="25" spans="1:9" ht="14.25" customHeight="1">
      <c r="A25" s="13" t="s">
        <v>276</v>
      </c>
      <c r="B25" s="12" t="s">
        <v>279</v>
      </c>
      <c r="C25" s="12" t="s">
        <v>812</v>
      </c>
      <c r="D25" s="45">
        <v>46085</v>
      </c>
      <c r="E25" s="12" t="s">
        <v>684</v>
      </c>
      <c r="F25" s="12" t="s">
        <v>719</v>
      </c>
      <c r="G25" s="19" t="s">
        <v>720</v>
      </c>
      <c r="H25" s="48" t="s">
        <v>741</v>
      </c>
      <c r="I25" s="47" t="s">
        <v>742</v>
      </c>
    </row>
    <row r="26" spans="1:9" ht="14.25" customHeight="1">
      <c r="A26" s="13" t="s">
        <v>276</v>
      </c>
      <c r="B26" s="12" t="s">
        <v>279</v>
      </c>
      <c r="C26" s="12" t="s">
        <v>813</v>
      </c>
      <c r="D26" s="45">
        <v>46241</v>
      </c>
      <c r="E26" s="12" t="s">
        <v>684</v>
      </c>
      <c r="F26" s="12" t="s">
        <v>719</v>
      </c>
      <c r="G26" s="19" t="s">
        <v>720</v>
      </c>
      <c r="H26" s="48" t="s">
        <v>741</v>
      </c>
      <c r="I26" s="47" t="s">
        <v>742</v>
      </c>
    </row>
    <row r="27" spans="1:9" ht="14.25" customHeight="1">
      <c r="A27" s="13" t="s">
        <v>310</v>
      </c>
      <c r="B27" s="12" t="s">
        <v>311</v>
      </c>
      <c r="C27" s="12" t="s">
        <v>815</v>
      </c>
      <c r="D27" s="45">
        <v>46083</v>
      </c>
      <c r="E27" s="12" t="s">
        <v>684</v>
      </c>
      <c r="F27" s="12" t="s">
        <v>686</v>
      </c>
      <c r="G27" s="19" t="s">
        <v>688</v>
      </c>
      <c r="H27" s="48" t="s">
        <v>741</v>
      </c>
      <c r="I27" s="47" t="s">
        <v>774</v>
      </c>
    </row>
    <row r="28" spans="1:9" ht="14.25" customHeight="1">
      <c r="A28" s="13" t="s">
        <v>310</v>
      </c>
      <c r="B28" s="12" t="s">
        <v>311</v>
      </c>
      <c r="C28" s="12" t="s">
        <v>817</v>
      </c>
      <c r="D28" s="45">
        <v>46121</v>
      </c>
      <c r="E28" s="12" t="s">
        <v>684</v>
      </c>
      <c r="F28" s="12" t="s">
        <v>686</v>
      </c>
      <c r="G28" s="19" t="s">
        <v>688</v>
      </c>
      <c r="H28" s="48" t="s">
        <v>741</v>
      </c>
      <c r="I28" s="47" t="s">
        <v>774</v>
      </c>
    </row>
    <row r="29" spans="1:9" ht="14.25" customHeight="1">
      <c r="A29" s="13" t="s">
        <v>310</v>
      </c>
      <c r="B29" s="12" t="s">
        <v>311</v>
      </c>
      <c r="C29" s="12" t="s">
        <v>819</v>
      </c>
      <c r="D29" s="45">
        <v>46121</v>
      </c>
      <c r="E29" s="12" t="s">
        <v>684</v>
      </c>
      <c r="F29" s="12" t="s">
        <v>686</v>
      </c>
      <c r="G29" s="19" t="s">
        <v>688</v>
      </c>
      <c r="H29" s="48" t="s">
        <v>741</v>
      </c>
      <c r="I29" s="47" t="s">
        <v>774</v>
      </c>
    </row>
    <row r="30" spans="1:9" ht="14.25" customHeight="1">
      <c r="A30" s="13" t="s">
        <v>310</v>
      </c>
      <c r="B30" s="12" t="s">
        <v>311</v>
      </c>
      <c r="C30" s="12" t="s">
        <v>820</v>
      </c>
      <c r="D30" s="45">
        <v>46121</v>
      </c>
      <c r="E30" s="12" t="s">
        <v>684</v>
      </c>
      <c r="F30" s="12" t="s">
        <v>686</v>
      </c>
      <c r="G30" s="19" t="s">
        <v>688</v>
      </c>
      <c r="H30" s="48" t="s">
        <v>741</v>
      </c>
      <c r="I30" s="47" t="s">
        <v>774</v>
      </c>
    </row>
    <row r="31" spans="1:9" ht="14.25" customHeight="1">
      <c r="A31" s="13" t="s">
        <v>310</v>
      </c>
      <c r="B31" s="12" t="s">
        <v>311</v>
      </c>
      <c r="C31" s="12" t="s">
        <v>815</v>
      </c>
      <c r="D31" s="45">
        <v>46083</v>
      </c>
      <c r="E31" s="12" t="s">
        <v>684</v>
      </c>
      <c r="F31" s="12" t="s">
        <v>779</v>
      </c>
      <c r="G31" s="19" t="s">
        <v>782</v>
      </c>
      <c r="H31" s="48" t="s">
        <v>741</v>
      </c>
      <c r="I31" s="47" t="s">
        <v>774</v>
      </c>
    </row>
    <row r="32" spans="1:9" ht="14.25" customHeight="1">
      <c r="A32" s="13" t="s">
        <v>310</v>
      </c>
      <c r="B32" s="12" t="s">
        <v>311</v>
      </c>
      <c r="C32" s="12" t="s">
        <v>817</v>
      </c>
      <c r="D32" s="45">
        <v>46121</v>
      </c>
      <c r="E32" s="12" t="s">
        <v>684</v>
      </c>
      <c r="F32" s="12" t="s">
        <v>779</v>
      </c>
      <c r="G32" s="19" t="s">
        <v>782</v>
      </c>
      <c r="H32" s="48" t="s">
        <v>741</v>
      </c>
      <c r="I32" s="47" t="s">
        <v>774</v>
      </c>
    </row>
    <row r="33" spans="1:9" ht="14.25" customHeight="1">
      <c r="A33" s="13" t="s">
        <v>310</v>
      </c>
      <c r="B33" s="12" t="s">
        <v>311</v>
      </c>
      <c r="C33" s="12" t="s">
        <v>819</v>
      </c>
      <c r="D33" s="45">
        <v>46121</v>
      </c>
      <c r="E33" s="12" t="s">
        <v>684</v>
      </c>
      <c r="F33" s="12" t="s">
        <v>779</v>
      </c>
      <c r="G33" s="19" t="s">
        <v>782</v>
      </c>
      <c r="H33" s="48" t="s">
        <v>741</v>
      </c>
      <c r="I33" s="47" t="s">
        <v>774</v>
      </c>
    </row>
    <row r="34" spans="1:9" ht="14.25" customHeight="1">
      <c r="A34" s="13" t="s">
        <v>310</v>
      </c>
      <c r="B34" s="12" t="s">
        <v>311</v>
      </c>
      <c r="C34" s="12" t="s">
        <v>820</v>
      </c>
      <c r="D34" s="45">
        <v>46121</v>
      </c>
      <c r="E34" s="12" t="s">
        <v>684</v>
      </c>
      <c r="F34" s="12" t="s">
        <v>779</v>
      </c>
      <c r="G34" s="19" t="s">
        <v>782</v>
      </c>
      <c r="H34" s="48" t="s">
        <v>741</v>
      </c>
      <c r="I34" s="47" t="s">
        <v>774</v>
      </c>
    </row>
    <row r="35" spans="1:9" ht="14.25" customHeight="1">
      <c r="A35" s="13" t="s">
        <v>310</v>
      </c>
      <c r="B35" s="12" t="s">
        <v>311</v>
      </c>
      <c r="C35" s="12" t="s">
        <v>815</v>
      </c>
      <c r="D35" s="45">
        <v>46083</v>
      </c>
      <c r="E35" s="12" t="s">
        <v>684</v>
      </c>
      <c r="F35" s="12" t="s">
        <v>784</v>
      </c>
      <c r="G35" s="19" t="s">
        <v>785</v>
      </c>
      <c r="H35" s="48" t="s">
        <v>741</v>
      </c>
      <c r="I35" s="47" t="s">
        <v>774</v>
      </c>
    </row>
    <row r="36" spans="1:9" ht="14.25" customHeight="1">
      <c r="A36" s="13" t="s">
        <v>310</v>
      </c>
      <c r="B36" s="12" t="s">
        <v>311</v>
      </c>
      <c r="C36" s="12" t="s">
        <v>817</v>
      </c>
      <c r="D36" s="45">
        <v>46121</v>
      </c>
      <c r="E36" s="12" t="s">
        <v>684</v>
      </c>
      <c r="F36" s="12" t="s">
        <v>784</v>
      </c>
      <c r="G36" s="19" t="s">
        <v>785</v>
      </c>
      <c r="H36" s="48" t="s">
        <v>741</v>
      </c>
      <c r="I36" s="47" t="s">
        <v>774</v>
      </c>
    </row>
    <row r="37" spans="1:9" ht="14.25" customHeight="1">
      <c r="A37" s="13" t="s">
        <v>310</v>
      </c>
      <c r="B37" s="12" t="s">
        <v>311</v>
      </c>
      <c r="C37" s="12" t="s">
        <v>819</v>
      </c>
      <c r="D37" s="45">
        <v>46121</v>
      </c>
      <c r="E37" s="12" t="s">
        <v>684</v>
      </c>
      <c r="F37" s="12" t="s">
        <v>784</v>
      </c>
      <c r="G37" s="19" t="s">
        <v>785</v>
      </c>
      <c r="H37" s="48" t="s">
        <v>741</v>
      </c>
      <c r="I37" s="47" t="s">
        <v>774</v>
      </c>
    </row>
    <row r="38" spans="1:9" ht="14.25" customHeight="1">
      <c r="A38" s="13" t="s">
        <v>310</v>
      </c>
      <c r="B38" s="12" t="s">
        <v>311</v>
      </c>
      <c r="C38" s="12" t="s">
        <v>820</v>
      </c>
      <c r="D38" s="45">
        <v>46121</v>
      </c>
      <c r="E38" s="12" t="s">
        <v>684</v>
      </c>
      <c r="F38" s="12" t="s">
        <v>784</v>
      </c>
      <c r="G38" s="19" t="s">
        <v>785</v>
      </c>
      <c r="H38" s="48" t="s">
        <v>741</v>
      </c>
      <c r="I38" s="47" t="s">
        <v>774</v>
      </c>
    </row>
    <row r="39" spans="1:9" ht="14.25" customHeight="1">
      <c r="A39" s="13" t="s">
        <v>310</v>
      </c>
      <c r="B39" s="12" t="s">
        <v>311</v>
      </c>
      <c r="C39" s="12" t="s">
        <v>815</v>
      </c>
      <c r="D39" s="45">
        <v>46083</v>
      </c>
      <c r="E39" s="12" t="s">
        <v>684</v>
      </c>
      <c r="F39" s="12" t="s">
        <v>675</v>
      </c>
      <c r="G39" s="19" t="s">
        <v>677</v>
      </c>
      <c r="H39" s="48" t="s">
        <v>741</v>
      </c>
      <c r="I39" s="47" t="s">
        <v>774</v>
      </c>
    </row>
    <row r="40" spans="1:9" ht="14.25" customHeight="1">
      <c r="A40" s="13" t="s">
        <v>310</v>
      </c>
      <c r="B40" s="12" t="s">
        <v>311</v>
      </c>
      <c r="C40" s="12" t="s">
        <v>817</v>
      </c>
      <c r="D40" s="45">
        <v>46121</v>
      </c>
      <c r="E40" s="12" t="s">
        <v>684</v>
      </c>
      <c r="F40" s="12" t="s">
        <v>675</v>
      </c>
      <c r="G40" s="19" t="s">
        <v>677</v>
      </c>
      <c r="H40" s="48" t="s">
        <v>741</v>
      </c>
      <c r="I40" s="47" t="s">
        <v>774</v>
      </c>
    </row>
    <row r="41" spans="1:9" ht="14.25" customHeight="1">
      <c r="A41" s="13" t="s">
        <v>310</v>
      </c>
      <c r="B41" s="12" t="s">
        <v>311</v>
      </c>
      <c r="C41" s="12" t="s">
        <v>819</v>
      </c>
      <c r="D41" s="45">
        <v>46121</v>
      </c>
      <c r="E41" s="12" t="s">
        <v>684</v>
      </c>
      <c r="F41" s="12" t="s">
        <v>675</v>
      </c>
      <c r="G41" s="19" t="s">
        <v>677</v>
      </c>
      <c r="H41" s="48" t="s">
        <v>741</v>
      </c>
      <c r="I41" s="47" t="s">
        <v>774</v>
      </c>
    </row>
    <row r="42" spans="1:9" ht="14.25" customHeight="1">
      <c r="A42" s="13" t="s">
        <v>310</v>
      </c>
      <c r="B42" s="12" t="s">
        <v>311</v>
      </c>
      <c r="C42" s="12" t="s">
        <v>820</v>
      </c>
      <c r="D42" s="45">
        <v>46121</v>
      </c>
      <c r="E42" s="12" t="s">
        <v>684</v>
      </c>
      <c r="F42" s="12" t="s">
        <v>675</v>
      </c>
      <c r="G42" s="19" t="s">
        <v>677</v>
      </c>
      <c r="H42" s="48" t="s">
        <v>741</v>
      </c>
      <c r="I42" s="47" t="s">
        <v>774</v>
      </c>
    </row>
    <row r="43" spans="1:9" ht="14.25" customHeight="1">
      <c r="A43" s="13" t="s">
        <v>310</v>
      </c>
      <c r="B43" s="12" t="s">
        <v>311</v>
      </c>
      <c r="C43" s="12" t="s">
        <v>859</v>
      </c>
      <c r="D43" s="45">
        <v>46085</v>
      </c>
      <c r="E43" s="12" t="s">
        <v>684</v>
      </c>
      <c r="F43" s="12" t="s">
        <v>719</v>
      </c>
      <c r="G43" s="19" t="s">
        <v>720</v>
      </c>
      <c r="H43" s="48" t="s">
        <v>741</v>
      </c>
      <c r="I43" s="47" t="s">
        <v>742</v>
      </c>
    </row>
    <row r="44" spans="1:9" ht="14.25" customHeight="1">
      <c r="A44" s="13" t="s">
        <v>310</v>
      </c>
      <c r="B44" s="12" t="s">
        <v>311</v>
      </c>
      <c r="C44" s="12" t="s">
        <v>682</v>
      </c>
      <c r="D44" s="45">
        <v>46121</v>
      </c>
      <c r="E44" s="12" t="s">
        <v>684</v>
      </c>
      <c r="F44" s="12" t="s">
        <v>719</v>
      </c>
      <c r="G44" s="19" t="s">
        <v>720</v>
      </c>
      <c r="H44" s="48" t="s">
        <v>741</v>
      </c>
      <c r="I44" s="47" t="s">
        <v>742</v>
      </c>
    </row>
    <row r="45" spans="1:9" ht="14.25" customHeight="1">
      <c r="A45" s="13" t="s">
        <v>318</v>
      </c>
      <c r="B45" s="12" t="s">
        <v>319</v>
      </c>
      <c r="C45" s="12" t="s">
        <v>866</v>
      </c>
      <c r="D45" s="45">
        <v>46121</v>
      </c>
      <c r="E45" s="12" t="s">
        <v>684</v>
      </c>
      <c r="F45" s="12" t="s">
        <v>719</v>
      </c>
      <c r="G45" s="19" t="s">
        <v>720</v>
      </c>
      <c r="H45" s="48" t="s">
        <v>741</v>
      </c>
      <c r="I45" s="47" t="s">
        <v>742</v>
      </c>
    </row>
    <row r="46" spans="1:9" ht="14.25" customHeight="1">
      <c r="A46" s="13" t="s">
        <v>318</v>
      </c>
      <c r="B46" s="12" t="s">
        <v>319</v>
      </c>
      <c r="C46" s="12" t="s">
        <v>702</v>
      </c>
      <c r="D46" s="45">
        <v>46121</v>
      </c>
      <c r="E46" s="12" t="s">
        <v>684</v>
      </c>
      <c r="F46" s="12" t="s">
        <v>719</v>
      </c>
      <c r="G46" s="19" t="s">
        <v>720</v>
      </c>
      <c r="H46" s="48" t="s">
        <v>741</v>
      </c>
      <c r="I46" s="47" t="s">
        <v>742</v>
      </c>
    </row>
    <row r="47" spans="1:9" ht="14.25" customHeight="1">
      <c r="A47" s="13" t="s">
        <v>284</v>
      </c>
      <c r="B47" s="12" t="s">
        <v>287</v>
      </c>
      <c r="C47" s="12" t="s">
        <v>872</v>
      </c>
      <c r="D47" s="45">
        <v>46241</v>
      </c>
      <c r="E47" s="12" t="s">
        <v>684</v>
      </c>
      <c r="F47" s="12" t="s">
        <v>719</v>
      </c>
      <c r="G47" s="19" t="s">
        <v>720</v>
      </c>
      <c r="H47" s="48" t="s">
        <v>741</v>
      </c>
      <c r="I47" s="47" t="s">
        <v>742</v>
      </c>
    </row>
    <row r="48" spans="1:9" ht="14.25" customHeight="1">
      <c r="A48" s="13" t="s">
        <v>355</v>
      </c>
      <c r="B48" s="12" t="s">
        <v>357</v>
      </c>
      <c r="C48" s="12" t="s">
        <v>874</v>
      </c>
      <c r="D48" s="45">
        <v>46083</v>
      </c>
      <c r="E48" s="12" t="s">
        <v>684</v>
      </c>
      <c r="F48" s="12" t="s">
        <v>686</v>
      </c>
      <c r="G48" s="19" t="s">
        <v>688</v>
      </c>
      <c r="H48" s="48" t="s">
        <v>741</v>
      </c>
      <c r="I48" s="47" t="s">
        <v>774</v>
      </c>
    </row>
    <row r="49" spans="1:9" ht="14.25" customHeight="1">
      <c r="A49" s="13" t="s">
        <v>355</v>
      </c>
      <c r="B49" s="12" t="s">
        <v>357</v>
      </c>
      <c r="C49" s="12" t="s">
        <v>874</v>
      </c>
      <c r="D49" s="45">
        <v>46083</v>
      </c>
      <c r="E49" s="12" t="s">
        <v>684</v>
      </c>
      <c r="F49" s="12" t="s">
        <v>779</v>
      </c>
      <c r="G49" s="19" t="s">
        <v>782</v>
      </c>
      <c r="H49" s="48" t="s">
        <v>741</v>
      </c>
      <c r="I49" s="47" t="s">
        <v>774</v>
      </c>
    </row>
    <row r="50" spans="1:9" ht="14.25" customHeight="1">
      <c r="A50" s="13" t="s">
        <v>355</v>
      </c>
      <c r="B50" s="12" t="s">
        <v>357</v>
      </c>
      <c r="C50" s="12" t="s">
        <v>874</v>
      </c>
      <c r="D50" s="45">
        <v>46083</v>
      </c>
      <c r="E50" s="12" t="s">
        <v>684</v>
      </c>
      <c r="F50" s="12" t="s">
        <v>784</v>
      </c>
      <c r="G50" s="19" t="s">
        <v>785</v>
      </c>
      <c r="H50" s="48" t="s">
        <v>741</v>
      </c>
      <c r="I50" s="47" t="s">
        <v>774</v>
      </c>
    </row>
    <row r="51" spans="1:9" ht="14.25" customHeight="1">
      <c r="A51" s="13" t="s">
        <v>355</v>
      </c>
      <c r="B51" s="12" t="s">
        <v>357</v>
      </c>
      <c r="C51" s="12" t="s">
        <v>874</v>
      </c>
      <c r="D51" s="45">
        <v>46083</v>
      </c>
      <c r="E51" s="12" t="s">
        <v>684</v>
      </c>
      <c r="F51" s="12" t="s">
        <v>675</v>
      </c>
      <c r="G51" s="19" t="s">
        <v>677</v>
      </c>
      <c r="H51" s="48" t="s">
        <v>741</v>
      </c>
      <c r="I51" s="47" t="s">
        <v>774</v>
      </c>
    </row>
    <row r="52" spans="1:9" ht="14.25" customHeight="1">
      <c r="A52" s="13" t="s">
        <v>355</v>
      </c>
      <c r="B52" s="12" t="s">
        <v>357</v>
      </c>
      <c r="C52" s="12" t="s">
        <v>880</v>
      </c>
      <c r="D52" s="45">
        <v>46085</v>
      </c>
      <c r="E52" s="12" t="s">
        <v>684</v>
      </c>
      <c r="F52" s="12" t="s">
        <v>719</v>
      </c>
      <c r="G52" s="19" t="s">
        <v>720</v>
      </c>
      <c r="H52" s="48" t="s">
        <v>741</v>
      </c>
      <c r="I52" s="47" t="s">
        <v>742</v>
      </c>
    </row>
    <row r="53" spans="1:9" ht="14.25" customHeight="1">
      <c r="A53" s="13" t="s">
        <v>291</v>
      </c>
      <c r="B53" s="12" t="s">
        <v>425</v>
      </c>
      <c r="C53" s="12" t="s">
        <v>882</v>
      </c>
      <c r="D53" s="45">
        <v>46241</v>
      </c>
      <c r="E53" s="12" t="s">
        <v>684</v>
      </c>
      <c r="F53" s="12" t="s">
        <v>719</v>
      </c>
      <c r="G53" s="19" t="s">
        <v>720</v>
      </c>
      <c r="H53" s="48" t="s">
        <v>741</v>
      </c>
      <c r="I53" s="47" t="s">
        <v>742</v>
      </c>
    </row>
    <row r="54" spans="1:9" ht="14.25" customHeight="1">
      <c r="A54" s="13" t="s">
        <v>296</v>
      </c>
      <c r="B54" s="12" t="s">
        <v>295</v>
      </c>
      <c r="C54" s="12" t="s">
        <v>885</v>
      </c>
      <c r="D54" s="45">
        <v>46241</v>
      </c>
      <c r="E54" s="12" t="s">
        <v>684</v>
      </c>
      <c r="F54" s="12" t="s">
        <v>719</v>
      </c>
      <c r="G54" s="19" t="s">
        <v>720</v>
      </c>
      <c r="H54" s="48" t="s">
        <v>741</v>
      </c>
      <c r="I54" s="47" t="s">
        <v>742</v>
      </c>
    </row>
    <row r="55" spans="1:9" ht="14.25" customHeight="1">
      <c r="A55" s="13" t="s">
        <v>299</v>
      </c>
      <c r="B55" s="12" t="s">
        <v>301</v>
      </c>
      <c r="C55" s="12" t="s">
        <v>889</v>
      </c>
      <c r="D55" s="45">
        <v>46121</v>
      </c>
      <c r="E55" s="12" t="s">
        <v>684</v>
      </c>
      <c r="F55" s="12" t="s">
        <v>686</v>
      </c>
      <c r="G55" s="19" t="s">
        <v>688</v>
      </c>
      <c r="H55" s="48" t="s">
        <v>741</v>
      </c>
      <c r="I55" s="47" t="s">
        <v>774</v>
      </c>
    </row>
    <row r="56" spans="1:9" ht="14.25" customHeight="1">
      <c r="A56" s="13" t="s">
        <v>299</v>
      </c>
      <c r="B56" s="12" t="s">
        <v>301</v>
      </c>
      <c r="C56" s="12" t="s">
        <v>889</v>
      </c>
      <c r="D56" s="45">
        <v>46121</v>
      </c>
      <c r="E56" s="12" t="s">
        <v>684</v>
      </c>
      <c r="F56" s="12" t="s">
        <v>779</v>
      </c>
      <c r="G56" s="19" t="s">
        <v>782</v>
      </c>
      <c r="H56" s="48" t="s">
        <v>741</v>
      </c>
      <c r="I56" s="47" t="s">
        <v>774</v>
      </c>
    </row>
    <row r="57" spans="1:9" ht="14.25" customHeight="1">
      <c r="A57" s="13" t="s">
        <v>299</v>
      </c>
      <c r="B57" s="12" t="s">
        <v>301</v>
      </c>
      <c r="C57" s="12" t="s">
        <v>889</v>
      </c>
      <c r="D57" s="45">
        <v>46121</v>
      </c>
      <c r="E57" s="12" t="s">
        <v>684</v>
      </c>
      <c r="F57" s="12" t="s">
        <v>784</v>
      </c>
      <c r="G57" s="19" t="s">
        <v>785</v>
      </c>
      <c r="H57" s="48" t="s">
        <v>741</v>
      </c>
      <c r="I57" s="47" t="s">
        <v>774</v>
      </c>
    </row>
    <row r="58" spans="1:9" ht="14.25" customHeight="1">
      <c r="A58" s="13" t="s">
        <v>299</v>
      </c>
      <c r="B58" s="12" t="s">
        <v>301</v>
      </c>
      <c r="C58" s="12" t="s">
        <v>889</v>
      </c>
      <c r="D58" s="45">
        <v>46121</v>
      </c>
      <c r="E58" s="12" t="s">
        <v>684</v>
      </c>
      <c r="F58" s="12" t="s">
        <v>675</v>
      </c>
      <c r="G58" s="19" t="s">
        <v>677</v>
      </c>
      <c r="H58" s="48" t="s">
        <v>741</v>
      </c>
      <c r="I58" s="47" t="s">
        <v>774</v>
      </c>
    </row>
    <row r="59" spans="1:9" ht="14.25" customHeight="1">
      <c r="A59" s="13" t="s">
        <v>299</v>
      </c>
      <c r="B59" s="12" t="s">
        <v>301</v>
      </c>
      <c r="C59" s="12" t="s">
        <v>897</v>
      </c>
      <c r="D59" s="45">
        <v>46121</v>
      </c>
      <c r="E59" s="12" t="s">
        <v>684</v>
      </c>
      <c r="F59" s="12" t="s">
        <v>719</v>
      </c>
      <c r="G59" s="19" t="s">
        <v>720</v>
      </c>
      <c r="H59" s="48" t="s">
        <v>741</v>
      </c>
      <c r="I59" s="47" t="s">
        <v>742</v>
      </c>
    </row>
    <row r="60" spans="1:9" ht="14.25" customHeight="1">
      <c r="A60" s="13" t="s">
        <v>299</v>
      </c>
      <c r="B60" s="12" t="s">
        <v>301</v>
      </c>
      <c r="C60" s="12" t="s">
        <v>899</v>
      </c>
      <c r="D60" s="45">
        <v>46241</v>
      </c>
      <c r="E60" s="12" t="s">
        <v>684</v>
      </c>
      <c r="F60" s="12" t="s">
        <v>719</v>
      </c>
      <c r="G60" s="19" t="s">
        <v>720</v>
      </c>
      <c r="H60" s="48" t="s">
        <v>741</v>
      </c>
      <c r="I60" s="47" t="s">
        <v>742</v>
      </c>
    </row>
    <row r="61" spans="1:9" ht="14.25" customHeight="1">
      <c r="A61" s="13" t="s">
        <v>165</v>
      </c>
      <c r="B61" s="12" t="s">
        <v>160</v>
      </c>
      <c r="C61" s="12" t="s">
        <v>901</v>
      </c>
      <c r="D61" s="45">
        <v>46241</v>
      </c>
      <c r="E61" s="12" t="s">
        <v>684</v>
      </c>
      <c r="F61" s="12" t="s">
        <v>719</v>
      </c>
      <c r="G61" s="19" t="s">
        <v>720</v>
      </c>
      <c r="H61" s="48" t="s">
        <v>741</v>
      </c>
      <c r="I61" s="47" t="s">
        <v>742</v>
      </c>
    </row>
    <row r="62" spans="1:9" ht="14.25" customHeight="1">
      <c r="A62" s="13" t="s">
        <v>314</v>
      </c>
      <c r="B62" s="12" t="s">
        <v>317</v>
      </c>
      <c r="C62" s="12" t="s">
        <v>902</v>
      </c>
      <c r="D62" s="45">
        <v>46241</v>
      </c>
      <c r="E62" s="12" t="s">
        <v>684</v>
      </c>
      <c r="F62" s="12" t="s">
        <v>719</v>
      </c>
      <c r="G62" s="19" t="s">
        <v>720</v>
      </c>
      <c r="H62" s="48" t="s">
        <v>741</v>
      </c>
      <c r="I62" s="47" t="s">
        <v>742</v>
      </c>
    </row>
    <row r="63" spans="1:9" ht="14.25" customHeight="1">
      <c r="A63" s="13" t="s">
        <v>611</v>
      </c>
      <c r="B63" s="12" t="s">
        <v>614</v>
      </c>
      <c r="C63" s="12" t="s">
        <v>904</v>
      </c>
      <c r="D63" s="45">
        <v>46083</v>
      </c>
      <c r="E63" s="12" t="s">
        <v>684</v>
      </c>
      <c r="F63" s="12" t="s">
        <v>686</v>
      </c>
      <c r="G63" s="19" t="s">
        <v>688</v>
      </c>
      <c r="H63" s="48" t="s">
        <v>741</v>
      </c>
      <c r="I63" s="47" t="s">
        <v>774</v>
      </c>
    </row>
    <row r="64" spans="1:9" ht="14.25" customHeight="1">
      <c r="A64" s="13" t="s">
        <v>611</v>
      </c>
      <c r="B64" s="12" t="s">
        <v>614</v>
      </c>
      <c r="C64" s="12" t="s">
        <v>904</v>
      </c>
      <c r="D64" s="45">
        <v>46083</v>
      </c>
      <c r="E64" s="12" t="s">
        <v>684</v>
      </c>
      <c r="F64" s="12" t="s">
        <v>779</v>
      </c>
      <c r="G64" s="19" t="s">
        <v>782</v>
      </c>
      <c r="H64" s="48" t="s">
        <v>741</v>
      </c>
      <c r="I64" s="47" t="s">
        <v>774</v>
      </c>
    </row>
    <row r="65" spans="1:9" ht="14.25" customHeight="1">
      <c r="A65" s="13" t="s">
        <v>611</v>
      </c>
      <c r="B65" s="12" t="s">
        <v>614</v>
      </c>
      <c r="C65" s="12" t="s">
        <v>904</v>
      </c>
      <c r="D65" s="45">
        <v>46083</v>
      </c>
      <c r="E65" s="12" t="s">
        <v>684</v>
      </c>
      <c r="F65" s="12" t="s">
        <v>784</v>
      </c>
      <c r="G65" s="19" t="s">
        <v>785</v>
      </c>
      <c r="H65" s="48" t="s">
        <v>741</v>
      </c>
      <c r="I65" s="47" t="s">
        <v>774</v>
      </c>
    </row>
    <row r="66" spans="1:9" ht="14.25" customHeight="1">
      <c r="A66" s="13" t="s">
        <v>611</v>
      </c>
      <c r="B66" s="12" t="s">
        <v>614</v>
      </c>
      <c r="C66" s="12" t="s">
        <v>904</v>
      </c>
      <c r="D66" s="45">
        <v>46083</v>
      </c>
      <c r="E66" s="12" t="s">
        <v>684</v>
      </c>
      <c r="F66" s="12" t="s">
        <v>675</v>
      </c>
      <c r="G66" s="19" t="s">
        <v>677</v>
      </c>
      <c r="H66" s="48" t="s">
        <v>741</v>
      </c>
      <c r="I66" s="47" t="s">
        <v>774</v>
      </c>
    </row>
    <row r="67" spans="1:9" ht="14.25" customHeight="1">
      <c r="A67" s="13" t="s">
        <v>611</v>
      </c>
      <c r="B67" s="12" t="s">
        <v>614</v>
      </c>
      <c r="C67" s="12" t="s">
        <v>914</v>
      </c>
      <c r="D67" s="45">
        <v>46085</v>
      </c>
      <c r="E67" s="12" t="s">
        <v>684</v>
      </c>
      <c r="F67" s="12" t="s">
        <v>719</v>
      </c>
      <c r="G67" s="19" t="s">
        <v>720</v>
      </c>
      <c r="H67" s="48" t="s">
        <v>741</v>
      </c>
      <c r="I67" s="47" t="s">
        <v>742</v>
      </c>
    </row>
    <row r="68" spans="1:9" ht="14.25" customHeight="1">
      <c r="A68" s="13" t="s">
        <v>617</v>
      </c>
      <c r="B68" s="12" t="s">
        <v>619</v>
      </c>
      <c r="C68" s="12" t="s">
        <v>915</v>
      </c>
      <c r="D68" s="45">
        <v>46083</v>
      </c>
      <c r="E68" s="12" t="s">
        <v>684</v>
      </c>
      <c r="F68" s="12" t="s">
        <v>686</v>
      </c>
      <c r="G68" s="19" t="s">
        <v>688</v>
      </c>
      <c r="H68" s="48" t="s">
        <v>741</v>
      </c>
      <c r="I68" s="47" t="s">
        <v>774</v>
      </c>
    </row>
    <row r="69" spans="1:9" ht="14.25" customHeight="1">
      <c r="A69" s="13" t="s">
        <v>617</v>
      </c>
      <c r="B69" s="12" t="s">
        <v>619</v>
      </c>
      <c r="C69" s="12" t="s">
        <v>915</v>
      </c>
      <c r="D69" s="45">
        <v>46083</v>
      </c>
      <c r="E69" s="12" t="s">
        <v>684</v>
      </c>
      <c r="F69" s="12" t="s">
        <v>779</v>
      </c>
      <c r="G69" s="19" t="s">
        <v>782</v>
      </c>
      <c r="H69" s="48" t="s">
        <v>741</v>
      </c>
      <c r="I69" s="47" t="s">
        <v>774</v>
      </c>
    </row>
    <row r="70" spans="1:9" ht="14.25" customHeight="1">
      <c r="A70" s="13" t="s">
        <v>617</v>
      </c>
      <c r="B70" s="12" t="s">
        <v>619</v>
      </c>
      <c r="C70" s="12" t="s">
        <v>915</v>
      </c>
      <c r="D70" s="45">
        <v>46083</v>
      </c>
      <c r="E70" s="12" t="s">
        <v>684</v>
      </c>
      <c r="F70" s="12" t="s">
        <v>784</v>
      </c>
      <c r="G70" s="19" t="s">
        <v>785</v>
      </c>
      <c r="H70" s="48" t="s">
        <v>741</v>
      </c>
      <c r="I70" s="47" t="s">
        <v>774</v>
      </c>
    </row>
    <row r="71" spans="1:9" ht="14.25" customHeight="1">
      <c r="A71" s="13" t="s">
        <v>617</v>
      </c>
      <c r="B71" s="12" t="s">
        <v>619</v>
      </c>
      <c r="C71" s="12" t="s">
        <v>915</v>
      </c>
      <c r="D71" s="45">
        <v>46083</v>
      </c>
      <c r="E71" s="12" t="s">
        <v>684</v>
      </c>
      <c r="F71" s="12" t="s">
        <v>675</v>
      </c>
      <c r="G71" s="19" t="s">
        <v>677</v>
      </c>
      <c r="H71" s="48" t="s">
        <v>741</v>
      </c>
      <c r="I71" s="47" t="s">
        <v>774</v>
      </c>
    </row>
    <row r="72" spans="1:9" ht="14.25" customHeight="1">
      <c r="A72" s="13" t="s">
        <v>617</v>
      </c>
      <c r="B72" s="12" t="s">
        <v>619</v>
      </c>
      <c r="C72" s="12" t="s">
        <v>923</v>
      </c>
      <c r="D72" s="45">
        <v>46085</v>
      </c>
      <c r="E72" s="12" t="s">
        <v>684</v>
      </c>
      <c r="F72" s="12" t="s">
        <v>719</v>
      </c>
      <c r="G72" s="19" t="s">
        <v>720</v>
      </c>
      <c r="H72" s="48" t="s">
        <v>741</v>
      </c>
      <c r="I72" s="47" t="s">
        <v>742</v>
      </c>
    </row>
    <row r="73" spans="1:9" ht="14.25" customHeight="1">
      <c r="A73" s="13" t="s">
        <v>154</v>
      </c>
      <c r="B73" s="12" t="s">
        <v>153</v>
      </c>
      <c r="C73" s="12" t="s">
        <v>499</v>
      </c>
      <c r="D73" s="45">
        <v>46043</v>
      </c>
      <c r="E73" s="12" t="s">
        <v>690</v>
      </c>
      <c r="F73" s="12" t="s">
        <v>925</v>
      </c>
      <c r="G73" s="19" t="s">
        <v>926</v>
      </c>
      <c r="H73" s="48" t="s">
        <v>741</v>
      </c>
      <c r="I73" s="47" t="s">
        <v>928</v>
      </c>
    </row>
    <row r="74" spans="1:9" ht="14.25" customHeight="1">
      <c r="A74" s="13" t="s">
        <v>71</v>
      </c>
      <c r="B74" s="12" t="s">
        <v>425</v>
      </c>
      <c r="C74" s="12" t="s">
        <v>105</v>
      </c>
      <c r="D74" s="45">
        <v>45714</v>
      </c>
      <c r="E74" s="12" t="s">
        <v>690</v>
      </c>
      <c r="F74" s="12" t="s">
        <v>925</v>
      </c>
      <c r="G74" s="19" t="s">
        <v>926</v>
      </c>
      <c r="H74" s="48" t="s">
        <v>741</v>
      </c>
      <c r="I74" s="47" t="s">
        <v>928</v>
      </c>
    </row>
    <row r="75" spans="1:9" ht="14.25" customHeight="1">
      <c r="A75" s="13" t="s">
        <v>125</v>
      </c>
      <c r="B75" s="12" t="s">
        <v>425</v>
      </c>
      <c r="C75" s="12" t="s">
        <v>150</v>
      </c>
      <c r="D75" s="45">
        <v>45714</v>
      </c>
      <c r="E75" s="12" t="s">
        <v>690</v>
      </c>
      <c r="F75" s="12" t="s">
        <v>925</v>
      </c>
      <c r="G75" s="19" t="s">
        <v>926</v>
      </c>
      <c r="H75" s="48" t="s">
        <v>741</v>
      </c>
      <c r="I75" s="47" t="s">
        <v>928</v>
      </c>
    </row>
    <row r="76" spans="1:9" ht="14.25" customHeight="1">
      <c r="A76" s="13" t="s">
        <v>280</v>
      </c>
      <c r="B76" s="12" t="s">
        <v>278</v>
      </c>
      <c r="C76" s="12" t="s">
        <v>934</v>
      </c>
      <c r="D76" s="45">
        <v>45848</v>
      </c>
      <c r="E76" s="12" t="s">
        <v>690</v>
      </c>
      <c r="F76" s="12" t="s">
        <v>925</v>
      </c>
      <c r="G76" s="19" t="s">
        <v>926</v>
      </c>
      <c r="H76" s="48" t="s">
        <v>741</v>
      </c>
      <c r="I76" s="47" t="s">
        <v>928</v>
      </c>
    </row>
    <row r="77" spans="1:9" ht="14.25" customHeight="1">
      <c r="A77" s="13" t="s">
        <v>161</v>
      </c>
      <c r="B77" s="12" t="s">
        <v>162</v>
      </c>
      <c r="C77" s="12" t="s">
        <v>504</v>
      </c>
      <c r="D77" s="45">
        <v>46153</v>
      </c>
      <c r="E77" s="12" t="s">
        <v>690</v>
      </c>
      <c r="F77" s="12" t="s">
        <v>925</v>
      </c>
      <c r="G77" s="19" t="s">
        <v>926</v>
      </c>
      <c r="H77" s="48" t="s">
        <v>741</v>
      </c>
      <c r="I77" s="47" t="s">
        <v>928</v>
      </c>
    </row>
    <row r="78" spans="1:9" ht="14.25" customHeight="1">
      <c r="A78" s="13" t="s">
        <v>171</v>
      </c>
      <c r="B78" s="12" t="s">
        <v>175</v>
      </c>
      <c r="C78" s="12" t="s">
        <v>938</v>
      </c>
      <c r="D78" s="45">
        <v>45917</v>
      </c>
      <c r="E78" s="12" t="s">
        <v>690</v>
      </c>
      <c r="F78" s="12" t="s">
        <v>925</v>
      </c>
      <c r="G78" s="19" t="s">
        <v>926</v>
      </c>
      <c r="H78" s="48" t="s">
        <v>741</v>
      </c>
      <c r="I78" s="47" t="s">
        <v>928</v>
      </c>
    </row>
    <row r="79" spans="1:9" ht="14.25" customHeight="1">
      <c r="A79" s="13" t="s">
        <v>240</v>
      </c>
      <c r="B79" s="12" t="s">
        <v>239</v>
      </c>
      <c r="C79" s="12" t="s">
        <v>507</v>
      </c>
      <c r="D79" s="45">
        <v>45917</v>
      </c>
      <c r="E79" s="12" t="s">
        <v>690</v>
      </c>
      <c r="F79" s="12" t="s">
        <v>925</v>
      </c>
      <c r="G79" s="19" t="s">
        <v>926</v>
      </c>
      <c r="H79" s="48" t="s">
        <v>741</v>
      </c>
      <c r="I79" s="47" t="s">
        <v>928</v>
      </c>
    </row>
    <row r="80" spans="1:9" ht="14.25" customHeight="1">
      <c r="A80" s="13" t="s">
        <v>187</v>
      </c>
      <c r="B80" s="12" t="s">
        <v>185</v>
      </c>
      <c r="C80" s="12" t="s">
        <v>347</v>
      </c>
      <c r="D80" s="45">
        <v>45953</v>
      </c>
      <c r="E80" s="12" t="s">
        <v>690</v>
      </c>
      <c r="F80" s="12" t="s">
        <v>925</v>
      </c>
      <c r="G80" s="19" t="s">
        <v>926</v>
      </c>
      <c r="H80" s="48" t="s">
        <v>741</v>
      </c>
      <c r="I80" s="47" t="s">
        <v>928</v>
      </c>
    </row>
    <row r="81" spans="1:9" ht="14.25" customHeight="1">
      <c r="A81" s="13" t="s">
        <v>184</v>
      </c>
      <c r="B81" s="12" t="s">
        <v>188</v>
      </c>
      <c r="C81" s="12" t="s">
        <v>191</v>
      </c>
      <c r="D81" s="45">
        <v>45953</v>
      </c>
      <c r="E81" s="12" t="s">
        <v>690</v>
      </c>
      <c r="F81" s="12" t="s">
        <v>925</v>
      </c>
      <c r="G81" s="19" t="s">
        <v>926</v>
      </c>
      <c r="H81" s="48" t="s">
        <v>741</v>
      </c>
      <c r="I81" s="47" t="s">
        <v>928</v>
      </c>
    </row>
    <row r="82" spans="1:9" ht="14.25" customHeight="1">
      <c r="A82" s="13" t="s">
        <v>190</v>
      </c>
      <c r="B82" s="12" t="s">
        <v>189</v>
      </c>
      <c r="C82" s="12" t="s">
        <v>509</v>
      </c>
      <c r="D82" s="45">
        <v>45989</v>
      </c>
      <c r="E82" s="12" t="s">
        <v>690</v>
      </c>
      <c r="F82" s="12" t="s">
        <v>925</v>
      </c>
      <c r="G82" s="19" t="s">
        <v>926</v>
      </c>
      <c r="H82" s="48" t="s">
        <v>741</v>
      </c>
      <c r="I82" s="47" t="s">
        <v>928</v>
      </c>
    </row>
    <row r="83" spans="1:9" ht="14.25" customHeight="1">
      <c r="A83" s="13" t="s">
        <v>82</v>
      </c>
      <c r="B83" s="12" t="s">
        <v>78</v>
      </c>
      <c r="C83" s="12" t="s">
        <v>348</v>
      </c>
      <c r="D83" s="45">
        <v>46043</v>
      </c>
      <c r="E83" s="12" t="s">
        <v>690</v>
      </c>
      <c r="F83" s="12" t="s">
        <v>925</v>
      </c>
      <c r="G83" s="19" t="s">
        <v>926</v>
      </c>
      <c r="H83" s="48" t="s">
        <v>741</v>
      </c>
      <c r="I83" s="47" t="s">
        <v>928</v>
      </c>
    </row>
    <row r="84" spans="1:9" ht="14.25" customHeight="1">
      <c r="A84" s="13" t="s">
        <v>176</v>
      </c>
      <c r="B84" s="12" t="s">
        <v>174</v>
      </c>
      <c r="C84" s="12" t="s">
        <v>201</v>
      </c>
      <c r="D84" s="45">
        <v>46043</v>
      </c>
      <c r="E84" s="12" t="s">
        <v>690</v>
      </c>
      <c r="F84" s="12" t="s">
        <v>925</v>
      </c>
      <c r="G84" s="19" t="s">
        <v>926</v>
      </c>
      <c r="H84" s="48" t="s">
        <v>741</v>
      </c>
      <c r="I84" s="47" t="s">
        <v>928</v>
      </c>
    </row>
    <row r="85" spans="1:9" ht="14.25" customHeight="1">
      <c r="A85" s="13" t="s">
        <v>137</v>
      </c>
      <c r="B85" s="12" t="s">
        <v>127</v>
      </c>
      <c r="C85" s="12" t="s">
        <v>351</v>
      </c>
      <c r="D85" s="45">
        <v>46043</v>
      </c>
      <c r="E85" s="12" t="s">
        <v>690</v>
      </c>
      <c r="F85" s="12" t="s">
        <v>925</v>
      </c>
      <c r="G85" s="19" t="s">
        <v>926</v>
      </c>
      <c r="H85" s="48" t="s">
        <v>741</v>
      </c>
      <c r="I85" s="47" t="s">
        <v>928</v>
      </c>
    </row>
    <row r="86" spans="1:9" ht="14.25" customHeight="1">
      <c r="A86" s="13" t="s">
        <v>173</v>
      </c>
      <c r="B86" s="12" t="s">
        <v>425</v>
      </c>
      <c r="C86" s="12" t="s">
        <v>511</v>
      </c>
      <c r="D86" s="45">
        <v>45714</v>
      </c>
      <c r="E86" s="12" t="s">
        <v>690</v>
      </c>
      <c r="F86" s="12" t="s">
        <v>925</v>
      </c>
      <c r="G86" s="19" t="s">
        <v>926</v>
      </c>
      <c r="H86" s="48" t="s">
        <v>741</v>
      </c>
      <c r="I86" s="47" t="s">
        <v>928</v>
      </c>
    </row>
    <row r="87" spans="1:9" ht="14.25" customHeight="1">
      <c r="A87" s="13" t="s">
        <v>212</v>
      </c>
      <c r="B87" s="12" t="s">
        <v>211</v>
      </c>
      <c r="C87" s="12" t="s">
        <v>358</v>
      </c>
      <c r="D87" s="45">
        <v>45989</v>
      </c>
      <c r="E87" s="12" t="s">
        <v>690</v>
      </c>
      <c r="F87" s="12" t="s">
        <v>925</v>
      </c>
      <c r="G87" s="19" t="s">
        <v>926</v>
      </c>
      <c r="H87" s="48" t="s">
        <v>741</v>
      </c>
      <c r="I87" s="47" t="s">
        <v>928</v>
      </c>
    </row>
    <row r="88" spans="1:9" ht="14.25" customHeight="1">
      <c r="A88" s="13" t="s">
        <v>181</v>
      </c>
      <c r="B88" s="12" t="s">
        <v>182</v>
      </c>
      <c r="C88" s="12" t="s">
        <v>365</v>
      </c>
      <c r="D88" s="45">
        <v>46153</v>
      </c>
      <c r="E88" s="12" t="s">
        <v>690</v>
      </c>
      <c r="F88" s="12" t="s">
        <v>925</v>
      </c>
      <c r="G88" s="19" t="s">
        <v>926</v>
      </c>
      <c r="H88" s="48" t="s">
        <v>741</v>
      </c>
      <c r="I88" s="47" t="s">
        <v>928</v>
      </c>
    </row>
    <row r="89" spans="1:9" ht="14.25" customHeight="1">
      <c r="A89" s="13" t="s">
        <v>228</v>
      </c>
      <c r="B89" s="12" t="s">
        <v>229</v>
      </c>
      <c r="C89" s="12" t="s">
        <v>534</v>
      </c>
      <c r="D89" s="45">
        <v>46153</v>
      </c>
      <c r="E89" s="12" t="s">
        <v>690</v>
      </c>
      <c r="F89" s="12" t="s">
        <v>925</v>
      </c>
      <c r="G89" s="19" t="s">
        <v>926</v>
      </c>
      <c r="H89" s="48" t="s">
        <v>741</v>
      </c>
      <c r="I89" s="47" t="s">
        <v>928</v>
      </c>
    </row>
    <row r="90" spans="1:9" ht="14.25" customHeight="1">
      <c r="A90" s="13" t="s">
        <v>241</v>
      </c>
      <c r="B90" s="12" t="s">
        <v>242</v>
      </c>
      <c r="C90" s="12" t="s">
        <v>546</v>
      </c>
      <c r="D90" s="45">
        <v>46153</v>
      </c>
      <c r="E90" s="12" t="s">
        <v>690</v>
      </c>
      <c r="F90" s="12" t="s">
        <v>925</v>
      </c>
      <c r="G90" s="19" t="s">
        <v>926</v>
      </c>
      <c r="H90" s="48" t="s">
        <v>741</v>
      </c>
      <c r="I90" s="47" t="s">
        <v>928</v>
      </c>
    </row>
    <row r="91" spans="1:9" ht="14.25" customHeight="1">
      <c r="A91" s="13" t="s">
        <v>232</v>
      </c>
      <c r="B91" s="12" t="s">
        <v>236</v>
      </c>
      <c r="C91" s="12" t="s">
        <v>238</v>
      </c>
      <c r="D91" s="45">
        <v>45764</v>
      </c>
      <c r="E91" s="12" t="s">
        <v>690</v>
      </c>
      <c r="F91" s="12" t="s">
        <v>925</v>
      </c>
      <c r="G91" s="19" t="s">
        <v>926</v>
      </c>
      <c r="H91" s="48" t="s">
        <v>741</v>
      </c>
      <c r="I91" s="47" t="s">
        <v>928</v>
      </c>
    </row>
    <row r="92" spans="1:9" ht="14.25" customHeight="1">
      <c r="A92" s="13" t="s">
        <v>313</v>
      </c>
      <c r="B92" s="12" t="s">
        <v>312</v>
      </c>
      <c r="C92" s="12" t="s">
        <v>549</v>
      </c>
      <c r="D92" s="45">
        <v>45799</v>
      </c>
      <c r="E92" s="12" t="s">
        <v>690</v>
      </c>
      <c r="F92" s="12" t="s">
        <v>925</v>
      </c>
      <c r="G92" s="19" t="s">
        <v>926</v>
      </c>
      <c r="H92" s="48" t="s">
        <v>741</v>
      </c>
      <c r="I92" s="47" t="s">
        <v>928</v>
      </c>
    </row>
    <row r="93" spans="1:9" ht="14.25" customHeight="1">
      <c r="A93" s="13" t="s">
        <v>274</v>
      </c>
      <c r="B93" s="12" t="s">
        <v>275</v>
      </c>
      <c r="C93" s="12" t="s">
        <v>551</v>
      </c>
      <c r="D93" s="45">
        <v>46153</v>
      </c>
      <c r="E93" s="12" t="s">
        <v>690</v>
      </c>
      <c r="F93" s="12" t="s">
        <v>925</v>
      </c>
      <c r="G93" s="19" t="s">
        <v>926</v>
      </c>
      <c r="H93" s="48" t="s">
        <v>741</v>
      </c>
      <c r="I93" s="47" t="s">
        <v>928</v>
      </c>
    </row>
    <row r="94" spans="1:9" ht="14.25" customHeight="1">
      <c r="A94" s="13" t="s">
        <v>202</v>
      </c>
      <c r="B94" s="12" t="s">
        <v>199</v>
      </c>
      <c r="C94" s="12" t="s">
        <v>245</v>
      </c>
      <c r="D94" s="45">
        <v>45919</v>
      </c>
      <c r="E94" s="12" t="s">
        <v>690</v>
      </c>
      <c r="F94" s="12" t="s">
        <v>925</v>
      </c>
      <c r="G94" s="19" t="s">
        <v>926</v>
      </c>
      <c r="H94" s="48" t="s">
        <v>741</v>
      </c>
      <c r="I94" s="47" t="s">
        <v>928</v>
      </c>
    </row>
    <row r="95" spans="1:9" ht="14.25" customHeight="1">
      <c r="A95" s="13" t="s">
        <v>516</v>
      </c>
      <c r="B95" s="12" t="s">
        <v>517</v>
      </c>
      <c r="C95" s="12" t="s">
        <v>971</v>
      </c>
      <c r="D95" s="45">
        <v>46086</v>
      </c>
      <c r="E95" s="12" t="s">
        <v>690</v>
      </c>
      <c r="F95" s="12" t="s">
        <v>925</v>
      </c>
      <c r="G95" s="19" t="s">
        <v>926</v>
      </c>
      <c r="H95" s="48" t="s">
        <v>741</v>
      </c>
      <c r="I95" s="47" t="s">
        <v>928</v>
      </c>
    </row>
    <row r="96" spans="1:9" ht="14.25" customHeight="1">
      <c r="A96" s="13" t="s">
        <v>516</v>
      </c>
      <c r="B96" s="12" t="s">
        <v>517</v>
      </c>
      <c r="C96" s="12" t="s">
        <v>974</v>
      </c>
      <c r="D96" s="45">
        <v>46086</v>
      </c>
      <c r="E96" s="12" t="s">
        <v>690</v>
      </c>
      <c r="F96" s="12" t="s">
        <v>925</v>
      </c>
      <c r="G96" s="19" t="s">
        <v>926</v>
      </c>
      <c r="H96" s="48" t="s">
        <v>741</v>
      </c>
      <c r="I96" s="47" t="s">
        <v>928</v>
      </c>
    </row>
    <row r="97" spans="1:9" ht="14.25" customHeight="1">
      <c r="A97" s="13" t="s">
        <v>516</v>
      </c>
      <c r="B97" s="12" t="s">
        <v>517</v>
      </c>
      <c r="C97" s="12" t="s">
        <v>977</v>
      </c>
      <c r="D97" s="45">
        <v>46153</v>
      </c>
      <c r="E97" s="12" t="s">
        <v>690</v>
      </c>
      <c r="F97" s="12" t="s">
        <v>925</v>
      </c>
      <c r="G97" s="19" t="s">
        <v>926</v>
      </c>
      <c r="H97" s="48" t="s">
        <v>741</v>
      </c>
      <c r="I97" s="47" t="s">
        <v>928</v>
      </c>
    </row>
    <row r="98" spans="1:9" ht="14.25" customHeight="1">
      <c r="A98" s="13" t="s">
        <v>516</v>
      </c>
      <c r="B98" s="12" t="s">
        <v>517</v>
      </c>
      <c r="C98" s="12" t="s">
        <v>983</v>
      </c>
      <c r="D98" s="45">
        <v>46153</v>
      </c>
      <c r="E98" s="12" t="s">
        <v>690</v>
      </c>
      <c r="F98" s="12" t="s">
        <v>925</v>
      </c>
      <c r="G98" s="19" t="s">
        <v>926</v>
      </c>
      <c r="H98" s="48" t="s">
        <v>741</v>
      </c>
      <c r="I98" s="47" t="s">
        <v>928</v>
      </c>
    </row>
    <row r="99" spans="1:9" ht="14.25" customHeight="1">
      <c r="A99" s="13" t="s">
        <v>259</v>
      </c>
      <c r="B99" s="12" t="s">
        <v>254</v>
      </c>
      <c r="C99" s="12" t="s">
        <v>560</v>
      </c>
      <c r="D99" s="45">
        <v>46003</v>
      </c>
      <c r="E99" s="12" t="s">
        <v>690</v>
      </c>
      <c r="F99" s="12" t="s">
        <v>925</v>
      </c>
      <c r="G99" s="19" t="s">
        <v>926</v>
      </c>
      <c r="H99" s="48" t="s">
        <v>741</v>
      </c>
      <c r="I99" s="47" t="s">
        <v>928</v>
      </c>
    </row>
    <row r="100" spans="1:9" ht="14.25" customHeight="1">
      <c r="A100" s="13" t="s">
        <v>253</v>
      </c>
      <c r="B100" s="12" t="s">
        <v>252</v>
      </c>
      <c r="C100" s="12" t="s">
        <v>382</v>
      </c>
      <c r="D100" s="45">
        <v>46003</v>
      </c>
      <c r="E100" s="12" t="s">
        <v>690</v>
      </c>
      <c r="F100" s="12" t="s">
        <v>925</v>
      </c>
      <c r="G100" s="19" t="s">
        <v>926</v>
      </c>
      <c r="H100" s="48" t="s">
        <v>741</v>
      </c>
      <c r="I100" s="47" t="s">
        <v>928</v>
      </c>
    </row>
    <row r="101" spans="1:9" ht="14.25" customHeight="1">
      <c r="A101" s="13" t="s">
        <v>289</v>
      </c>
      <c r="B101" s="12" t="s">
        <v>288</v>
      </c>
      <c r="C101" s="12" t="s">
        <v>996</v>
      </c>
      <c r="D101" s="45">
        <v>45764</v>
      </c>
      <c r="E101" s="12" t="s">
        <v>690</v>
      </c>
      <c r="F101" s="12" t="s">
        <v>925</v>
      </c>
      <c r="G101" s="19" t="s">
        <v>926</v>
      </c>
      <c r="H101" s="48" t="s">
        <v>741</v>
      </c>
      <c r="I101" s="47" t="s">
        <v>928</v>
      </c>
    </row>
    <row r="102" spans="1:9" ht="14.25" customHeight="1">
      <c r="A102" s="13" t="s">
        <v>247</v>
      </c>
      <c r="B102" s="12" t="s">
        <v>250</v>
      </c>
      <c r="C102" s="12" t="s">
        <v>251</v>
      </c>
      <c r="D102" s="45">
        <v>45799</v>
      </c>
      <c r="E102" s="12" t="s">
        <v>690</v>
      </c>
      <c r="F102" s="12" t="s">
        <v>925</v>
      </c>
      <c r="G102" s="19" t="s">
        <v>926</v>
      </c>
      <c r="H102" s="48" t="s">
        <v>741</v>
      </c>
      <c r="I102" s="47" t="s">
        <v>928</v>
      </c>
    </row>
    <row r="103" spans="1:9" ht="14.25" customHeight="1">
      <c r="A103" s="13" t="s">
        <v>247</v>
      </c>
      <c r="B103" s="12" t="s">
        <v>250</v>
      </c>
      <c r="C103" s="12" t="s">
        <v>1001</v>
      </c>
      <c r="D103" s="45">
        <v>45848</v>
      </c>
      <c r="E103" s="12" t="s">
        <v>690</v>
      </c>
      <c r="F103" s="12" t="s">
        <v>925</v>
      </c>
      <c r="G103" s="19" t="s">
        <v>926</v>
      </c>
      <c r="H103" s="48" t="s">
        <v>741</v>
      </c>
      <c r="I103" s="47" t="s">
        <v>928</v>
      </c>
    </row>
    <row r="104" spans="1:9" ht="14.25" customHeight="1">
      <c r="A104" s="13" t="s">
        <v>247</v>
      </c>
      <c r="B104" s="12" t="s">
        <v>250</v>
      </c>
      <c r="C104" s="12" t="s">
        <v>1003</v>
      </c>
      <c r="D104" s="45">
        <v>46086</v>
      </c>
      <c r="E104" s="12" t="s">
        <v>690</v>
      </c>
      <c r="F104" s="12" t="s">
        <v>925</v>
      </c>
      <c r="G104" s="19" t="s">
        <v>926</v>
      </c>
      <c r="H104" s="48" t="s">
        <v>741</v>
      </c>
      <c r="I104" s="47" t="s">
        <v>928</v>
      </c>
    </row>
    <row r="105" spans="1:9" ht="14.25" customHeight="1">
      <c r="A105" s="13" t="s">
        <v>247</v>
      </c>
      <c r="B105" s="12" t="s">
        <v>250</v>
      </c>
      <c r="C105" s="12" t="s">
        <v>1004</v>
      </c>
      <c r="D105" s="45">
        <v>46086</v>
      </c>
      <c r="E105" s="12" t="s">
        <v>690</v>
      </c>
      <c r="F105" s="12" t="s">
        <v>925</v>
      </c>
      <c r="G105" s="19" t="s">
        <v>926</v>
      </c>
      <c r="H105" s="48" t="s">
        <v>741</v>
      </c>
      <c r="I105" s="47" t="s">
        <v>928</v>
      </c>
    </row>
    <row r="106" spans="1:9" ht="14.25" customHeight="1">
      <c r="A106" s="13" t="s">
        <v>247</v>
      </c>
      <c r="B106" s="12" t="s">
        <v>250</v>
      </c>
      <c r="C106" s="12" t="s">
        <v>1007</v>
      </c>
      <c r="D106" s="45">
        <v>46153</v>
      </c>
      <c r="E106" s="12" t="s">
        <v>690</v>
      </c>
      <c r="F106" s="12" t="s">
        <v>925</v>
      </c>
      <c r="G106" s="19" t="s">
        <v>926</v>
      </c>
      <c r="H106" s="48" t="s">
        <v>741</v>
      </c>
      <c r="I106" s="47" t="s">
        <v>928</v>
      </c>
    </row>
    <row r="107" spans="1:9" ht="14.25" customHeight="1">
      <c r="A107" s="13" t="s">
        <v>293</v>
      </c>
      <c r="B107" s="12" t="s">
        <v>292</v>
      </c>
      <c r="C107" s="12" t="s">
        <v>389</v>
      </c>
      <c r="D107" s="45">
        <v>45848</v>
      </c>
      <c r="E107" s="12" t="s">
        <v>690</v>
      </c>
      <c r="F107" s="12" t="s">
        <v>925</v>
      </c>
      <c r="G107" s="19" t="s">
        <v>926</v>
      </c>
      <c r="H107" s="48" t="s">
        <v>741</v>
      </c>
      <c r="I107" s="47" t="s">
        <v>928</v>
      </c>
    </row>
    <row r="108" spans="1:9" ht="14.25" customHeight="1">
      <c r="A108" s="13" t="s">
        <v>293</v>
      </c>
      <c r="B108" s="12" t="s">
        <v>292</v>
      </c>
      <c r="C108" s="12" t="s">
        <v>1015</v>
      </c>
      <c r="D108" s="45">
        <v>46086</v>
      </c>
      <c r="E108" s="12" t="s">
        <v>690</v>
      </c>
      <c r="F108" s="12" t="s">
        <v>925</v>
      </c>
      <c r="G108" s="19" t="s">
        <v>926</v>
      </c>
      <c r="H108" s="48" t="s">
        <v>741</v>
      </c>
      <c r="I108" s="47" t="s">
        <v>928</v>
      </c>
    </row>
    <row r="109" spans="1:9" ht="14.25" customHeight="1">
      <c r="A109" s="13" t="s">
        <v>293</v>
      </c>
      <c r="B109" s="12" t="s">
        <v>292</v>
      </c>
      <c r="C109" s="12" t="s">
        <v>1018</v>
      </c>
      <c r="D109" s="45">
        <v>46086</v>
      </c>
      <c r="E109" s="12" t="s">
        <v>690</v>
      </c>
      <c r="F109" s="12" t="s">
        <v>925</v>
      </c>
      <c r="G109" s="19" t="s">
        <v>926</v>
      </c>
      <c r="H109" s="48" t="s">
        <v>741</v>
      </c>
      <c r="I109" s="47" t="s">
        <v>928</v>
      </c>
    </row>
    <row r="110" spans="1:9" ht="14.25" customHeight="1">
      <c r="A110" s="13" t="s">
        <v>293</v>
      </c>
      <c r="B110" s="12" t="s">
        <v>292</v>
      </c>
      <c r="C110" s="12" t="s">
        <v>1019</v>
      </c>
      <c r="D110" s="45">
        <v>46153</v>
      </c>
      <c r="E110" s="12" t="s">
        <v>690</v>
      </c>
      <c r="F110" s="12" t="s">
        <v>925</v>
      </c>
      <c r="G110" s="19" t="s">
        <v>926</v>
      </c>
      <c r="H110" s="48" t="s">
        <v>741</v>
      </c>
      <c r="I110" s="47" t="s">
        <v>928</v>
      </c>
    </row>
    <row r="111" spans="1:9" ht="14.25" customHeight="1">
      <c r="A111" s="13" t="s">
        <v>244</v>
      </c>
      <c r="B111" s="12" t="s">
        <v>243</v>
      </c>
      <c r="C111" s="12" t="s">
        <v>403</v>
      </c>
      <c r="D111" s="45">
        <v>46003</v>
      </c>
      <c r="E111" s="12" t="s">
        <v>690</v>
      </c>
      <c r="F111" s="12" t="s">
        <v>925</v>
      </c>
      <c r="G111" s="19" t="s">
        <v>926</v>
      </c>
      <c r="H111" s="48" t="s">
        <v>741</v>
      </c>
      <c r="I111" s="47" t="s">
        <v>928</v>
      </c>
    </row>
    <row r="112" spans="1:9" ht="14.25" customHeight="1">
      <c r="A112" s="13" t="s">
        <v>248</v>
      </c>
      <c r="B112" s="12" t="s">
        <v>246</v>
      </c>
      <c r="C112" s="12" t="s">
        <v>256</v>
      </c>
      <c r="D112" s="45">
        <v>46003</v>
      </c>
      <c r="E112" s="12" t="s">
        <v>690</v>
      </c>
      <c r="F112" s="12" t="s">
        <v>925</v>
      </c>
      <c r="G112" s="19" t="s">
        <v>926</v>
      </c>
      <c r="H112" s="48" t="s">
        <v>741</v>
      </c>
      <c r="I112" s="47" t="s">
        <v>928</v>
      </c>
    </row>
    <row r="113" spans="1:9" ht="14.25" customHeight="1">
      <c r="A113" s="13" t="s">
        <v>180</v>
      </c>
      <c r="B113" s="12" t="s">
        <v>179</v>
      </c>
      <c r="C113" s="12" t="s">
        <v>408</v>
      </c>
      <c r="D113" s="45">
        <v>46043</v>
      </c>
      <c r="E113" s="12" t="s">
        <v>690</v>
      </c>
      <c r="F113" s="12" t="s">
        <v>925</v>
      </c>
      <c r="G113" s="19" t="s">
        <v>926</v>
      </c>
      <c r="H113" s="48" t="s">
        <v>741</v>
      </c>
      <c r="I113" s="47" t="s">
        <v>928</v>
      </c>
    </row>
    <row r="114" spans="1:9" ht="14.25" customHeight="1">
      <c r="A114" s="13" t="s">
        <v>273</v>
      </c>
      <c r="B114" s="12" t="s">
        <v>270</v>
      </c>
      <c r="C114" s="12" t="s">
        <v>429</v>
      </c>
      <c r="D114" s="45">
        <v>45919</v>
      </c>
      <c r="E114" s="12" t="s">
        <v>690</v>
      </c>
      <c r="F114" s="12" t="s">
        <v>925</v>
      </c>
      <c r="G114" s="19" t="s">
        <v>926</v>
      </c>
      <c r="H114" s="48" t="s">
        <v>741</v>
      </c>
      <c r="I114" s="47" t="s">
        <v>928</v>
      </c>
    </row>
    <row r="115" spans="1:9" ht="14.25" customHeight="1">
      <c r="A115" s="13" t="s">
        <v>267</v>
      </c>
      <c r="B115" s="12" t="s">
        <v>269</v>
      </c>
      <c r="C115" s="12" t="s">
        <v>1032</v>
      </c>
      <c r="D115" s="45">
        <v>45832</v>
      </c>
      <c r="E115" s="12" t="s">
        <v>690</v>
      </c>
      <c r="F115" s="12" t="s">
        <v>925</v>
      </c>
      <c r="G115" s="19" t="s">
        <v>926</v>
      </c>
      <c r="H115" s="48" t="s">
        <v>741</v>
      </c>
      <c r="I115" s="47" t="s">
        <v>928</v>
      </c>
    </row>
    <row r="116" spans="1:9" ht="14.25" customHeight="1">
      <c r="A116" s="13" t="s">
        <v>329</v>
      </c>
      <c r="B116" s="12" t="s">
        <v>330</v>
      </c>
      <c r="C116" s="12" t="s">
        <v>582</v>
      </c>
      <c r="D116" s="45">
        <v>46153</v>
      </c>
      <c r="E116" s="12" t="s">
        <v>690</v>
      </c>
      <c r="F116" s="12" t="s">
        <v>925</v>
      </c>
      <c r="G116" s="19" t="s">
        <v>926</v>
      </c>
      <c r="H116" s="48" t="s">
        <v>741</v>
      </c>
      <c r="I116" s="47" t="s">
        <v>928</v>
      </c>
    </row>
    <row r="117" spans="1:9" ht="14.25" customHeight="1">
      <c r="A117" s="13" t="s">
        <v>284</v>
      </c>
      <c r="B117" s="12" t="s">
        <v>287</v>
      </c>
      <c r="C117" s="12" t="s">
        <v>290</v>
      </c>
      <c r="D117" s="45">
        <v>46153</v>
      </c>
      <c r="E117" s="12" t="s">
        <v>690</v>
      </c>
      <c r="F117" s="12" t="s">
        <v>925</v>
      </c>
      <c r="G117" s="19" t="s">
        <v>926</v>
      </c>
      <c r="H117" s="48" t="s">
        <v>741</v>
      </c>
      <c r="I117" s="47" t="s">
        <v>928</v>
      </c>
    </row>
    <row r="118" spans="1:9" ht="14.25" customHeight="1">
      <c r="A118" s="13" t="s">
        <v>349</v>
      </c>
      <c r="B118" s="12" t="s">
        <v>425</v>
      </c>
      <c r="C118" s="12" t="s">
        <v>1037</v>
      </c>
      <c r="D118" s="45">
        <v>46153</v>
      </c>
      <c r="E118" s="12" t="s">
        <v>690</v>
      </c>
      <c r="F118" s="12" t="s">
        <v>925</v>
      </c>
      <c r="G118" s="19" t="s">
        <v>926</v>
      </c>
      <c r="H118" s="48" t="s">
        <v>741</v>
      </c>
      <c r="I118" s="47" t="s">
        <v>928</v>
      </c>
    </row>
    <row r="119" spans="1:9" ht="14.25" customHeight="1">
      <c r="A119" s="13" t="s">
        <v>309</v>
      </c>
      <c r="B119" s="12" t="s">
        <v>306</v>
      </c>
      <c r="C119" s="12" t="s">
        <v>711</v>
      </c>
      <c r="D119" s="45">
        <v>45783</v>
      </c>
      <c r="E119" s="12" t="s">
        <v>690</v>
      </c>
      <c r="F119" s="12" t="s">
        <v>925</v>
      </c>
      <c r="G119" s="19" t="s">
        <v>926</v>
      </c>
      <c r="H119" s="48" t="s">
        <v>741</v>
      </c>
      <c r="I119" s="47" t="s">
        <v>928</v>
      </c>
    </row>
    <row r="120" spans="1:9" ht="14.25" customHeight="1">
      <c r="A120" s="13" t="s">
        <v>227</v>
      </c>
      <c r="B120" s="12" t="s">
        <v>223</v>
      </c>
      <c r="C120" s="12" t="s">
        <v>1039</v>
      </c>
      <c r="D120" s="45">
        <v>45866</v>
      </c>
      <c r="E120" s="12" t="s">
        <v>690</v>
      </c>
      <c r="F120" s="12" t="s">
        <v>925</v>
      </c>
      <c r="G120" s="19" t="s">
        <v>926</v>
      </c>
      <c r="H120" s="48" t="s">
        <v>741</v>
      </c>
      <c r="I120" s="47" t="s">
        <v>928</v>
      </c>
    </row>
    <row r="121" spans="1:9" ht="14.25" customHeight="1">
      <c r="A121" s="13" t="s">
        <v>304</v>
      </c>
      <c r="B121" s="12" t="s">
        <v>302</v>
      </c>
      <c r="C121" s="12" t="s">
        <v>1043</v>
      </c>
      <c r="D121" s="45">
        <v>45783</v>
      </c>
      <c r="E121" s="12" t="s">
        <v>690</v>
      </c>
      <c r="F121" s="12" t="s">
        <v>925</v>
      </c>
      <c r="G121" s="19" t="s">
        <v>926</v>
      </c>
      <c r="H121" s="48" t="s">
        <v>741</v>
      </c>
      <c r="I121" s="47" t="s">
        <v>928</v>
      </c>
    </row>
    <row r="122" spans="1:9" ht="14.25" customHeight="1">
      <c r="A122" s="13" t="s">
        <v>233</v>
      </c>
      <c r="B122" s="12" t="s">
        <v>231</v>
      </c>
      <c r="C122" s="12" t="s">
        <v>713</v>
      </c>
      <c r="D122" s="45">
        <v>45905</v>
      </c>
      <c r="E122" s="12" t="s">
        <v>690</v>
      </c>
      <c r="F122" s="12" t="s">
        <v>925</v>
      </c>
      <c r="G122" s="19" t="s">
        <v>926</v>
      </c>
      <c r="H122" s="48" t="s">
        <v>741</v>
      </c>
      <c r="I122" s="47" t="s">
        <v>928</v>
      </c>
    </row>
    <row r="123" spans="1:9" ht="14.25" customHeight="1">
      <c r="A123" s="13" t="s">
        <v>116</v>
      </c>
      <c r="B123" s="12" t="s">
        <v>109</v>
      </c>
      <c r="C123" s="12" t="s">
        <v>466</v>
      </c>
      <c r="D123" s="45">
        <v>46043</v>
      </c>
      <c r="E123" s="12" t="s">
        <v>690</v>
      </c>
      <c r="F123" s="12" t="s">
        <v>925</v>
      </c>
      <c r="G123" s="19" t="s">
        <v>926</v>
      </c>
      <c r="H123" s="48" t="s">
        <v>741</v>
      </c>
      <c r="I123" s="47" t="s">
        <v>928</v>
      </c>
    </row>
    <row r="124" spans="1:9" ht="14.25" customHeight="1">
      <c r="A124" s="13" t="s">
        <v>296</v>
      </c>
      <c r="B124" s="12" t="s">
        <v>295</v>
      </c>
      <c r="C124" s="12" t="s">
        <v>297</v>
      </c>
      <c r="D124" s="45">
        <v>45832</v>
      </c>
      <c r="E124" s="12" t="s">
        <v>690</v>
      </c>
      <c r="F124" s="12" t="s">
        <v>925</v>
      </c>
      <c r="G124" s="19" t="s">
        <v>926</v>
      </c>
      <c r="H124" s="48" t="s">
        <v>741</v>
      </c>
      <c r="I124" s="47" t="s">
        <v>928</v>
      </c>
    </row>
    <row r="125" spans="1:9" ht="14.25" customHeight="1">
      <c r="A125" s="13" t="s">
        <v>237</v>
      </c>
      <c r="B125" s="12" t="s">
        <v>235</v>
      </c>
      <c r="C125" s="12" t="s">
        <v>470</v>
      </c>
      <c r="D125" s="45">
        <v>45866</v>
      </c>
      <c r="E125" s="12" t="s">
        <v>690</v>
      </c>
      <c r="F125" s="12" t="s">
        <v>925</v>
      </c>
      <c r="G125" s="19" t="s">
        <v>926</v>
      </c>
      <c r="H125" s="48" t="s">
        <v>741</v>
      </c>
      <c r="I125" s="47" t="s">
        <v>928</v>
      </c>
    </row>
    <row r="126" spans="1:9" ht="14.25" customHeight="1">
      <c r="A126" s="13" t="s">
        <v>379</v>
      </c>
      <c r="B126" s="12" t="s">
        <v>380</v>
      </c>
      <c r="C126" s="12" t="s">
        <v>715</v>
      </c>
      <c r="D126" s="45">
        <v>46086</v>
      </c>
      <c r="E126" s="12" t="s">
        <v>690</v>
      </c>
      <c r="F126" s="12" t="s">
        <v>925</v>
      </c>
      <c r="G126" s="19" t="s">
        <v>926</v>
      </c>
      <c r="H126" s="48" t="s">
        <v>741</v>
      </c>
      <c r="I126" s="47" t="s">
        <v>928</v>
      </c>
    </row>
    <row r="127" spans="1:9" ht="14.25" customHeight="1">
      <c r="A127" s="13" t="s">
        <v>219</v>
      </c>
      <c r="B127" s="12" t="s">
        <v>217</v>
      </c>
      <c r="C127" s="12" t="s">
        <v>716</v>
      </c>
      <c r="D127" s="45">
        <v>45989</v>
      </c>
      <c r="E127" s="12" t="s">
        <v>690</v>
      </c>
      <c r="F127" s="12" t="s">
        <v>925</v>
      </c>
      <c r="G127" s="19" t="s">
        <v>926</v>
      </c>
      <c r="H127" s="48" t="s">
        <v>741</v>
      </c>
      <c r="I127" s="47" t="s">
        <v>928</v>
      </c>
    </row>
    <row r="128" spans="1:9" ht="14.25" customHeight="1">
      <c r="A128" s="13" t="s">
        <v>165</v>
      </c>
      <c r="B128" s="12" t="s">
        <v>160</v>
      </c>
      <c r="C128" s="12" t="s">
        <v>1059</v>
      </c>
      <c r="D128" s="45">
        <v>46043</v>
      </c>
      <c r="E128" s="12" t="s">
        <v>690</v>
      </c>
      <c r="F128" s="12" t="s">
        <v>925</v>
      </c>
      <c r="G128" s="19" t="s">
        <v>926</v>
      </c>
      <c r="H128" s="48" t="s">
        <v>741</v>
      </c>
      <c r="I128" s="47" t="s">
        <v>928</v>
      </c>
    </row>
    <row r="129" spans="1:9" ht="14.25" customHeight="1">
      <c r="A129" s="13" t="s">
        <v>471</v>
      </c>
      <c r="B129" s="12" t="s">
        <v>474</v>
      </c>
      <c r="C129" s="12" t="s">
        <v>475</v>
      </c>
      <c r="D129" s="45">
        <v>46086</v>
      </c>
      <c r="E129" s="12" t="s">
        <v>690</v>
      </c>
      <c r="F129" s="12" t="s">
        <v>925</v>
      </c>
      <c r="G129" s="19" t="s">
        <v>926</v>
      </c>
      <c r="H129" s="48" t="s">
        <v>741</v>
      </c>
      <c r="I129" s="47" t="s">
        <v>928</v>
      </c>
    </row>
    <row r="130" spans="1:9" ht="14.25" customHeight="1">
      <c r="A130" s="13" t="s">
        <v>481</v>
      </c>
      <c r="B130" s="12" t="s">
        <v>482</v>
      </c>
      <c r="C130" s="12" t="s">
        <v>483</v>
      </c>
      <c r="D130" s="45">
        <v>46153</v>
      </c>
      <c r="E130" s="12" t="s">
        <v>690</v>
      </c>
      <c r="F130" s="12" t="s">
        <v>925</v>
      </c>
      <c r="G130" s="19" t="s">
        <v>926</v>
      </c>
      <c r="H130" s="48" t="s">
        <v>741</v>
      </c>
      <c r="I130" s="47" t="s">
        <v>928</v>
      </c>
    </row>
    <row r="131" spans="1:9" ht="14.25" customHeight="1">
      <c r="A131" s="13" t="s">
        <v>151</v>
      </c>
      <c r="B131" s="12" t="s">
        <v>149</v>
      </c>
      <c r="C131" s="12" t="s">
        <v>488</v>
      </c>
      <c r="D131" s="45">
        <v>46043</v>
      </c>
      <c r="E131" s="12" t="s">
        <v>690</v>
      </c>
      <c r="F131" s="12" t="s">
        <v>925</v>
      </c>
      <c r="G131" s="19" t="s">
        <v>926</v>
      </c>
      <c r="H131" s="48" t="s">
        <v>741</v>
      </c>
      <c r="I131" s="47" t="s">
        <v>928</v>
      </c>
    </row>
    <row r="132" spans="1:9" ht="14.25" customHeight="1">
      <c r="A132" s="13" t="s">
        <v>197</v>
      </c>
      <c r="B132" s="12" t="s">
        <v>196</v>
      </c>
      <c r="C132" s="12" t="s">
        <v>621</v>
      </c>
      <c r="D132" s="45">
        <v>45989</v>
      </c>
      <c r="E132" s="12" t="s">
        <v>690</v>
      </c>
      <c r="F132" s="12" t="s">
        <v>925</v>
      </c>
      <c r="G132" s="19" t="s">
        <v>926</v>
      </c>
      <c r="H132" s="48" t="s">
        <v>741</v>
      </c>
      <c r="I132" s="47" t="s">
        <v>928</v>
      </c>
    </row>
    <row r="133" spans="1:9" ht="14.25" customHeight="1">
      <c r="A133" s="13" t="s">
        <v>170</v>
      </c>
      <c r="B133" s="12" t="s">
        <v>169</v>
      </c>
      <c r="C133" s="12" t="s">
        <v>492</v>
      </c>
      <c r="D133" s="45">
        <v>46043</v>
      </c>
      <c r="E133" s="12" t="s">
        <v>690</v>
      </c>
      <c r="F133" s="12" t="s">
        <v>925</v>
      </c>
      <c r="G133" s="19" t="s">
        <v>926</v>
      </c>
      <c r="H133" s="48" t="s">
        <v>741</v>
      </c>
      <c r="I133" s="47" t="s">
        <v>928</v>
      </c>
    </row>
    <row r="134" spans="1:9" ht="14.25" customHeight="1"/>
    <row r="135" spans="1:9" ht="57.75" customHeight="1">
      <c r="A135" s="76" t="s">
        <v>1072</v>
      </c>
      <c r="B135" s="77"/>
      <c r="C135" s="77"/>
      <c r="D135" s="77"/>
      <c r="E135" s="77"/>
      <c r="F135" s="77"/>
      <c r="G135" s="77"/>
      <c r="H135" s="77"/>
      <c r="I135" s="78"/>
    </row>
    <row r="136" spans="1:9" ht="14.25" customHeight="1"/>
    <row r="137" spans="1:9" ht="14.25" customHeight="1"/>
    <row r="138" spans="1:9" ht="14.25" customHeight="1"/>
    <row r="139" spans="1:9" ht="14.25" customHeight="1"/>
    <row r="140" spans="1:9" ht="14.25" customHeight="1"/>
    <row r="141" spans="1:9" ht="14.25" customHeight="1"/>
    <row r="142" spans="1:9" ht="14.25" customHeight="1"/>
    <row r="143" spans="1:9" ht="14.25" customHeight="1"/>
    <row r="144" spans="1:9"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I133" xr:uid="{00000000-0009-0000-0000-000007000000}"/>
  <mergeCells count="1">
    <mergeCell ref="A135:I135"/>
  </mergeCells>
  <pageMargins left="0.75" right="0.75" top="1" bottom="1" header="0" footer="0"/>
  <pageSetup paperSize="8"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1000"/>
  <sheetViews>
    <sheetView workbookViewId="0">
      <pane ySplit="1" topLeftCell="A2" activePane="bottomLeft" state="frozen"/>
      <selection activeCell="B3" sqref="B3"/>
      <selection pane="bottomLeft" activeCell="B3" sqref="B3"/>
    </sheetView>
  </sheetViews>
  <sheetFormatPr defaultColWidth="14.44140625" defaultRowHeight="15" customHeight="1"/>
  <cols>
    <col min="1" max="1" width="22" customWidth="1"/>
    <col min="2" max="3" width="14" customWidth="1"/>
    <col min="4" max="4" width="24" customWidth="1"/>
    <col min="5" max="5" width="11" customWidth="1"/>
    <col min="6" max="6" width="8" customWidth="1"/>
    <col min="7" max="7" width="26" customWidth="1"/>
    <col min="8" max="8" width="62" customWidth="1"/>
    <col min="9" max="26" width="8.6640625" customWidth="1"/>
  </cols>
  <sheetData>
    <row r="1" spans="1:8" ht="21.75" customHeight="1">
      <c r="A1" s="5" t="s">
        <v>744</v>
      </c>
      <c r="B1" s="5" t="s">
        <v>2</v>
      </c>
      <c r="C1" s="5" t="s">
        <v>6</v>
      </c>
      <c r="D1" s="5" t="s">
        <v>51</v>
      </c>
      <c r="E1" s="5" t="s">
        <v>665</v>
      </c>
      <c r="F1" s="5" t="s">
        <v>666</v>
      </c>
      <c r="G1" s="5" t="s">
        <v>745</v>
      </c>
      <c r="H1" s="5" t="s">
        <v>747</v>
      </c>
    </row>
    <row r="2" spans="1:8" ht="14.25" customHeight="1">
      <c r="A2" s="48" t="s">
        <v>678</v>
      </c>
      <c r="B2" s="13" t="s">
        <v>263</v>
      </c>
      <c r="C2" s="12" t="s">
        <v>262</v>
      </c>
      <c r="D2" s="12" t="s">
        <v>671</v>
      </c>
      <c r="E2" s="45">
        <v>45989</v>
      </c>
      <c r="F2" s="12" t="s">
        <v>673</v>
      </c>
      <c r="G2" s="12" t="s">
        <v>675</v>
      </c>
      <c r="H2" s="47" t="s">
        <v>749</v>
      </c>
    </row>
    <row r="3" spans="1:8" ht="14.25" customHeight="1">
      <c r="A3" s="48" t="s">
        <v>678</v>
      </c>
      <c r="B3" s="13" t="s">
        <v>516</v>
      </c>
      <c r="C3" s="12" t="s">
        <v>517</v>
      </c>
      <c r="D3" s="12" t="s">
        <v>671</v>
      </c>
      <c r="E3" s="45">
        <v>45989</v>
      </c>
      <c r="F3" s="12" t="s">
        <v>673</v>
      </c>
      <c r="G3" s="12" t="s">
        <v>675</v>
      </c>
      <c r="H3" s="47" t="s">
        <v>749</v>
      </c>
    </row>
    <row r="4" spans="1:8" ht="14.25" customHeight="1">
      <c r="A4" s="48" t="s">
        <v>678</v>
      </c>
      <c r="B4" s="13" t="s">
        <v>310</v>
      </c>
      <c r="C4" s="12" t="s">
        <v>311</v>
      </c>
      <c r="D4" s="12" t="s">
        <v>682</v>
      </c>
      <c r="E4" s="45">
        <v>46121</v>
      </c>
      <c r="F4" s="12" t="s">
        <v>684</v>
      </c>
      <c r="G4" s="12" t="s">
        <v>686</v>
      </c>
      <c r="H4" s="47" t="s">
        <v>749</v>
      </c>
    </row>
    <row r="5" spans="1:8" ht="14.25" customHeight="1">
      <c r="A5" s="48" t="s">
        <v>752</v>
      </c>
      <c r="B5" s="13" t="s">
        <v>685</v>
      </c>
      <c r="C5" s="12" t="s">
        <v>685</v>
      </c>
      <c r="D5" s="12" t="s">
        <v>753</v>
      </c>
      <c r="E5" s="45">
        <v>46266</v>
      </c>
      <c r="F5" s="12" t="s">
        <v>755</v>
      </c>
      <c r="G5" s="12" t="s">
        <v>756</v>
      </c>
      <c r="H5" s="47" t="s">
        <v>757</v>
      </c>
    </row>
    <row r="6" spans="1:8" ht="14.25" customHeight="1">
      <c r="A6" s="48" t="s">
        <v>752</v>
      </c>
      <c r="B6" s="13" t="s">
        <v>624</v>
      </c>
      <c r="C6" s="12" t="s">
        <v>624</v>
      </c>
      <c r="D6" s="12" t="s">
        <v>758</v>
      </c>
      <c r="E6" s="45">
        <v>46266</v>
      </c>
      <c r="F6" s="12" t="s">
        <v>755</v>
      </c>
      <c r="G6" s="12" t="s">
        <v>756</v>
      </c>
      <c r="H6" s="47" t="s">
        <v>757</v>
      </c>
    </row>
    <row r="7" spans="1:8" ht="14.25" customHeight="1">
      <c r="A7" s="48" t="s">
        <v>752</v>
      </c>
      <c r="B7" s="13" t="s">
        <v>595</v>
      </c>
      <c r="C7" s="12" t="s">
        <v>595</v>
      </c>
      <c r="D7" s="12" t="s">
        <v>760</v>
      </c>
      <c r="E7" s="45">
        <v>46265</v>
      </c>
      <c r="F7" s="12" t="s">
        <v>755</v>
      </c>
      <c r="G7" s="12" t="s">
        <v>756</v>
      </c>
      <c r="H7" s="47" t="s">
        <v>757</v>
      </c>
    </row>
    <row r="8" spans="1:8" ht="14.25" customHeight="1">
      <c r="A8" s="48" t="s">
        <v>694</v>
      </c>
      <c r="B8" s="13" t="s">
        <v>213</v>
      </c>
      <c r="C8" s="12" t="s">
        <v>214</v>
      </c>
      <c r="D8" s="12" t="s">
        <v>689</v>
      </c>
      <c r="E8" s="45">
        <v>46224</v>
      </c>
      <c r="F8" s="12" t="s">
        <v>690</v>
      </c>
      <c r="G8" s="12" t="s">
        <v>691</v>
      </c>
      <c r="H8" s="47" t="s">
        <v>763</v>
      </c>
    </row>
    <row r="9" spans="1:8" ht="14.25" customHeight="1">
      <c r="A9" s="46" t="s">
        <v>703</v>
      </c>
      <c r="B9" s="13" t="s">
        <v>318</v>
      </c>
      <c r="C9" s="12" t="s">
        <v>319</v>
      </c>
      <c r="D9" s="12" t="s">
        <v>707</v>
      </c>
      <c r="E9" s="45">
        <v>46135</v>
      </c>
      <c r="F9" s="12" t="s">
        <v>708</v>
      </c>
      <c r="G9" s="12" t="s">
        <v>709</v>
      </c>
      <c r="H9" s="47" t="s">
        <v>765</v>
      </c>
    </row>
    <row r="10" spans="1:8" ht="14.25" customHeight="1">
      <c r="A10" s="46" t="s">
        <v>703</v>
      </c>
      <c r="B10" s="13" t="s">
        <v>318</v>
      </c>
      <c r="C10" s="12" t="s">
        <v>319</v>
      </c>
      <c r="D10" s="12" t="s">
        <v>702</v>
      </c>
      <c r="E10" s="45">
        <v>46121</v>
      </c>
      <c r="F10" s="12" t="s">
        <v>684</v>
      </c>
      <c r="G10" s="12" t="s">
        <v>686</v>
      </c>
      <c r="H10" s="47" t="s">
        <v>765</v>
      </c>
    </row>
    <row r="11" spans="1:8" ht="14.25" customHeight="1">
      <c r="A11" s="46" t="s">
        <v>703</v>
      </c>
      <c r="B11" s="13" t="s">
        <v>309</v>
      </c>
      <c r="C11" s="12" t="s">
        <v>306</v>
      </c>
      <c r="D11" s="12" t="s">
        <v>711</v>
      </c>
      <c r="E11" s="45">
        <v>45783</v>
      </c>
      <c r="F11" s="12" t="s">
        <v>690</v>
      </c>
      <c r="G11" s="12" t="s">
        <v>675</v>
      </c>
      <c r="H11" s="47" t="s">
        <v>765</v>
      </c>
    </row>
    <row r="12" spans="1:8" ht="14.25" customHeight="1">
      <c r="A12" s="46" t="s">
        <v>703</v>
      </c>
      <c r="B12" s="13" t="s">
        <v>233</v>
      </c>
      <c r="C12" s="12" t="s">
        <v>231</v>
      </c>
      <c r="D12" s="12" t="s">
        <v>713</v>
      </c>
      <c r="E12" s="45">
        <v>45905</v>
      </c>
      <c r="F12" s="12" t="s">
        <v>690</v>
      </c>
      <c r="G12" s="12" t="s">
        <v>675</v>
      </c>
      <c r="H12" s="47" t="s">
        <v>765</v>
      </c>
    </row>
    <row r="13" spans="1:8" ht="14.25" customHeight="1">
      <c r="A13" s="46" t="s">
        <v>703</v>
      </c>
      <c r="B13" s="13" t="s">
        <v>379</v>
      </c>
      <c r="C13" s="12" t="s">
        <v>380</v>
      </c>
      <c r="D13" s="12" t="s">
        <v>715</v>
      </c>
      <c r="E13" s="45">
        <v>46086</v>
      </c>
      <c r="F13" s="12" t="s">
        <v>690</v>
      </c>
      <c r="G13" s="12" t="s">
        <v>675</v>
      </c>
      <c r="H13" s="47" t="s">
        <v>765</v>
      </c>
    </row>
    <row r="14" spans="1:8" ht="14.25" customHeight="1">
      <c r="A14" s="46" t="s">
        <v>703</v>
      </c>
      <c r="B14" s="13" t="s">
        <v>219</v>
      </c>
      <c r="C14" s="12" t="s">
        <v>217</v>
      </c>
      <c r="D14" s="12" t="s">
        <v>716</v>
      </c>
      <c r="E14" s="45">
        <v>45989</v>
      </c>
      <c r="F14" s="12" t="s">
        <v>690</v>
      </c>
      <c r="G14" s="12" t="s">
        <v>675</v>
      </c>
      <c r="H14" s="47" t="s">
        <v>765</v>
      </c>
    </row>
    <row r="15" spans="1:8" ht="14.25" customHeight="1">
      <c r="A15" s="48" t="s">
        <v>776</v>
      </c>
      <c r="B15" s="13" t="s">
        <v>494</v>
      </c>
      <c r="C15" s="12" t="s">
        <v>86</v>
      </c>
      <c r="D15" s="12" t="s">
        <v>86</v>
      </c>
      <c r="E15" s="45" t="s">
        <v>86</v>
      </c>
      <c r="F15" s="12" t="s">
        <v>86</v>
      </c>
      <c r="G15" s="12" t="s">
        <v>778</v>
      </c>
      <c r="H15" s="47" t="s">
        <v>781</v>
      </c>
    </row>
    <row r="16" spans="1:8" ht="14.25" customHeight="1">
      <c r="A16" s="48" t="s">
        <v>776</v>
      </c>
      <c r="B16" s="13" t="s">
        <v>568</v>
      </c>
      <c r="C16" s="12" t="s">
        <v>86</v>
      </c>
      <c r="D16" s="12" t="s">
        <v>86</v>
      </c>
      <c r="E16" s="45" t="s">
        <v>86</v>
      </c>
      <c r="F16" s="12" t="s">
        <v>86</v>
      </c>
      <c r="G16" s="12" t="s">
        <v>778</v>
      </c>
      <c r="H16" s="47" t="s">
        <v>783</v>
      </c>
    </row>
    <row r="17" spans="1:8" ht="14.25" customHeight="1">
      <c r="A17" s="48" t="s">
        <v>776</v>
      </c>
      <c r="B17" s="13" t="s">
        <v>286</v>
      </c>
      <c r="C17" s="12" t="s">
        <v>86</v>
      </c>
      <c r="D17" s="12" t="s">
        <v>86</v>
      </c>
      <c r="E17" s="45" t="s">
        <v>86</v>
      </c>
      <c r="F17" s="12" t="s">
        <v>86</v>
      </c>
      <c r="G17" s="12" t="s">
        <v>778</v>
      </c>
      <c r="H17" s="47" t="s">
        <v>788</v>
      </c>
    </row>
    <row r="18" spans="1:8" ht="14.25" customHeight="1">
      <c r="A18" s="48" t="s">
        <v>776</v>
      </c>
      <c r="B18" s="13" t="s">
        <v>307</v>
      </c>
      <c r="C18" s="12" t="s">
        <v>86</v>
      </c>
      <c r="D18" s="12" t="s">
        <v>86</v>
      </c>
      <c r="E18" s="45" t="s">
        <v>86</v>
      </c>
      <c r="F18" s="12" t="s">
        <v>86</v>
      </c>
      <c r="G18" s="12" t="s">
        <v>778</v>
      </c>
      <c r="H18" s="47" t="s">
        <v>794</v>
      </c>
    </row>
    <row r="19" spans="1:8" ht="14.25" customHeight="1">
      <c r="A19" s="48" t="s">
        <v>776</v>
      </c>
      <c r="B19" s="13" t="s">
        <v>485</v>
      </c>
      <c r="C19" s="12" t="s">
        <v>86</v>
      </c>
      <c r="D19" s="12" t="s">
        <v>86</v>
      </c>
      <c r="E19" s="45" t="s">
        <v>86</v>
      </c>
      <c r="F19" s="12" t="s">
        <v>86</v>
      </c>
      <c r="G19" s="12" t="s">
        <v>778</v>
      </c>
      <c r="H19" s="47" t="s">
        <v>799</v>
      </c>
    </row>
    <row r="20" spans="1:8" ht="14.25" customHeight="1">
      <c r="A20" s="48" t="s">
        <v>776</v>
      </c>
      <c r="B20" s="13" t="s">
        <v>167</v>
      </c>
      <c r="C20" s="12" t="s">
        <v>86</v>
      </c>
      <c r="D20" s="12" t="s">
        <v>86</v>
      </c>
      <c r="E20" s="45" t="s">
        <v>86</v>
      </c>
      <c r="F20" s="12" t="s">
        <v>86</v>
      </c>
      <c r="G20" s="12" t="s">
        <v>778</v>
      </c>
      <c r="H20" s="47" t="s">
        <v>802</v>
      </c>
    </row>
    <row r="21" spans="1:8" ht="14.25" customHeight="1"/>
    <row r="22" spans="1:8" ht="14.25" customHeight="1"/>
    <row r="23" spans="1:8" ht="14.25" customHeight="1"/>
    <row r="24" spans="1:8" ht="14.25" customHeight="1"/>
    <row r="25" spans="1:8" ht="14.25" customHeight="1"/>
    <row r="26" spans="1:8" ht="14.25" customHeight="1"/>
    <row r="27" spans="1:8" ht="14.25" customHeight="1"/>
    <row r="28" spans="1:8" ht="14.25" customHeight="1"/>
    <row r="29" spans="1:8" ht="14.25" customHeight="1"/>
    <row r="30" spans="1:8" ht="14.25" customHeight="1"/>
    <row r="31" spans="1:8" ht="14.25" customHeight="1"/>
    <row r="32" spans="1:8"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H14" xr:uid="{00000000-0009-0000-0000-000008000000}"/>
  <pageMargins left="0.75" right="0.75" top="1" bottom="1" header="0" footer="0"/>
  <pageSetup paperSize="8"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1000"/>
  <sheetViews>
    <sheetView workbookViewId="0">
      <pane ySplit="1" topLeftCell="A2" activePane="bottomLeft" state="frozen"/>
      <selection activeCell="B3" sqref="B3"/>
      <selection pane="bottomLeft" activeCell="B3" sqref="B3"/>
    </sheetView>
  </sheetViews>
  <sheetFormatPr defaultColWidth="14.44140625" defaultRowHeight="15" customHeight="1"/>
  <cols>
    <col min="1" max="1" width="6" customWidth="1"/>
    <col min="2" max="2" width="18" customWidth="1"/>
    <col min="3" max="3" width="12" customWidth="1"/>
    <col min="4" max="5" width="13" customWidth="1"/>
    <col min="6" max="7" width="14" customWidth="1"/>
    <col min="8" max="8" width="20" customWidth="1"/>
    <col min="9" max="9" width="16" customWidth="1"/>
    <col min="10" max="10" width="60" customWidth="1"/>
    <col min="11" max="26" width="8.6640625" customWidth="1"/>
  </cols>
  <sheetData>
    <row r="1" spans="1:10" ht="21.75" customHeight="1">
      <c r="A1" s="5" t="s">
        <v>822</v>
      </c>
      <c r="B1" s="5" t="s">
        <v>1102</v>
      </c>
      <c r="C1" s="5" t="s">
        <v>6</v>
      </c>
      <c r="D1" s="5" t="s">
        <v>1105</v>
      </c>
      <c r="E1" s="5" t="s">
        <v>1107</v>
      </c>
      <c r="F1" s="5" t="s">
        <v>1110</v>
      </c>
      <c r="G1" s="5" t="s">
        <v>1112</v>
      </c>
      <c r="H1" s="5" t="s">
        <v>1113</v>
      </c>
      <c r="I1" s="5" t="s">
        <v>1115</v>
      </c>
      <c r="J1" s="5" t="s">
        <v>60</v>
      </c>
    </row>
    <row r="2" spans="1:10" ht="14.25" customHeight="1">
      <c r="A2" s="12">
        <v>1</v>
      </c>
      <c r="B2" s="13" t="s">
        <v>173</v>
      </c>
      <c r="C2" s="13"/>
      <c r="D2" s="45">
        <v>45677</v>
      </c>
      <c r="E2" s="45">
        <v>45677</v>
      </c>
      <c r="F2" s="45">
        <v>45719</v>
      </c>
      <c r="G2" s="45">
        <v>45719</v>
      </c>
      <c r="H2" s="45">
        <f t="shared" ref="H2:H88" si="0">F2</f>
        <v>45719</v>
      </c>
      <c r="I2" s="12" t="s">
        <v>173</v>
      </c>
      <c r="J2" s="19" t="s">
        <v>1121</v>
      </c>
    </row>
    <row r="3" spans="1:10" ht="14.25" customHeight="1">
      <c r="A3" s="12">
        <v>2</v>
      </c>
      <c r="B3" s="13" t="s">
        <v>265</v>
      </c>
      <c r="C3" s="13"/>
      <c r="D3" s="45">
        <v>45677</v>
      </c>
      <c r="E3" s="45">
        <v>45677</v>
      </c>
      <c r="F3" s="45">
        <v>45727</v>
      </c>
      <c r="G3" s="45">
        <v>45727</v>
      </c>
      <c r="H3" s="45">
        <f t="shared" si="0"/>
        <v>45727</v>
      </c>
      <c r="I3" s="12" t="s">
        <v>265</v>
      </c>
      <c r="J3" s="19" t="s">
        <v>1124</v>
      </c>
    </row>
    <row r="4" spans="1:10" ht="14.25" customHeight="1">
      <c r="A4" s="12">
        <v>3</v>
      </c>
      <c r="B4" s="13" t="s">
        <v>291</v>
      </c>
      <c r="C4" s="13"/>
      <c r="D4" s="45">
        <v>45678</v>
      </c>
      <c r="E4" s="45">
        <v>45678</v>
      </c>
      <c r="F4" s="45">
        <v>45771</v>
      </c>
      <c r="G4" s="45">
        <v>45772</v>
      </c>
      <c r="H4" s="45">
        <f t="shared" si="0"/>
        <v>45771</v>
      </c>
      <c r="I4" s="12" t="s">
        <v>291</v>
      </c>
      <c r="J4" s="19" t="s">
        <v>1125</v>
      </c>
    </row>
    <row r="5" spans="1:10" ht="14.25" customHeight="1">
      <c r="A5" s="12">
        <v>4</v>
      </c>
      <c r="B5" s="13" t="s">
        <v>71</v>
      </c>
      <c r="C5" s="13"/>
      <c r="D5" s="45">
        <v>45678</v>
      </c>
      <c r="E5" s="45">
        <v>45678</v>
      </c>
      <c r="F5" s="45">
        <v>45723</v>
      </c>
      <c r="G5" s="45">
        <v>45723</v>
      </c>
      <c r="H5" s="45">
        <f t="shared" si="0"/>
        <v>45723</v>
      </c>
      <c r="I5" s="12" t="s">
        <v>71</v>
      </c>
      <c r="J5" s="19" t="s">
        <v>1130</v>
      </c>
    </row>
    <row r="6" spans="1:10" ht="14.25" customHeight="1">
      <c r="A6" s="12">
        <v>5</v>
      </c>
      <c r="B6" s="13" t="s">
        <v>125</v>
      </c>
      <c r="C6" s="13"/>
      <c r="D6" s="45">
        <v>45679</v>
      </c>
      <c r="E6" s="45">
        <v>45679</v>
      </c>
      <c r="F6" s="45">
        <v>45720</v>
      </c>
      <c r="G6" s="45">
        <v>45720</v>
      </c>
      <c r="H6" s="45">
        <f t="shared" si="0"/>
        <v>45720</v>
      </c>
      <c r="I6" s="12" t="s">
        <v>125</v>
      </c>
      <c r="J6" s="19" t="s">
        <v>1134</v>
      </c>
    </row>
    <row r="7" spans="1:10" ht="14.25" customHeight="1">
      <c r="A7" s="12">
        <v>6</v>
      </c>
      <c r="B7" s="13" t="s">
        <v>260</v>
      </c>
      <c r="C7" s="13"/>
      <c r="D7" s="45">
        <v>45679</v>
      </c>
      <c r="E7" s="45">
        <v>45679</v>
      </c>
      <c r="F7" s="45">
        <v>45758</v>
      </c>
      <c r="G7" s="45">
        <v>45758</v>
      </c>
      <c r="H7" s="45">
        <f t="shared" si="0"/>
        <v>45758</v>
      </c>
      <c r="I7" s="12" t="s">
        <v>260</v>
      </c>
      <c r="J7" s="19" t="s">
        <v>1138</v>
      </c>
    </row>
    <row r="8" spans="1:10" ht="14.25" customHeight="1">
      <c r="A8" s="12">
        <v>7</v>
      </c>
      <c r="B8" s="13" t="s">
        <v>232</v>
      </c>
      <c r="C8" s="13" t="s">
        <v>236</v>
      </c>
      <c r="D8" s="45">
        <v>45733</v>
      </c>
      <c r="E8" s="45">
        <v>45734</v>
      </c>
      <c r="F8" s="45">
        <v>45869</v>
      </c>
      <c r="G8" s="45">
        <v>45874</v>
      </c>
      <c r="H8" s="45">
        <f t="shared" si="0"/>
        <v>45869</v>
      </c>
      <c r="I8" s="12" t="s">
        <v>232</v>
      </c>
      <c r="J8" s="19" t="s">
        <v>1139</v>
      </c>
    </row>
    <row r="9" spans="1:10" ht="14.25" customHeight="1">
      <c r="A9" s="12">
        <v>8</v>
      </c>
      <c r="B9" s="13" t="s">
        <v>289</v>
      </c>
      <c r="C9" s="13" t="s">
        <v>288</v>
      </c>
      <c r="D9" s="45">
        <v>45736</v>
      </c>
      <c r="E9" s="45">
        <v>45737</v>
      </c>
      <c r="F9" s="45">
        <v>45874</v>
      </c>
      <c r="G9" s="45">
        <v>45876</v>
      </c>
      <c r="H9" s="45">
        <f t="shared" si="0"/>
        <v>45874</v>
      </c>
      <c r="I9" s="12" t="s">
        <v>289</v>
      </c>
      <c r="J9" s="19" t="s">
        <v>1139</v>
      </c>
    </row>
    <row r="10" spans="1:10" ht="14.25" customHeight="1">
      <c r="A10" s="12">
        <v>9</v>
      </c>
      <c r="B10" s="13" t="s">
        <v>304</v>
      </c>
      <c r="C10" s="13" t="s">
        <v>302</v>
      </c>
      <c r="D10" s="45">
        <v>45742</v>
      </c>
      <c r="E10" s="45">
        <v>45743</v>
      </c>
      <c r="F10" s="45">
        <v>45828</v>
      </c>
      <c r="G10" s="45">
        <v>45828</v>
      </c>
      <c r="H10" s="45">
        <f t="shared" si="0"/>
        <v>45828</v>
      </c>
      <c r="I10" s="12" t="s">
        <v>304</v>
      </c>
      <c r="J10" s="19"/>
    </row>
    <row r="11" spans="1:10" ht="14.25" customHeight="1">
      <c r="A11" s="12">
        <v>10</v>
      </c>
      <c r="B11" s="13" t="s">
        <v>309</v>
      </c>
      <c r="C11" s="13" t="s">
        <v>306</v>
      </c>
      <c r="D11" s="45">
        <v>45749</v>
      </c>
      <c r="E11" s="45">
        <v>45750</v>
      </c>
      <c r="F11" s="45">
        <v>45824</v>
      </c>
      <c r="G11" s="45">
        <v>45827</v>
      </c>
      <c r="H11" s="45">
        <f t="shared" si="0"/>
        <v>45824</v>
      </c>
      <c r="I11" s="12" t="s">
        <v>309</v>
      </c>
      <c r="J11" s="19"/>
    </row>
    <row r="12" spans="1:10" ht="14.25" customHeight="1">
      <c r="A12" s="12">
        <v>11</v>
      </c>
      <c r="B12" s="13" t="s">
        <v>313</v>
      </c>
      <c r="C12" s="13" t="s">
        <v>312</v>
      </c>
      <c r="D12" s="45">
        <v>45761</v>
      </c>
      <c r="E12" s="45">
        <v>45762</v>
      </c>
      <c r="F12" s="45">
        <v>45819</v>
      </c>
      <c r="G12" s="45">
        <v>45824</v>
      </c>
      <c r="H12" s="45">
        <f t="shared" si="0"/>
        <v>45819</v>
      </c>
      <c r="I12" s="12" t="s">
        <v>313</v>
      </c>
      <c r="J12" s="19"/>
    </row>
    <row r="13" spans="1:10" ht="14.25" customHeight="1">
      <c r="A13" s="12">
        <v>12</v>
      </c>
      <c r="B13" s="13" t="s">
        <v>247</v>
      </c>
      <c r="C13" s="13" t="s">
        <v>250</v>
      </c>
      <c r="D13" s="45">
        <v>45769</v>
      </c>
      <c r="E13" s="45">
        <v>45770</v>
      </c>
      <c r="F13" s="45">
        <v>45811</v>
      </c>
      <c r="G13" s="45">
        <v>45819</v>
      </c>
      <c r="H13" s="45">
        <f t="shared" si="0"/>
        <v>45811</v>
      </c>
      <c r="I13" s="12" t="s">
        <v>247</v>
      </c>
      <c r="J13" s="19"/>
    </row>
    <row r="14" spans="1:10" ht="14.25" customHeight="1">
      <c r="A14" s="12">
        <v>13</v>
      </c>
      <c r="B14" s="13" t="s">
        <v>267</v>
      </c>
      <c r="C14" s="13" t="s">
        <v>269</v>
      </c>
      <c r="D14" s="45">
        <v>45804</v>
      </c>
      <c r="E14" s="45">
        <v>45805</v>
      </c>
      <c r="F14" s="45">
        <v>45835</v>
      </c>
      <c r="G14" s="45">
        <v>45842</v>
      </c>
      <c r="H14" s="45">
        <f t="shared" si="0"/>
        <v>45835</v>
      </c>
      <c r="I14" s="12" t="s">
        <v>267</v>
      </c>
      <c r="J14" s="19"/>
    </row>
    <row r="15" spans="1:10" ht="14.25" customHeight="1">
      <c r="A15" s="12">
        <v>14</v>
      </c>
      <c r="B15" s="13" t="s">
        <v>296</v>
      </c>
      <c r="C15" s="13" t="s">
        <v>295</v>
      </c>
      <c r="D15" s="45">
        <v>45806</v>
      </c>
      <c r="E15" s="45">
        <v>45807</v>
      </c>
      <c r="F15" s="45">
        <v>45842</v>
      </c>
      <c r="G15" s="45">
        <v>45848</v>
      </c>
      <c r="H15" s="45">
        <f t="shared" si="0"/>
        <v>45842</v>
      </c>
      <c r="I15" s="12" t="s">
        <v>296</v>
      </c>
      <c r="J15" s="19"/>
    </row>
    <row r="16" spans="1:10" ht="14.25" customHeight="1">
      <c r="A16" s="12">
        <v>15</v>
      </c>
      <c r="B16" s="13" t="s">
        <v>280</v>
      </c>
      <c r="C16" s="13" t="s">
        <v>278</v>
      </c>
      <c r="D16" s="45">
        <v>45812</v>
      </c>
      <c r="E16" s="45">
        <v>45813</v>
      </c>
      <c r="F16" s="45">
        <v>45901</v>
      </c>
      <c r="G16" s="45">
        <v>45909</v>
      </c>
      <c r="H16" s="45">
        <f t="shared" si="0"/>
        <v>45901</v>
      </c>
      <c r="I16" s="12" t="s">
        <v>280</v>
      </c>
      <c r="J16" s="19" t="s">
        <v>1139</v>
      </c>
    </row>
    <row r="17" spans="1:10" ht="14.25" customHeight="1">
      <c r="A17" s="12">
        <v>16</v>
      </c>
      <c r="B17" s="13" t="s">
        <v>683</v>
      </c>
      <c r="C17" s="13" t="s">
        <v>685</v>
      </c>
      <c r="D17" s="59" t="s">
        <v>1079</v>
      </c>
      <c r="E17" s="59" t="s">
        <v>1079</v>
      </c>
      <c r="F17" s="45">
        <v>45930</v>
      </c>
      <c r="G17" s="45">
        <v>45930</v>
      </c>
      <c r="H17" s="45">
        <f t="shared" si="0"/>
        <v>45930</v>
      </c>
      <c r="I17" s="12" t="s">
        <v>683</v>
      </c>
      <c r="J17" s="19" t="s">
        <v>1158</v>
      </c>
    </row>
    <row r="18" spans="1:10" ht="14.25" customHeight="1">
      <c r="A18" s="12">
        <v>17</v>
      </c>
      <c r="B18" s="13" t="s">
        <v>293</v>
      </c>
      <c r="C18" s="13" t="s">
        <v>292</v>
      </c>
      <c r="D18" s="45">
        <v>45817</v>
      </c>
      <c r="E18" s="45">
        <v>45818</v>
      </c>
      <c r="F18" s="45">
        <v>45852</v>
      </c>
      <c r="G18" s="45">
        <v>45855</v>
      </c>
      <c r="H18" s="45">
        <f t="shared" si="0"/>
        <v>45852</v>
      </c>
      <c r="I18" s="12" t="s">
        <v>293</v>
      </c>
      <c r="J18" s="19" t="s">
        <v>1139</v>
      </c>
    </row>
    <row r="19" spans="1:10" ht="14.25" customHeight="1">
      <c r="A19" s="12">
        <v>18</v>
      </c>
      <c r="B19" s="13" t="s">
        <v>237</v>
      </c>
      <c r="C19" s="13" t="s">
        <v>235</v>
      </c>
      <c r="D19" s="45">
        <v>45839</v>
      </c>
      <c r="E19" s="45">
        <v>45840</v>
      </c>
      <c r="F19" s="45">
        <v>45860</v>
      </c>
      <c r="G19" s="45">
        <v>45868</v>
      </c>
      <c r="H19" s="45">
        <f t="shared" si="0"/>
        <v>45860</v>
      </c>
      <c r="I19" s="12" t="s">
        <v>237</v>
      </c>
      <c r="J19" s="19"/>
    </row>
    <row r="20" spans="1:10" ht="14.25" customHeight="1">
      <c r="A20" s="12">
        <v>19</v>
      </c>
      <c r="B20" s="13" t="s">
        <v>227</v>
      </c>
      <c r="C20" s="13" t="s">
        <v>223</v>
      </c>
      <c r="D20" s="45">
        <v>45846</v>
      </c>
      <c r="E20" s="45">
        <v>45847</v>
      </c>
      <c r="F20" s="45">
        <v>45894</v>
      </c>
      <c r="G20" s="45">
        <v>45900</v>
      </c>
      <c r="H20" s="45">
        <f t="shared" si="0"/>
        <v>45894</v>
      </c>
      <c r="I20" s="12" t="s">
        <v>227</v>
      </c>
      <c r="J20" s="19" t="s">
        <v>1139</v>
      </c>
    </row>
    <row r="21" spans="1:10" ht="14.25" customHeight="1">
      <c r="A21" s="12">
        <v>20</v>
      </c>
      <c r="B21" s="13" t="s">
        <v>233</v>
      </c>
      <c r="C21" s="13" t="s">
        <v>231</v>
      </c>
      <c r="D21" s="45">
        <v>45880</v>
      </c>
      <c r="E21" s="45">
        <v>45882</v>
      </c>
      <c r="F21" s="45">
        <v>45909</v>
      </c>
      <c r="G21" s="45">
        <v>45915</v>
      </c>
      <c r="H21" s="45">
        <f t="shared" si="0"/>
        <v>45909</v>
      </c>
      <c r="I21" s="12" t="s">
        <v>233</v>
      </c>
      <c r="J21" s="19" t="s">
        <v>1139</v>
      </c>
    </row>
    <row r="22" spans="1:10" ht="14.25" customHeight="1">
      <c r="A22" s="12">
        <v>21</v>
      </c>
      <c r="B22" s="13" t="s">
        <v>202</v>
      </c>
      <c r="C22" s="13" t="s">
        <v>199</v>
      </c>
      <c r="D22" s="59" t="s">
        <v>1079</v>
      </c>
      <c r="E22" s="59" t="s">
        <v>1079</v>
      </c>
      <c r="F22" s="45">
        <v>45925</v>
      </c>
      <c r="G22" s="45">
        <v>45925</v>
      </c>
      <c r="H22" s="45">
        <f t="shared" si="0"/>
        <v>45925</v>
      </c>
      <c r="I22" s="12" t="s">
        <v>202</v>
      </c>
      <c r="J22" s="19" t="s">
        <v>1168</v>
      </c>
    </row>
    <row r="23" spans="1:10" ht="14.25" customHeight="1">
      <c r="A23" s="12">
        <v>22</v>
      </c>
      <c r="B23" s="13" t="s">
        <v>171</v>
      </c>
      <c r="C23" s="13" t="s">
        <v>175</v>
      </c>
      <c r="D23" s="45">
        <v>45889</v>
      </c>
      <c r="E23" s="45">
        <v>45889</v>
      </c>
      <c r="F23" s="45">
        <v>45930</v>
      </c>
      <c r="G23" s="45">
        <v>45931</v>
      </c>
      <c r="H23" s="45">
        <f t="shared" si="0"/>
        <v>45930</v>
      </c>
      <c r="I23" s="12" t="s">
        <v>171</v>
      </c>
      <c r="J23" s="19"/>
    </row>
    <row r="24" spans="1:10" ht="14.25" customHeight="1">
      <c r="A24" s="12">
        <v>23</v>
      </c>
      <c r="B24" s="13" t="s">
        <v>240</v>
      </c>
      <c r="C24" s="13" t="s">
        <v>239</v>
      </c>
      <c r="D24" s="45">
        <v>45889</v>
      </c>
      <c r="E24" s="45">
        <v>45889</v>
      </c>
      <c r="F24" s="45">
        <v>45931</v>
      </c>
      <c r="G24" s="45">
        <v>45932</v>
      </c>
      <c r="H24" s="45">
        <f t="shared" si="0"/>
        <v>45931</v>
      </c>
      <c r="I24" s="12" t="s">
        <v>240</v>
      </c>
      <c r="J24" s="19"/>
    </row>
    <row r="25" spans="1:10" ht="14.25" customHeight="1">
      <c r="A25" s="12">
        <v>24</v>
      </c>
      <c r="B25" s="13" t="s">
        <v>273</v>
      </c>
      <c r="C25" s="13" t="s">
        <v>270</v>
      </c>
      <c r="D25" s="45">
        <v>45890</v>
      </c>
      <c r="E25" s="45">
        <v>45892</v>
      </c>
      <c r="F25" s="45">
        <v>45933</v>
      </c>
      <c r="G25" s="45">
        <v>45939</v>
      </c>
      <c r="H25" s="45">
        <f t="shared" si="0"/>
        <v>45933</v>
      </c>
      <c r="I25" s="12" t="s">
        <v>273</v>
      </c>
      <c r="J25" s="19"/>
    </row>
    <row r="26" spans="1:10" ht="14.25" customHeight="1">
      <c r="A26" s="12">
        <v>25</v>
      </c>
      <c r="B26" s="13" t="s">
        <v>263</v>
      </c>
      <c r="C26" s="13" t="s">
        <v>262</v>
      </c>
      <c r="D26" s="45">
        <v>45901</v>
      </c>
      <c r="E26" s="45">
        <v>45903</v>
      </c>
      <c r="F26" s="45">
        <v>45940</v>
      </c>
      <c r="G26" s="45">
        <v>45951</v>
      </c>
      <c r="H26" s="45">
        <f t="shared" si="0"/>
        <v>45940</v>
      </c>
      <c r="I26" s="12" t="s">
        <v>263</v>
      </c>
      <c r="J26" s="19"/>
    </row>
    <row r="27" spans="1:10" ht="14.25" customHeight="1">
      <c r="A27" s="12">
        <v>26</v>
      </c>
      <c r="B27" s="13" t="s">
        <v>516</v>
      </c>
      <c r="C27" s="13" t="s">
        <v>517</v>
      </c>
      <c r="D27" s="45">
        <v>45915</v>
      </c>
      <c r="E27" s="45">
        <v>45917</v>
      </c>
      <c r="F27" s="45">
        <v>45960</v>
      </c>
      <c r="G27" s="45">
        <v>45968</v>
      </c>
      <c r="H27" s="45">
        <f t="shared" si="0"/>
        <v>45960</v>
      </c>
      <c r="I27" s="12" t="s">
        <v>516</v>
      </c>
      <c r="J27" s="19"/>
    </row>
    <row r="28" spans="1:10" ht="14.25" customHeight="1">
      <c r="A28" s="12">
        <v>27</v>
      </c>
      <c r="B28" s="13" t="s">
        <v>1181</v>
      </c>
      <c r="C28" s="13" t="s">
        <v>1182</v>
      </c>
      <c r="D28" s="45">
        <v>45917</v>
      </c>
      <c r="E28" s="45">
        <v>45917</v>
      </c>
      <c r="F28" s="45">
        <v>45988</v>
      </c>
      <c r="G28" s="45">
        <v>45988</v>
      </c>
      <c r="H28" s="45">
        <f t="shared" si="0"/>
        <v>45988</v>
      </c>
      <c r="I28" s="28" t="s">
        <v>1184</v>
      </c>
      <c r="J28" s="19"/>
    </row>
    <row r="29" spans="1:10" ht="14.25" customHeight="1">
      <c r="A29" s="12">
        <v>28</v>
      </c>
      <c r="B29" s="13" t="s">
        <v>1185</v>
      </c>
      <c r="C29" s="13" t="s">
        <v>1186</v>
      </c>
      <c r="D29" s="45">
        <v>45917</v>
      </c>
      <c r="E29" s="45">
        <v>45917</v>
      </c>
      <c r="F29" s="45">
        <v>45988</v>
      </c>
      <c r="G29" s="45">
        <v>45988</v>
      </c>
      <c r="H29" s="45">
        <f t="shared" si="0"/>
        <v>45988</v>
      </c>
      <c r="I29" s="28" t="s">
        <v>1184</v>
      </c>
      <c r="J29" s="19"/>
    </row>
    <row r="30" spans="1:10" ht="14.25" customHeight="1">
      <c r="A30" s="12">
        <v>29</v>
      </c>
      <c r="B30" s="13" t="s">
        <v>187</v>
      </c>
      <c r="C30" s="13" t="s">
        <v>185</v>
      </c>
      <c r="D30" s="45">
        <v>45923</v>
      </c>
      <c r="E30" s="45">
        <v>45923</v>
      </c>
      <c r="F30" s="45">
        <v>45985</v>
      </c>
      <c r="G30" s="45">
        <v>45986</v>
      </c>
      <c r="H30" s="45">
        <f t="shared" si="0"/>
        <v>45985</v>
      </c>
      <c r="I30" s="12" t="s">
        <v>187</v>
      </c>
      <c r="J30" s="19"/>
    </row>
    <row r="31" spans="1:10" ht="14.25" customHeight="1">
      <c r="A31" s="12">
        <v>30</v>
      </c>
      <c r="B31" s="13" t="s">
        <v>184</v>
      </c>
      <c r="C31" s="13" t="s">
        <v>188</v>
      </c>
      <c r="D31" s="45">
        <v>45923</v>
      </c>
      <c r="E31" s="45">
        <v>45924</v>
      </c>
      <c r="F31" s="45">
        <v>45979</v>
      </c>
      <c r="G31" s="45">
        <v>45985</v>
      </c>
      <c r="H31" s="45">
        <f t="shared" si="0"/>
        <v>45979</v>
      </c>
      <c r="I31" s="12" t="s">
        <v>184</v>
      </c>
      <c r="J31" s="19"/>
    </row>
    <row r="32" spans="1:10" ht="14.25" customHeight="1">
      <c r="A32" s="12">
        <v>31</v>
      </c>
      <c r="B32" s="13" t="s">
        <v>190</v>
      </c>
      <c r="C32" s="13" t="s">
        <v>189</v>
      </c>
      <c r="D32" s="45">
        <v>45957</v>
      </c>
      <c r="E32" s="45">
        <v>45957</v>
      </c>
      <c r="F32" s="45">
        <v>45988</v>
      </c>
      <c r="G32" s="45">
        <v>45989</v>
      </c>
      <c r="H32" s="45">
        <f t="shared" si="0"/>
        <v>45988</v>
      </c>
      <c r="I32" s="12" t="s">
        <v>190</v>
      </c>
      <c r="J32" s="19"/>
    </row>
    <row r="33" spans="1:10" ht="14.25" customHeight="1">
      <c r="A33" s="12">
        <v>32</v>
      </c>
      <c r="B33" s="13" t="s">
        <v>219</v>
      </c>
      <c r="C33" s="13" t="s">
        <v>217</v>
      </c>
      <c r="D33" s="45">
        <v>45957</v>
      </c>
      <c r="E33" s="45">
        <v>45957</v>
      </c>
      <c r="F33" s="45">
        <v>45993</v>
      </c>
      <c r="G33" s="45">
        <v>45994</v>
      </c>
      <c r="H33" s="45">
        <f t="shared" si="0"/>
        <v>45993</v>
      </c>
      <c r="I33" s="12" t="s">
        <v>219</v>
      </c>
      <c r="J33" s="19"/>
    </row>
    <row r="34" spans="1:10" ht="14.25" customHeight="1">
      <c r="A34" s="12">
        <v>33</v>
      </c>
      <c r="B34" s="13" t="s">
        <v>197</v>
      </c>
      <c r="C34" s="13" t="s">
        <v>196</v>
      </c>
      <c r="D34" s="45">
        <v>45957</v>
      </c>
      <c r="E34" s="45">
        <v>45958</v>
      </c>
      <c r="F34" s="45">
        <v>45992</v>
      </c>
      <c r="G34" s="45">
        <v>45992</v>
      </c>
      <c r="H34" s="45">
        <f t="shared" si="0"/>
        <v>45992</v>
      </c>
      <c r="I34" s="12" t="s">
        <v>197</v>
      </c>
      <c r="J34" s="19"/>
    </row>
    <row r="35" spans="1:10" ht="14.25" customHeight="1">
      <c r="A35" s="12">
        <v>34</v>
      </c>
      <c r="B35" s="13" t="s">
        <v>212</v>
      </c>
      <c r="C35" s="13" t="s">
        <v>211</v>
      </c>
      <c r="D35" s="45">
        <v>45958</v>
      </c>
      <c r="E35" s="45">
        <v>45958</v>
      </c>
      <c r="F35" s="45">
        <v>45994</v>
      </c>
      <c r="G35" s="45">
        <v>45995</v>
      </c>
      <c r="H35" s="45">
        <f t="shared" si="0"/>
        <v>45994</v>
      </c>
      <c r="I35" s="12" t="s">
        <v>212</v>
      </c>
      <c r="J35" s="19"/>
    </row>
    <row r="36" spans="1:10" ht="14.25" customHeight="1">
      <c r="A36" s="12">
        <v>35</v>
      </c>
      <c r="B36" s="13" t="s">
        <v>259</v>
      </c>
      <c r="C36" s="13" t="s">
        <v>254</v>
      </c>
      <c r="D36" s="45">
        <v>45972</v>
      </c>
      <c r="E36" s="45">
        <v>45974</v>
      </c>
      <c r="F36" s="45">
        <v>46006</v>
      </c>
      <c r="G36" s="45">
        <v>46012</v>
      </c>
      <c r="H36" s="45">
        <f t="shared" si="0"/>
        <v>46006</v>
      </c>
      <c r="I36" s="12" t="s">
        <v>259</v>
      </c>
      <c r="J36" s="19" t="s">
        <v>1204</v>
      </c>
    </row>
    <row r="37" spans="1:10" ht="14.25" customHeight="1">
      <c r="A37" s="12">
        <v>36</v>
      </c>
      <c r="B37" s="13" t="s">
        <v>253</v>
      </c>
      <c r="C37" s="13" t="s">
        <v>252</v>
      </c>
      <c r="D37" s="45">
        <v>45974</v>
      </c>
      <c r="E37" s="45">
        <v>45974</v>
      </c>
      <c r="F37" s="45">
        <v>46013</v>
      </c>
      <c r="G37" s="45">
        <v>46013</v>
      </c>
      <c r="H37" s="45">
        <f t="shared" si="0"/>
        <v>46013</v>
      </c>
      <c r="I37" s="12" t="s">
        <v>253</v>
      </c>
      <c r="J37" s="19"/>
    </row>
    <row r="38" spans="1:10" ht="14.25" customHeight="1">
      <c r="A38" s="12">
        <v>37</v>
      </c>
      <c r="B38" s="13" t="s">
        <v>244</v>
      </c>
      <c r="C38" s="13" t="s">
        <v>243</v>
      </c>
      <c r="D38" s="45">
        <v>45980</v>
      </c>
      <c r="E38" s="45">
        <v>45981</v>
      </c>
      <c r="F38" s="45">
        <v>46014</v>
      </c>
      <c r="G38" s="45">
        <v>46017</v>
      </c>
      <c r="H38" s="45">
        <f t="shared" si="0"/>
        <v>46014</v>
      </c>
      <c r="I38" s="12" t="s">
        <v>244</v>
      </c>
      <c r="J38" s="19"/>
    </row>
    <row r="39" spans="1:10" ht="14.25" customHeight="1">
      <c r="A39" s="12">
        <v>38</v>
      </c>
      <c r="B39" s="13" t="s">
        <v>248</v>
      </c>
      <c r="C39" s="13" t="s">
        <v>246</v>
      </c>
      <c r="D39" s="45">
        <v>45981</v>
      </c>
      <c r="E39" s="45">
        <v>45981</v>
      </c>
      <c r="F39" s="45">
        <v>46017</v>
      </c>
      <c r="G39" s="45">
        <v>46017</v>
      </c>
      <c r="H39" s="45">
        <f t="shared" si="0"/>
        <v>46017</v>
      </c>
      <c r="I39" s="12" t="s">
        <v>248</v>
      </c>
      <c r="J39" s="19"/>
    </row>
    <row r="40" spans="1:10" ht="14.25" customHeight="1">
      <c r="A40" s="12">
        <v>39</v>
      </c>
      <c r="B40" s="13" t="s">
        <v>170</v>
      </c>
      <c r="C40" s="13" t="s">
        <v>169</v>
      </c>
      <c r="D40" s="45">
        <v>46000</v>
      </c>
      <c r="E40" s="45">
        <v>46000</v>
      </c>
      <c r="F40" s="45">
        <v>46035</v>
      </c>
      <c r="G40" s="45">
        <v>46036</v>
      </c>
      <c r="H40" s="45">
        <f t="shared" si="0"/>
        <v>46035</v>
      </c>
      <c r="I40" s="12" t="s">
        <v>170</v>
      </c>
      <c r="J40" s="19"/>
    </row>
    <row r="41" spans="1:10" ht="14.25" customHeight="1">
      <c r="A41" s="12">
        <v>40</v>
      </c>
      <c r="B41" s="13" t="s">
        <v>82</v>
      </c>
      <c r="C41" s="13" t="s">
        <v>78</v>
      </c>
      <c r="D41" s="45">
        <v>46000</v>
      </c>
      <c r="E41" s="45">
        <v>46001</v>
      </c>
      <c r="F41" s="45">
        <v>46038</v>
      </c>
      <c r="G41" s="45">
        <v>46038</v>
      </c>
      <c r="H41" s="45">
        <f t="shared" si="0"/>
        <v>46038</v>
      </c>
      <c r="I41" s="12" t="s">
        <v>82</v>
      </c>
      <c r="J41" s="19"/>
    </row>
    <row r="42" spans="1:10" ht="14.25" customHeight="1">
      <c r="A42" s="12">
        <v>41</v>
      </c>
      <c r="B42" s="13" t="s">
        <v>176</v>
      </c>
      <c r="C42" s="13" t="s">
        <v>174</v>
      </c>
      <c r="D42" s="45">
        <v>46001</v>
      </c>
      <c r="E42" s="45">
        <v>46001</v>
      </c>
      <c r="F42" s="45">
        <v>46051</v>
      </c>
      <c r="G42" s="45">
        <v>46051</v>
      </c>
      <c r="H42" s="45">
        <f t="shared" si="0"/>
        <v>46051</v>
      </c>
      <c r="I42" s="12" t="s">
        <v>176</v>
      </c>
      <c r="J42" s="19"/>
    </row>
    <row r="43" spans="1:10" ht="14.25" customHeight="1">
      <c r="A43" s="12">
        <v>42</v>
      </c>
      <c r="B43" s="13" t="s">
        <v>165</v>
      </c>
      <c r="C43" s="13" t="s">
        <v>160</v>
      </c>
      <c r="D43" s="45">
        <v>46002</v>
      </c>
      <c r="E43" s="45">
        <v>46002</v>
      </c>
      <c r="F43" s="45">
        <v>46052</v>
      </c>
      <c r="G43" s="45">
        <v>46052</v>
      </c>
      <c r="H43" s="45">
        <f t="shared" si="0"/>
        <v>46052</v>
      </c>
      <c r="I43" s="12" t="s">
        <v>165</v>
      </c>
      <c r="J43" s="19"/>
    </row>
    <row r="44" spans="1:10" ht="14.25" customHeight="1">
      <c r="A44" s="12">
        <v>43</v>
      </c>
      <c r="B44" s="13" t="s">
        <v>154</v>
      </c>
      <c r="C44" s="13" t="s">
        <v>153</v>
      </c>
      <c r="D44" s="45">
        <v>46002</v>
      </c>
      <c r="E44" s="45">
        <v>46002</v>
      </c>
      <c r="F44" s="45">
        <v>46052</v>
      </c>
      <c r="G44" s="45">
        <v>46052</v>
      </c>
      <c r="H44" s="45">
        <f t="shared" si="0"/>
        <v>46052</v>
      </c>
      <c r="I44" s="12" t="s">
        <v>154</v>
      </c>
      <c r="J44" s="19"/>
    </row>
    <row r="45" spans="1:10" ht="14.25" customHeight="1">
      <c r="A45" s="12">
        <v>44</v>
      </c>
      <c r="B45" s="13" t="s">
        <v>151</v>
      </c>
      <c r="C45" s="13" t="s">
        <v>149</v>
      </c>
      <c r="D45" s="45">
        <v>46002</v>
      </c>
      <c r="E45" s="45">
        <v>46003</v>
      </c>
      <c r="F45" s="45">
        <v>46055</v>
      </c>
      <c r="G45" s="45">
        <v>46055</v>
      </c>
      <c r="H45" s="45">
        <f t="shared" si="0"/>
        <v>46055</v>
      </c>
      <c r="I45" s="12" t="s">
        <v>151</v>
      </c>
      <c r="J45" s="19"/>
    </row>
    <row r="46" spans="1:10" ht="14.25" customHeight="1">
      <c r="A46" s="12">
        <v>45</v>
      </c>
      <c r="B46" s="13" t="s">
        <v>137</v>
      </c>
      <c r="C46" s="13" t="s">
        <v>127</v>
      </c>
      <c r="D46" s="45">
        <v>46003</v>
      </c>
      <c r="E46" s="45">
        <v>46003</v>
      </c>
      <c r="F46" s="45">
        <v>46055</v>
      </c>
      <c r="G46" s="45">
        <v>46055</v>
      </c>
      <c r="H46" s="45">
        <f t="shared" si="0"/>
        <v>46055</v>
      </c>
      <c r="I46" s="12" t="s">
        <v>137</v>
      </c>
      <c r="J46" s="19"/>
    </row>
    <row r="47" spans="1:10" ht="14.25" customHeight="1">
      <c r="A47" s="12">
        <v>46</v>
      </c>
      <c r="B47" s="13" t="s">
        <v>116</v>
      </c>
      <c r="C47" s="13" t="s">
        <v>109</v>
      </c>
      <c r="D47" s="45">
        <v>46003</v>
      </c>
      <c r="E47" s="45">
        <v>46003</v>
      </c>
      <c r="F47" s="45">
        <v>46051</v>
      </c>
      <c r="G47" s="45">
        <v>46051</v>
      </c>
      <c r="H47" s="45">
        <f t="shared" si="0"/>
        <v>46051</v>
      </c>
      <c r="I47" s="12" t="s">
        <v>116</v>
      </c>
      <c r="J47" s="19"/>
    </row>
    <row r="48" spans="1:10" ht="14.25" customHeight="1">
      <c r="A48" s="12">
        <v>47</v>
      </c>
      <c r="B48" s="13" t="s">
        <v>180</v>
      </c>
      <c r="C48" s="13" t="s">
        <v>179</v>
      </c>
      <c r="D48" s="45">
        <v>46007</v>
      </c>
      <c r="E48" s="45">
        <v>46008</v>
      </c>
      <c r="F48" s="45">
        <v>46056</v>
      </c>
      <c r="G48" s="45">
        <v>46062</v>
      </c>
      <c r="H48" s="45">
        <f t="shared" si="0"/>
        <v>46056</v>
      </c>
      <c r="I48" s="12" t="s">
        <v>180</v>
      </c>
      <c r="J48" s="19"/>
    </row>
    <row r="49" spans="1:10" ht="14.25" customHeight="1">
      <c r="A49" s="12">
        <v>48</v>
      </c>
      <c r="B49" s="13" t="s">
        <v>321</v>
      </c>
      <c r="C49" s="13" t="s">
        <v>323</v>
      </c>
      <c r="D49" s="45">
        <v>46031</v>
      </c>
      <c r="E49" s="45">
        <v>46031</v>
      </c>
      <c r="F49" s="45">
        <v>46071</v>
      </c>
      <c r="G49" s="45">
        <v>46072</v>
      </c>
      <c r="H49" s="45">
        <f t="shared" si="0"/>
        <v>46071</v>
      </c>
      <c r="I49" s="28" t="s">
        <v>1184</v>
      </c>
      <c r="J49" s="19"/>
    </row>
    <row r="50" spans="1:10" ht="14.25" customHeight="1">
      <c r="A50" s="12">
        <v>49</v>
      </c>
      <c r="B50" s="13" t="s">
        <v>476</v>
      </c>
      <c r="C50" s="13" t="s">
        <v>479</v>
      </c>
      <c r="D50" s="45">
        <v>46030</v>
      </c>
      <c r="E50" s="45">
        <v>46031</v>
      </c>
      <c r="F50" s="45">
        <v>46070</v>
      </c>
      <c r="G50" s="45">
        <v>46070</v>
      </c>
      <c r="H50" s="45">
        <f t="shared" si="0"/>
        <v>46070</v>
      </c>
      <c r="I50" s="28" t="s">
        <v>1184</v>
      </c>
      <c r="J50" s="19"/>
    </row>
    <row r="51" spans="1:10" ht="14.25" customHeight="1">
      <c r="A51" s="12">
        <v>50</v>
      </c>
      <c r="B51" s="13" t="s">
        <v>562</v>
      </c>
      <c r="C51" s="13" t="s">
        <v>563</v>
      </c>
      <c r="D51" s="45">
        <v>46031</v>
      </c>
      <c r="E51" s="45">
        <v>46031</v>
      </c>
      <c r="F51" s="45">
        <v>46076</v>
      </c>
      <c r="G51" s="45">
        <v>46076</v>
      </c>
      <c r="H51" s="45">
        <f t="shared" si="0"/>
        <v>46076</v>
      </c>
      <c r="I51" s="12" t="s">
        <v>283</v>
      </c>
      <c r="J51" s="19"/>
    </row>
    <row r="52" spans="1:10" ht="14.25" customHeight="1">
      <c r="A52" s="12">
        <v>51</v>
      </c>
      <c r="B52" s="13" t="s">
        <v>622</v>
      </c>
      <c r="C52" s="13" t="s">
        <v>624</v>
      </c>
      <c r="D52" s="45">
        <v>46030</v>
      </c>
      <c r="E52" s="45">
        <v>46030</v>
      </c>
      <c r="F52" s="45">
        <v>46069</v>
      </c>
      <c r="G52" s="45">
        <v>46069</v>
      </c>
      <c r="H52" s="45">
        <f t="shared" si="0"/>
        <v>46069</v>
      </c>
      <c r="I52" s="12" t="s">
        <v>622</v>
      </c>
      <c r="J52" s="19"/>
    </row>
    <row r="53" spans="1:10" ht="14.25" customHeight="1">
      <c r="A53" s="12">
        <v>52</v>
      </c>
      <c r="B53" s="13" t="s">
        <v>339</v>
      </c>
      <c r="C53" s="13" t="s">
        <v>342</v>
      </c>
      <c r="D53" s="45">
        <v>46031</v>
      </c>
      <c r="E53" s="45">
        <v>46031</v>
      </c>
      <c r="F53" s="45">
        <v>46072</v>
      </c>
      <c r="G53" s="45">
        <v>46073</v>
      </c>
      <c r="H53" s="45">
        <f t="shared" si="0"/>
        <v>46072</v>
      </c>
      <c r="I53" s="28" t="s">
        <v>1184</v>
      </c>
      <c r="J53" s="19"/>
    </row>
    <row r="54" spans="1:10" ht="14.25" customHeight="1">
      <c r="A54" s="12">
        <v>53</v>
      </c>
      <c r="B54" s="13" t="s">
        <v>409</v>
      </c>
      <c r="C54" s="13" t="s">
        <v>416</v>
      </c>
      <c r="D54" s="45">
        <v>46042</v>
      </c>
      <c r="E54" s="45">
        <v>46042</v>
      </c>
      <c r="F54" s="45">
        <v>46095</v>
      </c>
      <c r="G54" s="45">
        <v>46095</v>
      </c>
      <c r="H54" s="45">
        <f t="shared" si="0"/>
        <v>46095</v>
      </c>
      <c r="I54" s="12" t="s">
        <v>283</v>
      </c>
      <c r="J54" s="19"/>
    </row>
    <row r="55" spans="1:10" ht="14.25" customHeight="1">
      <c r="A55" s="12">
        <v>54</v>
      </c>
      <c r="B55" s="13" t="s">
        <v>611</v>
      </c>
      <c r="C55" s="13" t="s">
        <v>614</v>
      </c>
      <c r="D55" s="45">
        <v>46042</v>
      </c>
      <c r="E55" s="45">
        <v>46042</v>
      </c>
      <c r="F55" s="45">
        <v>46090</v>
      </c>
      <c r="G55" s="45">
        <v>46090</v>
      </c>
      <c r="H55" s="45">
        <f t="shared" si="0"/>
        <v>46090</v>
      </c>
      <c r="I55" s="12" t="s">
        <v>611</v>
      </c>
      <c r="J55" s="19"/>
    </row>
    <row r="56" spans="1:10" ht="14.25" customHeight="1">
      <c r="A56" s="12">
        <v>55</v>
      </c>
      <c r="B56" s="13" t="s">
        <v>355</v>
      </c>
      <c r="C56" s="13" t="s">
        <v>357</v>
      </c>
      <c r="D56" s="45">
        <v>46042</v>
      </c>
      <c r="E56" s="45">
        <v>46043</v>
      </c>
      <c r="F56" s="45">
        <v>46093</v>
      </c>
      <c r="G56" s="45">
        <v>46093</v>
      </c>
      <c r="H56" s="45">
        <f t="shared" si="0"/>
        <v>46093</v>
      </c>
      <c r="I56" s="12" t="s">
        <v>355</v>
      </c>
      <c r="J56" s="19"/>
    </row>
    <row r="57" spans="1:10" ht="14.25" customHeight="1">
      <c r="A57" s="12">
        <v>56</v>
      </c>
      <c r="B57" s="13" t="s">
        <v>276</v>
      </c>
      <c r="C57" s="13" t="s">
        <v>279</v>
      </c>
      <c r="D57" s="45">
        <v>46043</v>
      </c>
      <c r="E57" s="45">
        <v>46043</v>
      </c>
      <c r="F57" s="45">
        <v>46086</v>
      </c>
      <c r="G57" s="45">
        <v>46086</v>
      </c>
      <c r="H57" s="45">
        <f t="shared" si="0"/>
        <v>46086</v>
      </c>
      <c r="I57" s="12" t="s">
        <v>276</v>
      </c>
      <c r="J57" s="19"/>
    </row>
    <row r="58" spans="1:10" ht="14.25" customHeight="1">
      <c r="A58" s="12">
        <v>57</v>
      </c>
      <c r="B58" s="13" t="s">
        <v>310</v>
      </c>
      <c r="C58" s="13" t="s">
        <v>311</v>
      </c>
      <c r="D58" s="45">
        <v>46048</v>
      </c>
      <c r="E58" s="45">
        <v>46048</v>
      </c>
      <c r="F58" s="45">
        <v>46129</v>
      </c>
      <c r="G58" s="45">
        <v>46129</v>
      </c>
      <c r="H58" s="45">
        <f t="shared" si="0"/>
        <v>46129</v>
      </c>
      <c r="I58" s="12" t="s">
        <v>310</v>
      </c>
      <c r="J58" s="19"/>
    </row>
    <row r="59" spans="1:10" ht="14.25" customHeight="1">
      <c r="A59" s="12">
        <v>58</v>
      </c>
      <c r="B59" s="13" t="s">
        <v>617</v>
      </c>
      <c r="C59" s="13" t="s">
        <v>619</v>
      </c>
      <c r="D59" s="45">
        <v>46048</v>
      </c>
      <c r="E59" s="45">
        <v>46049</v>
      </c>
      <c r="F59" s="45">
        <v>46112</v>
      </c>
      <c r="G59" s="45">
        <v>46112</v>
      </c>
      <c r="H59" s="45">
        <f t="shared" si="0"/>
        <v>46112</v>
      </c>
      <c r="I59" s="12" t="s">
        <v>617</v>
      </c>
      <c r="J59" s="19"/>
    </row>
    <row r="60" spans="1:10" ht="14.25" customHeight="1">
      <c r="A60" s="12">
        <v>59</v>
      </c>
      <c r="B60" s="13" t="s">
        <v>379</v>
      </c>
      <c r="C60" s="13" t="s">
        <v>380</v>
      </c>
      <c r="D60" s="45">
        <v>46058</v>
      </c>
      <c r="E60" s="45">
        <v>46058</v>
      </c>
      <c r="F60" s="45">
        <v>46136</v>
      </c>
      <c r="G60" s="45">
        <v>46136</v>
      </c>
      <c r="H60" s="45">
        <f t="shared" si="0"/>
        <v>46136</v>
      </c>
      <c r="I60" s="12" t="s">
        <v>379</v>
      </c>
      <c r="J60" s="19"/>
    </row>
    <row r="61" spans="1:10" ht="14.25" customHeight="1">
      <c r="A61" s="12">
        <v>60</v>
      </c>
      <c r="B61" s="13" t="s">
        <v>471</v>
      </c>
      <c r="C61" s="13" t="s">
        <v>474</v>
      </c>
      <c r="D61" s="45">
        <v>46058</v>
      </c>
      <c r="E61" s="45">
        <v>46058</v>
      </c>
      <c r="F61" s="45">
        <v>46139</v>
      </c>
      <c r="G61" s="45">
        <v>46139</v>
      </c>
      <c r="H61" s="45">
        <f t="shared" si="0"/>
        <v>46139</v>
      </c>
      <c r="I61" s="12" t="s">
        <v>471</v>
      </c>
      <c r="J61" s="19"/>
    </row>
    <row r="62" spans="1:10" ht="14.25" customHeight="1">
      <c r="A62" s="12">
        <v>61</v>
      </c>
      <c r="B62" s="13" t="s">
        <v>284</v>
      </c>
      <c r="C62" s="13" t="s">
        <v>287</v>
      </c>
      <c r="D62" s="45">
        <v>46106</v>
      </c>
      <c r="E62" s="45">
        <v>46106</v>
      </c>
      <c r="F62" s="45">
        <v>46133</v>
      </c>
      <c r="G62" s="45">
        <v>46133</v>
      </c>
      <c r="H62" s="45">
        <f t="shared" si="0"/>
        <v>46133</v>
      </c>
      <c r="I62" s="12" t="s">
        <v>284</v>
      </c>
      <c r="J62" s="19"/>
    </row>
    <row r="63" spans="1:10" ht="14.25" customHeight="1">
      <c r="A63" s="12">
        <v>62</v>
      </c>
      <c r="B63" s="13" t="s">
        <v>299</v>
      </c>
      <c r="C63" s="13" t="s">
        <v>301</v>
      </c>
      <c r="D63" s="45">
        <v>46092</v>
      </c>
      <c r="E63" s="45">
        <v>46092</v>
      </c>
      <c r="F63" s="45">
        <v>46140</v>
      </c>
      <c r="G63" s="45">
        <v>46140</v>
      </c>
      <c r="H63" s="45">
        <f t="shared" si="0"/>
        <v>46140</v>
      </c>
      <c r="I63" s="12" t="s">
        <v>299</v>
      </c>
      <c r="J63" s="19"/>
    </row>
    <row r="64" spans="1:10" ht="14.25" customHeight="1">
      <c r="A64" s="12">
        <v>63</v>
      </c>
      <c r="B64" s="13" t="s">
        <v>274</v>
      </c>
      <c r="C64" s="13" t="s">
        <v>275</v>
      </c>
      <c r="D64" s="45">
        <v>46106</v>
      </c>
      <c r="E64" s="45">
        <v>46106</v>
      </c>
      <c r="F64" s="45">
        <v>46147</v>
      </c>
      <c r="G64" s="45">
        <v>46147</v>
      </c>
      <c r="H64" s="45">
        <f t="shared" si="0"/>
        <v>46147</v>
      </c>
      <c r="I64" s="12" t="s">
        <v>274</v>
      </c>
      <c r="J64" s="19"/>
    </row>
    <row r="65" spans="1:10" ht="14.25" customHeight="1">
      <c r="A65" s="12">
        <v>64</v>
      </c>
      <c r="B65" s="13" t="s">
        <v>318</v>
      </c>
      <c r="C65" s="13" t="s">
        <v>319</v>
      </c>
      <c r="D65" s="45">
        <v>46085</v>
      </c>
      <c r="E65" s="45">
        <v>46085</v>
      </c>
      <c r="F65" s="45">
        <v>46156</v>
      </c>
      <c r="G65" s="45">
        <v>46156</v>
      </c>
      <c r="H65" s="45">
        <f t="shared" si="0"/>
        <v>46156</v>
      </c>
      <c r="I65" s="12" t="s">
        <v>318</v>
      </c>
      <c r="J65" s="19"/>
    </row>
    <row r="66" spans="1:10" ht="14.25" customHeight="1">
      <c r="A66" s="12">
        <v>65</v>
      </c>
      <c r="B66" s="13" t="s">
        <v>161</v>
      </c>
      <c r="C66" s="13" t="s">
        <v>162</v>
      </c>
      <c r="D66" s="45">
        <v>46106</v>
      </c>
      <c r="E66" s="45">
        <v>46106</v>
      </c>
      <c r="F66" s="45">
        <v>46160</v>
      </c>
      <c r="G66" s="45">
        <v>46160</v>
      </c>
      <c r="H66" s="45">
        <f t="shared" si="0"/>
        <v>46160</v>
      </c>
      <c r="I66" s="12" t="s">
        <v>161</v>
      </c>
      <c r="J66" s="19"/>
    </row>
    <row r="67" spans="1:10" ht="14.25" customHeight="1">
      <c r="A67" s="12">
        <v>66</v>
      </c>
      <c r="B67" s="13" t="s">
        <v>481</v>
      </c>
      <c r="C67" s="13" t="s">
        <v>482</v>
      </c>
      <c r="D67" s="45">
        <v>46106</v>
      </c>
      <c r="E67" s="45">
        <v>46106</v>
      </c>
      <c r="F67" s="45">
        <v>46160</v>
      </c>
      <c r="G67" s="45">
        <v>46160</v>
      </c>
      <c r="H67" s="45">
        <f t="shared" si="0"/>
        <v>46160</v>
      </c>
      <c r="I67" s="12" t="s">
        <v>481</v>
      </c>
      <c r="J67" s="19"/>
    </row>
    <row r="68" spans="1:10" ht="14.25" customHeight="1">
      <c r="A68" s="12">
        <v>67</v>
      </c>
      <c r="B68" s="13" t="s">
        <v>228</v>
      </c>
      <c r="C68" s="13" t="s">
        <v>229</v>
      </c>
      <c r="D68" s="45">
        <v>46106</v>
      </c>
      <c r="E68" s="45">
        <v>46106</v>
      </c>
      <c r="F68" s="45">
        <v>46161</v>
      </c>
      <c r="G68" s="45">
        <v>46161</v>
      </c>
      <c r="H68" s="45">
        <f t="shared" si="0"/>
        <v>46161</v>
      </c>
      <c r="I68" s="12" t="s">
        <v>228</v>
      </c>
      <c r="J68" s="19"/>
    </row>
    <row r="69" spans="1:10" ht="14.25" customHeight="1">
      <c r="A69" s="12">
        <v>68</v>
      </c>
      <c r="B69" s="13" t="s">
        <v>1255</v>
      </c>
      <c r="C69" s="13" t="s">
        <v>242</v>
      </c>
      <c r="D69" s="45">
        <v>46108</v>
      </c>
      <c r="E69" s="45">
        <v>46108</v>
      </c>
      <c r="F69" s="45">
        <v>46162</v>
      </c>
      <c r="G69" s="45">
        <v>46162</v>
      </c>
      <c r="H69" s="45">
        <f t="shared" si="0"/>
        <v>46162</v>
      </c>
      <c r="I69" s="12" t="s">
        <v>241</v>
      </c>
      <c r="J69" s="19"/>
    </row>
    <row r="70" spans="1:10" ht="14.25" customHeight="1">
      <c r="A70" s="12">
        <v>69</v>
      </c>
      <c r="B70" s="13" t="s">
        <v>1257</v>
      </c>
      <c r="C70" s="13" t="s">
        <v>330</v>
      </c>
      <c r="D70" s="45">
        <v>46108</v>
      </c>
      <c r="E70" s="45">
        <v>46108</v>
      </c>
      <c r="F70" s="45">
        <v>46163</v>
      </c>
      <c r="G70" s="45">
        <v>46163</v>
      </c>
      <c r="H70" s="45">
        <f t="shared" si="0"/>
        <v>46163</v>
      </c>
      <c r="I70" s="12" t="s">
        <v>329</v>
      </c>
      <c r="J70" s="19"/>
    </row>
    <row r="71" spans="1:10" ht="14.25" customHeight="1">
      <c r="A71" s="12">
        <v>70</v>
      </c>
      <c r="B71" s="13" t="s">
        <v>362</v>
      </c>
      <c r="C71" s="13" t="s">
        <v>182</v>
      </c>
      <c r="D71" s="45">
        <v>46108</v>
      </c>
      <c r="E71" s="45">
        <v>46108</v>
      </c>
      <c r="F71" s="45">
        <v>46164</v>
      </c>
      <c r="G71" s="45">
        <v>46164</v>
      </c>
      <c r="H71" s="45">
        <f t="shared" si="0"/>
        <v>46164</v>
      </c>
      <c r="I71" s="12" t="s">
        <v>181</v>
      </c>
      <c r="J71" s="19"/>
    </row>
    <row r="72" spans="1:10" ht="14.25" customHeight="1">
      <c r="A72" s="12">
        <v>71</v>
      </c>
      <c r="B72" s="13" t="s">
        <v>155</v>
      </c>
      <c r="C72" s="13" t="s">
        <v>159</v>
      </c>
      <c r="D72" s="45">
        <v>46128</v>
      </c>
      <c r="E72" s="45">
        <v>46128</v>
      </c>
      <c r="F72" s="45">
        <v>46164</v>
      </c>
      <c r="G72" s="45">
        <v>46164</v>
      </c>
      <c r="H72" s="45">
        <f t="shared" si="0"/>
        <v>46164</v>
      </c>
      <c r="I72" s="12" t="s">
        <v>155</v>
      </c>
      <c r="J72" s="19"/>
    </row>
    <row r="73" spans="1:10" ht="14.25" customHeight="1">
      <c r="A73" s="12">
        <v>72</v>
      </c>
      <c r="B73" s="13" t="s">
        <v>712</v>
      </c>
      <c r="C73" s="13" t="s">
        <v>595</v>
      </c>
      <c r="D73" s="45">
        <v>46128</v>
      </c>
      <c r="E73" s="45">
        <v>46128</v>
      </c>
      <c r="F73" s="45">
        <v>46167</v>
      </c>
      <c r="G73" s="45">
        <v>46167</v>
      </c>
      <c r="H73" s="45">
        <f t="shared" si="0"/>
        <v>46167</v>
      </c>
      <c r="I73" s="12" t="s">
        <v>712</v>
      </c>
      <c r="J73" s="19"/>
    </row>
    <row r="74" spans="1:10" ht="14.25" customHeight="1">
      <c r="A74" s="12">
        <v>73</v>
      </c>
      <c r="B74" s="13" t="s">
        <v>636</v>
      </c>
      <c r="C74" s="13" t="s">
        <v>208</v>
      </c>
      <c r="D74" s="45">
        <v>46128</v>
      </c>
      <c r="E74" s="45">
        <v>46128</v>
      </c>
      <c r="F74" s="45">
        <v>46165</v>
      </c>
      <c r="G74" s="45">
        <v>46165</v>
      </c>
      <c r="H74" s="45">
        <f t="shared" si="0"/>
        <v>46165</v>
      </c>
      <c r="I74" s="12" t="s">
        <v>636</v>
      </c>
      <c r="J74" s="19"/>
    </row>
    <row r="75" spans="1:10" ht="14.25" customHeight="1">
      <c r="A75" s="12">
        <v>74</v>
      </c>
      <c r="B75" s="13" t="s">
        <v>430</v>
      </c>
      <c r="C75" s="13" t="s">
        <v>431</v>
      </c>
      <c r="D75" s="45">
        <v>46134</v>
      </c>
      <c r="E75" s="45">
        <v>46134</v>
      </c>
      <c r="F75" s="45">
        <v>46165</v>
      </c>
      <c r="G75" s="45">
        <v>46165</v>
      </c>
      <c r="H75" s="45">
        <f t="shared" si="0"/>
        <v>46165</v>
      </c>
      <c r="I75" s="12" t="s">
        <v>336</v>
      </c>
      <c r="J75" s="19"/>
    </row>
    <row r="76" spans="1:10" ht="14.25" customHeight="1">
      <c r="A76" s="12">
        <v>75</v>
      </c>
      <c r="B76" s="13" t="s">
        <v>335</v>
      </c>
      <c r="C76" s="13" t="s">
        <v>338</v>
      </c>
      <c r="D76" s="45">
        <v>46134</v>
      </c>
      <c r="E76" s="45">
        <v>46134</v>
      </c>
      <c r="F76" s="45">
        <v>46166</v>
      </c>
      <c r="G76" s="45">
        <v>46166</v>
      </c>
      <c r="H76" s="45">
        <f t="shared" si="0"/>
        <v>46166</v>
      </c>
      <c r="I76" s="28" t="s">
        <v>1184</v>
      </c>
      <c r="J76" s="19"/>
    </row>
    <row r="77" spans="1:10" ht="14.25" customHeight="1">
      <c r="A77" s="12">
        <v>76</v>
      </c>
      <c r="B77" s="13" t="s">
        <v>314</v>
      </c>
      <c r="C77" s="13" t="s">
        <v>317</v>
      </c>
      <c r="D77" s="45">
        <v>46134</v>
      </c>
      <c r="E77" s="45">
        <v>46134</v>
      </c>
      <c r="F77" s="45">
        <v>46167</v>
      </c>
      <c r="G77" s="45">
        <v>46167</v>
      </c>
      <c r="H77" s="45">
        <f t="shared" si="0"/>
        <v>46167</v>
      </c>
      <c r="I77" s="12" t="s">
        <v>314</v>
      </c>
      <c r="J77" s="19"/>
    </row>
    <row r="78" spans="1:10" ht="14.25" customHeight="1">
      <c r="A78" s="12">
        <v>77</v>
      </c>
      <c r="B78" s="13" t="s">
        <v>204</v>
      </c>
      <c r="C78" s="13" t="s">
        <v>205</v>
      </c>
      <c r="D78" s="45">
        <v>46141</v>
      </c>
      <c r="E78" s="45">
        <v>46141</v>
      </c>
      <c r="F78" s="45">
        <v>46165</v>
      </c>
      <c r="G78" s="45">
        <v>46165</v>
      </c>
      <c r="H78" s="45">
        <f t="shared" si="0"/>
        <v>46165</v>
      </c>
      <c r="I78" s="12" t="s">
        <v>204</v>
      </c>
      <c r="J78" s="19"/>
    </row>
    <row r="79" spans="1:10" ht="14.25" customHeight="1">
      <c r="A79" s="12">
        <v>78</v>
      </c>
      <c r="B79" s="13" t="s">
        <v>215</v>
      </c>
      <c r="C79" s="13" t="s">
        <v>218</v>
      </c>
      <c r="D79" s="45">
        <v>46146</v>
      </c>
      <c r="E79" s="45">
        <v>46146</v>
      </c>
      <c r="F79" s="45">
        <v>46166</v>
      </c>
      <c r="G79" s="45">
        <v>46166</v>
      </c>
      <c r="H79" s="45">
        <f t="shared" si="0"/>
        <v>46166</v>
      </c>
      <c r="I79" s="12" t="s">
        <v>215</v>
      </c>
      <c r="J79" s="19"/>
    </row>
    <row r="80" spans="1:10" ht="14.25" customHeight="1">
      <c r="A80" s="12">
        <v>79</v>
      </c>
      <c r="B80" s="13" t="s">
        <v>436</v>
      </c>
      <c r="C80" s="13" t="s">
        <v>437</v>
      </c>
      <c r="D80" s="45">
        <v>46146</v>
      </c>
      <c r="E80" s="45">
        <v>46146</v>
      </c>
      <c r="F80" s="45">
        <v>46166</v>
      </c>
      <c r="G80" s="45">
        <v>46166</v>
      </c>
      <c r="H80" s="45">
        <f t="shared" si="0"/>
        <v>46166</v>
      </c>
      <c r="I80" s="12" t="s">
        <v>336</v>
      </c>
      <c r="J80" s="19"/>
    </row>
    <row r="81" spans="1:10" ht="14.25" customHeight="1">
      <c r="A81" s="12">
        <v>80</v>
      </c>
      <c r="B81" s="13" t="s">
        <v>443</v>
      </c>
      <c r="C81" s="13" t="s">
        <v>445</v>
      </c>
      <c r="D81" s="45">
        <v>46141</v>
      </c>
      <c r="E81" s="45">
        <v>46141</v>
      </c>
      <c r="F81" s="45">
        <v>46165</v>
      </c>
      <c r="G81" s="45">
        <v>46165</v>
      </c>
      <c r="H81" s="45">
        <f t="shared" si="0"/>
        <v>46165</v>
      </c>
      <c r="I81" s="12" t="s">
        <v>336</v>
      </c>
      <c r="J81" s="19"/>
    </row>
    <row r="82" spans="1:10" ht="14.25" customHeight="1">
      <c r="A82" s="12">
        <v>81</v>
      </c>
      <c r="B82" s="13" t="s">
        <v>193</v>
      </c>
      <c r="C82" s="13" t="s">
        <v>194</v>
      </c>
      <c r="D82" s="45">
        <v>46146</v>
      </c>
      <c r="E82" s="45">
        <v>46146</v>
      </c>
      <c r="F82" s="45">
        <v>46188</v>
      </c>
      <c r="G82" s="45">
        <v>46188</v>
      </c>
      <c r="H82" s="45">
        <f t="shared" si="0"/>
        <v>46188</v>
      </c>
      <c r="I82" s="12" t="s">
        <v>193</v>
      </c>
      <c r="J82" s="19"/>
    </row>
    <row r="83" spans="1:10" ht="14.25" customHeight="1">
      <c r="A83" s="12">
        <v>82</v>
      </c>
      <c r="B83" s="13" t="s">
        <v>600</v>
      </c>
      <c r="C83" s="13" t="s">
        <v>602</v>
      </c>
      <c r="D83" s="45">
        <v>46155</v>
      </c>
      <c r="E83" s="45">
        <v>46155</v>
      </c>
      <c r="F83" s="45">
        <v>46191</v>
      </c>
      <c r="G83" s="45">
        <v>46191</v>
      </c>
      <c r="H83" s="45">
        <f t="shared" si="0"/>
        <v>46191</v>
      </c>
      <c r="I83" s="12" t="s">
        <v>600</v>
      </c>
      <c r="J83" s="19"/>
    </row>
    <row r="84" spans="1:10" ht="14.25" customHeight="1">
      <c r="A84" s="12">
        <v>83</v>
      </c>
      <c r="B84" s="13" t="s">
        <v>213</v>
      </c>
      <c r="C84" s="13" t="s">
        <v>214</v>
      </c>
      <c r="D84" s="45">
        <v>46175</v>
      </c>
      <c r="E84" s="45">
        <v>46175</v>
      </c>
      <c r="F84" s="45">
        <v>46202</v>
      </c>
      <c r="G84" s="45">
        <v>46202</v>
      </c>
      <c r="H84" s="45">
        <f t="shared" si="0"/>
        <v>46202</v>
      </c>
      <c r="I84" s="12" t="s">
        <v>213</v>
      </c>
      <c r="J84" s="19"/>
    </row>
    <row r="85" spans="1:10" ht="14.25" customHeight="1">
      <c r="A85" s="12">
        <v>84</v>
      </c>
      <c r="B85" s="13" t="s">
        <v>257</v>
      </c>
      <c r="C85" s="13" t="s">
        <v>258</v>
      </c>
      <c r="D85" s="45">
        <v>46189</v>
      </c>
      <c r="E85" s="45">
        <v>46189</v>
      </c>
      <c r="F85" s="45">
        <v>46219</v>
      </c>
      <c r="G85" s="45">
        <v>46219</v>
      </c>
      <c r="H85" s="45">
        <f t="shared" si="0"/>
        <v>46219</v>
      </c>
      <c r="I85" s="12" t="s">
        <v>257</v>
      </c>
      <c r="J85" s="19"/>
    </row>
    <row r="86" spans="1:10" ht="14.25" customHeight="1">
      <c r="A86" s="12">
        <v>85</v>
      </c>
      <c r="B86" s="13" t="s">
        <v>1294</v>
      </c>
      <c r="C86" s="13" t="s">
        <v>1295</v>
      </c>
      <c r="D86" s="45">
        <v>46197</v>
      </c>
      <c r="E86" s="45">
        <v>46197</v>
      </c>
      <c r="F86" s="45">
        <v>46224</v>
      </c>
      <c r="G86" s="45">
        <v>46224</v>
      </c>
      <c r="H86" s="45">
        <f t="shared" si="0"/>
        <v>46224</v>
      </c>
      <c r="I86" s="28" t="s">
        <v>1184</v>
      </c>
      <c r="J86" s="19"/>
    </row>
    <row r="87" spans="1:10" ht="14.25" customHeight="1">
      <c r="A87" s="12">
        <v>86</v>
      </c>
      <c r="B87" s="13" t="s">
        <v>344</v>
      </c>
      <c r="C87" s="13" t="s">
        <v>345</v>
      </c>
      <c r="D87" s="45">
        <v>46160</v>
      </c>
      <c r="E87" s="45">
        <v>46160</v>
      </c>
      <c r="F87" s="45">
        <v>46239</v>
      </c>
      <c r="G87" s="45">
        <v>46239</v>
      </c>
      <c r="H87" s="45">
        <f t="shared" si="0"/>
        <v>46239</v>
      </c>
      <c r="I87" s="12" t="s">
        <v>344</v>
      </c>
      <c r="J87" s="19"/>
    </row>
    <row r="88" spans="1:10" ht="14.25" customHeight="1">
      <c r="A88" s="12">
        <v>87</v>
      </c>
      <c r="B88" s="13" t="s">
        <v>1299</v>
      </c>
      <c r="C88" s="13" t="s">
        <v>1300</v>
      </c>
      <c r="D88" s="45">
        <v>46224</v>
      </c>
      <c r="E88" s="45">
        <v>46224</v>
      </c>
      <c r="F88" s="45">
        <v>46247</v>
      </c>
      <c r="G88" s="45">
        <v>46247</v>
      </c>
      <c r="H88" s="45">
        <f t="shared" si="0"/>
        <v>46247</v>
      </c>
      <c r="I88" s="28" t="s">
        <v>1184</v>
      </c>
      <c r="J88" s="19"/>
    </row>
    <row r="89" spans="1:10" ht="14.25" customHeight="1"/>
    <row r="90" spans="1:10" ht="51.75" customHeight="1">
      <c r="A90" s="76" t="s">
        <v>1303</v>
      </c>
      <c r="B90" s="77"/>
      <c r="C90" s="77"/>
      <c r="D90" s="77"/>
      <c r="E90" s="77"/>
      <c r="F90" s="77"/>
      <c r="G90" s="77"/>
      <c r="H90" s="77"/>
      <c r="I90" s="77"/>
      <c r="J90" s="78"/>
    </row>
    <row r="91" spans="1:10" ht="14.25" customHeight="1"/>
    <row r="92" spans="1:10" ht="14.25" customHeight="1"/>
    <row r="93" spans="1:10" ht="14.25" customHeight="1"/>
    <row r="94" spans="1:10" ht="14.25" customHeight="1"/>
    <row r="95" spans="1:10" ht="14.25" customHeight="1"/>
    <row r="96" spans="1:10"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J88" xr:uid="{00000000-0009-0000-0000-00000A000000}"/>
  <mergeCells count="1">
    <mergeCell ref="A90:J90"/>
  </mergeCells>
  <pageMargins left="0.75" right="0.75" top="1" bottom="1" header="0" footer="0"/>
  <pageSetup paperSize="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000"/>
  <sheetViews>
    <sheetView showGridLines="0" topLeftCell="A16" workbookViewId="0">
      <selection activeCell="B3" sqref="B3"/>
    </sheetView>
  </sheetViews>
  <sheetFormatPr defaultColWidth="14.44140625" defaultRowHeight="15" customHeight="1"/>
  <cols>
    <col min="1" max="1" width="22" customWidth="1"/>
    <col min="2" max="2" width="118" customWidth="1"/>
    <col min="3" max="26" width="8.6640625" customWidth="1"/>
  </cols>
  <sheetData>
    <row r="1" spans="1:2" ht="14.25" customHeight="1">
      <c r="A1" s="1" t="s">
        <v>0</v>
      </c>
    </row>
    <row r="2" spans="1:2" ht="39" customHeight="1">
      <c r="A2" s="2" t="s">
        <v>1</v>
      </c>
      <c r="B2" s="3" t="s">
        <v>4</v>
      </c>
    </row>
    <row r="3" spans="1:2" ht="14.25" customHeight="1"/>
    <row r="4" spans="1:2" ht="14.25" customHeight="1">
      <c r="A4" s="6" t="s">
        <v>5</v>
      </c>
    </row>
    <row r="5" spans="1:2" ht="12.75" customHeight="1">
      <c r="A5" s="2" t="s">
        <v>11</v>
      </c>
      <c r="B5" s="3" t="s">
        <v>14</v>
      </c>
    </row>
    <row r="6" spans="1:2" ht="25.5" customHeight="1">
      <c r="A6" s="2" t="s">
        <v>15</v>
      </c>
      <c r="B6" s="3" t="s">
        <v>16</v>
      </c>
    </row>
    <row r="7" spans="1:2" ht="25.5" customHeight="1">
      <c r="A7" s="2" t="s">
        <v>18</v>
      </c>
      <c r="B7" s="3" t="s">
        <v>19</v>
      </c>
    </row>
    <row r="8" spans="1:2" ht="25.5" customHeight="1">
      <c r="A8" s="2" t="s">
        <v>21</v>
      </c>
      <c r="B8" s="3" t="s">
        <v>23</v>
      </c>
    </row>
    <row r="9" spans="1:2" ht="39" customHeight="1">
      <c r="A9" s="2" t="s">
        <v>24</v>
      </c>
      <c r="B9" s="3" t="s">
        <v>26</v>
      </c>
    </row>
    <row r="10" spans="1:2" ht="12.75" customHeight="1">
      <c r="A10" s="2" t="s">
        <v>28</v>
      </c>
      <c r="B10" s="3" t="s">
        <v>29</v>
      </c>
    </row>
    <row r="11" spans="1:2" ht="12.75" customHeight="1">
      <c r="A11" s="2" t="s">
        <v>31</v>
      </c>
      <c r="B11" s="3" t="s">
        <v>33</v>
      </c>
    </row>
    <row r="12" spans="1:2" ht="25.5" customHeight="1">
      <c r="A12" s="2" t="s">
        <v>35</v>
      </c>
      <c r="B12" s="3" t="s">
        <v>36</v>
      </c>
    </row>
    <row r="13" spans="1:2" ht="12.75" customHeight="1">
      <c r="A13" s="7" t="s">
        <v>39</v>
      </c>
      <c r="B13" s="3" t="s">
        <v>42</v>
      </c>
    </row>
    <row r="14" spans="1:2" ht="25.5" customHeight="1">
      <c r="A14" s="8" t="s">
        <v>46</v>
      </c>
      <c r="B14" s="3" t="s">
        <v>48</v>
      </c>
    </row>
    <row r="15" spans="1:2" ht="12.75" customHeight="1">
      <c r="A15" s="9" t="s">
        <v>52</v>
      </c>
      <c r="B15" s="3" t="s">
        <v>54</v>
      </c>
    </row>
    <row r="16" spans="1:2" ht="12.75" customHeight="1">
      <c r="A16" s="10" t="s">
        <v>56</v>
      </c>
      <c r="B16" s="3" t="s">
        <v>59</v>
      </c>
    </row>
    <row r="17" spans="1:2" ht="25.5" customHeight="1">
      <c r="A17" s="11" t="s">
        <v>62</v>
      </c>
      <c r="B17" s="3" t="s">
        <v>65</v>
      </c>
    </row>
    <row r="18" spans="1:2" ht="12.75" customHeight="1">
      <c r="A18" s="2" t="s">
        <v>66</v>
      </c>
      <c r="B18" s="3" t="s">
        <v>68</v>
      </c>
    </row>
    <row r="19" spans="1:2" ht="12.75" customHeight="1">
      <c r="A19" s="2" t="s">
        <v>69</v>
      </c>
      <c r="B19" s="3" t="s">
        <v>70</v>
      </c>
    </row>
    <row r="20" spans="1:2" ht="14.25" customHeight="1">
      <c r="A20" s="15"/>
      <c r="B20" s="17"/>
    </row>
    <row r="21" spans="1:2" ht="14.25" customHeight="1">
      <c r="A21" s="6" t="s">
        <v>80</v>
      </c>
      <c r="B21" s="17"/>
    </row>
    <row r="22" spans="1:2" ht="12.75" customHeight="1">
      <c r="A22" s="2" t="s">
        <v>81</v>
      </c>
      <c r="B22" s="3" t="s">
        <v>83</v>
      </c>
    </row>
    <row r="23" spans="1:2" ht="25.5" customHeight="1">
      <c r="A23" s="2" t="s">
        <v>84</v>
      </c>
      <c r="B23" s="3" t="s">
        <v>85</v>
      </c>
    </row>
    <row r="24" spans="1:2" ht="12.75" customHeight="1">
      <c r="A24" s="2" t="s">
        <v>87</v>
      </c>
      <c r="B24" s="3" t="s">
        <v>88</v>
      </c>
    </row>
    <row r="25" spans="1:2" ht="25.5" customHeight="1">
      <c r="A25" s="2" t="s">
        <v>89</v>
      </c>
      <c r="B25" s="3" t="s">
        <v>90</v>
      </c>
    </row>
    <row r="26" spans="1:2" ht="12.75" customHeight="1">
      <c r="A26" s="2" t="s">
        <v>91</v>
      </c>
      <c r="B26" s="3" t="s">
        <v>92</v>
      </c>
    </row>
    <row r="27" spans="1:2" ht="25.5" customHeight="1">
      <c r="A27" s="2" t="s">
        <v>93</v>
      </c>
      <c r="B27" s="3" t="s">
        <v>94</v>
      </c>
    </row>
    <row r="28" spans="1:2" ht="25.5" customHeight="1">
      <c r="A28" s="2" t="s">
        <v>95</v>
      </c>
      <c r="B28" s="3" t="s">
        <v>96</v>
      </c>
    </row>
    <row r="29" spans="1:2" ht="12.75" customHeight="1">
      <c r="A29" s="2" t="s">
        <v>97</v>
      </c>
      <c r="B29" s="3" t="s">
        <v>98</v>
      </c>
    </row>
    <row r="30" spans="1:2" ht="14.25" customHeight="1"/>
    <row r="31" spans="1:2" ht="14.25" customHeight="1">
      <c r="A31" s="6" t="s">
        <v>99</v>
      </c>
    </row>
    <row r="32" spans="1:2" ht="25.5" customHeight="1">
      <c r="A32" s="2" t="s">
        <v>100</v>
      </c>
      <c r="B32" s="3" t="s">
        <v>101</v>
      </c>
    </row>
    <row r="33" spans="1:2" ht="25.5" customHeight="1">
      <c r="A33" s="2" t="s">
        <v>102</v>
      </c>
      <c r="B33" s="3" t="s">
        <v>104</v>
      </c>
    </row>
    <row r="34" spans="1:2" ht="12.75" customHeight="1">
      <c r="A34" s="2" t="s">
        <v>106</v>
      </c>
      <c r="B34" s="3" t="s">
        <v>107</v>
      </c>
    </row>
    <row r="35" spans="1:2" ht="25.5" customHeight="1">
      <c r="A35" s="2" t="s">
        <v>108</v>
      </c>
      <c r="B35" s="3" t="s">
        <v>110</v>
      </c>
    </row>
    <row r="36" spans="1:2" ht="12.75" customHeight="1">
      <c r="A36" s="2" t="s">
        <v>111</v>
      </c>
      <c r="B36" s="3" t="s">
        <v>113</v>
      </c>
    </row>
    <row r="37" spans="1:2" ht="25.5" customHeight="1">
      <c r="A37" s="2" t="s">
        <v>114</v>
      </c>
      <c r="B37" s="3" t="s">
        <v>115</v>
      </c>
    </row>
    <row r="38" spans="1:2" ht="12.75" customHeight="1">
      <c r="A38" s="2" t="s">
        <v>117</v>
      </c>
      <c r="B38" s="3" t="s">
        <v>118</v>
      </c>
    </row>
    <row r="39" spans="1:2" ht="25.5" customHeight="1">
      <c r="A39" s="2" t="s">
        <v>119</v>
      </c>
      <c r="B39" s="3" t="s">
        <v>120</v>
      </c>
    </row>
    <row r="40" spans="1:2" ht="14.25" customHeight="1"/>
    <row r="41" spans="1:2" ht="14.25" customHeight="1">
      <c r="A41" s="6" t="s">
        <v>121</v>
      </c>
    </row>
    <row r="42" spans="1:2" ht="39" customHeight="1">
      <c r="A42" s="2" t="s">
        <v>122</v>
      </c>
      <c r="B42" s="3" t="s">
        <v>123</v>
      </c>
    </row>
    <row r="43" spans="1:2" ht="12.75" customHeight="1">
      <c r="A43" s="2" t="s">
        <v>124</v>
      </c>
      <c r="B43" s="3" t="s">
        <v>126</v>
      </c>
    </row>
    <row r="44" spans="1:2" ht="12.75" customHeight="1">
      <c r="A44" s="2" t="s">
        <v>128</v>
      </c>
      <c r="B44" s="3" t="s">
        <v>130</v>
      </c>
    </row>
    <row r="45" spans="1:2" ht="51.75" customHeight="1">
      <c r="A45" s="2" t="s">
        <v>131</v>
      </c>
      <c r="B45" s="3" t="s">
        <v>132</v>
      </c>
    </row>
    <row r="46" spans="1:2" ht="51.75" customHeight="1">
      <c r="A46" s="2" t="s">
        <v>134</v>
      </c>
      <c r="B46" s="3" t="s">
        <v>135</v>
      </c>
    </row>
    <row r="47" spans="1:2" ht="25.5" customHeight="1">
      <c r="A47" s="2" t="s">
        <v>136</v>
      </c>
      <c r="B47" s="3" t="s">
        <v>138</v>
      </c>
    </row>
    <row r="48" spans="1:2" ht="14.25" customHeight="1"/>
    <row r="49" spans="1:2" ht="14.25" customHeight="1">
      <c r="A49" s="6" t="s">
        <v>139</v>
      </c>
    </row>
    <row r="50" spans="1:2" ht="25.5" customHeight="1">
      <c r="A50" s="2" t="s">
        <v>140</v>
      </c>
      <c r="B50" s="3" t="s">
        <v>141</v>
      </c>
    </row>
    <row r="51" spans="1:2" ht="25.5" customHeight="1">
      <c r="A51" s="2" t="s">
        <v>142</v>
      </c>
      <c r="B51" s="3" t="s">
        <v>143</v>
      </c>
    </row>
    <row r="52" spans="1:2" ht="25.5" customHeight="1">
      <c r="A52" s="2" t="s">
        <v>144</v>
      </c>
      <c r="B52" s="3" t="s">
        <v>145</v>
      </c>
    </row>
    <row r="53" spans="1:2" ht="25.5" customHeight="1">
      <c r="A53" s="2" t="s">
        <v>146</v>
      </c>
      <c r="B53" s="3" t="s">
        <v>148</v>
      </c>
    </row>
    <row r="54" spans="1:2" ht="14.25" customHeight="1"/>
    <row r="55" spans="1:2" ht="14.25" customHeight="1"/>
    <row r="56" spans="1:2" ht="14.25" customHeight="1"/>
    <row r="57" spans="1:2" ht="14.25" customHeight="1"/>
    <row r="58" spans="1:2" ht="14.25" customHeight="1"/>
    <row r="59" spans="1:2" ht="14.25" customHeight="1"/>
    <row r="60" spans="1:2" ht="14.25" customHeight="1"/>
    <row r="61" spans="1:2" ht="14.25" customHeight="1"/>
    <row r="62" spans="1:2" ht="14.25" customHeight="1"/>
    <row r="63" spans="1:2" ht="14.25" customHeight="1"/>
    <row r="64" spans="1:2"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paperSize="8"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D1000"/>
  <sheetViews>
    <sheetView showGridLines="0" workbookViewId="0">
      <pane ySplit="1" topLeftCell="A2" activePane="bottomLeft" state="frozen"/>
      <selection activeCell="B3" sqref="B3"/>
      <selection pane="bottomLeft" activeCell="B3" sqref="B3"/>
    </sheetView>
  </sheetViews>
  <sheetFormatPr defaultColWidth="14.44140625" defaultRowHeight="15" customHeight="1"/>
  <cols>
    <col min="1" max="1" width="36" customWidth="1"/>
    <col min="2" max="2" width="16" customWidth="1"/>
    <col min="3" max="3" width="42" customWidth="1"/>
    <col min="4" max="4" width="18" customWidth="1"/>
    <col min="5" max="6" width="8.6640625" customWidth="1"/>
  </cols>
  <sheetData>
    <row r="1" spans="1:4" ht="36" customHeight="1">
      <c r="A1" s="156" t="s">
        <v>2275</v>
      </c>
      <c r="B1" s="157"/>
      <c r="C1" s="157"/>
      <c r="D1" s="158"/>
    </row>
    <row r="2" spans="1:4" ht="24" customHeight="1">
      <c r="A2" s="159" t="s">
        <v>2277</v>
      </c>
      <c r="B2" s="160"/>
      <c r="C2" s="160"/>
      <c r="D2" s="161"/>
    </row>
    <row r="3" spans="1:4" ht="21.75" customHeight="1">
      <c r="A3" s="64" t="s">
        <v>2278</v>
      </c>
      <c r="B3" s="65">
        <v>80</v>
      </c>
      <c r="C3" s="66"/>
    </row>
    <row r="4" spans="1:4" ht="21.75" customHeight="1">
      <c r="A4" s="64" t="s">
        <v>2280</v>
      </c>
      <c r="B4" s="65">
        <v>283</v>
      </c>
      <c r="C4" s="66" t="s">
        <v>2281</v>
      </c>
    </row>
    <row r="5" spans="1:4" ht="21.75" customHeight="1">
      <c r="A5" s="67" t="s">
        <v>2282</v>
      </c>
      <c r="B5" s="68">
        <v>46</v>
      </c>
      <c r="C5" s="69" t="s">
        <v>2284</v>
      </c>
    </row>
    <row r="6" spans="1:4" ht="21.75" customHeight="1">
      <c r="A6" s="70" t="s">
        <v>2285</v>
      </c>
      <c r="B6" s="71">
        <v>14</v>
      </c>
      <c r="C6" s="72" t="s">
        <v>2286</v>
      </c>
    </row>
    <row r="7" spans="1:4" ht="21.75" customHeight="1">
      <c r="A7" s="73" t="s">
        <v>2287</v>
      </c>
      <c r="B7" s="74">
        <v>20</v>
      </c>
      <c r="C7" s="75" t="s">
        <v>2288</v>
      </c>
    </row>
    <row r="8" spans="1:4" ht="7.5" customHeight="1"/>
    <row r="9" spans="1:4" ht="24" customHeight="1">
      <c r="A9" s="159" t="s">
        <v>2289</v>
      </c>
      <c r="B9" s="160"/>
      <c r="C9" s="160"/>
      <c r="D9" s="161"/>
    </row>
    <row r="10" spans="1:4" ht="21.75" customHeight="1">
      <c r="A10" s="73" t="s">
        <v>2291</v>
      </c>
      <c r="B10" s="74">
        <v>0</v>
      </c>
      <c r="C10" s="75" t="s">
        <v>2292</v>
      </c>
    </row>
    <row r="11" spans="1:4" ht="21.75" customHeight="1">
      <c r="A11" s="70" t="s">
        <v>2293</v>
      </c>
      <c r="B11" s="71">
        <v>0</v>
      </c>
      <c r="C11" s="72" t="s">
        <v>2292</v>
      </c>
    </row>
    <row r="12" spans="1:4" ht="21.75" customHeight="1">
      <c r="A12" s="67" t="s">
        <v>2294</v>
      </c>
      <c r="B12" s="68">
        <v>4</v>
      </c>
      <c r="C12" s="69" t="s">
        <v>2295</v>
      </c>
    </row>
    <row r="13" spans="1:4" ht="21.75" customHeight="1">
      <c r="A13" s="67" t="s">
        <v>2296</v>
      </c>
      <c r="B13" s="68">
        <v>4</v>
      </c>
      <c r="C13" s="69" t="s">
        <v>2295</v>
      </c>
    </row>
    <row r="14" spans="1:4" ht="21.75" customHeight="1">
      <c r="A14" s="67" t="s">
        <v>2297</v>
      </c>
      <c r="B14" s="68">
        <v>4</v>
      </c>
      <c r="C14" s="69" t="s">
        <v>2295</v>
      </c>
    </row>
    <row r="15" spans="1:4" ht="21.75" customHeight="1">
      <c r="A15" s="67" t="s">
        <v>2298</v>
      </c>
      <c r="B15" s="68">
        <v>10</v>
      </c>
      <c r="C15" s="69" t="s">
        <v>2299</v>
      </c>
    </row>
    <row r="16" spans="1:4" ht="21.75" customHeight="1">
      <c r="A16" s="73" t="s">
        <v>2300</v>
      </c>
      <c r="B16" s="74">
        <v>0</v>
      </c>
      <c r="C16" s="75" t="s">
        <v>2292</v>
      </c>
    </row>
    <row r="17" spans="1:3" ht="21.75" customHeight="1">
      <c r="A17" s="67" t="s">
        <v>2301</v>
      </c>
      <c r="B17" s="68">
        <v>11</v>
      </c>
      <c r="C17" s="69" t="s">
        <v>2302</v>
      </c>
    </row>
    <row r="18" spans="1:3" ht="21.75" customHeight="1">
      <c r="A18" s="70" t="s">
        <v>2303</v>
      </c>
      <c r="B18" s="71">
        <v>18</v>
      </c>
      <c r="C18" s="72" t="s">
        <v>2304</v>
      </c>
    </row>
    <row r="19" spans="1:3" ht="21.75" customHeight="1">
      <c r="A19" s="70" t="s">
        <v>2305</v>
      </c>
      <c r="B19" s="71">
        <v>21</v>
      </c>
      <c r="C19" s="72" t="s">
        <v>2306</v>
      </c>
    </row>
    <row r="20" spans="1:3" ht="21.75" customHeight="1">
      <c r="A20" s="70" t="s">
        <v>2307</v>
      </c>
      <c r="B20" s="71">
        <v>28</v>
      </c>
      <c r="C20" s="72" t="s">
        <v>2308</v>
      </c>
    </row>
    <row r="21" spans="1:3" ht="21.75" customHeight="1">
      <c r="A21" s="70" t="s">
        <v>2309</v>
      </c>
      <c r="B21" s="71">
        <v>28</v>
      </c>
      <c r="C21" s="72" t="s">
        <v>2308</v>
      </c>
    </row>
    <row r="22" spans="1:3" ht="15.75" customHeight="1"/>
    <row r="23" spans="1:3" ht="15.75" customHeight="1"/>
    <row r="24" spans="1:3" ht="15.75" customHeight="1"/>
    <row r="25" spans="1:3" ht="15.75" customHeight="1"/>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2:D2"/>
    <mergeCell ref="A9:D9"/>
  </mergeCells>
  <pageMargins left="0.75" right="0.75" top="1" bottom="1" header="0" footer="0"/>
  <pageSetup paperSize="8"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T233"/>
  <sheetViews>
    <sheetView workbookViewId="0">
      <pane ySplit="1" topLeftCell="A2" activePane="bottomLeft" state="frozen"/>
      <selection activeCell="B3" sqref="B3"/>
      <selection pane="bottomLeft" activeCell="B3" sqref="B3"/>
    </sheetView>
  </sheetViews>
  <sheetFormatPr defaultColWidth="14.44140625" defaultRowHeight="14.4"/>
  <cols>
    <col min="1" max="1" width="5" customWidth="1"/>
    <col min="2" max="2" width="52" customWidth="1"/>
    <col min="3" max="3" width="8" customWidth="1"/>
    <col min="4" max="4" width="20" customWidth="1"/>
    <col min="5" max="6" width="11" customWidth="1"/>
    <col min="7" max="7" width="16" customWidth="1"/>
    <col min="8" max="8" width="15" customWidth="1"/>
    <col min="9" max="9" width="11" customWidth="1"/>
    <col min="10" max="11" width="22" customWidth="1"/>
    <col min="12" max="12" width="7" customWidth="1"/>
    <col min="13" max="13" width="22" customWidth="1"/>
    <col min="14" max="14" width="14" customWidth="1"/>
    <col min="15" max="15" width="26" customWidth="1"/>
    <col min="16" max="17" width="30" customWidth="1"/>
    <col min="18" max="18" width="9" customWidth="1"/>
    <col min="19" max="19" width="20" customWidth="1"/>
    <col min="20" max="20" width="80" customWidth="1"/>
  </cols>
  <sheetData>
    <row r="1" spans="1:20" ht="24">
      <c r="A1" s="4" t="s">
        <v>1351</v>
      </c>
      <c r="B1" s="4" t="s">
        <v>2475</v>
      </c>
      <c r="C1" s="4" t="s">
        <v>666</v>
      </c>
      <c r="D1" s="4" t="s">
        <v>2476</v>
      </c>
      <c r="E1" s="4" t="s">
        <v>2477</v>
      </c>
      <c r="F1" s="4" t="s">
        <v>2478</v>
      </c>
      <c r="G1" s="4" t="s">
        <v>2479</v>
      </c>
      <c r="H1" s="4" t="s">
        <v>2480</v>
      </c>
      <c r="I1" s="4" t="s">
        <v>2481</v>
      </c>
      <c r="J1" s="4" t="s">
        <v>2482</v>
      </c>
      <c r="K1" s="4" t="s">
        <v>2483</v>
      </c>
      <c r="L1" s="4" t="s">
        <v>2484</v>
      </c>
      <c r="M1" s="4" t="s">
        <v>2485</v>
      </c>
      <c r="N1" s="4" t="s">
        <v>2486</v>
      </c>
      <c r="O1" s="4" t="s">
        <v>2487</v>
      </c>
      <c r="P1" s="4" t="s">
        <v>2488</v>
      </c>
      <c r="Q1" s="4" t="s">
        <v>2489</v>
      </c>
      <c r="R1" s="4" t="s">
        <v>2490</v>
      </c>
      <c r="S1" s="4" t="s">
        <v>2491</v>
      </c>
      <c r="T1" s="4" t="s">
        <v>2492</v>
      </c>
    </row>
    <row r="2" spans="1:20">
      <c r="A2" s="14" t="s">
        <v>2160</v>
      </c>
      <c r="B2" s="14" t="s">
        <v>2493</v>
      </c>
      <c r="C2" s="14" t="s">
        <v>690</v>
      </c>
      <c r="D2" s="14" t="s">
        <v>2494</v>
      </c>
      <c r="E2" s="14" t="s">
        <v>2495</v>
      </c>
      <c r="F2" s="14" t="s">
        <v>2496</v>
      </c>
      <c r="G2" s="14" t="s">
        <v>265</v>
      </c>
      <c r="H2" s="14" t="s">
        <v>265</v>
      </c>
      <c r="I2" s="14"/>
      <c r="J2" s="14" t="s">
        <v>234</v>
      </c>
      <c r="K2" s="14" t="s">
        <v>234</v>
      </c>
      <c r="L2" s="14" t="s">
        <v>2160</v>
      </c>
      <c r="M2" s="14" t="s">
        <v>2497</v>
      </c>
      <c r="N2" s="14" t="s">
        <v>2498</v>
      </c>
      <c r="O2" s="14"/>
      <c r="P2" s="14" t="s">
        <v>2499</v>
      </c>
      <c r="Q2" s="14"/>
      <c r="R2" s="14" t="s">
        <v>1383</v>
      </c>
      <c r="S2" s="14" t="s">
        <v>2500</v>
      </c>
      <c r="T2" s="14" t="s">
        <v>2501</v>
      </c>
    </row>
    <row r="3" spans="1:20">
      <c r="A3" s="14" t="s">
        <v>1666</v>
      </c>
      <c r="B3" s="14" t="s">
        <v>2502</v>
      </c>
      <c r="C3" s="14" t="s">
        <v>690</v>
      </c>
      <c r="D3" s="14" t="s">
        <v>105</v>
      </c>
      <c r="E3" s="14" t="s">
        <v>2503</v>
      </c>
      <c r="F3" s="14" t="s">
        <v>2504</v>
      </c>
      <c r="G3" s="14" t="s">
        <v>71</v>
      </c>
      <c r="H3" s="14" t="s">
        <v>71</v>
      </c>
      <c r="I3" s="14"/>
      <c r="J3" s="14" t="s">
        <v>73</v>
      </c>
      <c r="K3" s="14" t="s">
        <v>73</v>
      </c>
      <c r="L3" s="14" t="s">
        <v>2160</v>
      </c>
      <c r="M3" s="14" t="s">
        <v>2497</v>
      </c>
      <c r="N3" s="14" t="s">
        <v>2505</v>
      </c>
      <c r="O3" s="14"/>
      <c r="P3" s="14" t="s">
        <v>2499</v>
      </c>
      <c r="Q3" s="14"/>
      <c r="R3" s="14" t="s">
        <v>1383</v>
      </c>
      <c r="S3" s="14" t="s">
        <v>2506</v>
      </c>
      <c r="T3" s="14" t="s">
        <v>2507</v>
      </c>
    </row>
    <row r="4" spans="1:20">
      <c r="A4" s="14" t="s">
        <v>2172</v>
      </c>
      <c r="B4" s="14" t="s">
        <v>2508</v>
      </c>
      <c r="C4" s="14" t="s">
        <v>690</v>
      </c>
      <c r="D4" s="14" t="s">
        <v>150</v>
      </c>
      <c r="E4" s="14" t="s">
        <v>2503</v>
      </c>
      <c r="F4" s="14" t="s">
        <v>2504</v>
      </c>
      <c r="G4" s="14" t="s">
        <v>125</v>
      </c>
      <c r="H4" s="14" t="s">
        <v>125</v>
      </c>
      <c r="I4" s="14"/>
      <c r="J4" s="14" t="s">
        <v>129</v>
      </c>
      <c r="K4" s="14" t="s">
        <v>129</v>
      </c>
      <c r="L4" s="14" t="s">
        <v>2160</v>
      </c>
      <c r="M4" s="14" t="s">
        <v>2497</v>
      </c>
      <c r="N4" s="14" t="s">
        <v>2509</v>
      </c>
      <c r="O4" s="14"/>
      <c r="P4" s="14" t="s">
        <v>2499</v>
      </c>
      <c r="Q4" s="14"/>
      <c r="R4" s="14" t="s">
        <v>1383</v>
      </c>
      <c r="S4" s="14" t="s">
        <v>2510</v>
      </c>
      <c r="T4" s="14" t="s">
        <v>2507</v>
      </c>
    </row>
    <row r="5" spans="1:20">
      <c r="A5" s="14" t="s">
        <v>2178</v>
      </c>
      <c r="B5" s="14" t="s">
        <v>2511</v>
      </c>
      <c r="C5" s="14" t="s">
        <v>690</v>
      </c>
      <c r="D5" s="14" t="s">
        <v>511</v>
      </c>
      <c r="E5" s="14" t="s">
        <v>2503</v>
      </c>
      <c r="F5" s="14" t="s">
        <v>2504</v>
      </c>
      <c r="G5" s="14" t="s">
        <v>173</v>
      </c>
      <c r="H5" s="14" t="s">
        <v>173</v>
      </c>
      <c r="I5" s="14"/>
      <c r="J5" s="14" t="s">
        <v>1088</v>
      </c>
      <c r="K5" s="14" t="s">
        <v>75</v>
      </c>
      <c r="L5" s="14" t="s">
        <v>2160</v>
      </c>
      <c r="M5" s="14" t="s">
        <v>2497</v>
      </c>
      <c r="N5" s="14" t="s">
        <v>2512</v>
      </c>
      <c r="O5" s="14"/>
      <c r="P5" s="14" t="s">
        <v>2499</v>
      </c>
      <c r="Q5" s="14"/>
      <c r="R5" s="14" t="s">
        <v>1383</v>
      </c>
      <c r="S5" s="14" t="s">
        <v>2513</v>
      </c>
      <c r="T5" s="14" t="s">
        <v>2514</v>
      </c>
    </row>
    <row r="6" spans="1:20">
      <c r="A6" s="14" t="s">
        <v>2184</v>
      </c>
      <c r="B6" s="14" t="s">
        <v>2515</v>
      </c>
      <c r="C6" s="14" t="s">
        <v>690</v>
      </c>
      <c r="D6" s="14" t="s">
        <v>1043</v>
      </c>
      <c r="E6" s="14" t="s">
        <v>2516</v>
      </c>
      <c r="F6" s="14" t="s">
        <v>2517</v>
      </c>
      <c r="G6" s="14" t="s">
        <v>2518</v>
      </c>
      <c r="H6" s="14" t="s">
        <v>2518</v>
      </c>
      <c r="I6" s="14"/>
      <c r="J6" s="14" t="s">
        <v>103</v>
      </c>
      <c r="K6" s="14" t="s">
        <v>103</v>
      </c>
      <c r="L6" s="14" t="s">
        <v>2160</v>
      </c>
      <c r="M6" s="14" t="s">
        <v>2497</v>
      </c>
      <c r="N6" s="14" t="s">
        <v>2519</v>
      </c>
      <c r="O6" s="14"/>
      <c r="P6" s="14" t="s">
        <v>2499</v>
      </c>
      <c r="Q6" s="14"/>
      <c r="R6" s="14" t="s">
        <v>1383</v>
      </c>
      <c r="S6" s="14" t="s">
        <v>2520</v>
      </c>
      <c r="T6" s="14" t="s">
        <v>2521</v>
      </c>
    </row>
    <row r="7" spans="1:20">
      <c r="A7" s="14" t="s">
        <v>2189</v>
      </c>
      <c r="B7" s="14" t="s">
        <v>2522</v>
      </c>
      <c r="C7" s="14" t="s">
        <v>690</v>
      </c>
      <c r="D7" s="14" t="s">
        <v>549</v>
      </c>
      <c r="E7" s="14" t="s">
        <v>2523</v>
      </c>
      <c r="F7" s="14" t="s">
        <v>2524</v>
      </c>
      <c r="G7" s="14" t="s">
        <v>313</v>
      </c>
      <c r="H7" s="14" t="s">
        <v>313</v>
      </c>
      <c r="I7" s="14" t="s">
        <v>312</v>
      </c>
      <c r="J7" s="14" t="s">
        <v>234</v>
      </c>
      <c r="K7" s="14" t="s">
        <v>234</v>
      </c>
      <c r="L7" s="14" t="s">
        <v>2160</v>
      </c>
      <c r="M7" s="14" t="s">
        <v>2497</v>
      </c>
      <c r="N7" s="14" t="s">
        <v>2194</v>
      </c>
      <c r="O7" s="14"/>
      <c r="P7" s="14" t="s">
        <v>2499</v>
      </c>
      <c r="Q7" s="14"/>
      <c r="R7" s="14" t="s">
        <v>1383</v>
      </c>
      <c r="S7" s="14" t="s">
        <v>2525</v>
      </c>
      <c r="T7" s="14" t="s">
        <v>2526</v>
      </c>
    </row>
    <row r="8" spans="1:20">
      <c r="A8" s="14" t="s">
        <v>2194</v>
      </c>
      <c r="B8" s="14" t="s">
        <v>2527</v>
      </c>
      <c r="C8" s="14" t="s">
        <v>690</v>
      </c>
      <c r="D8" s="14" t="s">
        <v>1001</v>
      </c>
      <c r="E8" s="14" t="s">
        <v>981</v>
      </c>
      <c r="F8" s="14" t="s">
        <v>2528</v>
      </c>
      <c r="G8" s="14" t="s">
        <v>247</v>
      </c>
      <c r="H8" s="14" t="s">
        <v>247</v>
      </c>
      <c r="I8" s="14" t="s">
        <v>250</v>
      </c>
      <c r="J8" s="14" t="s">
        <v>2529</v>
      </c>
      <c r="K8" s="14" t="s">
        <v>178</v>
      </c>
      <c r="L8" s="14" t="s">
        <v>2160</v>
      </c>
      <c r="M8" s="14" t="s">
        <v>2497</v>
      </c>
      <c r="N8" s="14" t="s">
        <v>2160</v>
      </c>
      <c r="O8" s="14"/>
      <c r="P8" s="14" t="s">
        <v>2499</v>
      </c>
      <c r="Q8" s="14"/>
      <c r="R8" s="14" t="s">
        <v>1383</v>
      </c>
      <c r="S8" s="14" t="s">
        <v>2530</v>
      </c>
      <c r="T8" s="14" t="s">
        <v>2531</v>
      </c>
    </row>
    <row r="9" spans="1:20">
      <c r="A9" s="14" t="s">
        <v>2200</v>
      </c>
      <c r="B9" s="14" t="s">
        <v>2532</v>
      </c>
      <c r="C9" s="14" t="s">
        <v>690</v>
      </c>
      <c r="D9" s="14" t="s">
        <v>475</v>
      </c>
      <c r="E9" s="14" t="s">
        <v>1358</v>
      </c>
      <c r="F9" s="14" t="s">
        <v>1340</v>
      </c>
      <c r="G9" s="14" t="s">
        <v>471</v>
      </c>
      <c r="H9" s="14" t="s">
        <v>471</v>
      </c>
      <c r="I9" s="14" t="s">
        <v>474</v>
      </c>
      <c r="J9" s="14" t="s">
        <v>158</v>
      </c>
      <c r="K9" s="14" t="s">
        <v>307</v>
      </c>
      <c r="L9" s="14" t="s">
        <v>2160</v>
      </c>
      <c r="M9" s="14" t="s">
        <v>2533</v>
      </c>
      <c r="N9" s="14" t="s">
        <v>2534</v>
      </c>
      <c r="O9" s="14"/>
      <c r="P9" s="14" t="s">
        <v>2535</v>
      </c>
      <c r="Q9" s="14"/>
      <c r="R9" s="14" t="s">
        <v>1383</v>
      </c>
      <c r="S9" s="14" t="s">
        <v>2536</v>
      </c>
      <c r="T9" s="14" t="s">
        <v>2537</v>
      </c>
    </row>
    <row r="10" spans="1:20">
      <c r="A10" s="14" t="s">
        <v>2538</v>
      </c>
      <c r="B10" s="14" t="s">
        <v>2539</v>
      </c>
      <c r="C10" s="14" t="s">
        <v>690</v>
      </c>
      <c r="D10" s="14" t="s">
        <v>715</v>
      </c>
      <c r="E10" s="14" t="s">
        <v>1358</v>
      </c>
      <c r="F10" s="14" t="s">
        <v>1340</v>
      </c>
      <c r="G10" s="14" t="s">
        <v>379</v>
      </c>
      <c r="H10" s="14" t="s">
        <v>379</v>
      </c>
      <c r="I10" s="14" t="s">
        <v>380</v>
      </c>
      <c r="J10" s="14" t="s">
        <v>103</v>
      </c>
      <c r="K10" s="14" t="s">
        <v>103</v>
      </c>
      <c r="L10" s="14" t="s">
        <v>2160</v>
      </c>
      <c r="M10" s="14" t="s">
        <v>2533</v>
      </c>
      <c r="N10" s="14" t="s">
        <v>585</v>
      </c>
      <c r="O10" s="14"/>
      <c r="P10" s="14" t="s">
        <v>2535</v>
      </c>
      <c r="Q10" s="14"/>
      <c r="R10" s="14" t="s">
        <v>1383</v>
      </c>
      <c r="S10" s="14" t="s">
        <v>2540</v>
      </c>
      <c r="T10" s="14" t="s">
        <v>2541</v>
      </c>
    </row>
    <row r="11" spans="1:20">
      <c r="A11" s="14" t="s">
        <v>585</v>
      </c>
      <c r="B11" s="14" t="s">
        <v>2542</v>
      </c>
      <c r="C11" s="14" t="s">
        <v>690</v>
      </c>
      <c r="D11" s="14" t="s">
        <v>551</v>
      </c>
      <c r="E11" s="14" t="s">
        <v>1143</v>
      </c>
      <c r="F11" s="14" t="s">
        <v>1428</v>
      </c>
      <c r="G11" s="14" t="s">
        <v>274</v>
      </c>
      <c r="H11" s="14" t="s">
        <v>274</v>
      </c>
      <c r="I11" s="14" t="s">
        <v>275</v>
      </c>
      <c r="J11" s="14" t="s">
        <v>234</v>
      </c>
      <c r="K11" s="14" t="s">
        <v>234</v>
      </c>
      <c r="L11" s="14" t="s">
        <v>2160</v>
      </c>
      <c r="M11" s="14" t="s">
        <v>2543</v>
      </c>
      <c r="N11" s="14" t="s">
        <v>2519</v>
      </c>
      <c r="O11" s="14"/>
      <c r="P11" s="14" t="s">
        <v>2544</v>
      </c>
      <c r="Q11" s="14"/>
      <c r="R11" s="14" t="s">
        <v>1383</v>
      </c>
      <c r="S11" s="14" t="s">
        <v>2545</v>
      </c>
      <c r="T11" s="14" t="s">
        <v>2546</v>
      </c>
    </row>
    <row r="12" spans="1:20">
      <c r="A12" s="14" t="s">
        <v>2547</v>
      </c>
      <c r="B12" s="14" t="s">
        <v>2548</v>
      </c>
      <c r="C12" s="14" t="s">
        <v>690</v>
      </c>
      <c r="D12" s="14" t="s">
        <v>546</v>
      </c>
      <c r="E12" s="14" t="s">
        <v>1143</v>
      </c>
      <c r="F12" s="14" t="s">
        <v>1428</v>
      </c>
      <c r="G12" s="14" t="s">
        <v>1255</v>
      </c>
      <c r="H12" s="14" t="s">
        <v>1255</v>
      </c>
      <c r="I12" s="14" t="s">
        <v>242</v>
      </c>
      <c r="J12" s="14" t="s">
        <v>234</v>
      </c>
      <c r="K12" s="14" t="s">
        <v>234</v>
      </c>
      <c r="L12" s="14" t="s">
        <v>2160</v>
      </c>
      <c r="M12" s="14" t="s">
        <v>2549</v>
      </c>
      <c r="N12" s="14" t="s">
        <v>2547</v>
      </c>
      <c r="O12" s="14"/>
      <c r="P12" s="14" t="s">
        <v>2535</v>
      </c>
      <c r="Q12" s="14"/>
      <c r="R12" s="14" t="s">
        <v>1383</v>
      </c>
      <c r="S12" s="14" t="s">
        <v>2550</v>
      </c>
      <c r="T12" s="14" t="s">
        <v>2551</v>
      </c>
    </row>
    <row r="13" spans="1:20">
      <c r="A13" s="14" t="s">
        <v>2264</v>
      </c>
      <c r="B13" s="14" t="s">
        <v>2552</v>
      </c>
      <c r="C13" s="14" t="s">
        <v>690</v>
      </c>
      <c r="D13" s="14" t="s">
        <v>290</v>
      </c>
      <c r="E13" s="14" t="s">
        <v>1143</v>
      </c>
      <c r="F13" s="14" t="s">
        <v>1428</v>
      </c>
      <c r="G13" s="14" t="s">
        <v>284</v>
      </c>
      <c r="H13" s="14" t="s">
        <v>284</v>
      </c>
      <c r="I13" s="14" t="s">
        <v>287</v>
      </c>
      <c r="J13" s="14" t="s">
        <v>331</v>
      </c>
      <c r="K13" s="14" t="s">
        <v>286</v>
      </c>
      <c r="L13" s="14" t="s">
        <v>2160</v>
      </c>
      <c r="M13" s="14" t="s">
        <v>2543</v>
      </c>
      <c r="N13" s="14" t="s">
        <v>2512</v>
      </c>
      <c r="O13" s="14"/>
      <c r="P13" s="14" t="s">
        <v>2544</v>
      </c>
      <c r="Q13" s="14"/>
      <c r="R13" s="14" t="s">
        <v>1383</v>
      </c>
      <c r="S13" s="14" t="s">
        <v>2553</v>
      </c>
      <c r="T13" s="14" t="s">
        <v>2554</v>
      </c>
    </row>
    <row r="14" spans="1:20">
      <c r="A14" s="14" t="s">
        <v>2519</v>
      </c>
      <c r="B14" s="14" t="s">
        <v>2555</v>
      </c>
      <c r="C14" s="14" t="s">
        <v>690</v>
      </c>
      <c r="D14" s="14" t="s">
        <v>582</v>
      </c>
      <c r="E14" s="14" t="s">
        <v>1143</v>
      </c>
      <c r="F14" s="14" t="s">
        <v>1428</v>
      </c>
      <c r="G14" s="14" t="s">
        <v>1257</v>
      </c>
      <c r="H14" s="14" t="s">
        <v>1257</v>
      </c>
      <c r="I14" s="14" t="s">
        <v>330</v>
      </c>
      <c r="J14" s="14" t="s">
        <v>331</v>
      </c>
      <c r="K14" s="14" t="s">
        <v>286</v>
      </c>
      <c r="L14" s="14" t="s">
        <v>2160</v>
      </c>
      <c r="M14" s="14" t="s">
        <v>2543</v>
      </c>
      <c r="N14" s="14" t="s">
        <v>2184</v>
      </c>
      <c r="O14" s="14"/>
      <c r="P14" s="14" t="s">
        <v>2556</v>
      </c>
      <c r="Q14" s="14"/>
      <c r="R14" s="14" t="s">
        <v>1383</v>
      </c>
      <c r="S14" s="14" t="s">
        <v>2557</v>
      </c>
      <c r="T14" s="14" t="s">
        <v>2558</v>
      </c>
    </row>
    <row r="15" spans="1:20">
      <c r="A15" s="14" t="s">
        <v>2559</v>
      </c>
      <c r="B15" s="14" t="s">
        <v>2560</v>
      </c>
      <c r="C15" s="14" t="s">
        <v>690</v>
      </c>
      <c r="D15" s="14" t="s">
        <v>1037</v>
      </c>
      <c r="E15" s="14" t="s">
        <v>1143</v>
      </c>
      <c r="F15" s="14" t="s">
        <v>1428</v>
      </c>
      <c r="G15" s="14" t="s">
        <v>2561</v>
      </c>
      <c r="H15" s="14" t="s">
        <v>2561</v>
      </c>
      <c r="I15" s="14" t="s">
        <v>287</v>
      </c>
      <c r="J15" s="14" t="s">
        <v>331</v>
      </c>
      <c r="K15" s="14" t="s">
        <v>286</v>
      </c>
      <c r="L15" s="14" t="s">
        <v>2160</v>
      </c>
      <c r="M15" s="14" t="s">
        <v>2549</v>
      </c>
      <c r="N15" s="14" t="s">
        <v>2562</v>
      </c>
      <c r="O15" s="14"/>
      <c r="P15" s="14" t="s">
        <v>2535</v>
      </c>
      <c r="Q15" s="14"/>
      <c r="R15" s="14" t="s">
        <v>1383</v>
      </c>
      <c r="S15" s="14" t="s">
        <v>2563</v>
      </c>
      <c r="T15" s="14" t="s">
        <v>2564</v>
      </c>
    </row>
    <row r="16" spans="1:20">
      <c r="A16" s="14" t="s">
        <v>2565</v>
      </c>
      <c r="B16" s="14" t="s">
        <v>2566</v>
      </c>
      <c r="C16" s="14" t="s">
        <v>690</v>
      </c>
      <c r="D16" s="14" t="s">
        <v>534</v>
      </c>
      <c r="E16" s="14" t="s">
        <v>1143</v>
      </c>
      <c r="F16" s="14" t="s">
        <v>1428</v>
      </c>
      <c r="G16" s="14" t="s">
        <v>228</v>
      </c>
      <c r="H16" s="14" t="s">
        <v>228</v>
      </c>
      <c r="I16" s="14" t="s">
        <v>229</v>
      </c>
      <c r="J16" s="14" t="s">
        <v>183</v>
      </c>
      <c r="K16" s="14" t="s">
        <v>183</v>
      </c>
      <c r="L16" s="14" t="s">
        <v>2160</v>
      </c>
      <c r="M16" s="14" t="s">
        <v>2543</v>
      </c>
      <c r="N16" s="14" t="s">
        <v>2194</v>
      </c>
      <c r="O16" s="14"/>
      <c r="P16" s="14" t="s">
        <v>2544</v>
      </c>
      <c r="Q16" s="14"/>
      <c r="R16" s="14" t="s">
        <v>1383</v>
      </c>
      <c r="S16" s="14" t="s">
        <v>2567</v>
      </c>
      <c r="T16" s="14" t="s">
        <v>2568</v>
      </c>
    </row>
    <row r="17" spans="1:20">
      <c r="A17" s="14" t="s">
        <v>2534</v>
      </c>
      <c r="B17" s="14" t="s">
        <v>2569</v>
      </c>
      <c r="C17" s="14" t="s">
        <v>690</v>
      </c>
      <c r="D17" s="14" t="s">
        <v>365</v>
      </c>
      <c r="E17" s="14" t="s">
        <v>1143</v>
      </c>
      <c r="F17" s="14" t="s">
        <v>1428</v>
      </c>
      <c r="G17" s="14" t="s">
        <v>362</v>
      </c>
      <c r="H17" s="14" t="s">
        <v>362</v>
      </c>
      <c r="I17" s="14" t="s">
        <v>182</v>
      </c>
      <c r="J17" s="14" t="s">
        <v>183</v>
      </c>
      <c r="K17" s="14" t="s">
        <v>183</v>
      </c>
      <c r="L17" s="14" t="s">
        <v>2160</v>
      </c>
      <c r="M17" s="14" t="s">
        <v>2549</v>
      </c>
      <c r="N17" s="14" t="s">
        <v>2184</v>
      </c>
      <c r="O17" s="14"/>
      <c r="P17" s="14" t="s">
        <v>2535</v>
      </c>
      <c r="Q17" s="14"/>
      <c r="R17" s="14" t="s">
        <v>1383</v>
      </c>
      <c r="S17" s="14" t="s">
        <v>2570</v>
      </c>
      <c r="T17" s="14" t="s">
        <v>2571</v>
      </c>
    </row>
    <row r="18" spans="1:20">
      <c r="A18" s="14" t="s">
        <v>2562</v>
      </c>
      <c r="B18" s="14" t="s">
        <v>2572</v>
      </c>
      <c r="C18" s="14" t="s">
        <v>690</v>
      </c>
      <c r="D18" s="14" t="s">
        <v>504</v>
      </c>
      <c r="E18" s="14" t="s">
        <v>1143</v>
      </c>
      <c r="F18" s="14" t="s">
        <v>1428</v>
      </c>
      <c r="G18" s="14" t="s">
        <v>161</v>
      </c>
      <c r="H18" s="14" t="s">
        <v>161</v>
      </c>
      <c r="I18" s="14" t="s">
        <v>162</v>
      </c>
      <c r="J18" s="14" t="s">
        <v>1489</v>
      </c>
      <c r="K18" s="14" t="s">
        <v>156</v>
      </c>
      <c r="L18" s="14" t="s">
        <v>2160</v>
      </c>
      <c r="M18" s="14" t="s">
        <v>2543</v>
      </c>
      <c r="N18" s="14" t="s">
        <v>2505</v>
      </c>
      <c r="O18" s="14"/>
      <c r="P18" s="14" t="s">
        <v>2544</v>
      </c>
      <c r="Q18" s="14"/>
      <c r="R18" s="14" t="s">
        <v>1383</v>
      </c>
      <c r="S18" s="14" t="s">
        <v>2573</v>
      </c>
      <c r="T18" s="14" t="s">
        <v>2574</v>
      </c>
    </row>
    <row r="19" spans="1:20">
      <c r="A19" s="14" t="s">
        <v>2575</v>
      </c>
      <c r="B19" s="14" t="s">
        <v>2576</v>
      </c>
      <c r="C19" s="14" t="s">
        <v>690</v>
      </c>
      <c r="D19" s="14" t="s">
        <v>483</v>
      </c>
      <c r="E19" s="14" t="s">
        <v>1143</v>
      </c>
      <c r="F19" s="14" t="s">
        <v>1428</v>
      </c>
      <c r="G19" s="14" t="s">
        <v>481</v>
      </c>
      <c r="H19" s="14" t="s">
        <v>481</v>
      </c>
      <c r="I19" s="14" t="s">
        <v>482</v>
      </c>
      <c r="J19" s="14" t="s">
        <v>315</v>
      </c>
      <c r="K19" s="14" t="s">
        <v>315</v>
      </c>
      <c r="L19" s="14" t="s">
        <v>2160</v>
      </c>
      <c r="M19" s="14" t="s">
        <v>2543</v>
      </c>
      <c r="N19" s="14" t="s">
        <v>2509</v>
      </c>
      <c r="O19" s="14"/>
      <c r="P19" s="14" t="s">
        <v>2544</v>
      </c>
      <c r="Q19" s="14"/>
      <c r="R19" s="14" t="s">
        <v>1383</v>
      </c>
      <c r="S19" s="14" t="s">
        <v>2577</v>
      </c>
      <c r="T19" s="14" t="s">
        <v>2574</v>
      </c>
    </row>
    <row r="20" spans="1:20">
      <c r="A20" s="14" t="s">
        <v>2505</v>
      </c>
      <c r="B20" s="14" t="s">
        <v>2578</v>
      </c>
      <c r="C20" s="14" t="s">
        <v>690</v>
      </c>
      <c r="D20" s="14" t="s">
        <v>527</v>
      </c>
      <c r="E20" s="14" t="s">
        <v>1561</v>
      </c>
      <c r="F20" s="14" t="s">
        <v>2579</v>
      </c>
      <c r="G20" s="14" t="s">
        <v>204</v>
      </c>
      <c r="H20" s="14" t="s">
        <v>204</v>
      </c>
      <c r="I20" s="14" t="s">
        <v>205</v>
      </c>
      <c r="J20" s="14" t="s">
        <v>183</v>
      </c>
      <c r="K20" s="14" t="s">
        <v>183</v>
      </c>
      <c r="L20" s="14" t="s">
        <v>2160</v>
      </c>
      <c r="M20" s="14" t="s">
        <v>2580</v>
      </c>
      <c r="N20" s="14" t="s">
        <v>2538</v>
      </c>
      <c r="O20" s="14"/>
      <c r="P20" s="14" t="s">
        <v>2581</v>
      </c>
      <c r="Q20" s="14" t="s">
        <v>2582</v>
      </c>
      <c r="R20" s="14" t="s">
        <v>1383</v>
      </c>
      <c r="S20" s="14" t="s">
        <v>2583</v>
      </c>
      <c r="T20" s="14" t="s">
        <v>2584</v>
      </c>
    </row>
    <row r="21" spans="1:20">
      <c r="A21" s="14" t="s">
        <v>1696</v>
      </c>
      <c r="B21" s="14" t="s">
        <v>2585</v>
      </c>
      <c r="C21" s="14" t="s">
        <v>690</v>
      </c>
      <c r="D21" s="14" t="s">
        <v>446</v>
      </c>
      <c r="E21" s="14" t="s">
        <v>1561</v>
      </c>
      <c r="F21" s="14" t="s">
        <v>2579</v>
      </c>
      <c r="G21" s="14" t="s">
        <v>443</v>
      </c>
      <c r="H21" s="14" t="s">
        <v>443</v>
      </c>
      <c r="I21" s="14" t="s">
        <v>445</v>
      </c>
      <c r="J21" s="14" t="s">
        <v>331</v>
      </c>
      <c r="K21" s="14" t="s">
        <v>286</v>
      </c>
      <c r="L21" s="14" t="s">
        <v>2160</v>
      </c>
      <c r="M21" s="14" t="s">
        <v>2580</v>
      </c>
      <c r="N21" s="14" t="s">
        <v>1666</v>
      </c>
      <c r="O21" s="14"/>
      <c r="P21" s="14" t="s">
        <v>2581</v>
      </c>
      <c r="Q21" s="14" t="s">
        <v>2586</v>
      </c>
      <c r="R21" s="14" t="s">
        <v>1383</v>
      </c>
      <c r="S21" s="14" t="s">
        <v>2587</v>
      </c>
      <c r="T21" s="14" t="s">
        <v>2588</v>
      </c>
    </row>
    <row r="22" spans="1:20">
      <c r="A22" s="14" t="s">
        <v>2589</v>
      </c>
      <c r="B22" s="14" t="s">
        <v>2590</v>
      </c>
      <c r="C22" s="14" t="s">
        <v>690</v>
      </c>
      <c r="D22" s="14" t="s">
        <v>518</v>
      </c>
      <c r="E22" s="14" t="s">
        <v>1561</v>
      </c>
      <c r="F22" s="14" t="s">
        <v>2579</v>
      </c>
      <c r="G22" s="14" t="s">
        <v>193</v>
      </c>
      <c r="H22" s="14" t="s">
        <v>193</v>
      </c>
      <c r="I22" s="14" t="s">
        <v>194</v>
      </c>
      <c r="J22" s="14" t="s">
        <v>183</v>
      </c>
      <c r="K22" s="14" t="s">
        <v>183</v>
      </c>
      <c r="L22" s="14" t="s">
        <v>2160</v>
      </c>
      <c r="M22" s="14" t="s">
        <v>2580</v>
      </c>
      <c r="N22" s="14" t="s">
        <v>2160</v>
      </c>
      <c r="O22" s="14"/>
      <c r="P22" s="14" t="s">
        <v>2581</v>
      </c>
      <c r="Q22" s="14" t="s">
        <v>2591</v>
      </c>
      <c r="R22" s="14" t="s">
        <v>1383</v>
      </c>
      <c r="S22" s="14" t="s">
        <v>2592</v>
      </c>
      <c r="T22" s="14" t="s">
        <v>2584</v>
      </c>
    </row>
    <row r="23" spans="1:20">
      <c r="A23" s="14" t="s">
        <v>2593</v>
      </c>
      <c r="B23" s="14" t="s">
        <v>2594</v>
      </c>
      <c r="C23" s="14" t="s">
        <v>690</v>
      </c>
      <c r="D23" s="14" t="s">
        <v>440</v>
      </c>
      <c r="E23" s="14" t="s">
        <v>1561</v>
      </c>
      <c r="F23" s="14" t="s">
        <v>2579</v>
      </c>
      <c r="G23" s="14" t="s">
        <v>436</v>
      </c>
      <c r="H23" s="14" t="s">
        <v>436</v>
      </c>
      <c r="I23" s="14" t="s">
        <v>437</v>
      </c>
      <c r="J23" s="14" t="s">
        <v>331</v>
      </c>
      <c r="K23" s="14" t="s">
        <v>286</v>
      </c>
      <c r="L23" s="14" t="s">
        <v>2160</v>
      </c>
      <c r="M23" s="14" t="s">
        <v>2580</v>
      </c>
      <c r="N23" s="14" t="s">
        <v>2189</v>
      </c>
      <c r="O23" s="14"/>
      <c r="P23" s="14" t="s">
        <v>2581</v>
      </c>
      <c r="Q23" s="14" t="s">
        <v>2595</v>
      </c>
      <c r="R23" s="14" t="s">
        <v>1383</v>
      </c>
      <c r="S23" s="14" t="s">
        <v>2596</v>
      </c>
      <c r="T23" s="14" t="s">
        <v>2597</v>
      </c>
    </row>
    <row r="24" spans="1:20">
      <c r="A24" s="14" t="s">
        <v>2598</v>
      </c>
      <c r="B24" s="14" t="s">
        <v>2599</v>
      </c>
      <c r="C24" s="14" t="s">
        <v>690</v>
      </c>
      <c r="D24" s="14" t="s">
        <v>225</v>
      </c>
      <c r="E24" s="14" t="s">
        <v>1561</v>
      </c>
      <c r="F24" s="14" t="s">
        <v>2579</v>
      </c>
      <c r="G24" s="14" t="s">
        <v>215</v>
      </c>
      <c r="H24" s="14" t="s">
        <v>215</v>
      </c>
      <c r="I24" s="14" t="s">
        <v>218</v>
      </c>
      <c r="J24" s="14" t="s">
        <v>234</v>
      </c>
      <c r="K24" s="14" t="s">
        <v>234</v>
      </c>
      <c r="L24" s="14" t="s">
        <v>2160</v>
      </c>
      <c r="M24" s="14" t="s">
        <v>2580</v>
      </c>
      <c r="N24" s="14" t="s">
        <v>2547</v>
      </c>
      <c r="O24" s="14"/>
      <c r="P24" s="14" t="s">
        <v>2581</v>
      </c>
      <c r="Q24" s="14" t="s">
        <v>2600</v>
      </c>
      <c r="R24" s="14" t="s">
        <v>1383</v>
      </c>
      <c r="S24" s="14" t="s">
        <v>2601</v>
      </c>
      <c r="T24" s="14" t="s">
        <v>2597</v>
      </c>
    </row>
    <row r="25" spans="1:20">
      <c r="A25" s="14" t="s">
        <v>2602</v>
      </c>
      <c r="B25" s="14" t="s">
        <v>2603</v>
      </c>
      <c r="C25" s="14" t="s">
        <v>690</v>
      </c>
      <c r="D25" s="14" t="s">
        <v>2344</v>
      </c>
      <c r="E25" s="14" t="s">
        <v>1561</v>
      </c>
      <c r="F25" s="14" t="s">
        <v>2579</v>
      </c>
      <c r="G25" s="14" t="s">
        <v>344</v>
      </c>
      <c r="H25" s="14" t="s">
        <v>344</v>
      </c>
      <c r="I25" s="14"/>
      <c r="J25" s="14" t="s">
        <v>331</v>
      </c>
      <c r="K25" s="14"/>
      <c r="L25" s="14" t="s">
        <v>2160</v>
      </c>
      <c r="M25" s="14" t="s">
        <v>2580</v>
      </c>
      <c r="N25" s="14" t="s">
        <v>2264</v>
      </c>
      <c r="O25" s="14"/>
      <c r="P25" s="14" t="s">
        <v>2581</v>
      </c>
      <c r="Q25" s="14" t="s">
        <v>2604</v>
      </c>
      <c r="R25" s="14" t="s">
        <v>1383</v>
      </c>
      <c r="S25" s="14" t="s">
        <v>2605</v>
      </c>
      <c r="T25" s="14" t="s">
        <v>2606</v>
      </c>
    </row>
    <row r="26" spans="1:20">
      <c r="A26" s="14" t="s">
        <v>2509</v>
      </c>
      <c r="B26" s="14" t="s">
        <v>2607</v>
      </c>
      <c r="C26" s="14" t="s">
        <v>690</v>
      </c>
      <c r="D26" s="14" t="s">
        <v>2340</v>
      </c>
      <c r="E26" s="14" t="s">
        <v>1631</v>
      </c>
      <c r="F26" s="14" t="s">
        <v>2579</v>
      </c>
      <c r="G26" s="14" t="s">
        <v>600</v>
      </c>
      <c r="H26" s="14" t="s">
        <v>600</v>
      </c>
      <c r="I26" s="14" t="s">
        <v>602</v>
      </c>
      <c r="J26" s="14" t="s">
        <v>315</v>
      </c>
      <c r="K26" s="14" t="s">
        <v>315</v>
      </c>
      <c r="L26" s="14" t="s">
        <v>2160</v>
      </c>
      <c r="M26" s="14" t="s">
        <v>2580</v>
      </c>
      <c r="N26" s="14" t="s">
        <v>585</v>
      </c>
      <c r="O26" s="14"/>
      <c r="P26" s="14" t="s">
        <v>2581</v>
      </c>
      <c r="Q26" s="14" t="s">
        <v>2608</v>
      </c>
      <c r="R26" s="14" t="s">
        <v>1383</v>
      </c>
      <c r="S26" s="14" t="s">
        <v>2609</v>
      </c>
      <c r="T26" s="14" t="s">
        <v>2610</v>
      </c>
    </row>
    <row r="27" spans="1:20">
      <c r="A27" s="14" t="s">
        <v>2611</v>
      </c>
      <c r="B27" s="14" t="s">
        <v>2612</v>
      </c>
      <c r="C27" s="14" t="s">
        <v>690</v>
      </c>
      <c r="D27" s="14" t="s">
        <v>2348</v>
      </c>
      <c r="E27" s="14" t="s">
        <v>1631</v>
      </c>
      <c r="F27" s="14" t="s">
        <v>2579</v>
      </c>
      <c r="G27" s="14" t="s">
        <v>640</v>
      </c>
      <c r="H27" s="14"/>
      <c r="I27" s="14" t="s">
        <v>640</v>
      </c>
      <c r="J27" s="14" t="s">
        <v>178</v>
      </c>
      <c r="K27" s="14"/>
      <c r="L27" s="14" t="s">
        <v>2160</v>
      </c>
      <c r="M27" s="14" t="s">
        <v>2580</v>
      </c>
      <c r="N27" s="14" t="s">
        <v>2194</v>
      </c>
      <c r="O27" s="14"/>
      <c r="P27" s="14" t="s">
        <v>2581</v>
      </c>
      <c r="Q27" s="14" t="s">
        <v>2613</v>
      </c>
      <c r="R27" s="14" t="s">
        <v>1383</v>
      </c>
      <c r="S27" s="14" t="s">
        <v>2614</v>
      </c>
      <c r="T27" s="14" t="s">
        <v>2615</v>
      </c>
    </row>
    <row r="28" spans="1:20">
      <c r="A28" s="14" t="s">
        <v>2616</v>
      </c>
      <c r="B28" s="14" t="s">
        <v>2617</v>
      </c>
      <c r="C28" s="14" t="s">
        <v>690</v>
      </c>
      <c r="D28" s="14" t="s">
        <v>2351</v>
      </c>
      <c r="E28" s="14" t="s">
        <v>1631</v>
      </c>
      <c r="F28" s="14" t="s">
        <v>2579</v>
      </c>
      <c r="G28" s="14" t="s">
        <v>641</v>
      </c>
      <c r="H28" s="14"/>
      <c r="I28" s="14" t="s">
        <v>641</v>
      </c>
      <c r="J28" s="14" t="s">
        <v>178</v>
      </c>
      <c r="K28" s="14"/>
      <c r="L28" s="14" t="s">
        <v>2160</v>
      </c>
      <c r="M28" s="14" t="s">
        <v>2580</v>
      </c>
      <c r="N28" s="14" t="s">
        <v>2200</v>
      </c>
      <c r="O28" s="14"/>
      <c r="P28" s="14" t="s">
        <v>2581</v>
      </c>
      <c r="Q28" s="14" t="s">
        <v>2618</v>
      </c>
      <c r="R28" s="14" t="s">
        <v>1383</v>
      </c>
      <c r="S28" s="14" t="s">
        <v>2619</v>
      </c>
      <c r="T28" s="14" t="s">
        <v>2620</v>
      </c>
    </row>
    <row r="29" spans="1:20">
      <c r="A29" s="14" t="s">
        <v>2621</v>
      </c>
      <c r="B29" s="14" t="s">
        <v>2622</v>
      </c>
      <c r="C29" s="14" t="s">
        <v>690</v>
      </c>
      <c r="D29" s="14" t="s">
        <v>2353</v>
      </c>
      <c r="E29" s="14" t="s">
        <v>1631</v>
      </c>
      <c r="F29" s="14" t="s">
        <v>2579</v>
      </c>
      <c r="G29" s="14" t="s">
        <v>646</v>
      </c>
      <c r="H29" s="14"/>
      <c r="I29" s="14" t="s">
        <v>646</v>
      </c>
      <c r="J29" s="14" t="s">
        <v>178</v>
      </c>
      <c r="K29" s="14"/>
      <c r="L29" s="14" t="s">
        <v>2160</v>
      </c>
      <c r="M29" s="14" t="s">
        <v>2580</v>
      </c>
      <c r="N29" s="14" t="s">
        <v>2519</v>
      </c>
      <c r="O29" s="14"/>
      <c r="P29" s="14" t="s">
        <v>2581</v>
      </c>
      <c r="Q29" s="14" t="s">
        <v>2623</v>
      </c>
      <c r="R29" s="14" t="s">
        <v>1383</v>
      </c>
      <c r="S29" s="14" t="s">
        <v>2624</v>
      </c>
      <c r="T29" s="14" t="s">
        <v>2625</v>
      </c>
    </row>
    <row r="30" spans="1:20">
      <c r="A30" s="14" t="s">
        <v>2626</v>
      </c>
      <c r="B30" s="14" t="s">
        <v>2627</v>
      </c>
      <c r="C30" s="14" t="s">
        <v>690</v>
      </c>
      <c r="D30" s="14" t="s">
        <v>689</v>
      </c>
      <c r="E30" s="14" t="s">
        <v>1641</v>
      </c>
      <c r="F30" s="14" t="s">
        <v>2628</v>
      </c>
      <c r="G30" s="14" t="s">
        <v>213</v>
      </c>
      <c r="H30" s="14" t="s">
        <v>213</v>
      </c>
      <c r="I30" s="14"/>
      <c r="J30" s="14" t="s">
        <v>183</v>
      </c>
      <c r="K30" s="14"/>
      <c r="L30" s="14" t="s">
        <v>1666</v>
      </c>
      <c r="M30" s="14" t="s">
        <v>2580</v>
      </c>
      <c r="N30" s="14" t="s">
        <v>2629</v>
      </c>
      <c r="O30" s="14" t="s">
        <v>2630</v>
      </c>
      <c r="P30" s="14" t="s">
        <v>2581</v>
      </c>
      <c r="Q30" s="14" t="s">
        <v>2631</v>
      </c>
      <c r="R30" s="14" t="s">
        <v>1383</v>
      </c>
      <c r="S30" s="14" t="s">
        <v>2632</v>
      </c>
      <c r="T30" s="14" t="s">
        <v>2633</v>
      </c>
    </row>
    <row r="31" spans="1:20">
      <c r="A31" s="14" t="s">
        <v>1995</v>
      </c>
      <c r="B31" s="14" t="s">
        <v>2634</v>
      </c>
      <c r="C31" s="14" t="s">
        <v>690</v>
      </c>
      <c r="D31" s="14" t="s">
        <v>2342</v>
      </c>
      <c r="E31" s="14" t="s">
        <v>1641</v>
      </c>
      <c r="F31" s="14" t="s">
        <v>2628</v>
      </c>
      <c r="G31" s="14" t="s">
        <v>257</v>
      </c>
      <c r="H31" s="14" t="s">
        <v>257</v>
      </c>
      <c r="I31" s="14"/>
      <c r="J31" s="14" t="s">
        <v>234</v>
      </c>
      <c r="K31" s="14"/>
      <c r="L31" s="14" t="s">
        <v>2160</v>
      </c>
      <c r="M31" s="14" t="s">
        <v>2580</v>
      </c>
      <c r="N31" s="14" t="s">
        <v>2184</v>
      </c>
      <c r="O31" s="14"/>
      <c r="P31" s="14" t="s">
        <v>2581</v>
      </c>
      <c r="Q31" s="14" t="s">
        <v>2635</v>
      </c>
      <c r="R31" s="14" t="s">
        <v>1383</v>
      </c>
      <c r="S31" s="14" t="s">
        <v>2636</v>
      </c>
      <c r="T31" s="14" t="s">
        <v>2637</v>
      </c>
    </row>
    <row r="32" spans="1:20">
      <c r="A32" s="14" t="s">
        <v>2512</v>
      </c>
      <c r="B32" s="14" t="s">
        <v>2638</v>
      </c>
      <c r="C32" s="14" t="s">
        <v>2639</v>
      </c>
      <c r="D32" s="14" t="s">
        <v>2640</v>
      </c>
      <c r="E32" s="14" t="s">
        <v>2641</v>
      </c>
      <c r="F32" s="14" t="s">
        <v>1280</v>
      </c>
      <c r="G32" s="14" t="s">
        <v>283</v>
      </c>
      <c r="H32" s="14" t="s">
        <v>283</v>
      </c>
      <c r="I32" s="14" t="s">
        <v>416</v>
      </c>
      <c r="J32" s="14" t="s">
        <v>1342</v>
      </c>
      <c r="K32" s="14" t="s">
        <v>410</v>
      </c>
      <c r="L32" s="14" t="s">
        <v>1666</v>
      </c>
      <c r="M32" s="14" t="s">
        <v>2533</v>
      </c>
      <c r="N32" s="14" t="s">
        <v>2642</v>
      </c>
      <c r="O32" s="14"/>
      <c r="P32" s="14" t="s">
        <v>2643</v>
      </c>
      <c r="Q32" s="14" t="s">
        <v>2644</v>
      </c>
      <c r="R32" s="14" t="s">
        <v>1383</v>
      </c>
      <c r="S32" s="14" t="s">
        <v>2645</v>
      </c>
      <c r="T32" s="14" t="s">
        <v>2646</v>
      </c>
    </row>
    <row r="33" spans="1:20">
      <c r="A33" s="14" t="s">
        <v>2647</v>
      </c>
      <c r="B33" s="14" t="s">
        <v>2648</v>
      </c>
      <c r="C33" s="14" t="s">
        <v>2639</v>
      </c>
      <c r="D33" s="14" t="s">
        <v>2649</v>
      </c>
      <c r="E33" s="14" t="s">
        <v>2650</v>
      </c>
      <c r="F33" s="14" t="s">
        <v>1280</v>
      </c>
      <c r="G33" s="14" t="s">
        <v>283</v>
      </c>
      <c r="H33" s="14" t="s">
        <v>283</v>
      </c>
      <c r="I33" s="14" t="s">
        <v>416</v>
      </c>
      <c r="J33" s="14" t="s">
        <v>1342</v>
      </c>
      <c r="K33" s="14" t="s">
        <v>410</v>
      </c>
      <c r="L33" s="14" t="s">
        <v>1666</v>
      </c>
      <c r="M33" s="14" t="s">
        <v>2533</v>
      </c>
      <c r="N33" s="14" t="s">
        <v>2651</v>
      </c>
      <c r="O33" s="14"/>
      <c r="P33" s="14" t="s">
        <v>2652</v>
      </c>
      <c r="Q33" s="14"/>
      <c r="R33" s="14" t="s">
        <v>1383</v>
      </c>
      <c r="S33" s="14" t="s">
        <v>2653</v>
      </c>
      <c r="T33" s="14" t="s">
        <v>2654</v>
      </c>
    </row>
    <row r="34" spans="1:20">
      <c r="A34" s="14" t="s">
        <v>2655</v>
      </c>
      <c r="B34" s="14" t="s">
        <v>2656</v>
      </c>
      <c r="C34" s="14" t="s">
        <v>2639</v>
      </c>
      <c r="D34" s="14" t="s">
        <v>2657</v>
      </c>
      <c r="E34" s="14" t="s">
        <v>2641</v>
      </c>
      <c r="F34" s="14" t="s">
        <v>1280</v>
      </c>
      <c r="G34" s="14" t="s">
        <v>476</v>
      </c>
      <c r="H34" s="14" t="s">
        <v>476</v>
      </c>
      <c r="I34" s="14" t="s">
        <v>479</v>
      </c>
      <c r="J34" s="14" t="s">
        <v>2658</v>
      </c>
      <c r="K34" s="14" t="s">
        <v>477</v>
      </c>
      <c r="L34" s="14" t="s">
        <v>1666</v>
      </c>
      <c r="M34" s="14" t="s">
        <v>2659</v>
      </c>
      <c r="N34" s="14" t="s">
        <v>2660</v>
      </c>
      <c r="O34" s="14" t="s">
        <v>2661</v>
      </c>
      <c r="P34" s="14" t="s">
        <v>2662</v>
      </c>
      <c r="Q34" s="14" t="s">
        <v>2663</v>
      </c>
      <c r="R34" s="14" t="s">
        <v>1383</v>
      </c>
      <c r="S34" s="14" t="s">
        <v>2664</v>
      </c>
      <c r="T34" s="14" t="s">
        <v>2665</v>
      </c>
    </row>
    <row r="35" spans="1:20">
      <c r="A35" s="14" t="s">
        <v>2666</v>
      </c>
      <c r="B35" s="14" t="s">
        <v>2667</v>
      </c>
      <c r="C35" s="14" t="s">
        <v>2639</v>
      </c>
      <c r="D35" s="14" t="s">
        <v>2668</v>
      </c>
      <c r="E35" s="14" t="s">
        <v>2669</v>
      </c>
      <c r="F35" s="14" t="s">
        <v>1280</v>
      </c>
      <c r="G35" s="14" t="s">
        <v>476</v>
      </c>
      <c r="H35" s="14" t="s">
        <v>476</v>
      </c>
      <c r="I35" s="14" t="s">
        <v>479</v>
      </c>
      <c r="J35" s="14" t="s">
        <v>2658</v>
      </c>
      <c r="K35" s="14" t="s">
        <v>477</v>
      </c>
      <c r="L35" s="14" t="s">
        <v>1666</v>
      </c>
      <c r="M35" s="14" t="s">
        <v>2670</v>
      </c>
      <c r="N35" s="14" t="s">
        <v>2629</v>
      </c>
      <c r="O35" s="14" t="s">
        <v>2671</v>
      </c>
      <c r="P35" s="14" t="s">
        <v>2672</v>
      </c>
      <c r="Q35" s="14"/>
      <c r="R35" s="14" t="s">
        <v>1383</v>
      </c>
      <c r="S35" s="14" t="s">
        <v>2673</v>
      </c>
      <c r="T35" s="14" t="s">
        <v>2674</v>
      </c>
    </row>
    <row r="36" spans="1:20">
      <c r="A36" s="14" t="s">
        <v>2675</v>
      </c>
      <c r="B36" s="14" t="s">
        <v>2676</v>
      </c>
      <c r="C36" s="14" t="s">
        <v>2639</v>
      </c>
      <c r="D36" s="14" t="s">
        <v>2677</v>
      </c>
      <c r="E36" s="14" t="s">
        <v>2641</v>
      </c>
      <c r="F36" s="14" t="s">
        <v>1280</v>
      </c>
      <c r="G36" s="14" t="s">
        <v>622</v>
      </c>
      <c r="H36" s="14" t="s">
        <v>622</v>
      </c>
      <c r="I36" s="14" t="s">
        <v>624</v>
      </c>
      <c r="J36" s="14" t="s">
        <v>623</v>
      </c>
      <c r="K36" s="14" t="s">
        <v>623</v>
      </c>
      <c r="L36" s="14" t="s">
        <v>1666</v>
      </c>
      <c r="M36" s="14" t="s">
        <v>2678</v>
      </c>
      <c r="N36" s="14" t="s">
        <v>2679</v>
      </c>
      <c r="O36" s="14" t="s">
        <v>2661</v>
      </c>
      <c r="P36" s="14" t="s">
        <v>2662</v>
      </c>
      <c r="Q36" s="14" t="s">
        <v>2680</v>
      </c>
      <c r="R36" s="14" t="s">
        <v>1383</v>
      </c>
      <c r="S36" s="14" t="s">
        <v>2681</v>
      </c>
      <c r="T36" s="14" t="s">
        <v>2682</v>
      </c>
    </row>
    <row r="37" spans="1:20">
      <c r="A37" s="14" t="s">
        <v>2683</v>
      </c>
      <c r="B37" s="14" t="s">
        <v>2684</v>
      </c>
      <c r="C37" s="14" t="s">
        <v>2639</v>
      </c>
      <c r="D37" s="14" t="s">
        <v>2685</v>
      </c>
      <c r="E37" s="14" t="s">
        <v>2650</v>
      </c>
      <c r="F37" s="14" t="s">
        <v>1280</v>
      </c>
      <c r="G37" s="14" t="s">
        <v>622</v>
      </c>
      <c r="H37" s="14" t="s">
        <v>622</v>
      </c>
      <c r="I37" s="14" t="s">
        <v>624</v>
      </c>
      <c r="J37" s="14" t="s">
        <v>623</v>
      </c>
      <c r="K37" s="14" t="s">
        <v>623</v>
      </c>
      <c r="L37" s="14" t="s">
        <v>1666</v>
      </c>
      <c r="M37" s="14" t="s">
        <v>2678</v>
      </c>
      <c r="N37" s="14" t="s">
        <v>2686</v>
      </c>
      <c r="O37" s="14" t="s">
        <v>2661</v>
      </c>
      <c r="P37" s="14" t="s">
        <v>2687</v>
      </c>
      <c r="Q37" s="14"/>
      <c r="R37" s="14" t="s">
        <v>1383</v>
      </c>
      <c r="S37" s="14" t="s">
        <v>2688</v>
      </c>
      <c r="T37" s="14" t="s">
        <v>2689</v>
      </c>
    </row>
    <row r="38" spans="1:20">
      <c r="A38" s="14" t="s">
        <v>2690</v>
      </c>
      <c r="B38" s="14" t="s">
        <v>2691</v>
      </c>
      <c r="C38" s="14" t="s">
        <v>2639</v>
      </c>
      <c r="D38" s="14" t="s">
        <v>2692</v>
      </c>
      <c r="E38" s="14" t="s">
        <v>2641</v>
      </c>
      <c r="F38" s="14" t="s">
        <v>1280</v>
      </c>
      <c r="G38" s="14" t="s">
        <v>339</v>
      </c>
      <c r="H38" s="14" t="s">
        <v>339</v>
      </c>
      <c r="I38" s="14" t="s">
        <v>342</v>
      </c>
      <c r="J38" s="14" t="s">
        <v>340</v>
      </c>
      <c r="K38" s="14" t="s">
        <v>340</v>
      </c>
      <c r="L38" s="14" t="s">
        <v>1666</v>
      </c>
      <c r="M38" s="14" t="s">
        <v>2659</v>
      </c>
      <c r="N38" s="14" t="s">
        <v>2693</v>
      </c>
      <c r="O38" s="14" t="s">
        <v>2661</v>
      </c>
      <c r="P38" s="14" t="s">
        <v>2662</v>
      </c>
      <c r="Q38" s="14" t="s">
        <v>2694</v>
      </c>
      <c r="R38" s="14" t="s">
        <v>1383</v>
      </c>
      <c r="S38" s="14" t="s">
        <v>2695</v>
      </c>
      <c r="T38" s="14" t="s">
        <v>2682</v>
      </c>
    </row>
    <row r="39" spans="1:20">
      <c r="A39" s="14" t="s">
        <v>2696</v>
      </c>
      <c r="B39" s="14" t="s">
        <v>2697</v>
      </c>
      <c r="C39" s="14" t="s">
        <v>2639</v>
      </c>
      <c r="D39" s="14" t="s">
        <v>2698</v>
      </c>
      <c r="E39" s="14" t="s">
        <v>2650</v>
      </c>
      <c r="F39" s="14" t="s">
        <v>1280</v>
      </c>
      <c r="G39" s="14" t="s">
        <v>339</v>
      </c>
      <c r="H39" s="14" t="s">
        <v>339</v>
      </c>
      <c r="I39" s="14" t="s">
        <v>342</v>
      </c>
      <c r="J39" s="14" t="s">
        <v>340</v>
      </c>
      <c r="K39" s="14" t="s">
        <v>340</v>
      </c>
      <c r="L39" s="14" t="s">
        <v>1666</v>
      </c>
      <c r="M39" s="14" t="s">
        <v>2659</v>
      </c>
      <c r="N39" s="14" t="s">
        <v>2699</v>
      </c>
      <c r="O39" s="14" t="s">
        <v>2661</v>
      </c>
      <c r="P39" s="14" t="s">
        <v>2687</v>
      </c>
      <c r="Q39" s="14"/>
      <c r="R39" s="14" t="s">
        <v>1383</v>
      </c>
      <c r="S39" s="14" t="s">
        <v>2700</v>
      </c>
      <c r="T39" s="14" t="s">
        <v>2701</v>
      </c>
    </row>
    <row r="40" spans="1:20">
      <c r="A40" s="14" t="s">
        <v>2702</v>
      </c>
      <c r="B40" s="14" t="s">
        <v>2703</v>
      </c>
      <c r="C40" s="14" t="s">
        <v>2639</v>
      </c>
      <c r="D40" s="14" t="s">
        <v>2704</v>
      </c>
      <c r="E40" s="14" t="s">
        <v>2641</v>
      </c>
      <c r="F40" s="14" t="s">
        <v>1280</v>
      </c>
      <c r="G40" s="14" t="s">
        <v>321</v>
      </c>
      <c r="H40" s="14" t="s">
        <v>321</v>
      </c>
      <c r="I40" s="14" t="s">
        <v>323</v>
      </c>
      <c r="J40" s="14" t="s">
        <v>322</v>
      </c>
      <c r="K40" s="14" t="s">
        <v>322</v>
      </c>
      <c r="L40" s="14" t="s">
        <v>1666</v>
      </c>
      <c r="M40" s="14" t="s">
        <v>2678</v>
      </c>
      <c r="N40" s="14" t="s">
        <v>2705</v>
      </c>
      <c r="O40" s="14" t="s">
        <v>2661</v>
      </c>
      <c r="P40" s="14" t="s">
        <v>2662</v>
      </c>
      <c r="Q40" s="14" t="s">
        <v>2706</v>
      </c>
      <c r="R40" s="14" t="s">
        <v>1383</v>
      </c>
      <c r="S40" s="14" t="s">
        <v>2707</v>
      </c>
      <c r="T40" s="14" t="s">
        <v>2682</v>
      </c>
    </row>
    <row r="41" spans="1:20">
      <c r="A41" s="14" t="s">
        <v>2708</v>
      </c>
      <c r="B41" s="14" t="s">
        <v>2709</v>
      </c>
      <c r="C41" s="14" t="s">
        <v>2639</v>
      </c>
      <c r="D41" s="14" t="s">
        <v>2710</v>
      </c>
      <c r="E41" s="14" t="s">
        <v>2650</v>
      </c>
      <c r="F41" s="14" t="s">
        <v>1280</v>
      </c>
      <c r="G41" s="14" t="s">
        <v>321</v>
      </c>
      <c r="H41" s="14" t="s">
        <v>321</v>
      </c>
      <c r="I41" s="14" t="s">
        <v>323</v>
      </c>
      <c r="J41" s="14" t="s">
        <v>322</v>
      </c>
      <c r="K41" s="14" t="s">
        <v>322</v>
      </c>
      <c r="L41" s="14" t="s">
        <v>1666</v>
      </c>
      <c r="M41" s="14" t="s">
        <v>2678</v>
      </c>
      <c r="N41" s="14" t="s">
        <v>2711</v>
      </c>
      <c r="O41" s="14" t="s">
        <v>2661</v>
      </c>
      <c r="P41" s="14" t="s">
        <v>2687</v>
      </c>
      <c r="Q41" s="14"/>
      <c r="R41" s="14" t="s">
        <v>1383</v>
      </c>
      <c r="S41" s="14" t="s">
        <v>2712</v>
      </c>
      <c r="T41" s="14" t="s">
        <v>2713</v>
      </c>
    </row>
    <row r="42" spans="1:20">
      <c r="A42" s="14" t="s">
        <v>2498</v>
      </c>
      <c r="B42" s="14" t="s">
        <v>2714</v>
      </c>
      <c r="C42" s="14" t="s">
        <v>2639</v>
      </c>
      <c r="D42" s="14" t="s">
        <v>2715</v>
      </c>
      <c r="E42" s="14" t="s">
        <v>1374</v>
      </c>
      <c r="F42" s="14" t="s">
        <v>1340</v>
      </c>
      <c r="G42" s="14" t="s">
        <v>276</v>
      </c>
      <c r="H42" s="14" t="s">
        <v>276</v>
      </c>
      <c r="I42" s="14" t="s">
        <v>279</v>
      </c>
      <c r="J42" s="14" t="s">
        <v>277</v>
      </c>
      <c r="K42" s="14" t="s">
        <v>277</v>
      </c>
      <c r="L42" s="14" t="s">
        <v>1666</v>
      </c>
      <c r="M42" s="14" t="s">
        <v>2670</v>
      </c>
      <c r="N42" s="14" t="s">
        <v>2716</v>
      </c>
      <c r="O42" s="14" t="s">
        <v>2671</v>
      </c>
      <c r="P42" s="14" t="s">
        <v>2717</v>
      </c>
      <c r="Q42" s="14" t="s">
        <v>2718</v>
      </c>
      <c r="R42" s="14" t="s">
        <v>1383</v>
      </c>
      <c r="S42" s="14" t="s">
        <v>2719</v>
      </c>
      <c r="T42" s="14" t="s">
        <v>2720</v>
      </c>
    </row>
    <row r="43" spans="1:20">
      <c r="A43" s="14" t="s">
        <v>2721</v>
      </c>
      <c r="B43" s="14" t="s">
        <v>2722</v>
      </c>
      <c r="C43" s="14" t="s">
        <v>2639</v>
      </c>
      <c r="D43" s="14" t="s">
        <v>2723</v>
      </c>
      <c r="E43" s="14" t="s">
        <v>2724</v>
      </c>
      <c r="F43" s="14" t="s">
        <v>1340</v>
      </c>
      <c r="G43" s="14" t="s">
        <v>276</v>
      </c>
      <c r="H43" s="14" t="s">
        <v>276</v>
      </c>
      <c r="I43" s="14" t="s">
        <v>279</v>
      </c>
      <c r="J43" s="14" t="s">
        <v>277</v>
      </c>
      <c r="K43" s="14" t="s">
        <v>277</v>
      </c>
      <c r="L43" s="14" t="s">
        <v>1666</v>
      </c>
      <c r="M43" s="14" t="s">
        <v>2670</v>
      </c>
      <c r="N43" s="14" t="s">
        <v>2725</v>
      </c>
      <c r="O43" s="14" t="s">
        <v>2671</v>
      </c>
      <c r="P43" s="14" t="s">
        <v>2672</v>
      </c>
      <c r="Q43" s="14" t="s">
        <v>2726</v>
      </c>
      <c r="R43" s="14" t="s">
        <v>1383</v>
      </c>
      <c r="S43" s="14" t="s">
        <v>2727</v>
      </c>
      <c r="T43" s="14" t="s">
        <v>2728</v>
      </c>
    </row>
    <row r="44" spans="1:20">
      <c r="A44" s="14" t="s">
        <v>2729</v>
      </c>
      <c r="B44" s="14" t="s">
        <v>2730</v>
      </c>
      <c r="C44" s="14" t="s">
        <v>2639</v>
      </c>
      <c r="D44" s="14" t="s">
        <v>2731</v>
      </c>
      <c r="E44" s="14" t="s">
        <v>1374</v>
      </c>
      <c r="F44" s="14" t="s">
        <v>1340</v>
      </c>
      <c r="G44" s="14" t="s">
        <v>617</v>
      </c>
      <c r="H44" s="14" t="s">
        <v>617</v>
      </c>
      <c r="I44" s="14" t="s">
        <v>619</v>
      </c>
      <c r="J44" s="14" t="s">
        <v>147</v>
      </c>
      <c r="K44" s="14" t="s">
        <v>485</v>
      </c>
      <c r="L44" s="14" t="s">
        <v>1666</v>
      </c>
      <c r="M44" s="14" t="s">
        <v>2659</v>
      </c>
      <c r="N44" s="14" t="s">
        <v>2732</v>
      </c>
      <c r="O44" s="14" t="s">
        <v>2661</v>
      </c>
      <c r="P44" s="14" t="s">
        <v>2662</v>
      </c>
      <c r="Q44" s="14" t="s">
        <v>2733</v>
      </c>
      <c r="R44" s="14" t="s">
        <v>1383</v>
      </c>
      <c r="S44" s="14" t="s">
        <v>2734</v>
      </c>
      <c r="T44" s="14" t="s">
        <v>2735</v>
      </c>
    </row>
    <row r="45" spans="1:20">
      <c r="A45" s="14" t="s">
        <v>2736</v>
      </c>
      <c r="B45" s="14" t="s">
        <v>2737</v>
      </c>
      <c r="C45" s="14" t="s">
        <v>2639</v>
      </c>
      <c r="D45" s="14" t="s">
        <v>2738</v>
      </c>
      <c r="E45" s="14" t="s">
        <v>2724</v>
      </c>
      <c r="F45" s="14" t="s">
        <v>1340</v>
      </c>
      <c r="G45" s="14" t="s">
        <v>617</v>
      </c>
      <c r="H45" s="14" t="s">
        <v>617</v>
      </c>
      <c r="I45" s="14" t="s">
        <v>619</v>
      </c>
      <c r="J45" s="14" t="s">
        <v>147</v>
      </c>
      <c r="K45" s="14" t="s">
        <v>485</v>
      </c>
      <c r="L45" s="14" t="s">
        <v>1666</v>
      </c>
      <c r="M45" s="14" t="s">
        <v>2659</v>
      </c>
      <c r="N45" s="14" t="s">
        <v>2739</v>
      </c>
      <c r="O45" s="14" t="s">
        <v>2661</v>
      </c>
      <c r="P45" s="14" t="s">
        <v>2687</v>
      </c>
      <c r="Q45" s="14" t="s">
        <v>2740</v>
      </c>
      <c r="R45" s="14" t="s">
        <v>1383</v>
      </c>
      <c r="S45" s="14" t="s">
        <v>2741</v>
      </c>
      <c r="T45" s="14" t="s">
        <v>2742</v>
      </c>
    </row>
    <row r="46" spans="1:20">
      <c r="A46" s="14" t="s">
        <v>2743</v>
      </c>
      <c r="B46" s="14" t="s">
        <v>2744</v>
      </c>
      <c r="C46" s="14" t="s">
        <v>2639</v>
      </c>
      <c r="D46" s="14" t="s">
        <v>2745</v>
      </c>
      <c r="E46" s="14" t="s">
        <v>1374</v>
      </c>
      <c r="F46" s="14" t="s">
        <v>1340</v>
      </c>
      <c r="G46" s="14" t="s">
        <v>611</v>
      </c>
      <c r="H46" s="14" t="s">
        <v>611</v>
      </c>
      <c r="I46" s="14" t="s">
        <v>614</v>
      </c>
      <c r="J46" s="14" t="s">
        <v>147</v>
      </c>
      <c r="K46" s="14" t="s">
        <v>485</v>
      </c>
      <c r="L46" s="14" t="s">
        <v>1666</v>
      </c>
      <c r="M46" s="14" t="s">
        <v>2670</v>
      </c>
      <c r="N46" s="14" t="s">
        <v>2651</v>
      </c>
      <c r="O46" s="14" t="s">
        <v>2671</v>
      </c>
      <c r="P46" s="14" t="s">
        <v>2717</v>
      </c>
      <c r="Q46" s="14" t="s">
        <v>2746</v>
      </c>
      <c r="R46" s="14" t="s">
        <v>1383</v>
      </c>
      <c r="S46" s="14" t="s">
        <v>2747</v>
      </c>
      <c r="T46" s="14" t="s">
        <v>2720</v>
      </c>
    </row>
    <row r="47" spans="1:20">
      <c r="A47" s="14" t="s">
        <v>2748</v>
      </c>
      <c r="B47" s="14" t="s">
        <v>2749</v>
      </c>
      <c r="C47" s="14" t="s">
        <v>2639</v>
      </c>
      <c r="D47" s="14" t="s">
        <v>2750</v>
      </c>
      <c r="E47" s="14" t="s">
        <v>2724</v>
      </c>
      <c r="F47" s="14" t="s">
        <v>1340</v>
      </c>
      <c r="G47" s="14" t="s">
        <v>611</v>
      </c>
      <c r="H47" s="14" t="s">
        <v>611</v>
      </c>
      <c r="I47" s="14" t="s">
        <v>614</v>
      </c>
      <c r="J47" s="14" t="s">
        <v>147</v>
      </c>
      <c r="K47" s="14" t="s">
        <v>485</v>
      </c>
      <c r="L47" s="14" t="s">
        <v>1666</v>
      </c>
      <c r="M47" s="14" t="s">
        <v>2670</v>
      </c>
      <c r="N47" s="14" t="s">
        <v>2751</v>
      </c>
      <c r="O47" s="14" t="s">
        <v>2671</v>
      </c>
      <c r="P47" s="14" t="s">
        <v>2672</v>
      </c>
      <c r="Q47" s="14" t="s">
        <v>2752</v>
      </c>
      <c r="R47" s="14" t="s">
        <v>1383</v>
      </c>
      <c r="S47" s="14" t="s">
        <v>2753</v>
      </c>
      <c r="T47" s="14" t="s">
        <v>2754</v>
      </c>
    </row>
    <row r="48" spans="1:20">
      <c r="A48" s="14" t="s">
        <v>2755</v>
      </c>
      <c r="B48" s="14" t="s">
        <v>2756</v>
      </c>
      <c r="C48" s="14" t="s">
        <v>2639</v>
      </c>
      <c r="D48" s="14" t="s">
        <v>2757</v>
      </c>
      <c r="E48" s="14" t="s">
        <v>1374</v>
      </c>
      <c r="F48" s="14" t="s">
        <v>1340</v>
      </c>
      <c r="G48" s="14" t="s">
        <v>355</v>
      </c>
      <c r="H48" s="14" t="s">
        <v>355</v>
      </c>
      <c r="I48" s="14" t="s">
        <v>357</v>
      </c>
      <c r="J48" s="14" t="s">
        <v>359</v>
      </c>
      <c r="K48" s="14" t="s">
        <v>359</v>
      </c>
      <c r="L48" s="14" t="s">
        <v>1666</v>
      </c>
      <c r="M48" s="14" t="s">
        <v>2659</v>
      </c>
      <c r="N48" s="14" t="s">
        <v>2758</v>
      </c>
      <c r="O48" s="14" t="s">
        <v>2661</v>
      </c>
      <c r="P48" s="14" t="s">
        <v>2662</v>
      </c>
      <c r="Q48" s="14" t="s">
        <v>2759</v>
      </c>
      <c r="R48" s="14" t="s">
        <v>1383</v>
      </c>
      <c r="S48" s="14" t="s">
        <v>2760</v>
      </c>
      <c r="T48" s="14" t="s">
        <v>2761</v>
      </c>
    </row>
    <row r="49" spans="1:20">
      <c r="A49" s="14" t="s">
        <v>2762</v>
      </c>
      <c r="B49" s="14" t="s">
        <v>2763</v>
      </c>
      <c r="C49" s="14" t="s">
        <v>2639</v>
      </c>
      <c r="D49" s="14" t="s">
        <v>2764</v>
      </c>
      <c r="E49" s="14" t="s">
        <v>2724</v>
      </c>
      <c r="F49" s="14" t="s">
        <v>1340</v>
      </c>
      <c r="G49" s="14" t="s">
        <v>355</v>
      </c>
      <c r="H49" s="14" t="s">
        <v>355</v>
      </c>
      <c r="I49" s="14" t="s">
        <v>357</v>
      </c>
      <c r="J49" s="14" t="s">
        <v>2765</v>
      </c>
      <c r="K49" s="14" t="s">
        <v>359</v>
      </c>
      <c r="L49" s="14" t="s">
        <v>1666</v>
      </c>
      <c r="M49" s="14" t="s">
        <v>2659</v>
      </c>
      <c r="N49" s="14" t="s">
        <v>2766</v>
      </c>
      <c r="O49" s="14" t="s">
        <v>2661</v>
      </c>
      <c r="P49" s="14" t="s">
        <v>2687</v>
      </c>
      <c r="Q49" s="14" t="s">
        <v>2767</v>
      </c>
      <c r="R49" s="14" t="s">
        <v>1383</v>
      </c>
      <c r="S49" s="14" t="s">
        <v>2768</v>
      </c>
      <c r="T49" s="14" t="s">
        <v>2769</v>
      </c>
    </row>
    <row r="50" spans="1:20">
      <c r="A50" s="14" t="s">
        <v>2770</v>
      </c>
      <c r="B50" s="14" t="s">
        <v>2771</v>
      </c>
      <c r="C50" s="14" t="s">
        <v>2639</v>
      </c>
      <c r="D50" s="14" t="s">
        <v>2772</v>
      </c>
      <c r="E50" s="14" t="s">
        <v>1374</v>
      </c>
      <c r="F50" s="14" t="s">
        <v>1340</v>
      </c>
      <c r="G50" s="14" t="s">
        <v>310</v>
      </c>
      <c r="H50" s="14" t="s">
        <v>310</v>
      </c>
      <c r="I50" s="14" t="s">
        <v>311</v>
      </c>
      <c r="J50" s="14" t="s">
        <v>277</v>
      </c>
      <c r="K50" s="14" t="s">
        <v>277</v>
      </c>
      <c r="L50" s="14" t="s">
        <v>1666</v>
      </c>
      <c r="M50" s="14" t="s">
        <v>2773</v>
      </c>
      <c r="N50" s="14" t="s">
        <v>2686</v>
      </c>
      <c r="O50" s="14" t="s">
        <v>2671</v>
      </c>
      <c r="P50" s="14" t="s">
        <v>2717</v>
      </c>
      <c r="Q50" s="14" t="s">
        <v>2774</v>
      </c>
      <c r="R50" s="14" t="s">
        <v>1383</v>
      </c>
      <c r="S50" s="14" t="s">
        <v>2775</v>
      </c>
      <c r="T50" s="14" t="s">
        <v>2720</v>
      </c>
    </row>
    <row r="51" spans="1:20">
      <c r="A51" s="14" t="s">
        <v>1648</v>
      </c>
      <c r="B51" s="14" t="s">
        <v>2776</v>
      </c>
      <c r="C51" s="14" t="s">
        <v>2639</v>
      </c>
      <c r="D51" s="14" t="s">
        <v>2777</v>
      </c>
      <c r="E51" s="14" t="s">
        <v>2724</v>
      </c>
      <c r="F51" s="14" t="s">
        <v>1340</v>
      </c>
      <c r="G51" s="14" t="s">
        <v>310</v>
      </c>
      <c r="H51" s="14" t="s">
        <v>310</v>
      </c>
      <c r="I51" s="14" t="s">
        <v>311</v>
      </c>
      <c r="J51" s="14" t="s">
        <v>277</v>
      </c>
      <c r="K51" s="14" t="s">
        <v>277</v>
      </c>
      <c r="L51" s="14" t="s">
        <v>1666</v>
      </c>
      <c r="M51" s="14" t="s">
        <v>2773</v>
      </c>
      <c r="N51" s="14" t="s">
        <v>2778</v>
      </c>
      <c r="O51" s="14" t="s">
        <v>2671</v>
      </c>
      <c r="P51" s="14" t="s">
        <v>2672</v>
      </c>
      <c r="Q51" s="14" t="s">
        <v>2779</v>
      </c>
      <c r="R51" s="14" t="s">
        <v>1383</v>
      </c>
      <c r="S51" s="14" t="s">
        <v>2780</v>
      </c>
      <c r="T51" s="14" t="s">
        <v>2781</v>
      </c>
    </row>
    <row r="52" spans="1:20">
      <c r="A52" s="14" t="s">
        <v>2782</v>
      </c>
      <c r="B52" s="14" t="s">
        <v>2783</v>
      </c>
      <c r="C52" s="14" t="s">
        <v>2639</v>
      </c>
      <c r="D52" s="14" t="s">
        <v>2784</v>
      </c>
      <c r="E52" s="14" t="s">
        <v>1374</v>
      </c>
      <c r="F52" s="14" t="s">
        <v>1340</v>
      </c>
      <c r="G52" s="14" t="s">
        <v>409</v>
      </c>
      <c r="H52" s="14" t="s">
        <v>409</v>
      </c>
      <c r="I52" s="14" t="s">
        <v>416</v>
      </c>
      <c r="J52" s="14" t="s">
        <v>1342</v>
      </c>
      <c r="K52" s="14" t="s">
        <v>410</v>
      </c>
      <c r="L52" s="14" t="s">
        <v>1666</v>
      </c>
      <c r="M52" s="14" t="s">
        <v>2773</v>
      </c>
      <c r="N52" s="14" t="s">
        <v>2785</v>
      </c>
      <c r="O52" s="14" t="s">
        <v>2671</v>
      </c>
      <c r="P52" s="14" t="s">
        <v>2717</v>
      </c>
      <c r="Q52" s="14" t="s">
        <v>2786</v>
      </c>
      <c r="R52" s="14" t="s">
        <v>1383</v>
      </c>
      <c r="S52" s="14" t="s">
        <v>2787</v>
      </c>
      <c r="T52" s="14" t="s">
        <v>2788</v>
      </c>
    </row>
    <row r="53" spans="1:20">
      <c r="A53" s="14" t="s">
        <v>2789</v>
      </c>
      <c r="B53" s="14" t="s">
        <v>2790</v>
      </c>
      <c r="C53" s="14" t="s">
        <v>2639</v>
      </c>
      <c r="D53" s="14" t="s">
        <v>2791</v>
      </c>
      <c r="E53" s="14" t="s">
        <v>2724</v>
      </c>
      <c r="F53" s="14" t="s">
        <v>1340</v>
      </c>
      <c r="G53" s="14" t="s">
        <v>409</v>
      </c>
      <c r="H53" s="14" t="s">
        <v>409</v>
      </c>
      <c r="I53" s="14" t="s">
        <v>416</v>
      </c>
      <c r="J53" s="14" t="s">
        <v>1342</v>
      </c>
      <c r="K53" s="14" t="s">
        <v>410</v>
      </c>
      <c r="L53" s="14" t="s">
        <v>1666</v>
      </c>
      <c r="M53" s="14" t="s">
        <v>2773</v>
      </c>
      <c r="N53" s="14" t="s">
        <v>2711</v>
      </c>
      <c r="O53" s="14" t="s">
        <v>2671</v>
      </c>
      <c r="P53" s="14" t="s">
        <v>2672</v>
      </c>
      <c r="Q53" s="14" t="s">
        <v>2792</v>
      </c>
      <c r="R53" s="14" t="s">
        <v>1383</v>
      </c>
      <c r="S53" s="14" t="s">
        <v>2793</v>
      </c>
      <c r="T53" s="14" t="s">
        <v>2794</v>
      </c>
    </row>
    <row r="54" spans="1:20">
      <c r="A54" s="14" t="s">
        <v>2795</v>
      </c>
      <c r="B54" s="14" t="s">
        <v>2796</v>
      </c>
      <c r="C54" s="14" t="s">
        <v>2639</v>
      </c>
      <c r="D54" s="14" t="s">
        <v>2797</v>
      </c>
      <c r="E54" s="14" t="s">
        <v>1421</v>
      </c>
      <c r="F54" s="14" t="s">
        <v>2798</v>
      </c>
      <c r="G54" s="14" t="s">
        <v>318</v>
      </c>
      <c r="H54" s="14" t="s">
        <v>318</v>
      </c>
      <c r="I54" s="14" t="s">
        <v>319</v>
      </c>
      <c r="J54" s="14" t="s">
        <v>277</v>
      </c>
      <c r="K54" s="14" t="s">
        <v>277</v>
      </c>
      <c r="L54" s="14" t="s">
        <v>2172</v>
      </c>
      <c r="M54" s="14" t="s">
        <v>2799</v>
      </c>
      <c r="N54" s="14" t="s">
        <v>2800</v>
      </c>
      <c r="O54" s="14"/>
      <c r="P54" s="14" t="s">
        <v>2801</v>
      </c>
      <c r="Q54" s="14" t="s">
        <v>2802</v>
      </c>
      <c r="R54" s="14" t="s">
        <v>1383</v>
      </c>
      <c r="S54" s="14" t="s">
        <v>2803</v>
      </c>
      <c r="T54" s="14" t="s">
        <v>2804</v>
      </c>
    </row>
    <row r="55" spans="1:20">
      <c r="A55" s="14" t="s">
        <v>2805</v>
      </c>
      <c r="B55" s="14" t="s">
        <v>2806</v>
      </c>
      <c r="C55" s="14" t="s">
        <v>2639</v>
      </c>
      <c r="D55" s="14" t="s">
        <v>2807</v>
      </c>
      <c r="E55" s="14" t="s">
        <v>1421</v>
      </c>
      <c r="F55" s="14" t="s">
        <v>1520</v>
      </c>
      <c r="G55" s="14" t="s">
        <v>310</v>
      </c>
      <c r="H55" s="14" t="s">
        <v>310</v>
      </c>
      <c r="I55" s="14" t="s">
        <v>311</v>
      </c>
      <c r="J55" s="14" t="s">
        <v>277</v>
      </c>
      <c r="K55" s="14" t="s">
        <v>277</v>
      </c>
      <c r="L55" s="14" t="s">
        <v>1666</v>
      </c>
      <c r="M55" s="14" t="s">
        <v>2799</v>
      </c>
      <c r="N55" s="14" t="s">
        <v>2778</v>
      </c>
      <c r="O55" s="14"/>
      <c r="P55" s="14" t="s">
        <v>2808</v>
      </c>
      <c r="Q55" s="14"/>
      <c r="R55" s="14" t="s">
        <v>1383</v>
      </c>
      <c r="S55" s="14" t="s">
        <v>2809</v>
      </c>
      <c r="T55" s="14" t="s">
        <v>2810</v>
      </c>
    </row>
    <row r="56" spans="1:20">
      <c r="A56" s="14" t="s">
        <v>2811</v>
      </c>
      <c r="B56" s="14" t="s">
        <v>2812</v>
      </c>
      <c r="C56" s="14" t="s">
        <v>2639</v>
      </c>
      <c r="D56" s="14" t="s">
        <v>2813</v>
      </c>
      <c r="E56" s="14" t="s">
        <v>1421</v>
      </c>
      <c r="F56" s="14" t="s">
        <v>2798</v>
      </c>
      <c r="G56" s="14" t="s">
        <v>318</v>
      </c>
      <c r="H56" s="14" t="s">
        <v>318</v>
      </c>
      <c r="I56" s="14" t="s">
        <v>319</v>
      </c>
      <c r="J56" s="14" t="s">
        <v>277</v>
      </c>
      <c r="K56" s="14" t="s">
        <v>277</v>
      </c>
      <c r="L56" s="14" t="s">
        <v>1666</v>
      </c>
      <c r="M56" s="14" t="s">
        <v>2799</v>
      </c>
      <c r="N56" s="14" t="s">
        <v>2679</v>
      </c>
      <c r="O56" s="14"/>
      <c r="P56" s="14" t="s">
        <v>2801</v>
      </c>
      <c r="Q56" s="14"/>
      <c r="R56" s="14" t="s">
        <v>1383</v>
      </c>
      <c r="S56" s="14" t="s">
        <v>2814</v>
      </c>
      <c r="T56" s="14" t="s">
        <v>2815</v>
      </c>
    </row>
    <row r="57" spans="1:20">
      <c r="A57" s="14" t="s">
        <v>2816</v>
      </c>
      <c r="B57" s="14" t="s">
        <v>2817</v>
      </c>
      <c r="C57" s="14" t="s">
        <v>2639</v>
      </c>
      <c r="D57" s="14" t="s">
        <v>2818</v>
      </c>
      <c r="E57" s="14" t="s">
        <v>1421</v>
      </c>
      <c r="F57" s="14" t="s">
        <v>1520</v>
      </c>
      <c r="G57" s="14" t="s">
        <v>310</v>
      </c>
      <c r="H57" s="14" t="s">
        <v>310</v>
      </c>
      <c r="I57" s="14" t="s">
        <v>311</v>
      </c>
      <c r="J57" s="14" t="s">
        <v>277</v>
      </c>
      <c r="K57" s="14" t="s">
        <v>277</v>
      </c>
      <c r="L57" s="14" t="s">
        <v>1666</v>
      </c>
      <c r="M57" s="14" t="s">
        <v>2799</v>
      </c>
      <c r="N57" s="14" t="s">
        <v>2699</v>
      </c>
      <c r="O57" s="14"/>
      <c r="P57" s="14" t="s">
        <v>2808</v>
      </c>
      <c r="Q57" s="14"/>
      <c r="R57" s="14" t="s">
        <v>1383</v>
      </c>
      <c r="S57" s="14" t="s">
        <v>2819</v>
      </c>
      <c r="T57" s="14" t="s">
        <v>2820</v>
      </c>
    </row>
    <row r="58" spans="1:20">
      <c r="A58" s="14" t="s">
        <v>2821</v>
      </c>
      <c r="B58" s="14" t="s">
        <v>2822</v>
      </c>
      <c r="C58" s="14" t="s">
        <v>2639</v>
      </c>
      <c r="D58" s="14" t="s">
        <v>2823</v>
      </c>
      <c r="E58" s="14" t="s">
        <v>2824</v>
      </c>
      <c r="F58" s="14" t="s">
        <v>2825</v>
      </c>
      <c r="G58" s="14" t="s">
        <v>71</v>
      </c>
      <c r="H58" s="14" t="s">
        <v>71</v>
      </c>
      <c r="I58" s="14"/>
      <c r="J58" s="14" t="s">
        <v>73</v>
      </c>
      <c r="K58" s="14" t="s">
        <v>73</v>
      </c>
      <c r="L58" s="14" t="s">
        <v>1666</v>
      </c>
      <c r="M58" s="14" t="s">
        <v>2826</v>
      </c>
      <c r="N58" s="14" t="s">
        <v>2827</v>
      </c>
      <c r="O58" s="14"/>
      <c r="P58" s="14" t="s">
        <v>2828</v>
      </c>
      <c r="Q58" s="14"/>
      <c r="R58" s="14" t="s">
        <v>1383</v>
      </c>
      <c r="S58" s="14" t="s">
        <v>2829</v>
      </c>
      <c r="T58" s="14" t="s">
        <v>2830</v>
      </c>
    </row>
    <row r="59" spans="1:20">
      <c r="A59" s="14" t="s">
        <v>2831</v>
      </c>
      <c r="B59" s="14" t="s">
        <v>2832</v>
      </c>
      <c r="C59" s="14" t="s">
        <v>2639</v>
      </c>
      <c r="D59" s="14" t="s">
        <v>2833</v>
      </c>
      <c r="E59" s="14" t="s">
        <v>1660</v>
      </c>
      <c r="F59" s="14" t="s">
        <v>2834</v>
      </c>
      <c r="G59" s="14"/>
      <c r="H59" s="14" t="s">
        <v>71</v>
      </c>
      <c r="I59" s="14"/>
      <c r="J59" s="14" t="s">
        <v>73</v>
      </c>
      <c r="K59" s="14"/>
      <c r="L59" s="14" t="s">
        <v>1666</v>
      </c>
      <c r="M59" s="14" t="s">
        <v>2835</v>
      </c>
      <c r="N59" s="14" t="s">
        <v>2827</v>
      </c>
      <c r="O59" s="14"/>
      <c r="P59" s="14" t="s">
        <v>2836</v>
      </c>
      <c r="Q59" s="14"/>
      <c r="R59" s="14" t="s">
        <v>1383</v>
      </c>
      <c r="S59" s="14" t="s">
        <v>2837</v>
      </c>
      <c r="T59" s="14" t="s">
        <v>2838</v>
      </c>
    </row>
    <row r="60" spans="1:20">
      <c r="A60" s="14" t="s">
        <v>2839</v>
      </c>
      <c r="B60" s="14" t="s">
        <v>2840</v>
      </c>
      <c r="C60" s="14" t="s">
        <v>2639</v>
      </c>
      <c r="D60" s="14" t="s">
        <v>2841</v>
      </c>
      <c r="E60" s="14" t="s">
        <v>2824</v>
      </c>
      <c r="F60" s="14" t="s">
        <v>2825</v>
      </c>
      <c r="G60" s="14" t="s">
        <v>199</v>
      </c>
      <c r="H60" s="14" t="s">
        <v>202</v>
      </c>
      <c r="I60" s="14" t="s">
        <v>199</v>
      </c>
      <c r="J60" s="14" t="s">
        <v>178</v>
      </c>
      <c r="K60" s="14" t="s">
        <v>178</v>
      </c>
      <c r="L60" s="14" t="s">
        <v>1666</v>
      </c>
      <c r="M60" s="14" t="s">
        <v>2826</v>
      </c>
      <c r="N60" s="14" t="s">
        <v>2711</v>
      </c>
      <c r="O60" s="14"/>
      <c r="P60" s="14" t="s">
        <v>2828</v>
      </c>
      <c r="Q60" s="14"/>
      <c r="R60" s="14" t="s">
        <v>1383</v>
      </c>
      <c r="S60" s="14" t="s">
        <v>2842</v>
      </c>
      <c r="T60" s="14" t="s">
        <v>2830</v>
      </c>
    </row>
    <row r="61" spans="1:20">
      <c r="A61" s="14" t="s">
        <v>2843</v>
      </c>
      <c r="B61" s="14" t="s">
        <v>2844</v>
      </c>
      <c r="C61" s="14" t="s">
        <v>2639</v>
      </c>
      <c r="D61" s="14" t="s">
        <v>2845</v>
      </c>
      <c r="E61" s="14" t="s">
        <v>1660</v>
      </c>
      <c r="F61" s="14" t="s">
        <v>2834</v>
      </c>
      <c r="G61" s="14" t="s">
        <v>199</v>
      </c>
      <c r="H61" s="14" t="s">
        <v>202</v>
      </c>
      <c r="I61" s="14" t="s">
        <v>199</v>
      </c>
      <c r="J61" s="14" t="s">
        <v>178</v>
      </c>
      <c r="K61" s="14" t="s">
        <v>178</v>
      </c>
      <c r="L61" s="14" t="s">
        <v>1666</v>
      </c>
      <c r="M61" s="14" t="s">
        <v>2835</v>
      </c>
      <c r="N61" s="14" t="s">
        <v>2846</v>
      </c>
      <c r="O61" s="14"/>
      <c r="P61" s="14" t="s">
        <v>2836</v>
      </c>
      <c r="Q61" s="14"/>
      <c r="R61" s="14" t="s">
        <v>1383</v>
      </c>
      <c r="S61" s="14" t="s">
        <v>2847</v>
      </c>
      <c r="T61" s="14" t="s">
        <v>2848</v>
      </c>
    </row>
    <row r="62" spans="1:20">
      <c r="A62" s="14" t="s">
        <v>2849</v>
      </c>
      <c r="B62" s="14" t="s">
        <v>2850</v>
      </c>
      <c r="C62" s="14" t="s">
        <v>2639</v>
      </c>
      <c r="D62" s="14" t="s">
        <v>2851</v>
      </c>
      <c r="E62" s="14" t="s">
        <v>2824</v>
      </c>
      <c r="F62" s="14" t="s">
        <v>2825</v>
      </c>
      <c r="G62" s="14" t="s">
        <v>250</v>
      </c>
      <c r="H62" s="14" t="s">
        <v>247</v>
      </c>
      <c r="I62" s="14" t="s">
        <v>250</v>
      </c>
      <c r="J62" s="14" t="s">
        <v>178</v>
      </c>
      <c r="K62" s="14" t="s">
        <v>178</v>
      </c>
      <c r="L62" s="14" t="s">
        <v>1666</v>
      </c>
      <c r="M62" s="14" t="s">
        <v>2826</v>
      </c>
      <c r="N62" s="14" t="s">
        <v>2785</v>
      </c>
      <c r="O62" s="14"/>
      <c r="P62" s="14" t="s">
        <v>2828</v>
      </c>
      <c r="Q62" s="14"/>
      <c r="R62" s="14" t="s">
        <v>1383</v>
      </c>
      <c r="S62" s="14" t="s">
        <v>2852</v>
      </c>
      <c r="T62" s="14" t="s">
        <v>2830</v>
      </c>
    </row>
    <row r="63" spans="1:20">
      <c r="A63" s="14" t="s">
        <v>2853</v>
      </c>
      <c r="B63" s="14" t="s">
        <v>2854</v>
      </c>
      <c r="C63" s="14" t="s">
        <v>2639</v>
      </c>
      <c r="D63" s="14" t="s">
        <v>2855</v>
      </c>
      <c r="E63" s="14" t="s">
        <v>1660</v>
      </c>
      <c r="F63" s="14" t="s">
        <v>2834</v>
      </c>
      <c r="G63" s="14" t="s">
        <v>250</v>
      </c>
      <c r="H63" s="14" t="s">
        <v>247</v>
      </c>
      <c r="I63" s="14" t="s">
        <v>250</v>
      </c>
      <c r="J63" s="14" t="s">
        <v>178</v>
      </c>
      <c r="K63" s="14" t="s">
        <v>178</v>
      </c>
      <c r="L63" s="14" t="s">
        <v>1666</v>
      </c>
      <c r="M63" s="14" t="s">
        <v>2835</v>
      </c>
      <c r="N63" s="14" t="s">
        <v>2856</v>
      </c>
      <c r="O63" s="14"/>
      <c r="P63" s="14" t="s">
        <v>2836</v>
      </c>
      <c r="Q63" s="14"/>
      <c r="R63" s="14" t="s">
        <v>1383</v>
      </c>
      <c r="S63" s="14" t="s">
        <v>2857</v>
      </c>
      <c r="T63" s="14" t="s">
        <v>2858</v>
      </c>
    </row>
    <row r="64" spans="1:20">
      <c r="A64" s="14" t="s">
        <v>2859</v>
      </c>
      <c r="B64" s="14" t="s">
        <v>2860</v>
      </c>
      <c r="C64" s="14" t="s">
        <v>2639</v>
      </c>
      <c r="D64" s="14" t="s">
        <v>2861</v>
      </c>
      <c r="E64" s="14" t="s">
        <v>2824</v>
      </c>
      <c r="F64" s="14" t="s">
        <v>2825</v>
      </c>
      <c r="G64" s="14" t="s">
        <v>246</v>
      </c>
      <c r="H64" s="14" t="s">
        <v>248</v>
      </c>
      <c r="I64" s="14" t="s">
        <v>246</v>
      </c>
      <c r="J64" s="14" t="s">
        <v>178</v>
      </c>
      <c r="K64" s="14" t="s">
        <v>178</v>
      </c>
      <c r="L64" s="14" t="s">
        <v>1666</v>
      </c>
      <c r="M64" s="14" t="s">
        <v>2826</v>
      </c>
      <c r="N64" s="14" t="s">
        <v>2862</v>
      </c>
      <c r="O64" s="14"/>
      <c r="P64" s="14" t="s">
        <v>2828</v>
      </c>
      <c r="Q64" s="14"/>
      <c r="R64" s="14" t="s">
        <v>1383</v>
      </c>
      <c r="S64" s="14" t="s">
        <v>2863</v>
      </c>
      <c r="T64" s="14" t="s">
        <v>2830</v>
      </c>
    </row>
    <row r="65" spans="1:20">
      <c r="A65" s="14" t="s">
        <v>2864</v>
      </c>
      <c r="B65" s="14" t="s">
        <v>2865</v>
      </c>
      <c r="C65" s="14" t="s">
        <v>2639</v>
      </c>
      <c r="D65" s="14" t="s">
        <v>2866</v>
      </c>
      <c r="E65" s="14" t="s">
        <v>1660</v>
      </c>
      <c r="F65" s="14" t="s">
        <v>2834</v>
      </c>
      <c r="G65" s="14" t="s">
        <v>246</v>
      </c>
      <c r="H65" s="14" t="s">
        <v>248</v>
      </c>
      <c r="I65" s="14" t="s">
        <v>246</v>
      </c>
      <c r="J65" s="14" t="s">
        <v>178</v>
      </c>
      <c r="K65" s="14" t="s">
        <v>178</v>
      </c>
      <c r="L65" s="14" t="s">
        <v>1666</v>
      </c>
      <c r="M65" s="14" t="s">
        <v>2835</v>
      </c>
      <c r="N65" s="14" t="s">
        <v>2867</v>
      </c>
      <c r="O65" s="14"/>
      <c r="P65" s="14" t="s">
        <v>2836</v>
      </c>
      <c r="Q65" s="14"/>
      <c r="R65" s="14" t="s">
        <v>1383</v>
      </c>
      <c r="S65" s="14" t="s">
        <v>2868</v>
      </c>
      <c r="T65" s="14" t="s">
        <v>2869</v>
      </c>
    </row>
    <row r="66" spans="1:20">
      <c r="A66" s="14" t="s">
        <v>2870</v>
      </c>
      <c r="B66" s="14" t="s">
        <v>2871</v>
      </c>
      <c r="C66" s="14" t="s">
        <v>2639</v>
      </c>
      <c r="D66" s="14" t="s">
        <v>2872</v>
      </c>
      <c r="E66" s="14" t="s">
        <v>2824</v>
      </c>
      <c r="F66" s="14" t="s">
        <v>2825</v>
      </c>
      <c r="G66" s="14" t="s">
        <v>260</v>
      </c>
      <c r="H66" s="14" t="s">
        <v>260</v>
      </c>
      <c r="I66" s="14"/>
      <c r="J66" s="14" t="s">
        <v>261</v>
      </c>
      <c r="K66" s="14" t="s">
        <v>261</v>
      </c>
      <c r="L66" s="14" t="s">
        <v>1666</v>
      </c>
      <c r="M66" s="14" t="s">
        <v>2826</v>
      </c>
      <c r="N66" s="14" t="s">
        <v>2873</v>
      </c>
      <c r="O66" s="14"/>
      <c r="P66" s="14" t="s">
        <v>2828</v>
      </c>
      <c r="Q66" s="14"/>
      <c r="R66" s="14" t="s">
        <v>1383</v>
      </c>
      <c r="S66" s="14" t="s">
        <v>2874</v>
      </c>
      <c r="T66" s="14" t="s">
        <v>2830</v>
      </c>
    </row>
    <row r="67" spans="1:20">
      <c r="A67" s="14" t="s">
        <v>2875</v>
      </c>
      <c r="B67" s="14" t="s">
        <v>2876</v>
      </c>
      <c r="C67" s="14" t="s">
        <v>2639</v>
      </c>
      <c r="D67" s="14" t="s">
        <v>2877</v>
      </c>
      <c r="E67" s="14" t="s">
        <v>1660</v>
      </c>
      <c r="F67" s="14" t="s">
        <v>2834</v>
      </c>
      <c r="G67" s="14"/>
      <c r="H67" s="14" t="s">
        <v>260</v>
      </c>
      <c r="I67" s="14"/>
      <c r="J67" s="14" t="s">
        <v>261</v>
      </c>
      <c r="K67" s="14"/>
      <c r="L67" s="14" t="s">
        <v>1666</v>
      </c>
      <c r="M67" s="14" t="s">
        <v>2835</v>
      </c>
      <c r="N67" s="14" t="s">
        <v>2862</v>
      </c>
      <c r="O67" s="14"/>
      <c r="P67" s="14" t="s">
        <v>2836</v>
      </c>
      <c r="Q67" s="14"/>
      <c r="R67" s="14" t="s">
        <v>1383</v>
      </c>
      <c r="S67" s="14" t="s">
        <v>2878</v>
      </c>
      <c r="T67" s="14" t="s">
        <v>2879</v>
      </c>
    </row>
    <row r="68" spans="1:20">
      <c r="A68" s="14" t="s">
        <v>2880</v>
      </c>
      <c r="B68" s="14" t="s">
        <v>2881</v>
      </c>
      <c r="C68" s="14" t="s">
        <v>2639</v>
      </c>
      <c r="D68" s="14" t="s">
        <v>2882</v>
      </c>
      <c r="E68" s="14" t="s">
        <v>2824</v>
      </c>
      <c r="F68" s="14" t="s">
        <v>2825</v>
      </c>
      <c r="G68" s="14" t="s">
        <v>267</v>
      </c>
      <c r="H68" s="14" t="s">
        <v>267</v>
      </c>
      <c r="I68" s="14" t="s">
        <v>269</v>
      </c>
      <c r="J68" s="14" t="s">
        <v>261</v>
      </c>
      <c r="K68" s="14" t="s">
        <v>261</v>
      </c>
      <c r="L68" s="14" t="s">
        <v>1666</v>
      </c>
      <c r="M68" s="14" t="s">
        <v>2826</v>
      </c>
      <c r="N68" s="14" t="s">
        <v>2883</v>
      </c>
      <c r="O68" s="14"/>
      <c r="P68" s="14" t="s">
        <v>2828</v>
      </c>
      <c r="Q68" s="14"/>
      <c r="R68" s="14" t="s">
        <v>1383</v>
      </c>
      <c r="S68" s="14" t="s">
        <v>2884</v>
      </c>
      <c r="T68" s="14" t="s">
        <v>2830</v>
      </c>
    </row>
    <row r="69" spans="1:20">
      <c r="A69" s="14" t="s">
        <v>2885</v>
      </c>
      <c r="B69" s="14" t="s">
        <v>2886</v>
      </c>
      <c r="C69" s="14" t="s">
        <v>2639</v>
      </c>
      <c r="D69" s="14" t="s">
        <v>2887</v>
      </c>
      <c r="E69" s="14" t="s">
        <v>1660</v>
      </c>
      <c r="F69" s="14" t="s">
        <v>2834</v>
      </c>
      <c r="G69" s="14"/>
      <c r="H69" s="14" t="s">
        <v>267</v>
      </c>
      <c r="I69" s="14"/>
      <c r="J69" s="14" t="s">
        <v>261</v>
      </c>
      <c r="K69" s="14"/>
      <c r="L69" s="14" t="s">
        <v>1666</v>
      </c>
      <c r="M69" s="14" t="s">
        <v>2835</v>
      </c>
      <c r="N69" s="14" t="s">
        <v>2873</v>
      </c>
      <c r="O69" s="14"/>
      <c r="P69" s="14" t="s">
        <v>2836</v>
      </c>
      <c r="Q69" s="14"/>
      <c r="R69" s="14" t="s">
        <v>1383</v>
      </c>
      <c r="S69" s="14" t="s">
        <v>2888</v>
      </c>
      <c r="T69" s="14" t="s">
        <v>2889</v>
      </c>
    </row>
    <row r="70" spans="1:20">
      <c r="A70" s="14" t="s">
        <v>2890</v>
      </c>
      <c r="B70" s="14" t="s">
        <v>2891</v>
      </c>
      <c r="C70" s="14" t="s">
        <v>2639</v>
      </c>
      <c r="D70" s="14" t="s">
        <v>2892</v>
      </c>
      <c r="E70" s="14" t="s">
        <v>2824</v>
      </c>
      <c r="F70" s="14" t="s">
        <v>2825</v>
      </c>
      <c r="G70" s="14" t="s">
        <v>287</v>
      </c>
      <c r="H70" s="14" t="s">
        <v>284</v>
      </c>
      <c r="I70" s="14" t="s">
        <v>287</v>
      </c>
      <c r="J70" s="14" t="s">
        <v>331</v>
      </c>
      <c r="K70" s="14" t="s">
        <v>286</v>
      </c>
      <c r="L70" s="14" t="s">
        <v>1666</v>
      </c>
      <c r="M70" s="14" t="s">
        <v>2826</v>
      </c>
      <c r="N70" s="14" t="s">
        <v>2766</v>
      </c>
      <c r="O70" s="14"/>
      <c r="P70" s="14" t="s">
        <v>2828</v>
      </c>
      <c r="Q70" s="14"/>
      <c r="R70" s="14" t="s">
        <v>1383</v>
      </c>
      <c r="S70" s="14" t="s">
        <v>2893</v>
      </c>
      <c r="T70" s="14" t="s">
        <v>2830</v>
      </c>
    </row>
    <row r="71" spans="1:20">
      <c r="A71" s="14" t="s">
        <v>2894</v>
      </c>
      <c r="B71" s="14" t="s">
        <v>2895</v>
      </c>
      <c r="C71" s="14" t="s">
        <v>2639</v>
      </c>
      <c r="D71" s="14" t="s">
        <v>2896</v>
      </c>
      <c r="E71" s="14" t="s">
        <v>1660</v>
      </c>
      <c r="F71" s="14" t="s">
        <v>2834</v>
      </c>
      <c r="G71" s="14" t="s">
        <v>287</v>
      </c>
      <c r="H71" s="14" t="s">
        <v>284</v>
      </c>
      <c r="I71" s="14" t="s">
        <v>287</v>
      </c>
      <c r="J71" s="14" t="s">
        <v>331</v>
      </c>
      <c r="K71" s="14" t="s">
        <v>286</v>
      </c>
      <c r="L71" s="14" t="s">
        <v>1666</v>
      </c>
      <c r="M71" s="14" t="s">
        <v>2835</v>
      </c>
      <c r="N71" s="14" t="s">
        <v>2883</v>
      </c>
      <c r="O71" s="14"/>
      <c r="P71" s="14" t="s">
        <v>2836</v>
      </c>
      <c r="Q71" s="14"/>
      <c r="R71" s="14" t="s">
        <v>1383</v>
      </c>
      <c r="S71" s="14" t="s">
        <v>2897</v>
      </c>
      <c r="T71" s="14" t="s">
        <v>2898</v>
      </c>
    </row>
    <row r="72" spans="1:20">
      <c r="A72" s="14" t="s">
        <v>2899</v>
      </c>
      <c r="B72" s="14" t="s">
        <v>2900</v>
      </c>
      <c r="C72" s="14" t="s">
        <v>2639</v>
      </c>
      <c r="D72" s="14" t="s">
        <v>2901</v>
      </c>
      <c r="E72" s="14" t="s">
        <v>2824</v>
      </c>
      <c r="F72" s="14" t="s">
        <v>2825</v>
      </c>
      <c r="G72" s="14" t="s">
        <v>279</v>
      </c>
      <c r="H72" s="14" t="s">
        <v>276</v>
      </c>
      <c r="I72" s="14" t="s">
        <v>279</v>
      </c>
      <c r="J72" s="14" t="s">
        <v>277</v>
      </c>
      <c r="K72" s="14" t="s">
        <v>277</v>
      </c>
      <c r="L72" s="14" t="s">
        <v>1666</v>
      </c>
      <c r="M72" s="14" t="s">
        <v>2826</v>
      </c>
      <c r="N72" s="14" t="s">
        <v>2758</v>
      </c>
      <c r="O72" s="14"/>
      <c r="P72" s="14" t="s">
        <v>2828</v>
      </c>
      <c r="Q72" s="14"/>
      <c r="R72" s="14" t="s">
        <v>1383</v>
      </c>
      <c r="S72" s="14" t="s">
        <v>2902</v>
      </c>
      <c r="T72" s="14" t="s">
        <v>2830</v>
      </c>
    </row>
    <row r="73" spans="1:20">
      <c r="A73" s="14" t="s">
        <v>2903</v>
      </c>
      <c r="B73" s="14" t="s">
        <v>2904</v>
      </c>
      <c r="C73" s="14" t="s">
        <v>2639</v>
      </c>
      <c r="D73" s="14" t="s">
        <v>2905</v>
      </c>
      <c r="E73" s="14" t="s">
        <v>1660</v>
      </c>
      <c r="F73" s="14" t="s">
        <v>2834</v>
      </c>
      <c r="G73" s="14" t="s">
        <v>279</v>
      </c>
      <c r="H73" s="14" t="s">
        <v>276</v>
      </c>
      <c r="I73" s="14" t="s">
        <v>279</v>
      </c>
      <c r="J73" s="14" t="s">
        <v>277</v>
      </c>
      <c r="K73" s="14" t="s">
        <v>277</v>
      </c>
      <c r="L73" s="14" t="s">
        <v>1666</v>
      </c>
      <c r="M73" s="14" t="s">
        <v>2835</v>
      </c>
      <c r="N73" s="14" t="s">
        <v>2766</v>
      </c>
      <c r="O73" s="14"/>
      <c r="P73" s="14" t="s">
        <v>2836</v>
      </c>
      <c r="Q73" s="14"/>
      <c r="R73" s="14" t="s">
        <v>1383</v>
      </c>
      <c r="S73" s="14" t="s">
        <v>2906</v>
      </c>
      <c r="T73" s="14" t="s">
        <v>2907</v>
      </c>
    </row>
    <row r="74" spans="1:20">
      <c r="A74" s="14" t="s">
        <v>2908</v>
      </c>
      <c r="B74" s="14" t="s">
        <v>2909</v>
      </c>
      <c r="C74" s="14" t="s">
        <v>2639</v>
      </c>
      <c r="D74" s="14" t="s">
        <v>2910</v>
      </c>
      <c r="E74" s="14" t="s">
        <v>2824</v>
      </c>
      <c r="F74" s="14" t="s">
        <v>2825</v>
      </c>
      <c r="G74" s="14" t="s">
        <v>2911</v>
      </c>
      <c r="H74" s="14" t="s">
        <v>291</v>
      </c>
      <c r="I74" s="14"/>
      <c r="J74" s="14" t="s">
        <v>103</v>
      </c>
      <c r="K74" s="14" t="s">
        <v>103</v>
      </c>
      <c r="L74" s="14" t="s">
        <v>1666</v>
      </c>
      <c r="M74" s="14" t="s">
        <v>2826</v>
      </c>
      <c r="N74" s="14" t="s">
        <v>2912</v>
      </c>
      <c r="O74" s="14"/>
      <c r="P74" s="14" t="s">
        <v>2828</v>
      </c>
      <c r="Q74" s="14"/>
      <c r="R74" s="14" t="s">
        <v>1383</v>
      </c>
      <c r="S74" s="14" t="s">
        <v>2913</v>
      </c>
      <c r="T74" s="14" t="s">
        <v>2830</v>
      </c>
    </row>
    <row r="75" spans="1:20">
      <c r="A75" s="14" t="s">
        <v>2914</v>
      </c>
      <c r="B75" s="14" t="s">
        <v>2915</v>
      </c>
      <c r="C75" s="14" t="s">
        <v>2639</v>
      </c>
      <c r="D75" s="14" t="s">
        <v>2916</v>
      </c>
      <c r="E75" s="14" t="s">
        <v>1660</v>
      </c>
      <c r="F75" s="14" t="s">
        <v>2834</v>
      </c>
      <c r="G75" s="14"/>
      <c r="H75" s="14" t="s">
        <v>291</v>
      </c>
      <c r="I75" s="14"/>
      <c r="J75" s="14" t="s">
        <v>103</v>
      </c>
      <c r="K75" s="14"/>
      <c r="L75" s="14" t="s">
        <v>1666</v>
      </c>
      <c r="M75" s="14" t="s">
        <v>2835</v>
      </c>
      <c r="N75" s="14" t="s">
        <v>2758</v>
      </c>
      <c r="O75" s="14"/>
      <c r="P75" s="14" t="s">
        <v>2836</v>
      </c>
      <c r="Q75" s="14"/>
      <c r="R75" s="14" t="s">
        <v>1383</v>
      </c>
      <c r="S75" s="14" t="s">
        <v>2917</v>
      </c>
      <c r="T75" s="14" t="s">
        <v>2918</v>
      </c>
    </row>
    <row r="76" spans="1:20">
      <c r="A76" s="14" t="s">
        <v>2919</v>
      </c>
      <c r="B76" s="14" t="s">
        <v>2920</v>
      </c>
      <c r="C76" s="14" t="s">
        <v>2639</v>
      </c>
      <c r="D76" s="14" t="s">
        <v>2921</v>
      </c>
      <c r="E76" s="14" t="s">
        <v>2824</v>
      </c>
      <c r="F76" s="14" t="s">
        <v>2825</v>
      </c>
      <c r="G76" s="14" t="s">
        <v>295</v>
      </c>
      <c r="H76" s="14" t="s">
        <v>296</v>
      </c>
      <c r="I76" s="14" t="s">
        <v>295</v>
      </c>
      <c r="J76" s="14" t="s">
        <v>103</v>
      </c>
      <c r="K76" s="14" t="s">
        <v>103</v>
      </c>
      <c r="L76" s="14" t="s">
        <v>1666</v>
      </c>
      <c r="M76" s="14" t="s">
        <v>2826</v>
      </c>
      <c r="N76" s="14" t="s">
        <v>2922</v>
      </c>
      <c r="O76" s="14"/>
      <c r="P76" s="14" t="s">
        <v>2828</v>
      </c>
      <c r="Q76" s="14"/>
      <c r="R76" s="14" t="s">
        <v>1383</v>
      </c>
      <c r="S76" s="14" t="s">
        <v>2923</v>
      </c>
      <c r="T76" s="14" t="s">
        <v>2830</v>
      </c>
    </row>
    <row r="77" spans="1:20">
      <c r="A77" s="14" t="s">
        <v>2924</v>
      </c>
      <c r="B77" s="14" t="s">
        <v>2925</v>
      </c>
      <c r="C77" s="14" t="s">
        <v>2639</v>
      </c>
      <c r="D77" s="14" t="s">
        <v>2926</v>
      </c>
      <c r="E77" s="14" t="s">
        <v>1660</v>
      </c>
      <c r="F77" s="14" t="s">
        <v>2834</v>
      </c>
      <c r="G77" s="14" t="s">
        <v>295</v>
      </c>
      <c r="H77" s="14" t="s">
        <v>296</v>
      </c>
      <c r="I77" s="14" t="s">
        <v>295</v>
      </c>
      <c r="J77" s="14" t="s">
        <v>103</v>
      </c>
      <c r="K77" s="14" t="s">
        <v>103</v>
      </c>
      <c r="L77" s="14" t="s">
        <v>1666</v>
      </c>
      <c r="M77" s="14" t="s">
        <v>2835</v>
      </c>
      <c r="N77" s="14" t="s">
        <v>2912</v>
      </c>
      <c r="O77" s="14"/>
      <c r="P77" s="14" t="s">
        <v>2836</v>
      </c>
      <c r="Q77" s="14"/>
      <c r="R77" s="14" t="s">
        <v>1383</v>
      </c>
      <c r="S77" s="14" t="s">
        <v>2927</v>
      </c>
      <c r="T77" s="14" t="s">
        <v>2928</v>
      </c>
    </row>
    <row r="78" spans="1:20">
      <c r="A78" s="14" t="s">
        <v>2929</v>
      </c>
      <c r="B78" s="14" t="s">
        <v>2930</v>
      </c>
      <c r="C78" s="14" t="s">
        <v>2639</v>
      </c>
      <c r="D78" s="14" t="s">
        <v>2931</v>
      </c>
      <c r="E78" s="14" t="s">
        <v>2824</v>
      </c>
      <c r="F78" s="14" t="s">
        <v>2825</v>
      </c>
      <c r="G78" s="14" t="s">
        <v>301</v>
      </c>
      <c r="H78" s="14" t="s">
        <v>299</v>
      </c>
      <c r="I78" s="14" t="s">
        <v>301</v>
      </c>
      <c r="J78" s="14" t="s">
        <v>103</v>
      </c>
      <c r="K78" s="14" t="s">
        <v>103</v>
      </c>
      <c r="L78" s="14" t="s">
        <v>1666</v>
      </c>
      <c r="M78" s="14" t="s">
        <v>2826</v>
      </c>
      <c r="N78" s="14" t="s">
        <v>2932</v>
      </c>
      <c r="O78" s="14"/>
      <c r="P78" s="14" t="s">
        <v>2828</v>
      </c>
      <c r="Q78" s="14"/>
      <c r="R78" s="14" t="s">
        <v>1383</v>
      </c>
      <c r="S78" s="14" t="s">
        <v>2933</v>
      </c>
      <c r="T78" s="14" t="s">
        <v>2830</v>
      </c>
    </row>
    <row r="79" spans="1:20">
      <c r="A79" s="14" t="s">
        <v>2934</v>
      </c>
      <c r="B79" s="14" t="s">
        <v>2935</v>
      </c>
      <c r="C79" s="14" t="s">
        <v>2639</v>
      </c>
      <c r="D79" s="14" t="s">
        <v>2936</v>
      </c>
      <c r="E79" s="14" t="s">
        <v>1660</v>
      </c>
      <c r="F79" s="14" t="s">
        <v>2834</v>
      </c>
      <c r="G79" s="14" t="s">
        <v>301</v>
      </c>
      <c r="H79" s="14" t="s">
        <v>299</v>
      </c>
      <c r="I79" s="14" t="s">
        <v>301</v>
      </c>
      <c r="J79" s="14" t="s">
        <v>103</v>
      </c>
      <c r="K79" s="14" t="s">
        <v>103</v>
      </c>
      <c r="L79" s="14" t="s">
        <v>1666</v>
      </c>
      <c r="M79" s="14" t="s">
        <v>2835</v>
      </c>
      <c r="N79" s="14" t="s">
        <v>2922</v>
      </c>
      <c r="O79" s="14"/>
      <c r="P79" s="14" t="s">
        <v>2836</v>
      </c>
      <c r="Q79" s="14"/>
      <c r="R79" s="14" t="s">
        <v>1383</v>
      </c>
      <c r="S79" s="14" t="s">
        <v>2937</v>
      </c>
      <c r="T79" s="14" t="s">
        <v>2938</v>
      </c>
    </row>
    <row r="80" spans="1:20">
      <c r="A80" s="14" t="s">
        <v>2939</v>
      </c>
      <c r="B80" s="14" t="s">
        <v>2940</v>
      </c>
      <c r="C80" s="14" t="s">
        <v>2639</v>
      </c>
      <c r="D80" s="14" t="s">
        <v>2941</v>
      </c>
      <c r="E80" s="14" t="s">
        <v>2824</v>
      </c>
      <c r="F80" s="14" t="s">
        <v>2825</v>
      </c>
      <c r="G80" s="14" t="s">
        <v>125</v>
      </c>
      <c r="H80" s="14" t="s">
        <v>125</v>
      </c>
      <c r="I80" s="14"/>
      <c r="J80" s="14" t="s">
        <v>129</v>
      </c>
      <c r="K80" s="14" t="s">
        <v>129</v>
      </c>
      <c r="L80" s="14" t="s">
        <v>1666</v>
      </c>
      <c r="M80" s="14" t="s">
        <v>2826</v>
      </c>
      <c r="N80" s="14" t="s">
        <v>2629</v>
      </c>
      <c r="O80" s="14"/>
      <c r="P80" s="14" t="s">
        <v>2828</v>
      </c>
      <c r="Q80" s="14"/>
      <c r="R80" s="14" t="s">
        <v>1383</v>
      </c>
      <c r="S80" s="14" t="s">
        <v>2942</v>
      </c>
      <c r="T80" s="14" t="s">
        <v>2830</v>
      </c>
    </row>
    <row r="81" spans="1:20">
      <c r="A81" s="14" t="s">
        <v>2943</v>
      </c>
      <c r="B81" s="14" t="s">
        <v>2944</v>
      </c>
      <c r="C81" s="14" t="s">
        <v>2639</v>
      </c>
      <c r="D81" s="14" t="s">
        <v>2945</v>
      </c>
      <c r="E81" s="14" t="s">
        <v>1660</v>
      </c>
      <c r="F81" s="14" t="s">
        <v>2834</v>
      </c>
      <c r="G81" s="14"/>
      <c r="H81" s="14" t="s">
        <v>125</v>
      </c>
      <c r="I81" s="14"/>
      <c r="J81" s="14" t="s">
        <v>129</v>
      </c>
      <c r="K81" s="14"/>
      <c r="L81" s="14" t="s">
        <v>1666</v>
      </c>
      <c r="M81" s="14" t="s">
        <v>2835</v>
      </c>
      <c r="N81" s="14" t="s">
        <v>2629</v>
      </c>
      <c r="O81" s="14"/>
      <c r="P81" s="14" t="s">
        <v>2836</v>
      </c>
      <c r="Q81" s="14"/>
      <c r="R81" s="14" t="s">
        <v>1383</v>
      </c>
      <c r="S81" s="14" t="s">
        <v>2946</v>
      </c>
      <c r="T81" s="14" t="s">
        <v>2947</v>
      </c>
    </row>
    <row r="82" spans="1:20">
      <c r="A82" s="14" t="s">
        <v>2948</v>
      </c>
      <c r="B82" s="14" t="s">
        <v>2949</v>
      </c>
      <c r="C82" s="14" t="s">
        <v>2639</v>
      </c>
      <c r="D82" s="14" t="s">
        <v>2950</v>
      </c>
      <c r="E82" s="14" t="s">
        <v>2824</v>
      </c>
      <c r="F82" s="14" t="s">
        <v>2825</v>
      </c>
      <c r="G82" s="14" t="s">
        <v>160</v>
      </c>
      <c r="H82" s="14" t="s">
        <v>165</v>
      </c>
      <c r="I82" s="14" t="s">
        <v>160</v>
      </c>
      <c r="J82" s="14" t="s">
        <v>158</v>
      </c>
      <c r="K82" s="14" t="s">
        <v>307</v>
      </c>
      <c r="L82" s="14" t="s">
        <v>1666</v>
      </c>
      <c r="M82" s="14" t="s">
        <v>2826</v>
      </c>
      <c r="N82" s="14" t="s">
        <v>2951</v>
      </c>
      <c r="O82" s="14"/>
      <c r="P82" s="14" t="s">
        <v>2828</v>
      </c>
      <c r="Q82" s="14"/>
      <c r="R82" s="14" t="s">
        <v>1383</v>
      </c>
      <c r="S82" s="14" t="s">
        <v>2952</v>
      </c>
      <c r="T82" s="14" t="s">
        <v>2830</v>
      </c>
    </row>
    <row r="83" spans="1:20">
      <c r="A83" s="14" t="s">
        <v>2953</v>
      </c>
      <c r="B83" s="14" t="s">
        <v>2954</v>
      </c>
      <c r="C83" s="14" t="s">
        <v>2639</v>
      </c>
      <c r="D83" s="14" t="s">
        <v>2955</v>
      </c>
      <c r="E83" s="14" t="s">
        <v>1660</v>
      </c>
      <c r="F83" s="14" t="s">
        <v>2834</v>
      </c>
      <c r="G83" s="14" t="s">
        <v>160</v>
      </c>
      <c r="H83" s="14" t="s">
        <v>165</v>
      </c>
      <c r="I83" s="14" t="s">
        <v>160</v>
      </c>
      <c r="J83" s="14" t="s">
        <v>158</v>
      </c>
      <c r="K83" s="14" t="s">
        <v>307</v>
      </c>
      <c r="L83" s="14" t="s">
        <v>1666</v>
      </c>
      <c r="M83" s="14" t="s">
        <v>2835</v>
      </c>
      <c r="N83" s="14" t="s">
        <v>2932</v>
      </c>
      <c r="O83" s="14"/>
      <c r="P83" s="14" t="s">
        <v>2836</v>
      </c>
      <c r="Q83" s="14"/>
      <c r="R83" s="14" t="s">
        <v>1383</v>
      </c>
      <c r="S83" s="14" t="s">
        <v>2956</v>
      </c>
      <c r="T83" s="14" t="s">
        <v>2957</v>
      </c>
    </row>
    <row r="84" spans="1:20">
      <c r="A84" s="14" t="s">
        <v>2958</v>
      </c>
      <c r="B84" s="14" t="s">
        <v>2959</v>
      </c>
      <c r="C84" s="14" t="s">
        <v>2639</v>
      </c>
      <c r="D84" s="14" t="s">
        <v>2960</v>
      </c>
      <c r="E84" s="14" t="s">
        <v>2824</v>
      </c>
      <c r="F84" s="14" t="s">
        <v>2825</v>
      </c>
      <c r="G84" s="14" t="s">
        <v>317</v>
      </c>
      <c r="H84" s="14" t="s">
        <v>314</v>
      </c>
      <c r="I84" s="14" t="s">
        <v>317</v>
      </c>
      <c r="J84" s="14" t="s">
        <v>315</v>
      </c>
      <c r="K84" s="14" t="s">
        <v>315</v>
      </c>
      <c r="L84" s="14" t="s">
        <v>1666</v>
      </c>
      <c r="M84" s="14" t="s">
        <v>2826</v>
      </c>
      <c r="N84" s="14" t="s">
        <v>2961</v>
      </c>
      <c r="O84" s="14"/>
      <c r="P84" s="14" t="s">
        <v>2828</v>
      </c>
      <c r="Q84" s="14"/>
      <c r="R84" s="14" t="s">
        <v>1383</v>
      </c>
      <c r="S84" s="14" t="s">
        <v>2962</v>
      </c>
      <c r="T84" s="14" t="s">
        <v>2830</v>
      </c>
    </row>
    <row r="85" spans="1:20">
      <c r="A85" s="14" t="s">
        <v>2963</v>
      </c>
      <c r="B85" s="14" t="s">
        <v>2964</v>
      </c>
      <c r="C85" s="14" t="s">
        <v>2639</v>
      </c>
      <c r="D85" s="14" t="s">
        <v>2965</v>
      </c>
      <c r="E85" s="14" t="s">
        <v>1660</v>
      </c>
      <c r="F85" s="14" t="s">
        <v>2834</v>
      </c>
      <c r="G85" s="14" t="s">
        <v>317</v>
      </c>
      <c r="H85" s="14" t="s">
        <v>314</v>
      </c>
      <c r="I85" s="14" t="s">
        <v>317</v>
      </c>
      <c r="J85" s="14" t="s">
        <v>315</v>
      </c>
      <c r="K85" s="14" t="s">
        <v>315</v>
      </c>
      <c r="L85" s="14" t="s">
        <v>1666</v>
      </c>
      <c r="M85" s="14" t="s">
        <v>2835</v>
      </c>
      <c r="N85" s="14" t="s">
        <v>2951</v>
      </c>
      <c r="O85" s="14"/>
      <c r="P85" s="14" t="s">
        <v>2836</v>
      </c>
      <c r="Q85" s="14"/>
      <c r="R85" s="14" t="s">
        <v>1383</v>
      </c>
      <c r="S85" s="14" t="s">
        <v>2966</v>
      </c>
      <c r="T85" s="14" t="s">
        <v>2967</v>
      </c>
    </row>
    <row r="86" spans="1:20">
      <c r="A86" s="14" t="s">
        <v>2968</v>
      </c>
      <c r="B86" s="14" t="s">
        <v>2969</v>
      </c>
      <c r="C86" s="14" t="s">
        <v>2639</v>
      </c>
      <c r="D86" s="14" t="s">
        <v>2970</v>
      </c>
      <c r="E86" s="14" t="s">
        <v>2824</v>
      </c>
      <c r="F86" s="14" t="s">
        <v>2825</v>
      </c>
      <c r="G86" s="14" t="s">
        <v>175</v>
      </c>
      <c r="H86" s="14" t="s">
        <v>171</v>
      </c>
      <c r="I86" s="14" t="s">
        <v>175</v>
      </c>
      <c r="J86" s="14" t="s">
        <v>206</v>
      </c>
      <c r="K86" s="14" t="s">
        <v>75</v>
      </c>
      <c r="L86" s="14" t="s">
        <v>1666</v>
      </c>
      <c r="M86" s="14" t="s">
        <v>2826</v>
      </c>
      <c r="N86" s="14" t="s">
        <v>2693</v>
      </c>
      <c r="O86" s="14"/>
      <c r="P86" s="14" t="s">
        <v>2828</v>
      </c>
      <c r="Q86" s="14"/>
      <c r="R86" s="14" t="s">
        <v>1383</v>
      </c>
      <c r="S86" s="14" t="s">
        <v>2971</v>
      </c>
      <c r="T86" s="14" t="s">
        <v>2830</v>
      </c>
    </row>
    <row r="87" spans="1:20">
      <c r="A87" s="14" t="s">
        <v>2972</v>
      </c>
      <c r="B87" s="14" t="s">
        <v>2973</v>
      </c>
      <c r="C87" s="14" t="s">
        <v>2639</v>
      </c>
      <c r="D87" s="14" t="s">
        <v>2974</v>
      </c>
      <c r="E87" s="14" t="s">
        <v>1660</v>
      </c>
      <c r="F87" s="14" t="s">
        <v>2834</v>
      </c>
      <c r="G87" s="14" t="s">
        <v>175</v>
      </c>
      <c r="H87" s="14" t="s">
        <v>171</v>
      </c>
      <c r="I87" s="14" t="s">
        <v>175</v>
      </c>
      <c r="J87" s="14" t="s">
        <v>206</v>
      </c>
      <c r="K87" s="14" t="s">
        <v>75</v>
      </c>
      <c r="L87" s="14" t="s">
        <v>1666</v>
      </c>
      <c r="M87" s="14" t="s">
        <v>2835</v>
      </c>
      <c r="N87" s="14" t="s">
        <v>2975</v>
      </c>
      <c r="O87" s="14"/>
      <c r="P87" s="14" t="s">
        <v>2836</v>
      </c>
      <c r="Q87" s="14"/>
      <c r="R87" s="14" t="s">
        <v>1383</v>
      </c>
      <c r="S87" s="14" t="s">
        <v>2976</v>
      </c>
      <c r="T87" s="14" t="s">
        <v>2977</v>
      </c>
    </row>
    <row r="88" spans="1:20">
      <c r="A88" s="14" t="s">
        <v>2978</v>
      </c>
      <c r="B88" s="14" t="s">
        <v>2979</v>
      </c>
      <c r="C88" s="14" t="s">
        <v>2639</v>
      </c>
      <c r="D88" s="14" t="s">
        <v>2980</v>
      </c>
      <c r="E88" s="14" t="s">
        <v>2824</v>
      </c>
      <c r="F88" s="14" t="s">
        <v>2825</v>
      </c>
      <c r="G88" s="14" t="s">
        <v>188</v>
      </c>
      <c r="H88" s="14"/>
      <c r="I88" s="14" t="s">
        <v>188</v>
      </c>
      <c r="J88" s="14" t="s">
        <v>206</v>
      </c>
      <c r="K88" s="14"/>
      <c r="L88" s="14" t="s">
        <v>1666</v>
      </c>
      <c r="M88" s="14" t="s">
        <v>2826</v>
      </c>
      <c r="N88" s="14" t="s">
        <v>2981</v>
      </c>
      <c r="O88" s="14"/>
      <c r="P88" s="14" t="s">
        <v>2828</v>
      </c>
      <c r="Q88" s="14"/>
      <c r="R88" s="14" t="s">
        <v>1383</v>
      </c>
      <c r="S88" s="14" t="s">
        <v>2982</v>
      </c>
      <c r="T88" s="14" t="s">
        <v>2830</v>
      </c>
    </row>
    <row r="89" spans="1:20">
      <c r="A89" s="14" t="s">
        <v>2983</v>
      </c>
      <c r="B89" s="14" t="s">
        <v>2984</v>
      </c>
      <c r="C89" s="14" t="s">
        <v>2639</v>
      </c>
      <c r="D89" s="14" t="s">
        <v>2985</v>
      </c>
      <c r="E89" s="14" t="s">
        <v>1660</v>
      </c>
      <c r="F89" s="14" t="s">
        <v>2834</v>
      </c>
      <c r="G89" s="14" t="s">
        <v>188</v>
      </c>
      <c r="H89" s="14"/>
      <c r="I89" s="14" t="s">
        <v>188</v>
      </c>
      <c r="J89" s="14" t="s">
        <v>75</v>
      </c>
      <c r="K89" s="14"/>
      <c r="L89" s="14" t="s">
        <v>1666</v>
      </c>
      <c r="M89" s="14" t="s">
        <v>2835</v>
      </c>
      <c r="N89" s="14" t="s">
        <v>2981</v>
      </c>
      <c r="O89" s="14"/>
      <c r="P89" s="14" t="s">
        <v>2836</v>
      </c>
      <c r="Q89" s="14"/>
      <c r="R89" s="14" t="s">
        <v>1383</v>
      </c>
      <c r="S89" s="14" t="s">
        <v>2986</v>
      </c>
      <c r="T89" s="14" t="s">
        <v>2987</v>
      </c>
    </row>
    <row r="90" spans="1:20">
      <c r="A90" s="14" t="s">
        <v>2988</v>
      </c>
      <c r="B90" s="14" t="s">
        <v>2989</v>
      </c>
      <c r="C90" s="14" t="s">
        <v>2639</v>
      </c>
      <c r="D90" s="14" t="s">
        <v>2990</v>
      </c>
      <c r="E90" s="14" t="s">
        <v>2824</v>
      </c>
      <c r="F90" s="14" t="s">
        <v>2825</v>
      </c>
      <c r="G90" s="14" t="s">
        <v>174</v>
      </c>
      <c r="H90" s="14" t="s">
        <v>176</v>
      </c>
      <c r="I90" s="14" t="s">
        <v>174</v>
      </c>
      <c r="J90" s="14" t="s">
        <v>206</v>
      </c>
      <c r="K90" s="14" t="s">
        <v>75</v>
      </c>
      <c r="L90" s="14" t="s">
        <v>1666</v>
      </c>
      <c r="M90" s="14" t="s">
        <v>2826</v>
      </c>
      <c r="N90" s="14" t="s">
        <v>2699</v>
      </c>
      <c r="O90" s="14"/>
      <c r="P90" s="14" t="s">
        <v>2828</v>
      </c>
      <c r="Q90" s="14"/>
      <c r="R90" s="14" t="s">
        <v>1383</v>
      </c>
      <c r="S90" s="14" t="s">
        <v>2991</v>
      </c>
      <c r="T90" s="14" t="s">
        <v>2830</v>
      </c>
    </row>
    <row r="91" spans="1:20">
      <c r="A91" s="14" t="s">
        <v>1890</v>
      </c>
      <c r="B91" s="14" t="s">
        <v>2992</v>
      </c>
      <c r="C91" s="14" t="s">
        <v>2639</v>
      </c>
      <c r="D91" s="14" t="s">
        <v>2993</v>
      </c>
      <c r="E91" s="14" t="s">
        <v>2824</v>
      </c>
      <c r="F91" s="14" t="s">
        <v>2825</v>
      </c>
      <c r="G91" s="14" t="s">
        <v>159</v>
      </c>
      <c r="H91" s="14"/>
      <c r="I91" s="14" t="s">
        <v>159</v>
      </c>
      <c r="J91" s="14" t="s">
        <v>1489</v>
      </c>
      <c r="K91" s="14"/>
      <c r="L91" s="14" t="s">
        <v>1666</v>
      </c>
      <c r="M91" s="14" t="s">
        <v>2826</v>
      </c>
      <c r="N91" s="14" t="s">
        <v>2994</v>
      </c>
      <c r="O91" s="14"/>
      <c r="P91" s="14" t="s">
        <v>2828</v>
      </c>
      <c r="Q91" s="14"/>
      <c r="R91" s="14" t="s">
        <v>1383</v>
      </c>
      <c r="S91" s="14" t="s">
        <v>2995</v>
      </c>
      <c r="T91" s="14" t="s">
        <v>2830</v>
      </c>
    </row>
    <row r="92" spans="1:20">
      <c r="A92" s="14" t="s">
        <v>2996</v>
      </c>
      <c r="B92" s="14" t="s">
        <v>2997</v>
      </c>
      <c r="C92" s="14" t="s">
        <v>2639</v>
      </c>
      <c r="D92" s="14" t="s">
        <v>2998</v>
      </c>
      <c r="E92" s="14" t="s">
        <v>1660</v>
      </c>
      <c r="F92" s="14" t="s">
        <v>2834</v>
      </c>
      <c r="G92" s="14" t="s">
        <v>159</v>
      </c>
      <c r="H92" s="14"/>
      <c r="I92" s="14" t="s">
        <v>159</v>
      </c>
      <c r="J92" s="14" t="s">
        <v>1489</v>
      </c>
      <c r="K92" s="14"/>
      <c r="L92" s="14" t="s">
        <v>1666</v>
      </c>
      <c r="M92" s="14" t="s">
        <v>2835</v>
      </c>
      <c r="N92" s="14" t="s">
        <v>2699</v>
      </c>
      <c r="O92" s="14"/>
      <c r="P92" s="14" t="s">
        <v>2836</v>
      </c>
      <c r="Q92" s="14"/>
      <c r="R92" s="14" t="s">
        <v>1383</v>
      </c>
      <c r="S92" s="14" t="s">
        <v>2999</v>
      </c>
      <c r="T92" s="14" t="s">
        <v>3000</v>
      </c>
    </row>
    <row r="93" spans="1:20">
      <c r="A93" s="14" t="s">
        <v>3001</v>
      </c>
      <c r="B93" s="14" t="s">
        <v>3002</v>
      </c>
      <c r="C93" s="14" t="s">
        <v>2639</v>
      </c>
      <c r="D93" s="14" t="s">
        <v>3003</v>
      </c>
      <c r="E93" s="14" t="s">
        <v>2824</v>
      </c>
      <c r="F93" s="14" t="s">
        <v>2825</v>
      </c>
      <c r="G93" s="14" t="s">
        <v>208</v>
      </c>
      <c r="H93" s="14" t="s">
        <v>207</v>
      </c>
      <c r="I93" s="14" t="s">
        <v>208</v>
      </c>
      <c r="J93" s="14" t="s">
        <v>183</v>
      </c>
      <c r="K93" s="14" t="s">
        <v>183</v>
      </c>
      <c r="L93" s="14" t="s">
        <v>1666</v>
      </c>
      <c r="M93" s="14" t="s">
        <v>2826</v>
      </c>
      <c r="N93" s="14" t="s">
        <v>3004</v>
      </c>
      <c r="O93" s="14"/>
      <c r="P93" s="14" t="s">
        <v>2828</v>
      </c>
      <c r="Q93" s="14"/>
      <c r="R93" s="14" t="s">
        <v>1383</v>
      </c>
      <c r="S93" s="14" t="s">
        <v>3005</v>
      </c>
      <c r="T93" s="14" t="s">
        <v>2830</v>
      </c>
    </row>
    <row r="94" spans="1:20">
      <c r="A94" s="14" t="s">
        <v>3006</v>
      </c>
      <c r="B94" s="14" t="s">
        <v>3007</v>
      </c>
      <c r="C94" s="14" t="s">
        <v>2639</v>
      </c>
      <c r="D94" s="14" t="s">
        <v>3008</v>
      </c>
      <c r="E94" s="14" t="s">
        <v>1660</v>
      </c>
      <c r="F94" s="14" t="s">
        <v>2834</v>
      </c>
      <c r="G94" s="14" t="s">
        <v>208</v>
      </c>
      <c r="H94" s="14" t="s">
        <v>207</v>
      </c>
      <c r="I94" s="14" t="s">
        <v>208</v>
      </c>
      <c r="J94" s="14" t="s">
        <v>183</v>
      </c>
      <c r="K94" s="14" t="s">
        <v>183</v>
      </c>
      <c r="L94" s="14" t="s">
        <v>1666</v>
      </c>
      <c r="M94" s="14" t="s">
        <v>2835</v>
      </c>
      <c r="N94" s="14" t="s">
        <v>2994</v>
      </c>
      <c r="O94" s="14"/>
      <c r="P94" s="14" t="s">
        <v>2836</v>
      </c>
      <c r="Q94" s="14"/>
      <c r="R94" s="14" t="s">
        <v>1383</v>
      </c>
      <c r="S94" s="14" t="s">
        <v>3009</v>
      </c>
      <c r="T94" s="14" t="s">
        <v>3010</v>
      </c>
    </row>
    <row r="95" spans="1:20">
      <c r="A95" s="14" t="s">
        <v>3011</v>
      </c>
      <c r="B95" s="14" t="s">
        <v>3012</v>
      </c>
      <c r="C95" s="14" t="s">
        <v>2639</v>
      </c>
      <c r="D95" s="14" t="s">
        <v>3013</v>
      </c>
      <c r="E95" s="14" t="s">
        <v>2824</v>
      </c>
      <c r="F95" s="14" t="s">
        <v>2825</v>
      </c>
      <c r="G95" s="14" t="s">
        <v>218</v>
      </c>
      <c r="H95" s="14" t="s">
        <v>215</v>
      </c>
      <c r="I95" s="14" t="s">
        <v>218</v>
      </c>
      <c r="J95" s="14" t="s">
        <v>234</v>
      </c>
      <c r="K95" s="14" t="s">
        <v>234</v>
      </c>
      <c r="L95" s="14" t="s">
        <v>1666</v>
      </c>
      <c r="M95" s="14" t="s">
        <v>2826</v>
      </c>
      <c r="N95" s="14" t="s">
        <v>2705</v>
      </c>
      <c r="O95" s="14"/>
      <c r="P95" s="14" t="s">
        <v>2828</v>
      </c>
      <c r="Q95" s="14"/>
      <c r="R95" s="14" t="s">
        <v>1383</v>
      </c>
      <c r="S95" s="14" t="s">
        <v>3014</v>
      </c>
      <c r="T95" s="14" t="s">
        <v>2830</v>
      </c>
    </row>
    <row r="96" spans="1:20">
      <c r="A96" s="14" t="s">
        <v>3015</v>
      </c>
      <c r="B96" s="14" t="s">
        <v>3016</v>
      </c>
      <c r="C96" s="14" t="s">
        <v>2639</v>
      </c>
      <c r="D96" s="14" t="s">
        <v>3017</v>
      </c>
      <c r="E96" s="14" t="s">
        <v>1660</v>
      </c>
      <c r="F96" s="14" t="s">
        <v>2834</v>
      </c>
      <c r="G96" s="14" t="s">
        <v>218</v>
      </c>
      <c r="H96" s="14" t="s">
        <v>215</v>
      </c>
      <c r="I96" s="14" t="s">
        <v>218</v>
      </c>
      <c r="J96" s="14" t="s">
        <v>234</v>
      </c>
      <c r="K96" s="14" t="s">
        <v>234</v>
      </c>
      <c r="L96" s="14" t="s">
        <v>1666</v>
      </c>
      <c r="M96" s="14" t="s">
        <v>2835</v>
      </c>
      <c r="N96" s="14" t="s">
        <v>3004</v>
      </c>
      <c r="O96" s="14"/>
      <c r="P96" s="14" t="s">
        <v>2836</v>
      </c>
      <c r="Q96" s="14"/>
      <c r="R96" s="14" t="s">
        <v>1383</v>
      </c>
      <c r="S96" s="14" t="s">
        <v>3018</v>
      </c>
      <c r="T96" s="14" t="s">
        <v>3019</v>
      </c>
    </row>
    <row r="97" spans="1:20">
      <c r="A97" s="14" t="s">
        <v>3020</v>
      </c>
      <c r="B97" s="14" t="s">
        <v>3021</v>
      </c>
      <c r="C97" s="14" t="s">
        <v>2639</v>
      </c>
      <c r="D97" s="14" t="s">
        <v>3022</v>
      </c>
      <c r="E97" s="14" t="s">
        <v>2824</v>
      </c>
      <c r="F97" s="14" t="s">
        <v>2825</v>
      </c>
      <c r="G97" s="14" t="s">
        <v>232</v>
      </c>
      <c r="H97" s="14" t="s">
        <v>232</v>
      </c>
      <c r="I97" s="14" t="s">
        <v>236</v>
      </c>
      <c r="J97" s="14" t="s">
        <v>234</v>
      </c>
      <c r="K97" s="14" t="s">
        <v>234</v>
      </c>
      <c r="L97" s="14" t="s">
        <v>1666</v>
      </c>
      <c r="M97" s="14" t="s">
        <v>2826</v>
      </c>
      <c r="N97" s="14" t="s">
        <v>2856</v>
      </c>
      <c r="O97" s="14"/>
      <c r="P97" s="14" t="s">
        <v>2828</v>
      </c>
      <c r="Q97" s="14"/>
      <c r="R97" s="14" t="s">
        <v>1383</v>
      </c>
      <c r="S97" s="14" t="s">
        <v>3023</v>
      </c>
      <c r="T97" s="14" t="s">
        <v>2830</v>
      </c>
    </row>
    <row r="98" spans="1:20">
      <c r="A98" s="14" t="s">
        <v>3024</v>
      </c>
      <c r="B98" s="14" t="s">
        <v>3025</v>
      </c>
      <c r="C98" s="14" t="s">
        <v>2639</v>
      </c>
      <c r="D98" s="14" t="s">
        <v>3026</v>
      </c>
      <c r="E98" s="14" t="s">
        <v>1660</v>
      </c>
      <c r="F98" s="14" t="s">
        <v>2834</v>
      </c>
      <c r="G98" s="14"/>
      <c r="H98" s="14" t="s">
        <v>232</v>
      </c>
      <c r="I98" s="14"/>
      <c r="J98" s="14" t="s">
        <v>234</v>
      </c>
      <c r="K98" s="14"/>
      <c r="L98" s="14" t="s">
        <v>1666</v>
      </c>
      <c r="M98" s="14" t="s">
        <v>2835</v>
      </c>
      <c r="N98" s="14" t="s">
        <v>2705</v>
      </c>
      <c r="O98" s="14"/>
      <c r="P98" s="14" t="s">
        <v>2836</v>
      </c>
      <c r="Q98" s="14"/>
      <c r="R98" s="14" t="s">
        <v>1383</v>
      </c>
      <c r="S98" s="14" t="s">
        <v>3027</v>
      </c>
      <c r="T98" s="14" t="s">
        <v>3028</v>
      </c>
    </row>
    <row r="99" spans="1:20">
      <c r="A99" s="14" t="s">
        <v>3029</v>
      </c>
      <c r="B99" s="14" t="s">
        <v>3030</v>
      </c>
      <c r="C99" s="14" t="s">
        <v>708</v>
      </c>
      <c r="D99" s="14" t="s">
        <v>3031</v>
      </c>
      <c r="E99" s="14" t="s">
        <v>1375</v>
      </c>
      <c r="F99" s="14" t="s">
        <v>1340</v>
      </c>
      <c r="G99" s="14" t="s">
        <v>276</v>
      </c>
      <c r="H99" s="14" t="s">
        <v>276</v>
      </c>
      <c r="I99" s="14" t="s">
        <v>279</v>
      </c>
      <c r="J99" s="14" t="s">
        <v>277</v>
      </c>
      <c r="K99" s="14" t="s">
        <v>277</v>
      </c>
      <c r="L99" s="14" t="s">
        <v>2178</v>
      </c>
      <c r="M99" s="14" t="s">
        <v>2670</v>
      </c>
      <c r="N99" s="14" t="s">
        <v>3032</v>
      </c>
      <c r="O99" s="14" t="s">
        <v>3033</v>
      </c>
      <c r="P99" s="14" t="s">
        <v>3034</v>
      </c>
      <c r="Q99" s="14"/>
      <c r="R99" s="14" t="s">
        <v>1383</v>
      </c>
      <c r="S99" s="14" t="s">
        <v>3035</v>
      </c>
      <c r="T99" s="14" t="s">
        <v>3036</v>
      </c>
    </row>
    <row r="100" spans="1:20">
      <c r="A100" s="14" t="s">
        <v>3037</v>
      </c>
      <c r="B100" s="14" t="s">
        <v>3038</v>
      </c>
      <c r="C100" s="14" t="s">
        <v>708</v>
      </c>
      <c r="D100" s="14" t="s">
        <v>3039</v>
      </c>
      <c r="E100" s="14" t="s">
        <v>1375</v>
      </c>
      <c r="F100" s="14" t="s">
        <v>1340</v>
      </c>
      <c r="G100" s="14" t="s">
        <v>310</v>
      </c>
      <c r="H100" s="14" t="s">
        <v>310</v>
      </c>
      <c r="I100" s="14" t="s">
        <v>311</v>
      </c>
      <c r="J100" s="14" t="s">
        <v>277</v>
      </c>
      <c r="K100" s="14" t="s">
        <v>277</v>
      </c>
      <c r="L100" s="14" t="s">
        <v>2178</v>
      </c>
      <c r="M100" s="14" t="s">
        <v>2773</v>
      </c>
      <c r="N100" s="14" t="s">
        <v>3040</v>
      </c>
      <c r="O100" s="14" t="s">
        <v>3033</v>
      </c>
      <c r="P100" s="14" t="s">
        <v>3034</v>
      </c>
      <c r="Q100" s="14"/>
      <c r="R100" s="14" t="s">
        <v>1383</v>
      </c>
      <c r="S100" s="14" t="s">
        <v>3041</v>
      </c>
      <c r="T100" s="14" t="s">
        <v>3042</v>
      </c>
    </row>
    <row r="101" spans="1:20">
      <c r="A101" s="14" t="s">
        <v>1271</v>
      </c>
      <c r="B101" s="14" t="s">
        <v>3043</v>
      </c>
      <c r="C101" s="14" t="s">
        <v>708</v>
      </c>
      <c r="D101" s="14" t="s">
        <v>3044</v>
      </c>
      <c r="E101" s="14" t="s">
        <v>1375</v>
      </c>
      <c r="F101" s="14" t="s">
        <v>1340</v>
      </c>
      <c r="G101" s="14" t="s">
        <v>355</v>
      </c>
      <c r="H101" s="14" t="s">
        <v>355</v>
      </c>
      <c r="I101" s="14" t="s">
        <v>357</v>
      </c>
      <c r="J101" s="14" t="s">
        <v>359</v>
      </c>
      <c r="K101" s="14" t="s">
        <v>359</v>
      </c>
      <c r="L101" s="14" t="s">
        <v>2178</v>
      </c>
      <c r="M101" s="14" t="s">
        <v>2659</v>
      </c>
      <c r="N101" s="14" t="s">
        <v>3045</v>
      </c>
      <c r="O101" s="14" t="s">
        <v>3046</v>
      </c>
      <c r="P101" s="14" t="s">
        <v>3047</v>
      </c>
      <c r="Q101" s="14"/>
      <c r="R101" s="14" t="s">
        <v>1383</v>
      </c>
      <c r="S101" s="14" t="s">
        <v>3048</v>
      </c>
      <c r="T101" s="14" t="s">
        <v>3049</v>
      </c>
    </row>
    <row r="102" spans="1:20">
      <c r="A102" s="14" t="s">
        <v>3050</v>
      </c>
      <c r="B102" s="14" t="s">
        <v>3051</v>
      </c>
      <c r="C102" s="14" t="s">
        <v>708</v>
      </c>
      <c r="D102" s="14" t="s">
        <v>3052</v>
      </c>
      <c r="E102" s="14" t="s">
        <v>1375</v>
      </c>
      <c r="F102" s="14" t="s">
        <v>1340</v>
      </c>
      <c r="G102" s="14" t="s">
        <v>471</v>
      </c>
      <c r="H102" s="14" t="s">
        <v>471</v>
      </c>
      <c r="I102" s="14" t="s">
        <v>474</v>
      </c>
      <c r="J102" s="14" t="s">
        <v>3053</v>
      </c>
      <c r="K102" s="14" t="s">
        <v>307</v>
      </c>
      <c r="L102" s="14" t="s">
        <v>2178</v>
      </c>
      <c r="M102" s="14" t="s">
        <v>2533</v>
      </c>
      <c r="N102" s="14" t="s">
        <v>3054</v>
      </c>
      <c r="O102" s="14" t="s">
        <v>3055</v>
      </c>
      <c r="P102" s="14" t="s">
        <v>3056</v>
      </c>
      <c r="Q102" s="14"/>
      <c r="R102" s="14" t="s">
        <v>1383</v>
      </c>
      <c r="S102" s="14" t="s">
        <v>3057</v>
      </c>
      <c r="T102" s="14" t="s">
        <v>3058</v>
      </c>
    </row>
    <row r="103" spans="1:20">
      <c r="A103" s="14" t="s">
        <v>3059</v>
      </c>
      <c r="B103" s="14" t="s">
        <v>3060</v>
      </c>
      <c r="C103" s="14" t="s">
        <v>708</v>
      </c>
      <c r="D103" s="14" t="s">
        <v>3061</v>
      </c>
      <c r="E103" s="14" t="s">
        <v>1375</v>
      </c>
      <c r="F103" s="14" t="s">
        <v>1340</v>
      </c>
      <c r="G103" s="14" t="s">
        <v>409</v>
      </c>
      <c r="H103" s="14" t="s">
        <v>409</v>
      </c>
      <c r="I103" s="14" t="s">
        <v>416</v>
      </c>
      <c r="J103" s="14" t="s">
        <v>3062</v>
      </c>
      <c r="K103" s="14" t="s">
        <v>410</v>
      </c>
      <c r="L103" s="14" t="s">
        <v>2178</v>
      </c>
      <c r="M103" s="14" t="s">
        <v>2533</v>
      </c>
      <c r="N103" s="14" t="s">
        <v>3063</v>
      </c>
      <c r="O103" s="14" t="s">
        <v>3055</v>
      </c>
      <c r="P103" s="14" t="s">
        <v>3056</v>
      </c>
      <c r="Q103" s="14"/>
      <c r="R103" s="14" t="s">
        <v>1383</v>
      </c>
      <c r="S103" s="14" t="s">
        <v>3064</v>
      </c>
      <c r="T103" s="14" t="s">
        <v>3065</v>
      </c>
    </row>
    <row r="104" spans="1:20">
      <c r="A104" s="14" t="s">
        <v>3066</v>
      </c>
      <c r="B104" s="14" t="s">
        <v>3067</v>
      </c>
      <c r="C104" s="14" t="s">
        <v>708</v>
      </c>
      <c r="D104" s="14" t="s">
        <v>3068</v>
      </c>
      <c r="E104" s="14" t="s">
        <v>1375</v>
      </c>
      <c r="F104" s="14" t="s">
        <v>1340</v>
      </c>
      <c r="G104" s="14" t="s">
        <v>617</v>
      </c>
      <c r="H104" s="14" t="s">
        <v>617</v>
      </c>
      <c r="I104" s="14" t="s">
        <v>619</v>
      </c>
      <c r="J104" s="14" t="s">
        <v>147</v>
      </c>
      <c r="K104" s="14" t="s">
        <v>485</v>
      </c>
      <c r="L104" s="14" t="s">
        <v>2178</v>
      </c>
      <c r="M104" s="14" t="s">
        <v>2659</v>
      </c>
      <c r="N104" s="14" t="s">
        <v>3069</v>
      </c>
      <c r="O104" s="14" t="s">
        <v>3046</v>
      </c>
      <c r="P104" s="14" t="s">
        <v>3047</v>
      </c>
      <c r="Q104" s="14"/>
      <c r="R104" s="14" t="s">
        <v>1383</v>
      </c>
      <c r="S104" s="14" t="s">
        <v>3070</v>
      </c>
      <c r="T104" s="14" t="s">
        <v>3071</v>
      </c>
    </row>
    <row r="105" spans="1:20">
      <c r="A105" s="14" t="s">
        <v>3072</v>
      </c>
      <c r="B105" s="14" t="s">
        <v>3073</v>
      </c>
      <c r="C105" s="14" t="s">
        <v>708</v>
      </c>
      <c r="D105" s="14" t="s">
        <v>3074</v>
      </c>
      <c r="E105" s="14" t="s">
        <v>1466</v>
      </c>
      <c r="F105" s="14" t="s">
        <v>1340</v>
      </c>
      <c r="G105" s="14" t="s">
        <v>379</v>
      </c>
      <c r="H105" s="14" t="s">
        <v>379</v>
      </c>
      <c r="I105" s="14" t="s">
        <v>380</v>
      </c>
      <c r="J105" s="14" t="s">
        <v>3075</v>
      </c>
      <c r="K105" s="14" t="s">
        <v>103</v>
      </c>
      <c r="L105" s="14" t="s">
        <v>2178</v>
      </c>
      <c r="M105" s="14" t="s">
        <v>2533</v>
      </c>
      <c r="N105" s="14" t="s">
        <v>3076</v>
      </c>
      <c r="O105" s="14" t="s">
        <v>3055</v>
      </c>
      <c r="P105" s="14" t="s">
        <v>3056</v>
      </c>
      <c r="Q105" s="14"/>
      <c r="R105" s="14" t="s">
        <v>1383</v>
      </c>
      <c r="S105" s="14" t="s">
        <v>3077</v>
      </c>
      <c r="T105" s="14" t="s">
        <v>3078</v>
      </c>
    </row>
    <row r="106" spans="1:20">
      <c r="A106" s="14" t="s">
        <v>3079</v>
      </c>
      <c r="B106" s="14" t="s">
        <v>3080</v>
      </c>
      <c r="C106" s="14" t="s">
        <v>708</v>
      </c>
      <c r="D106" s="14" t="s">
        <v>3081</v>
      </c>
      <c r="E106" s="14" t="s">
        <v>1466</v>
      </c>
      <c r="F106" s="14" t="s">
        <v>1340</v>
      </c>
      <c r="G106" s="14" t="s">
        <v>611</v>
      </c>
      <c r="H106" s="14" t="s">
        <v>611</v>
      </c>
      <c r="I106" s="14" t="s">
        <v>614</v>
      </c>
      <c r="J106" s="14" t="s">
        <v>147</v>
      </c>
      <c r="K106" s="14" t="s">
        <v>485</v>
      </c>
      <c r="L106" s="14" t="s">
        <v>2172</v>
      </c>
      <c r="M106" s="14" t="s">
        <v>2678</v>
      </c>
      <c r="N106" s="14" t="s">
        <v>2800</v>
      </c>
      <c r="O106" s="14" t="s">
        <v>3082</v>
      </c>
      <c r="P106" s="14" t="s">
        <v>3047</v>
      </c>
      <c r="Q106" s="14"/>
      <c r="R106" s="14" t="s">
        <v>1383</v>
      </c>
      <c r="S106" s="14" t="s">
        <v>3083</v>
      </c>
      <c r="T106" s="14" t="s">
        <v>3084</v>
      </c>
    </row>
    <row r="107" spans="1:20">
      <c r="A107" s="14" t="s">
        <v>3085</v>
      </c>
      <c r="B107" s="14" t="s">
        <v>3086</v>
      </c>
      <c r="C107" s="14" t="s">
        <v>708</v>
      </c>
      <c r="D107" s="14" t="s">
        <v>3087</v>
      </c>
      <c r="E107" s="14" t="s">
        <v>939</v>
      </c>
      <c r="F107" s="14" t="s">
        <v>2517</v>
      </c>
      <c r="G107" s="14" t="s">
        <v>3088</v>
      </c>
      <c r="H107" s="14" t="s">
        <v>2518</v>
      </c>
      <c r="I107" s="14"/>
      <c r="J107" s="14" t="s">
        <v>103</v>
      </c>
      <c r="K107" s="14" t="s">
        <v>103</v>
      </c>
      <c r="L107" s="14" t="s">
        <v>2178</v>
      </c>
      <c r="M107" s="14" t="s">
        <v>2497</v>
      </c>
      <c r="N107" s="14" t="s">
        <v>3040</v>
      </c>
      <c r="O107" s="14" t="s">
        <v>3089</v>
      </c>
      <c r="P107" s="14" t="s">
        <v>3047</v>
      </c>
      <c r="Q107" s="14"/>
      <c r="R107" s="14" t="s">
        <v>1383</v>
      </c>
      <c r="S107" s="14" t="s">
        <v>3090</v>
      </c>
      <c r="T107" s="14" t="s">
        <v>3091</v>
      </c>
    </row>
    <row r="108" spans="1:20">
      <c r="A108" s="14" t="s">
        <v>3092</v>
      </c>
      <c r="B108" s="14" t="s">
        <v>3093</v>
      </c>
      <c r="C108" s="14" t="s">
        <v>708</v>
      </c>
      <c r="D108" s="14" t="s">
        <v>3094</v>
      </c>
      <c r="E108" s="14" t="s">
        <v>1564</v>
      </c>
      <c r="F108" s="14" t="s">
        <v>1428</v>
      </c>
      <c r="G108" s="14" t="s">
        <v>228</v>
      </c>
      <c r="H108" s="14" t="s">
        <v>228</v>
      </c>
      <c r="I108" s="14" t="s">
        <v>229</v>
      </c>
      <c r="J108" s="14" t="s">
        <v>183</v>
      </c>
      <c r="K108" s="14" t="s">
        <v>183</v>
      </c>
      <c r="L108" s="14" t="s">
        <v>2178</v>
      </c>
      <c r="M108" s="14" t="s">
        <v>2543</v>
      </c>
      <c r="N108" s="14" t="s">
        <v>3095</v>
      </c>
      <c r="O108" s="14" t="s">
        <v>3033</v>
      </c>
      <c r="P108" s="14" t="s">
        <v>3034</v>
      </c>
      <c r="Q108" s="14"/>
      <c r="R108" s="14" t="s">
        <v>1383</v>
      </c>
      <c r="S108" s="14" t="s">
        <v>3096</v>
      </c>
      <c r="T108" s="14" t="s">
        <v>3097</v>
      </c>
    </row>
    <row r="109" spans="1:20">
      <c r="A109" s="14" t="s">
        <v>3098</v>
      </c>
      <c r="B109" s="14" t="s">
        <v>3099</v>
      </c>
      <c r="C109" s="14" t="s">
        <v>708</v>
      </c>
      <c r="D109" s="14" t="s">
        <v>3100</v>
      </c>
      <c r="E109" s="14" t="s">
        <v>1564</v>
      </c>
      <c r="F109" s="14" t="s">
        <v>1428</v>
      </c>
      <c r="G109" s="14" t="s">
        <v>274</v>
      </c>
      <c r="H109" s="14" t="s">
        <v>274</v>
      </c>
      <c r="I109" s="14" t="s">
        <v>275</v>
      </c>
      <c r="J109" s="14" t="s">
        <v>234</v>
      </c>
      <c r="K109" s="14" t="s">
        <v>234</v>
      </c>
      <c r="L109" s="14" t="s">
        <v>2178</v>
      </c>
      <c r="M109" s="14" t="s">
        <v>2543</v>
      </c>
      <c r="N109" s="14" t="s">
        <v>3101</v>
      </c>
      <c r="O109" s="14" t="s">
        <v>3033</v>
      </c>
      <c r="P109" s="14" t="s">
        <v>3034</v>
      </c>
      <c r="Q109" s="14"/>
      <c r="R109" s="14" t="s">
        <v>1383</v>
      </c>
      <c r="S109" s="14" t="s">
        <v>3102</v>
      </c>
      <c r="T109" s="14" t="s">
        <v>3103</v>
      </c>
    </row>
    <row r="110" spans="1:20">
      <c r="A110" s="14" t="s">
        <v>3104</v>
      </c>
      <c r="B110" s="14" t="s">
        <v>3105</v>
      </c>
      <c r="C110" s="14" t="s">
        <v>708</v>
      </c>
      <c r="D110" s="14" t="s">
        <v>3106</v>
      </c>
      <c r="E110" s="14" t="s">
        <v>1564</v>
      </c>
      <c r="F110" s="14" t="s">
        <v>1428</v>
      </c>
      <c r="G110" s="14" t="s">
        <v>161</v>
      </c>
      <c r="H110" s="14" t="s">
        <v>161</v>
      </c>
      <c r="I110" s="14" t="s">
        <v>162</v>
      </c>
      <c r="J110" s="14" t="s">
        <v>1489</v>
      </c>
      <c r="K110" s="14" t="s">
        <v>156</v>
      </c>
      <c r="L110" s="14" t="s">
        <v>2178</v>
      </c>
      <c r="M110" s="14" t="s">
        <v>2543</v>
      </c>
      <c r="N110" s="14" t="s">
        <v>3107</v>
      </c>
      <c r="O110" s="14" t="s">
        <v>3033</v>
      </c>
      <c r="P110" s="14" t="s">
        <v>3034</v>
      </c>
      <c r="Q110" s="14"/>
      <c r="R110" s="14" t="s">
        <v>1383</v>
      </c>
      <c r="S110" s="14" t="s">
        <v>3108</v>
      </c>
      <c r="T110" s="14" t="s">
        <v>3109</v>
      </c>
    </row>
    <row r="111" spans="1:20">
      <c r="A111" s="14" t="s">
        <v>3110</v>
      </c>
      <c r="B111" s="14" t="s">
        <v>3111</v>
      </c>
      <c r="C111" s="14" t="s">
        <v>708</v>
      </c>
      <c r="D111" s="14" t="s">
        <v>3112</v>
      </c>
      <c r="E111" s="14" t="s">
        <v>1564</v>
      </c>
      <c r="F111" s="14" t="s">
        <v>1428</v>
      </c>
      <c r="G111" s="14" t="s">
        <v>481</v>
      </c>
      <c r="H111" s="14" t="s">
        <v>481</v>
      </c>
      <c r="I111" s="14" t="s">
        <v>482</v>
      </c>
      <c r="J111" s="14" t="s">
        <v>315</v>
      </c>
      <c r="K111" s="14" t="s">
        <v>315</v>
      </c>
      <c r="L111" s="14" t="s">
        <v>2178</v>
      </c>
      <c r="M111" s="14" t="s">
        <v>2543</v>
      </c>
      <c r="N111" s="14" t="s">
        <v>3113</v>
      </c>
      <c r="O111" s="14" t="s">
        <v>3033</v>
      </c>
      <c r="P111" s="14" t="s">
        <v>3034</v>
      </c>
      <c r="Q111" s="14"/>
      <c r="R111" s="14" t="s">
        <v>1383</v>
      </c>
      <c r="S111" s="14" t="s">
        <v>3114</v>
      </c>
      <c r="T111" s="14" t="s">
        <v>3115</v>
      </c>
    </row>
    <row r="112" spans="1:20">
      <c r="A112" s="14" t="s">
        <v>3116</v>
      </c>
      <c r="B112" s="14" t="s">
        <v>3117</v>
      </c>
      <c r="C112" s="14" t="s">
        <v>708</v>
      </c>
      <c r="D112" s="14" t="s">
        <v>3118</v>
      </c>
      <c r="E112" s="14" t="s">
        <v>3119</v>
      </c>
      <c r="F112" s="14" t="s">
        <v>1428</v>
      </c>
      <c r="G112" s="14" t="s">
        <v>284</v>
      </c>
      <c r="H112" s="14" t="s">
        <v>284</v>
      </c>
      <c r="I112" s="14" t="s">
        <v>287</v>
      </c>
      <c r="J112" s="14" t="s">
        <v>3120</v>
      </c>
      <c r="K112" s="14" t="s">
        <v>286</v>
      </c>
      <c r="L112" s="14" t="s">
        <v>2178</v>
      </c>
      <c r="M112" s="14" t="s">
        <v>2549</v>
      </c>
      <c r="N112" s="14" t="s">
        <v>3121</v>
      </c>
      <c r="O112" s="14" t="s">
        <v>3055</v>
      </c>
      <c r="P112" s="14" t="s">
        <v>3056</v>
      </c>
      <c r="Q112" s="14"/>
      <c r="R112" s="14" t="s">
        <v>1383</v>
      </c>
      <c r="S112" s="14" t="s">
        <v>3122</v>
      </c>
      <c r="T112" s="14" t="s">
        <v>3123</v>
      </c>
    </row>
    <row r="113" spans="1:20">
      <c r="A113" s="14" t="s">
        <v>3124</v>
      </c>
      <c r="B113" s="14" t="s">
        <v>3125</v>
      </c>
      <c r="C113" s="14" t="s">
        <v>708</v>
      </c>
      <c r="D113" s="14" t="s">
        <v>3126</v>
      </c>
      <c r="E113" s="14" t="s">
        <v>3119</v>
      </c>
      <c r="F113" s="14" t="s">
        <v>1428</v>
      </c>
      <c r="G113" s="14" t="s">
        <v>362</v>
      </c>
      <c r="H113" s="14" t="s">
        <v>362</v>
      </c>
      <c r="I113" s="14" t="s">
        <v>182</v>
      </c>
      <c r="J113" s="14" t="s">
        <v>3127</v>
      </c>
      <c r="K113" s="14" t="s">
        <v>183</v>
      </c>
      <c r="L113" s="14" t="s">
        <v>2178</v>
      </c>
      <c r="M113" s="14" t="s">
        <v>2549</v>
      </c>
      <c r="N113" s="14" t="s">
        <v>3128</v>
      </c>
      <c r="O113" s="14" t="s">
        <v>3055</v>
      </c>
      <c r="P113" s="14" t="s">
        <v>3056</v>
      </c>
      <c r="Q113" s="14"/>
      <c r="R113" s="14" t="s">
        <v>1383</v>
      </c>
      <c r="S113" s="14" t="s">
        <v>3129</v>
      </c>
      <c r="T113" s="14" t="s">
        <v>3130</v>
      </c>
    </row>
    <row r="114" spans="1:20">
      <c r="A114" s="14" t="s">
        <v>3131</v>
      </c>
      <c r="B114" s="14" t="s">
        <v>3132</v>
      </c>
      <c r="C114" s="14" t="s">
        <v>708</v>
      </c>
      <c r="D114" s="14" t="s">
        <v>3133</v>
      </c>
      <c r="E114" s="14" t="s">
        <v>3119</v>
      </c>
      <c r="F114" s="14" t="s">
        <v>1428</v>
      </c>
      <c r="G114" s="14" t="s">
        <v>1257</v>
      </c>
      <c r="H114" s="14" t="s">
        <v>1257</v>
      </c>
      <c r="I114" s="14" t="s">
        <v>330</v>
      </c>
      <c r="J114" s="14" t="s">
        <v>331</v>
      </c>
      <c r="K114" s="14" t="s">
        <v>286</v>
      </c>
      <c r="L114" s="14" t="s">
        <v>2178</v>
      </c>
      <c r="M114" s="14" t="s">
        <v>2543</v>
      </c>
      <c r="N114" s="14" t="s">
        <v>3121</v>
      </c>
      <c r="O114" s="14" t="s">
        <v>3033</v>
      </c>
      <c r="P114" s="14" t="s">
        <v>3034</v>
      </c>
      <c r="Q114" s="14"/>
      <c r="R114" s="14" t="s">
        <v>1383</v>
      </c>
      <c r="S114" s="14" t="s">
        <v>3134</v>
      </c>
      <c r="T114" s="14" t="s">
        <v>3135</v>
      </c>
    </row>
    <row r="115" spans="1:20">
      <c r="A115" s="14" t="s">
        <v>3136</v>
      </c>
      <c r="B115" s="14" t="s">
        <v>3137</v>
      </c>
      <c r="C115" s="14" t="s">
        <v>708</v>
      </c>
      <c r="D115" s="14" t="s">
        <v>3138</v>
      </c>
      <c r="E115" s="14" t="s">
        <v>3119</v>
      </c>
      <c r="F115" s="14" t="s">
        <v>1428</v>
      </c>
      <c r="G115" s="14" t="s">
        <v>1255</v>
      </c>
      <c r="H115" s="14" t="s">
        <v>1255</v>
      </c>
      <c r="I115" s="14" t="s">
        <v>242</v>
      </c>
      <c r="J115" s="14" t="s">
        <v>3139</v>
      </c>
      <c r="K115" s="14" t="s">
        <v>234</v>
      </c>
      <c r="L115" s="14" t="s">
        <v>2178</v>
      </c>
      <c r="M115" s="14" t="s">
        <v>2549</v>
      </c>
      <c r="N115" s="14" t="s">
        <v>3140</v>
      </c>
      <c r="O115" s="14" t="s">
        <v>3055</v>
      </c>
      <c r="P115" s="14" t="s">
        <v>3056</v>
      </c>
      <c r="Q115" s="14"/>
      <c r="R115" s="14" t="s">
        <v>1383</v>
      </c>
      <c r="S115" s="14" t="s">
        <v>3141</v>
      </c>
      <c r="T115" s="14" t="s">
        <v>3142</v>
      </c>
    </row>
    <row r="116" spans="1:20">
      <c r="A116" s="14" t="s">
        <v>3143</v>
      </c>
      <c r="B116" s="14" t="s">
        <v>3144</v>
      </c>
      <c r="C116" s="14" t="s">
        <v>708</v>
      </c>
      <c r="D116" s="14" t="s">
        <v>3145</v>
      </c>
      <c r="E116" s="14" t="s">
        <v>3119</v>
      </c>
      <c r="F116" s="14" t="s">
        <v>1428</v>
      </c>
      <c r="G116" s="14" t="s">
        <v>2561</v>
      </c>
      <c r="H116" s="14" t="s">
        <v>2561</v>
      </c>
      <c r="I116" s="14" t="s">
        <v>287</v>
      </c>
      <c r="J116" s="14" t="s">
        <v>3120</v>
      </c>
      <c r="K116" s="14" t="s">
        <v>286</v>
      </c>
      <c r="L116" s="14" t="s">
        <v>2178</v>
      </c>
      <c r="M116" s="14" t="s">
        <v>2549</v>
      </c>
      <c r="N116" s="14" t="s">
        <v>3146</v>
      </c>
      <c r="O116" s="14" t="s">
        <v>3055</v>
      </c>
      <c r="P116" s="14" t="s">
        <v>3056</v>
      </c>
      <c r="Q116" s="14"/>
      <c r="R116" s="14" t="s">
        <v>1383</v>
      </c>
      <c r="S116" s="14" t="s">
        <v>3147</v>
      </c>
      <c r="T116" s="14" t="s">
        <v>3148</v>
      </c>
    </row>
    <row r="117" spans="1:20">
      <c r="A117" s="14" t="s">
        <v>3149</v>
      </c>
      <c r="B117" s="14" t="s">
        <v>3150</v>
      </c>
      <c r="C117" s="14" t="s">
        <v>708</v>
      </c>
      <c r="D117" s="14" t="s">
        <v>3151</v>
      </c>
      <c r="E117" s="14" t="s">
        <v>930</v>
      </c>
      <c r="F117" s="14" t="s">
        <v>2524</v>
      </c>
      <c r="G117" s="14" t="s">
        <v>3152</v>
      </c>
      <c r="H117" s="14" t="s">
        <v>313</v>
      </c>
      <c r="I117" s="14" t="s">
        <v>312</v>
      </c>
      <c r="J117" s="14" t="s">
        <v>234</v>
      </c>
      <c r="K117" s="14" t="s">
        <v>234</v>
      </c>
      <c r="L117" s="14" t="s">
        <v>2178</v>
      </c>
      <c r="M117" s="14" t="s">
        <v>2497</v>
      </c>
      <c r="N117" s="14" t="s">
        <v>3153</v>
      </c>
      <c r="O117" s="14" t="s">
        <v>3089</v>
      </c>
      <c r="P117" s="14" t="s">
        <v>3047</v>
      </c>
      <c r="Q117" s="14"/>
      <c r="R117" s="14" t="s">
        <v>1383</v>
      </c>
      <c r="S117" s="14" t="s">
        <v>3154</v>
      </c>
      <c r="T117" s="14" t="s">
        <v>3155</v>
      </c>
    </row>
    <row r="118" spans="1:20">
      <c r="A118" s="14" t="s">
        <v>3156</v>
      </c>
      <c r="B118" s="14" t="s">
        <v>3157</v>
      </c>
      <c r="C118" s="14" t="s">
        <v>708</v>
      </c>
      <c r="D118" s="14" t="s">
        <v>3158</v>
      </c>
      <c r="E118" s="14" t="s">
        <v>3159</v>
      </c>
      <c r="F118" s="14" t="s">
        <v>2528</v>
      </c>
      <c r="G118" s="14" t="s">
        <v>3160</v>
      </c>
      <c r="H118" s="14" t="s">
        <v>3160</v>
      </c>
      <c r="I118" s="14" t="s">
        <v>250</v>
      </c>
      <c r="J118" s="14" t="s">
        <v>178</v>
      </c>
      <c r="K118" s="14" t="s">
        <v>178</v>
      </c>
      <c r="L118" s="14" t="s">
        <v>2178</v>
      </c>
      <c r="M118" s="14" t="s">
        <v>2497</v>
      </c>
      <c r="N118" s="14" t="s">
        <v>3161</v>
      </c>
      <c r="O118" s="14" t="s">
        <v>3089</v>
      </c>
      <c r="P118" s="14" t="s">
        <v>3047</v>
      </c>
      <c r="Q118" s="14"/>
      <c r="R118" s="14" t="s">
        <v>1383</v>
      </c>
      <c r="S118" s="14" t="s">
        <v>3162</v>
      </c>
      <c r="T118" s="14" t="s">
        <v>3163</v>
      </c>
    </row>
    <row r="119" spans="1:20">
      <c r="A119" s="14" t="s">
        <v>3164</v>
      </c>
      <c r="B119" s="14" t="s">
        <v>3165</v>
      </c>
      <c r="C119" s="14" t="s">
        <v>708</v>
      </c>
      <c r="D119" s="14" t="s">
        <v>3166</v>
      </c>
      <c r="E119" s="14" t="s">
        <v>2669</v>
      </c>
      <c r="F119" s="14" t="s">
        <v>1280</v>
      </c>
      <c r="G119" s="14" t="s">
        <v>321</v>
      </c>
      <c r="H119" s="14" t="s">
        <v>321</v>
      </c>
      <c r="I119" s="14" t="s">
        <v>323</v>
      </c>
      <c r="J119" s="14" t="s">
        <v>322</v>
      </c>
      <c r="K119" s="14" t="s">
        <v>322</v>
      </c>
      <c r="L119" s="14" t="s">
        <v>2178</v>
      </c>
      <c r="M119" s="14" t="s">
        <v>2773</v>
      </c>
      <c r="N119" s="14" t="s">
        <v>3121</v>
      </c>
      <c r="O119" s="14" t="s">
        <v>3033</v>
      </c>
      <c r="P119" s="14" t="s">
        <v>3034</v>
      </c>
      <c r="Q119" s="14"/>
      <c r="R119" s="14" t="s">
        <v>1383</v>
      </c>
      <c r="S119" s="14" t="s">
        <v>3167</v>
      </c>
      <c r="T119" s="14" t="s">
        <v>3168</v>
      </c>
    </row>
    <row r="120" spans="1:20">
      <c r="A120" s="14" t="s">
        <v>3169</v>
      </c>
      <c r="B120" s="14" t="s">
        <v>3170</v>
      </c>
      <c r="C120" s="14" t="s">
        <v>708</v>
      </c>
      <c r="D120" s="14" t="s">
        <v>3171</v>
      </c>
      <c r="E120" s="14" t="s">
        <v>2669</v>
      </c>
      <c r="F120" s="14" t="s">
        <v>1280</v>
      </c>
      <c r="G120" s="14" t="s">
        <v>476</v>
      </c>
      <c r="H120" s="14" t="s">
        <v>476</v>
      </c>
      <c r="I120" s="14" t="s">
        <v>479</v>
      </c>
      <c r="J120" s="14" t="s">
        <v>2658</v>
      </c>
      <c r="K120" s="14" t="s">
        <v>477</v>
      </c>
      <c r="L120" s="14" t="s">
        <v>2178</v>
      </c>
      <c r="M120" s="14" t="s">
        <v>2670</v>
      </c>
      <c r="N120" s="14" t="s">
        <v>3172</v>
      </c>
      <c r="O120" s="14" t="s">
        <v>3033</v>
      </c>
      <c r="P120" s="14" t="s">
        <v>3034</v>
      </c>
      <c r="Q120" s="14"/>
      <c r="R120" s="14" t="s">
        <v>1383</v>
      </c>
      <c r="S120" s="14" t="s">
        <v>3173</v>
      </c>
      <c r="T120" s="14" t="s">
        <v>3174</v>
      </c>
    </row>
    <row r="121" spans="1:20">
      <c r="A121" s="14" t="s">
        <v>1270</v>
      </c>
      <c r="B121" s="14" t="s">
        <v>3175</v>
      </c>
      <c r="C121" s="14" t="s">
        <v>708</v>
      </c>
      <c r="D121" s="14" t="s">
        <v>3176</v>
      </c>
      <c r="E121" s="14" t="s">
        <v>2669</v>
      </c>
      <c r="F121" s="14" t="s">
        <v>1280</v>
      </c>
      <c r="G121" s="14" t="s">
        <v>283</v>
      </c>
      <c r="H121" s="14" t="s">
        <v>283</v>
      </c>
      <c r="I121" s="14" t="s">
        <v>416</v>
      </c>
      <c r="J121" s="14" t="s">
        <v>3177</v>
      </c>
      <c r="K121" s="14" t="s">
        <v>410</v>
      </c>
      <c r="L121" s="14" t="s">
        <v>2178</v>
      </c>
      <c r="M121" s="14" t="s">
        <v>2533</v>
      </c>
      <c r="N121" s="14" t="s">
        <v>3178</v>
      </c>
      <c r="O121" s="14" t="s">
        <v>3055</v>
      </c>
      <c r="P121" s="14" t="s">
        <v>3056</v>
      </c>
      <c r="Q121" s="14"/>
      <c r="R121" s="14" t="s">
        <v>1383</v>
      </c>
      <c r="S121" s="14" t="s">
        <v>3179</v>
      </c>
      <c r="T121" s="14" t="s">
        <v>3180</v>
      </c>
    </row>
    <row r="122" spans="1:20">
      <c r="A122" s="14" t="s">
        <v>3181</v>
      </c>
      <c r="B122" s="14" t="s">
        <v>3182</v>
      </c>
      <c r="C122" s="14" t="s">
        <v>708</v>
      </c>
      <c r="D122" s="14" t="s">
        <v>3183</v>
      </c>
      <c r="E122" s="14" t="s">
        <v>2669</v>
      </c>
      <c r="F122" s="14" t="s">
        <v>1280</v>
      </c>
      <c r="G122" s="14" t="s">
        <v>622</v>
      </c>
      <c r="H122" s="14" t="s">
        <v>622</v>
      </c>
      <c r="I122" s="14" t="s">
        <v>624</v>
      </c>
      <c r="J122" s="14" t="s">
        <v>623</v>
      </c>
      <c r="K122" s="14" t="s">
        <v>623</v>
      </c>
      <c r="L122" s="14" t="s">
        <v>2178</v>
      </c>
      <c r="M122" s="14" t="s">
        <v>2678</v>
      </c>
      <c r="N122" s="14" t="s">
        <v>3184</v>
      </c>
      <c r="O122" s="14" t="s">
        <v>3046</v>
      </c>
      <c r="P122" s="14" t="s">
        <v>3047</v>
      </c>
      <c r="Q122" s="14"/>
      <c r="R122" s="14" t="s">
        <v>1383</v>
      </c>
      <c r="S122" s="14" t="s">
        <v>3185</v>
      </c>
      <c r="T122" s="14" t="s">
        <v>3186</v>
      </c>
    </row>
    <row r="123" spans="1:20">
      <c r="A123" s="14" t="s">
        <v>3187</v>
      </c>
      <c r="B123" s="14" t="s">
        <v>3188</v>
      </c>
      <c r="C123" s="14" t="s">
        <v>708</v>
      </c>
      <c r="D123" s="14" t="s">
        <v>3189</v>
      </c>
      <c r="E123" s="14" t="s">
        <v>2669</v>
      </c>
      <c r="F123" s="14" t="s">
        <v>1280</v>
      </c>
      <c r="G123" s="14" t="s">
        <v>339</v>
      </c>
      <c r="H123" s="14" t="s">
        <v>339</v>
      </c>
      <c r="I123" s="14" t="s">
        <v>342</v>
      </c>
      <c r="J123" s="14" t="s">
        <v>340</v>
      </c>
      <c r="K123" s="14" t="s">
        <v>340</v>
      </c>
      <c r="L123" s="14" t="s">
        <v>2178</v>
      </c>
      <c r="M123" s="14" t="s">
        <v>2659</v>
      </c>
      <c r="N123" s="14" t="s">
        <v>3076</v>
      </c>
      <c r="O123" s="14" t="s">
        <v>3046</v>
      </c>
      <c r="P123" s="14" t="s">
        <v>3047</v>
      </c>
      <c r="Q123" s="14"/>
      <c r="R123" s="14" t="s">
        <v>1383</v>
      </c>
      <c r="S123" s="14" t="s">
        <v>3190</v>
      </c>
      <c r="T123" s="14" t="s">
        <v>3191</v>
      </c>
    </row>
    <row r="124" spans="1:20">
      <c r="A124" s="14" t="s">
        <v>3192</v>
      </c>
      <c r="B124" s="14" t="s">
        <v>3193</v>
      </c>
      <c r="C124" s="14" t="s">
        <v>708</v>
      </c>
      <c r="D124" s="14" t="s">
        <v>3194</v>
      </c>
      <c r="E124" s="14" t="s">
        <v>1622</v>
      </c>
      <c r="F124" s="14" t="s">
        <v>2579</v>
      </c>
      <c r="G124" s="14" t="s">
        <v>646</v>
      </c>
      <c r="H124" s="14"/>
      <c r="I124" s="14" t="s">
        <v>646</v>
      </c>
      <c r="J124" s="14" t="s">
        <v>3195</v>
      </c>
      <c r="K124" s="14"/>
      <c r="L124" s="14" t="s">
        <v>2178</v>
      </c>
      <c r="M124" s="14" t="s">
        <v>3196</v>
      </c>
      <c r="N124" s="14" t="s">
        <v>3076</v>
      </c>
      <c r="O124" s="14" t="s">
        <v>3197</v>
      </c>
      <c r="P124" s="14" t="s">
        <v>3198</v>
      </c>
      <c r="Q124" s="14"/>
      <c r="R124" s="14" t="s">
        <v>1383</v>
      </c>
      <c r="S124" s="14" t="s">
        <v>3199</v>
      </c>
      <c r="T124" s="14" t="s">
        <v>3200</v>
      </c>
    </row>
    <row r="125" spans="1:20">
      <c r="A125" s="14" t="s">
        <v>3201</v>
      </c>
      <c r="B125" s="14" t="s">
        <v>3202</v>
      </c>
      <c r="C125" s="14" t="s">
        <v>708</v>
      </c>
      <c r="D125" s="14" t="s">
        <v>3203</v>
      </c>
      <c r="E125" s="14" t="s">
        <v>1622</v>
      </c>
      <c r="F125" s="14" t="s">
        <v>2579</v>
      </c>
      <c r="G125" s="14" t="s">
        <v>641</v>
      </c>
      <c r="H125" s="14"/>
      <c r="I125" s="14" t="s">
        <v>641</v>
      </c>
      <c r="J125" s="14" t="s">
        <v>3195</v>
      </c>
      <c r="K125" s="14"/>
      <c r="L125" s="14" t="s">
        <v>2178</v>
      </c>
      <c r="M125" s="14" t="s">
        <v>3196</v>
      </c>
      <c r="N125" s="14" t="s">
        <v>3101</v>
      </c>
      <c r="O125" s="14" t="s">
        <v>3197</v>
      </c>
      <c r="P125" s="14" t="s">
        <v>3198</v>
      </c>
      <c r="Q125" s="14"/>
      <c r="R125" s="14" t="s">
        <v>1383</v>
      </c>
      <c r="S125" s="14" t="s">
        <v>3204</v>
      </c>
      <c r="T125" s="14" t="s">
        <v>3205</v>
      </c>
    </row>
    <row r="126" spans="1:20">
      <c r="A126" s="14" t="s">
        <v>3206</v>
      </c>
      <c r="B126" s="14" t="s">
        <v>3207</v>
      </c>
      <c r="C126" s="14" t="s">
        <v>708</v>
      </c>
      <c r="D126" s="14" t="s">
        <v>3208</v>
      </c>
      <c r="E126" s="14" t="s">
        <v>1622</v>
      </c>
      <c r="F126" s="14" t="s">
        <v>2579</v>
      </c>
      <c r="G126" s="14" t="s">
        <v>640</v>
      </c>
      <c r="H126" s="14"/>
      <c r="I126" s="14" t="s">
        <v>640</v>
      </c>
      <c r="J126" s="14" t="s">
        <v>3195</v>
      </c>
      <c r="K126" s="14"/>
      <c r="L126" s="14" t="s">
        <v>2178</v>
      </c>
      <c r="M126" s="14" t="s">
        <v>3196</v>
      </c>
      <c r="N126" s="14" t="s">
        <v>3146</v>
      </c>
      <c r="O126" s="14" t="s">
        <v>3197</v>
      </c>
      <c r="P126" s="14" t="s">
        <v>3198</v>
      </c>
      <c r="Q126" s="14"/>
      <c r="R126" s="14" t="s">
        <v>1383</v>
      </c>
      <c r="S126" s="14" t="s">
        <v>3209</v>
      </c>
      <c r="T126" s="14" t="s">
        <v>3210</v>
      </c>
    </row>
    <row r="127" spans="1:20">
      <c r="A127" s="14" t="s">
        <v>3211</v>
      </c>
      <c r="B127" s="14" t="s">
        <v>3212</v>
      </c>
      <c r="C127" s="14" t="s">
        <v>708</v>
      </c>
      <c r="D127" s="14" t="s">
        <v>3213</v>
      </c>
      <c r="E127" s="14" t="s">
        <v>1622</v>
      </c>
      <c r="F127" s="14" t="s">
        <v>2579</v>
      </c>
      <c r="G127" s="14" t="s">
        <v>600</v>
      </c>
      <c r="H127" s="14" t="s">
        <v>600</v>
      </c>
      <c r="I127" s="14" t="s">
        <v>602</v>
      </c>
      <c r="J127" s="14" t="s">
        <v>3214</v>
      </c>
      <c r="K127" s="14" t="s">
        <v>315</v>
      </c>
      <c r="L127" s="14" t="s">
        <v>2178</v>
      </c>
      <c r="M127" s="14" t="s">
        <v>3196</v>
      </c>
      <c r="N127" s="14" t="s">
        <v>3215</v>
      </c>
      <c r="O127" s="14" t="s">
        <v>3197</v>
      </c>
      <c r="P127" s="14" t="s">
        <v>3198</v>
      </c>
      <c r="Q127" s="14"/>
      <c r="R127" s="14" t="s">
        <v>1383</v>
      </c>
      <c r="S127" s="14" t="s">
        <v>3216</v>
      </c>
      <c r="T127" s="14" t="s">
        <v>3217</v>
      </c>
    </row>
    <row r="128" spans="1:20">
      <c r="A128" s="14" t="s">
        <v>3218</v>
      </c>
      <c r="B128" s="14" t="s">
        <v>3219</v>
      </c>
      <c r="C128" s="14" t="s">
        <v>708</v>
      </c>
      <c r="D128" s="14" t="s">
        <v>3220</v>
      </c>
      <c r="E128" s="14" t="s">
        <v>1622</v>
      </c>
      <c r="F128" s="14" t="s">
        <v>2579</v>
      </c>
      <c r="G128" s="14" t="s">
        <v>344</v>
      </c>
      <c r="H128" s="14" t="s">
        <v>344</v>
      </c>
      <c r="I128" s="14"/>
      <c r="J128" s="14" t="s">
        <v>3120</v>
      </c>
      <c r="K128" s="14"/>
      <c r="L128" s="14" t="s">
        <v>2178</v>
      </c>
      <c r="M128" s="14" t="s">
        <v>3196</v>
      </c>
      <c r="N128" s="14" t="s">
        <v>3221</v>
      </c>
      <c r="O128" s="14" t="s">
        <v>3197</v>
      </c>
      <c r="P128" s="14" t="s">
        <v>3198</v>
      </c>
      <c r="Q128" s="14"/>
      <c r="R128" s="14" t="s">
        <v>1383</v>
      </c>
      <c r="S128" s="14" t="s">
        <v>3222</v>
      </c>
      <c r="T128" s="14" t="s">
        <v>3217</v>
      </c>
    </row>
    <row r="129" spans="1:20">
      <c r="A129" s="14" t="s">
        <v>3223</v>
      </c>
      <c r="B129" s="14" t="s">
        <v>3224</v>
      </c>
      <c r="C129" s="14" t="s">
        <v>708</v>
      </c>
      <c r="D129" s="14" t="s">
        <v>3225</v>
      </c>
      <c r="E129" s="14" t="s">
        <v>1622</v>
      </c>
      <c r="F129" s="14" t="s">
        <v>2579</v>
      </c>
      <c r="G129" s="14" t="s">
        <v>215</v>
      </c>
      <c r="H129" s="14" t="s">
        <v>215</v>
      </c>
      <c r="I129" s="14" t="s">
        <v>218</v>
      </c>
      <c r="J129" s="14" t="s">
        <v>3139</v>
      </c>
      <c r="K129" s="14" t="s">
        <v>234</v>
      </c>
      <c r="L129" s="14" t="s">
        <v>2178</v>
      </c>
      <c r="M129" s="14" t="s">
        <v>3196</v>
      </c>
      <c r="N129" s="14" t="s">
        <v>3226</v>
      </c>
      <c r="O129" s="14" t="s">
        <v>3197</v>
      </c>
      <c r="P129" s="14" t="s">
        <v>3198</v>
      </c>
      <c r="Q129" s="14"/>
      <c r="R129" s="14" t="s">
        <v>1383</v>
      </c>
      <c r="S129" s="14" t="s">
        <v>3227</v>
      </c>
      <c r="T129" s="14" t="s">
        <v>3217</v>
      </c>
    </row>
    <row r="130" spans="1:20">
      <c r="A130" s="14" t="s">
        <v>3228</v>
      </c>
      <c r="B130" s="14" t="s">
        <v>3229</v>
      </c>
      <c r="C130" s="14" t="s">
        <v>708</v>
      </c>
      <c r="D130" s="14" t="s">
        <v>3230</v>
      </c>
      <c r="E130" s="14" t="s">
        <v>1622</v>
      </c>
      <c r="F130" s="14" t="s">
        <v>2579</v>
      </c>
      <c r="G130" s="14" t="s">
        <v>436</v>
      </c>
      <c r="H130" s="14" t="s">
        <v>436</v>
      </c>
      <c r="I130" s="14" t="s">
        <v>437</v>
      </c>
      <c r="J130" s="14" t="s">
        <v>3120</v>
      </c>
      <c r="K130" s="14" t="s">
        <v>286</v>
      </c>
      <c r="L130" s="14" t="s">
        <v>2178</v>
      </c>
      <c r="M130" s="14" t="s">
        <v>3196</v>
      </c>
      <c r="N130" s="14" t="s">
        <v>3231</v>
      </c>
      <c r="O130" s="14" t="s">
        <v>3197</v>
      </c>
      <c r="P130" s="14" t="s">
        <v>3198</v>
      </c>
      <c r="Q130" s="14"/>
      <c r="R130" s="14" t="s">
        <v>1383</v>
      </c>
      <c r="S130" s="14" t="s">
        <v>3232</v>
      </c>
      <c r="T130" s="14" t="s">
        <v>3217</v>
      </c>
    </row>
    <row r="131" spans="1:20">
      <c r="A131" s="14" t="s">
        <v>3233</v>
      </c>
      <c r="B131" s="14" t="s">
        <v>3234</v>
      </c>
      <c r="C131" s="14" t="s">
        <v>708</v>
      </c>
      <c r="D131" s="14" t="s">
        <v>3235</v>
      </c>
      <c r="E131" s="14" t="s">
        <v>1622</v>
      </c>
      <c r="F131" s="14" t="s">
        <v>2579</v>
      </c>
      <c r="G131" s="14" t="s">
        <v>193</v>
      </c>
      <c r="H131" s="14" t="s">
        <v>193</v>
      </c>
      <c r="I131" s="14" t="s">
        <v>194</v>
      </c>
      <c r="J131" s="14" t="s">
        <v>3127</v>
      </c>
      <c r="K131" s="14" t="s">
        <v>183</v>
      </c>
      <c r="L131" s="14" t="s">
        <v>2178</v>
      </c>
      <c r="M131" s="14" t="s">
        <v>3196</v>
      </c>
      <c r="N131" s="14" t="s">
        <v>3236</v>
      </c>
      <c r="O131" s="14" t="s">
        <v>3197</v>
      </c>
      <c r="P131" s="14" t="s">
        <v>3198</v>
      </c>
      <c r="Q131" s="14"/>
      <c r="R131" s="14" t="s">
        <v>1383</v>
      </c>
      <c r="S131" s="14" t="s">
        <v>3237</v>
      </c>
      <c r="T131" s="14" t="s">
        <v>3217</v>
      </c>
    </row>
    <row r="132" spans="1:20">
      <c r="A132" s="14" t="s">
        <v>3238</v>
      </c>
      <c r="B132" s="14" t="s">
        <v>3239</v>
      </c>
      <c r="C132" s="14" t="s">
        <v>708</v>
      </c>
      <c r="D132" s="14" t="s">
        <v>3240</v>
      </c>
      <c r="E132" s="14" t="s">
        <v>1622</v>
      </c>
      <c r="F132" s="14" t="s">
        <v>2579</v>
      </c>
      <c r="G132" s="14" t="s">
        <v>443</v>
      </c>
      <c r="H132" s="14" t="s">
        <v>443</v>
      </c>
      <c r="I132" s="14" t="s">
        <v>445</v>
      </c>
      <c r="J132" s="14" t="s">
        <v>3120</v>
      </c>
      <c r="K132" s="14" t="s">
        <v>286</v>
      </c>
      <c r="L132" s="14" t="s">
        <v>2178</v>
      </c>
      <c r="M132" s="14" t="s">
        <v>3196</v>
      </c>
      <c r="N132" s="14" t="s">
        <v>3241</v>
      </c>
      <c r="O132" s="14" t="s">
        <v>3197</v>
      </c>
      <c r="P132" s="14" t="s">
        <v>3198</v>
      </c>
      <c r="Q132" s="14"/>
      <c r="R132" s="14" t="s">
        <v>1383</v>
      </c>
      <c r="S132" s="14" t="s">
        <v>3242</v>
      </c>
      <c r="T132" s="14" t="s">
        <v>3217</v>
      </c>
    </row>
    <row r="133" spans="1:20">
      <c r="A133" s="14" t="s">
        <v>3243</v>
      </c>
      <c r="B133" s="14" t="s">
        <v>3244</v>
      </c>
      <c r="C133" s="14" t="s">
        <v>708</v>
      </c>
      <c r="D133" s="14" t="s">
        <v>3245</v>
      </c>
      <c r="E133" s="14" t="s">
        <v>1622</v>
      </c>
      <c r="F133" s="14" t="s">
        <v>2579</v>
      </c>
      <c r="G133" s="14" t="s">
        <v>204</v>
      </c>
      <c r="H133" s="14" t="s">
        <v>204</v>
      </c>
      <c r="I133" s="14" t="s">
        <v>205</v>
      </c>
      <c r="J133" s="14" t="s">
        <v>3127</v>
      </c>
      <c r="K133" s="14" t="s">
        <v>183</v>
      </c>
      <c r="L133" s="14" t="s">
        <v>2178</v>
      </c>
      <c r="M133" s="14" t="s">
        <v>3196</v>
      </c>
      <c r="N133" s="14" t="s">
        <v>3246</v>
      </c>
      <c r="O133" s="14" t="s">
        <v>3197</v>
      </c>
      <c r="P133" s="14" t="s">
        <v>3198</v>
      </c>
      <c r="Q133" s="14"/>
      <c r="R133" s="14" t="s">
        <v>1383</v>
      </c>
      <c r="S133" s="14" t="s">
        <v>3247</v>
      </c>
      <c r="T133" s="14" t="s">
        <v>3217</v>
      </c>
    </row>
    <row r="134" spans="1:20">
      <c r="A134" s="14" t="s">
        <v>3248</v>
      </c>
      <c r="B134" s="14" t="s">
        <v>3249</v>
      </c>
      <c r="C134" s="14" t="s">
        <v>708</v>
      </c>
      <c r="D134" s="14" t="s">
        <v>3250</v>
      </c>
      <c r="E134" s="14" t="s">
        <v>3251</v>
      </c>
      <c r="F134" s="14" t="s">
        <v>2628</v>
      </c>
      <c r="G134" s="14" t="s">
        <v>213</v>
      </c>
      <c r="H134" s="14" t="s">
        <v>213</v>
      </c>
      <c r="I134" s="14"/>
      <c r="J134" s="14" t="s">
        <v>3127</v>
      </c>
      <c r="K134" s="14"/>
      <c r="L134" s="14" t="s">
        <v>2178</v>
      </c>
      <c r="M134" s="14" t="s">
        <v>3196</v>
      </c>
      <c r="N134" s="14" t="s">
        <v>3252</v>
      </c>
      <c r="O134" s="14" t="s">
        <v>3197</v>
      </c>
      <c r="P134" s="14" t="s">
        <v>3198</v>
      </c>
      <c r="Q134" s="14"/>
      <c r="R134" s="14" t="s">
        <v>1383</v>
      </c>
      <c r="S134" s="14" t="s">
        <v>3253</v>
      </c>
      <c r="T134" s="14" t="s">
        <v>3254</v>
      </c>
    </row>
    <row r="135" spans="1:20">
      <c r="A135" s="14" t="s">
        <v>3255</v>
      </c>
      <c r="B135" s="14" t="s">
        <v>3256</v>
      </c>
      <c r="C135" s="14" t="s">
        <v>708</v>
      </c>
      <c r="D135" s="14" t="s">
        <v>3257</v>
      </c>
      <c r="E135" s="14" t="s">
        <v>3251</v>
      </c>
      <c r="F135" s="14" t="s">
        <v>2628</v>
      </c>
      <c r="G135" s="14" t="s">
        <v>257</v>
      </c>
      <c r="H135" s="14" t="s">
        <v>257</v>
      </c>
      <c r="I135" s="14"/>
      <c r="J135" s="14" t="s">
        <v>3139</v>
      </c>
      <c r="K135" s="14"/>
      <c r="L135" s="14" t="s">
        <v>2172</v>
      </c>
      <c r="M135" s="14" t="s">
        <v>3196</v>
      </c>
      <c r="N135" s="14" t="s">
        <v>2800</v>
      </c>
      <c r="O135" s="14" t="s">
        <v>3258</v>
      </c>
      <c r="P135" s="14" t="s">
        <v>3198</v>
      </c>
      <c r="Q135" s="14"/>
      <c r="R135" s="14" t="s">
        <v>1383</v>
      </c>
      <c r="S135" s="14" t="s">
        <v>3259</v>
      </c>
      <c r="T135" s="14" t="s">
        <v>3260</v>
      </c>
    </row>
    <row r="136" spans="1:20">
      <c r="A136" s="14" t="s">
        <v>3261</v>
      </c>
      <c r="B136" s="14" t="s">
        <v>3262</v>
      </c>
      <c r="C136" s="14" t="s">
        <v>708</v>
      </c>
      <c r="D136" s="14" t="s">
        <v>3263</v>
      </c>
      <c r="E136" s="14" t="s">
        <v>3264</v>
      </c>
      <c r="F136" s="14" t="s">
        <v>2825</v>
      </c>
      <c r="G136" s="14" t="s">
        <v>1294</v>
      </c>
      <c r="H136" s="14" t="s">
        <v>1294</v>
      </c>
      <c r="I136" s="14"/>
      <c r="J136" s="14" t="s">
        <v>331</v>
      </c>
      <c r="K136" s="14"/>
      <c r="L136" s="14" t="s">
        <v>2178</v>
      </c>
      <c r="M136" s="14" t="s">
        <v>2659</v>
      </c>
      <c r="N136" s="14" t="s">
        <v>3121</v>
      </c>
      <c r="O136" s="14" t="s">
        <v>3265</v>
      </c>
      <c r="P136" s="14" t="s">
        <v>3047</v>
      </c>
      <c r="Q136" s="14"/>
      <c r="R136" s="14" t="s">
        <v>1383</v>
      </c>
      <c r="S136" s="14" t="s">
        <v>3266</v>
      </c>
      <c r="T136" s="14" t="s">
        <v>3267</v>
      </c>
    </row>
    <row r="137" spans="1:20">
      <c r="A137" s="14" t="s">
        <v>3268</v>
      </c>
      <c r="B137" s="14" t="s">
        <v>3269</v>
      </c>
      <c r="C137" s="14" t="s">
        <v>708</v>
      </c>
      <c r="D137" s="14" t="s">
        <v>3270</v>
      </c>
      <c r="E137" s="14" t="s">
        <v>864</v>
      </c>
      <c r="F137" s="14" t="s">
        <v>2504</v>
      </c>
      <c r="G137" s="14" t="s">
        <v>3271</v>
      </c>
      <c r="H137" s="14" t="s">
        <v>265</v>
      </c>
      <c r="I137" s="14"/>
      <c r="J137" s="14" t="s">
        <v>234</v>
      </c>
      <c r="K137" s="14" t="s">
        <v>234</v>
      </c>
      <c r="L137" s="14" t="s">
        <v>2178</v>
      </c>
      <c r="M137" s="14" t="s">
        <v>2497</v>
      </c>
      <c r="N137" s="14" t="s">
        <v>3221</v>
      </c>
      <c r="O137" s="14" t="s">
        <v>3089</v>
      </c>
      <c r="P137" s="14" t="s">
        <v>3047</v>
      </c>
      <c r="Q137" s="14"/>
      <c r="R137" s="14" t="s">
        <v>1383</v>
      </c>
      <c r="S137" s="14" t="s">
        <v>3272</v>
      </c>
      <c r="T137" s="14" t="s">
        <v>3273</v>
      </c>
    </row>
    <row r="138" spans="1:20">
      <c r="A138" s="14" t="s">
        <v>3274</v>
      </c>
      <c r="B138" s="14" t="s">
        <v>3275</v>
      </c>
      <c r="C138" s="14" t="s">
        <v>708</v>
      </c>
      <c r="D138" s="14" t="s">
        <v>3276</v>
      </c>
      <c r="E138" s="14" t="s">
        <v>852</v>
      </c>
      <c r="F138" s="14" t="s">
        <v>2504</v>
      </c>
      <c r="G138" s="14" t="s">
        <v>3277</v>
      </c>
      <c r="H138" s="14" t="s">
        <v>173</v>
      </c>
      <c r="I138" s="14"/>
      <c r="J138" s="14" t="s">
        <v>266</v>
      </c>
      <c r="K138" s="14" t="s">
        <v>75</v>
      </c>
      <c r="L138" s="14" t="s">
        <v>2178</v>
      </c>
      <c r="M138" s="14" t="s">
        <v>2497</v>
      </c>
      <c r="N138" s="14" t="s">
        <v>3278</v>
      </c>
      <c r="O138" s="14" t="s">
        <v>3089</v>
      </c>
      <c r="P138" s="14" t="s">
        <v>3047</v>
      </c>
      <c r="Q138" s="14"/>
      <c r="R138" s="14" t="s">
        <v>1383</v>
      </c>
      <c r="S138" s="14" t="s">
        <v>3279</v>
      </c>
      <c r="T138" s="14" t="s">
        <v>3280</v>
      </c>
    </row>
    <row r="139" spans="1:20">
      <c r="A139" s="14" t="s">
        <v>3281</v>
      </c>
      <c r="B139" s="14" t="s">
        <v>3282</v>
      </c>
      <c r="C139" s="14" t="s">
        <v>708</v>
      </c>
      <c r="D139" s="14" t="s">
        <v>3283</v>
      </c>
      <c r="E139" s="14" t="s">
        <v>852</v>
      </c>
      <c r="F139" s="14" t="s">
        <v>2504</v>
      </c>
      <c r="G139" s="14" t="s">
        <v>3284</v>
      </c>
      <c r="H139" s="14" t="s">
        <v>125</v>
      </c>
      <c r="I139" s="14"/>
      <c r="J139" s="14" t="s">
        <v>129</v>
      </c>
      <c r="K139" s="14" t="s">
        <v>129</v>
      </c>
      <c r="L139" s="14" t="s">
        <v>2178</v>
      </c>
      <c r="M139" s="14" t="s">
        <v>2497</v>
      </c>
      <c r="N139" s="14" t="s">
        <v>3285</v>
      </c>
      <c r="O139" s="14" t="s">
        <v>3089</v>
      </c>
      <c r="P139" s="14" t="s">
        <v>3047</v>
      </c>
      <c r="Q139" s="14"/>
      <c r="R139" s="14" t="s">
        <v>1383</v>
      </c>
      <c r="S139" s="14" t="s">
        <v>3286</v>
      </c>
      <c r="T139" s="14" t="s">
        <v>3287</v>
      </c>
    </row>
    <row r="140" spans="1:20">
      <c r="A140" s="14" t="s">
        <v>3288</v>
      </c>
      <c r="B140" s="14" t="s">
        <v>3289</v>
      </c>
      <c r="C140" s="14" t="s">
        <v>708</v>
      </c>
      <c r="D140" s="14" t="s">
        <v>3290</v>
      </c>
      <c r="E140" s="14" t="s">
        <v>852</v>
      </c>
      <c r="F140" s="14" t="s">
        <v>2504</v>
      </c>
      <c r="G140" s="14" t="s">
        <v>3291</v>
      </c>
      <c r="H140" s="14" t="s">
        <v>71</v>
      </c>
      <c r="I140" s="14"/>
      <c r="J140" s="14" t="s">
        <v>73</v>
      </c>
      <c r="K140" s="14" t="s">
        <v>73</v>
      </c>
      <c r="L140" s="14" t="s">
        <v>2178</v>
      </c>
      <c r="M140" s="14" t="s">
        <v>2497</v>
      </c>
      <c r="N140" s="14" t="s">
        <v>3032</v>
      </c>
      <c r="O140" s="14" t="s">
        <v>3089</v>
      </c>
      <c r="P140" s="14" t="s">
        <v>3047</v>
      </c>
      <c r="Q140" s="14"/>
      <c r="R140" s="14" t="s">
        <v>1383</v>
      </c>
      <c r="S140" s="14" t="s">
        <v>3292</v>
      </c>
      <c r="T140" s="14" t="s">
        <v>3293</v>
      </c>
    </row>
    <row r="141" spans="1:20">
      <c r="A141" s="14" t="s">
        <v>3294</v>
      </c>
      <c r="B141" s="14" t="s">
        <v>3295</v>
      </c>
      <c r="C141" s="14" t="s">
        <v>755</v>
      </c>
      <c r="D141" s="14" t="s">
        <v>3296</v>
      </c>
      <c r="E141" s="14" t="s">
        <v>1155</v>
      </c>
      <c r="F141" s="14" t="s">
        <v>3297</v>
      </c>
      <c r="G141" s="14" t="s">
        <v>3298</v>
      </c>
      <c r="H141" s="14" t="s">
        <v>263</v>
      </c>
      <c r="I141" s="14" t="s">
        <v>262</v>
      </c>
      <c r="J141" s="14" t="s">
        <v>129</v>
      </c>
      <c r="K141" s="14" t="s">
        <v>129</v>
      </c>
      <c r="L141" s="14" t="s">
        <v>2160</v>
      </c>
      <c r="M141" s="14" t="s">
        <v>3299</v>
      </c>
      <c r="N141" s="14" t="s">
        <v>2611</v>
      </c>
      <c r="O141" s="14" t="s">
        <v>3300</v>
      </c>
      <c r="P141" s="14" t="s">
        <v>3301</v>
      </c>
      <c r="Q141" s="14"/>
      <c r="R141" s="14" t="s">
        <v>1383</v>
      </c>
      <c r="S141" s="14" t="s">
        <v>3302</v>
      </c>
      <c r="T141" s="14" t="s">
        <v>3303</v>
      </c>
    </row>
    <row r="142" spans="1:20">
      <c r="A142" s="14" t="s">
        <v>3304</v>
      </c>
      <c r="B142" s="14" t="s">
        <v>3305</v>
      </c>
      <c r="C142" s="14" t="s">
        <v>755</v>
      </c>
      <c r="D142" s="14" t="s">
        <v>3306</v>
      </c>
      <c r="E142" s="14" t="s">
        <v>3307</v>
      </c>
      <c r="F142" s="14" t="s">
        <v>1183</v>
      </c>
      <c r="G142" s="14" t="s">
        <v>244</v>
      </c>
      <c r="H142" s="14" t="s">
        <v>244</v>
      </c>
      <c r="I142" s="14" t="s">
        <v>243</v>
      </c>
      <c r="J142" s="14" t="s">
        <v>178</v>
      </c>
      <c r="K142" s="14" t="s">
        <v>178</v>
      </c>
      <c r="L142" s="14" t="s">
        <v>2160</v>
      </c>
      <c r="M142" s="14" t="s">
        <v>3299</v>
      </c>
      <c r="N142" s="14" t="s">
        <v>2675</v>
      </c>
      <c r="O142" s="14" t="s">
        <v>3300</v>
      </c>
      <c r="P142" s="14" t="s">
        <v>3301</v>
      </c>
      <c r="Q142" s="14"/>
      <c r="R142" s="14" t="s">
        <v>1383</v>
      </c>
      <c r="S142" s="14" t="s">
        <v>3308</v>
      </c>
      <c r="T142" s="14" t="s">
        <v>3309</v>
      </c>
    </row>
    <row r="143" spans="1:20">
      <c r="A143" s="14" t="s">
        <v>3310</v>
      </c>
      <c r="B143" s="14" t="s">
        <v>3311</v>
      </c>
      <c r="C143" s="14" t="s">
        <v>755</v>
      </c>
      <c r="D143" s="14" t="s">
        <v>3312</v>
      </c>
      <c r="E143" s="14" t="s">
        <v>3307</v>
      </c>
      <c r="F143" s="14" t="s">
        <v>1183</v>
      </c>
      <c r="G143" s="14" t="s">
        <v>253</v>
      </c>
      <c r="H143" s="14" t="s">
        <v>253</v>
      </c>
      <c r="I143" s="14" t="s">
        <v>252</v>
      </c>
      <c r="J143" s="14" t="s">
        <v>178</v>
      </c>
      <c r="K143" s="14" t="s">
        <v>178</v>
      </c>
      <c r="L143" s="14" t="s">
        <v>2160</v>
      </c>
      <c r="M143" s="14" t="s">
        <v>3299</v>
      </c>
      <c r="N143" s="14" t="s">
        <v>2509</v>
      </c>
      <c r="O143" s="14" t="s">
        <v>3300</v>
      </c>
      <c r="P143" s="14" t="s">
        <v>3301</v>
      </c>
      <c r="Q143" s="14"/>
      <c r="R143" s="14" t="s">
        <v>1383</v>
      </c>
      <c r="S143" s="14" t="s">
        <v>3313</v>
      </c>
      <c r="T143" s="14" t="s">
        <v>3314</v>
      </c>
    </row>
    <row r="144" spans="1:20">
      <c r="A144" s="14" t="s">
        <v>3315</v>
      </c>
      <c r="B144" s="14" t="s">
        <v>3316</v>
      </c>
      <c r="C144" s="14" t="s">
        <v>755</v>
      </c>
      <c r="D144" s="14" t="s">
        <v>3317</v>
      </c>
      <c r="E144" s="14" t="s">
        <v>3318</v>
      </c>
      <c r="F144" s="14" t="s">
        <v>3319</v>
      </c>
      <c r="G144" s="14" t="s">
        <v>355</v>
      </c>
      <c r="H144" s="14" t="s">
        <v>355</v>
      </c>
      <c r="I144" s="14" t="s">
        <v>357</v>
      </c>
      <c r="J144" s="14" t="s">
        <v>359</v>
      </c>
      <c r="K144" s="14" t="s">
        <v>359</v>
      </c>
      <c r="L144" s="14" t="s">
        <v>2160</v>
      </c>
      <c r="M144" s="14" t="s">
        <v>2659</v>
      </c>
      <c r="N144" s="14" t="s">
        <v>2690</v>
      </c>
      <c r="O144" s="14" t="s">
        <v>3320</v>
      </c>
      <c r="P144" s="14" t="s">
        <v>3321</v>
      </c>
      <c r="Q144" s="14"/>
      <c r="R144" s="14" t="s">
        <v>1383</v>
      </c>
      <c r="S144" s="14" t="s">
        <v>3322</v>
      </c>
      <c r="T144" s="14" t="s">
        <v>3323</v>
      </c>
    </row>
    <row r="145" spans="1:20">
      <c r="A145" s="14" t="s">
        <v>3324</v>
      </c>
      <c r="B145" s="14" t="s">
        <v>3325</v>
      </c>
      <c r="C145" s="14" t="s">
        <v>755</v>
      </c>
      <c r="D145" s="14" t="s">
        <v>3326</v>
      </c>
      <c r="E145" s="14" t="s">
        <v>3318</v>
      </c>
      <c r="F145" s="14" t="s">
        <v>3319</v>
      </c>
      <c r="G145" s="14" t="s">
        <v>617</v>
      </c>
      <c r="H145" s="14" t="s">
        <v>617</v>
      </c>
      <c r="I145" s="14" t="s">
        <v>619</v>
      </c>
      <c r="J145" s="14" t="s">
        <v>147</v>
      </c>
      <c r="K145" s="14" t="s">
        <v>485</v>
      </c>
      <c r="L145" s="14" t="s">
        <v>2160</v>
      </c>
      <c r="M145" s="14" t="s">
        <v>2659</v>
      </c>
      <c r="N145" s="14" t="s">
        <v>2602</v>
      </c>
      <c r="O145" s="14" t="s">
        <v>3320</v>
      </c>
      <c r="P145" s="14" t="s">
        <v>3321</v>
      </c>
      <c r="Q145" s="14"/>
      <c r="R145" s="14" t="s">
        <v>1383</v>
      </c>
      <c r="S145" s="14" t="s">
        <v>3327</v>
      </c>
      <c r="T145" s="14" t="s">
        <v>3328</v>
      </c>
    </row>
    <row r="146" spans="1:20">
      <c r="A146" s="14" t="s">
        <v>3329</v>
      </c>
      <c r="B146" s="14" t="s">
        <v>3330</v>
      </c>
      <c r="C146" s="14" t="s">
        <v>755</v>
      </c>
      <c r="D146" s="14" t="s">
        <v>3331</v>
      </c>
      <c r="E146" s="14" t="s">
        <v>3318</v>
      </c>
      <c r="F146" s="14" t="s">
        <v>3319</v>
      </c>
      <c r="G146" s="14" t="s">
        <v>310</v>
      </c>
      <c r="H146" s="14" t="s">
        <v>310</v>
      </c>
      <c r="I146" s="14" t="s">
        <v>311</v>
      </c>
      <c r="J146" s="14" t="s">
        <v>277</v>
      </c>
      <c r="K146" s="14" t="s">
        <v>277</v>
      </c>
      <c r="L146" s="14" t="s">
        <v>2160</v>
      </c>
      <c r="M146" s="14" t="s">
        <v>2773</v>
      </c>
      <c r="N146" s="14" t="s">
        <v>2575</v>
      </c>
      <c r="O146" s="14" t="s">
        <v>3332</v>
      </c>
      <c r="P146" s="14" t="s">
        <v>3301</v>
      </c>
      <c r="Q146" s="14"/>
      <c r="R146" s="14" t="s">
        <v>1383</v>
      </c>
      <c r="S146" s="14" t="s">
        <v>3333</v>
      </c>
      <c r="T146" s="14" t="s">
        <v>3334</v>
      </c>
    </row>
    <row r="147" spans="1:20">
      <c r="A147" s="14" t="s">
        <v>3335</v>
      </c>
      <c r="B147" s="14" t="s">
        <v>3336</v>
      </c>
      <c r="C147" s="14" t="s">
        <v>755</v>
      </c>
      <c r="D147" s="14" t="s">
        <v>3337</v>
      </c>
      <c r="E147" s="14" t="s">
        <v>3318</v>
      </c>
      <c r="F147" s="14" t="s">
        <v>3319</v>
      </c>
      <c r="G147" s="14" t="s">
        <v>611</v>
      </c>
      <c r="H147" s="14" t="s">
        <v>611</v>
      </c>
      <c r="I147" s="14" t="s">
        <v>614</v>
      </c>
      <c r="J147" s="14" t="s">
        <v>147</v>
      </c>
      <c r="K147" s="14" t="s">
        <v>485</v>
      </c>
      <c r="L147" s="14" t="s">
        <v>2160</v>
      </c>
      <c r="M147" s="14" t="s">
        <v>2670</v>
      </c>
      <c r="N147" s="14" t="s">
        <v>2647</v>
      </c>
      <c r="O147" s="14" t="s">
        <v>3332</v>
      </c>
      <c r="P147" s="14" t="s">
        <v>3301</v>
      </c>
      <c r="Q147" s="14"/>
      <c r="R147" s="14" t="s">
        <v>1383</v>
      </c>
      <c r="S147" s="14" t="s">
        <v>3338</v>
      </c>
      <c r="T147" s="14" t="s">
        <v>3339</v>
      </c>
    </row>
    <row r="148" spans="1:20">
      <c r="A148" s="14" t="s">
        <v>3340</v>
      </c>
      <c r="B148" s="14" t="s">
        <v>3341</v>
      </c>
      <c r="C148" s="14" t="s">
        <v>755</v>
      </c>
      <c r="D148" s="14" t="s">
        <v>3342</v>
      </c>
      <c r="E148" s="14" t="s">
        <v>3318</v>
      </c>
      <c r="F148" s="14" t="s">
        <v>3319</v>
      </c>
      <c r="G148" s="14" t="s">
        <v>276</v>
      </c>
      <c r="H148" s="14" t="s">
        <v>276</v>
      </c>
      <c r="I148" s="14" t="s">
        <v>279</v>
      </c>
      <c r="J148" s="14" t="s">
        <v>277</v>
      </c>
      <c r="K148" s="14" t="s">
        <v>277</v>
      </c>
      <c r="L148" s="14" t="s">
        <v>2160</v>
      </c>
      <c r="M148" s="14" t="s">
        <v>2670</v>
      </c>
      <c r="N148" s="14" t="s">
        <v>2505</v>
      </c>
      <c r="O148" s="14" t="s">
        <v>3332</v>
      </c>
      <c r="P148" s="14" t="s">
        <v>3301</v>
      </c>
      <c r="Q148" s="14"/>
      <c r="R148" s="14" t="s">
        <v>1383</v>
      </c>
      <c r="S148" s="14" t="s">
        <v>3343</v>
      </c>
      <c r="T148" s="14" t="s">
        <v>3344</v>
      </c>
    </row>
    <row r="149" spans="1:20">
      <c r="A149" s="14" t="s">
        <v>3345</v>
      </c>
      <c r="B149" s="14" t="s">
        <v>3346</v>
      </c>
      <c r="C149" s="14" t="s">
        <v>755</v>
      </c>
      <c r="D149" s="14" t="s">
        <v>3347</v>
      </c>
      <c r="E149" s="14" t="s">
        <v>3318</v>
      </c>
      <c r="F149" s="14" t="s">
        <v>3319</v>
      </c>
      <c r="G149" s="14" t="s">
        <v>471</v>
      </c>
      <c r="H149" s="14" t="s">
        <v>471</v>
      </c>
      <c r="I149" s="14" t="s">
        <v>474</v>
      </c>
      <c r="J149" s="14" t="s">
        <v>158</v>
      </c>
      <c r="K149" s="14" t="s">
        <v>307</v>
      </c>
      <c r="L149" s="14" t="s">
        <v>2160</v>
      </c>
      <c r="M149" s="14" t="s">
        <v>2533</v>
      </c>
      <c r="N149" s="14" t="s">
        <v>2589</v>
      </c>
      <c r="O149" s="14" t="s">
        <v>3300</v>
      </c>
      <c r="P149" s="14" t="s">
        <v>3301</v>
      </c>
      <c r="Q149" s="14"/>
      <c r="R149" s="14" t="s">
        <v>1383</v>
      </c>
      <c r="S149" s="14" t="s">
        <v>3348</v>
      </c>
      <c r="T149" s="14"/>
    </row>
    <row r="150" spans="1:20">
      <c r="A150" s="14" t="s">
        <v>3349</v>
      </c>
      <c r="B150" s="14" t="s">
        <v>3350</v>
      </c>
      <c r="C150" s="14" t="s">
        <v>755</v>
      </c>
      <c r="D150" s="14" t="s">
        <v>3351</v>
      </c>
      <c r="E150" s="14" t="s">
        <v>3318</v>
      </c>
      <c r="F150" s="14" t="s">
        <v>3319</v>
      </c>
      <c r="G150" s="14" t="s">
        <v>409</v>
      </c>
      <c r="H150" s="14" t="s">
        <v>409</v>
      </c>
      <c r="I150" s="14" t="s">
        <v>416</v>
      </c>
      <c r="J150" s="14" t="s">
        <v>3352</v>
      </c>
      <c r="K150" s="14" t="s">
        <v>410</v>
      </c>
      <c r="L150" s="14" t="s">
        <v>2160</v>
      </c>
      <c r="M150" s="14" t="s">
        <v>2533</v>
      </c>
      <c r="N150" s="14" t="s">
        <v>2538</v>
      </c>
      <c r="O150" s="14" t="s">
        <v>3300</v>
      </c>
      <c r="P150" s="14" t="s">
        <v>3301</v>
      </c>
      <c r="Q150" s="14"/>
      <c r="R150" s="14" t="s">
        <v>1383</v>
      </c>
      <c r="S150" s="14" t="s">
        <v>3353</v>
      </c>
      <c r="T150" s="14" t="s">
        <v>3354</v>
      </c>
    </row>
    <row r="151" spans="1:20">
      <c r="A151" s="14" t="s">
        <v>3355</v>
      </c>
      <c r="B151" s="14" t="s">
        <v>3356</v>
      </c>
      <c r="C151" s="14" t="s">
        <v>755</v>
      </c>
      <c r="D151" s="14" t="s">
        <v>3357</v>
      </c>
      <c r="E151" s="14" t="s">
        <v>3318</v>
      </c>
      <c r="F151" s="14" t="s">
        <v>3319</v>
      </c>
      <c r="G151" s="14" t="s">
        <v>379</v>
      </c>
      <c r="H151" s="14" t="s">
        <v>379</v>
      </c>
      <c r="I151" s="14" t="s">
        <v>380</v>
      </c>
      <c r="J151" s="14" t="s">
        <v>103</v>
      </c>
      <c r="K151" s="14" t="s">
        <v>103</v>
      </c>
      <c r="L151" s="14" t="s">
        <v>2160</v>
      </c>
      <c r="M151" s="14" t="s">
        <v>2533</v>
      </c>
      <c r="N151" s="14" t="s">
        <v>2565</v>
      </c>
      <c r="O151" s="14" t="s">
        <v>3300</v>
      </c>
      <c r="P151" s="14" t="s">
        <v>3301</v>
      </c>
      <c r="Q151" s="14"/>
      <c r="R151" s="14" t="s">
        <v>1383</v>
      </c>
      <c r="S151" s="14" t="s">
        <v>3358</v>
      </c>
      <c r="T151" s="14" t="s">
        <v>3359</v>
      </c>
    </row>
    <row r="152" spans="1:20">
      <c r="A152" s="14" t="s">
        <v>3360</v>
      </c>
      <c r="B152" s="14" t="s">
        <v>3361</v>
      </c>
      <c r="C152" s="14" t="s">
        <v>755</v>
      </c>
      <c r="D152" s="14" t="s">
        <v>3362</v>
      </c>
      <c r="E152" s="14" t="s">
        <v>3363</v>
      </c>
      <c r="F152" s="14" t="s">
        <v>3364</v>
      </c>
      <c r="G152" s="14" t="s">
        <v>3284</v>
      </c>
      <c r="H152" s="14" t="s">
        <v>125</v>
      </c>
      <c r="I152" s="14"/>
      <c r="J152" s="14" t="s">
        <v>129</v>
      </c>
      <c r="K152" s="14" t="s">
        <v>129</v>
      </c>
      <c r="L152" s="14" t="s">
        <v>2160</v>
      </c>
      <c r="M152" s="14" t="s">
        <v>2497</v>
      </c>
      <c r="N152" s="14" t="s">
        <v>1995</v>
      </c>
      <c r="O152" s="14" t="s">
        <v>3320</v>
      </c>
      <c r="P152" s="14" t="s">
        <v>3365</v>
      </c>
      <c r="Q152" s="14"/>
      <c r="R152" s="14" t="s">
        <v>1383</v>
      </c>
      <c r="S152" s="14" t="s">
        <v>3366</v>
      </c>
      <c r="T152" s="14" t="s">
        <v>3367</v>
      </c>
    </row>
    <row r="153" spans="1:20">
      <c r="A153" s="14" t="s">
        <v>3368</v>
      </c>
      <c r="B153" s="14" t="s">
        <v>3369</v>
      </c>
      <c r="C153" s="14" t="s">
        <v>755</v>
      </c>
      <c r="D153" s="14" t="s">
        <v>3370</v>
      </c>
      <c r="E153" s="14" t="s">
        <v>3363</v>
      </c>
      <c r="F153" s="14" t="s">
        <v>3364</v>
      </c>
      <c r="G153" s="14" t="s">
        <v>3291</v>
      </c>
      <c r="H153" s="14" t="s">
        <v>71</v>
      </c>
      <c r="I153" s="14"/>
      <c r="J153" s="14" t="s">
        <v>73</v>
      </c>
      <c r="K153" s="14" t="s">
        <v>73</v>
      </c>
      <c r="L153" s="14" t="s">
        <v>2160</v>
      </c>
      <c r="M153" s="14" t="s">
        <v>2497</v>
      </c>
      <c r="N153" s="14" t="s">
        <v>2602</v>
      </c>
      <c r="O153" s="14" t="s">
        <v>3320</v>
      </c>
      <c r="P153" s="14" t="s">
        <v>3365</v>
      </c>
      <c r="Q153" s="14"/>
      <c r="R153" s="14" t="s">
        <v>1383</v>
      </c>
      <c r="S153" s="14" t="s">
        <v>3371</v>
      </c>
      <c r="T153" s="14" t="s">
        <v>3372</v>
      </c>
    </row>
    <row r="154" spans="1:20">
      <c r="A154" s="14" t="s">
        <v>3373</v>
      </c>
      <c r="B154" s="14" t="s">
        <v>3374</v>
      </c>
      <c r="C154" s="14" t="s">
        <v>755</v>
      </c>
      <c r="D154" s="14" t="s">
        <v>3375</v>
      </c>
      <c r="E154" s="14" t="s">
        <v>3363</v>
      </c>
      <c r="F154" s="14" t="s">
        <v>3364</v>
      </c>
      <c r="G154" s="14" t="s">
        <v>3277</v>
      </c>
      <c r="H154" s="14" t="s">
        <v>173</v>
      </c>
      <c r="I154" s="14"/>
      <c r="J154" s="14" t="s">
        <v>266</v>
      </c>
      <c r="K154" s="14" t="s">
        <v>75</v>
      </c>
      <c r="L154" s="14" t="s">
        <v>2160</v>
      </c>
      <c r="M154" s="14" t="s">
        <v>2497</v>
      </c>
      <c r="N154" s="14" t="s">
        <v>2683</v>
      </c>
      <c r="O154" s="14" t="s">
        <v>3320</v>
      </c>
      <c r="P154" s="14" t="s">
        <v>3365</v>
      </c>
      <c r="Q154" s="14"/>
      <c r="R154" s="14" t="s">
        <v>1383</v>
      </c>
      <c r="S154" s="14" t="s">
        <v>3376</v>
      </c>
      <c r="T154" s="14" t="s">
        <v>3377</v>
      </c>
    </row>
    <row r="155" spans="1:20">
      <c r="A155" s="14" t="s">
        <v>3378</v>
      </c>
      <c r="B155" s="14" t="s">
        <v>3379</v>
      </c>
      <c r="C155" s="14" t="s">
        <v>755</v>
      </c>
      <c r="D155" s="14" t="s">
        <v>3380</v>
      </c>
      <c r="E155" s="14" t="s">
        <v>3363</v>
      </c>
      <c r="F155" s="14" t="s">
        <v>3364</v>
      </c>
      <c r="G155" s="14" t="s">
        <v>3271</v>
      </c>
      <c r="H155" s="14" t="s">
        <v>265</v>
      </c>
      <c r="I155" s="14"/>
      <c r="J155" s="14" t="s">
        <v>234</v>
      </c>
      <c r="K155" s="14" t="s">
        <v>234</v>
      </c>
      <c r="L155" s="14" t="s">
        <v>2160</v>
      </c>
      <c r="M155" s="14" t="s">
        <v>2497</v>
      </c>
      <c r="N155" s="14" t="s">
        <v>2721</v>
      </c>
      <c r="O155" s="14" t="s">
        <v>3320</v>
      </c>
      <c r="P155" s="14" t="s">
        <v>3365</v>
      </c>
      <c r="Q155" s="14"/>
      <c r="R155" s="14" t="s">
        <v>1383</v>
      </c>
      <c r="S155" s="14" t="s">
        <v>3381</v>
      </c>
      <c r="T155" s="14" t="s">
        <v>3382</v>
      </c>
    </row>
    <row r="156" spans="1:20">
      <c r="A156" s="14" t="s">
        <v>3383</v>
      </c>
      <c r="B156" s="14" t="s">
        <v>3384</v>
      </c>
      <c r="C156" s="14" t="s">
        <v>755</v>
      </c>
      <c r="D156" s="14" t="s">
        <v>3385</v>
      </c>
      <c r="E156" s="14" t="s">
        <v>1381</v>
      </c>
      <c r="F156" s="14" t="s">
        <v>3386</v>
      </c>
      <c r="G156" s="14" t="s">
        <v>116</v>
      </c>
      <c r="H156" s="14" t="s">
        <v>116</v>
      </c>
      <c r="I156" s="14" t="s">
        <v>109</v>
      </c>
      <c r="J156" s="14" t="s">
        <v>103</v>
      </c>
      <c r="K156" s="14" t="s">
        <v>103</v>
      </c>
      <c r="L156" s="14" t="s">
        <v>2160</v>
      </c>
      <c r="M156" s="14" t="s">
        <v>3299</v>
      </c>
      <c r="N156" s="14" t="s">
        <v>2647</v>
      </c>
      <c r="O156" s="14" t="s">
        <v>3300</v>
      </c>
      <c r="P156" s="14" t="s">
        <v>3301</v>
      </c>
      <c r="Q156" s="14"/>
      <c r="R156" s="14" t="s">
        <v>1383</v>
      </c>
      <c r="S156" s="14" t="s">
        <v>3387</v>
      </c>
      <c r="T156" s="14" t="s">
        <v>3388</v>
      </c>
    </row>
    <row r="157" spans="1:20">
      <c r="A157" s="14" t="s">
        <v>3389</v>
      </c>
      <c r="B157" s="14" t="s">
        <v>3390</v>
      </c>
      <c r="C157" s="14" t="s">
        <v>755</v>
      </c>
      <c r="D157" s="14" t="s">
        <v>3391</v>
      </c>
      <c r="E157" s="14" t="s">
        <v>1381</v>
      </c>
      <c r="F157" s="14" t="s">
        <v>3386</v>
      </c>
      <c r="G157" s="14" t="s">
        <v>170</v>
      </c>
      <c r="H157" s="14" t="s">
        <v>170</v>
      </c>
      <c r="I157" s="14" t="s">
        <v>169</v>
      </c>
      <c r="J157" s="14" t="s">
        <v>167</v>
      </c>
      <c r="K157" s="14" t="s">
        <v>491</v>
      </c>
      <c r="L157" s="14" t="s">
        <v>2160</v>
      </c>
      <c r="M157" s="14" t="s">
        <v>3299</v>
      </c>
      <c r="N157" s="14" t="s">
        <v>2666</v>
      </c>
      <c r="O157" s="14" t="s">
        <v>3300</v>
      </c>
      <c r="P157" s="14" t="s">
        <v>3301</v>
      </c>
      <c r="Q157" s="14"/>
      <c r="R157" s="14" t="s">
        <v>1383</v>
      </c>
      <c r="S157" s="14" t="s">
        <v>3392</v>
      </c>
      <c r="T157" s="14" t="s">
        <v>3393</v>
      </c>
    </row>
    <row r="158" spans="1:20">
      <c r="A158" s="14" t="s">
        <v>3394</v>
      </c>
      <c r="B158" s="14" t="s">
        <v>3395</v>
      </c>
      <c r="C158" s="14" t="s">
        <v>755</v>
      </c>
      <c r="D158" s="14" t="s">
        <v>3396</v>
      </c>
      <c r="E158" s="14" t="s">
        <v>1462</v>
      </c>
      <c r="F158" s="14" t="s">
        <v>1572</v>
      </c>
      <c r="G158" s="14" t="s">
        <v>274</v>
      </c>
      <c r="H158" s="14" t="s">
        <v>274</v>
      </c>
      <c r="I158" s="14" t="s">
        <v>275</v>
      </c>
      <c r="J158" s="14" t="s">
        <v>234</v>
      </c>
      <c r="K158" s="14" t="s">
        <v>234</v>
      </c>
      <c r="L158" s="14" t="s">
        <v>2160</v>
      </c>
      <c r="M158" s="14" t="s">
        <v>2543</v>
      </c>
      <c r="N158" s="14" t="s">
        <v>2559</v>
      </c>
      <c r="O158" s="14" t="s">
        <v>3332</v>
      </c>
      <c r="P158" s="14" t="s">
        <v>3301</v>
      </c>
      <c r="Q158" s="14"/>
      <c r="R158" s="14" t="s">
        <v>1383</v>
      </c>
      <c r="S158" s="14" t="s">
        <v>3397</v>
      </c>
      <c r="T158" s="14" t="s">
        <v>3398</v>
      </c>
    </row>
    <row r="159" spans="1:20">
      <c r="A159" s="14" t="s">
        <v>3399</v>
      </c>
      <c r="B159" s="14" t="s">
        <v>3400</v>
      </c>
      <c r="C159" s="14" t="s">
        <v>755</v>
      </c>
      <c r="D159" s="14" t="s">
        <v>3401</v>
      </c>
      <c r="E159" s="14" t="s">
        <v>1462</v>
      </c>
      <c r="F159" s="14" t="s">
        <v>1572</v>
      </c>
      <c r="G159" s="14" t="s">
        <v>481</v>
      </c>
      <c r="H159" s="14" t="s">
        <v>481</v>
      </c>
      <c r="I159" s="14" t="s">
        <v>482</v>
      </c>
      <c r="J159" s="14" t="s">
        <v>315</v>
      </c>
      <c r="K159" s="14" t="s">
        <v>315</v>
      </c>
      <c r="L159" s="14" t="s">
        <v>2160</v>
      </c>
      <c r="M159" s="14" t="s">
        <v>3299</v>
      </c>
      <c r="N159" s="14" t="s">
        <v>2602</v>
      </c>
      <c r="O159" s="14" t="s">
        <v>3402</v>
      </c>
      <c r="P159" s="14" t="s">
        <v>3301</v>
      </c>
      <c r="Q159" s="14" t="s">
        <v>3403</v>
      </c>
      <c r="R159" s="14" t="s">
        <v>1383</v>
      </c>
      <c r="S159" s="14" t="s">
        <v>3404</v>
      </c>
      <c r="T159" s="14" t="s">
        <v>3405</v>
      </c>
    </row>
    <row r="160" spans="1:20">
      <c r="A160" s="14" t="s">
        <v>3406</v>
      </c>
      <c r="B160" s="14" t="s">
        <v>3407</v>
      </c>
      <c r="C160" s="14" t="s">
        <v>755</v>
      </c>
      <c r="D160" s="14" t="s">
        <v>3408</v>
      </c>
      <c r="E160" s="14" t="s">
        <v>1462</v>
      </c>
      <c r="F160" s="14" t="s">
        <v>1572</v>
      </c>
      <c r="G160" s="14" t="s">
        <v>2561</v>
      </c>
      <c r="H160" s="14" t="s">
        <v>2561</v>
      </c>
      <c r="I160" s="14" t="s">
        <v>287</v>
      </c>
      <c r="J160" s="14" t="s">
        <v>331</v>
      </c>
      <c r="K160" s="14" t="s">
        <v>286</v>
      </c>
      <c r="L160" s="14" t="s">
        <v>2160</v>
      </c>
      <c r="M160" s="14" t="s">
        <v>2549</v>
      </c>
      <c r="N160" s="14" t="s">
        <v>2575</v>
      </c>
      <c r="O160" s="14" t="s">
        <v>3300</v>
      </c>
      <c r="P160" s="14" t="s">
        <v>3301</v>
      </c>
      <c r="Q160" s="14"/>
      <c r="R160" s="14" t="s">
        <v>1383</v>
      </c>
      <c r="S160" s="14" t="s">
        <v>3409</v>
      </c>
      <c r="T160" s="14" t="s">
        <v>3410</v>
      </c>
    </row>
    <row r="161" spans="1:20">
      <c r="A161" s="14" t="s">
        <v>3411</v>
      </c>
      <c r="B161" s="14" t="s">
        <v>3412</v>
      </c>
      <c r="C161" s="14" t="s">
        <v>755</v>
      </c>
      <c r="D161" s="14" t="s">
        <v>3413</v>
      </c>
      <c r="E161" s="14" t="s">
        <v>1462</v>
      </c>
      <c r="F161" s="14" t="s">
        <v>1572</v>
      </c>
      <c r="G161" s="14" t="s">
        <v>284</v>
      </c>
      <c r="H161" s="14" t="s">
        <v>284</v>
      </c>
      <c r="I161" s="14" t="s">
        <v>287</v>
      </c>
      <c r="J161" s="14" t="s">
        <v>331</v>
      </c>
      <c r="K161" s="14" t="s">
        <v>286</v>
      </c>
      <c r="L161" s="14" t="s">
        <v>2160</v>
      </c>
      <c r="M161" s="14" t="s">
        <v>2543</v>
      </c>
      <c r="N161" s="14" t="s">
        <v>2647</v>
      </c>
      <c r="O161" s="14" t="s">
        <v>3332</v>
      </c>
      <c r="P161" s="14" t="s">
        <v>3301</v>
      </c>
      <c r="Q161" s="14"/>
      <c r="R161" s="14" t="s">
        <v>1383</v>
      </c>
      <c r="S161" s="14" t="s">
        <v>3414</v>
      </c>
      <c r="T161" s="14" t="s">
        <v>3415</v>
      </c>
    </row>
    <row r="162" spans="1:20">
      <c r="A162" s="14" t="s">
        <v>3416</v>
      </c>
      <c r="B162" s="14" t="s">
        <v>3417</v>
      </c>
      <c r="C162" s="14" t="s">
        <v>755</v>
      </c>
      <c r="D162" s="14" t="s">
        <v>3418</v>
      </c>
      <c r="E162" s="14" t="s">
        <v>1462</v>
      </c>
      <c r="F162" s="14" t="s">
        <v>1572</v>
      </c>
      <c r="G162" s="14" t="s">
        <v>362</v>
      </c>
      <c r="H162" s="14" t="s">
        <v>362</v>
      </c>
      <c r="I162" s="14" t="s">
        <v>182</v>
      </c>
      <c r="J162" s="14" t="s">
        <v>183</v>
      </c>
      <c r="K162" s="14" t="s">
        <v>183</v>
      </c>
      <c r="L162" s="14" t="s">
        <v>2160</v>
      </c>
      <c r="M162" s="14" t="s">
        <v>2549</v>
      </c>
      <c r="N162" s="14" t="s">
        <v>2189</v>
      </c>
      <c r="O162" s="14" t="s">
        <v>3300</v>
      </c>
      <c r="P162" s="14" t="s">
        <v>3301</v>
      </c>
      <c r="Q162" s="14"/>
      <c r="R162" s="14" t="s">
        <v>1383</v>
      </c>
      <c r="S162" s="14" t="s">
        <v>3419</v>
      </c>
      <c r="T162" s="14" t="s">
        <v>3420</v>
      </c>
    </row>
    <row r="163" spans="1:20">
      <c r="A163" s="14" t="s">
        <v>3421</v>
      </c>
      <c r="B163" s="14" t="s">
        <v>3422</v>
      </c>
      <c r="C163" s="14" t="s">
        <v>755</v>
      </c>
      <c r="D163" s="14" t="s">
        <v>3423</v>
      </c>
      <c r="E163" s="14" t="s">
        <v>1462</v>
      </c>
      <c r="F163" s="14" t="s">
        <v>1572</v>
      </c>
      <c r="G163" s="14" t="s">
        <v>1257</v>
      </c>
      <c r="H163" s="14" t="s">
        <v>1257</v>
      </c>
      <c r="I163" s="14" t="s">
        <v>330</v>
      </c>
      <c r="J163" s="14" t="s">
        <v>331</v>
      </c>
      <c r="K163" s="14" t="s">
        <v>286</v>
      </c>
      <c r="L163" s="14" t="s">
        <v>2160</v>
      </c>
      <c r="M163" s="14" t="s">
        <v>2543</v>
      </c>
      <c r="N163" s="14" t="s">
        <v>2189</v>
      </c>
      <c r="O163" s="14" t="s">
        <v>3424</v>
      </c>
      <c r="P163" s="14" t="s">
        <v>3301</v>
      </c>
      <c r="Q163" s="14"/>
      <c r="R163" s="14" t="s">
        <v>1383</v>
      </c>
      <c r="S163" s="14" t="s">
        <v>3425</v>
      </c>
      <c r="T163" s="14" t="s">
        <v>3426</v>
      </c>
    </row>
    <row r="164" spans="1:20">
      <c r="A164" s="14" t="s">
        <v>3427</v>
      </c>
      <c r="B164" s="14" t="s">
        <v>3428</v>
      </c>
      <c r="C164" s="14" t="s">
        <v>755</v>
      </c>
      <c r="D164" s="14" t="s">
        <v>3429</v>
      </c>
      <c r="E164" s="14" t="s">
        <v>1462</v>
      </c>
      <c r="F164" s="14" t="s">
        <v>1572</v>
      </c>
      <c r="G164" s="14" t="s">
        <v>1255</v>
      </c>
      <c r="H164" s="14" t="s">
        <v>1255</v>
      </c>
      <c r="I164" s="14" t="s">
        <v>242</v>
      </c>
      <c r="J164" s="14" t="s">
        <v>234</v>
      </c>
      <c r="K164" s="14" t="s">
        <v>234</v>
      </c>
      <c r="L164" s="14" t="s">
        <v>2160</v>
      </c>
      <c r="M164" s="14" t="s">
        <v>2549</v>
      </c>
      <c r="N164" s="14" t="s">
        <v>2264</v>
      </c>
      <c r="O164" s="14" t="s">
        <v>3300</v>
      </c>
      <c r="P164" s="14" t="s">
        <v>3301</v>
      </c>
      <c r="Q164" s="14"/>
      <c r="R164" s="14" t="s">
        <v>1383</v>
      </c>
      <c r="S164" s="14" t="s">
        <v>3430</v>
      </c>
      <c r="T164" s="14" t="s">
        <v>3431</v>
      </c>
    </row>
    <row r="165" spans="1:20">
      <c r="A165" s="14" t="s">
        <v>3432</v>
      </c>
      <c r="B165" s="14" t="s">
        <v>3433</v>
      </c>
      <c r="C165" s="14" t="s">
        <v>755</v>
      </c>
      <c r="D165" s="14" t="s">
        <v>3434</v>
      </c>
      <c r="E165" s="14" t="s">
        <v>1462</v>
      </c>
      <c r="F165" s="14" t="s">
        <v>1572</v>
      </c>
      <c r="G165" s="14" t="s">
        <v>161</v>
      </c>
      <c r="H165" s="14" t="s">
        <v>161</v>
      </c>
      <c r="I165" s="14" t="s">
        <v>162</v>
      </c>
      <c r="J165" s="14" t="s">
        <v>1489</v>
      </c>
      <c r="K165" s="14" t="s">
        <v>156</v>
      </c>
      <c r="L165" s="14" t="s">
        <v>2160</v>
      </c>
      <c r="M165" s="14" t="s">
        <v>2543</v>
      </c>
      <c r="N165" s="14" t="s">
        <v>1696</v>
      </c>
      <c r="O165" s="14" t="s">
        <v>3332</v>
      </c>
      <c r="P165" s="14" t="s">
        <v>3301</v>
      </c>
      <c r="Q165" s="14"/>
      <c r="R165" s="14" t="s">
        <v>1383</v>
      </c>
      <c r="S165" s="14" t="s">
        <v>3435</v>
      </c>
      <c r="T165" s="14" t="s">
        <v>3436</v>
      </c>
    </row>
    <row r="166" spans="1:20">
      <c r="A166" s="14" t="s">
        <v>3437</v>
      </c>
      <c r="B166" s="14" t="s">
        <v>3438</v>
      </c>
      <c r="C166" s="14" t="s">
        <v>755</v>
      </c>
      <c r="D166" s="14" t="s">
        <v>3439</v>
      </c>
      <c r="E166" s="14" t="s">
        <v>1462</v>
      </c>
      <c r="F166" s="14" t="s">
        <v>1572</v>
      </c>
      <c r="G166" s="14" t="s">
        <v>228</v>
      </c>
      <c r="H166" s="14" t="s">
        <v>228</v>
      </c>
      <c r="I166" s="14" t="s">
        <v>229</v>
      </c>
      <c r="J166" s="14" t="s">
        <v>183</v>
      </c>
      <c r="K166" s="14" t="s">
        <v>183</v>
      </c>
      <c r="L166" s="14" t="s">
        <v>2160</v>
      </c>
      <c r="M166" s="14" t="s">
        <v>2543</v>
      </c>
      <c r="N166" s="14" t="s">
        <v>2200</v>
      </c>
      <c r="O166" s="14" t="s">
        <v>3332</v>
      </c>
      <c r="P166" s="14" t="s">
        <v>3301</v>
      </c>
      <c r="Q166" s="14"/>
      <c r="R166" s="14" t="s">
        <v>1383</v>
      </c>
      <c r="S166" s="14" t="s">
        <v>3440</v>
      </c>
      <c r="T166" s="14" t="s">
        <v>3441</v>
      </c>
    </row>
    <row r="167" spans="1:20">
      <c r="A167" s="14" t="s">
        <v>3442</v>
      </c>
      <c r="B167" s="14" t="s">
        <v>3443</v>
      </c>
      <c r="C167" s="14" t="s">
        <v>755</v>
      </c>
      <c r="D167" s="14" t="s">
        <v>3444</v>
      </c>
      <c r="E167" s="14" t="s">
        <v>3445</v>
      </c>
      <c r="F167" s="14" t="s">
        <v>1537</v>
      </c>
      <c r="G167" s="14" t="s">
        <v>155</v>
      </c>
      <c r="H167" s="14" t="s">
        <v>155</v>
      </c>
      <c r="I167" s="14"/>
      <c r="J167" s="14" t="s">
        <v>1489</v>
      </c>
      <c r="K167" s="14"/>
      <c r="L167" s="14" t="s">
        <v>2160</v>
      </c>
      <c r="M167" s="14" t="s">
        <v>3299</v>
      </c>
      <c r="N167" s="14" t="s">
        <v>1696</v>
      </c>
      <c r="O167" s="14" t="s">
        <v>3402</v>
      </c>
      <c r="P167" s="14" t="s">
        <v>3301</v>
      </c>
      <c r="Q167" s="14"/>
      <c r="R167" s="14" t="s">
        <v>1383</v>
      </c>
      <c r="S167" s="14" t="s">
        <v>3446</v>
      </c>
      <c r="T167" s="14" t="s">
        <v>3447</v>
      </c>
    </row>
    <row r="168" spans="1:20">
      <c r="A168" s="14" t="s">
        <v>3448</v>
      </c>
      <c r="B168" s="14" t="s">
        <v>3449</v>
      </c>
      <c r="C168" s="14" t="s">
        <v>755</v>
      </c>
      <c r="D168" s="14" t="s">
        <v>3450</v>
      </c>
      <c r="E168" s="14" t="s">
        <v>3445</v>
      </c>
      <c r="F168" s="14" t="s">
        <v>1537</v>
      </c>
      <c r="G168" s="14" t="s">
        <v>712</v>
      </c>
      <c r="H168" s="14" t="s">
        <v>712</v>
      </c>
      <c r="I168" s="14" t="s">
        <v>595</v>
      </c>
      <c r="J168" s="14" t="s">
        <v>315</v>
      </c>
      <c r="K168" s="14" t="s">
        <v>315</v>
      </c>
      <c r="L168" s="14" t="s">
        <v>2160</v>
      </c>
      <c r="M168" s="14" t="s">
        <v>3299</v>
      </c>
      <c r="N168" s="14" t="s">
        <v>2589</v>
      </c>
      <c r="O168" s="14" t="s">
        <v>3402</v>
      </c>
      <c r="P168" s="14" t="s">
        <v>3301</v>
      </c>
      <c r="Q168" s="14"/>
      <c r="R168" s="14" t="s">
        <v>1383</v>
      </c>
      <c r="S168" s="14" t="s">
        <v>3451</v>
      </c>
      <c r="T168" s="14" t="s">
        <v>3452</v>
      </c>
    </row>
    <row r="169" spans="1:20">
      <c r="A169" s="14" t="s">
        <v>3453</v>
      </c>
      <c r="B169" s="14" t="s">
        <v>3454</v>
      </c>
      <c r="C169" s="14" t="s">
        <v>755</v>
      </c>
      <c r="D169" s="14" t="s">
        <v>3455</v>
      </c>
      <c r="E169" s="14" t="s">
        <v>3445</v>
      </c>
      <c r="F169" s="14" t="s">
        <v>1537</v>
      </c>
      <c r="G169" s="14" t="s">
        <v>335</v>
      </c>
      <c r="H169" s="14" t="s">
        <v>335</v>
      </c>
      <c r="I169" s="14" t="s">
        <v>338</v>
      </c>
      <c r="J169" s="14" t="s">
        <v>1489</v>
      </c>
      <c r="K169" s="14" t="s">
        <v>156</v>
      </c>
      <c r="L169" s="14" t="s">
        <v>2160</v>
      </c>
      <c r="M169" s="14" t="s">
        <v>3299</v>
      </c>
      <c r="N169" s="14" t="s">
        <v>2593</v>
      </c>
      <c r="O169" s="14" t="s">
        <v>3402</v>
      </c>
      <c r="P169" s="14" t="s">
        <v>3301</v>
      </c>
      <c r="Q169" s="14"/>
      <c r="R169" s="14" t="s">
        <v>1383</v>
      </c>
      <c r="S169" s="14" t="s">
        <v>3456</v>
      </c>
      <c r="T169" s="14" t="s">
        <v>3457</v>
      </c>
    </row>
    <row r="170" spans="1:20">
      <c r="A170" s="14" t="s">
        <v>3458</v>
      </c>
      <c r="B170" s="14" t="s">
        <v>3459</v>
      </c>
      <c r="C170" s="14" t="s">
        <v>755</v>
      </c>
      <c r="D170" s="14" t="s">
        <v>3460</v>
      </c>
      <c r="E170" s="14" t="s">
        <v>3445</v>
      </c>
      <c r="F170" s="14" t="s">
        <v>1537</v>
      </c>
      <c r="G170" s="14" t="s">
        <v>314</v>
      </c>
      <c r="H170" s="14" t="s">
        <v>314</v>
      </c>
      <c r="I170" s="14" t="s">
        <v>317</v>
      </c>
      <c r="J170" s="14" t="s">
        <v>315</v>
      </c>
      <c r="K170" s="14" t="s">
        <v>315</v>
      </c>
      <c r="L170" s="14" t="s">
        <v>2160</v>
      </c>
      <c r="M170" s="14" t="s">
        <v>3299</v>
      </c>
      <c r="N170" s="14" t="s">
        <v>2505</v>
      </c>
      <c r="O170" s="14" t="s">
        <v>3402</v>
      </c>
      <c r="P170" s="14" t="s">
        <v>3301</v>
      </c>
      <c r="Q170" s="14"/>
      <c r="R170" s="14" t="s">
        <v>1383</v>
      </c>
      <c r="S170" s="14" t="s">
        <v>3461</v>
      </c>
      <c r="T170" s="14" t="s">
        <v>3462</v>
      </c>
    </row>
    <row r="171" spans="1:20">
      <c r="A171" s="14" t="s">
        <v>3463</v>
      </c>
      <c r="B171" s="14" t="s">
        <v>3464</v>
      </c>
      <c r="C171" s="14" t="s">
        <v>755</v>
      </c>
      <c r="D171" s="14" t="s">
        <v>3465</v>
      </c>
      <c r="E171" s="14" t="s">
        <v>3445</v>
      </c>
      <c r="F171" s="14" t="s">
        <v>1537</v>
      </c>
      <c r="G171" s="14" t="s">
        <v>3466</v>
      </c>
      <c r="H171" s="14" t="s">
        <v>3466</v>
      </c>
      <c r="I171" s="14" t="s">
        <v>431</v>
      </c>
      <c r="J171" s="14" t="s">
        <v>331</v>
      </c>
      <c r="K171" s="14" t="s">
        <v>286</v>
      </c>
      <c r="L171" s="14" t="s">
        <v>2160</v>
      </c>
      <c r="M171" s="14" t="s">
        <v>3299</v>
      </c>
      <c r="N171" s="14" t="s">
        <v>2575</v>
      </c>
      <c r="O171" s="14" t="s">
        <v>3402</v>
      </c>
      <c r="P171" s="14" t="s">
        <v>3301</v>
      </c>
      <c r="Q171" s="14"/>
      <c r="R171" s="14" t="s">
        <v>1383</v>
      </c>
      <c r="S171" s="14" t="s">
        <v>3467</v>
      </c>
      <c r="T171" s="14" t="s">
        <v>3468</v>
      </c>
    </row>
    <row r="172" spans="1:20">
      <c r="A172" s="14" t="s">
        <v>3469</v>
      </c>
      <c r="B172" s="14" t="s">
        <v>3470</v>
      </c>
      <c r="C172" s="14" t="s">
        <v>755</v>
      </c>
      <c r="D172" s="14" t="s">
        <v>3471</v>
      </c>
      <c r="E172" s="14" t="s">
        <v>3445</v>
      </c>
      <c r="F172" s="14" t="s">
        <v>1537</v>
      </c>
      <c r="G172" s="14" t="s">
        <v>636</v>
      </c>
      <c r="H172" s="14" t="s">
        <v>636</v>
      </c>
      <c r="I172" s="14" t="s">
        <v>208</v>
      </c>
      <c r="J172" s="14" t="s">
        <v>183</v>
      </c>
      <c r="K172" s="14" t="s">
        <v>183</v>
      </c>
      <c r="L172" s="14" t="s">
        <v>2160</v>
      </c>
      <c r="M172" s="14" t="s">
        <v>3299</v>
      </c>
      <c r="N172" s="14" t="s">
        <v>2598</v>
      </c>
      <c r="O172" s="14" t="s">
        <v>3402</v>
      </c>
      <c r="P172" s="14" t="s">
        <v>3301</v>
      </c>
      <c r="Q172" s="14"/>
      <c r="R172" s="14" t="s">
        <v>1383</v>
      </c>
      <c r="S172" s="14" t="s">
        <v>3472</v>
      </c>
      <c r="T172" s="14" t="s">
        <v>3473</v>
      </c>
    </row>
    <row r="173" spans="1:20">
      <c r="A173" s="14" t="s">
        <v>3474</v>
      </c>
      <c r="B173" s="14" t="s">
        <v>3475</v>
      </c>
      <c r="C173" s="14" t="s">
        <v>755</v>
      </c>
      <c r="D173" s="14" t="s">
        <v>3476</v>
      </c>
      <c r="E173" s="14" t="s">
        <v>3477</v>
      </c>
      <c r="F173" s="14" t="s">
        <v>1632</v>
      </c>
      <c r="G173" s="14" t="s">
        <v>344</v>
      </c>
      <c r="H173" s="14" t="s">
        <v>344</v>
      </c>
      <c r="I173" s="14"/>
      <c r="J173" s="14" t="s">
        <v>331</v>
      </c>
      <c r="K173" s="14"/>
      <c r="L173" s="14" t="s">
        <v>2160</v>
      </c>
      <c r="M173" s="14" t="s">
        <v>3299</v>
      </c>
      <c r="N173" s="14" t="s">
        <v>2538</v>
      </c>
      <c r="O173" s="14" t="s">
        <v>3402</v>
      </c>
      <c r="P173" s="14" t="s">
        <v>3301</v>
      </c>
      <c r="Q173" s="14"/>
      <c r="R173" s="14" t="s">
        <v>1383</v>
      </c>
      <c r="S173" s="14" t="s">
        <v>3478</v>
      </c>
      <c r="T173" s="14" t="s">
        <v>3479</v>
      </c>
    </row>
    <row r="174" spans="1:20">
      <c r="A174" s="14" t="s">
        <v>3480</v>
      </c>
      <c r="B174" s="14" t="s">
        <v>3481</v>
      </c>
      <c r="C174" s="14" t="s">
        <v>755</v>
      </c>
      <c r="D174" s="14" t="s">
        <v>3482</v>
      </c>
      <c r="E174" s="14" t="s">
        <v>3477</v>
      </c>
      <c r="F174" s="14" t="s">
        <v>1632</v>
      </c>
      <c r="G174" s="14" t="s">
        <v>600</v>
      </c>
      <c r="H174" s="14" t="s">
        <v>600</v>
      </c>
      <c r="I174" s="14" t="s">
        <v>602</v>
      </c>
      <c r="J174" s="14" t="s">
        <v>315</v>
      </c>
      <c r="K174" s="14" t="s">
        <v>315</v>
      </c>
      <c r="L174" s="14" t="s">
        <v>2160</v>
      </c>
      <c r="M174" s="14" t="s">
        <v>3299</v>
      </c>
      <c r="N174" s="14" t="s">
        <v>585</v>
      </c>
      <c r="O174" s="14" t="s">
        <v>3402</v>
      </c>
      <c r="P174" s="14" t="s">
        <v>3301</v>
      </c>
      <c r="Q174" s="14"/>
      <c r="R174" s="14" t="s">
        <v>1383</v>
      </c>
      <c r="S174" s="14" t="s">
        <v>3483</v>
      </c>
      <c r="T174" s="14" t="s">
        <v>3484</v>
      </c>
    </row>
    <row r="175" spans="1:20">
      <c r="A175" s="14" t="s">
        <v>3485</v>
      </c>
      <c r="B175" s="14" t="s">
        <v>3486</v>
      </c>
      <c r="C175" s="14" t="s">
        <v>755</v>
      </c>
      <c r="D175" s="14" t="s">
        <v>3487</v>
      </c>
      <c r="E175" s="14" t="s">
        <v>3477</v>
      </c>
      <c r="F175" s="14" t="s">
        <v>1632</v>
      </c>
      <c r="G175" s="14" t="s">
        <v>215</v>
      </c>
      <c r="H175" s="14" t="s">
        <v>215</v>
      </c>
      <c r="I175" s="14" t="s">
        <v>218</v>
      </c>
      <c r="J175" s="14" t="s">
        <v>234</v>
      </c>
      <c r="K175" s="14" t="s">
        <v>234</v>
      </c>
      <c r="L175" s="14" t="s">
        <v>2160</v>
      </c>
      <c r="M175" s="14" t="s">
        <v>3299</v>
      </c>
      <c r="N175" s="14" t="s">
        <v>2200</v>
      </c>
      <c r="O175" s="14" t="s">
        <v>3402</v>
      </c>
      <c r="P175" s="14" t="s">
        <v>3301</v>
      </c>
      <c r="Q175" s="14"/>
      <c r="R175" s="14" t="s">
        <v>1383</v>
      </c>
      <c r="S175" s="14" t="s">
        <v>3488</v>
      </c>
      <c r="T175" s="14" t="s">
        <v>3489</v>
      </c>
    </row>
    <row r="176" spans="1:20">
      <c r="A176" s="14" t="s">
        <v>3490</v>
      </c>
      <c r="B176" s="14" t="s">
        <v>3491</v>
      </c>
      <c r="C176" s="14" t="s">
        <v>755</v>
      </c>
      <c r="D176" s="14" t="s">
        <v>3492</v>
      </c>
      <c r="E176" s="14" t="s">
        <v>3477</v>
      </c>
      <c r="F176" s="14" t="s">
        <v>1632</v>
      </c>
      <c r="G176" s="14" t="s">
        <v>436</v>
      </c>
      <c r="H176" s="14" t="s">
        <v>436</v>
      </c>
      <c r="I176" s="14" t="s">
        <v>437</v>
      </c>
      <c r="J176" s="14" t="s">
        <v>331</v>
      </c>
      <c r="K176" s="14" t="s">
        <v>286</v>
      </c>
      <c r="L176" s="14" t="s">
        <v>2160</v>
      </c>
      <c r="M176" s="14" t="s">
        <v>3299</v>
      </c>
      <c r="N176" s="14" t="s">
        <v>2547</v>
      </c>
      <c r="O176" s="14" t="s">
        <v>3402</v>
      </c>
      <c r="P176" s="14" t="s">
        <v>3301</v>
      </c>
      <c r="Q176" s="14"/>
      <c r="R176" s="14" t="s">
        <v>1383</v>
      </c>
      <c r="S176" s="14" t="s">
        <v>3493</v>
      </c>
      <c r="T176" s="14" t="s">
        <v>3494</v>
      </c>
    </row>
    <row r="177" spans="1:20">
      <c r="A177" s="14" t="s">
        <v>3495</v>
      </c>
      <c r="B177" s="14" t="s">
        <v>3496</v>
      </c>
      <c r="C177" s="14" t="s">
        <v>755</v>
      </c>
      <c r="D177" s="14" t="s">
        <v>3497</v>
      </c>
      <c r="E177" s="14" t="s">
        <v>3477</v>
      </c>
      <c r="F177" s="14" t="s">
        <v>1632</v>
      </c>
      <c r="G177" s="14" t="s">
        <v>443</v>
      </c>
      <c r="H177" s="14" t="s">
        <v>443</v>
      </c>
      <c r="I177" s="14" t="s">
        <v>445</v>
      </c>
      <c r="J177" s="14" t="s">
        <v>331</v>
      </c>
      <c r="K177" s="14" t="s">
        <v>286</v>
      </c>
      <c r="L177" s="14" t="s">
        <v>2160</v>
      </c>
      <c r="M177" s="14" t="s">
        <v>3299</v>
      </c>
      <c r="N177" s="14" t="s">
        <v>2264</v>
      </c>
      <c r="O177" s="14" t="s">
        <v>3402</v>
      </c>
      <c r="P177" s="14" t="s">
        <v>3301</v>
      </c>
      <c r="Q177" s="14"/>
      <c r="R177" s="14" t="s">
        <v>1383</v>
      </c>
      <c r="S177" s="14" t="s">
        <v>3498</v>
      </c>
      <c r="T177" s="14" t="s">
        <v>3499</v>
      </c>
    </row>
    <row r="178" spans="1:20">
      <c r="A178" s="14" t="s">
        <v>3500</v>
      </c>
      <c r="B178" s="14" t="s">
        <v>3501</v>
      </c>
      <c r="C178" s="14" t="s">
        <v>755</v>
      </c>
      <c r="D178" s="14" t="s">
        <v>3502</v>
      </c>
      <c r="E178" s="14" t="s">
        <v>3503</v>
      </c>
      <c r="F178" s="14" t="s">
        <v>3504</v>
      </c>
      <c r="G178" s="14" t="s">
        <v>3505</v>
      </c>
      <c r="H178" s="14" t="s">
        <v>3506</v>
      </c>
      <c r="I178" s="14"/>
      <c r="J178" s="14" t="s">
        <v>103</v>
      </c>
      <c r="K178" s="14" t="s">
        <v>103</v>
      </c>
      <c r="L178" s="14" t="s">
        <v>2160</v>
      </c>
      <c r="M178" s="14" t="s">
        <v>2497</v>
      </c>
      <c r="N178" s="14" t="s">
        <v>2575</v>
      </c>
      <c r="O178" s="14" t="s">
        <v>3320</v>
      </c>
      <c r="P178" s="14" t="s">
        <v>3365</v>
      </c>
      <c r="Q178" s="14"/>
      <c r="R178" s="14" t="s">
        <v>1383</v>
      </c>
      <c r="S178" s="14" t="s">
        <v>3507</v>
      </c>
      <c r="T178" s="14" t="s">
        <v>3508</v>
      </c>
    </row>
    <row r="179" spans="1:20">
      <c r="A179" s="14" t="s">
        <v>3509</v>
      </c>
      <c r="B179" s="14" t="s">
        <v>3510</v>
      </c>
      <c r="C179" s="14" t="s">
        <v>755</v>
      </c>
      <c r="D179" s="14" t="s">
        <v>3511</v>
      </c>
      <c r="E179" s="14" t="s">
        <v>3477</v>
      </c>
      <c r="F179" s="14" t="s">
        <v>1632</v>
      </c>
      <c r="G179" s="14" t="s">
        <v>204</v>
      </c>
      <c r="H179" s="14" t="s">
        <v>204</v>
      </c>
      <c r="I179" s="14" t="s">
        <v>205</v>
      </c>
      <c r="J179" s="14" t="s">
        <v>183</v>
      </c>
      <c r="K179" s="14" t="s">
        <v>183</v>
      </c>
      <c r="L179" s="14" t="s">
        <v>2160</v>
      </c>
      <c r="M179" s="14" t="s">
        <v>3299</v>
      </c>
      <c r="N179" s="14" t="s">
        <v>2519</v>
      </c>
      <c r="O179" s="14" t="s">
        <v>3402</v>
      </c>
      <c r="P179" s="14" t="s">
        <v>3301</v>
      </c>
      <c r="Q179" s="14"/>
      <c r="R179" s="14" t="s">
        <v>1383</v>
      </c>
      <c r="S179" s="14" t="s">
        <v>3512</v>
      </c>
      <c r="T179" s="14" t="s">
        <v>3513</v>
      </c>
    </row>
    <row r="180" spans="1:20">
      <c r="A180" s="14" t="s">
        <v>3514</v>
      </c>
      <c r="B180" s="14" t="s">
        <v>3515</v>
      </c>
      <c r="C180" s="14" t="s">
        <v>755</v>
      </c>
      <c r="D180" s="14" t="s">
        <v>3516</v>
      </c>
      <c r="E180" s="14" t="s">
        <v>3477</v>
      </c>
      <c r="F180" s="14" t="s">
        <v>1632</v>
      </c>
      <c r="G180" s="14" t="s">
        <v>193</v>
      </c>
      <c r="H180" s="14" t="s">
        <v>193</v>
      </c>
      <c r="I180" s="14" t="s">
        <v>194</v>
      </c>
      <c r="J180" s="14" t="s">
        <v>183</v>
      </c>
      <c r="K180" s="14" t="s">
        <v>183</v>
      </c>
      <c r="L180" s="14" t="s">
        <v>2160</v>
      </c>
      <c r="M180" s="14" t="s">
        <v>3299</v>
      </c>
      <c r="N180" s="14" t="s">
        <v>2559</v>
      </c>
      <c r="O180" s="14" t="s">
        <v>3402</v>
      </c>
      <c r="P180" s="14" t="s">
        <v>3301</v>
      </c>
      <c r="Q180" s="14"/>
      <c r="R180" s="14" t="s">
        <v>1383</v>
      </c>
      <c r="S180" s="14" t="s">
        <v>3517</v>
      </c>
      <c r="T180" s="14" t="s">
        <v>3518</v>
      </c>
    </row>
    <row r="181" spans="1:20">
      <c r="A181" s="14" t="s">
        <v>3519</v>
      </c>
      <c r="B181" s="14" t="s">
        <v>3520</v>
      </c>
      <c r="C181" s="14" t="s">
        <v>755</v>
      </c>
      <c r="D181" s="14" t="s">
        <v>3521</v>
      </c>
      <c r="E181" s="14" t="s">
        <v>3477</v>
      </c>
      <c r="F181" s="14" t="s">
        <v>1632</v>
      </c>
      <c r="G181" s="14" t="s">
        <v>640</v>
      </c>
      <c r="H181" s="14"/>
      <c r="I181" s="14" t="s">
        <v>640</v>
      </c>
      <c r="J181" s="14" t="s">
        <v>178</v>
      </c>
      <c r="K181" s="14"/>
      <c r="L181" s="14" t="s">
        <v>2160</v>
      </c>
      <c r="M181" s="14" t="s">
        <v>3299</v>
      </c>
      <c r="N181" s="14" t="s">
        <v>2565</v>
      </c>
      <c r="O181" s="14" t="s">
        <v>3402</v>
      </c>
      <c r="P181" s="14" t="s">
        <v>3301</v>
      </c>
      <c r="Q181" s="14"/>
      <c r="R181" s="14" t="s">
        <v>1383</v>
      </c>
      <c r="S181" s="14" t="s">
        <v>3522</v>
      </c>
      <c r="T181" s="14" t="s">
        <v>3523</v>
      </c>
    </row>
    <row r="182" spans="1:20">
      <c r="A182" s="14" t="s">
        <v>3524</v>
      </c>
      <c r="B182" s="14" t="s">
        <v>3525</v>
      </c>
      <c r="C182" s="14" t="s">
        <v>755</v>
      </c>
      <c r="D182" s="14" t="s">
        <v>3526</v>
      </c>
      <c r="E182" s="14" t="s">
        <v>3477</v>
      </c>
      <c r="F182" s="14" t="s">
        <v>1632</v>
      </c>
      <c r="G182" s="14" t="s">
        <v>646</v>
      </c>
      <c r="H182" s="14"/>
      <c r="I182" s="14" t="s">
        <v>646</v>
      </c>
      <c r="J182" s="14" t="s">
        <v>178</v>
      </c>
      <c r="K182" s="14"/>
      <c r="L182" s="14" t="s">
        <v>2160</v>
      </c>
      <c r="M182" s="14" t="s">
        <v>3299</v>
      </c>
      <c r="N182" s="14" t="s">
        <v>2534</v>
      </c>
      <c r="O182" s="14" t="s">
        <v>3402</v>
      </c>
      <c r="P182" s="14" t="s">
        <v>3301</v>
      </c>
      <c r="Q182" s="14"/>
      <c r="R182" s="14" t="s">
        <v>1383</v>
      </c>
      <c r="S182" s="14" t="s">
        <v>3527</v>
      </c>
      <c r="T182" s="14" t="s">
        <v>3528</v>
      </c>
    </row>
    <row r="183" spans="1:20">
      <c r="A183" s="14" t="s">
        <v>3529</v>
      </c>
      <c r="B183" s="14" t="s">
        <v>3530</v>
      </c>
      <c r="C183" s="14" t="s">
        <v>755</v>
      </c>
      <c r="D183" s="14" t="s">
        <v>3531</v>
      </c>
      <c r="E183" s="14" t="s">
        <v>3477</v>
      </c>
      <c r="F183" s="14" t="s">
        <v>1632</v>
      </c>
      <c r="G183" s="14" t="s">
        <v>641</v>
      </c>
      <c r="H183" s="14"/>
      <c r="I183" s="14" t="s">
        <v>641</v>
      </c>
      <c r="J183" s="14" t="s">
        <v>178</v>
      </c>
      <c r="K183" s="14"/>
      <c r="L183" s="14" t="s">
        <v>2160</v>
      </c>
      <c r="M183" s="14" t="s">
        <v>3299</v>
      </c>
      <c r="N183" s="14" t="s">
        <v>2562</v>
      </c>
      <c r="O183" s="14" t="s">
        <v>3402</v>
      </c>
      <c r="P183" s="14" t="s">
        <v>3301</v>
      </c>
      <c r="Q183" s="14"/>
      <c r="R183" s="14" t="s">
        <v>1383</v>
      </c>
      <c r="S183" s="14" t="s">
        <v>3532</v>
      </c>
      <c r="T183" s="14" t="s">
        <v>3533</v>
      </c>
    </row>
    <row r="184" spans="1:20">
      <c r="A184" s="14" t="s">
        <v>3534</v>
      </c>
      <c r="B184" s="14" t="s">
        <v>3535</v>
      </c>
      <c r="C184" s="14" t="s">
        <v>755</v>
      </c>
      <c r="D184" s="14" t="s">
        <v>3536</v>
      </c>
      <c r="E184" s="14" t="s">
        <v>3537</v>
      </c>
      <c r="F184" s="14" t="s">
        <v>2628</v>
      </c>
      <c r="G184" s="14" t="s">
        <v>213</v>
      </c>
      <c r="H184" s="14" t="s">
        <v>213</v>
      </c>
      <c r="I184" s="14"/>
      <c r="J184" s="14" t="s">
        <v>183</v>
      </c>
      <c r="K184" s="14"/>
      <c r="L184" s="14" t="s">
        <v>2160</v>
      </c>
      <c r="M184" s="14" t="s">
        <v>3299</v>
      </c>
      <c r="N184" s="14" t="s">
        <v>2189</v>
      </c>
      <c r="O184" s="14" t="s">
        <v>3402</v>
      </c>
      <c r="P184" s="14" t="s">
        <v>3301</v>
      </c>
      <c r="Q184" s="14"/>
      <c r="R184" s="14" t="s">
        <v>1383</v>
      </c>
      <c r="S184" s="14" t="s">
        <v>3538</v>
      </c>
      <c r="T184" s="14" t="s">
        <v>3539</v>
      </c>
    </row>
    <row r="185" spans="1:20">
      <c r="A185" s="14" t="s">
        <v>3540</v>
      </c>
      <c r="B185" s="14" t="s">
        <v>3541</v>
      </c>
      <c r="C185" s="14" t="s">
        <v>755</v>
      </c>
      <c r="D185" s="14" t="s">
        <v>3542</v>
      </c>
      <c r="E185" s="14" t="s">
        <v>3537</v>
      </c>
      <c r="F185" s="14" t="s">
        <v>2628</v>
      </c>
      <c r="G185" s="14" t="s">
        <v>213</v>
      </c>
      <c r="H185" s="14" t="s">
        <v>213</v>
      </c>
      <c r="I185" s="14"/>
      <c r="J185" s="14" t="s">
        <v>234</v>
      </c>
      <c r="K185" s="14"/>
      <c r="L185" s="14" t="s">
        <v>2160</v>
      </c>
      <c r="M185" s="14" t="s">
        <v>3299</v>
      </c>
      <c r="N185" s="14" t="s">
        <v>2194</v>
      </c>
      <c r="O185" s="14" t="s">
        <v>3402</v>
      </c>
      <c r="P185" s="14" t="s">
        <v>3301</v>
      </c>
      <c r="Q185" s="14"/>
      <c r="R185" s="14" t="s">
        <v>1383</v>
      </c>
      <c r="S185" s="14" t="s">
        <v>3543</v>
      </c>
      <c r="T185" s="14" t="s">
        <v>3544</v>
      </c>
    </row>
    <row r="186" spans="1:20">
      <c r="A186" s="14" t="s">
        <v>3545</v>
      </c>
      <c r="B186" s="14" t="s">
        <v>3546</v>
      </c>
      <c r="C186" s="14" t="s">
        <v>755</v>
      </c>
      <c r="D186" s="14" t="s">
        <v>3547</v>
      </c>
      <c r="E186" s="14" t="s">
        <v>2523</v>
      </c>
      <c r="F186" s="14" t="s">
        <v>3548</v>
      </c>
      <c r="G186" s="14" t="s">
        <v>3549</v>
      </c>
      <c r="H186" s="14" t="s">
        <v>3549</v>
      </c>
      <c r="I186" s="14" t="s">
        <v>312</v>
      </c>
      <c r="J186" s="14" t="s">
        <v>234</v>
      </c>
      <c r="K186" s="14" t="s">
        <v>234</v>
      </c>
      <c r="L186" s="14" t="s">
        <v>2160</v>
      </c>
      <c r="M186" s="14" t="s">
        <v>2497</v>
      </c>
      <c r="N186" s="14" t="s">
        <v>2264</v>
      </c>
      <c r="O186" s="14" t="s">
        <v>3320</v>
      </c>
      <c r="P186" s="14" t="s">
        <v>3365</v>
      </c>
      <c r="Q186" s="14"/>
      <c r="R186" s="14" t="s">
        <v>1383</v>
      </c>
      <c r="S186" s="14" t="s">
        <v>3550</v>
      </c>
      <c r="T186" s="14" t="s">
        <v>3551</v>
      </c>
    </row>
    <row r="187" spans="1:20">
      <c r="A187" s="14" t="s">
        <v>3552</v>
      </c>
      <c r="B187" s="14" t="s">
        <v>3553</v>
      </c>
      <c r="C187" s="14" t="s">
        <v>755</v>
      </c>
      <c r="D187" s="14" t="s">
        <v>3554</v>
      </c>
      <c r="E187" s="14" t="s">
        <v>3555</v>
      </c>
      <c r="F187" s="14" t="s">
        <v>3556</v>
      </c>
      <c r="G187" s="14" t="s">
        <v>250</v>
      </c>
      <c r="H187" s="14" t="s">
        <v>247</v>
      </c>
      <c r="I187" s="14" t="s">
        <v>250</v>
      </c>
      <c r="J187" s="14" t="s">
        <v>178</v>
      </c>
      <c r="K187" s="14" t="s">
        <v>178</v>
      </c>
      <c r="L187" s="14" t="s">
        <v>2160</v>
      </c>
      <c r="M187" s="14" t="s">
        <v>3299</v>
      </c>
      <c r="N187" s="14" t="s">
        <v>2184</v>
      </c>
      <c r="O187" s="14" t="s">
        <v>3402</v>
      </c>
      <c r="P187" s="14" t="s">
        <v>3301</v>
      </c>
      <c r="Q187" s="14"/>
      <c r="R187" s="14" t="s">
        <v>1383</v>
      </c>
      <c r="S187" s="14" t="s">
        <v>3557</v>
      </c>
      <c r="T187" s="14" t="s">
        <v>3558</v>
      </c>
    </row>
    <row r="188" spans="1:20">
      <c r="A188" s="14" t="s">
        <v>3559</v>
      </c>
      <c r="B188" s="14" t="s">
        <v>3560</v>
      </c>
      <c r="C188" s="14" t="s">
        <v>755</v>
      </c>
      <c r="D188" s="14" t="s">
        <v>3561</v>
      </c>
      <c r="E188" s="14" t="s">
        <v>3555</v>
      </c>
      <c r="F188" s="14" t="s">
        <v>3556</v>
      </c>
      <c r="G188" s="14" t="s">
        <v>250</v>
      </c>
      <c r="H188" s="14" t="s">
        <v>247</v>
      </c>
      <c r="I188" s="14" t="s">
        <v>250</v>
      </c>
      <c r="J188" s="14" t="s">
        <v>178</v>
      </c>
      <c r="K188" s="14" t="s">
        <v>178</v>
      </c>
      <c r="L188" s="14" t="s">
        <v>2160</v>
      </c>
      <c r="M188" s="14" t="s">
        <v>3299</v>
      </c>
      <c r="N188" s="14" t="s">
        <v>2178</v>
      </c>
      <c r="O188" s="14" t="s">
        <v>3402</v>
      </c>
      <c r="P188" s="14" t="s">
        <v>3301</v>
      </c>
      <c r="Q188" s="14"/>
      <c r="R188" s="14" t="s">
        <v>1383</v>
      </c>
      <c r="S188" s="14" t="s">
        <v>3562</v>
      </c>
      <c r="T188" s="14" t="s">
        <v>3563</v>
      </c>
    </row>
    <row r="189" spans="1:20">
      <c r="A189" s="14" t="s">
        <v>3564</v>
      </c>
      <c r="B189" s="14" t="s">
        <v>3565</v>
      </c>
      <c r="C189" s="14" t="s">
        <v>755</v>
      </c>
      <c r="D189" s="14" t="s">
        <v>3566</v>
      </c>
      <c r="E189" s="14" t="s">
        <v>3555</v>
      </c>
      <c r="F189" s="14" t="s">
        <v>3556</v>
      </c>
      <c r="G189" s="14" t="s">
        <v>1294</v>
      </c>
      <c r="H189" s="14" t="s">
        <v>1294</v>
      </c>
      <c r="I189" s="14"/>
      <c r="J189" s="14" t="s">
        <v>331</v>
      </c>
      <c r="K189" s="14"/>
      <c r="L189" s="14" t="s">
        <v>2160</v>
      </c>
      <c r="M189" s="14" t="s">
        <v>3299</v>
      </c>
      <c r="N189" s="14" t="s">
        <v>2172</v>
      </c>
      <c r="O189" s="14" t="s">
        <v>3402</v>
      </c>
      <c r="P189" s="14" t="s">
        <v>3301</v>
      </c>
      <c r="Q189" s="14"/>
      <c r="R189" s="14" t="s">
        <v>1383</v>
      </c>
      <c r="S189" s="14" t="s">
        <v>3567</v>
      </c>
      <c r="T189" s="14" t="s">
        <v>3568</v>
      </c>
    </row>
    <row r="190" spans="1:20">
      <c r="A190" s="14" t="s">
        <v>3569</v>
      </c>
      <c r="B190" s="14" t="s">
        <v>3570</v>
      </c>
      <c r="C190" s="14" t="s">
        <v>755</v>
      </c>
      <c r="D190" s="14" t="s">
        <v>3571</v>
      </c>
      <c r="E190" s="14" t="s">
        <v>1381</v>
      </c>
      <c r="F190" s="14" t="s">
        <v>3386</v>
      </c>
      <c r="G190" s="14" t="s">
        <v>180</v>
      </c>
      <c r="H190" s="14" t="s">
        <v>180</v>
      </c>
      <c r="I190" s="14" t="s">
        <v>179</v>
      </c>
      <c r="J190" s="14" t="s">
        <v>178</v>
      </c>
      <c r="K190" s="14" t="s">
        <v>178</v>
      </c>
      <c r="L190" s="14" t="s">
        <v>2160</v>
      </c>
      <c r="M190" s="14" t="s">
        <v>3299</v>
      </c>
      <c r="N190" s="14" t="s">
        <v>1995</v>
      </c>
      <c r="O190" s="14" t="s">
        <v>3300</v>
      </c>
      <c r="P190" s="14" t="s">
        <v>3301</v>
      </c>
      <c r="Q190" s="14"/>
      <c r="R190" s="14" t="s">
        <v>1383</v>
      </c>
      <c r="S190" s="14" t="s">
        <v>3572</v>
      </c>
      <c r="T190" s="14" t="s">
        <v>3573</v>
      </c>
    </row>
    <row r="191" spans="1:20">
      <c r="A191" s="14" t="s">
        <v>3574</v>
      </c>
      <c r="B191" s="14" t="s">
        <v>3575</v>
      </c>
      <c r="C191" s="14" t="s">
        <v>755</v>
      </c>
      <c r="D191" s="14" t="s">
        <v>3576</v>
      </c>
      <c r="E191" s="14" t="s">
        <v>3577</v>
      </c>
      <c r="F191" s="14" t="s">
        <v>1808</v>
      </c>
      <c r="G191" s="14" t="s">
        <v>3578</v>
      </c>
      <c r="H191" s="14"/>
      <c r="I191" s="14" t="s">
        <v>188</v>
      </c>
      <c r="J191" s="14" t="s">
        <v>75</v>
      </c>
      <c r="K191" s="14"/>
      <c r="L191" s="14" t="s">
        <v>2160</v>
      </c>
      <c r="M191" s="14" t="s">
        <v>3299</v>
      </c>
      <c r="N191" s="14" t="s">
        <v>1666</v>
      </c>
      <c r="O191" s="14" t="s">
        <v>3579</v>
      </c>
      <c r="P191" s="14" t="s">
        <v>3580</v>
      </c>
      <c r="Q191" s="14"/>
      <c r="R191" s="14" t="s">
        <v>1383</v>
      </c>
      <c r="S191" s="14" t="s">
        <v>3581</v>
      </c>
      <c r="T191" s="14" t="s">
        <v>3582</v>
      </c>
    </row>
    <row r="192" spans="1:20">
      <c r="A192" s="14" t="s">
        <v>3583</v>
      </c>
      <c r="B192" s="14" t="s">
        <v>3584</v>
      </c>
      <c r="C192" s="14" t="s">
        <v>755</v>
      </c>
      <c r="D192" s="14" t="s">
        <v>3585</v>
      </c>
      <c r="E192" s="14" t="s">
        <v>3577</v>
      </c>
      <c r="F192" s="14" t="s">
        <v>1808</v>
      </c>
      <c r="G192" s="14" t="s">
        <v>3586</v>
      </c>
      <c r="H192" s="14" t="s">
        <v>187</v>
      </c>
      <c r="I192" s="14" t="s">
        <v>185</v>
      </c>
      <c r="J192" s="14" t="s">
        <v>75</v>
      </c>
      <c r="K192" s="14" t="s">
        <v>75</v>
      </c>
      <c r="L192" s="14" t="s">
        <v>2160</v>
      </c>
      <c r="M192" s="14" t="s">
        <v>3299</v>
      </c>
      <c r="N192" s="14" t="s">
        <v>2160</v>
      </c>
      <c r="O192" s="14" t="s">
        <v>3579</v>
      </c>
      <c r="P192" s="14" t="s">
        <v>3580</v>
      </c>
      <c r="Q192" s="14"/>
      <c r="R192" s="14" t="s">
        <v>1383</v>
      </c>
      <c r="S192" s="14" t="s">
        <v>3587</v>
      </c>
      <c r="T192" s="14" t="s">
        <v>3588</v>
      </c>
    </row>
    <row r="193" spans="1:20">
      <c r="A193" s="14" t="s">
        <v>3589</v>
      </c>
      <c r="B193" s="14" t="s">
        <v>3590</v>
      </c>
      <c r="C193" s="14" t="s">
        <v>755</v>
      </c>
      <c r="D193" s="14" t="s">
        <v>3591</v>
      </c>
      <c r="E193" s="14" t="s">
        <v>3577</v>
      </c>
      <c r="F193" s="14" t="s">
        <v>1808</v>
      </c>
      <c r="G193" s="14" t="s">
        <v>3592</v>
      </c>
      <c r="H193" s="14" t="s">
        <v>600</v>
      </c>
      <c r="I193" s="14" t="s">
        <v>602</v>
      </c>
      <c r="J193" s="14" t="s">
        <v>315</v>
      </c>
      <c r="K193" s="14" t="s">
        <v>315</v>
      </c>
      <c r="L193" s="14" t="s">
        <v>2160</v>
      </c>
      <c r="M193" s="14" t="s">
        <v>3593</v>
      </c>
      <c r="N193" s="14" t="s">
        <v>2602</v>
      </c>
      <c r="O193" s="14" t="s">
        <v>3594</v>
      </c>
      <c r="P193" s="14" t="s">
        <v>3595</v>
      </c>
      <c r="Q193" s="14" t="s">
        <v>3596</v>
      </c>
      <c r="R193" s="14" t="s">
        <v>1383</v>
      </c>
      <c r="S193" s="14" t="s">
        <v>3597</v>
      </c>
      <c r="T193" s="14"/>
    </row>
    <row r="194" spans="1:20">
      <c r="A194" s="14" t="s">
        <v>3598</v>
      </c>
      <c r="B194" s="14" t="s">
        <v>3599</v>
      </c>
      <c r="C194" s="14" t="s">
        <v>755</v>
      </c>
      <c r="D194" s="14" t="s">
        <v>3600</v>
      </c>
      <c r="E194" s="14" t="s">
        <v>3577</v>
      </c>
      <c r="F194" s="14" t="s">
        <v>1808</v>
      </c>
      <c r="G194" s="14" t="s">
        <v>3601</v>
      </c>
      <c r="H194" s="14" t="s">
        <v>193</v>
      </c>
      <c r="I194" s="14" t="s">
        <v>194</v>
      </c>
      <c r="J194" s="14" t="s">
        <v>183</v>
      </c>
      <c r="K194" s="14" t="s">
        <v>183</v>
      </c>
      <c r="L194" s="14" t="s">
        <v>2160</v>
      </c>
      <c r="M194" s="14" t="s">
        <v>3593</v>
      </c>
      <c r="N194" s="14" t="s">
        <v>2194</v>
      </c>
      <c r="O194" s="14" t="s">
        <v>3594</v>
      </c>
      <c r="P194" s="14" t="s">
        <v>3595</v>
      </c>
      <c r="Q194" s="14" t="s">
        <v>3602</v>
      </c>
      <c r="R194" s="14" t="s">
        <v>1383</v>
      </c>
      <c r="S194" s="14" t="s">
        <v>3603</v>
      </c>
      <c r="T194" s="14"/>
    </row>
    <row r="195" spans="1:20">
      <c r="A195" s="14" t="s">
        <v>3604</v>
      </c>
      <c r="B195" s="14" t="s">
        <v>3605</v>
      </c>
      <c r="C195" s="14" t="s">
        <v>755</v>
      </c>
      <c r="D195" s="14" t="s">
        <v>3606</v>
      </c>
      <c r="E195" s="14" t="s">
        <v>3577</v>
      </c>
      <c r="F195" s="14" t="s">
        <v>1808</v>
      </c>
      <c r="G195" s="14" t="s">
        <v>3607</v>
      </c>
      <c r="H195" s="14" t="s">
        <v>204</v>
      </c>
      <c r="I195" s="14" t="s">
        <v>205</v>
      </c>
      <c r="J195" s="14" t="s">
        <v>183</v>
      </c>
      <c r="K195" s="14" t="s">
        <v>183</v>
      </c>
      <c r="L195" s="14" t="s">
        <v>2160</v>
      </c>
      <c r="M195" s="14" t="s">
        <v>3593</v>
      </c>
      <c r="N195" s="14" t="s">
        <v>2200</v>
      </c>
      <c r="O195" s="14" t="s">
        <v>3594</v>
      </c>
      <c r="P195" s="14" t="s">
        <v>3595</v>
      </c>
      <c r="Q195" s="14" t="s">
        <v>3608</v>
      </c>
      <c r="R195" s="14" t="s">
        <v>1383</v>
      </c>
      <c r="S195" s="14" t="s">
        <v>3609</v>
      </c>
      <c r="T195" s="14"/>
    </row>
    <row r="196" spans="1:20">
      <c r="A196" s="14" t="s">
        <v>3610</v>
      </c>
      <c r="B196" s="14" t="s">
        <v>3611</v>
      </c>
      <c r="C196" s="14" t="s">
        <v>755</v>
      </c>
      <c r="D196" s="14" t="s">
        <v>3612</v>
      </c>
      <c r="E196" s="14" t="s">
        <v>3577</v>
      </c>
      <c r="F196" s="14" t="s">
        <v>1808</v>
      </c>
      <c r="G196" s="14" t="s">
        <v>3613</v>
      </c>
      <c r="H196" s="14" t="s">
        <v>591</v>
      </c>
      <c r="I196" s="14" t="s">
        <v>595</v>
      </c>
      <c r="J196" s="14" t="s">
        <v>315</v>
      </c>
      <c r="K196" s="14" t="s">
        <v>315</v>
      </c>
      <c r="L196" s="14" t="s">
        <v>2160</v>
      </c>
      <c r="M196" s="14" t="s">
        <v>3593</v>
      </c>
      <c r="N196" s="14" t="s">
        <v>2598</v>
      </c>
      <c r="O196" s="14" t="s">
        <v>3594</v>
      </c>
      <c r="P196" s="14" t="s">
        <v>3595</v>
      </c>
      <c r="Q196" s="14" t="s">
        <v>3614</v>
      </c>
      <c r="R196" s="14" t="s">
        <v>1383</v>
      </c>
      <c r="S196" s="14" t="s">
        <v>3615</v>
      </c>
      <c r="T196" s="14"/>
    </row>
    <row r="197" spans="1:20">
      <c r="A197" s="14" t="s">
        <v>3616</v>
      </c>
      <c r="B197" s="14" t="s">
        <v>3617</v>
      </c>
      <c r="C197" s="14" t="s">
        <v>755</v>
      </c>
      <c r="D197" s="14" t="s">
        <v>3618</v>
      </c>
      <c r="E197" s="14" t="s">
        <v>3577</v>
      </c>
      <c r="F197" s="14" t="s">
        <v>1808</v>
      </c>
      <c r="G197" s="14" t="s">
        <v>3619</v>
      </c>
      <c r="H197" s="14" t="s">
        <v>572</v>
      </c>
      <c r="I197" s="14" t="s">
        <v>330</v>
      </c>
      <c r="J197" s="14" t="s">
        <v>331</v>
      </c>
      <c r="K197" s="14" t="s">
        <v>286</v>
      </c>
      <c r="L197" s="14" t="s">
        <v>2160</v>
      </c>
      <c r="M197" s="14" t="s">
        <v>3593</v>
      </c>
      <c r="N197" s="14" t="s">
        <v>2534</v>
      </c>
      <c r="O197" s="14" t="s">
        <v>3594</v>
      </c>
      <c r="P197" s="14" t="s">
        <v>3595</v>
      </c>
      <c r="Q197" s="14" t="s">
        <v>3620</v>
      </c>
      <c r="R197" s="14" t="s">
        <v>1383</v>
      </c>
      <c r="S197" s="14" t="s">
        <v>3621</v>
      </c>
      <c r="T197" s="14"/>
    </row>
    <row r="198" spans="1:20">
      <c r="A198" s="14" t="s">
        <v>3622</v>
      </c>
      <c r="B198" s="14" t="s">
        <v>3623</v>
      </c>
      <c r="C198" s="14" t="s">
        <v>755</v>
      </c>
      <c r="D198" s="14" t="s">
        <v>3624</v>
      </c>
      <c r="E198" s="14" t="s">
        <v>3577</v>
      </c>
      <c r="F198" s="14" t="s">
        <v>1808</v>
      </c>
      <c r="G198" s="14" t="s">
        <v>3625</v>
      </c>
      <c r="H198" s="14" t="s">
        <v>540</v>
      </c>
      <c r="I198" s="14" t="s">
        <v>242</v>
      </c>
      <c r="J198" s="14" t="s">
        <v>234</v>
      </c>
      <c r="K198" s="14" t="s">
        <v>234</v>
      </c>
      <c r="L198" s="14" t="s">
        <v>2160</v>
      </c>
      <c r="M198" s="14" t="s">
        <v>3593</v>
      </c>
      <c r="N198" s="14" t="s">
        <v>585</v>
      </c>
      <c r="O198" s="14" t="s">
        <v>3594</v>
      </c>
      <c r="P198" s="14" t="s">
        <v>3595</v>
      </c>
      <c r="Q198" s="14" t="s">
        <v>3626</v>
      </c>
      <c r="R198" s="14" t="s">
        <v>1383</v>
      </c>
      <c r="S198" s="14" t="s">
        <v>3627</v>
      </c>
      <c r="T198" s="14"/>
    </row>
    <row r="199" spans="1:20">
      <c r="A199" s="14" t="s">
        <v>3628</v>
      </c>
      <c r="B199" s="14" t="s">
        <v>3629</v>
      </c>
      <c r="C199" s="14" t="s">
        <v>755</v>
      </c>
      <c r="D199" s="14" t="s">
        <v>3630</v>
      </c>
      <c r="E199" s="14" t="s">
        <v>3577</v>
      </c>
      <c r="F199" s="14" t="s">
        <v>1808</v>
      </c>
      <c r="G199" s="14" t="s">
        <v>3631</v>
      </c>
      <c r="H199" s="14" t="s">
        <v>228</v>
      </c>
      <c r="I199" s="14" t="s">
        <v>229</v>
      </c>
      <c r="J199" s="14" t="s">
        <v>183</v>
      </c>
      <c r="K199" s="14" t="s">
        <v>183</v>
      </c>
      <c r="L199" s="14" t="s">
        <v>2160</v>
      </c>
      <c r="M199" s="14" t="s">
        <v>3593</v>
      </c>
      <c r="N199" s="14" t="s">
        <v>2538</v>
      </c>
      <c r="O199" s="14" t="s">
        <v>3594</v>
      </c>
      <c r="P199" s="14" t="s">
        <v>3595</v>
      </c>
      <c r="Q199" s="14" t="s">
        <v>3632</v>
      </c>
      <c r="R199" s="14" t="s">
        <v>1383</v>
      </c>
      <c r="S199" s="14" t="s">
        <v>3633</v>
      </c>
      <c r="T199" s="14"/>
    </row>
    <row r="200" spans="1:20">
      <c r="A200" s="14" t="s">
        <v>3634</v>
      </c>
      <c r="B200" s="14" t="s">
        <v>3635</v>
      </c>
      <c r="C200" s="14" t="s">
        <v>755</v>
      </c>
      <c r="D200" s="14" t="s">
        <v>3636</v>
      </c>
      <c r="E200" s="14" t="s">
        <v>3577</v>
      </c>
      <c r="F200" s="14" t="s">
        <v>1808</v>
      </c>
      <c r="G200" s="14" t="s">
        <v>3637</v>
      </c>
      <c r="H200" s="14" t="s">
        <v>161</v>
      </c>
      <c r="I200" s="14" t="s">
        <v>162</v>
      </c>
      <c r="J200" s="14" t="s">
        <v>1489</v>
      </c>
      <c r="K200" s="14" t="s">
        <v>156</v>
      </c>
      <c r="L200" s="14" t="s">
        <v>2160</v>
      </c>
      <c r="M200" s="14" t="s">
        <v>3593</v>
      </c>
      <c r="N200" s="14" t="s">
        <v>2189</v>
      </c>
      <c r="O200" s="14" t="s">
        <v>3594</v>
      </c>
      <c r="P200" s="14" t="s">
        <v>3595</v>
      </c>
      <c r="Q200" s="14" t="s">
        <v>3638</v>
      </c>
      <c r="R200" s="14" t="s">
        <v>1383</v>
      </c>
      <c r="S200" s="14" t="s">
        <v>3639</v>
      </c>
      <c r="T200" s="14"/>
    </row>
    <row r="201" spans="1:20">
      <c r="A201" s="14" t="s">
        <v>1100</v>
      </c>
      <c r="B201" s="14" t="s">
        <v>3640</v>
      </c>
      <c r="C201" s="14" t="s">
        <v>755</v>
      </c>
      <c r="D201" s="14" t="s">
        <v>3641</v>
      </c>
      <c r="E201" s="14" t="s">
        <v>3577</v>
      </c>
      <c r="F201" s="14" t="s">
        <v>1808</v>
      </c>
      <c r="G201" s="14" t="s">
        <v>3642</v>
      </c>
      <c r="H201" s="14" t="s">
        <v>318</v>
      </c>
      <c r="I201" s="14" t="s">
        <v>319</v>
      </c>
      <c r="J201" s="14" t="s">
        <v>277</v>
      </c>
      <c r="K201" s="14" t="s">
        <v>277</v>
      </c>
      <c r="L201" s="14" t="s">
        <v>2160</v>
      </c>
      <c r="M201" s="14" t="s">
        <v>3593</v>
      </c>
      <c r="N201" s="14" t="s">
        <v>2575</v>
      </c>
      <c r="O201" s="14" t="s">
        <v>3594</v>
      </c>
      <c r="P201" s="14" t="s">
        <v>3595</v>
      </c>
      <c r="Q201" s="14" t="s">
        <v>3643</v>
      </c>
      <c r="R201" s="14" t="s">
        <v>1383</v>
      </c>
      <c r="S201" s="14" t="s">
        <v>3644</v>
      </c>
      <c r="T201" s="14"/>
    </row>
    <row r="202" spans="1:20">
      <c r="A202" s="14" t="s">
        <v>3645</v>
      </c>
      <c r="B202" s="14" t="s">
        <v>3646</v>
      </c>
      <c r="C202" s="14" t="s">
        <v>755</v>
      </c>
      <c r="D202" s="14" t="s">
        <v>3647</v>
      </c>
      <c r="E202" s="14" t="s">
        <v>3577</v>
      </c>
      <c r="F202" s="14" t="s">
        <v>1808</v>
      </c>
      <c r="G202" s="14" t="s">
        <v>3648</v>
      </c>
      <c r="H202" s="14" t="s">
        <v>274</v>
      </c>
      <c r="I202" s="14" t="s">
        <v>275</v>
      </c>
      <c r="J202" s="14" t="s">
        <v>234</v>
      </c>
      <c r="K202" s="14" t="s">
        <v>234</v>
      </c>
      <c r="L202" s="14" t="s">
        <v>2160</v>
      </c>
      <c r="M202" s="14" t="s">
        <v>3593</v>
      </c>
      <c r="N202" s="14" t="s">
        <v>2547</v>
      </c>
      <c r="O202" s="14" t="s">
        <v>3594</v>
      </c>
      <c r="P202" s="14" t="s">
        <v>3595</v>
      </c>
      <c r="Q202" s="14" t="s">
        <v>3649</v>
      </c>
      <c r="R202" s="14" t="s">
        <v>1383</v>
      </c>
      <c r="S202" s="14" t="s">
        <v>3650</v>
      </c>
      <c r="T202" s="14"/>
    </row>
    <row r="203" spans="1:20">
      <c r="A203" s="14" t="s">
        <v>3651</v>
      </c>
      <c r="B203" s="14" t="s">
        <v>3652</v>
      </c>
      <c r="C203" s="14" t="s">
        <v>755</v>
      </c>
      <c r="D203" s="14" t="s">
        <v>3653</v>
      </c>
      <c r="E203" s="14" t="s">
        <v>3577</v>
      </c>
      <c r="F203" s="14" t="s">
        <v>1808</v>
      </c>
      <c r="G203" s="14" t="s">
        <v>3654</v>
      </c>
      <c r="H203" s="14" t="s">
        <v>379</v>
      </c>
      <c r="I203" s="14" t="s">
        <v>380</v>
      </c>
      <c r="J203" s="14" t="s">
        <v>103</v>
      </c>
      <c r="K203" s="14" t="s">
        <v>103</v>
      </c>
      <c r="L203" s="14" t="s">
        <v>2160</v>
      </c>
      <c r="M203" s="14" t="s">
        <v>3593</v>
      </c>
      <c r="N203" s="14" t="s">
        <v>2589</v>
      </c>
      <c r="O203" s="14" t="s">
        <v>3594</v>
      </c>
      <c r="P203" s="14" t="s">
        <v>3595</v>
      </c>
      <c r="Q203" s="14" t="s">
        <v>3655</v>
      </c>
      <c r="R203" s="14" t="s">
        <v>1383</v>
      </c>
      <c r="S203" s="14" t="s">
        <v>3656</v>
      </c>
      <c r="T203" s="14"/>
    </row>
    <row r="204" spans="1:20">
      <c r="A204" s="14" t="s">
        <v>3657</v>
      </c>
      <c r="B204" s="14" t="s">
        <v>3658</v>
      </c>
      <c r="C204" s="14" t="s">
        <v>755</v>
      </c>
      <c r="D204" s="14" t="s">
        <v>3659</v>
      </c>
      <c r="E204" s="14" t="s">
        <v>3577</v>
      </c>
      <c r="F204" s="14" t="s">
        <v>1808</v>
      </c>
      <c r="G204" s="14" t="s">
        <v>3660</v>
      </c>
      <c r="H204" s="14" t="s">
        <v>310</v>
      </c>
      <c r="I204" s="14" t="s">
        <v>311</v>
      </c>
      <c r="J204" s="14" t="s">
        <v>277</v>
      </c>
      <c r="K204" s="14" t="s">
        <v>277</v>
      </c>
      <c r="L204" s="14" t="s">
        <v>2160</v>
      </c>
      <c r="M204" s="14" t="s">
        <v>3593</v>
      </c>
      <c r="N204" s="14" t="s">
        <v>2562</v>
      </c>
      <c r="O204" s="14" t="s">
        <v>3594</v>
      </c>
      <c r="P204" s="14" t="s">
        <v>3595</v>
      </c>
      <c r="Q204" s="14" t="s">
        <v>3661</v>
      </c>
      <c r="R204" s="14" t="s">
        <v>1383</v>
      </c>
      <c r="S204" s="14" t="s">
        <v>3662</v>
      </c>
      <c r="T204" s="14"/>
    </row>
    <row r="205" spans="1:20">
      <c r="A205" s="14" t="s">
        <v>3663</v>
      </c>
      <c r="B205" s="14" t="s">
        <v>3664</v>
      </c>
      <c r="C205" s="14" t="s">
        <v>755</v>
      </c>
      <c r="D205" s="14" t="s">
        <v>3665</v>
      </c>
      <c r="E205" s="14" t="s">
        <v>3577</v>
      </c>
      <c r="F205" s="14" t="s">
        <v>1808</v>
      </c>
      <c r="G205" s="14" t="s">
        <v>3666</v>
      </c>
      <c r="H205" s="14" t="s">
        <v>263</v>
      </c>
      <c r="I205" s="14" t="s">
        <v>262</v>
      </c>
      <c r="J205" s="14" t="s">
        <v>485</v>
      </c>
      <c r="K205" s="14" t="s">
        <v>129</v>
      </c>
      <c r="L205" s="14" t="s">
        <v>2160</v>
      </c>
      <c r="M205" s="14" t="s">
        <v>3593</v>
      </c>
      <c r="N205" s="14" t="s">
        <v>2611</v>
      </c>
      <c r="O205" s="14" t="s">
        <v>3594</v>
      </c>
      <c r="P205" s="14" t="s">
        <v>3595</v>
      </c>
      <c r="Q205" s="14" t="s">
        <v>3667</v>
      </c>
      <c r="R205" s="14" t="s">
        <v>1383</v>
      </c>
      <c r="S205" s="14" t="s">
        <v>3668</v>
      </c>
      <c r="T205" s="14"/>
    </row>
    <row r="206" spans="1:20">
      <c r="A206" s="14" t="s">
        <v>3669</v>
      </c>
      <c r="B206" s="14" t="s">
        <v>3670</v>
      </c>
      <c r="C206" s="14" t="s">
        <v>755</v>
      </c>
      <c r="D206" s="14" t="s">
        <v>3671</v>
      </c>
      <c r="E206" s="14" t="s">
        <v>3577</v>
      </c>
      <c r="F206" s="14" t="s">
        <v>1808</v>
      </c>
      <c r="G206" s="14" t="s">
        <v>3672</v>
      </c>
      <c r="H206" s="14" t="s">
        <v>611</v>
      </c>
      <c r="I206" s="14" t="s">
        <v>614</v>
      </c>
      <c r="J206" s="14" t="s">
        <v>485</v>
      </c>
      <c r="K206" s="14" t="s">
        <v>485</v>
      </c>
      <c r="L206" s="14" t="s">
        <v>2160</v>
      </c>
      <c r="M206" s="14" t="s">
        <v>3593</v>
      </c>
      <c r="N206" s="14" t="s">
        <v>2509</v>
      </c>
      <c r="O206" s="14" t="s">
        <v>3594</v>
      </c>
      <c r="P206" s="14" t="s">
        <v>3595</v>
      </c>
      <c r="Q206" s="14" t="s">
        <v>3673</v>
      </c>
      <c r="R206" s="14" t="s">
        <v>1383</v>
      </c>
      <c r="S206" s="14" t="s">
        <v>3674</v>
      </c>
      <c r="T206" s="14"/>
    </row>
    <row r="207" spans="1:20">
      <c r="A207" s="14" t="s">
        <v>3675</v>
      </c>
      <c r="B207" s="14" t="s">
        <v>3676</v>
      </c>
      <c r="C207" s="14" t="s">
        <v>755</v>
      </c>
      <c r="D207" s="14" t="s">
        <v>3677</v>
      </c>
      <c r="E207" s="14" t="s">
        <v>3678</v>
      </c>
      <c r="F207" s="14" t="s">
        <v>3679</v>
      </c>
      <c r="G207" s="14" t="s">
        <v>3680</v>
      </c>
      <c r="H207" s="14" t="s">
        <v>562</v>
      </c>
      <c r="I207" s="14" t="s">
        <v>563</v>
      </c>
      <c r="J207" s="14" t="s">
        <v>1342</v>
      </c>
      <c r="K207" s="14" t="s">
        <v>410</v>
      </c>
      <c r="L207" s="14" t="s">
        <v>2160</v>
      </c>
      <c r="M207" s="14" t="s">
        <v>3593</v>
      </c>
      <c r="N207" s="14" t="s">
        <v>2565</v>
      </c>
      <c r="O207" s="14" t="s">
        <v>3594</v>
      </c>
      <c r="P207" s="14" t="s">
        <v>3595</v>
      </c>
      <c r="Q207" s="14" t="s">
        <v>3681</v>
      </c>
      <c r="R207" s="14" t="s">
        <v>1383</v>
      </c>
      <c r="S207" s="14" t="s">
        <v>3682</v>
      </c>
      <c r="T207" s="14"/>
    </row>
    <row r="208" spans="1:20">
      <c r="A208" s="14" t="s">
        <v>3683</v>
      </c>
      <c r="B208" s="14" t="s">
        <v>3684</v>
      </c>
      <c r="C208" s="14" t="s">
        <v>755</v>
      </c>
      <c r="D208" s="14" t="s">
        <v>3685</v>
      </c>
      <c r="E208" s="14" t="s">
        <v>3678</v>
      </c>
      <c r="F208" s="14" t="s">
        <v>3679</v>
      </c>
      <c r="G208" s="14" t="s">
        <v>3686</v>
      </c>
      <c r="H208" s="14" t="s">
        <v>622</v>
      </c>
      <c r="I208" s="14" t="s">
        <v>624</v>
      </c>
      <c r="J208" s="14" t="s">
        <v>623</v>
      </c>
      <c r="K208" s="14" t="s">
        <v>623</v>
      </c>
      <c r="L208" s="14" t="s">
        <v>2160</v>
      </c>
      <c r="M208" s="14" t="s">
        <v>3593</v>
      </c>
      <c r="N208" s="14" t="s">
        <v>2616</v>
      </c>
      <c r="O208" s="14" t="s">
        <v>3594</v>
      </c>
      <c r="P208" s="14" t="s">
        <v>3595</v>
      </c>
      <c r="Q208" s="14" t="s">
        <v>3687</v>
      </c>
      <c r="R208" s="14" t="s">
        <v>1383</v>
      </c>
      <c r="S208" s="14" t="s">
        <v>3688</v>
      </c>
      <c r="T208" s="14"/>
    </row>
    <row r="209" spans="1:20">
      <c r="A209" s="14" t="s">
        <v>3689</v>
      </c>
      <c r="B209" s="14" t="s">
        <v>3690</v>
      </c>
      <c r="C209" s="14" t="s">
        <v>755</v>
      </c>
      <c r="D209" s="14" t="s">
        <v>3691</v>
      </c>
      <c r="E209" s="14" t="s">
        <v>3678</v>
      </c>
      <c r="F209" s="14" t="s">
        <v>3679</v>
      </c>
      <c r="G209" s="14" t="s">
        <v>3692</v>
      </c>
      <c r="H209" s="14" t="s">
        <v>154</v>
      </c>
      <c r="I209" s="14" t="s">
        <v>153</v>
      </c>
      <c r="J209" s="14" t="s">
        <v>152</v>
      </c>
      <c r="K209" s="14" t="s">
        <v>494</v>
      </c>
      <c r="L209" s="14" t="s">
        <v>2160</v>
      </c>
      <c r="M209" s="14" t="s">
        <v>3593</v>
      </c>
      <c r="N209" s="14" t="s">
        <v>2160</v>
      </c>
      <c r="O209" s="14" t="s">
        <v>3594</v>
      </c>
      <c r="P209" s="14" t="s">
        <v>3595</v>
      </c>
      <c r="Q209" s="14" t="s">
        <v>3693</v>
      </c>
      <c r="R209" s="14" t="s">
        <v>1383</v>
      </c>
      <c r="S209" s="14" t="s">
        <v>3694</v>
      </c>
      <c r="T209" s="14"/>
    </row>
    <row r="210" spans="1:20">
      <c r="A210" s="14" t="s">
        <v>3695</v>
      </c>
      <c r="B210" s="14" t="s">
        <v>3696</v>
      </c>
      <c r="C210" s="14" t="s">
        <v>755</v>
      </c>
      <c r="D210" s="14" t="s">
        <v>3697</v>
      </c>
      <c r="E210" s="14" t="s">
        <v>3678</v>
      </c>
      <c r="F210" s="14" t="s">
        <v>3679</v>
      </c>
      <c r="G210" s="14" t="s">
        <v>3698</v>
      </c>
      <c r="H210" s="14" t="s">
        <v>259</v>
      </c>
      <c r="I210" s="14" t="s">
        <v>254</v>
      </c>
      <c r="J210" s="14" t="s">
        <v>178</v>
      </c>
      <c r="K210" s="14" t="s">
        <v>178</v>
      </c>
      <c r="L210" s="14" t="s">
        <v>2160</v>
      </c>
      <c r="M210" s="14" t="s">
        <v>3593</v>
      </c>
      <c r="N210" s="14" t="s">
        <v>2559</v>
      </c>
      <c r="O210" s="14" t="s">
        <v>3594</v>
      </c>
      <c r="P210" s="14" t="s">
        <v>3595</v>
      </c>
      <c r="Q210" s="14" t="s">
        <v>3699</v>
      </c>
      <c r="R210" s="14" t="s">
        <v>1383</v>
      </c>
      <c r="S210" s="14" t="s">
        <v>3700</v>
      </c>
      <c r="T210" s="14"/>
    </row>
    <row r="211" spans="1:20">
      <c r="A211" s="14" t="s">
        <v>3701</v>
      </c>
      <c r="B211" s="14" t="s">
        <v>3702</v>
      </c>
      <c r="C211" s="14" t="s">
        <v>755</v>
      </c>
      <c r="D211" s="14" t="s">
        <v>3703</v>
      </c>
      <c r="E211" s="14" t="s">
        <v>3678</v>
      </c>
      <c r="F211" s="14" t="s">
        <v>3679</v>
      </c>
      <c r="G211" s="14" t="s">
        <v>3704</v>
      </c>
      <c r="H211" s="14" t="s">
        <v>219</v>
      </c>
      <c r="I211" s="14" t="s">
        <v>217</v>
      </c>
      <c r="J211" s="14" t="s">
        <v>307</v>
      </c>
      <c r="K211" s="14" t="s">
        <v>307</v>
      </c>
      <c r="L211" s="14" t="s">
        <v>2160</v>
      </c>
      <c r="M211" s="14" t="s">
        <v>3593</v>
      </c>
      <c r="N211" s="14" t="s">
        <v>2593</v>
      </c>
      <c r="O211" s="14" t="s">
        <v>3594</v>
      </c>
      <c r="P211" s="14" t="s">
        <v>3595</v>
      </c>
      <c r="Q211" s="14" t="s">
        <v>3705</v>
      </c>
      <c r="R211" s="14" t="s">
        <v>1383</v>
      </c>
      <c r="S211" s="14" t="s">
        <v>3706</v>
      </c>
      <c r="T211" s="14"/>
    </row>
    <row r="212" spans="1:20">
      <c r="A212" s="14" t="s">
        <v>3707</v>
      </c>
      <c r="B212" s="14" t="s">
        <v>3708</v>
      </c>
      <c r="C212" s="14" t="s">
        <v>755</v>
      </c>
      <c r="D212" s="14" t="s">
        <v>3709</v>
      </c>
      <c r="E212" s="14" t="s">
        <v>3678</v>
      </c>
      <c r="F212" s="14" t="s">
        <v>3679</v>
      </c>
      <c r="G212" s="14" t="s">
        <v>3710</v>
      </c>
      <c r="H212" s="14" t="s">
        <v>197</v>
      </c>
      <c r="I212" s="14" t="s">
        <v>196</v>
      </c>
      <c r="J212" s="14" t="s">
        <v>491</v>
      </c>
      <c r="K212" s="14" t="s">
        <v>491</v>
      </c>
      <c r="L212" s="14" t="s">
        <v>2160</v>
      </c>
      <c r="M212" s="14" t="s">
        <v>3593</v>
      </c>
      <c r="N212" s="14" t="s">
        <v>2621</v>
      </c>
      <c r="O212" s="14" t="s">
        <v>3594</v>
      </c>
      <c r="P212" s="14" t="s">
        <v>3595</v>
      </c>
      <c r="Q212" s="14" t="s">
        <v>3711</v>
      </c>
      <c r="R212" s="14" t="s">
        <v>1383</v>
      </c>
      <c r="S212" s="14" t="s">
        <v>3712</v>
      </c>
      <c r="T212" s="14"/>
    </row>
    <row r="213" spans="1:20">
      <c r="A213" s="14" t="s">
        <v>3713</v>
      </c>
      <c r="B213" s="14" t="s">
        <v>3714</v>
      </c>
      <c r="C213" s="14" t="s">
        <v>755</v>
      </c>
      <c r="D213" s="14" t="s">
        <v>3715</v>
      </c>
      <c r="E213" s="14" t="s">
        <v>3678</v>
      </c>
      <c r="F213" s="14" t="s">
        <v>3679</v>
      </c>
      <c r="G213" s="14" t="s">
        <v>3716</v>
      </c>
      <c r="H213" s="14" t="s">
        <v>190</v>
      </c>
      <c r="I213" s="14" t="s">
        <v>189</v>
      </c>
      <c r="J213" s="14" t="s">
        <v>75</v>
      </c>
      <c r="K213" s="14" t="s">
        <v>75</v>
      </c>
      <c r="L213" s="14" t="s">
        <v>2160</v>
      </c>
      <c r="M213" s="14" t="s">
        <v>3593</v>
      </c>
      <c r="N213" s="14" t="s">
        <v>2178</v>
      </c>
      <c r="O213" s="14" t="s">
        <v>3594</v>
      </c>
      <c r="P213" s="14" t="s">
        <v>3595</v>
      </c>
      <c r="Q213" s="14" t="s">
        <v>3717</v>
      </c>
      <c r="R213" s="14" t="s">
        <v>1383</v>
      </c>
      <c r="S213" s="14" t="s">
        <v>3718</v>
      </c>
      <c r="T213" s="14"/>
    </row>
    <row r="214" spans="1:20">
      <c r="A214" s="14" t="s">
        <v>3719</v>
      </c>
      <c r="B214" s="14" t="s">
        <v>3720</v>
      </c>
      <c r="C214" s="14" t="s">
        <v>755</v>
      </c>
      <c r="D214" s="14" t="s">
        <v>3721</v>
      </c>
      <c r="E214" s="14" t="s">
        <v>3678</v>
      </c>
      <c r="F214" s="14" t="s">
        <v>3679</v>
      </c>
      <c r="G214" s="14" t="s">
        <v>3722</v>
      </c>
      <c r="H214" s="14" t="s">
        <v>516</v>
      </c>
      <c r="I214" s="14" t="s">
        <v>517</v>
      </c>
      <c r="J214" s="14" t="s">
        <v>178</v>
      </c>
      <c r="K214" s="14" t="s">
        <v>178</v>
      </c>
      <c r="L214" s="14" t="s">
        <v>2160</v>
      </c>
      <c r="M214" s="14" t="s">
        <v>3593</v>
      </c>
      <c r="N214" s="14" t="s">
        <v>2519</v>
      </c>
      <c r="O214" s="14" t="s">
        <v>3594</v>
      </c>
      <c r="P214" s="14" t="s">
        <v>3595</v>
      </c>
      <c r="Q214" s="14" t="s">
        <v>3723</v>
      </c>
      <c r="R214" s="14" t="s">
        <v>1383</v>
      </c>
      <c r="S214" s="14" t="s">
        <v>3724</v>
      </c>
      <c r="T214" s="14"/>
    </row>
    <row r="215" spans="1:20">
      <c r="A215" s="14" t="s">
        <v>3725</v>
      </c>
      <c r="B215" s="14" t="s">
        <v>3726</v>
      </c>
      <c r="C215" s="14" t="s">
        <v>755</v>
      </c>
      <c r="D215" s="14" t="s">
        <v>3727</v>
      </c>
      <c r="E215" s="14" t="s">
        <v>3678</v>
      </c>
      <c r="F215" s="14" t="s">
        <v>3679</v>
      </c>
      <c r="G215" s="14" t="s">
        <v>3728</v>
      </c>
      <c r="H215" s="14" t="s">
        <v>240</v>
      </c>
      <c r="I215" s="14" t="s">
        <v>239</v>
      </c>
      <c r="J215" s="14" t="s">
        <v>75</v>
      </c>
      <c r="K215" s="14" t="s">
        <v>75</v>
      </c>
      <c r="L215" s="14" t="s">
        <v>2160</v>
      </c>
      <c r="M215" s="14" t="s">
        <v>3593</v>
      </c>
      <c r="N215" s="14" t="s">
        <v>2172</v>
      </c>
      <c r="O215" s="14" t="s">
        <v>3594</v>
      </c>
      <c r="P215" s="14" t="s">
        <v>3595</v>
      </c>
      <c r="Q215" s="14" t="s">
        <v>3729</v>
      </c>
      <c r="R215" s="14" t="s">
        <v>1383</v>
      </c>
      <c r="S215" s="14" t="s">
        <v>3730</v>
      </c>
      <c r="T215" s="14"/>
    </row>
    <row r="216" spans="1:20">
      <c r="A216" s="14" t="s">
        <v>3731</v>
      </c>
      <c r="B216" s="14" t="s">
        <v>3732</v>
      </c>
      <c r="C216" s="14" t="s">
        <v>755</v>
      </c>
      <c r="D216" s="14" t="s">
        <v>3733</v>
      </c>
      <c r="E216" s="14" t="s">
        <v>3678</v>
      </c>
      <c r="F216" s="14" t="s">
        <v>3679</v>
      </c>
      <c r="G216" s="14" t="s">
        <v>3734</v>
      </c>
      <c r="H216" s="14"/>
      <c r="I216" s="14" t="s">
        <v>685</v>
      </c>
      <c r="J216" s="14" t="s">
        <v>129</v>
      </c>
      <c r="K216" s="14"/>
      <c r="L216" s="14" t="s">
        <v>2160</v>
      </c>
      <c r="M216" s="14" t="s">
        <v>3593</v>
      </c>
      <c r="N216" s="14" t="s">
        <v>1995</v>
      </c>
      <c r="O216" s="14" t="s">
        <v>3594</v>
      </c>
      <c r="P216" s="14" t="s">
        <v>3595</v>
      </c>
      <c r="Q216" s="14" t="s">
        <v>3735</v>
      </c>
      <c r="R216" s="14" t="s">
        <v>1383</v>
      </c>
      <c r="S216" s="14" t="s">
        <v>3736</v>
      </c>
      <c r="T216" s="14"/>
    </row>
    <row r="217" spans="1:20">
      <c r="A217" s="14" t="s">
        <v>3737</v>
      </c>
      <c r="B217" s="14" t="s">
        <v>3738</v>
      </c>
      <c r="C217" s="14" t="s">
        <v>755</v>
      </c>
      <c r="D217" s="14" t="s">
        <v>3739</v>
      </c>
      <c r="E217" s="14" t="s">
        <v>3678</v>
      </c>
      <c r="F217" s="14" t="s">
        <v>1808</v>
      </c>
      <c r="G217" s="14" t="s">
        <v>3740</v>
      </c>
      <c r="H217" s="14" t="s">
        <v>233</v>
      </c>
      <c r="I217" s="14" t="s">
        <v>231</v>
      </c>
      <c r="J217" s="14" t="s">
        <v>103</v>
      </c>
      <c r="K217" s="14" t="s">
        <v>103</v>
      </c>
      <c r="L217" s="14" t="s">
        <v>2160</v>
      </c>
      <c r="M217" s="14" t="s">
        <v>3593</v>
      </c>
      <c r="N217" s="14" t="s">
        <v>1696</v>
      </c>
      <c r="O217" s="14" t="s">
        <v>3594</v>
      </c>
      <c r="P217" s="14" t="s">
        <v>3595</v>
      </c>
      <c r="Q217" s="14" t="s">
        <v>3741</v>
      </c>
      <c r="R217" s="14" t="s">
        <v>1383</v>
      </c>
      <c r="S217" s="14" t="s">
        <v>3742</v>
      </c>
      <c r="T217" s="14"/>
    </row>
    <row r="218" spans="1:20">
      <c r="A218" s="14" t="s">
        <v>3743</v>
      </c>
      <c r="B218" s="14" t="s">
        <v>3744</v>
      </c>
      <c r="C218" s="14" t="s">
        <v>755</v>
      </c>
      <c r="D218" s="14" t="s">
        <v>3745</v>
      </c>
      <c r="E218" s="14" t="s">
        <v>3678</v>
      </c>
      <c r="F218" s="14" t="s">
        <v>3679</v>
      </c>
      <c r="G218" s="14" t="s">
        <v>3746</v>
      </c>
      <c r="H218" s="14" t="s">
        <v>280</v>
      </c>
      <c r="I218" s="14" t="s">
        <v>278</v>
      </c>
      <c r="J218" s="14" t="s">
        <v>129</v>
      </c>
      <c r="K218" s="14" t="s">
        <v>129</v>
      </c>
      <c r="L218" s="14" t="s">
        <v>2160</v>
      </c>
      <c r="M218" s="14" t="s">
        <v>3593</v>
      </c>
      <c r="N218" s="14" t="s">
        <v>1666</v>
      </c>
      <c r="O218" s="14" t="s">
        <v>3594</v>
      </c>
      <c r="P218" s="14" t="s">
        <v>3595</v>
      </c>
      <c r="Q218" s="14" t="s">
        <v>3747</v>
      </c>
      <c r="R218" s="14" t="s">
        <v>1383</v>
      </c>
      <c r="S218" s="14" t="s">
        <v>3748</v>
      </c>
      <c r="T218" s="14"/>
    </row>
    <row r="219" spans="1:20">
      <c r="A219" s="14" t="s">
        <v>3749</v>
      </c>
      <c r="B219" s="14" t="s">
        <v>3750</v>
      </c>
      <c r="C219" s="14" t="s">
        <v>755</v>
      </c>
      <c r="D219" s="14" t="s">
        <v>3751</v>
      </c>
      <c r="E219" s="14" t="s">
        <v>3678</v>
      </c>
      <c r="F219" s="14" t="s">
        <v>3679</v>
      </c>
      <c r="G219" s="14" t="s">
        <v>3752</v>
      </c>
      <c r="H219" s="14"/>
      <c r="I219" s="14" t="s">
        <v>288</v>
      </c>
      <c r="J219" s="14" t="s">
        <v>178</v>
      </c>
      <c r="K219" s="14"/>
      <c r="L219" s="14" t="s">
        <v>2160</v>
      </c>
      <c r="M219" s="14" t="s">
        <v>3593</v>
      </c>
      <c r="N219" s="14" t="s">
        <v>2626</v>
      </c>
      <c r="O219" s="14" t="s">
        <v>3594</v>
      </c>
      <c r="P219" s="14" t="s">
        <v>3595</v>
      </c>
      <c r="Q219" s="14" t="s">
        <v>3753</v>
      </c>
      <c r="R219" s="14" t="s">
        <v>1383</v>
      </c>
      <c r="S219" s="14" t="s">
        <v>3754</v>
      </c>
      <c r="T219" s="14"/>
    </row>
    <row r="220" spans="1:20">
      <c r="A220" s="14" t="s">
        <v>3755</v>
      </c>
      <c r="B220" s="14" t="s">
        <v>3756</v>
      </c>
      <c r="C220" s="14" t="s">
        <v>755</v>
      </c>
      <c r="D220" s="14" t="s">
        <v>3757</v>
      </c>
      <c r="E220" s="14" t="s">
        <v>3678</v>
      </c>
      <c r="F220" s="14" t="s">
        <v>3679</v>
      </c>
      <c r="G220" s="14" t="s">
        <v>3758</v>
      </c>
      <c r="H220" s="14" t="s">
        <v>309</v>
      </c>
      <c r="I220" s="14" t="s">
        <v>306</v>
      </c>
      <c r="J220" s="14" t="s">
        <v>222</v>
      </c>
      <c r="K220" s="14" t="s">
        <v>222</v>
      </c>
      <c r="L220" s="14" t="s">
        <v>2160</v>
      </c>
      <c r="M220" s="14" t="s">
        <v>3593</v>
      </c>
      <c r="N220" s="14" t="s">
        <v>2505</v>
      </c>
      <c r="O220" s="14" t="s">
        <v>3594</v>
      </c>
      <c r="P220" s="14" t="s">
        <v>3595</v>
      </c>
      <c r="Q220" s="14" t="s">
        <v>3759</v>
      </c>
      <c r="R220" s="14" t="s">
        <v>1383</v>
      </c>
      <c r="S220" s="14" t="s">
        <v>3760</v>
      </c>
      <c r="T220" s="14"/>
    </row>
    <row r="221" spans="1:20">
      <c r="A221" s="14" t="s">
        <v>3761</v>
      </c>
      <c r="B221" s="14" t="s">
        <v>3762</v>
      </c>
      <c r="C221" s="14" t="s">
        <v>755</v>
      </c>
      <c r="D221" s="14" t="s">
        <v>3763</v>
      </c>
      <c r="E221" s="14" t="s">
        <v>3678</v>
      </c>
      <c r="F221" s="14" t="s">
        <v>3679</v>
      </c>
      <c r="G221" s="14" t="s">
        <v>3764</v>
      </c>
      <c r="H221" s="14" t="s">
        <v>313</v>
      </c>
      <c r="I221" s="14" t="s">
        <v>312</v>
      </c>
      <c r="J221" s="14" t="s">
        <v>234</v>
      </c>
      <c r="K221" s="14" t="s">
        <v>234</v>
      </c>
      <c r="L221" s="14" t="s">
        <v>2160</v>
      </c>
      <c r="M221" s="14" t="s">
        <v>3593</v>
      </c>
      <c r="N221" s="14" t="s">
        <v>2264</v>
      </c>
      <c r="O221" s="14" t="s">
        <v>3594</v>
      </c>
      <c r="P221" s="14" t="s">
        <v>3595</v>
      </c>
      <c r="Q221" s="14" t="s">
        <v>3765</v>
      </c>
      <c r="R221" s="14" t="s">
        <v>1383</v>
      </c>
      <c r="S221" s="14" t="s">
        <v>3766</v>
      </c>
      <c r="T221" s="14"/>
    </row>
    <row r="222" spans="1:20">
      <c r="A222" s="14" t="s">
        <v>3767</v>
      </c>
      <c r="B222" s="14" t="s">
        <v>3768</v>
      </c>
      <c r="C222" s="14" t="s">
        <v>755</v>
      </c>
      <c r="D222" s="14" t="s">
        <v>3769</v>
      </c>
      <c r="E222" s="14" t="s">
        <v>3678</v>
      </c>
      <c r="F222" s="14" t="s">
        <v>3679</v>
      </c>
      <c r="G222" s="14" t="s">
        <v>173</v>
      </c>
      <c r="H222" s="14" t="s">
        <v>173</v>
      </c>
      <c r="I222" s="14"/>
      <c r="J222" s="14" t="s">
        <v>75</v>
      </c>
      <c r="K222" s="14" t="s">
        <v>75</v>
      </c>
      <c r="L222" s="14" t="s">
        <v>2160</v>
      </c>
      <c r="M222" s="14" t="s">
        <v>3593</v>
      </c>
      <c r="N222" s="14" t="s">
        <v>2184</v>
      </c>
      <c r="O222" s="14" t="s">
        <v>3594</v>
      </c>
      <c r="P222" s="14" t="s">
        <v>3595</v>
      </c>
      <c r="Q222" s="14" t="s">
        <v>3770</v>
      </c>
      <c r="R222" s="14" t="s">
        <v>1383</v>
      </c>
      <c r="S222" s="14" t="s">
        <v>3771</v>
      </c>
      <c r="T222" s="14"/>
    </row>
    <row r="223" spans="1:20">
      <c r="A223" s="14" t="s">
        <v>3772</v>
      </c>
      <c r="B223" s="14" t="s">
        <v>3773</v>
      </c>
      <c r="C223" s="14" t="s">
        <v>755</v>
      </c>
      <c r="D223" s="14" t="s">
        <v>3774</v>
      </c>
      <c r="E223" s="14" t="s">
        <v>3775</v>
      </c>
      <c r="F223" s="14" t="s">
        <v>3776</v>
      </c>
      <c r="G223" s="14" t="s">
        <v>3777</v>
      </c>
      <c r="H223" s="14" t="s">
        <v>3778</v>
      </c>
      <c r="I223" s="14" t="s">
        <v>250</v>
      </c>
      <c r="J223" s="14" t="s">
        <v>178</v>
      </c>
      <c r="K223" s="14" t="s">
        <v>178</v>
      </c>
      <c r="L223" s="14" t="s">
        <v>2160</v>
      </c>
      <c r="M223" s="14" t="s">
        <v>2497</v>
      </c>
      <c r="N223" s="14" t="s">
        <v>2189</v>
      </c>
      <c r="O223" s="14" t="s">
        <v>3320</v>
      </c>
      <c r="P223" s="14" t="s">
        <v>3365</v>
      </c>
      <c r="Q223" s="14"/>
      <c r="R223" s="14" t="s">
        <v>1383</v>
      </c>
      <c r="S223" s="14" t="s">
        <v>3779</v>
      </c>
      <c r="T223" s="14" t="s">
        <v>3780</v>
      </c>
    </row>
    <row r="224" spans="1:20">
      <c r="A224" s="14" t="s">
        <v>3781</v>
      </c>
      <c r="B224" s="14" t="s">
        <v>3782</v>
      </c>
      <c r="C224" s="14" t="s">
        <v>755</v>
      </c>
      <c r="D224" s="14" t="s">
        <v>3783</v>
      </c>
      <c r="E224" s="14" t="s">
        <v>1324</v>
      </c>
      <c r="F224" s="14" t="s">
        <v>3784</v>
      </c>
      <c r="G224" s="14" t="s">
        <v>339</v>
      </c>
      <c r="H224" s="14" t="s">
        <v>339</v>
      </c>
      <c r="I224" s="14" t="s">
        <v>342</v>
      </c>
      <c r="J224" s="14" t="s">
        <v>340</v>
      </c>
      <c r="K224" s="14" t="s">
        <v>340</v>
      </c>
      <c r="L224" s="14" t="s">
        <v>2160</v>
      </c>
      <c r="M224" s="14" t="s">
        <v>2659</v>
      </c>
      <c r="N224" s="14" t="s">
        <v>2565</v>
      </c>
      <c r="O224" s="14" t="s">
        <v>3320</v>
      </c>
      <c r="P224" s="14" t="s">
        <v>3321</v>
      </c>
      <c r="Q224" s="14"/>
      <c r="R224" s="14" t="s">
        <v>1383</v>
      </c>
      <c r="S224" s="14" t="s">
        <v>3785</v>
      </c>
      <c r="T224" s="14" t="s">
        <v>3786</v>
      </c>
    </row>
    <row r="225" spans="1:20">
      <c r="A225" s="14" t="s">
        <v>3787</v>
      </c>
      <c r="B225" s="14" t="s">
        <v>3788</v>
      </c>
      <c r="C225" s="14" t="s">
        <v>755</v>
      </c>
      <c r="D225" s="14" t="s">
        <v>3789</v>
      </c>
      <c r="E225" s="14" t="s">
        <v>1324</v>
      </c>
      <c r="F225" s="14" t="s">
        <v>3784</v>
      </c>
      <c r="G225" s="14" t="s">
        <v>476</v>
      </c>
      <c r="H225" s="14" t="s">
        <v>476</v>
      </c>
      <c r="I225" s="14" t="s">
        <v>479</v>
      </c>
      <c r="J225" s="14" t="s">
        <v>2658</v>
      </c>
      <c r="K225" s="14" t="s">
        <v>477</v>
      </c>
      <c r="L225" s="14" t="s">
        <v>2160</v>
      </c>
      <c r="M225" s="14" t="s">
        <v>2670</v>
      </c>
      <c r="N225" s="14" t="s">
        <v>2184</v>
      </c>
      <c r="O225" s="14" t="s">
        <v>3790</v>
      </c>
      <c r="P225" s="14" t="s">
        <v>3301</v>
      </c>
      <c r="Q225" s="14"/>
      <c r="R225" s="14" t="s">
        <v>1383</v>
      </c>
      <c r="S225" s="14" t="s">
        <v>3791</v>
      </c>
      <c r="T225" s="14" t="s">
        <v>3792</v>
      </c>
    </row>
    <row r="226" spans="1:20">
      <c r="A226" s="14" t="s">
        <v>3793</v>
      </c>
      <c r="B226" s="14" t="s">
        <v>3794</v>
      </c>
      <c r="C226" s="14" t="s">
        <v>755</v>
      </c>
      <c r="D226" s="14" t="s">
        <v>3795</v>
      </c>
      <c r="E226" s="14" t="s">
        <v>1324</v>
      </c>
      <c r="F226" s="14" t="s">
        <v>3784</v>
      </c>
      <c r="G226" s="14" t="s">
        <v>622</v>
      </c>
      <c r="H226" s="14" t="s">
        <v>622</v>
      </c>
      <c r="I226" s="14" t="s">
        <v>624</v>
      </c>
      <c r="J226" s="14" t="s">
        <v>623</v>
      </c>
      <c r="K226" s="14" t="s">
        <v>623</v>
      </c>
      <c r="L226" s="14" t="s">
        <v>2160</v>
      </c>
      <c r="M226" s="14" t="s">
        <v>2678</v>
      </c>
      <c r="N226" s="14" t="s">
        <v>2559</v>
      </c>
      <c r="O226" s="14" t="s">
        <v>3320</v>
      </c>
      <c r="P226" s="14" t="s">
        <v>3321</v>
      </c>
      <c r="Q226" s="14"/>
      <c r="R226" s="14" t="s">
        <v>1383</v>
      </c>
      <c r="S226" s="14" t="s">
        <v>3796</v>
      </c>
      <c r="T226" s="14" t="s">
        <v>3797</v>
      </c>
    </row>
    <row r="227" spans="1:20">
      <c r="A227" s="14" t="s">
        <v>3798</v>
      </c>
      <c r="B227" s="14" t="s">
        <v>3799</v>
      </c>
      <c r="C227" s="14" t="s">
        <v>755</v>
      </c>
      <c r="D227" s="14" t="s">
        <v>3800</v>
      </c>
      <c r="E227" s="14" t="s">
        <v>1324</v>
      </c>
      <c r="F227" s="14" t="s">
        <v>3784</v>
      </c>
      <c r="G227" s="14" t="s">
        <v>283</v>
      </c>
      <c r="H227" s="14" t="s">
        <v>283</v>
      </c>
      <c r="I227" s="14" t="s">
        <v>416</v>
      </c>
      <c r="J227" s="14" t="s">
        <v>3801</v>
      </c>
      <c r="K227" s="14" t="s">
        <v>410</v>
      </c>
      <c r="L227" s="14" t="s">
        <v>2160</v>
      </c>
      <c r="M227" s="14" t="s">
        <v>2533</v>
      </c>
      <c r="N227" s="14" t="s">
        <v>2647</v>
      </c>
      <c r="O227" s="14" t="s">
        <v>3300</v>
      </c>
      <c r="P227" s="14" t="s">
        <v>3301</v>
      </c>
      <c r="Q227" s="14"/>
      <c r="R227" s="14" t="s">
        <v>1383</v>
      </c>
      <c r="S227" s="14" t="s">
        <v>3802</v>
      </c>
      <c r="T227" s="14" t="s">
        <v>3803</v>
      </c>
    </row>
    <row r="228" spans="1:20">
      <c r="A228" s="14" t="s">
        <v>3804</v>
      </c>
      <c r="B228" s="14" t="s">
        <v>3805</v>
      </c>
      <c r="C228" s="14" t="s">
        <v>755</v>
      </c>
      <c r="D228" s="14" t="s">
        <v>3806</v>
      </c>
      <c r="E228" s="14" t="s">
        <v>3807</v>
      </c>
      <c r="F228" s="14" t="s">
        <v>3808</v>
      </c>
      <c r="G228" s="14" t="s">
        <v>3809</v>
      </c>
      <c r="H228" s="14" t="s">
        <v>3810</v>
      </c>
      <c r="I228" s="14" t="s">
        <v>235</v>
      </c>
      <c r="J228" s="14" t="s">
        <v>103</v>
      </c>
      <c r="K228" s="14" t="s">
        <v>103</v>
      </c>
      <c r="L228" s="14" t="s">
        <v>2160</v>
      </c>
      <c r="M228" s="14" t="s">
        <v>3299</v>
      </c>
      <c r="N228" s="14" t="s">
        <v>2621</v>
      </c>
      <c r="O228" s="14" t="s">
        <v>3300</v>
      </c>
      <c r="P228" s="14" t="s">
        <v>3301</v>
      </c>
      <c r="Q228" s="14"/>
      <c r="R228" s="14" t="s">
        <v>1383</v>
      </c>
      <c r="S228" s="14" t="s">
        <v>3811</v>
      </c>
      <c r="T228" s="14" t="s">
        <v>3812</v>
      </c>
    </row>
    <row r="229" spans="1:20">
      <c r="A229" s="14" t="s">
        <v>3813</v>
      </c>
      <c r="B229" s="14" t="s">
        <v>3814</v>
      </c>
      <c r="C229" s="14" t="s">
        <v>755</v>
      </c>
      <c r="D229" s="14" t="s">
        <v>3815</v>
      </c>
      <c r="E229" s="14" t="s">
        <v>3807</v>
      </c>
      <c r="F229" s="14" t="s">
        <v>3808</v>
      </c>
      <c r="G229" s="14" t="s">
        <v>3816</v>
      </c>
      <c r="H229" s="14" t="s">
        <v>3817</v>
      </c>
      <c r="I229" s="14" t="s">
        <v>223</v>
      </c>
      <c r="J229" s="14" t="s">
        <v>222</v>
      </c>
      <c r="K229" s="14" t="s">
        <v>222</v>
      </c>
      <c r="L229" s="14" t="s">
        <v>2160</v>
      </c>
      <c r="M229" s="14" t="s">
        <v>3299</v>
      </c>
      <c r="N229" s="14" t="s">
        <v>2626</v>
      </c>
      <c r="O229" s="14" t="s">
        <v>3300</v>
      </c>
      <c r="P229" s="14" t="s">
        <v>3301</v>
      </c>
      <c r="Q229" s="14"/>
      <c r="R229" s="14" t="s">
        <v>1383</v>
      </c>
      <c r="S229" s="14" t="s">
        <v>3818</v>
      </c>
      <c r="T229" s="14" t="s">
        <v>3819</v>
      </c>
    </row>
    <row r="230" spans="1:20">
      <c r="A230" s="14" t="s">
        <v>3820</v>
      </c>
      <c r="B230" s="14" t="s">
        <v>3821</v>
      </c>
      <c r="C230" s="14" t="s">
        <v>755</v>
      </c>
      <c r="D230" s="14" t="s">
        <v>3822</v>
      </c>
      <c r="E230" s="14" t="s">
        <v>1324</v>
      </c>
      <c r="F230" s="14" t="s">
        <v>3784</v>
      </c>
      <c r="G230" s="14" t="s">
        <v>321</v>
      </c>
      <c r="H230" s="14" t="s">
        <v>321</v>
      </c>
      <c r="I230" s="14" t="s">
        <v>323</v>
      </c>
      <c r="J230" s="14" t="s">
        <v>322</v>
      </c>
      <c r="K230" s="14" t="s">
        <v>322</v>
      </c>
      <c r="L230" s="14" t="s">
        <v>2160</v>
      </c>
      <c r="M230" s="14" t="s">
        <v>2773</v>
      </c>
      <c r="N230" s="14" t="s">
        <v>2184</v>
      </c>
      <c r="O230" s="14" t="s">
        <v>3332</v>
      </c>
      <c r="P230" s="14" t="s">
        <v>3301</v>
      </c>
      <c r="Q230" s="14"/>
      <c r="R230" s="14" t="s">
        <v>1383</v>
      </c>
      <c r="S230" s="14" t="s">
        <v>3823</v>
      </c>
      <c r="T230" s="14" t="s">
        <v>3824</v>
      </c>
    </row>
    <row r="231" spans="1:20">
      <c r="A231" s="14" t="s">
        <v>3825</v>
      </c>
      <c r="B231" s="14" t="s">
        <v>3826</v>
      </c>
      <c r="C231" s="14" t="s">
        <v>755</v>
      </c>
      <c r="D231" s="14" t="s">
        <v>3827</v>
      </c>
      <c r="E231" s="14" t="s">
        <v>1381</v>
      </c>
      <c r="F231" s="14" t="s">
        <v>3386</v>
      </c>
      <c r="G231" s="14" t="s">
        <v>82</v>
      </c>
      <c r="H231" s="14" t="s">
        <v>82</v>
      </c>
      <c r="I231" s="14" t="s">
        <v>78</v>
      </c>
      <c r="J231" s="14" t="s">
        <v>75</v>
      </c>
      <c r="K231" s="14" t="s">
        <v>75</v>
      </c>
      <c r="L231" s="14" t="s">
        <v>2160</v>
      </c>
      <c r="M231" s="14" t="s">
        <v>3299</v>
      </c>
      <c r="N231" s="14" t="s">
        <v>2655</v>
      </c>
      <c r="O231" s="14" t="s">
        <v>3300</v>
      </c>
      <c r="P231" s="14" t="s">
        <v>3301</v>
      </c>
      <c r="Q231" s="14"/>
      <c r="R231" s="14" t="s">
        <v>1383</v>
      </c>
      <c r="S231" s="14" t="s">
        <v>3828</v>
      </c>
      <c r="T231" s="14" t="s">
        <v>3829</v>
      </c>
    </row>
    <row r="232" spans="1:20">
      <c r="A232" s="14" t="s">
        <v>3830</v>
      </c>
      <c r="B232" s="14" t="s">
        <v>3831</v>
      </c>
      <c r="C232" s="14" t="s">
        <v>755</v>
      </c>
      <c r="D232" s="14" t="s">
        <v>3832</v>
      </c>
      <c r="E232" s="14" t="s">
        <v>1381</v>
      </c>
      <c r="F232" s="14" t="s">
        <v>3386</v>
      </c>
      <c r="G232" s="14" t="s">
        <v>484</v>
      </c>
      <c r="H232" s="14" t="s">
        <v>484</v>
      </c>
      <c r="I232" s="14" t="s">
        <v>149</v>
      </c>
      <c r="J232" s="14" t="s">
        <v>3833</v>
      </c>
      <c r="K232" s="14" t="s">
        <v>485</v>
      </c>
      <c r="L232" s="14" t="s">
        <v>2160</v>
      </c>
      <c r="M232" s="14" t="s">
        <v>3299</v>
      </c>
      <c r="N232" s="14" t="s">
        <v>2512</v>
      </c>
      <c r="O232" s="14" t="s">
        <v>3300</v>
      </c>
      <c r="P232" s="14" t="s">
        <v>3301</v>
      </c>
      <c r="Q232" s="14"/>
      <c r="R232" s="14" t="s">
        <v>1383</v>
      </c>
      <c r="S232" s="14" t="s">
        <v>3834</v>
      </c>
      <c r="T232" s="14" t="s">
        <v>3835</v>
      </c>
    </row>
    <row r="233" spans="1:20">
      <c r="A233" s="14" t="s">
        <v>3836</v>
      </c>
      <c r="B233" s="14" t="s">
        <v>3837</v>
      </c>
      <c r="C233" s="14" t="s">
        <v>755</v>
      </c>
      <c r="D233" s="14" t="s">
        <v>3838</v>
      </c>
      <c r="E233" s="14" t="s">
        <v>1095</v>
      </c>
      <c r="F233" s="14" t="s">
        <v>3839</v>
      </c>
      <c r="G233" s="14" t="s">
        <v>273</v>
      </c>
      <c r="H233" s="14" t="s">
        <v>273</v>
      </c>
      <c r="I233" s="14" t="s">
        <v>270</v>
      </c>
      <c r="J233" s="14" t="s">
        <v>261</v>
      </c>
      <c r="K233" s="14" t="s">
        <v>261</v>
      </c>
      <c r="L233" s="14" t="s">
        <v>2160</v>
      </c>
      <c r="M233" s="14" t="s">
        <v>3299</v>
      </c>
      <c r="N233" s="14" t="s">
        <v>2616</v>
      </c>
      <c r="O233" s="14" t="s">
        <v>3300</v>
      </c>
      <c r="P233" s="14" t="s">
        <v>3301</v>
      </c>
      <c r="Q233" s="14"/>
      <c r="R233" s="14" t="s">
        <v>1383</v>
      </c>
      <c r="S233" s="14" t="s">
        <v>3840</v>
      </c>
      <c r="T233" s="14" t="s">
        <v>3841</v>
      </c>
    </row>
  </sheetData>
  <pageMargins left="0.3" right="0.3" top="0.4" bottom="0.4"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H20"/>
  <sheetViews>
    <sheetView workbookViewId="0">
      <pane ySplit="1" topLeftCell="A2" activePane="bottomLeft" state="frozen"/>
      <selection activeCell="B3" sqref="B3"/>
      <selection pane="bottomLeft" activeCell="B3" sqref="B3"/>
    </sheetView>
  </sheetViews>
  <sheetFormatPr defaultColWidth="14.44140625" defaultRowHeight="14.4"/>
  <cols>
    <col min="1" max="1" width="4" customWidth="1"/>
    <col min="2" max="2" width="44" customWidth="1"/>
    <col min="3" max="3" width="42" customWidth="1"/>
    <col min="4" max="4" width="34" customWidth="1"/>
    <col min="5" max="5" width="12" customWidth="1"/>
    <col min="6" max="8" width="70" customWidth="1"/>
  </cols>
  <sheetData>
    <row r="1" spans="1:8">
      <c r="A1" s="4" t="s">
        <v>667</v>
      </c>
      <c r="B1" s="4" t="s">
        <v>669</v>
      </c>
      <c r="C1" s="4" t="s">
        <v>3842</v>
      </c>
      <c r="D1" s="4" t="s">
        <v>51</v>
      </c>
      <c r="E1" s="4" t="s">
        <v>665</v>
      </c>
      <c r="F1" s="4" t="s">
        <v>3843</v>
      </c>
      <c r="G1" s="4" t="s">
        <v>3844</v>
      </c>
      <c r="H1" s="4" t="s">
        <v>670</v>
      </c>
    </row>
    <row r="2" spans="1:8">
      <c r="A2" s="14" t="s">
        <v>3845</v>
      </c>
      <c r="B2" s="14" t="s">
        <v>3846</v>
      </c>
      <c r="C2" s="14" t="s">
        <v>3847</v>
      </c>
      <c r="D2" s="14" t="s">
        <v>3848</v>
      </c>
      <c r="E2" s="14" t="s">
        <v>3577</v>
      </c>
      <c r="F2" s="14" t="s">
        <v>3849</v>
      </c>
      <c r="G2" s="14" t="s">
        <v>3850</v>
      </c>
      <c r="H2" s="14" t="s">
        <v>3851</v>
      </c>
    </row>
    <row r="3" spans="1:8">
      <c r="A3" s="14" t="s">
        <v>3852</v>
      </c>
      <c r="B3" s="14" t="s">
        <v>3853</v>
      </c>
      <c r="C3" s="14" t="s">
        <v>3854</v>
      </c>
      <c r="D3" s="14" t="s">
        <v>3855</v>
      </c>
      <c r="E3" s="14" t="s">
        <v>3856</v>
      </c>
      <c r="F3" s="14" t="s">
        <v>3857</v>
      </c>
      <c r="G3" s="14" t="s">
        <v>3858</v>
      </c>
      <c r="H3" s="14" t="s">
        <v>3859</v>
      </c>
    </row>
    <row r="4" spans="1:8">
      <c r="A4" s="14" t="s">
        <v>3860</v>
      </c>
      <c r="B4" s="14" t="s">
        <v>3861</v>
      </c>
      <c r="C4" s="14" t="s">
        <v>3862</v>
      </c>
      <c r="D4" s="14" t="s">
        <v>3863</v>
      </c>
      <c r="E4" s="14" t="s">
        <v>3864</v>
      </c>
      <c r="F4" s="14" t="s">
        <v>3865</v>
      </c>
      <c r="G4" s="14" t="s">
        <v>3866</v>
      </c>
      <c r="H4" s="14" t="s">
        <v>3867</v>
      </c>
    </row>
    <row r="5" spans="1:8">
      <c r="A5" s="14" t="s">
        <v>3868</v>
      </c>
      <c r="B5" s="14" t="s">
        <v>3869</v>
      </c>
      <c r="C5" s="14" t="s">
        <v>3870</v>
      </c>
      <c r="D5" s="14" t="s">
        <v>3871</v>
      </c>
      <c r="E5" s="14" t="s">
        <v>2825</v>
      </c>
      <c r="F5" s="14" t="s">
        <v>3872</v>
      </c>
      <c r="G5" s="14" t="s">
        <v>3873</v>
      </c>
      <c r="H5" s="14" t="s">
        <v>3874</v>
      </c>
    </row>
    <row r="6" spans="1:8">
      <c r="A6" s="14" t="s">
        <v>3875</v>
      </c>
      <c r="B6" s="14" t="s">
        <v>3876</v>
      </c>
      <c r="C6" s="14" t="s">
        <v>3877</v>
      </c>
      <c r="D6" s="14" t="s">
        <v>3878</v>
      </c>
      <c r="E6" s="14" t="s">
        <v>2825</v>
      </c>
      <c r="F6" s="14" t="s">
        <v>3879</v>
      </c>
      <c r="G6" s="14" t="s">
        <v>3880</v>
      </c>
      <c r="H6" s="14" t="s">
        <v>3881</v>
      </c>
    </row>
    <row r="7" spans="1:8">
      <c r="A7" s="14" t="s">
        <v>3882</v>
      </c>
      <c r="B7" s="14" t="s">
        <v>3883</v>
      </c>
      <c r="C7" s="14" t="s">
        <v>3884</v>
      </c>
      <c r="D7" s="14" t="s">
        <v>3885</v>
      </c>
      <c r="E7" s="14" t="s">
        <v>3886</v>
      </c>
      <c r="F7" s="14" t="s">
        <v>3887</v>
      </c>
      <c r="G7" s="14" t="s">
        <v>3888</v>
      </c>
      <c r="H7" s="14" t="s">
        <v>3889</v>
      </c>
    </row>
    <row r="8" spans="1:8">
      <c r="A8" s="14" t="s">
        <v>3890</v>
      </c>
      <c r="B8" s="14" t="s">
        <v>3891</v>
      </c>
      <c r="C8" s="14" t="s">
        <v>3892</v>
      </c>
      <c r="D8" s="14" t="s">
        <v>3855</v>
      </c>
      <c r="E8" s="14" t="s">
        <v>3856</v>
      </c>
      <c r="F8" s="14" t="s">
        <v>3893</v>
      </c>
      <c r="G8" s="14" t="s">
        <v>3894</v>
      </c>
      <c r="H8" s="14" t="s">
        <v>3895</v>
      </c>
    </row>
    <row r="9" spans="1:8">
      <c r="A9" s="14" t="s">
        <v>3896</v>
      </c>
      <c r="B9" s="14" t="s">
        <v>3897</v>
      </c>
      <c r="C9" s="14" t="s">
        <v>3898</v>
      </c>
      <c r="D9" s="14" t="s">
        <v>3899</v>
      </c>
      <c r="E9" s="14" t="s">
        <v>1660</v>
      </c>
      <c r="F9" s="14" t="s">
        <v>3900</v>
      </c>
      <c r="G9" s="14" t="s">
        <v>3901</v>
      </c>
      <c r="H9" s="14" t="s">
        <v>3902</v>
      </c>
    </row>
    <row r="10" spans="1:8">
      <c r="A10" s="14" t="s">
        <v>3903</v>
      </c>
      <c r="B10" s="14" t="s">
        <v>3904</v>
      </c>
      <c r="C10" s="14" t="s">
        <v>3905</v>
      </c>
      <c r="D10" s="14" t="s">
        <v>3906</v>
      </c>
      <c r="E10" s="14" t="s">
        <v>3119</v>
      </c>
      <c r="F10" s="14" t="s">
        <v>3907</v>
      </c>
      <c r="G10" s="14" t="s">
        <v>3908</v>
      </c>
      <c r="H10" s="14" t="s">
        <v>3909</v>
      </c>
    </row>
    <row r="11" spans="1:8">
      <c r="A11" s="14" t="s">
        <v>3910</v>
      </c>
      <c r="B11" s="14" t="s">
        <v>3911</v>
      </c>
      <c r="C11" s="14" t="s">
        <v>3912</v>
      </c>
      <c r="D11" s="14" t="s">
        <v>3913</v>
      </c>
      <c r="E11" s="14" t="s">
        <v>1324</v>
      </c>
      <c r="F11" s="14" t="s">
        <v>3914</v>
      </c>
      <c r="G11" s="14" t="s">
        <v>3915</v>
      </c>
      <c r="H11" s="14" t="s">
        <v>3909</v>
      </c>
    </row>
    <row r="12" spans="1:8">
      <c r="A12" s="14" t="s">
        <v>3916</v>
      </c>
      <c r="B12" s="14" t="s">
        <v>3917</v>
      </c>
      <c r="C12" s="14" t="s">
        <v>3918</v>
      </c>
      <c r="D12" s="14" t="s">
        <v>3919</v>
      </c>
      <c r="E12" s="14" t="s">
        <v>1375</v>
      </c>
      <c r="F12" s="14" t="s">
        <v>3920</v>
      </c>
      <c r="G12" s="14" t="s">
        <v>3921</v>
      </c>
      <c r="H12" s="14" t="s">
        <v>3922</v>
      </c>
    </row>
    <row r="13" spans="1:8">
      <c r="A13" s="14" t="s">
        <v>3923</v>
      </c>
      <c r="B13" s="14" t="s">
        <v>3924</v>
      </c>
      <c r="C13" s="14" t="s">
        <v>3925</v>
      </c>
      <c r="D13" s="14" t="s">
        <v>3926</v>
      </c>
      <c r="E13" s="14" t="s">
        <v>3927</v>
      </c>
      <c r="F13" s="14" t="s">
        <v>3928</v>
      </c>
      <c r="G13" s="14" t="s">
        <v>3929</v>
      </c>
      <c r="H13" s="14" t="s">
        <v>3930</v>
      </c>
    </row>
    <row r="14" spans="1:8">
      <c r="A14" s="14" t="s">
        <v>3931</v>
      </c>
      <c r="B14" s="14" t="s">
        <v>3932</v>
      </c>
      <c r="C14" s="14" t="s">
        <v>3933</v>
      </c>
      <c r="D14" s="14" t="s">
        <v>3934</v>
      </c>
      <c r="E14" s="14" t="s">
        <v>1462</v>
      </c>
      <c r="F14" s="14" t="s">
        <v>3935</v>
      </c>
      <c r="G14" s="14" t="s">
        <v>3936</v>
      </c>
      <c r="H14" s="14" t="s">
        <v>3937</v>
      </c>
    </row>
    <row r="15" spans="1:8">
      <c r="A15" s="14" t="s">
        <v>3938</v>
      </c>
      <c r="B15" s="14" t="s">
        <v>3939</v>
      </c>
      <c r="C15" s="14" t="s">
        <v>3940</v>
      </c>
      <c r="D15" s="14" t="s">
        <v>3941</v>
      </c>
      <c r="E15" s="14" t="s">
        <v>3864</v>
      </c>
      <c r="F15" s="14" t="s">
        <v>3942</v>
      </c>
      <c r="G15" s="14" t="s">
        <v>3943</v>
      </c>
      <c r="H15" s="14" t="s">
        <v>3944</v>
      </c>
    </row>
    <row r="16" spans="1:8">
      <c r="A16" s="14" t="s">
        <v>3945</v>
      </c>
      <c r="B16" s="14" t="s">
        <v>3946</v>
      </c>
      <c r="C16" s="14" t="s">
        <v>3947</v>
      </c>
      <c r="D16" s="14" t="s">
        <v>3886</v>
      </c>
      <c r="E16" s="14" t="s">
        <v>3886</v>
      </c>
      <c r="F16" s="14" t="s">
        <v>3948</v>
      </c>
      <c r="G16" s="14" t="s">
        <v>3949</v>
      </c>
      <c r="H16" s="14" t="s">
        <v>3950</v>
      </c>
    </row>
    <row r="17" spans="1:8">
      <c r="A17" s="14" t="s">
        <v>3951</v>
      </c>
      <c r="B17" s="14" t="s">
        <v>3952</v>
      </c>
      <c r="C17" s="14" t="s">
        <v>3953</v>
      </c>
      <c r="D17" s="14" t="s">
        <v>3954</v>
      </c>
      <c r="E17" s="14" t="s">
        <v>3886</v>
      </c>
      <c r="F17" s="14" t="s">
        <v>3955</v>
      </c>
      <c r="G17" s="14" t="s">
        <v>3956</v>
      </c>
      <c r="H17" s="14" t="s">
        <v>3957</v>
      </c>
    </row>
    <row r="18" spans="1:8">
      <c r="A18" s="14" t="s">
        <v>3958</v>
      </c>
      <c r="B18" s="14" t="s">
        <v>3959</v>
      </c>
      <c r="C18" s="14" t="s">
        <v>3960</v>
      </c>
      <c r="D18" s="14" t="s">
        <v>3961</v>
      </c>
      <c r="E18" s="14" t="s">
        <v>3886</v>
      </c>
      <c r="F18" s="14" t="s">
        <v>3962</v>
      </c>
      <c r="G18" s="14" t="s">
        <v>3963</v>
      </c>
      <c r="H18" s="14" t="s">
        <v>3964</v>
      </c>
    </row>
    <row r="19" spans="1:8">
      <c r="A19" s="14" t="s">
        <v>3965</v>
      </c>
      <c r="B19" s="14" t="s">
        <v>3966</v>
      </c>
      <c r="C19" s="14" t="s">
        <v>3967</v>
      </c>
      <c r="D19" s="14" t="s">
        <v>3968</v>
      </c>
      <c r="E19" s="14" t="s">
        <v>3969</v>
      </c>
      <c r="F19" s="14" t="s">
        <v>3970</v>
      </c>
      <c r="G19" s="14" t="s">
        <v>3971</v>
      </c>
      <c r="H19" s="14" t="s">
        <v>3972</v>
      </c>
    </row>
    <row r="20" spans="1:8">
      <c r="A20" s="14" t="s">
        <v>3973</v>
      </c>
      <c r="B20" s="14" t="s">
        <v>3974</v>
      </c>
      <c r="C20" s="14" t="s">
        <v>3975</v>
      </c>
      <c r="D20" s="14" t="s">
        <v>3976</v>
      </c>
      <c r="E20" s="14" t="s">
        <v>86</v>
      </c>
      <c r="F20" s="14" t="s">
        <v>3977</v>
      </c>
      <c r="G20" s="14" t="s">
        <v>3978</v>
      </c>
      <c r="H20" s="14" t="s">
        <v>3979</v>
      </c>
    </row>
  </sheetData>
  <pageMargins left="0.3" right="0.3" top="0.4" bottom="0.4"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Q87"/>
  <sheetViews>
    <sheetView workbookViewId="0">
      <pane ySplit="6" topLeftCell="A46" activePane="bottomLeft" state="frozen"/>
      <selection activeCell="B3" sqref="B3"/>
      <selection pane="bottomLeft" activeCell="B3" sqref="B3"/>
    </sheetView>
  </sheetViews>
  <sheetFormatPr defaultColWidth="14.44140625" defaultRowHeight="14.4"/>
  <cols>
    <col min="1" max="1" width="5" customWidth="1"/>
    <col min="2" max="2" width="16" customWidth="1"/>
    <col min="3" max="3" width="52" customWidth="1"/>
    <col min="4" max="4" width="13" customWidth="1"/>
    <col min="5" max="6" width="16" customWidth="1"/>
    <col min="7" max="7" width="12" customWidth="1"/>
    <col min="8" max="9" width="22" customWidth="1"/>
    <col min="10" max="12" width="12" customWidth="1"/>
    <col min="13" max="13" width="16" customWidth="1"/>
    <col min="14" max="14" width="8" customWidth="1"/>
    <col min="15" max="16" width="12" customWidth="1"/>
    <col min="17" max="17" width="20" customWidth="1"/>
  </cols>
  <sheetData>
    <row r="1" spans="1:17" ht="144">
      <c r="A1" s="4" t="s">
        <v>4094</v>
      </c>
    </row>
    <row r="2" spans="1:17">
      <c r="A2" s="14" t="s">
        <v>4028</v>
      </c>
      <c r="B2" s="14" t="s">
        <v>4095</v>
      </c>
    </row>
    <row r="3" spans="1:17">
      <c r="A3" s="14" t="s">
        <v>4096</v>
      </c>
      <c r="B3" s="14" t="s">
        <v>4097</v>
      </c>
    </row>
    <row r="4" spans="1:17">
      <c r="A4" s="14" t="s">
        <v>4098</v>
      </c>
      <c r="B4" s="14" t="s">
        <v>4099</v>
      </c>
    </row>
    <row r="6" spans="1:17">
      <c r="A6" s="4" t="s">
        <v>667</v>
      </c>
      <c r="B6" s="4" t="s">
        <v>4100</v>
      </c>
      <c r="C6" s="4" t="s">
        <v>2475</v>
      </c>
      <c r="D6" s="4" t="s">
        <v>4101</v>
      </c>
      <c r="E6" s="4" t="s">
        <v>4102</v>
      </c>
      <c r="F6" s="4" t="s">
        <v>2480</v>
      </c>
      <c r="G6" s="4" t="s">
        <v>2481</v>
      </c>
      <c r="H6" s="4" t="s">
        <v>4103</v>
      </c>
      <c r="I6" s="4" t="s">
        <v>4104</v>
      </c>
      <c r="J6" s="4" t="s">
        <v>4105</v>
      </c>
      <c r="K6" s="4" t="s">
        <v>4106</v>
      </c>
      <c r="L6" s="4" t="s">
        <v>4107</v>
      </c>
      <c r="M6" s="4" t="s">
        <v>4108</v>
      </c>
      <c r="N6" s="4" t="s">
        <v>4109</v>
      </c>
      <c r="O6" s="4" t="s">
        <v>4110</v>
      </c>
      <c r="P6" s="4" t="s">
        <v>2190</v>
      </c>
      <c r="Q6" s="4" t="s">
        <v>4111</v>
      </c>
    </row>
    <row r="7" spans="1:17">
      <c r="A7" s="14" t="s">
        <v>2160</v>
      </c>
      <c r="B7" s="14" t="s">
        <v>4112</v>
      </c>
      <c r="C7" s="14" t="s">
        <v>4113</v>
      </c>
      <c r="D7" s="14" t="s">
        <v>4114</v>
      </c>
      <c r="E7" s="14" t="s">
        <v>323</v>
      </c>
      <c r="F7" s="14" t="s">
        <v>321</v>
      </c>
      <c r="G7" s="14" t="s">
        <v>323</v>
      </c>
      <c r="H7" s="14" t="s">
        <v>322</v>
      </c>
      <c r="I7" s="14" t="s">
        <v>322</v>
      </c>
      <c r="J7" s="14" t="s">
        <v>4115</v>
      </c>
      <c r="K7" s="14" t="s">
        <v>4116</v>
      </c>
      <c r="L7" s="14" t="s">
        <v>1808</v>
      </c>
      <c r="M7" s="14" t="s">
        <v>4117</v>
      </c>
      <c r="N7" s="14" t="s">
        <v>4118</v>
      </c>
      <c r="O7" s="14" t="s">
        <v>467</v>
      </c>
      <c r="P7" s="14" t="s">
        <v>467</v>
      </c>
      <c r="Q7" s="14" t="s">
        <v>4119</v>
      </c>
    </row>
    <row r="8" spans="1:17">
      <c r="A8" s="14" t="s">
        <v>1666</v>
      </c>
      <c r="B8" s="14" t="s">
        <v>4120</v>
      </c>
      <c r="C8" s="14" t="s">
        <v>4121</v>
      </c>
      <c r="D8" s="14" t="s">
        <v>4122</v>
      </c>
      <c r="E8" s="14" t="s">
        <v>262</v>
      </c>
      <c r="F8" s="14" t="s">
        <v>263</v>
      </c>
      <c r="G8" s="14" t="s">
        <v>262</v>
      </c>
      <c r="H8" s="14" t="s">
        <v>129</v>
      </c>
      <c r="I8" s="14" t="s">
        <v>129</v>
      </c>
      <c r="J8" s="14" t="s">
        <v>4115</v>
      </c>
      <c r="K8" s="14" t="s">
        <v>4116</v>
      </c>
      <c r="L8" s="14" t="s">
        <v>1808</v>
      </c>
      <c r="M8" s="14" t="s">
        <v>4123</v>
      </c>
      <c r="N8" s="14" t="s">
        <v>4124</v>
      </c>
      <c r="O8" s="14" t="s">
        <v>467</v>
      </c>
      <c r="P8" s="14" t="s">
        <v>467</v>
      </c>
      <c r="Q8" s="14" t="s">
        <v>4125</v>
      </c>
    </row>
    <row r="9" spans="1:17">
      <c r="A9" s="14" t="s">
        <v>2172</v>
      </c>
      <c r="B9" s="14" t="s">
        <v>4126</v>
      </c>
      <c r="C9" s="14" t="s">
        <v>4127</v>
      </c>
      <c r="D9" s="14" t="s">
        <v>4128</v>
      </c>
      <c r="E9" s="14" t="s">
        <v>185</v>
      </c>
      <c r="F9" s="14" t="s">
        <v>187</v>
      </c>
      <c r="G9" s="14" t="s">
        <v>185</v>
      </c>
      <c r="H9" s="14" t="s">
        <v>206</v>
      </c>
      <c r="I9" s="14" t="s">
        <v>75</v>
      </c>
      <c r="J9" s="14" t="s">
        <v>4115</v>
      </c>
      <c r="K9" s="14" t="s">
        <v>4116</v>
      </c>
      <c r="L9" s="14" t="s">
        <v>1808</v>
      </c>
      <c r="M9" s="14" t="s">
        <v>4129</v>
      </c>
      <c r="N9" s="14" t="s">
        <v>4130</v>
      </c>
      <c r="O9" s="14" t="s">
        <v>467</v>
      </c>
      <c r="P9" s="14" t="s">
        <v>467</v>
      </c>
      <c r="Q9" s="14" t="s">
        <v>4131</v>
      </c>
    </row>
    <row r="10" spans="1:17">
      <c r="A10" s="14" t="s">
        <v>2178</v>
      </c>
      <c r="B10" s="14" t="s">
        <v>4132</v>
      </c>
      <c r="C10" s="14" t="s">
        <v>4133</v>
      </c>
      <c r="D10" s="14" t="s">
        <v>4134</v>
      </c>
      <c r="E10" s="14" t="s">
        <v>78</v>
      </c>
      <c r="F10" s="14" t="s">
        <v>82</v>
      </c>
      <c r="G10" s="14" t="s">
        <v>78</v>
      </c>
      <c r="H10" s="14" t="s">
        <v>206</v>
      </c>
      <c r="I10" s="14" t="s">
        <v>75</v>
      </c>
      <c r="J10" s="14" t="s">
        <v>4115</v>
      </c>
      <c r="K10" s="14" t="s">
        <v>4116</v>
      </c>
      <c r="L10" s="14" t="s">
        <v>1808</v>
      </c>
      <c r="M10" s="14" t="s">
        <v>4135</v>
      </c>
      <c r="N10" s="14" t="s">
        <v>4136</v>
      </c>
      <c r="O10" s="14" t="s">
        <v>467</v>
      </c>
      <c r="P10" s="14" t="s">
        <v>467</v>
      </c>
      <c r="Q10" s="14" t="s">
        <v>4137</v>
      </c>
    </row>
    <row r="11" spans="1:17">
      <c r="A11" s="14" t="s">
        <v>2184</v>
      </c>
      <c r="B11" s="14" t="s">
        <v>4138</v>
      </c>
      <c r="C11" s="14" t="s">
        <v>4139</v>
      </c>
      <c r="D11" s="14" t="s">
        <v>4140</v>
      </c>
      <c r="E11" s="14" t="s">
        <v>127</v>
      </c>
      <c r="F11" s="14" t="s">
        <v>137</v>
      </c>
      <c r="G11" s="14" t="s">
        <v>127</v>
      </c>
      <c r="H11" s="14" t="s">
        <v>206</v>
      </c>
      <c r="I11" s="14" t="s">
        <v>75</v>
      </c>
      <c r="J11" s="14" t="s">
        <v>4115</v>
      </c>
      <c r="K11" s="14" t="s">
        <v>4116</v>
      </c>
      <c r="L11" s="14" t="s">
        <v>1808</v>
      </c>
      <c r="M11" s="14" t="s">
        <v>4141</v>
      </c>
      <c r="N11" s="14" t="s">
        <v>4142</v>
      </c>
      <c r="O11" s="14" t="s">
        <v>467</v>
      </c>
      <c r="P11" s="14" t="s">
        <v>467</v>
      </c>
      <c r="Q11" s="14" t="s">
        <v>4143</v>
      </c>
    </row>
    <row r="12" spans="1:17">
      <c r="A12" s="14" t="s">
        <v>2189</v>
      </c>
      <c r="B12" s="14" t="s">
        <v>4144</v>
      </c>
      <c r="C12" s="14" t="s">
        <v>4145</v>
      </c>
      <c r="D12" s="14" t="s">
        <v>4146</v>
      </c>
      <c r="E12" s="14" t="s">
        <v>342</v>
      </c>
      <c r="F12" s="14" t="s">
        <v>339</v>
      </c>
      <c r="G12" s="14" t="s">
        <v>342</v>
      </c>
      <c r="H12" s="14" t="s">
        <v>340</v>
      </c>
      <c r="I12" s="14" t="s">
        <v>340</v>
      </c>
      <c r="J12" s="14" t="s">
        <v>4115</v>
      </c>
      <c r="K12" s="14" t="s">
        <v>4116</v>
      </c>
      <c r="L12" s="14" t="s">
        <v>1808</v>
      </c>
      <c r="M12" s="14" t="s">
        <v>4147</v>
      </c>
      <c r="N12" s="14" t="s">
        <v>4148</v>
      </c>
      <c r="O12" s="14" t="s">
        <v>467</v>
      </c>
      <c r="P12" s="14" t="s">
        <v>467</v>
      </c>
      <c r="Q12" s="14" t="s">
        <v>4149</v>
      </c>
    </row>
    <row r="13" spans="1:17">
      <c r="A13" s="14" t="s">
        <v>2194</v>
      </c>
      <c r="B13" s="14" t="s">
        <v>4150</v>
      </c>
      <c r="C13" s="14" t="s">
        <v>4151</v>
      </c>
      <c r="D13" s="14" t="s">
        <v>4152</v>
      </c>
      <c r="E13" s="14" t="s">
        <v>211</v>
      </c>
      <c r="F13" s="14" t="s">
        <v>212</v>
      </c>
      <c r="G13" s="14" t="s">
        <v>211</v>
      </c>
      <c r="H13" s="14" t="s">
        <v>210</v>
      </c>
      <c r="I13" s="14" t="s">
        <v>4153</v>
      </c>
      <c r="J13" s="14" t="s">
        <v>4115</v>
      </c>
      <c r="K13" s="14" t="s">
        <v>4116</v>
      </c>
      <c r="L13" s="14" t="s">
        <v>1808</v>
      </c>
      <c r="M13" s="14" t="s">
        <v>4154</v>
      </c>
      <c r="N13" s="14" t="s">
        <v>4155</v>
      </c>
      <c r="O13" s="14" t="s">
        <v>467</v>
      </c>
      <c r="P13" s="14" t="s">
        <v>467</v>
      </c>
      <c r="Q13" s="14" t="s">
        <v>4156</v>
      </c>
    </row>
    <row r="14" spans="1:17">
      <c r="A14" s="14" t="s">
        <v>2200</v>
      </c>
      <c r="B14" s="14" t="s">
        <v>4157</v>
      </c>
      <c r="C14" s="14" t="s">
        <v>4158</v>
      </c>
      <c r="D14" s="14" t="s">
        <v>4159</v>
      </c>
      <c r="E14" s="14" t="s">
        <v>182</v>
      </c>
      <c r="F14" s="14" t="s">
        <v>362</v>
      </c>
      <c r="G14" s="14" t="s">
        <v>182</v>
      </c>
      <c r="H14" s="14" t="s">
        <v>183</v>
      </c>
      <c r="I14" s="14" t="s">
        <v>183</v>
      </c>
      <c r="J14" s="14" t="s">
        <v>4115</v>
      </c>
      <c r="K14" s="14" t="s">
        <v>4116</v>
      </c>
      <c r="L14" s="14" t="s">
        <v>1808</v>
      </c>
      <c r="M14" s="14" t="s">
        <v>4160</v>
      </c>
      <c r="N14" s="14" t="s">
        <v>4161</v>
      </c>
      <c r="O14" s="14" t="s">
        <v>467</v>
      </c>
      <c r="P14" s="14" t="s">
        <v>467</v>
      </c>
      <c r="Q14" s="14" t="s">
        <v>4162</v>
      </c>
    </row>
    <row r="15" spans="1:17">
      <c r="A15" s="14" t="s">
        <v>2538</v>
      </c>
      <c r="B15" s="14" t="s">
        <v>4163</v>
      </c>
      <c r="C15" s="14" t="s">
        <v>4164</v>
      </c>
      <c r="D15" s="14" t="s">
        <v>4165</v>
      </c>
      <c r="E15" s="14" t="s">
        <v>265</v>
      </c>
      <c r="F15" s="14" t="s">
        <v>265</v>
      </c>
      <c r="G15" s="14"/>
      <c r="H15" s="14" t="s">
        <v>234</v>
      </c>
      <c r="I15" s="14" t="s">
        <v>234</v>
      </c>
      <c r="J15" s="14" t="s">
        <v>4115</v>
      </c>
      <c r="K15" s="14" t="s">
        <v>4116</v>
      </c>
      <c r="L15" s="14" t="s">
        <v>1808</v>
      </c>
      <c r="M15" s="14" t="s">
        <v>4166</v>
      </c>
      <c r="N15" s="14" t="s">
        <v>4167</v>
      </c>
      <c r="O15" s="14" t="s">
        <v>467</v>
      </c>
      <c r="P15" s="14" t="s">
        <v>467</v>
      </c>
      <c r="Q15" s="14" t="s">
        <v>4168</v>
      </c>
    </row>
    <row r="16" spans="1:17">
      <c r="A16" s="14" t="s">
        <v>585</v>
      </c>
      <c r="B16" s="14" t="s">
        <v>4169</v>
      </c>
      <c r="C16" s="14" t="s">
        <v>4170</v>
      </c>
      <c r="D16" s="14" t="s">
        <v>4171</v>
      </c>
      <c r="E16" s="14" t="s">
        <v>252</v>
      </c>
      <c r="F16" s="14" t="s">
        <v>253</v>
      </c>
      <c r="G16" s="14" t="s">
        <v>252</v>
      </c>
      <c r="H16" s="14" t="s">
        <v>178</v>
      </c>
      <c r="I16" s="14" t="s">
        <v>178</v>
      </c>
      <c r="J16" s="14" t="s">
        <v>4115</v>
      </c>
      <c r="K16" s="14" t="s">
        <v>4116</v>
      </c>
      <c r="L16" s="14" t="s">
        <v>1808</v>
      </c>
      <c r="M16" s="14" t="s">
        <v>633</v>
      </c>
      <c r="N16" s="14" t="s">
        <v>4172</v>
      </c>
      <c r="O16" s="14" t="s">
        <v>467</v>
      </c>
      <c r="P16" s="14" t="s">
        <v>467</v>
      </c>
      <c r="Q16" s="14" t="s">
        <v>4173</v>
      </c>
    </row>
    <row r="17" spans="1:17">
      <c r="A17" s="14" t="s">
        <v>2547</v>
      </c>
      <c r="B17" s="14" t="s">
        <v>4174</v>
      </c>
      <c r="C17" s="14" t="s">
        <v>4175</v>
      </c>
      <c r="D17" s="14" t="s">
        <v>4176</v>
      </c>
      <c r="E17" s="14" t="s">
        <v>292</v>
      </c>
      <c r="F17" s="14" t="s">
        <v>293</v>
      </c>
      <c r="G17" s="14" t="s">
        <v>292</v>
      </c>
      <c r="H17" s="14" t="s">
        <v>178</v>
      </c>
      <c r="I17" s="14" t="s">
        <v>178</v>
      </c>
      <c r="J17" s="14" t="s">
        <v>4115</v>
      </c>
      <c r="K17" s="14" t="s">
        <v>4116</v>
      </c>
      <c r="L17" s="14" t="s">
        <v>1808</v>
      </c>
      <c r="M17" s="14" t="s">
        <v>4177</v>
      </c>
      <c r="N17" s="14" t="s">
        <v>4136</v>
      </c>
      <c r="O17" s="14" t="s">
        <v>467</v>
      </c>
      <c r="P17" s="14" t="s">
        <v>467</v>
      </c>
      <c r="Q17" s="14" t="s">
        <v>4178</v>
      </c>
    </row>
    <row r="18" spans="1:17">
      <c r="A18" s="14" t="s">
        <v>2264</v>
      </c>
      <c r="B18" s="14" t="s">
        <v>4179</v>
      </c>
      <c r="C18" s="14" t="s">
        <v>4180</v>
      </c>
      <c r="D18" s="14" t="s">
        <v>4181</v>
      </c>
      <c r="E18" s="14" t="s">
        <v>243</v>
      </c>
      <c r="F18" s="14" t="s">
        <v>244</v>
      </c>
      <c r="G18" s="14" t="s">
        <v>243</v>
      </c>
      <c r="H18" s="14" t="s">
        <v>178</v>
      </c>
      <c r="I18" s="14" t="s">
        <v>178</v>
      </c>
      <c r="J18" s="14" t="s">
        <v>4115</v>
      </c>
      <c r="K18" s="14" t="s">
        <v>4116</v>
      </c>
      <c r="L18" s="14" t="s">
        <v>1808</v>
      </c>
      <c r="M18" s="14" t="s">
        <v>4182</v>
      </c>
      <c r="N18" s="14" t="s">
        <v>4183</v>
      </c>
      <c r="O18" s="14" t="s">
        <v>467</v>
      </c>
      <c r="P18" s="14" t="s">
        <v>467</v>
      </c>
      <c r="Q18" s="14" t="s">
        <v>4184</v>
      </c>
    </row>
    <row r="19" spans="1:17">
      <c r="A19" s="14" t="s">
        <v>2519</v>
      </c>
      <c r="B19" s="14" t="s">
        <v>4185</v>
      </c>
      <c r="C19" s="14" t="s">
        <v>4186</v>
      </c>
      <c r="D19" s="14" t="s">
        <v>4187</v>
      </c>
      <c r="E19" s="14" t="s">
        <v>179</v>
      </c>
      <c r="F19" s="14" t="s">
        <v>180</v>
      </c>
      <c r="G19" s="14" t="s">
        <v>179</v>
      </c>
      <c r="H19" s="14" t="s">
        <v>178</v>
      </c>
      <c r="I19" s="14" t="s">
        <v>178</v>
      </c>
      <c r="J19" s="14" t="s">
        <v>4115</v>
      </c>
      <c r="K19" s="14" t="s">
        <v>4116</v>
      </c>
      <c r="L19" s="14" t="s">
        <v>1808</v>
      </c>
      <c r="M19" s="14" t="s">
        <v>4188</v>
      </c>
      <c r="N19" s="14" t="s">
        <v>4189</v>
      </c>
      <c r="O19" s="14" t="s">
        <v>467</v>
      </c>
      <c r="P19" s="14" t="s">
        <v>467</v>
      </c>
      <c r="Q19" s="14" t="s">
        <v>4190</v>
      </c>
    </row>
    <row r="20" spans="1:17">
      <c r="A20" s="14" t="s">
        <v>2559</v>
      </c>
      <c r="B20" s="14" t="s">
        <v>4191</v>
      </c>
      <c r="C20" s="14" t="s">
        <v>4192</v>
      </c>
      <c r="D20" s="14" t="s">
        <v>4193</v>
      </c>
      <c r="E20" s="14" t="s">
        <v>416</v>
      </c>
      <c r="F20" s="14" t="s">
        <v>409</v>
      </c>
      <c r="G20" s="14" t="s">
        <v>416</v>
      </c>
      <c r="H20" s="14" t="s">
        <v>410</v>
      </c>
      <c r="I20" s="14" t="s">
        <v>410</v>
      </c>
      <c r="J20" s="14" t="s">
        <v>4115</v>
      </c>
      <c r="K20" s="14" t="s">
        <v>4116</v>
      </c>
      <c r="L20" s="14" t="s">
        <v>1808</v>
      </c>
      <c r="M20" s="14" t="s">
        <v>4194</v>
      </c>
      <c r="N20" s="14" t="s">
        <v>4195</v>
      </c>
      <c r="O20" s="14" t="s">
        <v>467</v>
      </c>
      <c r="P20" s="14" t="s">
        <v>467</v>
      </c>
      <c r="Q20" s="14" t="s">
        <v>4196</v>
      </c>
    </row>
    <row r="21" spans="1:17">
      <c r="A21" s="14" t="s">
        <v>2565</v>
      </c>
      <c r="B21" s="14" t="s">
        <v>4197</v>
      </c>
      <c r="C21" s="14" t="s">
        <v>4198</v>
      </c>
      <c r="D21" s="14" t="s">
        <v>4199</v>
      </c>
      <c r="E21" s="14" t="s">
        <v>270</v>
      </c>
      <c r="F21" s="14" t="s">
        <v>273</v>
      </c>
      <c r="G21" s="14" t="s">
        <v>270</v>
      </c>
      <c r="H21" s="14" t="s">
        <v>261</v>
      </c>
      <c r="I21" s="14" t="s">
        <v>261</v>
      </c>
      <c r="J21" s="14" t="s">
        <v>4115</v>
      </c>
      <c r="K21" s="14" t="s">
        <v>4116</v>
      </c>
      <c r="L21" s="14" t="s">
        <v>1808</v>
      </c>
      <c r="M21" s="14" t="s">
        <v>4200</v>
      </c>
      <c r="N21" s="14" t="s">
        <v>4201</v>
      </c>
      <c r="O21" s="14" t="s">
        <v>467</v>
      </c>
      <c r="P21" s="14" t="s">
        <v>467</v>
      </c>
      <c r="Q21" s="14" t="s">
        <v>4202</v>
      </c>
    </row>
    <row r="22" spans="1:17">
      <c r="A22" s="14" t="s">
        <v>2534</v>
      </c>
      <c r="B22" s="14" t="s">
        <v>4203</v>
      </c>
      <c r="C22" s="14" t="s">
        <v>4204</v>
      </c>
      <c r="D22" s="14" t="s">
        <v>4205</v>
      </c>
      <c r="E22" s="14" t="s">
        <v>431</v>
      </c>
      <c r="F22" s="14" t="s">
        <v>430</v>
      </c>
      <c r="G22" s="14" t="s">
        <v>431</v>
      </c>
      <c r="H22" s="14" t="s">
        <v>331</v>
      </c>
      <c r="I22" s="14" t="s">
        <v>286</v>
      </c>
      <c r="J22" s="14" t="s">
        <v>4115</v>
      </c>
      <c r="K22" s="14" t="s">
        <v>4116</v>
      </c>
      <c r="L22" s="14" t="s">
        <v>1808</v>
      </c>
      <c r="M22" s="14" t="s">
        <v>4206</v>
      </c>
      <c r="N22" s="14" t="s">
        <v>4207</v>
      </c>
      <c r="O22" s="14" t="s">
        <v>467</v>
      </c>
      <c r="P22" s="14" t="s">
        <v>467</v>
      </c>
      <c r="Q22" s="14" t="s">
        <v>4208</v>
      </c>
    </row>
    <row r="23" spans="1:17">
      <c r="A23" s="14" t="s">
        <v>2562</v>
      </c>
      <c r="B23" s="14" t="s">
        <v>4209</v>
      </c>
      <c r="C23" s="14" t="s">
        <v>4210</v>
      </c>
      <c r="D23" s="14" t="s">
        <v>4211</v>
      </c>
      <c r="E23" s="14" t="s">
        <v>437</v>
      </c>
      <c r="F23" s="14" t="s">
        <v>436</v>
      </c>
      <c r="G23" s="14" t="s">
        <v>437</v>
      </c>
      <c r="H23" s="14" t="s">
        <v>331</v>
      </c>
      <c r="I23" s="14" t="s">
        <v>286</v>
      </c>
      <c r="J23" s="14" t="s">
        <v>4115</v>
      </c>
      <c r="K23" s="14" t="s">
        <v>1808</v>
      </c>
      <c r="L23" s="14" t="s">
        <v>3679</v>
      </c>
      <c r="M23" s="14" t="s">
        <v>4212</v>
      </c>
      <c r="N23" s="14" t="s">
        <v>4213</v>
      </c>
      <c r="O23" s="14" t="s">
        <v>467</v>
      </c>
      <c r="P23" s="14" t="s">
        <v>467</v>
      </c>
      <c r="Q23" s="14" t="s">
        <v>4214</v>
      </c>
    </row>
    <row r="24" spans="1:17">
      <c r="A24" s="14" t="s">
        <v>2575</v>
      </c>
      <c r="B24" s="14" t="s">
        <v>4215</v>
      </c>
      <c r="C24" s="14" t="s">
        <v>4216</v>
      </c>
      <c r="D24" s="14" t="s">
        <v>4217</v>
      </c>
      <c r="E24" s="14" t="s">
        <v>445</v>
      </c>
      <c r="F24" s="14" t="s">
        <v>443</v>
      </c>
      <c r="G24" s="14" t="s">
        <v>445</v>
      </c>
      <c r="H24" s="14" t="s">
        <v>331</v>
      </c>
      <c r="I24" s="14" t="s">
        <v>286</v>
      </c>
      <c r="J24" s="14" t="s">
        <v>4115</v>
      </c>
      <c r="K24" s="14" t="s">
        <v>1808</v>
      </c>
      <c r="L24" s="14" t="s">
        <v>3679</v>
      </c>
      <c r="M24" s="14" t="s">
        <v>4218</v>
      </c>
      <c r="N24" s="14" t="s">
        <v>4219</v>
      </c>
      <c r="O24" s="14" t="s">
        <v>467</v>
      </c>
      <c r="P24" s="14" t="s">
        <v>467</v>
      </c>
      <c r="Q24" s="14" t="s">
        <v>4220</v>
      </c>
    </row>
    <row r="25" spans="1:17">
      <c r="A25" s="14" t="s">
        <v>2505</v>
      </c>
      <c r="B25" s="14" t="s">
        <v>4221</v>
      </c>
      <c r="C25" s="14" t="s">
        <v>4222</v>
      </c>
      <c r="D25" s="14" t="s">
        <v>4223</v>
      </c>
      <c r="E25" s="14" t="s">
        <v>357</v>
      </c>
      <c r="F25" s="14" t="s">
        <v>355</v>
      </c>
      <c r="G25" s="14" t="s">
        <v>357</v>
      </c>
      <c r="H25" s="14" t="s">
        <v>359</v>
      </c>
      <c r="I25" s="14" t="s">
        <v>359</v>
      </c>
      <c r="J25" s="14" t="s">
        <v>4115</v>
      </c>
      <c r="K25" s="14" t="s">
        <v>1808</v>
      </c>
      <c r="L25" s="14" t="s">
        <v>3679</v>
      </c>
      <c r="M25" s="14" t="s">
        <v>4224</v>
      </c>
      <c r="N25" s="14" t="s">
        <v>4219</v>
      </c>
      <c r="O25" s="14" t="s">
        <v>467</v>
      </c>
      <c r="P25" s="14" t="s">
        <v>467</v>
      </c>
      <c r="Q25" s="14" t="s">
        <v>4225</v>
      </c>
    </row>
    <row r="26" spans="1:17">
      <c r="A26" s="14" t="s">
        <v>1696</v>
      </c>
      <c r="B26" s="14" t="s">
        <v>4226</v>
      </c>
      <c r="C26" s="14" t="s">
        <v>4227</v>
      </c>
      <c r="D26" s="14" t="s">
        <v>4228</v>
      </c>
      <c r="E26" s="14" t="s">
        <v>223</v>
      </c>
      <c r="F26" s="14" t="s">
        <v>227</v>
      </c>
      <c r="G26" s="14" t="s">
        <v>223</v>
      </c>
      <c r="H26" s="14" t="s">
        <v>222</v>
      </c>
      <c r="I26" s="14" t="s">
        <v>222</v>
      </c>
      <c r="J26" s="14" t="s">
        <v>4115</v>
      </c>
      <c r="K26" s="14" t="s">
        <v>1808</v>
      </c>
      <c r="L26" s="14" t="s">
        <v>3679</v>
      </c>
      <c r="M26" s="14" t="s">
        <v>4229</v>
      </c>
      <c r="N26" s="14" t="s">
        <v>4161</v>
      </c>
      <c r="O26" s="14" t="s">
        <v>467</v>
      </c>
      <c r="P26" s="14" t="s">
        <v>467</v>
      </c>
      <c r="Q26" s="14" t="s">
        <v>4230</v>
      </c>
    </row>
    <row r="27" spans="1:17">
      <c r="A27" s="14" t="s">
        <v>2589</v>
      </c>
      <c r="B27" s="14" t="s">
        <v>4231</v>
      </c>
      <c r="C27" s="14" t="s">
        <v>4232</v>
      </c>
      <c r="D27" s="14" t="s">
        <v>4233</v>
      </c>
      <c r="E27" s="14" t="s">
        <v>302</v>
      </c>
      <c r="F27" s="14" t="s">
        <v>304</v>
      </c>
      <c r="G27" s="14" t="s">
        <v>302</v>
      </c>
      <c r="H27" s="14" t="s">
        <v>103</v>
      </c>
      <c r="I27" s="14" t="s">
        <v>103</v>
      </c>
      <c r="J27" s="14" t="s">
        <v>4115</v>
      </c>
      <c r="K27" s="14" t="s">
        <v>1808</v>
      </c>
      <c r="L27" s="14" t="s">
        <v>3679</v>
      </c>
      <c r="M27" s="14" t="s">
        <v>4234</v>
      </c>
      <c r="N27" s="14" t="s">
        <v>4235</v>
      </c>
      <c r="O27" s="14" t="s">
        <v>467</v>
      </c>
      <c r="P27" s="14" t="s">
        <v>467</v>
      </c>
      <c r="Q27" s="14" t="s">
        <v>4236</v>
      </c>
    </row>
    <row r="28" spans="1:17">
      <c r="A28" s="14" t="s">
        <v>2593</v>
      </c>
      <c r="B28" s="14" t="s">
        <v>4237</v>
      </c>
      <c r="C28" s="14" t="s">
        <v>4238</v>
      </c>
      <c r="D28" s="14" t="s">
        <v>4239</v>
      </c>
      <c r="E28" s="14" t="s">
        <v>109</v>
      </c>
      <c r="F28" s="14" t="s">
        <v>116</v>
      </c>
      <c r="G28" s="14" t="s">
        <v>109</v>
      </c>
      <c r="H28" s="14" t="s">
        <v>103</v>
      </c>
      <c r="I28" s="14" t="s">
        <v>103</v>
      </c>
      <c r="J28" s="14" t="s">
        <v>4115</v>
      </c>
      <c r="K28" s="14" t="s">
        <v>1808</v>
      </c>
      <c r="L28" s="14" t="s">
        <v>3679</v>
      </c>
      <c r="M28" s="14" t="s">
        <v>4240</v>
      </c>
      <c r="N28" s="14" t="s">
        <v>4241</v>
      </c>
      <c r="O28" s="14" t="s">
        <v>467</v>
      </c>
      <c r="P28" s="14" t="s">
        <v>467</v>
      </c>
      <c r="Q28" s="14" t="s">
        <v>4242</v>
      </c>
    </row>
    <row r="29" spans="1:17">
      <c r="A29" s="14" t="s">
        <v>2598</v>
      </c>
      <c r="B29" s="14" t="s">
        <v>4243</v>
      </c>
      <c r="C29" s="14" t="s">
        <v>4244</v>
      </c>
      <c r="D29" s="14" t="s">
        <v>4245</v>
      </c>
      <c r="E29" s="14" t="s">
        <v>235</v>
      </c>
      <c r="F29" s="14" t="s">
        <v>237</v>
      </c>
      <c r="G29" s="14" t="s">
        <v>235</v>
      </c>
      <c r="H29" s="14" t="s">
        <v>103</v>
      </c>
      <c r="I29" s="14" t="s">
        <v>103</v>
      </c>
      <c r="J29" s="14" t="s">
        <v>4115</v>
      </c>
      <c r="K29" s="14" t="s">
        <v>1808</v>
      </c>
      <c r="L29" s="14" t="s">
        <v>3679</v>
      </c>
      <c r="M29" s="14" t="s">
        <v>4246</v>
      </c>
      <c r="N29" s="14" t="s">
        <v>4247</v>
      </c>
      <c r="O29" s="14" t="s">
        <v>467</v>
      </c>
      <c r="P29" s="14" t="s">
        <v>467</v>
      </c>
      <c r="Q29" s="14" t="s">
        <v>4248</v>
      </c>
    </row>
    <row r="30" spans="1:17">
      <c r="A30" s="14" t="s">
        <v>2602</v>
      </c>
      <c r="B30" s="14" t="s">
        <v>4249</v>
      </c>
      <c r="C30" s="14" t="s">
        <v>4250</v>
      </c>
      <c r="D30" s="14" t="s">
        <v>4251</v>
      </c>
      <c r="E30" s="14" t="s">
        <v>474</v>
      </c>
      <c r="F30" s="14" t="s">
        <v>471</v>
      </c>
      <c r="G30" s="14" t="s">
        <v>474</v>
      </c>
      <c r="H30" s="14" t="s">
        <v>307</v>
      </c>
      <c r="I30" s="14" t="s">
        <v>307</v>
      </c>
      <c r="J30" s="14" t="s">
        <v>4115</v>
      </c>
      <c r="K30" s="14" t="s">
        <v>1808</v>
      </c>
      <c r="L30" s="14" t="s">
        <v>3679</v>
      </c>
      <c r="M30" s="14" t="s">
        <v>4252</v>
      </c>
      <c r="N30" s="14" t="s">
        <v>4253</v>
      </c>
      <c r="O30" s="14" t="s">
        <v>467</v>
      </c>
      <c r="P30" s="14" t="s">
        <v>467</v>
      </c>
      <c r="Q30" s="14" t="s">
        <v>4254</v>
      </c>
    </row>
    <row r="31" spans="1:17">
      <c r="A31" s="14" t="s">
        <v>2509</v>
      </c>
      <c r="B31" s="14" t="s">
        <v>4255</v>
      </c>
      <c r="C31" s="14" t="s">
        <v>4256</v>
      </c>
      <c r="D31" s="14" t="s">
        <v>4257</v>
      </c>
      <c r="E31" s="14" t="s">
        <v>479</v>
      </c>
      <c r="F31" s="14" t="s">
        <v>476</v>
      </c>
      <c r="G31" s="14" t="s">
        <v>479</v>
      </c>
      <c r="H31" s="14" t="s">
        <v>477</v>
      </c>
      <c r="I31" s="14" t="s">
        <v>477</v>
      </c>
      <c r="J31" s="14" t="s">
        <v>4115</v>
      </c>
      <c r="K31" s="14" t="s">
        <v>1808</v>
      </c>
      <c r="L31" s="14" t="s">
        <v>3679</v>
      </c>
      <c r="M31" s="14" t="s">
        <v>4258</v>
      </c>
      <c r="N31" s="14" t="s">
        <v>4259</v>
      </c>
      <c r="O31" s="14" t="s">
        <v>467</v>
      </c>
      <c r="P31" s="14" t="s">
        <v>467</v>
      </c>
      <c r="Q31" s="14" t="s">
        <v>4260</v>
      </c>
    </row>
    <row r="32" spans="1:17">
      <c r="A32" s="14" t="s">
        <v>2611</v>
      </c>
      <c r="B32" s="14" t="s">
        <v>4261</v>
      </c>
      <c r="C32" s="14" t="s">
        <v>4262</v>
      </c>
      <c r="D32" s="14" t="s">
        <v>4263</v>
      </c>
      <c r="E32" s="14" t="s">
        <v>482</v>
      </c>
      <c r="F32" s="14" t="s">
        <v>481</v>
      </c>
      <c r="G32" s="14" t="s">
        <v>482</v>
      </c>
      <c r="H32" s="14" t="s">
        <v>315</v>
      </c>
      <c r="I32" s="14" t="s">
        <v>315</v>
      </c>
      <c r="J32" s="14" t="s">
        <v>4115</v>
      </c>
      <c r="K32" s="14" t="s">
        <v>1808</v>
      </c>
      <c r="L32" s="14" t="s">
        <v>3679</v>
      </c>
      <c r="M32" s="14" t="s">
        <v>4264</v>
      </c>
      <c r="N32" s="14" t="s">
        <v>4201</v>
      </c>
      <c r="O32" s="14" t="s">
        <v>467</v>
      </c>
      <c r="P32" s="14" t="s">
        <v>467</v>
      </c>
      <c r="Q32" s="14" t="s">
        <v>4265</v>
      </c>
    </row>
    <row r="33" spans="1:17">
      <c r="A33" s="14" t="s">
        <v>2616</v>
      </c>
      <c r="B33" s="14" t="s">
        <v>4266</v>
      </c>
      <c r="C33" s="14" t="s">
        <v>4267</v>
      </c>
      <c r="D33" s="14" t="s">
        <v>4268</v>
      </c>
      <c r="E33" s="14" t="s">
        <v>149</v>
      </c>
      <c r="F33" s="14" t="s">
        <v>484</v>
      </c>
      <c r="G33" s="14" t="s">
        <v>149</v>
      </c>
      <c r="H33" s="14" t="s">
        <v>485</v>
      </c>
      <c r="I33" s="14" t="s">
        <v>485</v>
      </c>
      <c r="J33" s="14" t="s">
        <v>4115</v>
      </c>
      <c r="K33" s="14" t="s">
        <v>1808</v>
      </c>
      <c r="L33" s="14" t="s">
        <v>3679</v>
      </c>
      <c r="M33" s="14" t="s">
        <v>4269</v>
      </c>
      <c r="N33" s="14" t="s">
        <v>4270</v>
      </c>
      <c r="O33" s="14" t="s">
        <v>467</v>
      </c>
      <c r="P33" s="14" t="s">
        <v>467</v>
      </c>
      <c r="Q33" s="14" t="s">
        <v>4271</v>
      </c>
    </row>
    <row r="34" spans="1:17">
      <c r="A34" s="14" t="s">
        <v>2621</v>
      </c>
      <c r="B34" s="14" t="s">
        <v>4272</v>
      </c>
      <c r="C34" s="14" t="s">
        <v>4273</v>
      </c>
      <c r="D34" s="14" t="s">
        <v>4274</v>
      </c>
      <c r="E34" s="14" t="s">
        <v>169</v>
      </c>
      <c r="F34" s="14" t="s">
        <v>170</v>
      </c>
      <c r="G34" s="14" t="s">
        <v>169</v>
      </c>
      <c r="H34" s="14" t="s">
        <v>491</v>
      </c>
      <c r="I34" s="14" t="s">
        <v>491</v>
      </c>
      <c r="J34" s="14" t="s">
        <v>4115</v>
      </c>
      <c r="K34" s="14" t="s">
        <v>1808</v>
      </c>
      <c r="L34" s="14" t="s">
        <v>3679</v>
      </c>
      <c r="M34" s="14" t="s">
        <v>4275</v>
      </c>
      <c r="N34" s="14" t="s">
        <v>4276</v>
      </c>
      <c r="O34" s="14" t="s">
        <v>467</v>
      </c>
      <c r="P34" s="14" t="s">
        <v>467</v>
      </c>
      <c r="Q34" s="14" t="s">
        <v>4277</v>
      </c>
    </row>
    <row r="35" spans="1:17">
      <c r="A35" s="14" t="s">
        <v>2626</v>
      </c>
      <c r="B35" s="14" t="s">
        <v>4278</v>
      </c>
      <c r="C35" s="14" t="s">
        <v>4279</v>
      </c>
      <c r="D35" s="14" t="s">
        <v>4280</v>
      </c>
      <c r="E35" s="14" t="s">
        <v>338</v>
      </c>
      <c r="F35" s="14" t="s">
        <v>335</v>
      </c>
      <c r="G35" s="14" t="s">
        <v>338</v>
      </c>
      <c r="H35" s="14" t="s">
        <v>1489</v>
      </c>
      <c r="I35" s="14" t="s">
        <v>156</v>
      </c>
      <c r="J35" s="14" t="s">
        <v>4115</v>
      </c>
      <c r="K35" s="14" t="s">
        <v>1808</v>
      </c>
      <c r="L35" s="14" t="s">
        <v>3679</v>
      </c>
      <c r="M35" s="14" t="s">
        <v>4281</v>
      </c>
      <c r="N35" s="14" t="s">
        <v>4282</v>
      </c>
      <c r="O35" s="14" t="s">
        <v>467</v>
      </c>
      <c r="P35" s="14" t="s">
        <v>467</v>
      </c>
      <c r="Q35" s="14" t="s">
        <v>4283</v>
      </c>
    </row>
    <row r="36" spans="1:17">
      <c r="A36" s="14" t="s">
        <v>1995</v>
      </c>
      <c r="B36" s="14" t="s">
        <v>4284</v>
      </c>
      <c r="C36" s="14" t="s">
        <v>4285</v>
      </c>
      <c r="D36" s="14" t="s">
        <v>4286</v>
      </c>
      <c r="E36" s="14" t="s">
        <v>1299</v>
      </c>
      <c r="F36" s="14" t="s">
        <v>1299</v>
      </c>
      <c r="G36" s="14"/>
      <c r="H36" s="14" t="s">
        <v>331</v>
      </c>
      <c r="I36" s="14"/>
      <c r="J36" s="14" t="s">
        <v>4115</v>
      </c>
      <c r="K36" s="14" t="s">
        <v>1808</v>
      </c>
      <c r="L36" s="14" t="s">
        <v>3679</v>
      </c>
      <c r="M36" s="14" t="s">
        <v>4287</v>
      </c>
      <c r="N36" s="14" t="s">
        <v>4282</v>
      </c>
      <c r="O36" s="14" t="s">
        <v>467</v>
      </c>
      <c r="P36" s="14" t="s">
        <v>467</v>
      </c>
      <c r="Q36" s="14" t="s">
        <v>4288</v>
      </c>
    </row>
    <row r="37" spans="1:17">
      <c r="A37" s="14" t="s">
        <v>2512</v>
      </c>
      <c r="B37" s="14" t="s">
        <v>4289</v>
      </c>
      <c r="C37" s="14" t="s">
        <v>4290</v>
      </c>
      <c r="D37" s="14" t="s">
        <v>4291</v>
      </c>
      <c r="E37" s="14" t="s">
        <v>4292</v>
      </c>
      <c r="F37" s="14" t="s">
        <v>4292</v>
      </c>
      <c r="G37" s="14"/>
      <c r="H37" s="14" t="s">
        <v>183</v>
      </c>
      <c r="I37" s="14"/>
      <c r="J37" s="14" t="s">
        <v>4115</v>
      </c>
      <c r="K37" s="14" t="s">
        <v>1808</v>
      </c>
      <c r="L37" s="14" t="s">
        <v>3679</v>
      </c>
      <c r="M37" s="14" t="s">
        <v>1542</v>
      </c>
      <c r="N37" s="14" t="s">
        <v>4293</v>
      </c>
      <c r="O37" s="14" t="s">
        <v>467</v>
      </c>
      <c r="P37" s="14" t="s">
        <v>467</v>
      </c>
      <c r="Q37" s="14" t="s">
        <v>4294</v>
      </c>
    </row>
    <row r="38" spans="1:17">
      <c r="A38" s="14" t="s">
        <v>2647</v>
      </c>
      <c r="B38" s="14" t="s">
        <v>4295</v>
      </c>
      <c r="C38" s="14" t="s">
        <v>4296</v>
      </c>
      <c r="D38" s="14" t="s">
        <v>4297</v>
      </c>
      <c r="E38" s="14" t="s">
        <v>4298</v>
      </c>
      <c r="F38" s="14" t="s">
        <v>4298</v>
      </c>
      <c r="G38" s="14"/>
      <c r="H38" s="14" t="s">
        <v>1489</v>
      </c>
      <c r="I38" s="14"/>
      <c r="J38" s="14" t="s">
        <v>4115</v>
      </c>
      <c r="K38" s="14" t="s">
        <v>1808</v>
      </c>
      <c r="L38" s="14" t="s">
        <v>3679</v>
      </c>
      <c r="M38" s="14" t="s">
        <v>4299</v>
      </c>
      <c r="N38" s="14" t="s">
        <v>4293</v>
      </c>
      <c r="O38" s="14" t="s">
        <v>467</v>
      </c>
      <c r="P38" s="14" t="s">
        <v>467</v>
      </c>
      <c r="Q38" s="14" t="s">
        <v>4300</v>
      </c>
    </row>
    <row r="40" spans="1:17" ht="120">
      <c r="A40" s="4" t="s">
        <v>4301</v>
      </c>
    </row>
    <row r="41" spans="1:17">
      <c r="A41" s="14" t="s">
        <v>4302</v>
      </c>
      <c r="B41" s="14" t="s">
        <v>4303</v>
      </c>
    </row>
    <row r="42" spans="1:17" ht="24">
      <c r="A42" s="4" t="s">
        <v>4100</v>
      </c>
      <c r="B42" s="4" t="s">
        <v>4304</v>
      </c>
      <c r="C42" s="4" t="s">
        <v>7</v>
      </c>
      <c r="D42" s="4" t="s">
        <v>50</v>
      </c>
      <c r="E42" s="4" t="s">
        <v>4305</v>
      </c>
      <c r="F42" s="4" t="s">
        <v>4306</v>
      </c>
      <c r="G42" s="4" t="s">
        <v>4307</v>
      </c>
    </row>
    <row r="43" spans="1:17">
      <c r="A43" s="14" t="s">
        <v>4112</v>
      </c>
      <c r="B43" s="14" t="s">
        <v>323</v>
      </c>
      <c r="C43" s="14" t="s">
        <v>322</v>
      </c>
      <c r="D43" s="14" t="s">
        <v>4117</v>
      </c>
      <c r="E43" s="14" t="s">
        <v>4308</v>
      </c>
      <c r="F43" s="14"/>
      <c r="G43" s="14"/>
    </row>
    <row r="44" spans="1:17">
      <c r="A44" s="14" t="s">
        <v>4120</v>
      </c>
      <c r="B44" s="14" t="s">
        <v>262</v>
      </c>
      <c r="C44" s="14" t="s">
        <v>129</v>
      </c>
      <c r="D44" s="14" t="s">
        <v>4123</v>
      </c>
      <c r="E44" s="14" t="s">
        <v>1784</v>
      </c>
      <c r="F44" s="14" t="s">
        <v>4309</v>
      </c>
      <c r="G44" s="14" t="s">
        <v>1098</v>
      </c>
    </row>
    <row r="45" spans="1:17">
      <c r="A45" s="14" t="s">
        <v>4126</v>
      </c>
      <c r="B45" s="14" t="s">
        <v>185</v>
      </c>
      <c r="C45" s="14" t="s">
        <v>206</v>
      </c>
      <c r="D45" s="14" t="s">
        <v>4129</v>
      </c>
      <c r="E45" s="14" t="s">
        <v>1856</v>
      </c>
      <c r="F45" s="14" t="s">
        <v>4310</v>
      </c>
      <c r="G45" s="14" t="s">
        <v>1164</v>
      </c>
    </row>
    <row r="46" spans="1:17">
      <c r="A46" s="14" t="s">
        <v>4132</v>
      </c>
      <c r="B46" s="14" t="s">
        <v>78</v>
      </c>
      <c r="C46" s="14" t="s">
        <v>206</v>
      </c>
      <c r="D46" s="14" t="s">
        <v>4135</v>
      </c>
      <c r="E46" s="14" t="s">
        <v>2006</v>
      </c>
      <c r="F46" s="14" t="s">
        <v>4311</v>
      </c>
      <c r="G46" s="14" t="s">
        <v>1251</v>
      </c>
    </row>
    <row r="47" spans="1:17">
      <c r="A47" s="14" t="s">
        <v>4138</v>
      </c>
      <c r="B47" s="14" t="s">
        <v>127</v>
      </c>
      <c r="C47" s="14" t="s">
        <v>206</v>
      </c>
      <c r="D47" s="14" t="s">
        <v>4141</v>
      </c>
      <c r="E47" s="14" t="s">
        <v>2083</v>
      </c>
      <c r="F47" s="14" t="s">
        <v>4312</v>
      </c>
      <c r="G47" s="14" t="s">
        <v>1307</v>
      </c>
    </row>
    <row r="48" spans="1:17">
      <c r="A48" s="14" t="s">
        <v>4144</v>
      </c>
      <c r="B48" s="14" t="s">
        <v>342</v>
      </c>
      <c r="C48" s="14" t="s">
        <v>340</v>
      </c>
      <c r="D48" s="14" t="s">
        <v>4147</v>
      </c>
      <c r="E48" s="14" t="s">
        <v>4308</v>
      </c>
      <c r="F48" s="14"/>
      <c r="G48" s="14"/>
    </row>
    <row r="49" spans="1:7">
      <c r="A49" s="14" t="s">
        <v>4150</v>
      </c>
      <c r="B49" s="14" t="s">
        <v>211</v>
      </c>
      <c r="C49" s="14" t="s">
        <v>210</v>
      </c>
      <c r="D49" s="14" t="s">
        <v>4154</v>
      </c>
      <c r="E49" s="14" t="s">
        <v>1924</v>
      </c>
      <c r="F49" s="14" t="s">
        <v>4313</v>
      </c>
      <c r="G49" s="14" t="s">
        <v>1209</v>
      </c>
    </row>
    <row r="50" spans="1:7">
      <c r="A50" s="14" t="s">
        <v>4157</v>
      </c>
      <c r="B50" s="14" t="s">
        <v>182</v>
      </c>
      <c r="C50" s="14" t="s">
        <v>183</v>
      </c>
      <c r="D50" s="14" t="s">
        <v>4160</v>
      </c>
      <c r="E50" s="14" t="s">
        <v>594</v>
      </c>
      <c r="F50" s="14" t="s">
        <v>4314</v>
      </c>
      <c r="G50" s="14" t="s">
        <v>592</v>
      </c>
    </row>
    <row r="51" spans="1:7">
      <c r="A51" s="14" t="s">
        <v>4163</v>
      </c>
      <c r="B51" s="14" t="s">
        <v>265</v>
      </c>
      <c r="C51" s="14" t="s">
        <v>234</v>
      </c>
      <c r="D51" s="14" t="s">
        <v>4166</v>
      </c>
      <c r="E51" s="14" t="s">
        <v>4308</v>
      </c>
      <c r="F51" s="14"/>
      <c r="G51" s="14"/>
    </row>
    <row r="52" spans="1:7">
      <c r="A52" s="14" t="s">
        <v>4169</v>
      </c>
      <c r="B52" s="14" t="s">
        <v>252</v>
      </c>
      <c r="C52" s="14" t="s">
        <v>178</v>
      </c>
      <c r="D52" s="14" t="s">
        <v>633</v>
      </c>
      <c r="E52" s="14" t="s">
        <v>1952</v>
      </c>
      <c r="F52" s="14" t="s">
        <v>4315</v>
      </c>
      <c r="G52" s="14" t="s">
        <v>1224</v>
      </c>
    </row>
    <row r="53" spans="1:7">
      <c r="A53" s="14" t="s">
        <v>4174</v>
      </c>
      <c r="B53" s="14" t="s">
        <v>292</v>
      </c>
      <c r="C53" s="14" t="s">
        <v>178</v>
      </c>
      <c r="D53" s="14" t="s">
        <v>4177</v>
      </c>
      <c r="E53" s="14" t="s">
        <v>1551</v>
      </c>
      <c r="F53" s="14" t="s">
        <v>4316</v>
      </c>
      <c r="G53" s="14" t="s">
        <v>1550</v>
      </c>
    </row>
    <row r="54" spans="1:7">
      <c r="A54" s="14" t="s">
        <v>4179</v>
      </c>
      <c r="B54" s="14" t="s">
        <v>243</v>
      </c>
      <c r="C54" s="14" t="s">
        <v>178</v>
      </c>
      <c r="D54" s="14" t="s">
        <v>4182</v>
      </c>
      <c r="E54" s="14" t="s">
        <v>1966</v>
      </c>
      <c r="F54" s="14" t="s">
        <v>4317</v>
      </c>
      <c r="G54" s="14" t="s">
        <v>1232</v>
      </c>
    </row>
    <row r="55" spans="1:7">
      <c r="A55" s="14" t="s">
        <v>4185</v>
      </c>
      <c r="B55" s="14" t="s">
        <v>179</v>
      </c>
      <c r="C55" s="14" t="s">
        <v>178</v>
      </c>
      <c r="D55" s="14" t="s">
        <v>4188</v>
      </c>
      <c r="E55" s="14" t="s">
        <v>2101</v>
      </c>
      <c r="F55" s="14" t="s">
        <v>4318</v>
      </c>
      <c r="G55" s="14" t="s">
        <v>1326</v>
      </c>
    </row>
    <row r="56" spans="1:7">
      <c r="A56" s="14" t="s">
        <v>4191</v>
      </c>
      <c r="B56" s="14" t="s">
        <v>416</v>
      </c>
      <c r="C56" s="14" t="s">
        <v>410</v>
      </c>
      <c r="D56" s="14" t="s">
        <v>4194</v>
      </c>
      <c r="E56" s="14" t="s">
        <v>846</v>
      </c>
      <c r="F56" s="14" t="s">
        <v>4319</v>
      </c>
      <c r="G56" s="14" t="s">
        <v>845</v>
      </c>
    </row>
    <row r="57" spans="1:7">
      <c r="A57" s="14" t="s">
        <v>4197</v>
      </c>
      <c r="B57" s="14" t="s">
        <v>270</v>
      </c>
      <c r="C57" s="14" t="s">
        <v>261</v>
      </c>
      <c r="D57" s="14" t="s">
        <v>4200</v>
      </c>
      <c r="E57" s="14" t="s">
        <v>1784</v>
      </c>
      <c r="F57" s="14" t="s">
        <v>4320</v>
      </c>
      <c r="G57" s="14" t="s">
        <v>1120</v>
      </c>
    </row>
    <row r="58" spans="1:7">
      <c r="A58" s="14" t="s">
        <v>4203</v>
      </c>
      <c r="B58" s="14" t="s">
        <v>431</v>
      </c>
      <c r="C58" s="14" t="s">
        <v>331</v>
      </c>
      <c r="D58" s="14" t="s">
        <v>4206</v>
      </c>
      <c r="E58" s="14" t="s">
        <v>1085</v>
      </c>
      <c r="F58" s="14" t="s">
        <v>4321</v>
      </c>
      <c r="G58" s="14" t="s">
        <v>932</v>
      </c>
    </row>
    <row r="59" spans="1:7">
      <c r="A59" s="14" t="s">
        <v>4209</v>
      </c>
      <c r="B59" s="14" t="s">
        <v>437</v>
      </c>
      <c r="C59" s="14" t="s">
        <v>331</v>
      </c>
      <c r="D59" s="14" t="s">
        <v>4212</v>
      </c>
      <c r="E59" s="14" t="s">
        <v>1085</v>
      </c>
      <c r="F59" s="14" t="s">
        <v>4322</v>
      </c>
      <c r="G59" s="14" t="s">
        <v>932</v>
      </c>
    </row>
    <row r="60" spans="1:7">
      <c r="A60" s="14" t="s">
        <v>4215</v>
      </c>
      <c r="B60" s="14" t="s">
        <v>445</v>
      </c>
      <c r="C60" s="14" t="s">
        <v>331</v>
      </c>
      <c r="D60" s="14" t="s">
        <v>4218</v>
      </c>
      <c r="E60" s="14" t="s">
        <v>1085</v>
      </c>
      <c r="F60" s="14" t="s">
        <v>4323</v>
      </c>
      <c r="G60" s="14" t="s">
        <v>932</v>
      </c>
    </row>
    <row r="61" spans="1:7">
      <c r="A61" s="14" t="s">
        <v>4221</v>
      </c>
      <c r="B61" s="14" t="s">
        <v>357</v>
      </c>
      <c r="C61" s="14" t="s">
        <v>359</v>
      </c>
      <c r="D61" s="14" t="s">
        <v>4224</v>
      </c>
      <c r="E61" s="14" t="s">
        <v>1203</v>
      </c>
      <c r="F61" s="14" t="s">
        <v>4324</v>
      </c>
      <c r="G61" s="14" t="s">
        <v>1202</v>
      </c>
    </row>
    <row r="62" spans="1:7">
      <c r="A62" s="14" t="s">
        <v>4226</v>
      </c>
      <c r="B62" s="14" t="s">
        <v>223</v>
      </c>
      <c r="C62" s="14" t="s">
        <v>222</v>
      </c>
      <c r="D62" s="14" t="s">
        <v>4229</v>
      </c>
      <c r="E62" s="14" t="s">
        <v>1658</v>
      </c>
      <c r="F62" s="14" t="s">
        <v>4325</v>
      </c>
      <c r="G62" s="14" t="s">
        <v>1047</v>
      </c>
    </row>
    <row r="63" spans="1:7">
      <c r="A63" s="14" t="s">
        <v>4231</v>
      </c>
      <c r="B63" s="14" t="s">
        <v>302</v>
      </c>
      <c r="C63" s="14" t="s">
        <v>103</v>
      </c>
      <c r="D63" s="14" t="s">
        <v>4234</v>
      </c>
      <c r="E63" s="14" t="s">
        <v>1434</v>
      </c>
      <c r="F63" s="14" t="s">
        <v>4326</v>
      </c>
      <c r="G63" s="14" t="s">
        <v>954</v>
      </c>
    </row>
    <row r="64" spans="1:7">
      <c r="A64" s="14" t="s">
        <v>4237</v>
      </c>
      <c r="B64" s="14" t="s">
        <v>109</v>
      </c>
      <c r="C64" s="14" t="s">
        <v>103</v>
      </c>
      <c r="D64" s="14" t="s">
        <v>4240</v>
      </c>
      <c r="E64" s="14" t="s">
        <v>2043</v>
      </c>
      <c r="F64" s="14" t="s">
        <v>4327</v>
      </c>
      <c r="G64" s="14" t="s">
        <v>1269</v>
      </c>
    </row>
    <row r="65" spans="1:7">
      <c r="A65" s="14" t="s">
        <v>4243</v>
      </c>
      <c r="B65" s="14" t="s">
        <v>235</v>
      </c>
      <c r="C65" s="14" t="s">
        <v>103</v>
      </c>
      <c r="D65" s="14" t="s">
        <v>4246</v>
      </c>
      <c r="E65" s="14" t="s">
        <v>1569</v>
      </c>
      <c r="F65" s="14" t="s">
        <v>4328</v>
      </c>
      <c r="G65" s="14" t="s">
        <v>1017</v>
      </c>
    </row>
    <row r="66" spans="1:7">
      <c r="A66" s="14" t="s">
        <v>4249</v>
      </c>
      <c r="B66" s="14" t="s">
        <v>474</v>
      </c>
      <c r="C66" s="14" t="s">
        <v>307</v>
      </c>
      <c r="D66" s="14" t="s">
        <v>4252</v>
      </c>
      <c r="E66" s="14" t="s">
        <v>2131</v>
      </c>
      <c r="F66" s="14" t="s">
        <v>4329</v>
      </c>
      <c r="G66" s="14" t="s">
        <v>1311</v>
      </c>
    </row>
    <row r="67" spans="1:7">
      <c r="A67" s="14" t="s">
        <v>4255</v>
      </c>
      <c r="B67" s="14" t="s">
        <v>479</v>
      </c>
      <c r="C67" s="14" t="s">
        <v>477</v>
      </c>
      <c r="D67" s="14" t="s">
        <v>4258</v>
      </c>
      <c r="E67" s="14" t="s">
        <v>4308</v>
      </c>
      <c r="F67" s="14"/>
      <c r="G67" s="14"/>
    </row>
    <row r="68" spans="1:7">
      <c r="A68" s="14" t="s">
        <v>4261</v>
      </c>
      <c r="B68" s="14" t="s">
        <v>482</v>
      </c>
      <c r="C68" s="14" t="s">
        <v>315</v>
      </c>
      <c r="D68" s="14" t="s">
        <v>4264</v>
      </c>
      <c r="E68" s="14" t="s">
        <v>2143</v>
      </c>
      <c r="F68" s="14" t="s">
        <v>4330</v>
      </c>
      <c r="G68" s="14" t="s">
        <v>1500</v>
      </c>
    </row>
    <row r="69" spans="1:7">
      <c r="A69" s="14" t="s">
        <v>4266</v>
      </c>
      <c r="B69" s="14" t="s">
        <v>149</v>
      </c>
      <c r="C69" s="14" t="s">
        <v>485</v>
      </c>
      <c r="D69" s="14" t="s">
        <v>4269</v>
      </c>
      <c r="E69" s="14" t="s">
        <v>2093</v>
      </c>
      <c r="F69" s="14" t="s">
        <v>4331</v>
      </c>
      <c r="G69" s="14" t="s">
        <v>1318</v>
      </c>
    </row>
    <row r="70" spans="1:7">
      <c r="A70" s="14" t="s">
        <v>4272</v>
      </c>
      <c r="B70" s="14" t="s">
        <v>169</v>
      </c>
      <c r="C70" s="14" t="s">
        <v>491</v>
      </c>
      <c r="D70" s="14" t="s">
        <v>4275</v>
      </c>
      <c r="E70" s="14" t="s">
        <v>1992</v>
      </c>
      <c r="F70" s="14" t="s">
        <v>4332</v>
      </c>
      <c r="G70" s="14" t="s">
        <v>1246</v>
      </c>
    </row>
    <row r="71" spans="1:7">
      <c r="A71" s="14" t="s">
        <v>4278</v>
      </c>
      <c r="B71" s="14" t="s">
        <v>338</v>
      </c>
      <c r="C71" s="14" t="s">
        <v>1489</v>
      </c>
      <c r="D71" s="14" t="s">
        <v>4281</v>
      </c>
      <c r="E71" s="14" t="s">
        <v>4308</v>
      </c>
      <c r="F71" s="14"/>
      <c r="G71" s="14"/>
    </row>
    <row r="72" spans="1:7">
      <c r="A72" s="14" t="s">
        <v>4284</v>
      </c>
      <c r="B72" s="14" t="s">
        <v>1299</v>
      </c>
      <c r="C72" s="14" t="s">
        <v>331</v>
      </c>
      <c r="D72" s="14" t="s">
        <v>4287</v>
      </c>
      <c r="E72" s="14" t="s">
        <v>4308</v>
      </c>
      <c r="F72" s="14"/>
      <c r="G72" s="14"/>
    </row>
    <row r="73" spans="1:7">
      <c r="A73" s="14" t="s">
        <v>4289</v>
      </c>
      <c r="B73" s="14" t="s">
        <v>4292</v>
      </c>
      <c r="C73" s="14" t="s">
        <v>183</v>
      </c>
      <c r="D73" s="14" t="s">
        <v>1542</v>
      </c>
      <c r="E73" s="14" t="s">
        <v>4308</v>
      </c>
      <c r="F73" s="14"/>
      <c r="G73" s="14"/>
    </row>
    <row r="74" spans="1:7">
      <c r="A74" s="14" t="s">
        <v>4295</v>
      </c>
      <c r="B74" s="14" t="s">
        <v>4298</v>
      </c>
      <c r="C74" s="14" t="s">
        <v>1489</v>
      </c>
      <c r="D74" s="14" t="s">
        <v>4299</v>
      </c>
      <c r="E74" s="14" t="s">
        <v>4308</v>
      </c>
      <c r="F74" s="14"/>
      <c r="G74" s="14"/>
    </row>
    <row r="76" spans="1:7" ht="60">
      <c r="A76" s="4" t="s">
        <v>4333</v>
      </c>
    </row>
    <row r="77" spans="1:7">
      <c r="A77" s="14" t="s">
        <v>4334</v>
      </c>
      <c r="B77" s="14" t="s">
        <v>2589</v>
      </c>
    </row>
    <row r="78" spans="1:7">
      <c r="A78" s="14" t="s">
        <v>4335</v>
      </c>
      <c r="B78" s="14" t="s">
        <v>4336</v>
      </c>
    </row>
    <row r="79" spans="1:7">
      <c r="A79" s="14" t="s">
        <v>4337</v>
      </c>
      <c r="B79" s="14" t="s">
        <v>4325</v>
      </c>
    </row>
    <row r="80" spans="1:7">
      <c r="A80" s="14" t="s">
        <v>4338</v>
      </c>
      <c r="B80" s="14" t="s">
        <v>4339</v>
      </c>
    </row>
    <row r="81" spans="1:2">
      <c r="A81" s="14" t="s">
        <v>4340</v>
      </c>
      <c r="B81" s="14" t="s">
        <v>4341</v>
      </c>
    </row>
    <row r="82" spans="1:2">
      <c r="A82" s="14" t="s">
        <v>4342</v>
      </c>
      <c r="B82" s="14" t="s">
        <v>4343</v>
      </c>
    </row>
    <row r="83" spans="1:2">
      <c r="A83" s="14" t="s">
        <v>4344</v>
      </c>
      <c r="B83" s="14" t="s">
        <v>4345</v>
      </c>
    </row>
    <row r="85" spans="1:2">
      <c r="A85" s="14" t="s">
        <v>4346</v>
      </c>
      <c r="B85" s="14" t="s">
        <v>4347</v>
      </c>
    </row>
    <row r="86" spans="1:2">
      <c r="A86" s="14" t="s">
        <v>4348</v>
      </c>
      <c r="B86" s="14" t="s">
        <v>4349</v>
      </c>
    </row>
    <row r="87" spans="1:2">
      <c r="A87" s="14" t="s">
        <v>4350</v>
      </c>
      <c r="B87" s="14" t="s">
        <v>4351</v>
      </c>
    </row>
  </sheetData>
  <pageMargins left="0.3" right="0.3" top="0.4" bottom="0.4"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F15"/>
  <sheetViews>
    <sheetView workbookViewId="0">
      <pane ySplit="4" topLeftCell="A5" activePane="bottomLeft" state="frozen"/>
      <selection activeCell="B3" sqref="B3"/>
      <selection pane="bottomLeft" activeCell="B3" sqref="B3"/>
    </sheetView>
  </sheetViews>
  <sheetFormatPr defaultColWidth="14.44140625" defaultRowHeight="14.4"/>
  <cols>
    <col min="1" max="2" width="16" customWidth="1"/>
    <col min="3" max="3" width="22" customWidth="1"/>
    <col min="4" max="4" width="16" customWidth="1"/>
    <col min="5" max="5" width="44" customWidth="1"/>
    <col min="6" max="6" width="40" customWidth="1"/>
  </cols>
  <sheetData>
    <row r="1" spans="1:6" ht="24">
      <c r="A1" s="4" t="s">
        <v>4352</v>
      </c>
    </row>
    <row r="2" spans="1:6">
      <c r="A2" s="14" t="s">
        <v>60</v>
      </c>
      <c r="B2" s="14" t="s">
        <v>4353</v>
      </c>
    </row>
    <row r="4" spans="1:6">
      <c r="A4" s="4" t="s">
        <v>2480</v>
      </c>
      <c r="B4" s="4" t="s">
        <v>2481</v>
      </c>
      <c r="C4" s="4" t="s">
        <v>7</v>
      </c>
      <c r="D4" s="4" t="s">
        <v>4032</v>
      </c>
      <c r="E4" s="4" t="s">
        <v>668</v>
      </c>
      <c r="F4" s="4" t="s">
        <v>4033</v>
      </c>
    </row>
    <row r="5" spans="1:6">
      <c r="A5" s="14" t="s">
        <v>263</v>
      </c>
      <c r="B5" s="14" t="s">
        <v>262</v>
      </c>
      <c r="C5" s="14" t="s">
        <v>129</v>
      </c>
      <c r="D5" s="14" t="s">
        <v>264</v>
      </c>
      <c r="E5" s="14" t="s">
        <v>677</v>
      </c>
      <c r="F5" s="14" t="s">
        <v>4354</v>
      </c>
    </row>
    <row r="6" spans="1:6">
      <c r="A6" s="14" t="s">
        <v>265</v>
      </c>
      <c r="B6" s="14" t="s">
        <v>74</v>
      </c>
      <c r="C6" s="14" t="s">
        <v>234</v>
      </c>
      <c r="D6" s="14" t="s">
        <v>220</v>
      </c>
      <c r="E6" s="14" t="s">
        <v>677</v>
      </c>
      <c r="F6" s="14" t="s">
        <v>4355</v>
      </c>
    </row>
    <row r="7" spans="1:6">
      <c r="A7" s="14" t="s">
        <v>335</v>
      </c>
      <c r="B7" s="14" t="s">
        <v>338</v>
      </c>
      <c r="C7" s="14" t="s">
        <v>1489</v>
      </c>
      <c r="D7" s="14" t="s">
        <v>4356</v>
      </c>
      <c r="E7" s="14" t="s">
        <v>688</v>
      </c>
      <c r="F7" s="14" t="s">
        <v>4357</v>
      </c>
    </row>
    <row r="8" spans="1:6">
      <c r="A8" s="14" t="s">
        <v>335</v>
      </c>
      <c r="B8" s="14" t="s">
        <v>338</v>
      </c>
      <c r="C8" s="14" t="s">
        <v>1489</v>
      </c>
      <c r="D8" s="14" t="s">
        <v>4356</v>
      </c>
      <c r="E8" s="14" t="s">
        <v>4047</v>
      </c>
      <c r="F8" s="14" t="s">
        <v>4357</v>
      </c>
    </row>
    <row r="9" spans="1:6">
      <c r="A9" s="14" t="s">
        <v>335</v>
      </c>
      <c r="B9" s="14" t="s">
        <v>338</v>
      </c>
      <c r="C9" s="14" t="s">
        <v>1489</v>
      </c>
      <c r="D9" s="14" t="s">
        <v>4356</v>
      </c>
      <c r="E9" s="14" t="s">
        <v>4048</v>
      </c>
      <c r="F9" s="14" t="s">
        <v>4357</v>
      </c>
    </row>
    <row r="10" spans="1:6">
      <c r="A10" s="14" t="s">
        <v>335</v>
      </c>
      <c r="B10" s="14" t="s">
        <v>338</v>
      </c>
      <c r="C10" s="14" t="s">
        <v>1489</v>
      </c>
      <c r="D10" s="14" t="s">
        <v>4356</v>
      </c>
      <c r="E10" s="14" t="s">
        <v>677</v>
      </c>
      <c r="F10" s="14" t="s">
        <v>4357</v>
      </c>
    </row>
    <row r="12" spans="1:6" ht="48">
      <c r="A12" s="4" t="s">
        <v>4082</v>
      </c>
    </row>
    <row r="13" spans="1:6">
      <c r="A13" s="14" t="s">
        <v>1299</v>
      </c>
      <c r="B13" s="14" t="s">
        <v>74</v>
      </c>
      <c r="C13" s="14" t="s">
        <v>331</v>
      </c>
      <c r="D13" s="14"/>
      <c r="E13" s="14" t="s">
        <v>4358</v>
      </c>
      <c r="F13" s="14" t="s">
        <v>4359</v>
      </c>
    </row>
    <row r="14" spans="1:6">
      <c r="A14" s="14" t="s">
        <v>4292</v>
      </c>
      <c r="B14" s="14" t="s">
        <v>74</v>
      </c>
      <c r="C14" s="14" t="s">
        <v>183</v>
      </c>
      <c r="D14" s="14"/>
      <c r="E14" s="14" t="s">
        <v>4358</v>
      </c>
      <c r="F14" s="14" t="s">
        <v>4360</v>
      </c>
    </row>
    <row r="15" spans="1:6">
      <c r="A15" s="14" t="s">
        <v>4298</v>
      </c>
      <c r="B15" s="14" t="s">
        <v>74</v>
      </c>
      <c r="C15" s="14" t="s">
        <v>1489</v>
      </c>
      <c r="D15" s="14"/>
      <c r="E15" s="14" t="s">
        <v>4358</v>
      </c>
      <c r="F15" s="14" t="s">
        <v>4361</v>
      </c>
    </row>
  </sheetData>
  <pageMargins left="0.3" right="0.3" top="0.4" bottom="0.4" header="0" footer="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T90"/>
  <sheetViews>
    <sheetView workbookViewId="0">
      <pane ySplit="1" topLeftCell="A2" activePane="bottomLeft" state="frozen"/>
      <selection activeCell="B3" sqref="B3"/>
      <selection pane="bottomLeft" activeCell="B3" sqref="B3"/>
    </sheetView>
  </sheetViews>
  <sheetFormatPr defaultColWidth="14.44140625" defaultRowHeight="14.4"/>
  <cols>
    <col min="1" max="2" width="13" customWidth="1"/>
    <col min="3" max="3" width="20" customWidth="1"/>
    <col min="4" max="4" width="15" customWidth="1"/>
    <col min="5" max="16" width="5" customWidth="1"/>
    <col min="17" max="17" width="6" customWidth="1"/>
    <col min="18" max="18" width="60" customWidth="1"/>
    <col min="19" max="19" width="7" customWidth="1"/>
    <col min="20" max="20" width="42" customWidth="1"/>
  </cols>
  <sheetData>
    <row r="1" spans="1:20" ht="96">
      <c r="A1" s="4" t="s">
        <v>2</v>
      </c>
      <c r="B1" s="4" t="s">
        <v>6</v>
      </c>
      <c r="C1" s="4" t="s">
        <v>7</v>
      </c>
      <c r="D1" s="4" t="s">
        <v>8</v>
      </c>
      <c r="E1" s="4" t="s">
        <v>10</v>
      </c>
      <c r="F1" s="4" t="s">
        <v>13</v>
      </c>
      <c r="G1" s="4" t="s">
        <v>17</v>
      </c>
      <c r="H1" s="4" t="s">
        <v>22</v>
      </c>
      <c r="I1" s="4" t="s">
        <v>27</v>
      </c>
      <c r="J1" s="4" t="s">
        <v>32</v>
      </c>
      <c r="K1" s="4" t="s">
        <v>37</v>
      </c>
      <c r="L1" s="4" t="s">
        <v>41</v>
      </c>
      <c r="M1" s="4" t="s">
        <v>45</v>
      </c>
      <c r="N1" s="4" t="s">
        <v>49</v>
      </c>
      <c r="O1" s="4" t="s">
        <v>53</v>
      </c>
      <c r="P1" s="4" t="s">
        <v>57</v>
      </c>
      <c r="Q1" s="4" t="s">
        <v>61</v>
      </c>
      <c r="R1" s="4" t="s">
        <v>63</v>
      </c>
      <c r="S1" s="4" t="s">
        <v>64</v>
      </c>
      <c r="T1" s="4" t="s">
        <v>67</v>
      </c>
    </row>
    <row r="2" spans="1:20">
      <c r="A2" s="14" t="s">
        <v>313</v>
      </c>
      <c r="B2" s="14" t="s">
        <v>312</v>
      </c>
      <c r="C2" s="14" t="s">
        <v>234</v>
      </c>
      <c r="D2" s="14" t="s">
        <v>76</v>
      </c>
      <c r="E2" s="14" t="s">
        <v>79</v>
      </c>
      <c r="F2" s="14" t="s">
        <v>79</v>
      </c>
      <c r="G2" s="14" t="s">
        <v>79</v>
      </c>
      <c r="H2" s="14" t="s">
        <v>79</v>
      </c>
      <c r="I2" s="14" t="s">
        <v>79</v>
      </c>
      <c r="J2" s="14" t="s">
        <v>79</v>
      </c>
      <c r="K2" s="14" t="s">
        <v>79</v>
      </c>
      <c r="L2" s="14" t="s">
        <v>79</v>
      </c>
      <c r="M2" s="14" t="s">
        <v>79</v>
      </c>
      <c r="N2" s="14" t="s">
        <v>79</v>
      </c>
      <c r="O2" s="14" t="s">
        <v>79</v>
      </c>
      <c r="P2" s="14" t="s">
        <v>79</v>
      </c>
      <c r="Q2" s="14" t="s">
        <v>3993</v>
      </c>
      <c r="R2" s="14" t="s">
        <v>86</v>
      </c>
      <c r="S2" s="14" t="s">
        <v>4362</v>
      </c>
      <c r="T2" s="14" t="s">
        <v>172</v>
      </c>
    </row>
    <row r="3" spans="1:20">
      <c r="A3" s="14" t="s">
        <v>247</v>
      </c>
      <c r="B3" s="14" t="s">
        <v>250</v>
      </c>
      <c r="C3" s="14" t="s">
        <v>178</v>
      </c>
      <c r="D3" s="14" t="s">
        <v>76</v>
      </c>
      <c r="E3" s="14" t="s">
        <v>79</v>
      </c>
      <c r="F3" s="14" t="s">
        <v>79</v>
      </c>
      <c r="G3" s="14" t="s">
        <v>79</v>
      </c>
      <c r="H3" s="14" t="s">
        <v>79</v>
      </c>
      <c r="I3" s="14" t="s">
        <v>79</v>
      </c>
      <c r="J3" s="14" t="s">
        <v>79</v>
      </c>
      <c r="K3" s="14" t="s">
        <v>79</v>
      </c>
      <c r="L3" s="14" t="s">
        <v>79</v>
      </c>
      <c r="M3" s="14" t="s">
        <v>79</v>
      </c>
      <c r="N3" s="14" t="s">
        <v>79</v>
      </c>
      <c r="O3" s="14" t="s">
        <v>79</v>
      </c>
      <c r="P3" s="14" t="s">
        <v>79</v>
      </c>
      <c r="Q3" s="14" t="s">
        <v>3993</v>
      </c>
      <c r="R3" s="14" t="s">
        <v>86</v>
      </c>
      <c r="S3" s="14" t="s">
        <v>4363</v>
      </c>
      <c r="T3" s="14" t="s">
        <v>427</v>
      </c>
    </row>
    <row r="4" spans="1:20">
      <c r="A4" s="14" t="s">
        <v>309</v>
      </c>
      <c r="B4" s="14" t="s">
        <v>306</v>
      </c>
      <c r="C4" s="14" t="s">
        <v>222</v>
      </c>
      <c r="D4" s="14" t="s">
        <v>220</v>
      </c>
      <c r="E4" s="14" t="s">
        <v>79</v>
      </c>
      <c r="F4" s="14" t="s">
        <v>79</v>
      </c>
      <c r="G4" s="14" t="s">
        <v>79</v>
      </c>
      <c r="H4" s="14" t="s">
        <v>79</v>
      </c>
      <c r="I4" s="14" t="s">
        <v>79</v>
      </c>
      <c r="J4" s="14" t="s">
        <v>198</v>
      </c>
      <c r="K4" s="14" t="s">
        <v>79</v>
      </c>
      <c r="L4" s="14" t="s">
        <v>79</v>
      </c>
      <c r="M4" s="14" t="s">
        <v>79</v>
      </c>
      <c r="N4" s="14" t="s">
        <v>79</v>
      </c>
      <c r="O4" s="14" t="s">
        <v>79</v>
      </c>
      <c r="P4" s="14" t="s">
        <v>79</v>
      </c>
      <c r="Q4" s="14" t="s">
        <v>2160</v>
      </c>
      <c r="R4" s="14" t="s">
        <v>432</v>
      </c>
      <c r="S4" s="14" t="s">
        <v>4362</v>
      </c>
      <c r="T4" s="14" t="s">
        <v>172</v>
      </c>
    </row>
    <row r="5" spans="1:20">
      <c r="A5" s="14" t="s">
        <v>304</v>
      </c>
      <c r="B5" s="14" t="s">
        <v>302</v>
      </c>
      <c r="C5" s="14" t="s">
        <v>103</v>
      </c>
      <c r="D5" s="14" t="s">
        <v>76</v>
      </c>
      <c r="E5" s="14" t="s">
        <v>79</v>
      </c>
      <c r="F5" s="14" t="s">
        <v>79</v>
      </c>
      <c r="G5" s="14" t="s">
        <v>79</v>
      </c>
      <c r="H5" s="14" t="s">
        <v>79</v>
      </c>
      <c r="I5" s="14" t="s">
        <v>79</v>
      </c>
      <c r="J5" s="14" t="s">
        <v>79</v>
      </c>
      <c r="K5" s="14" t="s">
        <v>79</v>
      </c>
      <c r="L5" s="14" t="s">
        <v>79</v>
      </c>
      <c r="M5" s="14" t="s">
        <v>79</v>
      </c>
      <c r="N5" s="14" t="s">
        <v>79</v>
      </c>
      <c r="O5" s="14" t="s">
        <v>79</v>
      </c>
      <c r="P5" s="14" t="s">
        <v>79</v>
      </c>
      <c r="Q5" s="14" t="s">
        <v>3993</v>
      </c>
      <c r="R5" s="14" t="s">
        <v>86</v>
      </c>
      <c r="S5" s="14" t="s">
        <v>4364</v>
      </c>
      <c r="T5" s="14" t="s">
        <v>192</v>
      </c>
    </row>
    <row r="6" spans="1:20">
      <c r="A6" s="14" t="s">
        <v>267</v>
      </c>
      <c r="B6" s="14" t="s">
        <v>269</v>
      </c>
      <c r="C6" s="14" t="s">
        <v>261</v>
      </c>
      <c r="D6" s="14" t="s">
        <v>76</v>
      </c>
      <c r="E6" s="14" t="s">
        <v>79</v>
      </c>
      <c r="F6" s="14" t="s">
        <v>79</v>
      </c>
      <c r="G6" s="14" t="s">
        <v>79</v>
      </c>
      <c r="H6" s="14" t="s">
        <v>79</v>
      </c>
      <c r="I6" s="14" t="s">
        <v>79</v>
      </c>
      <c r="J6" s="14" t="s">
        <v>79</v>
      </c>
      <c r="K6" s="14" t="s">
        <v>79</v>
      </c>
      <c r="L6" s="14" t="s">
        <v>79</v>
      </c>
      <c r="M6" s="14" t="s">
        <v>79</v>
      </c>
      <c r="N6" s="14" t="s">
        <v>79</v>
      </c>
      <c r="O6" s="14" t="s">
        <v>79</v>
      </c>
      <c r="P6" s="14" t="s">
        <v>79</v>
      </c>
      <c r="Q6" s="14" t="s">
        <v>3993</v>
      </c>
      <c r="R6" s="14" t="s">
        <v>86</v>
      </c>
      <c r="S6" s="14" t="s">
        <v>4365</v>
      </c>
      <c r="T6" s="14" t="s">
        <v>133</v>
      </c>
    </row>
    <row r="7" spans="1:20">
      <c r="A7" s="14" t="s">
        <v>296</v>
      </c>
      <c r="B7" s="14" t="s">
        <v>295</v>
      </c>
      <c r="C7" s="14" t="s">
        <v>103</v>
      </c>
      <c r="D7" s="14" t="s">
        <v>76</v>
      </c>
      <c r="E7" s="14" t="s">
        <v>79</v>
      </c>
      <c r="F7" s="14" t="s">
        <v>79</v>
      </c>
      <c r="G7" s="14" t="s">
        <v>79</v>
      </c>
      <c r="H7" s="14" t="s">
        <v>79</v>
      </c>
      <c r="I7" s="14" t="s">
        <v>79</v>
      </c>
      <c r="J7" s="14" t="s">
        <v>79</v>
      </c>
      <c r="K7" s="14" t="s">
        <v>79</v>
      </c>
      <c r="L7" s="14" t="s">
        <v>79</v>
      </c>
      <c r="M7" s="14" t="s">
        <v>79</v>
      </c>
      <c r="N7" s="14" t="s">
        <v>79</v>
      </c>
      <c r="O7" s="14" t="s">
        <v>79</v>
      </c>
      <c r="P7" s="14" t="s">
        <v>79</v>
      </c>
      <c r="Q7" s="14" t="s">
        <v>3993</v>
      </c>
      <c r="R7" s="14" t="s">
        <v>86</v>
      </c>
      <c r="S7" s="14" t="s">
        <v>4365</v>
      </c>
      <c r="T7" s="14" t="s">
        <v>133</v>
      </c>
    </row>
    <row r="8" spans="1:20">
      <c r="A8" s="14" t="s">
        <v>293</v>
      </c>
      <c r="B8" s="14" t="s">
        <v>292</v>
      </c>
      <c r="C8" s="14" t="s">
        <v>178</v>
      </c>
      <c r="D8" s="14" t="s">
        <v>76</v>
      </c>
      <c r="E8" s="14" t="s">
        <v>79</v>
      </c>
      <c r="F8" s="14" t="s">
        <v>79</v>
      </c>
      <c r="G8" s="14" t="s">
        <v>79</v>
      </c>
      <c r="H8" s="14" t="s">
        <v>79</v>
      </c>
      <c r="I8" s="14" t="s">
        <v>79</v>
      </c>
      <c r="J8" s="14" t="s">
        <v>79</v>
      </c>
      <c r="K8" s="14" t="s">
        <v>79</v>
      </c>
      <c r="L8" s="14" t="s">
        <v>79</v>
      </c>
      <c r="M8" s="14" t="s">
        <v>79</v>
      </c>
      <c r="N8" s="14" t="s">
        <v>79</v>
      </c>
      <c r="O8" s="14" t="s">
        <v>79</v>
      </c>
      <c r="P8" s="14" t="s">
        <v>79</v>
      </c>
      <c r="Q8" s="14" t="s">
        <v>3993</v>
      </c>
      <c r="R8" s="14" t="s">
        <v>86</v>
      </c>
      <c r="S8" s="14" t="s">
        <v>4366</v>
      </c>
      <c r="T8" s="14" t="s">
        <v>462</v>
      </c>
    </row>
    <row r="9" spans="1:20">
      <c r="A9" s="14" t="s">
        <v>237</v>
      </c>
      <c r="B9" s="14" t="s">
        <v>235</v>
      </c>
      <c r="C9" s="14" t="s">
        <v>103</v>
      </c>
      <c r="D9" s="14" t="s">
        <v>76</v>
      </c>
      <c r="E9" s="14" t="s">
        <v>79</v>
      </c>
      <c r="F9" s="14" t="s">
        <v>79</v>
      </c>
      <c r="G9" s="14" t="s">
        <v>79</v>
      </c>
      <c r="H9" s="14" t="s">
        <v>79</v>
      </c>
      <c r="I9" s="14" t="s">
        <v>79</v>
      </c>
      <c r="J9" s="14" t="s">
        <v>79</v>
      </c>
      <c r="K9" s="14" t="s">
        <v>79</v>
      </c>
      <c r="L9" s="14" t="s">
        <v>79</v>
      </c>
      <c r="M9" s="14" t="s">
        <v>79</v>
      </c>
      <c r="N9" s="14" t="s">
        <v>79</v>
      </c>
      <c r="O9" s="14" t="s">
        <v>79</v>
      </c>
      <c r="P9" s="14" t="s">
        <v>79</v>
      </c>
      <c r="Q9" s="14" t="s">
        <v>3993</v>
      </c>
      <c r="R9" s="14" t="s">
        <v>86</v>
      </c>
      <c r="S9" s="14" t="s">
        <v>4364</v>
      </c>
      <c r="T9" s="14" t="s">
        <v>192</v>
      </c>
    </row>
    <row r="10" spans="1:20">
      <c r="A10" s="14" t="s">
        <v>232</v>
      </c>
      <c r="B10" s="14" t="s">
        <v>236</v>
      </c>
      <c r="C10" s="14" t="s">
        <v>234</v>
      </c>
      <c r="D10" s="14" t="s">
        <v>76</v>
      </c>
      <c r="E10" s="14" t="s">
        <v>79</v>
      </c>
      <c r="F10" s="14" t="s">
        <v>79</v>
      </c>
      <c r="G10" s="14" t="s">
        <v>79</v>
      </c>
      <c r="H10" s="14" t="s">
        <v>79</v>
      </c>
      <c r="I10" s="14" t="s">
        <v>79</v>
      </c>
      <c r="J10" s="14" t="s">
        <v>79</v>
      </c>
      <c r="K10" s="14" t="s">
        <v>79</v>
      </c>
      <c r="L10" s="14" t="s">
        <v>79</v>
      </c>
      <c r="M10" s="14" t="s">
        <v>79</v>
      </c>
      <c r="N10" s="14" t="s">
        <v>79</v>
      </c>
      <c r="O10" s="14" t="s">
        <v>79</v>
      </c>
      <c r="P10" s="14" t="s">
        <v>79</v>
      </c>
      <c r="Q10" s="14" t="s">
        <v>3993</v>
      </c>
      <c r="R10" s="14" t="s">
        <v>86</v>
      </c>
      <c r="S10" s="14" t="s">
        <v>4365</v>
      </c>
      <c r="T10" s="14" t="s">
        <v>133</v>
      </c>
    </row>
    <row r="11" spans="1:20">
      <c r="A11" s="14" t="s">
        <v>289</v>
      </c>
      <c r="B11" s="14" t="s">
        <v>288</v>
      </c>
      <c r="C11" s="14" t="s">
        <v>178</v>
      </c>
      <c r="D11" s="14" t="s">
        <v>76</v>
      </c>
      <c r="E11" s="14" t="s">
        <v>79</v>
      </c>
      <c r="F11" s="14" t="s">
        <v>79</v>
      </c>
      <c r="G11" s="14" t="s">
        <v>79</v>
      </c>
      <c r="H11" s="14" t="s">
        <v>79</v>
      </c>
      <c r="I11" s="14" t="s">
        <v>79</v>
      </c>
      <c r="J11" s="14" t="s">
        <v>79</v>
      </c>
      <c r="K11" s="14" t="s">
        <v>79</v>
      </c>
      <c r="L11" s="14" t="s">
        <v>79</v>
      </c>
      <c r="M11" s="14" t="s">
        <v>79</v>
      </c>
      <c r="N11" s="14" t="s">
        <v>79</v>
      </c>
      <c r="O11" s="14" t="s">
        <v>79</v>
      </c>
      <c r="P11" s="14" t="s">
        <v>79</v>
      </c>
      <c r="Q11" s="14" t="s">
        <v>3993</v>
      </c>
      <c r="R11" s="14" t="s">
        <v>86</v>
      </c>
      <c r="S11" s="14" t="s">
        <v>4365</v>
      </c>
      <c r="T11" s="14" t="s">
        <v>478</v>
      </c>
    </row>
    <row r="12" spans="1:20">
      <c r="A12" s="14" t="s">
        <v>227</v>
      </c>
      <c r="B12" s="14" t="s">
        <v>223</v>
      </c>
      <c r="C12" s="14" t="s">
        <v>222</v>
      </c>
      <c r="D12" s="14" t="s">
        <v>76</v>
      </c>
      <c r="E12" s="14" t="s">
        <v>79</v>
      </c>
      <c r="F12" s="14" t="s">
        <v>79</v>
      </c>
      <c r="G12" s="14" t="s">
        <v>79</v>
      </c>
      <c r="H12" s="14" t="s">
        <v>79</v>
      </c>
      <c r="I12" s="14" t="s">
        <v>79</v>
      </c>
      <c r="J12" s="14" t="s">
        <v>79</v>
      </c>
      <c r="K12" s="14" t="s">
        <v>79</v>
      </c>
      <c r="L12" s="14" t="s">
        <v>79</v>
      </c>
      <c r="M12" s="14" t="s">
        <v>79</v>
      </c>
      <c r="N12" s="14" t="s">
        <v>79</v>
      </c>
      <c r="O12" s="14" t="s">
        <v>79</v>
      </c>
      <c r="P12" s="14" t="s">
        <v>79</v>
      </c>
      <c r="Q12" s="14" t="s">
        <v>3993</v>
      </c>
      <c r="R12" s="14" t="s">
        <v>86</v>
      </c>
      <c r="S12" s="14" t="s">
        <v>4364</v>
      </c>
      <c r="T12" s="14" t="s">
        <v>192</v>
      </c>
    </row>
    <row r="13" spans="1:20">
      <c r="A13" s="14" t="s">
        <v>280</v>
      </c>
      <c r="B13" s="14" t="s">
        <v>278</v>
      </c>
      <c r="C13" s="14" t="s">
        <v>129</v>
      </c>
      <c r="D13" s="14" t="s">
        <v>76</v>
      </c>
      <c r="E13" s="14" t="s">
        <v>79</v>
      </c>
      <c r="F13" s="14" t="s">
        <v>79</v>
      </c>
      <c r="G13" s="14" t="s">
        <v>79</v>
      </c>
      <c r="H13" s="14" t="s">
        <v>79</v>
      </c>
      <c r="I13" s="14" t="s">
        <v>79</v>
      </c>
      <c r="J13" s="14" t="s">
        <v>79</v>
      </c>
      <c r="K13" s="14" t="s">
        <v>79</v>
      </c>
      <c r="L13" s="14" t="s">
        <v>79</v>
      </c>
      <c r="M13" s="14" t="s">
        <v>79</v>
      </c>
      <c r="N13" s="14" t="s">
        <v>79</v>
      </c>
      <c r="O13" s="14" t="s">
        <v>79</v>
      </c>
      <c r="P13" s="14" t="s">
        <v>79</v>
      </c>
      <c r="Q13" s="14" t="s">
        <v>3993</v>
      </c>
      <c r="R13" s="14" t="s">
        <v>86</v>
      </c>
      <c r="S13" s="14" t="s">
        <v>4362</v>
      </c>
      <c r="T13" s="14" t="s">
        <v>172</v>
      </c>
    </row>
    <row r="14" spans="1:20">
      <c r="A14" s="14" t="s">
        <v>233</v>
      </c>
      <c r="B14" s="14" t="s">
        <v>231</v>
      </c>
      <c r="C14" s="14" t="s">
        <v>103</v>
      </c>
      <c r="D14" s="14" t="s">
        <v>220</v>
      </c>
      <c r="E14" s="14" t="s">
        <v>79</v>
      </c>
      <c r="F14" s="14" t="s">
        <v>79</v>
      </c>
      <c r="G14" s="14" t="s">
        <v>79</v>
      </c>
      <c r="H14" s="14" t="s">
        <v>79</v>
      </c>
      <c r="I14" s="14" t="s">
        <v>79</v>
      </c>
      <c r="J14" s="14" t="s">
        <v>198</v>
      </c>
      <c r="K14" s="14" t="s">
        <v>79</v>
      </c>
      <c r="L14" s="14" t="s">
        <v>79</v>
      </c>
      <c r="M14" s="14" t="s">
        <v>79</v>
      </c>
      <c r="N14" s="14" t="s">
        <v>79</v>
      </c>
      <c r="O14" s="14" t="s">
        <v>79</v>
      </c>
      <c r="P14" s="14" t="s">
        <v>79</v>
      </c>
      <c r="Q14" s="14" t="s">
        <v>2160</v>
      </c>
      <c r="R14" s="14" t="s">
        <v>432</v>
      </c>
      <c r="S14" s="14" t="s">
        <v>4362</v>
      </c>
      <c r="T14" s="14" t="s">
        <v>172</v>
      </c>
    </row>
    <row r="15" spans="1:20">
      <c r="A15" s="14" t="s">
        <v>683</v>
      </c>
      <c r="B15" s="14" t="s">
        <v>685</v>
      </c>
      <c r="C15" s="14" t="s">
        <v>129</v>
      </c>
      <c r="D15" s="14" t="s">
        <v>597</v>
      </c>
      <c r="E15" s="14" t="s">
        <v>79</v>
      </c>
      <c r="F15" s="14" t="s">
        <v>79</v>
      </c>
      <c r="G15" s="14" t="s">
        <v>198</v>
      </c>
      <c r="H15" s="14" t="s">
        <v>198</v>
      </c>
      <c r="I15" s="14" t="s">
        <v>198</v>
      </c>
      <c r="J15" s="14" t="s">
        <v>198</v>
      </c>
      <c r="K15" s="14" t="s">
        <v>79</v>
      </c>
      <c r="L15" s="14" t="s">
        <v>198</v>
      </c>
      <c r="M15" s="14" t="s">
        <v>79</v>
      </c>
      <c r="N15" s="14" t="s">
        <v>198</v>
      </c>
      <c r="O15" s="14" t="s">
        <v>198</v>
      </c>
      <c r="P15" s="14" t="s">
        <v>198</v>
      </c>
      <c r="Q15" s="14" t="s">
        <v>2200</v>
      </c>
      <c r="R15" s="14" t="s">
        <v>598</v>
      </c>
      <c r="S15" s="14" t="s">
        <v>4367</v>
      </c>
      <c r="T15" s="14" t="s">
        <v>701</v>
      </c>
    </row>
    <row r="16" spans="1:20">
      <c r="A16" s="14" t="s">
        <v>202</v>
      </c>
      <c r="B16" s="14" t="s">
        <v>199</v>
      </c>
      <c r="C16" s="14" t="s">
        <v>178</v>
      </c>
      <c r="D16" s="14" t="s">
        <v>76</v>
      </c>
      <c r="E16" s="14" t="s">
        <v>79</v>
      </c>
      <c r="F16" s="14" t="s">
        <v>79</v>
      </c>
      <c r="G16" s="14" t="s">
        <v>79</v>
      </c>
      <c r="H16" s="14" t="s">
        <v>79</v>
      </c>
      <c r="I16" s="14" t="s">
        <v>79</v>
      </c>
      <c r="J16" s="14" t="s">
        <v>79</v>
      </c>
      <c r="K16" s="14" t="s">
        <v>79</v>
      </c>
      <c r="L16" s="14" t="s">
        <v>79</v>
      </c>
      <c r="M16" s="14" t="s">
        <v>79</v>
      </c>
      <c r="N16" s="14" t="s">
        <v>79</v>
      </c>
      <c r="O16" s="14" t="s">
        <v>79</v>
      </c>
      <c r="P16" s="14" t="s">
        <v>79</v>
      </c>
      <c r="Q16" s="14" t="s">
        <v>3993</v>
      </c>
      <c r="R16" s="14" t="s">
        <v>86</v>
      </c>
      <c r="S16" s="14" t="s">
        <v>4365</v>
      </c>
      <c r="T16" s="14" t="s">
        <v>133</v>
      </c>
    </row>
    <row r="17" spans="1:20">
      <c r="A17" s="14" t="s">
        <v>171</v>
      </c>
      <c r="B17" s="14" t="s">
        <v>175</v>
      </c>
      <c r="C17" s="14" t="s">
        <v>75</v>
      </c>
      <c r="D17" s="14" t="s">
        <v>76</v>
      </c>
      <c r="E17" s="14" t="s">
        <v>79</v>
      </c>
      <c r="F17" s="14" t="s">
        <v>79</v>
      </c>
      <c r="G17" s="14" t="s">
        <v>79</v>
      </c>
      <c r="H17" s="14" t="s">
        <v>79</v>
      </c>
      <c r="I17" s="14" t="s">
        <v>79</v>
      </c>
      <c r="J17" s="14" t="s">
        <v>79</v>
      </c>
      <c r="K17" s="14" t="s">
        <v>79</v>
      </c>
      <c r="L17" s="14" t="s">
        <v>79</v>
      </c>
      <c r="M17" s="14" t="s">
        <v>79</v>
      </c>
      <c r="N17" s="14" t="s">
        <v>79</v>
      </c>
      <c r="O17" s="14" t="s">
        <v>79</v>
      </c>
      <c r="P17" s="14" t="s">
        <v>79</v>
      </c>
      <c r="Q17" s="14" t="s">
        <v>3993</v>
      </c>
      <c r="R17" s="14" t="s">
        <v>86</v>
      </c>
      <c r="S17" s="14" t="s">
        <v>4365</v>
      </c>
      <c r="T17" s="14" t="s">
        <v>133</v>
      </c>
    </row>
    <row r="18" spans="1:20">
      <c r="A18" s="14" t="s">
        <v>240</v>
      </c>
      <c r="B18" s="14" t="s">
        <v>239</v>
      </c>
      <c r="C18" s="14" t="s">
        <v>75</v>
      </c>
      <c r="D18" s="14" t="s">
        <v>76</v>
      </c>
      <c r="E18" s="14" t="s">
        <v>79</v>
      </c>
      <c r="F18" s="14" t="s">
        <v>79</v>
      </c>
      <c r="G18" s="14" t="s">
        <v>79</v>
      </c>
      <c r="H18" s="14" t="s">
        <v>79</v>
      </c>
      <c r="I18" s="14" t="s">
        <v>79</v>
      </c>
      <c r="J18" s="14" t="s">
        <v>79</v>
      </c>
      <c r="K18" s="14" t="s">
        <v>79</v>
      </c>
      <c r="L18" s="14" t="s">
        <v>79</v>
      </c>
      <c r="M18" s="14" t="s">
        <v>79</v>
      </c>
      <c r="N18" s="14" t="s">
        <v>79</v>
      </c>
      <c r="O18" s="14" t="s">
        <v>79</v>
      </c>
      <c r="P18" s="14" t="s">
        <v>79</v>
      </c>
      <c r="Q18" s="14" t="s">
        <v>3993</v>
      </c>
      <c r="R18" s="14" t="s">
        <v>86</v>
      </c>
      <c r="S18" s="14" t="s">
        <v>4362</v>
      </c>
      <c r="T18" s="14" t="s">
        <v>172</v>
      </c>
    </row>
    <row r="19" spans="1:20">
      <c r="A19" s="14" t="s">
        <v>273</v>
      </c>
      <c r="B19" s="14" t="s">
        <v>270</v>
      </c>
      <c r="C19" s="14" t="s">
        <v>261</v>
      </c>
      <c r="D19" s="14" t="s">
        <v>76</v>
      </c>
      <c r="E19" s="14" t="s">
        <v>79</v>
      </c>
      <c r="F19" s="14" t="s">
        <v>79</v>
      </c>
      <c r="G19" s="14" t="s">
        <v>79</v>
      </c>
      <c r="H19" s="14" t="s">
        <v>79</v>
      </c>
      <c r="I19" s="14" t="s">
        <v>79</v>
      </c>
      <c r="J19" s="14" t="s">
        <v>79</v>
      </c>
      <c r="K19" s="14" t="s">
        <v>79</v>
      </c>
      <c r="L19" s="14" t="s">
        <v>79</v>
      </c>
      <c r="M19" s="14" t="s">
        <v>79</v>
      </c>
      <c r="N19" s="14" t="s">
        <v>79</v>
      </c>
      <c r="O19" s="14" t="s">
        <v>79</v>
      </c>
      <c r="P19" s="14" t="s">
        <v>79</v>
      </c>
      <c r="Q19" s="14" t="s">
        <v>3993</v>
      </c>
      <c r="R19" s="14" t="s">
        <v>86</v>
      </c>
      <c r="S19" s="14" t="s">
        <v>4364</v>
      </c>
      <c r="T19" s="14" t="s">
        <v>192</v>
      </c>
    </row>
    <row r="20" spans="1:20">
      <c r="A20" s="14" t="s">
        <v>263</v>
      </c>
      <c r="B20" s="14" t="s">
        <v>262</v>
      </c>
      <c r="C20" s="14" t="s">
        <v>129</v>
      </c>
      <c r="D20" s="14" t="s">
        <v>220</v>
      </c>
      <c r="E20" s="14" t="s">
        <v>79</v>
      </c>
      <c r="F20" s="14" t="s">
        <v>79</v>
      </c>
      <c r="G20" s="14" t="s">
        <v>79</v>
      </c>
      <c r="H20" s="14" t="s">
        <v>79</v>
      </c>
      <c r="I20" s="14" t="s">
        <v>79</v>
      </c>
      <c r="J20" s="14" t="s">
        <v>79</v>
      </c>
      <c r="K20" s="14" t="s">
        <v>79</v>
      </c>
      <c r="L20" s="14" t="s">
        <v>198</v>
      </c>
      <c r="M20" s="14" t="s">
        <v>79</v>
      </c>
      <c r="N20" s="14" t="s">
        <v>79</v>
      </c>
      <c r="O20" s="14" t="s">
        <v>79</v>
      </c>
      <c r="P20" s="14" t="s">
        <v>79</v>
      </c>
      <c r="Q20" s="14" t="s">
        <v>2160</v>
      </c>
      <c r="R20" s="14" t="s">
        <v>326</v>
      </c>
      <c r="S20" s="14" t="s">
        <v>4368</v>
      </c>
      <c r="T20" s="14" t="s">
        <v>514</v>
      </c>
    </row>
    <row r="21" spans="1:20">
      <c r="A21" s="14" t="s">
        <v>516</v>
      </c>
      <c r="B21" s="14" t="s">
        <v>517</v>
      </c>
      <c r="C21" s="14" t="s">
        <v>178</v>
      </c>
      <c r="D21" s="14" t="s">
        <v>220</v>
      </c>
      <c r="E21" s="14" t="s">
        <v>79</v>
      </c>
      <c r="F21" s="14" t="s">
        <v>79</v>
      </c>
      <c r="G21" s="14" t="s">
        <v>79</v>
      </c>
      <c r="H21" s="14" t="s">
        <v>79</v>
      </c>
      <c r="I21" s="14" t="s">
        <v>79</v>
      </c>
      <c r="J21" s="14" t="s">
        <v>198</v>
      </c>
      <c r="K21" s="14" t="s">
        <v>79</v>
      </c>
      <c r="L21" s="14" t="s">
        <v>79</v>
      </c>
      <c r="M21" s="14" t="s">
        <v>79</v>
      </c>
      <c r="N21" s="14" t="s">
        <v>79</v>
      </c>
      <c r="O21" s="14" t="s">
        <v>79</v>
      </c>
      <c r="P21" s="14" t="s">
        <v>79</v>
      </c>
      <c r="Q21" s="14" t="s">
        <v>2160</v>
      </c>
      <c r="R21" s="14" t="s">
        <v>432</v>
      </c>
      <c r="S21" s="14" t="s">
        <v>4369</v>
      </c>
      <c r="T21" s="14" t="s">
        <v>532</v>
      </c>
    </row>
    <row r="22" spans="1:20">
      <c r="A22" s="14" t="s">
        <v>184</v>
      </c>
      <c r="B22" s="14" t="s">
        <v>188</v>
      </c>
      <c r="C22" s="14" t="s">
        <v>75</v>
      </c>
      <c r="D22" s="14" t="s">
        <v>76</v>
      </c>
      <c r="E22" s="14" t="s">
        <v>79</v>
      </c>
      <c r="F22" s="14" t="s">
        <v>79</v>
      </c>
      <c r="G22" s="14" t="s">
        <v>79</v>
      </c>
      <c r="H22" s="14" t="s">
        <v>79</v>
      </c>
      <c r="I22" s="14" t="s">
        <v>79</v>
      </c>
      <c r="J22" s="14" t="s">
        <v>79</v>
      </c>
      <c r="K22" s="14" t="s">
        <v>79</v>
      </c>
      <c r="L22" s="14" t="s">
        <v>79</v>
      </c>
      <c r="M22" s="14" t="s">
        <v>79</v>
      </c>
      <c r="N22" s="14" t="s">
        <v>79</v>
      </c>
      <c r="O22" s="14" t="s">
        <v>79</v>
      </c>
      <c r="P22" s="14" t="s">
        <v>79</v>
      </c>
      <c r="Q22" s="14" t="s">
        <v>3993</v>
      </c>
      <c r="R22" s="14" t="s">
        <v>86</v>
      </c>
      <c r="S22" s="14" t="s">
        <v>4365</v>
      </c>
      <c r="T22" s="14" t="s">
        <v>133</v>
      </c>
    </row>
    <row r="23" spans="1:20">
      <c r="A23" s="14" t="s">
        <v>187</v>
      </c>
      <c r="B23" s="14" t="s">
        <v>185</v>
      </c>
      <c r="C23" s="14" t="s">
        <v>75</v>
      </c>
      <c r="D23" s="14" t="s">
        <v>76</v>
      </c>
      <c r="E23" s="14" t="s">
        <v>79</v>
      </c>
      <c r="F23" s="14" t="s">
        <v>79</v>
      </c>
      <c r="G23" s="14" t="s">
        <v>79</v>
      </c>
      <c r="H23" s="14" t="s">
        <v>79</v>
      </c>
      <c r="I23" s="14" t="s">
        <v>79</v>
      </c>
      <c r="J23" s="14" t="s">
        <v>79</v>
      </c>
      <c r="K23" s="14" t="s">
        <v>79</v>
      </c>
      <c r="L23" s="14" t="s">
        <v>79</v>
      </c>
      <c r="M23" s="14" t="s">
        <v>79</v>
      </c>
      <c r="N23" s="14" t="s">
        <v>79</v>
      </c>
      <c r="O23" s="14" t="s">
        <v>79</v>
      </c>
      <c r="P23" s="14" t="s">
        <v>79</v>
      </c>
      <c r="Q23" s="14" t="s">
        <v>3993</v>
      </c>
      <c r="R23" s="14" t="s">
        <v>86</v>
      </c>
      <c r="S23" s="14" t="s">
        <v>4364</v>
      </c>
      <c r="T23" s="14" t="s">
        <v>192</v>
      </c>
    </row>
    <row r="24" spans="1:20">
      <c r="A24" s="14" t="s">
        <v>190</v>
      </c>
      <c r="B24" s="14" t="s">
        <v>189</v>
      </c>
      <c r="C24" s="14" t="s">
        <v>75</v>
      </c>
      <c r="D24" s="14" t="s">
        <v>76</v>
      </c>
      <c r="E24" s="14" t="s">
        <v>79</v>
      </c>
      <c r="F24" s="14" t="s">
        <v>79</v>
      </c>
      <c r="G24" s="14" t="s">
        <v>79</v>
      </c>
      <c r="H24" s="14" t="s">
        <v>79</v>
      </c>
      <c r="I24" s="14" t="s">
        <v>79</v>
      </c>
      <c r="J24" s="14" t="s">
        <v>79</v>
      </c>
      <c r="K24" s="14" t="s">
        <v>79</v>
      </c>
      <c r="L24" s="14" t="s">
        <v>79</v>
      </c>
      <c r="M24" s="14" t="s">
        <v>79</v>
      </c>
      <c r="N24" s="14" t="s">
        <v>79</v>
      </c>
      <c r="O24" s="14" t="s">
        <v>79</v>
      </c>
      <c r="P24" s="14" t="s">
        <v>79</v>
      </c>
      <c r="Q24" s="14" t="s">
        <v>3993</v>
      </c>
      <c r="R24" s="14" t="s">
        <v>86</v>
      </c>
      <c r="S24" s="14" t="s">
        <v>4362</v>
      </c>
      <c r="T24" s="14" t="s">
        <v>172</v>
      </c>
    </row>
    <row r="25" spans="1:20">
      <c r="A25" s="14" t="s">
        <v>197</v>
      </c>
      <c r="B25" s="14" t="s">
        <v>196</v>
      </c>
      <c r="C25" s="14" t="s">
        <v>167</v>
      </c>
      <c r="D25" s="14" t="s">
        <v>76</v>
      </c>
      <c r="E25" s="14" t="s">
        <v>79</v>
      </c>
      <c r="F25" s="14" t="s">
        <v>79</v>
      </c>
      <c r="G25" s="14" t="s">
        <v>79</v>
      </c>
      <c r="H25" s="14" t="s">
        <v>79</v>
      </c>
      <c r="I25" s="14" t="s">
        <v>79</v>
      </c>
      <c r="J25" s="14" t="s">
        <v>79</v>
      </c>
      <c r="K25" s="14" t="s">
        <v>79</v>
      </c>
      <c r="L25" s="14" t="s">
        <v>79</v>
      </c>
      <c r="M25" s="14" t="s">
        <v>79</v>
      </c>
      <c r="N25" s="14" t="s">
        <v>79</v>
      </c>
      <c r="O25" s="14" t="s">
        <v>79</v>
      </c>
      <c r="P25" s="14" t="s">
        <v>79</v>
      </c>
      <c r="Q25" s="14" t="s">
        <v>3993</v>
      </c>
      <c r="R25" s="14" t="s">
        <v>86</v>
      </c>
      <c r="S25" s="14" t="s">
        <v>4362</v>
      </c>
      <c r="T25" s="14" t="s">
        <v>172</v>
      </c>
    </row>
    <row r="26" spans="1:20">
      <c r="A26" s="14" t="s">
        <v>219</v>
      </c>
      <c r="B26" s="14" t="s">
        <v>217</v>
      </c>
      <c r="C26" s="14" t="s">
        <v>158</v>
      </c>
      <c r="D26" s="14" t="s">
        <v>220</v>
      </c>
      <c r="E26" s="14" t="s">
        <v>79</v>
      </c>
      <c r="F26" s="14" t="s">
        <v>79</v>
      </c>
      <c r="G26" s="14" t="s">
        <v>79</v>
      </c>
      <c r="H26" s="14" t="s">
        <v>79</v>
      </c>
      <c r="I26" s="14" t="s">
        <v>79</v>
      </c>
      <c r="J26" s="14" t="s">
        <v>198</v>
      </c>
      <c r="K26" s="14" t="s">
        <v>79</v>
      </c>
      <c r="L26" s="14" t="s">
        <v>79</v>
      </c>
      <c r="M26" s="14" t="s">
        <v>79</v>
      </c>
      <c r="N26" s="14" t="s">
        <v>79</v>
      </c>
      <c r="O26" s="14" t="s">
        <v>79</v>
      </c>
      <c r="P26" s="14" t="s">
        <v>79</v>
      </c>
      <c r="Q26" s="14" t="s">
        <v>2160</v>
      </c>
      <c r="R26" s="14" t="s">
        <v>432</v>
      </c>
      <c r="S26" s="14" t="s">
        <v>4362</v>
      </c>
      <c r="T26" s="14" t="s">
        <v>172</v>
      </c>
    </row>
    <row r="27" spans="1:20">
      <c r="A27" s="14" t="s">
        <v>212</v>
      </c>
      <c r="B27" s="14" t="s">
        <v>211</v>
      </c>
      <c r="C27" s="14" t="s">
        <v>568</v>
      </c>
      <c r="D27" s="14" t="s">
        <v>76</v>
      </c>
      <c r="E27" s="14" t="s">
        <v>79</v>
      </c>
      <c r="F27" s="14" t="s">
        <v>79</v>
      </c>
      <c r="G27" s="14" t="s">
        <v>79</v>
      </c>
      <c r="H27" s="14" t="s">
        <v>79</v>
      </c>
      <c r="I27" s="14" t="s">
        <v>79</v>
      </c>
      <c r="J27" s="14" t="s">
        <v>79</v>
      </c>
      <c r="K27" s="14" t="s">
        <v>79</v>
      </c>
      <c r="L27" s="14" t="s">
        <v>79</v>
      </c>
      <c r="M27" s="14" t="s">
        <v>79</v>
      </c>
      <c r="N27" s="14" t="s">
        <v>79</v>
      </c>
      <c r="O27" s="14" t="s">
        <v>79</v>
      </c>
      <c r="P27" s="14" t="s">
        <v>79</v>
      </c>
      <c r="Q27" s="14" t="s">
        <v>3993</v>
      </c>
      <c r="R27" s="14" t="s">
        <v>86</v>
      </c>
      <c r="S27" s="14" t="s">
        <v>4364</v>
      </c>
      <c r="T27" s="14" t="s">
        <v>192</v>
      </c>
    </row>
    <row r="28" spans="1:20">
      <c r="A28" s="14" t="s">
        <v>259</v>
      </c>
      <c r="B28" s="14" t="s">
        <v>254</v>
      </c>
      <c r="C28" s="14" t="s">
        <v>178</v>
      </c>
      <c r="D28" s="14" t="s">
        <v>76</v>
      </c>
      <c r="E28" s="14" t="s">
        <v>79</v>
      </c>
      <c r="F28" s="14" t="s">
        <v>79</v>
      </c>
      <c r="G28" s="14" t="s">
        <v>79</v>
      </c>
      <c r="H28" s="14" t="s">
        <v>79</v>
      </c>
      <c r="I28" s="14" t="s">
        <v>79</v>
      </c>
      <c r="J28" s="14" t="s">
        <v>79</v>
      </c>
      <c r="K28" s="14" t="s">
        <v>79</v>
      </c>
      <c r="L28" s="14" t="s">
        <v>79</v>
      </c>
      <c r="M28" s="14" t="s">
        <v>79</v>
      </c>
      <c r="N28" s="14" t="s">
        <v>79</v>
      </c>
      <c r="O28" s="14" t="s">
        <v>79</v>
      </c>
      <c r="P28" s="14" t="s">
        <v>79</v>
      </c>
      <c r="Q28" s="14" t="s">
        <v>3993</v>
      </c>
      <c r="R28" s="14" t="s">
        <v>86</v>
      </c>
      <c r="S28" s="14" t="s">
        <v>4362</v>
      </c>
      <c r="T28" s="14" t="s">
        <v>172</v>
      </c>
    </row>
    <row r="29" spans="1:20">
      <c r="A29" s="14" t="s">
        <v>253</v>
      </c>
      <c r="B29" s="14" t="s">
        <v>252</v>
      </c>
      <c r="C29" s="14" t="s">
        <v>178</v>
      </c>
      <c r="D29" s="14" t="s">
        <v>76</v>
      </c>
      <c r="E29" s="14" t="s">
        <v>79</v>
      </c>
      <c r="F29" s="14" t="s">
        <v>79</v>
      </c>
      <c r="G29" s="14" t="s">
        <v>79</v>
      </c>
      <c r="H29" s="14" t="s">
        <v>79</v>
      </c>
      <c r="I29" s="14" t="s">
        <v>79</v>
      </c>
      <c r="J29" s="14" t="s">
        <v>79</v>
      </c>
      <c r="K29" s="14" t="s">
        <v>79</v>
      </c>
      <c r="L29" s="14" t="s">
        <v>79</v>
      </c>
      <c r="M29" s="14" t="s">
        <v>79</v>
      </c>
      <c r="N29" s="14" t="s">
        <v>79</v>
      </c>
      <c r="O29" s="14" t="s">
        <v>79</v>
      </c>
      <c r="P29" s="14" t="s">
        <v>79</v>
      </c>
      <c r="Q29" s="14" t="s">
        <v>3993</v>
      </c>
      <c r="R29" s="14" t="s">
        <v>86</v>
      </c>
      <c r="S29" s="14" t="s">
        <v>4364</v>
      </c>
      <c r="T29" s="14" t="s">
        <v>192</v>
      </c>
    </row>
    <row r="30" spans="1:20">
      <c r="A30" s="14" t="s">
        <v>244</v>
      </c>
      <c r="B30" s="14" t="s">
        <v>243</v>
      </c>
      <c r="C30" s="14" t="s">
        <v>178</v>
      </c>
      <c r="D30" s="14" t="s">
        <v>76</v>
      </c>
      <c r="E30" s="14" t="s">
        <v>79</v>
      </c>
      <c r="F30" s="14" t="s">
        <v>79</v>
      </c>
      <c r="G30" s="14" t="s">
        <v>79</v>
      </c>
      <c r="H30" s="14" t="s">
        <v>79</v>
      </c>
      <c r="I30" s="14" t="s">
        <v>79</v>
      </c>
      <c r="J30" s="14" t="s">
        <v>79</v>
      </c>
      <c r="K30" s="14" t="s">
        <v>79</v>
      </c>
      <c r="L30" s="14" t="s">
        <v>79</v>
      </c>
      <c r="M30" s="14" t="s">
        <v>79</v>
      </c>
      <c r="N30" s="14" t="s">
        <v>79</v>
      </c>
      <c r="O30" s="14" t="s">
        <v>79</v>
      </c>
      <c r="P30" s="14" t="s">
        <v>79</v>
      </c>
      <c r="Q30" s="14" t="s">
        <v>3993</v>
      </c>
      <c r="R30" s="14" t="s">
        <v>86</v>
      </c>
      <c r="S30" s="14" t="s">
        <v>4364</v>
      </c>
      <c r="T30" s="14" t="s">
        <v>192</v>
      </c>
    </row>
    <row r="31" spans="1:20">
      <c r="A31" s="14" t="s">
        <v>248</v>
      </c>
      <c r="B31" s="14" t="s">
        <v>246</v>
      </c>
      <c r="C31" s="14" t="s">
        <v>178</v>
      </c>
      <c r="D31" s="14" t="s">
        <v>76</v>
      </c>
      <c r="E31" s="14" t="s">
        <v>79</v>
      </c>
      <c r="F31" s="14" t="s">
        <v>79</v>
      </c>
      <c r="G31" s="14" t="s">
        <v>79</v>
      </c>
      <c r="H31" s="14" t="s">
        <v>79</v>
      </c>
      <c r="I31" s="14" t="s">
        <v>79</v>
      </c>
      <c r="J31" s="14" t="s">
        <v>79</v>
      </c>
      <c r="K31" s="14" t="s">
        <v>79</v>
      </c>
      <c r="L31" s="14" t="s">
        <v>79</v>
      </c>
      <c r="M31" s="14" t="s">
        <v>79</v>
      </c>
      <c r="N31" s="14" t="s">
        <v>79</v>
      </c>
      <c r="O31" s="14" t="s">
        <v>79</v>
      </c>
      <c r="P31" s="14" t="s">
        <v>79</v>
      </c>
      <c r="Q31" s="14" t="s">
        <v>3993</v>
      </c>
      <c r="R31" s="14" t="s">
        <v>86</v>
      </c>
      <c r="S31" s="14" t="s">
        <v>4365</v>
      </c>
      <c r="T31" s="14" t="s">
        <v>133</v>
      </c>
    </row>
    <row r="32" spans="1:20">
      <c r="A32" s="14" t="s">
        <v>170</v>
      </c>
      <c r="B32" s="14" t="s">
        <v>169</v>
      </c>
      <c r="C32" s="14" t="s">
        <v>167</v>
      </c>
      <c r="D32" s="14" t="s">
        <v>76</v>
      </c>
      <c r="E32" s="14" t="s">
        <v>79</v>
      </c>
      <c r="F32" s="14" t="s">
        <v>79</v>
      </c>
      <c r="G32" s="14" t="s">
        <v>79</v>
      </c>
      <c r="H32" s="14" t="s">
        <v>79</v>
      </c>
      <c r="I32" s="14" t="s">
        <v>79</v>
      </c>
      <c r="J32" s="14" t="s">
        <v>79</v>
      </c>
      <c r="K32" s="14" t="s">
        <v>79</v>
      </c>
      <c r="L32" s="14" t="s">
        <v>79</v>
      </c>
      <c r="M32" s="14" t="s">
        <v>79</v>
      </c>
      <c r="N32" s="14" t="s">
        <v>79</v>
      </c>
      <c r="O32" s="14" t="s">
        <v>79</v>
      </c>
      <c r="P32" s="14" t="s">
        <v>79</v>
      </c>
      <c r="Q32" s="14" t="s">
        <v>3993</v>
      </c>
      <c r="R32" s="14" t="s">
        <v>86</v>
      </c>
      <c r="S32" s="14" t="s">
        <v>4364</v>
      </c>
      <c r="T32" s="14" t="s">
        <v>192</v>
      </c>
    </row>
    <row r="33" spans="1:20">
      <c r="A33" s="14" t="s">
        <v>82</v>
      </c>
      <c r="B33" s="14" t="s">
        <v>78</v>
      </c>
      <c r="C33" s="14" t="s">
        <v>75</v>
      </c>
      <c r="D33" s="14" t="s">
        <v>76</v>
      </c>
      <c r="E33" s="14" t="s">
        <v>79</v>
      </c>
      <c r="F33" s="14" t="s">
        <v>79</v>
      </c>
      <c r="G33" s="14" t="s">
        <v>79</v>
      </c>
      <c r="H33" s="14" t="s">
        <v>79</v>
      </c>
      <c r="I33" s="14" t="s">
        <v>79</v>
      </c>
      <c r="J33" s="14" t="s">
        <v>79</v>
      </c>
      <c r="K33" s="14" t="s">
        <v>79</v>
      </c>
      <c r="L33" s="14" t="s">
        <v>79</v>
      </c>
      <c r="M33" s="14" t="s">
        <v>79</v>
      </c>
      <c r="N33" s="14" t="s">
        <v>79</v>
      </c>
      <c r="O33" s="14" t="s">
        <v>79</v>
      </c>
      <c r="P33" s="14" t="s">
        <v>79</v>
      </c>
      <c r="Q33" s="14" t="s">
        <v>3993</v>
      </c>
      <c r="R33" s="14" t="s">
        <v>86</v>
      </c>
      <c r="S33" s="14" t="s">
        <v>4364</v>
      </c>
      <c r="T33" s="14" t="s">
        <v>192</v>
      </c>
    </row>
    <row r="34" spans="1:20">
      <c r="A34" s="14" t="s">
        <v>176</v>
      </c>
      <c r="B34" s="14" t="s">
        <v>174</v>
      </c>
      <c r="C34" s="14" t="s">
        <v>75</v>
      </c>
      <c r="D34" s="14" t="s">
        <v>76</v>
      </c>
      <c r="E34" s="14" t="s">
        <v>79</v>
      </c>
      <c r="F34" s="14" t="s">
        <v>79</v>
      </c>
      <c r="G34" s="14" t="s">
        <v>79</v>
      </c>
      <c r="H34" s="14" t="s">
        <v>79</v>
      </c>
      <c r="I34" s="14" t="s">
        <v>79</v>
      </c>
      <c r="J34" s="14" t="s">
        <v>79</v>
      </c>
      <c r="K34" s="14" t="s">
        <v>79</v>
      </c>
      <c r="L34" s="14" t="s">
        <v>79</v>
      </c>
      <c r="M34" s="14" t="s">
        <v>79</v>
      </c>
      <c r="N34" s="14" t="s">
        <v>79</v>
      </c>
      <c r="O34" s="14" t="s">
        <v>79</v>
      </c>
      <c r="P34" s="14" t="s">
        <v>79</v>
      </c>
      <c r="Q34" s="14" t="s">
        <v>3993</v>
      </c>
      <c r="R34" s="14" t="s">
        <v>86</v>
      </c>
      <c r="S34" s="14" t="s">
        <v>4365</v>
      </c>
      <c r="T34" s="14" t="s">
        <v>133</v>
      </c>
    </row>
    <row r="35" spans="1:20">
      <c r="A35" s="14" t="s">
        <v>116</v>
      </c>
      <c r="B35" s="14" t="s">
        <v>109</v>
      </c>
      <c r="C35" s="14" t="s">
        <v>103</v>
      </c>
      <c r="D35" s="14" t="s">
        <v>76</v>
      </c>
      <c r="E35" s="14" t="s">
        <v>79</v>
      </c>
      <c r="F35" s="14" t="s">
        <v>79</v>
      </c>
      <c r="G35" s="14" t="s">
        <v>79</v>
      </c>
      <c r="H35" s="14" t="s">
        <v>79</v>
      </c>
      <c r="I35" s="14" t="s">
        <v>79</v>
      </c>
      <c r="J35" s="14" t="s">
        <v>79</v>
      </c>
      <c r="K35" s="14" t="s">
        <v>79</v>
      </c>
      <c r="L35" s="14" t="s">
        <v>79</v>
      </c>
      <c r="M35" s="14" t="s">
        <v>79</v>
      </c>
      <c r="N35" s="14" t="s">
        <v>79</v>
      </c>
      <c r="O35" s="14" t="s">
        <v>79</v>
      </c>
      <c r="P35" s="14" t="s">
        <v>79</v>
      </c>
      <c r="Q35" s="14" t="s">
        <v>3993</v>
      </c>
      <c r="R35" s="14" t="s">
        <v>86</v>
      </c>
      <c r="S35" s="14" t="s">
        <v>4364</v>
      </c>
      <c r="T35" s="14" t="s">
        <v>192</v>
      </c>
    </row>
    <row r="36" spans="1:20">
      <c r="A36" s="14" t="s">
        <v>154</v>
      </c>
      <c r="B36" s="14" t="s">
        <v>153</v>
      </c>
      <c r="C36" s="14" t="s">
        <v>152</v>
      </c>
      <c r="D36" s="14" t="s">
        <v>76</v>
      </c>
      <c r="E36" s="14" t="s">
        <v>79</v>
      </c>
      <c r="F36" s="14" t="s">
        <v>79</v>
      </c>
      <c r="G36" s="14" t="s">
        <v>79</v>
      </c>
      <c r="H36" s="14" t="s">
        <v>79</v>
      </c>
      <c r="I36" s="14" t="s">
        <v>79</v>
      </c>
      <c r="J36" s="14" t="s">
        <v>79</v>
      </c>
      <c r="K36" s="14" t="s">
        <v>79</v>
      </c>
      <c r="L36" s="14" t="s">
        <v>79</v>
      </c>
      <c r="M36" s="14" t="s">
        <v>79</v>
      </c>
      <c r="N36" s="14" t="s">
        <v>79</v>
      </c>
      <c r="O36" s="14" t="s">
        <v>79</v>
      </c>
      <c r="P36" s="14" t="s">
        <v>79</v>
      </c>
      <c r="Q36" s="14" t="s">
        <v>3993</v>
      </c>
      <c r="R36" s="14" t="s">
        <v>86</v>
      </c>
      <c r="S36" s="14" t="s">
        <v>4362</v>
      </c>
      <c r="T36" s="14" t="s">
        <v>172</v>
      </c>
    </row>
    <row r="37" spans="1:20">
      <c r="A37" s="14" t="s">
        <v>165</v>
      </c>
      <c r="B37" s="14" t="s">
        <v>160</v>
      </c>
      <c r="C37" s="14" t="s">
        <v>158</v>
      </c>
      <c r="D37" s="14" t="s">
        <v>76</v>
      </c>
      <c r="E37" s="14" t="s">
        <v>79</v>
      </c>
      <c r="F37" s="14" t="s">
        <v>79</v>
      </c>
      <c r="G37" s="14" t="s">
        <v>79</v>
      </c>
      <c r="H37" s="14" t="s">
        <v>79</v>
      </c>
      <c r="I37" s="14" t="s">
        <v>79</v>
      </c>
      <c r="J37" s="14" t="s">
        <v>79</v>
      </c>
      <c r="K37" s="14" t="s">
        <v>79</v>
      </c>
      <c r="L37" s="14" t="s">
        <v>79</v>
      </c>
      <c r="M37" s="14" t="s">
        <v>79</v>
      </c>
      <c r="N37" s="14" t="s">
        <v>79</v>
      </c>
      <c r="O37" s="14" t="s">
        <v>79</v>
      </c>
      <c r="P37" s="14" t="s">
        <v>79</v>
      </c>
      <c r="Q37" s="14" t="s">
        <v>3993</v>
      </c>
      <c r="R37" s="14" t="s">
        <v>86</v>
      </c>
      <c r="S37" s="14" t="s">
        <v>4365</v>
      </c>
      <c r="T37" s="14" t="s">
        <v>133</v>
      </c>
    </row>
    <row r="38" spans="1:20">
      <c r="A38" s="14" t="s">
        <v>137</v>
      </c>
      <c r="B38" s="14" t="s">
        <v>127</v>
      </c>
      <c r="C38" s="14" t="s">
        <v>75</v>
      </c>
      <c r="D38" s="14" t="s">
        <v>76</v>
      </c>
      <c r="E38" s="14" t="s">
        <v>79</v>
      </c>
      <c r="F38" s="14" t="s">
        <v>79</v>
      </c>
      <c r="G38" s="14" t="s">
        <v>79</v>
      </c>
      <c r="H38" s="14" t="s">
        <v>79</v>
      </c>
      <c r="I38" s="14" t="s">
        <v>79</v>
      </c>
      <c r="J38" s="14" t="s">
        <v>79</v>
      </c>
      <c r="K38" s="14" t="s">
        <v>79</v>
      </c>
      <c r="L38" s="14" t="s">
        <v>79</v>
      </c>
      <c r="M38" s="14" t="s">
        <v>79</v>
      </c>
      <c r="N38" s="14" t="s">
        <v>79</v>
      </c>
      <c r="O38" s="14" t="s">
        <v>79</v>
      </c>
      <c r="P38" s="14" t="s">
        <v>79</v>
      </c>
      <c r="Q38" s="14" t="s">
        <v>3993</v>
      </c>
      <c r="R38" s="14" t="s">
        <v>86</v>
      </c>
      <c r="S38" s="14" t="s">
        <v>4364</v>
      </c>
      <c r="T38" s="14" t="s">
        <v>192</v>
      </c>
    </row>
    <row r="39" spans="1:20">
      <c r="A39" s="14" t="s">
        <v>151</v>
      </c>
      <c r="B39" s="14" t="s">
        <v>149</v>
      </c>
      <c r="C39" s="14" t="s">
        <v>147</v>
      </c>
      <c r="D39" s="14" t="s">
        <v>76</v>
      </c>
      <c r="E39" s="14" t="s">
        <v>79</v>
      </c>
      <c r="F39" s="14" t="s">
        <v>79</v>
      </c>
      <c r="G39" s="14" t="s">
        <v>79</v>
      </c>
      <c r="H39" s="14" t="s">
        <v>79</v>
      </c>
      <c r="I39" s="14" t="s">
        <v>79</v>
      </c>
      <c r="J39" s="14" t="s">
        <v>79</v>
      </c>
      <c r="K39" s="14" t="s">
        <v>79</v>
      </c>
      <c r="L39" s="14" t="s">
        <v>79</v>
      </c>
      <c r="M39" s="14" t="s">
        <v>79</v>
      </c>
      <c r="N39" s="14" t="s">
        <v>79</v>
      </c>
      <c r="O39" s="14" t="s">
        <v>79</v>
      </c>
      <c r="P39" s="14" t="s">
        <v>79</v>
      </c>
      <c r="Q39" s="14" t="s">
        <v>3993</v>
      </c>
      <c r="R39" s="14" t="s">
        <v>86</v>
      </c>
      <c r="S39" s="14" t="s">
        <v>4364</v>
      </c>
      <c r="T39" s="14" t="s">
        <v>192</v>
      </c>
    </row>
    <row r="40" spans="1:20">
      <c r="A40" s="14" t="s">
        <v>180</v>
      </c>
      <c r="B40" s="14" t="s">
        <v>179</v>
      </c>
      <c r="C40" s="14" t="s">
        <v>178</v>
      </c>
      <c r="D40" s="14" t="s">
        <v>76</v>
      </c>
      <c r="E40" s="14" t="s">
        <v>79</v>
      </c>
      <c r="F40" s="14" t="s">
        <v>79</v>
      </c>
      <c r="G40" s="14" t="s">
        <v>79</v>
      </c>
      <c r="H40" s="14" t="s">
        <v>79</v>
      </c>
      <c r="I40" s="14" t="s">
        <v>79</v>
      </c>
      <c r="J40" s="14" t="s">
        <v>79</v>
      </c>
      <c r="K40" s="14" t="s">
        <v>79</v>
      </c>
      <c r="L40" s="14" t="s">
        <v>79</v>
      </c>
      <c r="M40" s="14" t="s">
        <v>79</v>
      </c>
      <c r="N40" s="14" t="s">
        <v>79</v>
      </c>
      <c r="O40" s="14" t="s">
        <v>79</v>
      </c>
      <c r="P40" s="14" t="s">
        <v>79</v>
      </c>
      <c r="Q40" s="14" t="s">
        <v>3993</v>
      </c>
      <c r="R40" s="14" t="s">
        <v>86</v>
      </c>
      <c r="S40" s="14" t="s">
        <v>4364</v>
      </c>
      <c r="T40" s="14" t="s">
        <v>192</v>
      </c>
    </row>
    <row r="41" spans="1:20">
      <c r="A41" s="14" t="s">
        <v>622</v>
      </c>
      <c r="B41" s="14" t="s">
        <v>624</v>
      </c>
      <c r="C41" s="14" t="s">
        <v>623</v>
      </c>
      <c r="D41" s="14" t="s">
        <v>76</v>
      </c>
      <c r="E41" s="14" t="s">
        <v>79</v>
      </c>
      <c r="F41" s="14" t="s">
        <v>79</v>
      </c>
      <c r="G41" s="14" t="s">
        <v>79</v>
      </c>
      <c r="H41" s="14" t="s">
        <v>79</v>
      </c>
      <c r="I41" s="14" t="s">
        <v>79</v>
      </c>
      <c r="J41" s="14" t="s">
        <v>79</v>
      </c>
      <c r="K41" s="14" t="s">
        <v>79</v>
      </c>
      <c r="L41" s="14" t="s">
        <v>79</v>
      </c>
      <c r="M41" s="14" t="s">
        <v>79</v>
      </c>
      <c r="N41" s="14" t="s">
        <v>79</v>
      </c>
      <c r="O41" s="14" t="s">
        <v>79</v>
      </c>
      <c r="P41" s="14" t="s">
        <v>79</v>
      </c>
      <c r="Q41" s="14" t="s">
        <v>3993</v>
      </c>
      <c r="R41" s="14" t="s">
        <v>86</v>
      </c>
      <c r="S41" s="14" t="s">
        <v>4367</v>
      </c>
      <c r="T41" s="14" t="s">
        <v>701</v>
      </c>
    </row>
    <row r="42" spans="1:20">
      <c r="A42" s="14" t="s">
        <v>476</v>
      </c>
      <c r="B42" s="14" t="s">
        <v>479</v>
      </c>
      <c r="C42" s="14" t="s">
        <v>2658</v>
      </c>
      <c r="D42" s="14" t="s">
        <v>195</v>
      </c>
      <c r="E42" s="14" t="s">
        <v>198</v>
      </c>
      <c r="F42" s="14" t="s">
        <v>198</v>
      </c>
      <c r="G42" s="14" t="s">
        <v>79</v>
      </c>
      <c r="H42" s="14" t="s">
        <v>79</v>
      </c>
      <c r="I42" s="14" t="s">
        <v>79</v>
      </c>
      <c r="J42" s="14" t="s">
        <v>79</v>
      </c>
      <c r="K42" s="14" t="s">
        <v>198</v>
      </c>
      <c r="L42" s="14" t="s">
        <v>79</v>
      </c>
      <c r="M42" s="14" t="s">
        <v>79</v>
      </c>
      <c r="N42" s="14" t="s">
        <v>79</v>
      </c>
      <c r="O42" s="14" t="s">
        <v>79</v>
      </c>
      <c r="P42" s="14" t="s">
        <v>79</v>
      </c>
      <c r="Q42" s="14" t="s">
        <v>2172</v>
      </c>
      <c r="R42" s="14" t="s">
        <v>4370</v>
      </c>
      <c r="S42" s="14" t="s">
        <v>3993</v>
      </c>
      <c r="T42" s="14"/>
    </row>
    <row r="43" spans="1:20">
      <c r="A43" s="14" t="s">
        <v>321</v>
      </c>
      <c r="B43" s="14" t="s">
        <v>323</v>
      </c>
      <c r="C43" s="14" t="s">
        <v>322</v>
      </c>
      <c r="D43" s="14" t="s">
        <v>195</v>
      </c>
      <c r="E43" s="14" t="s">
        <v>198</v>
      </c>
      <c r="F43" s="14" t="s">
        <v>198</v>
      </c>
      <c r="G43" s="14" t="s">
        <v>79</v>
      </c>
      <c r="H43" s="14" t="s">
        <v>79</v>
      </c>
      <c r="I43" s="14" t="s">
        <v>79</v>
      </c>
      <c r="J43" s="14" t="s">
        <v>79</v>
      </c>
      <c r="K43" s="14" t="s">
        <v>198</v>
      </c>
      <c r="L43" s="14" t="s">
        <v>79</v>
      </c>
      <c r="M43" s="14" t="s">
        <v>79</v>
      </c>
      <c r="N43" s="14" t="s">
        <v>79</v>
      </c>
      <c r="O43" s="14" t="s">
        <v>79</v>
      </c>
      <c r="P43" s="14" t="s">
        <v>79</v>
      </c>
      <c r="Q43" s="14" t="s">
        <v>2172</v>
      </c>
      <c r="R43" s="14" t="s">
        <v>4370</v>
      </c>
      <c r="S43" s="14" t="s">
        <v>3993</v>
      </c>
      <c r="T43" s="14"/>
    </row>
    <row r="44" spans="1:20">
      <c r="A44" s="14" t="s">
        <v>339</v>
      </c>
      <c r="B44" s="14" t="s">
        <v>342</v>
      </c>
      <c r="C44" s="14" t="s">
        <v>340</v>
      </c>
      <c r="D44" s="14" t="s">
        <v>195</v>
      </c>
      <c r="E44" s="14" t="s">
        <v>198</v>
      </c>
      <c r="F44" s="14" t="s">
        <v>198</v>
      </c>
      <c r="G44" s="14" t="s">
        <v>79</v>
      </c>
      <c r="H44" s="14" t="s">
        <v>79</v>
      </c>
      <c r="I44" s="14" t="s">
        <v>79</v>
      </c>
      <c r="J44" s="14" t="s">
        <v>79</v>
      </c>
      <c r="K44" s="14" t="s">
        <v>198</v>
      </c>
      <c r="L44" s="14" t="s">
        <v>79</v>
      </c>
      <c r="M44" s="14" t="s">
        <v>79</v>
      </c>
      <c r="N44" s="14" t="s">
        <v>79</v>
      </c>
      <c r="O44" s="14" t="s">
        <v>79</v>
      </c>
      <c r="P44" s="14" t="s">
        <v>79</v>
      </c>
      <c r="Q44" s="14" t="s">
        <v>2172</v>
      </c>
      <c r="R44" s="14" t="s">
        <v>4370</v>
      </c>
      <c r="S44" s="14" t="s">
        <v>3993</v>
      </c>
      <c r="T44" s="14"/>
    </row>
    <row r="45" spans="1:20">
      <c r="A45" s="14" t="s">
        <v>283</v>
      </c>
      <c r="B45" s="14" t="s">
        <v>285</v>
      </c>
      <c r="C45" s="14"/>
      <c r="D45" s="14" t="s">
        <v>220</v>
      </c>
      <c r="E45" s="14" t="s">
        <v>79</v>
      </c>
      <c r="F45" s="14" t="s">
        <v>79</v>
      </c>
      <c r="G45" s="14" t="s">
        <v>79</v>
      </c>
      <c r="H45" s="14" t="s">
        <v>79</v>
      </c>
      <c r="I45" s="14" t="s">
        <v>79</v>
      </c>
      <c r="J45" s="14" t="s">
        <v>79</v>
      </c>
      <c r="K45" s="14" t="s">
        <v>79</v>
      </c>
      <c r="L45" s="14" t="s">
        <v>79</v>
      </c>
      <c r="M45" s="14" t="s">
        <v>79</v>
      </c>
      <c r="N45" s="14" t="s">
        <v>198</v>
      </c>
      <c r="O45" s="14" t="s">
        <v>79</v>
      </c>
      <c r="P45" s="14" t="s">
        <v>79</v>
      </c>
      <c r="Q45" s="14" t="s">
        <v>2160</v>
      </c>
      <c r="R45" s="14" t="s">
        <v>724</v>
      </c>
      <c r="S45" s="14" t="s">
        <v>4362</v>
      </c>
      <c r="T45" s="14" t="s">
        <v>294</v>
      </c>
    </row>
    <row r="46" spans="1:20">
      <c r="A46" s="14" t="s">
        <v>276</v>
      </c>
      <c r="B46" s="14" t="s">
        <v>279</v>
      </c>
      <c r="C46" s="14" t="s">
        <v>277</v>
      </c>
      <c r="D46" s="14" t="s">
        <v>76</v>
      </c>
      <c r="E46" s="14" t="s">
        <v>79</v>
      </c>
      <c r="F46" s="14" t="s">
        <v>79</v>
      </c>
      <c r="G46" s="14" t="s">
        <v>79</v>
      </c>
      <c r="H46" s="14" t="s">
        <v>79</v>
      </c>
      <c r="I46" s="14" t="s">
        <v>79</v>
      </c>
      <c r="J46" s="14" t="s">
        <v>79</v>
      </c>
      <c r="K46" s="14" t="s">
        <v>79</v>
      </c>
      <c r="L46" s="14" t="s">
        <v>79</v>
      </c>
      <c r="M46" s="14" t="s">
        <v>79</v>
      </c>
      <c r="N46" s="14" t="s">
        <v>79</v>
      </c>
      <c r="O46" s="14" t="s">
        <v>79</v>
      </c>
      <c r="P46" s="14" t="s">
        <v>79</v>
      </c>
      <c r="Q46" s="14" t="s">
        <v>3993</v>
      </c>
      <c r="R46" s="14" t="s">
        <v>86</v>
      </c>
      <c r="S46" s="14" t="s">
        <v>4362</v>
      </c>
      <c r="T46" s="14" t="s">
        <v>308</v>
      </c>
    </row>
    <row r="47" spans="1:20">
      <c r="A47" s="14" t="s">
        <v>611</v>
      </c>
      <c r="B47" s="14" t="s">
        <v>614</v>
      </c>
      <c r="C47" s="14" t="s">
        <v>147</v>
      </c>
      <c r="D47" s="14" t="s">
        <v>264</v>
      </c>
      <c r="E47" s="14" t="s">
        <v>79</v>
      </c>
      <c r="F47" s="14" t="s">
        <v>79</v>
      </c>
      <c r="G47" s="14" t="s">
        <v>79</v>
      </c>
      <c r="H47" s="14" t="s">
        <v>79</v>
      </c>
      <c r="I47" s="14" t="s">
        <v>79</v>
      </c>
      <c r="J47" s="14" t="s">
        <v>79</v>
      </c>
      <c r="K47" s="14" t="s">
        <v>79</v>
      </c>
      <c r="L47" s="14" t="s">
        <v>79</v>
      </c>
      <c r="M47" s="14" t="s">
        <v>79</v>
      </c>
      <c r="N47" s="14" t="s">
        <v>198</v>
      </c>
      <c r="O47" s="14" t="s">
        <v>198</v>
      </c>
      <c r="P47" s="14" t="s">
        <v>79</v>
      </c>
      <c r="Q47" s="14" t="s">
        <v>1666</v>
      </c>
      <c r="R47" s="14" t="s">
        <v>4371</v>
      </c>
      <c r="S47" s="14" t="s">
        <v>4364</v>
      </c>
      <c r="T47" s="14" t="s">
        <v>674</v>
      </c>
    </row>
    <row r="48" spans="1:20">
      <c r="A48" s="14" t="s">
        <v>355</v>
      </c>
      <c r="B48" s="14" t="s">
        <v>357</v>
      </c>
      <c r="C48" s="14" t="s">
        <v>359</v>
      </c>
      <c r="D48" s="14" t="s">
        <v>76</v>
      </c>
      <c r="E48" s="14" t="s">
        <v>79</v>
      </c>
      <c r="F48" s="14" t="s">
        <v>79</v>
      </c>
      <c r="G48" s="14" t="s">
        <v>79</v>
      </c>
      <c r="H48" s="14" t="s">
        <v>79</v>
      </c>
      <c r="I48" s="14" t="s">
        <v>79</v>
      </c>
      <c r="J48" s="14" t="s">
        <v>79</v>
      </c>
      <c r="K48" s="14" t="s">
        <v>79</v>
      </c>
      <c r="L48" s="14" t="s">
        <v>79</v>
      </c>
      <c r="M48" s="14" t="s">
        <v>79</v>
      </c>
      <c r="N48" s="14" t="s">
        <v>79</v>
      </c>
      <c r="O48" s="14" t="s">
        <v>79</v>
      </c>
      <c r="P48" s="14" t="s">
        <v>79</v>
      </c>
      <c r="Q48" s="14" t="s">
        <v>3993</v>
      </c>
      <c r="R48" s="14" t="s">
        <v>86</v>
      </c>
      <c r="S48" s="14" t="s">
        <v>4372</v>
      </c>
      <c r="T48" s="14" t="s">
        <v>368</v>
      </c>
    </row>
    <row r="49" spans="1:20">
      <c r="A49" s="14" t="s">
        <v>617</v>
      </c>
      <c r="B49" s="14" t="s">
        <v>619</v>
      </c>
      <c r="C49" s="14" t="s">
        <v>147</v>
      </c>
      <c r="D49" s="14" t="s">
        <v>76</v>
      </c>
      <c r="E49" s="14" t="s">
        <v>79</v>
      </c>
      <c r="F49" s="14" t="s">
        <v>79</v>
      </c>
      <c r="G49" s="14" t="s">
        <v>79</v>
      </c>
      <c r="H49" s="14" t="s">
        <v>79</v>
      </c>
      <c r="I49" s="14" t="s">
        <v>79</v>
      </c>
      <c r="J49" s="14" t="s">
        <v>79</v>
      </c>
      <c r="K49" s="14" t="s">
        <v>79</v>
      </c>
      <c r="L49" s="14" t="s">
        <v>79</v>
      </c>
      <c r="M49" s="14" t="s">
        <v>79</v>
      </c>
      <c r="N49" s="14" t="s">
        <v>79</v>
      </c>
      <c r="O49" s="14" t="s">
        <v>79</v>
      </c>
      <c r="P49" s="14" t="s">
        <v>79</v>
      </c>
      <c r="Q49" s="14" t="s">
        <v>3993</v>
      </c>
      <c r="R49" s="14" t="s">
        <v>86</v>
      </c>
      <c r="S49" s="14" t="s">
        <v>4372</v>
      </c>
      <c r="T49" s="14" t="s">
        <v>368</v>
      </c>
    </row>
    <row r="50" spans="1:20">
      <c r="A50" s="14" t="s">
        <v>310</v>
      </c>
      <c r="B50" s="14" t="s">
        <v>311</v>
      </c>
      <c r="C50" s="14" t="s">
        <v>277</v>
      </c>
      <c r="D50" s="14" t="s">
        <v>76</v>
      </c>
      <c r="E50" s="14" t="s">
        <v>79</v>
      </c>
      <c r="F50" s="14" t="s">
        <v>79</v>
      </c>
      <c r="G50" s="14" t="s">
        <v>79</v>
      </c>
      <c r="H50" s="14" t="s">
        <v>79</v>
      </c>
      <c r="I50" s="14" t="s">
        <v>79</v>
      </c>
      <c r="J50" s="14" t="s">
        <v>79</v>
      </c>
      <c r="K50" s="14" t="s">
        <v>79</v>
      </c>
      <c r="L50" s="14" t="s">
        <v>79</v>
      </c>
      <c r="M50" s="14" t="s">
        <v>79</v>
      </c>
      <c r="N50" s="14" t="s">
        <v>79</v>
      </c>
      <c r="O50" s="14" t="s">
        <v>79</v>
      </c>
      <c r="P50" s="14" t="s">
        <v>79</v>
      </c>
      <c r="Q50" s="14" t="s">
        <v>3993</v>
      </c>
      <c r="R50" s="14" t="s">
        <v>86</v>
      </c>
      <c r="S50" s="14" t="s">
        <v>4368</v>
      </c>
      <c r="T50" s="14" t="s">
        <v>316</v>
      </c>
    </row>
    <row r="51" spans="1:20">
      <c r="A51" s="14" t="s">
        <v>284</v>
      </c>
      <c r="B51" s="14" t="s">
        <v>287</v>
      </c>
      <c r="C51" s="14" t="s">
        <v>331</v>
      </c>
      <c r="D51" s="14" t="s">
        <v>76</v>
      </c>
      <c r="E51" s="14" t="s">
        <v>79</v>
      </c>
      <c r="F51" s="14" t="s">
        <v>79</v>
      </c>
      <c r="G51" s="14" t="s">
        <v>79</v>
      </c>
      <c r="H51" s="14" t="s">
        <v>79</v>
      </c>
      <c r="I51" s="14" t="s">
        <v>79</v>
      </c>
      <c r="J51" s="14" t="s">
        <v>79</v>
      </c>
      <c r="K51" s="14" t="s">
        <v>79</v>
      </c>
      <c r="L51" s="14" t="s">
        <v>79</v>
      </c>
      <c r="M51" s="14" t="s">
        <v>79</v>
      </c>
      <c r="N51" s="14" t="s">
        <v>79</v>
      </c>
      <c r="O51" s="14" t="s">
        <v>79</v>
      </c>
      <c r="P51" s="14" t="s">
        <v>79</v>
      </c>
      <c r="Q51" s="14" t="s">
        <v>3993</v>
      </c>
      <c r="R51" s="14" t="s">
        <v>86</v>
      </c>
      <c r="S51" s="14" t="s">
        <v>4365</v>
      </c>
      <c r="T51" s="14" t="s">
        <v>133</v>
      </c>
    </row>
    <row r="52" spans="1:20">
      <c r="A52" s="14" t="s">
        <v>379</v>
      </c>
      <c r="B52" s="14" t="s">
        <v>380</v>
      </c>
      <c r="C52" s="14" t="s">
        <v>103</v>
      </c>
      <c r="D52" s="14" t="s">
        <v>264</v>
      </c>
      <c r="E52" s="14" t="s">
        <v>79</v>
      </c>
      <c r="F52" s="14" t="s">
        <v>79</v>
      </c>
      <c r="G52" s="14" t="s">
        <v>79</v>
      </c>
      <c r="H52" s="14" t="s">
        <v>79</v>
      </c>
      <c r="I52" s="14" t="s">
        <v>79</v>
      </c>
      <c r="J52" s="14" t="s">
        <v>198</v>
      </c>
      <c r="K52" s="14" t="s">
        <v>79</v>
      </c>
      <c r="L52" s="14" t="s">
        <v>79</v>
      </c>
      <c r="M52" s="14" t="s">
        <v>79</v>
      </c>
      <c r="N52" s="14" t="s">
        <v>198</v>
      </c>
      <c r="O52" s="14" t="s">
        <v>79</v>
      </c>
      <c r="P52" s="14" t="s">
        <v>79</v>
      </c>
      <c r="Q52" s="14" t="s">
        <v>1666</v>
      </c>
      <c r="R52" s="14" t="s">
        <v>4373</v>
      </c>
      <c r="S52" s="14" t="s">
        <v>4372</v>
      </c>
      <c r="T52" s="14" t="s">
        <v>387</v>
      </c>
    </row>
    <row r="53" spans="1:20">
      <c r="A53" s="14" t="s">
        <v>471</v>
      </c>
      <c r="B53" s="14" t="s">
        <v>474</v>
      </c>
      <c r="C53" s="14" t="s">
        <v>158</v>
      </c>
      <c r="D53" s="14" t="s">
        <v>220</v>
      </c>
      <c r="E53" s="14" t="s">
        <v>79</v>
      </c>
      <c r="F53" s="14" t="s">
        <v>79</v>
      </c>
      <c r="G53" s="14" t="s">
        <v>79</v>
      </c>
      <c r="H53" s="14" t="s">
        <v>79</v>
      </c>
      <c r="I53" s="14" t="s">
        <v>79</v>
      </c>
      <c r="J53" s="14" t="s">
        <v>79</v>
      </c>
      <c r="K53" s="14" t="s">
        <v>79</v>
      </c>
      <c r="L53" s="14" t="s">
        <v>79</v>
      </c>
      <c r="M53" s="14" t="s">
        <v>79</v>
      </c>
      <c r="N53" s="14" t="s">
        <v>198</v>
      </c>
      <c r="O53" s="14" t="s">
        <v>79</v>
      </c>
      <c r="P53" s="14" t="s">
        <v>79</v>
      </c>
      <c r="Q53" s="14" t="s">
        <v>2160</v>
      </c>
      <c r="R53" s="14" t="s">
        <v>724</v>
      </c>
      <c r="S53" s="14" t="s">
        <v>4367</v>
      </c>
      <c r="T53" s="14" t="s">
        <v>658</v>
      </c>
    </row>
    <row r="54" spans="1:20">
      <c r="A54" s="14" t="s">
        <v>299</v>
      </c>
      <c r="B54" s="14" t="s">
        <v>301</v>
      </c>
      <c r="C54" s="14" t="s">
        <v>103</v>
      </c>
      <c r="D54" s="14" t="s">
        <v>76</v>
      </c>
      <c r="E54" s="14" t="s">
        <v>79</v>
      </c>
      <c r="F54" s="14" t="s">
        <v>79</v>
      </c>
      <c r="G54" s="14" t="s">
        <v>79</v>
      </c>
      <c r="H54" s="14" t="s">
        <v>79</v>
      </c>
      <c r="I54" s="14" t="s">
        <v>79</v>
      </c>
      <c r="J54" s="14" t="s">
        <v>79</v>
      </c>
      <c r="K54" s="14" t="s">
        <v>79</v>
      </c>
      <c r="L54" s="14" t="s">
        <v>79</v>
      </c>
      <c r="M54" s="14" t="s">
        <v>79</v>
      </c>
      <c r="N54" s="14" t="s">
        <v>79</v>
      </c>
      <c r="O54" s="14" t="s">
        <v>79</v>
      </c>
      <c r="P54" s="14" t="s">
        <v>79</v>
      </c>
      <c r="Q54" s="14" t="s">
        <v>3993</v>
      </c>
      <c r="R54" s="14" t="s">
        <v>86</v>
      </c>
      <c r="S54" s="14" t="s">
        <v>4366</v>
      </c>
      <c r="T54" s="14" t="s">
        <v>404</v>
      </c>
    </row>
    <row r="55" spans="1:20">
      <c r="A55" s="14" t="s">
        <v>274</v>
      </c>
      <c r="B55" s="14" t="s">
        <v>275</v>
      </c>
      <c r="C55" s="14" t="s">
        <v>234</v>
      </c>
      <c r="D55" s="14" t="s">
        <v>76</v>
      </c>
      <c r="E55" s="14" t="s">
        <v>79</v>
      </c>
      <c r="F55" s="14" t="s">
        <v>79</v>
      </c>
      <c r="G55" s="14" t="s">
        <v>79</v>
      </c>
      <c r="H55" s="14" t="s">
        <v>79</v>
      </c>
      <c r="I55" s="14" t="s">
        <v>79</v>
      </c>
      <c r="J55" s="14" t="s">
        <v>79</v>
      </c>
      <c r="K55" s="14" t="s">
        <v>79</v>
      </c>
      <c r="L55" s="14" t="s">
        <v>79</v>
      </c>
      <c r="M55" s="14" t="s">
        <v>79</v>
      </c>
      <c r="N55" s="14" t="s">
        <v>79</v>
      </c>
      <c r="O55" s="14" t="s">
        <v>79</v>
      </c>
      <c r="P55" s="14" t="s">
        <v>79</v>
      </c>
      <c r="Q55" s="14" t="s">
        <v>3993</v>
      </c>
      <c r="R55" s="14" t="s">
        <v>86</v>
      </c>
      <c r="S55" s="14" t="s">
        <v>4362</v>
      </c>
      <c r="T55" s="14" t="s">
        <v>172</v>
      </c>
    </row>
    <row r="56" spans="1:20">
      <c r="A56" s="14" t="s">
        <v>318</v>
      </c>
      <c r="B56" s="14" t="s">
        <v>319</v>
      </c>
      <c r="C56" s="14" t="s">
        <v>277</v>
      </c>
      <c r="D56" s="14" t="s">
        <v>220</v>
      </c>
      <c r="E56" s="14" t="s">
        <v>79</v>
      </c>
      <c r="F56" s="14" t="s">
        <v>79</v>
      </c>
      <c r="G56" s="14" t="s">
        <v>79</v>
      </c>
      <c r="H56" s="14" t="s">
        <v>79</v>
      </c>
      <c r="I56" s="14" t="s">
        <v>79</v>
      </c>
      <c r="J56" s="14" t="s">
        <v>79</v>
      </c>
      <c r="K56" s="14" t="s">
        <v>79</v>
      </c>
      <c r="L56" s="14" t="s">
        <v>198</v>
      </c>
      <c r="M56" s="14" t="s">
        <v>79</v>
      </c>
      <c r="N56" s="14" t="s">
        <v>79</v>
      </c>
      <c r="O56" s="14" t="s">
        <v>79</v>
      </c>
      <c r="P56" s="14" t="s">
        <v>79</v>
      </c>
      <c r="Q56" s="14" t="s">
        <v>2160</v>
      </c>
      <c r="R56" s="14" t="s">
        <v>326</v>
      </c>
      <c r="S56" s="14" t="s">
        <v>4368</v>
      </c>
      <c r="T56" s="14" t="s">
        <v>327</v>
      </c>
    </row>
    <row r="57" spans="1:20">
      <c r="A57" s="14" t="s">
        <v>161</v>
      </c>
      <c r="B57" s="14" t="s">
        <v>162</v>
      </c>
      <c r="C57" s="14" t="s">
        <v>156</v>
      </c>
      <c r="D57" s="14" t="s">
        <v>76</v>
      </c>
      <c r="E57" s="14" t="s">
        <v>79</v>
      </c>
      <c r="F57" s="14" t="s">
        <v>79</v>
      </c>
      <c r="G57" s="14" t="s">
        <v>79</v>
      </c>
      <c r="H57" s="14" t="s">
        <v>79</v>
      </c>
      <c r="I57" s="14" t="s">
        <v>79</v>
      </c>
      <c r="J57" s="14" t="s">
        <v>79</v>
      </c>
      <c r="K57" s="14" t="s">
        <v>79</v>
      </c>
      <c r="L57" s="14" t="s">
        <v>79</v>
      </c>
      <c r="M57" s="14" t="s">
        <v>79</v>
      </c>
      <c r="N57" s="14" t="s">
        <v>79</v>
      </c>
      <c r="O57" s="14" t="s">
        <v>79</v>
      </c>
      <c r="P57" s="14" t="s">
        <v>79</v>
      </c>
      <c r="Q57" s="14" t="s">
        <v>3993</v>
      </c>
      <c r="R57" s="14" t="s">
        <v>86</v>
      </c>
      <c r="S57" s="14" t="s">
        <v>4362</v>
      </c>
      <c r="T57" s="14" t="s">
        <v>172</v>
      </c>
    </row>
    <row r="58" spans="1:20">
      <c r="A58" s="14" t="s">
        <v>481</v>
      </c>
      <c r="B58" s="14" t="s">
        <v>482</v>
      </c>
      <c r="C58" s="14" t="s">
        <v>315</v>
      </c>
      <c r="D58" s="14" t="s">
        <v>76</v>
      </c>
      <c r="E58" s="14" t="s">
        <v>79</v>
      </c>
      <c r="F58" s="14" t="s">
        <v>79</v>
      </c>
      <c r="G58" s="14" t="s">
        <v>79</v>
      </c>
      <c r="H58" s="14" t="s">
        <v>79</v>
      </c>
      <c r="I58" s="14" t="s">
        <v>79</v>
      </c>
      <c r="J58" s="14" t="s">
        <v>79</v>
      </c>
      <c r="K58" s="14" t="s">
        <v>79</v>
      </c>
      <c r="L58" s="14" t="s">
        <v>79</v>
      </c>
      <c r="M58" s="14" t="s">
        <v>79</v>
      </c>
      <c r="N58" s="14" t="s">
        <v>79</v>
      </c>
      <c r="O58" s="14" t="s">
        <v>79</v>
      </c>
      <c r="P58" s="14" t="s">
        <v>79</v>
      </c>
      <c r="Q58" s="14" t="s">
        <v>3993</v>
      </c>
      <c r="R58" s="14" t="s">
        <v>86</v>
      </c>
      <c r="S58" s="14" t="s">
        <v>4364</v>
      </c>
      <c r="T58" s="14" t="s">
        <v>192</v>
      </c>
    </row>
    <row r="59" spans="1:20">
      <c r="A59" s="14" t="s">
        <v>228</v>
      </c>
      <c r="B59" s="14" t="s">
        <v>229</v>
      </c>
      <c r="C59" s="14" t="s">
        <v>183</v>
      </c>
      <c r="D59" s="14" t="s">
        <v>76</v>
      </c>
      <c r="E59" s="14" t="s">
        <v>79</v>
      </c>
      <c r="F59" s="14" t="s">
        <v>79</v>
      </c>
      <c r="G59" s="14" t="s">
        <v>79</v>
      </c>
      <c r="H59" s="14" t="s">
        <v>79</v>
      </c>
      <c r="I59" s="14" t="s">
        <v>79</v>
      </c>
      <c r="J59" s="14" t="s">
        <v>79</v>
      </c>
      <c r="K59" s="14" t="s">
        <v>79</v>
      </c>
      <c r="L59" s="14" t="s">
        <v>79</v>
      </c>
      <c r="M59" s="14" t="s">
        <v>79</v>
      </c>
      <c r="N59" s="14" t="s">
        <v>79</v>
      </c>
      <c r="O59" s="14" t="s">
        <v>79</v>
      </c>
      <c r="P59" s="14" t="s">
        <v>79</v>
      </c>
      <c r="Q59" s="14" t="s">
        <v>3993</v>
      </c>
      <c r="R59" s="14" t="s">
        <v>86</v>
      </c>
      <c r="S59" s="14" t="s">
        <v>4362</v>
      </c>
      <c r="T59" s="14" t="s">
        <v>172</v>
      </c>
    </row>
    <row r="60" spans="1:20">
      <c r="A60" s="14" t="s">
        <v>241</v>
      </c>
      <c r="B60" s="14" t="s">
        <v>242</v>
      </c>
      <c r="C60" s="14" t="s">
        <v>234</v>
      </c>
      <c r="D60" s="14" t="s">
        <v>76</v>
      </c>
      <c r="E60" s="14" t="s">
        <v>79</v>
      </c>
      <c r="F60" s="14" t="s">
        <v>79</v>
      </c>
      <c r="G60" s="14" t="s">
        <v>79</v>
      </c>
      <c r="H60" s="14" t="s">
        <v>79</v>
      </c>
      <c r="I60" s="14" t="s">
        <v>79</v>
      </c>
      <c r="J60" s="14" t="s">
        <v>79</v>
      </c>
      <c r="K60" s="14" t="s">
        <v>79</v>
      </c>
      <c r="L60" s="14" t="s">
        <v>79</v>
      </c>
      <c r="M60" s="14" t="s">
        <v>79</v>
      </c>
      <c r="N60" s="14" t="s">
        <v>79</v>
      </c>
      <c r="O60" s="14" t="s">
        <v>79</v>
      </c>
      <c r="P60" s="14" t="s">
        <v>79</v>
      </c>
      <c r="Q60" s="14" t="s">
        <v>3993</v>
      </c>
      <c r="R60" s="14" t="s">
        <v>86</v>
      </c>
      <c r="S60" s="14" t="s">
        <v>4362</v>
      </c>
      <c r="T60" s="14" t="s">
        <v>172</v>
      </c>
    </row>
    <row r="61" spans="1:20">
      <c r="A61" s="14" t="s">
        <v>329</v>
      </c>
      <c r="B61" s="14" t="s">
        <v>330</v>
      </c>
      <c r="C61" s="14" t="s">
        <v>331</v>
      </c>
      <c r="D61" s="14" t="s">
        <v>76</v>
      </c>
      <c r="E61" s="14" t="s">
        <v>79</v>
      </c>
      <c r="F61" s="14" t="s">
        <v>79</v>
      </c>
      <c r="G61" s="14" t="s">
        <v>79</v>
      </c>
      <c r="H61" s="14" t="s">
        <v>79</v>
      </c>
      <c r="I61" s="14" t="s">
        <v>79</v>
      </c>
      <c r="J61" s="14" t="s">
        <v>79</v>
      </c>
      <c r="K61" s="14" t="s">
        <v>79</v>
      </c>
      <c r="L61" s="14" t="s">
        <v>79</v>
      </c>
      <c r="M61" s="14" t="s">
        <v>79</v>
      </c>
      <c r="N61" s="14" t="s">
        <v>79</v>
      </c>
      <c r="O61" s="14" t="s">
        <v>79</v>
      </c>
      <c r="P61" s="14" t="s">
        <v>79</v>
      </c>
      <c r="Q61" s="14" t="s">
        <v>3993</v>
      </c>
      <c r="R61" s="14" t="s">
        <v>86</v>
      </c>
      <c r="S61" s="14" t="s">
        <v>4362</v>
      </c>
      <c r="T61" s="14" t="s">
        <v>172</v>
      </c>
    </row>
    <row r="62" spans="1:20">
      <c r="A62" s="14" t="s">
        <v>181</v>
      </c>
      <c r="B62" s="14" t="s">
        <v>182</v>
      </c>
      <c r="C62" s="14" t="s">
        <v>183</v>
      </c>
      <c r="D62" s="14" t="s">
        <v>76</v>
      </c>
      <c r="E62" s="14" t="s">
        <v>79</v>
      </c>
      <c r="F62" s="14" t="s">
        <v>79</v>
      </c>
      <c r="G62" s="14" t="s">
        <v>79</v>
      </c>
      <c r="H62" s="14" t="s">
        <v>79</v>
      </c>
      <c r="I62" s="14" t="s">
        <v>79</v>
      </c>
      <c r="J62" s="14" t="s">
        <v>79</v>
      </c>
      <c r="K62" s="14" t="s">
        <v>79</v>
      </c>
      <c r="L62" s="14" t="s">
        <v>79</v>
      </c>
      <c r="M62" s="14" t="s">
        <v>79</v>
      </c>
      <c r="N62" s="14" t="s">
        <v>79</v>
      </c>
      <c r="O62" s="14" t="s">
        <v>79</v>
      </c>
      <c r="P62" s="14" t="s">
        <v>79</v>
      </c>
      <c r="Q62" s="14" t="s">
        <v>3993</v>
      </c>
      <c r="R62" s="14" t="s">
        <v>86</v>
      </c>
      <c r="S62" s="14" t="s">
        <v>4364</v>
      </c>
      <c r="T62" s="14" t="s">
        <v>192</v>
      </c>
    </row>
    <row r="63" spans="1:20">
      <c r="A63" s="14" t="s">
        <v>155</v>
      </c>
      <c r="B63" s="14" t="s">
        <v>159</v>
      </c>
      <c r="C63" s="14"/>
      <c r="D63" s="14" t="s">
        <v>195</v>
      </c>
      <c r="E63" s="14" t="s">
        <v>79</v>
      </c>
      <c r="F63" s="14" t="s">
        <v>79</v>
      </c>
      <c r="G63" s="14" t="s">
        <v>79</v>
      </c>
      <c r="H63" s="14" t="s">
        <v>79</v>
      </c>
      <c r="I63" s="14" t="s">
        <v>79</v>
      </c>
      <c r="J63" s="14" t="s">
        <v>79</v>
      </c>
      <c r="K63" s="14" t="s">
        <v>79</v>
      </c>
      <c r="L63" s="14" t="s">
        <v>198</v>
      </c>
      <c r="M63" s="14" t="s">
        <v>79</v>
      </c>
      <c r="N63" s="14" t="s">
        <v>79</v>
      </c>
      <c r="O63" s="14" t="s">
        <v>198</v>
      </c>
      <c r="P63" s="14" t="s">
        <v>198</v>
      </c>
      <c r="Q63" s="14" t="s">
        <v>2172</v>
      </c>
      <c r="R63" s="14" t="s">
        <v>4374</v>
      </c>
      <c r="S63" s="14" t="s">
        <v>4372</v>
      </c>
      <c r="T63" s="14" t="s">
        <v>635</v>
      </c>
    </row>
    <row r="64" spans="1:20">
      <c r="A64" s="14" t="s">
        <v>712</v>
      </c>
      <c r="B64" s="14" t="s">
        <v>595</v>
      </c>
      <c r="C64" s="14" t="s">
        <v>315</v>
      </c>
      <c r="D64" s="14" t="s">
        <v>597</v>
      </c>
      <c r="E64" s="14" t="s">
        <v>79</v>
      </c>
      <c r="F64" s="14" t="s">
        <v>79</v>
      </c>
      <c r="G64" s="14" t="s">
        <v>198</v>
      </c>
      <c r="H64" s="14" t="s">
        <v>198</v>
      </c>
      <c r="I64" s="14" t="s">
        <v>198</v>
      </c>
      <c r="J64" s="14" t="s">
        <v>198</v>
      </c>
      <c r="K64" s="14" t="s">
        <v>79</v>
      </c>
      <c r="L64" s="14" t="s">
        <v>198</v>
      </c>
      <c r="M64" s="14" t="s">
        <v>79</v>
      </c>
      <c r="N64" s="14" t="s">
        <v>198</v>
      </c>
      <c r="O64" s="14" t="s">
        <v>198</v>
      </c>
      <c r="P64" s="14" t="s">
        <v>198</v>
      </c>
      <c r="Q64" s="14" t="s">
        <v>2200</v>
      </c>
      <c r="R64" s="14" t="s">
        <v>598</v>
      </c>
      <c r="S64" s="14" t="s">
        <v>4367</v>
      </c>
      <c r="T64" s="14" t="s">
        <v>701</v>
      </c>
    </row>
    <row r="65" spans="1:20">
      <c r="A65" s="14" t="s">
        <v>636</v>
      </c>
      <c r="B65" s="14" t="s">
        <v>208</v>
      </c>
      <c r="C65" s="14" t="s">
        <v>183</v>
      </c>
      <c r="D65" s="14" t="s">
        <v>195</v>
      </c>
      <c r="E65" s="14" t="s">
        <v>79</v>
      </c>
      <c r="F65" s="14" t="s">
        <v>79</v>
      </c>
      <c r="G65" s="14" t="s">
        <v>79</v>
      </c>
      <c r="H65" s="14" t="s">
        <v>79</v>
      </c>
      <c r="I65" s="14" t="s">
        <v>79</v>
      </c>
      <c r="J65" s="14" t="s">
        <v>79</v>
      </c>
      <c r="K65" s="14" t="s">
        <v>79</v>
      </c>
      <c r="L65" s="14" t="s">
        <v>198</v>
      </c>
      <c r="M65" s="14" t="s">
        <v>79</v>
      </c>
      <c r="N65" s="14" t="s">
        <v>79</v>
      </c>
      <c r="O65" s="14" t="s">
        <v>198</v>
      </c>
      <c r="P65" s="14" t="s">
        <v>198</v>
      </c>
      <c r="Q65" s="14" t="s">
        <v>2172</v>
      </c>
      <c r="R65" s="14" t="s">
        <v>4374</v>
      </c>
      <c r="S65" s="14" t="s">
        <v>4372</v>
      </c>
      <c r="T65" s="14" t="s">
        <v>635</v>
      </c>
    </row>
    <row r="66" spans="1:20">
      <c r="A66" s="14" t="s">
        <v>336</v>
      </c>
      <c r="B66" s="14" t="s">
        <v>337</v>
      </c>
      <c r="C66" s="14"/>
      <c r="D66" s="14" t="s">
        <v>76</v>
      </c>
      <c r="E66" s="14" t="s">
        <v>79</v>
      </c>
      <c r="F66" s="14" t="s">
        <v>79</v>
      </c>
      <c r="G66" s="14" t="s">
        <v>79</v>
      </c>
      <c r="H66" s="14" t="s">
        <v>79</v>
      </c>
      <c r="I66" s="14" t="s">
        <v>79</v>
      </c>
      <c r="J66" s="14" t="s">
        <v>79</v>
      </c>
      <c r="K66" s="14" t="s">
        <v>79</v>
      </c>
      <c r="L66" s="14" t="s">
        <v>79</v>
      </c>
      <c r="M66" s="14" t="s">
        <v>79</v>
      </c>
      <c r="N66" s="14" t="s">
        <v>79</v>
      </c>
      <c r="O66" s="14" t="s">
        <v>79</v>
      </c>
      <c r="P66" s="14" t="s">
        <v>79</v>
      </c>
      <c r="Q66" s="14" t="s">
        <v>3993</v>
      </c>
      <c r="R66" s="14" t="s">
        <v>86</v>
      </c>
      <c r="S66" s="14" t="s">
        <v>4367</v>
      </c>
      <c r="T66" s="14" t="s">
        <v>343</v>
      </c>
    </row>
    <row r="67" spans="1:20">
      <c r="A67" s="14" t="s">
        <v>335</v>
      </c>
      <c r="B67" s="14" t="s">
        <v>338</v>
      </c>
      <c r="C67" s="14" t="s">
        <v>1489</v>
      </c>
      <c r="D67" s="14" t="s">
        <v>4375</v>
      </c>
      <c r="E67" s="14" t="s">
        <v>198</v>
      </c>
      <c r="F67" s="14" t="s">
        <v>198</v>
      </c>
      <c r="G67" s="14" t="s">
        <v>79</v>
      </c>
      <c r="H67" s="14" t="s">
        <v>79</v>
      </c>
      <c r="I67" s="14" t="s">
        <v>79</v>
      </c>
      <c r="J67" s="14" t="s">
        <v>79</v>
      </c>
      <c r="K67" s="14" t="s">
        <v>198</v>
      </c>
      <c r="L67" s="14" t="s">
        <v>198</v>
      </c>
      <c r="M67" s="14" t="s">
        <v>79</v>
      </c>
      <c r="N67" s="14" t="s">
        <v>198</v>
      </c>
      <c r="O67" s="14" t="s">
        <v>198</v>
      </c>
      <c r="P67" s="14" t="s">
        <v>198</v>
      </c>
      <c r="Q67" s="14" t="s">
        <v>2194</v>
      </c>
      <c r="R67" s="14" t="s">
        <v>4376</v>
      </c>
      <c r="S67" s="14" t="s">
        <v>3993</v>
      </c>
      <c r="T67" s="14"/>
    </row>
    <row r="68" spans="1:20">
      <c r="A68" s="14" t="s">
        <v>314</v>
      </c>
      <c r="B68" s="14" t="s">
        <v>317</v>
      </c>
      <c r="C68" s="14" t="s">
        <v>315</v>
      </c>
      <c r="D68" s="14" t="s">
        <v>195</v>
      </c>
      <c r="E68" s="14" t="s">
        <v>79</v>
      </c>
      <c r="F68" s="14" t="s">
        <v>79</v>
      </c>
      <c r="G68" s="14" t="s">
        <v>79</v>
      </c>
      <c r="H68" s="14" t="s">
        <v>79</v>
      </c>
      <c r="I68" s="14" t="s">
        <v>79</v>
      </c>
      <c r="J68" s="14" t="s">
        <v>79</v>
      </c>
      <c r="K68" s="14" t="s">
        <v>79</v>
      </c>
      <c r="L68" s="14" t="s">
        <v>198</v>
      </c>
      <c r="M68" s="14" t="s">
        <v>79</v>
      </c>
      <c r="N68" s="14" t="s">
        <v>79</v>
      </c>
      <c r="O68" s="14" t="s">
        <v>198</v>
      </c>
      <c r="P68" s="14" t="s">
        <v>198</v>
      </c>
      <c r="Q68" s="14" t="s">
        <v>2172</v>
      </c>
      <c r="R68" s="14" t="s">
        <v>4374</v>
      </c>
      <c r="S68" s="14" t="s">
        <v>4372</v>
      </c>
      <c r="T68" s="14" t="s">
        <v>635</v>
      </c>
    </row>
    <row r="69" spans="1:20">
      <c r="A69" s="14" t="s">
        <v>204</v>
      </c>
      <c r="B69" s="14" t="s">
        <v>205</v>
      </c>
      <c r="C69" s="14" t="s">
        <v>183</v>
      </c>
      <c r="D69" s="14" t="s">
        <v>76</v>
      </c>
      <c r="E69" s="14" t="s">
        <v>79</v>
      </c>
      <c r="F69" s="14" t="s">
        <v>79</v>
      </c>
      <c r="G69" s="14" t="s">
        <v>79</v>
      </c>
      <c r="H69" s="14" t="s">
        <v>79</v>
      </c>
      <c r="I69" s="14" t="s">
        <v>79</v>
      </c>
      <c r="J69" s="14" t="s">
        <v>79</v>
      </c>
      <c r="K69" s="14" t="s">
        <v>79</v>
      </c>
      <c r="L69" s="14" t="s">
        <v>79</v>
      </c>
      <c r="M69" s="14" t="s">
        <v>79</v>
      </c>
      <c r="N69" s="14" t="s">
        <v>79</v>
      </c>
      <c r="O69" s="14" t="s">
        <v>79</v>
      </c>
      <c r="P69" s="14" t="s">
        <v>79</v>
      </c>
      <c r="Q69" s="14" t="s">
        <v>3993</v>
      </c>
      <c r="R69" s="14" t="s">
        <v>86</v>
      </c>
      <c r="S69" s="14" t="s">
        <v>4367</v>
      </c>
      <c r="T69" s="14" t="s">
        <v>203</v>
      </c>
    </row>
    <row r="70" spans="1:20">
      <c r="A70" s="14" t="s">
        <v>215</v>
      </c>
      <c r="B70" s="14" t="s">
        <v>218</v>
      </c>
      <c r="C70" s="14" t="s">
        <v>234</v>
      </c>
      <c r="D70" s="14" t="s">
        <v>76</v>
      </c>
      <c r="E70" s="14" t="s">
        <v>79</v>
      </c>
      <c r="F70" s="14" t="s">
        <v>79</v>
      </c>
      <c r="G70" s="14" t="s">
        <v>79</v>
      </c>
      <c r="H70" s="14" t="s">
        <v>79</v>
      </c>
      <c r="I70" s="14" t="s">
        <v>79</v>
      </c>
      <c r="J70" s="14" t="s">
        <v>79</v>
      </c>
      <c r="K70" s="14" t="s">
        <v>79</v>
      </c>
      <c r="L70" s="14" t="s">
        <v>79</v>
      </c>
      <c r="M70" s="14" t="s">
        <v>79</v>
      </c>
      <c r="N70" s="14" t="s">
        <v>79</v>
      </c>
      <c r="O70" s="14" t="s">
        <v>79</v>
      </c>
      <c r="P70" s="14" t="s">
        <v>79</v>
      </c>
      <c r="Q70" s="14" t="s">
        <v>3993</v>
      </c>
      <c r="R70" s="14" t="s">
        <v>86</v>
      </c>
      <c r="S70" s="14" t="s">
        <v>4372</v>
      </c>
      <c r="T70" s="14" t="s">
        <v>255</v>
      </c>
    </row>
    <row r="71" spans="1:20">
      <c r="A71" s="14" t="s">
        <v>193</v>
      </c>
      <c r="B71" s="14" t="s">
        <v>194</v>
      </c>
      <c r="C71" s="14" t="s">
        <v>183</v>
      </c>
      <c r="D71" s="14" t="s">
        <v>76</v>
      </c>
      <c r="E71" s="14" t="s">
        <v>79</v>
      </c>
      <c r="F71" s="14" t="s">
        <v>79</v>
      </c>
      <c r="G71" s="14" t="s">
        <v>79</v>
      </c>
      <c r="H71" s="14" t="s">
        <v>79</v>
      </c>
      <c r="I71" s="14" t="s">
        <v>79</v>
      </c>
      <c r="J71" s="14" t="s">
        <v>79</v>
      </c>
      <c r="K71" s="14" t="s">
        <v>79</v>
      </c>
      <c r="L71" s="14" t="s">
        <v>79</v>
      </c>
      <c r="M71" s="14" t="s">
        <v>79</v>
      </c>
      <c r="N71" s="14" t="s">
        <v>79</v>
      </c>
      <c r="O71" s="14" t="s">
        <v>79</v>
      </c>
      <c r="P71" s="14" t="s">
        <v>79</v>
      </c>
      <c r="Q71" s="14" t="s">
        <v>3993</v>
      </c>
      <c r="R71" s="14" t="s">
        <v>86</v>
      </c>
      <c r="S71" s="14" t="s">
        <v>4367</v>
      </c>
      <c r="T71" s="14" t="s">
        <v>203</v>
      </c>
    </row>
    <row r="72" spans="1:20">
      <c r="A72" s="14" t="s">
        <v>600</v>
      </c>
      <c r="B72" s="14" t="s">
        <v>602</v>
      </c>
      <c r="C72" s="14" t="s">
        <v>315</v>
      </c>
      <c r="D72" s="14" t="s">
        <v>76</v>
      </c>
      <c r="E72" s="14" t="s">
        <v>79</v>
      </c>
      <c r="F72" s="14" t="s">
        <v>79</v>
      </c>
      <c r="G72" s="14" t="s">
        <v>79</v>
      </c>
      <c r="H72" s="14" t="s">
        <v>79</v>
      </c>
      <c r="I72" s="14" t="s">
        <v>79</v>
      </c>
      <c r="J72" s="14" t="s">
        <v>79</v>
      </c>
      <c r="K72" s="14" t="s">
        <v>79</v>
      </c>
      <c r="L72" s="14" t="s">
        <v>79</v>
      </c>
      <c r="M72" s="14" t="s">
        <v>79</v>
      </c>
      <c r="N72" s="14" t="s">
        <v>79</v>
      </c>
      <c r="O72" s="14" t="s">
        <v>79</v>
      </c>
      <c r="P72" s="14" t="s">
        <v>79</v>
      </c>
      <c r="Q72" s="14" t="s">
        <v>3993</v>
      </c>
      <c r="R72" s="14" t="s">
        <v>86</v>
      </c>
      <c r="S72" s="14" t="s">
        <v>4367</v>
      </c>
      <c r="T72" s="14" t="s">
        <v>203</v>
      </c>
    </row>
    <row r="73" spans="1:20">
      <c r="A73" s="14" t="s">
        <v>213</v>
      </c>
      <c r="B73" s="14" t="s">
        <v>214</v>
      </c>
      <c r="C73" s="14" t="s">
        <v>183</v>
      </c>
      <c r="D73" s="14" t="s">
        <v>76</v>
      </c>
      <c r="E73" s="14" t="s">
        <v>79</v>
      </c>
      <c r="F73" s="14" t="s">
        <v>79</v>
      </c>
      <c r="G73" s="14" t="s">
        <v>79</v>
      </c>
      <c r="H73" s="14" t="s">
        <v>79</v>
      </c>
      <c r="I73" s="14" t="s">
        <v>79</v>
      </c>
      <c r="J73" s="14" t="s">
        <v>79</v>
      </c>
      <c r="K73" s="14" t="s">
        <v>79</v>
      </c>
      <c r="L73" s="14" t="s">
        <v>79</v>
      </c>
      <c r="M73" s="14" t="s">
        <v>79</v>
      </c>
      <c r="N73" s="14" t="s">
        <v>79</v>
      </c>
      <c r="O73" s="14" t="s">
        <v>79</v>
      </c>
      <c r="P73" s="14" t="s">
        <v>79</v>
      </c>
      <c r="Q73" s="14" t="s">
        <v>3993</v>
      </c>
      <c r="R73" s="14" t="s">
        <v>86</v>
      </c>
      <c r="S73" s="14" t="s">
        <v>4377</v>
      </c>
      <c r="T73" s="14" t="s">
        <v>226</v>
      </c>
    </row>
    <row r="74" spans="1:20">
      <c r="A74" s="14" t="s">
        <v>257</v>
      </c>
      <c r="B74" s="14" t="s">
        <v>258</v>
      </c>
      <c r="C74" s="14" t="s">
        <v>234</v>
      </c>
      <c r="D74" s="14" t="s">
        <v>264</v>
      </c>
      <c r="E74" s="14" t="s">
        <v>79</v>
      </c>
      <c r="F74" s="14" t="s">
        <v>79</v>
      </c>
      <c r="G74" s="14" t="s">
        <v>79</v>
      </c>
      <c r="H74" s="14" t="s">
        <v>79</v>
      </c>
      <c r="I74" s="14" t="s">
        <v>79</v>
      </c>
      <c r="J74" s="14" t="s">
        <v>79</v>
      </c>
      <c r="K74" s="14" t="s">
        <v>79</v>
      </c>
      <c r="L74" s="14" t="s">
        <v>79</v>
      </c>
      <c r="M74" s="14" t="s">
        <v>198</v>
      </c>
      <c r="N74" s="14" t="s">
        <v>79</v>
      </c>
      <c r="O74" s="14" t="s">
        <v>198</v>
      </c>
      <c r="P74" s="14" t="s">
        <v>79</v>
      </c>
      <c r="Q74" s="14" t="s">
        <v>1666</v>
      </c>
      <c r="R74" s="14" t="s">
        <v>4378</v>
      </c>
      <c r="S74" s="14" t="s">
        <v>4377</v>
      </c>
      <c r="T74" s="14" t="s">
        <v>226</v>
      </c>
    </row>
    <row r="75" spans="1:20">
      <c r="A75" s="14" t="s">
        <v>344</v>
      </c>
      <c r="B75" s="14" t="s">
        <v>345</v>
      </c>
      <c r="C75" s="14" t="s">
        <v>346</v>
      </c>
      <c r="D75" s="14" t="s">
        <v>76</v>
      </c>
      <c r="E75" s="14" t="s">
        <v>79</v>
      </c>
      <c r="F75" s="14" t="s">
        <v>79</v>
      </c>
      <c r="G75" s="14" t="s">
        <v>79</v>
      </c>
      <c r="H75" s="14" t="s">
        <v>79</v>
      </c>
      <c r="I75" s="14" t="s">
        <v>79</v>
      </c>
      <c r="J75" s="14" t="s">
        <v>79</v>
      </c>
      <c r="K75" s="14" t="s">
        <v>79</v>
      </c>
      <c r="L75" s="14" t="s">
        <v>79</v>
      </c>
      <c r="M75" s="14" t="s">
        <v>79</v>
      </c>
      <c r="N75" s="14" t="s">
        <v>79</v>
      </c>
      <c r="O75" s="14" t="s">
        <v>79</v>
      </c>
      <c r="P75" s="14" t="s">
        <v>79</v>
      </c>
      <c r="Q75" s="14" t="s">
        <v>3993</v>
      </c>
      <c r="R75" s="14" t="s">
        <v>86</v>
      </c>
      <c r="S75" s="14" t="s">
        <v>4377</v>
      </c>
      <c r="T75" s="14" t="s">
        <v>226</v>
      </c>
    </row>
    <row r="76" spans="1:20">
      <c r="A76" s="14" t="s">
        <v>639</v>
      </c>
      <c r="B76" s="14" t="s">
        <v>640</v>
      </c>
      <c r="C76" s="14"/>
      <c r="D76" s="14" t="s">
        <v>76</v>
      </c>
      <c r="E76" s="14" t="s">
        <v>79</v>
      </c>
      <c r="F76" s="14" t="s">
        <v>79</v>
      </c>
      <c r="G76" s="14" t="s">
        <v>79</v>
      </c>
      <c r="H76" s="14" t="s">
        <v>79</v>
      </c>
      <c r="I76" s="14" t="s">
        <v>79</v>
      </c>
      <c r="J76" s="14" t="s">
        <v>79</v>
      </c>
      <c r="K76" s="14" t="s">
        <v>79</v>
      </c>
      <c r="L76" s="14" t="s">
        <v>79</v>
      </c>
      <c r="M76" s="14" t="s">
        <v>79</v>
      </c>
      <c r="N76" s="14" t="s">
        <v>79</v>
      </c>
      <c r="O76" s="14" t="s">
        <v>79</v>
      </c>
      <c r="P76" s="14" t="s">
        <v>79</v>
      </c>
      <c r="Q76" s="14" t="s">
        <v>3993</v>
      </c>
      <c r="R76" s="14" t="s">
        <v>86</v>
      </c>
      <c r="S76" s="14" t="s">
        <v>4377</v>
      </c>
      <c r="T76" s="14" t="s">
        <v>226</v>
      </c>
    </row>
    <row r="77" spans="1:20">
      <c r="A77" s="14" t="s">
        <v>639</v>
      </c>
      <c r="B77" s="14" t="s">
        <v>641</v>
      </c>
      <c r="C77" s="14"/>
      <c r="D77" s="14" t="s">
        <v>76</v>
      </c>
      <c r="E77" s="14" t="s">
        <v>79</v>
      </c>
      <c r="F77" s="14" t="s">
        <v>79</v>
      </c>
      <c r="G77" s="14" t="s">
        <v>79</v>
      </c>
      <c r="H77" s="14" t="s">
        <v>79</v>
      </c>
      <c r="I77" s="14" t="s">
        <v>79</v>
      </c>
      <c r="J77" s="14" t="s">
        <v>79</v>
      </c>
      <c r="K77" s="14" t="s">
        <v>79</v>
      </c>
      <c r="L77" s="14" t="s">
        <v>79</v>
      </c>
      <c r="M77" s="14" t="s">
        <v>79</v>
      </c>
      <c r="N77" s="14" t="s">
        <v>79</v>
      </c>
      <c r="O77" s="14" t="s">
        <v>79</v>
      </c>
      <c r="P77" s="14" t="s">
        <v>79</v>
      </c>
      <c r="Q77" s="14" t="s">
        <v>3993</v>
      </c>
      <c r="R77" s="14" t="s">
        <v>86</v>
      </c>
      <c r="S77" s="14" t="s">
        <v>4377</v>
      </c>
      <c r="T77" s="14" t="s">
        <v>226</v>
      </c>
    </row>
    <row r="78" spans="1:20">
      <c r="A78" s="14" t="s">
        <v>639</v>
      </c>
      <c r="B78" s="14" t="s">
        <v>646</v>
      </c>
      <c r="C78" s="14"/>
      <c r="D78" s="14" t="s">
        <v>76</v>
      </c>
      <c r="E78" s="14" t="s">
        <v>79</v>
      </c>
      <c r="F78" s="14" t="s">
        <v>79</v>
      </c>
      <c r="G78" s="14" t="s">
        <v>79</v>
      </c>
      <c r="H78" s="14" t="s">
        <v>79</v>
      </c>
      <c r="I78" s="14" t="s">
        <v>79</v>
      </c>
      <c r="J78" s="14" t="s">
        <v>79</v>
      </c>
      <c r="K78" s="14" t="s">
        <v>79</v>
      </c>
      <c r="L78" s="14" t="s">
        <v>79</v>
      </c>
      <c r="M78" s="14" t="s">
        <v>79</v>
      </c>
      <c r="N78" s="14" t="s">
        <v>79</v>
      </c>
      <c r="O78" s="14" t="s">
        <v>79</v>
      </c>
      <c r="P78" s="14" t="s">
        <v>79</v>
      </c>
      <c r="Q78" s="14" t="s">
        <v>3993</v>
      </c>
      <c r="R78" s="14" t="s">
        <v>86</v>
      </c>
      <c r="S78" s="14" t="s">
        <v>4377</v>
      </c>
      <c r="T78" s="14" t="s">
        <v>226</v>
      </c>
    </row>
    <row r="79" spans="1:20">
      <c r="A79" s="14" t="s">
        <v>71</v>
      </c>
      <c r="B79" s="14" t="s">
        <v>74</v>
      </c>
      <c r="C79" s="14" t="s">
        <v>73</v>
      </c>
      <c r="D79" s="14" t="s">
        <v>76</v>
      </c>
      <c r="E79" s="14" t="s">
        <v>79</v>
      </c>
      <c r="F79" s="14" t="s">
        <v>79</v>
      </c>
      <c r="G79" s="14" t="s">
        <v>79</v>
      </c>
      <c r="H79" s="14" t="s">
        <v>79</v>
      </c>
      <c r="I79" s="14" t="s">
        <v>79</v>
      </c>
      <c r="J79" s="14" t="s">
        <v>79</v>
      </c>
      <c r="K79" s="14" t="s">
        <v>79</v>
      </c>
      <c r="L79" s="14" t="s">
        <v>79</v>
      </c>
      <c r="M79" s="14" t="s">
        <v>79</v>
      </c>
      <c r="N79" s="14" t="s">
        <v>79</v>
      </c>
      <c r="O79" s="14" t="s">
        <v>79</v>
      </c>
      <c r="P79" s="14" t="s">
        <v>79</v>
      </c>
      <c r="Q79" s="14" t="s">
        <v>3993</v>
      </c>
      <c r="R79" s="14" t="s">
        <v>86</v>
      </c>
      <c r="S79" s="14" t="s">
        <v>4365</v>
      </c>
      <c r="T79" s="14" t="s">
        <v>133</v>
      </c>
    </row>
    <row r="80" spans="1:20">
      <c r="A80" s="14" t="s">
        <v>125</v>
      </c>
      <c r="B80" s="14" t="s">
        <v>74</v>
      </c>
      <c r="C80" s="14" t="s">
        <v>129</v>
      </c>
      <c r="D80" s="14" t="s">
        <v>76</v>
      </c>
      <c r="E80" s="14" t="s">
        <v>79</v>
      </c>
      <c r="F80" s="14" t="s">
        <v>79</v>
      </c>
      <c r="G80" s="14" t="s">
        <v>79</v>
      </c>
      <c r="H80" s="14" t="s">
        <v>79</v>
      </c>
      <c r="I80" s="14" t="s">
        <v>79</v>
      </c>
      <c r="J80" s="14" t="s">
        <v>79</v>
      </c>
      <c r="K80" s="14" t="s">
        <v>79</v>
      </c>
      <c r="L80" s="14" t="s">
        <v>79</v>
      </c>
      <c r="M80" s="14" t="s">
        <v>79</v>
      </c>
      <c r="N80" s="14" t="s">
        <v>79</v>
      </c>
      <c r="O80" s="14" t="s">
        <v>79</v>
      </c>
      <c r="P80" s="14" t="s">
        <v>79</v>
      </c>
      <c r="Q80" s="14" t="s">
        <v>3993</v>
      </c>
      <c r="R80" s="14" t="s">
        <v>86</v>
      </c>
      <c r="S80" s="14" t="s">
        <v>4365</v>
      </c>
      <c r="T80" s="14" t="s">
        <v>133</v>
      </c>
    </row>
    <row r="81" spans="1:20">
      <c r="A81" s="14" t="s">
        <v>4298</v>
      </c>
      <c r="B81" s="14" t="s">
        <v>74</v>
      </c>
      <c r="C81" s="14" t="s">
        <v>1489</v>
      </c>
      <c r="D81" s="14" t="s">
        <v>597</v>
      </c>
      <c r="E81" s="14" t="s">
        <v>198</v>
      </c>
      <c r="F81" s="14" t="s">
        <v>198</v>
      </c>
      <c r="G81" s="14" t="s">
        <v>79</v>
      </c>
      <c r="H81" s="14" t="s">
        <v>79</v>
      </c>
      <c r="I81" s="14" t="s">
        <v>79</v>
      </c>
      <c r="J81" s="14" t="s">
        <v>79</v>
      </c>
      <c r="K81" s="14" t="s">
        <v>198</v>
      </c>
      <c r="L81" s="14" t="s">
        <v>198</v>
      </c>
      <c r="M81" s="14" t="s">
        <v>198</v>
      </c>
      <c r="N81" s="14" t="s">
        <v>198</v>
      </c>
      <c r="O81" s="14" t="s">
        <v>198</v>
      </c>
      <c r="P81" s="14" t="s">
        <v>198</v>
      </c>
      <c r="Q81" s="14" t="s">
        <v>2200</v>
      </c>
      <c r="R81" s="14" t="s">
        <v>4379</v>
      </c>
      <c r="S81" s="14" t="s">
        <v>3993</v>
      </c>
      <c r="T81" s="14"/>
    </row>
    <row r="82" spans="1:20">
      <c r="A82" s="14" t="s">
        <v>173</v>
      </c>
      <c r="B82" s="14" t="s">
        <v>74</v>
      </c>
      <c r="C82" s="14" t="s">
        <v>75</v>
      </c>
      <c r="D82" s="14" t="s">
        <v>76</v>
      </c>
      <c r="E82" s="14" t="s">
        <v>79</v>
      </c>
      <c r="F82" s="14" t="s">
        <v>79</v>
      </c>
      <c r="G82" s="14" t="s">
        <v>79</v>
      </c>
      <c r="H82" s="14" t="s">
        <v>79</v>
      </c>
      <c r="I82" s="14" t="s">
        <v>79</v>
      </c>
      <c r="J82" s="14" t="s">
        <v>79</v>
      </c>
      <c r="K82" s="14" t="s">
        <v>79</v>
      </c>
      <c r="L82" s="14" t="s">
        <v>79</v>
      </c>
      <c r="M82" s="14" t="s">
        <v>79</v>
      </c>
      <c r="N82" s="14" t="s">
        <v>79</v>
      </c>
      <c r="O82" s="14" t="s">
        <v>79</v>
      </c>
      <c r="P82" s="14" t="s">
        <v>79</v>
      </c>
      <c r="Q82" s="14" t="s">
        <v>3993</v>
      </c>
      <c r="R82" s="14" t="s">
        <v>86</v>
      </c>
      <c r="S82" s="14" t="s">
        <v>4362</v>
      </c>
      <c r="T82" s="14" t="s">
        <v>172</v>
      </c>
    </row>
    <row r="83" spans="1:20">
      <c r="A83" s="14" t="s">
        <v>4292</v>
      </c>
      <c r="B83" s="14" t="s">
        <v>74</v>
      </c>
      <c r="C83" s="14" t="s">
        <v>183</v>
      </c>
      <c r="D83" s="14" t="s">
        <v>597</v>
      </c>
      <c r="E83" s="14" t="s">
        <v>198</v>
      </c>
      <c r="F83" s="14" t="s">
        <v>198</v>
      </c>
      <c r="G83" s="14" t="s">
        <v>79</v>
      </c>
      <c r="H83" s="14" t="s">
        <v>79</v>
      </c>
      <c r="I83" s="14" t="s">
        <v>79</v>
      </c>
      <c r="J83" s="14" t="s">
        <v>79</v>
      </c>
      <c r="K83" s="14" t="s">
        <v>198</v>
      </c>
      <c r="L83" s="14" t="s">
        <v>198</v>
      </c>
      <c r="M83" s="14" t="s">
        <v>198</v>
      </c>
      <c r="N83" s="14" t="s">
        <v>198</v>
      </c>
      <c r="O83" s="14" t="s">
        <v>198</v>
      </c>
      <c r="P83" s="14" t="s">
        <v>198</v>
      </c>
      <c r="Q83" s="14" t="s">
        <v>2200</v>
      </c>
      <c r="R83" s="14" t="s">
        <v>4379</v>
      </c>
      <c r="S83" s="14" t="s">
        <v>3993</v>
      </c>
      <c r="T83" s="14"/>
    </row>
    <row r="84" spans="1:20">
      <c r="A84" s="14" t="s">
        <v>265</v>
      </c>
      <c r="B84" s="14" t="s">
        <v>74</v>
      </c>
      <c r="C84" s="14" t="s">
        <v>234</v>
      </c>
      <c r="D84" s="14" t="s">
        <v>76</v>
      </c>
      <c r="E84" s="14" t="s">
        <v>79</v>
      </c>
      <c r="F84" s="14" t="s">
        <v>79</v>
      </c>
      <c r="G84" s="14" t="s">
        <v>79</v>
      </c>
      <c r="H84" s="14" t="s">
        <v>79</v>
      </c>
      <c r="I84" s="14" t="s">
        <v>79</v>
      </c>
      <c r="J84" s="14" t="s">
        <v>79</v>
      </c>
      <c r="K84" s="14" t="s">
        <v>79</v>
      </c>
      <c r="L84" s="14" t="s">
        <v>79</v>
      </c>
      <c r="M84" s="14" t="s">
        <v>79</v>
      </c>
      <c r="N84" s="14" t="s">
        <v>79</v>
      </c>
      <c r="O84" s="14" t="s">
        <v>79</v>
      </c>
      <c r="P84" s="14" t="s">
        <v>79</v>
      </c>
      <c r="Q84" s="14" t="s">
        <v>3993</v>
      </c>
      <c r="R84" s="14" t="s">
        <v>86</v>
      </c>
      <c r="S84" s="14" t="s">
        <v>4367</v>
      </c>
      <c r="T84" s="14" t="s">
        <v>272</v>
      </c>
    </row>
    <row r="85" spans="1:20">
      <c r="A85" s="14" t="s">
        <v>260</v>
      </c>
      <c r="B85" s="14" t="s">
        <v>74</v>
      </c>
      <c r="C85" s="14" t="s">
        <v>261</v>
      </c>
      <c r="D85" s="14" t="s">
        <v>163</v>
      </c>
      <c r="E85" s="14" t="s">
        <v>79</v>
      </c>
      <c r="F85" s="14" t="s">
        <v>79</v>
      </c>
      <c r="G85" s="14" t="s">
        <v>79</v>
      </c>
      <c r="H85" s="14" t="s">
        <v>79</v>
      </c>
      <c r="I85" s="14" t="s">
        <v>79</v>
      </c>
      <c r="J85" s="14" t="s">
        <v>79</v>
      </c>
      <c r="K85" s="14" t="s">
        <v>79</v>
      </c>
      <c r="L85" s="14" t="s">
        <v>198</v>
      </c>
      <c r="M85" s="14" t="s">
        <v>198</v>
      </c>
      <c r="N85" s="14" t="s">
        <v>79</v>
      </c>
      <c r="O85" s="14" t="s">
        <v>198</v>
      </c>
      <c r="P85" s="14" t="s">
        <v>198</v>
      </c>
      <c r="Q85" s="14" t="s">
        <v>2178</v>
      </c>
      <c r="R85" s="14" t="s">
        <v>164</v>
      </c>
      <c r="S85" s="14" t="s">
        <v>4364</v>
      </c>
      <c r="T85" s="14" t="s">
        <v>298</v>
      </c>
    </row>
    <row r="86" spans="1:20">
      <c r="A86" s="14" t="s">
        <v>1294</v>
      </c>
      <c r="B86" s="14" t="s">
        <v>74</v>
      </c>
      <c r="C86" s="14" t="s">
        <v>331</v>
      </c>
      <c r="D86" s="14" t="s">
        <v>597</v>
      </c>
      <c r="E86" s="14" t="s">
        <v>198</v>
      </c>
      <c r="F86" s="14" t="s">
        <v>198</v>
      </c>
      <c r="G86" s="14" t="s">
        <v>198</v>
      </c>
      <c r="H86" s="14" t="s">
        <v>198</v>
      </c>
      <c r="I86" s="14" t="s">
        <v>198</v>
      </c>
      <c r="J86" s="14" t="s">
        <v>198</v>
      </c>
      <c r="K86" s="14" t="s">
        <v>198</v>
      </c>
      <c r="L86" s="14" t="s">
        <v>198</v>
      </c>
      <c r="M86" s="14" t="s">
        <v>79</v>
      </c>
      <c r="N86" s="14" t="s">
        <v>79</v>
      </c>
      <c r="O86" s="14" t="s">
        <v>79</v>
      </c>
      <c r="P86" s="14" t="s">
        <v>79</v>
      </c>
      <c r="Q86" s="14" t="s">
        <v>2200</v>
      </c>
      <c r="R86" s="14" t="s">
        <v>4380</v>
      </c>
      <c r="S86" s="14" t="s">
        <v>3993</v>
      </c>
      <c r="T86" s="14"/>
    </row>
    <row r="87" spans="1:20">
      <c r="A87" s="14" t="s">
        <v>1299</v>
      </c>
      <c r="B87" s="14" t="s">
        <v>74</v>
      </c>
      <c r="C87" s="14" t="s">
        <v>331</v>
      </c>
      <c r="D87" s="14" t="s">
        <v>597</v>
      </c>
      <c r="E87" s="14" t="s">
        <v>198</v>
      </c>
      <c r="F87" s="14" t="s">
        <v>198</v>
      </c>
      <c r="G87" s="14" t="s">
        <v>79</v>
      </c>
      <c r="H87" s="14" t="s">
        <v>79</v>
      </c>
      <c r="I87" s="14" t="s">
        <v>79</v>
      </c>
      <c r="J87" s="14" t="s">
        <v>79</v>
      </c>
      <c r="K87" s="14" t="s">
        <v>198</v>
      </c>
      <c r="L87" s="14" t="s">
        <v>198</v>
      </c>
      <c r="M87" s="14" t="s">
        <v>198</v>
      </c>
      <c r="N87" s="14" t="s">
        <v>198</v>
      </c>
      <c r="O87" s="14" t="s">
        <v>198</v>
      </c>
      <c r="P87" s="14" t="s">
        <v>198</v>
      </c>
      <c r="Q87" s="14" t="s">
        <v>2200</v>
      </c>
      <c r="R87" s="14" t="s">
        <v>4379</v>
      </c>
      <c r="S87" s="14" t="s">
        <v>3993</v>
      </c>
      <c r="T87" s="14"/>
    </row>
    <row r="88" spans="1:20">
      <c r="A88" s="14" t="s">
        <v>349</v>
      </c>
      <c r="B88" s="14" t="s">
        <v>74</v>
      </c>
      <c r="C88" s="14" t="s">
        <v>331</v>
      </c>
      <c r="D88" s="14" t="s">
        <v>76</v>
      </c>
      <c r="E88" s="14" t="s">
        <v>79</v>
      </c>
      <c r="F88" s="14" t="s">
        <v>79</v>
      </c>
      <c r="G88" s="14" t="s">
        <v>79</v>
      </c>
      <c r="H88" s="14" t="s">
        <v>79</v>
      </c>
      <c r="I88" s="14" t="s">
        <v>79</v>
      </c>
      <c r="J88" s="14" t="s">
        <v>79</v>
      </c>
      <c r="K88" s="14" t="s">
        <v>79</v>
      </c>
      <c r="L88" s="14" t="s">
        <v>79</v>
      </c>
      <c r="M88" s="14" t="s">
        <v>79</v>
      </c>
      <c r="N88" s="14" t="s">
        <v>79</v>
      </c>
      <c r="O88" s="14" t="s">
        <v>79</v>
      </c>
      <c r="P88" s="14" t="s">
        <v>79</v>
      </c>
      <c r="Q88" s="14" t="s">
        <v>3993</v>
      </c>
      <c r="R88" s="14" t="s">
        <v>86</v>
      </c>
      <c r="S88" s="14" t="s">
        <v>4364</v>
      </c>
      <c r="T88" s="14" t="s">
        <v>192</v>
      </c>
    </row>
    <row r="89" spans="1:20">
      <c r="A89" s="14" t="s">
        <v>291</v>
      </c>
      <c r="B89" s="14" t="s">
        <v>74</v>
      </c>
      <c r="C89" s="14" t="s">
        <v>103</v>
      </c>
      <c r="D89" s="14" t="s">
        <v>163</v>
      </c>
      <c r="E89" s="14" t="s">
        <v>79</v>
      </c>
      <c r="F89" s="14" t="s">
        <v>79</v>
      </c>
      <c r="G89" s="14" t="s">
        <v>79</v>
      </c>
      <c r="H89" s="14" t="s">
        <v>79</v>
      </c>
      <c r="I89" s="14" t="s">
        <v>79</v>
      </c>
      <c r="J89" s="14" t="s">
        <v>79</v>
      </c>
      <c r="K89" s="14" t="s">
        <v>79</v>
      </c>
      <c r="L89" s="14" t="s">
        <v>198</v>
      </c>
      <c r="M89" s="14" t="s">
        <v>198</v>
      </c>
      <c r="N89" s="14" t="s">
        <v>79</v>
      </c>
      <c r="O89" s="14" t="s">
        <v>198</v>
      </c>
      <c r="P89" s="14" t="s">
        <v>198</v>
      </c>
      <c r="Q89" s="14" t="s">
        <v>2178</v>
      </c>
      <c r="R89" s="14" t="s">
        <v>164</v>
      </c>
      <c r="S89" s="14" t="s">
        <v>4364</v>
      </c>
      <c r="T89" s="14" t="s">
        <v>298</v>
      </c>
    </row>
    <row r="90" spans="1:20">
      <c r="A90" s="14" t="s">
        <v>3506</v>
      </c>
      <c r="B90" s="14" t="s">
        <v>74</v>
      </c>
      <c r="C90" s="14" t="s">
        <v>103</v>
      </c>
      <c r="D90" s="14" t="s">
        <v>163</v>
      </c>
      <c r="E90" s="14" t="s">
        <v>198</v>
      </c>
      <c r="F90" s="14" t="s">
        <v>198</v>
      </c>
      <c r="G90" s="14" t="s">
        <v>79</v>
      </c>
      <c r="H90" s="14" t="s">
        <v>79</v>
      </c>
      <c r="I90" s="14" t="s">
        <v>79</v>
      </c>
      <c r="J90" s="14" t="s">
        <v>198</v>
      </c>
      <c r="K90" s="14" t="s">
        <v>198</v>
      </c>
      <c r="L90" s="14" t="s">
        <v>79</v>
      </c>
      <c r="M90" s="14" t="s">
        <v>79</v>
      </c>
      <c r="N90" s="14" t="s">
        <v>79</v>
      </c>
      <c r="O90" s="14" t="s">
        <v>79</v>
      </c>
      <c r="P90" s="14" t="s">
        <v>79</v>
      </c>
      <c r="Q90" s="14" t="s">
        <v>2178</v>
      </c>
      <c r="R90" s="14" t="s">
        <v>4381</v>
      </c>
      <c r="S90" s="14" t="s">
        <v>3993</v>
      </c>
      <c r="T90" s="14"/>
    </row>
  </sheetData>
  <pageMargins left="0.3" right="0.3" top="0.4" bottom="0.4" header="0" footer="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45"/>
  <sheetViews>
    <sheetView workbookViewId="0">
      <pane ySplit="1" topLeftCell="A2" activePane="bottomLeft" state="frozen"/>
      <selection activeCell="B3" sqref="B3"/>
      <selection pane="bottomLeft" activeCell="B3" sqref="B3"/>
    </sheetView>
  </sheetViews>
  <sheetFormatPr defaultColWidth="14.44140625" defaultRowHeight="14.4"/>
  <cols>
    <col min="1" max="1" width="46" customWidth="1"/>
    <col min="2" max="2" width="120" customWidth="1"/>
  </cols>
  <sheetData>
    <row r="1" spans="1:2">
      <c r="A1" s="4" t="s">
        <v>3980</v>
      </c>
    </row>
    <row r="2" spans="1:2">
      <c r="A2" s="14" t="s">
        <v>3981</v>
      </c>
      <c r="B2" s="14" t="s">
        <v>3982</v>
      </c>
    </row>
    <row r="3" spans="1:2">
      <c r="A3" s="14" t="s">
        <v>2158</v>
      </c>
      <c r="B3" s="14" t="s">
        <v>3983</v>
      </c>
    </row>
    <row r="4" spans="1:2">
      <c r="A4" s="14" t="s">
        <v>2156</v>
      </c>
      <c r="B4" s="14" t="s">
        <v>3984</v>
      </c>
    </row>
    <row r="6" spans="1:2">
      <c r="A6" s="4" t="s">
        <v>3985</v>
      </c>
    </row>
    <row r="7" spans="1:2">
      <c r="A7" s="14" t="s">
        <v>2486</v>
      </c>
      <c r="B7" s="14" t="s">
        <v>3986</v>
      </c>
    </row>
    <row r="8" spans="1:2">
      <c r="A8" s="14" t="s">
        <v>3987</v>
      </c>
      <c r="B8" s="14" t="s">
        <v>3988</v>
      </c>
    </row>
    <row r="9" spans="1:2">
      <c r="A9" s="14" t="s">
        <v>3989</v>
      </c>
      <c r="B9" s="14" t="s">
        <v>2939</v>
      </c>
    </row>
    <row r="10" spans="1:2">
      <c r="A10" s="14" t="s">
        <v>3990</v>
      </c>
      <c r="B10" s="14" t="s">
        <v>2194</v>
      </c>
    </row>
    <row r="11" spans="1:2">
      <c r="A11" s="14" t="s">
        <v>3991</v>
      </c>
      <c r="B11" s="14" t="s">
        <v>3986</v>
      </c>
    </row>
    <row r="12" spans="1:2">
      <c r="A12" s="14" t="s">
        <v>3992</v>
      </c>
      <c r="B12" s="14" t="s">
        <v>3993</v>
      </c>
    </row>
    <row r="14" spans="1:2">
      <c r="A14" s="4" t="s">
        <v>3994</v>
      </c>
    </row>
    <row r="15" spans="1:2">
      <c r="A15" s="14" t="s">
        <v>3995</v>
      </c>
      <c r="B15" s="14" t="s">
        <v>3996</v>
      </c>
    </row>
    <row r="16" spans="1:2">
      <c r="A16" s="14" t="s">
        <v>3997</v>
      </c>
      <c r="B16" s="14" t="s">
        <v>2849</v>
      </c>
    </row>
    <row r="17" spans="1:2">
      <c r="A17" s="14" t="s">
        <v>3998</v>
      </c>
      <c r="B17" s="14" t="s">
        <v>1666</v>
      </c>
    </row>
    <row r="18" spans="1:2">
      <c r="A18" s="14" t="s">
        <v>3999</v>
      </c>
      <c r="B18" s="14" t="s">
        <v>3836</v>
      </c>
    </row>
    <row r="19" spans="1:2">
      <c r="A19" s="14" t="s">
        <v>4000</v>
      </c>
      <c r="B19" s="14" t="s">
        <v>4001</v>
      </c>
    </row>
    <row r="20" spans="1:2">
      <c r="A20" s="14" t="s">
        <v>4002</v>
      </c>
      <c r="B20" s="14" t="s">
        <v>3836</v>
      </c>
    </row>
    <row r="22" spans="1:2">
      <c r="A22" s="4" t="s">
        <v>4003</v>
      </c>
    </row>
    <row r="23" spans="1:2">
      <c r="A23" s="14" t="s">
        <v>690</v>
      </c>
      <c r="B23" s="14" t="s">
        <v>1995</v>
      </c>
    </row>
    <row r="24" spans="1:2">
      <c r="A24" s="14" t="s">
        <v>2639</v>
      </c>
      <c r="B24" s="14" t="s">
        <v>2880</v>
      </c>
    </row>
    <row r="25" spans="1:2">
      <c r="A25" s="14" t="s">
        <v>708</v>
      </c>
      <c r="B25" s="14" t="s">
        <v>2721</v>
      </c>
    </row>
    <row r="26" spans="1:2">
      <c r="A26" s="14" t="s">
        <v>755</v>
      </c>
      <c r="B26" s="14" t="s">
        <v>3006</v>
      </c>
    </row>
    <row r="28" spans="1:2">
      <c r="A28" s="4" t="s">
        <v>4004</v>
      </c>
    </row>
    <row r="29" spans="1:2">
      <c r="A29" s="14" t="s">
        <v>4005</v>
      </c>
      <c r="B29" s="14" t="s">
        <v>3187</v>
      </c>
    </row>
    <row r="30" spans="1:2">
      <c r="A30" s="14" t="s">
        <v>4006</v>
      </c>
      <c r="B30" s="14" t="s">
        <v>2880</v>
      </c>
    </row>
    <row r="31" spans="1:2">
      <c r="A31" s="14" t="s">
        <v>4007</v>
      </c>
      <c r="B31" s="14" t="s">
        <v>2172</v>
      </c>
    </row>
    <row r="32" spans="1:2">
      <c r="A32" s="14" t="s">
        <v>4008</v>
      </c>
      <c r="B32" s="14" t="s">
        <v>2708</v>
      </c>
    </row>
    <row r="34" spans="1:2">
      <c r="A34" s="4" t="s">
        <v>4009</v>
      </c>
    </row>
    <row r="35" spans="1:2">
      <c r="A35" s="14" t="s">
        <v>4010</v>
      </c>
      <c r="B35" s="14" t="s">
        <v>4011</v>
      </c>
    </row>
    <row r="36" spans="1:2">
      <c r="A36" s="14" t="s">
        <v>4012</v>
      </c>
      <c r="B36" s="14" t="s">
        <v>3690</v>
      </c>
    </row>
    <row r="37" spans="1:2">
      <c r="A37" s="14" t="s">
        <v>665</v>
      </c>
      <c r="B37" s="14" t="s">
        <v>4013</v>
      </c>
    </row>
    <row r="38" spans="1:2">
      <c r="A38" s="14" t="s">
        <v>4014</v>
      </c>
      <c r="B38" s="14" t="s">
        <v>4015</v>
      </c>
    </row>
    <row r="39" spans="1:2">
      <c r="A39" s="14" t="s">
        <v>4016</v>
      </c>
      <c r="B39" s="14" t="s">
        <v>4017</v>
      </c>
    </row>
    <row r="40" spans="1:2">
      <c r="A40" s="14" t="s">
        <v>4018</v>
      </c>
      <c r="B40" s="14" t="s">
        <v>4019</v>
      </c>
    </row>
    <row r="42" spans="1:2">
      <c r="A42" s="4" t="s">
        <v>4020</v>
      </c>
    </row>
    <row r="43" spans="1:2">
      <c r="A43" s="14" t="s">
        <v>4021</v>
      </c>
      <c r="B43" s="14" t="s">
        <v>4022</v>
      </c>
    </row>
    <row r="44" spans="1:2">
      <c r="A44" s="14" t="s">
        <v>4023</v>
      </c>
      <c r="B44" s="14" t="s">
        <v>4024</v>
      </c>
    </row>
    <row r="45" spans="1:2">
      <c r="A45" s="14" t="s">
        <v>4025</v>
      </c>
      <c r="B45" s="14" t="s">
        <v>4026</v>
      </c>
    </row>
  </sheetData>
  <pageMargins left="0.3" right="0.3" top="0.4" bottom="0.4" header="0" footer="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F98"/>
  <sheetViews>
    <sheetView workbookViewId="0">
      <pane ySplit="5" topLeftCell="A6" activePane="bottomLeft" state="frozen"/>
      <selection activeCell="B3" sqref="B3"/>
      <selection pane="bottomLeft" activeCell="B3" sqref="B3"/>
    </sheetView>
  </sheetViews>
  <sheetFormatPr defaultColWidth="14.44140625" defaultRowHeight="14.4"/>
  <cols>
    <col min="1" max="1" width="16" customWidth="1"/>
    <col min="2" max="2" width="14" customWidth="1"/>
    <col min="3" max="3" width="22" customWidth="1"/>
    <col min="4" max="4" width="16" customWidth="1"/>
    <col min="5" max="5" width="26" customWidth="1"/>
    <col min="6" max="6" width="110" customWidth="1"/>
  </cols>
  <sheetData>
    <row r="1" spans="1:6" ht="24">
      <c r="A1" s="4" t="s">
        <v>4027</v>
      </c>
    </row>
    <row r="2" spans="1:6">
      <c r="A2" s="14" t="s">
        <v>4028</v>
      </c>
      <c r="B2" s="14" t="s">
        <v>4029</v>
      </c>
    </row>
    <row r="3" spans="1:6">
      <c r="A3" s="14" t="s">
        <v>4030</v>
      </c>
      <c r="B3" s="14" t="s">
        <v>4031</v>
      </c>
    </row>
    <row r="5" spans="1:6">
      <c r="A5" s="4" t="s">
        <v>2480</v>
      </c>
      <c r="B5" s="4" t="s">
        <v>2481</v>
      </c>
      <c r="C5" s="4" t="s">
        <v>7</v>
      </c>
      <c r="D5" s="4" t="s">
        <v>4032</v>
      </c>
      <c r="E5" s="4" t="s">
        <v>668</v>
      </c>
      <c r="F5" s="4" t="s">
        <v>4033</v>
      </c>
    </row>
    <row r="6" spans="1:6">
      <c r="A6" s="14" t="s">
        <v>155</v>
      </c>
      <c r="B6" s="14" t="s">
        <v>159</v>
      </c>
      <c r="C6" s="14"/>
      <c r="D6" s="14" t="s">
        <v>163</v>
      </c>
      <c r="E6" s="14" t="s">
        <v>4034</v>
      </c>
      <c r="F6" s="14" t="s">
        <v>4035</v>
      </c>
    </row>
    <row r="7" spans="1:6">
      <c r="A7" s="14" t="s">
        <v>636</v>
      </c>
      <c r="B7" s="14" t="s">
        <v>208</v>
      </c>
      <c r="C7" s="14" t="s">
        <v>183</v>
      </c>
      <c r="D7" s="14" t="s">
        <v>163</v>
      </c>
      <c r="E7" s="14" t="s">
        <v>4034</v>
      </c>
      <c r="F7" s="14" t="s">
        <v>4036</v>
      </c>
    </row>
    <row r="8" spans="1:6">
      <c r="A8" s="14" t="s">
        <v>193</v>
      </c>
      <c r="B8" s="14" t="s">
        <v>194</v>
      </c>
      <c r="C8" s="14" t="s">
        <v>183</v>
      </c>
      <c r="D8" s="14" t="s">
        <v>195</v>
      </c>
      <c r="E8" s="14" t="s">
        <v>724</v>
      </c>
      <c r="F8" s="14" t="s">
        <v>4037</v>
      </c>
    </row>
    <row r="9" spans="1:6">
      <c r="A9" s="14" t="s">
        <v>193</v>
      </c>
      <c r="B9" s="14" t="s">
        <v>194</v>
      </c>
      <c r="C9" s="14" t="s">
        <v>183</v>
      </c>
      <c r="D9" s="14" t="s">
        <v>195</v>
      </c>
      <c r="E9" s="14" t="s">
        <v>4038</v>
      </c>
      <c r="F9" s="14" t="s">
        <v>4037</v>
      </c>
    </row>
    <row r="10" spans="1:6">
      <c r="A10" s="14" t="s">
        <v>193</v>
      </c>
      <c r="B10" s="14" t="s">
        <v>194</v>
      </c>
      <c r="C10" s="14" t="s">
        <v>183</v>
      </c>
      <c r="D10" s="14" t="s">
        <v>195</v>
      </c>
      <c r="E10" s="14" t="s">
        <v>4039</v>
      </c>
      <c r="F10" s="14" t="s">
        <v>4037</v>
      </c>
    </row>
    <row r="11" spans="1:6">
      <c r="A11" s="14" t="s">
        <v>204</v>
      </c>
      <c r="B11" s="14" t="s">
        <v>205</v>
      </c>
      <c r="C11" s="14" t="s">
        <v>183</v>
      </c>
      <c r="D11" s="14" t="s">
        <v>195</v>
      </c>
      <c r="E11" s="14" t="s">
        <v>724</v>
      </c>
      <c r="F11" s="14" t="s">
        <v>4040</v>
      </c>
    </row>
    <row r="12" spans="1:6">
      <c r="A12" s="14" t="s">
        <v>204</v>
      </c>
      <c r="B12" s="14" t="s">
        <v>205</v>
      </c>
      <c r="C12" s="14" t="s">
        <v>183</v>
      </c>
      <c r="D12" s="14" t="s">
        <v>195</v>
      </c>
      <c r="E12" s="14" t="s">
        <v>4038</v>
      </c>
      <c r="F12" s="14" t="s">
        <v>4040</v>
      </c>
    </row>
    <row r="13" spans="1:6">
      <c r="A13" s="14" t="s">
        <v>204</v>
      </c>
      <c r="B13" s="14" t="s">
        <v>205</v>
      </c>
      <c r="C13" s="14" t="s">
        <v>183</v>
      </c>
      <c r="D13" s="14" t="s">
        <v>195</v>
      </c>
      <c r="E13" s="14" t="s">
        <v>4039</v>
      </c>
      <c r="F13" s="14" t="s">
        <v>4040</v>
      </c>
    </row>
    <row r="14" spans="1:6">
      <c r="A14" s="14" t="s">
        <v>213</v>
      </c>
      <c r="B14" s="14" t="s">
        <v>214</v>
      </c>
      <c r="C14" s="14" t="s">
        <v>183</v>
      </c>
      <c r="D14" s="14" t="s">
        <v>163</v>
      </c>
      <c r="E14" s="14" t="s">
        <v>4034</v>
      </c>
      <c r="F14" s="14" t="s">
        <v>4041</v>
      </c>
    </row>
    <row r="15" spans="1:6">
      <c r="A15" s="14" t="s">
        <v>213</v>
      </c>
      <c r="B15" s="14" t="s">
        <v>214</v>
      </c>
      <c r="C15" s="14" t="s">
        <v>183</v>
      </c>
      <c r="D15" s="14" t="s">
        <v>163</v>
      </c>
      <c r="E15" s="14" t="s">
        <v>724</v>
      </c>
      <c r="F15" s="14" t="s">
        <v>4042</v>
      </c>
    </row>
    <row r="16" spans="1:6">
      <c r="A16" s="14" t="s">
        <v>213</v>
      </c>
      <c r="B16" s="14" t="s">
        <v>214</v>
      </c>
      <c r="C16" s="14" t="s">
        <v>183</v>
      </c>
      <c r="D16" s="14" t="s">
        <v>163</v>
      </c>
      <c r="E16" s="14" t="s">
        <v>4038</v>
      </c>
      <c r="F16" s="14" t="s">
        <v>4042</v>
      </c>
    </row>
    <row r="17" spans="1:6">
      <c r="A17" s="14" t="s">
        <v>213</v>
      </c>
      <c r="B17" s="14" t="s">
        <v>214</v>
      </c>
      <c r="C17" s="14" t="s">
        <v>183</v>
      </c>
      <c r="D17" s="14" t="s">
        <v>163</v>
      </c>
      <c r="E17" s="14" t="s">
        <v>4039</v>
      </c>
      <c r="F17" s="14" t="s">
        <v>4042</v>
      </c>
    </row>
    <row r="18" spans="1:6">
      <c r="A18" s="14" t="s">
        <v>215</v>
      </c>
      <c r="B18" s="14" t="s">
        <v>218</v>
      </c>
      <c r="C18" s="14" t="s">
        <v>234</v>
      </c>
      <c r="D18" s="14" t="s">
        <v>195</v>
      </c>
      <c r="E18" s="14" t="s">
        <v>4034</v>
      </c>
      <c r="F18" s="14" t="s">
        <v>4043</v>
      </c>
    </row>
    <row r="19" spans="1:6">
      <c r="A19" s="14" t="s">
        <v>215</v>
      </c>
      <c r="B19" s="14" t="s">
        <v>218</v>
      </c>
      <c r="C19" s="14" t="s">
        <v>234</v>
      </c>
      <c r="D19" s="14" t="s">
        <v>195</v>
      </c>
      <c r="E19" s="14" t="s">
        <v>4038</v>
      </c>
      <c r="F19" s="14" t="s">
        <v>4044</v>
      </c>
    </row>
    <row r="20" spans="1:6">
      <c r="A20" s="14" t="s">
        <v>215</v>
      </c>
      <c r="B20" s="14" t="s">
        <v>218</v>
      </c>
      <c r="C20" s="14" t="s">
        <v>234</v>
      </c>
      <c r="D20" s="14" t="s">
        <v>195</v>
      </c>
      <c r="E20" s="14" t="s">
        <v>4039</v>
      </c>
      <c r="F20" s="14" t="s">
        <v>4044</v>
      </c>
    </row>
    <row r="21" spans="1:6">
      <c r="A21" s="14" t="s">
        <v>257</v>
      </c>
      <c r="B21" s="14" t="s">
        <v>258</v>
      </c>
      <c r="C21" s="14" t="s">
        <v>234</v>
      </c>
      <c r="D21" s="14" t="s">
        <v>163</v>
      </c>
      <c r="E21" s="14" t="s">
        <v>724</v>
      </c>
      <c r="F21" s="14" t="s">
        <v>4045</v>
      </c>
    </row>
    <row r="22" spans="1:6">
      <c r="A22" s="14" t="s">
        <v>257</v>
      </c>
      <c r="B22" s="14" t="s">
        <v>258</v>
      </c>
      <c r="C22" s="14" t="s">
        <v>234</v>
      </c>
      <c r="D22" s="14" t="s">
        <v>163</v>
      </c>
      <c r="E22" s="14" t="s">
        <v>4039</v>
      </c>
      <c r="F22" s="14" t="s">
        <v>4045</v>
      </c>
    </row>
    <row r="23" spans="1:6">
      <c r="A23" s="14" t="s">
        <v>265</v>
      </c>
      <c r="B23" s="14" t="s">
        <v>74</v>
      </c>
      <c r="C23" s="14" t="s">
        <v>234</v>
      </c>
      <c r="D23" s="14" t="s">
        <v>268</v>
      </c>
      <c r="E23" s="14" t="s">
        <v>688</v>
      </c>
      <c r="F23" s="14" t="s">
        <v>4046</v>
      </c>
    </row>
    <row r="24" spans="1:6">
      <c r="A24" s="14" t="s">
        <v>265</v>
      </c>
      <c r="B24" s="14" t="s">
        <v>74</v>
      </c>
      <c r="C24" s="14" t="s">
        <v>234</v>
      </c>
      <c r="D24" s="14" t="s">
        <v>268</v>
      </c>
      <c r="E24" s="14" t="s">
        <v>4047</v>
      </c>
      <c r="F24" s="14" t="s">
        <v>4046</v>
      </c>
    </row>
    <row r="25" spans="1:6">
      <c r="A25" s="14" t="s">
        <v>265</v>
      </c>
      <c r="B25" s="14" t="s">
        <v>74</v>
      </c>
      <c r="C25" s="14" t="s">
        <v>234</v>
      </c>
      <c r="D25" s="14" t="s">
        <v>268</v>
      </c>
      <c r="E25" s="14" t="s">
        <v>4048</v>
      </c>
      <c r="F25" s="14" t="s">
        <v>4046</v>
      </c>
    </row>
    <row r="26" spans="1:6">
      <c r="A26" s="14" t="s">
        <v>265</v>
      </c>
      <c r="B26" s="14" t="s">
        <v>74</v>
      </c>
      <c r="C26" s="14" t="s">
        <v>234</v>
      </c>
      <c r="D26" s="14" t="s">
        <v>268</v>
      </c>
      <c r="E26" s="14" t="s">
        <v>4049</v>
      </c>
      <c r="F26" s="14" t="s">
        <v>4046</v>
      </c>
    </row>
    <row r="27" spans="1:6">
      <c r="A27" s="14" t="s">
        <v>265</v>
      </c>
      <c r="B27" s="14" t="s">
        <v>74</v>
      </c>
      <c r="C27" s="14" t="s">
        <v>234</v>
      </c>
      <c r="D27" s="14" t="s">
        <v>268</v>
      </c>
      <c r="E27" s="14" t="s">
        <v>4034</v>
      </c>
      <c r="F27" s="14" t="s">
        <v>4050</v>
      </c>
    </row>
    <row r="28" spans="1:6">
      <c r="A28" s="14" t="s">
        <v>265</v>
      </c>
      <c r="B28" s="14" t="s">
        <v>74</v>
      </c>
      <c r="C28" s="14" t="s">
        <v>234</v>
      </c>
      <c r="D28" s="14" t="s">
        <v>268</v>
      </c>
      <c r="E28" s="14" t="s">
        <v>724</v>
      </c>
      <c r="F28" s="14" t="s">
        <v>4051</v>
      </c>
    </row>
    <row r="29" spans="1:6">
      <c r="A29" s="14" t="s">
        <v>265</v>
      </c>
      <c r="B29" s="14" t="s">
        <v>74</v>
      </c>
      <c r="C29" s="14" t="s">
        <v>234</v>
      </c>
      <c r="D29" s="14" t="s">
        <v>268</v>
      </c>
      <c r="E29" s="14" t="s">
        <v>4038</v>
      </c>
      <c r="F29" s="14" t="s">
        <v>4051</v>
      </c>
    </row>
    <row r="30" spans="1:6">
      <c r="A30" s="14" t="s">
        <v>265</v>
      </c>
      <c r="B30" s="14" t="s">
        <v>74</v>
      </c>
      <c r="C30" s="14" t="s">
        <v>234</v>
      </c>
      <c r="D30" s="14" t="s">
        <v>268</v>
      </c>
      <c r="E30" s="14" t="s">
        <v>4039</v>
      </c>
      <c r="F30" s="14" t="s">
        <v>4051</v>
      </c>
    </row>
    <row r="31" spans="1:6">
      <c r="A31" s="14" t="s">
        <v>283</v>
      </c>
      <c r="B31" s="14" t="s">
        <v>285</v>
      </c>
      <c r="C31" s="14"/>
      <c r="D31" s="14" t="s">
        <v>195</v>
      </c>
      <c r="E31" s="14" t="s">
        <v>4038</v>
      </c>
      <c r="F31" s="14" t="s">
        <v>4052</v>
      </c>
    </row>
    <row r="32" spans="1:6">
      <c r="A32" s="14" t="s">
        <v>283</v>
      </c>
      <c r="B32" s="14" t="s">
        <v>285</v>
      </c>
      <c r="C32" s="14"/>
      <c r="D32" s="14" t="s">
        <v>195</v>
      </c>
      <c r="E32" s="14" t="s">
        <v>4039</v>
      </c>
      <c r="F32" s="14" t="s">
        <v>4052</v>
      </c>
    </row>
    <row r="33" spans="1:6">
      <c r="A33" s="14" t="s">
        <v>276</v>
      </c>
      <c r="B33" s="14" t="s">
        <v>279</v>
      </c>
      <c r="C33" s="14" t="s">
        <v>277</v>
      </c>
      <c r="D33" s="14" t="s">
        <v>195</v>
      </c>
      <c r="E33" s="14" t="s">
        <v>4034</v>
      </c>
      <c r="F33" s="14" t="s">
        <v>4053</v>
      </c>
    </row>
    <row r="34" spans="1:6">
      <c r="A34" s="14" t="s">
        <v>276</v>
      </c>
      <c r="B34" s="14" t="s">
        <v>279</v>
      </c>
      <c r="C34" s="14" t="s">
        <v>277</v>
      </c>
      <c r="D34" s="14" t="s">
        <v>195</v>
      </c>
      <c r="E34" s="14" t="s">
        <v>4038</v>
      </c>
      <c r="F34" s="14" t="s">
        <v>4054</v>
      </c>
    </row>
    <row r="35" spans="1:6">
      <c r="A35" s="14" t="s">
        <v>276</v>
      </c>
      <c r="B35" s="14" t="s">
        <v>279</v>
      </c>
      <c r="C35" s="14" t="s">
        <v>277</v>
      </c>
      <c r="D35" s="14" t="s">
        <v>195</v>
      </c>
      <c r="E35" s="14" t="s">
        <v>4039</v>
      </c>
      <c r="F35" s="14" t="s">
        <v>4054</v>
      </c>
    </row>
    <row r="36" spans="1:6">
      <c r="A36" s="14" t="s">
        <v>310</v>
      </c>
      <c r="B36" s="14" t="s">
        <v>311</v>
      </c>
      <c r="C36" s="14" t="s">
        <v>277</v>
      </c>
      <c r="D36" s="14" t="s">
        <v>195</v>
      </c>
      <c r="E36" s="14" t="s">
        <v>724</v>
      </c>
      <c r="F36" s="14" t="s">
        <v>4055</v>
      </c>
    </row>
    <row r="37" spans="1:6">
      <c r="A37" s="14" t="s">
        <v>310</v>
      </c>
      <c r="B37" s="14" t="s">
        <v>311</v>
      </c>
      <c r="C37" s="14" t="s">
        <v>277</v>
      </c>
      <c r="D37" s="14" t="s">
        <v>195</v>
      </c>
      <c r="E37" s="14" t="s">
        <v>4038</v>
      </c>
      <c r="F37" s="14" t="s">
        <v>4055</v>
      </c>
    </row>
    <row r="38" spans="1:6">
      <c r="A38" s="14" t="s">
        <v>310</v>
      </c>
      <c r="B38" s="14" t="s">
        <v>311</v>
      </c>
      <c r="C38" s="14" t="s">
        <v>277</v>
      </c>
      <c r="D38" s="14" t="s">
        <v>195</v>
      </c>
      <c r="E38" s="14" t="s">
        <v>4039</v>
      </c>
      <c r="F38" s="14" t="s">
        <v>4055</v>
      </c>
    </row>
    <row r="39" spans="1:6">
      <c r="A39" s="14" t="s">
        <v>336</v>
      </c>
      <c r="B39" s="14" t="s">
        <v>337</v>
      </c>
      <c r="C39" s="14"/>
      <c r="D39" s="14" t="s">
        <v>163</v>
      </c>
      <c r="E39" s="14" t="s">
        <v>4034</v>
      </c>
      <c r="F39" s="14" t="s">
        <v>4056</v>
      </c>
    </row>
    <row r="40" spans="1:6">
      <c r="A40" s="14" t="s">
        <v>336</v>
      </c>
      <c r="B40" s="14" t="s">
        <v>337</v>
      </c>
      <c r="C40" s="14"/>
      <c r="D40" s="14" t="s">
        <v>163</v>
      </c>
      <c r="E40" s="14" t="s">
        <v>4034</v>
      </c>
      <c r="F40" s="14" t="s">
        <v>4057</v>
      </c>
    </row>
    <row r="41" spans="1:6">
      <c r="A41" s="14" t="s">
        <v>336</v>
      </c>
      <c r="B41" s="14" t="s">
        <v>337</v>
      </c>
      <c r="C41" s="14"/>
      <c r="D41" s="14" t="s">
        <v>163</v>
      </c>
      <c r="E41" s="14" t="s">
        <v>4034</v>
      </c>
      <c r="F41" s="14" t="s">
        <v>4058</v>
      </c>
    </row>
    <row r="42" spans="1:6">
      <c r="A42" s="14" t="s">
        <v>336</v>
      </c>
      <c r="B42" s="14" t="s">
        <v>337</v>
      </c>
      <c r="C42" s="14"/>
      <c r="D42" s="14" t="s">
        <v>163</v>
      </c>
      <c r="E42" s="14" t="s">
        <v>724</v>
      </c>
      <c r="F42" s="14" t="s">
        <v>4059</v>
      </c>
    </row>
    <row r="43" spans="1:6">
      <c r="A43" s="14" t="s">
        <v>336</v>
      </c>
      <c r="B43" s="14" t="s">
        <v>337</v>
      </c>
      <c r="C43" s="14"/>
      <c r="D43" s="14" t="s">
        <v>163</v>
      </c>
      <c r="E43" s="14" t="s">
        <v>724</v>
      </c>
      <c r="F43" s="14" t="s">
        <v>4060</v>
      </c>
    </row>
    <row r="44" spans="1:6">
      <c r="A44" s="14" t="s">
        <v>336</v>
      </c>
      <c r="B44" s="14" t="s">
        <v>337</v>
      </c>
      <c r="C44" s="14"/>
      <c r="D44" s="14" t="s">
        <v>163</v>
      </c>
      <c r="E44" s="14" t="s">
        <v>4038</v>
      </c>
      <c r="F44" s="14" t="s">
        <v>4059</v>
      </c>
    </row>
    <row r="45" spans="1:6">
      <c r="A45" s="14" t="s">
        <v>336</v>
      </c>
      <c r="B45" s="14" t="s">
        <v>337</v>
      </c>
      <c r="C45" s="14"/>
      <c r="D45" s="14" t="s">
        <v>163</v>
      </c>
      <c r="E45" s="14" t="s">
        <v>4038</v>
      </c>
      <c r="F45" s="14" t="s">
        <v>4060</v>
      </c>
    </row>
    <row r="46" spans="1:6">
      <c r="A46" s="14" t="s">
        <v>336</v>
      </c>
      <c r="B46" s="14" t="s">
        <v>337</v>
      </c>
      <c r="C46" s="14"/>
      <c r="D46" s="14" t="s">
        <v>163</v>
      </c>
      <c r="E46" s="14" t="s">
        <v>4039</v>
      </c>
      <c r="F46" s="14" t="s">
        <v>4059</v>
      </c>
    </row>
    <row r="47" spans="1:6">
      <c r="A47" s="14" t="s">
        <v>336</v>
      </c>
      <c r="B47" s="14" t="s">
        <v>337</v>
      </c>
      <c r="C47" s="14"/>
      <c r="D47" s="14" t="s">
        <v>163</v>
      </c>
      <c r="E47" s="14" t="s">
        <v>4039</v>
      </c>
      <c r="F47" s="14" t="s">
        <v>4060</v>
      </c>
    </row>
    <row r="48" spans="1:6">
      <c r="A48" s="14" t="s">
        <v>344</v>
      </c>
      <c r="B48" s="14" t="s">
        <v>345</v>
      </c>
      <c r="C48" s="14" t="s">
        <v>346</v>
      </c>
      <c r="D48" s="14" t="s">
        <v>163</v>
      </c>
      <c r="E48" s="14" t="s">
        <v>4034</v>
      </c>
      <c r="F48" s="14" t="s">
        <v>4061</v>
      </c>
    </row>
    <row r="49" spans="1:6">
      <c r="A49" s="14" t="s">
        <v>344</v>
      </c>
      <c r="B49" s="14" t="s">
        <v>345</v>
      </c>
      <c r="C49" s="14" t="s">
        <v>346</v>
      </c>
      <c r="D49" s="14" t="s">
        <v>163</v>
      </c>
      <c r="E49" s="14" t="s">
        <v>724</v>
      </c>
      <c r="F49" s="14" t="s">
        <v>4062</v>
      </c>
    </row>
    <row r="50" spans="1:6">
      <c r="A50" s="14" t="s">
        <v>344</v>
      </c>
      <c r="B50" s="14" t="s">
        <v>345</v>
      </c>
      <c r="C50" s="14" t="s">
        <v>346</v>
      </c>
      <c r="D50" s="14" t="s">
        <v>163</v>
      </c>
      <c r="E50" s="14" t="s">
        <v>4038</v>
      </c>
      <c r="F50" s="14" t="s">
        <v>4062</v>
      </c>
    </row>
    <row r="51" spans="1:6">
      <c r="A51" s="14" t="s">
        <v>344</v>
      </c>
      <c r="B51" s="14" t="s">
        <v>345</v>
      </c>
      <c r="C51" s="14" t="s">
        <v>346</v>
      </c>
      <c r="D51" s="14" t="s">
        <v>163</v>
      </c>
      <c r="E51" s="14" t="s">
        <v>4039</v>
      </c>
      <c r="F51" s="14" t="s">
        <v>4062</v>
      </c>
    </row>
    <row r="52" spans="1:6">
      <c r="A52" s="14" t="s">
        <v>355</v>
      </c>
      <c r="B52" s="14" t="s">
        <v>357</v>
      </c>
      <c r="C52" s="14" t="s">
        <v>359</v>
      </c>
      <c r="D52" s="14" t="s">
        <v>163</v>
      </c>
      <c r="E52" s="14" t="s">
        <v>4034</v>
      </c>
      <c r="F52" s="14" t="s">
        <v>4063</v>
      </c>
    </row>
    <row r="53" spans="1:6">
      <c r="A53" s="14" t="s">
        <v>355</v>
      </c>
      <c r="B53" s="14" t="s">
        <v>357</v>
      </c>
      <c r="C53" s="14" t="s">
        <v>359</v>
      </c>
      <c r="D53" s="14" t="s">
        <v>163</v>
      </c>
      <c r="E53" s="14" t="s">
        <v>724</v>
      </c>
      <c r="F53" s="14" t="s">
        <v>4064</v>
      </c>
    </row>
    <row r="54" spans="1:6">
      <c r="A54" s="14" t="s">
        <v>355</v>
      </c>
      <c r="B54" s="14" t="s">
        <v>357</v>
      </c>
      <c r="C54" s="14" t="s">
        <v>359</v>
      </c>
      <c r="D54" s="14" t="s">
        <v>163</v>
      </c>
      <c r="E54" s="14" t="s">
        <v>4038</v>
      </c>
      <c r="F54" s="14" t="s">
        <v>4064</v>
      </c>
    </row>
    <row r="55" spans="1:6">
      <c r="A55" s="14" t="s">
        <v>355</v>
      </c>
      <c r="B55" s="14" t="s">
        <v>357</v>
      </c>
      <c r="C55" s="14" t="s">
        <v>359</v>
      </c>
      <c r="D55" s="14" t="s">
        <v>163</v>
      </c>
      <c r="E55" s="14" t="s">
        <v>4039</v>
      </c>
      <c r="F55" s="14" t="s">
        <v>4064</v>
      </c>
    </row>
    <row r="56" spans="1:6">
      <c r="A56" s="14" t="s">
        <v>379</v>
      </c>
      <c r="B56" s="14" t="s">
        <v>380</v>
      </c>
      <c r="C56" s="14" t="s">
        <v>103</v>
      </c>
      <c r="D56" s="14" t="s">
        <v>163</v>
      </c>
      <c r="E56" s="14" t="s">
        <v>4038</v>
      </c>
      <c r="F56" s="14" t="s">
        <v>4065</v>
      </c>
    </row>
    <row r="57" spans="1:6">
      <c r="A57" s="14" t="s">
        <v>379</v>
      </c>
      <c r="B57" s="14" t="s">
        <v>380</v>
      </c>
      <c r="C57" s="14" t="s">
        <v>103</v>
      </c>
      <c r="D57" s="14" t="s">
        <v>163</v>
      </c>
      <c r="E57" s="14" t="s">
        <v>4039</v>
      </c>
      <c r="F57" s="14" t="s">
        <v>4065</v>
      </c>
    </row>
    <row r="58" spans="1:6">
      <c r="A58" s="14" t="s">
        <v>471</v>
      </c>
      <c r="B58" s="14" t="s">
        <v>474</v>
      </c>
      <c r="C58" s="14" t="s">
        <v>158</v>
      </c>
      <c r="D58" s="14" t="s">
        <v>163</v>
      </c>
      <c r="E58" s="14" t="s">
        <v>4034</v>
      </c>
      <c r="F58" s="14" t="s">
        <v>4066</v>
      </c>
    </row>
    <row r="59" spans="1:6">
      <c r="A59" s="14" t="s">
        <v>471</v>
      </c>
      <c r="B59" s="14" t="s">
        <v>474</v>
      </c>
      <c r="C59" s="14" t="s">
        <v>158</v>
      </c>
      <c r="D59" s="14" t="s">
        <v>163</v>
      </c>
      <c r="E59" s="14" t="s">
        <v>4038</v>
      </c>
      <c r="F59" s="14" t="s">
        <v>4067</v>
      </c>
    </row>
    <row r="60" spans="1:6">
      <c r="A60" s="14" t="s">
        <v>471</v>
      </c>
      <c r="B60" s="14" t="s">
        <v>474</v>
      </c>
      <c r="C60" s="14" t="s">
        <v>158</v>
      </c>
      <c r="D60" s="14" t="s">
        <v>163</v>
      </c>
      <c r="E60" s="14" t="s">
        <v>4039</v>
      </c>
      <c r="F60" s="14" t="s">
        <v>4067</v>
      </c>
    </row>
    <row r="61" spans="1:6">
      <c r="A61" s="14" t="s">
        <v>314</v>
      </c>
      <c r="B61" s="14" t="s">
        <v>317</v>
      </c>
      <c r="C61" s="14" t="s">
        <v>315</v>
      </c>
      <c r="D61" s="14" t="s">
        <v>163</v>
      </c>
      <c r="E61" s="14" t="s">
        <v>4034</v>
      </c>
      <c r="F61" s="14" t="s">
        <v>4068</v>
      </c>
    </row>
    <row r="62" spans="1:6">
      <c r="A62" s="14" t="s">
        <v>600</v>
      </c>
      <c r="B62" s="14" t="s">
        <v>602</v>
      </c>
      <c r="C62" s="14" t="s">
        <v>315</v>
      </c>
      <c r="D62" s="14" t="s">
        <v>195</v>
      </c>
      <c r="E62" s="14" t="s">
        <v>724</v>
      </c>
      <c r="F62" s="14" t="s">
        <v>4069</v>
      </c>
    </row>
    <row r="63" spans="1:6">
      <c r="A63" s="14" t="s">
        <v>600</v>
      </c>
      <c r="B63" s="14" t="s">
        <v>602</v>
      </c>
      <c r="C63" s="14" t="s">
        <v>315</v>
      </c>
      <c r="D63" s="14" t="s">
        <v>195</v>
      </c>
      <c r="E63" s="14" t="s">
        <v>4038</v>
      </c>
      <c r="F63" s="14" t="s">
        <v>4069</v>
      </c>
    </row>
    <row r="64" spans="1:6">
      <c r="A64" s="14" t="s">
        <v>600</v>
      </c>
      <c r="B64" s="14" t="s">
        <v>602</v>
      </c>
      <c r="C64" s="14" t="s">
        <v>315</v>
      </c>
      <c r="D64" s="14" t="s">
        <v>195</v>
      </c>
      <c r="E64" s="14" t="s">
        <v>4039</v>
      </c>
      <c r="F64" s="14" t="s">
        <v>4069</v>
      </c>
    </row>
    <row r="65" spans="1:6">
      <c r="A65" s="14" t="s">
        <v>611</v>
      </c>
      <c r="B65" s="14" t="s">
        <v>614</v>
      </c>
      <c r="C65" s="14" t="s">
        <v>147</v>
      </c>
      <c r="D65" s="14" t="s">
        <v>195</v>
      </c>
      <c r="E65" s="14" t="s">
        <v>4039</v>
      </c>
      <c r="F65" s="14" t="s">
        <v>4070</v>
      </c>
    </row>
    <row r="66" spans="1:6">
      <c r="A66" s="14" t="s">
        <v>617</v>
      </c>
      <c r="B66" s="14" t="s">
        <v>619</v>
      </c>
      <c r="C66" s="14" t="s">
        <v>147</v>
      </c>
      <c r="D66" s="14" t="s">
        <v>163</v>
      </c>
      <c r="E66" s="14" t="s">
        <v>4034</v>
      </c>
      <c r="F66" s="14" t="s">
        <v>4071</v>
      </c>
    </row>
    <row r="67" spans="1:6">
      <c r="A67" s="14" t="s">
        <v>617</v>
      </c>
      <c r="B67" s="14" t="s">
        <v>619</v>
      </c>
      <c r="C67" s="14" t="s">
        <v>147</v>
      </c>
      <c r="D67" s="14" t="s">
        <v>163</v>
      </c>
      <c r="E67" s="14" t="s">
        <v>724</v>
      </c>
      <c r="F67" s="14" t="s">
        <v>4072</v>
      </c>
    </row>
    <row r="68" spans="1:6">
      <c r="A68" s="14" t="s">
        <v>617</v>
      </c>
      <c r="B68" s="14" t="s">
        <v>619</v>
      </c>
      <c r="C68" s="14" t="s">
        <v>147</v>
      </c>
      <c r="D68" s="14" t="s">
        <v>163</v>
      </c>
      <c r="E68" s="14" t="s">
        <v>4038</v>
      </c>
      <c r="F68" s="14" t="s">
        <v>4072</v>
      </c>
    </row>
    <row r="69" spans="1:6">
      <c r="A69" s="14" t="s">
        <v>617</v>
      </c>
      <c r="B69" s="14" t="s">
        <v>619</v>
      </c>
      <c r="C69" s="14" t="s">
        <v>147</v>
      </c>
      <c r="D69" s="14" t="s">
        <v>163</v>
      </c>
      <c r="E69" s="14" t="s">
        <v>4039</v>
      </c>
      <c r="F69" s="14" t="s">
        <v>4072</v>
      </c>
    </row>
    <row r="70" spans="1:6">
      <c r="A70" s="14" t="s">
        <v>622</v>
      </c>
      <c r="B70" s="14" t="s">
        <v>624</v>
      </c>
      <c r="C70" s="14" t="s">
        <v>623</v>
      </c>
      <c r="D70" s="14" t="s">
        <v>597</v>
      </c>
      <c r="E70" s="14" t="s">
        <v>688</v>
      </c>
      <c r="F70" s="14" t="s">
        <v>4073</v>
      </c>
    </row>
    <row r="71" spans="1:6">
      <c r="A71" s="14" t="s">
        <v>622</v>
      </c>
      <c r="B71" s="14" t="s">
        <v>624</v>
      </c>
      <c r="C71" s="14" t="s">
        <v>623</v>
      </c>
      <c r="D71" s="14" t="s">
        <v>597</v>
      </c>
      <c r="E71" s="14" t="s">
        <v>4047</v>
      </c>
      <c r="F71" s="14" t="s">
        <v>4073</v>
      </c>
    </row>
    <row r="72" spans="1:6">
      <c r="A72" s="14" t="s">
        <v>622</v>
      </c>
      <c r="B72" s="14" t="s">
        <v>624</v>
      </c>
      <c r="C72" s="14" t="s">
        <v>623</v>
      </c>
      <c r="D72" s="14" t="s">
        <v>597</v>
      </c>
      <c r="E72" s="14" t="s">
        <v>4048</v>
      </c>
      <c r="F72" s="14" t="s">
        <v>4073</v>
      </c>
    </row>
    <row r="73" spans="1:6">
      <c r="A73" s="14" t="s">
        <v>622</v>
      </c>
      <c r="B73" s="14" t="s">
        <v>624</v>
      </c>
      <c r="C73" s="14" t="s">
        <v>623</v>
      </c>
      <c r="D73" s="14" t="s">
        <v>597</v>
      </c>
      <c r="E73" s="14" t="s">
        <v>677</v>
      </c>
      <c r="F73" s="14" t="s">
        <v>4073</v>
      </c>
    </row>
    <row r="74" spans="1:6">
      <c r="A74" s="14" t="s">
        <v>622</v>
      </c>
      <c r="B74" s="14" t="s">
        <v>624</v>
      </c>
      <c r="C74" s="14" t="s">
        <v>623</v>
      </c>
      <c r="D74" s="14" t="s">
        <v>597</v>
      </c>
      <c r="E74" s="14" t="s">
        <v>4049</v>
      </c>
      <c r="F74" s="14" t="s">
        <v>4074</v>
      </c>
    </row>
    <row r="75" spans="1:6">
      <c r="A75" s="14" t="s">
        <v>622</v>
      </c>
      <c r="B75" s="14" t="s">
        <v>624</v>
      </c>
      <c r="C75" s="14" t="s">
        <v>623</v>
      </c>
      <c r="D75" s="14" t="s">
        <v>597</v>
      </c>
      <c r="E75" s="14" t="s">
        <v>724</v>
      </c>
      <c r="F75" s="14" t="s">
        <v>4075</v>
      </c>
    </row>
    <row r="76" spans="1:6">
      <c r="A76" s="14" t="s">
        <v>622</v>
      </c>
      <c r="B76" s="14" t="s">
        <v>624</v>
      </c>
      <c r="C76" s="14" t="s">
        <v>623</v>
      </c>
      <c r="D76" s="14" t="s">
        <v>597</v>
      </c>
      <c r="E76" s="14" t="s">
        <v>4038</v>
      </c>
      <c r="F76" s="14" t="s">
        <v>4075</v>
      </c>
    </row>
    <row r="77" spans="1:6">
      <c r="A77" s="14" t="s">
        <v>622</v>
      </c>
      <c r="B77" s="14" t="s">
        <v>624</v>
      </c>
      <c r="C77" s="14" t="s">
        <v>623</v>
      </c>
      <c r="D77" s="14" t="s">
        <v>597</v>
      </c>
      <c r="E77" s="14" t="s">
        <v>4039</v>
      </c>
      <c r="F77" s="14" t="s">
        <v>4075</v>
      </c>
    </row>
    <row r="78" spans="1:6">
      <c r="A78" s="14" t="s">
        <v>639</v>
      </c>
      <c r="B78" s="14" t="s">
        <v>640</v>
      </c>
      <c r="C78" s="14"/>
      <c r="D78" s="14" t="s">
        <v>163</v>
      </c>
      <c r="E78" s="14" t="s">
        <v>4034</v>
      </c>
      <c r="F78" s="14" t="s">
        <v>4076</v>
      </c>
    </row>
    <row r="79" spans="1:6">
      <c r="A79" s="14" t="s">
        <v>639</v>
      </c>
      <c r="B79" s="14" t="s">
        <v>641</v>
      </c>
      <c r="C79" s="14"/>
      <c r="D79" s="14" t="s">
        <v>163</v>
      </c>
      <c r="E79" s="14" t="s">
        <v>4034</v>
      </c>
      <c r="F79" s="14" t="s">
        <v>4077</v>
      </c>
    </row>
    <row r="80" spans="1:6">
      <c r="A80" s="14" t="s">
        <v>639</v>
      </c>
      <c r="B80" s="14" t="s">
        <v>646</v>
      </c>
      <c r="C80" s="14"/>
      <c r="D80" s="14" t="s">
        <v>163</v>
      </c>
      <c r="E80" s="14" t="s">
        <v>4034</v>
      </c>
      <c r="F80" s="14" t="s">
        <v>4078</v>
      </c>
    </row>
    <row r="81" spans="1:6">
      <c r="A81" s="14" t="s">
        <v>639</v>
      </c>
      <c r="B81" s="14" t="s">
        <v>640</v>
      </c>
      <c r="C81" s="14"/>
      <c r="D81" s="14" t="s">
        <v>163</v>
      </c>
      <c r="E81" s="14" t="s">
        <v>724</v>
      </c>
      <c r="F81" s="14" t="s">
        <v>4079</v>
      </c>
    </row>
    <row r="82" spans="1:6">
      <c r="A82" s="14" t="s">
        <v>639</v>
      </c>
      <c r="B82" s="14" t="s">
        <v>641</v>
      </c>
      <c r="C82" s="14"/>
      <c r="D82" s="14" t="s">
        <v>163</v>
      </c>
      <c r="E82" s="14" t="s">
        <v>724</v>
      </c>
      <c r="F82" s="14" t="s">
        <v>4080</v>
      </c>
    </row>
    <row r="83" spans="1:6">
      <c r="A83" s="14" t="s">
        <v>639</v>
      </c>
      <c r="B83" s="14" t="s">
        <v>646</v>
      </c>
      <c r="C83" s="14"/>
      <c r="D83" s="14" t="s">
        <v>163</v>
      </c>
      <c r="E83" s="14" t="s">
        <v>724</v>
      </c>
      <c r="F83" s="14" t="s">
        <v>4081</v>
      </c>
    </row>
    <row r="84" spans="1:6">
      <c r="A84" s="14" t="s">
        <v>639</v>
      </c>
      <c r="B84" s="14" t="s">
        <v>640</v>
      </c>
      <c r="C84" s="14"/>
      <c r="D84" s="14" t="s">
        <v>163</v>
      </c>
      <c r="E84" s="14" t="s">
        <v>4038</v>
      </c>
      <c r="F84" s="14" t="s">
        <v>4079</v>
      </c>
    </row>
    <row r="85" spans="1:6">
      <c r="A85" s="14" t="s">
        <v>639</v>
      </c>
      <c r="B85" s="14" t="s">
        <v>641</v>
      </c>
      <c r="C85" s="14"/>
      <c r="D85" s="14" t="s">
        <v>163</v>
      </c>
      <c r="E85" s="14" t="s">
        <v>4038</v>
      </c>
      <c r="F85" s="14" t="s">
        <v>4080</v>
      </c>
    </row>
    <row r="86" spans="1:6">
      <c r="A86" s="14" t="s">
        <v>639</v>
      </c>
      <c r="B86" s="14" t="s">
        <v>646</v>
      </c>
      <c r="C86" s="14"/>
      <c r="D86" s="14" t="s">
        <v>163</v>
      </c>
      <c r="E86" s="14" t="s">
        <v>4038</v>
      </c>
      <c r="F86" s="14" t="s">
        <v>4081</v>
      </c>
    </row>
    <row r="87" spans="1:6">
      <c r="A87" s="14" t="s">
        <v>639</v>
      </c>
      <c r="B87" s="14" t="s">
        <v>640</v>
      </c>
      <c r="C87" s="14"/>
      <c r="D87" s="14" t="s">
        <v>163</v>
      </c>
      <c r="E87" s="14" t="s">
        <v>4039</v>
      </c>
      <c r="F87" s="14" t="s">
        <v>4079</v>
      </c>
    </row>
    <row r="88" spans="1:6">
      <c r="A88" s="14" t="s">
        <v>639</v>
      </c>
      <c r="B88" s="14" t="s">
        <v>641</v>
      </c>
      <c r="C88" s="14"/>
      <c r="D88" s="14" t="s">
        <v>163</v>
      </c>
      <c r="E88" s="14" t="s">
        <v>4039</v>
      </c>
      <c r="F88" s="14" t="s">
        <v>4080</v>
      </c>
    </row>
    <row r="89" spans="1:6">
      <c r="A89" s="14" t="s">
        <v>639</v>
      </c>
      <c r="B89" s="14" t="s">
        <v>646</v>
      </c>
      <c r="C89" s="14"/>
      <c r="D89" s="14" t="s">
        <v>163</v>
      </c>
      <c r="E89" s="14" t="s">
        <v>4039</v>
      </c>
      <c r="F89" s="14" t="s">
        <v>4081</v>
      </c>
    </row>
    <row r="91" spans="1:6" ht="48">
      <c r="A91" s="4" t="s">
        <v>4082</v>
      </c>
    </row>
    <row r="92" spans="1:6">
      <c r="A92" s="4" t="s">
        <v>2480</v>
      </c>
      <c r="B92" s="4" t="s">
        <v>2481</v>
      </c>
      <c r="C92" s="4" t="s">
        <v>7</v>
      </c>
      <c r="D92" s="4"/>
      <c r="E92" s="4" t="s">
        <v>4083</v>
      </c>
      <c r="F92" s="4" t="s">
        <v>4084</v>
      </c>
    </row>
    <row r="93" spans="1:6">
      <c r="A93" s="14" t="s">
        <v>335</v>
      </c>
      <c r="B93" s="14" t="s">
        <v>338</v>
      </c>
      <c r="C93" s="14" t="s">
        <v>1489</v>
      </c>
      <c r="D93" s="14"/>
      <c r="E93" s="14" t="s">
        <v>4034</v>
      </c>
      <c r="F93" s="14" t="s">
        <v>4085</v>
      </c>
    </row>
    <row r="94" spans="1:6">
      <c r="A94" s="14" t="s">
        <v>1294</v>
      </c>
      <c r="B94" s="14" t="s">
        <v>74</v>
      </c>
      <c r="C94" s="14" t="s">
        <v>331</v>
      </c>
      <c r="D94" s="14"/>
      <c r="E94" s="14" t="s">
        <v>4086</v>
      </c>
      <c r="F94" s="14" t="s">
        <v>4087</v>
      </c>
    </row>
    <row r="95" spans="1:6">
      <c r="A95" s="14" t="s">
        <v>3506</v>
      </c>
      <c r="B95" s="14" t="s">
        <v>74</v>
      </c>
      <c r="C95" s="14" t="s">
        <v>103</v>
      </c>
      <c r="D95" s="14"/>
      <c r="E95" s="14" t="s">
        <v>4088</v>
      </c>
      <c r="F95" s="14" t="s">
        <v>4089</v>
      </c>
    </row>
    <row r="96" spans="1:6">
      <c r="A96" s="14" t="s">
        <v>339</v>
      </c>
      <c r="B96" s="14" t="s">
        <v>342</v>
      </c>
      <c r="C96" s="14" t="s">
        <v>340</v>
      </c>
      <c r="D96" s="14"/>
      <c r="E96" s="14" t="s">
        <v>4090</v>
      </c>
      <c r="F96" s="14" t="s">
        <v>4091</v>
      </c>
    </row>
    <row r="97" spans="1:6">
      <c r="A97" s="14" t="s">
        <v>476</v>
      </c>
      <c r="B97" s="14" t="s">
        <v>479</v>
      </c>
      <c r="C97" s="14" t="s">
        <v>2658</v>
      </c>
      <c r="D97" s="14"/>
      <c r="E97" s="14" t="s">
        <v>4090</v>
      </c>
      <c r="F97" s="14" t="s">
        <v>4092</v>
      </c>
    </row>
    <row r="98" spans="1:6">
      <c r="A98" s="14" t="s">
        <v>321</v>
      </c>
      <c r="B98" s="14" t="s">
        <v>323</v>
      </c>
      <c r="C98" s="14" t="s">
        <v>322</v>
      </c>
      <c r="D98" s="14"/>
      <c r="E98" s="14" t="s">
        <v>4090</v>
      </c>
      <c r="F98" s="14" t="s">
        <v>4093</v>
      </c>
    </row>
  </sheetData>
  <pageMargins left="0.3" right="0.3" top="0.4" bottom="0.4" header="0" footer="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I197"/>
  <sheetViews>
    <sheetView workbookViewId="0">
      <pane ySplit="3" topLeftCell="A4" activePane="bottomLeft" state="frozen"/>
      <selection activeCell="B3" sqref="B3"/>
      <selection pane="bottomLeft" activeCell="B3" sqref="B3"/>
    </sheetView>
  </sheetViews>
  <sheetFormatPr defaultColWidth="14.44140625" defaultRowHeight="14.4"/>
  <cols>
    <col min="1" max="1" width="6" customWidth="1"/>
    <col min="2" max="2" width="16" customWidth="1"/>
    <col min="3" max="3" width="26" customWidth="1"/>
    <col min="4" max="4" width="12" customWidth="1"/>
    <col min="5" max="5" width="16" customWidth="1"/>
    <col min="6" max="6" width="12" customWidth="1"/>
    <col min="7" max="7" width="22" customWidth="1"/>
    <col min="8" max="9" width="58" customWidth="1"/>
  </cols>
  <sheetData>
    <row r="1" spans="1:2" ht="120">
      <c r="A1" s="4" t="s">
        <v>4382</v>
      </c>
    </row>
    <row r="2" spans="1:2">
      <c r="A2" s="14" t="s">
        <v>4383</v>
      </c>
      <c r="B2" s="14" t="s">
        <v>4384</v>
      </c>
    </row>
    <row r="4" spans="1:2">
      <c r="A4" s="14" t="s">
        <v>4385</v>
      </c>
      <c r="B4" s="14" t="s">
        <v>4386</v>
      </c>
    </row>
    <row r="5" spans="1:2">
      <c r="A5" s="14" t="s">
        <v>4387</v>
      </c>
      <c r="B5" s="14" t="s">
        <v>3394</v>
      </c>
    </row>
    <row r="6" spans="1:2">
      <c r="A6" s="14" t="s">
        <v>4388</v>
      </c>
      <c r="B6" s="14" t="s">
        <v>3192</v>
      </c>
    </row>
    <row r="7" spans="1:2">
      <c r="A7" s="14" t="s">
        <v>4389</v>
      </c>
      <c r="B7" s="14" t="s">
        <v>2498</v>
      </c>
    </row>
    <row r="8" spans="1:2">
      <c r="A8" s="14" t="s">
        <v>4390</v>
      </c>
      <c r="B8" s="14" t="s">
        <v>4391</v>
      </c>
    </row>
    <row r="9" spans="1:2">
      <c r="A9" s="14" t="s">
        <v>4392</v>
      </c>
      <c r="B9" s="14" t="s">
        <v>4393</v>
      </c>
    </row>
    <row r="11" spans="1:2">
      <c r="A11" s="14" t="s">
        <v>4394</v>
      </c>
      <c r="B11" s="14" t="s">
        <v>4395</v>
      </c>
    </row>
    <row r="13" spans="1:2" ht="72">
      <c r="A13" s="4" t="s">
        <v>4396</v>
      </c>
    </row>
    <row r="14" spans="1:2">
      <c r="A14" s="14" t="s">
        <v>690</v>
      </c>
      <c r="B14" s="14" t="s">
        <v>2736</v>
      </c>
    </row>
    <row r="15" spans="1:2">
      <c r="A15" s="14" t="s">
        <v>4397</v>
      </c>
      <c r="B15" s="14" t="s">
        <v>1666</v>
      </c>
    </row>
    <row r="16" spans="1:2">
      <c r="A16" s="14" t="s">
        <v>2639</v>
      </c>
      <c r="B16" s="14" t="s">
        <v>2189</v>
      </c>
    </row>
    <row r="17" spans="1:9">
      <c r="A17" s="14" t="s">
        <v>708</v>
      </c>
      <c r="B17" s="14" t="s">
        <v>2702</v>
      </c>
    </row>
    <row r="18" spans="1:9">
      <c r="A18" s="14" t="s">
        <v>755</v>
      </c>
      <c r="B18" s="14" t="s">
        <v>1995</v>
      </c>
    </row>
    <row r="19" spans="1:9">
      <c r="A19" s="14" t="s">
        <v>673</v>
      </c>
      <c r="B19" s="14" t="s">
        <v>1666</v>
      </c>
    </row>
    <row r="21" spans="1:9">
      <c r="A21" s="14" t="s">
        <v>4398</v>
      </c>
      <c r="B21" s="14" t="s">
        <v>4399</v>
      </c>
    </row>
    <row r="23" spans="1:9" ht="24">
      <c r="A23" s="4" t="s">
        <v>2480</v>
      </c>
      <c r="B23" s="4" t="s">
        <v>2481</v>
      </c>
      <c r="C23" s="4" t="s">
        <v>7</v>
      </c>
      <c r="D23" s="4" t="s">
        <v>4032</v>
      </c>
      <c r="E23" s="4" t="s">
        <v>668</v>
      </c>
      <c r="F23" s="4" t="s">
        <v>4033</v>
      </c>
    </row>
    <row r="24" spans="1:9">
      <c r="A24" s="14" t="s">
        <v>309</v>
      </c>
      <c r="B24" s="14" t="s">
        <v>306</v>
      </c>
      <c r="C24" s="14" t="s">
        <v>222</v>
      </c>
      <c r="D24" s="14" t="s">
        <v>220</v>
      </c>
      <c r="E24" s="14" t="s">
        <v>677</v>
      </c>
      <c r="F24" s="14" t="s">
        <v>4400</v>
      </c>
    </row>
    <row r="25" spans="1:9">
      <c r="A25" s="14" t="s">
        <v>233</v>
      </c>
      <c r="B25" s="14" t="s">
        <v>231</v>
      </c>
      <c r="C25" s="14" t="s">
        <v>103</v>
      </c>
      <c r="D25" s="14" t="s">
        <v>220</v>
      </c>
      <c r="E25" s="14" t="s">
        <v>677</v>
      </c>
      <c r="F25" s="14" t="s">
        <v>4401</v>
      </c>
    </row>
    <row r="26" spans="1:9">
      <c r="A26" s="14" t="s">
        <v>516</v>
      </c>
      <c r="B26" s="14" t="s">
        <v>517</v>
      </c>
      <c r="C26" s="14" t="s">
        <v>178</v>
      </c>
      <c r="D26" s="14" t="s">
        <v>220</v>
      </c>
      <c r="E26" s="14" t="s">
        <v>677</v>
      </c>
      <c r="F26" s="14" t="s">
        <v>4402</v>
      </c>
    </row>
    <row r="27" spans="1:9">
      <c r="A27" s="14" t="s">
        <v>219</v>
      </c>
      <c r="B27" s="14" t="s">
        <v>217</v>
      </c>
      <c r="C27" s="14" t="s">
        <v>158</v>
      </c>
      <c r="D27" s="14" t="s">
        <v>220</v>
      </c>
      <c r="E27" s="14" t="s">
        <v>677</v>
      </c>
      <c r="F27" s="14" t="s">
        <v>4403</v>
      </c>
    </row>
    <row r="29" spans="1:9" ht="60">
      <c r="A29" s="4" t="s">
        <v>4404</v>
      </c>
    </row>
    <row r="30" spans="1:9">
      <c r="A30" s="4" t="s">
        <v>667</v>
      </c>
      <c r="B30" s="4" t="s">
        <v>4405</v>
      </c>
      <c r="C30" s="4" t="s">
        <v>2476</v>
      </c>
      <c r="D30" s="4" t="s">
        <v>4107</v>
      </c>
      <c r="E30" s="4" t="s">
        <v>2480</v>
      </c>
      <c r="F30" s="4" t="s">
        <v>2481</v>
      </c>
      <c r="G30" s="4" t="s">
        <v>7</v>
      </c>
      <c r="H30" s="4" t="s">
        <v>4406</v>
      </c>
      <c r="I30" s="4" t="s">
        <v>4407</v>
      </c>
    </row>
    <row r="31" spans="1:9">
      <c r="A31" s="14" t="s">
        <v>2160</v>
      </c>
      <c r="B31" s="14" t="s">
        <v>690</v>
      </c>
      <c r="C31" s="14" t="s">
        <v>1003</v>
      </c>
      <c r="D31" s="14" t="s">
        <v>1358</v>
      </c>
      <c r="E31" s="14" t="s">
        <v>247</v>
      </c>
      <c r="F31" s="14" t="s">
        <v>250</v>
      </c>
      <c r="G31" s="14" t="s">
        <v>178</v>
      </c>
      <c r="H31" s="14" t="s">
        <v>4408</v>
      </c>
      <c r="I31" s="14" t="s">
        <v>4409</v>
      </c>
    </row>
    <row r="32" spans="1:9">
      <c r="A32" s="14" t="s">
        <v>1666</v>
      </c>
      <c r="B32" s="14" t="s">
        <v>690</v>
      </c>
      <c r="C32" s="14" t="s">
        <v>1004</v>
      </c>
      <c r="D32" s="14" t="s">
        <v>1358</v>
      </c>
      <c r="E32" s="14" t="s">
        <v>247</v>
      </c>
      <c r="F32" s="14" t="s">
        <v>250</v>
      </c>
      <c r="G32" s="14" t="s">
        <v>178</v>
      </c>
      <c r="H32" s="14" t="s">
        <v>4410</v>
      </c>
      <c r="I32" s="14" t="s">
        <v>4411</v>
      </c>
    </row>
    <row r="33" spans="1:9">
      <c r="A33" s="14" t="s">
        <v>2172</v>
      </c>
      <c r="B33" s="14" t="s">
        <v>690</v>
      </c>
      <c r="C33" s="14" t="s">
        <v>1015</v>
      </c>
      <c r="D33" s="14" t="s">
        <v>1358</v>
      </c>
      <c r="E33" s="14" t="s">
        <v>293</v>
      </c>
      <c r="F33" s="14" t="s">
        <v>292</v>
      </c>
      <c r="G33" s="14" t="s">
        <v>178</v>
      </c>
      <c r="H33" s="14" t="s">
        <v>4412</v>
      </c>
      <c r="I33" s="14" t="s">
        <v>4413</v>
      </c>
    </row>
    <row r="34" spans="1:9">
      <c r="A34" s="14" t="s">
        <v>2178</v>
      </c>
      <c r="B34" s="14" t="s">
        <v>690</v>
      </c>
      <c r="C34" s="14" t="s">
        <v>1018</v>
      </c>
      <c r="D34" s="14" t="s">
        <v>1358</v>
      </c>
      <c r="E34" s="14" t="s">
        <v>293</v>
      </c>
      <c r="F34" s="14" t="s">
        <v>292</v>
      </c>
      <c r="G34" s="14" t="s">
        <v>178</v>
      </c>
      <c r="H34" s="14" t="s">
        <v>4414</v>
      </c>
      <c r="I34" s="14" t="s">
        <v>4415</v>
      </c>
    </row>
    <row r="35" spans="1:9">
      <c r="A35" s="14" t="s">
        <v>2184</v>
      </c>
      <c r="B35" s="14" t="s">
        <v>690</v>
      </c>
      <c r="C35" s="14" t="s">
        <v>971</v>
      </c>
      <c r="D35" s="14" t="s">
        <v>1358</v>
      </c>
      <c r="E35" s="14" t="s">
        <v>516</v>
      </c>
      <c r="F35" s="14" t="s">
        <v>517</v>
      </c>
      <c r="G35" s="14" t="s">
        <v>178</v>
      </c>
      <c r="H35" s="14" t="s">
        <v>4416</v>
      </c>
      <c r="I35" s="14" t="s">
        <v>4417</v>
      </c>
    </row>
    <row r="36" spans="1:9">
      <c r="A36" s="14" t="s">
        <v>2189</v>
      </c>
      <c r="B36" s="14" t="s">
        <v>690</v>
      </c>
      <c r="C36" s="14" t="s">
        <v>974</v>
      </c>
      <c r="D36" s="14" t="s">
        <v>1358</v>
      </c>
      <c r="E36" s="14" t="s">
        <v>516</v>
      </c>
      <c r="F36" s="14" t="s">
        <v>517</v>
      </c>
      <c r="G36" s="14" t="s">
        <v>178</v>
      </c>
      <c r="H36" s="14" t="s">
        <v>4418</v>
      </c>
      <c r="I36" s="14" t="s">
        <v>4419</v>
      </c>
    </row>
    <row r="37" spans="1:9">
      <c r="A37" s="14" t="s">
        <v>2194</v>
      </c>
      <c r="B37" s="14" t="s">
        <v>690</v>
      </c>
      <c r="C37" s="14" t="s">
        <v>713</v>
      </c>
      <c r="D37" s="14" t="s">
        <v>1065</v>
      </c>
      <c r="E37" s="14" t="s">
        <v>233</v>
      </c>
      <c r="F37" s="14" t="s">
        <v>231</v>
      </c>
      <c r="G37" s="14" t="s">
        <v>103</v>
      </c>
      <c r="H37" s="14" t="s">
        <v>4420</v>
      </c>
      <c r="I37" s="14" t="s">
        <v>4421</v>
      </c>
    </row>
    <row r="38" spans="1:9">
      <c r="A38" s="14" t="s">
        <v>2200</v>
      </c>
      <c r="B38" s="14" t="s">
        <v>690</v>
      </c>
      <c r="C38" s="14" t="s">
        <v>711</v>
      </c>
      <c r="D38" s="14" t="s">
        <v>2516</v>
      </c>
      <c r="E38" s="14" t="s">
        <v>309</v>
      </c>
      <c r="F38" s="14" t="s">
        <v>306</v>
      </c>
      <c r="G38" s="14" t="s">
        <v>222</v>
      </c>
      <c r="H38" s="14" t="s">
        <v>4422</v>
      </c>
      <c r="I38" s="14" t="s">
        <v>4423</v>
      </c>
    </row>
    <row r="39" spans="1:9">
      <c r="A39" s="14" t="s">
        <v>2538</v>
      </c>
      <c r="B39" s="14" t="s">
        <v>690</v>
      </c>
      <c r="C39" s="14" t="s">
        <v>389</v>
      </c>
      <c r="D39" s="14" t="s">
        <v>981</v>
      </c>
      <c r="E39" s="14" t="s">
        <v>293</v>
      </c>
      <c r="F39" s="14" t="s">
        <v>292</v>
      </c>
      <c r="G39" s="14" t="s">
        <v>178</v>
      </c>
      <c r="H39" s="14" t="s">
        <v>4424</v>
      </c>
      <c r="I39" s="14" t="s">
        <v>4425</v>
      </c>
    </row>
    <row r="40" spans="1:9">
      <c r="A40" s="14" t="s">
        <v>585</v>
      </c>
      <c r="B40" s="14" t="s">
        <v>690</v>
      </c>
      <c r="C40" s="14" t="s">
        <v>934</v>
      </c>
      <c r="D40" s="14" t="s">
        <v>981</v>
      </c>
      <c r="E40" s="14" t="s">
        <v>4426</v>
      </c>
      <c r="F40" s="14" t="s">
        <v>278</v>
      </c>
      <c r="G40" s="14" t="s">
        <v>129</v>
      </c>
      <c r="H40" s="14" t="s">
        <v>4427</v>
      </c>
      <c r="I40" s="14" t="s">
        <v>4428</v>
      </c>
    </row>
    <row r="41" spans="1:9">
      <c r="A41" s="14" t="s">
        <v>2547</v>
      </c>
      <c r="B41" s="14" t="s">
        <v>690</v>
      </c>
      <c r="C41" s="14" t="s">
        <v>1007</v>
      </c>
      <c r="D41" s="14" t="s">
        <v>1143</v>
      </c>
      <c r="E41" s="14" t="s">
        <v>247</v>
      </c>
      <c r="F41" s="14" t="s">
        <v>250</v>
      </c>
      <c r="G41" s="14" t="s">
        <v>178</v>
      </c>
      <c r="H41" s="14" t="s">
        <v>4429</v>
      </c>
      <c r="I41" s="14" t="s">
        <v>4430</v>
      </c>
    </row>
    <row r="42" spans="1:9">
      <c r="A42" s="14" t="s">
        <v>2264</v>
      </c>
      <c r="B42" s="14" t="s">
        <v>690</v>
      </c>
      <c r="C42" s="14" t="s">
        <v>1019</v>
      </c>
      <c r="D42" s="14" t="s">
        <v>1143</v>
      </c>
      <c r="E42" s="14" t="s">
        <v>293</v>
      </c>
      <c r="F42" s="14" t="s">
        <v>292</v>
      </c>
      <c r="G42" s="14" t="s">
        <v>178</v>
      </c>
      <c r="H42" s="14" t="s">
        <v>4431</v>
      </c>
      <c r="I42" s="14" t="s">
        <v>4432</v>
      </c>
    </row>
    <row r="43" spans="1:9">
      <c r="A43" s="14" t="s">
        <v>2519</v>
      </c>
      <c r="B43" s="14" t="s">
        <v>690</v>
      </c>
      <c r="C43" s="14" t="s">
        <v>977</v>
      </c>
      <c r="D43" s="14" t="s">
        <v>1143</v>
      </c>
      <c r="E43" s="14" t="s">
        <v>516</v>
      </c>
      <c r="F43" s="14" t="s">
        <v>517</v>
      </c>
      <c r="G43" s="14" t="s">
        <v>178</v>
      </c>
      <c r="H43" s="14" t="s">
        <v>4433</v>
      </c>
      <c r="I43" s="14" t="s">
        <v>4434</v>
      </c>
    </row>
    <row r="44" spans="1:9">
      <c r="A44" s="14" t="s">
        <v>2559</v>
      </c>
      <c r="B44" s="14" t="s">
        <v>690</v>
      </c>
      <c r="C44" s="14" t="s">
        <v>983</v>
      </c>
      <c r="D44" s="14" t="s">
        <v>1143</v>
      </c>
      <c r="E44" s="14" t="s">
        <v>516</v>
      </c>
      <c r="F44" s="14" t="s">
        <v>517</v>
      </c>
      <c r="G44" s="14" t="s">
        <v>178</v>
      </c>
      <c r="H44" s="14" t="s">
        <v>4435</v>
      </c>
      <c r="I44" s="14" t="s">
        <v>4436</v>
      </c>
    </row>
    <row r="45" spans="1:9">
      <c r="A45" s="14" t="s">
        <v>2565</v>
      </c>
      <c r="B45" s="14" t="s">
        <v>690</v>
      </c>
      <c r="C45" s="14" t="s">
        <v>560</v>
      </c>
      <c r="D45" s="14" t="s">
        <v>1267</v>
      </c>
      <c r="E45" s="14" t="s">
        <v>4437</v>
      </c>
      <c r="F45" s="14" t="s">
        <v>254</v>
      </c>
      <c r="G45" s="14" t="s">
        <v>178</v>
      </c>
      <c r="H45" s="14" t="s">
        <v>4438</v>
      </c>
      <c r="I45" s="14" t="s">
        <v>4439</v>
      </c>
    </row>
    <row r="46" spans="1:9">
      <c r="A46" s="14" t="s">
        <v>2534</v>
      </c>
      <c r="B46" s="14" t="s">
        <v>690</v>
      </c>
      <c r="C46" s="14" t="s">
        <v>382</v>
      </c>
      <c r="D46" s="14" t="s">
        <v>1267</v>
      </c>
      <c r="E46" s="14" t="s">
        <v>4440</v>
      </c>
      <c r="F46" s="14" t="s">
        <v>252</v>
      </c>
      <c r="G46" s="14" t="s">
        <v>178</v>
      </c>
      <c r="H46" s="14" t="s">
        <v>4441</v>
      </c>
      <c r="I46" s="14" t="s">
        <v>4442</v>
      </c>
    </row>
    <row r="47" spans="1:9">
      <c r="A47" s="14" t="s">
        <v>2562</v>
      </c>
      <c r="B47" s="14" t="s">
        <v>690</v>
      </c>
      <c r="C47" s="14" t="s">
        <v>403</v>
      </c>
      <c r="D47" s="14" t="s">
        <v>1267</v>
      </c>
      <c r="E47" s="14" t="s">
        <v>4443</v>
      </c>
      <c r="F47" s="14" t="s">
        <v>243</v>
      </c>
      <c r="G47" s="14" t="s">
        <v>178</v>
      </c>
      <c r="H47" s="14" t="s">
        <v>4444</v>
      </c>
      <c r="I47" s="14" t="s">
        <v>4445</v>
      </c>
    </row>
    <row r="48" spans="1:9">
      <c r="A48" s="14" t="s">
        <v>2575</v>
      </c>
      <c r="B48" s="14" t="s">
        <v>690</v>
      </c>
      <c r="C48" s="14" t="s">
        <v>256</v>
      </c>
      <c r="D48" s="14" t="s">
        <v>1267</v>
      </c>
      <c r="E48" s="14" t="s">
        <v>4446</v>
      </c>
      <c r="F48" s="14" t="s">
        <v>246</v>
      </c>
      <c r="G48" s="14" t="s">
        <v>178</v>
      </c>
      <c r="H48" s="14" t="s">
        <v>4447</v>
      </c>
      <c r="I48" s="14" t="s">
        <v>4448</v>
      </c>
    </row>
    <row r="49" spans="1:9">
      <c r="A49" s="14" t="s">
        <v>2505</v>
      </c>
      <c r="B49" s="14" t="s">
        <v>690</v>
      </c>
      <c r="C49" s="14" t="s">
        <v>238</v>
      </c>
      <c r="D49" s="14" t="s">
        <v>1033</v>
      </c>
      <c r="E49" s="14" t="s">
        <v>232</v>
      </c>
      <c r="F49" s="14" t="s">
        <v>236</v>
      </c>
      <c r="G49" s="14" t="s">
        <v>234</v>
      </c>
      <c r="H49" s="14" t="s">
        <v>4449</v>
      </c>
      <c r="I49" s="14" t="s">
        <v>4450</v>
      </c>
    </row>
    <row r="50" spans="1:9">
      <c r="A50" s="14" t="s">
        <v>1696</v>
      </c>
      <c r="B50" s="14" t="s">
        <v>690</v>
      </c>
      <c r="C50" s="14" t="s">
        <v>996</v>
      </c>
      <c r="D50" s="14" t="s">
        <v>1033</v>
      </c>
      <c r="E50" s="14" t="s">
        <v>289</v>
      </c>
      <c r="F50" s="14" t="s">
        <v>288</v>
      </c>
      <c r="G50" s="14" t="s">
        <v>178</v>
      </c>
      <c r="H50" s="14" t="s">
        <v>4451</v>
      </c>
      <c r="I50" s="14" t="s">
        <v>4452</v>
      </c>
    </row>
    <row r="51" spans="1:9">
      <c r="A51" s="14" t="s">
        <v>2589</v>
      </c>
      <c r="B51" s="14" t="s">
        <v>690</v>
      </c>
      <c r="C51" s="14" t="s">
        <v>938</v>
      </c>
      <c r="D51" s="14" t="s">
        <v>1095</v>
      </c>
      <c r="E51" s="14" t="s">
        <v>4453</v>
      </c>
      <c r="F51" s="14" t="s">
        <v>175</v>
      </c>
      <c r="G51" s="14" t="s">
        <v>75</v>
      </c>
      <c r="H51" s="14" t="s">
        <v>4454</v>
      </c>
      <c r="I51" s="14" t="s">
        <v>4455</v>
      </c>
    </row>
    <row r="52" spans="1:9">
      <c r="A52" s="14" t="s">
        <v>2593</v>
      </c>
      <c r="B52" s="14" t="s">
        <v>690</v>
      </c>
      <c r="C52" s="14" t="s">
        <v>507</v>
      </c>
      <c r="D52" s="14" t="s">
        <v>1095</v>
      </c>
      <c r="E52" s="14" t="s">
        <v>4456</v>
      </c>
      <c r="F52" s="14" t="s">
        <v>239</v>
      </c>
      <c r="G52" s="14" t="s">
        <v>75</v>
      </c>
      <c r="H52" s="14" t="s">
        <v>4457</v>
      </c>
      <c r="I52" s="14" t="s">
        <v>4458</v>
      </c>
    </row>
    <row r="53" spans="1:9">
      <c r="A53" s="14" t="s">
        <v>2598</v>
      </c>
      <c r="B53" s="14" t="s">
        <v>690</v>
      </c>
      <c r="C53" s="14" t="s">
        <v>245</v>
      </c>
      <c r="D53" s="14" t="s">
        <v>4459</v>
      </c>
      <c r="E53" s="14" t="s">
        <v>202</v>
      </c>
      <c r="F53" s="14" t="s">
        <v>199</v>
      </c>
      <c r="G53" s="14" t="s">
        <v>178</v>
      </c>
      <c r="H53" s="14" t="s">
        <v>4460</v>
      </c>
      <c r="I53" s="14" t="s">
        <v>4461</v>
      </c>
    </row>
    <row r="54" spans="1:9">
      <c r="A54" s="14" t="s">
        <v>2602</v>
      </c>
      <c r="B54" s="14" t="s">
        <v>690</v>
      </c>
      <c r="C54" s="14" t="s">
        <v>429</v>
      </c>
      <c r="D54" s="14" t="s">
        <v>4459</v>
      </c>
      <c r="E54" s="14" t="s">
        <v>273</v>
      </c>
      <c r="F54" s="14" t="s">
        <v>270</v>
      </c>
      <c r="G54" s="14" t="s">
        <v>261</v>
      </c>
      <c r="H54" s="14" t="s">
        <v>4462</v>
      </c>
      <c r="I54" s="14" t="s">
        <v>4463</v>
      </c>
    </row>
    <row r="55" spans="1:9">
      <c r="A55" s="14" t="s">
        <v>2509</v>
      </c>
      <c r="B55" s="14" t="s">
        <v>690</v>
      </c>
      <c r="C55" s="14" t="s">
        <v>492</v>
      </c>
      <c r="D55" s="14" t="s">
        <v>1195</v>
      </c>
      <c r="E55" s="14" t="s">
        <v>170</v>
      </c>
      <c r="F55" s="14" t="s">
        <v>169</v>
      </c>
      <c r="G55" s="14" t="s">
        <v>167</v>
      </c>
      <c r="H55" s="14" t="s">
        <v>4464</v>
      </c>
      <c r="I55" s="14" t="s">
        <v>4465</v>
      </c>
    </row>
    <row r="56" spans="1:9">
      <c r="A56" s="14" t="s">
        <v>2611</v>
      </c>
      <c r="B56" s="14" t="s">
        <v>690</v>
      </c>
      <c r="C56" s="14" t="s">
        <v>348</v>
      </c>
      <c r="D56" s="14" t="s">
        <v>1195</v>
      </c>
      <c r="E56" s="14" t="s">
        <v>4466</v>
      </c>
      <c r="F56" s="14" t="s">
        <v>78</v>
      </c>
      <c r="G56" s="14" t="s">
        <v>75</v>
      </c>
      <c r="H56" s="14" t="s">
        <v>4467</v>
      </c>
      <c r="I56" s="14" t="s">
        <v>4468</v>
      </c>
    </row>
    <row r="57" spans="1:9">
      <c r="A57" s="14" t="s">
        <v>2616</v>
      </c>
      <c r="B57" s="14" t="s">
        <v>690</v>
      </c>
      <c r="C57" s="14" t="s">
        <v>201</v>
      </c>
      <c r="D57" s="14" t="s">
        <v>1195</v>
      </c>
      <c r="E57" s="14" t="s">
        <v>4469</v>
      </c>
      <c r="F57" s="14" t="s">
        <v>174</v>
      </c>
      <c r="G57" s="14" t="s">
        <v>75</v>
      </c>
      <c r="H57" s="14" t="s">
        <v>4470</v>
      </c>
      <c r="I57" s="14" t="s">
        <v>4471</v>
      </c>
    </row>
    <row r="58" spans="1:9">
      <c r="A58" s="14" t="s">
        <v>2621</v>
      </c>
      <c r="B58" s="14" t="s">
        <v>690</v>
      </c>
      <c r="C58" s="14" t="s">
        <v>466</v>
      </c>
      <c r="D58" s="14" t="s">
        <v>1195</v>
      </c>
      <c r="E58" s="14" t="s">
        <v>116</v>
      </c>
      <c r="F58" s="14" t="s">
        <v>109</v>
      </c>
      <c r="G58" s="14" t="s">
        <v>103</v>
      </c>
      <c r="H58" s="14" t="s">
        <v>4472</v>
      </c>
      <c r="I58" s="14" t="s">
        <v>4473</v>
      </c>
    </row>
    <row r="59" spans="1:9">
      <c r="A59" s="14" t="s">
        <v>2626</v>
      </c>
      <c r="B59" s="14" t="s">
        <v>690</v>
      </c>
      <c r="C59" s="14" t="s">
        <v>499</v>
      </c>
      <c r="D59" s="14" t="s">
        <v>1195</v>
      </c>
      <c r="E59" s="14" t="s">
        <v>154</v>
      </c>
      <c r="F59" s="14" t="s">
        <v>153</v>
      </c>
      <c r="G59" s="14" t="s">
        <v>152</v>
      </c>
      <c r="H59" s="14" t="s">
        <v>4474</v>
      </c>
      <c r="I59" s="14" t="s">
        <v>4475</v>
      </c>
    </row>
    <row r="60" spans="1:9">
      <c r="A60" s="14" t="s">
        <v>1995</v>
      </c>
      <c r="B60" s="14" t="s">
        <v>690</v>
      </c>
      <c r="C60" s="14" t="s">
        <v>1059</v>
      </c>
      <c r="D60" s="14" t="s">
        <v>1195</v>
      </c>
      <c r="E60" s="14" t="s">
        <v>165</v>
      </c>
      <c r="F60" s="14" t="s">
        <v>160</v>
      </c>
      <c r="G60" s="14" t="s">
        <v>158</v>
      </c>
      <c r="H60" s="14" t="s">
        <v>4476</v>
      </c>
      <c r="I60" s="14" t="s">
        <v>4477</v>
      </c>
    </row>
    <row r="61" spans="1:9">
      <c r="A61" s="14" t="s">
        <v>2512</v>
      </c>
      <c r="B61" s="14" t="s">
        <v>690</v>
      </c>
      <c r="C61" s="14" t="s">
        <v>351</v>
      </c>
      <c r="D61" s="14" t="s">
        <v>1195</v>
      </c>
      <c r="E61" s="14" t="s">
        <v>137</v>
      </c>
      <c r="F61" s="14" t="s">
        <v>127</v>
      </c>
      <c r="G61" s="14" t="s">
        <v>75</v>
      </c>
      <c r="H61" s="14" t="s">
        <v>4478</v>
      </c>
      <c r="I61" s="14" t="s">
        <v>4479</v>
      </c>
    </row>
    <row r="62" spans="1:9">
      <c r="A62" s="14" t="s">
        <v>2647</v>
      </c>
      <c r="B62" s="14" t="s">
        <v>690</v>
      </c>
      <c r="C62" s="14" t="s">
        <v>488</v>
      </c>
      <c r="D62" s="14" t="s">
        <v>1195</v>
      </c>
      <c r="E62" s="14" t="s">
        <v>484</v>
      </c>
      <c r="F62" s="14" t="s">
        <v>149</v>
      </c>
      <c r="G62" s="14" t="s">
        <v>147</v>
      </c>
      <c r="H62" s="14" t="s">
        <v>4480</v>
      </c>
      <c r="I62" s="14" t="s">
        <v>4481</v>
      </c>
    </row>
    <row r="63" spans="1:9">
      <c r="A63" s="14" t="s">
        <v>2655</v>
      </c>
      <c r="B63" s="14" t="s">
        <v>690</v>
      </c>
      <c r="C63" s="14" t="s">
        <v>408</v>
      </c>
      <c r="D63" s="14" t="s">
        <v>1195</v>
      </c>
      <c r="E63" s="14" t="s">
        <v>180</v>
      </c>
      <c r="F63" s="14" t="s">
        <v>179</v>
      </c>
      <c r="G63" s="14" t="s">
        <v>178</v>
      </c>
      <c r="H63" s="14" t="s">
        <v>4482</v>
      </c>
      <c r="I63" s="14" t="s">
        <v>4483</v>
      </c>
    </row>
    <row r="64" spans="1:9">
      <c r="A64" s="14" t="s">
        <v>2666</v>
      </c>
      <c r="B64" s="14" t="s">
        <v>690</v>
      </c>
      <c r="C64" s="14" t="s">
        <v>251</v>
      </c>
      <c r="D64" s="14" t="s">
        <v>2523</v>
      </c>
      <c r="E64" s="14" t="s">
        <v>247</v>
      </c>
      <c r="F64" s="14" t="s">
        <v>250</v>
      </c>
      <c r="G64" s="14" t="s">
        <v>178</v>
      </c>
      <c r="H64" s="14" t="s">
        <v>4484</v>
      </c>
      <c r="I64" s="14" t="s">
        <v>4485</v>
      </c>
    </row>
    <row r="65" spans="1:9">
      <c r="A65" s="14" t="s">
        <v>2675</v>
      </c>
      <c r="B65" s="14" t="s">
        <v>690</v>
      </c>
      <c r="C65" s="14" t="s">
        <v>191</v>
      </c>
      <c r="D65" s="14" t="s">
        <v>4486</v>
      </c>
      <c r="E65" s="14" t="s">
        <v>4487</v>
      </c>
      <c r="F65" s="14" t="s">
        <v>188</v>
      </c>
      <c r="G65" s="14" t="s">
        <v>75</v>
      </c>
      <c r="H65" s="14" t="s">
        <v>4488</v>
      </c>
      <c r="I65" s="14" t="s">
        <v>4489</v>
      </c>
    </row>
    <row r="66" spans="1:9">
      <c r="A66" s="14" t="s">
        <v>2683</v>
      </c>
      <c r="B66" s="14" t="s">
        <v>690</v>
      </c>
      <c r="C66" s="14" t="s">
        <v>347</v>
      </c>
      <c r="D66" s="14" t="s">
        <v>4486</v>
      </c>
      <c r="E66" s="14" t="s">
        <v>4490</v>
      </c>
      <c r="F66" s="14" t="s">
        <v>185</v>
      </c>
      <c r="G66" s="14" t="s">
        <v>75</v>
      </c>
      <c r="H66" s="14" t="s">
        <v>4491</v>
      </c>
      <c r="I66" s="14" t="s">
        <v>4492</v>
      </c>
    </row>
    <row r="67" spans="1:9">
      <c r="A67" s="14" t="s">
        <v>2690</v>
      </c>
      <c r="B67" s="14" t="s">
        <v>690</v>
      </c>
      <c r="C67" s="14" t="s">
        <v>1032</v>
      </c>
      <c r="D67" s="14" t="s">
        <v>3776</v>
      </c>
      <c r="E67" s="14" t="s">
        <v>267</v>
      </c>
      <c r="F67" s="14" t="s">
        <v>269</v>
      </c>
      <c r="G67" s="14" t="s">
        <v>261</v>
      </c>
      <c r="H67" s="14" t="s">
        <v>4493</v>
      </c>
      <c r="I67" s="14" t="s">
        <v>4494</v>
      </c>
    </row>
    <row r="68" spans="1:9">
      <c r="A68" s="14" t="s">
        <v>2696</v>
      </c>
      <c r="B68" s="14" t="s">
        <v>690</v>
      </c>
      <c r="C68" s="14" t="s">
        <v>297</v>
      </c>
      <c r="D68" s="14" t="s">
        <v>3776</v>
      </c>
      <c r="E68" s="14" t="s">
        <v>296</v>
      </c>
      <c r="F68" s="14" t="s">
        <v>295</v>
      </c>
      <c r="G68" s="14" t="s">
        <v>103</v>
      </c>
      <c r="H68" s="14" t="s">
        <v>4495</v>
      </c>
      <c r="I68" s="14" t="s">
        <v>4496</v>
      </c>
    </row>
    <row r="69" spans="1:9">
      <c r="A69" s="14" t="s">
        <v>2702</v>
      </c>
      <c r="B69" s="14" t="s">
        <v>690</v>
      </c>
      <c r="C69" s="14" t="s">
        <v>470</v>
      </c>
      <c r="D69" s="14" t="s">
        <v>4497</v>
      </c>
      <c r="E69" s="14" t="s">
        <v>237</v>
      </c>
      <c r="F69" s="14" t="s">
        <v>235</v>
      </c>
      <c r="G69" s="14" t="s">
        <v>103</v>
      </c>
      <c r="H69" s="14" t="s">
        <v>4498</v>
      </c>
      <c r="I69" s="14" t="s">
        <v>4499</v>
      </c>
    </row>
    <row r="70" spans="1:9">
      <c r="A70" s="14" t="s">
        <v>2708</v>
      </c>
      <c r="B70" s="14" t="s">
        <v>690</v>
      </c>
      <c r="C70" s="14" t="s">
        <v>1039</v>
      </c>
      <c r="D70" s="14" t="s">
        <v>4497</v>
      </c>
      <c r="E70" s="14" t="s">
        <v>227</v>
      </c>
      <c r="F70" s="14" t="s">
        <v>223</v>
      </c>
      <c r="G70" s="14" t="s">
        <v>222</v>
      </c>
      <c r="H70" s="14" t="s">
        <v>4500</v>
      </c>
      <c r="I70" s="14" t="s">
        <v>4501</v>
      </c>
    </row>
    <row r="71" spans="1:9">
      <c r="A71" s="14" t="s">
        <v>2498</v>
      </c>
      <c r="B71" s="14" t="s">
        <v>690</v>
      </c>
      <c r="C71" s="14" t="s">
        <v>509</v>
      </c>
      <c r="D71" s="14" t="s">
        <v>1176</v>
      </c>
      <c r="E71" s="14" t="s">
        <v>190</v>
      </c>
      <c r="F71" s="14" t="s">
        <v>189</v>
      </c>
      <c r="G71" s="14" t="s">
        <v>75</v>
      </c>
      <c r="H71" s="14" t="s">
        <v>4502</v>
      </c>
      <c r="I71" s="14" t="s">
        <v>4503</v>
      </c>
    </row>
    <row r="72" spans="1:9">
      <c r="A72" s="14" t="s">
        <v>2721</v>
      </c>
      <c r="B72" s="14" t="s">
        <v>690</v>
      </c>
      <c r="C72" s="14" t="s">
        <v>621</v>
      </c>
      <c r="D72" s="14" t="s">
        <v>1176</v>
      </c>
      <c r="E72" s="14" t="s">
        <v>197</v>
      </c>
      <c r="F72" s="14" t="s">
        <v>196</v>
      </c>
      <c r="G72" s="14" t="s">
        <v>167</v>
      </c>
      <c r="H72" s="14" t="s">
        <v>4504</v>
      </c>
      <c r="I72" s="14" t="s">
        <v>4505</v>
      </c>
    </row>
    <row r="73" spans="1:9">
      <c r="A73" s="14" t="s">
        <v>2729</v>
      </c>
      <c r="B73" s="14" t="s">
        <v>690</v>
      </c>
      <c r="C73" s="14" t="s">
        <v>716</v>
      </c>
      <c r="D73" s="14" t="s">
        <v>1176</v>
      </c>
      <c r="E73" s="14" t="s">
        <v>219</v>
      </c>
      <c r="F73" s="14" t="s">
        <v>217</v>
      </c>
      <c r="G73" s="14" t="s">
        <v>158</v>
      </c>
      <c r="H73" s="14" t="s">
        <v>4506</v>
      </c>
      <c r="I73" s="14" t="s">
        <v>4507</v>
      </c>
    </row>
    <row r="74" spans="1:9">
      <c r="A74" s="14" t="s">
        <v>2736</v>
      </c>
      <c r="B74" s="14" t="s">
        <v>690</v>
      </c>
      <c r="C74" s="14" t="s">
        <v>358</v>
      </c>
      <c r="D74" s="14" t="s">
        <v>1176</v>
      </c>
      <c r="E74" s="14" t="s">
        <v>212</v>
      </c>
      <c r="F74" s="14" t="s">
        <v>211</v>
      </c>
      <c r="G74" s="14" t="s">
        <v>210</v>
      </c>
      <c r="H74" s="14" t="s">
        <v>4508</v>
      </c>
      <c r="I74" s="14" t="s">
        <v>4509</v>
      </c>
    </row>
    <row r="75" spans="1:9">
      <c r="A75" s="14" t="s">
        <v>2743</v>
      </c>
      <c r="B75" s="14" t="s">
        <v>4397</v>
      </c>
      <c r="C75" s="14" t="s">
        <v>4510</v>
      </c>
      <c r="D75" s="14" t="s">
        <v>3297</v>
      </c>
      <c r="E75" s="14" t="s">
        <v>263</v>
      </c>
      <c r="F75" s="14" t="s">
        <v>262</v>
      </c>
      <c r="G75" s="14" t="s">
        <v>129</v>
      </c>
      <c r="H75" s="14" t="s">
        <v>4511</v>
      </c>
      <c r="I75" s="14" t="s">
        <v>4512</v>
      </c>
    </row>
    <row r="76" spans="1:9">
      <c r="A76" s="14" t="s">
        <v>2748</v>
      </c>
      <c r="B76" s="14" t="s">
        <v>4397</v>
      </c>
      <c r="C76" s="14" t="s">
        <v>4513</v>
      </c>
      <c r="D76" s="14" t="s">
        <v>3297</v>
      </c>
      <c r="E76" s="14" t="s">
        <v>263</v>
      </c>
      <c r="F76" s="14" t="s">
        <v>262</v>
      </c>
      <c r="G76" s="14" t="s">
        <v>129</v>
      </c>
      <c r="H76" s="14" t="s">
        <v>4514</v>
      </c>
      <c r="I76" s="14" t="s">
        <v>4515</v>
      </c>
    </row>
    <row r="77" spans="1:9">
      <c r="A77" s="14" t="s">
        <v>2755</v>
      </c>
      <c r="B77" s="14" t="s">
        <v>2639</v>
      </c>
      <c r="C77" s="14" t="s">
        <v>4516</v>
      </c>
      <c r="D77" s="14" t="s">
        <v>1208</v>
      </c>
      <c r="E77" s="14" t="s">
        <v>263</v>
      </c>
      <c r="F77" s="14" t="s">
        <v>262</v>
      </c>
      <c r="G77" s="14" t="s">
        <v>129</v>
      </c>
      <c r="H77" s="14" t="s">
        <v>4517</v>
      </c>
      <c r="I77" s="14" t="s">
        <v>4518</v>
      </c>
    </row>
    <row r="78" spans="1:9">
      <c r="A78" s="14" t="s">
        <v>2762</v>
      </c>
      <c r="B78" s="14" t="s">
        <v>2639</v>
      </c>
      <c r="C78" s="14" t="s">
        <v>4519</v>
      </c>
      <c r="D78" s="14" t="s">
        <v>1421</v>
      </c>
      <c r="E78" s="14" t="s">
        <v>310</v>
      </c>
      <c r="F78" s="14" t="s">
        <v>311</v>
      </c>
      <c r="G78" s="14"/>
      <c r="H78" s="14" t="s">
        <v>4520</v>
      </c>
      <c r="I78" s="14" t="s">
        <v>4521</v>
      </c>
    </row>
    <row r="79" spans="1:9">
      <c r="A79" s="14" t="s">
        <v>2770</v>
      </c>
      <c r="B79" s="14" t="s">
        <v>2639</v>
      </c>
      <c r="C79" s="14" t="s">
        <v>4522</v>
      </c>
      <c r="D79" s="14" t="s">
        <v>1421</v>
      </c>
      <c r="E79" s="14" t="s">
        <v>310</v>
      </c>
      <c r="F79" s="14" t="s">
        <v>311</v>
      </c>
      <c r="G79" s="14"/>
      <c r="H79" s="14" t="s">
        <v>4523</v>
      </c>
      <c r="I79" s="14" t="s">
        <v>4524</v>
      </c>
    </row>
    <row r="80" spans="1:9">
      <c r="A80" s="14" t="s">
        <v>1648</v>
      </c>
      <c r="B80" s="14" t="s">
        <v>2639</v>
      </c>
      <c r="C80" s="14" t="s">
        <v>4525</v>
      </c>
      <c r="D80" s="14" t="s">
        <v>1421</v>
      </c>
      <c r="E80" s="14" t="s">
        <v>299</v>
      </c>
      <c r="F80" s="14" t="s">
        <v>301</v>
      </c>
      <c r="G80" s="14" t="s">
        <v>103</v>
      </c>
      <c r="H80" s="14" t="s">
        <v>4526</v>
      </c>
      <c r="I80" s="14" t="s">
        <v>4527</v>
      </c>
    </row>
    <row r="81" spans="1:9">
      <c r="A81" s="14" t="s">
        <v>2782</v>
      </c>
      <c r="B81" s="14" t="s">
        <v>2639</v>
      </c>
      <c r="C81" s="14" t="s">
        <v>4528</v>
      </c>
      <c r="D81" s="14" t="s">
        <v>1421</v>
      </c>
      <c r="E81" s="14" t="s">
        <v>299</v>
      </c>
      <c r="F81" s="14" t="s">
        <v>301</v>
      </c>
      <c r="G81" s="14" t="s">
        <v>103</v>
      </c>
      <c r="H81" s="14" t="s">
        <v>4529</v>
      </c>
      <c r="I81" s="14" t="s">
        <v>4530</v>
      </c>
    </row>
    <row r="82" spans="1:9">
      <c r="A82" s="14" t="s">
        <v>2789</v>
      </c>
      <c r="B82" s="14" t="s">
        <v>2639</v>
      </c>
      <c r="C82" s="14" t="s">
        <v>4531</v>
      </c>
      <c r="D82" s="14" t="s">
        <v>1660</v>
      </c>
      <c r="E82" s="14" t="s">
        <v>176</v>
      </c>
      <c r="F82" s="14" t="s">
        <v>174</v>
      </c>
      <c r="G82" s="14" t="s">
        <v>75</v>
      </c>
      <c r="H82" s="14" t="s">
        <v>4532</v>
      </c>
      <c r="I82" s="14" t="s">
        <v>4533</v>
      </c>
    </row>
    <row r="83" spans="1:9">
      <c r="A83" s="14" t="s">
        <v>2795</v>
      </c>
      <c r="B83" s="14" t="s">
        <v>708</v>
      </c>
      <c r="C83" s="14" t="s">
        <v>4534</v>
      </c>
      <c r="D83" s="14" t="s">
        <v>1183</v>
      </c>
      <c r="E83" s="14" t="s">
        <v>263</v>
      </c>
      <c r="F83" s="14" t="s">
        <v>262</v>
      </c>
      <c r="G83" s="14" t="s">
        <v>129</v>
      </c>
      <c r="H83" s="14" t="s">
        <v>4535</v>
      </c>
      <c r="I83" s="14" t="s">
        <v>4536</v>
      </c>
    </row>
    <row r="84" spans="1:9">
      <c r="A84" s="14" t="s">
        <v>2805</v>
      </c>
      <c r="B84" s="14" t="s">
        <v>708</v>
      </c>
      <c r="C84" s="14" t="s">
        <v>4537</v>
      </c>
      <c r="D84" s="14" t="s">
        <v>1302</v>
      </c>
      <c r="E84" s="14" t="s">
        <v>170</v>
      </c>
      <c r="F84" s="14" t="s">
        <v>169</v>
      </c>
      <c r="G84" s="14" t="s">
        <v>167</v>
      </c>
      <c r="H84" s="14" t="s">
        <v>4538</v>
      </c>
      <c r="I84" s="14" t="s">
        <v>4539</v>
      </c>
    </row>
    <row r="85" spans="1:9">
      <c r="A85" s="14" t="s">
        <v>2811</v>
      </c>
      <c r="B85" s="14" t="s">
        <v>708</v>
      </c>
      <c r="C85" s="14" t="s">
        <v>4540</v>
      </c>
      <c r="D85" s="14" t="s">
        <v>1302</v>
      </c>
      <c r="E85" s="14" t="s">
        <v>4466</v>
      </c>
      <c r="F85" s="14" t="s">
        <v>78</v>
      </c>
      <c r="G85" s="14" t="s">
        <v>75</v>
      </c>
      <c r="H85" s="14" t="s">
        <v>4541</v>
      </c>
      <c r="I85" s="14" t="s">
        <v>4542</v>
      </c>
    </row>
    <row r="86" spans="1:9">
      <c r="A86" s="14" t="s">
        <v>2816</v>
      </c>
      <c r="B86" s="14" t="s">
        <v>708</v>
      </c>
      <c r="C86" s="14" t="s">
        <v>4543</v>
      </c>
      <c r="D86" s="14" t="s">
        <v>1302</v>
      </c>
      <c r="E86" s="14" t="s">
        <v>4469</v>
      </c>
      <c r="F86" s="14" t="s">
        <v>174</v>
      </c>
      <c r="G86" s="14" t="s">
        <v>75</v>
      </c>
      <c r="H86" s="14" t="s">
        <v>4544</v>
      </c>
      <c r="I86" s="14" t="s">
        <v>4545</v>
      </c>
    </row>
    <row r="87" spans="1:9">
      <c r="A87" s="14" t="s">
        <v>2821</v>
      </c>
      <c r="B87" s="14" t="s">
        <v>708</v>
      </c>
      <c r="C87" s="14" t="s">
        <v>4546</v>
      </c>
      <c r="D87" s="14" t="s">
        <v>1302</v>
      </c>
      <c r="E87" s="14" t="s">
        <v>154</v>
      </c>
      <c r="F87" s="14" t="s">
        <v>153</v>
      </c>
      <c r="G87" s="14" t="s">
        <v>152</v>
      </c>
      <c r="H87" s="14" t="s">
        <v>4547</v>
      </c>
      <c r="I87" s="14" t="s">
        <v>4548</v>
      </c>
    </row>
    <row r="88" spans="1:9">
      <c r="A88" s="14" t="s">
        <v>2831</v>
      </c>
      <c r="B88" s="14" t="s">
        <v>708</v>
      </c>
      <c r="C88" s="14" t="s">
        <v>4549</v>
      </c>
      <c r="D88" s="14" t="s">
        <v>1302</v>
      </c>
      <c r="E88" s="14" t="s">
        <v>165</v>
      </c>
      <c r="F88" s="14" t="s">
        <v>160</v>
      </c>
      <c r="G88" s="14" t="s">
        <v>158</v>
      </c>
      <c r="H88" s="14" t="s">
        <v>4550</v>
      </c>
      <c r="I88" s="14" t="s">
        <v>4551</v>
      </c>
    </row>
    <row r="89" spans="1:9">
      <c r="A89" s="14" t="s">
        <v>2839</v>
      </c>
      <c r="B89" s="14" t="s">
        <v>708</v>
      </c>
      <c r="C89" s="14" t="s">
        <v>4552</v>
      </c>
      <c r="D89" s="14" t="s">
        <v>1302</v>
      </c>
      <c r="E89" s="14" t="s">
        <v>137</v>
      </c>
      <c r="F89" s="14" t="s">
        <v>127</v>
      </c>
      <c r="G89" s="14" t="s">
        <v>75</v>
      </c>
      <c r="H89" s="14" t="s">
        <v>4553</v>
      </c>
      <c r="I89" s="14" t="s">
        <v>4554</v>
      </c>
    </row>
    <row r="90" spans="1:9">
      <c r="A90" s="14" t="s">
        <v>2843</v>
      </c>
      <c r="B90" s="14" t="s">
        <v>708</v>
      </c>
      <c r="C90" s="14" t="s">
        <v>4555</v>
      </c>
      <c r="D90" s="14" t="s">
        <v>1302</v>
      </c>
      <c r="E90" s="14" t="s">
        <v>484</v>
      </c>
      <c r="F90" s="14" t="s">
        <v>149</v>
      </c>
      <c r="G90" s="14" t="s">
        <v>147</v>
      </c>
      <c r="H90" s="14" t="s">
        <v>4556</v>
      </c>
      <c r="I90" s="14" t="s">
        <v>4557</v>
      </c>
    </row>
    <row r="91" spans="1:9">
      <c r="A91" s="14" t="s">
        <v>2849</v>
      </c>
      <c r="B91" s="14" t="s">
        <v>708</v>
      </c>
      <c r="C91" s="14" t="s">
        <v>4558</v>
      </c>
      <c r="D91" s="14" t="s">
        <v>1169</v>
      </c>
      <c r="E91" s="14" t="s">
        <v>190</v>
      </c>
      <c r="F91" s="14" t="s">
        <v>189</v>
      </c>
      <c r="G91" s="14" t="s">
        <v>75</v>
      </c>
      <c r="H91" s="14" t="s">
        <v>4559</v>
      </c>
      <c r="I91" s="14" t="s">
        <v>4560</v>
      </c>
    </row>
    <row r="92" spans="1:9">
      <c r="A92" s="14" t="s">
        <v>2853</v>
      </c>
      <c r="B92" s="14" t="s">
        <v>708</v>
      </c>
      <c r="C92" s="14" t="s">
        <v>4561</v>
      </c>
      <c r="D92" s="14" t="s">
        <v>1169</v>
      </c>
      <c r="E92" s="14" t="s">
        <v>197</v>
      </c>
      <c r="F92" s="14" t="s">
        <v>196</v>
      </c>
      <c r="G92" s="14" t="s">
        <v>167</v>
      </c>
      <c r="H92" s="14" t="s">
        <v>4562</v>
      </c>
      <c r="I92" s="14" t="s">
        <v>4563</v>
      </c>
    </row>
    <row r="93" spans="1:9">
      <c r="A93" s="14" t="s">
        <v>2859</v>
      </c>
      <c r="B93" s="14" t="s">
        <v>708</v>
      </c>
      <c r="C93" s="14" t="s">
        <v>4564</v>
      </c>
      <c r="D93" s="14" t="s">
        <v>1169</v>
      </c>
      <c r="E93" s="14" t="s">
        <v>219</v>
      </c>
      <c r="F93" s="14" t="s">
        <v>217</v>
      </c>
      <c r="G93" s="14" t="s">
        <v>158</v>
      </c>
      <c r="H93" s="14" t="s">
        <v>4565</v>
      </c>
      <c r="I93" s="14" t="s">
        <v>4566</v>
      </c>
    </row>
    <row r="94" spans="1:9">
      <c r="A94" s="14" t="s">
        <v>2864</v>
      </c>
      <c r="B94" s="14" t="s">
        <v>708</v>
      </c>
      <c r="C94" s="14" t="s">
        <v>4567</v>
      </c>
      <c r="D94" s="14" t="s">
        <v>1169</v>
      </c>
      <c r="E94" s="14" t="s">
        <v>212</v>
      </c>
      <c r="F94" s="14" t="s">
        <v>211</v>
      </c>
      <c r="G94" s="14" t="s">
        <v>210</v>
      </c>
      <c r="H94" s="14" t="s">
        <v>4568</v>
      </c>
      <c r="I94" s="14" t="s">
        <v>4569</v>
      </c>
    </row>
    <row r="95" spans="1:9">
      <c r="A95" s="14" t="s">
        <v>2870</v>
      </c>
      <c r="B95" s="14" t="s">
        <v>708</v>
      </c>
      <c r="C95" s="14" t="s">
        <v>4570</v>
      </c>
      <c r="D95" s="14" t="s">
        <v>1321</v>
      </c>
      <c r="E95" s="14" t="s">
        <v>116</v>
      </c>
      <c r="F95" s="14" t="s">
        <v>109</v>
      </c>
      <c r="G95" s="14" t="s">
        <v>103</v>
      </c>
      <c r="H95" s="14" t="s">
        <v>4571</v>
      </c>
      <c r="I95" s="14" t="s">
        <v>4572</v>
      </c>
    </row>
    <row r="96" spans="1:9">
      <c r="A96" s="14" t="s">
        <v>2875</v>
      </c>
      <c r="B96" s="14" t="s">
        <v>708</v>
      </c>
      <c r="C96" s="14" t="s">
        <v>4573</v>
      </c>
      <c r="D96" s="14" t="s">
        <v>1321</v>
      </c>
      <c r="E96" s="14" t="s">
        <v>180</v>
      </c>
      <c r="F96" s="14" t="s">
        <v>179</v>
      </c>
      <c r="G96" s="14" t="s">
        <v>178</v>
      </c>
      <c r="H96" s="14" t="s">
        <v>4574</v>
      </c>
      <c r="I96" s="14" t="s">
        <v>4575</v>
      </c>
    </row>
    <row r="97" spans="1:9">
      <c r="A97" s="14" t="s">
        <v>2880</v>
      </c>
      <c r="B97" s="14" t="s">
        <v>708</v>
      </c>
      <c r="C97" s="14" t="s">
        <v>4576</v>
      </c>
      <c r="D97" s="14" t="s">
        <v>939</v>
      </c>
      <c r="E97" s="14" t="s">
        <v>309</v>
      </c>
      <c r="F97" s="14" t="s">
        <v>306</v>
      </c>
      <c r="G97" s="14" t="s">
        <v>222</v>
      </c>
      <c r="H97" s="14" t="s">
        <v>4577</v>
      </c>
      <c r="I97" s="14" t="s">
        <v>4578</v>
      </c>
    </row>
    <row r="98" spans="1:9">
      <c r="A98" s="14" t="s">
        <v>2885</v>
      </c>
      <c r="B98" s="14" t="s">
        <v>708</v>
      </c>
      <c r="C98" s="14" t="s">
        <v>4579</v>
      </c>
      <c r="D98" s="14" t="s">
        <v>4580</v>
      </c>
      <c r="E98" s="14" t="s">
        <v>516</v>
      </c>
      <c r="F98" s="14" t="s">
        <v>517</v>
      </c>
      <c r="G98" s="14" t="s">
        <v>178</v>
      </c>
      <c r="H98" s="14" t="s">
        <v>4581</v>
      </c>
      <c r="I98" s="14" t="s">
        <v>4582</v>
      </c>
    </row>
    <row r="99" spans="1:9">
      <c r="A99" s="14" t="s">
        <v>2890</v>
      </c>
      <c r="B99" s="14" t="s">
        <v>708</v>
      </c>
      <c r="C99" s="14" t="s">
        <v>4583</v>
      </c>
      <c r="D99" s="14" t="s">
        <v>896</v>
      </c>
      <c r="E99" s="14" t="s">
        <v>232</v>
      </c>
      <c r="F99" s="14" t="s">
        <v>236</v>
      </c>
      <c r="G99" s="14" t="s">
        <v>234</v>
      </c>
      <c r="H99" s="14" t="s">
        <v>4584</v>
      </c>
      <c r="I99" s="14" t="s">
        <v>4585</v>
      </c>
    </row>
    <row r="100" spans="1:9">
      <c r="A100" s="14" t="s">
        <v>2894</v>
      </c>
      <c r="B100" s="14" t="s">
        <v>708</v>
      </c>
      <c r="C100" s="14" t="s">
        <v>4586</v>
      </c>
      <c r="D100" s="14" t="s">
        <v>896</v>
      </c>
      <c r="E100" s="14" t="s">
        <v>289</v>
      </c>
      <c r="F100" s="14" t="s">
        <v>288</v>
      </c>
      <c r="G100" s="14" t="s">
        <v>178</v>
      </c>
      <c r="H100" s="14" t="s">
        <v>4587</v>
      </c>
      <c r="I100" s="14" t="s">
        <v>4588</v>
      </c>
    </row>
    <row r="101" spans="1:9">
      <c r="A101" s="14" t="s">
        <v>2899</v>
      </c>
      <c r="B101" s="14" t="s">
        <v>708</v>
      </c>
      <c r="C101" s="14" t="s">
        <v>4589</v>
      </c>
      <c r="D101" s="14" t="s">
        <v>1267</v>
      </c>
      <c r="E101" s="14" t="s">
        <v>4437</v>
      </c>
      <c r="F101" s="14" t="s">
        <v>254</v>
      </c>
      <c r="G101" s="14" t="s">
        <v>178</v>
      </c>
      <c r="H101" s="14" t="s">
        <v>4590</v>
      </c>
      <c r="I101" s="14" t="s">
        <v>4591</v>
      </c>
    </row>
    <row r="102" spans="1:9">
      <c r="A102" s="14" t="s">
        <v>2903</v>
      </c>
      <c r="B102" s="14" t="s">
        <v>708</v>
      </c>
      <c r="C102" s="14" t="s">
        <v>4592</v>
      </c>
      <c r="D102" s="14" t="s">
        <v>1267</v>
      </c>
      <c r="E102" s="14" t="s">
        <v>4440</v>
      </c>
      <c r="F102" s="14" t="s">
        <v>252</v>
      </c>
      <c r="G102" s="14" t="s">
        <v>178</v>
      </c>
      <c r="H102" s="14" t="s">
        <v>4593</v>
      </c>
      <c r="I102" s="14" t="s">
        <v>4594</v>
      </c>
    </row>
    <row r="103" spans="1:9">
      <c r="A103" s="14" t="s">
        <v>2908</v>
      </c>
      <c r="B103" s="14" t="s">
        <v>708</v>
      </c>
      <c r="C103" s="14" t="s">
        <v>4595</v>
      </c>
      <c r="D103" s="14" t="s">
        <v>1267</v>
      </c>
      <c r="E103" s="14" t="s">
        <v>4443</v>
      </c>
      <c r="F103" s="14" t="s">
        <v>243</v>
      </c>
      <c r="G103" s="14" t="s">
        <v>178</v>
      </c>
      <c r="H103" s="14" t="s">
        <v>4596</v>
      </c>
      <c r="I103" s="14" t="s">
        <v>4597</v>
      </c>
    </row>
    <row r="104" spans="1:9">
      <c r="A104" s="14" t="s">
        <v>2914</v>
      </c>
      <c r="B104" s="14" t="s">
        <v>708</v>
      </c>
      <c r="C104" s="14" t="s">
        <v>4598</v>
      </c>
      <c r="D104" s="14" t="s">
        <v>1267</v>
      </c>
      <c r="E104" s="14" t="s">
        <v>4446</v>
      </c>
      <c r="F104" s="14" t="s">
        <v>246</v>
      </c>
      <c r="G104" s="14" t="s">
        <v>178</v>
      </c>
      <c r="H104" s="14" t="s">
        <v>4599</v>
      </c>
      <c r="I104" s="14" t="s">
        <v>4600</v>
      </c>
    </row>
    <row r="105" spans="1:9">
      <c r="A105" s="14" t="s">
        <v>2919</v>
      </c>
      <c r="B105" s="14" t="s">
        <v>708</v>
      </c>
      <c r="C105" s="14" t="s">
        <v>4601</v>
      </c>
      <c r="D105" s="14" t="s">
        <v>1070</v>
      </c>
      <c r="E105" s="14" t="s">
        <v>202</v>
      </c>
      <c r="F105" s="14" t="s">
        <v>199</v>
      </c>
      <c r="G105" s="14" t="s">
        <v>178</v>
      </c>
      <c r="H105" s="14" t="s">
        <v>4602</v>
      </c>
      <c r="I105" s="14" t="s">
        <v>4603</v>
      </c>
    </row>
    <row r="106" spans="1:9">
      <c r="A106" s="14" t="s">
        <v>2924</v>
      </c>
      <c r="B106" s="14" t="s">
        <v>708</v>
      </c>
      <c r="C106" s="14" t="s">
        <v>4604</v>
      </c>
      <c r="D106" s="14" t="s">
        <v>1070</v>
      </c>
      <c r="E106" s="14" t="s">
        <v>4453</v>
      </c>
      <c r="F106" s="14" t="s">
        <v>175</v>
      </c>
      <c r="G106" s="14" t="s">
        <v>75</v>
      </c>
      <c r="H106" s="14" t="s">
        <v>4605</v>
      </c>
      <c r="I106" s="14" t="s">
        <v>4606</v>
      </c>
    </row>
    <row r="107" spans="1:9">
      <c r="A107" s="14" t="s">
        <v>2929</v>
      </c>
      <c r="B107" s="14" t="s">
        <v>708</v>
      </c>
      <c r="C107" s="14" t="s">
        <v>4607</v>
      </c>
      <c r="D107" s="14" t="s">
        <v>1070</v>
      </c>
      <c r="E107" s="14" t="s">
        <v>4456</v>
      </c>
      <c r="F107" s="14" t="s">
        <v>239</v>
      </c>
      <c r="G107" s="14" t="s">
        <v>75</v>
      </c>
      <c r="H107" s="14" t="s">
        <v>4608</v>
      </c>
      <c r="I107" s="14" t="s">
        <v>4609</v>
      </c>
    </row>
    <row r="108" spans="1:9">
      <c r="A108" s="14" t="s">
        <v>2934</v>
      </c>
      <c r="B108" s="14" t="s">
        <v>708</v>
      </c>
      <c r="C108" s="14" t="s">
        <v>4610</v>
      </c>
      <c r="D108" s="14" t="s">
        <v>1070</v>
      </c>
      <c r="E108" s="14" t="s">
        <v>273</v>
      </c>
      <c r="F108" s="14" t="s">
        <v>270</v>
      </c>
      <c r="G108" s="14" t="s">
        <v>261</v>
      </c>
      <c r="H108" s="14" t="s">
        <v>4611</v>
      </c>
      <c r="I108" s="14" t="s">
        <v>4612</v>
      </c>
    </row>
    <row r="109" spans="1:9">
      <c r="A109" s="14" t="s">
        <v>2939</v>
      </c>
      <c r="B109" s="14" t="s">
        <v>708</v>
      </c>
      <c r="C109" s="14" t="s">
        <v>4613</v>
      </c>
      <c r="D109" s="14" t="s">
        <v>946</v>
      </c>
      <c r="E109" s="14" t="s">
        <v>267</v>
      </c>
      <c r="F109" s="14" t="s">
        <v>269</v>
      </c>
      <c r="G109" s="14" t="s">
        <v>261</v>
      </c>
      <c r="H109" s="14" t="s">
        <v>4614</v>
      </c>
      <c r="I109" s="14" t="s">
        <v>4615</v>
      </c>
    </row>
    <row r="110" spans="1:9">
      <c r="A110" s="14" t="s">
        <v>2943</v>
      </c>
      <c r="B110" s="14" t="s">
        <v>708</v>
      </c>
      <c r="C110" s="14" t="s">
        <v>4616</v>
      </c>
      <c r="D110" s="14" t="s">
        <v>946</v>
      </c>
      <c r="E110" s="14" t="s">
        <v>296</v>
      </c>
      <c r="F110" s="14" t="s">
        <v>295</v>
      </c>
      <c r="G110" s="14" t="s">
        <v>103</v>
      </c>
      <c r="H110" s="14" t="s">
        <v>4617</v>
      </c>
      <c r="I110" s="14" t="s">
        <v>4618</v>
      </c>
    </row>
    <row r="111" spans="1:9">
      <c r="A111" s="14" t="s">
        <v>2948</v>
      </c>
      <c r="B111" s="14" t="s">
        <v>708</v>
      </c>
      <c r="C111" s="14" t="s">
        <v>4619</v>
      </c>
      <c r="D111" s="14" t="s">
        <v>1478</v>
      </c>
      <c r="E111" s="14" t="s">
        <v>318</v>
      </c>
      <c r="F111" s="14" t="s">
        <v>319</v>
      </c>
      <c r="G111" s="14"/>
      <c r="H111" s="14" t="s">
        <v>4620</v>
      </c>
      <c r="I111" s="14" t="s">
        <v>4621</v>
      </c>
    </row>
    <row r="112" spans="1:9">
      <c r="A112" s="14" t="s">
        <v>2953</v>
      </c>
      <c r="B112" s="14" t="s">
        <v>708</v>
      </c>
      <c r="C112" s="14" t="s">
        <v>4622</v>
      </c>
      <c r="D112" s="14" t="s">
        <v>1478</v>
      </c>
      <c r="E112" s="14" t="s">
        <v>318</v>
      </c>
      <c r="F112" s="14" t="s">
        <v>319</v>
      </c>
      <c r="G112" s="14"/>
      <c r="H112" s="14" t="s">
        <v>4623</v>
      </c>
      <c r="I112" s="14" t="s">
        <v>4624</v>
      </c>
    </row>
    <row r="113" spans="1:9">
      <c r="A113" s="14" t="s">
        <v>2958</v>
      </c>
      <c r="B113" s="14" t="s">
        <v>708</v>
      </c>
      <c r="C113" s="14" t="s">
        <v>4625</v>
      </c>
      <c r="D113" s="14" t="s">
        <v>1478</v>
      </c>
      <c r="E113" s="14" t="s">
        <v>299</v>
      </c>
      <c r="F113" s="14" t="s">
        <v>301</v>
      </c>
      <c r="G113" s="14" t="s">
        <v>103</v>
      </c>
      <c r="H113" s="14" t="s">
        <v>4626</v>
      </c>
      <c r="I113" s="14" t="s">
        <v>4627</v>
      </c>
    </row>
    <row r="114" spans="1:9">
      <c r="A114" s="14" t="s">
        <v>2963</v>
      </c>
      <c r="B114" s="14" t="s">
        <v>708</v>
      </c>
      <c r="C114" s="14" t="s">
        <v>4628</v>
      </c>
      <c r="D114" s="14" t="s">
        <v>4629</v>
      </c>
      <c r="E114" s="14" t="s">
        <v>4487</v>
      </c>
      <c r="F114" s="14" t="s">
        <v>188</v>
      </c>
      <c r="G114" s="14" t="s">
        <v>75</v>
      </c>
      <c r="H114" s="14" t="s">
        <v>4630</v>
      </c>
      <c r="I114" s="14" t="s">
        <v>4631</v>
      </c>
    </row>
    <row r="115" spans="1:9">
      <c r="A115" s="14" t="s">
        <v>2968</v>
      </c>
      <c r="B115" s="14" t="s">
        <v>708</v>
      </c>
      <c r="C115" s="14" t="s">
        <v>4632</v>
      </c>
      <c r="D115" s="14" t="s">
        <v>4629</v>
      </c>
      <c r="E115" s="14" t="s">
        <v>4490</v>
      </c>
      <c r="F115" s="14" t="s">
        <v>185</v>
      </c>
      <c r="G115" s="14" t="s">
        <v>75</v>
      </c>
      <c r="H115" s="14" t="s">
        <v>4633</v>
      </c>
      <c r="I115" s="14" t="s">
        <v>4634</v>
      </c>
    </row>
    <row r="116" spans="1:9">
      <c r="A116" s="14" t="s">
        <v>2972</v>
      </c>
      <c r="B116" s="14" t="s">
        <v>708</v>
      </c>
      <c r="C116" s="14" t="s">
        <v>4635</v>
      </c>
      <c r="D116" s="14" t="s">
        <v>3159</v>
      </c>
      <c r="E116" s="14" t="s">
        <v>293</v>
      </c>
      <c r="F116" s="14" t="s">
        <v>292</v>
      </c>
      <c r="G116" s="14" t="s">
        <v>178</v>
      </c>
      <c r="H116" s="14" t="s">
        <v>4636</v>
      </c>
      <c r="I116" s="14" t="s">
        <v>4637</v>
      </c>
    </row>
    <row r="117" spans="1:9">
      <c r="A117" s="14" t="s">
        <v>2978</v>
      </c>
      <c r="B117" s="14" t="s">
        <v>708</v>
      </c>
      <c r="C117" s="14" t="s">
        <v>4638</v>
      </c>
      <c r="D117" s="14" t="s">
        <v>3159</v>
      </c>
      <c r="E117" s="14" t="s">
        <v>4426</v>
      </c>
      <c r="F117" s="14" t="s">
        <v>278</v>
      </c>
      <c r="G117" s="14" t="s">
        <v>129</v>
      </c>
      <c r="H117" s="14" t="s">
        <v>4639</v>
      </c>
      <c r="I117" s="14" t="s">
        <v>4640</v>
      </c>
    </row>
    <row r="118" spans="1:9">
      <c r="A118" s="14" t="s">
        <v>2983</v>
      </c>
      <c r="B118" s="14" t="s">
        <v>708</v>
      </c>
      <c r="C118" s="14" t="s">
        <v>4641</v>
      </c>
      <c r="D118" s="14" t="s">
        <v>4497</v>
      </c>
      <c r="E118" s="14" t="s">
        <v>237</v>
      </c>
      <c r="F118" s="14" t="s">
        <v>235</v>
      </c>
      <c r="G118" s="14" t="s">
        <v>103</v>
      </c>
      <c r="H118" s="14" t="s">
        <v>4642</v>
      </c>
      <c r="I118" s="14" t="s">
        <v>4643</v>
      </c>
    </row>
    <row r="119" spans="1:9">
      <c r="A119" s="14" t="s">
        <v>2988</v>
      </c>
      <c r="B119" s="14" t="s">
        <v>708</v>
      </c>
      <c r="C119" s="14" t="s">
        <v>4644</v>
      </c>
      <c r="D119" s="14" t="s">
        <v>4497</v>
      </c>
      <c r="E119" s="14" t="s">
        <v>227</v>
      </c>
      <c r="F119" s="14" t="s">
        <v>223</v>
      </c>
      <c r="G119" s="14" t="s">
        <v>222</v>
      </c>
      <c r="H119" s="14" t="s">
        <v>4645</v>
      </c>
      <c r="I119" s="14" t="s">
        <v>4646</v>
      </c>
    </row>
    <row r="120" spans="1:9">
      <c r="A120" s="14" t="s">
        <v>1890</v>
      </c>
      <c r="B120" s="14" t="s">
        <v>708</v>
      </c>
      <c r="C120" s="14" t="s">
        <v>4647</v>
      </c>
      <c r="D120" s="14" t="s">
        <v>4648</v>
      </c>
      <c r="E120" s="14" t="s">
        <v>233</v>
      </c>
      <c r="F120" s="14" t="s">
        <v>231</v>
      </c>
      <c r="G120" s="14" t="s">
        <v>103</v>
      </c>
      <c r="H120" s="14" t="s">
        <v>4649</v>
      </c>
      <c r="I120" s="14" t="s">
        <v>4650</v>
      </c>
    </row>
    <row r="121" spans="1:9">
      <c r="A121" s="14" t="s">
        <v>2996</v>
      </c>
      <c r="B121" s="14" t="s">
        <v>708</v>
      </c>
      <c r="C121" s="14" t="s">
        <v>4651</v>
      </c>
      <c r="D121" s="14" t="s">
        <v>930</v>
      </c>
      <c r="E121" s="14" t="s">
        <v>247</v>
      </c>
      <c r="F121" s="14" t="s">
        <v>250</v>
      </c>
      <c r="G121" s="14" t="s">
        <v>178</v>
      </c>
      <c r="H121" s="14" t="s">
        <v>4652</v>
      </c>
      <c r="I121" s="14" t="s">
        <v>4653</v>
      </c>
    </row>
    <row r="122" spans="1:9">
      <c r="A122" s="14" t="s">
        <v>3001</v>
      </c>
      <c r="B122" s="14" t="s">
        <v>755</v>
      </c>
      <c r="C122" s="14" t="s">
        <v>4654</v>
      </c>
      <c r="D122" s="14" t="s">
        <v>1183</v>
      </c>
      <c r="E122" s="14" t="s">
        <v>4490</v>
      </c>
      <c r="F122" s="14" t="s">
        <v>185</v>
      </c>
      <c r="G122" s="14" t="s">
        <v>75</v>
      </c>
      <c r="H122" s="14" t="s">
        <v>4655</v>
      </c>
      <c r="I122" s="14" t="s">
        <v>4656</v>
      </c>
    </row>
    <row r="123" spans="1:9">
      <c r="A123" s="14" t="s">
        <v>3006</v>
      </c>
      <c r="B123" s="14" t="s">
        <v>755</v>
      </c>
      <c r="C123" s="14" t="s">
        <v>4657</v>
      </c>
      <c r="D123" s="14" t="s">
        <v>1183</v>
      </c>
      <c r="E123" s="14" t="s">
        <v>190</v>
      </c>
      <c r="F123" s="14" t="s">
        <v>189</v>
      </c>
      <c r="G123" s="14" t="s">
        <v>75</v>
      </c>
      <c r="H123" s="14" t="s">
        <v>4658</v>
      </c>
      <c r="I123" s="14" t="s">
        <v>4659</v>
      </c>
    </row>
    <row r="124" spans="1:9">
      <c r="A124" s="14" t="s">
        <v>3011</v>
      </c>
      <c r="B124" s="14" t="s">
        <v>755</v>
      </c>
      <c r="C124" s="14" t="s">
        <v>4660</v>
      </c>
      <c r="D124" s="14" t="s">
        <v>1183</v>
      </c>
      <c r="E124" s="14" t="s">
        <v>197</v>
      </c>
      <c r="F124" s="14" t="s">
        <v>196</v>
      </c>
      <c r="G124" s="14" t="s">
        <v>167</v>
      </c>
      <c r="H124" s="14" t="s">
        <v>4661</v>
      </c>
      <c r="I124" s="14" t="s">
        <v>4662</v>
      </c>
    </row>
    <row r="125" spans="1:9">
      <c r="A125" s="14" t="s">
        <v>3015</v>
      </c>
      <c r="B125" s="14" t="s">
        <v>755</v>
      </c>
      <c r="C125" s="14" t="s">
        <v>4663</v>
      </c>
      <c r="D125" s="14" t="s">
        <v>1183</v>
      </c>
      <c r="E125" s="14" t="s">
        <v>219</v>
      </c>
      <c r="F125" s="14" t="s">
        <v>217</v>
      </c>
      <c r="G125" s="14" t="s">
        <v>158</v>
      </c>
      <c r="H125" s="14" t="s">
        <v>4664</v>
      </c>
      <c r="I125" s="14" t="s">
        <v>4665</v>
      </c>
    </row>
    <row r="126" spans="1:9">
      <c r="A126" s="14" t="s">
        <v>3020</v>
      </c>
      <c r="B126" s="14" t="s">
        <v>755</v>
      </c>
      <c r="C126" s="14" t="s">
        <v>4666</v>
      </c>
      <c r="D126" s="14" t="s">
        <v>1183</v>
      </c>
      <c r="E126" s="14" t="s">
        <v>212</v>
      </c>
      <c r="F126" s="14" t="s">
        <v>211</v>
      </c>
      <c r="G126" s="14" t="s">
        <v>210</v>
      </c>
      <c r="H126" s="14" t="s">
        <v>4667</v>
      </c>
      <c r="I126" s="14" t="s">
        <v>4668</v>
      </c>
    </row>
    <row r="127" spans="1:9">
      <c r="A127" s="14" t="s">
        <v>3024</v>
      </c>
      <c r="B127" s="14" t="s">
        <v>755</v>
      </c>
      <c r="C127" s="14" t="s">
        <v>4669</v>
      </c>
      <c r="D127" s="14" t="s">
        <v>3775</v>
      </c>
      <c r="E127" s="14" t="s">
        <v>293</v>
      </c>
      <c r="F127" s="14" t="s">
        <v>292</v>
      </c>
      <c r="G127" s="14" t="s">
        <v>178</v>
      </c>
      <c r="H127" s="14" t="s">
        <v>4670</v>
      </c>
      <c r="I127" s="14" t="s">
        <v>4671</v>
      </c>
    </row>
    <row r="128" spans="1:9">
      <c r="A128" s="14" t="s">
        <v>3029</v>
      </c>
      <c r="B128" s="14" t="s">
        <v>755</v>
      </c>
      <c r="C128" s="14" t="s">
        <v>4672</v>
      </c>
      <c r="D128" s="14" t="s">
        <v>3775</v>
      </c>
      <c r="E128" s="14" t="s">
        <v>4426</v>
      </c>
      <c r="F128" s="14" t="s">
        <v>278</v>
      </c>
      <c r="G128" s="14" t="s">
        <v>129</v>
      </c>
      <c r="H128" s="14" t="s">
        <v>4673</v>
      </c>
      <c r="I128" s="14" t="s">
        <v>4674</v>
      </c>
    </row>
    <row r="129" spans="1:9">
      <c r="A129" s="14" t="s">
        <v>3037</v>
      </c>
      <c r="B129" s="14" t="s">
        <v>755</v>
      </c>
      <c r="C129" s="14" t="s">
        <v>4675</v>
      </c>
      <c r="D129" s="14" t="s">
        <v>4676</v>
      </c>
      <c r="E129" s="14" t="s">
        <v>233</v>
      </c>
      <c r="F129" s="14" t="s">
        <v>231</v>
      </c>
      <c r="G129" s="14" t="s">
        <v>103</v>
      </c>
      <c r="H129" s="14" t="s">
        <v>4677</v>
      </c>
      <c r="I129" s="14" t="s">
        <v>4678</v>
      </c>
    </row>
    <row r="130" spans="1:9">
      <c r="A130" s="14" t="s">
        <v>1271</v>
      </c>
      <c r="B130" s="14" t="s">
        <v>755</v>
      </c>
      <c r="C130" s="14" t="s">
        <v>4679</v>
      </c>
      <c r="D130" s="14" t="s">
        <v>3503</v>
      </c>
      <c r="E130" s="14" t="s">
        <v>309</v>
      </c>
      <c r="F130" s="14" t="s">
        <v>306</v>
      </c>
      <c r="G130" s="14" t="s">
        <v>222</v>
      </c>
      <c r="H130" s="14" t="s">
        <v>4680</v>
      </c>
      <c r="I130" s="14" t="s">
        <v>4681</v>
      </c>
    </row>
    <row r="131" spans="1:9">
      <c r="A131" s="14" t="s">
        <v>3050</v>
      </c>
      <c r="B131" s="14" t="s">
        <v>755</v>
      </c>
      <c r="C131" s="14" t="s">
        <v>4682</v>
      </c>
      <c r="D131" s="14" t="s">
        <v>3307</v>
      </c>
      <c r="E131" s="14" t="s">
        <v>4437</v>
      </c>
      <c r="F131" s="14" t="s">
        <v>254</v>
      </c>
      <c r="G131" s="14" t="s">
        <v>178</v>
      </c>
      <c r="H131" s="14" t="s">
        <v>4683</v>
      </c>
      <c r="I131" s="14" t="s">
        <v>4684</v>
      </c>
    </row>
    <row r="132" spans="1:9">
      <c r="A132" s="14" t="s">
        <v>3059</v>
      </c>
      <c r="B132" s="14" t="s">
        <v>755</v>
      </c>
      <c r="C132" s="14" t="s">
        <v>4685</v>
      </c>
      <c r="D132" s="14" t="s">
        <v>3307</v>
      </c>
      <c r="E132" s="14" t="s">
        <v>4446</v>
      </c>
      <c r="F132" s="14" t="s">
        <v>246</v>
      </c>
      <c r="G132" s="14" t="s">
        <v>178</v>
      </c>
      <c r="H132" s="14" t="s">
        <v>4686</v>
      </c>
      <c r="I132" s="14" t="s">
        <v>4687</v>
      </c>
    </row>
    <row r="133" spans="1:9">
      <c r="A133" s="14" t="s">
        <v>3066</v>
      </c>
      <c r="B133" s="14" t="s">
        <v>755</v>
      </c>
      <c r="C133" s="14" t="s">
        <v>4688</v>
      </c>
      <c r="D133" s="14" t="s">
        <v>4689</v>
      </c>
      <c r="E133" s="14" t="s">
        <v>318</v>
      </c>
      <c r="F133" s="14" t="s">
        <v>319</v>
      </c>
      <c r="G133" s="14"/>
      <c r="H133" s="14" t="s">
        <v>4690</v>
      </c>
      <c r="I133" s="14" t="s">
        <v>4691</v>
      </c>
    </row>
    <row r="134" spans="1:9">
      <c r="A134" s="14" t="s">
        <v>3072</v>
      </c>
      <c r="B134" s="14" t="s">
        <v>755</v>
      </c>
      <c r="C134" s="14" t="s">
        <v>4692</v>
      </c>
      <c r="D134" s="14" t="s">
        <v>4689</v>
      </c>
      <c r="E134" s="14" t="s">
        <v>318</v>
      </c>
      <c r="F134" s="14" t="s">
        <v>319</v>
      </c>
      <c r="G134" s="14"/>
      <c r="H134" s="14" t="s">
        <v>4693</v>
      </c>
      <c r="I134" s="14" t="s">
        <v>4694</v>
      </c>
    </row>
    <row r="135" spans="1:9">
      <c r="A135" s="14" t="s">
        <v>3079</v>
      </c>
      <c r="B135" s="14" t="s">
        <v>755</v>
      </c>
      <c r="C135" s="14" t="s">
        <v>4695</v>
      </c>
      <c r="D135" s="14" t="s">
        <v>4689</v>
      </c>
      <c r="E135" s="14" t="s">
        <v>299</v>
      </c>
      <c r="F135" s="14" t="s">
        <v>301</v>
      </c>
      <c r="G135" s="14" t="s">
        <v>103</v>
      </c>
      <c r="H135" s="14" t="s">
        <v>4696</v>
      </c>
      <c r="I135" s="14" t="s">
        <v>4697</v>
      </c>
    </row>
    <row r="136" spans="1:9">
      <c r="A136" s="14" t="s">
        <v>3085</v>
      </c>
      <c r="B136" s="14" t="s">
        <v>755</v>
      </c>
      <c r="C136" s="14" t="s">
        <v>4698</v>
      </c>
      <c r="D136" s="14" t="s">
        <v>4580</v>
      </c>
      <c r="E136" s="14" t="s">
        <v>516</v>
      </c>
      <c r="F136" s="14" t="s">
        <v>517</v>
      </c>
      <c r="G136" s="14" t="s">
        <v>178</v>
      </c>
      <c r="H136" s="14" t="s">
        <v>4699</v>
      </c>
      <c r="I136" s="14" t="s">
        <v>4700</v>
      </c>
    </row>
    <row r="137" spans="1:9">
      <c r="A137" s="14" t="s">
        <v>3092</v>
      </c>
      <c r="B137" s="14" t="s">
        <v>755</v>
      </c>
      <c r="C137" s="14" t="s">
        <v>4701</v>
      </c>
      <c r="D137" s="14" t="s">
        <v>4702</v>
      </c>
      <c r="E137" s="14" t="s">
        <v>232</v>
      </c>
      <c r="F137" s="14" t="s">
        <v>236</v>
      </c>
      <c r="G137" s="14" t="s">
        <v>234</v>
      </c>
      <c r="H137" s="14" t="s">
        <v>4703</v>
      </c>
      <c r="I137" s="14" t="s">
        <v>4704</v>
      </c>
    </row>
    <row r="138" spans="1:9">
      <c r="A138" s="14" t="s">
        <v>3098</v>
      </c>
      <c r="B138" s="14" t="s">
        <v>755</v>
      </c>
      <c r="C138" s="14" t="s">
        <v>4705</v>
      </c>
      <c r="D138" s="14" t="s">
        <v>4702</v>
      </c>
      <c r="E138" s="14" t="s">
        <v>289</v>
      </c>
      <c r="F138" s="14" t="s">
        <v>288</v>
      </c>
      <c r="G138" s="14" t="s">
        <v>178</v>
      </c>
      <c r="H138" s="14" t="s">
        <v>4706</v>
      </c>
      <c r="I138" s="14" t="s">
        <v>4707</v>
      </c>
    </row>
    <row r="139" spans="1:9">
      <c r="A139" s="14" t="s">
        <v>3104</v>
      </c>
      <c r="B139" s="14" t="s">
        <v>755</v>
      </c>
      <c r="C139" s="14" t="s">
        <v>4708</v>
      </c>
      <c r="D139" s="14" t="s">
        <v>4702</v>
      </c>
      <c r="E139" s="14" t="s">
        <v>289</v>
      </c>
      <c r="F139" s="14" t="s">
        <v>288</v>
      </c>
      <c r="G139" s="14" t="s">
        <v>178</v>
      </c>
      <c r="H139" s="14" t="s">
        <v>4709</v>
      </c>
      <c r="I139" s="14" t="s">
        <v>4710</v>
      </c>
    </row>
    <row r="140" spans="1:9">
      <c r="A140" s="14" t="s">
        <v>3110</v>
      </c>
      <c r="B140" s="14" t="s">
        <v>755</v>
      </c>
      <c r="C140" s="14" t="s">
        <v>4711</v>
      </c>
      <c r="D140" s="14" t="s">
        <v>1095</v>
      </c>
      <c r="E140" s="14" t="s">
        <v>202</v>
      </c>
      <c r="F140" s="14" t="s">
        <v>199</v>
      </c>
      <c r="G140" s="14" t="s">
        <v>178</v>
      </c>
      <c r="H140" s="14" t="s">
        <v>4712</v>
      </c>
      <c r="I140" s="14" t="s">
        <v>4713</v>
      </c>
    </row>
    <row r="141" spans="1:9">
      <c r="A141" s="14" t="s">
        <v>3116</v>
      </c>
      <c r="B141" s="14" t="s">
        <v>755</v>
      </c>
      <c r="C141" s="14" t="s">
        <v>4714</v>
      </c>
      <c r="D141" s="14" t="s">
        <v>1095</v>
      </c>
      <c r="E141" s="14" t="s">
        <v>4453</v>
      </c>
      <c r="F141" s="14" t="s">
        <v>175</v>
      </c>
      <c r="G141" s="14" t="s">
        <v>75</v>
      </c>
      <c r="H141" s="14" t="s">
        <v>4715</v>
      </c>
      <c r="I141" s="14" t="s">
        <v>4716</v>
      </c>
    </row>
    <row r="142" spans="1:9">
      <c r="A142" s="14" t="s">
        <v>3124</v>
      </c>
      <c r="B142" s="14" t="s">
        <v>755</v>
      </c>
      <c r="C142" s="14" t="s">
        <v>4717</v>
      </c>
      <c r="D142" s="14" t="s">
        <v>1095</v>
      </c>
      <c r="E142" s="14" t="s">
        <v>4456</v>
      </c>
      <c r="F142" s="14" t="s">
        <v>239</v>
      </c>
      <c r="G142" s="14" t="s">
        <v>75</v>
      </c>
      <c r="H142" s="14" t="s">
        <v>4718</v>
      </c>
      <c r="I142" s="14" t="s">
        <v>4719</v>
      </c>
    </row>
    <row r="143" spans="1:9">
      <c r="A143" s="14" t="s">
        <v>3131</v>
      </c>
      <c r="B143" s="14" t="s">
        <v>755</v>
      </c>
      <c r="C143" s="14" t="s">
        <v>4720</v>
      </c>
      <c r="D143" s="14" t="s">
        <v>4721</v>
      </c>
      <c r="E143" s="14" t="s">
        <v>4487</v>
      </c>
      <c r="F143" s="14" t="s">
        <v>188</v>
      </c>
      <c r="G143" s="14" t="s">
        <v>75</v>
      </c>
      <c r="H143" s="14" t="s">
        <v>4722</v>
      </c>
      <c r="I143" s="14" t="s">
        <v>4723</v>
      </c>
    </row>
    <row r="144" spans="1:9">
      <c r="A144" s="14" t="s">
        <v>3136</v>
      </c>
      <c r="B144" s="14" t="s">
        <v>755</v>
      </c>
      <c r="C144" s="14" t="s">
        <v>4724</v>
      </c>
      <c r="D144" s="14" t="s">
        <v>4725</v>
      </c>
      <c r="E144" s="14" t="s">
        <v>267</v>
      </c>
      <c r="F144" s="14" t="s">
        <v>269</v>
      </c>
      <c r="G144" s="14" t="s">
        <v>261</v>
      </c>
      <c r="H144" s="14" t="s">
        <v>4726</v>
      </c>
      <c r="I144" s="14" t="s">
        <v>4727</v>
      </c>
    </row>
    <row r="145" spans="1:9">
      <c r="A145" s="14" t="s">
        <v>3143</v>
      </c>
      <c r="B145" s="14" t="s">
        <v>755</v>
      </c>
      <c r="C145" s="14" t="s">
        <v>4728</v>
      </c>
      <c r="D145" s="14" t="s">
        <v>4725</v>
      </c>
      <c r="E145" s="14" t="s">
        <v>296</v>
      </c>
      <c r="F145" s="14" t="s">
        <v>295</v>
      </c>
      <c r="G145" s="14" t="s">
        <v>103</v>
      </c>
      <c r="H145" s="14" t="s">
        <v>4729</v>
      </c>
      <c r="I145" s="14" t="s">
        <v>4730</v>
      </c>
    </row>
    <row r="146" spans="1:9">
      <c r="A146" s="14" t="s">
        <v>3149</v>
      </c>
      <c r="B146" s="14" t="s">
        <v>755</v>
      </c>
      <c r="C146" s="14" t="s">
        <v>4731</v>
      </c>
      <c r="D146" s="14" t="s">
        <v>1381</v>
      </c>
      <c r="E146" s="14" t="s">
        <v>4469</v>
      </c>
      <c r="F146" s="14" t="s">
        <v>174</v>
      </c>
      <c r="G146" s="14" t="s">
        <v>75</v>
      </c>
      <c r="H146" s="14" t="s">
        <v>4732</v>
      </c>
      <c r="I146" s="14" t="s">
        <v>4733</v>
      </c>
    </row>
    <row r="147" spans="1:9">
      <c r="A147" s="14" t="s">
        <v>3156</v>
      </c>
      <c r="B147" s="14" t="s">
        <v>755</v>
      </c>
      <c r="C147" s="14" t="s">
        <v>4734</v>
      </c>
      <c r="D147" s="14" t="s">
        <v>1381</v>
      </c>
      <c r="E147" s="14" t="s">
        <v>154</v>
      </c>
      <c r="F147" s="14" t="s">
        <v>153</v>
      </c>
      <c r="G147" s="14" t="s">
        <v>152</v>
      </c>
      <c r="H147" s="14" t="s">
        <v>4735</v>
      </c>
      <c r="I147" s="14" t="s">
        <v>4736</v>
      </c>
    </row>
    <row r="148" spans="1:9">
      <c r="A148" s="14" t="s">
        <v>3164</v>
      </c>
      <c r="B148" s="14" t="s">
        <v>755</v>
      </c>
      <c r="C148" s="14" t="s">
        <v>4737</v>
      </c>
      <c r="D148" s="14" t="s">
        <v>1381</v>
      </c>
      <c r="E148" s="14" t="s">
        <v>165</v>
      </c>
      <c r="F148" s="14" t="s">
        <v>160</v>
      </c>
      <c r="G148" s="14" t="s">
        <v>158</v>
      </c>
      <c r="H148" s="14" t="s">
        <v>4738</v>
      </c>
      <c r="I148" s="14" t="s">
        <v>4739</v>
      </c>
    </row>
    <row r="149" spans="1:9">
      <c r="A149" s="14" t="s">
        <v>3169</v>
      </c>
      <c r="B149" s="14" t="s">
        <v>755</v>
      </c>
      <c r="C149" s="14" t="s">
        <v>4740</v>
      </c>
      <c r="D149" s="14" t="s">
        <v>1381</v>
      </c>
      <c r="E149" s="14" t="s">
        <v>137</v>
      </c>
      <c r="F149" s="14" t="s">
        <v>127</v>
      </c>
      <c r="G149" s="14" t="s">
        <v>75</v>
      </c>
      <c r="H149" s="14" t="s">
        <v>4741</v>
      </c>
      <c r="I149" s="14" t="s">
        <v>4742</v>
      </c>
    </row>
    <row r="150" spans="1:9">
      <c r="A150" s="14" t="s">
        <v>1270</v>
      </c>
      <c r="B150" s="14" t="s">
        <v>755</v>
      </c>
      <c r="C150" s="14" t="s">
        <v>4743</v>
      </c>
      <c r="D150" s="14" t="s">
        <v>2523</v>
      </c>
      <c r="E150" s="14" t="s">
        <v>247</v>
      </c>
      <c r="F150" s="14" t="s">
        <v>250</v>
      </c>
      <c r="G150" s="14" t="s">
        <v>178</v>
      </c>
      <c r="H150" s="14" t="s">
        <v>4744</v>
      </c>
      <c r="I150" s="14" t="s">
        <v>4745</v>
      </c>
    </row>
    <row r="151" spans="1:9">
      <c r="A151" s="14" t="s">
        <v>3181</v>
      </c>
      <c r="B151" s="14" t="s">
        <v>755</v>
      </c>
      <c r="C151" s="14" t="s">
        <v>4746</v>
      </c>
      <c r="D151" s="14" t="s">
        <v>1155</v>
      </c>
      <c r="E151" s="14" t="s">
        <v>516</v>
      </c>
      <c r="F151" s="14" t="s">
        <v>517</v>
      </c>
      <c r="G151" s="14" t="s">
        <v>178</v>
      </c>
      <c r="H151" s="14" t="s">
        <v>4747</v>
      </c>
      <c r="I151" s="14" t="s">
        <v>4748</v>
      </c>
    </row>
    <row r="152" spans="1:9">
      <c r="A152" s="14" t="s">
        <v>3187</v>
      </c>
      <c r="B152" s="14" t="s">
        <v>673</v>
      </c>
      <c r="C152" s="14" t="s">
        <v>671</v>
      </c>
      <c r="D152" s="14" t="s">
        <v>1176</v>
      </c>
      <c r="E152" s="14" t="s">
        <v>263</v>
      </c>
      <c r="F152" s="14" t="s">
        <v>262</v>
      </c>
      <c r="G152" s="14" t="s">
        <v>129</v>
      </c>
      <c r="H152" s="14" t="s">
        <v>4749</v>
      </c>
      <c r="I152" s="14" t="s">
        <v>4750</v>
      </c>
    </row>
    <row r="153" spans="1:9">
      <c r="A153" s="14" t="s">
        <v>3192</v>
      </c>
      <c r="B153" s="14" t="s">
        <v>673</v>
      </c>
      <c r="C153" s="14" t="s">
        <v>671</v>
      </c>
      <c r="D153" s="14" t="s">
        <v>1176</v>
      </c>
      <c r="E153" s="14" t="s">
        <v>516</v>
      </c>
      <c r="F153" s="14" t="s">
        <v>517</v>
      </c>
      <c r="G153" s="14" t="s">
        <v>178</v>
      </c>
      <c r="H153" s="14" t="s">
        <v>4751</v>
      </c>
      <c r="I153" s="14" t="s">
        <v>4752</v>
      </c>
    </row>
    <row r="155" spans="1:9" ht="108">
      <c r="A155" s="4" t="s">
        <v>4753</v>
      </c>
    </row>
    <row r="156" spans="1:9" ht="24">
      <c r="A156" s="4" t="s">
        <v>667</v>
      </c>
      <c r="B156" s="4" t="s">
        <v>4754</v>
      </c>
      <c r="C156" s="4" t="s">
        <v>4107</v>
      </c>
      <c r="D156" s="4" t="s">
        <v>44</v>
      </c>
      <c r="E156" s="4" t="s">
        <v>7</v>
      </c>
      <c r="F156" s="4" t="s">
        <v>4406</v>
      </c>
    </row>
    <row r="157" spans="1:9">
      <c r="A157" s="14" t="s">
        <v>2160</v>
      </c>
      <c r="B157" s="14" t="s">
        <v>4755</v>
      </c>
      <c r="C157" s="14" t="s">
        <v>4756</v>
      </c>
      <c r="D157" s="14" t="s">
        <v>265</v>
      </c>
      <c r="E157" s="14" t="s">
        <v>234</v>
      </c>
      <c r="F157" s="14" t="s">
        <v>4757</v>
      </c>
    </row>
    <row r="158" spans="1:9">
      <c r="A158" s="14" t="s">
        <v>1666</v>
      </c>
      <c r="B158" s="14" t="s">
        <v>4755</v>
      </c>
      <c r="C158" s="14" t="s">
        <v>4756</v>
      </c>
      <c r="D158" s="14" t="s">
        <v>260</v>
      </c>
      <c r="E158" s="14" t="s">
        <v>261</v>
      </c>
      <c r="F158" s="14" t="s">
        <v>4758</v>
      </c>
    </row>
    <row r="159" spans="1:9">
      <c r="A159" s="14" t="s">
        <v>2172</v>
      </c>
      <c r="B159" s="14" t="s">
        <v>4755</v>
      </c>
      <c r="C159" s="14" t="s">
        <v>4756</v>
      </c>
      <c r="D159" s="14" t="s">
        <v>291</v>
      </c>
      <c r="E159" s="14" t="s">
        <v>103</v>
      </c>
      <c r="F159" s="14" t="s">
        <v>4759</v>
      </c>
    </row>
    <row r="160" spans="1:9">
      <c r="A160" s="14" t="s">
        <v>2178</v>
      </c>
      <c r="B160" s="14" t="s">
        <v>4760</v>
      </c>
      <c r="C160" s="14" t="s">
        <v>4761</v>
      </c>
      <c r="D160" s="14" t="s">
        <v>288</v>
      </c>
      <c r="E160" s="14" t="s">
        <v>178</v>
      </c>
      <c r="F160" s="14" t="s">
        <v>4762</v>
      </c>
    </row>
    <row r="161" spans="1:6">
      <c r="A161" s="14" t="s">
        <v>2184</v>
      </c>
      <c r="B161" s="14" t="s">
        <v>4760</v>
      </c>
      <c r="C161" s="14" t="s">
        <v>981</v>
      </c>
      <c r="D161" s="14" t="s">
        <v>312</v>
      </c>
      <c r="E161" s="14" t="s">
        <v>234</v>
      </c>
      <c r="F161" s="14" t="s">
        <v>4763</v>
      </c>
    </row>
    <row r="162" spans="1:6">
      <c r="A162" s="14" t="s">
        <v>2189</v>
      </c>
      <c r="B162" s="14" t="s">
        <v>4760</v>
      </c>
      <c r="C162" s="14" t="s">
        <v>981</v>
      </c>
      <c r="D162" s="14" t="s">
        <v>250</v>
      </c>
      <c r="E162" s="14" t="s">
        <v>178</v>
      </c>
      <c r="F162" s="14" t="s">
        <v>4764</v>
      </c>
    </row>
    <row r="163" spans="1:6">
      <c r="A163" s="14" t="s">
        <v>2194</v>
      </c>
      <c r="B163" s="14" t="s">
        <v>4760</v>
      </c>
      <c r="C163" s="14" t="s">
        <v>2524</v>
      </c>
      <c r="D163" s="14" t="s">
        <v>306</v>
      </c>
      <c r="E163" s="14" t="s">
        <v>222</v>
      </c>
      <c r="F163" s="14" t="s">
        <v>4765</v>
      </c>
    </row>
    <row r="164" spans="1:6">
      <c r="A164" s="14" t="s">
        <v>2200</v>
      </c>
      <c r="B164" s="14" t="s">
        <v>4760</v>
      </c>
      <c r="C164" s="14" t="s">
        <v>2524</v>
      </c>
      <c r="D164" s="14" t="s">
        <v>302</v>
      </c>
      <c r="E164" s="14" t="s">
        <v>103</v>
      </c>
      <c r="F164" s="14" t="s">
        <v>4766</v>
      </c>
    </row>
    <row r="165" spans="1:6">
      <c r="A165" s="14" t="s">
        <v>2538</v>
      </c>
      <c r="B165" s="14" t="s">
        <v>4760</v>
      </c>
      <c r="C165" s="14" t="s">
        <v>999</v>
      </c>
      <c r="D165" s="14" t="s">
        <v>250</v>
      </c>
      <c r="E165" s="14" t="s">
        <v>178</v>
      </c>
      <c r="F165" s="14" t="s">
        <v>4767</v>
      </c>
    </row>
    <row r="166" spans="1:6">
      <c r="A166" s="14" t="s">
        <v>585</v>
      </c>
      <c r="B166" s="14" t="s">
        <v>4760</v>
      </c>
      <c r="C166" s="14" t="s">
        <v>999</v>
      </c>
      <c r="D166" s="14" t="s">
        <v>269</v>
      </c>
      <c r="E166" s="14" t="s">
        <v>261</v>
      </c>
      <c r="F166" s="14" t="s">
        <v>4768</v>
      </c>
    </row>
    <row r="167" spans="1:6">
      <c r="A167" s="14" t="s">
        <v>2547</v>
      </c>
      <c r="B167" s="14" t="s">
        <v>4760</v>
      </c>
      <c r="C167" s="14" t="s">
        <v>999</v>
      </c>
      <c r="D167" s="14" t="s">
        <v>295</v>
      </c>
      <c r="E167" s="14" t="s">
        <v>103</v>
      </c>
      <c r="F167" s="14" t="s">
        <v>4769</v>
      </c>
    </row>
    <row r="168" spans="1:6">
      <c r="A168" s="14" t="s">
        <v>2264</v>
      </c>
      <c r="B168" s="14" t="s">
        <v>4760</v>
      </c>
      <c r="C168" s="14" t="s">
        <v>999</v>
      </c>
      <c r="D168" s="14" t="s">
        <v>292</v>
      </c>
      <c r="E168" s="14" t="s">
        <v>178</v>
      </c>
      <c r="F168" s="14" t="s">
        <v>4770</v>
      </c>
    </row>
    <row r="169" spans="1:6">
      <c r="A169" s="14" t="s">
        <v>2519</v>
      </c>
      <c r="B169" s="14" t="s">
        <v>4760</v>
      </c>
      <c r="C169" s="14" t="s">
        <v>4771</v>
      </c>
      <c r="D169" s="14" t="s">
        <v>71</v>
      </c>
      <c r="E169" s="14" t="s">
        <v>73</v>
      </c>
      <c r="F169" s="14" t="s">
        <v>4772</v>
      </c>
    </row>
    <row r="170" spans="1:6">
      <c r="A170" s="14" t="s">
        <v>2559</v>
      </c>
      <c r="B170" s="14" t="s">
        <v>4760</v>
      </c>
      <c r="C170" s="14" t="s">
        <v>4771</v>
      </c>
      <c r="D170" s="14" t="s">
        <v>125</v>
      </c>
      <c r="E170" s="14" t="s">
        <v>129</v>
      </c>
      <c r="F170" s="14" t="s">
        <v>4773</v>
      </c>
    </row>
    <row r="171" spans="1:6">
      <c r="A171" s="14" t="s">
        <v>2565</v>
      </c>
      <c r="B171" s="14" t="s">
        <v>4760</v>
      </c>
      <c r="C171" s="14" t="s">
        <v>4771</v>
      </c>
      <c r="D171" s="14" t="s">
        <v>173</v>
      </c>
      <c r="E171" s="14" t="s">
        <v>75</v>
      </c>
      <c r="F171" s="14" t="s">
        <v>4774</v>
      </c>
    </row>
    <row r="172" spans="1:6">
      <c r="A172" s="14" t="s">
        <v>2534</v>
      </c>
      <c r="B172" s="14" t="s">
        <v>4760</v>
      </c>
      <c r="C172" s="14" t="s">
        <v>4775</v>
      </c>
      <c r="D172" s="14" t="s">
        <v>278</v>
      </c>
      <c r="E172" s="14" t="s">
        <v>129</v>
      </c>
      <c r="F172" s="14" t="s">
        <v>4776</v>
      </c>
    </row>
    <row r="173" spans="1:6">
      <c r="A173" s="14" t="s">
        <v>2562</v>
      </c>
      <c r="B173" s="14" t="s">
        <v>4760</v>
      </c>
      <c r="C173" s="14" t="s">
        <v>4775</v>
      </c>
      <c r="D173" s="14" t="s">
        <v>175</v>
      </c>
      <c r="E173" s="14" t="s">
        <v>75</v>
      </c>
      <c r="F173" s="14" t="s">
        <v>4777</v>
      </c>
    </row>
    <row r="174" spans="1:6">
      <c r="A174" s="14" t="s">
        <v>2575</v>
      </c>
      <c r="B174" s="14" t="s">
        <v>4760</v>
      </c>
      <c r="C174" s="14" t="s">
        <v>4775</v>
      </c>
      <c r="D174" s="14" t="s">
        <v>270</v>
      </c>
      <c r="E174" s="14" t="s">
        <v>261</v>
      </c>
      <c r="F174" s="14" t="s">
        <v>4778</v>
      </c>
    </row>
    <row r="175" spans="1:6">
      <c r="A175" s="14" t="s">
        <v>2505</v>
      </c>
      <c r="B175" s="14" t="s">
        <v>4760</v>
      </c>
      <c r="C175" s="14" t="s">
        <v>1022</v>
      </c>
      <c r="D175" s="14" t="s">
        <v>236</v>
      </c>
      <c r="E175" s="14" t="s">
        <v>234</v>
      </c>
      <c r="F175" s="14" t="s">
        <v>4779</v>
      </c>
    </row>
    <row r="176" spans="1:6">
      <c r="A176" s="14" t="s">
        <v>1696</v>
      </c>
      <c r="B176" s="14" t="s">
        <v>4780</v>
      </c>
      <c r="C176" s="14" t="s">
        <v>1208</v>
      </c>
      <c r="D176" s="14" t="s">
        <v>262</v>
      </c>
      <c r="E176" s="14" t="s">
        <v>129</v>
      </c>
      <c r="F176" s="14" t="s">
        <v>4781</v>
      </c>
    </row>
    <row r="177" spans="1:6">
      <c r="A177" s="14" t="s">
        <v>2589</v>
      </c>
      <c r="B177" s="14" t="s">
        <v>4780</v>
      </c>
      <c r="C177" s="14" t="s">
        <v>1208</v>
      </c>
      <c r="D177" s="14" t="s">
        <v>517</v>
      </c>
      <c r="E177" s="14" t="s">
        <v>178</v>
      </c>
      <c r="F177" s="14" t="s">
        <v>4782</v>
      </c>
    </row>
    <row r="178" spans="1:6">
      <c r="A178" s="14" t="s">
        <v>2593</v>
      </c>
      <c r="B178" s="14" t="s">
        <v>4780</v>
      </c>
      <c r="C178" s="14" t="s">
        <v>1278</v>
      </c>
      <c r="D178" s="14" t="s">
        <v>169</v>
      </c>
      <c r="E178" s="14" t="s">
        <v>167</v>
      </c>
      <c r="F178" s="14" t="s">
        <v>4783</v>
      </c>
    </row>
    <row r="179" spans="1:6">
      <c r="A179" s="14" t="s">
        <v>2598</v>
      </c>
      <c r="B179" s="14" t="s">
        <v>4780</v>
      </c>
      <c r="C179" s="14" t="s">
        <v>1278</v>
      </c>
      <c r="D179" s="14" t="s">
        <v>78</v>
      </c>
      <c r="E179" s="14" t="s">
        <v>75</v>
      </c>
      <c r="F179" s="14" t="s">
        <v>4784</v>
      </c>
    </row>
    <row r="180" spans="1:6">
      <c r="A180" s="14" t="s">
        <v>2602</v>
      </c>
      <c r="B180" s="14" t="s">
        <v>4780</v>
      </c>
      <c r="C180" s="14" t="s">
        <v>1278</v>
      </c>
      <c r="D180" s="14" t="s">
        <v>174</v>
      </c>
      <c r="E180" s="14" t="s">
        <v>75</v>
      </c>
      <c r="F180" s="14" t="s">
        <v>4785</v>
      </c>
    </row>
    <row r="181" spans="1:6">
      <c r="A181" s="14" t="s">
        <v>2509</v>
      </c>
      <c r="B181" s="14" t="s">
        <v>4780</v>
      </c>
      <c r="C181" s="14" t="s">
        <v>1278</v>
      </c>
      <c r="D181" s="14" t="s">
        <v>109</v>
      </c>
      <c r="E181" s="14" t="s">
        <v>103</v>
      </c>
      <c r="F181" s="14" t="s">
        <v>4786</v>
      </c>
    </row>
    <row r="182" spans="1:6">
      <c r="A182" s="14" t="s">
        <v>2611</v>
      </c>
      <c r="B182" s="14" t="s">
        <v>4780</v>
      </c>
      <c r="C182" s="14" t="s">
        <v>1278</v>
      </c>
      <c r="D182" s="14" t="s">
        <v>153</v>
      </c>
      <c r="E182" s="14" t="s">
        <v>152</v>
      </c>
      <c r="F182" s="14" t="s">
        <v>4787</v>
      </c>
    </row>
    <row r="183" spans="1:6">
      <c r="A183" s="14" t="s">
        <v>2616</v>
      </c>
      <c r="B183" s="14" t="s">
        <v>4780</v>
      </c>
      <c r="C183" s="14" t="s">
        <v>1278</v>
      </c>
      <c r="D183" s="14" t="s">
        <v>160</v>
      </c>
      <c r="E183" s="14" t="s">
        <v>158</v>
      </c>
      <c r="F183" s="14" t="s">
        <v>4788</v>
      </c>
    </row>
    <row r="184" spans="1:6">
      <c r="A184" s="14" t="s">
        <v>2621</v>
      </c>
      <c r="B184" s="14" t="s">
        <v>4780</v>
      </c>
      <c r="C184" s="14" t="s">
        <v>1278</v>
      </c>
      <c r="D184" s="14" t="s">
        <v>127</v>
      </c>
      <c r="E184" s="14" t="s">
        <v>75</v>
      </c>
      <c r="F184" s="14" t="s">
        <v>4789</v>
      </c>
    </row>
    <row r="185" spans="1:6">
      <c r="A185" s="14" t="s">
        <v>2626</v>
      </c>
      <c r="B185" s="14" t="s">
        <v>4780</v>
      </c>
      <c r="C185" s="14" t="s">
        <v>1278</v>
      </c>
      <c r="D185" s="14" t="s">
        <v>149</v>
      </c>
      <c r="E185" s="14" t="s">
        <v>147</v>
      </c>
      <c r="F185" s="14" t="s">
        <v>4790</v>
      </c>
    </row>
    <row r="186" spans="1:6">
      <c r="A186" s="14" t="s">
        <v>1995</v>
      </c>
      <c r="B186" s="14" t="s">
        <v>4780</v>
      </c>
      <c r="C186" s="14" t="s">
        <v>1278</v>
      </c>
      <c r="D186" s="14" t="s">
        <v>179</v>
      </c>
      <c r="E186" s="14" t="s">
        <v>178</v>
      </c>
      <c r="F186" s="14" t="s">
        <v>4791</v>
      </c>
    </row>
    <row r="187" spans="1:6">
      <c r="A187" s="14" t="s">
        <v>2512</v>
      </c>
      <c r="B187" s="14" t="s">
        <v>4780</v>
      </c>
      <c r="C187" s="14" t="s">
        <v>1195</v>
      </c>
      <c r="D187" s="14" t="s">
        <v>235</v>
      </c>
      <c r="E187" s="14" t="s">
        <v>103</v>
      </c>
      <c r="F187" s="14" t="s">
        <v>4792</v>
      </c>
    </row>
    <row r="188" spans="1:6">
      <c r="A188" s="14" t="s">
        <v>2647</v>
      </c>
      <c r="B188" s="14" t="s">
        <v>4780</v>
      </c>
      <c r="C188" s="14" t="s">
        <v>1195</v>
      </c>
      <c r="D188" s="14" t="s">
        <v>223</v>
      </c>
      <c r="E188" s="14" t="s">
        <v>222</v>
      </c>
      <c r="F188" s="14" t="s">
        <v>4793</v>
      </c>
    </row>
    <row r="189" spans="1:6">
      <c r="A189" s="14" t="s">
        <v>2655</v>
      </c>
      <c r="B189" s="14" t="s">
        <v>4780</v>
      </c>
      <c r="C189" s="14" t="s">
        <v>1195</v>
      </c>
      <c r="D189" s="14" t="s">
        <v>231</v>
      </c>
      <c r="E189" s="14" t="s">
        <v>103</v>
      </c>
      <c r="F189" s="14" t="s">
        <v>4794</v>
      </c>
    </row>
    <row r="190" spans="1:6">
      <c r="A190" s="14" t="s">
        <v>2666</v>
      </c>
      <c r="B190" s="14" t="s">
        <v>4780</v>
      </c>
      <c r="C190" s="14" t="s">
        <v>1195</v>
      </c>
      <c r="D190" s="14" t="s">
        <v>239</v>
      </c>
      <c r="E190" s="14" t="s">
        <v>75</v>
      </c>
      <c r="F190" s="14" t="s">
        <v>4795</v>
      </c>
    </row>
    <row r="191" spans="1:6">
      <c r="A191" s="14" t="s">
        <v>2675</v>
      </c>
      <c r="B191" s="14" t="s">
        <v>4780</v>
      </c>
      <c r="C191" s="14" t="s">
        <v>1195</v>
      </c>
      <c r="D191" s="14" t="s">
        <v>188</v>
      </c>
      <c r="E191" s="14" t="s">
        <v>75</v>
      </c>
      <c r="F191" s="14" t="s">
        <v>4796</v>
      </c>
    </row>
    <row r="192" spans="1:6">
      <c r="A192" s="14" t="s">
        <v>2683</v>
      </c>
      <c r="B192" s="14" t="s">
        <v>4780</v>
      </c>
      <c r="C192" s="14" t="s">
        <v>1195</v>
      </c>
      <c r="D192" s="14" t="s">
        <v>217</v>
      </c>
      <c r="E192" s="14" t="s">
        <v>158</v>
      </c>
      <c r="F192" s="14" t="s">
        <v>4797</v>
      </c>
    </row>
    <row r="193" spans="1:6">
      <c r="A193" s="14" t="s">
        <v>2690</v>
      </c>
      <c r="B193" s="14" t="s">
        <v>4780</v>
      </c>
      <c r="C193" s="14" t="s">
        <v>1195</v>
      </c>
      <c r="D193" s="14" t="s">
        <v>211</v>
      </c>
      <c r="E193" s="14" t="s">
        <v>210</v>
      </c>
      <c r="F193" s="14" t="s">
        <v>4798</v>
      </c>
    </row>
    <row r="194" spans="1:6">
      <c r="A194" s="14" t="s">
        <v>2696</v>
      </c>
      <c r="B194" s="14" t="s">
        <v>4780</v>
      </c>
      <c r="C194" s="14" t="s">
        <v>1195</v>
      </c>
      <c r="D194" s="14" t="s">
        <v>254</v>
      </c>
      <c r="E194" s="14" t="s">
        <v>178</v>
      </c>
      <c r="F194" s="14" t="s">
        <v>4799</v>
      </c>
    </row>
    <row r="195" spans="1:6">
      <c r="A195" s="14" t="s">
        <v>2702</v>
      </c>
      <c r="B195" s="14" t="s">
        <v>4780</v>
      </c>
      <c r="C195" s="14" t="s">
        <v>1195</v>
      </c>
      <c r="D195" s="14" t="s">
        <v>252</v>
      </c>
      <c r="E195" s="14" t="s">
        <v>178</v>
      </c>
      <c r="F195" s="14" t="s">
        <v>4800</v>
      </c>
    </row>
    <row r="196" spans="1:6">
      <c r="A196" s="14" t="s">
        <v>2708</v>
      </c>
      <c r="B196" s="14" t="s">
        <v>4780</v>
      </c>
      <c r="C196" s="14" t="s">
        <v>1195</v>
      </c>
      <c r="D196" s="14" t="s">
        <v>243</v>
      </c>
      <c r="E196" s="14" t="s">
        <v>178</v>
      </c>
      <c r="F196" s="14" t="s">
        <v>4801</v>
      </c>
    </row>
    <row r="197" spans="1:6">
      <c r="A197" s="14" t="s">
        <v>2498</v>
      </c>
      <c r="B197" s="14" t="s">
        <v>4780</v>
      </c>
      <c r="C197" s="14" t="s">
        <v>1195</v>
      </c>
      <c r="D197" s="14" t="s">
        <v>246</v>
      </c>
      <c r="E197" s="14" t="s">
        <v>178</v>
      </c>
      <c r="F197" s="14" t="s">
        <v>4802</v>
      </c>
    </row>
  </sheetData>
  <pageMargins left="0.3" right="0.3" top="0.4" bottom="0.4" header="0" footer="0"/>
</worksheet>
</file>

<file path=xl/worksheets/sheet22.xml><?xml version="1.0" encoding="utf-8"?>
<worksheet xmlns="http://schemas.openxmlformats.org/spreadsheetml/2006/main" xmlns:r="http://schemas.openxmlformats.org/officeDocument/2006/relationships">
  <sheetPr>
    <pageSetUpPr fitToPage="1"/>
  </sheetPr>
  <sheetViews>
    <sheetView workbookViewId="0">
      <pane ySplit="1.0" topLeftCell="A2" activePane="bottomLeft" state="frozen"/>
    </sheetView>
  </sheetViews>
  <sheetFormatPr defaultColWidth="14.43" defaultRowHeight="15.0"/>
  <cols>
    <col customWidth="1" min="1" max="1" width="54"/>
    <col customWidth="1" min="2" max="2" width="140"/>
  </cols>
  <sheetData>
    <row r="1">
      <c r="A1" s="4" t="inlineStr">
        <is>
          <t xml:space="preserve">Truth check — CoQ_Analysis_Master v16 reconciled against eCoA_DATABASE, 09.09.2026</t>
        </is>
      </c>
    </row>
    <row r="2">
      <c r="A2" s="15" t="inlineStr">
        <is>
          <t xml:space="preserve">Base</t>
        </is>
      </c>
      <c r="B2" s="15" t="inlineStr">
        <is>
          <t xml:space="preserve">The workbook as you edited it: Batch Coverage, ImB Register and Mikro CoQ Parameter deleted; eight sheets hidden. Nothing was restored — this review runs on what you kept.</t>
        </is>
      </c>
    </row>
    <row r="3">
      <c r="A3" s="15" t="inlineStr">
        <is>
          <t xml:space="preserve">Reference</t>
        </is>
      </c>
      <c r="B3" s="15" t="inlineStr">
        <is>
          <t xml:space="preserve">The 387 certificates in Drive · DATA_B/QC_eCoA/eCoA_DATABASE.</t>
        </is>
      </c>
    </row>
    <row r="4"/>
    <row r="5">
      <c r="A5" s="4" t="inlineStr">
        <is>
          <t xml:space="preserve">STRUCTURAL INTEGRITY</t>
        </is>
      </c>
    </row>
    <row r="6">
      <c r="A6" s="15" t="inlineStr">
        <is>
          <t xml:space="preserve">Formulas still pointing at a deleted sheet</t>
        </is>
      </c>
      <c r="B6" s="15" t="inlineStr">
        <is>
          <t xml:space="preserve">0</t>
        </is>
      </c>
    </row>
    <row r="7">
      <c r="A7" s="15" t="inlineStr">
        <is>
          <t xml:space="preserve">Cells carrying #REF! or any other error value</t>
        </is>
      </c>
      <c r="B7" s="15" t="inlineStr">
        <is>
          <t xml:space="preserve">0</t>
        </is>
      </c>
    </row>
    <row r="8">
      <c r="A8" s="15" t="inlineStr">
        <is>
          <t xml:space="preserve">Verdict</t>
        </is>
      </c>
      <c r="B8" s="15" t="inlineStr">
        <is>
          <t xml:space="preserve">The three deleted sheets were not referenced by any formula. Deleting them broke nothing.</t>
        </is>
      </c>
    </row>
    <row r="9"/>
    <row r="10">
      <c r="A10" s="4" t="inlineStr">
        <is>
          <t xml:space="preserve">CITATIONS</t>
        </is>
      </c>
    </row>
    <row r="11">
      <c r="A11" s="15" t="inlineStr">
        <is>
          <t xml:space="preserve">eCoA code occurrences on the surviving sheets</t>
        </is>
      </c>
      <c r="B11" s="15" t="inlineStr">
        <is>
          <t xml:space="preserve">708</t>
        </is>
      </c>
    </row>
    <row r="12">
      <c r="A12" s="15" t="inlineStr">
        <is>
          <t xml:space="preserve">Codes cited that do not exist in eCoA_DATABASE</t>
        </is>
      </c>
      <c r="B12" s="15" t="inlineStr">
        <is>
          <t xml:space="preserve">0</t>
        </is>
      </c>
    </row>
    <row r="13">
      <c r="A13" s="15" t="inlineStr">
        <is>
          <t xml:space="preserve">Codes cited whose date or laboratory disagrees with the file</t>
        </is>
      </c>
      <c r="B13" s="15" t="inlineStr">
        <is>
          <t xml:space="preserve">0</t>
        </is>
      </c>
    </row>
    <row r="14">
      <c r="A14" s="15" t="inlineStr">
        <is>
          <t xml:space="preserve">Note</t>
        </is>
      </c>
      <c r="B14" s="15" t="inlineStr">
        <is>
          <t xml:space="preserve">Twenty-three apparent date mismatches were traced to cell A160 of CoQ Register — one long footnote paragraph carrying the register date 05.09.2026, which a date pattern picks up as though it applied to every code in the paragraph. Not a defect.</t>
        </is>
      </c>
    </row>
    <row r="15"/>
    <row r="16">
      <c r="A16" s="4" t="inlineStr">
        <is>
          <t xml:space="preserve">COVERAGE MARKS</t>
        </is>
      </c>
    </row>
    <row r="17">
      <c r="A17" s="15" t="inlineStr">
        <is>
          <t xml:space="preserve">✓ marks on Batch Coverage v16</t>
        </is>
      </c>
      <c r="B17" s="15" t="inlineStr">
        <is>
          <t xml:space="preserve">893</t>
        </is>
      </c>
    </row>
    <row r="18">
      <c r="A18" s="15" t="inlineStr">
        <is>
          <t xml:space="preserve">Independently supported by a certificate in eCoA_DATABASE or a verified tracker citation</t>
        </is>
      </c>
      <c r="B18" s="15" t="inlineStr">
        <is>
          <t xml:space="preserve">886</t>
        </is>
      </c>
    </row>
    <row r="19">
      <c r="A19" s="15" t="inlineStr">
        <is>
          <t xml:space="preserve">Unsupported</t>
        </is>
      </c>
      <c r="B19" s="15" t="inlineStr">
        <is>
          <t xml:space="preserve">7</t>
        </is>
      </c>
    </row>
    <row r="20">
      <c r="A20" s="15" t="inlineStr">
        <is>
          <t xml:space="preserve">OMP1024_01 / P050042 — five marks (#8, #9, #10, #11, #12)</t>
        </is>
      </c>
      <c r="B20" s="15" t="inlineStr">
        <is>
          <t xml:space="preserve">The certificates exist and are on file: CNP ППК25117, IJZ-MB 407/0745/25 and IJZ 2156/2025. They print the cultivation code as OPM1024_01 / OPM1024-01; the workbook row is keyed OMP1024_01. The letter transposition is already an open item on the Work Order sheet. Not missing evidence — a key that will not join.</t>
        </is>
      </c>
    </row>
    <row r="21">
      <c r="A21" s="15" t="inlineStr">
        <is>
          <t xml:space="preserve">JD012603 — two marks (#2, #7)</t>
        </is>
      </c>
      <c r="B21" s="15" t="inlineStr">
        <is>
          <t xml:space="preserve">Identification B and foreign matter come from the in-house iCoA, and the row is a roll-up over three P lots (P060362, P060412, P060422), so the citation cannot resolve to any one of them.</t>
        </is>
      </c>
    </row>
    <row r="22"/>
    <row r="23">
      <c r="A23" s="4" t="inlineStr">
        <is>
          <t xml:space="preserve">WHAT THE REVIEW DOES NOT COVER</t>
        </is>
      </c>
    </row>
    <row r="24">
      <c r="A24" s="15" t="inlineStr">
        <is>
          <t xml:space="preserve">Result values on the CoQ Parameter Tracker v13 sheet</t>
        </is>
      </c>
      <c r="B24" s="15" t="inlineStr">
        <is>
          <t xml:space="preserve">Verified separately on 09.09.2026: 921 citations matched on code, laboratory, date and batch; 550 result cells compared against a page transcription, 528 agreed on the first pass and all 22 disagreements resolved in the tracker’s favour. No error was found in the tracker. The sheet is nevertheless STALE — it has not absorbed the 155 certificates added on 09.09.2026 and still shows lots as missing parameters they now have. Batch Coverage v16 is current; the tracker sheet is not.</t>
        </is>
      </c>
    </row>
    <row r="25">
      <c r="A25" s="15" t="inlineStr">
        <is>
          <t xml:space="preserve">The three sheets you deleted</t>
        </is>
      </c>
      <c r="B25" s="15" t="inlineStr">
        <is>
          <t xml:space="preserve">Batch Coverage (the v13 original) is superseded by Batch Coverage v16. ImB Register and Mikro CoQ Parameter carried no formula dependency and no certificate citation; nothing in the remaining workbook depends on them.</t>
        </is>
      </c>
    </row>
  </sheetData>
  <pageMargins bottom="0.4" footer="0.0" header="0.0" left="0.3" right="0.3" top="0.4"/>
</worksheet>
</file>

<file path=xl/worksheets/sheet23.xml><?xml version="1.0" encoding="utf-8"?>
<worksheet xmlns="http://schemas.openxmlformats.org/spreadsheetml/2006/main" xmlns:r="http://schemas.openxmlformats.org/officeDocument/2006/relationships">
  <sheetPr>
    <pageSetUpPr fitToPage="1"/>
  </sheetPr>
  <sheetViews>
    <sheetView workbookViewId="0">
      <pane ySplit="6.0" topLeftCell="A7" activePane="bottomLeft" state="frozen"/>
    </sheetView>
  </sheetViews>
  <sheetFormatPr defaultColWidth="14.43" defaultRowHeight="15.0"/>
  <cols>
    <col customWidth="1" min="1" max="1" width="5"/>
    <col customWidth="1" min="2" max="2" width="12"/>
    <col customWidth="1" min="3" max="3" width="22"/>
    <col customWidth="1" min="4" max="4" width="26"/>
    <col customWidth="1" min="5" max="5" width="12"/>
    <col customWidth="1" min="6" max="6" width="30"/>
    <col customWidth="1" min="7" max="7" width="52"/>
  </cols>
  <sheetData>
    <row r="1">
      <c r="A1" s="4" t="inlineStr">
        <is>
          <t xml:space="preserve">Farmahem retest pairing — cannabinoids against mycotoxins, 09.09.2026</t>
        </is>
      </c>
    </row>
    <row r="2">
      <c r="A2" s="15" t="inlineStr">
        <is>
          <t xml:space="preserve">The question</t>
        </is>
      </c>
      <c r="B2" s="15" t="inlineStr">
        <is>
          <t xml:space="preserve">Do the batches retested for cannabinoids at Farmahem also have the same number of mycotoxin retests at Farmahem?</t>
        </is>
      </c>
    </row>
    <row r="3">
      <c r="A3" s="15" t="inlineStr">
        <is>
          <t xml:space="preserve">The answer</t>
        </is>
      </c>
      <c r="B3" s="15" t="inlineStr">
        <is>
          <t xml:space="preserve">No. The 220/26 retest campaign is cannabinoids only. It has 32 K certificates and ZERO M certificates. Not one of the 32 lots has a mycotoxin certificate from that campaign.</t>
        </is>
      </c>
    </row>
    <row r="4"/>
    <row r="5">
      <c r="A5" s="4" t="inlineStr">
        <is>
          <t xml:space="preserve">Every Farmahem series in eCoA_DATABASE</t>
        </is>
      </c>
    </row>
    <row r="6">
      <c r="A6" s="4" t="inlineStr">
        <is>
          <t xml:space="preserve">Series</t>
        </is>
      </c>
      <c r="B6" s="4" t="inlineStr">
        <is>
          <t xml:space="preserve">Certificates</t>
        </is>
      </c>
      <c r="C6" s="4" t="inlineStr">
        <is>
          <t xml:space="preserve">Cannabinoids (K)</t>
        </is>
      </c>
      <c r="D6" s="4" t="inlineStr">
        <is>
          <t xml:space="preserve">Mycotoxins (M)</t>
        </is>
      </c>
      <c r="E6" s="4" t="inlineStr">
        <is>
          <t xml:space="preserve">Loss on drying</t>
        </is>
      </c>
      <c r="F6" s="4" t="inlineStr">
        <is>
          <t xml:space="preserve">Dates</t>
        </is>
      </c>
      <c r="G6" s="4" t="inlineStr">
        <is>
          <t xml:space="preserve">Paired?</t>
        </is>
      </c>
    </row>
    <row r="7">
      <c r="A7" s="15" t="inlineStr">
        <is>
          <t xml:space="preserve">031/26</t>
        </is>
      </c>
      <c r="B7" s="15" t="inlineStr">
        <is>
          <t xml:space="preserve">10</t>
        </is>
      </c>
      <c r="C7" s="15" t="inlineStr">
        <is>
          <t xml:space="preserve">5</t>
        </is>
      </c>
      <c r="D7" s="15" t="inlineStr">
        <is>
          <t xml:space="preserve">0</t>
        </is>
      </c>
      <c r="E7" s="15" t="inlineStr">
        <is>
          <t xml:space="preserve">5</t>
        </is>
      </c>
      <c r="F7" s="15" t="inlineStr">
        <is>
          <t xml:space="preserve">10–12.02.2026</t>
        </is>
      </c>
      <c r="G7" s="15" t="inlineStr">
        <is>
          <t xml:space="preserve">K + LoD, no mycotoxins</t>
        </is>
      </c>
    </row>
    <row r="8">
      <c r="A8" s="15" t="inlineStr">
        <is>
          <t xml:space="preserve">051/26</t>
        </is>
      </c>
      <c r="B8" s="15" t="inlineStr">
        <is>
          <t xml:space="preserve">12</t>
        </is>
      </c>
      <c r="C8" s="15" t="inlineStr">
        <is>
          <t xml:space="preserve">6</t>
        </is>
      </c>
      <c r="D8" s="15" t="inlineStr">
        <is>
          <t xml:space="preserve">0</t>
        </is>
      </c>
      <c r="E8" s="15" t="inlineStr">
        <is>
          <t xml:space="preserve">6</t>
        </is>
      </c>
      <c r="F8" s="15" t="inlineStr">
        <is>
          <t xml:space="preserve">02 and 04.03.2026</t>
        </is>
      </c>
      <c r="G8" s="15" t="inlineStr">
        <is>
          <t xml:space="preserve">K + LoD, no mycotoxins</t>
        </is>
      </c>
    </row>
    <row r="9">
      <c r="A9" s="15" t="inlineStr">
        <is>
          <t xml:space="preserve">100/26</t>
        </is>
      </c>
      <c r="B9" s="15" t="inlineStr">
        <is>
          <t xml:space="preserve">8</t>
        </is>
      </c>
      <c r="C9" s="15" t="inlineStr">
        <is>
          <t xml:space="preserve">4</t>
        </is>
      </c>
      <c r="D9" s="15" t="inlineStr">
        <is>
          <t xml:space="preserve">0</t>
        </is>
      </c>
      <c r="E9" s="15" t="inlineStr">
        <is>
          <t xml:space="preserve">4</t>
        </is>
      </c>
      <c r="F9" s="15" t="inlineStr">
        <is>
          <t xml:space="preserve">09.04.2026</t>
        </is>
      </c>
      <c r="G9" s="15" t="inlineStr">
        <is>
          <t xml:space="preserve">K + LoD, no mycotoxins</t>
        </is>
      </c>
    </row>
    <row r="10">
      <c r="A10" s="15" t="inlineStr">
        <is>
          <t xml:space="preserve">197/26</t>
        </is>
      </c>
      <c r="B10" s="15" t="inlineStr">
        <is>
          <t xml:space="preserve">42</t>
        </is>
      </c>
      <c r="C10" s="15" t="inlineStr">
        <is>
          <t xml:space="preserve">21</t>
        </is>
      </c>
      <c r="D10" s="15" t="inlineStr">
        <is>
          <t xml:space="preserve">21</t>
        </is>
      </c>
      <c r="E10" s="15" t="inlineStr">
        <is>
          <t xml:space="preserve">0</t>
        </is>
      </c>
      <c r="F10" s="15" t="inlineStr">
        <is>
          <t xml:space="preserve">07 and 10.08.2026</t>
        </is>
      </c>
      <c r="G10" s="15" t="inlineStr">
        <is>
          <t xml:space="preserve">FULLY PAIRED — 21 K and 21 M, same 21 lots</t>
        </is>
      </c>
    </row>
    <row r="11">
      <c r="A11" s="15" t="inlineStr">
        <is>
          <t xml:space="preserve">220/26</t>
        </is>
      </c>
      <c r="B11" s="15" t="inlineStr">
        <is>
          <t xml:space="preserve">32</t>
        </is>
      </c>
      <c r="C11" s="15" t="inlineStr">
        <is>
          <t xml:space="preserve">32</t>
        </is>
      </c>
      <c r="D11" s="15" t="inlineStr">
        <is>
          <t xml:space="preserve">0</t>
        </is>
      </c>
      <c r="E11" s="15" t="inlineStr">
        <is>
          <t xml:space="preserve">0</t>
        </is>
      </c>
      <c r="F11" s="15" t="inlineStr">
        <is>
          <t xml:space="preserve">25 and 26.08.2026</t>
        </is>
      </c>
      <c r="G11" s="15" t="inlineStr">
        <is>
          <t xml:space="preserve">NO MYCOTOXIN COUNTERPART AT ALL</t>
        </is>
      </c>
    </row>
    <row r="12">
      <c r="A12" s="15" t="inlineStr">
        <is>
          <t xml:space="preserve">276/25</t>
        </is>
      </c>
      <c r="B12" s="15" t="inlineStr">
        <is>
          <t xml:space="preserve">1</t>
        </is>
      </c>
      <c r="C12" s="15" t="inlineStr">
        <is>
          <t xml:space="preserve">0</t>
        </is>
      </c>
      <c r="D12" s="15" t="inlineStr">
        <is>
          <t xml:space="preserve">1</t>
        </is>
      </c>
      <c r="E12" s="15" t="inlineStr">
        <is>
          <t xml:space="preserve">0</t>
        </is>
      </c>
      <c r="F12" s="15" t="inlineStr">
        <is>
          <t xml:space="preserve">04.12.2025</t>
        </is>
      </c>
      <c r="G12" s="15" t="inlineStr">
        <is>
          <t xml:space="preserve">a single mycotoxin report, no cannabinoid counterpart</t>
        </is>
      </c>
    </row>
    <row r="13"/>
    <row r="14">
      <c r="A14" s="15" t="inlineStr">
        <is>
          <t xml:space="preserve">Reading</t>
        </is>
      </c>
      <c r="B14" s="15" t="inlineStr">
        <is>
          <t xml:space="preserve">The August retest was run twice over. The 197 series of 07–10.08.2026 paired cannabinoids with mycotoxins one for one across 21 lots. The 220 series of 25–26.08.2026 covered 32 lots for cannabinoids and stopped there. Whatever the 220 campaign was for, it did not carry mycotoxins — and only one of its 32 lots (P050192) holds any Farmahem mycotoxin certificate at all, and that one is 276-31-M/25 from December 2025, nine months earlier.</t>
        </is>
      </c>
    </row>
    <row r="15"/>
    <row r="16">
      <c r="A16" s="4" t="inlineStr">
        <is>
          <t xml:space="preserve">The 32 lots of the 220/26 cannabinoid retest</t>
        </is>
      </c>
    </row>
    <row r="17">
      <c r="A17" s="4" t="inlineStr">
        <is>
          <t xml:space="preserve">#</t>
        </is>
      </c>
      <c r="B17" s="4" t="inlineStr">
        <is>
          <t xml:space="preserve">Lot</t>
        </is>
      </c>
      <c r="C17" s="4" t="inlineStr">
        <is>
          <t xml:space="preserve">Strain</t>
        </is>
      </c>
      <c r="D17" s="4" t="inlineStr">
        <is>
          <t xml:space="preserve">220-series cannabinoid retest</t>
        </is>
      </c>
      <c r="E17" s="4" t="inlineStr">
        <is>
          <t xml:space="preserve">Issued</t>
        </is>
      </c>
      <c r="F17" s="4" t="inlineStr">
        <is>
          <t xml:space="preserve">Farmahem mycotoxin certificate</t>
        </is>
      </c>
      <c r="G17" s="4" t="inlineStr">
        <is>
          <t xml:space="preserve">IJZ chemistry certificate carrying total aflatoxins</t>
        </is>
      </c>
    </row>
    <row r="18">
      <c r="A18" s="15" t="inlineStr">
        <is>
          <t xml:space="preserve">1</t>
        </is>
      </c>
      <c r="B18" s="15" t="inlineStr">
        <is>
          <t xml:space="preserve">CC042601</t>
        </is>
      </c>
      <c r="C18" s="15" t="inlineStr">
        <is>
          <t xml:space="preserve">Cash Cow</t>
        </is>
      </c>
      <c r="D18" s="15" t="inlineStr">
        <is>
          <t xml:space="preserve">220-32-K/26</t>
        </is>
      </c>
      <c r="E18" s="15" t="inlineStr">
        <is>
          <t xml:space="preserve">26.08.2026</t>
        </is>
      </c>
      <c r="F18" s="15" t="inlineStr">
        <is>
          <t xml:space="preserve">— NONE —</t>
        </is>
      </c>
      <c r="G18" s="15" t="inlineStr">
        <is>
          <t xml:space="preserve">— none —</t>
        </is>
      </c>
    </row>
    <row r="19">
      <c r="A19" s="15" t="inlineStr">
        <is>
          <t xml:space="preserve">2</t>
        </is>
      </c>
      <c r="B19" s="15" t="inlineStr">
        <is>
          <t xml:space="preserve">FB042601</t>
        </is>
      </c>
      <c r="C19" s="15" t="inlineStr">
        <is>
          <t xml:space="preserve">Fat Bastard</t>
        </is>
      </c>
      <c r="D19" s="15" t="inlineStr">
        <is>
          <t xml:space="preserve">220-31-K/26</t>
        </is>
      </c>
      <c r="E19" s="15" t="inlineStr">
        <is>
          <t xml:space="preserve">26.08.2026</t>
        </is>
      </c>
      <c r="F19" s="15" t="inlineStr">
        <is>
          <t xml:space="preserve">— NONE —</t>
        </is>
      </c>
      <c r="G19" s="15" t="inlineStr">
        <is>
          <t xml:space="preserve">— none —</t>
        </is>
      </c>
    </row>
    <row r="20">
      <c r="A20" s="15" t="inlineStr">
        <is>
          <t xml:space="preserve">3</t>
        </is>
      </c>
      <c r="B20" s="15" t="inlineStr">
        <is>
          <t xml:space="preserve">GG1024</t>
        </is>
      </c>
      <c r="C20" s="15" t="inlineStr">
        <is>
          <t xml:space="preserve">Gorilla Glue</t>
        </is>
      </c>
      <c r="D20" s="15" t="inlineStr">
        <is>
          <t xml:space="preserve">220-9-K/26</t>
        </is>
      </c>
      <c r="E20" s="15" t="inlineStr">
        <is>
          <t xml:space="preserve">25.08.2026</t>
        </is>
      </c>
      <c r="F20" s="15" t="inlineStr">
        <is>
          <t xml:space="preserve">— NONE —</t>
        </is>
      </c>
      <c r="G20" s="15" t="inlineStr">
        <is>
          <t xml:space="preserve">748/2025 (04.03.2025)</t>
        </is>
      </c>
    </row>
    <row r="21">
      <c r="A21" s="15" t="inlineStr">
        <is>
          <t xml:space="preserve">4</t>
        </is>
      </c>
      <c r="B21" s="15" t="inlineStr">
        <is>
          <t xml:space="preserve">JD042601</t>
        </is>
      </c>
      <c r="C21" s="15" t="inlineStr">
        <is>
          <t xml:space="preserve">Jelly Donutz</t>
        </is>
      </c>
      <c r="D21" s="15" t="inlineStr">
        <is>
          <t xml:space="preserve">220-30-K/26</t>
        </is>
      </c>
      <c r="E21" s="15" t="inlineStr">
        <is>
          <t xml:space="preserve">26.08.2026</t>
        </is>
      </c>
      <c r="F21" s="15" t="inlineStr">
        <is>
          <t xml:space="preserve">— NONE —</t>
        </is>
      </c>
      <c r="G21" s="15" t="inlineStr">
        <is>
          <t xml:space="preserve">— none —</t>
        </is>
      </c>
    </row>
    <row r="22">
      <c r="A22" s="15" t="inlineStr">
        <is>
          <t xml:space="preserve">5</t>
        </is>
      </c>
      <c r="B22" s="15" t="inlineStr">
        <is>
          <t xml:space="preserve">P050042</t>
        </is>
      </c>
      <c r="C22" s="15" t="inlineStr">
        <is>
          <t xml:space="preserve">Orange Punch Mimosa</t>
        </is>
      </c>
      <c r="D22" s="15" t="inlineStr">
        <is>
          <t xml:space="preserve">220-21-K/26</t>
        </is>
      </c>
      <c r="E22" s="15" t="inlineStr">
        <is>
          <t xml:space="preserve">26.08.2026</t>
        </is>
      </c>
      <c r="F22" s="15" t="inlineStr">
        <is>
          <t xml:space="preserve">— NONE —</t>
        </is>
      </c>
      <c r="G22" s="15" t="inlineStr">
        <is>
          <t xml:space="preserve">— none —</t>
        </is>
      </c>
    </row>
    <row r="23">
      <c r="A23" s="15" t="inlineStr">
        <is>
          <t xml:space="preserve">6</t>
        </is>
      </c>
      <c r="B23" s="15" t="inlineStr">
        <is>
          <t xml:space="preserve">P050072</t>
        </is>
      </c>
      <c r="C23" s="15" t="inlineStr">
        <is>
          <t xml:space="preserve">Grape Pie</t>
        </is>
      </c>
      <c r="D23" s="15" t="inlineStr">
        <is>
          <t xml:space="preserve">220-11-K/26</t>
        </is>
      </c>
      <c r="E23" s="15" t="inlineStr">
        <is>
          <t xml:space="preserve">25.08.2026</t>
        </is>
      </c>
      <c r="F23" s="15" t="inlineStr">
        <is>
          <t xml:space="preserve">— NONE —</t>
        </is>
      </c>
      <c r="G23" s="15" t="inlineStr">
        <is>
          <t xml:space="preserve">3178/2025 (26.06.2025)</t>
        </is>
      </c>
    </row>
    <row r="24">
      <c r="A24" s="15" t="inlineStr">
        <is>
          <t xml:space="preserve">7</t>
        </is>
      </c>
      <c r="B24" s="15" t="inlineStr">
        <is>
          <t xml:space="preserve">P050082</t>
        </is>
      </c>
      <c r="C24" s="15" t="inlineStr">
        <is>
          <t xml:space="preserve">Orange Punch Mimosa</t>
        </is>
      </c>
      <c r="D24" s="15" t="inlineStr">
        <is>
          <t xml:space="preserve">220-23-K/26</t>
        </is>
      </c>
      <c r="E24" s="15" t="inlineStr">
        <is>
          <t xml:space="preserve">26.08.2026</t>
        </is>
      </c>
      <c r="F24" s="15" t="inlineStr">
        <is>
          <t xml:space="preserve">— NONE —</t>
        </is>
      </c>
      <c r="G24" s="15" t="inlineStr">
        <is>
          <t xml:space="preserve">3636/2025 (28.07.2025)</t>
        </is>
      </c>
    </row>
    <row r="25">
      <c r="A25" s="15" t="inlineStr">
        <is>
          <t xml:space="preserve">8</t>
        </is>
      </c>
      <c r="B25" s="15" t="inlineStr">
        <is>
          <t xml:space="preserve">P050112</t>
        </is>
      </c>
      <c r="C25" s="15" t="inlineStr">
        <is>
          <t xml:space="preserve">Motor Breath</t>
        </is>
      </c>
      <c r="D25" s="15" t="inlineStr">
        <is>
          <t xml:space="preserve">220-20-K/26</t>
        </is>
      </c>
      <c r="E25" s="15" t="inlineStr">
        <is>
          <t xml:space="preserve">26.08.2026</t>
        </is>
      </c>
      <c r="F25" s="15" t="inlineStr">
        <is>
          <t xml:space="preserve">— NONE —</t>
        </is>
      </c>
      <c r="G25" s="15" t="inlineStr">
        <is>
          <t xml:space="preserve">3638/2025 (28.07.2025)</t>
        </is>
      </c>
    </row>
    <row r="26">
      <c r="A26" s="15" t="inlineStr">
        <is>
          <t xml:space="preserve">9</t>
        </is>
      </c>
      <c r="B26" s="15" t="inlineStr">
        <is>
          <t xml:space="preserve">P050182</t>
        </is>
      </c>
      <c r="C26" s="15" t="inlineStr">
        <is>
          <t xml:space="preserve">High Pro Amnesia</t>
        </is>
      </c>
      <c r="D26" s="15" t="inlineStr">
        <is>
          <t xml:space="preserve">220-15-K/26</t>
        </is>
      </c>
      <c r="E26" s="15" t="inlineStr">
        <is>
          <t xml:space="preserve">25.08.2026</t>
        </is>
      </c>
      <c r="F26" s="15" t="inlineStr">
        <is>
          <t xml:space="preserve">— NONE —</t>
        </is>
      </c>
      <c r="G26" s="15" t="inlineStr">
        <is>
          <t xml:space="preserve">4352/2025 (15.09.2025)</t>
        </is>
      </c>
    </row>
    <row r="27">
      <c r="A27" s="15" t="inlineStr">
        <is>
          <t xml:space="preserve">10</t>
        </is>
      </c>
      <c r="B27" s="15" t="inlineStr">
        <is>
          <t xml:space="preserve">P050192</t>
        </is>
      </c>
      <c r="C27" s="15" t="inlineStr">
        <is>
          <t xml:space="preserve">Blue Sunset Sherbet</t>
        </is>
      </c>
      <c r="D27" s="15" t="inlineStr">
        <is>
          <t xml:space="preserve">220-2-K/26</t>
        </is>
      </c>
      <c r="E27" s="15" t="inlineStr">
        <is>
          <t xml:space="preserve">25.08.2026</t>
        </is>
      </c>
      <c r="F27" s="15" t="inlineStr">
        <is>
          <t xml:space="preserve">276-31-M/25 (04.12.2025)</t>
        </is>
      </c>
      <c r="G27" s="15" t="inlineStr">
        <is>
          <t xml:space="preserve">5661/2025 (01.12.2025)</t>
        </is>
      </c>
    </row>
    <row r="28">
      <c r="A28" s="15" t="inlineStr">
        <is>
          <t xml:space="preserve">11</t>
        </is>
      </c>
      <c r="B28" s="15" t="inlineStr">
        <is>
          <t xml:space="preserve">P050222</t>
        </is>
      </c>
      <c r="C28" s="15" t="inlineStr">
        <is>
          <t xml:space="preserve">Cap Junkie</t>
        </is>
      </c>
      <c r="D28" s="15" t="inlineStr">
        <is>
          <t xml:space="preserve">220-3-K/26</t>
        </is>
      </c>
      <c r="E28" s="15" t="inlineStr">
        <is>
          <t xml:space="preserve">25.08.2026</t>
        </is>
      </c>
      <c r="F28" s="15" t="inlineStr">
        <is>
          <t xml:space="preserve">— NONE —</t>
        </is>
      </c>
      <c r="G28" s="15" t="inlineStr">
        <is>
          <t xml:space="preserve">4907/2025 (24.10.2025)</t>
        </is>
      </c>
    </row>
    <row r="29">
      <c r="A29" s="15" t="inlineStr">
        <is>
          <t xml:space="preserve">12</t>
        </is>
      </c>
      <c r="B29" s="15" t="inlineStr">
        <is>
          <t xml:space="preserve">P050282</t>
        </is>
      </c>
      <c r="C29" s="15" t="inlineStr">
        <is>
          <t xml:space="preserve">Clemosa a Bud</t>
        </is>
      </c>
      <c r="D29" s="15" t="inlineStr">
        <is>
          <t xml:space="preserve">220-7-K/26</t>
        </is>
      </c>
      <c r="E29" s="15" t="inlineStr">
        <is>
          <t xml:space="preserve">25.08.2026</t>
        </is>
      </c>
      <c r="F29" s="15" t="inlineStr">
        <is>
          <t xml:space="preserve">— NONE —</t>
        </is>
      </c>
      <c r="G29" s="15" t="inlineStr">
        <is>
          <t xml:space="preserve">5700/2025 (02.12.2025)</t>
        </is>
      </c>
    </row>
    <row r="30">
      <c r="A30" s="15" t="inlineStr">
        <is>
          <t xml:space="preserve">13</t>
        </is>
      </c>
      <c r="B30" s="15" t="inlineStr">
        <is>
          <t xml:space="preserve">P050302</t>
        </is>
      </c>
      <c r="C30" s="15" t="inlineStr">
        <is>
          <t xml:space="preserve">Grape Pie</t>
        </is>
      </c>
      <c r="D30" s="15" t="inlineStr">
        <is>
          <t xml:space="preserve">220-10-K/26</t>
        </is>
      </c>
      <c r="E30" s="15" t="inlineStr">
        <is>
          <t xml:space="preserve">25.08.2026</t>
        </is>
      </c>
      <c r="F30" s="15" t="inlineStr">
        <is>
          <t xml:space="preserve">— NONE —</t>
        </is>
      </c>
      <c r="G30" s="15" t="inlineStr">
        <is>
          <t xml:space="preserve">5887/2025 (12.12.2025)</t>
        </is>
      </c>
    </row>
    <row r="31">
      <c r="A31" s="15" t="inlineStr">
        <is>
          <t xml:space="preserve">14</t>
        </is>
      </c>
      <c r="B31" s="15" t="inlineStr">
        <is>
          <t xml:space="preserve">P050312</t>
        </is>
      </c>
      <c r="C31" s="15" t="inlineStr">
        <is>
          <t xml:space="preserve">Grape Pie</t>
        </is>
      </c>
      <c r="D31" s="15" t="inlineStr">
        <is>
          <t xml:space="preserve">220-12-K/26</t>
        </is>
      </c>
      <c r="E31" s="15" t="inlineStr">
        <is>
          <t xml:space="preserve">25.08.2026</t>
        </is>
      </c>
      <c r="F31" s="15" t="inlineStr">
        <is>
          <t xml:space="preserve">— NONE —</t>
        </is>
      </c>
      <c r="G31" s="15" t="inlineStr">
        <is>
          <t xml:space="preserve">5888/2025 (12.12.2025)</t>
        </is>
      </c>
    </row>
    <row r="32">
      <c r="A32" s="15" t="inlineStr">
        <is>
          <t xml:space="preserve">15</t>
        </is>
      </c>
      <c r="B32" s="15" t="inlineStr">
        <is>
          <t xml:space="preserve">P060012</t>
        </is>
      </c>
      <c r="C32" s="15" t="inlineStr">
        <is>
          <t xml:space="preserve">Wedding Crusher</t>
        </is>
      </c>
      <c r="D32" s="15" t="inlineStr">
        <is>
          <t xml:space="preserve">220-28-K/26</t>
        </is>
      </c>
      <c r="E32" s="15" t="inlineStr">
        <is>
          <t xml:space="preserve">26.08.2026</t>
        </is>
      </c>
      <c r="F32" s="15" t="inlineStr">
        <is>
          <t xml:space="preserve">— NONE —</t>
        </is>
      </c>
      <c r="G32" s="15" t="inlineStr">
        <is>
          <t xml:space="preserve">80/2026 (02.02.2026)</t>
        </is>
      </c>
    </row>
    <row r="33">
      <c r="A33" s="15" t="inlineStr">
        <is>
          <t xml:space="preserve">16</t>
        </is>
      </c>
      <c r="B33" s="15" t="inlineStr">
        <is>
          <t xml:space="preserve">P060022</t>
        </is>
      </c>
      <c r="C33" s="15" t="inlineStr">
        <is>
          <t xml:space="preserve">Cap Junkie</t>
        </is>
      </c>
      <c r="D33" s="15" t="inlineStr">
        <is>
          <t xml:space="preserve">220-4-K/26</t>
        </is>
      </c>
      <c r="E33" s="15" t="inlineStr">
        <is>
          <t xml:space="preserve">25.08.2026</t>
        </is>
      </c>
      <c r="F33" s="15" t="inlineStr">
        <is>
          <t xml:space="preserve">— NONE —</t>
        </is>
      </c>
      <c r="G33" s="15" t="inlineStr">
        <is>
          <t xml:space="preserve">81/2026 (02.02.2026)</t>
        </is>
      </c>
    </row>
    <row r="34">
      <c r="A34" s="15" t="inlineStr">
        <is>
          <t xml:space="preserve">17</t>
        </is>
      </c>
      <c r="B34" s="15" t="inlineStr">
        <is>
          <t xml:space="preserve">P060042</t>
        </is>
      </c>
      <c r="C34" s="15" t="inlineStr">
        <is>
          <t xml:space="preserve">Orange Punch Mimosa</t>
        </is>
      </c>
      <c r="D34" s="15" t="inlineStr">
        <is>
          <t xml:space="preserve">220-22-K/26</t>
        </is>
      </c>
      <c r="E34" s="15" t="inlineStr">
        <is>
          <t xml:space="preserve">26.08.2026</t>
        </is>
      </c>
      <c r="F34" s="15" t="inlineStr">
        <is>
          <t xml:space="preserve">— NONE —</t>
        </is>
      </c>
      <c r="G34" s="15" t="inlineStr">
        <is>
          <t xml:space="preserve">87/2026 (03.02.2026)</t>
        </is>
      </c>
    </row>
    <row r="35">
      <c r="A35" s="15" t="inlineStr">
        <is>
          <t xml:space="preserve">18</t>
        </is>
      </c>
      <c r="B35" s="15" t="inlineStr">
        <is>
          <t xml:space="preserve">P060072</t>
        </is>
      </c>
      <c r="C35" s="15" t="inlineStr">
        <is>
          <t xml:space="preserve">Cap Junkie</t>
        </is>
      </c>
      <c r="D35" s="15" t="inlineStr">
        <is>
          <t xml:space="preserve">220-5-K/26</t>
        </is>
      </c>
      <c r="E35" s="15" t="inlineStr">
        <is>
          <t xml:space="preserve">25.08.2026</t>
        </is>
      </c>
      <c r="F35" s="15" t="inlineStr">
        <is>
          <t xml:space="preserve">— NONE —</t>
        </is>
      </c>
      <c r="G35" s="15" t="inlineStr">
        <is>
          <t xml:space="preserve">86/2026 (02.02.2026)</t>
        </is>
      </c>
    </row>
    <row r="36">
      <c r="A36" s="15" t="inlineStr">
        <is>
          <t xml:space="preserve">19</t>
        </is>
      </c>
      <c r="B36" s="15" t="inlineStr">
        <is>
          <t xml:space="preserve">P060082</t>
        </is>
      </c>
      <c r="C36" s="15" t="inlineStr">
        <is>
          <t xml:space="preserve">Sleepy Joe</t>
        </is>
      </c>
      <c r="D36" s="15" t="inlineStr">
        <is>
          <t xml:space="preserve">220-27-K/26</t>
        </is>
      </c>
      <c r="E36" s="15" t="inlineStr">
        <is>
          <t xml:space="preserve">26.08.2026</t>
        </is>
      </c>
      <c r="F36" s="15" t="inlineStr">
        <is>
          <t xml:space="preserve">— NONE —</t>
        </is>
      </c>
      <c r="G36" s="15" t="inlineStr">
        <is>
          <t xml:space="preserve">85/2026 (02.02.2026)</t>
        </is>
      </c>
    </row>
    <row r="37">
      <c r="A37" s="15" t="inlineStr">
        <is>
          <t xml:space="preserve">20</t>
        </is>
      </c>
      <c r="B37" s="15" t="inlineStr">
        <is>
          <t xml:space="preserve">P060092</t>
        </is>
      </c>
      <c r="C37" s="15" t="inlineStr">
        <is>
          <t xml:space="preserve">Grape Pie</t>
        </is>
      </c>
      <c r="D37" s="15" t="inlineStr">
        <is>
          <t xml:space="preserve">220-13-K/26</t>
        </is>
      </c>
      <c r="E37" s="15" t="inlineStr">
        <is>
          <t xml:space="preserve">25.08.2026</t>
        </is>
      </c>
      <c r="F37" s="15" t="inlineStr">
        <is>
          <t xml:space="preserve">— NONE —</t>
        </is>
      </c>
      <c r="G37" s="15" t="inlineStr">
        <is>
          <t xml:space="preserve">88/2026 (03.02.2026)</t>
        </is>
      </c>
    </row>
    <row r="38">
      <c r="A38" s="15" t="inlineStr">
        <is>
          <t xml:space="preserve">21</t>
        </is>
      </c>
      <c r="B38" s="15" t="inlineStr">
        <is>
          <t xml:space="preserve">P060112</t>
        </is>
      </c>
      <c r="C38" s="15" t="inlineStr">
        <is>
          <t xml:space="preserve">Pure Michigen</t>
        </is>
      </c>
      <c r="D38" s="15" t="inlineStr">
        <is>
          <t xml:space="preserve">220-25-K/26</t>
        </is>
      </c>
      <c r="E38" s="15" t="inlineStr">
        <is>
          <t xml:space="preserve">26.08.2026</t>
        </is>
      </c>
      <c r="F38" s="15" t="inlineStr">
        <is>
          <t xml:space="preserve">— NONE —</t>
        </is>
      </c>
      <c r="G38" s="15" t="inlineStr">
        <is>
          <t xml:space="preserve">327/2026 (11.02.2026)</t>
        </is>
      </c>
    </row>
    <row r="39">
      <c r="A39" s="15" t="inlineStr">
        <is>
          <t xml:space="preserve">22</t>
        </is>
      </c>
      <c r="B39" s="15" t="inlineStr">
        <is>
          <t xml:space="preserve">P060122</t>
        </is>
      </c>
      <c r="C39" s="15" t="inlineStr">
        <is>
          <t xml:space="preserve">Amnesia Core Cut</t>
        </is>
      </c>
      <c r="D39" s="15" t="inlineStr">
        <is>
          <t xml:space="preserve">220-1-K/26</t>
        </is>
      </c>
      <c r="E39" s="15" t="inlineStr">
        <is>
          <t xml:space="preserve">25.08.2026</t>
        </is>
      </c>
      <c r="F39" s="15" t="inlineStr">
        <is>
          <t xml:space="preserve">— NONE —</t>
        </is>
      </c>
      <c r="G39" s="15" t="inlineStr">
        <is>
          <t xml:space="preserve">326/2026 (11.02.2026)</t>
        </is>
      </c>
    </row>
    <row r="40">
      <c r="A40" s="15" t="inlineStr">
        <is>
          <t xml:space="preserve">23</t>
        </is>
      </c>
      <c r="B40" s="15" t="inlineStr">
        <is>
          <t xml:space="preserve">P060132</t>
        </is>
      </c>
      <c r="C40" s="15" t="inlineStr">
        <is>
          <t xml:space="preserve">Chem Flyer</t>
        </is>
      </c>
      <c r="D40" s="15" t="inlineStr">
        <is>
          <t xml:space="preserve">220-6-K/26</t>
        </is>
      </c>
      <c r="E40" s="15" t="inlineStr">
        <is>
          <t xml:space="preserve">25.08.2026</t>
        </is>
      </c>
      <c r="F40" s="15" t="inlineStr">
        <is>
          <t xml:space="preserve">— NONE —</t>
        </is>
      </c>
      <c r="G40" s="15" t="inlineStr">
        <is>
          <t xml:space="preserve">330/2026 (11.02.2026)</t>
        </is>
      </c>
    </row>
    <row r="41">
      <c r="A41" s="15" t="inlineStr">
        <is>
          <t xml:space="preserve">24</t>
        </is>
      </c>
      <c r="B41" s="15" t="inlineStr">
        <is>
          <t xml:space="preserve">P060172</t>
        </is>
      </c>
      <c r="C41" s="15" t="inlineStr">
        <is>
          <t xml:space="preserve">Kush Crasher</t>
        </is>
      </c>
      <c r="D41" s="15" t="inlineStr">
        <is>
          <t xml:space="preserve">220-19-K/26</t>
        </is>
      </c>
      <c r="E41" s="15" t="inlineStr">
        <is>
          <t xml:space="preserve">26.08.2026</t>
        </is>
      </c>
      <c r="F41" s="15" t="inlineStr">
        <is>
          <t xml:space="preserve">— NONE —</t>
        </is>
      </c>
      <c r="G41" s="15" t="inlineStr">
        <is>
          <t xml:space="preserve">1058/2026 (09.03.2026)</t>
        </is>
      </c>
    </row>
    <row r="42">
      <c r="A42" s="15" t="inlineStr">
        <is>
          <t xml:space="preserve">25</t>
        </is>
      </c>
      <c r="B42" s="15" t="inlineStr">
        <is>
          <t xml:space="preserve">P060182</t>
        </is>
      </c>
      <c r="C42" s="15" t="inlineStr">
        <is>
          <t xml:space="preserve">Grapes and Cream</t>
        </is>
      </c>
      <c r="D42" s="15" t="inlineStr">
        <is>
          <t xml:space="preserve">220-14-K/26</t>
        </is>
      </c>
      <c r="E42" s="15" t="inlineStr">
        <is>
          <t xml:space="preserve">25.08.2026</t>
        </is>
      </c>
      <c r="F42" s="15" t="inlineStr">
        <is>
          <t xml:space="preserve">— NONE —</t>
        </is>
      </c>
      <c r="G42" s="15" t="inlineStr">
        <is>
          <t xml:space="preserve">1060/2026 (09.03.2026); 328/2026 (11.02.2026)   ← aflatoxin row printed BLANK</t>
        </is>
      </c>
    </row>
    <row r="43">
      <c r="A43" s="15" t="inlineStr">
        <is>
          <t xml:space="preserve">26</t>
        </is>
      </c>
      <c r="B43" s="15" t="inlineStr">
        <is>
          <t xml:space="preserve">P060232</t>
        </is>
      </c>
      <c r="C43" s="15" t="inlineStr">
        <is>
          <t xml:space="preserve">Permanent Marker</t>
        </is>
      </c>
      <c r="D43" s="15" t="inlineStr">
        <is>
          <t xml:space="preserve">220-24-K/26</t>
        </is>
      </c>
      <c r="E43" s="15" t="inlineStr">
        <is>
          <t xml:space="preserve">26.08.2026</t>
        </is>
      </c>
      <c r="F43" s="15" t="inlineStr">
        <is>
          <t xml:space="preserve">— NONE —</t>
        </is>
      </c>
      <c r="G43" s="15" t="inlineStr">
        <is>
          <t xml:space="preserve">1059/2026 (09.03.2026)   ← aflatoxin row printed BLANK</t>
        </is>
      </c>
    </row>
    <row r="44">
      <c r="A44" s="15" t="inlineStr">
        <is>
          <t xml:space="preserve">27</t>
        </is>
      </c>
      <c r="B44" s="15" t="inlineStr">
        <is>
          <t xml:space="preserve">P060282</t>
        </is>
      </c>
      <c r="C44" s="15" t="inlineStr">
        <is>
          <t xml:space="preserve">Scrambler</t>
        </is>
      </c>
      <c r="D44" s="15" t="inlineStr">
        <is>
          <t xml:space="preserve">220-26-K/26</t>
        </is>
      </c>
      <c r="E44" s="15" t="inlineStr">
        <is>
          <t xml:space="preserve">26.08.2026</t>
        </is>
      </c>
      <c r="F44" s="15" t="inlineStr">
        <is>
          <t xml:space="preserve">— NONE —</t>
        </is>
      </c>
      <c r="G44" s="15" t="inlineStr">
        <is>
          <t xml:space="preserve">2360/2026 (29.04.2026)</t>
        </is>
      </c>
    </row>
    <row r="45">
      <c r="A45" s="15" t="inlineStr">
        <is>
          <t xml:space="preserve">28</t>
        </is>
      </c>
      <c r="B45" s="15" t="inlineStr">
        <is>
          <t xml:space="preserve">P060322</t>
        </is>
      </c>
      <c r="C45" s="15" t="inlineStr">
        <is>
          <t xml:space="preserve">Fat Bastard</t>
        </is>
      </c>
      <c r="D45" s="15" t="inlineStr">
        <is>
          <t xml:space="preserve">220-8-K/26</t>
        </is>
      </c>
      <c r="E45" s="15" t="inlineStr">
        <is>
          <t xml:space="preserve">25.08.2026</t>
        </is>
      </c>
      <c r="F45" s="15" t="inlineStr">
        <is>
          <t xml:space="preserve">— NONE —</t>
        </is>
      </c>
      <c r="G45" s="15" t="inlineStr">
        <is>
          <t xml:space="preserve">2362/2026 (30.04.2026)</t>
        </is>
      </c>
    </row>
    <row r="46">
      <c r="A46" s="15" t="inlineStr">
        <is>
          <t xml:space="preserve">29</t>
        </is>
      </c>
      <c r="B46" s="15" t="inlineStr">
        <is>
          <t xml:space="preserve">P060362</t>
        </is>
      </c>
      <c r="C46" s="15" t="inlineStr">
        <is>
          <t xml:space="preserve">Jelly Donutz</t>
        </is>
      </c>
      <c r="D46" s="15" t="inlineStr">
        <is>
          <t xml:space="preserve">220-16-K/26</t>
        </is>
      </c>
      <c r="E46" s="15" t="inlineStr">
        <is>
          <t xml:space="preserve">25.08.2026</t>
        </is>
      </c>
      <c r="F46" s="15" t="inlineStr">
        <is>
          <t xml:space="preserve">— NONE —</t>
        </is>
      </c>
      <c r="G46" s="15" t="inlineStr">
        <is>
          <t xml:space="preserve">— none —</t>
        </is>
      </c>
    </row>
    <row r="47">
      <c r="A47" s="15" t="inlineStr">
        <is>
          <t xml:space="preserve">30</t>
        </is>
      </c>
      <c r="B47" s="15" t="inlineStr">
        <is>
          <t xml:space="preserve">P060372</t>
        </is>
      </c>
      <c r="C47" s="15" t="inlineStr">
        <is>
          <t xml:space="preserve">Cash Cow</t>
        </is>
      </c>
      <c r="D47" s="15" t="inlineStr">
        <is>
          <t xml:space="preserve">220-29-K/26</t>
        </is>
      </c>
      <c r="E47" s="15" t="inlineStr">
        <is>
          <t xml:space="preserve">26.08.2026</t>
        </is>
      </c>
      <c r="F47" s="15" t="inlineStr">
        <is>
          <t xml:space="preserve">— NONE —</t>
        </is>
      </c>
      <c r="G47" s="15" t="inlineStr">
        <is>
          <t xml:space="preserve">— none —</t>
        </is>
      </c>
    </row>
    <row r="48">
      <c r="A48" s="15" t="inlineStr">
        <is>
          <t xml:space="preserve">31</t>
        </is>
      </c>
      <c r="B48" s="15" t="inlineStr">
        <is>
          <t xml:space="preserve">P060412</t>
        </is>
      </c>
      <c r="C48" s="15" t="inlineStr">
        <is>
          <t xml:space="preserve">Jelly Donutz</t>
        </is>
      </c>
      <c r="D48" s="15" t="inlineStr">
        <is>
          <t xml:space="preserve">220-17-K/26</t>
        </is>
      </c>
      <c r="E48" s="15" t="inlineStr">
        <is>
          <t xml:space="preserve">26.08.2026</t>
        </is>
      </c>
      <c r="F48" s="15" t="inlineStr">
        <is>
          <t xml:space="preserve">— NONE —</t>
        </is>
      </c>
      <c r="G48" s="15" t="inlineStr">
        <is>
          <t xml:space="preserve">3660/2026 (22.06.2026)</t>
        </is>
      </c>
    </row>
    <row r="49">
      <c r="A49" s="15" t="inlineStr">
        <is>
          <t xml:space="preserve">32</t>
        </is>
      </c>
      <c r="B49" s="15" t="inlineStr">
        <is>
          <t xml:space="preserve">P060422</t>
        </is>
      </c>
      <c r="C49" s="15" t="inlineStr">
        <is>
          <t xml:space="preserve">Jelly Donutz</t>
        </is>
      </c>
      <c r="D49" s="15" t="inlineStr">
        <is>
          <t xml:space="preserve">220-18-K/26</t>
        </is>
      </c>
      <c r="E49" s="15" t="inlineStr">
        <is>
          <t xml:space="preserve">26.08.2026</t>
        </is>
      </c>
      <c r="F49" s="15" t="inlineStr">
        <is>
          <t xml:space="preserve">— NONE —</t>
        </is>
      </c>
      <c r="G49" s="15" t="inlineStr">
        <is>
          <t xml:space="preserve">3662/2026 (22.06.2026)</t>
        </is>
      </c>
    </row>
    <row r="50"/>
    <row r="51">
      <c r="A51" s="4" t="inlineStr">
        <is>
          <t xml:space="preserve">Where that leaves mycotoxin coverage for these 32 lots</t>
        </is>
      </c>
    </row>
    <row r="52">
      <c r="A52" s="15" t="inlineStr">
        <is>
          <t xml:space="preserve">With a mycotoxin certificate from the 220 retest campaign</t>
        </is>
      </c>
      <c r="B52" s="15" t="inlineStr">
        <is>
          <t xml:space="preserve">0</t>
        </is>
      </c>
    </row>
    <row r="53">
      <c r="A53" s="15" t="inlineStr">
        <is>
          <t xml:space="preserve">With any Farmahem mycotoxin certificate</t>
        </is>
      </c>
      <c r="B53" s="15" t="inlineStr">
        <is>
          <t xml:space="preserve">1</t>
        </is>
      </c>
    </row>
    <row r="54">
      <c r="A54" s="15" t="inlineStr">
        <is>
          <t xml:space="preserve">Relying on an IJZ chemistry certificate for total aflatoxins</t>
        </is>
      </c>
      <c r="B54" s="15" t="inlineStr">
        <is>
          <t xml:space="preserve">25</t>
        </is>
      </c>
    </row>
    <row r="55">
      <c r="A55" s="15" t="inlineStr">
        <is>
          <t xml:space="preserve">With NO mycotoxin evidence of any kind</t>
        </is>
      </c>
      <c r="B55" s="15" t="inlineStr">
        <is>
          <t xml:space="preserve">6</t>
        </is>
      </c>
    </row>
    <row r="56">
      <c r="A56" s="15" t="inlineStr">
        <is>
          <t xml:space="preserve">Lots with no mycotoxin evidence</t>
        </is>
      </c>
      <c r="B56" s="15" t="inlineStr">
        <is>
          <t xml:space="preserve">CC042601, FB042601, JD042601, P050042, P060362, P060372</t>
        </is>
      </c>
    </row>
    <row r="57">
      <c r="A57" s="15" t="inlineStr">
        <is>
          <t xml:space="preserve">Relying solely on an IJZ certificate whose aflatoxin row is printed blank</t>
        </is>
      </c>
      <c r="B57" s="15" t="inlineStr">
        <is>
          <t xml:space="preserve">2</t>
        </is>
      </c>
    </row>
    <row r="58">
      <c r="A58" s="15" t="inlineStr">
        <is>
          <t xml:space="preserve">Those lots</t>
        </is>
      </c>
      <c r="B58" s="15" t="inlineStr">
        <is>
          <t xml:space="preserve">P060182 (1060/2026; 328/2026), P060232 (1059/2026)</t>
        </is>
      </c>
    </row>
    <row r="59"/>
    <row r="60">
      <c r="A60" s="15" t="inlineStr">
        <is>
          <t xml:space="preserve">What to decide</t>
        </is>
      </c>
      <c r="B60" s="15" t="inlineStr">
        <is>
          <t xml:space="preserve">If the 220 campaign was meant to be a full retest, the mycotoxin half is missing for all 32 lots and the samples have to go back to Farmahem. If it was deliberately cannabinoids-only, then mycotoxins for these lots rest on the original IJZ chemistry certificates — six lots have none at all, and two rest on a certificate whose aflatoxin row is blank.</t>
        </is>
      </c>
    </row>
  </sheetData>
  <pageMargins bottom="0.4" footer="0.0" header="0.0" left="0.3" right="0.3" top="0.4"/>
</worksheet>
</file>

<file path=xl/worksheets/sheet24.xml><?xml version="1.0" encoding="utf-8"?>
<worksheet xmlns="http://schemas.openxmlformats.org/spreadsheetml/2006/main" xmlns:r="http://schemas.openxmlformats.org/officeDocument/2006/relationships">
  <sheetPr>
    <pageSetUpPr fitToPage="1"/>
  </sheetPr>
  <sheetViews>
    <sheetView workbookViewId="0">
      <pane ySplit="4.0" topLeftCell="A5" activePane="bottomLeft" state="frozen"/>
    </sheetView>
  </sheetViews>
  <sheetFormatPr defaultColWidth="14.43" defaultRowHeight="15.0"/>
  <cols>
    <col customWidth="1" min="1" max="1" width="18"/>
    <col customWidth="1" min="2" max="2" width="16"/>
    <col customWidth="1" min="3" max="3" width="30"/>
    <col customWidth="1" min="4" max="4" width="24"/>
    <col customWidth="1" min="5" max="5" width="150"/>
  </cols>
  <sheetData>
    <row r="1">
      <c r="A1" s="4" t="inlineStr">
        <is>
          <t xml:space="preserve">CoQ readiness — verified 09.09.2026 against the 387 certificates in eCoA_DATABASE</t>
        </is>
      </c>
    </row>
    <row r="2">
      <c r="A2" s="15" t="inlineStr">
        <is>
          <t xml:space="preserve">What was checked</t>
        </is>
      </c>
      <c r="B2" s="15" t="inlineStr">
        <is>
          <t xml:space="preserve">Every citation on the CoQ Parameter Tracker v13 sheet — certificate code, date of issue, laboratory and batch — was matched against the file actually present in eCoA_DATABASE. Every result the desk holds a page transcription for was compared with the tracker cell. Coverage was then recomputed against the full 387-certificate database, not against the tracker’s own state.</t>
        </is>
      </c>
    </row>
    <row r="3"/>
    <row r="4">
      <c r="A4" s="4" t="inlineStr">
        <is>
          <t xml:space="preserve">CITATION CHECK</t>
        </is>
      </c>
    </row>
    <row r="5">
      <c r="A5" s="15" t="inlineStr">
        <is>
          <t xml:space="preserve">Citations on the tracker</t>
        </is>
      </c>
      <c r="B5" s="15" t="inlineStr">
        <is>
          <t xml:space="preserve">1172</t>
        </is>
      </c>
    </row>
    <row r="6">
      <c r="A6" s="15" t="inlineStr">
        <is>
          <t xml:space="preserve">Matched exactly — code, laboratory, date and batch all agree with the file</t>
        </is>
      </c>
      <c r="B6" s="15" t="inlineStr">
        <is>
          <t xml:space="preserve">921</t>
        </is>
      </c>
    </row>
    <row r="7">
      <c r="A7" s="15" t="inlineStr">
        <is>
          <t xml:space="preserve">In-house iCoA references (PP) — outside the eCoA database by definition</t>
        </is>
      </c>
      <c r="B7" s="15" t="inlineStr">
        <is>
          <t xml:space="preserve">213</t>
        </is>
      </c>
    </row>
    <row r="8">
      <c r="A8" s="15" t="inlineStr">
        <is>
          <t xml:space="preserve">Citations naming a certificate that does not exist in eCoA_DATABASE</t>
        </is>
      </c>
      <c r="B8" s="15" t="inlineStr">
        <is>
          <t xml:space="preserve">0</t>
        </is>
      </c>
    </row>
    <row r="9">
      <c r="A9" s="15" t="inlineStr">
        <is>
          <t xml:space="preserve">Citations where the laboratory or the date disagrees with the file</t>
        </is>
      </c>
      <c r="B9" s="15" t="inlineStr">
        <is>
          <t xml:space="preserve">0</t>
        </is>
      </c>
    </row>
    <row r="10">
      <c r="A10" s="15" t="inlineStr">
        <is>
          <t xml:space="preserve">Citations where the certificate names a narrower batch than the tracker row</t>
        </is>
      </c>
      <c r="B10" s="15" t="inlineStr">
        <is>
          <t xml:space="preserve">38</t>
        </is>
      </c>
    </row>
    <row r="11"/>
    <row r="12">
      <c r="A12" s="4" t="inlineStr">
        <is>
          <t xml:space="preserve">RESULT CHECK</t>
        </is>
      </c>
    </row>
    <row r="13">
      <c r="A13" s="15" t="inlineStr">
        <is>
          <t xml:space="preserve">Result cells comparable against a page transcription</t>
        </is>
      </c>
      <c r="B13" s="15" t="inlineStr">
        <is>
          <t xml:space="preserve">550</t>
        </is>
      </c>
    </row>
    <row r="14">
      <c r="A14" s="15" t="inlineStr">
        <is>
          <t xml:space="preserve">Agree</t>
        </is>
      </c>
      <c r="B14" s="15" t="inlineStr">
        <is>
          <t xml:space="preserve">528</t>
        </is>
      </c>
    </row>
    <row r="15">
      <c r="A15" s="15" t="inlineStr">
        <is>
          <t xml:space="preserve">Disagreed on first pass</t>
        </is>
      </c>
      <c r="B15" s="15" t="inlineStr">
        <is>
          <t xml:space="preserve">22</t>
        </is>
      </c>
    </row>
    <row r="16">
      <c r="A16" s="15" t="inlineStr">
        <is>
          <t xml:space="preserve">Resolved in favour of the tracker</t>
        </is>
      </c>
      <c r="B16" s="15" t="inlineStr">
        <is>
          <t xml:space="preserve">22</t>
        </is>
      </c>
    </row>
    <row r="17">
      <c r="A17" s="15" t="inlineStr">
        <is>
          <t xml:space="preserve">Errors found in the tracker</t>
        </is>
      </c>
      <c r="B17" s="15" t="inlineStr">
        <is>
          <t xml:space="preserve">0</t>
        </is>
      </c>
    </row>
    <row r="18">
      <c r="A18" s="15" t="inlineStr">
        <is>
          <t xml:space="preserve">Correction to the desk’s own record</t>
        </is>
      </c>
      <c r="B18" s="15" t="inlineStr">
        <is>
          <t xml:space="preserve">Eighteen of the disagreements were Farmahem 197-n-K/26 cannabinoid values. Nine were re-read from the page at 190 dpi — 197-2-K, 197-4-K, 197-7-K, 197-8-K, 197-9-K, 197-12-K, 197-13-K, 197-15-K and 197-16-K. In all nine the tracker matches the certificate and the desk’s September split transcription of bundle 20260907173204.pdf was wrong. Those values were never published: the split register carries certificate identity, not results, and coverage credit depends on a determination being present, not on its value. The remaining four disagreements are wording only (отсуства/g against отсутна/g, and a bile-tolerant range reported as n.r.).</t>
        </is>
      </c>
    </row>
    <row r="19"/>
    <row r="20">
      <c r="A20" s="4" t="inlineStr">
        <is>
          <t xml:space="preserve">VERDICT</t>
        </is>
      </c>
    </row>
    <row r="21">
      <c r="A21" s="15" t="inlineStr">
        <is>
          <t xml:space="preserve">Lots assessed</t>
        </is>
      </c>
      <c r="B21" s="15" t="inlineStr">
        <is>
          <t xml:space="preserve">89</t>
        </is>
      </c>
    </row>
    <row r="22">
      <c r="A22" s="15" t="inlineStr">
        <is>
          <t xml:space="preserve">CLEAN — every specification parameter evidenced, no open blocker</t>
        </is>
      </c>
      <c r="B22" s="15" t="inlineStr">
        <is>
          <t xml:space="preserve">45</t>
        </is>
      </c>
    </row>
    <row r="23">
      <c r="A23" s="15" t="inlineStr">
        <is>
          <t xml:space="preserve">BLOCKED</t>
        </is>
      </c>
      <c r="B23" s="15" t="inlineStr">
        <is>
          <t xml:space="preserve">44</t>
        </is>
      </c>
    </row>
    <row r="24"/>
    <row r="25">
      <c r="A25" s="4" t="inlineStr">
        <is>
          <t xml:space="preserve">CLEAN — a CoQ can be drafted on the evidence now on file</t>
        </is>
      </c>
    </row>
    <row r="26">
      <c r="A26" s="4" t="inlineStr">
        <is>
          <t xml:space="preserve">#</t>
        </is>
      </c>
      <c r="B26" s="4" t="inlineStr">
        <is>
          <t xml:space="preserve">CU batch</t>
        </is>
      </c>
      <c r="C26" s="4" t="inlineStr">
        <is>
          <t xml:space="preserve">P batch</t>
        </is>
      </c>
      <c r="D26" s="4" t="inlineStr">
        <is>
          <t xml:space="preserve">Strain</t>
        </is>
      </c>
    </row>
    <row r="27">
      <c r="A27" s="15" t="inlineStr">
        <is>
          <t xml:space="preserve">1</t>
        </is>
      </c>
      <c r="B27" s="15" t="inlineStr">
        <is>
          <t xml:space="preserve">GG1024_02</t>
        </is>
      </c>
      <c r="C27" s="15" t="inlineStr">
        <is>
          <t xml:space="preserve">P050012</t>
        </is>
      </c>
      <c r="D27" s="15" t="inlineStr">
        <is>
          <t xml:space="preserve">Gorilla Glue</t>
        </is>
      </c>
    </row>
    <row r="28">
      <c r="A28" s="15" t="inlineStr">
        <is>
          <t xml:space="preserve">2</t>
        </is>
      </c>
      <c r="B28" s="15" t="inlineStr">
        <is>
          <t xml:space="preserve">GP0824_02</t>
        </is>
      </c>
      <c r="C28" s="15" t="inlineStr">
        <is>
          <t xml:space="preserve">P050022</t>
        </is>
      </c>
      <c r="D28" s="15" t="inlineStr">
        <is>
          <t xml:space="preserve">Grape Pie</t>
        </is>
      </c>
    </row>
    <row r="29">
      <c r="A29" s="15" t="inlineStr">
        <is>
          <t xml:space="preserve">3</t>
        </is>
      </c>
      <c r="B29" s="15" t="inlineStr">
        <is>
          <t xml:space="preserve">MB0824_04</t>
        </is>
      </c>
      <c r="C29" s="15" t="inlineStr">
        <is>
          <t xml:space="preserve">P050032</t>
        </is>
      </c>
      <c r="D29" s="15" t="inlineStr">
        <is>
          <t xml:space="preserve">Motor Breath</t>
        </is>
      </c>
    </row>
    <row r="30">
      <c r="A30" s="15" t="inlineStr">
        <is>
          <t xml:space="preserve">4</t>
        </is>
      </c>
      <c r="B30" s="15" t="inlineStr">
        <is>
          <t xml:space="preserve">HPA1024_01</t>
        </is>
      </c>
      <c r="C30" s="15" t="inlineStr">
        <is>
          <t xml:space="preserve">P050052</t>
        </is>
      </c>
      <c r="D30" s="15" t="inlineStr">
        <is>
          <t xml:space="preserve">High Pro Amnesia</t>
        </is>
      </c>
    </row>
    <row r="31">
      <c r="A31" s="15" t="inlineStr">
        <is>
          <t xml:space="preserve">5</t>
        </is>
      </c>
      <c r="B31" s="15" t="inlineStr">
        <is>
          <t xml:space="preserve">OPM1024_02</t>
        </is>
      </c>
      <c r="C31" s="15" t="inlineStr">
        <is>
          <t xml:space="preserve">P050062</t>
        </is>
      </c>
      <c r="D31" s="15" t="inlineStr">
        <is>
          <t xml:space="preserve">Orange Punch Mimosa</t>
        </is>
      </c>
    </row>
    <row r="32">
      <c r="A32" s="15" t="inlineStr">
        <is>
          <t xml:space="preserve">6</t>
        </is>
      </c>
      <c r="B32" s="15" t="inlineStr">
        <is>
          <t xml:space="preserve">GG1024_01</t>
        </is>
      </c>
      <c r="C32" s="15" t="inlineStr">
        <is>
          <t xml:space="preserve">P050092</t>
        </is>
      </c>
      <c r="D32" s="15" t="inlineStr">
        <is>
          <t xml:space="preserve">Gorilla Glue</t>
        </is>
      </c>
    </row>
    <row r="33">
      <c r="A33" s="15" t="inlineStr">
        <is>
          <t xml:space="preserve">7</t>
        </is>
      </c>
      <c r="B33" s="15" t="inlineStr">
        <is>
          <t xml:space="preserve">GP0824_01</t>
        </is>
      </c>
      <c r="C33" s="15" t="inlineStr">
        <is>
          <t xml:space="preserve">P050102</t>
        </is>
      </c>
      <c r="D33" s="15" t="inlineStr">
        <is>
          <t xml:space="preserve">Grape Pie</t>
        </is>
      </c>
    </row>
    <row r="34">
      <c r="A34" s="15" t="inlineStr">
        <is>
          <t xml:space="preserve">8</t>
        </is>
      </c>
      <c r="B34" s="15" t="inlineStr">
        <is>
          <t xml:space="preserve">MB0824_05</t>
        </is>
      </c>
      <c r="C34" s="15" t="inlineStr">
        <is>
          <t xml:space="preserve">P050112</t>
        </is>
      </c>
      <c r="D34" s="15" t="inlineStr">
        <is>
          <t xml:space="preserve">Motor Breath</t>
        </is>
      </c>
    </row>
    <row r="35">
      <c r="A35" s="15" t="inlineStr">
        <is>
          <t xml:space="preserve">9</t>
        </is>
      </c>
      <c r="B35" s="15" t="inlineStr">
        <is>
          <t xml:space="preserve">BSS1024_01/1</t>
        </is>
      </c>
      <c r="C35" s="15" t="inlineStr">
        <is>
          <t xml:space="preserve">P050122</t>
        </is>
      </c>
      <c r="D35" s="15" t="inlineStr">
        <is>
          <t xml:space="preserve">Blue Sunset Sherbet</t>
        </is>
      </c>
    </row>
    <row r="36">
      <c r="A36" s="15" t="inlineStr">
        <is>
          <t xml:space="preserve">10</t>
        </is>
      </c>
      <c r="B36" s="15" t="inlineStr">
        <is>
          <t xml:space="preserve">OPM052501</t>
        </is>
      </c>
      <c r="C36" s="15" t="inlineStr">
        <is>
          <t xml:space="preserve">P050132</t>
        </is>
      </c>
      <c r="D36" s="15" t="inlineStr">
        <is>
          <t xml:space="preserve">Orange Punch Mimosa</t>
        </is>
      </c>
    </row>
    <row r="37">
      <c r="A37" s="15" t="inlineStr">
        <is>
          <t xml:space="preserve">11</t>
        </is>
      </c>
      <c r="B37" s="15" t="inlineStr">
        <is>
          <t xml:space="preserve">GP052501</t>
        </is>
      </c>
      <c r="C37" s="15" t="inlineStr">
        <is>
          <t xml:space="preserve">P050152</t>
        </is>
      </c>
      <c r="D37" s="15" t="inlineStr">
        <is>
          <t xml:space="preserve">Grape Pie</t>
        </is>
      </c>
    </row>
    <row r="38">
      <c r="A38" s="15" t="inlineStr">
        <is>
          <t xml:space="preserve">12</t>
        </is>
      </c>
      <c r="B38" s="15" t="inlineStr">
        <is>
          <t xml:space="preserve">CJ052501/01</t>
        </is>
      </c>
      <c r="C38" s="15" t="inlineStr">
        <is>
          <t xml:space="preserve">P050162</t>
        </is>
      </c>
      <c r="D38" s="15" t="inlineStr">
        <is>
          <t xml:space="preserve">Cap Junky</t>
        </is>
      </c>
    </row>
    <row r="39">
      <c r="A39" s="15" t="inlineStr">
        <is>
          <t xml:space="preserve">13</t>
        </is>
      </c>
      <c r="B39" s="15" t="inlineStr">
        <is>
          <t xml:space="preserve">CJ052501/02</t>
        </is>
      </c>
      <c r="C39" s="15" t="inlineStr">
        <is>
          <t xml:space="preserve">P050172</t>
        </is>
      </c>
      <c r="D39" s="15" t="inlineStr">
        <is>
          <t xml:space="preserve">Cap Junky</t>
        </is>
      </c>
    </row>
    <row r="40">
      <c r="A40" s="15" t="inlineStr">
        <is>
          <t xml:space="preserve">14</t>
        </is>
      </c>
      <c r="B40" s="15" t="inlineStr">
        <is>
          <t xml:space="preserve">HPA052501</t>
        </is>
      </c>
      <c r="C40" s="15" t="inlineStr">
        <is>
          <t xml:space="preserve">P050182</t>
        </is>
      </c>
      <c r="D40" s="15" t="inlineStr">
        <is>
          <t xml:space="preserve">High Pro Amnesia</t>
        </is>
      </c>
    </row>
    <row r="41">
      <c r="A41" s="15" t="inlineStr">
        <is>
          <t xml:space="preserve">15</t>
        </is>
      </c>
      <c r="B41" s="15" t="inlineStr">
        <is>
          <t xml:space="preserve">CJ062501/2</t>
        </is>
      </c>
      <c r="C41" s="15" t="inlineStr">
        <is>
          <t xml:space="preserve">P050212</t>
        </is>
      </c>
      <c r="D41" s="15" t="inlineStr">
        <is>
          <t xml:space="preserve">Cap Junky</t>
        </is>
      </c>
    </row>
    <row r="42">
      <c r="A42" s="15" t="inlineStr">
        <is>
          <t xml:space="preserve">16</t>
        </is>
      </c>
      <c r="B42" s="15" t="inlineStr">
        <is>
          <t xml:space="preserve">CJ072501</t>
        </is>
      </c>
      <c r="C42" s="15" t="inlineStr">
        <is>
          <t xml:space="preserve">P050252</t>
        </is>
      </c>
      <c r="D42" s="15" t="inlineStr">
        <is>
          <t xml:space="preserve">Cap Junky</t>
        </is>
      </c>
    </row>
    <row r="43">
      <c r="A43" s="15" t="inlineStr">
        <is>
          <t xml:space="preserve">17</t>
        </is>
      </c>
      <c r="B43" s="15" t="inlineStr">
        <is>
          <t xml:space="preserve">WC072501</t>
        </is>
      </c>
      <c r="C43" s="15" t="inlineStr">
        <is>
          <t xml:space="preserve">P050262</t>
        </is>
      </c>
      <c r="D43" s="15" t="inlineStr">
        <is>
          <t xml:space="preserve">Wedding Crasher</t>
        </is>
      </c>
    </row>
    <row r="44">
      <c r="A44" s="15" t="inlineStr">
        <is>
          <t xml:space="preserve">18</t>
        </is>
      </c>
      <c r="B44" s="15" t="inlineStr">
        <is>
          <t xml:space="preserve">PM072501</t>
        </is>
      </c>
      <c r="C44" s="15" t="inlineStr">
        <is>
          <t xml:space="preserve">P050272</t>
        </is>
      </c>
      <c r="D44" s="15" t="inlineStr">
        <is>
          <t xml:space="preserve">Permanent Market</t>
        </is>
      </c>
    </row>
    <row r="45">
      <c r="A45" s="15" t="inlineStr">
        <is>
          <t xml:space="preserve">19</t>
        </is>
      </c>
      <c r="B45" s="15" t="inlineStr">
        <is>
          <t xml:space="preserve">CLE072501</t>
        </is>
      </c>
      <c r="C45" s="15" t="inlineStr">
        <is>
          <t xml:space="preserve">P050282</t>
        </is>
      </c>
      <c r="D45" s="15" t="inlineStr">
        <is>
          <t xml:space="preserve">Clemosa a bud</t>
        </is>
      </c>
    </row>
    <row r="46">
      <c r="A46" s="15" t="inlineStr">
        <is>
          <t xml:space="preserve">20</t>
        </is>
      </c>
      <c r="B46" s="15" t="inlineStr">
        <is>
          <t xml:space="preserve">GP072501/1</t>
        </is>
      </c>
      <c r="C46" s="15" t="inlineStr">
        <is>
          <t xml:space="preserve">P050292</t>
        </is>
      </c>
      <c r="D46" s="15" t="inlineStr">
        <is>
          <t xml:space="preserve">Grape Pie</t>
        </is>
      </c>
    </row>
    <row r="47">
      <c r="A47" s="15" t="inlineStr">
        <is>
          <t xml:space="preserve">21</t>
        </is>
      </c>
      <c r="B47" s="15" t="inlineStr">
        <is>
          <t xml:space="preserve">GP072501/2</t>
        </is>
      </c>
      <c r="C47" s="15" t="inlineStr">
        <is>
          <t xml:space="preserve">P050302</t>
        </is>
      </c>
      <c r="D47" s="15" t="inlineStr">
        <is>
          <t xml:space="preserve">Grape Pie</t>
        </is>
      </c>
    </row>
    <row r="48">
      <c r="A48" s="15" t="inlineStr">
        <is>
          <t xml:space="preserve">22</t>
        </is>
      </c>
      <c r="B48" s="15" t="inlineStr">
        <is>
          <t xml:space="preserve">GP082501/2</t>
        </is>
      </c>
      <c r="C48" s="15" t="inlineStr">
        <is>
          <t xml:space="preserve">P050322</t>
        </is>
      </c>
      <c r="D48" s="15" t="inlineStr">
        <is>
          <t xml:space="preserve">Grape Pie</t>
        </is>
      </c>
    </row>
    <row r="49">
      <c r="A49" s="15" t="inlineStr">
        <is>
          <t xml:space="preserve">23</t>
        </is>
      </c>
      <c r="B49" s="15" t="inlineStr">
        <is>
          <t xml:space="preserve">WC082501</t>
        </is>
      </c>
      <c r="C49" s="15" t="inlineStr">
        <is>
          <t xml:space="preserve">P060012</t>
        </is>
      </c>
      <c r="D49" s="15" t="inlineStr">
        <is>
          <t xml:space="preserve">Wedding Crasher</t>
        </is>
      </c>
    </row>
    <row r="50">
      <c r="A50" s="15" t="inlineStr">
        <is>
          <t xml:space="preserve">24</t>
        </is>
      </c>
      <c r="B50" s="15" t="inlineStr">
        <is>
          <t xml:space="preserve">CJ082501/2</t>
        </is>
      </c>
      <c r="C50" s="15" t="inlineStr">
        <is>
          <t xml:space="preserve">P060032</t>
        </is>
      </c>
      <c r="D50" s="15" t="inlineStr">
        <is>
          <t xml:space="preserve">Cap Junky</t>
        </is>
      </c>
    </row>
    <row r="51">
      <c r="A51" s="15" t="inlineStr">
        <is>
          <t xml:space="preserve">25</t>
        </is>
      </c>
      <c r="B51" s="15" t="inlineStr">
        <is>
          <t xml:space="preserve">OPM092501</t>
        </is>
      </c>
      <c r="C51" s="15" t="inlineStr">
        <is>
          <t xml:space="preserve">P060042</t>
        </is>
      </c>
      <c r="D51" s="15" t="inlineStr">
        <is>
          <t xml:space="preserve">Orange Punch Mimosa</t>
        </is>
      </c>
    </row>
    <row r="52">
      <c r="A52" s="15" t="inlineStr">
        <is>
          <t xml:space="preserve">26</t>
        </is>
      </c>
      <c r="B52" s="15" t="inlineStr">
        <is>
          <t xml:space="preserve">AB092501</t>
        </is>
      </c>
      <c r="C52" s="15" t="inlineStr">
        <is>
          <t xml:space="preserve">P060052</t>
        </is>
      </c>
      <c r="D52" s="15" t="inlineStr">
        <is>
          <t xml:space="preserve">Apple and Banana</t>
        </is>
      </c>
    </row>
    <row r="53">
      <c r="A53" s="15" t="inlineStr">
        <is>
          <t xml:space="preserve">27</t>
        </is>
      </c>
      <c r="B53" s="15" t="inlineStr">
        <is>
          <t xml:space="preserve">PM092501</t>
        </is>
      </c>
      <c r="C53" s="15" t="inlineStr">
        <is>
          <t xml:space="preserve">P060062</t>
        </is>
      </c>
      <c r="D53" s="15" t="inlineStr">
        <is>
          <t xml:space="preserve">Permanent Market</t>
        </is>
      </c>
    </row>
    <row r="54">
      <c r="A54" s="15" t="inlineStr">
        <is>
          <t xml:space="preserve">28</t>
        </is>
      </c>
      <c r="B54" s="15" t="inlineStr">
        <is>
          <t xml:space="preserve">SJ0925021</t>
        </is>
      </c>
      <c r="C54" s="15" t="inlineStr">
        <is>
          <t xml:space="preserve">P060082</t>
        </is>
      </c>
      <c r="D54" s="15" t="inlineStr">
        <is>
          <t xml:space="preserve">Sleepy Joy</t>
        </is>
      </c>
    </row>
    <row r="55">
      <c r="A55" s="15" t="inlineStr">
        <is>
          <t xml:space="preserve">29</t>
        </is>
      </c>
      <c r="B55" s="15" t="inlineStr">
        <is>
          <t xml:space="preserve">GP092501</t>
        </is>
      </c>
      <c r="C55" s="15" t="inlineStr">
        <is>
          <t xml:space="preserve">P060092</t>
        </is>
      </c>
      <c r="D55" s="15" t="inlineStr">
        <is>
          <t xml:space="preserve">Grape Pie</t>
        </is>
      </c>
    </row>
    <row r="56">
      <c r="A56" s="15" t="inlineStr">
        <is>
          <t xml:space="preserve">30</t>
        </is>
      </c>
      <c r="B56" s="15" t="inlineStr">
        <is>
          <t xml:space="preserve">WED102501</t>
        </is>
      </c>
      <c r="C56" s="15" t="inlineStr">
        <is>
          <t xml:space="preserve">P060102</t>
        </is>
      </c>
      <c r="D56" s="15" t="inlineStr">
        <is>
          <t xml:space="preserve">Wedding Cake</t>
        </is>
      </c>
    </row>
    <row r="57">
      <c r="A57" s="15" t="inlineStr">
        <is>
          <t xml:space="preserve">31</t>
        </is>
      </c>
      <c r="B57" s="15" t="inlineStr">
        <is>
          <t xml:space="preserve">J31102501</t>
        </is>
      </c>
      <c r="C57" s="15" t="inlineStr">
        <is>
          <t xml:space="preserve">P060152</t>
        </is>
      </c>
      <c r="D57" s="15" t="inlineStr">
        <is>
          <t xml:space="preserve">Jokerz 31</t>
        </is>
      </c>
    </row>
    <row r="58">
      <c r="A58" s="15" t="inlineStr">
        <is>
          <t xml:space="preserve">32</t>
        </is>
      </c>
      <c r="B58" s="15" t="inlineStr">
        <is>
          <t xml:space="preserve">KC102501</t>
        </is>
      </c>
      <c r="C58" s="15" t="inlineStr">
        <is>
          <t xml:space="preserve">P060172</t>
        </is>
      </c>
      <c r="D58" s="15" t="inlineStr">
        <is>
          <t xml:space="preserve">Kush Crasher</t>
        </is>
      </c>
    </row>
    <row r="59">
      <c r="A59" s="15" t="inlineStr">
        <is>
          <t xml:space="preserve">33</t>
        </is>
      </c>
      <c r="B59" s="15" t="inlineStr">
        <is>
          <t xml:space="preserve">SJ112501</t>
        </is>
      </c>
      <c r="C59" s="15" t="inlineStr">
        <is>
          <t xml:space="preserve">P060192</t>
        </is>
      </c>
      <c r="D59" s="15" t="inlineStr">
        <is>
          <t xml:space="preserve">Sleepy Joy</t>
        </is>
      </c>
    </row>
    <row r="60">
      <c r="A60" s="15" t="inlineStr">
        <is>
          <t xml:space="preserve">34</t>
        </is>
      </c>
      <c r="B60" s="15" t="inlineStr">
        <is>
          <t xml:space="preserve">JD112501</t>
        </is>
      </c>
      <c r="C60" s="15" t="inlineStr">
        <is>
          <t xml:space="preserve">P060212</t>
        </is>
      </c>
      <c r="D60" s="15" t="inlineStr">
        <is>
          <t xml:space="preserve">Jelly Donutz</t>
        </is>
      </c>
    </row>
    <row r="61">
      <c r="A61" s="15" t="inlineStr">
        <is>
          <t xml:space="preserve">35</t>
        </is>
      </c>
      <c r="B61" s="15" t="inlineStr">
        <is>
          <t xml:space="preserve">OPM122501</t>
        </is>
      </c>
      <c r="C61" s="15" t="inlineStr">
        <is>
          <t xml:space="preserve">P060242</t>
        </is>
      </c>
      <c r="D61" s="15" t="inlineStr">
        <is>
          <t xml:space="preserve">Orange Punch Mimosa</t>
        </is>
      </c>
    </row>
    <row r="62">
      <c r="A62" s="15" t="inlineStr">
        <is>
          <t xml:space="preserve">36</t>
        </is>
      </c>
      <c r="B62" s="15" t="inlineStr">
        <is>
          <t xml:space="preserve">GG112501</t>
        </is>
      </c>
      <c r="C62" s="15" t="inlineStr">
        <is>
          <t xml:space="preserve">P060252</t>
        </is>
      </c>
      <c r="D62" s="15" t="inlineStr">
        <is>
          <t xml:space="preserve">Gorilla Glue</t>
        </is>
      </c>
    </row>
    <row r="63">
      <c r="A63" s="15" t="inlineStr">
        <is>
          <t xml:space="preserve">37</t>
        </is>
      </c>
      <c r="B63" s="15" t="inlineStr">
        <is>
          <t xml:space="preserve">CC112501</t>
        </is>
      </c>
      <c r="C63" s="15" t="inlineStr">
        <is>
          <t xml:space="preserve">P060272</t>
        </is>
      </c>
      <c r="D63" s="15" t="inlineStr">
        <is>
          <t xml:space="preserve">CashCow</t>
        </is>
      </c>
    </row>
    <row r="64">
      <c r="A64" s="15" t="inlineStr">
        <is>
          <t xml:space="preserve">38</t>
        </is>
      </c>
      <c r="B64" s="15" t="inlineStr">
        <is>
          <t xml:space="preserve">FB112501</t>
        </is>
      </c>
      <c r="C64" s="15" t="inlineStr">
        <is>
          <t xml:space="preserve">P060292</t>
        </is>
      </c>
      <c r="D64" s="15" t="inlineStr">
        <is>
          <t xml:space="preserve">Fat Bastard</t>
        </is>
      </c>
    </row>
    <row r="65">
      <c r="A65" s="15" t="inlineStr">
        <is>
          <t xml:space="preserve">39</t>
        </is>
      </c>
      <c r="B65" s="15" t="inlineStr">
        <is>
          <t xml:space="preserve">GG012601＊</t>
        </is>
      </c>
      <c r="C65" s="15" t="inlineStr">
        <is>
          <t xml:space="preserve">P060302</t>
        </is>
      </c>
      <c r="D65" s="15" t="inlineStr">
        <is>
          <t xml:space="preserve">Gorilla Glue</t>
        </is>
      </c>
    </row>
    <row r="66">
      <c r="A66" s="15" t="inlineStr">
        <is>
          <t xml:space="preserve">40</t>
        </is>
      </c>
      <c r="B66" s="15" t="inlineStr">
        <is>
          <t xml:space="preserve">JD012601＊</t>
        </is>
      </c>
      <c r="C66" s="15" t="inlineStr">
        <is>
          <t xml:space="preserve">P060312</t>
        </is>
      </c>
      <c r="D66" s="15" t="inlineStr">
        <is>
          <t xml:space="preserve">Jelly Donutz</t>
        </is>
      </c>
    </row>
    <row r="67">
      <c r="A67" s="15" t="inlineStr">
        <is>
          <t xml:space="preserve">41</t>
        </is>
      </c>
      <c r="B67" s="15" t="inlineStr">
        <is>
          <t xml:space="preserve">FB012603V</t>
        </is>
      </c>
      <c r="C67" s="15" t="inlineStr">
        <is>
          <t xml:space="preserve">P060392</t>
        </is>
      </c>
      <c r="D67" s="15" t="inlineStr">
        <is>
          <t xml:space="preserve">Fat Bastard</t>
        </is>
      </c>
    </row>
    <row r="68">
      <c r="A68" s="15" t="inlineStr">
        <is>
          <t xml:space="preserve">42</t>
        </is>
      </c>
      <c r="B68" s="15" t="inlineStr">
        <is>
          <t xml:space="preserve">GG012603</t>
        </is>
      </c>
      <c r="C68" s="15" t="inlineStr">
        <is>
          <t xml:space="preserve">P060402</t>
        </is>
      </c>
      <c r="D68" s="15" t="inlineStr">
        <is>
          <t xml:space="preserve">Gorilla Glue</t>
        </is>
      </c>
    </row>
    <row r="69">
      <c r="A69" s="15" t="inlineStr">
        <is>
          <t xml:space="preserve">43</t>
        </is>
      </c>
      <c r="B69" s="15" t="inlineStr">
        <is>
          <t xml:space="preserve">FB012603</t>
        </is>
      </c>
      <c r="C69" s="15" t="inlineStr">
        <is>
          <t xml:space="preserve">P060432</t>
        </is>
      </c>
      <c r="D69" s="15" t="inlineStr">
        <is>
          <t xml:space="preserve">Fat Bastard</t>
        </is>
      </c>
    </row>
    <row r="70">
      <c r="A70" s="15" t="inlineStr">
        <is>
          <t xml:space="preserve">44</t>
        </is>
      </c>
      <c r="B70" s="15" t="inlineStr">
        <is>
          <t xml:space="preserve">SCR022601</t>
        </is>
      </c>
      <c r="C70" s="15" t="inlineStr">
        <is>
          <t xml:space="preserve">P060442</t>
        </is>
      </c>
      <c r="D70" s="15" t="inlineStr">
        <is>
          <t xml:space="preserve">Scrambler</t>
        </is>
      </c>
    </row>
    <row r="71">
      <c r="A71" s="15" t="inlineStr">
        <is>
          <t xml:space="preserve">45</t>
        </is>
      </c>
      <c r="B71" s="15" t="inlineStr">
        <is>
          <t xml:space="preserve">JD022601</t>
        </is>
      </c>
      <c r="C71" s="15" t="inlineStr">
        <is>
          <t xml:space="preserve">P060482</t>
        </is>
      </c>
      <c r="D71" s="15" t="inlineStr">
        <is>
          <t xml:space="preserve">JellyDonutz</t>
        </is>
      </c>
    </row>
    <row r="72"/>
    <row r="73">
      <c r="A73" s="4" t="inlineStr">
        <is>
          <t xml:space="preserve">BLOCKED — and why</t>
        </is>
      </c>
    </row>
    <row r="74">
      <c r="A74" s="4" t="inlineStr">
        <is>
          <t xml:space="preserve">#</t>
        </is>
      </c>
      <c r="B74" s="4" t="inlineStr">
        <is>
          <t xml:space="preserve">CU batch</t>
        </is>
      </c>
      <c r="C74" s="4" t="inlineStr">
        <is>
          <t xml:space="preserve">P batch</t>
        </is>
      </c>
      <c r="D74" s="4" t="inlineStr">
        <is>
          <t xml:space="preserve">Strain</t>
        </is>
      </c>
      <c r="E74" s="4" t="inlineStr">
        <is>
          <t xml:space="preserve">Blockers</t>
        </is>
      </c>
    </row>
    <row r="75">
      <c r="A75" s="15" t="inlineStr">
        <is>
          <t xml:space="preserve">1</t>
        </is>
      </c>
      <c r="B75" s="15" t="inlineStr">
        <is>
          <t xml:space="preserve">OMP1024_01</t>
        </is>
      </c>
      <c r="C75" s="15" t="inlineStr">
        <is>
          <t xml:space="preserve">P050042</t>
        </is>
      </c>
      <c r="D75" s="15" t="inlineStr">
        <is>
          <t xml:space="preserve">Orange Punch Mimosa</t>
        </is>
      </c>
      <c r="E75" s="15" t="inlineStr">
        <is>
          <t xml:space="preserve">the 25/26.08.2026 Farmahem retest differs from the assay on the tracker by +2.76 %w/w (18.14 vs 15.38) — the release potency must be settled</t>
        </is>
      </c>
    </row>
    <row r="76">
      <c r="A76" s="15" t="inlineStr">
        <is>
          <t xml:space="preserve">2</t>
        </is>
      </c>
      <c r="B76" s="15" t="inlineStr">
        <is>
          <t xml:space="preserve">GP0824_03</t>
        </is>
      </c>
      <c r="C76" s="15" t="inlineStr">
        <is>
          <t xml:space="preserve">P050072</t>
        </is>
      </c>
      <c r="D76" s="15" t="inlineStr">
        <is>
          <t xml:space="preserve">Grape Pie</t>
        </is>
      </c>
      <c r="E76" s="15" t="inlineStr">
        <is>
          <t xml:space="preserve">the 25/26.08.2026 Farmahem retest differs from the assay on the tracker by +2.32 %w/w (28.30 vs 25.98) — the release potency must be settled</t>
        </is>
      </c>
    </row>
    <row r="77">
      <c r="A77" s="15" t="inlineStr">
        <is>
          <t xml:space="preserve">3</t>
        </is>
      </c>
      <c r="B77" s="15" t="inlineStr">
        <is>
          <t xml:space="preserve">OPM1024_03</t>
        </is>
      </c>
      <c r="C77" s="15" t="inlineStr">
        <is>
          <t xml:space="preserve">P050082</t>
        </is>
      </c>
      <c r="D77" s="15" t="inlineStr">
        <is>
          <t xml:space="preserve">Orange Punch Mimosa</t>
        </is>
      </c>
      <c r="E77" s="15" t="inlineStr">
        <is>
          <t xml:space="preserve">the 25/26.08.2026 Farmahem retest differs from the assay on the tracker by +2.75 %w/w (19.30 vs 16.55) — the release potency must be settled</t>
        </is>
      </c>
    </row>
    <row r="78">
      <c r="A78" s="15" t="inlineStr">
        <is>
          <t xml:space="preserve">4</t>
        </is>
      </c>
      <c r="B78" s="15" t="inlineStr">
        <is>
          <t xml:space="preserve">BSS1024_01/2</t>
        </is>
      </c>
      <c r="C78" s="15" t="inlineStr">
        <is>
          <t xml:space="preserve">P050142</t>
        </is>
      </c>
      <c r="D78" s="15" t="inlineStr">
        <is>
          <t xml:space="preserve">Blue Sunset Sherbet</t>
        </is>
      </c>
      <c r="E78" s="15" t="inlineStr">
        <is>
          <t xml:space="preserve">8 parameter(s) with no certificate: #3 Ident. C; #4 Total Δ⁹-THC; #5 Total CBD; #6 Total CBN; #8 Loss on drying; #10 Mycotoxins; #11 Heavy metals; #12 Pesticides</t>
        </is>
      </c>
    </row>
    <row r="79">
      <c r="A79" s="15" t="inlineStr">
        <is>
          <t xml:space="preserve">5</t>
        </is>
      </c>
      <c r="B79" s="15" t="inlineStr">
        <is>
          <t xml:space="preserve">GP062501</t>
        </is>
      </c>
      <c r="C79" s="15" t="inlineStr">
        <is>
          <t xml:space="preserve">P050202</t>
        </is>
      </c>
      <c r="D79" s="15" t="inlineStr">
        <is>
          <t xml:space="preserve">Grape Pie</t>
        </is>
      </c>
      <c r="E79" s="15" t="inlineStr">
        <is>
          <t xml:space="preserve">a value is held for review — two reads disagreed, a person must read the page</t>
        </is>
      </c>
    </row>
    <row r="80">
      <c r="A80" s="15" t="inlineStr">
        <is>
          <t xml:space="preserve">6</t>
        </is>
      </c>
      <c r="B80" s="15" t="inlineStr">
        <is>
          <t xml:space="preserve">CJ062501/1</t>
        </is>
      </c>
      <c r="C80" s="15" t="inlineStr">
        <is>
          <t xml:space="preserve">P050222</t>
        </is>
      </c>
      <c r="D80" s="15" t="inlineStr">
        <is>
          <t xml:space="preserve">Cap Junky</t>
        </is>
      </c>
      <c r="E80" s="15" t="inlineStr">
        <is>
          <t xml:space="preserve">the 25/26.08.2026 Farmahem retest differs from the assay on the tracker by +3.29 %w/w (24.80 vs 21.51) — the release potency must be settled</t>
        </is>
      </c>
    </row>
    <row r="81">
      <c r="A81" s="15" t="inlineStr">
        <is>
          <t xml:space="preserve">7</t>
        </is>
      </c>
      <c r="B81" s="15" t="inlineStr">
        <is>
          <t xml:space="preserve">GP082501/1</t>
        </is>
      </c>
      <c r="C81" s="15" t="inlineStr">
        <is>
          <t xml:space="preserve">P050312</t>
        </is>
      </c>
      <c r="D81" s="15" t="inlineStr">
        <is>
          <t xml:space="preserve">Grape Pie</t>
        </is>
      </c>
      <c r="E81" s="15" t="inlineStr">
        <is>
          <t xml:space="preserve">the 25/26.08.2026 Farmahem retest differs from the assay on the tracker by +3.84 %w/w (25.13 vs 21.29) — the release potency must be settled</t>
        </is>
      </c>
    </row>
    <row r="82">
      <c r="A82" s="15" t="inlineStr">
        <is>
          <t xml:space="preserve">8</t>
        </is>
      </c>
      <c r="B82" s="15" t="inlineStr">
        <is>
          <t xml:space="preserve">CJ082501/1</t>
        </is>
      </c>
      <c r="C82" s="15" t="inlineStr">
        <is>
          <t xml:space="preserve">P060022</t>
        </is>
      </c>
      <c r="D82" s="15" t="inlineStr">
        <is>
          <t xml:space="preserve">Cap Junky</t>
        </is>
      </c>
      <c r="E82" s="15" t="inlineStr">
        <is>
          <t xml:space="preserve">the 25/26.08.2026 Farmahem retest differs from the assay on the tracker by +3.38 %w/w (28.34 vs 24.96) — the release potency must be settled</t>
        </is>
      </c>
    </row>
    <row r="83">
      <c r="A83" s="15" t="inlineStr">
        <is>
          <t xml:space="preserve">9</t>
        </is>
      </c>
      <c r="B83" s="15" t="inlineStr">
        <is>
          <t xml:space="preserve">CJ092501</t>
        </is>
      </c>
      <c r="C83" s="15" t="inlineStr">
        <is>
          <t xml:space="preserve">P060072</t>
        </is>
      </c>
      <c r="D83" s="15" t="inlineStr">
        <is>
          <t xml:space="preserve">Cap Junky</t>
        </is>
      </c>
      <c r="E83" s="15" t="inlineStr">
        <is>
          <t xml:space="preserve">the 25/26.08.2026 Farmahem retest differs from the assay on the tracker by +3.35 %w/w (25.65 vs 22.30) — the release potency must be settled</t>
        </is>
      </c>
    </row>
    <row r="84">
      <c r="A84" s="15" t="inlineStr">
        <is>
          <t xml:space="preserve">10</t>
        </is>
      </c>
      <c r="B84" s="15" t="inlineStr">
        <is>
          <t xml:space="preserve">PUM102501</t>
        </is>
      </c>
      <c r="C84" s="15" t="inlineStr">
        <is>
          <t xml:space="preserve">P060112</t>
        </is>
      </c>
      <c r="D84" s="15" t="inlineStr">
        <is>
          <t xml:space="preserve">Pure Michigan</t>
        </is>
      </c>
      <c r="E84" s="15" t="inlineStr">
        <is>
          <t xml:space="preserve">3 parameter(s) with no certificate: #1 Ident. A; #2 Ident. B; #7 Foreign matter</t>
        </is>
      </c>
    </row>
    <row r="85">
      <c r="A85" s="15" t="inlineStr">
        <is>
          <t xml:space="preserve">11</t>
        </is>
      </c>
      <c r="B85" s="15" t="inlineStr">
        <is>
          <t xml:space="preserve">ACC102501</t>
        </is>
      </c>
      <c r="C85" s="15" t="inlineStr">
        <is>
          <t xml:space="preserve">P060122</t>
        </is>
      </c>
      <c r="D85" s="15" t="inlineStr">
        <is>
          <t xml:space="preserve">Amnesia Core Cut</t>
        </is>
      </c>
      <c r="E85" s="15" t="inlineStr">
        <is>
          <t xml:space="preserve">3 parameter(s) with no certificate: #1 Ident. A; #2 Ident. B; #7 Foreign matter</t>
        </is>
      </c>
    </row>
    <row r="86">
      <c r="A86" s="15" t="inlineStr">
        <is>
          <t xml:space="preserve">12</t>
        </is>
      </c>
      <c r="B86" s="15" t="inlineStr">
        <is>
          <t xml:space="preserve">CF102501</t>
        </is>
      </c>
      <c r="C86" s="15" t="inlineStr">
        <is>
          <t xml:space="preserve">P060132</t>
        </is>
      </c>
      <c r="D86" s="15" t="inlineStr">
        <is>
          <t xml:space="preserve">Chem Flyer</t>
        </is>
      </c>
      <c r="E86" s="15" t="inlineStr">
        <is>
          <t xml:space="preserve">3 parameter(s) with no certificate: #1 Ident. A; #2 Ident. B; #7 Foreign matter</t>
        </is>
      </c>
    </row>
    <row r="87">
      <c r="A87" s="15" t="inlineStr">
        <is>
          <t xml:space="preserve">13</t>
        </is>
      </c>
      <c r="B87" s="15" t="inlineStr">
        <is>
          <t xml:space="preserve">SJ102501</t>
        </is>
      </c>
      <c r="C87" s="15" t="inlineStr">
        <is>
          <t xml:space="preserve">P060162</t>
        </is>
      </c>
      <c r="D87" s="15" t="inlineStr">
        <is>
          <t xml:space="preserve">Sleepy Joy</t>
        </is>
      </c>
      <c r="E87" s="15" t="inlineStr">
        <is>
          <t xml:space="preserve">2 parameter(s) with no certificate: #10 Mycotoxins; #11 Heavy metals</t>
        </is>
      </c>
    </row>
    <row r="88">
      <c r="A88" s="15" t="inlineStr">
        <is>
          <t xml:space="preserve">14</t>
        </is>
      </c>
      <c r="B88" s="15" t="inlineStr">
        <is>
          <t xml:space="preserve">J31112501</t>
        </is>
      </c>
      <c r="C88" s="15" t="inlineStr">
        <is>
          <t xml:space="preserve">P060202</t>
        </is>
      </c>
      <c r="D88" s="15" t="inlineStr">
        <is>
          <t xml:space="preserve">Jokerz 31</t>
        </is>
      </c>
      <c r="E88" s="15" t="inlineStr">
        <is>
          <t xml:space="preserve">a value is held for review — two reads disagreed, a person must read the page</t>
        </is>
      </c>
    </row>
    <row r="89">
      <c r="A89" s="15" t="inlineStr">
        <is>
          <t xml:space="preserve">15</t>
        </is>
      </c>
      <c r="B89" s="15" t="inlineStr">
        <is>
          <t xml:space="preserve">OPM112501</t>
        </is>
      </c>
      <c r="C89" s="15" t="inlineStr">
        <is>
          <t xml:space="preserve">P060222</t>
        </is>
      </c>
      <c r="D89" s="15" t="inlineStr">
        <is>
          <t xml:space="preserve">Orange Punch Mimosa</t>
        </is>
      </c>
      <c r="E89" s="15" t="inlineStr">
        <is>
          <t xml:space="preserve">2 parameter(s) with no certificate: #6 Total CBN; #10 Mycotoxins</t>
        </is>
      </c>
    </row>
    <row r="90">
      <c r="A90" s="15" t="inlineStr">
        <is>
          <t xml:space="preserve">16</t>
        </is>
      </c>
      <c r="B90" s="15" t="inlineStr">
        <is>
          <t xml:space="preserve">J31122501</t>
        </is>
      </c>
      <c r="C90" s="15" t="inlineStr">
        <is>
          <t xml:space="preserve">P060262</t>
        </is>
      </c>
      <c r="D90" s="15" t="inlineStr">
        <is>
          <t xml:space="preserve">Jokerz 31</t>
        </is>
      </c>
      <c r="E90" s="15" t="inlineStr">
        <is>
          <t xml:space="preserve">1 parameter(s) with no certificate: #8 Loss on drying</t>
        </is>
      </c>
    </row>
    <row r="91">
      <c r="A91" s="15" t="inlineStr">
        <is>
          <t xml:space="preserve">17</t>
        </is>
      </c>
      <c r="B91" s="15" t="inlineStr">
        <is>
          <t xml:space="preserve">SCR112501</t>
        </is>
      </c>
      <c r="C91" s="15" t="inlineStr">
        <is>
          <t xml:space="preserve">P060282</t>
        </is>
      </c>
      <c r="D91" s="15" t="inlineStr">
        <is>
          <t xml:space="preserve">Scrambler</t>
        </is>
      </c>
      <c r="E91" s="15" t="inlineStr">
        <is>
          <t xml:space="preserve">the 25/26.08.2026 Farmahem retest differs from the assay on the tracker by +2.60 %w/w (19.73 vs 17.13) — the release potency must be settled</t>
        </is>
      </c>
    </row>
    <row r="92">
      <c r="A92" s="15" t="inlineStr">
        <is>
          <t xml:space="preserve">18</t>
        </is>
      </c>
      <c r="B92" s="15" t="inlineStr">
        <is>
          <t xml:space="preserve">FB012601_1</t>
        </is>
      </c>
      <c r="C92" s="15" t="inlineStr">
        <is>
          <t xml:space="preserve">P060322</t>
        </is>
      </c>
      <c r="D92" s="15" t="inlineStr">
        <is>
          <t xml:space="preserve">Fat Bastard</t>
        </is>
      </c>
      <c r="E92" s="15" t="inlineStr">
        <is>
          <t xml:space="preserve">the 25/26.08.2026 Farmahem retest differs from the assay on the tracker by +3.31 %w/w (17.99 vs 14.68) — the release potency must be settled</t>
        </is>
      </c>
    </row>
    <row r="93">
      <c r="A93" s="15" t="inlineStr">
        <is>
          <t xml:space="preserve">19</t>
        </is>
      </c>
      <c r="B93" s="15" t="inlineStr">
        <is>
          <t xml:space="preserve">CC012601/1</t>
        </is>
      </c>
      <c r="C93" s="15" t="inlineStr">
        <is>
          <t xml:space="preserve">P060332</t>
        </is>
      </c>
      <c r="D93" s="15"/>
      <c r="E93" s="15" t="inlineStr">
        <is>
          <t xml:space="preserve">3 parameter(s) with no certificate: #8 Loss on drying; #11 Heavy metals; #12 Pesticides</t>
        </is>
      </c>
    </row>
    <row r="94">
      <c r="A94" s="15" t="inlineStr">
        <is>
          <t xml:space="preserve">20</t>
        </is>
      </c>
      <c r="B94" s="15" t="inlineStr">
        <is>
          <t xml:space="preserve">SCR012601*</t>
        </is>
      </c>
      <c r="C94" s="15" t="inlineStr">
        <is>
          <t xml:space="preserve">P060342</t>
        </is>
      </c>
      <c r="D94" s="15" t="inlineStr">
        <is>
          <t xml:space="preserve">Scrambler</t>
        </is>
      </c>
      <c r="E94" s="15" t="inlineStr">
        <is>
          <t xml:space="preserve">8 parameter(s) with no certificate: #3 Ident. C; #4 Total Δ⁹-THC; #5 Total CBD; #6 Total CBN; #8 Loss on drying; #10 Mycotoxins; #11 Heavy metals; #12 Pesticides</t>
        </is>
      </c>
    </row>
    <row r="95">
      <c r="A95" s="15" t="inlineStr">
        <is>
          <t xml:space="preserve">21</t>
        </is>
      </c>
      <c r="B95" s="15" t="inlineStr">
        <is>
          <t xml:space="preserve">FB012602*</t>
        </is>
      </c>
      <c r="C95" s="15" t="inlineStr">
        <is>
          <t xml:space="preserve">P060352</t>
        </is>
      </c>
      <c r="D95" s="15" t="inlineStr">
        <is>
          <t xml:space="preserve">Fat Bastard</t>
        </is>
      </c>
      <c r="E95" s="15" t="inlineStr">
        <is>
          <t xml:space="preserve">3 parameter(s) with no certificate: #8 Loss on drying; #11 Heavy metals; #12 Pesticides</t>
        </is>
      </c>
    </row>
    <row r="96">
      <c r="A96" s="15" t="inlineStr">
        <is>
          <t xml:space="preserve">22</t>
        </is>
      </c>
      <c r="B96" s="15" t="inlineStr">
        <is>
          <t xml:space="preserve">JD012603</t>
        </is>
      </c>
      <c r="C96" s="15" t="inlineStr">
        <is>
          <t xml:space="preserve">P060362 / P060412 / P060422</t>
        </is>
      </c>
      <c r="D96" s="15"/>
      <c r="E96" s="15" t="inlineStr">
        <is>
          <t xml:space="preserve">ROLL-UP: one tracker row covering P060362 / P060412 / P060422 — a CoQ is issued per P lot, so this row must be split first</t>
        </is>
      </c>
    </row>
    <row r="97">
      <c r="A97" s="15" t="inlineStr">
        <is>
          <t xml:space="preserve">23</t>
        </is>
      </c>
      <c r="B97" s="15" t="inlineStr">
        <is>
          <t xml:space="preserve">CC012603</t>
        </is>
      </c>
      <c r="C97" s="15" t="inlineStr">
        <is>
          <t xml:space="preserve">P060372</t>
        </is>
      </c>
      <c r="D97" s="15" t="inlineStr">
        <is>
          <t xml:space="preserve">Cash Cow</t>
        </is>
      </c>
      <c r="E97" s="15" t="inlineStr">
        <is>
          <t xml:space="preserve">7 parameter(s) with no certificate: #1 Ident. A; #2 Ident. B; #7 Foreign matter; #8 Loss on drying; #10 Mycotoxins; #11 Heavy metals; #12 Pesticides</t>
        </is>
      </c>
    </row>
    <row r="98">
      <c r="A98" s="15" t="inlineStr">
        <is>
          <t xml:space="preserve">24</t>
        </is>
      </c>
      <c r="B98" s="15" t="inlineStr">
        <is>
          <t xml:space="preserve">SCR012603</t>
        </is>
      </c>
      <c r="C98" s="15" t="inlineStr">
        <is>
          <t xml:space="preserve">P060382</t>
        </is>
      </c>
      <c r="D98" s="15" t="inlineStr">
        <is>
          <t xml:space="preserve">Scrambler</t>
        </is>
      </c>
      <c r="E98" s="15" t="inlineStr">
        <is>
          <t xml:space="preserve">3 parameter(s) with no certificate: #8 Loss on drying; #11 Heavy metals; #12 Pesticides</t>
        </is>
      </c>
    </row>
    <row r="99">
      <c r="A99" s="15" t="inlineStr">
        <is>
          <t xml:space="preserve">25</t>
        </is>
      </c>
      <c r="B99" s="15" t="inlineStr">
        <is>
          <t xml:space="preserve">FB032601</t>
        </is>
      </c>
      <c r="C99" s="15" t="inlineStr">
        <is>
          <t xml:space="preserve">P060452</t>
        </is>
      </c>
      <c r="D99" s="15" t="inlineStr">
        <is>
          <t xml:space="preserve">Fat Bastard</t>
        </is>
      </c>
      <c r="E99" s="15" t="inlineStr">
        <is>
          <t xml:space="preserve">a determination is reported NOT CONFORMING — deviation/OOS record required</t>
        </is>
      </c>
    </row>
    <row r="100">
      <c r="A100" s="15" t="inlineStr">
        <is>
          <t xml:space="preserve">26</t>
        </is>
      </c>
      <c r="B100" s="15" t="inlineStr">
        <is>
          <t xml:space="preserve">GG032601</t>
        </is>
      </c>
      <c r="C100" s="15" t="inlineStr">
        <is>
          <t xml:space="preserve">P060462</t>
        </is>
      </c>
      <c r="D100" s="15" t="inlineStr">
        <is>
          <t xml:space="preserve">Gorilla Glue</t>
        </is>
      </c>
      <c r="E100" s="15" t="inlineStr">
        <is>
          <t xml:space="preserve">2 parameter(s) with no certificate: #9 Microbiology; #11 Heavy metals</t>
        </is>
      </c>
    </row>
    <row r="101">
      <c r="A101" s="15" t="inlineStr">
        <is>
          <t xml:space="preserve">27</t>
        </is>
      </c>
      <c r="B101" s="15" t="inlineStr">
        <is>
          <t xml:space="preserve">— not recorded —</t>
        </is>
      </c>
      <c r="C101" s="15" t="inlineStr">
        <is>
          <t xml:space="preserve">P160012</t>
        </is>
      </c>
      <c r="D101" s="15"/>
      <c r="E101" s="15" t="inlineStr">
        <is>
          <t xml:space="preserve">no cultivation batch recorded</t>
        </is>
      </c>
    </row>
    <row r="102">
      <c r="A102" s="15" t="inlineStr">
        <is>
          <t xml:space="preserve">28</t>
        </is>
      </c>
      <c r="B102" s="15" t="inlineStr">
        <is>
          <t xml:space="preserve">— not recorded —</t>
        </is>
      </c>
      <c r="C102" s="15" t="inlineStr">
        <is>
          <t xml:space="preserve">P160022</t>
        </is>
      </c>
      <c r="D102" s="15"/>
      <c r="E102" s="15" t="inlineStr">
        <is>
          <t xml:space="preserve">no cultivation batch recorded</t>
        </is>
      </c>
    </row>
    <row r="103">
      <c r="A103" s="15" t="inlineStr">
        <is>
          <t xml:space="preserve">29</t>
        </is>
      </c>
      <c r="B103" s="15" t="inlineStr">
        <is>
          <t xml:space="preserve">— not recorded —</t>
        </is>
      </c>
      <c r="C103" s="15" t="inlineStr">
        <is>
          <t xml:space="preserve">P160032</t>
        </is>
      </c>
      <c r="D103" s="15"/>
      <c r="E103" s="15" t="inlineStr">
        <is>
          <t xml:space="preserve">no cultivation batch recorded</t>
        </is>
      </c>
    </row>
    <row r="104">
      <c r="A104" s="15" t="inlineStr">
        <is>
          <t xml:space="preserve">30</t>
        </is>
      </c>
      <c r="B104" s="15" t="inlineStr">
        <is>
          <t xml:space="preserve">BG1024</t>
        </is>
      </c>
      <c r="C104" s="15" t="inlineStr">
        <is>
          <t xml:space="preserve">— not assigned —</t>
        </is>
      </c>
      <c r="D104" s="15" t="inlineStr">
        <is>
          <t xml:space="preserve">Blue Gelato</t>
        </is>
      </c>
      <c r="E104" s="15" t="inlineStr">
        <is>
          <t xml:space="preserve">no P batch number assigned</t>
        </is>
      </c>
    </row>
    <row r="105">
      <c r="A105" s="15" t="inlineStr">
        <is>
          <t xml:space="preserve">31</t>
        </is>
      </c>
      <c r="B105" s="15" t="inlineStr">
        <is>
          <t xml:space="preserve">BSS1024</t>
        </is>
      </c>
      <c r="C105" s="15" t="inlineStr">
        <is>
          <t xml:space="preserve">— not assigned —</t>
        </is>
      </c>
      <c r="D105" s="15" t="inlineStr">
        <is>
          <t xml:space="preserve">Blue Sunset Sherbet</t>
        </is>
      </c>
      <c r="E105" s="15" t="inlineStr">
        <is>
          <t xml:space="preserve">no P batch number assigned</t>
        </is>
      </c>
    </row>
    <row r="106">
      <c r="A106" s="15" t="inlineStr">
        <is>
          <t xml:space="preserve">32</t>
        </is>
      </c>
      <c r="B106" s="15" t="inlineStr">
        <is>
          <t xml:space="preserve">CJ1024</t>
        </is>
      </c>
      <c r="C106" s="15" t="inlineStr">
        <is>
          <t xml:space="preserve">— not assigned —</t>
        </is>
      </c>
      <c r="D106" s="15" t="inlineStr">
        <is>
          <t xml:space="preserve">Cap Junky</t>
        </is>
      </c>
      <c r="E106" s="15" t="inlineStr">
        <is>
          <t xml:space="preserve">no P batch number assigned</t>
        </is>
      </c>
    </row>
    <row r="107">
      <c r="A107" s="15" t="inlineStr">
        <is>
          <t xml:space="preserve">33</t>
        </is>
      </c>
      <c r="B107" s="15" t="inlineStr">
        <is>
          <t xml:space="preserve">GG1024</t>
        </is>
      </c>
      <c r="C107" s="15" t="inlineStr">
        <is>
          <t xml:space="preserve">— not assigned —</t>
        </is>
      </c>
      <c r="D107" s="15" t="inlineStr">
        <is>
          <t xml:space="preserve">Gorilla Glue</t>
        </is>
      </c>
      <c r="E107" s="15" t="inlineStr">
        <is>
          <t xml:space="preserve">no P batch number assigned</t>
        </is>
      </c>
    </row>
    <row r="108">
      <c r="A108" s="15" t="inlineStr">
        <is>
          <t xml:space="preserve">34</t>
        </is>
      </c>
      <c r="B108" s="15" t="inlineStr">
        <is>
          <t xml:space="preserve">JD112501＊</t>
        </is>
      </c>
      <c r="C108" s="15" t="inlineStr">
        <is>
          <t xml:space="preserve">— not assigned —</t>
        </is>
      </c>
      <c r="D108" s="15" t="inlineStr">
        <is>
          <t xml:space="preserve">Jelly Donutz</t>
        </is>
      </c>
      <c r="E108" s="15" t="inlineStr">
        <is>
          <t xml:space="preserve">no P batch number assigned</t>
        </is>
      </c>
    </row>
    <row r="109">
      <c r="A109" s="15" t="inlineStr">
        <is>
          <t xml:space="preserve">35</t>
        </is>
      </c>
      <c r="B109" s="15" t="inlineStr">
        <is>
          <t xml:space="preserve">BSS052501</t>
        </is>
      </c>
      <c r="C109" s="15" t="inlineStr">
        <is>
          <t xml:space="preserve">P050192</t>
        </is>
      </c>
      <c r="D109" s="15" t="inlineStr">
        <is>
          <t xml:space="preserve">Blue Sunset Sherbet</t>
        </is>
      </c>
      <c r="E109" s="15" t="inlineStr">
        <is>
          <t xml:space="preserve">1 parameter(s) with no certificate: #8 Loss on drying | a value is held for review — two reads disagreed, a person must read the page</t>
        </is>
      </c>
    </row>
    <row r="110">
      <c r="A110" s="15" t="inlineStr">
        <is>
          <t xml:space="preserve">36</t>
        </is>
      </c>
      <c r="B110" s="15" t="inlineStr">
        <is>
          <t xml:space="preserve">GRC102501</t>
        </is>
      </c>
      <c r="C110" s="15" t="inlineStr">
        <is>
          <t xml:space="preserve">P060142 / P060182</t>
        </is>
      </c>
      <c r="D110" s="15"/>
      <c r="E110" s="15" t="inlineStr">
        <is>
          <t xml:space="preserve">1 parameter(s) with no certificate: #10 Mycotoxins | ROLL-UP: one tracker row covering P060142 / P060182 — a CoQ is issued per P lot, so this row must be split first</t>
        </is>
      </c>
    </row>
    <row r="111">
      <c r="A111" s="15" t="inlineStr">
        <is>
          <t xml:space="preserve">37</t>
        </is>
      </c>
      <c r="B111" s="15" t="inlineStr">
        <is>
          <t xml:space="preserve">PM112501</t>
        </is>
      </c>
      <c r="C111" s="15" t="inlineStr">
        <is>
          <t xml:space="preserve">P060232</t>
        </is>
      </c>
      <c r="D111" s="15" t="inlineStr">
        <is>
          <t xml:space="preserve">Permanent Market</t>
        </is>
      </c>
      <c r="E111" s="15" t="inlineStr">
        <is>
          <t xml:space="preserve">1 parameter(s) with no certificate: #10 Mycotoxins | the 25/26.08.2026 Farmahem retest differs from the assay on the tracker by -2.53 %w/w (10.80 vs 13.33) — the release potency must be settled</t>
        </is>
      </c>
    </row>
    <row r="112">
      <c r="A112" s="15" t="inlineStr">
        <is>
          <t xml:space="preserve">38</t>
        </is>
      </c>
      <c r="B112" s="15" t="inlineStr">
        <is>
          <t xml:space="preserve">CC042601</t>
        </is>
      </c>
      <c r="C112" s="15" t="inlineStr">
        <is>
          <t xml:space="preserve">— not assigned —</t>
        </is>
      </c>
      <c r="D112" s="15" t="inlineStr">
        <is>
          <t xml:space="preserve">Cash Cow</t>
        </is>
      </c>
      <c r="E112" s="15" t="inlineStr">
        <is>
          <t xml:space="preserve">8 parameter(s) with no certificate: #1 Ident. A; #2 Ident. B; #7 Foreign matter; #8 Loss on drying; #9 Microbiology; #10 Mycotoxins; #11 Heavy metals; #12 Pesticides | no P batch number assigned</t>
        </is>
      </c>
    </row>
    <row r="113">
      <c r="A113" s="15" t="inlineStr">
        <is>
          <t xml:space="preserve">39</t>
        </is>
      </c>
      <c r="B113" s="15" t="inlineStr">
        <is>
          <t xml:space="preserve">FB042601</t>
        </is>
      </c>
      <c r="C113" s="15" t="inlineStr">
        <is>
          <t xml:space="preserve">— not assigned —</t>
        </is>
      </c>
      <c r="D113" s="15" t="inlineStr">
        <is>
          <t xml:space="preserve">Fat Bastard</t>
        </is>
      </c>
      <c r="E113" s="15" t="inlineStr">
        <is>
          <t xml:space="preserve">8 parameter(s) with no certificate: #1 Ident. A; #2 Ident. B; #7 Foreign matter; #8 Loss on drying; #9 Microbiology; #10 Mycotoxins; #11 Heavy metals; #12 Pesticides | no P batch number assigned</t>
        </is>
      </c>
    </row>
    <row r="114">
      <c r="A114" s="15" t="inlineStr">
        <is>
          <t xml:space="preserve">40</t>
        </is>
      </c>
      <c r="B114" s="15" t="inlineStr">
        <is>
          <t xml:space="preserve">HPA1024</t>
        </is>
      </c>
      <c r="C114" s="15" t="inlineStr">
        <is>
          <t xml:space="preserve">— not assigned —</t>
        </is>
      </c>
      <c r="D114" s="15" t="inlineStr">
        <is>
          <t xml:space="preserve">High Pro Amnesia</t>
        </is>
      </c>
      <c r="E114" s="15" t="inlineStr">
        <is>
          <t xml:space="preserve">4 parameter(s) with no certificate: #8 Loss on drying; #9 Microbiology; #11 Heavy metals; #12 Pesticides | no P batch number assigned</t>
        </is>
      </c>
    </row>
    <row r="115">
      <c r="A115" s="15" t="inlineStr">
        <is>
          <t xml:space="preserve">41</t>
        </is>
      </c>
      <c r="B115" s="15" t="inlineStr">
        <is>
          <t xml:space="preserve">JD032601</t>
        </is>
      </c>
      <c r="C115" s="15" t="inlineStr">
        <is>
          <t xml:space="preserve">— not assigned —</t>
        </is>
      </c>
      <c r="D115" s="15" t="inlineStr">
        <is>
          <t xml:space="preserve">Jelly Donutz</t>
        </is>
      </c>
      <c r="E115" s="15" t="inlineStr">
        <is>
          <t xml:space="preserve">8 parameter(s) with no certificate: #1 Ident. A; #2 Ident. B; #3 Ident. C; #4 Total Δ⁹-THC; #5 Total CBD; #6 Total CBN; #7 Foreign matter; #8 Loss on drying | no P batch number assigned</t>
        </is>
      </c>
    </row>
    <row r="116">
      <c r="A116" s="15" t="inlineStr">
        <is>
          <t xml:space="preserve">42</t>
        </is>
      </c>
      <c r="B116" s="15" t="inlineStr">
        <is>
          <t xml:space="preserve">JD042601</t>
        </is>
      </c>
      <c r="C116" s="15" t="inlineStr">
        <is>
          <t xml:space="preserve">— not assigned —</t>
        </is>
      </c>
      <c r="D116" s="15" t="inlineStr">
        <is>
          <t xml:space="preserve">Jelly Donutz</t>
        </is>
      </c>
      <c r="E116" s="15" t="inlineStr">
        <is>
          <t xml:space="preserve">8 parameter(s) with no certificate: #1 Ident. A; #2 Ident. B; #7 Foreign matter; #8 Loss on drying; #9 Microbiology; #10 Mycotoxins; #11 Heavy metals; #12 Pesticides | no P batch number assigned</t>
        </is>
      </c>
    </row>
    <row r="117">
      <c r="A117" s="15" t="inlineStr">
        <is>
          <t xml:space="preserve">43</t>
        </is>
      </c>
      <c r="B117" s="15" t="inlineStr">
        <is>
          <t xml:space="preserve">OPM1024</t>
        </is>
      </c>
      <c r="C117" s="15" t="inlineStr">
        <is>
          <t xml:space="preserve">— not assigned —</t>
        </is>
      </c>
      <c r="D117" s="15" t="inlineStr">
        <is>
          <t xml:space="preserve">Orange Punch Mimosa</t>
        </is>
      </c>
      <c r="E117" s="15" t="inlineStr">
        <is>
          <t xml:space="preserve">4 parameter(s) with no certificate: #8 Loss on drying; #9 Microbiology; #11 Heavy metals; #12 Pesticides | no P batch number assigned</t>
        </is>
      </c>
    </row>
    <row r="118">
      <c r="A118" s="15" t="inlineStr">
        <is>
          <t xml:space="preserve">44</t>
        </is>
      </c>
      <c r="B118" s="15" t="inlineStr">
        <is>
          <t xml:space="preserve">OPM1024-01</t>
        </is>
      </c>
      <c r="C118" s="15" t="inlineStr">
        <is>
          <t xml:space="preserve">— not assigned —</t>
        </is>
      </c>
      <c r="D118" s="15" t="inlineStr">
        <is>
          <t xml:space="preserve">Orange Punch Mimosa</t>
        </is>
      </c>
      <c r="E118" s="15" t="inlineStr">
        <is>
          <t xml:space="preserve">4 parameter(s) with no certificate: #1 Ident. A; #2 Ident. B; #6 Total CBN; #7 Foreign matter | no P batch number assigned</t>
        </is>
      </c>
    </row>
    <row r="119"/>
    <row r="120">
      <c r="A120" s="4" t="inlineStr">
        <is>
          <t xml:space="preserve">Citations where the certificate names a narrower batch than the tracker row</t>
        </is>
      </c>
    </row>
    <row r="121">
      <c r="A121" s="4" t="inlineStr">
        <is>
          <t xml:space="preserve">Tracker row</t>
        </is>
      </c>
      <c r="B121" s="4" t="inlineStr">
        <is>
          <t xml:space="preserve">Parameter</t>
        </is>
      </c>
      <c r="C121" s="4" t="inlineStr">
        <is>
          <t xml:space="preserve">Laboratory</t>
        </is>
      </c>
      <c r="D121" s="4" t="inlineStr">
        <is>
          <t xml:space="preserve">Certificate</t>
        </is>
      </c>
      <c r="E121" s="4" t="inlineStr">
        <is>
          <t xml:space="preserve">Date</t>
        </is>
      </c>
      <c r="F121" s="4" t="inlineStr">
        <is>
          <t xml:space="preserve">What the file says</t>
        </is>
      </c>
    </row>
    <row r="122">
      <c r="A122" s="15" t="inlineStr">
        <is>
          <t xml:space="preserve">GRC102501</t>
        </is>
      </c>
      <c r="B122" s="15" t="inlineStr">
        <is>
          <t xml:space="preserve">#3</t>
        </is>
      </c>
      <c r="C122" s="15" t="inlineStr">
        <is>
          <t xml:space="preserve">FHM-K</t>
        </is>
      </c>
      <c r="D122" s="15" t="inlineStr">
        <is>
          <t xml:space="preserve">051-6-LoD-26</t>
        </is>
      </c>
      <c r="E122" s="15" t="inlineStr">
        <is>
          <t xml:space="preserve">02.03.2026</t>
        </is>
      </c>
      <c r="F122" s="15" t="inlineStr">
        <is>
          <t xml:space="preserve">file says GRC102501/2 / P060182</t>
        </is>
      </c>
    </row>
    <row r="123">
      <c r="A123" s="15" t="inlineStr">
        <is>
          <t xml:space="preserve">GRC102501</t>
        </is>
      </c>
      <c r="B123" s="15" t="inlineStr">
        <is>
          <t xml:space="preserve">#9</t>
        </is>
      </c>
      <c r="C123" s="15" t="inlineStr">
        <is>
          <t xml:space="preserve">IJZ-MB</t>
        </is>
      </c>
      <c r="D123" s="15" t="inlineStr">
        <is>
          <t xml:space="preserve">550-1081-26</t>
        </is>
      </c>
      <c r="E123" s="15" t="inlineStr">
        <is>
          <t xml:space="preserve">01.09.2026</t>
        </is>
      </c>
      <c r="F123" s="15" t="inlineStr">
        <is>
          <t xml:space="preserve">file says GRC102501/1 / P060142</t>
        </is>
      </c>
    </row>
    <row r="124">
      <c r="A124" s="15" t="inlineStr">
        <is>
          <t xml:space="preserve">GRC102501</t>
        </is>
      </c>
      <c r="B124" s="15" t="inlineStr">
        <is>
          <t xml:space="preserve">#3</t>
        </is>
      </c>
      <c r="C124" s="15" t="inlineStr">
        <is>
          <t xml:space="preserve">FHM-K</t>
        </is>
      </c>
      <c r="D124" s="15" t="inlineStr">
        <is>
          <t xml:space="preserve">051-6-K-26</t>
        </is>
      </c>
      <c r="E124" s="15" t="inlineStr">
        <is>
          <t xml:space="preserve">04.03.2026</t>
        </is>
      </c>
      <c r="F124" s="15" t="inlineStr">
        <is>
          <t xml:space="preserve">file says GRC102501/2 / P060182</t>
        </is>
      </c>
    </row>
    <row r="125">
      <c r="A125" s="15" t="inlineStr">
        <is>
          <t xml:space="preserve">JD012603</t>
        </is>
      </c>
      <c r="B125" s="15" t="inlineStr">
        <is>
          <t xml:space="preserve">#1</t>
        </is>
      </c>
      <c r="C125" s="15" t="inlineStr">
        <is>
          <t xml:space="preserve">CNP</t>
        </is>
      </c>
      <c r="D125" s="15" t="inlineStr">
        <is>
          <t xml:space="preserve">ППК26111</t>
        </is>
      </c>
      <c r="E125" s="15" t="inlineStr">
        <is>
          <t xml:space="preserve">30.06.2026</t>
        </is>
      </c>
      <c r="F125" s="15" t="inlineStr">
        <is>
          <t xml:space="preserve">file says JD012603/02V / P060422</t>
        </is>
      </c>
    </row>
    <row r="126">
      <c r="A126" s="15" t="inlineStr">
        <is>
          <t xml:space="preserve">JD012603</t>
        </is>
      </c>
      <c r="B126" s="15" t="inlineStr">
        <is>
          <t xml:space="preserve">#1</t>
        </is>
      </c>
      <c r="C126" s="15" t="inlineStr">
        <is>
          <t xml:space="preserve">CNP</t>
        </is>
      </c>
      <c r="D126" s="15" t="inlineStr">
        <is>
          <t xml:space="preserve">ППК26113</t>
        </is>
      </c>
      <c r="E126" s="15" t="inlineStr">
        <is>
          <t xml:space="preserve">30.06.2026</t>
        </is>
      </c>
      <c r="F126" s="15" t="inlineStr">
        <is>
          <t xml:space="preserve">file says JD012603/02 / P060412</t>
        </is>
      </c>
    </row>
    <row r="127">
      <c r="A127" s="15" t="inlineStr">
        <is>
          <t xml:space="preserve">OMP1024_01</t>
        </is>
      </c>
      <c r="B127" s="15" t="inlineStr">
        <is>
          <t xml:space="preserve">#2</t>
        </is>
      </c>
      <c r="C127" s="15" t="inlineStr">
        <is>
          <t xml:space="preserve">CNP</t>
        </is>
      </c>
      <c r="D127" s="15" t="inlineStr">
        <is>
          <t xml:space="preserve">ППК25117</t>
        </is>
      </c>
      <c r="E127" s="15" t="inlineStr">
        <is>
          <t xml:space="preserve">06.05.2025</t>
        </is>
      </c>
      <c r="F127" s="15" t="inlineStr">
        <is>
          <t xml:space="preserve">file says OPM1024_01 / None</t>
        </is>
      </c>
    </row>
    <row r="128">
      <c r="A128" s="15" t="inlineStr">
        <is>
          <t xml:space="preserve">OMP1024_01</t>
        </is>
      </c>
      <c r="B128" s="15" t="inlineStr">
        <is>
          <t xml:space="preserve">#9</t>
        </is>
      </c>
      <c r="C128" s="15" t="inlineStr">
        <is>
          <t xml:space="preserve">IJZ-MB</t>
        </is>
      </c>
      <c r="D128" s="15" t="inlineStr">
        <is>
          <t xml:space="preserve">407-0745-25</t>
        </is>
      </c>
      <c r="E128" s="15" t="inlineStr">
        <is>
          <t xml:space="preserve">05.05.2025</t>
        </is>
      </c>
      <c r="F128" s="15" t="inlineStr">
        <is>
          <t xml:space="preserve">file says OPM1024-01 / None</t>
        </is>
      </c>
    </row>
    <row r="129">
      <c r="A129" s="15" t="inlineStr">
        <is>
          <t xml:space="preserve">OMP1024_01</t>
        </is>
      </c>
      <c r="B129" s="15" t="inlineStr">
        <is>
          <t xml:space="preserve">#10</t>
        </is>
      </c>
      <c r="C129" s="15" t="inlineStr">
        <is>
          <t xml:space="preserve">IJZ</t>
        </is>
      </c>
      <c r="D129" s="15" t="inlineStr">
        <is>
          <t xml:space="preserve">2156-2025</t>
        </is>
      </c>
      <c r="E129" s="15" t="inlineStr">
        <is>
          <t xml:space="preserve">07.05.2025</t>
        </is>
      </c>
      <c r="F129" s="15" t="inlineStr">
        <is>
          <t xml:space="preserve">file says OPM1024_01 / None</t>
        </is>
      </c>
    </row>
  </sheetData>
  <pageMargins bottom="0.4" footer="0.0" header="0.0" left="0.3" right="0.3" top="0.4"/>
</worksheet>
</file>

<file path=xl/worksheets/sheetX1.xml><?xml version="1.0" encoding="utf-8"?>
<worksheet xmlns="http://schemas.openxmlformats.org/spreadsheetml/2006/main" xmlns:r="http://schemas.openxmlformats.org/officeDocument/2006/relationships">
  <sheetPr>
    <pageSetUpPr fitToPage="1"/>
  </sheetPr>
  <sheetViews>
    <sheetView workbookViewId="0">
      <pane ySplit="3.0" topLeftCell="A4" activePane="bottomLeft" state="frozen"/>
    </sheetView>
  </sheetViews>
  <sheetFormatPr defaultColWidth="14.43" defaultRowHeight="15.0"/>
  <cols>
    <col customWidth="1" min="1" max="1" width="16"/>
    <col customWidth="1" min="2" max="2" width="11"/>
    <col customWidth="1" min="3" max="3" width="22"/>
    <col customWidth="1" min="4" max="4" width="9"/>
    <col customWidth="1" min="5" max="5" width="22"/>
    <col customWidth="1" min="6" max="6" width="10"/>
    <col customWidth="1" min="7" max="7" width="11"/>
    <col customWidth="1" min="8" max="8" width="12"/>
    <col customWidth="1" min="9" max="9" width="13"/>
    <col customWidth="1" min="10" max="10" width="13"/>
    <col customWidth="1" min="11" max="11" width="13"/>
    <col customWidth="1" min="12" max="12" width="13"/>
    <col customWidth="1" min="13" max="13" width="13"/>
    <col customWidth="1" min="14" max="14" width="13"/>
    <col customWidth="1" min="15" max="15" width="13"/>
    <col customWidth="1" min="16" max="16" width="13"/>
    <col customWidth="1" min="17" max="17" width="13"/>
    <col customWidth="1" min="18" max="18" width="13"/>
    <col customWidth="1" min="19" max="19" width="13"/>
    <col customWidth="1" min="20" max="20" width="13"/>
    <col customWidth="1" min="21" max="21" width="10"/>
    <col customWidth="1" min="22" max="22" width="90"/>
  </cols>
  <sheetData>
    <row r="1">
      <c r="A1" s="4" t="inlineStr">
        <is>
          <t xml:space="preserve">Batch Coverage v19 — rebuilt 09.09.2026 against the 387 certificates in eCoA_DATABASE. ✓ = a document is named and carries a result · ○ = a certificate is on file but the tracker does not name it · ✗ = nothing on file. Identification A is present as a column; Batch Coverage v16 had no column for it.</t>
        </is>
      </c>
    </row>
    <row r="2"/>
    <row r="3">
      <c r="A3" s="4" t="inlineStr">
        <is>
          <t xml:space="preserve">CU Batch</t>
        </is>
      </c>
      <c r="B3" s="4" t="inlineStr">
        <is>
          <t xml:space="preserve">P Batch</t>
        </is>
      </c>
      <c r="C3" s="4" t="inlineStr">
        <is>
          <t xml:space="preserve">Strain</t>
        </is>
      </c>
      <c r="D3" s="4" t="inlineStr">
        <is>
          <t xml:space="preserve">Tranche</t>
        </is>
      </c>
      <c r="E3" s="4" t="inlineStr">
        <is>
          <t xml:space="preserve">Status</t>
        </is>
      </c>
      <c r="F3" s="4" t="inlineStr">
        <is>
          <t xml:space="preserve">No certificate (n)</t>
        </is>
      </c>
      <c r="G3" s="4" t="inlineStr">
        <is>
          <t xml:space="preserve">On file, not recorded (n)</t>
        </is>
      </c>
      <c r="H3" s="4" t="inlineStr">
        <is>
          <t xml:space="preserve">Cited but not in eCoA_DATABASE (n)</t>
        </is>
      </c>
      <c r="I3" s="4" t="inlineStr">
        <is>
          <t xml:space="preserve">1 Identification A</t>
        </is>
      </c>
      <c r="J3" s="4" t="inlineStr">
        <is>
          <t xml:space="preserve">2 Identification B</t>
        </is>
      </c>
      <c r="K3" s="4" t="inlineStr">
        <is>
          <t xml:space="preserve">3 Identification C</t>
        </is>
      </c>
      <c r="L3" s="4" t="inlineStr">
        <is>
          <t xml:space="preserve">4 Total Δ⁹-THC</t>
        </is>
      </c>
      <c r="M3" s="4" t="inlineStr">
        <is>
          <t xml:space="preserve">5 Total CBD</t>
        </is>
      </c>
      <c r="N3" s="4" t="inlineStr">
        <is>
          <t xml:space="preserve">6 Total CBN</t>
        </is>
      </c>
      <c r="O3" s="4" t="inlineStr">
        <is>
          <t xml:space="preserve">7 Foreign matter</t>
        </is>
      </c>
      <c r="P3" s="4" t="inlineStr">
        <is>
          <t xml:space="preserve">8 Loss on drying</t>
        </is>
      </c>
      <c r="Q3" s="4" t="inlineStr">
        <is>
          <t xml:space="preserve">9 Microbiological purity</t>
        </is>
      </c>
      <c r="R3" s="4" t="inlineStr">
        <is>
          <t xml:space="preserve">10 Mycotoxins</t>
        </is>
      </c>
      <c r="S3" s="4" t="inlineStr">
        <is>
          <t xml:space="preserve">11 Heavy metals</t>
        </is>
      </c>
      <c r="T3" s="4" t="inlineStr">
        <is>
          <t xml:space="preserve">12 Pesticide residues</t>
        </is>
      </c>
      <c r="U3" s="4" t="inlineStr">
        <is>
          <t xml:space="preserve">Certificates on file (n)</t>
        </is>
      </c>
      <c r="V3" s="4" t="inlineStr">
        <is>
          <t xml:space="preserve">Document codes on file</t>
        </is>
      </c>
    </row>
    <row r="4">
      <c r="A4" s="15" t="inlineStr">
        <is>
          <t xml:space="preserve">GG1024_02</t>
        </is>
      </c>
      <c r="B4" s="15" t="inlineStr">
        <is>
          <t xml:space="preserve">P050012</t>
        </is>
      </c>
      <c r="C4" s="15" t="inlineStr">
        <is>
          <t xml:space="preserve">Gorilla Glue</t>
        </is>
      </c>
      <c r="D4" s="15" t="inlineStr">
        <is>
          <t xml:space="preserve">—</t>
        </is>
      </c>
      <c r="E4" s="15" t="inlineStr">
        <is>
          <t xml:space="preserve">✓ READY TO CITE</t>
        </is>
      </c>
      <c r="F4" s="15" t="inlineStr">
        <is>
          <t xml:space="preserve">0</t>
        </is>
      </c>
      <c r="G4" s="15" t="inlineStr">
        <is>
          <t xml:space="preserve">0</t>
        </is>
      </c>
      <c r="H4" s="15" t="inlineStr">
        <is>
          <t xml:space="preserve">3</t>
        </is>
      </c>
      <c r="I4" s="15" t="inlineStr">
        <is>
          <t xml:space="preserve">✓</t>
        </is>
      </c>
      <c r="J4" s="15" t="inlineStr">
        <is>
          <t xml:space="preserve">✓</t>
        </is>
      </c>
      <c r="K4" s="15" t="inlineStr">
        <is>
          <t xml:space="preserve">✓</t>
        </is>
      </c>
      <c r="L4" s="15" t="inlineStr">
        <is>
          <t xml:space="preserve">✓</t>
        </is>
      </c>
      <c r="M4" s="15" t="inlineStr">
        <is>
          <t xml:space="preserve">✓</t>
        </is>
      </c>
      <c r="N4" s="15" t="inlineStr">
        <is>
          <t xml:space="preserve">✓</t>
        </is>
      </c>
      <c r="O4" s="15" t="inlineStr">
        <is>
          <t xml:space="preserve">✓</t>
        </is>
      </c>
      <c r="P4" s="15" t="inlineStr">
        <is>
          <t xml:space="preserve">✓</t>
        </is>
      </c>
      <c r="Q4" s="15" t="inlineStr">
        <is>
          <t xml:space="preserve">✓</t>
        </is>
      </c>
      <c r="R4" s="15" t="inlineStr">
        <is>
          <t xml:space="preserve">✓</t>
        </is>
      </c>
      <c r="S4" s="15" t="inlineStr">
        <is>
          <t xml:space="preserve">✓</t>
        </is>
      </c>
      <c r="T4" s="15" t="inlineStr">
        <is>
          <t xml:space="preserve">✓</t>
        </is>
      </c>
      <c r="U4" s="15" t="inlineStr">
        <is>
          <t xml:space="preserve">4</t>
        </is>
      </c>
      <c r="V4" s="15" t="inlineStr">
        <is>
          <t xml:space="preserve">2472/2025; 472/0863/25; 564/1095/26; ППК25140</t>
        </is>
      </c>
    </row>
    <row r="5">
      <c r="A5" s="15" t="inlineStr">
        <is>
          <t xml:space="preserve">GP0824_02</t>
        </is>
      </c>
      <c r="B5" s="15" t="inlineStr">
        <is>
          <t xml:space="preserve">P050022</t>
        </is>
      </c>
      <c r="C5" s="15" t="inlineStr">
        <is>
          <t xml:space="preserve">Grape Pie</t>
        </is>
      </c>
      <c r="D5" s="15" t="inlineStr">
        <is>
          <t xml:space="preserve">1</t>
        </is>
      </c>
      <c r="E5" s="15" t="inlineStr">
        <is>
          <t xml:space="preserve">✓ READY TO CITE</t>
        </is>
      </c>
      <c r="F5" s="15" t="inlineStr">
        <is>
          <t xml:space="preserve">0</t>
        </is>
      </c>
      <c r="G5" s="15" t="inlineStr">
        <is>
          <t xml:space="preserve">0</t>
        </is>
      </c>
      <c r="H5" s="15" t="inlineStr">
        <is>
          <t xml:space="preserve">3</t>
        </is>
      </c>
      <c r="I5" s="15" t="inlineStr">
        <is>
          <t xml:space="preserve">✓</t>
        </is>
      </c>
      <c r="J5" s="15" t="inlineStr">
        <is>
          <t xml:space="preserve">✓</t>
        </is>
      </c>
      <c r="K5" s="15" t="inlineStr">
        <is>
          <t xml:space="preserve">✓</t>
        </is>
      </c>
      <c r="L5" s="15" t="inlineStr">
        <is>
          <t xml:space="preserve">✓</t>
        </is>
      </c>
      <c r="M5" s="15" t="inlineStr">
        <is>
          <t xml:space="preserve">✓</t>
        </is>
      </c>
      <c r="N5" s="15" t="inlineStr">
        <is>
          <t xml:space="preserve">✓</t>
        </is>
      </c>
      <c r="O5" s="15" t="inlineStr">
        <is>
          <t xml:space="preserve">✓</t>
        </is>
      </c>
      <c r="P5" s="15" t="inlineStr">
        <is>
          <t xml:space="preserve">✓</t>
        </is>
      </c>
      <c r="Q5" s="15" t="inlineStr">
        <is>
          <t xml:space="preserve">✓</t>
        </is>
      </c>
      <c r="R5" s="15" t="inlineStr">
        <is>
          <t xml:space="preserve">✓</t>
        </is>
      </c>
      <c r="S5" s="15" t="inlineStr">
        <is>
          <t xml:space="preserve">✓</t>
        </is>
      </c>
      <c r="T5" s="15" t="inlineStr">
        <is>
          <t xml:space="preserve">✓</t>
        </is>
      </c>
      <c r="U5" s="15" t="inlineStr">
        <is>
          <t xml:space="preserve">13</t>
        </is>
      </c>
      <c r="V5" s="15" t="inlineStr">
        <is>
          <t xml:space="preserve">197-11-K/26; 197-11-M/26; 2471/2025; 3176/2025; 471/0862/25; 475/0927/26; 476/0928/26; 627/1128/25; ППК25139; ППК25174; ППК26032; ППК26033; ППК26059</t>
        </is>
      </c>
    </row>
    <row r="6">
      <c r="A6" s="15" t="inlineStr">
        <is>
          <t xml:space="preserve">MB0824_04</t>
        </is>
      </c>
      <c r="B6" s="15" t="inlineStr">
        <is>
          <t xml:space="preserve">P050032</t>
        </is>
      </c>
      <c r="C6" s="15" t="inlineStr">
        <is>
          <t xml:space="preserve">Motor Breath</t>
        </is>
      </c>
      <c r="D6" s="15" t="inlineStr">
        <is>
          <t xml:space="preserve">—</t>
        </is>
      </c>
      <c r="E6" s="15" t="inlineStr">
        <is>
          <t xml:space="preserve">✓ READY TO CITE</t>
        </is>
      </c>
      <c r="F6" s="15" t="inlineStr">
        <is>
          <t xml:space="preserve">0</t>
        </is>
      </c>
      <c r="G6" s="15" t="inlineStr">
        <is>
          <t xml:space="preserve">0</t>
        </is>
      </c>
      <c r="H6" s="15" t="inlineStr">
        <is>
          <t xml:space="preserve">2</t>
        </is>
      </c>
      <c r="I6" s="15" t="inlineStr">
        <is>
          <t xml:space="preserve">✓</t>
        </is>
      </c>
      <c r="J6" s="15" t="inlineStr">
        <is>
          <t xml:space="preserve">✓</t>
        </is>
      </c>
      <c r="K6" s="15" t="inlineStr">
        <is>
          <t xml:space="preserve">✓</t>
        </is>
      </c>
      <c r="L6" s="15" t="inlineStr">
        <is>
          <t xml:space="preserve">✓</t>
        </is>
      </c>
      <c r="M6" s="15" t="inlineStr">
        <is>
          <t xml:space="preserve">✓</t>
        </is>
      </c>
      <c r="N6" s="15" t="inlineStr">
        <is>
          <t xml:space="preserve">✓</t>
        </is>
      </c>
      <c r="O6" s="15" t="inlineStr">
        <is>
          <t xml:space="preserve">✓</t>
        </is>
      </c>
      <c r="P6" s="15" t="inlineStr">
        <is>
          <t xml:space="preserve">✓</t>
        </is>
      </c>
      <c r="Q6" s="15" t="inlineStr">
        <is>
          <t xml:space="preserve">✓</t>
        </is>
      </c>
      <c r="R6" s="15" t="inlineStr">
        <is>
          <t xml:space="preserve">✓</t>
        </is>
      </c>
      <c r="S6" s="15" t="inlineStr">
        <is>
          <t xml:space="preserve">✓</t>
        </is>
      </c>
      <c r="T6" s="15" t="inlineStr">
        <is>
          <t xml:space="preserve">✓</t>
        </is>
      </c>
      <c r="U6" s="15" t="inlineStr">
        <is>
          <t xml:space="preserve">4</t>
        </is>
      </c>
      <c r="V6" s="15" t="inlineStr">
        <is>
          <t xml:space="preserve">2157/2025; 406/0744/25; 563/1094/26; ППК25118</t>
        </is>
      </c>
    </row>
    <row r="7">
      <c r="A7" s="15" t="inlineStr">
        <is>
          <t xml:space="preserve">OMP1024_01</t>
        </is>
      </c>
      <c r="B7" s="15" t="inlineStr">
        <is>
          <t xml:space="preserve">P050042</t>
        </is>
      </c>
      <c r="C7" s="15" t="inlineStr">
        <is>
          <t xml:space="preserve">Orange Punch Mimosa</t>
        </is>
      </c>
      <c r="D7" s="15" t="inlineStr">
        <is>
          <t xml:space="preserve">2</t>
        </is>
      </c>
      <c r="E7" s="15" t="inlineStr">
        <is>
          <t xml:space="preserve">✓ READY TO CITE</t>
        </is>
      </c>
      <c r="F7" s="15" t="inlineStr">
        <is>
          <t xml:space="preserve">0</t>
        </is>
      </c>
      <c r="G7" s="15" t="inlineStr">
        <is>
          <t xml:space="preserve">0</t>
        </is>
      </c>
      <c r="H7" s="15" t="inlineStr">
        <is>
          <t xml:space="preserve">3</t>
        </is>
      </c>
      <c r="I7" s="15" t="inlineStr">
        <is>
          <t xml:space="preserve">✓</t>
        </is>
      </c>
      <c r="J7" s="15" t="inlineStr">
        <is>
          <t xml:space="preserve">✓</t>
        </is>
      </c>
      <c r="K7" s="15" t="inlineStr">
        <is>
          <t xml:space="preserve">✓</t>
        </is>
      </c>
      <c r="L7" s="15" t="inlineStr">
        <is>
          <t xml:space="preserve">✓</t>
        </is>
      </c>
      <c r="M7" s="15" t="inlineStr">
        <is>
          <t xml:space="preserve">✓</t>
        </is>
      </c>
      <c r="N7" s="15" t="inlineStr">
        <is>
          <t xml:space="preserve">✓</t>
        </is>
      </c>
      <c r="O7" s="15" t="inlineStr">
        <is>
          <t xml:space="preserve">✓</t>
        </is>
      </c>
      <c r="P7" s="15" t="inlineStr">
        <is>
          <t xml:space="preserve">✓</t>
        </is>
      </c>
      <c r="Q7" s="15" t="inlineStr">
        <is>
          <t xml:space="preserve">✓</t>
        </is>
      </c>
      <c r="R7" s="15" t="inlineStr">
        <is>
          <t xml:space="preserve">✓</t>
        </is>
      </c>
      <c r="S7" s="15" t="inlineStr">
        <is>
          <t xml:space="preserve">✓</t>
        </is>
      </c>
      <c r="T7" s="15" t="inlineStr">
        <is>
          <t xml:space="preserve">✓</t>
        </is>
      </c>
      <c r="U7" s="15" t="inlineStr">
        <is>
          <t xml:space="preserve">1</t>
        </is>
      </c>
      <c r="V7" s="15" t="inlineStr">
        <is>
          <t xml:space="preserve">220-21-K/26</t>
        </is>
      </c>
    </row>
    <row r="8">
      <c r="A8" s="15" t="inlineStr">
        <is>
          <t xml:space="preserve">HPA1024_01</t>
        </is>
      </c>
      <c r="B8" s="15" t="inlineStr">
        <is>
          <t xml:space="preserve">P050052</t>
        </is>
      </c>
      <c r="C8" s="15" t="inlineStr">
        <is>
          <t xml:space="preserve">High Pro Amnesia</t>
        </is>
      </c>
      <c r="D8" s="15" t="inlineStr">
        <is>
          <t xml:space="preserve">1</t>
        </is>
      </c>
      <c r="E8" s="15" t="inlineStr">
        <is>
          <t xml:space="preserve">✓ READY TO CITE</t>
        </is>
      </c>
      <c r="F8" s="15" t="inlineStr">
        <is>
          <t xml:space="preserve">0</t>
        </is>
      </c>
      <c r="G8" s="15" t="inlineStr">
        <is>
          <t xml:space="preserve">0</t>
        </is>
      </c>
      <c r="H8" s="15" t="inlineStr">
        <is>
          <t xml:space="preserve">3</t>
        </is>
      </c>
      <c r="I8" s="15" t="inlineStr">
        <is>
          <t xml:space="preserve">✓</t>
        </is>
      </c>
      <c r="J8" s="15" t="inlineStr">
        <is>
          <t xml:space="preserve">✓</t>
        </is>
      </c>
      <c r="K8" s="15" t="inlineStr">
        <is>
          <t xml:space="preserve">✓</t>
        </is>
      </c>
      <c r="L8" s="15" t="inlineStr">
        <is>
          <t xml:space="preserve">✓</t>
        </is>
      </c>
      <c r="M8" s="15" t="inlineStr">
        <is>
          <t xml:space="preserve">✓</t>
        </is>
      </c>
      <c r="N8" s="15" t="inlineStr">
        <is>
          <t xml:space="preserve">✓</t>
        </is>
      </c>
      <c r="O8" s="15" t="inlineStr">
        <is>
          <t xml:space="preserve">✓</t>
        </is>
      </c>
      <c r="P8" s="15" t="inlineStr">
        <is>
          <t xml:space="preserve">✓</t>
        </is>
      </c>
      <c r="Q8" s="15" t="inlineStr">
        <is>
          <t xml:space="preserve">✓</t>
        </is>
      </c>
      <c r="R8" s="15" t="inlineStr">
        <is>
          <t xml:space="preserve">✓</t>
        </is>
      </c>
      <c r="S8" s="15" t="inlineStr">
        <is>
          <t xml:space="preserve">✓</t>
        </is>
      </c>
      <c r="T8" s="15" t="inlineStr">
        <is>
          <t xml:space="preserve">✓</t>
        </is>
      </c>
      <c r="U8" s="15" t="inlineStr">
        <is>
          <t xml:space="preserve">5</t>
        </is>
      </c>
      <c r="V8" s="15" t="inlineStr">
        <is>
          <t xml:space="preserve">197-14-K/26; 197-14-M/26; 2995/2025; 587/1066/25; ППК25155</t>
        </is>
      </c>
    </row>
    <row r="9">
      <c r="A9" s="15" t="inlineStr">
        <is>
          <t xml:space="preserve">OPM1024_02</t>
        </is>
      </c>
      <c r="B9" s="15" t="inlineStr">
        <is>
          <t xml:space="preserve">P050062</t>
        </is>
      </c>
      <c r="C9" s="15" t="inlineStr">
        <is>
          <t xml:space="preserve">Orange Punch Mimosa</t>
        </is>
      </c>
      <c r="D9" s="15" t="inlineStr">
        <is>
          <t xml:space="preserve">1</t>
        </is>
      </c>
      <c r="E9" s="15" t="inlineStr">
        <is>
          <t xml:space="preserve">✓ READY TO CITE</t>
        </is>
      </c>
      <c r="F9" s="15" t="inlineStr">
        <is>
          <t xml:space="preserve">0</t>
        </is>
      </c>
      <c r="G9" s="15" t="inlineStr">
        <is>
          <t xml:space="preserve">0</t>
        </is>
      </c>
      <c r="H9" s="15" t="inlineStr">
        <is>
          <t xml:space="preserve">3</t>
        </is>
      </c>
      <c r="I9" s="15" t="inlineStr">
        <is>
          <t xml:space="preserve">✓</t>
        </is>
      </c>
      <c r="J9" s="15" t="inlineStr">
        <is>
          <t xml:space="preserve">✓</t>
        </is>
      </c>
      <c r="K9" s="15" t="inlineStr">
        <is>
          <t xml:space="preserve">✓</t>
        </is>
      </c>
      <c r="L9" s="15" t="inlineStr">
        <is>
          <t xml:space="preserve">✓</t>
        </is>
      </c>
      <c r="M9" s="15" t="inlineStr">
        <is>
          <t xml:space="preserve">✓</t>
        </is>
      </c>
      <c r="N9" s="15" t="inlineStr">
        <is>
          <t xml:space="preserve">✓</t>
        </is>
      </c>
      <c r="O9" s="15" t="inlineStr">
        <is>
          <t xml:space="preserve">✓</t>
        </is>
      </c>
      <c r="P9" s="15" t="inlineStr">
        <is>
          <t xml:space="preserve">✓</t>
        </is>
      </c>
      <c r="Q9" s="15" t="inlineStr">
        <is>
          <t xml:space="preserve">✓</t>
        </is>
      </c>
      <c r="R9" s="15" t="inlineStr">
        <is>
          <t xml:space="preserve">✓</t>
        </is>
      </c>
      <c r="S9" s="15" t="inlineStr">
        <is>
          <t xml:space="preserve">✓</t>
        </is>
      </c>
      <c r="T9" s="15" t="inlineStr">
        <is>
          <t xml:space="preserve">✓</t>
        </is>
      </c>
      <c r="U9" s="15" t="inlineStr">
        <is>
          <t xml:space="preserve">5</t>
        </is>
      </c>
      <c r="V9" s="15" t="inlineStr">
        <is>
          <t xml:space="preserve">197-18-K/26; 197-18-M/26; 2994/2025; 588/1067/25; ППК25154</t>
        </is>
      </c>
    </row>
    <row r="10">
      <c r="A10" s="15" t="inlineStr">
        <is>
          <t xml:space="preserve">GP0824_03</t>
        </is>
      </c>
      <c r="B10" s="15" t="inlineStr">
        <is>
          <t xml:space="preserve">P050072</t>
        </is>
      </c>
      <c r="C10" s="15" t="inlineStr">
        <is>
          <t xml:space="preserve">Grape Pie</t>
        </is>
      </c>
      <c r="D10" s="15" t="inlineStr">
        <is>
          <t xml:space="preserve">2</t>
        </is>
      </c>
      <c r="E10" s="15" t="inlineStr">
        <is>
          <t xml:space="preserve">✓ READY TO CITE</t>
        </is>
      </c>
      <c r="F10" s="15" t="inlineStr">
        <is>
          <t xml:space="preserve">0</t>
        </is>
      </c>
      <c r="G10" s="15" t="inlineStr">
        <is>
          <t xml:space="preserve">0</t>
        </is>
      </c>
      <c r="H10" s="15" t="inlineStr">
        <is>
          <t xml:space="preserve">3</t>
        </is>
      </c>
      <c r="I10" s="15" t="inlineStr">
        <is>
          <t xml:space="preserve">✓</t>
        </is>
      </c>
      <c r="J10" s="15" t="inlineStr">
        <is>
          <t xml:space="preserve">✓</t>
        </is>
      </c>
      <c r="K10" s="15" t="inlineStr">
        <is>
          <t xml:space="preserve">✓</t>
        </is>
      </c>
      <c r="L10" s="15" t="inlineStr">
        <is>
          <t xml:space="preserve">✓</t>
        </is>
      </c>
      <c r="M10" s="15" t="inlineStr">
        <is>
          <t xml:space="preserve">✓</t>
        </is>
      </c>
      <c r="N10" s="15" t="inlineStr">
        <is>
          <t xml:space="preserve">✓</t>
        </is>
      </c>
      <c r="O10" s="15" t="inlineStr">
        <is>
          <t xml:space="preserve">✓</t>
        </is>
      </c>
      <c r="P10" s="15" t="inlineStr">
        <is>
          <t xml:space="preserve">✓</t>
        </is>
      </c>
      <c r="Q10" s="15" t="inlineStr">
        <is>
          <t xml:space="preserve">✓</t>
        </is>
      </c>
      <c r="R10" s="15" t="inlineStr">
        <is>
          <t xml:space="preserve">✓</t>
        </is>
      </c>
      <c r="S10" s="15" t="inlineStr">
        <is>
          <t xml:space="preserve">✓</t>
        </is>
      </c>
      <c r="T10" s="15" t="inlineStr">
        <is>
          <t xml:space="preserve">✓</t>
        </is>
      </c>
      <c r="U10" s="15" t="inlineStr">
        <is>
          <t xml:space="preserve">7</t>
        </is>
      </c>
      <c r="V10" s="15" t="inlineStr">
        <is>
          <t xml:space="preserve">220-11-K/26; 3178/2025; 628/1129/25; ППК25175; ППК26034; ППК26035; ППК26060</t>
        </is>
      </c>
    </row>
    <row r="11">
      <c r="A11" s="15" t="inlineStr">
        <is>
          <t xml:space="preserve">OPM1024_03</t>
        </is>
      </c>
      <c r="B11" s="15" t="inlineStr">
        <is>
          <t xml:space="preserve">P050082</t>
        </is>
      </c>
      <c r="C11" s="15" t="inlineStr">
        <is>
          <t xml:space="preserve">Orange Punch Mimosa</t>
        </is>
      </c>
      <c r="D11" s="15" t="inlineStr">
        <is>
          <t xml:space="preserve">2</t>
        </is>
      </c>
      <c r="E11" s="15" t="inlineStr">
        <is>
          <t xml:space="preserve">✓ READY TO CITE</t>
        </is>
      </c>
      <c r="F11" s="15" t="inlineStr">
        <is>
          <t xml:space="preserve">0</t>
        </is>
      </c>
      <c r="G11" s="15" t="inlineStr">
        <is>
          <t xml:space="preserve">0</t>
        </is>
      </c>
      <c r="H11" s="15" t="inlineStr">
        <is>
          <t xml:space="preserve">3</t>
        </is>
      </c>
      <c r="I11" s="15" t="inlineStr">
        <is>
          <t xml:space="preserve">✓</t>
        </is>
      </c>
      <c r="J11" s="15" t="inlineStr">
        <is>
          <t xml:space="preserve">✓</t>
        </is>
      </c>
      <c r="K11" s="15" t="inlineStr">
        <is>
          <t xml:space="preserve">✓</t>
        </is>
      </c>
      <c r="L11" s="15" t="inlineStr">
        <is>
          <t xml:space="preserve">✓</t>
        </is>
      </c>
      <c r="M11" s="15" t="inlineStr">
        <is>
          <t xml:space="preserve">✓</t>
        </is>
      </c>
      <c r="N11" s="15" t="inlineStr">
        <is>
          <t xml:space="preserve">✓</t>
        </is>
      </c>
      <c r="O11" s="15" t="inlineStr">
        <is>
          <t xml:space="preserve">✓</t>
        </is>
      </c>
      <c r="P11" s="15" t="inlineStr">
        <is>
          <t xml:space="preserve">✓</t>
        </is>
      </c>
      <c r="Q11" s="15" t="inlineStr">
        <is>
          <t xml:space="preserve">✓</t>
        </is>
      </c>
      <c r="R11" s="15" t="inlineStr">
        <is>
          <t xml:space="preserve">✓</t>
        </is>
      </c>
      <c r="S11" s="15" t="inlineStr">
        <is>
          <t xml:space="preserve">✓</t>
        </is>
      </c>
      <c r="T11" s="15" t="inlineStr">
        <is>
          <t xml:space="preserve">✓</t>
        </is>
      </c>
      <c r="U11" s="15" t="inlineStr">
        <is>
          <t xml:space="preserve">4</t>
        </is>
      </c>
      <c r="V11" s="15" t="inlineStr">
        <is>
          <t xml:space="preserve">220-23-K/26; 3636/2025; 766/1375/25; ППК25210</t>
        </is>
      </c>
    </row>
    <row r="12">
      <c r="A12" s="15" t="inlineStr">
        <is>
          <t xml:space="preserve">GG1024_01</t>
        </is>
      </c>
      <c r="B12" s="15" t="inlineStr">
        <is>
          <t xml:space="preserve">P050092</t>
        </is>
      </c>
      <c r="C12" s="15" t="inlineStr">
        <is>
          <t xml:space="preserve">Gorilla Glue</t>
        </is>
      </c>
      <c r="D12" s="15" t="inlineStr">
        <is>
          <t xml:space="preserve">1</t>
        </is>
      </c>
      <c r="E12" s="15" t="inlineStr">
        <is>
          <t xml:space="preserve">✓ READY TO CITE</t>
        </is>
      </c>
      <c r="F12" s="15" t="inlineStr">
        <is>
          <t xml:space="preserve">0</t>
        </is>
      </c>
      <c r="G12" s="15" t="inlineStr">
        <is>
          <t xml:space="preserve">0</t>
        </is>
      </c>
      <c r="H12" s="15" t="inlineStr">
        <is>
          <t xml:space="preserve">3</t>
        </is>
      </c>
      <c r="I12" s="15" t="inlineStr">
        <is>
          <t xml:space="preserve">✓</t>
        </is>
      </c>
      <c r="J12" s="15" t="inlineStr">
        <is>
          <t xml:space="preserve">✓</t>
        </is>
      </c>
      <c r="K12" s="15" t="inlineStr">
        <is>
          <t xml:space="preserve">✓</t>
        </is>
      </c>
      <c r="L12" s="15" t="inlineStr">
        <is>
          <t xml:space="preserve">✓</t>
        </is>
      </c>
      <c r="M12" s="15" t="inlineStr">
        <is>
          <t xml:space="preserve">✓</t>
        </is>
      </c>
      <c r="N12" s="15" t="inlineStr">
        <is>
          <t xml:space="preserve">✓</t>
        </is>
      </c>
      <c r="O12" s="15" t="inlineStr">
        <is>
          <t xml:space="preserve">✓</t>
        </is>
      </c>
      <c r="P12" s="15" t="inlineStr">
        <is>
          <t xml:space="preserve">✓</t>
        </is>
      </c>
      <c r="Q12" s="15" t="inlineStr">
        <is>
          <t xml:space="preserve">✓</t>
        </is>
      </c>
      <c r="R12" s="15" t="inlineStr">
        <is>
          <t xml:space="preserve">✓</t>
        </is>
      </c>
      <c r="S12" s="15" t="inlineStr">
        <is>
          <t xml:space="preserve">✓</t>
        </is>
      </c>
      <c r="T12" s="15" t="inlineStr">
        <is>
          <t xml:space="preserve">✓</t>
        </is>
      </c>
      <c r="U12" s="15" t="inlineStr">
        <is>
          <t xml:space="preserve">5</t>
        </is>
      </c>
      <c r="V12" s="15" t="inlineStr">
        <is>
          <t xml:space="preserve">1766/2025; 197-9-K/26; 197-9-M/26; 320/0587/25; ППК25104</t>
        </is>
      </c>
    </row>
    <row r="13">
      <c r="A13" s="15" t="inlineStr">
        <is>
          <t xml:space="preserve">GP0824_01</t>
        </is>
      </c>
      <c r="B13" s="15" t="inlineStr">
        <is>
          <t xml:space="preserve">P050102</t>
        </is>
      </c>
      <c r="C13" s="15" t="inlineStr">
        <is>
          <t xml:space="preserve">Grape Pie</t>
        </is>
      </c>
      <c r="D13" s="15" t="inlineStr">
        <is>
          <t xml:space="preserve">—</t>
        </is>
      </c>
      <c r="E13" s="15" t="inlineStr">
        <is>
          <t xml:space="preserve">✓ READY TO CITE</t>
        </is>
      </c>
      <c r="F13" s="15" t="inlineStr">
        <is>
          <t xml:space="preserve">0</t>
        </is>
      </c>
      <c r="G13" s="15" t="inlineStr">
        <is>
          <t xml:space="preserve">0</t>
        </is>
      </c>
      <c r="H13" s="15" t="inlineStr">
        <is>
          <t xml:space="preserve">3</t>
        </is>
      </c>
      <c r="I13" s="15" t="inlineStr">
        <is>
          <t xml:space="preserve">✓</t>
        </is>
      </c>
      <c r="J13" s="15" t="inlineStr">
        <is>
          <t xml:space="preserve">✓</t>
        </is>
      </c>
      <c r="K13" s="15" t="inlineStr">
        <is>
          <t xml:space="preserve">✓</t>
        </is>
      </c>
      <c r="L13" s="15" t="inlineStr">
        <is>
          <t xml:space="preserve">✓</t>
        </is>
      </c>
      <c r="M13" s="15" t="inlineStr">
        <is>
          <t xml:space="preserve">✓</t>
        </is>
      </c>
      <c r="N13" s="15" t="inlineStr">
        <is>
          <t xml:space="preserve">✓</t>
        </is>
      </c>
      <c r="O13" s="15" t="inlineStr">
        <is>
          <t xml:space="preserve">✓</t>
        </is>
      </c>
      <c r="P13" s="15" t="inlineStr">
        <is>
          <t xml:space="preserve">✓</t>
        </is>
      </c>
      <c r="Q13" s="15" t="inlineStr">
        <is>
          <t xml:space="preserve">✓</t>
        </is>
      </c>
      <c r="R13" s="15" t="inlineStr">
        <is>
          <t xml:space="preserve">✓</t>
        </is>
      </c>
      <c r="S13" s="15" t="inlineStr">
        <is>
          <t xml:space="preserve">✓</t>
        </is>
      </c>
      <c r="T13" s="15" t="inlineStr">
        <is>
          <t xml:space="preserve">✓</t>
        </is>
      </c>
      <c r="U13" s="15" t="inlineStr">
        <is>
          <t xml:space="preserve">5</t>
        </is>
      </c>
      <c r="V13" s="15" t="inlineStr">
        <is>
          <t xml:space="preserve">1767/2025; 318/0585/25; 319/0586/25; 562/1093/26; ППК25105</t>
        </is>
      </c>
    </row>
    <row r="14">
      <c r="A14" s="15" t="inlineStr">
        <is>
          <t xml:space="preserve">MB0824_05</t>
        </is>
      </c>
      <c r="B14" s="15" t="inlineStr">
        <is>
          <t xml:space="preserve">P050112</t>
        </is>
      </c>
      <c r="C14" s="15" t="inlineStr">
        <is>
          <t xml:space="preserve">Motor Breath</t>
        </is>
      </c>
      <c r="D14" s="15" t="inlineStr">
        <is>
          <t xml:space="preserve">2</t>
        </is>
      </c>
      <c r="E14" s="15" t="inlineStr">
        <is>
          <t xml:space="preserve">✓ READY TO CITE</t>
        </is>
      </c>
      <c r="F14" s="15" t="inlineStr">
        <is>
          <t xml:space="preserve">0</t>
        </is>
      </c>
      <c r="G14" s="15" t="inlineStr">
        <is>
          <t xml:space="preserve">0</t>
        </is>
      </c>
      <c r="H14" s="15" t="inlineStr">
        <is>
          <t xml:space="preserve">3</t>
        </is>
      </c>
      <c r="I14" s="15" t="inlineStr">
        <is>
          <t xml:space="preserve">✓</t>
        </is>
      </c>
      <c r="J14" s="15" t="inlineStr">
        <is>
          <t xml:space="preserve">✓</t>
        </is>
      </c>
      <c r="K14" s="15" t="inlineStr">
        <is>
          <t xml:space="preserve">✓</t>
        </is>
      </c>
      <c r="L14" s="15" t="inlineStr">
        <is>
          <t xml:space="preserve">✓</t>
        </is>
      </c>
      <c r="M14" s="15" t="inlineStr">
        <is>
          <t xml:space="preserve">✓</t>
        </is>
      </c>
      <c r="N14" s="15" t="inlineStr">
        <is>
          <t xml:space="preserve">✓</t>
        </is>
      </c>
      <c r="O14" s="15" t="inlineStr">
        <is>
          <t xml:space="preserve">✓</t>
        </is>
      </c>
      <c r="P14" s="15" t="inlineStr">
        <is>
          <t xml:space="preserve">✓</t>
        </is>
      </c>
      <c r="Q14" s="15" t="inlineStr">
        <is>
          <t xml:space="preserve">✓</t>
        </is>
      </c>
      <c r="R14" s="15" t="inlineStr">
        <is>
          <t xml:space="preserve">✓</t>
        </is>
      </c>
      <c r="S14" s="15" t="inlineStr">
        <is>
          <t xml:space="preserve">✓</t>
        </is>
      </c>
      <c r="T14" s="15" t="inlineStr">
        <is>
          <t xml:space="preserve">✓</t>
        </is>
      </c>
      <c r="U14" s="15" t="inlineStr">
        <is>
          <t xml:space="preserve">4</t>
        </is>
      </c>
      <c r="V14" s="15" t="inlineStr">
        <is>
          <t xml:space="preserve">220-20-K/26; 3638/2025; 767/1376/25; ППК25211</t>
        </is>
      </c>
    </row>
    <row r="15">
      <c r="A15" s="15" t="inlineStr">
        <is>
          <t xml:space="preserve">BSS1024_01/1</t>
        </is>
      </c>
      <c r="B15" s="15" t="inlineStr">
        <is>
          <t xml:space="preserve">P050122</t>
        </is>
      </c>
      <c r="C15" s="15" t="inlineStr">
        <is>
          <t xml:space="preserve">Blue Sunset Sherbet</t>
        </is>
      </c>
      <c r="D15" s="15" t="inlineStr">
        <is>
          <t xml:space="preserve">—</t>
        </is>
      </c>
      <c r="E15" s="15" t="inlineStr">
        <is>
          <t xml:space="preserve">✓ READY TO CITE</t>
        </is>
      </c>
      <c r="F15" s="15" t="inlineStr">
        <is>
          <t xml:space="preserve">0</t>
        </is>
      </c>
      <c r="G15" s="15" t="inlineStr">
        <is>
          <t xml:space="preserve">0</t>
        </is>
      </c>
      <c r="H15" s="15" t="inlineStr">
        <is>
          <t xml:space="preserve">3</t>
        </is>
      </c>
      <c r="I15" s="15" t="inlineStr">
        <is>
          <t xml:space="preserve">✓</t>
        </is>
      </c>
      <c r="J15" s="15" t="inlineStr">
        <is>
          <t xml:space="preserve">✓</t>
        </is>
      </c>
      <c r="K15" s="15" t="inlineStr">
        <is>
          <t xml:space="preserve">✓</t>
        </is>
      </c>
      <c r="L15" s="15" t="inlineStr">
        <is>
          <t xml:space="preserve">✓</t>
        </is>
      </c>
      <c r="M15" s="15" t="inlineStr">
        <is>
          <t xml:space="preserve">✓</t>
        </is>
      </c>
      <c r="N15" s="15" t="inlineStr">
        <is>
          <t xml:space="preserve">✓</t>
        </is>
      </c>
      <c r="O15" s="15" t="inlineStr">
        <is>
          <t xml:space="preserve">✓</t>
        </is>
      </c>
      <c r="P15" s="15" t="inlineStr">
        <is>
          <t xml:space="preserve">✓</t>
        </is>
      </c>
      <c r="Q15" s="15" t="inlineStr">
        <is>
          <t xml:space="preserve">✓</t>
        </is>
      </c>
      <c r="R15" s="15" t="inlineStr">
        <is>
          <t xml:space="preserve">✓</t>
        </is>
      </c>
      <c r="S15" s="15" t="inlineStr">
        <is>
          <t xml:space="preserve">✓</t>
        </is>
      </c>
      <c r="T15" s="15" t="inlineStr">
        <is>
          <t xml:space="preserve">✓</t>
        </is>
      </c>
      <c r="U15" s="15" t="inlineStr">
        <is>
          <t xml:space="preserve">4</t>
        </is>
      </c>
      <c r="V15" s="15" t="inlineStr">
        <is>
          <t xml:space="preserve">3177/2025; 561/1092/26; 626/1127/25; ППК25176</t>
        </is>
      </c>
    </row>
    <row r="16">
      <c r="A16" s="15" t="inlineStr">
        <is>
          <t xml:space="preserve">OPM052501</t>
        </is>
      </c>
      <c r="B16" s="15" t="inlineStr">
        <is>
          <t xml:space="preserve">P050132</t>
        </is>
      </c>
      <c r="C16" s="15" t="inlineStr">
        <is>
          <t xml:space="preserve">Orange Punch Mimosa</t>
        </is>
      </c>
      <c r="D16" s="15" t="inlineStr">
        <is>
          <t xml:space="preserve">—</t>
        </is>
      </c>
      <c r="E16" s="15" t="inlineStr">
        <is>
          <t xml:space="preserve">✓ READY TO CITE</t>
        </is>
      </c>
      <c r="F16" s="15" t="inlineStr">
        <is>
          <t xml:space="preserve">0</t>
        </is>
      </c>
      <c r="G16" s="15" t="inlineStr">
        <is>
          <t xml:space="preserve">0</t>
        </is>
      </c>
      <c r="H16" s="15" t="inlineStr">
        <is>
          <t xml:space="preserve">2</t>
        </is>
      </c>
      <c r="I16" s="15" t="inlineStr">
        <is>
          <t xml:space="preserve">✓</t>
        </is>
      </c>
      <c r="J16" s="15" t="inlineStr">
        <is>
          <t xml:space="preserve">✓</t>
        </is>
      </c>
      <c r="K16" s="15" t="inlineStr">
        <is>
          <t xml:space="preserve">✓</t>
        </is>
      </c>
      <c r="L16" s="15" t="inlineStr">
        <is>
          <t xml:space="preserve">✓</t>
        </is>
      </c>
      <c r="M16" s="15" t="inlineStr">
        <is>
          <t xml:space="preserve">✓</t>
        </is>
      </c>
      <c r="N16" s="15" t="inlineStr">
        <is>
          <t xml:space="preserve">✓</t>
        </is>
      </c>
      <c r="O16" s="15" t="inlineStr">
        <is>
          <t xml:space="preserve">✓</t>
        </is>
      </c>
      <c r="P16" s="15" t="inlineStr">
        <is>
          <t xml:space="preserve">✓</t>
        </is>
      </c>
      <c r="Q16" s="15" t="inlineStr">
        <is>
          <t xml:space="preserve">✓</t>
        </is>
      </c>
      <c r="R16" s="15" t="inlineStr">
        <is>
          <t xml:space="preserve">✓</t>
        </is>
      </c>
      <c r="S16" s="15" t="inlineStr">
        <is>
          <t xml:space="preserve">✓</t>
        </is>
      </c>
      <c r="T16" s="15" t="inlineStr">
        <is>
          <t xml:space="preserve">✓</t>
        </is>
      </c>
      <c r="U16" s="15" t="inlineStr">
        <is>
          <t xml:space="preserve">4</t>
        </is>
      </c>
      <c r="V16" s="15" t="inlineStr">
        <is>
          <t xml:space="preserve">4157/2025; 560/1091/26; 904/1589/25; ППК25257</t>
        </is>
      </c>
    </row>
    <row r="17">
      <c r="A17" s="15" t="inlineStr">
        <is>
          <t xml:space="preserve">BSS1024_01/2</t>
        </is>
      </c>
      <c r="B17" s="15" t="inlineStr">
        <is>
          <t xml:space="preserve">P050142</t>
        </is>
      </c>
      <c r="C17" s="15" t="inlineStr">
        <is>
          <t xml:space="preserve">Blue Sunset Sherbet</t>
        </is>
      </c>
      <c r="D17" s="15" t="inlineStr">
        <is>
          <t xml:space="preserve">—</t>
        </is>
      </c>
      <c r="E17" s="15" t="inlineStr">
        <is>
          <t xml:space="preserve">✗ TESTING REQUIRED</t>
        </is>
      </c>
      <c r="F17" s="15" t="inlineStr">
        <is>
          <t xml:space="preserve">8</t>
        </is>
      </c>
      <c r="G17" s="15" t="inlineStr">
        <is>
          <t xml:space="preserve">0</t>
        </is>
      </c>
      <c r="H17" s="15" t="inlineStr">
        <is>
          <t xml:space="preserve">3</t>
        </is>
      </c>
      <c r="I17" s="15" t="inlineStr">
        <is>
          <t xml:space="preserve">✓</t>
        </is>
      </c>
      <c r="J17" s="15" t="inlineStr">
        <is>
          <t xml:space="preserve">✓</t>
        </is>
      </c>
      <c r="K17" s="15" t="inlineStr">
        <is>
          <t xml:space="preserve">✗</t>
        </is>
      </c>
      <c r="L17" s="15" t="inlineStr">
        <is>
          <t xml:space="preserve">✗</t>
        </is>
      </c>
      <c r="M17" s="15" t="inlineStr">
        <is>
          <t xml:space="preserve">✗</t>
        </is>
      </c>
      <c r="N17" s="15" t="inlineStr">
        <is>
          <t xml:space="preserve">✗</t>
        </is>
      </c>
      <c r="O17" s="15" t="inlineStr">
        <is>
          <t xml:space="preserve">✓</t>
        </is>
      </c>
      <c r="P17" s="15" t="inlineStr">
        <is>
          <t xml:space="preserve">✗</t>
        </is>
      </c>
      <c r="Q17" s="15" t="inlineStr">
        <is>
          <t xml:space="preserve">✓</t>
        </is>
      </c>
      <c r="R17" s="15" t="inlineStr">
        <is>
          <t xml:space="preserve">✗</t>
        </is>
      </c>
      <c r="S17" s="15" t="inlineStr">
        <is>
          <t xml:space="preserve">✗</t>
        </is>
      </c>
      <c r="T17" s="15" t="inlineStr">
        <is>
          <t xml:space="preserve">✗</t>
        </is>
      </c>
      <c r="U17" s="15" t="inlineStr">
        <is>
          <t xml:space="preserve">1</t>
        </is>
      </c>
      <c r="V17" s="15" t="inlineStr">
        <is>
          <t xml:space="preserve">559/1090/26</t>
        </is>
      </c>
    </row>
    <row r="18">
      <c r="A18" s="15" t="inlineStr">
        <is>
          <t xml:space="preserve">GP052501</t>
        </is>
      </c>
      <c r="B18" s="15" t="inlineStr">
        <is>
          <t xml:space="preserve">P050152</t>
        </is>
      </c>
      <c r="C18" s="15" t="inlineStr">
        <is>
          <t xml:space="preserve">Grape Pie</t>
        </is>
      </c>
      <c r="D18" s="15" t="inlineStr">
        <is>
          <t xml:space="preserve">1</t>
        </is>
      </c>
      <c r="E18" s="15" t="inlineStr">
        <is>
          <t xml:space="preserve">✓ READY TO CITE</t>
        </is>
      </c>
      <c r="F18" s="15" t="inlineStr">
        <is>
          <t xml:space="preserve">0</t>
        </is>
      </c>
      <c r="G18" s="15" t="inlineStr">
        <is>
          <t xml:space="preserve">0</t>
        </is>
      </c>
      <c r="H18" s="15" t="inlineStr">
        <is>
          <t xml:space="preserve">3</t>
        </is>
      </c>
      <c r="I18" s="15" t="inlineStr">
        <is>
          <t xml:space="preserve">✓</t>
        </is>
      </c>
      <c r="J18" s="15" t="inlineStr">
        <is>
          <t xml:space="preserve">✓</t>
        </is>
      </c>
      <c r="K18" s="15" t="inlineStr">
        <is>
          <t xml:space="preserve">✓</t>
        </is>
      </c>
      <c r="L18" s="15" t="inlineStr">
        <is>
          <t xml:space="preserve">✓</t>
        </is>
      </c>
      <c r="M18" s="15" t="inlineStr">
        <is>
          <t xml:space="preserve">✓</t>
        </is>
      </c>
      <c r="N18" s="15" t="inlineStr">
        <is>
          <t xml:space="preserve">✓</t>
        </is>
      </c>
      <c r="O18" s="15" t="inlineStr">
        <is>
          <t xml:space="preserve">✓</t>
        </is>
      </c>
      <c r="P18" s="15" t="inlineStr">
        <is>
          <t xml:space="preserve">✓</t>
        </is>
      </c>
      <c r="Q18" s="15" t="inlineStr">
        <is>
          <t xml:space="preserve">✓</t>
        </is>
      </c>
      <c r="R18" s="15" t="inlineStr">
        <is>
          <t xml:space="preserve">✓</t>
        </is>
      </c>
      <c r="S18" s="15" t="inlineStr">
        <is>
          <t xml:space="preserve">✓</t>
        </is>
      </c>
      <c r="T18" s="15" t="inlineStr">
        <is>
          <t xml:space="preserve">✓</t>
        </is>
      </c>
      <c r="U18" s="15" t="inlineStr">
        <is>
          <t xml:space="preserve">5</t>
        </is>
      </c>
      <c r="V18" s="15" t="inlineStr">
        <is>
          <t xml:space="preserve">197-10-K/26; 197-10-M/26; 4348/2025; 946/1684/25; ППК25279</t>
        </is>
      </c>
    </row>
    <row r="19">
      <c r="A19" s="15" t="inlineStr">
        <is>
          <t xml:space="preserve">CJ052501/01</t>
        </is>
      </c>
      <c r="B19" s="15" t="inlineStr">
        <is>
          <t xml:space="preserve">P050162</t>
        </is>
      </c>
      <c r="C19" s="15" t="inlineStr">
        <is>
          <t xml:space="preserve">Cap Junky</t>
        </is>
      </c>
      <c r="D19" s="15" t="inlineStr">
        <is>
          <t xml:space="preserve">1</t>
        </is>
      </c>
      <c r="E19" s="15" t="inlineStr">
        <is>
          <t xml:space="preserve">✓ READY TO CITE</t>
        </is>
      </c>
      <c r="F19" s="15" t="inlineStr">
        <is>
          <t xml:space="preserve">0</t>
        </is>
      </c>
      <c r="G19" s="15" t="inlineStr">
        <is>
          <t xml:space="preserve">0</t>
        </is>
      </c>
      <c r="H19" s="15" t="inlineStr">
        <is>
          <t xml:space="preserve">3</t>
        </is>
      </c>
      <c r="I19" s="15" t="inlineStr">
        <is>
          <t xml:space="preserve">✓</t>
        </is>
      </c>
      <c r="J19" s="15" t="inlineStr">
        <is>
          <t xml:space="preserve">✓</t>
        </is>
      </c>
      <c r="K19" s="15" t="inlineStr">
        <is>
          <t xml:space="preserve">✓</t>
        </is>
      </c>
      <c r="L19" s="15" t="inlineStr">
        <is>
          <t xml:space="preserve">✓</t>
        </is>
      </c>
      <c r="M19" s="15" t="inlineStr">
        <is>
          <t xml:space="preserve">✓</t>
        </is>
      </c>
      <c r="N19" s="15" t="inlineStr">
        <is>
          <t xml:space="preserve">✓</t>
        </is>
      </c>
      <c r="O19" s="15" t="inlineStr">
        <is>
          <t xml:space="preserve">✓</t>
        </is>
      </c>
      <c r="P19" s="15" t="inlineStr">
        <is>
          <t xml:space="preserve">✓</t>
        </is>
      </c>
      <c r="Q19" s="15" t="inlineStr">
        <is>
          <t xml:space="preserve">✓</t>
        </is>
      </c>
      <c r="R19" s="15" t="inlineStr">
        <is>
          <t xml:space="preserve">✓</t>
        </is>
      </c>
      <c r="S19" s="15" t="inlineStr">
        <is>
          <t xml:space="preserve">✓</t>
        </is>
      </c>
      <c r="T19" s="15" t="inlineStr">
        <is>
          <t xml:space="preserve">✓</t>
        </is>
      </c>
      <c r="U19" s="15" t="inlineStr">
        <is>
          <t xml:space="preserve">5</t>
        </is>
      </c>
      <c r="V19" s="15" t="inlineStr">
        <is>
          <t xml:space="preserve">197-3-K/26; 197-3-M/26; 4350/2025; 949/1687/25; ППК25280</t>
        </is>
      </c>
    </row>
    <row r="20">
      <c r="A20" s="15" t="inlineStr">
        <is>
          <t xml:space="preserve">CJ052501/02</t>
        </is>
      </c>
      <c r="B20" s="15" t="inlineStr">
        <is>
          <t xml:space="preserve">P050172</t>
        </is>
      </c>
      <c r="C20" s="15" t="inlineStr">
        <is>
          <t xml:space="preserve">Cap Junky</t>
        </is>
      </c>
      <c r="D20" s="15" t="inlineStr">
        <is>
          <t xml:space="preserve">—</t>
        </is>
      </c>
      <c r="E20" s="15" t="inlineStr">
        <is>
          <t xml:space="preserve">✓ READY TO CITE</t>
        </is>
      </c>
      <c r="F20" s="15" t="inlineStr">
        <is>
          <t xml:space="preserve">0</t>
        </is>
      </c>
      <c r="G20" s="15" t="inlineStr">
        <is>
          <t xml:space="preserve">0</t>
        </is>
      </c>
      <c r="H20" s="15" t="inlineStr">
        <is>
          <t xml:space="preserve">3</t>
        </is>
      </c>
      <c r="I20" s="15" t="inlineStr">
        <is>
          <t xml:space="preserve">✓</t>
        </is>
      </c>
      <c r="J20" s="15" t="inlineStr">
        <is>
          <t xml:space="preserve">✓</t>
        </is>
      </c>
      <c r="K20" s="15" t="inlineStr">
        <is>
          <t xml:space="preserve">✓</t>
        </is>
      </c>
      <c r="L20" s="15" t="inlineStr">
        <is>
          <t xml:space="preserve">✓</t>
        </is>
      </c>
      <c r="M20" s="15" t="inlineStr">
        <is>
          <t xml:space="preserve">✓</t>
        </is>
      </c>
      <c r="N20" s="15" t="inlineStr">
        <is>
          <t xml:space="preserve">✓</t>
        </is>
      </c>
      <c r="O20" s="15" t="inlineStr">
        <is>
          <t xml:space="preserve">✓</t>
        </is>
      </c>
      <c r="P20" s="15" t="inlineStr">
        <is>
          <t xml:space="preserve">✓</t>
        </is>
      </c>
      <c r="Q20" s="15" t="inlineStr">
        <is>
          <t xml:space="preserve">✓</t>
        </is>
      </c>
      <c r="R20" s="15" t="inlineStr">
        <is>
          <t xml:space="preserve">✓</t>
        </is>
      </c>
      <c r="S20" s="15" t="inlineStr">
        <is>
          <t xml:space="preserve">✓</t>
        </is>
      </c>
      <c r="T20" s="15" t="inlineStr">
        <is>
          <t xml:space="preserve">✓</t>
        </is>
      </c>
      <c r="U20" s="15" t="inlineStr">
        <is>
          <t xml:space="preserve">4</t>
        </is>
      </c>
      <c r="V20" s="15" t="inlineStr">
        <is>
          <t xml:space="preserve">4349/2025; 558/1089/26; 947/1685/25; ППК25281</t>
        </is>
      </c>
    </row>
    <row r="21">
      <c r="A21" s="15" t="inlineStr">
        <is>
          <t xml:space="preserve">HPA052501</t>
        </is>
      </c>
      <c r="B21" s="15" t="inlineStr">
        <is>
          <t xml:space="preserve">P050182</t>
        </is>
      </c>
      <c r="C21" s="15" t="inlineStr">
        <is>
          <t xml:space="preserve">High Pro Amnesia</t>
        </is>
      </c>
      <c r="D21" s="15" t="inlineStr">
        <is>
          <t xml:space="preserve">2</t>
        </is>
      </c>
      <c r="E21" s="15" t="inlineStr">
        <is>
          <t xml:space="preserve">✓ READY TO CITE</t>
        </is>
      </c>
      <c r="F21" s="15" t="inlineStr">
        <is>
          <t xml:space="preserve">0</t>
        </is>
      </c>
      <c r="G21" s="15" t="inlineStr">
        <is>
          <t xml:space="preserve">0</t>
        </is>
      </c>
      <c r="H21" s="15" t="inlineStr">
        <is>
          <t xml:space="preserve">3</t>
        </is>
      </c>
      <c r="I21" s="15" t="inlineStr">
        <is>
          <t xml:space="preserve">✓</t>
        </is>
      </c>
      <c r="J21" s="15" t="inlineStr">
        <is>
          <t xml:space="preserve">✓</t>
        </is>
      </c>
      <c r="K21" s="15" t="inlineStr">
        <is>
          <t xml:space="preserve">✓</t>
        </is>
      </c>
      <c r="L21" s="15" t="inlineStr">
        <is>
          <t xml:space="preserve">✓</t>
        </is>
      </c>
      <c r="M21" s="15" t="inlineStr">
        <is>
          <t xml:space="preserve">✓</t>
        </is>
      </c>
      <c r="N21" s="15" t="inlineStr">
        <is>
          <t xml:space="preserve">✓</t>
        </is>
      </c>
      <c r="O21" s="15" t="inlineStr">
        <is>
          <t xml:space="preserve">✓</t>
        </is>
      </c>
      <c r="P21" s="15" t="inlineStr">
        <is>
          <t xml:space="preserve">✓</t>
        </is>
      </c>
      <c r="Q21" s="15" t="inlineStr">
        <is>
          <t xml:space="preserve">✓</t>
        </is>
      </c>
      <c r="R21" s="15" t="inlineStr">
        <is>
          <t xml:space="preserve">✓</t>
        </is>
      </c>
      <c r="S21" s="15" t="inlineStr">
        <is>
          <t xml:space="preserve">✓</t>
        </is>
      </c>
      <c r="T21" s="15" t="inlineStr">
        <is>
          <t xml:space="preserve">✓</t>
        </is>
      </c>
      <c r="U21" s="15" t="inlineStr">
        <is>
          <t xml:space="preserve">4</t>
        </is>
      </c>
      <c r="V21" s="15" t="inlineStr">
        <is>
          <t xml:space="preserve">220-15-K/26; 4352/2025; 948/1686/25; ППК25278</t>
        </is>
      </c>
    </row>
    <row r="22">
      <c r="A22" s="15" t="inlineStr">
        <is>
          <t xml:space="preserve">BSS052501</t>
        </is>
      </c>
      <c r="B22" s="15" t="inlineStr">
        <is>
          <t xml:space="preserve">P050192</t>
        </is>
      </c>
      <c r="C22" s="15" t="inlineStr">
        <is>
          <t xml:space="preserve">Blue Sunset Sherbet</t>
        </is>
      </c>
      <c r="D22" s="15" t="inlineStr">
        <is>
          <t xml:space="preserve">2</t>
        </is>
      </c>
      <c r="E22" s="15" t="inlineStr">
        <is>
          <t xml:space="preserve">✗ TESTING REQUIRED</t>
        </is>
      </c>
      <c r="F22" s="15" t="inlineStr">
        <is>
          <t xml:space="preserve">1</t>
        </is>
      </c>
      <c r="G22" s="15" t="inlineStr">
        <is>
          <t xml:space="preserve">0</t>
        </is>
      </c>
      <c r="H22" s="15" t="inlineStr">
        <is>
          <t xml:space="preserve">3</t>
        </is>
      </c>
      <c r="I22" s="15" t="inlineStr">
        <is>
          <t xml:space="preserve">✓</t>
        </is>
      </c>
      <c r="J22" s="15" t="inlineStr">
        <is>
          <t xml:space="preserve">✓</t>
        </is>
      </c>
      <c r="K22" s="15" t="inlineStr">
        <is>
          <t xml:space="preserve">✓</t>
        </is>
      </c>
      <c r="L22" s="15" t="inlineStr">
        <is>
          <t xml:space="preserve">✓</t>
        </is>
      </c>
      <c r="M22" s="15" t="inlineStr">
        <is>
          <t xml:space="preserve">✓</t>
        </is>
      </c>
      <c r="N22" s="15" t="inlineStr">
        <is>
          <t xml:space="preserve">✓</t>
        </is>
      </c>
      <c r="O22" s="15" t="inlineStr">
        <is>
          <t xml:space="preserve">✓</t>
        </is>
      </c>
      <c r="P22" s="15" t="inlineStr">
        <is>
          <t xml:space="preserve">✗</t>
        </is>
      </c>
      <c r="Q22" s="15" t="inlineStr">
        <is>
          <t xml:space="preserve">✓</t>
        </is>
      </c>
      <c r="R22" s="15" t="inlineStr">
        <is>
          <t xml:space="preserve">✓</t>
        </is>
      </c>
      <c r="S22" s="15" t="inlineStr">
        <is>
          <t xml:space="preserve">✓</t>
        </is>
      </c>
      <c r="T22" s="15" t="inlineStr">
        <is>
          <t xml:space="preserve">✓</t>
        </is>
      </c>
      <c r="U22" s="15" t="inlineStr">
        <is>
          <t xml:space="preserve">8</t>
        </is>
      </c>
      <c r="V22" s="15" t="inlineStr">
        <is>
          <t xml:space="preserve">10802_2845-2 EN; 10802_2845-2 MK; 1157/2058/25; 220-2-K/26; 276-31-M/25; 548/1079/26; 5661/2025; NGP-QCG-SOP-024 F3</t>
        </is>
      </c>
    </row>
    <row r="23">
      <c r="A23" s="15" t="inlineStr">
        <is>
          <t xml:space="preserve">GP062501</t>
        </is>
      </c>
      <c r="B23" s="15" t="inlineStr">
        <is>
          <t xml:space="preserve">P050202</t>
        </is>
      </c>
      <c r="C23" s="15" t="inlineStr">
        <is>
          <t xml:space="preserve">Grape Pie</t>
        </is>
      </c>
      <c r="D23" s="15" t="inlineStr">
        <is>
          <t xml:space="preserve">—</t>
        </is>
      </c>
      <c r="E23" s="15" t="inlineStr">
        <is>
          <t xml:space="preserve">✓ READY TO CITE</t>
        </is>
      </c>
      <c r="F23" s="15" t="inlineStr">
        <is>
          <t xml:space="preserve">0</t>
        </is>
      </c>
      <c r="G23" s="15" t="inlineStr">
        <is>
          <t xml:space="preserve">0</t>
        </is>
      </c>
      <c r="H23" s="15" t="inlineStr">
        <is>
          <t xml:space="preserve">3</t>
        </is>
      </c>
      <c r="I23" s="15" t="inlineStr">
        <is>
          <t xml:space="preserve">✓</t>
        </is>
      </c>
      <c r="J23" s="15" t="inlineStr">
        <is>
          <t xml:space="preserve">✓</t>
        </is>
      </c>
      <c r="K23" s="15" t="inlineStr">
        <is>
          <t xml:space="preserve">✓</t>
        </is>
      </c>
      <c r="L23" s="15" t="inlineStr">
        <is>
          <t xml:space="preserve">✓</t>
        </is>
      </c>
      <c r="M23" s="15" t="inlineStr">
        <is>
          <t xml:space="preserve">✓</t>
        </is>
      </c>
      <c r="N23" s="15" t="inlineStr">
        <is>
          <t xml:space="preserve">✓</t>
        </is>
      </c>
      <c r="O23" s="15" t="inlineStr">
        <is>
          <t xml:space="preserve">✓</t>
        </is>
      </c>
      <c r="P23" s="15" t="inlineStr">
        <is>
          <t xml:space="preserve">✓</t>
        </is>
      </c>
      <c r="Q23" s="15" t="inlineStr">
        <is>
          <t xml:space="preserve">✓</t>
        </is>
      </c>
      <c r="R23" s="15" t="inlineStr">
        <is>
          <t xml:space="preserve">✓</t>
        </is>
      </c>
      <c r="S23" s="15" t="inlineStr">
        <is>
          <t xml:space="preserve">✓</t>
        </is>
      </c>
      <c r="T23" s="15" t="inlineStr">
        <is>
          <t xml:space="preserve">✓</t>
        </is>
      </c>
      <c r="U23" s="15" t="inlineStr">
        <is>
          <t xml:space="preserve">9</t>
        </is>
      </c>
      <c r="V23" s="15" t="inlineStr">
        <is>
          <t xml:space="preserve">1009/1813/25; 1155/2056/25; 4762/2025; 557/1088/26; NGP-QCG-SOP-024 F3; ППК26036; ППК26037; ППК26057; ППК26058</t>
        </is>
      </c>
    </row>
    <row r="24">
      <c r="A24" s="15" t="inlineStr">
        <is>
          <t xml:space="preserve">CJ062501/2</t>
        </is>
      </c>
      <c r="B24" s="15" t="inlineStr">
        <is>
          <t xml:space="preserve">P050212</t>
        </is>
      </c>
      <c r="C24" s="15" t="inlineStr">
        <is>
          <t xml:space="preserve">Cap Junky</t>
        </is>
      </c>
      <c r="D24" s="15" t="inlineStr">
        <is>
          <t xml:space="preserve">1</t>
        </is>
      </c>
      <c r="E24" s="15" t="inlineStr">
        <is>
          <t xml:space="preserve">✓ READY TO CITE</t>
        </is>
      </c>
      <c r="F24" s="15" t="inlineStr">
        <is>
          <t xml:space="preserve">0</t>
        </is>
      </c>
      <c r="G24" s="15" t="inlineStr">
        <is>
          <t xml:space="preserve">0</t>
        </is>
      </c>
      <c r="H24" s="15" t="inlineStr">
        <is>
          <t xml:space="preserve">3</t>
        </is>
      </c>
      <c r="I24" s="15" t="inlineStr">
        <is>
          <t xml:space="preserve">✓</t>
        </is>
      </c>
      <c r="J24" s="15" t="inlineStr">
        <is>
          <t xml:space="preserve">✓</t>
        </is>
      </c>
      <c r="K24" s="15" t="inlineStr">
        <is>
          <t xml:space="preserve">✓</t>
        </is>
      </c>
      <c r="L24" s="15" t="inlineStr">
        <is>
          <t xml:space="preserve">✓</t>
        </is>
      </c>
      <c r="M24" s="15" t="inlineStr">
        <is>
          <t xml:space="preserve">✓</t>
        </is>
      </c>
      <c r="N24" s="15" t="inlineStr">
        <is>
          <t xml:space="preserve">✓</t>
        </is>
      </c>
      <c r="O24" s="15" t="inlineStr">
        <is>
          <t xml:space="preserve">✓</t>
        </is>
      </c>
      <c r="P24" s="15" t="inlineStr">
        <is>
          <t xml:space="preserve">✓</t>
        </is>
      </c>
      <c r="Q24" s="15" t="inlineStr">
        <is>
          <t xml:space="preserve">✓</t>
        </is>
      </c>
      <c r="R24" s="15" t="inlineStr">
        <is>
          <t xml:space="preserve">✓</t>
        </is>
      </c>
      <c r="S24" s="15" t="inlineStr">
        <is>
          <t xml:space="preserve">✓</t>
        </is>
      </c>
      <c r="T24" s="15" t="inlineStr">
        <is>
          <t xml:space="preserve">✓</t>
        </is>
      </c>
      <c r="U24" s="15" t="inlineStr">
        <is>
          <t xml:space="preserve">6</t>
        </is>
      </c>
      <c r="V24" s="15" t="inlineStr">
        <is>
          <t xml:space="preserve">1032/1851/25; 197-4-K/26; 197-4-M/26; 4908/2025; 534/1065/26; ППК25322</t>
        </is>
      </c>
    </row>
    <row r="25">
      <c r="A25" s="15" t="inlineStr">
        <is>
          <t xml:space="preserve">CJ062501/1</t>
        </is>
      </c>
      <c r="B25" s="15" t="inlineStr">
        <is>
          <t xml:space="preserve">P050222</t>
        </is>
      </c>
      <c r="C25" s="15" t="inlineStr">
        <is>
          <t xml:space="preserve">Cap Junky</t>
        </is>
      </c>
      <c r="D25" s="15" t="inlineStr">
        <is>
          <t xml:space="preserve">2</t>
        </is>
      </c>
      <c r="E25" s="15" t="inlineStr">
        <is>
          <t xml:space="preserve">✓ READY TO CITE</t>
        </is>
      </c>
      <c r="F25" s="15" t="inlineStr">
        <is>
          <t xml:space="preserve">0</t>
        </is>
      </c>
      <c r="G25" s="15" t="inlineStr">
        <is>
          <t xml:space="preserve">0</t>
        </is>
      </c>
      <c r="H25" s="15" t="inlineStr">
        <is>
          <t xml:space="preserve">3</t>
        </is>
      </c>
      <c r="I25" s="15" t="inlineStr">
        <is>
          <t xml:space="preserve">✓</t>
        </is>
      </c>
      <c r="J25" s="15" t="inlineStr">
        <is>
          <t xml:space="preserve">✓</t>
        </is>
      </c>
      <c r="K25" s="15" t="inlineStr">
        <is>
          <t xml:space="preserve">✓</t>
        </is>
      </c>
      <c r="L25" s="15" t="inlineStr">
        <is>
          <t xml:space="preserve">✓</t>
        </is>
      </c>
      <c r="M25" s="15" t="inlineStr">
        <is>
          <t xml:space="preserve">✓</t>
        </is>
      </c>
      <c r="N25" s="15" t="inlineStr">
        <is>
          <t xml:space="preserve">✓</t>
        </is>
      </c>
      <c r="O25" s="15" t="inlineStr">
        <is>
          <t xml:space="preserve">✓</t>
        </is>
      </c>
      <c r="P25" s="15" t="inlineStr">
        <is>
          <t xml:space="preserve">✓</t>
        </is>
      </c>
      <c r="Q25" s="15" t="inlineStr">
        <is>
          <t xml:space="preserve">✓</t>
        </is>
      </c>
      <c r="R25" s="15" t="inlineStr">
        <is>
          <t xml:space="preserve">✓</t>
        </is>
      </c>
      <c r="S25" s="15" t="inlineStr">
        <is>
          <t xml:space="preserve">✓</t>
        </is>
      </c>
      <c r="T25" s="15" t="inlineStr">
        <is>
          <t xml:space="preserve">✓</t>
        </is>
      </c>
      <c r="U25" s="15" t="inlineStr">
        <is>
          <t xml:space="preserve">5</t>
        </is>
      </c>
      <c r="V25" s="15" t="inlineStr">
        <is>
          <t xml:space="preserve">1217/2168/25; 220-3-K/26; 4907/2025; 535/1066/26; ППК25321</t>
        </is>
      </c>
    </row>
    <row r="26">
      <c r="A26" s="15" t="inlineStr">
        <is>
          <t xml:space="preserve">CJ072501</t>
        </is>
      </c>
      <c r="B26" s="15" t="inlineStr">
        <is>
          <t xml:space="preserve">P050252</t>
        </is>
      </c>
      <c r="C26" s="15" t="inlineStr">
        <is>
          <t xml:space="preserve">Cap Junky</t>
        </is>
      </c>
      <c r="D26" s="15" t="inlineStr">
        <is>
          <t xml:space="preserve">—</t>
        </is>
      </c>
      <c r="E26" s="15" t="inlineStr">
        <is>
          <t xml:space="preserve">✓ READY TO CITE</t>
        </is>
      </c>
      <c r="F26" s="15" t="inlineStr">
        <is>
          <t xml:space="preserve">0</t>
        </is>
      </c>
      <c r="G26" s="15" t="inlineStr">
        <is>
          <t xml:space="preserve">0</t>
        </is>
      </c>
      <c r="H26" s="15" t="inlineStr">
        <is>
          <t xml:space="preserve">3</t>
        </is>
      </c>
      <c r="I26" s="15" t="inlineStr">
        <is>
          <t xml:space="preserve">✓</t>
        </is>
      </c>
      <c r="J26" s="15" t="inlineStr">
        <is>
          <t xml:space="preserve">✓</t>
        </is>
      </c>
      <c r="K26" s="15" t="inlineStr">
        <is>
          <t xml:space="preserve">✓</t>
        </is>
      </c>
      <c r="L26" s="15" t="inlineStr">
        <is>
          <t xml:space="preserve">✓</t>
        </is>
      </c>
      <c r="M26" s="15" t="inlineStr">
        <is>
          <t xml:space="preserve">✓</t>
        </is>
      </c>
      <c r="N26" s="15" t="inlineStr">
        <is>
          <t xml:space="preserve">✓</t>
        </is>
      </c>
      <c r="O26" s="15" t="inlineStr">
        <is>
          <t xml:space="preserve">✓</t>
        </is>
      </c>
      <c r="P26" s="15" t="inlineStr">
        <is>
          <t xml:space="preserve">✓</t>
        </is>
      </c>
      <c r="Q26" s="15" t="inlineStr">
        <is>
          <t xml:space="preserve">✓</t>
        </is>
      </c>
      <c r="R26" s="15" t="inlineStr">
        <is>
          <t xml:space="preserve">✓</t>
        </is>
      </c>
      <c r="S26" s="15" t="inlineStr">
        <is>
          <t xml:space="preserve">✓</t>
        </is>
      </c>
      <c r="T26" s="15" t="inlineStr">
        <is>
          <t xml:space="preserve">✓</t>
        </is>
      </c>
      <c r="U26" s="15" t="inlineStr">
        <is>
          <t xml:space="preserve">4</t>
        </is>
      </c>
      <c r="V26" s="15" t="inlineStr">
        <is>
          <t xml:space="preserve">1218/2169/25; 556/1087/26; 5697/2025; ППК25367</t>
        </is>
      </c>
    </row>
    <row r="27">
      <c r="A27" s="15" t="inlineStr">
        <is>
          <t xml:space="preserve">WC072501</t>
        </is>
      </c>
      <c r="B27" s="15" t="inlineStr">
        <is>
          <t xml:space="preserve">P050262</t>
        </is>
      </c>
      <c r="C27" s="15" t="inlineStr">
        <is>
          <t xml:space="preserve">Wedding Crasher</t>
        </is>
      </c>
      <c r="D27" s="15" t="inlineStr">
        <is>
          <t xml:space="preserve">—</t>
        </is>
      </c>
      <c r="E27" s="15" t="inlineStr">
        <is>
          <t xml:space="preserve">✓ READY TO CITE</t>
        </is>
      </c>
      <c r="F27" s="15" t="inlineStr">
        <is>
          <t xml:space="preserve">0</t>
        </is>
      </c>
      <c r="G27" s="15" t="inlineStr">
        <is>
          <t xml:space="preserve">0</t>
        </is>
      </c>
      <c r="H27" s="15" t="inlineStr">
        <is>
          <t xml:space="preserve">3</t>
        </is>
      </c>
      <c r="I27" s="15" t="inlineStr">
        <is>
          <t xml:space="preserve">✓</t>
        </is>
      </c>
      <c r="J27" s="15" t="inlineStr">
        <is>
          <t xml:space="preserve">✓</t>
        </is>
      </c>
      <c r="K27" s="15" t="inlineStr">
        <is>
          <t xml:space="preserve">✓</t>
        </is>
      </c>
      <c r="L27" s="15" t="inlineStr">
        <is>
          <t xml:space="preserve">✓</t>
        </is>
      </c>
      <c r="M27" s="15" t="inlineStr">
        <is>
          <t xml:space="preserve">✓</t>
        </is>
      </c>
      <c r="N27" s="15" t="inlineStr">
        <is>
          <t xml:space="preserve">✓</t>
        </is>
      </c>
      <c r="O27" s="15" t="inlineStr">
        <is>
          <t xml:space="preserve">✓</t>
        </is>
      </c>
      <c r="P27" s="15" t="inlineStr">
        <is>
          <t xml:space="preserve">✓</t>
        </is>
      </c>
      <c r="Q27" s="15" t="inlineStr">
        <is>
          <t xml:space="preserve">✓</t>
        </is>
      </c>
      <c r="R27" s="15" t="inlineStr">
        <is>
          <t xml:space="preserve">✓</t>
        </is>
      </c>
      <c r="S27" s="15" t="inlineStr">
        <is>
          <t xml:space="preserve">✓</t>
        </is>
      </c>
      <c r="T27" s="15" t="inlineStr">
        <is>
          <t xml:space="preserve">✓</t>
        </is>
      </c>
      <c r="U27" s="15" t="inlineStr">
        <is>
          <t xml:space="preserve">4</t>
        </is>
      </c>
      <c r="V27" s="15" t="inlineStr">
        <is>
          <t xml:space="preserve">1221/2172/25; 555/1086/26; 5699/2025; ППК25369</t>
        </is>
      </c>
    </row>
    <row r="28">
      <c r="A28" s="15" t="inlineStr">
        <is>
          <t xml:space="preserve">PM072501</t>
        </is>
      </c>
      <c r="B28" s="15" t="inlineStr">
        <is>
          <t xml:space="preserve">P050272</t>
        </is>
      </c>
      <c r="C28" s="15" t="inlineStr">
        <is>
          <t xml:space="preserve">Permanent Market</t>
        </is>
      </c>
      <c r="D28" s="15" t="inlineStr">
        <is>
          <t xml:space="preserve">—</t>
        </is>
      </c>
      <c r="E28" s="15" t="inlineStr">
        <is>
          <t xml:space="preserve">✓ READY TO CITE</t>
        </is>
      </c>
      <c r="F28" s="15" t="inlineStr">
        <is>
          <t xml:space="preserve">0</t>
        </is>
      </c>
      <c r="G28" s="15" t="inlineStr">
        <is>
          <t xml:space="preserve">0</t>
        </is>
      </c>
      <c r="H28" s="15" t="inlineStr">
        <is>
          <t xml:space="preserve">2</t>
        </is>
      </c>
      <c r="I28" s="15" t="inlineStr">
        <is>
          <t xml:space="preserve">✓</t>
        </is>
      </c>
      <c r="J28" s="15" t="inlineStr">
        <is>
          <t xml:space="preserve">✓</t>
        </is>
      </c>
      <c r="K28" s="15" t="inlineStr">
        <is>
          <t xml:space="preserve">✓</t>
        </is>
      </c>
      <c r="L28" s="15" t="inlineStr">
        <is>
          <t xml:space="preserve">✓</t>
        </is>
      </c>
      <c r="M28" s="15" t="inlineStr">
        <is>
          <t xml:space="preserve">✓</t>
        </is>
      </c>
      <c r="N28" s="15" t="inlineStr">
        <is>
          <t xml:space="preserve">✓</t>
        </is>
      </c>
      <c r="O28" s="15" t="inlineStr">
        <is>
          <t xml:space="preserve">✓</t>
        </is>
      </c>
      <c r="P28" s="15" t="inlineStr">
        <is>
          <t xml:space="preserve">✓</t>
        </is>
      </c>
      <c r="Q28" s="15" t="inlineStr">
        <is>
          <t xml:space="preserve">✓</t>
        </is>
      </c>
      <c r="R28" s="15" t="inlineStr">
        <is>
          <t xml:space="preserve">✓</t>
        </is>
      </c>
      <c r="S28" s="15" t="inlineStr">
        <is>
          <t xml:space="preserve">✓</t>
        </is>
      </c>
      <c r="T28" s="15" t="inlineStr">
        <is>
          <t xml:space="preserve">✓</t>
        </is>
      </c>
      <c r="U28" s="15" t="inlineStr">
        <is>
          <t xml:space="preserve">4</t>
        </is>
      </c>
      <c r="V28" s="15" t="inlineStr">
        <is>
          <t xml:space="preserve">1220/2171/25; 554/1085/26; 5698/2025; ППК25368</t>
        </is>
      </c>
    </row>
    <row r="29">
      <c r="A29" s="15" t="inlineStr">
        <is>
          <t xml:space="preserve">CLE072501</t>
        </is>
      </c>
      <c r="B29" s="15" t="inlineStr">
        <is>
          <t xml:space="preserve">P050282</t>
        </is>
      </c>
      <c r="C29" s="15" t="inlineStr">
        <is>
          <t xml:space="preserve">Clemosa a bud</t>
        </is>
      </c>
      <c r="D29" s="15" t="inlineStr">
        <is>
          <t xml:space="preserve">2</t>
        </is>
      </c>
      <c r="E29" s="15" t="inlineStr">
        <is>
          <t xml:space="preserve">✓ READY TO CITE</t>
        </is>
      </c>
      <c r="F29" s="15" t="inlineStr">
        <is>
          <t xml:space="preserve">0</t>
        </is>
      </c>
      <c r="G29" s="15" t="inlineStr">
        <is>
          <t xml:space="preserve">0</t>
        </is>
      </c>
      <c r="H29" s="15" t="inlineStr">
        <is>
          <t xml:space="preserve">3</t>
        </is>
      </c>
      <c r="I29" s="15" t="inlineStr">
        <is>
          <t xml:space="preserve">✓</t>
        </is>
      </c>
      <c r="J29" s="15" t="inlineStr">
        <is>
          <t xml:space="preserve">✓</t>
        </is>
      </c>
      <c r="K29" s="15" t="inlineStr">
        <is>
          <t xml:space="preserve">✓</t>
        </is>
      </c>
      <c r="L29" s="15" t="inlineStr">
        <is>
          <t xml:space="preserve">✓</t>
        </is>
      </c>
      <c r="M29" s="15" t="inlineStr">
        <is>
          <t xml:space="preserve">✓</t>
        </is>
      </c>
      <c r="N29" s="15" t="inlineStr">
        <is>
          <t xml:space="preserve">✓</t>
        </is>
      </c>
      <c r="O29" s="15" t="inlineStr">
        <is>
          <t xml:space="preserve">✓</t>
        </is>
      </c>
      <c r="P29" s="15" t="inlineStr">
        <is>
          <t xml:space="preserve">✓</t>
        </is>
      </c>
      <c r="Q29" s="15" t="inlineStr">
        <is>
          <t xml:space="preserve">✓</t>
        </is>
      </c>
      <c r="R29" s="15" t="inlineStr">
        <is>
          <t xml:space="preserve">✓</t>
        </is>
      </c>
      <c r="S29" s="15" t="inlineStr">
        <is>
          <t xml:space="preserve">✓</t>
        </is>
      </c>
      <c r="T29" s="15" t="inlineStr">
        <is>
          <t xml:space="preserve">✓</t>
        </is>
      </c>
      <c r="U29" s="15" t="inlineStr">
        <is>
          <t xml:space="preserve">4</t>
        </is>
      </c>
      <c r="V29" s="15" t="inlineStr">
        <is>
          <t xml:space="preserve">1219/2170/25; 220-7-K/26; 5700/2025; ППК25370</t>
        </is>
      </c>
    </row>
    <row r="30">
      <c r="A30" s="15" t="inlineStr">
        <is>
          <t xml:space="preserve">GP072501/1</t>
        </is>
      </c>
      <c r="B30" s="15" t="inlineStr">
        <is>
          <t xml:space="preserve">P050292</t>
        </is>
      </c>
      <c r="C30" s="15" t="inlineStr">
        <is>
          <t xml:space="preserve">Grape Pie</t>
        </is>
      </c>
      <c r="D30" s="15" t="inlineStr">
        <is>
          <t xml:space="preserve">—</t>
        </is>
      </c>
      <c r="E30" s="15" t="inlineStr">
        <is>
          <t xml:space="preserve">✓ READY TO CITE</t>
        </is>
      </c>
      <c r="F30" s="15" t="inlineStr">
        <is>
          <t xml:space="preserve">0</t>
        </is>
      </c>
      <c r="G30" s="15" t="inlineStr">
        <is>
          <t xml:space="preserve">0</t>
        </is>
      </c>
      <c r="H30" s="15" t="inlineStr">
        <is>
          <t xml:space="preserve">3</t>
        </is>
      </c>
      <c r="I30" s="15" t="inlineStr">
        <is>
          <t xml:space="preserve">✓</t>
        </is>
      </c>
      <c r="J30" s="15" t="inlineStr">
        <is>
          <t xml:space="preserve">✓</t>
        </is>
      </c>
      <c r="K30" s="15" t="inlineStr">
        <is>
          <t xml:space="preserve">✓</t>
        </is>
      </c>
      <c r="L30" s="15" t="inlineStr">
        <is>
          <t xml:space="preserve">✓</t>
        </is>
      </c>
      <c r="M30" s="15" t="inlineStr">
        <is>
          <t xml:space="preserve">✓</t>
        </is>
      </c>
      <c r="N30" s="15" t="inlineStr">
        <is>
          <t xml:space="preserve">✓</t>
        </is>
      </c>
      <c r="O30" s="15" t="inlineStr">
        <is>
          <t xml:space="preserve">✓</t>
        </is>
      </c>
      <c r="P30" s="15" t="inlineStr">
        <is>
          <t xml:space="preserve">✓</t>
        </is>
      </c>
      <c r="Q30" s="15" t="inlineStr">
        <is>
          <t xml:space="preserve">✓</t>
        </is>
      </c>
      <c r="R30" s="15" t="inlineStr">
        <is>
          <t xml:space="preserve">✓</t>
        </is>
      </c>
      <c r="S30" s="15" t="inlineStr">
        <is>
          <t xml:space="preserve">✓</t>
        </is>
      </c>
      <c r="T30" s="15" t="inlineStr">
        <is>
          <t xml:space="preserve">✓</t>
        </is>
      </c>
      <c r="U30" s="15" t="inlineStr">
        <is>
          <t xml:space="preserve">4</t>
        </is>
      </c>
      <c r="V30" s="15" t="inlineStr">
        <is>
          <t xml:space="preserve">1228/2194/25; 553/1084/26; 5886/2025; ППК25378</t>
        </is>
      </c>
    </row>
    <row r="31">
      <c r="A31" s="15" t="inlineStr">
        <is>
          <t xml:space="preserve">GP072501/2</t>
        </is>
      </c>
      <c r="B31" s="15" t="inlineStr">
        <is>
          <t xml:space="preserve">P050302</t>
        </is>
      </c>
      <c r="C31" s="15" t="inlineStr">
        <is>
          <t xml:space="preserve">Grape Pie</t>
        </is>
      </c>
      <c r="D31" s="15" t="inlineStr">
        <is>
          <t xml:space="preserve">2</t>
        </is>
      </c>
      <c r="E31" s="15" t="inlineStr">
        <is>
          <t xml:space="preserve">✓ READY TO CITE</t>
        </is>
      </c>
      <c r="F31" s="15" t="inlineStr">
        <is>
          <t xml:space="preserve">0</t>
        </is>
      </c>
      <c r="G31" s="15" t="inlineStr">
        <is>
          <t xml:space="preserve">0</t>
        </is>
      </c>
      <c r="H31" s="15" t="inlineStr">
        <is>
          <t xml:space="preserve">3</t>
        </is>
      </c>
      <c r="I31" s="15" t="inlineStr">
        <is>
          <t xml:space="preserve">✓</t>
        </is>
      </c>
      <c r="J31" s="15" t="inlineStr">
        <is>
          <t xml:space="preserve">✓</t>
        </is>
      </c>
      <c r="K31" s="15" t="inlineStr">
        <is>
          <t xml:space="preserve">✓</t>
        </is>
      </c>
      <c r="L31" s="15" t="inlineStr">
        <is>
          <t xml:space="preserve">✓</t>
        </is>
      </c>
      <c r="M31" s="15" t="inlineStr">
        <is>
          <t xml:space="preserve">✓</t>
        </is>
      </c>
      <c r="N31" s="15" t="inlineStr">
        <is>
          <t xml:space="preserve">✓</t>
        </is>
      </c>
      <c r="O31" s="15" t="inlineStr">
        <is>
          <t xml:space="preserve">✓</t>
        </is>
      </c>
      <c r="P31" s="15" t="inlineStr">
        <is>
          <t xml:space="preserve">✓</t>
        </is>
      </c>
      <c r="Q31" s="15" t="inlineStr">
        <is>
          <t xml:space="preserve">✓</t>
        </is>
      </c>
      <c r="R31" s="15" t="inlineStr">
        <is>
          <t xml:space="preserve">✓</t>
        </is>
      </c>
      <c r="S31" s="15" t="inlineStr">
        <is>
          <t xml:space="preserve">✓</t>
        </is>
      </c>
      <c r="T31" s="15" t="inlineStr">
        <is>
          <t xml:space="preserve">✓</t>
        </is>
      </c>
      <c r="U31" s="15" t="inlineStr">
        <is>
          <t xml:space="preserve">4</t>
        </is>
      </c>
      <c r="V31" s="15" t="inlineStr">
        <is>
          <t xml:space="preserve">1229/2195/25; 220-10-K/26; 5887/2025; ППК25379</t>
        </is>
      </c>
    </row>
    <row r="32">
      <c r="A32" s="15" t="inlineStr">
        <is>
          <t xml:space="preserve">GP082501/1</t>
        </is>
      </c>
      <c r="B32" s="15" t="inlineStr">
        <is>
          <t xml:space="preserve">P050312</t>
        </is>
      </c>
      <c r="C32" s="15" t="inlineStr">
        <is>
          <t xml:space="preserve">Grape Pie</t>
        </is>
      </c>
      <c r="D32" s="15" t="inlineStr">
        <is>
          <t xml:space="preserve">2</t>
        </is>
      </c>
      <c r="E32" s="15" t="inlineStr">
        <is>
          <t xml:space="preserve">✓ READY TO CITE</t>
        </is>
      </c>
      <c r="F32" s="15" t="inlineStr">
        <is>
          <t xml:space="preserve">0</t>
        </is>
      </c>
      <c r="G32" s="15" t="inlineStr">
        <is>
          <t xml:space="preserve">0</t>
        </is>
      </c>
      <c r="H32" s="15" t="inlineStr">
        <is>
          <t xml:space="preserve">3</t>
        </is>
      </c>
      <c r="I32" s="15" t="inlineStr">
        <is>
          <t xml:space="preserve">✓</t>
        </is>
      </c>
      <c r="J32" s="15" t="inlineStr">
        <is>
          <t xml:space="preserve">✓</t>
        </is>
      </c>
      <c r="K32" s="15" t="inlineStr">
        <is>
          <t xml:space="preserve">✓</t>
        </is>
      </c>
      <c r="L32" s="15" t="inlineStr">
        <is>
          <t xml:space="preserve">✓</t>
        </is>
      </c>
      <c r="M32" s="15" t="inlineStr">
        <is>
          <t xml:space="preserve">✓</t>
        </is>
      </c>
      <c r="N32" s="15" t="inlineStr">
        <is>
          <t xml:space="preserve">✓</t>
        </is>
      </c>
      <c r="O32" s="15" t="inlineStr">
        <is>
          <t xml:space="preserve">✓</t>
        </is>
      </c>
      <c r="P32" s="15" t="inlineStr">
        <is>
          <t xml:space="preserve">✓</t>
        </is>
      </c>
      <c r="Q32" s="15" t="inlineStr">
        <is>
          <t xml:space="preserve">✓</t>
        </is>
      </c>
      <c r="R32" s="15" t="inlineStr">
        <is>
          <t xml:space="preserve">✓</t>
        </is>
      </c>
      <c r="S32" s="15" t="inlineStr">
        <is>
          <t xml:space="preserve">✓</t>
        </is>
      </c>
      <c r="T32" s="15" t="inlineStr">
        <is>
          <t xml:space="preserve">✓</t>
        </is>
      </c>
      <c r="U32" s="15" t="inlineStr">
        <is>
          <t xml:space="preserve">4</t>
        </is>
      </c>
      <c r="V32" s="15" t="inlineStr">
        <is>
          <t xml:space="preserve">1226/2192/25; 220-12-K/26; 5888/2025; ППК25380</t>
        </is>
      </c>
    </row>
    <row r="33">
      <c r="A33" s="15" t="inlineStr">
        <is>
          <t xml:space="preserve">GP082501/2</t>
        </is>
      </c>
      <c r="B33" s="15" t="inlineStr">
        <is>
          <t xml:space="preserve">P050322</t>
        </is>
      </c>
      <c r="C33" s="15" t="inlineStr">
        <is>
          <t xml:space="preserve">Grape Pie</t>
        </is>
      </c>
      <c r="D33" s="15" t="inlineStr">
        <is>
          <t xml:space="preserve">1</t>
        </is>
      </c>
      <c r="E33" s="15" t="inlineStr">
        <is>
          <t xml:space="preserve">✓ READY TO CITE</t>
        </is>
      </c>
      <c r="F33" s="15" t="inlineStr">
        <is>
          <t xml:space="preserve">0</t>
        </is>
      </c>
      <c r="G33" s="15" t="inlineStr">
        <is>
          <t xml:space="preserve">0</t>
        </is>
      </c>
      <c r="H33" s="15" t="inlineStr">
        <is>
          <t xml:space="preserve">3</t>
        </is>
      </c>
      <c r="I33" s="15" t="inlineStr">
        <is>
          <t xml:space="preserve">✓</t>
        </is>
      </c>
      <c r="J33" s="15" t="inlineStr">
        <is>
          <t xml:space="preserve">✓</t>
        </is>
      </c>
      <c r="K33" s="15" t="inlineStr">
        <is>
          <t xml:space="preserve">✓</t>
        </is>
      </c>
      <c r="L33" s="15" t="inlineStr">
        <is>
          <t xml:space="preserve">✓</t>
        </is>
      </c>
      <c r="M33" s="15" t="inlineStr">
        <is>
          <t xml:space="preserve">✓</t>
        </is>
      </c>
      <c r="N33" s="15" t="inlineStr">
        <is>
          <t xml:space="preserve">✓</t>
        </is>
      </c>
      <c r="O33" s="15" t="inlineStr">
        <is>
          <t xml:space="preserve">✓</t>
        </is>
      </c>
      <c r="P33" s="15" t="inlineStr">
        <is>
          <t xml:space="preserve">✓</t>
        </is>
      </c>
      <c r="Q33" s="15" t="inlineStr">
        <is>
          <t xml:space="preserve">✓</t>
        </is>
      </c>
      <c r="R33" s="15" t="inlineStr">
        <is>
          <t xml:space="preserve">✓</t>
        </is>
      </c>
      <c r="S33" s="15" t="inlineStr">
        <is>
          <t xml:space="preserve">✓</t>
        </is>
      </c>
      <c r="T33" s="15" t="inlineStr">
        <is>
          <t xml:space="preserve">✓</t>
        </is>
      </c>
      <c r="U33" s="15" t="inlineStr">
        <is>
          <t xml:space="preserve">5</t>
        </is>
      </c>
      <c r="V33" s="15" t="inlineStr">
        <is>
          <t xml:space="preserve">1227/2193/25; 197-12-K/26; 197-12-M/26; 5889/2025; ППК25381</t>
        </is>
      </c>
    </row>
    <row r="34">
      <c r="A34" s="15" t="inlineStr">
        <is>
          <t xml:space="preserve">WC082501</t>
        </is>
      </c>
      <c r="B34" s="15" t="inlineStr">
        <is>
          <t xml:space="preserve">P060012</t>
        </is>
      </c>
      <c r="C34" s="15" t="inlineStr">
        <is>
          <t xml:space="preserve">Wedding Crasher</t>
        </is>
      </c>
      <c r="D34" s="15" t="inlineStr">
        <is>
          <t xml:space="preserve">2</t>
        </is>
      </c>
      <c r="E34" s="15" t="inlineStr">
        <is>
          <t xml:space="preserve">✓ READY TO CITE</t>
        </is>
      </c>
      <c r="F34" s="15" t="inlineStr">
        <is>
          <t xml:space="preserve">0</t>
        </is>
      </c>
      <c r="G34" s="15" t="inlineStr">
        <is>
          <t xml:space="preserve">0</t>
        </is>
      </c>
      <c r="H34" s="15" t="inlineStr">
        <is>
          <t xml:space="preserve">3</t>
        </is>
      </c>
      <c r="I34" s="15" t="inlineStr">
        <is>
          <t xml:space="preserve">✓</t>
        </is>
      </c>
      <c r="J34" s="15" t="inlineStr">
        <is>
          <t xml:space="preserve">✓</t>
        </is>
      </c>
      <c r="K34" s="15" t="inlineStr">
        <is>
          <t xml:space="preserve">✓</t>
        </is>
      </c>
      <c r="L34" s="15" t="inlineStr">
        <is>
          <t xml:space="preserve">✓</t>
        </is>
      </c>
      <c r="M34" s="15" t="inlineStr">
        <is>
          <t xml:space="preserve">✓</t>
        </is>
      </c>
      <c r="N34" s="15" t="inlineStr">
        <is>
          <t xml:space="preserve">✓</t>
        </is>
      </c>
      <c r="O34" s="15" t="inlineStr">
        <is>
          <t xml:space="preserve">✓</t>
        </is>
      </c>
      <c r="P34" s="15" t="inlineStr">
        <is>
          <t xml:space="preserve">✓</t>
        </is>
      </c>
      <c r="Q34" s="15" t="inlineStr">
        <is>
          <t xml:space="preserve">✓</t>
        </is>
      </c>
      <c r="R34" s="15" t="inlineStr">
        <is>
          <t xml:space="preserve">✓</t>
        </is>
      </c>
      <c r="S34" s="15" t="inlineStr">
        <is>
          <t xml:space="preserve">✓</t>
        </is>
      </c>
      <c r="T34" s="15" t="inlineStr">
        <is>
          <t xml:space="preserve">✓</t>
        </is>
      </c>
      <c r="U34" s="15" t="inlineStr">
        <is>
          <t xml:space="preserve">4</t>
        </is>
      </c>
      <c r="V34" s="15" t="inlineStr">
        <is>
          <t xml:space="preserve">220-28-K/26; 3/0006/26; 80/2026; ППК26001</t>
        </is>
      </c>
    </row>
    <row r="35">
      <c r="A35" s="15" t="inlineStr">
        <is>
          <t xml:space="preserve">CJ082501/1</t>
        </is>
      </c>
      <c r="B35" s="15" t="inlineStr">
        <is>
          <t xml:space="preserve">P060022</t>
        </is>
      </c>
      <c r="C35" s="15" t="inlineStr">
        <is>
          <t xml:space="preserve">Cap Junky</t>
        </is>
      </c>
      <c r="D35" s="15" t="inlineStr">
        <is>
          <t xml:space="preserve">2</t>
        </is>
      </c>
      <c r="E35" s="15" t="inlineStr">
        <is>
          <t xml:space="preserve">✓ READY TO CITE</t>
        </is>
      </c>
      <c r="F35" s="15" t="inlineStr">
        <is>
          <t xml:space="preserve">0</t>
        </is>
      </c>
      <c r="G35" s="15" t="inlineStr">
        <is>
          <t xml:space="preserve">0</t>
        </is>
      </c>
      <c r="H35" s="15" t="inlineStr">
        <is>
          <t xml:space="preserve">3</t>
        </is>
      </c>
      <c r="I35" s="15" t="inlineStr">
        <is>
          <t xml:space="preserve">✓</t>
        </is>
      </c>
      <c r="J35" s="15" t="inlineStr">
        <is>
          <t xml:space="preserve">✓</t>
        </is>
      </c>
      <c r="K35" s="15" t="inlineStr">
        <is>
          <t xml:space="preserve">✓</t>
        </is>
      </c>
      <c r="L35" s="15" t="inlineStr">
        <is>
          <t xml:space="preserve">✓</t>
        </is>
      </c>
      <c r="M35" s="15" t="inlineStr">
        <is>
          <t xml:space="preserve">✓</t>
        </is>
      </c>
      <c r="N35" s="15" t="inlineStr">
        <is>
          <t xml:space="preserve">✓</t>
        </is>
      </c>
      <c r="O35" s="15" t="inlineStr">
        <is>
          <t xml:space="preserve">✓</t>
        </is>
      </c>
      <c r="P35" s="15" t="inlineStr">
        <is>
          <t xml:space="preserve">✓</t>
        </is>
      </c>
      <c r="Q35" s="15" t="inlineStr">
        <is>
          <t xml:space="preserve">✓</t>
        </is>
      </c>
      <c r="R35" s="15" t="inlineStr">
        <is>
          <t xml:space="preserve">✓</t>
        </is>
      </c>
      <c r="S35" s="15" t="inlineStr">
        <is>
          <t xml:space="preserve">✓</t>
        </is>
      </c>
      <c r="T35" s="15" t="inlineStr">
        <is>
          <t xml:space="preserve">✓</t>
        </is>
      </c>
      <c r="U35" s="15" t="inlineStr">
        <is>
          <t xml:space="preserve">4</t>
        </is>
      </c>
      <c r="V35" s="15" t="inlineStr">
        <is>
          <t xml:space="preserve">220-4-K/26; 8/0011/26; 81/2026; ППК26002</t>
        </is>
      </c>
    </row>
    <row r="36">
      <c r="A36" s="15" t="inlineStr">
        <is>
          <t xml:space="preserve">CJ082501/2</t>
        </is>
      </c>
      <c r="B36" s="15" t="inlineStr">
        <is>
          <t xml:space="preserve">P060032</t>
        </is>
      </c>
      <c r="C36" s="15" t="inlineStr">
        <is>
          <t xml:space="preserve">Cap Junky</t>
        </is>
      </c>
      <c r="D36" s="15" t="inlineStr">
        <is>
          <t xml:space="preserve">1</t>
        </is>
      </c>
      <c r="E36" s="15" t="inlineStr">
        <is>
          <t xml:space="preserve">✓ READY TO CITE</t>
        </is>
      </c>
      <c r="F36" s="15" t="inlineStr">
        <is>
          <t xml:space="preserve">0</t>
        </is>
      </c>
      <c r="G36" s="15" t="inlineStr">
        <is>
          <t xml:space="preserve">0</t>
        </is>
      </c>
      <c r="H36" s="15" t="inlineStr">
        <is>
          <t xml:space="preserve">3</t>
        </is>
      </c>
      <c r="I36" s="15" t="inlineStr">
        <is>
          <t xml:space="preserve">✓</t>
        </is>
      </c>
      <c r="J36" s="15" t="inlineStr">
        <is>
          <t xml:space="preserve">✓</t>
        </is>
      </c>
      <c r="K36" s="15" t="inlineStr">
        <is>
          <t xml:space="preserve">✓</t>
        </is>
      </c>
      <c r="L36" s="15" t="inlineStr">
        <is>
          <t xml:space="preserve">✓</t>
        </is>
      </c>
      <c r="M36" s="15" t="inlineStr">
        <is>
          <t xml:space="preserve">✓</t>
        </is>
      </c>
      <c r="N36" s="15" t="inlineStr">
        <is>
          <t xml:space="preserve">✓</t>
        </is>
      </c>
      <c r="O36" s="15" t="inlineStr">
        <is>
          <t xml:space="preserve">✓</t>
        </is>
      </c>
      <c r="P36" s="15" t="inlineStr">
        <is>
          <t xml:space="preserve">✓</t>
        </is>
      </c>
      <c r="Q36" s="15" t="inlineStr">
        <is>
          <t xml:space="preserve">✓</t>
        </is>
      </c>
      <c r="R36" s="15" t="inlineStr">
        <is>
          <t xml:space="preserve">✓</t>
        </is>
      </c>
      <c r="S36" s="15" t="inlineStr">
        <is>
          <t xml:space="preserve">✓</t>
        </is>
      </c>
      <c r="T36" s="15" t="inlineStr">
        <is>
          <t xml:space="preserve">✓</t>
        </is>
      </c>
      <c r="U36" s="15" t="inlineStr">
        <is>
          <t xml:space="preserve">5</t>
        </is>
      </c>
      <c r="V36" s="15" t="inlineStr">
        <is>
          <t xml:space="preserve">197-5-K/26; 197-5-M/26; 4/0007/26; 82/2026; ППК26003</t>
        </is>
      </c>
    </row>
    <row r="37">
      <c r="A37" s="15" t="inlineStr">
        <is>
          <t xml:space="preserve">OPM092501</t>
        </is>
      </c>
      <c r="B37" s="15" t="inlineStr">
        <is>
          <t xml:space="preserve">P060042</t>
        </is>
      </c>
      <c r="C37" s="15" t="inlineStr">
        <is>
          <t xml:space="preserve">Orange Punch Mimosa</t>
        </is>
      </c>
      <c r="D37" s="15" t="inlineStr">
        <is>
          <t xml:space="preserve">2</t>
        </is>
      </c>
      <c r="E37" s="15" t="inlineStr">
        <is>
          <t xml:space="preserve">✓ READY TO CITE</t>
        </is>
      </c>
      <c r="F37" s="15" t="inlineStr">
        <is>
          <t xml:space="preserve">0</t>
        </is>
      </c>
      <c r="G37" s="15" t="inlineStr">
        <is>
          <t xml:space="preserve">0</t>
        </is>
      </c>
      <c r="H37" s="15" t="inlineStr">
        <is>
          <t xml:space="preserve">3</t>
        </is>
      </c>
      <c r="I37" s="15" t="inlineStr">
        <is>
          <t xml:space="preserve">✓</t>
        </is>
      </c>
      <c r="J37" s="15" t="inlineStr">
        <is>
          <t xml:space="preserve">✓</t>
        </is>
      </c>
      <c r="K37" s="15" t="inlineStr">
        <is>
          <t xml:space="preserve">✓</t>
        </is>
      </c>
      <c r="L37" s="15" t="inlineStr">
        <is>
          <t xml:space="preserve">✓</t>
        </is>
      </c>
      <c r="M37" s="15" t="inlineStr">
        <is>
          <t xml:space="preserve">✓</t>
        </is>
      </c>
      <c r="N37" s="15" t="inlineStr">
        <is>
          <t xml:space="preserve">✓</t>
        </is>
      </c>
      <c r="O37" s="15" t="inlineStr">
        <is>
          <t xml:space="preserve">✓</t>
        </is>
      </c>
      <c r="P37" s="15" t="inlineStr">
        <is>
          <t xml:space="preserve">✓</t>
        </is>
      </c>
      <c r="Q37" s="15" t="inlineStr">
        <is>
          <t xml:space="preserve">✓</t>
        </is>
      </c>
      <c r="R37" s="15" t="inlineStr">
        <is>
          <t xml:space="preserve">✓</t>
        </is>
      </c>
      <c r="S37" s="15" t="inlineStr">
        <is>
          <t xml:space="preserve">✓</t>
        </is>
      </c>
      <c r="T37" s="15" t="inlineStr">
        <is>
          <t xml:space="preserve">✓</t>
        </is>
      </c>
      <c r="U37" s="15" t="inlineStr">
        <is>
          <t xml:space="preserve">4</t>
        </is>
      </c>
      <c r="V37" s="15" t="inlineStr">
        <is>
          <t xml:space="preserve">2/0005/26; 220-22-K/26; 87/2026; ППК26008</t>
        </is>
      </c>
    </row>
    <row r="38">
      <c r="A38" s="15" t="inlineStr">
        <is>
          <t xml:space="preserve">AB092501</t>
        </is>
      </c>
      <c r="B38" s="15" t="inlineStr">
        <is>
          <t xml:space="preserve">P060052</t>
        </is>
      </c>
      <c r="C38" s="15" t="inlineStr">
        <is>
          <t xml:space="preserve">Apple and Banana</t>
        </is>
      </c>
      <c r="D38" s="15" t="inlineStr">
        <is>
          <t xml:space="preserve">—</t>
        </is>
      </c>
      <c r="E38" s="15" t="inlineStr">
        <is>
          <t xml:space="preserve">✓ READY TO CITE</t>
        </is>
      </c>
      <c r="F38" s="15" t="inlineStr">
        <is>
          <t xml:space="preserve">0</t>
        </is>
      </c>
      <c r="G38" s="15" t="inlineStr">
        <is>
          <t xml:space="preserve">0</t>
        </is>
      </c>
      <c r="H38" s="15" t="inlineStr">
        <is>
          <t xml:space="preserve">3</t>
        </is>
      </c>
      <c r="I38" s="15" t="inlineStr">
        <is>
          <t xml:space="preserve">✓</t>
        </is>
      </c>
      <c r="J38" s="15" t="inlineStr">
        <is>
          <t xml:space="preserve">✓</t>
        </is>
      </c>
      <c r="K38" s="15" t="inlineStr">
        <is>
          <t xml:space="preserve">✓</t>
        </is>
      </c>
      <c r="L38" s="15" t="inlineStr">
        <is>
          <t xml:space="preserve">✓</t>
        </is>
      </c>
      <c r="M38" s="15" t="inlineStr">
        <is>
          <t xml:space="preserve">✓</t>
        </is>
      </c>
      <c r="N38" s="15" t="inlineStr">
        <is>
          <t xml:space="preserve">✓</t>
        </is>
      </c>
      <c r="O38" s="15" t="inlineStr">
        <is>
          <t xml:space="preserve">✓</t>
        </is>
      </c>
      <c r="P38" s="15" t="inlineStr">
        <is>
          <t xml:space="preserve">✓</t>
        </is>
      </c>
      <c r="Q38" s="15" t="inlineStr">
        <is>
          <t xml:space="preserve">✓</t>
        </is>
      </c>
      <c r="R38" s="15" t="inlineStr">
        <is>
          <t xml:space="preserve">✓</t>
        </is>
      </c>
      <c r="S38" s="15" t="inlineStr">
        <is>
          <t xml:space="preserve">✓</t>
        </is>
      </c>
      <c r="T38" s="15" t="inlineStr">
        <is>
          <t xml:space="preserve">✓</t>
        </is>
      </c>
      <c r="U38" s="15" t="inlineStr">
        <is>
          <t xml:space="preserve">4</t>
        </is>
      </c>
      <c r="V38" s="15" t="inlineStr">
        <is>
          <t xml:space="preserve">552/1083/26; 7/0010/26; 84/2026; ППК26005</t>
        </is>
      </c>
    </row>
    <row r="39">
      <c r="A39" s="15" t="inlineStr">
        <is>
          <t xml:space="preserve">PM092501</t>
        </is>
      </c>
      <c r="B39" s="15" t="inlineStr">
        <is>
          <t xml:space="preserve">P060062</t>
        </is>
      </c>
      <c r="C39" s="15" t="inlineStr">
        <is>
          <t xml:space="preserve">Permanent Market</t>
        </is>
      </c>
      <c r="D39" s="15" t="inlineStr">
        <is>
          <t xml:space="preserve">1</t>
        </is>
      </c>
      <c r="E39" s="15" t="inlineStr">
        <is>
          <t xml:space="preserve">✓ READY TO CITE</t>
        </is>
      </c>
      <c r="F39" s="15" t="inlineStr">
        <is>
          <t xml:space="preserve">0</t>
        </is>
      </c>
      <c r="G39" s="15" t="inlineStr">
        <is>
          <t xml:space="preserve">0</t>
        </is>
      </c>
      <c r="H39" s="15" t="inlineStr">
        <is>
          <t xml:space="preserve">3</t>
        </is>
      </c>
      <c r="I39" s="15" t="inlineStr">
        <is>
          <t xml:space="preserve">✓</t>
        </is>
      </c>
      <c r="J39" s="15" t="inlineStr">
        <is>
          <t xml:space="preserve">✓</t>
        </is>
      </c>
      <c r="K39" s="15" t="inlineStr">
        <is>
          <t xml:space="preserve">✓</t>
        </is>
      </c>
      <c r="L39" s="15" t="inlineStr">
        <is>
          <t xml:space="preserve">✓</t>
        </is>
      </c>
      <c r="M39" s="15" t="inlineStr">
        <is>
          <t xml:space="preserve">✓</t>
        </is>
      </c>
      <c r="N39" s="15" t="inlineStr">
        <is>
          <t xml:space="preserve">✓</t>
        </is>
      </c>
      <c r="O39" s="15" t="inlineStr">
        <is>
          <t xml:space="preserve">✓</t>
        </is>
      </c>
      <c r="P39" s="15" t="inlineStr">
        <is>
          <t xml:space="preserve">✓</t>
        </is>
      </c>
      <c r="Q39" s="15" t="inlineStr">
        <is>
          <t xml:space="preserve">✓</t>
        </is>
      </c>
      <c r="R39" s="15" t="inlineStr">
        <is>
          <t xml:space="preserve">✓</t>
        </is>
      </c>
      <c r="S39" s="15" t="inlineStr">
        <is>
          <t xml:space="preserve">✓</t>
        </is>
      </c>
      <c r="T39" s="15" t="inlineStr">
        <is>
          <t xml:space="preserve">✓</t>
        </is>
      </c>
      <c r="U39" s="15" t="inlineStr">
        <is>
          <t xml:space="preserve">5</t>
        </is>
      </c>
      <c r="V39" s="15" t="inlineStr">
        <is>
          <t xml:space="preserve">197-20-K/26; 197-20-M/26; 6/0009/26; 83/2026; ППК26004</t>
        </is>
      </c>
    </row>
    <row r="40">
      <c r="A40" s="15" t="inlineStr">
        <is>
          <t xml:space="preserve">CJ092501</t>
        </is>
      </c>
      <c r="B40" s="15" t="inlineStr">
        <is>
          <t xml:space="preserve">P060072</t>
        </is>
      </c>
      <c r="C40" s="15" t="inlineStr">
        <is>
          <t xml:space="preserve">Cap Junky</t>
        </is>
      </c>
      <c r="D40" s="15" t="inlineStr">
        <is>
          <t xml:space="preserve">2</t>
        </is>
      </c>
      <c r="E40" s="15" t="inlineStr">
        <is>
          <t xml:space="preserve">✓ READY TO CITE</t>
        </is>
      </c>
      <c r="F40" s="15" t="inlineStr">
        <is>
          <t xml:space="preserve">0</t>
        </is>
      </c>
      <c r="G40" s="15" t="inlineStr">
        <is>
          <t xml:space="preserve">0</t>
        </is>
      </c>
      <c r="H40" s="15" t="inlineStr">
        <is>
          <t xml:space="preserve">3</t>
        </is>
      </c>
      <c r="I40" s="15" t="inlineStr">
        <is>
          <t xml:space="preserve">✓</t>
        </is>
      </c>
      <c r="J40" s="15" t="inlineStr">
        <is>
          <t xml:space="preserve">✓</t>
        </is>
      </c>
      <c r="K40" s="15" t="inlineStr">
        <is>
          <t xml:space="preserve">✓</t>
        </is>
      </c>
      <c r="L40" s="15" t="inlineStr">
        <is>
          <t xml:space="preserve">✓</t>
        </is>
      </c>
      <c r="M40" s="15" t="inlineStr">
        <is>
          <t xml:space="preserve">✓</t>
        </is>
      </c>
      <c r="N40" s="15" t="inlineStr">
        <is>
          <t xml:space="preserve">✓</t>
        </is>
      </c>
      <c r="O40" s="15" t="inlineStr">
        <is>
          <t xml:space="preserve">✓</t>
        </is>
      </c>
      <c r="P40" s="15" t="inlineStr">
        <is>
          <t xml:space="preserve">✓</t>
        </is>
      </c>
      <c r="Q40" s="15" t="inlineStr">
        <is>
          <t xml:space="preserve">✓</t>
        </is>
      </c>
      <c r="R40" s="15" t="inlineStr">
        <is>
          <t xml:space="preserve">✓</t>
        </is>
      </c>
      <c r="S40" s="15" t="inlineStr">
        <is>
          <t xml:space="preserve">✓</t>
        </is>
      </c>
      <c r="T40" s="15" t="inlineStr">
        <is>
          <t xml:space="preserve">✓</t>
        </is>
      </c>
      <c r="U40" s="15" t="inlineStr">
        <is>
          <t xml:space="preserve">4</t>
        </is>
      </c>
      <c r="V40" s="15" t="inlineStr">
        <is>
          <t xml:space="preserve">10/0013/26; 220-5-K/26; 86/2026; ППК26007</t>
        </is>
      </c>
    </row>
    <row r="41">
      <c r="A41" s="15" t="inlineStr">
        <is>
          <t xml:space="preserve">SJ0925021</t>
        </is>
      </c>
      <c r="B41" s="15" t="inlineStr">
        <is>
          <t xml:space="preserve">P060082</t>
        </is>
      </c>
      <c r="C41" s="15" t="inlineStr">
        <is>
          <t xml:space="preserve">Sleepy Joy</t>
        </is>
      </c>
      <c r="D41" s="15" t="inlineStr">
        <is>
          <t xml:space="preserve">—</t>
        </is>
      </c>
      <c r="E41" s="15" t="inlineStr">
        <is>
          <t xml:space="preserve">✓ READY TO CITE</t>
        </is>
      </c>
      <c r="F41" s="15" t="inlineStr">
        <is>
          <t xml:space="preserve">0</t>
        </is>
      </c>
      <c r="G41" s="15" t="inlineStr">
        <is>
          <t xml:space="preserve">0</t>
        </is>
      </c>
      <c r="H41" s="15" t="inlineStr">
        <is>
          <t xml:space="preserve">3</t>
        </is>
      </c>
      <c r="I41" s="15" t="inlineStr">
        <is>
          <t xml:space="preserve">✓</t>
        </is>
      </c>
      <c r="J41" s="15" t="inlineStr">
        <is>
          <t xml:space="preserve">✓</t>
        </is>
      </c>
      <c r="K41" s="15" t="inlineStr">
        <is>
          <t xml:space="preserve">✓</t>
        </is>
      </c>
      <c r="L41" s="15" t="inlineStr">
        <is>
          <t xml:space="preserve">✓</t>
        </is>
      </c>
      <c r="M41" s="15" t="inlineStr">
        <is>
          <t xml:space="preserve">✓</t>
        </is>
      </c>
      <c r="N41" s="15" t="inlineStr">
        <is>
          <t xml:space="preserve">✓</t>
        </is>
      </c>
      <c r="O41" s="15" t="inlineStr">
        <is>
          <t xml:space="preserve">✓</t>
        </is>
      </c>
      <c r="P41" s="15" t="inlineStr">
        <is>
          <t xml:space="preserve">✓</t>
        </is>
      </c>
      <c r="Q41" s="15" t="inlineStr">
        <is>
          <t xml:space="preserve">✓</t>
        </is>
      </c>
      <c r="R41" s="15" t="inlineStr">
        <is>
          <t xml:space="preserve">✓</t>
        </is>
      </c>
      <c r="S41" s="15" t="inlineStr">
        <is>
          <t xml:space="preserve">✓</t>
        </is>
      </c>
      <c r="T41" s="15" t="inlineStr">
        <is>
          <t xml:space="preserve">✓</t>
        </is>
      </c>
      <c r="U41" s="15" t="inlineStr">
        <is>
          <t xml:space="preserve">4</t>
        </is>
      </c>
      <c r="V41" s="15" t="inlineStr">
        <is>
          <t xml:space="preserve">220-27-K/26; 85/2026; 9/0012/26; ППК26006</t>
        </is>
      </c>
    </row>
    <row r="42">
      <c r="A42" s="15" t="inlineStr">
        <is>
          <t xml:space="preserve">GP092501</t>
        </is>
      </c>
      <c r="B42" s="15" t="inlineStr">
        <is>
          <t xml:space="preserve">P060092</t>
        </is>
      </c>
      <c r="C42" s="15" t="inlineStr">
        <is>
          <t xml:space="preserve">Grape Pie</t>
        </is>
      </c>
      <c r="D42" s="15" t="inlineStr">
        <is>
          <t xml:space="preserve">2</t>
        </is>
      </c>
      <c r="E42" s="15" t="inlineStr">
        <is>
          <t xml:space="preserve">✓ READY TO CITE</t>
        </is>
      </c>
      <c r="F42" s="15" t="inlineStr">
        <is>
          <t xml:space="preserve">0</t>
        </is>
      </c>
      <c r="G42" s="15" t="inlineStr">
        <is>
          <t xml:space="preserve">0</t>
        </is>
      </c>
      <c r="H42" s="15" t="inlineStr">
        <is>
          <t xml:space="preserve">3</t>
        </is>
      </c>
      <c r="I42" s="15" t="inlineStr">
        <is>
          <t xml:space="preserve">✓</t>
        </is>
      </c>
      <c r="J42" s="15" t="inlineStr">
        <is>
          <t xml:space="preserve">✓</t>
        </is>
      </c>
      <c r="K42" s="15" t="inlineStr">
        <is>
          <t xml:space="preserve">✓</t>
        </is>
      </c>
      <c r="L42" s="15" t="inlineStr">
        <is>
          <t xml:space="preserve">✓</t>
        </is>
      </c>
      <c r="M42" s="15" t="inlineStr">
        <is>
          <t xml:space="preserve">✓</t>
        </is>
      </c>
      <c r="N42" s="15" t="inlineStr">
        <is>
          <t xml:space="preserve">✓</t>
        </is>
      </c>
      <c r="O42" s="15" t="inlineStr">
        <is>
          <t xml:space="preserve">✓</t>
        </is>
      </c>
      <c r="P42" s="15" t="inlineStr">
        <is>
          <t xml:space="preserve">✓</t>
        </is>
      </c>
      <c r="Q42" s="15" t="inlineStr">
        <is>
          <t xml:space="preserve">✓</t>
        </is>
      </c>
      <c r="R42" s="15" t="inlineStr">
        <is>
          <t xml:space="preserve">✓</t>
        </is>
      </c>
      <c r="S42" s="15" t="inlineStr">
        <is>
          <t xml:space="preserve">✓</t>
        </is>
      </c>
      <c r="T42" s="15" t="inlineStr">
        <is>
          <t xml:space="preserve">✓</t>
        </is>
      </c>
      <c r="U42" s="15" t="inlineStr">
        <is>
          <t xml:space="preserve">4</t>
        </is>
      </c>
      <c r="V42" s="15" t="inlineStr">
        <is>
          <t xml:space="preserve">220-13-K/26; 5/0008/26; 88/2026; ППК26009</t>
        </is>
      </c>
    </row>
    <row r="43">
      <c r="A43" s="15" t="inlineStr">
        <is>
          <t xml:space="preserve">WED102501</t>
        </is>
      </c>
      <c r="B43" s="15" t="inlineStr">
        <is>
          <t xml:space="preserve">P060102</t>
        </is>
      </c>
      <c r="C43" s="15" t="inlineStr">
        <is>
          <t xml:space="preserve">Wedding Cake</t>
        </is>
      </c>
      <c r="D43" s="15" t="inlineStr">
        <is>
          <t xml:space="preserve">—</t>
        </is>
      </c>
      <c r="E43" s="15" t="inlineStr">
        <is>
          <t xml:space="preserve">○ REFERENCES MISSING</t>
        </is>
      </c>
      <c r="F43" s="15" t="inlineStr">
        <is>
          <t xml:space="preserve">0</t>
        </is>
      </c>
      <c r="G43" s="15" t="inlineStr">
        <is>
          <t xml:space="preserve">8</t>
        </is>
      </c>
      <c r="H43" s="15" t="inlineStr">
        <is>
          <t xml:space="preserve">3</t>
        </is>
      </c>
      <c r="I43" s="15" t="inlineStr">
        <is>
          <t xml:space="preserve">✓</t>
        </is>
      </c>
      <c r="J43" s="15" t="inlineStr">
        <is>
          <t xml:space="preserve">✓</t>
        </is>
      </c>
      <c r="K43" s="15" t="inlineStr">
        <is>
          <t xml:space="preserve">○</t>
        </is>
      </c>
      <c r="L43" s="15" t="inlineStr">
        <is>
          <t xml:space="preserve">○</t>
        </is>
      </c>
      <c r="M43" s="15" t="inlineStr">
        <is>
          <t xml:space="preserve">○</t>
        </is>
      </c>
      <c r="N43" s="15" t="inlineStr">
        <is>
          <t xml:space="preserve">○</t>
        </is>
      </c>
      <c r="O43" s="15" t="inlineStr">
        <is>
          <t xml:space="preserve">✓</t>
        </is>
      </c>
      <c r="P43" s="15" t="inlineStr">
        <is>
          <t xml:space="preserve">○</t>
        </is>
      </c>
      <c r="Q43" s="15" t="inlineStr">
        <is>
          <t xml:space="preserve">✓</t>
        </is>
      </c>
      <c r="R43" s="15" t="inlineStr">
        <is>
          <t xml:space="preserve">○</t>
        </is>
      </c>
      <c r="S43" s="15" t="inlineStr">
        <is>
          <t xml:space="preserve">○</t>
        </is>
      </c>
      <c r="T43" s="15" t="inlineStr">
        <is>
          <t xml:space="preserve">○</t>
        </is>
      </c>
      <c r="U43" s="15" t="inlineStr">
        <is>
          <t xml:space="preserve">5</t>
        </is>
      </c>
      <c r="V43" s="15" t="inlineStr">
        <is>
          <t xml:space="preserve">031-3-K/26; 031-3-LoD/26; 329/2026; 551/1082/26; 75/0118/26</t>
        </is>
      </c>
    </row>
    <row r="44">
      <c r="A44" s="15" t="inlineStr">
        <is>
          <t xml:space="preserve">PUM102501</t>
        </is>
      </c>
      <c r="B44" s="15" t="inlineStr">
        <is>
          <t xml:space="preserve">P060112</t>
        </is>
      </c>
      <c r="C44" s="15" t="inlineStr">
        <is>
          <t xml:space="preserve">Pure Michigan</t>
        </is>
      </c>
      <c r="D44" s="15" t="inlineStr">
        <is>
          <t xml:space="preserve">2</t>
        </is>
      </c>
      <c r="E44" s="15" t="inlineStr">
        <is>
          <t xml:space="preserve">✗ TESTING REQUIRED</t>
        </is>
      </c>
      <c r="F44" s="15" t="inlineStr">
        <is>
          <t xml:space="preserve">3</t>
        </is>
      </c>
      <c r="G44" s="15" t="inlineStr">
        <is>
          <t xml:space="preserve">9</t>
        </is>
      </c>
      <c r="H44" s="15" t="inlineStr">
        <is>
          <t xml:space="preserve">0</t>
        </is>
      </c>
      <c r="I44" s="15" t="inlineStr">
        <is>
          <t xml:space="preserve">✗</t>
        </is>
      </c>
      <c r="J44" s="15" t="inlineStr">
        <is>
          <t xml:space="preserve">✗</t>
        </is>
      </c>
      <c r="K44" s="15" t="inlineStr">
        <is>
          <t xml:space="preserve">○</t>
        </is>
      </c>
      <c r="L44" s="15" t="inlineStr">
        <is>
          <t xml:space="preserve">○</t>
        </is>
      </c>
      <c r="M44" s="15" t="inlineStr">
        <is>
          <t xml:space="preserve">○</t>
        </is>
      </c>
      <c r="N44" s="15" t="inlineStr">
        <is>
          <t xml:space="preserve">○</t>
        </is>
      </c>
      <c r="O44" s="15" t="inlineStr">
        <is>
          <t xml:space="preserve">✗</t>
        </is>
      </c>
      <c r="P44" s="15" t="inlineStr">
        <is>
          <t xml:space="preserve">○</t>
        </is>
      </c>
      <c r="Q44" s="15" t="inlineStr">
        <is>
          <t xml:space="preserve">○</t>
        </is>
      </c>
      <c r="R44" s="15" t="inlineStr">
        <is>
          <t xml:space="preserve">○</t>
        </is>
      </c>
      <c r="S44" s="15" t="inlineStr">
        <is>
          <t xml:space="preserve">○</t>
        </is>
      </c>
      <c r="T44" s="15" t="inlineStr">
        <is>
          <t xml:space="preserve">○</t>
        </is>
      </c>
      <c r="U44" s="15" t="inlineStr">
        <is>
          <t xml:space="preserve">5</t>
        </is>
      </c>
      <c r="V44" s="15" t="inlineStr">
        <is>
          <t xml:space="preserve">031-2-K/26; 031-2-LoD/26; 220-25-K/26; 327/2026; 74/0117/26</t>
        </is>
      </c>
    </row>
    <row r="45">
      <c r="A45" s="15" t="inlineStr">
        <is>
          <t xml:space="preserve">ACC102501</t>
        </is>
      </c>
      <c r="B45" s="15" t="inlineStr">
        <is>
          <t xml:space="preserve">P060122</t>
        </is>
      </c>
      <c r="C45" s="15" t="inlineStr">
        <is>
          <t xml:space="preserve">Amnesia Core Cut</t>
        </is>
      </c>
      <c r="D45" s="15" t="inlineStr">
        <is>
          <t xml:space="preserve">2</t>
        </is>
      </c>
      <c r="E45" s="15" t="inlineStr">
        <is>
          <t xml:space="preserve">✗ TESTING REQUIRED</t>
        </is>
      </c>
      <c r="F45" s="15" t="inlineStr">
        <is>
          <t xml:space="preserve">3</t>
        </is>
      </c>
      <c r="G45" s="15" t="inlineStr">
        <is>
          <t xml:space="preserve">9</t>
        </is>
      </c>
      <c r="H45" s="15" t="inlineStr">
        <is>
          <t xml:space="preserve">0</t>
        </is>
      </c>
      <c r="I45" s="15" t="inlineStr">
        <is>
          <t xml:space="preserve">✗</t>
        </is>
      </c>
      <c r="J45" s="15" t="inlineStr">
        <is>
          <t xml:space="preserve">✗</t>
        </is>
      </c>
      <c r="K45" s="15" t="inlineStr">
        <is>
          <t xml:space="preserve">○</t>
        </is>
      </c>
      <c r="L45" s="15" t="inlineStr">
        <is>
          <t xml:space="preserve">○</t>
        </is>
      </c>
      <c r="M45" s="15" t="inlineStr">
        <is>
          <t xml:space="preserve">○</t>
        </is>
      </c>
      <c r="N45" s="15" t="inlineStr">
        <is>
          <t xml:space="preserve">○</t>
        </is>
      </c>
      <c r="O45" s="15" t="inlineStr">
        <is>
          <t xml:space="preserve">✗</t>
        </is>
      </c>
      <c r="P45" s="15" t="inlineStr">
        <is>
          <t xml:space="preserve">○</t>
        </is>
      </c>
      <c r="Q45" s="15" t="inlineStr">
        <is>
          <t xml:space="preserve">○</t>
        </is>
      </c>
      <c r="R45" s="15" t="inlineStr">
        <is>
          <t xml:space="preserve">○</t>
        </is>
      </c>
      <c r="S45" s="15" t="inlineStr">
        <is>
          <t xml:space="preserve">○</t>
        </is>
      </c>
      <c r="T45" s="15" t="inlineStr">
        <is>
          <t xml:space="preserve">○</t>
        </is>
      </c>
      <c r="U45" s="15" t="inlineStr">
        <is>
          <t xml:space="preserve">5</t>
        </is>
      </c>
      <c r="V45" s="15" t="inlineStr">
        <is>
          <t xml:space="preserve">031-5-K/26; 031-5-LoD/26; 220-1-K/26; 326/2026; 77/0120/26</t>
        </is>
      </c>
    </row>
    <row r="46">
      <c r="A46" s="15" t="inlineStr">
        <is>
          <t xml:space="preserve">CF102501</t>
        </is>
      </c>
      <c r="B46" s="15" t="inlineStr">
        <is>
          <t xml:space="preserve">P060132</t>
        </is>
      </c>
      <c r="C46" s="15" t="inlineStr">
        <is>
          <t xml:space="preserve">Chem Flyer</t>
        </is>
      </c>
      <c r="D46" s="15" t="inlineStr">
        <is>
          <t xml:space="preserve">2</t>
        </is>
      </c>
      <c r="E46" s="15" t="inlineStr">
        <is>
          <t xml:space="preserve">✗ TESTING REQUIRED</t>
        </is>
      </c>
      <c r="F46" s="15" t="inlineStr">
        <is>
          <t xml:space="preserve">3</t>
        </is>
      </c>
      <c r="G46" s="15" t="inlineStr">
        <is>
          <t xml:space="preserve">9</t>
        </is>
      </c>
      <c r="H46" s="15" t="inlineStr">
        <is>
          <t xml:space="preserve">0</t>
        </is>
      </c>
      <c r="I46" s="15" t="inlineStr">
        <is>
          <t xml:space="preserve">✗</t>
        </is>
      </c>
      <c r="J46" s="15" t="inlineStr">
        <is>
          <t xml:space="preserve">✗</t>
        </is>
      </c>
      <c r="K46" s="15" t="inlineStr">
        <is>
          <t xml:space="preserve">○</t>
        </is>
      </c>
      <c r="L46" s="15" t="inlineStr">
        <is>
          <t xml:space="preserve">○</t>
        </is>
      </c>
      <c r="M46" s="15" t="inlineStr">
        <is>
          <t xml:space="preserve">○</t>
        </is>
      </c>
      <c r="N46" s="15" t="inlineStr">
        <is>
          <t xml:space="preserve">○</t>
        </is>
      </c>
      <c r="O46" s="15" t="inlineStr">
        <is>
          <t xml:space="preserve">✗</t>
        </is>
      </c>
      <c r="P46" s="15" t="inlineStr">
        <is>
          <t xml:space="preserve">○</t>
        </is>
      </c>
      <c r="Q46" s="15" t="inlineStr">
        <is>
          <t xml:space="preserve">○</t>
        </is>
      </c>
      <c r="R46" s="15" t="inlineStr">
        <is>
          <t xml:space="preserve">○</t>
        </is>
      </c>
      <c r="S46" s="15" t="inlineStr">
        <is>
          <t xml:space="preserve">○</t>
        </is>
      </c>
      <c r="T46" s="15" t="inlineStr">
        <is>
          <t xml:space="preserve">○</t>
        </is>
      </c>
      <c r="U46" s="15" t="inlineStr">
        <is>
          <t xml:space="preserve">5</t>
        </is>
      </c>
      <c r="V46" s="15" t="inlineStr">
        <is>
          <t xml:space="preserve">031-4-K/26; 031-4-LoD/26; 220-6-K/26; 330/2026; 73/0116/26</t>
        </is>
      </c>
    </row>
    <row r="47">
      <c r="A47" s="15" t="inlineStr">
        <is>
          <t xml:space="preserve">GRC102501</t>
        </is>
      </c>
      <c r="B47" s="15" t="inlineStr">
        <is>
          <t xml:space="preserve">P060142 / P060182</t>
        </is>
      </c>
      <c r="C47" s="15"/>
      <c r="D47" s="15" t="inlineStr">
        <is>
          <t xml:space="preserve">—</t>
        </is>
      </c>
      <c r="E47" s="15" t="inlineStr">
        <is>
          <t xml:space="preserve">○ REFERENCES MISSING</t>
        </is>
      </c>
      <c r="F47" s="15" t="inlineStr">
        <is>
          <t xml:space="preserve">0</t>
        </is>
      </c>
      <c r="G47" s="15" t="inlineStr">
        <is>
          <t xml:space="preserve">3</t>
        </is>
      </c>
      <c r="H47" s="15" t="inlineStr">
        <is>
          <t xml:space="preserve">3</t>
        </is>
      </c>
      <c r="I47" s="15" t="inlineStr">
        <is>
          <t xml:space="preserve">✓</t>
        </is>
      </c>
      <c r="J47" s="15" t="inlineStr">
        <is>
          <t xml:space="preserve">✓</t>
        </is>
      </c>
      <c r="K47" s="15" t="inlineStr">
        <is>
          <t xml:space="preserve">✓</t>
        </is>
      </c>
      <c r="L47" s="15" t="inlineStr">
        <is>
          <t xml:space="preserve">✓</t>
        </is>
      </c>
      <c r="M47" s="15" t="inlineStr">
        <is>
          <t xml:space="preserve">✓</t>
        </is>
      </c>
      <c r="N47" s="15" t="inlineStr">
        <is>
          <t xml:space="preserve">✓</t>
        </is>
      </c>
      <c r="O47" s="15" t="inlineStr">
        <is>
          <t xml:space="preserve">✓</t>
        </is>
      </c>
      <c r="P47" s="15" t="inlineStr">
        <is>
          <t xml:space="preserve">✓</t>
        </is>
      </c>
      <c r="Q47" s="15" t="inlineStr">
        <is>
          <t xml:space="preserve">✓</t>
        </is>
      </c>
      <c r="R47" s="15" t="inlineStr">
        <is>
          <t xml:space="preserve">○</t>
        </is>
      </c>
      <c r="S47" s="15" t="inlineStr">
        <is>
          <t xml:space="preserve">○</t>
        </is>
      </c>
      <c r="T47" s="15" t="inlineStr">
        <is>
          <t xml:space="preserve">○</t>
        </is>
      </c>
      <c r="U47" s="15" t="inlineStr">
        <is>
          <t xml:space="preserve">4</t>
        </is>
      </c>
      <c r="V47" s="15" t="inlineStr">
        <is>
          <t xml:space="preserve">031-1-K/26; 031-1-LoD/26; 328/2026; 76/0119/26</t>
        </is>
      </c>
    </row>
    <row r="48">
      <c r="A48" s="15" t="inlineStr">
        <is>
          <t xml:space="preserve">J31102501</t>
        </is>
      </c>
      <c r="B48" s="15" t="inlineStr">
        <is>
          <t xml:space="preserve">P060152</t>
        </is>
      </c>
      <c r="C48" s="15" t="inlineStr">
        <is>
          <t xml:space="preserve">Jokerz 31</t>
        </is>
      </c>
      <c r="D48" s="15" t="inlineStr">
        <is>
          <t xml:space="preserve">1</t>
        </is>
      </c>
      <c r="E48" s="15" t="inlineStr">
        <is>
          <t xml:space="preserve">○ REFERENCES MISSING</t>
        </is>
      </c>
      <c r="F48" s="15" t="inlineStr">
        <is>
          <t xml:space="preserve">0</t>
        </is>
      </c>
      <c r="G48" s="15" t="inlineStr">
        <is>
          <t xml:space="preserve">3</t>
        </is>
      </c>
      <c r="H48" s="15" t="inlineStr">
        <is>
          <t xml:space="preserve">3</t>
        </is>
      </c>
      <c r="I48" s="15" t="inlineStr">
        <is>
          <t xml:space="preserve">✓</t>
        </is>
      </c>
      <c r="J48" s="15" t="inlineStr">
        <is>
          <t xml:space="preserve">✓</t>
        </is>
      </c>
      <c r="K48" s="15" t="inlineStr">
        <is>
          <t xml:space="preserve">✓</t>
        </is>
      </c>
      <c r="L48" s="15" t="inlineStr">
        <is>
          <t xml:space="preserve">✓</t>
        </is>
      </c>
      <c r="M48" s="15" t="inlineStr">
        <is>
          <t xml:space="preserve">✓</t>
        </is>
      </c>
      <c r="N48" s="15" t="inlineStr">
        <is>
          <t xml:space="preserve">✓</t>
        </is>
      </c>
      <c r="O48" s="15" t="inlineStr">
        <is>
          <t xml:space="preserve">✓</t>
        </is>
      </c>
      <c r="P48" s="15" t="inlineStr">
        <is>
          <t xml:space="preserve">✓</t>
        </is>
      </c>
      <c r="Q48" s="15" t="inlineStr">
        <is>
          <t xml:space="preserve">○</t>
        </is>
      </c>
      <c r="R48" s="15" t="inlineStr">
        <is>
          <t xml:space="preserve">✓</t>
        </is>
      </c>
      <c r="S48" s="15" t="inlineStr">
        <is>
          <t xml:space="preserve">○</t>
        </is>
      </c>
      <c r="T48" s="15" t="inlineStr">
        <is>
          <t xml:space="preserve">○</t>
        </is>
      </c>
      <c r="U48" s="15" t="inlineStr">
        <is>
          <t xml:space="preserve">6</t>
        </is>
      </c>
      <c r="V48" s="15" t="inlineStr">
        <is>
          <t xml:space="preserve">051-1-K/26; 051-1-LoD/26; 1056/2026; 133/0230/26; 197-16-K/26; 197-16-M/26</t>
        </is>
      </c>
    </row>
    <row r="49">
      <c r="A49" s="15" t="inlineStr">
        <is>
          <t xml:space="preserve">SJ102501</t>
        </is>
      </c>
      <c r="B49" s="15" t="inlineStr">
        <is>
          <t xml:space="preserve">P060162</t>
        </is>
      </c>
      <c r="C49" s="15" t="inlineStr">
        <is>
          <t xml:space="preserve">Sleepy Joy</t>
        </is>
      </c>
      <c r="D49" s="15" t="inlineStr">
        <is>
          <t xml:space="preserve">—</t>
        </is>
      </c>
      <c r="E49" s="15" t="inlineStr">
        <is>
          <t xml:space="preserve">○ REFERENCES MISSING</t>
        </is>
      </c>
      <c r="F49" s="15" t="inlineStr">
        <is>
          <t xml:space="preserve">0</t>
        </is>
      </c>
      <c r="G49" s="15" t="inlineStr">
        <is>
          <t xml:space="preserve">3</t>
        </is>
      </c>
      <c r="H49" s="15" t="inlineStr">
        <is>
          <t xml:space="preserve">3</t>
        </is>
      </c>
      <c r="I49" s="15" t="inlineStr">
        <is>
          <t xml:space="preserve">✓</t>
        </is>
      </c>
      <c r="J49" s="15" t="inlineStr">
        <is>
          <t xml:space="preserve">✓</t>
        </is>
      </c>
      <c r="K49" s="15" t="inlineStr">
        <is>
          <t xml:space="preserve">✓</t>
        </is>
      </c>
      <c r="L49" s="15" t="inlineStr">
        <is>
          <t xml:space="preserve">✓</t>
        </is>
      </c>
      <c r="M49" s="15" t="inlineStr">
        <is>
          <t xml:space="preserve">✓</t>
        </is>
      </c>
      <c r="N49" s="15" t="inlineStr">
        <is>
          <t xml:space="preserve">✓</t>
        </is>
      </c>
      <c r="O49" s="15" t="inlineStr">
        <is>
          <t xml:space="preserve">✓</t>
        </is>
      </c>
      <c r="P49" s="15" t="inlineStr">
        <is>
          <t xml:space="preserve">✓</t>
        </is>
      </c>
      <c r="Q49" s="15" t="inlineStr">
        <is>
          <t xml:space="preserve">✓</t>
        </is>
      </c>
      <c r="R49" s="15" t="inlineStr">
        <is>
          <t xml:space="preserve">○</t>
        </is>
      </c>
      <c r="S49" s="15" t="inlineStr">
        <is>
          <t xml:space="preserve">○</t>
        </is>
      </c>
      <c r="T49" s="15" t="inlineStr">
        <is>
          <t xml:space="preserve">○</t>
        </is>
      </c>
      <c r="U49" s="15" t="inlineStr">
        <is>
          <t xml:space="preserve">5</t>
        </is>
      </c>
      <c r="V49" s="15" t="inlineStr">
        <is>
          <t xml:space="preserve">051-3-K/26; 051-3-LoD/26; 1065/2026; 132/0229/26; 549/1080/26</t>
        </is>
      </c>
    </row>
    <row r="50">
      <c r="A50" s="15" t="inlineStr">
        <is>
          <t xml:space="preserve">KC102501</t>
        </is>
      </c>
      <c r="B50" s="15" t="inlineStr">
        <is>
          <t xml:space="preserve">P060172</t>
        </is>
      </c>
      <c r="C50" s="15" t="inlineStr">
        <is>
          <t xml:space="preserve">Kush Crasher</t>
        </is>
      </c>
      <c r="D50" s="15" t="inlineStr">
        <is>
          <t xml:space="preserve">2</t>
        </is>
      </c>
      <c r="E50" s="15" t="inlineStr">
        <is>
          <t xml:space="preserve">○ REFERENCES MISSING</t>
        </is>
      </c>
      <c r="F50" s="15" t="inlineStr">
        <is>
          <t xml:space="preserve">0</t>
        </is>
      </c>
      <c r="G50" s="15" t="inlineStr">
        <is>
          <t xml:space="preserve">4</t>
        </is>
      </c>
      <c r="H50" s="15" t="inlineStr">
        <is>
          <t xml:space="preserve">3</t>
        </is>
      </c>
      <c r="I50" s="15" t="inlineStr">
        <is>
          <t xml:space="preserve">✓</t>
        </is>
      </c>
      <c r="J50" s="15" t="inlineStr">
        <is>
          <t xml:space="preserve">✓</t>
        </is>
      </c>
      <c r="K50" s="15" t="inlineStr">
        <is>
          <t xml:space="preserve">✓</t>
        </is>
      </c>
      <c r="L50" s="15" t="inlineStr">
        <is>
          <t xml:space="preserve">✓</t>
        </is>
      </c>
      <c r="M50" s="15" t="inlineStr">
        <is>
          <t xml:space="preserve">✓</t>
        </is>
      </c>
      <c r="N50" s="15" t="inlineStr">
        <is>
          <t xml:space="preserve">✓</t>
        </is>
      </c>
      <c r="O50" s="15" t="inlineStr">
        <is>
          <t xml:space="preserve">✓</t>
        </is>
      </c>
      <c r="P50" s="15" t="inlineStr">
        <is>
          <t xml:space="preserve">✓</t>
        </is>
      </c>
      <c r="Q50" s="15" t="inlineStr">
        <is>
          <t xml:space="preserve">○</t>
        </is>
      </c>
      <c r="R50" s="15" t="inlineStr">
        <is>
          <t xml:space="preserve">○</t>
        </is>
      </c>
      <c r="S50" s="15" t="inlineStr">
        <is>
          <t xml:space="preserve">○</t>
        </is>
      </c>
      <c r="T50" s="15" t="inlineStr">
        <is>
          <t xml:space="preserve">○</t>
        </is>
      </c>
      <c r="U50" s="15" t="inlineStr">
        <is>
          <t xml:space="preserve">5</t>
        </is>
      </c>
      <c r="V50" s="15" t="inlineStr">
        <is>
          <t xml:space="preserve">051-4-K/26; 051-4-LoD/26; 1058/2026; 129/0226/26; 220-19-K/26</t>
        </is>
      </c>
    </row>
    <row r="51">
      <c r="A51" s="15" t="inlineStr">
        <is>
          <t xml:space="preserve">SJ112501</t>
        </is>
      </c>
      <c r="B51" s="15" t="inlineStr">
        <is>
          <t xml:space="preserve">P060192</t>
        </is>
      </c>
      <c r="C51" s="15" t="inlineStr">
        <is>
          <t xml:space="preserve">Sleepy Joy</t>
        </is>
      </c>
      <c r="D51" s="15" t="inlineStr">
        <is>
          <t xml:space="preserve">—</t>
        </is>
      </c>
      <c r="E51" s="15" t="inlineStr">
        <is>
          <t xml:space="preserve">○ REFERENCES MISSING</t>
        </is>
      </c>
      <c r="F51" s="15" t="inlineStr">
        <is>
          <t xml:space="preserve">0</t>
        </is>
      </c>
      <c r="G51" s="15" t="inlineStr">
        <is>
          <t xml:space="preserve">4</t>
        </is>
      </c>
      <c r="H51" s="15" t="inlineStr">
        <is>
          <t xml:space="preserve">3</t>
        </is>
      </c>
      <c r="I51" s="15" t="inlineStr">
        <is>
          <t xml:space="preserve">✓</t>
        </is>
      </c>
      <c r="J51" s="15" t="inlineStr">
        <is>
          <t xml:space="preserve">✓</t>
        </is>
      </c>
      <c r="K51" s="15" t="inlineStr">
        <is>
          <t xml:space="preserve">✓</t>
        </is>
      </c>
      <c r="L51" s="15" t="inlineStr">
        <is>
          <t xml:space="preserve">✓</t>
        </is>
      </c>
      <c r="M51" s="15" t="inlineStr">
        <is>
          <t xml:space="preserve">✓</t>
        </is>
      </c>
      <c r="N51" s="15" t="inlineStr">
        <is>
          <t xml:space="preserve">✓</t>
        </is>
      </c>
      <c r="O51" s="15" t="inlineStr">
        <is>
          <t xml:space="preserve">✓</t>
        </is>
      </c>
      <c r="P51" s="15" t="inlineStr">
        <is>
          <t xml:space="preserve">✓</t>
        </is>
      </c>
      <c r="Q51" s="15" t="inlineStr">
        <is>
          <t xml:space="preserve">○</t>
        </is>
      </c>
      <c r="R51" s="15" t="inlineStr">
        <is>
          <t xml:space="preserve">○</t>
        </is>
      </c>
      <c r="S51" s="15" t="inlineStr">
        <is>
          <t xml:space="preserve">○</t>
        </is>
      </c>
      <c r="T51" s="15" t="inlineStr">
        <is>
          <t xml:space="preserve">○</t>
        </is>
      </c>
      <c r="U51" s="15" t="inlineStr">
        <is>
          <t xml:space="preserve">4</t>
        </is>
      </c>
      <c r="V51" s="15" t="inlineStr">
        <is>
          <t xml:space="preserve">051-2-K/26; 051-2-LoD/26; 1061/2026; 130/0227/26</t>
        </is>
      </c>
    </row>
    <row r="52">
      <c r="A52" s="15" t="inlineStr">
        <is>
          <t xml:space="preserve">J31112501</t>
        </is>
      </c>
      <c r="B52" s="15" t="inlineStr">
        <is>
          <t xml:space="preserve">P060202</t>
        </is>
      </c>
      <c r="C52" s="15" t="inlineStr">
        <is>
          <t xml:space="preserve">Jokerz 31</t>
        </is>
      </c>
      <c r="D52" s="15" t="inlineStr">
        <is>
          <t xml:space="preserve">—</t>
        </is>
      </c>
      <c r="E52" s="15" t="inlineStr">
        <is>
          <t xml:space="preserve">○ REFERENCES MISSING</t>
        </is>
      </c>
      <c r="F52" s="15" t="inlineStr">
        <is>
          <t xml:space="preserve">0</t>
        </is>
      </c>
      <c r="G52" s="15" t="inlineStr">
        <is>
          <t xml:space="preserve">3</t>
        </is>
      </c>
      <c r="H52" s="15" t="inlineStr">
        <is>
          <t xml:space="preserve">3</t>
        </is>
      </c>
      <c r="I52" s="15" t="inlineStr">
        <is>
          <t xml:space="preserve">✓</t>
        </is>
      </c>
      <c r="J52" s="15" t="inlineStr">
        <is>
          <t xml:space="preserve">✓</t>
        </is>
      </c>
      <c r="K52" s="15" t="inlineStr">
        <is>
          <t xml:space="preserve">✓</t>
        </is>
      </c>
      <c r="L52" s="15" t="inlineStr">
        <is>
          <t xml:space="preserve">✓</t>
        </is>
      </c>
      <c r="M52" s="15" t="inlineStr">
        <is>
          <t xml:space="preserve">✓</t>
        </is>
      </c>
      <c r="N52" s="15" t="inlineStr">
        <is>
          <t xml:space="preserve">✓</t>
        </is>
      </c>
      <c r="O52" s="15" t="inlineStr">
        <is>
          <t xml:space="preserve">✓</t>
        </is>
      </c>
      <c r="P52" s="15" t="inlineStr">
        <is>
          <t xml:space="preserve">✓</t>
        </is>
      </c>
      <c r="Q52" s="15" t="inlineStr">
        <is>
          <t xml:space="preserve">✓</t>
        </is>
      </c>
      <c r="R52" s="15" t="inlineStr">
        <is>
          <t xml:space="preserve">○</t>
        </is>
      </c>
      <c r="S52" s="15" t="inlineStr">
        <is>
          <t xml:space="preserve">○</t>
        </is>
      </c>
      <c r="T52" s="15" t="inlineStr">
        <is>
          <t xml:space="preserve">○</t>
        </is>
      </c>
      <c r="U52" s="15" t="inlineStr">
        <is>
          <t xml:space="preserve">9</t>
        </is>
      </c>
      <c r="V52" s="15" t="inlineStr">
        <is>
          <t xml:space="preserve">051-5-K/26; 051-5-LoD/26; 100-1-K/26; 100-1-LoD/26; 100-2-LoD/26; 100-3-LoD/26; 1057/2026; 131/0228/26; 547/1078/26</t>
        </is>
      </c>
    </row>
    <row r="53">
      <c r="A53" s="15" t="inlineStr">
        <is>
          <t xml:space="preserve">JD112501</t>
        </is>
      </c>
      <c r="B53" s="15" t="inlineStr">
        <is>
          <t xml:space="preserve">P060212</t>
        </is>
      </c>
      <c r="C53" s="15" t="inlineStr">
        <is>
          <t xml:space="preserve">Jelly Donutz</t>
        </is>
      </c>
      <c r="D53" s="15" t="inlineStr">
        <is>
          <t xml:space="preserve">1</t>
        </is>
      </c>
      <c r="E53" s="15" t="inlineStr">
        <is>
          <t xml:space="preserve">✓ READY TO CITE</t>
        </is>
      </c>
      <c r="F53" s="15" t="inlineStr">
        <is>
          <t xml:space="preserve">0</t>
        </is>
      </c>
      <c r="G53" s="15" t="inlineStr">
        <is>
          <t xml:space="preserve">0</t>
        </is>
      </c>
      <c r="H53" s="15" t="inlineStr">
        <is>
          <t xml:space="preserve">3</t>
        </is>
      </c>
      <c r="I53" s="15" t="inlineStr">
        <is>
          <t xml:space="preserve">✓</t>
        </is>
      </c>
      <c r="J53" s="15" t="inlineStr">
        <is>
          <t xml:space="preserve">✓</t>
        </is>
      </c>
      <c r="K53" s="15" t="inlineStr">
        <is>
          <t xml:space="preserve">✓</t>
        </is>
      </c>
      <c r="L53" s="15" t="inlineStr">
        <is>
          <t xml:space="preserve">✓</t>
        </is>
      </c>
      <c r="M53" s="15" t="inlineStr">
        <is>
          <t xml:space="preserve">✓</t>
        </is>
      </c>
      <c r="N53" s="15" t="inlineStr">
        <is>
          <t xml:space="preserve">✓</t>
        </is>
      </c>
      <c r="O53" s="15" t="inlineStr">
        <is>
          <t xml:space="preserve">✓</t>
        </is>
      </c>
      <c r="P53" s="15" t="inlineStr">
        <is>
          <t xml:space="preserve">✓</t>
        </is>
      </c>
      <c r="Q53" s="15" t="inlineStr">
        <is>
          <t xml:space="preserve">✓</t>
        </is>
      </c>
      <c r="R53" s="15" t="inlineStr">
        <is>
          <t xml:space="preserve">✓</t>
        </is>
      </c>
      <c r="S53" s="15" t="inlineStr">
        <is>
          <t xml:space="preserve">✓</t>
        </is>
      </c>
      <c r="T53" s="15" t="inlineStr">
        <is>
          <t xml:space="preserve">✓</t>
        </is>
      </c>
      <c r="U53" s="15" t="inlineStr">
        <is>
          <t xml:space="preserve">8</t>
        </is>
      </c>
      <c r="V53" s="15" t="inlineStr">
        <is>
          <t xml:space="preserve">197-15-K/26; 197-15-M/26; 2361/2026; 2365/2026; 306/0550/26; 307/0551/26; ППК26063; ППК26065</t>
        </is>
      </c>
    </row>
    <row r="54">
      <c r="A54" s="15" t="inlineStr">
        <is>
          <t xml:space="preserve">OPM112501</t>
        </is>
      </c>
      <c r="B54" s="15" t="inlineStr">
        <is>
          <t xml:space="preserve">P060222</t>
        </is>
      </c>
      <c r="C54" s="15" t="inlineStr">
        <is>
          <t xml:space="preserve">Orange Punch Mimosa</t>
        </is>
      </c>
      <c r="D54" s="15" t="inlineStr">
        <is>
          <t xml:space="preserve">—</t>
        </is>
      </c>
      <c r="E54" s="15" t="inlineStr">
        <is>
          <t xml:space="preserve">○ REFERENCES MISSING</t>
        </is>
      </c>
      <c r="F54" s="15" t="inlineStr">
        <is>
          <t xml:space="preserve">0</t>
        </is>
      </c>
      <c r="G54" s="15" t="inlineStr">
        <is>
          <t xml:space="preserve">3</t>
        </is>
      </c>
      <c r="H54" s="15" t="inlineStr">
        <is>
          <t xml:space="preserve">2</t>
        </is>
      </c>
      <c r="I54" s="15" t="inlineStr">
        <is>
          <t xml:space="preserve">✓</t>
        </is>
      </c>
      <c r="J54" s="15" t="inlineStr">
        <is>
          <t xml:space="preserve">✓</t>
        </is>
      </c>
      <c r="K54" s="15" t="inlineStr">
        <is>
          <t xml:space="preserve">✓</t>
        </is>
      </c>
      <c r="L54" s="15" t="inlineStr">
        <is>
          <t xml:space="preserve">✓</t>
        </is>
      </c>
      <c r="M54" s="15" t="inlineStr">
        <is>
          <t xml:space="preserve">✓</t>
        </is>
      </c>
      <c r="N54" s="15" t="inlineStr">
        <is>
          <t xml:space="preserve">✓</t>
        </is>
      </c>
      <c r="O54" s="15" t="inlineStr">
        <is>
          <t xml:space="preserve">✓</t>
        </is>
      </c>
      <c r="P54" s="15" t="inlineStr">
        <is>
          <t xml:space="preserve">✓</t>
        </is>
      </c>
      <c r="Q54" s="15" t="inlineStr">
        <is>
          <t xml:space="preserve">✓</t>
        </is>
      </c>
      <c r="R54" s="15" t="inlineStr">
        <is>
          <t xml:space="preserve">○</t>
        </is>
      </c>
      <c r="S54" s="15" t="inlineStr">
        <is>
          <t xml:space="preserve">○</t>
        </is>
      </c>
      <c r="T54" s="15" t="inlineStr">
        <is>
          <t xml:space="preserve">○</t>
        </is>
      </c>
      <c r="U54" s="15" t="inlineStr">
        <is>
          <t xml:space="preserve">4</t>
        </is>
      </c>
      <c r="V54" s="15" t="inlineStr">
        <is>
          <t xml:space="preserve">1062/2026; 137/0234/26; 546/1077/26; ППК26031</t>
        </is>
      </c>
    </row>
    <row r="55">
      <c r="A55" s="15" t="inlineStr">
        <is>
          <t xml:space="preserve">PM112501</t>
        </is>
      </c>
      <c r="B55" s="15" t="inlineStr">
        <is>
          <t xml:space="preserve">P060232</t>
        </is>
      </c>
      <c r="C55" s="15" t="inlineStr">
        <is>
          <t xml:space="preserve">Permanent Market</t>
        </is>
      </c>
      <c r="D55" s="15" t="inlineStr">
        <is>
          <t xml:space="preserve">2</t>
        </is>
      </c>
      <c r="E55" s="15" t="inlineStr">
        <is>
          <t xml:space="preserve">○ REFERENCES MISSING</t>
        </is>
      </c>
      <c r="F55" s="15" t="inlineStr">
        <is>
          <t xml:space="preserve">0</t>
        </is>
      </c>
      <c r="G55" s="15" t="inlineStr">
        <is>
          <t xml:space="preserve">4</t>
        </is>
      </c>
      <c r="H55" s="15" t="inlineStr">
        <is>
          <t xml:space="preserve">3</t>
        </is>
      </c>
      <c r="I55" s="15" t="inlineStr">
        <is>
          <t xml:space="preserve">✓</t>
        </is>
      </c>
      <c r="J55" s="15" t="inlineStr">
        <is>
          <t xml:space="preserve">✓</t>
        </is>
      </c>
      <c r="K55" s="15" t="inlineStr">
        <is>
          <t xml:space="preserve">✓</t>
        </is>
      </c>
      <c r="L55" s="15" t="inlineStr">
        <is>
          <t xml:space="preserve">✓</t>
        </is>
      </c>
      <c r="M55" s="15" t="inlineStr">
        <is>
          <t xml:space="preserve">✓</t>
        </is>
      </c>
      <c r="N55" s="15" t="inlineStr">
        <is>
          <t xml:space="preserve">✓</t>
        </is>
      </c>
      <c r="O55" s="15" t="inlineStr">
        <is>
          <t xml:space="preserve">✓</t>
        </is>
      </c>
      <c r="P55" s="15" t="inlineStr">
        <is>
          <t xml:space="preserve">✓</t>
        </is>
      </c>
      <c r="Q55" s="15" t="inlineStr">
        <is>
          <t xml:space="preserve">○</t>
        </is>
      </c>
      <c r="R55" s="15" t="inlineStr">
        <is>
          <t xml:space="preserve">○</t>
        </is>
      </c>
      <c r="S55" s="15" t="inlineStr">
        <is>
          <t xml:space="preserve">○</t>
        </is>
      </c>
      <c r="T55" s="15" t="inlineStr">
        <is>
          <t xml:space="preserve">○</t>
        </is>
      </c>
      <c r="U55" s="15" t="inlineStr">
        <is>
          <t xml:space="preserve">4</t>
        </is>
      </c>
      <c r="V55" s="15" t="inlineStr">
        <is>
          <t xml:space="preserve">1059/2026; 135/0232/26; 220-24-K/26; ППК26030</t>
        </is>
      </c>
    </row>
    <row r="56">
      <c r="A56" s="15" t="inlineStr">
        <is>
          <t xml:space="preserve">OPM122501</t>
        </is>
      </c>
      <c r="B56" s="15" t="inlineStr">
        <is>
          <t xml:space="preserve">P060242</t>
        </is>
      </c>
      <c r="C56" s="15" t="inlineStr">
        <is>
          <t xml:space="preserve">Orange Punch Mimosa</t>
        </is>
      </c>
      <c r="D56" s="15" t="inlineStr">
        <is>
          <t xml:space="preserve">1</t>
        </is>
      </c>
      <c r="E56" s="15" t="inlineStr">
        <is>
          <t xml:space="preserve">✓ READY TO CITE</t>
        </is>
      </c>
      <c r="F56" s="15" t="inlineStr">
        <is>
          <t xml:space="preserve">0</t>
        </is>
      </c>
      <c r="G56" s="15" t="inlineStr">
        <is>
          <t xml:space="preserve">0</t>
        </is>
      </c>
      <c r="H56" s="15" t="inlineStr">
        <is>
          <t xml:space="preserve">3</t>
        </is>
      </c>
      <c r="I56" s="15" t="inlineStr">
        <is>
          <t xml:space="preserve">✓</t>
        </is>
      </c>
      <c r="J56" s="15" t="inlineStr">
        <is>
          <t xml:space="preserve">✓</t>
        </is>
      </c>
      <c r="K56" s="15" t="inlineStr">
        <is>
          <t xml:space="preserve">✓</t>
        </is>
      </c>
      <c r="L56" s="15" t="inlineStr">
        <is>
          <t xml:space="preserve">✓</t>
        </is>
      </c>
      <c r="M56" s="15" t="inlineStr">
        <is>
          <t xml:space="preserve">✓</t>
        </is>
      </c>
      <c r="N56" s="15" t="inlineStr">
        <is>
          <t xml:space="preserve">✓</t>
        </is>
      </c>
      <c r="O56" s="15" t="inlineStr">
        <is>
          <t xml:space="preserve">✓</t>
        </is>
      </c>
      <c r="P56" s="15" t="inlineStr">
        <is>
          <t xml:space="preserve">✓</t>
        </is>
      </c>
      <c r="Q56" s="15" t="inlineStr">
        <is>
          <t xml:space="preserve">✓</t>
        </is>
      </c>
      <c r="R56" s="15" t="inlineStr">
        <is>
          <t xml:space="preserve">✓</t>
        </is>
      </c>
      <c r="S56" s="15" t="inlineStr">
        <is>
          <t xml:space="preserve">✓</t>
        </is>
      </c>
      <c r="T56" s="15" t="inlineStr">
        <is>
          <t xml:space="preserve">✓</t>
        </is>
      </c>
      <c r="U56" s="15" t="inlineStr">
        <is>
          <t xml:space="preserve">6</t>
        </is>
      </c>
      <c r="V56" s="15" t="inlineStr">
        <is>
          <t xml:space="preserve">100-4-K/26; 100-4-LoD/26; 1627/2026; 197-19-K/26; 197-19-M/26; 229/0392/26</t>
        </is>
      </c>
    </row>
    <row r="57">
      <c r="A57" s="15" t="inlineStr">
        <is>
          <t xml:space="preserve">GG112501</t>
        </is>
      </c>
      <c r="B57" s="15" t="inlineStr">
        <is>
          <t xml:space="preserve">P060252</t>
        </is>
      </c>
      <c r="C57" s="15" t="inlineStr">
        <is>
          <t xml:space="preserve">Gorilla Glue</t>
        </is>
      </c>
      <c r="D57" s="15" t="inlineStr">
        <is>
          <t xml:space="preserve">—</t>
        </is>
      </c>
      <c r="E57" s="15" t="inlineStr">
        <is>
          <t xml:space="preserve">✓ READY TO CITE</t>
        </is>
      </c>
      <c r="F57" s="15" t="inlineStr">
        <is>
          <t xml:space="preserve">0</t>
        </is>
      </c>
      <c r="G57" s="15" t="inlineStr">
        <is>
          <t xml:space="preserve">0</t>
        </is>
      </c>
      <c r="H57" s="15" t="inlineStr">
        <is>
          <t xml:space="preserve">3</t>
        </is>
      </c>
      <c r="I57" s="15" t="inlineStr">
        <is>
          <t xml:space="preserve">✓</t>
        </is>
      </c>
      <c r="J57" s="15" t="inlineStr">
        <is>
          <t xml:space="preserve">✓</t>
        </is>
      </c>
      <c r="K57" s="15" t="inlineStr">
        <is>
          <t xml:space="preserve">✓</t>
        </is>
      </c>
      <c r="L57" s="15" t="inlineStr">
        <is>
          <t xml:space="preserve">✓</t>
        </is>
      </c>
      <c r="M57" s="15" t="inlineStr">
        <is>
          <t xml:space="preserve">✓</t>
        </is>
      </c>
      <c r="N57" s="15" t="inlineStr">
        <is>
          <t xml:space="preserve">✓</t>
        </is>
      </c>
      <c r="O57" s="15" t="inlineStr">
        <is>
          <t xml:space="preserve">✓</t>
        </is>
      </c>
      <c r="P57" s="15" t="inlineStr">
        <is>
          <t xml:space="preserve">✓</t>
        </is>
      </c>
      <c r="Q57" s="15" t="inlineStr">
        <is>
          <t xml:space="preserve">✓</t>
        </is>
      </c>
      <c r="R57" s="15" t="inlineStr">
        <is>
          <t xml:space="preserve">✓</t>
        </is>
      </c>
      <c r="S57" s="15" t="inlineStr">
        <is>
          <t xml:space="preserve">✓</t>
        </is>
      </c>
      <c r="T57" s="15" t="inlineStr">
        <is>
          <t xml:space="preserve">✓</t>
        </is>
      </c>
      <c r="U57" s="15" t="inlineStr">
        <is>
          <t xml:space="preserve">4</t>
        </is>
      </c>
      <c r="V57" s="15" t="inlineStr">
        <is>
          <t xml:space="preserve">2358/2026; 304/0548/26; 545/1076/26; ППК26061</t>
        </is>
      </c>
    </row>
    <row r="58">
      <c r="A58" s="15" t="inlineStr">
        <is>
          <t xml:space="preserve">J31122501</t>
        </is>
      </c>
      <c r="B58" s="15" t="inlineStr">
        <is>
          <t xml:space="preserve">P060262</t>
        </is>
      </c>
      <c r="C58" s="15" t="inlineStr">
        <is>
          <t xml:space="preserve">Jokerz 31</t>
        </is>
      </c>
      <c r="D58" s="15" t="inlineStr">
        <is>
          <t xml:space="preserve">—</t>
        </is>
      </c>
      <c r="E58" s="15" t="inlineStr">
        <is>
          <t xml:space="preserve">✓ READY TO CITE</t>
        </is>
      </c>
      <c r="F58" s="15" t="inlineStr">
        <is>
          <t xml:space="preserve">0</t>
        </is>
      </c>
      <c r="G58" s="15" t="inlineStr">
        <is>
          <t xml:space="preserve">0</t>
        </is>
      </c>
      <c r="H58" s="15" t="inlineStr">
        <is>
          <t xml:space="preserve">3</t>
        </is>
      </c>
      <c r="I58" s="15" t="inlineStr">
        <is>
          <t xml:space="preserve">✓</t>
        </is>
      </c>
      <c r="J58" s="15" t="inlineStr">
        <is>
          <t xml:space="preserve">✓</t>
        </is>
      </c>
      <c r="K58" s="15" t="inlineStr">
        <is>
          <t xml:space="preserve">✓</t>
        </is>
      </c>
      <c r="L58" s="15" t="inlineStr">
        <is>
          <t xml:space="preserve">✓</t>
        </is>
      </c>
      <c r="M58" s="15" t="inlineStr">
        <is>
          <t xml:space="preserve">✓</t>
        </is>
      </c>
      <c r="N58" s="15" t="inlineStr">
        <is>
          <t xml:space="preserve">✓</t>
        </is>
      </c>
      <c r="O58" s="15" t="inlineStr">
        <is>
          <t xml:space="preserve">✓</t>
        </is>
      </c>
      <c r="P58" s="15" t="inlineStr">
        <is>
          <t xml:space="preserve">✓</t>
        </is>
      </c>
      <c r="Q58" s="15" t="inlineStr">
        <is>
          <t xml:space="preserve">✓</t>
        </is>
      </c>
      <c r="R58" s="15" t="inlineStr">
        <is>
          <t xml:space="preserve">✓</t>
        </is>
      </c>
      <c r="S58" s="15" t="inlineStr">
        <is>
          <t xml:space="preserve">✓</t>
        </is>
      </c>
      <c r="T58" s="15" t="inlineStr">
        <is>
          <t xml:space="preserve">✓</t>
        </is>
      </c>
      <c r="U58" s="15" t="inlineStr">
        <is>
          <t xml:space="preserve">7</t>
        </is>
      </c>
      <c r="V58" s="15" t="inlineStr">
        <is>
          <t xml:space="preserve">100-2-K/26; 100-3-K/26; 1625/2026; 1628/2026; 230/0393/26; 231/0394/26; 544/1075/26</t>
        </is>
      </c>
    </row>
    <row r="59">
      <c r="A59" s="15" t="inlineStr">
        <is>
          <t xml:space="preserve">CC112501</t>
        </is>
      </c>
      <c r="B59" s="15" t="inlineStr">
        <is>
          <t xml:space="preserve">P060272</t>
        </is>
      </c>
      <c r="C59" s="15" t="inlineStr">
        <is>
          <t xml:space="preserve">CashCow</t>
        </is>
      </c>
      <c r="D59" s="15" t="inlineStr">
        <is>
          <t xml:space="preserve">—</t>
        </is>
      </c>
      <c r="E59" s="15" t="inlineStr">
        <is>
          <t xml:space="preserve">✓ READY TO CITE</t>
        </is>
      </c>
      <c r="F59" s="15" t="inlineStr">
        <is>
          <t xml:space="preserve">0</t>
        </is>
      </c>
      <c r="G59" s="15" t="inlineStr">
        <is>
          <t xml:space="preserve">0</t>
        </is>
      </c>
      <c r="H59" s="15" t="inlineStr">
        <is>
          <t xml:space="preserve">3</t>
        </is>
      </c>
      <c r="I59" s="15" t="inlineStr">
        <is>
          <t xml:space="preserve">✓</t>
        </is>
      </c>
      <c r="J59" s="15" t="inlineStr">
        <is>
          <t xml:space="preserve">✓</t>
        </is>
      </c>
      <c r="K59" s="15" t="inlineStr">
        <is>
          <t xml:space="preserve">✓</t>
        </is>
      </c>
      <c r="L59" s="15" t="inlineStr">
        <is>
          <t xml:space="preserve">✓</t>
        </is>
      </c>
      <c r="M59" s="15" t="inlineStr">
        <is>
          <t xml:space="preserve">✓</t>
        </is>
      </c>
      <c r="N59" s="15" t="inlineStr">
        <is>
          <t xml:space="preserve">✓</t>
        </is>
      </c>
      <c r="O59" s="15" t="inlineStr">
        <is>
          <t xml:space="preserve">✓</t>
        </is>
      </c>
      <c r="P59" s="15" t="inlineStr">
        <is>
          <t xml:space="preserve">✓</t>
        </is>
      </c>
      <c r="Q59" s="15" t="inlineStr">
        <is>
          <t xml:space="preserve">✓</t>
        </is>
      </c>
      <c r="R59" s="15" t="inlineStr">
        <is>
          <t xml:space="preserve">✓</t>
        </is>
      </c>
      <c r="S59" s="15" t="inlineStr">
        <is>
          <t xml:space="preserve">✓</t>
        </is>
      </c>
      <c r="T59" s="15" t="inlineStr">
        <is>
          <t xml:space="preserve">✓</t>
        </is>
      </c>
      <c r="U59" s="15" t="inlineStr">
        <is>
          <t xml:space="preserve">4</t>
        </is>
      </c>
      <c r="V59" s="15" t="inlineStr">
        <is>
          <t xml:space="preserve">2359/2026; 311/0555/26; 543/1074/26; ППК26068</t>
        </is>
      </c>
    </row>
    <row r="60">
      <c r="A60" s="15" t="inlineStr">
        <is>
          <t xml:space="preserve">SCR112501</t>
        </is>
      </c>
      <c r="B60" s="15" t="inlineStr">
        <is>
          <t xml:space="preserve">P060282</t>
        </is>
      </c>
      <c r="C60" s="15" t="inlineStr">
        <is>
          <t xml:space="preserve">Scrambler</t>
        </is>
      </c>
      <c r="D60" s="15" t="inlineStr">
        <is>
          <t xml:space="preserve">2</t>
        </is>
      </c>
      <c r="E60" s="15" t="inlineStr">
        <is>
          <t xml:space="preserve">✓ READY TO CITE</t>
        </is>
      </c>
      <c r="F60" s="15" t="inlineStr">
        <is>
          <t xml:space="preserve">0</t>
        </is>
      </c>
      <c r="G60" s="15" t="inlineStr">
        <is>
          <t xml:space="preserve">0</t>
        </is>
      </c>
      <c r="H60" s="15" t="inlineStr">
        <is>
          <t xml:space="preserve">3</t>
        </is>
      </c>
      <c r="I60" s="15" t="inlineStr">
        <is>
          <t xml:space="preserve">✓</t>
        </is>
      </c>
      <c r="J60" s="15" t="inlineStr">
        <is>
          <t xml:space="preserve">✓</t>
        </is>
      </c>
      <c r="K60" s="15" t="inlineStr">
        <is>
          <t xml:space="preserve">✓</t>
        </is>
      </c>
      <c r="L60" s="15" t="inlineStr">
        <is>
          <t xml:space="preserve">✓</t>
        </is>
      </c>
      <c r="M60" s="15" t="inlineStr">
        <is>
          <t xml:space="preserve">✓</t>
        </is>
      </c>
      <c r="N60" s="15" t="inlineStr">
        <is>
          <t xml:space="preserve">✓</t>
        </is>
      </c>
      <c r="O60" s="15" t="inlineStr">
        <is>
          <t xml:space="preserve">✓</t>
        </is>
      </c>
      <c r="P60" s="15" t="inlineStr">
        <is>
          <t xml:space="preserve">✓</t>
        </is>
      </c>
      <c r="Q60" s="15" t="inlineStr">
        <is>
          <t xml:space="preserve">✓</t>
        </is>
      </c>
      <c r="R60" s="15" t="inlineStr">
        <is>
          <t xml:space="preserve">✓</t>
        </is>
      </c>
      <c r="S60" s="15" t="inlineStr">
        <is>
          <t xml:space="preserve">✓</t>
        </is>
      </c>
      <c r="T60" s="15" t="inlineStr">
        <is>
          <t xml:space="preserve">✓</t>
        </is>
      </c>
      <c r="U60" s="15" t="inlineStr">
        <is>
          <t xml:space="preserve">4</t>
        </is>
      </c>
      <c r="V60" s="15" t="inlineStr">
        <is>
          <t xml:space="preserve">220-26-K/26; 2360/2026; 305/0549/26; ППК26069</t>
        </is>
      </c>
    </row>
    <row r="61">
      <c r="A61" s="15" t="inlineStr">
        <is>
          <t xml:space="preserve">FB112501</t>
        </is>
      </c>
      <c r="B61" s="15" t="inlineStr">
        <is>
          <t xml:space="preserve">P060292</t>
        </is>
      </c>
      <c r="C61" s="15" t="inlineStr">
        <is>
          <t xml:space="preserve">Fat Bastard</t>
        </is>
      </c>
      <c r="D61" s="15" t="inlineStr">
        <is>
          <t xml:space="preserve">—</t>
        </is>
      </c>
      <c r="E61" s="15" t="inlineStr">
        <is>
          <t xml:space="preserve">✓ READY TO CITE</t>
        </is>
      </c>
      <c r="F61" s="15" t="inlineStr">
        <is>
          <t xml:space="preserve">0</t>
        </is>
      </c>
      <c r="G61" s="15" t="inlineStr">
        <is>
          <t xml:space="preserve">0</t>
        </is>
      </c>
      <c r="H61" s="15" t="inlineStr">
        <is>
          <t xml:space="preserve">3</t>
        </is>
      </c>
      <c r="I61" s="15" t="inlineStr">
        <is>
          <t xml:space="preserve">✓</t>
        </is>
      </c>
      <c r="J61" s="15" t="inlineStr">
        <is>
          <t xml:space="preserve">✓</t>
        </is>
      </c>
      <c r="K61" s="15" t="inlineStr">
        <is>
          <t xml:space="preserve">✓</t>
        </is>
      </c>
      <c r="L61" s="15" t="inlineStr">
        <is>
          <t xml:space="preserve">✓</t>
        </is>
      </c>
      <c r="M61" s="15" t="inlineStr">
        <is>
          <t xml:space="preserve">✓</t>
        </is>
      </c>
      <c r="N61" s="15" t="inlineStr">
        <is>
          <t xml:space="preserve">✓</t>
        </is>
      </c>
      <c r="O61" s="15" t="inlineStr">
        <is>
          <t xml:space="preserve">✓</t>
        </is>
      </c>
      <c r="P61" s="15" t="inlineStr">
        <is>
          <t xml:space="preserve">✓</t>
        </is>
      </c>
      <c r="Q61" s="15" t="inlineStr">
        <is>
          <t xml:space="preserve">✓</t>
        </is>
      </c>
      <c r="R61" s="15" t="inlineStr">
        <is>
          <t xml:space="preserve">✓</t>
        </is>
      </c>
      <c r="S61" s="15" t="inlineStr">
        <is>
          <t xml:space="preserve">✓</t>
        </is>
      </c>
      <c r="T61" s="15" t="inlineStr">
        <is>
          <t xml:space="preserve">✓</t>
        </is>
      </c>
      <c r="U61" s="15" t="inlineStr">
        <is>
          <t xml:space="preserve">4</t>
        </is>
      </c>
      <c r="V61" s="15" t="inlineStr">
        <is>
          <t xml:space="preserve">2357/2026; 312/0556/26; 542/1073/26; ППК26066</t>
        </is>
      </c>
    </row>
    <row r="62">
      <c r="A62" s="15" t="inlineStr">
        <is>
          <t xml:space="preserve">GG012601＊</t>
        </is>
      </c>
      <c r="B62" s="15" t="inlineStr">
        <is>
          <t xml:space="preserve">P060302</t>
        </is>
      </c>
      <c r="C62" s="15" t="inlineStr">
        <is>
          <t xml:space="preserve">Gorilla Glue</t>
        </is>
      </c>
      <c r="D62" s="15" t="inlineStr">
        <is>
          <t xml:space="preserve">—</t>
        </is>
      </c>
      <c r="E62" s="15" t="inlineStr">
        <is>
          <t xml:space="preserve">✓ READY TO CITE</t>
        </is>
      </c>
      <c r="F62" s="15" t="inlineStr">
        <is>
          <t xml:space="preserve">0</t>
        </is>
      </c>
      <c r="G62" s="15" t="inlineStr">
        <is>
          <t xml:space="preserve">0</t>
        </is>
      </c>
      <c r="H62" s="15" t="inlineStr">
        <is>
          <t xml:space="preserve">3</t>
        </is>
      </c>
      <c r="I62" s="15" t="inlineStr">
        <is>
          <t xml:space="preserve">✓</t>
        </is>
      </c>
      <c r="J62" s="15" t="inlineStr">
        <is>
          <t xml:space="preserve">✓</t>
        </is>
      </c>
      <c r="K62" s="15" t="inlineStr">
        <is>
          <t xml:space="preserve">✓</t>
        </is>
      </c>
      <c r="L62" s="15" t="inlineStr">
        <is>
          <t xml:space="preserve">✓</t>
        </is>
      </c>
      <c r="M62" s="15" t="inlineStr">
        <is>
          <t xml:space="preserve">✓</t>
        </is>
      </c>
      <c r="N62" s="15" t="inlineStr">
        <is>
          <t xml:space="preserve">✓</t>
        </is>
      </c>
      <c r="O62" s="15" t="inlineStr">
        <is>
          <t xml:space="preserve">✓</t>
        </is>
      </c>
      <c r="P62" s="15" t="inlineStr">
        <is>
          <t xml:space="preserve">✓</t>
        </is>
      </c>
      <c r="Q62" s="15" t="inlineStr">
        <is>
          <t xml:space="preserve">✓</t>
        </is>
      </c>
      <c r="R62" s="15" t="inlineStr">
        <is>
          <t xml:space="preserve">✓</t>
        </is>
      </c>
      <c r="S62" s="15" t="inlineStr">
        <is>
          <t xml:space="preserve">✓</t>
        </is>
      </c>
      <c r="T62" s="15" t="inlineStr">
        <is>
          <t xml:space="preserve">✓</t>
        </is>
      </c>
      <c r="U62" s="15" t="inlineStr">
        <is>
          <t xml:space="preserve">4</t>
        </is>
      </c>
      <c r="V62" s="15" t="inlineStr">
        <is>
          <t xml:space="preserve">2364/2026; 310/0554/26; 541/1072/26; ППК26062</t>
        </is>
      </c>
    </row>
    <row r="63">
      <c r="A63" s="15" t="inlineStr">
        <is>
          <t xml:space="preserve">JD012601＊</t>
        </is>
      </c>
      <c r="B63" s="15" t="inlineStr">
        <is>
          <t xml:space="preserve">P060312</t>
        </is>
      </c>
      <c r="C63" s="15" t="inlineStr">
        <is>
          <t xml:space="preserve">Jelly Donutz</t>
        </is>
      </c>
      <c r="D63" s="15" t="inlineStr">
        <is>
          <t xml:space="preserve">—</t>
        </is>
      </c>
      <c r="E63" s="15" t="inlineStr">
        <is>
          <t xml:space="preserve">✓ READY TO CITE</t>
        </is>
      </c>
      <c r="F63" s="15" t="inlineStr">
        <is>
          <t xml:space="preserve">0</t>
        </is>
      </c>
      <c r="G63" s="15" t="inlineStr">
        <is>
          <t xml:space="preserve">0</t>
        </is>
      </c>
      <c r="H63" s="15" t="inlineStr">
        <is>
          <t xml:space="preserve">3</t>
        </is>
      </c>
      <c r="I63" s="15" t="inlineStr">
        <is>
          <t xml:space="preserve">✓</t>
        </is>
      </c>
      <c r="J63" s="15" t="inlineStr">
        <is>
          <t xml:space="preserve">✓</t>
        </is>
      </c>
      <c r="K63" s="15" t="inlineStr">
        <is>
          <t xml:space="preserve">✓</t>
        </is>
      </c>
      <c r="L63" s="15" t="inlineStr">
        <is>
          <t xml:space="preserve">✓</t>
        </is>
      </c>
      <c r="M63" s="15" t="inlineStr">
        <is>
          <t xml:space="preserve">✓</t>
        </is>
      </c>
      <c r="N63" s="15" t="inlineStr">
        <is>
          <t xml:space="preserve">✓</t>
        </is>
      </c>
      <c r="O63" s="15" t="inlineStr">
        <is>
          <t xml:space="preserve">✓</t>
        </is>
      </c>
      <c r="P63" s="15" t="inlineStr">
        <is>
          <t xml:space="preserve">✓</t>
        </is>
      </c>
      <c r="Q63" s="15" t="inlineStr">
        <is>
          <t xml:space="preserve">✓</t>
        </is>
      </c>
      <c r="R63" s="15" t="inlineStr">
        <is>
          <t xml:space="preserve">✓</t>
        </is>
      </c>
      <c r="S63" s="15" t="inlineStr">
        <is>
          <t xml:space="preserve">✓</t>
        </is>
      </c>
      <c r="T63" s="15" t="inlineStr">
        <is>
          <t xml:space="preserve">✓</t>
        </is>
      </c>
      <c r="U63" s="15" t="inlineStr">
        <is>
          <t xml:space="preserve">4</t>
        </is>
      </c>
      <c r="V63" s="15" t="inlineStr">
        <is>
          <t xml:space="preserve">2363/2026; 309/0553/26; 540/1071/26; ППК26064</t>
        </is>
      </c>
    </row>
    <row r="64">
      <c r="A64" s="15" t="inlineStr">
        <is>
          <t xml:space="preserve">FB012601_1</t>
        </is>
      </c>
      <c r="B64" s="15" t="inlineStr">
        <is>
          <t xml:space="preserve">P060322</t>
        </is>
      </c>
      <c r="C64" s="15" t="inlineStr">
        <is>
          <t xml:space="preserve">Fat Bastard</t>
        </is>
      </c>
      <c r="D64" s="15" t="inlineStr">
        <is>
          <t xml:space="preserve">—</t>
        </is>
      </c>
      <c r="E64" s="15" t="inlineStr">
        <is>
          <t xml:space="preserve">✓ READY TO CITE</t>
        </is>
      </c>
      <c r="F64" s="15" t="inlineStr">
        <is>
          <t xml:space="preserve">0</t>
        </is>
      </c>
      <c r="G64" s="15" t="inlineStr">
        <is>
          <t xml:space="preserve">0</t>
        </is>
      </c>
      <c r="H64" s="15" t="inlineStr">
        <is>
          <t xml:space="preserve">3</t>
        </is>
      </c>
      <c r="I64" s="15" t="inlineStr">
        <is>
          <t xml:space="preserve">✓</t>
        </is>
      </c>
      <c r="J64" s="15" t="inlineStr">
        <is>
          <t xml:space="preserve">✓</t>
        </is>
      </c>
      <c r="K64" s="15" t="inlineStr">
        <is>
          <t xml:space="preserve">✓</t>
        </is>
      </c>
      <c r="L64" s="15" t="inlineStr">
        <is>
          <t xml:space="preserve">✓</t>
        </is>
      </c>
      <c r="M64" s="15" t="inlineStr">
        <is>
          <t xml:space="preserve">✓</t>
        </is>
      </c>
      <c r="N64" s="15" t="inlineStr">
        <is>
          <t xml:space="preserve">✓</t>
        </is>
      </c>
      <c r="O64" s="15" t="inlineStr">
        <is>
          <t xml:space="preserve">✓</t>
        </is>
      </c>
      <c r="P64" s="15" t="inlineStr">
        <is>
          <t xml:space="preserve">✓</t>
        </is>
      </c>
      <c r="Q64" s="15" t="inlineStr">
        <is>
          <t xml:space="preserve">✓</t>
        </is>
      </c>
      <c r="R64" s="15" t="inlineStr">
        <is>
          <t xml:space="preserve">✓</t>
        </is>
      </c>
      <c r="S64" s="15" t="inlineStr">
        <is>
          <t xml:space="preserve">✓</t>
        </is>
      </c>
      <c r="T64" s="15" t="inlineStr">
        <is>
          <t xml:space="preserve">✓</t>
        </is>
      </c>
      <c r="U64" s="15" t="inlineStr">
        <is>
          <t xml:space="preserve">4</t>
        </is>
      </c>
      <c r="V64" s="15" t="inlineStr">
        <is>
          <t xml:space="preserve">220-8-K/26; 2362/2026; 308/0552/26; ППК26067</t>
        </is>
      </c>
    </row>
    <row r="65">
      <c r="A65" s="15" t="inlineStr">
        <is>
          <t xml:space="preserve">CC012601/1</t>
        </is>
      </c>
      <c r="B65" s="15" t="inlineStr">
        <is>
          <t xml:space="preserve">P060332</t>
        </is>
      </c>
      <c r="C65" s="15"/>
      <c r="D65" s="15" t="inlineStr">
        <is>
          <t xml:space="preserve">1</t>
        </is>
      </c>
      <c r="E65" s="15" t="inlineStr">
        <is>
          <t xml:space="preserve">✗ TESTING REQUIRED</t>
        </is>
      </c>
      <c r="F65" s="15" t="inlineStr">
        <is>
          <t xml:space="preserve">3</t>
        </is>
      </c>
      <c r="G65" s="15" t="inlineStr">
        <is>
          <t xml:space="preserve">1</t>
        </is>
      </c>
      <c r="H65" s="15" t="inlineStr">
        <is>
          <t xml:space="preserve">3</t>
        </is>
      </c>
      <c r="I65" s="15" t="inlineStr">
        <is>
          <t xml:space="preserve">✓</t>
        </is>
      </c>
      <c r="J65" s="15" t="inlineStr">
        <is>
          <t xml:space="preserve">✓</t>
        </is>
      </c>
      <c r="K65" s="15" t="inlineStr">
        <is>
          <t xml:space="preserve">✓</t>
        </is>
      </c>
      <c r="L65" s="15" t="inlineStr">
        <is>
          <t xml:space="preserve">✓</t>
        </is>
      </c>
      <c r="M65" s="15" t="inlineStr">
        <is>
          <t xml:space="preserve">✓</t>
        </is>
      </c>
      <c r="N65" s="15" t="inlineStr">
        <is>
          <t xml:space="preserve">✓</t>
        </is>
      </c>
      <c r="O65" s="15" t="inlineStr">
        <is>
          <t xml:space="preserve">✓</t>
        </is>
      </c>
      <c r="P65" s="15" t="inlineStr">
        <is>
          <t xml:space="preserve">✗</t>
        </is>
      </c>
      <c r="Q65" s="15" t="inlineStr">
        <is>
          <t xml:space="preserve">○</t>
        </is>
      </c>
      <c r="R65" s="15" t="inlineStr">
        <is>
          <t xml:space="preserve">✓</t>
        </is>
      </c>
      <c r="S65" s="15" t="inlineStr">
        <is>
          <t xml:space="preserve">✗</t>
        </is>
      </c>
      <c r="T65" s="15" t="inlineStr">
        <is>
          <t xml:space="preserve">✗</t>
        </is>
      </c>
      <c r="U65" s="15" t="inlineStr">
        <is>
          <t xml:space="preserve">3</t>
        </is>
      </c>
      <c r="V65" s="15" t="inlineStr">
        <is>
          <t xml:space="preserve">197-6-K/26; 197-6-M/26; 361/0691/26</t>
        </is>
      </c>
    </row>
    <row r="66">
      <c r="A66" s="15" t="inlineStr">
        <is>
          <t xml:space="preserve">SCR012601*</t>
        </is>
      </c>
      <c r="B66" s="15" t="inlineStr">
        <is>
          <t xml:space="preserve">P060342</t>
        </is>
      </c>
      <c r="C66" s="15" t="inlineStr">
        <is>
          <t xml:space="preserve">Scrambler</t>
        </is>
      </c>
      <c r="D66" s="15" t="inlineStr">
        <is>
          <t xml:space="preserve">—</t>
        </is>
      </c>
      <c r="E66" s="15" t="inlineStr">
        <is>
          <t xml:space="preserve">✗ TESTING REQUIRED</t>
        </is>
      </c>
      <c r="F66" s="15" t="inlineStr">
        <is>
          <t xml:space="preserve">8</t>
        </is>
      </c>
      <c r="G66" s="15" t="inlineStr">
        <is>
          <t xml:space="preserve">0</t>
        </is>
      </c>
      <c r="H66" s="15" t="inlineStr">
        <is>
          <t xml:space="preserve">3</t>
        </is>
      </c>
      <c r="I66" s="15" t="inlineStr">
        <is>
          <t xml:space="preserve">✓</t>
        </is>
      </c>
      <c r="J66" s="15" t="inlineStr">
        <is>
          <t xml:space="preserve">✓</t>
        </is>
      </c>
      <c r="K66" s="15" t="inlineStr">
        <is>
          <t xml:space="preserve">✗</t>
        </is>
      </c>
      <c r="L66" s="15" t="inlineStr">
        <is>
          <t xml:space="preserve">✗</t>
        </is>
      </c>
      <c r="M66" s="15" t="inlineStr">
        <is>
          <t xml:space="preserve">✗</t>
        </is>
      </c>
      <c r="N66" s="15" t="inlineStr">
        <is>
          <t xml:space="preserve">✗</t>
        </is>
      </c>
      <c r="O66" s="15" t="inlineStr">
        <is>
          <t xml:space="preserve">✓</t>
        </is>
      </c>
      <c r="P66" s="15" t="inlineStr">
        <is>
          <t xml:space="preserve">✗</t>
        </is>
      </c>
      <c r="Q66" s="15" t="inlineStr">
        <is>
          <t xml:space="preserve">✓</t>
        </is>
      </c>
      <c r="R66" s="15" t="inlineStr">
        <is>
          <t xml:space="preserve">✗</t>
        </is>
      </c>
      <c r="S66" s="15" t="inlineStr">
        <is>
          <t xml:space="preserve">✗</t>
        </is>
      </c>
      <c r="T66" s="15" t="inlineStr">
        <is>
          <t xml:space="preserve">✗</t>
        </is>
      </c>
      <c r="U66" s="15" t="inlineStr">
        <is>
          <t xml:space="preserve">2</t>
        </is>
      </c>
      <c r="V66" s="15" t="inlineStr">
        <is>
          <t xml:space="preserve">362/0692/26; 539/1070/26</t>
        </is>
      </c>
    </row>
    <row r="67">
      <c r="A67" s="15" t="inlineStr">
        <is>
          <t xml:space="preserve">FB012602*</t>
        </is>
      </c>
      <c r="B67" s="15" t="inlineStr">
        <is>
          <t xml:space="preserve">P060352</t>
        </is>
      </c>
      <c r="C67" s="15" t="inlineStr">
        <is>
          <t xml:space="preserve">Fat Bastard</t>
        </is>
      </c>
      <c r="D67" s="15" t="inlineStr">
        <is>
          <t xml:space="preserve">—</t>
        </is>
      </c>
      <c r="E67" s="15" t="inlineStr">
        <is>
          <t xml:space="preserve">✗ TESTING REQUIRED</t>
        </is>
      </c>
      <c r="F67" s="15" t="inlineStr">
        <is>
          <t xml:space="preserve">3</t>
        </is>
      </c>
      <c r="G67" s="15" t="inlineStr">
        <is>
          <t xml:space="preserve">1</t>
        </is>
      </c>
      <c r="H67" s="15" t="inlineStr">
        <is>
          <t xml:space="preserve">3</t>
        </is>
      </c>
      <c r="I67" s="15" t="inlineStr">
        <is>
          <t xml:space="preserve">✓</t>
        </is>
      </c>
      <c r="J67" s="15" t="inlineStr">
        <is>
          <t xml:space="preserve">✓</t>
        </is>
      </c>
      <c r="K67" s="15" t="inlineStr">
        <is>
          <t xml:space="preserve">✓</t>
        </is>
      </c>
      <c r="L67" s="15" t="inlineStr">
        <is>
          <t xml:space="preserve">✓</t>
        </is>
      </c>
      <c r="M67" s="15" t="inlineStr">
        <is>
          <t xml:space="preserve">✓</t>
        </is>
      </c>
      <c r="N67" s="15" t="inlineStr">
        <is>
          <t xml:space="preserve">✓</t>
        </is>
      </c>
      <c r="O67" s="15" t="inlineStr">
        <is>
          <t xml:space="preserve">✓</t>
        </is>
      </c>
      <c r="P67" s="15" t="inlineStr">
        <is>
          <t xml:space="preserve">✗</t>
        </is>
      </c>
      <c r="Q67" s="15" t="inlineStr">
        <is>
          <t xml:space="preserve">○</t>
        </is>
      </c>
      <c r="R67" s="15" t="inlineStr">
        <is>
          <t xml:space="preserve">✓</t>
        </is>
      </c>
      <c r="S67" s="15" t="inlineStr">
        <is>
          <t xml:space="preserve">✗</t>
        </is>
      </c>
      <c r="T67" s="15" t="inlineStr">
        <is>
          <t xml:space="preserve">✗</t>
        </is>
      </c>
      <c r="U67" s="15" t="inlineStr">
        <is>
          <t xml:space="preserve">3</t>
        </is>
      </c>
      <c r="V67" s="15" t="inlineStr">
        <is>
          <t xml:space="preserve">197-7-K/26; 197-7-M/26; 366/0696/26</t>
        </is>
      </c>
    </row>
    <row r="68">
      <c r="A68" s="15" t="inlineStr">
        <is>
          <t xml:space="preserve">JD012603</t>
        </is>
      </c>
      <c r="B68" s="15" t="inlineStr">
        <is>
          <t xml:space="preserve">P060362 / P060412 / P060422</t>
        </is>
      </c>
      <c r="C68" s="15"/>
      <c r="D68" s="15" t="inlineStr">
        <is>
          <t xml:space="preserve">—</t>
        </is>
      </c>
      <c r="E68" s="15" t="inlineStr">
        <is>
          <t xml:space="preserve">✗ TESTING REQUIRED</t>
        </is>
      </c>
      <c r="F68" s="15" t="inlineStr">
        <is>
          <t xml:space="preserve">4</t>
        </is>
      </c>
      <c r="G68" s="15" t="inlineStr">
        <is>
          <t xml:space="preserve">0</t>
        </is>
      </c>
      <c r="H68" s="15" t="inlineStr">
        <is>
          <t xml:space="preserve">0</t>
        </is>
      </c>
      <c r="I68" s="15" t="inlineStr">
        <is>
          <t xml:space="preserve">✓</t>
        </is>
      </c>
      <c r="J68" s="15" t="inlineStr">
        <is>
          <t xml:space="preserve">✓</t>
        </is>
      </c>
      <c r="K68" s="15" t="inlineStr">
        <is>
          <t xml:space="preserve">✓</t>
        </is>
      </c>
      <c r="L68" s="15" t="inlineStr">
        <is>
          <t xml:space="preserve">✓</t>
        </is>
      </c>
      <c r="M68" s="15" t="inlineStr">
        <is>
          <t xml:space="preserve">✓</t>
        </is>
      </c>
      <c r="N68" s="15" t="inlineStr">
        <is>
          <t xml:space="preserve">✓</t>
        </is>
      </c>
      <c r="O68" s="15" t="inlineStr">
        <is>
          <t xml:space="preserve">✓</t>
        </is>
      </c>
      <c r="P68" s="15" t="inlineStr">
        <is>
          <t xml:space="preserve">✓</t>
        </is>
      </c>
      <c r="Q68" s="15" t="inlineStr">
        <is>
          <t xml:space="preserve">✗</t>
        </is>
      </c>
      <c r="R68" s="15" t="inlineStr">
        <is>
          <t xml:space="preserve">✗</t>
        </is>
      </c>
      <c r="S68" s="15" t="inlineStr">
        <is>
          <t xml:space="preserve">✗</t>
        </is>
      </c>
      <c r="T68" s="15" t="inlineStr">
        <is>
          <t xml:space="preserve">✗</t>
        </is>
      </c>
      <c r="U68" s="15" t="inlineStr">
        <is>
          <t xml:space="preserve">0</t>
        </is>
      </c>
      <c r="V68" s="15"/>
    </row>
    <row r="69">
      <c r="A69" s="15" t="inlineStr">
        <is>
          <t xml:space="preserve">CC012603</t>
        </is>
      </c>
      <c r="B69" s="15" t="inlineStr">
        <is>
          <t xml:space="preserve">P060372</t>
        </is>
      </c>
      <c r="C69" s="15" t="inlineStr">
        <is>
          <t xml:space="preserve">Cash Cow</t>
        </is>
      </c>
      <c r="D69" s="15" t="inlineStr">
        <is>
          <t xml:space="preserve">2</t>
        </is>
      </c>
      <c r="E69" s="15" t="inlineStr">
        <is>
          <t xml:space="preserve">✗ TESTING REQUIRED</t>
        </is>
      </c>
      <c r="F69" s="15" t="inlineStr">
        <is>
          <t xml:space="preserve">7</t>
        </is>
      </c>
      <c r="G69" s="15" t="inlineStr">
        <is>
          <t xml:space="preserve">5</t>
        </is>
      </c>
      <c r="H69" s="15" t="inlineStr">
        <is>
          <t xml:space="preserve">0</t>
        </is>
      </c>
      <c r="I69" s="15" t="inlineStr">
        <is>
          <t xml:space="preserve">✗</t>
        </is>
      </c>
      <c r="J69" s="15" t="inlineStr">
        <is>
          <t xml:space="preserve">✗</t>
        </is>
      </c>
      <c r="K69" s="15" t="inlineStr">
        <is>
          <t xml:space="preserve">○</t>
        </is>
      </c>
      <c r="L69" s="15" t="inlineStr">
        <is>
          <t xml:space="preserve">○</t>
        </is>
      </c>
      <c r="M69" s="15" t="inlineStr">
        <is>
          <t xml:space="preserve">○</t>
        </is>
      </c>
      <c r="N69" s="15" t="inlineStr">
        <is>
          <t xml:space="preserve">○</t>
        </is>
      </c>
      <c r="O69" s="15" t="inlineStr">
        <is>
          <t xml:space="preserve">✗</t>
        </is>
      </c>
      <c r="P69" s="15" t="inlineStr">
        <is>
          <t xml:space="preserve">✗</t>
        </is>
      </c>
      <c r="Q69" s="15" t="inlineStr">
        <is>
          <t xml:space="preserve">○</t>
        </is>
      </c>
      <c r="R69" s="15" t="inlineStr">
        <is>
          <t xml:space="preserve">✗</t>
        </is>
      </c>
      <c r="S69" s="15" t="inlineStr">
        <is>
          <t xml:space="preserve">✗</t>
        </is>
      </c>
      <c r="T69" s="15" t="inlineStr">
        <is>
          <t xml:space="preserve">✗</t>
        </is>
      </c>
      <c r="U69" s="15" t="inlineStr">
        <is>
          <t xml:space="preserve">2</t>
        </is>
      </c>
      <c r="V69" s="15" t="inlineStr">
        <is>
          <t xml:space="preserve">220-29-K/26; 363/0693/26</t>
        </is>
      </c>
    </row>
    <row r="70">
      <c r="A70" s="15" t="inlineStr">
        <is>
          <t xml:space="preserve">SCR012603</t>
        </is>
      </c>
      <c r="B70" s="15" t="inlineStr">
        <is>
          <t xml:space="preserve">P060382</t>
        </is>
      </c>
      <c r="C70" s="15" t="inlineStr">
        <is>
          <t xml:space="preserve">Scrambler</t>
        </is>
      </c>
      <c r="D70" s="15" t="inlineStr">
        <is>
          <t xml:space="preserve">1</t>
        </is>
      </c>
      <c r="E70" s="15" t="inlineStr">
        <is>
          <t xml:space="preserve">✗ TESTING REQUIRED</t>
        </is>
      </c>
      <c r="F70" s="15" t="inlineStr">
        <is>
          <t xml:space="preserve">3</t>
        </is>
      </c>
      <c r="G70" s="15" t="inlineStr">
        <is>
          <t xml:space="preserve">1</t>
        </is>
      </c>
      <c r="H70" s="15" t="inlineStr">
        <is>
          <t xml:space="preserve">3</t>
        </is>
      </c>
      <c r="I70" s="15" t="inlineStr">
        <is>
          <t xml:space="preserve">✓</t>
        </is>
      </c>
      <c r="J70" s="15" t="inlineStr">
        <is>
          <t xml:space="preserve">✓</t>
        </is>
      </c>
      <c r="K70" s="15" t="inlineStr">
        <is>
          <t xml:space="preserve">✓</t>
        </is>
      </c>
      <c r="L70" s="15" t="inlineStr">
        <is>
          <t xml:space="preserve">✓</t>
        </is>
      </c>
      <c r="M70" s="15" t="inlineStr">
        <is>
          <t xml:space="preserve">✓</t>
        </is>
      </c>
      <c r="N70" s="15" t="inlineStr">
        <is>
          <t xml:space="preserve">✓</t>
        </is>
      </c>
      <c r="O70" s="15" t="inlineStr">
        <is>
          <t xml:space="preserve">✓</t>
        </is>
      </c>
      <c r="P70" s="15" t="inlineStr">
        <is>
          <t xml:space="preserve">✗</t>
        </is>
      </c>
      <c r="Q70" s="15" t="inlineStr">
        <is>
          <t xml:space="preserve">○</t>
        </is>
      </c>
      <c r="R70" s="15" t="inlineStr">
        <is>
          <t xml:space="preserve">✓</t>
        </is>
      </c>
      <c r="S70" s="15" t="inlineStr">
        <is>
          <t xml:space="preserve">✗</t>
        </is>
      </c>
      <c r="T70" s="15" t="inlineStr">
        <is>
          <t xml:space="preserve">✗</t>
        </is>
      </c>
      <c r="U70" s="15" t="inlineStr">
        <is>
          <t xml:space="preserve">3</t>
        </is>
      </c>
      <c r="V70" s="15" t="inlineStr">
        <is>
          <t xml:space="preserve">197-21-K/26; 197-21-M/26; 364/0694/26</t>
        </is>
      </c>
    </row>
    <row r="71">
      <c r="A71" s="15" t="inlineStr">
        <is>
          <t xml:space="preserve">FB012603V</t>
        </is>
      </c>
      <c r="B71" s="15" t="inlineStr">
        <is>
          <t xml:space="preserve">P060392</t>
        </is>
      </c>
      <c r="C71" s="15" t="inlineStr">
        <is>
          <t xml:space="preserve">Fat Bastard</t>
        </is>
      </c>
      <c r="D71" s="15" t="inlineStr">
        <is>
          <t xml:space="preserve">—</t>
        </is>
      </c>
      <c r="E71" s="15" t="inlineStr">
        <is>
          <t xml:space="preserve">○ REFERENCES MISSING</t>
        </is>
      </c>
      <c r="F71" s="15" t="inlineStr">
        <is>
          <t xml:space="preserve">0</t>
        </is>
      </c>
      <c r="G71" s="15" t="inlineStr">
        <is>
          <t xml:space="preserve">3</t>
        </is>
      </c>
      <c r="H71" s="15" t="inlineStr">
        <is>
          <t xml:space="preserve">0</t>
        </is>
      </c>
      <c r="I71" s="15" t="inlineStr">
        <is>
          <t xml:space="preserve">✓</t>
        </is>
      </c>
      <c r="J71" s="15" t="inlineStr">
        <is>
          <t xml:space="preserve">✓</t>
        </is>
      </c>
      <c r="K71" s="15" t="inlineStr">
        <is>
          <t xml:space="preserve">✓</t>
        </is>
      </c>
      <c r="L71" s="15" t="inlineStr">
        <is>
          <t xml:space="preserve">✓</t>
        </is>
      </c>
      <c r="M71" s="15" t="inlineStr">
        <is>
          <t xml:space="preserve">✓</t>
        </is>
      </c>
      <c r="N71" s="15" t="inlineStr">
        <is>
          <t xml:space="preserve">✓</t>
        </is>
      </c>
      <c r="O71" s="15" t="inlineStr">
        <is>
          <t xml:space="preserve">✓</t>
        </is>
      </c>
      <c r="P71" s="15" t="inlineStr">
        <is>
          <t xml:space="preserve">✓</t>
        </is>
      </c>
      <c r="Q71" s="15" t="inlineStr">
        <is>
          <t xml:space="preserve">✓</t>
        </is>
      </c>
      <c r="R71" s="15" t="inlineStr">
        <is>
          <t xml:space="preserve">○</t>
        </is>
      </c>
      <c r="S71" s="15" t="inlineStr">
        <is>
          <t xml:space="preserve">○</t>
        </is>
      </c>
      <c r="T71" s="15" t="inlineStr">
        <is>
          <t xml:space="preserve">○</t>
        </is>
      </c>
      <c r="U71" s="15" t="inlineStr">
        <is>
          <t xml:space="preserve">4</t>
        </is>
      </c>
      <c r="V71" s="15" t="inlineStr">
        <is>
          <t xml:space="preserve">3663/2026; 407/0790/26; 538/1069/26; ППК26110</t>
        </is>
      </c>
    </row>
    <row r="72">
      <c r="A72" s="15" t="inlineStr">
        <is>
          <t xml:space="preserve">GG012603</t>
        </is>
      </c>
      <c r="B72" s="15" t="inlineStr">
        <is>
          <t xml:space="preserve">P060402</t>
        </is>
      </c>
      <c r="C72" s="15" t="inlineStr">
        <is>
          <t xml:space="preserve">Gorilla Glue</t>
        </is>
      </c>
      <c r="D72" s="15" t="inlineStr">
        <is>
          <t xml:space="preserve">1</t>
        </is>
      </c>
      <c r="E72" s="15" t="inlineStr">
        <is>
          <t xml:space="preserve">○ REFERENCES MISSING</t>
        </is>
      </c>
      <c r="F72" s="15" t="inlineStr">
        <is>
          <t xml:space="preserve">0</t>
        </is>
      </c>
      <c r="G72" s="15" t="inlineStr">
        <is>
          <t xml:space="preserve">3</t>
        </is>
      </c>
      <c r="H72" s="15" t="inlineStr">
        <is>
          <t xml:space="preserve">0</t>
        </is>
      </c>
      <c r="I72" s="15" t="inlineStr">
        <is>
          <t xml:space="preserve">✓</t>
        </is>
      </c>
      <c r="J72" s="15" t="inlineStr">
        <is>
          <t xml:space="preserve">✓</t>
        </is>
      </c>
      <c r="K72" s="15" t="inlineStr">
        <is>
          <t xml:space="preserve">✓</t>
        </is>
      </c>
      <c r="L72" s="15" t="inlineStr">
        <is>
          <t xml:space="preserve">✓</t>
        </is>
      </c>
      <c r="M72" s="15" t="inlineStr">
        <is>
          <t xml:space="preserve">✓</t>
        </is>
      </c>
      <c r="N72" s="15" t="inlineStr">
        <is>
          <t xml:space="preserve">✓</t>
        </is>
      </c>
      <c r="O72" s="15" t="inlineStr">
        <is>
          <t xml:space="preserve">✓</t>
        </is>
      </c>
      <c r="P72" s="15" t="inlineStr">
        <is>
          <t xml:space="preserve">✓</t>
        </is>
      </c>
      <c r="Q72" s="15" t="inlineStr">
        <is>
          <t xml:space="preserve">○</t>
        </is>
      </c>
      <c r="R72" s="15" t="inlineStr">
        <is>
          <t xml:space="preserve">✓</t>
        </is>
      </c>
      <c r="S72" s="15" t="inlineStr">
        <is>
          <t xml:space="preserve">○</t>
        </is>
      </c>
      <c r="T72" s="15" t="inlineStr">
        <is>
          <t xml:space="preserve">○</t>
        </is>
      </c>
      <c r="U72" s="15" t="inlineStr">
        <is>
          <t xml:space="preserve">5</t>
        </is>
      </c>
      <c r="V72" s="15" t="inlineStr">
        <is>
          <t xml:space="preserve">197-8-K/26; 197-8-M/26; 3659/2026; 404/0787/26; ППК26114</t>
        </is>
      </c>
    </row>
    <row r="73">
      <c r="A73" s="15" t="inlineStr">
        <is>
          <t xml:space="preserve">FB012603</t>
        </is>
      </c>
      <c r="B73" s="15" t="inlineStr">
        <is>
          <t xml:space="preserve">P060432</t>
        </is>
      </c>
      <c r="C73" s="15" t="inlineStr">
        <is>
          <t xml:space="preserve">Fat Bastard</t>
        </is>
      </c>
      <c r="D73" s="15" t="inlineStr">
        <is>
          <t xml:space="preserve">—</t>
        </is>
      </c>
      <c r="E73" s="15" t="inlineStr">
        <is>
          <t xml:space="preserve">○ REFERENCES MISSING</t>
        </is>
      </c>
      <c r="F73" s="15" t="inlineStr">
        <is>
          <t xml:space="preserve">0</t>
        </is>
      </c>
      <c r="G73" s="15" t="inlineStr">
        <is>
          <t xml:space="preserve">3</t>
        </is>
      </c>
      <c r="H73" s="15" t="inlineStr">
        <is>
          <t xml:space="preserve">0</t>
        </is>
      </c>
      <c r="I73" s="15" t="inlineStr">
        <is>
          <t xml:space="preserve">✓</t>
        </is>
      </c>
      <c r="J73" s="15" t="inlineStr">
        <is>
          <t xml:space="preserve">✓</t>
        </is>
      </c>
      <c r="K73" s="15" t="inlineStr">
        <is>
          <t xml:space="preserve">✓</t>
        </is>
      </c>
      <c r="L73" s="15" t="inlineStr">
        <is>
          <t xml:space="preserve">✓</t>
        </is>
      </c>
      <c r="M73" s="15" t="inlineStr">
        <is>
          <t xml:space="preserve">✓</t>
        </is>
      </c>
      <c r="N73" s="15" t="inlineStr">
        <is>
          <t xml:space="preserve">✓</t>
        </is>
      </c>
      <c r="O73" s="15" t="inlineStr">
        <is>
          <t xml:space="preserve">✓</t>
        </is>
      </c>
      <c r="P73" s="15" t="inlineStr">
        <is>
          <t xml:space="preserve">✓</t>
        </is>
      </c>
      <c r="Q73" s="15" t="inlineStr">
        <is>
          <t xml:space="preserve">✓</t>
        </is>
      </c>
      <c r="R73" s="15" t="inlineStr">
        <is>
          <t xml:space="preserve">○</t>
        </is>
      </c>
      <c r="S73" s="15" t="inlineStr">
        <is>
          <t xml:space="preserve">○</t>
        </is>
      </c>
      <c r="T73" s="15" t="inlineStr">
        <is>
          <t xml:space="preserve">○</t>
        </is>
      </c>
      <c r="U73" s="15" t="inlineStr">
        <is>
          <t xml:space="preserve">4</t>
        </is>
      </c>
      <c r="V73" s="15" t="inlineStr">
        <is>
          <t xml:space="preserve">3661/ 2026; 408/0791/26; 537/1068/26; ППК26112</t>
        </is>
      </c>
    </row>
    <row r="74">
      <c r="A74" s="15" t="inlineStr">
        <is>
          <t xml:space="preserve">SCR022601</t>
        </is>
      </c>
      <c r="B74" s="15" t="inlineStr">
        <is>
          <t xml:space="preserve">P060442</t>
        </is>
      </c>
      <c r="C74" s="15" t="inlineStr">
        <is>
          <t xml:space="preserve">Scrambler</t>
        </is>
      </c>
      <c r="D74" s="15" t="inlineStr">
        <is>
          <t xml:space="preserve">—</t>
        </is>
      </c>
      <c r="E74" s="15" t="inlineStr">
        <is>
          <t xml:space="preserve">○ REFERENCES MISSING</t>
        </is>
      </c>
      <c r="F74" s="15" t="inlineStr">
        <is>
          <t xml:space="preserve">0</t>
        </is>
      </c>
      <c r="G74" s="15" t="inlineStr">
        <is>
          <t xml:space="preserve">3</t>
        </is>
      </c>
      <c r="H74" s="15" t="inlineStr">
        <is>
          <t xml:space="preserve">0</t>
        </is>
      </c>
      <c r="I74" s="15" t="inlineStr">
        <is>
          <t xml:space="preserve">✓</t>
        </is>
      </c>
      <c r="J74" s="15" t="inlineStr">
        <is>
          <t xml:space="preserve">✓</t>
        </is>
      </c>
      <c r="K74" s="15" t="inlineStr">
        <is>
          <t xml:space="preserve">✓</t>
        </is>
      </c>
      <c r="L74" s="15" t="inlineStr">
        <is>
          <t xml:space="preserve">✓</t>
        </is>
      </c>
      <c r="M74" s="15" t="inlineStr">
        <is>
          <t xml:space="preserve">✓</t>
        </is>
      </c>
      <c r="N74" s="15" t="inlineStr">
        <is>
          <t xml:space="preserve">✓</t>
        </is>
      </c>
      <c r="O74" s="15" t="inlineStr">
        <is>
          <t xml:space="preserve">✓</t>
        </is>
      </c>
      <c r="P74" s="15" t="inlineStr">
        <is>
          <t xml:space="preserve">✓</t>
        </is>
      </c>
      <c r="Q74" s="15" t="inlineStr">
        <is>
          <t xml:space="preserve">✓</t>
        </is>
      </c>
      <c r="R74" s="15" t="inlineStr">
        <is>
          <t xml:space="preserve">○</t>
        </is>
      </c>
      <c r="S74" s="15" t="inlineStr">
        <is>
          <t xml:space="preserve">○</t>
        </is>
      </c>
      <c r="T74" s="15" t="inlineStr">
        <is>
          <t xml:space="preserve">○</t>
        </is>
      </c>
      <c r="U74" s="15" t="inlineStr">
        <is>
          <t xml:space="preserve">4</t>
        </is>
      </c>
      <c r="V74" s="15" t="inlineStr">
        <is>
          <t xml:space="preserve">3657/2026; 403/0786/26; 536/1067/26; ППК26116</t>
        </is>
      </c>
    </row>
    <row r="75">
      <c r="A75" s="15" t="inlineStr">
        <is>
          <t xml:space="preserve">FB032601</t>
        </is>
      </c>
      <c r="B75" s="15" t="inlineStr">
        <is>
          <t xml:space="preserve">P060452</t>
        </is>
      </c>
      <c r="C75" s="15" t="inlineStr">
        <is>
          <t xml:space="preserve">Fat Bastard</t>
        </is>
      </c>
      <c r="D75" s="15" t="inlineStr">
        <is>
          <t xml:space="preserve">—</t>
        </is>
      </c>
      <c r="E75" s="15" t="inlineStr">
        <is>
          <t xml:space="preserve">○ REFERENCES MISSING</t>
        </is>
      </c>
      <c r="F75" s="15" t="inlineStr">
        <is>
          <t xml:space="preserve">0</t>
        </is>
      </c>
      <c r="G75" s="15" t="inlineStr">
        <is>
          <t xml:space="preserve">4</t>
        </is>
      </c>
      <c r="H75" s="15" t="inlineStr">
        <is>
          <t xml:space="preserve">0</t>
        </is>
      </c>
      <c r="I75" s="15" t="inlineStr">
        <is>
          <t xml:space="preserve">✓</t>
        </is>
      </c>
      <c r="J75" s="15" t="inlineStr">
        <is>
          <t xml:space="preserve">✓</t>
        </is>
      </c>
      <c r="K75" s="15" t="inlineStr">
        <is>
          <t xml:space="preserve">✓</t>
        </is>
      </c>
      <c r="L75" s="15" t="inlineStr">
        <is>
          <t xml:space="preserve">✓</t>
        </is>
      </c>
      <c r="M75" s="15" t="inlineStr">
        <is>
          <t xml:space="preserve">✓</t>
        </is>
      </c>
      <c r="N75" s="15" t="inlineStr">
        <is>
          <t xml:space="preserve">✓</t>
        </is>
      </c>
      <c r="O75" s="15" t="inlineStr">
        <is>
          <t xml:space="preserve">✓</t>
        </is>
      </c>
      <c r="P75" s="15" t="inlineStr">
        <is>
          <t xml:space="preserve">✓</t>
        </is>
      </c>
      <c r="Q75" s="15" t="inlineStr">
        <is>
          <t xml:space="preserve">○</t>
        </is>
      </c>
      <c r="R75" s="15" t="inlineStr">
        <is>
          <t xml:space="preserve">○</t>
        </is>
      </c>
      <c r="S75" s="15" t="inlineStr">
        <is>
          <t xml:space="preserve">○</t>
        </is>
      </c>
      <c r="T75" s="15" t="inlineStr">
        <is>
          <t xml:space="preserve">○</t>
        </is>
      </c>
      <c r="U75" s="15" t="inlineStr">
        <is>
          <t xml:space="preserve">4</t>
        </is>
      </c>
      <c r="V75" s="15" t="inlineStr">
        <is>
          <t xml:space="preserve">3924/2026; 433/0847/26; 434/0848/26; ППК26127</t>
        </is>
      </c>
    </row>
    <row r="76">
      <c r="A76" s="15" t="inlineStr">
        <is>
          <t xml:space="preserve">GG032601</t>
        </is>
      </c>
      <c r="B76" s="15" t="inlineStr">
        <is>
          <t xml:space="preserve">P060462</t>
        </is>
      </c>
      <c r="C76" s="15" t="inlineStr">
        <is>
          <t xml:space="preserve">Gorilla Glue</t>
        </is>
      </c>
      <c r="D76" s="15" t="inlineStr">
        <is>
          <t xml:space="preserve">—</t>
        </is>
      </c>
      <c r="E76" s="15" t="inlineStr">
        <is>
          <t xml:space="preserve">✗ TESTING REQUIRED</t>
        </is>
      </c>
      <c r="F76" s="15" t="inlineStr">
        <is>
          <t xml:space="preserve">1</t>
        </is>
      </c>
      <c r="G76" s="15" t="inlineStr">
        <is>
          <t xml:space="preserve">3</t>
        </is>
      </c>
      <c r="H76" s="15" t="inlineStr">
        <is>
          <t xml:space="preserve">0</t>
        </is>
      </c>
      <c r="I76" s="15" t="inlineStr">
        <is>
          <t xml:space="preserve">✓</t>
        </is>
      </c>
      <c r="J76" s="15" t="inlineStr">
        <is>
          <t xml:space="preserve">✓</t>
        </is>
      </c>
      <c r="K76" s="15" t="inlineStr">
        <is>
          <t xml:space="preserve">✓</t>
        </is>
      </c>
      <c r="L76" s="15" t="inlineStr">
        <is>
          <t xml:space="preserve">✓</t>
        </is>
      </c>
      <c r="M76" s="15" t="inlineStr">
        <is>
          <t xml:space="preserve">✓</t>
        </is>
      </c>
      <c r="N76" s="15" t="inlineStr">
        <is>
          <t xml:space="preserve">✓</t>
        </is>
      </c>
      <c r="O76" s="15" t="inlineStr">
        <is>
          <t xml:space="preserve">✓</t>
        </is>
      </c>
      <c r="P76" s="15" t="inlineStr">
        <is>
          <t xml:space="preserve">✓</t>
        </is>
      </c>
      <c r="Q76" s="15" t="inlineStr">
        <is>
          <t xml:space="preserve">✗</t>
        </is>
      </c>
      <c r="R76" s="15" t="inlineStr">
        <is>
          <t xml:space="preserve">○</t>
        </is>
      </c>
      <c r="S76" s="15" t="inlineStr">
        <is>
          <t xml:space="preserve">○</t>
        </is>
      </c>
      <c r="T76" s="15" t="inlineStr">
        <is>
          <t xml:space="preserve">○</t>
        </is>
      </c>
      <c r="U76" s="15" t="inlineStr">
        <is>
          <t xml:space="preserve">2</t>
        </is>
      </c>
      <c r="V76" s="15" t="inlineStr">
        <is>
          <t xml:space="preserve">3925/2026; ППК26128</t>
        </is>
      </c>
    </row>
    <row r="77">
      <c r="A77" s="15" t="inlineStr">
        <is>
          <t xml:space="preserve">JD022601</t>
        </is>
      </c>
      <c r="B77" s="15" t="inlineStr">
        <is>
          <t xml:space="preserve">P060482</t>
        </is>
      </c>
      <c r="C77" s="15" t="inlineStr">
        <is>
          <t xml:space="preserve">JellyDonutz</t>
        </is>
      </c>
      <c r="D77" s="15" t="inlineStr">
        <is>
          <t xml:space="preserve">—</t>
        </is>
      </c>
      <c r="E77" s="15" t="inlineStr">
        <is>
          <t xml:space="preserve">○ REFERENCES MISSING</t>
        </is>
      </c>
      <c r="F77" s="15" t="inlineStr">
        <is>
          <t xml:space="preserve">0</t>
        </is>
      </c>
      <c r="G77" s="15" t="inlineStr">
        <is>
          <t xml:space="preserve">4</t>
        </is>
      </c>
      <c r="H77" s="15" t="inlineStr">
        <is>
          <t xml:space="preserve">0</t>
        </is>
      </c>
      <c r="I77" s="15" t="inlineStr">
        <is>
          <t xml:space="preserve">✓</t>
        </is>
      </c>
      <c r="J77" s="15" t="inlineStr">
        <is>
          <t xml:space="preserve">✓</t>
        </is>
      </c>
      <c r="K77" s="15" t="inlineStr">
        <is>
          <t xml:space="preserve">✓</t>
        </is>
      </c>
      <c r="L77" s="15" t="inlineStr">
        <is>
          <t xml:space="preserve">✓</t>
        </is>
      </c>
      <c r="M77" s="15" t="inlineStr">
        <is>
          <t xml:space="preserve">✓</t>
        </is>
      </c>
      <c r="N77" s="15" t="inlineStr">
        <is>
          <t xml:space="preserve">✓</t>
        </is>
      </c>
      <c r="O77" s="15" t="inlineStr">
        <is>
          <t xml:space="preserve">✓</t>
        </is>
      </c>
      <c r="P77" s="15" t="inlineStr">
        <is>
          <t xml:space="preserve">✓</t>
        </is>
      </c>
      <c r="Q77" s="15" t="inlineStr">
        <is>
          <t xml:space="preserve">○</t>
        </is>
      </c>
      <c r="R77" s="15" t="inlineStr">
        <is>
          <t xml:space="preserve">○</t>
        </is>
      </c>
      <c r="S77" s="15" t="inlineStr">
        <is>
          <t xml:space="preserve">○</t>
        </is>
      </c>
      <c r="T77" s="15" t="inlineStr">
        <is>
          <t xml:space="preserve">○</t>
        </is>
      </c>
      <c r="U77" s="15" t="inlineStr">
        <is>
          <t xml:space="preserve">3</t>
        </is>
      </c>
      <c r="V77" s="15" t="inlineStr">
        <is>
          <t xml:space="preserve">3658/2026; 402/0785/26; ППК26115</t>
        </is>
      </c>
    </row>
    <row r="78">
      <c r="A78" s="15" t="inlineStr">
        <is>
          <t xml:space="preserve">— not recorded —</t>
        </is>
      </c>
      <c r="B78" s="15" t="inlineStr">
        <is>
          <t xml:space="preserve">P160012</t>
        </is>
      </c>
      <c r="C78" s="15"/>
      <c r="D78" s="15" t="inlineStr">
        <is>
          <t xml:space="preserve">—</t>
        </is>
      </c>
      <c r="E78" s="15" t="inlineStr">
        <is>
          <t xml:space="preserve">○ REFERENCES MISSING</t>
        </is>
      </c>
      <c r="F78" s="15" t="inlineStr">
        <is>
          <t xml:space="preserve">0</t>
        </is>
      </c>
      <c r="G78" s="15" t="inlineStr">
        <is>
          <t xml:space="preserve">4</t>
        </is>
      </c>
      <c r="H78" s="15" t="inlineStr">
        <is>
          <t xml:space="preserve">0</t>
        </is>
      </c>
      <c r="I78" s="15" t="inlineStr">
        <is>
          <t xml:space="preserve">✓</t>
        </is>
      </c>
      <c r="J78" s="15" t="inlineStr">
        <is>
          <t xml:space="preserve">✓</t>
        </is>
      </c>
      <c r="K78" s="15" t="inlineStr">
        <is>
          <t xml:space="preserve">✓</t>
        </is>
      </c>
      <c r="L78" s="15" t="inlineStr">
        <is>
          <t xml:space="preserve">✓</t>
        </is>
      </c>
      <c r="M78" s="15" t="inlineStr">
        <is>
          <t xml:space="preserve">✓</t>
        </is>
      </c>
      <c r="N78" s="15" t="inlineStr">
        <is>
          <t xml:space="preserve">✓</t>
        </is>
      </c>
      <c r="O78" s="15" t="inlineStr">
        <is>
          <t xml:space="preserve">✓</t>
        </is>
      </c>
      <c r="P78" s="15" t="inlineStr">
        <is>
          <t xml:space="preserve">✓</t>
        </is>
      </c>
      <c r="Q78" s="15" t="inlineStr">
        <is>
          <t xml:space="preserve">○</t>
        </is>
      </c>
      <c r="R78" s="15" t="inlineStr">
        <is>
          <t xml:space="preserve">○</t>
        </is>
      </c>
      <c r="S78" s="15" t="inlineStr">
        <is>
          <t xml:space="preserve">○</t>
        </is>
      </c>
      <c r="T78" s="15" t="inlineStr">
        <is>
          <t xml:space="preserve">○</t>
        </is>
      </c>
      <c r="U78" s="15" t="inlineStr">
        <is>
          <t xml:space="preserve">3</t>
        </is>
      </c>
      <c r="V78" s="15" t="inlineStr">
        <is>
          <t xml:space="preserve">3656/2026; 409/0792/26; ППК26117</t>
        </is>
      </c>
    </row>
    <row r="79">
      <c r="A79" s="15" t="inlineStr">
        <is>
          <t xml:space="preserve">— not recorded —</t>
        </is>
      </c>
      <c r="B79" s="15" t="inlineStr">
        <is>
          <t xml:space="preserve">P160022</t>
        </is>
      </c>
      <c r="C79" s="15"/>
      <c r="D79" s="15" t="inlineStr">
        <is>
          <t xml:space="preserve">—</t>
        </is>
      </c>
      <c r="E79" s="15" t="inlineStr">
        <is>
          <t xml:space="preserve">○ REFERENCES MISSING</t>
        </is>
      </c>
      <c r="F79" s="15" t="inlineStr">
        <is>
          <t xml:space="preserve">0</t>
        </is>
      </c>
      <c r="G79" s="15" t="inlineStr">
        <is>
          <t xml:space="preserve">4</t>
        </is>
      </c>
      <c r="H79" s="15" t="inlineStr">
        <is>
          <t xml:space="preserve">0</t>
        </is>
      </c>
      <c r="I79" s="15" t="inlineStr">
        <is>
          <t xml:space="preserve">✓</t>
        </is>
      </c>
      <c r="J79" s="15" t="inlineStr">
        <is>
          <t xml:space="preserve">✓</t>
        </is>
      </c>
      <c r="K79" s="15" t="inlineStr">
        <is>
          <t xml:space="preserve">✓</t>
        </is>
      </c>
      <c r="L79" s="15" t="inlineStr">
        <is>
          <t xml:space="preserve">✓</t>
        </is>
      </c>
      <c r="M79" s="15" t="inlineStr">
        <is>
          <t xml:space="preserve">✓</t>
        </is>
      </c>
      <c r="N79" s="15" t="inlineStr">
        <is>
          <t xml:space="preserve">✓</t>
        </is>
      </c>
      <c r="O79" s="15" t="inlineStr">
        <is>
          <t xml:space="preserve">✓</t>
        </is>
      </c>
      <c r="P79" s="15" t="inlineStr">
        <is>
          <t xml:space="preserve">✓</t>
        </is>
      </c>
      <c r="Q79" s="15" t="inlineStr">
        <is>
          <t xml:space="preserve">○</t>
        </is>
      </c>
      <c r="R79" s="15" t="inlineStr">
        <is>
          <t xml:space="preserve">○</t>
        </is>
      </c>
      <c r="S79" s="15" t="inlineStr">
        <is>
          <t xml:space="preserve">○</t>
        </is>
      </c>
      <c r="T79" s="15" t="inlineStr">
        <is>
          <t xml:space="preserve">○</t>
        </is>
      </c>
      <c r="U79" s="15" t="inlineStr">
        <is>
          <t xml:space="preserve">3</t>
        </is>
      </c>
      <c r="V79" s="15" t="inlineStr">
        <is>
          <t xml:space="preserve">3655/2026; 411/0794/26; ППК26118</t>
        </is>
      </c>
    </row>
    <row r="80">
      <c r="A80" s="15" t="inlineStr">
        <is>
          <t xml:space="preserve">— not recorded —</t>
        </is>
      </c>
      <c r="B80" s="15" t="inlineStr">
        <is>
          <t xml:space="preserve">P160032</t>
        </is>
      </c>
      <c r="C80" s="15"/>
      <c r="D80" s="15" t="inlineStr">
        <is>
          <t xml:space="preserve">—</t>
        </is>
      </c>
      <c r="E80" s="15" t="inlineStr">
        <is>
          <t xml:space="preserve">○ REFERENCES MISSING</t>
        </is>
      </c>
      <c r="F80" s="15" t="inlineStr">
        <is>
          <t xml:space="preserve">0</t>
        </is>
      </c>
      <c r="G80" s="15" t="inlineStr">
        <is>
          <t xml:space="preserve">4</t>
        </is>
      </c>
      <c r="H80" s="15" t="inlineStr">
        <is>
          <t xml:space="preserve">0</t>
        </is>
      </c>
      <c r="I80" s="15" t="inlineStr">
        <is>
          <t xml:space="preserve">✓</t>
        </is>
      </c>
      <c r="J80" s="15" t="inlineStr">
        <is>
          <t xml:space="preserve">✓</t>
        </is>
      </c>
      <c r="K80" s="15" t="inlineStr">
        <is>
          <t xml:space="preserve">✓</t>
        </is>
      </c>
      <c r="L80" s="15" t="inlineStr">
        <is>
          <t xml:space="preserve">✓</t>
        </is>
      </c>
      <c r="M80" s="15" t="inlineStr">
        <is>
          <t xml:space="preserve">✓</t>
        </is>
      </c>
      <c r="N80" s="15" t="inlineStr">
        <is>
          <t xml:space="preserve">✓</t>
        </is>
      </c>
      <c r="O80" s="15" t="inlineStr">
        <is>
          <t xml:space="preserve">✓</t>
        </is>
      </c>
      <c r="P80" s="15" t="inlineStr">
        <is>
          <t xml:space="preserve">✓</t>
        </is>
      </c>
      <c r="Q80" s="15" t="inlineStr">
        <is>
          <t xml:space="preserve">○</t>
        </is>
      </c>
      <c r="R80" s="15" t="inlineStr">
        <is>
          <t xml:space="preserve">○</t>
        </is>
      </c>
      <c r="S80" s="15" t="inlineStr">
        <is>
          <t xml:space="preserve">○</t>
        </is>
      </c>
      <c r="T80" s="15" t="inlineStr">
        <is>
          <t xml:space="preserve">○</t>
        </is>
      </c>
      <c r="U80" s="15" t="inlineStr">
        <is>
          <t xml:space="preserve">3</t>
        </is>
      </c>
      <c r="V80" s="15" t="inlineStr">
        <is>
          <t xml:space="preserve">3654/2026; 410/0793/26; ППК26119</t>
        </is>
      </c>
    </row>
    <row r="81">
      <c r="A81" s="15" t="inlineStr">
        <is>
          <t xml:space="preserve">BG1024</t>
        </is>
      </c>
      <c r="B81" s="15" t="inlineStr">
        <is>
          <t xml:space="preserve">— not assigned —</t>
        </is>
      </c>
      <c r="C81" s="15" t="inlineStr">
        <is>
          <t xml:space="preserve">Blue Gelato</t>
        </is>
      </c>
      <c r="D81" s="15" t="inlineStr">
        <is>
          <t xml:space="preserve">1</t>
        </is>
      </c>
      <c r="E81" s="15" t="inlineStr">
        <is>
          <t xml:space="preserve">✓ READY TO CITE</t>
        </is>
      </c>
      <c r="F81" s="15" t="inlineStr">
        <is>
          <t xml:space="preserve">0</t>
        </is>
      </c>
      <c r="G81" s="15" t="inlineStr">
        <is>
          <t xml:space="preserve">0</t>
        </is>
      </c>
      <c r="H81" s="15" t="inlineStr">
        <is>
          <t xml:space="preserve">3</t>
        </is>
      </c>
      <c r="I81" s="15" t="inlineStr">
        <is>
          <t xml:space="preserve">✓</t>
        </is>
      </c>
      <c r="J81" s="15" t="inlineStr">
        <is>
          <t xml:space="preserve">✓</t>
        </is>
      </c>
      <c r="K81" s="15" t="inlineStr">
        <is>
          <t xml:space="preserve">✓</t>
        </is>
      </c>
      <c r="L81" s="15" t="inlineStr">
        <is>
          <t xml:space="preserve">✓</t>
        </is>
      </c>
      <c r="M81" s="15" t="inlineStr">
        <is>
          <t xml:space="preserve">✓</t>
        </is>
      </c>
      <c r="N81" s="15" t="inlineStr">
        <is>
          <t xml:space="preserve">✓</t>
        </is>
      </c>
      <c r="O81" s="15" t="inlineStr">
        <is>
          <t xml:space="preserve">✓</t>
        </is>
      </c>
      <c r="P81" s="15" t="inlineStr">
        <is>
          <t xml:space="preserve">✓</t>
        </is>
      </c>
      <c r="Q81" s="15" t="inlineStr">
        <is>
          <t xml:space="preserve">✓</t>
        </is>
      </c>
      <c r="R81" s="15" t="inlineStr">
        <is>
          <t xml:space="preserve">✓</t>
        </is>
      </c>
      <c r="S81" s="15" t="inlineStr">
        <is>
          <t xml:space="preserve">✓</t>
        </is>
      </c>
      <c r="T81" s="15" t="inlineStr">
        <is>
          <t xml:space="preserve">✓</t>
        </is>
      </c>
      <c r="U81" s="15" t="inlineStr">
        <is>
          <t xml:space="preserve">5</t>
        </is>
      </c>
      <c r="V81" s="15" t="inlineStr">
        <is>
          <t xml:space="preserve">163/0271/25; 197-1-K/26; 197-1-M/26; 752/2025; ППК25050</t>
        </is>
      </c>
    </row>
    <row r="82">
      <c r="A82" s="15" t="inlineStr">
        <is>
          <t xml:space="preserve">BSS1024</t>
        </is>
      </c>
      <c r="B82" s="15" t="inlineStr">
        <is>
          <t xml:space="preserve">— not assigned —</t>
        </is>
      </c>
      <c r="C82" s="15" t="inlineStr">
        <is>
          <t xml:space="preserve">Blue Sunset Sherbet</t>
        </is>
      </c>
      <c r="D82" s="15" t="inlineStr">
        <is>
          <t xml:space="preserve">1</t>
        </is>
      </c>
      <c r="E82" s="15" t="inlineStr">
        <is>
          <t xml:space="preserve">✓ READY TO CITE</t>
        </is>
      </c>
      <c r="F82" s="15" t="inlineStr">
        <is>
          <t xml:space="preserve">0</t>
        </is>
      </c>
      <c r="G82" s="15" t="inlineStr">
        <is>
          <t xml:space="preserve">0</t>
        </is>
      </c>
      <c r="H82" s="15" t="inlineStr">
        <is>
          <t xml:space="preserve">3</t>
        </is>
      </c>
      <c r="I82" s="15" t="inlineStr">
        <is>
          <t xml:space="preserve">✓</t>
        </is>
      </c>
      <c r="J82" s="15" t="inlineStr">
        <is>
          <t xml:space="preserve">✓</t>
        </is>
      </c>
      <c r="K82" s="15" t="inlineStr">
        <is>
          <t xml:space="preserve">✓</t>
        </is>
      </c>
      <c r="L82" s="15" t="inlineStr">
        <is>
          <t xml:space="preserve">✓</t>
        </is>
      </c>
      <c r="M82" s="15" t="inlineStr">
        <is>
          <t xml:space="preserve">✓</t>
        </is>
      </c>
      <c r="N82" s="15" t="inlineStr">
        <is>
          <t xml:space="preserve">✓</t>
        </is>
      </c>
      <c r="O82" s="15" t="inlineStr">
        <is>
          <t xml:space="preserve">✓</t>
        </is>
      </c>
      <c r="P82" s="15" t="inlineStr">
        <is>
          <t xml:space="preserve">✓</t>
        </is>
      </c>
      <c r="Q82" s="15" t="inlineStr">
        <is>
          <t xml:space="preserve">✓</t>
        </is>
      </c>
      <c r="R82" s="15" t="inlineStr">
        <is>
          <t xml:space="preserve">✓</t>
        </is>
      </c>
      <c r="S82" s="15" t="inlineStr">
        <is>
          <t xml:space="preserve">✓</t>
        </is>
      </c>
      <c r="T82" s="15" t="inlineStr">
        <is>
          <t xml:space="preserve">✓</t>
        </is>
      </c>
      <c r="U82" s="15" t="inlineStr">
        <is>
          <t xml:space="preserve">5</t>
        </is>
      </c>
      <c r="V82" s="15" t="inlineStr">
        <is>
          <t xml:space="preserve">161/0269/25; 197-2-K/26; 197-2-M/26; 751/2025; ППК25051</t>
        </is>
      </c>
    </row>
    <row r="83">
      <c r="A83" s="15" t="inlineStr">
        <is>
          <t xml:space="preserve">CC042601</t>
        </is>
      </c>
      <c r="B83" s="15" t="inlineStr">
        <is>
          <t xml:space="preserve">— not assigned —</t>
        </is>
      </c>
      <c r="C83" s="15" t="inlineStr">
        <is>
          <t xml:space="preserve">Cash Cow</t>
        </is>
      </c>
      <c r="D83" s="15" t="inlineStr">
        <is>
          <t xml:space="preserve">—</t>
        </is>
      </c>
      <c r="E83" s="15" t="inlineStr">
        <is>
          <t xml:space="preserve">✗ TESTING REQUIRED</t>
        </is>
      </c>
      <c r="F83" s="15" t="inlineStr">
        <is>
          <t xml:space="preserve">8</t>
        </is>
      </c>
      <c r="G83" s="15" t="inlineStr">
        <is>
          <t xml:space="preserve">4</t>
        </is>
      </c>
      <c r="H83" s="15" t="inlineStr">
        <is>
          <t xml:space="preserve">0</t>
        </is>
      </c>
      <c r="I83" s="15" t="inlineStr">
        <is>
          <t xml:space="preserve">✗</t>
        </is>
      </c>
      <c r="J83" s="15" t="inlineStr">
        <is>
          <t xml:space="preserve">✗</t>
        </is>
      </c>
      <c r="K83" s="15" t="inlineStr">
        <is>
          <t xml:space="preserve">○</t>
        </is>
      </c>
      <c r="L83" s="15" t="inlineStr">
        <is>
          <t xml:space="preserve">○</t>
        </is>
      </c>
      <c r="M83" s="15" t="inlineStr">
        <is>
          <t xml:space="preserve">○</t>
        </is>
      </c>
      <c r="N83" s="15" t="inlineStr">
        <is>
          <t xml:space="preserve">○</t>
        </is>
      </c>
      <c r="O83" s="15" t="inlineStr">
        <is>
          <t xml:space="preserve">✗</t>
        </is>
      </c>
      <c r="P83" s="15" t="inlineStr">
        <is>
          <t xml:space="preserve">✗</t>
        </is>
      </c>
      <c r="Q83" s="15" t="inlineStr">
        <is>
          <t xml:space="preserve">✗</t>
        </is>
      </c>
      <c r="R83" s="15" t="inlineStr">
        <is>
          <t xml:space="preserve">✗</t>
        </is>
      </c>
      <c r="S83" s="15" t="inlineStr">
        <is>
          <t xml:space="preserve">✗</t>
        </is>
      </c>
      <c r="T83" s="15" t="inlineStr">
        <is>
          <t xml:space="preserve">✗</t>
        </is>
      </c>
      <c r="U83" s="15" t="inlineStr">
        <is>
          <t xml:space="preserve">1</t>
        </is>
      </c>
      <c r="V83" s="15" t="inlineStr">
        <is>
          <t xml:space="preserve">220-32-K/26</t>
        </is>
      </c>
    </row>
    <row r="84">
      <c r="A84" s="15" t="inlineStr">
        <is>
          <t xml:space="preserve">CJ1024</t>
        </is>
      </c>
      <c r="B84" s="15" t="inlineStr">
        <is>
          <t xml:space="preserve">— not assigned —</t>
        </is>
      </c>
      <c r="C84" s="15" t="inlineStr">
        <is>
          <t xml:space="preserve">Cap Junky</t>
        </is>
      </c>
      <c r="D84" s="15" t="inlineStr">
        <is>
          <t xml:space="preserve">—</t>
        </is>
      </c>
      <c r="E84" s="15" t="inlineStr">
        <is>
          <t xml:space="preserve">✓ READY TO CITE</t>
        </is>
      </c>
      <c r="F84" s="15" t="inlineStr">
        <is>
          <t xml:space="preserve">0</t>
        </is>
      </c>
      <c r="G84" s="15" t="inlineStr">
        <is>
          <t xml:space="preserve">0</t>
        </is>
      </c>
      <c r="H84" s="15" t="inlineStr">
        <is>
          <t xml:space="preserve">3</t>
        </is>
      </c>
      <c r="I84" s="15" t="inlineStr">
        <is>
          <t xml:space="preserve">✓</t>
        </is>
      </c>
      <c r="J84" s="15" t="inlineStr">
        <is>
          <t xml:space="preserve">✓</t>
        </is>
      </c>
      <c r="K84" s="15" t="inlineStr">
        <is>
          <t xml:space="preserve">✓</t>
        </is>
      </c>
      <c r="L84" s="15" t="inlineStr">
        <is>
          <t xml:space="preserve">✓</t>
        </is>
      </c>
      <c r="M84" s="15" t="inlineStr">
        <is>
          <t xml:space="preserve">✓</t>
        </is>
      </c>
      <c r="N84" s="15" t="inlineStr">
        <is>
          <t xml:space="preserve">✓</t>
        </is>
      </c>
      <c r="O84" s="15" t="inlineStr">
        <is>
          <t xml:space="preserve">✓</t>
        </is>
      </c>
      <c r="P84" s="15" t="inlineStr">
        <is>
          <t xml:space="preserve">✓</t>
        </is>
      </c>
      <c r="Q84" s="15" t="inlineStr">
        <is>
          <t xml:space="preserve">✓</t>
        </is>
      </c>
      <c r="R84" s="15" t="inlineStr">
        <is>
          <t xml:space="preserve">✓</t>
        </is>
      </c>
      <c r="S84" s="15" t="inlineStr">
        <is>
          <t xml:space="preserve">✓</t>
        </is>
      </c>
      <c r="T84" s="15" t="inlineStr">
        <is>
          <t xml:space="preserve">✓</t>
        </is>
      </c>
      <c r="U84" s="15" t="inlineStr">
        <is>
          <t xml:space="preserve">4</t>
        </is>
      </c>
      <c r="V84" s="15" t="inlineStr">
        <is>
          <t xml:space="preserve">164/0272/25; 565/1096/26; 750/2025; ППК25052</t>
        </is>
      </c>
    </row>
    <row r="85">
      <c r="A85" s="15" t="inlineStr">
        <is>
          <t xml:space="preserve">FB042601</t>
        </is>
      </c>
      <c r="B85" s="15" t="inlineStr">
        <is>
          <t xml:space="preserve">— not assigned —</t>
        </is>
      </c>
      <c r="C85" s="15" t="inlineStr">
        <is>
          <t xml:space="preserve">Fat Bastard</t>
        </is>
      </c>
      <c r="D85" s="15" t="inlineStr">
        <is>
          <t xml:space="preserve">—</t>
        </is>
      </c>
      <c r="E85" s="15" t="inlineStr">
        <is>
          <t xml:space="preserve">✗ TESTING REQUIRED</t>
        </is>
      </c>
      <c r="F85" s="15" t="inlineStr">
        <is>
          <t xml:space="preserve">8</t>
        </is>
      </c>
      <c r="G85" s="15" t="inlineStr">
        <is>
          <t xml:space="preserve">4</t>
        </is>
      </c>
      <c r="H85" s="15" t="inlineStr">
        <is>
          <t xml:space="preserve">0</t>
        </is>
      </c>
      <c r="I85" s="15" t="inlineStr">
        <is>
          <t xml:space="preserve">✗</t>
        </is>
      </c>
      <c r="J85" s="15" t="inlineStr">
        <is>
          <t xml:space="preserve">✗</t>
        </is>
      </c>
      <c r="K85" s="15" t="inlineStr">
        <is>
          <t xml:space="preserve">○</t>
        </is>
      </c>
      <c r="L85" s="15" t="inlineStr">
        <is>
          <t xml:space="preserve">○</t>
        </is>
      </c>
      <c r="M85" s="15" t="inlineStr">
        <is>
          <t xml:space="preserve">○</t>
        </is>
      </c>
      <c r="N85" s="15" t="inlineStr">
        <is>
          <t xml:space="preserve">○</t>
        </is>
      </c>
      <c r="O85" s="15" t="inlineStr">
        <is>
          <t xml:space="preserve">✗</t>
        </is>
      </c>
      <c r="P85" s="15" t="inlineStr">
        <is>
          <t xml:space="preserve">✗</t>
        </is>
      </c>
      <c r="Q85" s="15" t="inlineStr">
        <is>
          <t xml:space="preserve">✗</t>
        </is>
      </c>
      <c r="R85" s="15" t="inlineStr">
        <is>
          <t xml:space="preserve">✗</t>
        </is>
      </c>
      <c r="S85" s="15" t="inlineStr">
        <is>
          <t xml:space="preserve">✗</t>
        </is>
      </c>
      <c r="T85" s="15" t="inlineStr">
        <is>
          <t xml:space="preserve">✗</t>
        </is>
      </c>
      <c r="U85" s="15" t="inlineStr">
        <is>
          <t xml:space="preserve">1</t>
        </is>
      </c>
      <c r="V85" s="15" t="inlineStr">
        <is>
          <t xml:space="preserve">220-31-K/26</t>
        </is>
      </c>
    </row>
    <row r="86">
      <c r="A86" s="15" t="inlineStr">
        <is>
          <t xml:space="preserve">GG1024</t>
        </is>
      </c>
      <c r="B86" s="15" t="inlineStr">
        <is>
          <t xml:space="preserve">— not assigned —</t>
        </is>
      </c>
      <c r="C86" s="15" t="inlineStr">
        <is>
          <t xml:space="preserve">Gorilla Glue</t>
        </is>
      </c>
      <c r="D86" s="15" t="inlineStr">
        <is>
          <t xml:space="preserve">2</t>
        </is>
      </c>
      <c r="E86" s="15" t="inlineStr">
        <is>
          <t xml:space="preserve">○ REFERENCES MISSING</t>
        </is>
      </c>
      <c r="F86" s="15" t="inlineStr">
        <is>
          <t xml:space="preserve">0</t>
        </is>
      </c>
      <c r="G86" s="15" t="inlineStr">
        <is>
          <t xml:space="preserve">9</t>
        </is>
      </c>
      <c r="H86" s="15" t="inlineStr">
        <is>
          <t xml:space="preserve">3</t>
        </is>
      </c>
      <c r="I86" s="15" t="inlineStr">
        <is>
          <t xml:space="preserve">✓</t>
        </is>
      </c>
      <c r="J86" s="15" t="inlineStr">
        <is>
          <t xml:space="preserve">✓</t>
        </is>
      </c>
      <c r="K86" s="15" t="inlineStr">
        <is>
          <t xml:space="preserve">○</t>
        </is>
      </c>
      <c r="L86" s="15" t="inlineStr">
        <is>
          <t xml:space="preserve">○</t>
        </is>
      </c>
      <c r="M86" s="15" t="inlineStr">
        <is>
          <t xml:space="preserve">○</t>
        </is>
      </c>
      <c r="N86" s="15" t="inlineStr">
        <is>
          <t xml:space="preserve">○</t>
        </is>
      </c>
      <c r="O86" s="15" t="inlineStr">
        <is>
          <t xml:space="preserve">✓</t>
        </is>
      </c>
      <c r="P86" s="15" t="inlineStr">
        <is>
          <t xml:space="preserve">○</t>
        </is>
      </c>
      <c r="Q86" s="15" t="inlineStr">
        <is>
          <t xml:space="preserve">○</t>
        </is>
      </c>
      <c r="R86" s="15" t="inlineStr">
        <is>
          <t xml:space="preserve">○</t>
        </is>
      </c>
      <c r="S86" s="15" t="inlineStr">
        <is>
          <t xml:space="preserve">○</t>
        </is>
      </c>
      <c r="T86" s="15" t="inlineStr">
        <is>
          <t xml:space="preserve">○</t>
        </is>
      </c>
      <c r="U86" s="15" t="inlineStr">
        <is>
          <t xml:space="preserve">4</t>
        </is>
      </c>
      <c r="V86" s="15" t="inlineStr">
        <is>
          <t xml:space="preserve">166/0274/25; 220-9-K/26; 748/2025; ППК25008</t>
        </is>
      </c>
    </row>
    <row r="87">
      <c r="A87" s="15" t="inlineStr">
        <is>
          <t xml:space="preserve">HPA1024</t>
        </is>
      </c>
      <c r="B87" s="15" t="inlineStr">
        <is>
          <t xml:space="preserve">— not assigned —</t>
        </is>
      </c>
      <c r="C87" s="15" t="inlineStr">
        <is>
          <t xml:space="preserve">High Pro Amnesia</t>
        </is>
      </c>
      <c r="D87" s="15" t="inlineStr">
        <is>
          <t xml:space="preserve">1</t>
        </is>
      </c>
      <c r="E87" s="15" t="inlineStr">
        <is>
          <t xml:space="preserve">✗ TESTING REQUIRED</t>
        </is>
      </c>
      <c r="F87" s="15" t="inlineStr">
        <is>
          <t xml:space="preserve">4</t>
        </is>
      </c>
      <c r="G87" s="15" t="inlineStr">
        <is>
          <t xml:space="preserve">0</t>
        </is>
      </c>
      <c r="H87" s="15" t="inlineStr">
        <is>
          <t xml:space="preserve">3</t>
        </is>
      </c>
      <c r="I87" s="15" t="inlineStr">
        <is>
          <t xml:space="preserve">✓</t>
        </is>
      </c>
      <c r="J87" s="15" t="inlineStr">
        <is>
          <t xml:space="preserve">✓</t>
        </is>
      </c>
      <c r="K87" s="15" t="inlineStr">
        <is>
          <t xml:space="preserve">✓</t>
        </is>
      </c>
      <c r="L87" s="15" t="inlineStr">
        <is>
          <t xml:space="preserve">✓</t>
        </is>
      </c>
      <c r="M87" s="15" t="inlineStr">
        <is>
          <t xml:space="preserve">✓</t>
        </is>
      </c>
      <c r="N87" s="15" t="inlineStr">
        <is>
          <t xml:space="preserve">✓</t>
        </is>
      </c>
      <c r="O87" s="15" t="inlineStr">
        <is>
          <t xml:space="preserve">✓</t>
        </is>
      </c>
      <c r="P87" s="15" t="inlineStr">
        <is>
          <t xml:space="preserve">✗</t>
        </is>
      </c>
      <c r="Q87" s="15" t="inlineStr">
        <is>
          <t xml:space="preserve">✗</t>
        </is>
      </c>
      <c r="R87" s="15" t="inlineStr">
        <is>
          <t xml:space="preserve">✓</t>
        </is>
      </c>
      <c r="S87" s="15" t="inlineStr">
        <is>
          <t xml:space="preserve">✗</t>
        </is>
      </c>
      <c r="T87" s="15" t="inlineStr">
        <is>
          <t xml:space="preserve">✗</t>
        </is>
      </c>
      <c r="U87" s="15" t="inlineStr">
        <is>
          <t xml:space="preserve">2</t>
        </is>
      </c>
      <c r="V87" s="15" t="inlineStr">
        <is>
          <t xml:space="preserve">197-13-K/26; 197-13-M/26</t>
        </is>
      </c>
    </row>
    <row r="88">
      <c r="A88" s="15" t="inlineStr">
        <is>
          <t xml:space="preserve">JD032601</t>
        </is>
      </c>
      <c r="B88" s="15" t="inlineStr">
        <is>
          <t xml:space="preserve">— not assigned —</t>
        </is>
      </c>
      <c r="C88" s="15" t="inlineStr">
        <is>
          <t xml:space="preserve">Jelly Donutz</t>
        </is>
      </c>
      <c r="D88" s="15" t="inlineStr">
        <is>
          <t xml:space="preserve">—</t>
        </is>
      </c>
      <c r="E88" s="15" t="inlineStr">
        <is>
          <t xml:space="preserve">✗ TESTING REQUIRED</t>
        </is>
      </c>
      <c r="F88" s="15" t="inlineStr">
        <is>
          <t xml:space="preserve">8</t>
        </is>
      </c>
      <c r="G88" s="15" t="inlineStr">
        <is>
          <t xml:space="preserve">4</t>
        </is>
      </c>
      <c r="H88" s="15" t="inlineStr">
        <is>
          <t xml:space="preserve">0</t>
        </is>
      </c>
      <c r="I88" s="15" t="inlineStr">
        <is>
          <t xml:space="preserve">✗</t>
        </is>
      </c>
      <c r="J88" s="15" t="inlineStr">
        <is>
          <t xml:space="preserve">✗</t>
        </is>
      </c>
      <c r="K88" s="15" t="inlineStr">
        <is>
          <t xml:space="preserve">✗</t>
        </is>
      </c>
      <c r="L88" s="15" t="inlineStr">
        <is>
          <t xml:space="preserve">✗</t>
        </is>
      </c>
      <c r="M88" s="15" t="inlineStr">
        <is>
          <t xml:space="preserve">✗</t>
        </is>
      </c>
      <c r="N88" s="15" t="inlineStr">
        <is>
          <t xml:space="preserve">✗</t>
        </is>
      </c>
      <c r="O88" s="15" t="inlineStr">
        <is>
          <t xml:space="preserve">✗</t>
        </is>
      </c>
      <c r="P88" s="15" t="inlineStr">
        <is>
          <t xml:space="preserve">✗</t>
        </is>
      </c>
      <c r="Q88" s="15" t="inlineStr">
        <is>
          <t xml:space="preserve">○</t>
        </is>
      </c>
      <c r="R88" s="15" t="inlineStr">
        <is>
          <t xml:space="preserve">○</t>
        </is>
      </c>
      <c r="S88" s="15" t="inlineStr">
        <is>
          <t xml:space="preserve">○</t>
        </is>
      </c>
      <c r="T88" s="15" t="inlineStr">
        <is>
          <t xml:space="preserve">○</t>
        </is>
      </c>
      <c r="U88" s="15" t="inlineStr">
        <is>
          <t xml:space="preserve">2</t>
        </is>
      </c>
      <c r="V88" s="15" t="inlineStr">
        <is>
          <t xml:space="preserve">4374/2026; 477/0929/26</t>
        </is>
      </c>
    </row>
    <row r="89">
      <c r="A89" s="15" t="inlineStr">
        <is>
          <t xml:space="preserve">JD042601</t>
        </is>
      </c>
      <c r="B89" s="15" t="inlineStr">
        <is>
          <t xml:space="preserve">— not assigned —</t>
        </is>
      </c>
      <c r="C89" s="15" t="inlineStr">
        <is>
          <t xml:space="preserve">Jelly Donutz</t>
        </is>
      </c>
      <c r="D89" s="15" t="inlineStr">
        <is>
          <t xml:space="preserve">—</t>
        </is>
      </c>
      <c r="E89" s="15" t="inlineStr">
        <is>
          <t xml:space="preserve">✗ TESTING REQUIRED</t>
        </is>
      </c>
      <c r="F89" s="15" t="inlineStr">
        <is>
          <t xml:space="preserve">8</t>
        </is>
      </c>
      <c r="G89" s="15" t="inlineStr">
        <is>
          <t xml:space="preserve">4</t>
        </is>
      </c>
      <c r="H89" s="15" t="inlineStr">
        <is>
          <t xml:space="preserve">0</t>
        </is>
      </c>
      <c r="I89" s="15" t="inlineStr">
        <is>
          <t xml:space="preserve">✗</t>
        </is>
      </c>
      <c r="J89" s="15" t="inlineStr">
        <is>
          <t xml:space="preserve">✗</t>
        </is>
      </c>
      <c r="K89" s="15" t="inlineStr">
        <is>
          <t xml:space="preserve">○</t>
        </is>
      </c>
      <c r="L89" s="15" t="inlineStr">
        <is>
          <t xml:space="preserve">○</t>
        </is>
      </c>
      <c r="M89" s="15" t="inlineStr">
        <is>
          <t xml:space="preserve">○</t>
        </is>
      </c>
      <c r="N89" s="15" t="inlineStr">
        <is>
          <t xml:space="preserve">○</t>
        </is>
      </c>
      <c r="O89" s="15" t="inlineStr">
        <is>
          <t xml:space="preserve">✗</t>
        </is>
      </c>
      <c r="P89" s="15" t="inlineStr">
        <is>
          <t xml:space="preserve">✗</t>
        </is>
      </c>
      <c r="Q89" s="15" t="inlineStr">
        <is>
          <t xml:space="preserve">✗</t>
        </is>
      </c>
      <c r="R89" s="15" t="inlineStr">
        <is>
          <t xml:space="preserve">✗</t>
        </is>
      </c>
      <c r="S89" s="15" t="inlineStr">
        <is>
          <t xml:space="preserve">✗</t>
        </is>
      </c>
      <c r="T89" s="15" t="inlineStr">
        <is>
          <t xml:space="preserve">✗</t>
        </is>
      </c>
      <c r="U89" s="15" t="inlineStr">
        <is>
          <t xml:space="preserve">1</t>
        </is>
      </c>
      <c r="V89" s="15" t="inlineStr">
        <is>
          <t xml:space="preserve">220-30-K/26</t>
        </is>
      </c>
    </row>
    <row r="90">
      <c r="A90" s="15" t="inlineStr">
        <is>
          <t xml:space="preserve">JD112501＊</t>
        </is>
      </c>
      <c r="B90" s="15" t="inlineStr">
        <is>
          <t xml:space="preserve">— not assigned —</t>
        </is>
      </c>
      <c r="C90" s="15" t="inlineStr">
        <is>
          <t xml:space="preserve">Jelly Donutz</t>
        </is>
      </c>
      <c r="D90" s="15" t="inlineStr">
        <is>
          <t xml:space="preserve">—</t>
        </is>
      </c>
      <c r="E90" s="15" t="inlineStr">
        <is>
          <t xml:space="preserve">✓ READY TO CITE</t>
        </is>
      </c>
      <c r="F90" s="15" t="inlineStr">
        <is>
          <t xml:space="preserve">0</t>
        </is>
      </c>
      <c r="G90" s="15" t="inlineStr">
        <is>
          <t xml:space="preserve">0</t>
        </is>
      </c>
      <c r="H90" s="15" t="inlineStr">
        <is>
          <t xml:space="preserve">3</t>
        </is>
      </c>
      <c r="I90" s="15" t="inlineStr">
        <is>
          <t xml:space="preserve">✓</t>
        </is>
      </c>
      <c r="J90" s="15" t="inlineStr">
        <is>
          <t xml:space="preserve">✓</t>
        </is>
      </c>
      <c r="K90" s="15" t="inlineStr">
        <is>
          <t xml:space="preserve">✓</t>
        </is>
      </c>
      <c r="L90" s="15" t="inlineStr">
        <is>
          <t xml:space="preserve">✓</t>
        </is>
      </c>
      <c r="M90" s="15" t="inlineStr">
        <is>
          <t xml:space="preserve">✓</t>
        </is>
      </c>
      <c r="N90" s="15" t="inlineStr">
        <is>
          <t xml:space="preserve">✓</t>
        </is>
      </c>
      <c r="O90" s="15" t="inlineStr">
        <is>
          <t xml:space="preserve">✓</t>
        </is>
      </c>
      <c r="P90" s="15" t="inlineStr">
        <is>
          <t xml:space="preserve">✓</t>
        </is>
      </c>
      <c r="Q90" s="15" t="inlineStr">
        <is>
          <t xml:space="preserve">✓</t>
        </is>
      </c>
      <c r="R90" s="15" t="inlineStr">
        <is>
          <t xml:space="preserve">✓</t>
        </is>
      </c>
      <c r="S90" s="15" t="inlineStr">
        <is>
          <t xml:space="preserve">✓</t>
        </is>
      </c>
      <c r="T90" s="15" t="inlineStr">
        <is>
          <t xml:space="preserve">✓</t>
        </is>
      </c>
      <c r="U90" s="15" t="inlineStr">
        <is>
          <t xml:space="preserve">8</t>
        </is>
      </c>
      <c r="V90" s="15" t="inlineStr">
        <is>
          <t xml:space="preserve">197-15-K/26; 197-15-M/26; 2361/2026; 2365/2026; 306/0550/26; 307/0551/26; ППК26063; ППК26065</t>
        </is>
      </c>
    </row>
    <row r="91">
      <c r="A91" s="15" t="inlineStr">
        <is>
          <t xml:space="preserve">OPM1024</t>
        </is>
      </c>
      <c r="B91" s="15" t="inlineStr">
        <is>
          <t xml:space="preserve">— not assigned —</t>
        </is>
      </c>
      <c r="C91" s="15" t="inlineStr">
        <is>
          <t xml:space="preserve">Orange Punch Mimosa</t>
        </is>
      </c>
      <c r="D91" s="15" t="inlineStr">
        <is>
          <t xml:space="preserve">1</t>
        </is>
      </c>
      <c r="E91" s="15" t="inlineStr">
        <is>
          <t xml:space="preserve">✗ TESTING REQUIRED</t>
        </is>
      </c>
      <c r="F91" s="15" t="inlineStr">
        <is>
          <t xml:space="preserve">4</t>
        </is>
      </c>
      <c r="G91" s="15" t="inlineStr">
        <is>
          <t xml:space="preserve">0</t>
        </is>
      </c>
      <c r="H91" s="15" t="inlineStr">
        <is>
          <t xml:space="preserve">3</t>
        </is>
      </c>
      <c r="I91" s="15" t="inlineStr">
        <is>
          <t xml:space="preserve">✓</t>
        </is>
      </c>
      <c r="J91" s="15" t="inlineStr">
        <is>
          <t xml:space="preserve">✓</t>
        </is>
      </c>
      <c r="K91" s="15" t="inlineStr">
        <is>
          <t xml:space="preserve">✓</t>
        </is>
      </c>
      <c r="L91" s="15" t="inlineStr">
        <is>
          <t xml:space="preserve">✓</t>
        </is>
      </c>
      <c r="M91" s="15" t="inlineStr">
        <is>
          <t xml:space="preserve">✓</t>
        </is>
      </c>
      <c r="N91" s="15" t="inlineStr">
        <is>
          <t xml:space="preserve">✓</t>
        </is>
      </c>
      <c r="O91" s="15" t="inlineStr">
        <is>
          <t xml:space="preserve">✓</t>
        </is>
      </c>
      <c r="P91" s="15" t="inlineStr">
        <is>
          <t xml:space="preserve">✗</t>
        </is>
      </c>
      <c r="Q91" s="15" t="inlineStr">
        <is>
          <t xml:space="preserve">✗</t>
        </is>
      </c>
      <c r="R91" s="15" t="inlineStr">
        <is>
          <t xml:space="preserve">✓</t>
        </is>
      </c>
      <c r="S91" s="15" t="inlineStr">
        <is>
          <t xml:space="preserve">✗</t>
        </is>
      </c>
      <c r="T91" s="15" t="inlineStr">
        <is>
          <t xml:space="preserve">✗</t>
        </is>
      </c>
      <c r="U91" s="15" t="inlineStr">
        <is>
          <t xml:space="preserve">2</t>
        </is>
      </c>
      <c r="V91" s="15" t="inlineStr">
        <is>
          <t xml:space="preserve">197-17-K/26; 197-17-M/26</t>
        </is>
      </c>
    </row>
    <row r="92">
      <c r="A92" s="15" t="inlineStr">
        <is>
          <t xml:space="preserve">OPM1024-01</t>
        </is>
      </c>
      <c r="B92" s="15" t="inlineStr">
        <is>
          <t xml:space="preserve">— not assigned —</t>
        </is>
      </c>
      <c r="C92" s="15" t="inlineStr">
        <is>
          <t xml:space="preserve">Orange Punch Mimosa</t>
        </is>
      </c>
      <c r="D92" s="15" t="inlineStr">
        <is>
          <t xml:space="preserve">—</t>
        </is>
      </c>
      <c r="E92" s="15" t="inlineStr">
        <is>
          <t xml:space="preserve">✗ TESTING REQUIRED</t>
        </is>
      </c>
      <c r="F92" s="15" t="inlineStr">
        <is>
          <t xml:space="preserve">3</t>
        </is>
      </c>
      <c r="G92" s="15" t="inlineStr">
        <is>
          <t xml:space="preserve">9</t>
        </is>
      </c>
      <c r="H92" s="15" t="inlineStr">
        <is>
          <t xml:space="preserve">0</t>
        </is>
      </c>
      <c r="I92" s="15" t="inlineStr">
        <is>
          <t xml:space="preserve">✗</t>
        </is>
      </c>
      <c r="J92" s="15" t="inlineStr">
        <is>
          <t xml:space="preserve">✗</t>
        </is>
      </c>
      <c r="K92" s="15" t="inlineStr">
        <is>
          <t xml:space="preserve">○</t>
        </is>
      </c>
      <c r="L92" s="15" t="inlineStr">
        <is>
          <t xml:space="preserve">○</t>
        </is>
      </c>
      <c r="M92" s="15" t="inlineStr">
        <is>
          <t xml:space="preserve">○</t>
        </is>
      </c>
      <c r="N92" s="15" t="inlineStr">
        <is>
          <t xml:space="preserve">○</t>
        </is>
      </c>
      <c r="O92" s="15" t="inlineStr">
        <is>
          <t xml:space="preserve">✗</t>
        </is>
      </c>
      <c r="P92" s="15" t="inlineStr">
        <is>
          <t xml:space="preserve">○</t>
        </is>
      </c>
      <c r="Q92" s="15" t="inlineStr">
        <is>
          <t xml:space="preserve">○</t>
        </is>
      </c>
      <c r="R92" s="15" t="inlineStr">
        <is>
          <t xml:space="preserve">○</t>
        </is>
      </c>
      <c r="S92" s="15" t="inlineStr">
        <is>
          <t xml:space="preserve">○</t>
        </is>
      </c>
      <c r="T92" s="15" t="inlineStr">
        <is>
          <t xml:space="preserve">○</t>
        </is>
      </c>
      <c r="U92" s="15" t="inlineStr">
        <is>
          <t xml:space="preserve">3</t>
        </is>
      </c>
      <c r="V92" s="15" t="inlineStr">
        <is>
          <t xml:space="preserve">2156/2025; 407/0745/25; ППК25117</t>
        </is>
      </c>
    </row>
  </sheetData>
  <pageMargins bottom="0.4" footer="0.0" header="0.0" left="0.3" right="0.3" top="0.4"/>
</worksheet>
</file>

<file path=xl/worksheets/sheetX2.xml><?xml version="1.0" encoding="utf-8"?>
<worksheet xmlns="http://schemas.openxmlformats.org/spreadsheetml/2006/main" xmlns:r="http://schemas.openxmlformats.org/officeDocument/2006/relationships">
  <sheetPr>
    <pageSetUpPr fitToPage="1"/>
  </sheetPr>
  <sheetViews>
    <sheetView workbookViewId="0">
      <pane ySplit="1.0" topLeftCell="A2" activePane="bottomLeft" state="frozen"/>
    </sheetView>
  </sheetViews>
  <sheetFormatPr defaultColWidth="14.43" defaultRowHeight="15.0"/>
  <cols>
    <col customWidth="1" min="1" max="1" width="54"/>
    <col customWidth="1" min="2" max="2" width="20"/>
    <col customWidth="1" min="3" max="3" width="64"/>
  </cols>
  <sheetData>
    <row r="1">
      <c r="A1" s="4" t="inlineStr">
        <is>
          <t xml:space="preserve">Dashboard v19 — 09.09.2026</t>
        </is>
      </c>
    </row>
    <row r="2">
      <c r="A2" s="15" t="inlineStr">
        <is>
          <t xml:space="preserve">Rebuilt from the certificate register. Supersedes "Summary Dashboard", which is a v13-era snapshot and disagrees with Batch Coverage in this same workbook.</t>
        </is>
      </c>
      <c r="B2" s="15"/>
      <c r="C2" s="15"/>
    </row>
    <row r="3"/>
    <row r="4">
      <c r="A4" s="4" t="inlineStr">
        <is>
          <t xml:space="preserve">BATCHES</t>
        </is>
      </c>
    </row>
    <row r="5">
      <c r="A5" s="15" t="inlineStr">
        <is>
          <t xml:space="preserve">Batches on Batch Coverage</t>
        </is>
      </c>
      <c r="B5" s="15" t="inlineStr">
        <is>
          <t xml:space="preserve">89</t>
        </is>
      </c>
      <c r="C5" s="15"/>
    </row>
    <row r="6">
      <c r="A6" s="15" t="inlineStr">
        <is>
          <t xml:space="preserve">Ready to cite — 12 of 12 named</t>
        </is>
      </c>
      <c r="B6" s="15" t="inlineStr">
        <is>
          <t xml:space="preserve">51</t>
        </is>
      </c>
      <c r="C6" s="15"/>
    </row>
    <row r="7">
      <c r="A7" s="15" t="inlineStr">
        <is>
          <t xml:space="preserve">References missing, nothing to test</t>
        </is>
      </c>
      <c r="B7" s="15" t="inlineStr">
        <is>
          <t xml:space="preserve">19</t>
        </is>
      </c>
      <c r="C7" s="15"/>
    </row>
    <row r="8">
      <c r="A8" s="15" t="inlineStr">
        <is>
          <t xml:space="preserve">Testing required</t>
        </is>
      </c>
      <c r="B8" s="15" t="inlineStr">
        <is>
          <t xml:space="preserve">19</t>
        </is>
      </c>
      <c r="C8" s="15"/>
    </row>
    <row r="9"/>
    <row r="10">
      <c r="A10" s="4" t="inlineStr">
        <is>
          <t xml:space="preserve">DETERMINATIONS  (89 batches × 12)</t>
        </is>
      </c>
    </row>
    <row r="11">
      <c r="A11" s="15" t="inlineStr">
        <is>
          <t xml:space="preserve">Certificate cited</t>
        </is>
      </c>
      <c r="B11" s="15" t="inlineStr">
        <is>
          <t xml:space="preserve">839</t>
        </is>
      </c>
      <c r="C11" s="15"/>
    </row>
    <row r="12">
      <c r="A12" s="15" t="inlineStr">
        <is>
          <t xml:space="preserve">On file, not recorded</t>
        </is>
      </c>
      <c r="B12" s="15" t="inlineStr">
        <is>
          <t xml:space="preserve">139</t>
        </is>
      </c>
      <c r="C12" s="15"/>
    </row>
    <row r="13">
      <c r="A13" s="15" t="inlineStr">
        <is>
          <t xml:space="preserve">No certificate</t>
        </is>
      </c>
      <c r="B13" s="15" t="inlineStr">
        <is>
          <t xml:space="preserve">90</t>
        </is>
      </c>
      <c r="C13" s="15"/>
    </row>
    <row r="14"/>
    <row r="15">
      <c r="A15" s="4" t="inlineStr">
        <is>
          <t xml:space="preserve">BY DETERMINATION</t>
        </is>
      </c>
    </row>
    <row r="16">
      <c r="A16" s="4" t="inlineStr">
        <is>
          <t xml:space="preserve">Determination</t>
        </is>
      </c>
      <c r="B16" s="4" t="inlineStr">
        <is>
          <t xml:space="preserve">cited</t>
        </is>
      </c>
      <c r="C16" s="4" t="inlineStr">
        <is>
          <t xml:space="preserve">on file</t>
        </is>
      </c>
      <c r="D16" s="4" t="inlineStr">
        <is>
          <t xml:space="preserve">no certificate</t>
        </is>
      </c>
    </row>
    <row r="17">
      <c r="A17" s="15" t="inlineStr">
        <is>
          <t xml:space="preserve">1 Identification A</t>
        </is>
      </c>
      <c r="B17" s="15" t="inlineStr">
        <is>
          <t xml:space="preserve">80</t>
        </is>
      </c>
      <c r="C17" s="15" t="inlineStr">
        <is>
          <t xml:space="preserve">0</t>
        </is>
      </c>
      <c r="D17" s="15" t="inlineStr">
        <is>
          <t xml:space="preserve">9</t>
        </is>
      </c>
    </row>
    <row r="18">
      <c r="A18" s="15" t="inlineStr">
        <is>
          <t xml:space="preserve">2 Identification B</t>
        </is>
      </c>
      <c r="B18" s="15" t="inlineStr">
        <is>
          <t xml:space="preserve">80</t>
        </is>
      </c>
      <c r="C18" s="15" t="inlineStr">
        <is>
          <t xml:space="preserve">0</t>
        </is>
      </c>
      <c r="D18" s="15" t="inlineStr">
        <is>
          <t xml:space="preserve">9</t>
        </is>
      </c>
    </row>
    <row r="19">
      <c r="A19" s="15" t="inlineStr">
        <is>
          <t xml:space="preserve">3 Identification C</t>
        </is>
      </c>
      <c r="B19" s="15" t="inlineStr">
        <is>
          <t xml:space="preserve">76</t>
        </is>
      </c>
      <c r="C19" s="15" t="inlineStr">
        <is>
          <t xml:space="preserve">10</t>
        </is>
      </c>
      <c r="D19" s="15" t="inlineStr">
        <is>
          <t xml:space="preserve">3</t>
        </is>
      </c>
    </row>
    <row r="20">
      <c r="A20" s="15" t="inlineStr">
        <is>
          <t xml:space="preserve">4 Total Δ⁹-THC</t>
        </is>
      </c>
      <c r="B20" s="15" t="inlineStr">
        <is>
          <t xml:space="preserve">76</t>
        </is>
      </c>
      <c r="C20" s="15" t="inlineStr">
        <is>
          <t xml:space="preserve">10</t>
        </is>
      </c>
      <c r="D20" s="15" t="inlineStr">
        <is>
          <t xml:space="preserve">3</t>
        </is>
      </c>
    </row>
    <row r="21">
      <c r="A21" s="15" t="inlineStr">
        <is>
          <t xml:space="preserve">5 Total CBD</t>
        </is>
      </c>
      <c r="B21" s="15" t="inlineStr">
        <is>
          <t xml:space="preserve">76</t>
        </is>
      </c>
      <c r="C21" s="15" t="inlineStr">
        <is>
          <t xml:space="preserve">10</t>
        </is>
      </c>
      <c r="D21" s="15" t="inlineStr">
        <is>
          <t xml:space="preserve">3</t>
        </is>
      </c>
    </row>
    <row r="22">
      <c r="A22" s="15" t="inlineStr">
        <is>
          <t xml:space="preserve">6 Total CBN</t>
        </is>
      </c>
      <c r="B22" s="15" t="inlineStr">
        <is>
          <t xml:space="preserve">76</t>
        </is>
      </c>
      <c r="C22" s="15" t="inlineStr">
        <is>
          <t xml:space="preserve">10</t>
        </is>
      </c>
      <c r="D22" s="15" t="inlineStr">
        <is>
          <t xml:space="preserve">3</t>
        </is>
      </c>
    </row>
    <row r="23">
      <c r="A23" s="15" t="inlineStr">
        <is>
          <t xml:space="preserve">7 Foreign matter</t>
        </is>
      </c>
      <c r="B23" s="15" t="inlineStr">
        <is>
          <t xml:space="preserve">80</t>
        </is>
      </c>
      <c r="C23" s="15" t="inlineStr">
        <is>
          <t xml:space="preserve">0</t>
        </is>
      </c>
      <c r="D23" s="15" t="inlineStr">
        <is>
          <t xml:space="preserve">9</t>
        </is>
      </c>
    </row>
    <row r="24">
      <c r="A24" s="15" t="inlineStr">
        <is>
          <t xml:space="preserve">8 Loss on drying</t>
        </is>
      </c>
      <c r="B24" s="15" t="inlineStr">
        <is>
          <t xml:space="preserve">70</t>
        </is>
      </c>
      <c r="C24" s="15" t="inlineStr">
        <is>
          <t xml:space="preserve">6</t>
        </is>
      </c>
      <c r="D24" s="15" t="inlineStr">
        <is>
          <t xml:space="preserve">13</t>
        </is>
      </c>
    </row>
    <row r="25">
      <c r="A25" s="15" t="inlineStr">
        <is>
          <t xml:space="preserve">9 Microbiological purity</t>
        </is>
      </c>
      <c r="B25" s="15" t="inlineStr">
        <is>
          <t xml:space="preserve">62</t>
        </is>
      </c>
      <c r="C25" s="15" t="inlineStr">
        <is>
          <t xml:space="preserve">20</t>
        </is>
      </c>
      <c r="D25" s="15" t="inlineStr">
        <is>
          <t xml:space="preserve">7</t>
        </is>
      </c>
    </row>
    <row r="26">
      <c r="A26" s="15" t="inlineStr">
        <is>
          <t xml:space="preserve">10 Mycotoxins</t>
        </is>
      </c>
      <c r="B26" s="15" t="inlineStr">
        <is>
          <t xml:space="preserve">59</t>
        </is>
      </c>
      <c r="C26" s="15" t="inlineStr">
        <is>
          <t xml:space="preserve">23</t>
        </is>
      </c>
      <c r="D26" s="15" t="inlineStr">
        <is>
          <t xml:space="preserve">7</t>
        </is>
      </c>
    </row>
    <row r="27">
      <c r="A27" s="15" t="inlineStr">
        <is>
          <t xml:space="preserve">11 Heavy metals</t>
        </is>
      </c>
      <c r="B27" s="15" t="inlineStr">
        <is>
          <t xml:space="preserve">52</t>
        </is>
      </c>
      <c r="C27" s="15" t="inlineStr">
        <is>
          <t xml:space="preserve">25</t>
        </is>
      </c>
      <c r="D27" s="15" t="inlineStr">
        <is>
          <t xml:space="preserve">12</t>
        </is>
      </c>
    </row>
    <row r="28">
      <c r="A28" s="15" t="inlineStr">
        <is>
          <t xml:space="preserve">12 Pesticide residues</t>
        </is>
      </c>
      <c r="B28" s="15" t="inlineStr">
        <is>
          <t xml:space="preserve">52</t>
        </is>
      </c>
      <c r="C28" s="15" t="inlineStr">
        <is>
          <t xml:space="preserve">25</t>
        </is>
      </c>
      <c r="D28" s="15" t="inlineStr">
        <is>
          <t xml:space="preserve">12</t>
        </is>
      </c>
    </row>
    <row r="29"/>
    <row r="30">
      <c r="A30" s="4" t="inlineStr">
        <is>
          <t xml:space="preserve">EVIDENCE BASE</t>
        </is>
      </c>
    </row>
    <row r="31">
      <c r="A31" s="15" t="inlineStr">
        <is>
          <t xml:space="preserve">PDF certificates in Drive · eCoA_DATABASE</t>
        </is>
      </c>
      <c r="B31" s="15" t="inlineStr">
        <is>
          <t xml:space="preserve">387</t>
        </is>
      </c>
      <c r="C31" s="15" t="inlineStr">
        <is>
          <t xml:space="preserve">verified name-for-name against the register on 09.09.2026 — none missing, none extra</t>
        </is>
      </c>
    </row>
    <row r="32">
      <c r="A32" s="15" t="inlineStr">
        <is>
          <t xml:space="preserve">Split manifests also in that folder</t>
        </is>
      </c>
      <c r="B32" s="15" t="inlineStr">
        <is>
          <t xml:space="preserve">2</t>
        </is>
      </c>
      <c r="C32" s="15" t="inlineStr">
        <is>
          <t xml:space="preserve">_SPLIT_REGISTER_2026-09-09.csv and _FHM_220_REGISTER_2026-09-09.csv</t>
        </is>
      </c>
    </row>
    <row r="33">
      <c r="A33" s="15" t="inlineStr">
        <is>
          <t xml:space="preserve">In-house iCoA-PP certificates still in eCoA_OLD</t>
        </is>
      </c>
      <c r="B33" s="15" t="inlineStr">
        <is>
          <t xml:space="preserve">41</t>
        </is>
      </c>
      <c r="C33" s="15" t="inlineStr">
        <is>
          <t xml:space="preserve">cited by the tracker but not present in eCoA_DATABASE</t>
        </is>
      </c>
    </row>
    <row r="34"/>
    <row r="35">
      <c r="A35" s="4" t="inlineStr">
        <is>
          <t xml:space="preserve">WHAT THE OLD "Summary Dashboard" SHEET SAYS, AND WHY IT IS WRONG</t>
        </is>
      </c>
    </row>
    <row r="36">
      <c r="A36" s="4" t="inlineStr">
        <is>
          <t xml:space="preserve">Figure</t>
        </is>
      </c>
      <c r="B36" s="4" t="inlineStr">
        <is>
          <t xml:space="preserve">Summary Dashboard</t>
        </is>
      </c>
      <c r="C36" s="4" t="inlineStr">
        <is>
          <t xml:space="preserve">Correct value</t>
        </is>
      </c>
    </row>
    <row r="37">
      <c r="A37" s="15" t="inlineStr">
        <is>
          <t xml:space="preserve">Batches</t>
        </is>
      </c>
      <c r="B37" s="15" t="inlineStr">
        <is>
          <t xml:space="preserve">80</t>
        </is>
      </c>
      <c r="C37" s="15" t="inlineStr">
        <is>
          <t xml:space="preserve">89</t>
        </is>
      </c>
    </row>
    <row r="38">
      <c r="A38" s="15" t="inlineStr">
        <is>
          <t xml:space="preserve">eCoA documents</t>
        </is>
      </c>
      <c r="B38" s="15" t="inlineStr">
        <is>
          <t xml:space="preserve">283</t>
        </is>
      </c>
      <c r="C38" s="15" t="inlineStr">
        <is>
          <t xml:space="preserve">387</t>
        </is>
      </c>
    </row>
    <row r="39">
      <c r="A39" s="15" t="inlineStr">
        <is>
          <t xml:space="preserve">Complete</t>
        </is>
      </c>
      <c r="B39" s="15" t="inlineStr">
        <is>
          <t xml:space="preserve">46</t>
        </is>
      </c>
      <c r="C39" s="15" t="inlineStr">
        <is>
          <t xml:space="preserve">51</t>
        </is>
      </c>
    </row>
    <row r="40">
      <c r="A40" s="15" t="inlineStr">
        <is>
          <t xml:space="preserve">Heavy metals missing</t>
        </is>
      </c>
      <c r="B40" s="15" t="inlineStr">
        <is>
          <t xml:space="preserve">28</t>
        </is>
      </c>
      <c r="C40" s="15" t="inlineStr">
        <is>
          <t xml:space="preserve">37</t>
        </is>
      </c>
    </row>
    <row r="41">
      <c r="A41" s="15" t="inlineStr">
        <is>
          <t xml:space="preserve">Pesticides missing</t>
        </is>
      </c>
      <c r="B41" s="15" t="inlineStr">
        <is>
          <t xml:space="preserve">28</t>
        </is>
      </c>
      <c r="C41" s="15" t="inlineStr">
        <is>
          <t xml:space="preserve">37</t>
        </is>
      </c>
    </row>
    <row r="42">
      <c r="A42" s="15" t="inlineStr">
        <is>
          <t xml:space="preserve">Microbiology missing</t>
        </is>
      </c>
      <c r="B42" s="15" t="inlineStr">
        <is>
          <t xml:space="preserve">18</t>
        </is>
      </c>
      <c r="C42" s="15" t="inlineStr">
        <is>
          <t xml:space="preserve">27</t>
        </is>
      </c>
    </row>
    <row r="43">
      <c r="A43" s="15" t="inlineStr">
        <is>
          <t xml:space="preserve">Mycotoxins missing</t>
        </is>
      </c>
      <c r="B43" s="15" t="inlineStr">
        <is>
          <t xml:space="preserve">21</t>
        </is>
      </c>
      <c r="C43" s="15" t="inlineStr">
        <is>
          <t xml:space="preserve">30</t>
        </is>
      </c>
    </row>
    <row r="44">
      <c r="A44" s="15" t="inlineStr">
        <is>
          <t xml:space="preserve">Identification A missing</t>
        </is>
      </c>
      <c r="B44" s="15" t="inlineStr">
        <is>
          <t xml:space="preserve">0</t>
        </is>
      </c>
      <c r="C44" s="15" t="inlineStr">
        <is>
          <t xml:space="preserve">9</t>
        </is>
      </c>
    </row>
  </sheetData>
  <pageMargins bottom="0.4" footer="0.0" header="0.0" left="0.3" right="0.3" top="0.4"/>
</worksheet>
</file>

<file path=xl/worksheets/sheetX3.xml><?xml version="1.0" encoding="utf-8"?>
<worksheet xmlns="http://schemas.openxmlformats.org/spreadsheetml/2006/main" xmlns:r="http://schemas.openxmlformats.org/officeDocument/2006/relationships">
  <sheetPr>
    <pageSetUpPr fitToPage="1"/>
  </sheetPr>
  <sheetViews>
    <sheetView workbookViewId="0">
      <pane ySplit="1.0" topLeftCell="A2" activePane="bottomLeft" state="frozen"/>
    </sheetView>
  </sheetViews>
  <sheetFormatPr defaultColWidth="14.43" defaultRowHeight="15.0"/>
  <cols>
    <col customWidth="1" min="1" max="1" width="46"/>
    <col customWidth="1" min="2" max="2" width="26"/>
    <col customWidth="1" min="3" max="3" width="110"/>
  </cols>
  <sheetData>
    <row r="1">
      <c r="A1" s="4" t="inlineStr">
        <is>
          <t xml:space="preserve">Ledger and workbook verification — 09.09.2026</t>
        </is>
      </c>
    </row>
    <row r="2">
      <c r="A2" s="15" t="inlineStr">
        <is>
          <t xml:space="preserve">Scope</t>
        </is>
      </c>
      <c r="B2" s="15" t="inlineStr">
        <is>
          <t xml:space="preserve">Every count, value and reference on the Tranche 1 &amp; 2 Certificate Ledger, and the summary figures in CoQ_Analysis_Master_v18, re-derived from the certificate register, the CoQ Parameter Tracker and the Drive folder itself.</t>
        </is>
      </c>
      <c r="C2" s="15"/>
    </row>
    <row r="3"/>
    <row r="4">
      <c r="A4" s="4" t="inlineStr">
        <is>
          <t xml:space="preserve">WHAT HELD</t>
        </is>
      </c>
    </row>
    <row r="5">
      <c r="A5" s="15" t="inlineStr">
        <is>
          <t xml:space="preserve">eCoA_DATABASE contents</t>
        </is>
      </c>
      <c r="B5" s="15" t="inlineStr">
        <is>
          <t xml:space="preserve">387 PDFs</t>
        </is>
      </c>
      <c r="C5" s="15" t="inlineStr">
        <is>
          <t xml:space="preserve">Exactly the 387 filenames of the split + FHM 220 + eCoA_OLD recovery registers. Nothing missing, nothing extra.</t>
        </is>
      </c>
    </row>
    <row r="6">
      <c r="A6" s="15" t="inlineStr">
        <is>
          <t xml:space="preserve">Batch and cell counts</t>
        </is>
      </c>
      <c r="B6" s="15" t="inlineStr">
        <is>
          <t xml:space="preserve">50 lots (21 + 29), 600 cells</t>
        </is>
      </c>
      <c r="C6" s="15" t="inlineStr">
        <is>
          <t xml:space="preserve">confirmed</t>
        </is>
      </c>
    </row>
    <row r="7">
      <c r="A7" s="15" t="inlineStr">
        <is>
          <t xml:space="preserve">Cells with a citable certificate</t>
        </is>
      </c>
      <c r="B7" s="15" t="inlineStr">
        <is>
          <t xml:space="preserve">448</t>
        </is>
      </c>
      <c r="C7" s="15" t="inlineStr">
        <is>
          <t xml:space="preserve">confirmed</t>
        </is>
      </c>
    </row>
    <row r="8">
      <c r="A8" s="15" t="inlineStr">
        <is>
          <t xml:space="preserve">Farmahem series counts</t>
        </is>
      </c>
      <c r="B8" s="15" t="inlineStr">
        <is>
          <t xml:space="preserve">all six series</t>
        </is>
      </c>
      <c r="C8" s="15" t="inlineStr">
        <is>
          <t xml:space="preserve">031/26 5K+5LoD · 051/26 6K+6LoD · 100/26 4K+4LoD · 197/26 21K+21M · 220/26 32K+0M · 276/25 1M — the FHM Retest Pairing sheet is exact</t>
        </is>
      </c>
    </row>
    <row r="9">
      <c r="A9" s="15" t="inlineStr">
        <is>
          <t xml:space="preserve">Tranche 1 fully retested at Farmahem</t>
        </is>
      </c>
      <c r="B9" s="15" t="inlineStr">
        <is>
          <t xml:space="preserve">21 potency + 21 mycotoxins</t>
        </is>
      </c>
      <c r="C9" s="15" t="inlineStr">
        <is>
          <t xml:space="preserve">confirmed; 197-5-M/26 came from the eCoA_OLD recovery, the other 20 from the September split</t>
        </is>
      </c>
    </row>
    <row r="10"/>
    <row r="11">
      <c r="A11" s="4" t="inlineStr">
        <is>
          <t xml:space="preserve">WHAT WAS WRONG — LEDGER REVISION A</t>
        </is>
      </c>
    </row>
    <row r="12">
      <c r="A12" s="15" t="inlineStr">
        <is>
          <t xml:space="preserve">36 cells named the wrong document</t>
        </is>
      </c>
      <c r="B12" s="15" t="inlineStr">
        <is>
          <t xml:space="preserve">corrected</t>
        </is>
      </c>
      <c r="C12" s="15" t="inlineStr">
        <is>
          <t xml:space="preserve">The cell took the first tracker entry for the determination, and "not on this certificate" was being read as a result. 26 of the 36 were Identification B citing the CNP certificate instead of the in-house iCoA.</t>
        </is>
      </c>
    </row>
    <row r="13">
      <c r="A13" s="15" t="inlineStr">
        <is>
          <t xml:space="preserve">Distinct certificates cited</t>
        </is>
      </c>
      <c r="B13" s="15" t="inlineStr">
        <is>
          <t xml:space="preserve">151 → 155</t>
        </is>
      </c>
      <c r="C13" s="15" t="inlineStr">
        <is>
          <t xml:space="preserve">consequence of the above</t>
        </is>
      </c>
    </row>
    <row r="14">
      <c r="A14" s="15" t="inlineStr">
        <is>
          <t xml:space="preserve">Potency chart</t>
        </is>
      </c>
      <c r="B14" s="15" t="inlineStr">
        <is>
          <t xml:space="preserve">3 batches wrong, 7 missing</t>
        </is>
      </c>
      <c r="C14" s="15" t="inlineStr">
        <is>
          <t xml:space="preserve">P060422 was compared against ППК26113, a certificate that names P060412; its own certificate ППК26111 gives a 1.93 spread, not 3.45. P060362 has no release assay at all. P050072 was shown at 2.32, hiding a 13.31-point spread across five figures. Seven Tranche 1 batches with spreads of 2.35 to 10.63 were absent because only the 220 series was treated as a retest.</t>
        </is>
      </c>
    </row>
    <row r="15">
      <c r="A15" s="15" t="inlineStr">
        <is>
          <t xml:space="preserve">Coverage states</t>
        </is>
      </c>
      <c r="B15" s="15" t="inlineStr">
        <is>
          <t xml:space="preserve">448/104/48 → 448/99/53</t>
        </is>
      </c>
      <c r="C15" s="15" t="inlineStr">
        <is>
          <t xml:space="preserve">Revision A took the workbook ticks as the authority for whether a certificate exists. SJ092501 micro/mycotox/metals/pesticides were shown untested while 9/0012/26 and 85/2026 are in the database; the same for mycotoxins on PM112501, CC012603 and GRC102501/2. Metals and pesticides on JD012603/01 were shown covered, and no IJZ chemistry certificate exists for P060362.</t>
        </is>
      </c>
    </row>
    <row r="16">
      <c r="A16" s="15" t="inlineStr">
        <is>
          <t xml:space="preserve">Evidence base</t>
        </is>
      </c>
      <c r="B16" s="15" t="inlineStr">
        <is>
          <t xml:space="preserve">41 of 155 cited documents are not in eCoA_DATABASE</t>
        </is>
      </c>
      <c r="C16" s="15" t="inlineStr">
        <is>
          <t xml:space="preserve">all in-house iCoA-PP, still in eCoA_OLD; 120 cells on 40 batches rest on them</t>
        </is>
      </c>
    </row>
    <row r="17"/>
    <row r="18">
      <c r="A18" s="4" t="inlineStr">
        <is>
          <t xml:space="preserve">WHAT WAS WRONG — WORKBOOK v18</t>
        </is>
      </c>
    </row>
    <row r="19">
      <c r="A19" s="15" t="inlineStr">
        <is>
          <t xml:space="preserve">Batch Coverage v16 has no Identification A column</t>
        </is>
      </c>
      <c r="B19" s="15" t="inlineStr">
        <is>
          <t xml:space="preserve">11 determination columns for a 12-determination specification</t>
        </is>
      </c>
      <c r="C19" s="15" t="inlineStr">
        <is>
          <t xml:space="preserve">The "Missing (n)" count and the "Missing parameters" text both include #1 Ident. A, so on 9 rows the stated count is one higher than the ticks can show. Batch Coverage v19 restores the column.</t>
        </is>
      </c>
    </row>
    <row r="20">
      <c r="A20" s="15" t="inlineStr">
        <is>
          <t xml:space="preserve">Summary Dashboard is a v13-era snapshot</t>
        </is>
      </c>
      <c r="B20" s="15" t="inlineStr">
        <is>
          <t xml:space="preserve">80 batches, 283 documents, 46 complete</t>
        </is>
      </c>
      <c r="C20" s="15" t="inlineStr">
        <is>
          <t xml:space="preserve">Batch Coverage in the same workbook holds 89 batches against 387 documents. Every missing-parameter frequency on that sheet is wrong. Dashboard v19 replaces it.</t>
        </is>
      </c>
    </row>
    <row r="21">
      <c r="A21" s="15" t="inlineStr">
        <is>
          <t xml:space="preserve">CoQ Parameter Tracker v13 is stale</t>
        </is>
      </c>
      <c r="B21" s="15" t="inlineStr">
        <is>
          <t xml:space="preserve">already flagged on Truth Check 09.09</t>
        </is>
      </c>
      <c r="C21" s="15" t="inlineStr">
        <is>
          <t xml:space="preserve">It has not absorbed the 155 certificates added on 09.09.2026. That is the whole of the "on file, not recorded" column.</t>
        </is>
      </c>
    </row>
    <row r="22"/>
    <row r="23">
      <c r="A23" s="4" t="inlineStr">
        <is>
          <t xml:space="preserve">OPEN QUESTIONS FOR THE QP</t>
        </is>
      </c>
    </row>
    <row r="24">
      <c r="A24" s="15" t="inlineStr">
        <is>
          <t xml:space="preserve">Same-day certificate pairs</t>
        </is>
      </c>
      <c r="B24" s="15" t="inlineStr">
        <is>
          <t xml:space="preserve">P050022, P050072, P060212</t>
        </is>
      </c>
      <c r="C24" s="15" t="inlineStr">
        <is>
          <t xml:space="preserve">Two CNP certificates issued the same day to the same lot, roughly 10 % w/w apart: ППК26032/ППК26033, ППК26034/ППК26035, ППК26063/ППК26065. Sampling or transcription — not analytical.</t>
        </is>
      </c>
    </row>
    <row r="25">
      <c r="A25" s="15" t="inlineStr">
        <is>
          <t xml:space="preserve">Roll-up rows</t>
        </is>
      </c>
      <c r="B25" s="15" t="inlineStr">
        <is>
          <t xml:space="preserve">GRC102501, JD012603</t>
        </is>
      </c>
      <c r="C25" s="15" t="inlineStr">
        <is>
          <t xml:space="preserve">The certificates resolve the split (ППК26113 → P060412, ППК26111 → P060422; P060362 has no CNP assay) but the workbook keeps one row.</t>
        </is>
      </c>
    </row>
    <row r="26">
      <c r="A26" s="15" t="inlineStr">
        <is>
          <t xml:space="preserve">Key transposition</t>
        </is>
      </c>
      <c r="B26" s="15" t="inlineStr">
        <is>
          <t xml:space="preserve">P050042</t>
        </is>
      </c>
      <c r="C26" s="15" t="inlineStr">
        <is>
          <t xml:space="preserve">OMP1024_01 in the workbook, OPM1024_01 on all three certificates. Hides five coverage marks and a 2.76 potency spread.</t>
        </is>
      </c>
    </row>
    <row r="27">
      <c r="A27" s="15" t="inlineStr">
        <is>
          <t xml:space="preserve">Untitled in-house report</t>
        </is>
      </c>
      <c r="B27" s="15" t="inlineStr">
        <is>
          <t xml:space="preserve">OPM1024</t>
        </is>
      </c>
      <c r="C27" s="15" t="inlineStr">
        <is>
          <t xml:space="preserve">Identity rests on a Report of Analysis of 23.04.2025 with no document code — EudraLex Vol. 4 Ch. 4 §4.9.</t>
        </is>
      </c>
    </row>
  </sheetData>
  <pageMargins bottom="0.4" footer="0.0" header="0.0" left="0.3" right="0.3" top="0.4"/>
</worksheet>
</file>

<file path=xl/worksheets/sheetY1.xml><?xml version="1.0" encoding="utf-8"?>
<worksheet xmlns="http://schemas.openxmlformats.org/spreadsheetml/2006/main" xmlns:r="http://schemas.openxmlformats.org/officeDocument/2006/relationships">
  <sheetPr>
    <pageSetUpPr fitToPage="1"/>
  </sheetPr>
  <sheetViews>
    <sheetView workbookViewId="0">
      <pane ySplit="3.0" topLeftCell="A4" activePane="bottomLeft" state="frozen"/>
    </sheetView>
  </sheetViews>
  <sheetFormatPr defaultColWidth="14.43" defaultRowHeight="15.0"/>
  <cols>
    <col customWidth="1" min="1" max="1" width="8"/>
    <col customWidth="1" min="2" max="2" width="14"/>
    <col customWidth="1" min="3" max="3" width="10"/>
    <col customWidth="1" min="4" max="4" width="20"/>
    <col customWidth="1" min="5" max="5" width="26"/>
    <col customWidth="1" min="6" max="6" width="19"/>
    <col customWidth="1" min="7" max="7" width="26"/>
    <col customWidth="1" min="8" max="8" width="11"/>
    <col customWidth="1" min="9" max="9" width="10"/>
    <col customWidth="1" min="10" max="10" width="30"/>
    <col customWidth="1" min="11" max="11" width="30"/>
    <col customWidth="1" min="12" max="12" width="60"/>
    <col customWidth="1" min="13" max="13" width="50"/>
  </cols>
  <sheetData>
    <row r="1">
      <c r="A1" s="4" t="inlineStr">
        <is>
          <t xml:space="preserve">Cell resolution — every one of the 600 determinations of Tranche 1 and 2, resolved to a document, its location and its printed result. Rebuilt 09.09.2026.</t>
        </is>
      </c>
    </row>
    <row r="2"/>
    <row r="3">
      <c r="A3" s="4" t="inlineStr">
        <is>
          <t xml:space="preserve">Tranche</t>
        </is>
      </c>
      <c r="B3" s="4" t="inlineStr">
        <is>
          <t xml:space="preserve">Batch</t>
        </is>
      </c>
      <c r="C3" s="4" t="inlineStr">
        <is>
          <t xml:space="preserve">P lot</t>
        </is>
      </c>
      <c r="D3" s="4" t="inlineStr">
        <is>
          <t xml:space="preserve">Strain</t>
        </is>
      </c>
      <c r="E3" s="4" t="inlineStr">
        <is>
          <t xml:space="preserve">Determination</t>
        </is>
      </c>
      <c r="F3" s="4" t="inlineStr">
        <is>
          <t xml:space="preserve">State</t>
        </is>
      </c>
      <c r="G3" s="4" t="inlineStr">
        <is>
          <t xml:space="preserve">Document to cite</t>
        </is>
      </c>
      <c r="H3" s="4" t="inlineStr">
        <is>
          <t xml:space="preserve">Issued</t>
        </is>
      </c>
      <c r="I3" s="4" t="inlineStr">
        <is>
          <t xml:space="preserve">Laboratory</t>
        </is>
      </c>
      <c r="J3" s="4" t="inlineStr">
        <is>
          <t xml:space="preserve">Where the document is</t>
        </is>
      </c>
      <c r="K3" s="4" t="inlineStr">
        <is>
          <t xml:space="preserve">Blocked: document not issued</t>
        </is>
      </c>
      <c r="L3" s="4" t="inlineStr">
        <is>
          <t xml:space="preserve">What the document prints</t>
        </is>
      </c>
      <c r="M3" s="4" t="inlineStr">
        <is>
          <t xml:space="preserve">Other documents on file that also carry it</t>
        </is>
      </c>
    </row>
    <row r="4">
      <c r="A4" s="15" t="inlineStr">
        <is>
          <t xml:space="preserve">1</t>
        </is>
      </c>
      <c r="B4" s="15" t="inlineStr">
        <is>
          <t xml:space="preserve">BG1024</t>
        </is>
      </c>
      <c r="C4" s="15" t="inlineStr">
        <is>
          <t xml:space="preserve">—</t>
        </is>
      </c>
      <c r="D4" s="15" t="inlineStr">
        <is>
          <t xml:space="preserve">Blue Gelato</t>
        </is>
      </c>
      <c r="E4" s="15" t="inlineStr">
        <is>
          <t xml:space="preserve">1 Identification A — appearance</t>
        </is>
      </c>
      <c r="F4" s="15" t="inlineStr">
        <is>
          <t xml:space="preserve">CITED</t>
        </is>
      </c>
      <c r="G4" s="15" t="inlineStr">
        <is>
          <t xml:space="preserve">iCoA-PP_26-003</t>
        </is>
      </c>
      <c r="H4" s="15" t="inlineStr">
        <is>
          <t xml:space="preserve">07.03.2025</t>
        </is>
      </c>
      <c r="I4" s="15" t="inlineStr">
        <is>
          <t xml:space="preserve">PP</t>
        </is>
      </c>
      <c r="J4" s="15" t="inlineStr">
        <is>
          <t xml:space="preserve">planned, NOT ISSUED (2026-05-15)</t>
        </is>
      </c>
      <c r="K4" s="15" t="inlineStr">
        <is>
          <t xml:space="preserve">YES — the certificate has not been issued</t>
        </is>
      </c>
      <c r="L4" s="15" t="inlineStr">
        <is>
          <t xml:space="preserve">Conforms</t>
        </is>
      </c>
      <c r="M4" s="15"/>
    </row>
    <row r="5">
      <c r="A5" s="15" t="inlineStr">
        <is>
          <t xml:space="preserve">1</t>
        </is>
      </c>
      <c r="B5" s="15" t="inlineStr">
        <is>
          <t xml:space="preserve">BG1024</t>
        </is>
      </c>
      <c r="C5" s="15" t="inlineStr">
        <is>
          <t xml:space="preserve">—</t>
        </is>
      </c>
      <c r="D5" s="15" t="inlineStr">
        <is>
          <t xml:space="preserve">Blue Gelato</t>
        </is>
      </c>
      <c r="E5" s="15" t="inlineStr">
        <is>
          <t xml:space="preserve">2 Identification B — microscopy</t>
        </is>
      </c>
      <c r="F5" s="15" t="inlineStr">
        <is>
          <t xml:space="preserve">CITED</t>
        </is>
      </c>
      <c r="G5" s="15" t="inlineStr">
        <is>
          <t xml:space="preserve">iCoA-PP_26-003</t>
        </is>
      </c>
      <c r="H5" s="15" t="inlineStr">
        <is>
          <t xml:space="preserve">07.03.2025</t>
        </is>
      </c>
      <c r="I5" s="15" t="inlineStr">
        <is>
          <t xml:space="preserve">PP</t>
        </is>
      </c>
      <c r="J5" s="15" t="inlineStr">
        <is>
          <t xml:space="preserve">planned, NOT ISSUED (2026-05-15)</t>
        </is>
      </c>
      <c r="K5" s="15" t="inlineStr">
        <is>
          <t xml:space="preserve">YES — the certificate has not been issued</t>
        </is>
      </c>
      <c r="L5" s="15" t="inlineStr">
        <is>
          <t xml:space="preserve">Conforms</t>
        </is>
      </c>
      <c r="M5" s="15"/>
    </row>
    <row r="6">
      <c r="A6" s="15" t="inlineStr">
        <is>
          <t xml:space="preserve">1</t>
        </is>
      </c>
      <c r="B6" s="15" t="inlineStr">
        <is>
          <t xml:space="preserve">BG1024</t>
        </is>
      </c>
      <c r="C6" s="15" t="inlineStr">
        <is>
          <t xml:space="preserve">—</t>
        </is>
      </c>
      <c r="D6" s="15" t="inlineStr">
        <is>
          <t xml:space="preserve">Blue Gelato</t>
        </is>
      </c>
      <c r="E6" s="15" t="inlineStr">
        <is>
          <t xml:space="preserve">3 Identification C — HPLC</t>
        </is>
      </c>
      <c r="F6" s="15" t="inlineStr">
        <is>
          <t xml:space="preserve">CITED</t>
        </is>
      </c>
      <c r="G6" s="15" t="inlineStr">
        <is>
          <t xml:space="preserve">ППК25050</t>
        </is>
      </c>
      <c r="H6" s="15" t="inlineStr">
        <is>
          <t xml:space="preserve">26.02.2025</t>
        </is>
      </c>
      <c r="I6" s="15" t="inlineStr">
        <is>
          <t xml:space="preserve">CNP</t>
        </is>
      </c>
      <c r="J6" s="15" t="inlineStr">
        <is>
          <t xml:space="preserve">in eCoA_DATABASE</t>
        </is>
      </c>
      <c r="K6" s="15"/>
      <c r="L6" s="15" t="inlineStr">
        <is>
          <t xml:space="preserve">identity by the HPLC cannabinoid profile on this certificate</t>
        </is>
      </c>
      <c r="M6" s="15" t="inlineStr">
        <is>
          <t xml:space="preserve">197-1-K/26</t>
        </is>
      </c>
    </row>
    <row r="7">
      <c r="A7" s="15" t="inlineStr">
        <is>
          <t xml:space="preserve">1</t>
        </is>
      </c>
      <c r="B7" s="15" t="inlineStr">
        <is>
          <t xml:space="preserve">BG1024</t>
        </is>
      </c>
      <c r="C7" s="15" t="inlineStr">
        <is>
          <t xml:space="preserve">—</t>
        </is>
      </c>
      <c r="D7" s="15" t="inlineStr">
        <is>
          <t xml:space="preserve">Blue Gelato</t>
        </is>
      </c>
      <c r="E7" s="15" t="inlineStr">
        <is>
          <t xml:space="preserve">4 Assay — Total Δ⁹-THC</t>
        </is>
      </c>
      <c r="F7" s="15" t="inlineStr">
        <is>
          <t xml:space="preserve">CITED</t>
        </is>
      </c>
      <c r="G7" s="15" t="inlineStr">
        <is>
          <t xml:space="preserve">ППК25050</t>
        </is>
      </c>
      <c r="H7" s="15" t="inlineStr">
        <is>
          <t xml:space="preserve">26.02.2025</t>
        </is>
      </c>
      <c r="I7" s="15" t="inlineStr">
        <is>
          <t xml:space="preserve">CNP</t>
        </is>
      </c>
      <c r="J7" s="15" t="inlineStr">
        <is>
          <t xml:space="preserve">in eCoA_DATABASE</t>
        </is>
      </c>
      <c r="K7" s="15"/>
      <c r="L7" s="15" t="inlineStr">
        <is>
          <t xml:space="preserve">0.90 %; 23.83 %; 21.80 %</t>
        </is>
      </c>
      <c r="M7" s="15" t="inlineStr">
        <is>
          <t xml:space="preserve">197-1-K/26</t>
        </is>
      </c>
    </row>
    <row r="8">
      <c r="A8" s="15" t="inlineStr">
        <is>
          <t xml:space="preserve">1</t>
        </is>
      </c>
      <c r="B8" s="15" t="inlineStr">
        <is>
          <t xml:space="preserve">BG1024</t>
        </is>
      </c>
      <c r="C8" s="15" t="inlineStr">
        <is>
          <t xml:space="preserve">—</t>
        </is>
      </c>
      <c r="D8" s="15" t="inlineStr">
        <is>
          <t xml:space="preserve">Blue Gelato</t>
        </is>
      </c>
      <c r="E8" s="15" t="inlineStr">
        <is>
          <t xml:space="preserve">5 Assay — Total CBD</t>
        </is>
      </c>
      <c r="F8" s="15" t="inlineStr">
        <is>
          <t xml:space="preserve">CITED</t>
        </is>
      </c>
      <c r="G8" s="15" t="inlineStr">
        <is>
          <t xml:space="preserve">ППК25050</t>
        </is>
      </c>
      <c r="H8" s="15" t="inlineStr">
        <is>
          <t xml:space="preserve">26.02.2025</t>
        </is>
      </c>
      <c r="I8" s="15" t="inlineStr">
        <is>
          <t xml:space="preserve">CNP</t>
        </is>
      </c>
      <c r="J8" s="15" t="inlineStr">
        <is>
          <t xml:space="preserve">in eCoA_DATABASE</t>
        </is>
      </c>
      <c r="K8" s="15"/>
      <c r="L8" s="15" t="inlineStr">
        <is>
          <t xml:space="preserve">0.05 %; ND %; 0.04 %</t>
        </is>
      </c>
      <c r="M8" s="15" t="inlineStr">
        <is>
          <t xml:space="preserve">197-1-K/26</t>
        </is>
      </c>
    </row>
    <row r="9">
      <c r="A9" s="15" t="inlineStr">
        <is>
          <t xml:space="preserve">1</t>
        </is>
      </c>
      <c r="B9" s="15" t="inlineStr">
        <is>
          <t xml:space="preserve">BG1024</t>
        </is>
      </c>
      <c r="C9" s="15" t="inlineStr">
        <is>
          <t xml:space="preserve">—</t>
        </is>
      </c>
      <c r="D9" s="15" t="inlineStr">
        <is>
          <t xml:space="preserve">Blue Gelato</t>
        </is>
      </c>
      <c r="E9" s="15" t="inlineStr">
        <is>
          <t xml:space="preserve">6 Total CBN</t>
        </is>
      </c>
      <c r="F9" s="15" t="inlineStr">
        <is>
          <t xml:space="preserve">CITED</t>
        </is>
      </c>
      <c r="G9" s="15" t="inlineStr">
        <is>
          <t xml:space="preserve">ППК25050</t>
        </is>
      </c>
      <c r="H9" s="15" t="inlineStr">
        <is>
          <t xml:space="preserve">26.02.2025</t>
        </is>
      </c>
      <c r="I9" s="15" t="inlineStr">
        <is>
          <t xml:space="preserve">CNP</t>
        </is>
      </c>
      <c r="J9" s="15" t="inlineStr">
        <is>
          <t xml:space="preserve">in eCoA_DATABASE</t>
        </is>
      </c>
      <c r="K9" s="15"/>
      <c r="L9" s="15" t="inlineStr">
        <is>
          <t xml:space="preserve">0.02 %</t>
        </is>
      </c>
      <c r="M9" s="15" t="inlineStr">
        <is>
          <t xml:space="preserve">197-1-K/26</t>
        </is>
      </c>
    </row>
    <row r="10">
      <c r="A10" s="15" t="inlineStr">
        <is>
          <t xml:space="preserve">1</t>
        </is>
      </c>
      <c r="B10" s="15" t="inlineStr">
        <is>
          <t xml:space="preserve">BG1024</t>
        </is>
      </c>
      <c r="C10" s="15" t="inlineStr">
        <is>
          <t xml:space="preserve">—</t>
        </is>
      </c>
      <c r="D10" s="15" t="inlineStr">
        <is>
          <t xml:space="preserve">Blue Gelato</t>
        </is>
      </c>
      <c r="E10" s="15" t="inlineStr">
        <is>
          <t xml:space="preserve">7 Foreign matter</t>
        </is>
      </c>
      <c r="F10" s="15" t="inlineStr">
        <is>
          <t xml:space="preserve">CITED</t>
        </is>
      </c>
      <c r="G10" s="15" t="inlineStr">
        <is>
          <t xml:space="preserve">iCoA-PP_26-003</t>
        </is>
      </c>
      <c r="H10" s="15" t="inlineStr">
        <is>
          <t xml:space="preserve">07.03.2025</t>
        </is>
      </c>
      <c r="I10" s="15" t="inlineStr">
        <is>
          <t xml:space="preserve">PP</t>
        </is>
      </c>
      <c r="J10" s="15" t="inlineStr">
        <is>
          <t xml:space="preserve">planned, NOT ISSUED (2026-05-15)</t>
        </is>
      </c>
      <c r="K10" s="15" t="inlineStr">
        <is>
          <t xml:space="preserve">YES — the certificate has not been issued</t>
        </is>
      </c>
      <c r="L10" s="15" t="inlineStr">
        <is>
          <t xml:space="preserve">Conforms</t>
        </is>
      </c>
      <c r="M10" s="15"/>
    </row>
    <row r="11">
      <c r="A11" s="15" t="inlineStr">
        <is>
          <t xml:space="preserve">1</t>
        </is>
      </c>
      <c r="B11" s="15" t="inlineStr">
        <is>
          <t xml:space="preserve">BG1024</t>
        </is>
      </c>
      <c r="C11" s="15" t="inlineStr">
        <is>
          <t xml:space="preserve">—</t>
        </is>
      </c>
      <c r="D11" s="15" t="inlineStr">
        <is>
          <t xml:space="preserve">Blue Gelato</t>
        </is>
      </c>
      <c r="E11" s="15" t="inlineStr">
        <is>
          <t xml:space="preserve">8 Loss on drying</t>
        </is>
      </c>
      <c r="F11" s="15" t="inlineStr">
        <is>
          <t xml:space="preserve">CITED</t>
        </is>
      </c>
      <c r="G11" s="15" t="inlineStr">
        <is>
          <t xml:space="preserve">ППК25050</t>
        </is>
      </c>
      <c r="H11" s="15" t="inlineStr">
        <is>
          <t xml:space="preserve">26.02.2025</t>
        </is>
      </c>
      <c r="I11" s="15" t="inlineStr">
        <is>
          <t xml:space="preserve">CNP</t>
        </is>
      </c>
      <c r="J11" s="15" t="inlineStr">
        <is>
          <t xml:space="preserve">in eCoA_DATABASE</t>
        </is>
      </c>
      <c r="K11" s="15"/>
      <c r="L11" s="15" t="inlineStr">
        <is>
          <t xml:space="preserve">5.73 %</t>
        </is>
      </c>
      <c r="M11" s="15"/>
    </row>
    <row r="12">
      <c r="A12" s="15" t="inlineStr">
        <is>
          <t xml:space="preserve">1</t>
        </is>
      </c>
      <c r="B12" s="15" t="inlineStr">
        <is>
          <t xml:space="preserve">BG1024</t>
        </is>
      </c>
      <c r="C12" s="15" t="inlineStr">
        <is>
          <t xml:space="preserve">—</t>
        </is>
      </c>
      <c r="D12" s="15" t="inlineStr">
        <is>
          <t xml:space="preserve">Blue Gelato</t>
        </is>
      </c>
      <c r="E12" s="15" t="inlineStr">
        <is>
          <t xml:space="preserve">9 Microbiological purity</t>
        </is>
      </c>
      <c r="F12" s="15" t="inlineStr">
        <is>
          <t xml:space="preserve">CITED</t>
        </is>
      </c>
      <c r="G12" s="15" t="inlineStr">
        <is>
          <t xml:space="preserve">163-0271-25</t>
        </is>
      </c>
      <c r="H12" s="15" t="inlineStr">
        <is>
          <t xml:space="preserve">24.02.2025</t>
        </is>
      </c>
      <c r="I12" s="15" t="inlineStr">
        <is>
          <t xml:space="preserve">IJZ-MB</t>
        </is>
      </c>
      <c r="J12" s="15" t="inlineStr">
        <is>
          <t xml:space="preserve">in eCoA_DATABASE</t>
        </is>
      </c>
      <c r="K12" s="15"/>
      <c r="L12" s="15" t="inlineStr">
        <is>
          <t xml:space="preserve">1,6 x 10⁴ CFU/g; 1 x 10⁴ CFU/g; &lt; 10² и &gt; 10 CFU/g; Одговара; Одговара</t>
        </is>
      </c>
      <c r="M12" s="15"/>
    </row>
    <row r="13">
      <c r="A13" s="15" t="inlineStr">
        <is>
          <t xml:space="preserve">1</t>
        </is>
      </c>
      <c r="B13" s="15" t="inlineStr">
        <is>
          <t xml:space="preserve">BG1024</t>
        </is>
      </c>
      <c r="C13" s="15" t="inlineStr">
        <is>
          <t xml:space="preserve">—</t>
        </is>
      </c>
      <c r="D13" s="15" t="inlineStr">
        <is>
          <t xml:space="preserve">Blue Gelato</t>
        </is>
      </c>
      <c r="E13" s="15" t="inlineStr">
        <is>
          <t xml:space="preserve">10 Mycotoxins</t>
        </is>
      </c>
      <c r="F13" s="15" t="inlineStr">
        <is>
          <t xml:space="preserve">CITED</t>
        </is>
      </c>
      <c r="G13" s="15" t="inlineStr">
        <is>
          <t xml:space="preserve">752-2025</t>
        </is>
      </c>
      <c r="H13" s="15" t="inlineStr">
        <is>
          <t xml:space="preserve">27.02.2025</t>
        </is>
      </c>
      <c r="I13" s="15" t="inlineStr">
        <is>
          <t xml:space="preserve">IJZ</t>
        </is>
      </c>
      <c r="J13" s="15" t="inlineStr">
        <is>
          <t xml:space="preserve">in eCoA_DATABASE</t>
        </is>
      </c>
      <c r="K13" s="15"/>
      <c r="L13" s="15" t="inlineStr">
        <is>
          <t xml:space="preserve">&lt; 2 µg/kg</t>
        </is>
      </c>
      <c r="M13" s="15" t="inlineStr">
        <is>
          <t xml:space="preserve">197-1-M/26</t>
        </is>
      </c>
    </row>
    <row r="14">
      <c r="A14" s="15" t="inlineStr">
        <is>
          <t xml:space="preserve">1</t>
        </is>
      </c>
      <c r="B14" s="15" t="inlineStr">
        <is>
          <t xml:space="preserve">BG1024</t>
        </is>
      </c>
      <c r="C14" s="15" t="inlineStr">
        <is>
          <t xml:space="preserve">—</t>
        </is>
      </c>
      <c r="D14" s="15" t="inlineStr">
        <is>
          <t xml:space="preserve">Blue Gelato</t>
        </is>
      </c>
      <c r="E14" s="15" t="inlineStr">
        <is>
          <t xml:space="preserve">11 Heavy metals</t>
        </is>
      </c>
      <c r="F14" s="15" t="inlineStr">
        <is>
          <t xml:space="preserve">CITED</t>
        </is>
      </c>
      <c r="G14" s="15" t="inlineStr">
        <is>
          <t xml:space="preserve">752-2025</t>
        </is>
      </c>
      <c r="H14" s="15" t="inlineStr">
        <is>
          <t xml:space="preserve">27.02.2025</t>
        </is>
      </c>
      <c r="I14" s="15" t="inlineStr">
        <is>
          <t xml:space="preserve">IJZ</t>
        </is>
      </c>
      <c r="J14" s="15" t="inlineStr">
        <is>
          <t xml:space="preserve">in eCoA_DATABASE</t>
        </is>
      </c>
      <c r="K14" s="15"/>
      <c r="L14" s="15" t="inlineStr">
        <is>
          <t xml:space="preserve">0,01 mg/kg; 0,016 mg/kg(l); 0,014 mg/kg(l); 0,005 mg/kg(l)</t>
        </is>
      </c>
      <c r="M14" s="15"/>
    </row>
    <row r="15">
      <c r="A15" s="15" t="inlineStr">
        <is>
          <t xml:space="preserve">1</t>
        </is>
      </c>
      <c r="B15" s="15" t="inlineStr">
        <is>
          <t xml:space="preserve">BG1024</t>
        </is>
      </c>
      <c r="C15" s="15" t="inlineStr">
        <is>
          <t xml:space="preserve">—</t>
        </is>
      </c>
      <c r="D15" s="15" t="inlineStr">
        <is>
          <t xml:space="preserve">Blue Gelato</t>
        </is>
      </c>
      <c r="E15" s="15" t="inlineStr">
        <is>
          <t xml:space="preserve">12 Pesticide residues</t>
        </is>
      </c>
      <c r="F15" s="15" t="inlineStr">
        <is>
          <t xml:space="preserve">CITED</t>
        </is>
      </c>
      <c r="G15" s="15" t="inlineStr">
        <is>
          <t xml:space="preserve">752-2025</t>
        </is>
      </c>
      <c r="H15" s="15" t="inlineStr">
        <is>
          <t xml:space="preserve">27.02.2025</t>
        </is>
      </c>
      <c r="I15" s="15" t="inlineStr">
        <is>
          <t xml:space="preserve">IJZ</t>
        </is>
      </c>
      <c r="J15" s="15" t="inlineStr">
        <is>
          <t xml:space="preserve">in eCoA_DATABASE</t>
        </is>
      </c>
      <c r="K15" s="15"/>
      <c r="L15" s="15" t="inlineStr">
        <is>
          <t xml:space="preserve">н.д. mg/Kg; н.д. mg/Kg; н.д. mg/kg; н.д. mg/kg(l); н.д. mg/kg(l); н.д. mg/kg(l); н.д. mg/kg(l); н.д. mg/kg(l); н.д. mg/kg(l); н.д. mg/kg(l); н.д. mg/kg(l); н.д. mg/kg(l); н.д. mg/kg(l); н.д. mg/kg(l); н.д. mg/kg(l); н.д. mg/kg; н.д. mg/kg; н.д. mg/kg; н.д. mg/kg; н.д. mg/kg; н.д. mg/kg; н.д. mg/kg; </t>
        </is>
      </c>
      <c r="M15" s="15"/>
    </row>
    <row r="16">
      <c r="A16" s="15" t="inlineStr">
        <is>
          <t xml:space="preserve">1</t>
        </is>
      </c>
      <c r="B16" s="15" t="inlineStr">
        <is>
          <t xml:space="preserve">BSS1024</t>
        </is>
      </c>
      <c r="C16" s="15" t="inlineStr">
        <is>
          <t xml:space="preserve">—</t>
        </is>
      </c>
      <c r="D16" s="15" t="inlineStr">
        <is>
          <t xml:space="preserve">Blue Sunset Sherbet</t>
        </is>
      </c>
      <c r="E16" s="15" t="inlineStr">
        <is>
          <t xml:space="preserve">1 Identification A — appearance</t>
        </is>
      </c>
      <c r="F16" s="15" t="inlineStr">
        <is>
          <t xml:space="preserve">CITED</t>
        </is>
      </c>
      <c r="G16" s="15" t="inlineStr">
        <is>
          <t xml:space="preserve">iCoA-PP_26-002</t>
        </is>
      </c>
      <c r="H16" s="15" t="inlineStr">
        <is>
          <t xml:space="preserve">04.03.2025</t>
        </is>
      </c>
      <c r="I16" s="15" t="inlineStr">
        <is>
          <t xml:space="preserve">PP</t>
        </is>
      </c>
      <c r="J16" s="15" t="inlineStr">
        <is>
          <t xml:space="preserve">planned, NOT ISSUED (2026-05-15)</t>
        </is>
      </c>
      <c r="K16" s="15" t="inlineStr">
        <is>
          <t xml:space="preserve">YES — the certificate has not been issued</t>
        </is>
      </c>
      <c r="L16" s="15" t="inlineStr">
        <is>
          <t xml:space="preserve">Conforms</t>
        </is>
      </c>
      <c r="M16" s="15"/>
    </row>
    <row r="17">
      <c r="A17" s="15" t="inlineStr">
        <is>
          <t xml:space="preserve">1</t>
        </is>
      </c>
      <c r="B17" s="15" t="inlineStr">
        <is>
          <t xml:space="preserve">BSS1024</t>
        </is>
      </c>
      <c r="C17" s="15" t="inlineStr">
        <is>
          <t xml:space="preserve">—</t>
        </is>
      </c>
      <c r="D17" s="15" t="inlineStr">
        <is>
          <t xml:space="preserve">Blue Sunset Sherbet</t>
        </is>
      </c>
      <c r="E17" s="15" t="inlineStr">
        <is>
          <t xml:space="preserve">2 Identification B — microscopy</t>
        </is>
      </c>
      <c r="F17" s="15" t="inlineStr">
        <is>
          <t xml:space="preserve">CITED</t>
        </is>
      </c>
      <c r="G17" s="15" t="inlineStr">
        <is>
          <t xml:space="preserve">iCoA-PP_26-002</t>
        </is>
      </c>
      <c r="H17" s="15" t="inlineStr">
        <is>
          <t xml:space="preserve">04.03.2025</t>
        </is>
      </c>
      <c r="I17" s="15" t="inlineStr">
        <is>
          <t xml:space="preserve">PP</t>
        </is>
      </c>
      <c r="J17" s="15" t="inlineStr">
        <is>
          <t xml:space="preserve">planned, NOT ISSUED (2026-05-15)</t>
        </is>
      </c>
      <c r="K17" s="15" t="inlineStr">
        <is>
          <t xml:space="preserve">YES — the certificate has not been issued</t>
        </is>
      </c>
      <c r="L17" s="15" t="inlineStr">
        <is>
          <t xml:space="preserve">Conforms</t>
        </is>
      </c>
      <c r="M17" s="15"/>
    </row>
    <row r="18">
      <c r="A18" s="15" t="inlineStr">
        <is>
          <t xml:space="preserve">1</t>
        </is>
      </c>
      <c r="B18" s="15" t="inlineStr">
        <is>
          <t xml:space="preserve">BSS1024</t>
        </is>
      </c>
      <c r="C18" s="15" t="inlineStr">
        <is>
          <t xml:space="preserve">—</t>
        </is>
      </c>
      <c r="D18" s="15" t="inlineStr">
        <is>
          <t xml:space="preserve">Blue Sunset Sherbet</t>
        </is>
      </c>
      <c r="E18" s="15" t="inlineStr">
        <is>
          <t xml:space="preserve">3 Identification C — HPLC</t>
        </is>
      </c>
      <c r="F18" s="15" t="inlineStr">
        <is>
          <t xml:space="preserve">CITED</t>
        </is>
      </c>
      <c r="G18" s="15" t="inlineStr">
        <is>
          <t xml:space="preserve">ППК25051</t>
        </is>
      </c>
      <c r="H18" s="15" t="inlineStr">
        <is>
          <t xml:space="preserve">26.02.2025</t>
        </is>
      </c>
      <c r="I18" s="15" t="inlineStr">
        <is>
          <t xml:space="preserve">CNP</t>
        </is>
      </c>
      <c r="J18" s="15" t="inlineStr">
        <is>
          <t xml:space="preserve">in eCoA_DATABASE</t>
        </is>
      </c>
      <c r="K18" s="15"/>
      <c r="L18" s="15" t="inlineStr">
        <is>
          <t xml:space="preserve">identity by the HPLC cannabinoid profile on this certificate</t>
        </is>
      </c>
      <c r="M18" s="15" t="inlineStr">
        <is>
          <t xml:space="preserve">197-2-K/26</t>
        </is>
      </c>
    </row>
    <row r="19">
      <c r="A19" s="15" t="inlineStr">
        <is>
          <t xml:space="preserve">1</t>
        </is>
      </c>
      <c r="B19" s="15" t="inlineStr">
        <is>
          <t xml:space="preserve">BSS1024</t>
        </is>
      </c>
      <c r="C19" s="15" t="inlineStr">
        <is>
          <t xml:space="preserve">—</t>
        </is>
      </c>
      <c r="D19" s="15" t="inlineStr">
        <is>
          <t xml:space="preserve">Blue Sunset Sherbet</t>
        </is>
      </c>
      <c r="E19" s="15" t="inlineStr">
        <is>
          <t xml:space="preserve">4 Assay — Total Δ⁹-THC</t>
        </is>
      </c>
      <c r="F19" s="15" t="inlineStr">
        <is>
          <t xml:space="preserve">CITED</t>
        </is>
      </c>
      <c r="G19" s="15" t="inlineStr">
        <is>
          <t xml:space="preserve">ППК25051</t>
        </is>
      </c>
      <c r="H19" s="15" t="inlineStr">
        <is>
          <t xml:space="preserve">26.02.2025</t>
        </is>
      </c>
      <c r="I19" s="15" t="inlineStr">
        <is>
          <t xml:space="preserve">CNP</t>
        </is>
      </c>
      <c r="J19" s="15" t="inlineStr">
        <is>
          <t xml:space="preserve">in eCoA_DATABASE</t>
        </is>
      </c>
      <c r="K19" s="15"/>
      <c r="L19" s="15" t="inlineStr">
        <is>
          <t xml:space="preserve">0.75 %; 23.13 %; 21.03 %</t>
        </is>
      </c>
      <c r="M19" s="15" t="inlineStr">
        <is>
          <t xml:space="preserve">197-2-K/26</t>
        </is>
      </c>
    </row>
    <row r="20">
      <c r="A20" s="15" t="inlineStr">
        <is>
          <t xml:space="preserve">1</t>
        </is>
      </c>
      <c r="B20" s="15" t="inlineStr">
        <is>
          <t xml:space="preserve">BSS1024</t>
        </is>
      </c>
      <c r="C20" s="15" t="inlineStr">
        <is>
          <t xml:space="preserve">—</t>
        </is>
      </c>
      <c r="D20" s="15" t="inlineStr">
        <is>
          <t xml:space="preserve">Blue Sunset Sherbet</t>
        </is>
      </c>
      <c r="E20" s="15" t="inlineStr">
        <is>
          <t xml:space="preserve">5 Assay — Total CBD</t>
        </is>
      </c>
      <c r="F20" s="15" t="inlineStr">
        <is>
          <t xml:space="preserve">CITED</t>
        </is>
      </c>
      <c r="G20" s="15" t="inlineStr">
        <is>
          <t xml:space="preserve">ППК25051</t>
        </is>
      </c>
      <c r="H20" s="15" t="inlineStr">
        <is>
          <t xml:space="preserve">26.02.2025</t>
        </is>
      </c>
      <c r="I20" s="15" t="inlineStr">
        <is>
          <t xml:space="preserve">CNP</t>
        </is>
      </c>
      <c r="J20" s="15" t="inlineStr">
        <is>
          <t xml:space="preserve">in eCoA_DATABASE</t>
        </is>
      </c>
      <c r="K20" s="15"/>
      <c r="L20" s="15" t="inlineStr">
        <is>
          <t xml:space="preserve">0.05 %; ND %; 0.04 %</t>
        </is>
      </c>
      <c r="M20" s="15" t="inlineStr">
        <is>
          <t xml:space="preserve">197-2-K/26</t>
        </is>
      </c>
    </row>
    <row r="21">
      <c r="A21" s="15" t="inlineStr">
        <is>
          <t xml:space="preserve">1</t>
        </is>
      </c>
      <c r="B21" s="15" t="inlineStr">
        <is>
          <t xml:space="preserve">BSS1024</t>
        </is>
      </c>
      <c r="C21" s="15" t="inlineStr">
        <is>
          <t xml:space="preserve">—</t>
        </is>
      </c>
      <c r="D21" s="15" t="inlineStr">
        <is>
          <t xml:space="preserve">Blue Sunset Sherbet</t>
        </is>
      </c>
      <c r="E21" s="15" t="inlineStr">
        <is>
          <t xml:space="preserve">6 Total CBN</t>
        </is>
      </c>
      <c r="F21" s="15" t="inlineStr">
        <is>
          <t xml:space="preserve">CITED</t>
        </is>
      </c>
      <c r="G21" s="15" t="inlineStr">
        <is>
          <t xml:space="preserve">ППК25051</t>
        </is>
      </c>
      <c r="H21" s="15" t="inlineStr">
        <is>
          <t xml:space="preserve">26.02.2025</t>
        </is>
      </c>
      <c r="I21" s="15" t="inlineStr">
        <is>
          <t xml:space="preserve">CNP</t>
        </is>
      </c>
      <c r="J21" s="15" t="inlineStr">
        <is>
          <t xml:space="preserve">in eCoA_DATABASE</t>
        </is>
      </c>
      <c r="K21" s="15"/>
      <c r="L21" s="15" t="inlineStr">
        <is>
          <t xml:space="preserve">0.02 %</t>
        </is>
      </c>
      <c r="M21" s="15" t="inlineStr">
        <is>
          <t xml:space="preserve">197-2-K/26</t>
        </is>
      </c>
    </row>
    <row r="22">
      <c r="A22" s="15" t="inlineStr">
        <is>
          <t xml:space="preserve">1</t>
        </is>
      </c>
      <c r="B22" s="15" t="inlineStr">
        <is>
          <t xml:space="preserve">BSS1024</t>
        </is>
      </c>
      <c r="C22" s="15" t="inlineStr">
        <is>
          <t xml:space="preserve">—</t>
        </is>
      </c>
      <c r="D22" s="15" t="inlineStr">
        <is>
          <t xml:space="preserve">Blue Sunset Sherbet</t>
        </is>
      </c>
      <c r="E22" s="15" t="inlineStr">
        <is>
          <t xml:space="preserve">7 Foreign matter</t>
        </is>
      </c>
      <c r="F22" s="15" t="inlineStr">
        <is>
          <t xml:space="preserve">CITED</t>
        </is>
      </c>
      <c r="G22" s="15" t="inlineStr">
        <is>
          <t xml:space="preserve">iCoA-PP_26-002</t>
        </is>
      </c>
      <c r="H22" s="15" t="inlineStr">
        <is>
          <t xml:space="preserve">04.03.2025</t>
        </is>
      </c>
      <c r="I22" s="15" t="inlineStr">
        <is>
          <t xml:space="preserve">PP</t>
        </is>
      </c>
      <c r="J22" s="15" t="inlineStr">
        <is>
          <t xml:space="preserve">planned, NOT ISSUED (2026-05-15)</t>
        </is>
      </c>
      <c r="K22" s="15" t="inlineStr">
        <is>
          <t xml:space="preserve">YES — the certificate has not been issued</t>
        </is>
      </c>
      <c r="L22" s="15" t="inlineStr">
        <is>
          <t xml:space="preserve">Conforms</t>
        </is>
      </c>
      <c r="M22" s="15"/>
    </row>
    <row r="23">
      <c r="A23" s="15" t="inlineStr">
        <is>
          <t xml:space="preserve">1</t>
        </is>
      </c>
      <c r="B23" s="15" t="inlineStr">
        <is>
          <t xml:space="preserve">BSS1024</t>
        </is>
      </c>
      <c r="C23" s="15" t="inlineStr">
        <is>
          <t xml:space="preserve">—</t>
        </is>
      </c>
      <c r="D23" s="15" t="inlineStr">
        <is>
          <t xml:space="preserve">Blue Sunset Sherbet</t>
        </is>
      </c>
      <c r="E23" s="15" t="inlineStr">
        <is>
          <t xml:space="preserve">8 Loss on drying</t>
        </is>
      </c>
      <c r="F23" s="15" t="inlineStr">
        <is>
          <t xml:space="preserve">CITED</t>
        </is>
      </c>
      <c r="G23" s="15" t="inlineStr">
        <is>
          <t xml:space="preserve">ППК25051</t>
        </is>
      </c>
      <c r="H23" s="15" t="inlineStr">
        <is>
          <t xml:space="preserve">26.02.2025</t>
        </is>
      </c>
      <c r="I23" s="15" t="inlineStr">
        <is>
          <t xml:space="preserve">CNP</t>
        </is>
      </c>
      <c r="J23" s="15" t="inlineStr">
        <is>
          <t xml:space="preserve">in eCoA_DATABASE</t>
        </is>
      </c>
      <c r="K23" s="15"/>
      <c r="L23" s="15" t="inlineStr">
        <is>
          <t xml:space="preserve">5.99 %</t>
        </is>
      </c>
      <c r="M23" s="15"/>
    </row>
    <row r="24">
      <c r="A24" s="15" t="inlineStr">
        <is>
          <t xml:space="preserve">1</t>
        </is>
      </c>
      <c r="B24" s="15" t="inlineStr">
        <is>
          <t xml:space="preserve">BSS1024</t>
        </is>
      </c>
      <c r="C24" s="15" t="inlineStr">
        <is>
          <t xml:space="preserve">—</t>
        </is>
      </c>
      <c r="D24" s="15" t="inlineStr">
        <is>
          <t xml:space="preserve">Blue Sunset Sherbet</t>
        </is>
      </c>
      <c r="E24" s="15" t="inlineStr">
        <is>
          <t xml:space="preserve">9 Microbiological purity</t>
        </is>
      </c>
      <c r="F24" s="15" t="inlineStr">
        <is>
          <t xml:space="preserve">CITED</t>
        </is>
      </c>
      <c r="G24" s="15" t="inlineStr">
        <is>
          <t xml:space="preserve">161-0269-25</t>
        </is>
      </c>
      <c r="H24" s="15" t="inlineStr">
        <is>
          <t xml:space="preserve">24.02.2025</t>
        </is>
      </c>
      <c r="I24" s="15" t="inlineStr">
        <is>
          <t xml:space="preserve">IJZ-MB</t>
        </is>
      </c>
      <c r="J24" s="15" t="inlineStr">
        <is>
          <t xml:space="preserve">in eCoA_DATABASE</t>
        </is>
      </c>
      <c r="K24" s="15"/>
      <c r="L24" s="15" t="inlineStr">
        <is>
          <t xml:space="preserve">1,5 x 10⁴ CFU/g; 2,2 x 10³ CFU/g; &lt; 10² и &gt; 10 CFU/g; Одговара; Одговара</t>
        </is>
      </c>
      <c r="M24" s="15"/>
    </row>
    <row r="25">
      <c r="A25" s="15" t="inlineStr">
        <is>
          <t xml:space="preserve">1</t>
        </is>
      </c>
      <c r="B25" s="15" t="inlineStr">
        <is>
          <t xml:space="preserve">BSS1024</t>
        </is>
      </c>
      <c r="C25" s="15" t="inlineStr">
        <is>
          <t xml:space="preserve">—</t>
        </is>
      </c>
      <c r="D25" s="15" t="inlineStr">
        <is>
          <t xml:space="preserve">Blue Sunset Sherbet</t>
        </is>
      </c>
      <c r="E25" s="15" t="inlineStr">
        <is>
          <t xml:space="preserve">10 Mycotoxins</t>
        </is>
      </c>
      <c r="F25" s="15" t="inlineStr">
        <is>
          <t xml:space="preserve">CITED</t>
        </is>
      </c>
      <c r="G25" s="15" t="inlineStr">
        <is>
          <t xml:space="preserve">751-2025</t>
        </is>
      </c>
      <c r="H25" s="15" t="inlineStr">
        <is>
          <t xml:space="preserve">27.02.2025</t>
        </is>
      </c>
      <c r="I25" s="15" t="inlineStr">
        <is>
          <t xml:space="preserve">IJZ</t>
        </is>
      </c>
      <c r="J25" s="15" t="inlineStr">
        <is>
          <t xml:space="preserve">in eCoA_DATABASE</t>
        </is>
      </c>
      <c r="K25" s="15"/>
      <c r="L25" s="15" t="inlineStr">
        <is>
          <t xml:space="preserve">&lt; 2 µg/kg</t>
        </is>
      </c>
      <c r="M25" s="15" t="inlineStr">
        <is>
          <t xml:space="preserve">197-2-M/26</t>
        </is>
      </c>
    </row>
    <row r="26">
      <c r="A26" s="15" t="inlineStr">
        <is>
          <t xml:space="preserve">1</t>
        </is>
      </c>
      <c r="B26" s="15" t="inlineStr">
        <is>
          <t xml:space="preserve">BSS1024</t>
        </is>
      </c>
      <c r="C26" s="15" t="inlineStr">
        <is>
          <t xml:space="preserve">—</t>
        </is>
      </c>
      <c r="D26" s="15" t="inlineStr">
        <is>
          <t xml:space="preserve">Blue Sunset Sherbet</t>
        </is>
      </c>
      <c r="E26" s="15" t="inlineStr">
        <is>
          <t xml:space="preserve">11 Heavy metals</t>
        </is>
      </c>
      <c r="F26" s="15" t="inlineStr">
        <is>
          <t xml:space="preserve">CITED</t>
        </is>
      </c>
      <c r="G26" s="15" t="inlineStr">
        <is>
          <t xml:space="preserve">751-2025</t>
        </is>
      </c>
      <c r="H26" s="15" t="inlineStr">
        <is>
          <t xml:space="preserve">27.02.2025</t>
        </is>
      </c>
      <c r="I26" s="15" t="inlineStr">
        <is>
          <t xml:space="preserve">IJZ</t>
        </is>
      </c>
      <c r="J26" s="15" t="inlineStr">
        <is>
          <t xml:space="preserve">in eCoA_DATABASE</t>
        </is>
      </c>
      <c r="K26" s="15"/>
      <c r="L26" s="15" t="inlineStr">
        <is>
          <t xml:space="preserve">0,081 mg/kg(l); 0,071 mg/kg(l); 0,014 mg/kg(l); 0,014 mg/kg(l)</t>
        </is>
      </c>
      <c r="M26" s="15"/>
    </row>
    <row r="27">
      <c r="A27" s="15" t="inlineStr">
        <is>
          <t xml:space="preserve">1</t>
        </is>
      </c>
      <c r="B27" s="15" t="inlineStr">
        <is>
          <t xml:space="preserve">BSS1024</t>
        </is>
      </c>
      <c r="C27" s="15" t="inlineStr">
        <is>
          <t xml:space="preserve">—</t>
        </is>
      </c>
      <c r="D27" s="15" t="inlineStr">
        <is>
          <t xml:space="preserve">Blue Sunset Sherbet</t>
        </is>
      </c>
      <c r="E27" s="15" t="inlineStr">
        <is>
          <t xml:space="preserve">12 Pesticide residues</t>
        </is>
      </c>
      <c r="F27" s="15" t="inlineStr">
        <is>
          <t xml:space="preserve">CITED</t>
        </is>
      </c>
      <c r="G27" s="15" t="inlineStr">
        <is>
          <t xml:space="preserve">751-2025</t>
        </is>
      </c>
      <c r="H27" s="15" t="inlineStr">
        <is>
          <t xml:space="preserve">27.02.2025</t>
        </is>
      </c>
      <c r="I27" s="15" t="inlineStr">
        <is>
          <t xml:space="preserve">IJZ</t>
        </is>
      </c>
      <c r="J27" s="15" t="inlineStr">
        <is>
          <t xml:space="preserve">in eCoA_DATABASE</t>
        </is>
      </c>
      <c r="K27" s="15"/>
      <c r="L27" s="15" t="inlineStr">
        <is>
          <t xml:space="preserve">н.д. mg/Kg; н.д. mg/Kg; н.д. mg/kg; н.д. mg/kg(l); н.д. mg/kg(l); н.д. mg/kg(l); н.д. mg/kg(l); н.д. mg/kg(l); н.д. mg/kg(l); н.д. mg/kg(l); н.д. mg/kg(l); н.д. mg/kg(l); н.д. mg/kg(l); н.д. mg/kg(l); н.д. mg/kg(l); н.д. mg/kg; н.д. mg/kg; н.д. mg/kg; н.д. mg/kg; н.д. mg/kg; н.д. mg/kg; н.д. mg/kg; </t>
        </is>
      </c>
      <c r="M27" s="15"/>
    </row>
    <row r="28">
      <c r="A28" s="15" t="inlineStr">
        <is>
          <t xml:space="preserve">1</t>
        </is>
      </c>
      <c r="B28" s="15" t="inlineStr">
        <is>
          <t xml:space="preserve">CC012601/1</t>
        </is>
      </c>
      <c r="C28" s="15" t="inlineStr">
        <is>
          <t xml:space="preserve">P060332</t>
        </is>
      </c>
      <c r="D28" s="15" t="inlineStr">
        <is>
          <t xml:space="preserve">CashCow</t>
        </is>
      </c>
      <c r="E28" s="15" t="inlineStr">
        <is>
          <t xml:space="preserve">1 Identification A — appearance</t>
        </is>
      </c>
      <c r="F28" s="15" t="inlineStr">
        <is>
          <t xml:space="preserve">CITED</t>
        </is>
      </c>
      <c r="G28" s="15" t="inlineStr">
        <is>
          <t xml:space="preserve">iCoA-PP_26-065</t>
        </is>
      </c>
      <c r="H28" s="15" t="inlineStr">
        <is>
          <t xml:space="preserve">22.05.2026</t>
        </is>
      </c>
      <c r="I28" s="15" t="inlineStr">
        <is>
          <t xml:space="preserve">PP</t>
        </is>
      </c>
      <c r="J28" s="15" t="inlineStr">
        <is>
          <t xml:space="preserve">planned, NOT ISSUED (2026-05-27)</t>
        </is>
      </c>
      <c r="K28" s="15" t="inlineStr">
        <is>
          <t xml:space="preserve">YES — the certificate has not been issued</t>
        </is>
      </c>
      <c r="L28" s="15" t="inlineStr">
        <is>
          <t xml:space="preserve">Conforms</t>
        </is>
      </c>
      <c r="M28" s="15"/>
    </row>
    <row r="29">
      <c r="A29" s="15" t="inlineStr">
        <is>
          <t xml:space="preserve">1</t>
        </is>
      </c>
      <c r="B29" s="15" t="inlineStr">
        <is>
          <t xml:space="preserve">CC012601/1</t>
        </is>
      </c>
      <c r="C29" s="15" t="inlineStr">
        <is>
          <t xml:space="preserve">P060332</t>
        </is>
      </c>
      <c r="D29" s="15" t="inlineStr">
        <is>
          <t xml:space="preserve">CashCow</t>
        </is>
      </c>
      <c r="E29" s="15" t="inlineStr">
        <is>
          <t xml:space="preserve">2 Identification B — microscopy</t>
        </is>
      </c>
      <c r="F29" s="15" t="inlineStr">
        <is>
          <t xml:space="preserve">CITED</t>
        </is>
      </c>
      <c r="G29" s="15" t="inlineStr">
        <is>
          <t xml:space="preserve">iCoA-PP_26-065</t>
        </is>
      </c>
      <c r="H29" s="15" t="inlineStr">
        <is>
          <t xml:space="preserve">22.05.2026</t>
        </is>
      </c>
      <c r="I29" s="15" t="inlineStr">
        <is>
          <t xml:space="preserve">PP</t>
        </is>
      </c>
      <c r="J29" s="15" t="inlineStr">
        <is>
          <t xml:space="preserve">planned, NOT ISSUED (2026-05-27)</t>
        </is>
      </c>
      <c r="K29" s="15" t="inlineStr">
        <is>
          <t xml:space="preserve">YES — the certificate has not been issued</t>
        </is>
      </c>
      <c r="L29" s="15" t="inlineStr">
        <is>
          <t xml:space="preserve">Conforms</t>
        </is>
      </c>
      <c r="M29" s="15"/>
    </row>
    <row r="30">
      <c r="A30" s="15" t="inlineStr">
        <is>
          <t xml:space="preserve">1</t>
        </is>
      </c>
      <c r="B30" s="15" t="inlineStr">
        <is>
          <t xml:space="preserve">CC012601/1</t>
        </is>
      </c>
      <c r="C30" s="15" t="inlineStr">
        <is>
          <t xml:space="preserve">P060332</t>
        </is>
      </c>
      <c r="D30" s="15" t="inlineStr">
        <is>
          <t xml:space="preserve">CashCow</t>
        </is>
      </c>
      <c r="E30" s="15" t="inlineStr">
        <is>
          <t xml:space="preserve">3 Identification C — HPLC</t>
        </is>
      </c>
      <c r="F30" s="15" t="inlineStr">
        <is>
          <t xml:space="preserve">CITED</t>
        </is>
      </c>
      <c r="G30" s="15" t="inlineStr">
        <is>
          <t xml:space="preserve">197-6-K-26</t>
        </is>
      </c>
      <c r="H30" s="15" t="inlineStr">
        <is>
          <t xml:space="preserve">07.08.2026</t>
        </is>
      </c>
      <c r="I30" s="15" t="inlineStr">
        <is>
          <t xml:space="preserve">FHM-K</t>
        </is>
      </c>
      <c r="J30" s="15" t="inlineStr">
        <is>
          <t xml:space="preserve">in eCoA_DATABASE</t>
        </is>
      </c>
      <c r="K30" s="15"/>
      <c r="L30" s="15" t="inlineStr">
        <is>
          <t xml:space="preserve">identity by the HPLC cannabinoid profile on this certificate</t>
        </is>
      </c>
      <c r="M30" s="15"/>
    </row>
    <row r="31">
      <c r="A31" s="15" t="inlineStr">
        <is>
          <t xml:space="preserve">1</t>
        </is>
      </c>
      <c r="B31" s="15" t="inlineStr">
        <is>
          <t xml:space="preserve">CC012601/1</t>
        </is>
      </c>
      <c r="C31" s="15" t="inlineStr">
        <is>
          <t xml:space="preserve">P060332</t>
        </is>
      </c>
      <c r="D31" s="15" t="inlineStr">
        <is>
          <t xml:space="preserve">CashCow</t>
        </is>
      </c>
      <c r="E31" s="15" t="inlineStr">
        <is>
          <t xml:space="preserve">4 Assay — Total Δ⁹-THC</t>
        </is>
      </c>
      <c r="F31" s="15" t="inlineStr">
        <is>
          <t xml:space="preserve">CITED</t>
        </is>
      </c>
      <c r="G31" s="15" t="inlineStr">
        <is>
          <t xml:space="preserve">197-6-K-26</t>
        </is>
      </c>
      <c r="H31" s="15" t="inlineStr">
        <is>
          <t xml:space="preserve">07.08.2026</t>
        </is>
      </c>
      <c r="I31" s="15" t="inlineStr">
        <is>
          <t xml:space="preserve">FHM-K</t>
        </is>
      </c>
      <c r="J31" s="15" t="inlineStr">
        <is>
          <t xml:space="preserve">in eCoA_DATABASE</t>
        </is>
      </c>
      <c r="K31" s="15"/>
      <c r="L31" s="15" t="inlineStr">
        <is>
          <t xml:space="preserve">23.29 %w/w</t>
        </is>
      </c>
      <c r="M31" s="15"/>
    </row>
    <row r="32">
      <c r="A32" s="15" t="inlineStr">
        <is>
          <t xml:space="preserve">1</t>
        </is>
      </c>
      <c r="B32" s="15" t="inlineStr">
        <is>
          <t xml:space="preserve">CC012601/1</t>
        </is>
      </c>
      <c r="C32" s="15" t="inlineStr">
        <is>
          <t xml:space="preserve">P060332</t>
        </is>
      </c>
      <c r="D32" s="15" t="inlineStr">
        <is>
          <t xml:space="preserve">CashCow</t>
        </is>
      </c>
      <c r="E32" s="15" t="inlineStr">
        <is>
          <t xml:space="preserve">5 Assay — Total CBD</t>
        </is>
      </c>
      <c r="F32" s="15" t="inlineStr">
        <is>
          <t xml:space="preserve">CITED</t>
        </is>
      </c>
      <c r="G32" s="15" t="inlineStr">
        <is>
          <t xml:space="preserve">197-6-K-26</t>
        </is>
      </c>
      <c r="H32" s="15" t="inlineStr">
        <is>
          <t xml:space="preserve">07.08.2026</t>
        </is>
      </c>
      <c r="I32" s="15" t="inlineStr">
        <is>
          <t xml:space="preserve">FHM-K</t>
        </is>
      </c>
      <c r="J32" s="15" t="inlineStr">
        <is>
          <t xml:space="preserve">in eCoA_DATABASE</t>
        </is>
      </c>
      <c r="K32" s="15"/>
      <c r="L32" s="15" t="inlineStr">
        <is>
          <t xml:space="preserve">&lt; LOQ %w/w</t>
        </is>
      </c>
      <c r="M32" s="15"/>
    </row>
    <row r="33">
      <c r="A33" s="15" t="inlineStr">
        <is>
          <t xml:space="preserve">1</t>
        </is>
      </c>
      <c r="B33" s="15" t="inlineStr">
        <is>
          <t xml:space="preserve">CC012601/1</t>
        </is>
      </c>
      <c r="C33" s="15" t="inlineStr">
        <is>
          <t xml:space="preserve">P060332</t>
        </is>
      </c>
      <c r="D33" s="15" t="inlineStr">
        <is>
          <t xml:space="preserve">CashCow</t>
        </is>
      </c>
      <c r="E33" s="15" t="inlineStr">
        <is>
          <t xml:space="preserve">6 Total CBN</t>
        </is>
      </c>
      <c r="F33" s="15" t="inlineStr">
        <is>
          <t xml:space="preserve">CITED</t>
        </is>
      </c>
      <c r="G33" s="15" t="inlineStr">
        <is>
          <t xml:space="preserve">197-6-K-26</t>
        </is>
      </c>
      <c r="H33" s="15" t="inlineStr">
        <is>
          <t xml:space="preserve">07.08.2026</t>
        </is>
      </c>
      <c r="I33" s="15" t="inlineStr">
        <is>
          <t xml:space="preserve">FHM-K</t>
        </is>
      </c>
      <c r="J33" s="15" t="inlineStr">
        <is>
          <t xml:space="preserve">in eCoA_DATABASE</t>
        </is>
      </c>
      <c r="K33" s="15"/>
      <c r="L33" s="15" t="inlineStr">
        <is>
          <t xml:space="preserve">&lt; LOQ %w/w</t>
        </is>
      </c>
      <c r="M33" s="15"/>
    </row>
    <row r="34">
      <c r="A34" s="15" t="inlineStr">
        <is>
          <t xml:space="preserve">1</t>
        </is>
      </c>
      <c r="B34" s="15" t="inlineStr">
        <is>
          <t xml:space="preserve">CC012601/1</t>
        </is>
      </c>
      <c r="C34" s="15" t="inlineStr">
        <is>
          <t xml:space="preserve">P060332</t>
        </is>
      </c>
      <c r="D34" s="15" t="inlineStr">
        <is>
          <t xml:space="preserve">CashCow</t>
        </is>
      </c>
      <c r="E34" s="15" t="inlineStr">
        <is>
          <t xml:space="preserve">7 Foreign matter</t>
        </is>
      </c>
      <c r="F34" s="15" t="inlineStr">
        <is>
          <t xml:space="preserve">CITED</t>
        </is>
      </c>
      <c r="G34" s="15" t="inlineStr">
        <is>
          <t xml:space="preserve">iCoA-PP_26-065</t>
        </is>
      </c>
      <c r="H34" s="15" t="inlineStr">
        <is>
          <t xml:space="preserve">22.05.2026</t>
        </is>
      </c>
      <c r="I34" s="15" t="inlineStr">
        <is>
          <t xml:space="preserve">PP</t>
        </is>
      </c>
      <c r="J34" s="15" t="inlineStr">
        <is>
          <t xml:space="preserve">planned, NOT ISSUED (2026-05-27)</t>
        </is>
      </c>
      <c r="K34" s="15" t="inlineStr">
        <is>
          <t xml:space="preserve">YES — the certificate has not been issued</t>
        </is>
      </c>
      <c r="L34" s="15" t="inlineStr">
        <is>
          <t xml:space="preserve">Conforms</t>
        </is>
      </c>
      <c r="M34" s="15"/>
    </row>
    <row r="35">
      <c r="A35" s="15" t="inlineStr">
        <is>
          <t xml:space="preserve">1</t>
        </is>
      </c>
      <c r="B35" s="15" t="inlineStr">
        <is>
          <t xml:space="preserve">CC012601/1</t>
        </is>
      </c>
      <c r="C35" s="15" t="inlineStr">
        <is>
          <t xml:space="preserve">P060332</t>
        </is>
      </c>
      <c r="D35" s="15" t="inlineStr">
        <is>
          <t xml:space="preserve">CashCow</t>
        </is>
      </c>
      <c r="E35" s="15" t="inlineStr">
        <is>
          <t xml:space="preserve">8 Loss on drying</t>
        </is>
      </c>
      <c r="F35" s="15" t="inlineStr">
        <is>
          <t xml:space="preserve">NOTHING ON FILE</t>
        </is>
      </c>
      <c r="G35" s="15" t="inlineStr">
        <is>
          <t xml:space="preserve">—</t>
        </is>
      </c>
      <c r="H35" s="15" t="inlineStr">
        <is>
          <t xml:space="preserve">—</t>
        </is>
      </c>
      <c r="I35" s="15" t="inlineStr">
        <is>
          <t xml:space="preserve">—</t>
        </is>
      </c>
      <c r="J35" s="15" t="inlineStr">
        <is>
          <t xml:space="preserve">no document anywhere</t>
        </is>
      </c>
      <c r="K35" s="15"/>
      <c r="L35" s="15" t="inlineStr">
        <is>
          <t xml:space="preserve">—</t>
        </is>
      </c>
      <c r="M35" s="15"/>
    </row>
    <row r="36">
      <c r="A36" s="15" t="inlineStr">
        <is>
          <t xml:space="preserve">1</t>
        </is>
      </c>
      <c r="B36" s="15" t="inlineStr">
        <is>
          <t xml:space="preserve">CC012601/1</t>
        </is>
      </c>
      <c r="C36" s="15" t="inlineStr">
        <is>
          <t xml:space="preserve">P060332</t>
        </is>
      </c>
      <c r="D36" s="15" t="inlineStr">
        <is>
          <t xml:space="preserve">CashCow</t>
        </is>
      </c>
      <c r="E36" s="15" t="inlineStr">
        <is>
          <t xml:space="preserve">9 Microbiological purity</t>
        </is>
      </c>
      <c r="F36" s="15" t="inlineStr">
        <is>
          <t xml:space="preserve">READ IN THIS PASS</t>
        </is>
      </c>
      <c r="G36" s="15" t="inlineStr">
        <is>
          <t xml:space="preserve">361/0691/26</t>
        </is>
      </c>
      <c r="H36" s="15" t="inlineStr">
        <is>
          <t xml:space="preserve">01.06.2026</t>
        </is>
      </c>
      <c r="I36" s="15" t="inlineStr">
        <is>
          <t xml:space="preserve">IJZ-MB</t>
        </is>
      </c>
      <c r="J36" s="15" t="inlineStr">
        <is>
          <t xml:space="preserve">in eCoA_DATABASE</t>
        </is>
      </c>
      <c r="K36" s="15"/>
      <c r="L36" s="15" t="inlineStr">
        <is>
          <t xml:space="preserve">7,8 x 10⁴ CFU/g CFU/g; 2,2 x 10⁴ CFU/g CFU/g; &lt; 10 CFU/g CFU/g; Отсутна /g; Отсутна /25 g</t>
        </is>
      </c>
      <c r="M36" s="15"/>
    </row>
    <row r="37">
      <c r="A37" s="15" t="inlineStr">
        <is>
          <t xml:space="preserve">1</t>
        </is>
      </c>
      <c r="B37" s="15" t="inlineStr">
        <is>
          <t xml:space="preserve">CC012601/1</t>
        </is>
      </c>
      <c r="C37" s="15" t="inlineStr">
        <is>
          <t xml:space="preserve">P060332</t>
        </is>
      </c>
      <c r="D37" s="15" t="inlineStr">
        <is>
          <t xml:space="preserve">CashCow</t>
        </is>
      </c>
      <c r="E37" s="15" t="inlineStr">
        <is>
          <t xml:space="preserve">10 Mycotoxins</t>
        </is>
      </c>
      <c r="F37" s="15" t="inlineStr">
        <is>
          <t xml:space="preserve">CITED</t>
        </is>
      </c>
      <c r="G37" s="15" t="inlineStr">
        <is>
          <t xml:space="preserve">197-6-M-26</t>
        </is>
      </c>
      <c r="H37" s="15" t="inlineStr">
        <is>
          <t xml:space="preserve">10.08.2026</t>
        </is>
      </c>
      <c r="I37" s="15" t="inlineStr">
        <is>
          <t xml:space="preserve">FHM-M</t>
        </is>
      </c>
      <c r="J37" s="15" t="inlineStr">
        <is>
          <t xml:space="preserve">in eCoA_DATABASE</t>
        </is>
      </c>
      <c r="K37" s="15"/>
      <c r="L37" s="15" t="inlineStr">
        <is>
          <t xml:space="preserve">ND µg/kg; ND µg/kg; ND µg/kg; ND µg/kg; ND µg/kg</t>
        </is>
      </c>
      <c r="M37" s="15"/>
    </row>
    <row r="38">
      <c r="A38" s="15" t="inlineStr">
        <is>
          <t xml:space="preserve">1</t>
        </is>
      </c>
      <c r="B38" s="15" t="inlineStr">
        <is>
          <t xml:space="preserve">CC012601/1</t>
        </is>
      </c>
      <c r="C38" s="15" t="inlineStr">
        <is>
          <t xml:space="preserve">P060332</t>
        </is>
      </c>
      <c r="D38" s="15" t="inlineStr">
        <is>
          <t xml:space="preserve">CashCow</t>
        </is>
      </c>
      <c r="E38" s="15" t="inlineStr">
        <is>
          <t xml:space="preserve">11 Heavy metals</t>
        </is>
      </c>
      <c r="F38" s="15" t="inlineStr">
        <is>
          <t xml:space="preserve">NOTHING ON FILE</t>
        </is>
      </c>
      <c r="G38" s="15" t="inlineStr">
        <is>
          <t xml:space="preserve">—</t>
        </is>
      </c>
      <c r="H38" s="15" t="inlineStr">
        <is>
          <t xml:space="preserve">—</t>
        </is>
      </c>
      <c r="I38" s="15" t="inlineStr">
        <is>
          <t xml:space="preserve">—</t>
        </is>
      </c>
      <c r="J38" s="15" t="inlineStr">
        <is>
          <t xml:space="preserve">no document anywhere</t>
        </is>
      </c>
      <c r="K38" s="15"/>
      <c r="L38" s="15" t="inlineStr">
        <is>
          <t xml:space="preserve">—</t>
        </is>
      </c>
      <c r="M38" s="15"/>
    </row>
    <row r="39">
      <c r="A39" s="15" t="inlineStr">
        <is>
          <t xml:space="preserve">1</t>
        </is>
      </c>
      <c r="B39" s="15" t="inlineStr">
        <is>
          <t xml:space="preserve">CC012601/1</t>
        </is>
      </c>
      <c r="C39" s="15" t="inlineStr">
        <is>
          <t xml:space="preserve">P060332</t>
        </is>
      </c>
      <c r="D39" s="15" t="inlineStr">
        <is>
          <t xml:space="preserve">CashCow</t>
        </is>
      </c>
      <c r="E39" s="15" t="inlineStr">
        <is>
          <t xml:space="preserve">12 Pesticide residues</t>
        </is>
      </c>
      <c r="F39" s="15" t="inlineStr">
        <is>
          <t xml:space="preserve">NOTHING ON FILE</t>
        </is>
      </c>
      <c r="G39" s="15" t="inlineStr">
        <is>
          <t xml:space="preserve">—</t>
        </is>
      </c>
      <c r="H39" s="15" t="inlineStr">
        <is>
          <t xml:space="preserve">—</t>
        </is>
      </c>
      <c r="I39" s="15" t="inlineStr">
        <is>
          <t xml:space="preserve">—</t>
        </is>
      </c>
      <c r="J39" s="15" t="inlineStr">
        <is>
          <t xml:space="preserve">no document anywhere</t>
        </is>
      </c>
      <c r="K39" s="15"/>
      <c r="L39" s="15" t="inlineStr">
        <is>
          <t xml:space="preserve">—</t>
        </is>
      </c>
      <c r="M39" s="15"/>
    </row>
    <row r="40">
      <c r="A40" s="15" t="inlineStr">
        <is>
          <t xml:space="preserve">1</t>
        </is>
      </c>
      <c r="B40" s="15" t="inlineStr">
        <is>
          <t xml:space="preserve">CJ052501/01</t>
        </is>
      </c>
      <c r="C40" s="15" t="inlineStr">
        <is>
          <t xml:space="preserve">P050162</t>
        </is>
      </c>
      <c r="D40" s="15" t="inlineStr">
        <is>
          <t xml:space="preserve">Cap Junky</t>
        </is>
      </c>
      <c r="E40" s="15" t="inlineStr">
        <is>
          <t xml:space="preserve">1 Identification A — appearance</t>
        </is>
      </c>
      <c r="F40" s="15" t="inlineStr">
        <is>
          <t xml:space="preserve">CITED</t>
        </is>
      </c>
      <c r="G40" s="15" t="inlineStr">
        <is>
          <t xml:space="preserve">iCoA-PP_26-022</t>
        </is>
      </c>
      <c r="H40" s="15" t="inlineStr">
        <is>
          <t xml:space="preserve">30.09.2025</t>
        </is>
      </c>
      <c r="I40" s="15" t="inlineStr">
        <is>
          <t xml:space="preserve">PP</t>
        </is>
      </c>
      <c r="J40" s="15" t="inlineStr">
        <is>
          <t xml:space="preserve">planned, NOT ISSUED (2026-05-15)</t>
        </is>
      </c>
      <c r="K40" s="15" t="inlineStr">
        <is>
          <t xml:space="preserve">YES — the certificate has not been issued</t>
        </is>
      </c>
      <c r="L40" s="15" t="inlineStr">
        <is>
          <t xml:space="preserve">Conforms</t>
        </is>
      </c>
      <c r="M40" s="15"/>
    </row>
    <row r="41">
      <c r="A41" s="15" t="inlineStr">
        <is>
          <t xml:space="preserve">1</t>
        </is>
      </c>
      <c r="B41" s="15" t="inlineStr">
        <is>
          <t xml:space="preserve">CJ052501/01</t>
        </is>
      </c>
      <c r="C41" s="15" t="inlineStr">
        <is>
          <t xml:space="preserve">P050162</t>
        </is>
      </c>
      <c r="D41" s="15" t="inlineStr">
        <is>
          <t xml:space="preserve">Cap Junky</t>
        </is>
      </c>
      <c r="E41" s="15" t="inlineStr">
        <is>
          <t xml:space="preserve">2 Identification B — microscopy</t>
        </is>
      </c>
      <c r="F41" s="15" t="inlineStr">
        <is>
          <t xml:space="preserve">CITED</t>
        </is>
      </c>
      <c r="G41" s="15" t="inlineStr">
        <is>
          <t xml:space="preserve">iCoA-PP_26-022</t>
        </is>
      </c>
      <c r="H41" s="15" t="inlineStr">
        <is>
          <t xml:space="preserve">30.09.2025</t>
        </is>
      </c>
      <c r="I41" s="15" t="inlineStr">
        <is>
          <t xml:space="preserve">PP</t>
        </is>
      </c>
      <c r="J41" s="15" t="inlineStr">
        <is>
          <t xml:space="preserve">planned, NOT ISSUED (2026-05-15)</t>
        </is>
      </c>
      <c r="K41" s="15" t="inlineStr">
        <is>
          <t xml:space="preserve">YES — the certificate has not been issued</t>
        </is>
      </c>
      <c r="L41" s="15" t="inlineStr">
        <is>
          <t xml:space="preserve">Conforms</t>
        </is>
      </c>
      <c r="M41" s="15"/>
    </row>
    <row r="42">
      <c r="A42" s="15" t="inlineStr">
        <is>
          <t xml:space="preserve">1</t>
        </is>
      </c>
      <c r="B42" s="15" t="inlineStr">
        <is>
          <t xml:space="preserve">CJ052501/01</t>
        </is>
      </c>
      <c r="C42" s="15" t="inlineStr">
        <is>
          <t xml:space="preserve">P050162</t>
        </is>
      </c>
      <c r="D42" s="15" t="inlineStr">
        <is>
          <t xml:space="preserve">Cap Junky</t>
        </is>
      </c>
      <c r="E42" s="15" t="inlineStr">
        <is>
          <t xml:space="preserve">3 Identification C — HPLC</t>
        </is>
      </c>
      <c r="F42" s="15" t="inlineStr">
        <is>
          <t xml:space="preserve">CITED</t>
        </is>
      </c>
      <c r="G42" s="15" t="inlineStr">
        <is>
          <t xml:space="preserve">ППК25280</t>
        </is>
      </c>
      <c r="H42" s="15" t="inlineStr">
        <is>
          <t xml:space="preserve">17.09.2025</t>
        </is>
      </c>
      <c r="I42" s="15" t="inlineStr">
        <is>
          <t xml:space="preserve">CNP</t>
        </is>
      </c>
      <c r="J42" s="15" t="inlineStr">
        <is>
          <t xml:space="preserve">in eCoA_DATABASE</t>
        </is>
      </c>
      <c r="K42" s="15"/>
      <c r="L42" s="15" t="inlineStr">
        <is>
          <t xml:space="preserve">Conforms (ImB spec.)</t>
        </is>
      </c>
      <c r="M42" s="15" t="inlineStr">
        <is>
          <t xml:space="preserve">197-3-K/26</t>
        </is>
      </c>
    </row>
    <row r="43">
      <c r="A43" s="15" t="inlineStr">
        <is>
          <t xml:space="preserve">1</t>
        </is>
      </c>
      <c r="B43" s="15" t="inlineStr">
        <is>
          <t xml:space="preserve">CJ052501/01</t>
        </is>
      </c>
      <c r="C43" s="15" t="inlineStr">
        <is>
          <t xml:space="preserve">P050162</t>
        </is>
      </c>
      <c r="D43" s="15" t="inlineStr">
        <is>
          <t xml:space="preserve">Cap Junky</t>
        </is>
      </c>
      <c r="E43" s="15" t="inlineStr">
        <is>
          <t xml:space="preserve">4 Assay — Total Δ⁹-THC</t>
        </is>
      </c>
      <c r="F43" s="15" t="inlineStr">
        <is>
          <t xml:space="preserve">CITED</t>
        </is>
      </c>
      <c r="G43" s="15" t="inlineStr">
        <is>
          <t xml:space="preserve">ППК25280</t>
        </is>
      </c>
      <c r="H43" s="15" t="inlineStr">
        <is>
          <t xml:space="preserve">17.09.2025</t>
        </is>
      </c>
      <c r="I43" s="15" t="inlineStr">
        <is>
          <t xml:space="preserve">CNP</t>
        </is>
      </c>
      <c r="J43" s="15" t="inlineStr">
        <is>
          <t xml:space="preserve">in eCoA_DATABASE</t>
        </is>
      </c>
      <c r="K43" s="15"/>
      <c r="L43" s="15" t="inlineStr">
        <is>
          <t xml:space="preserve">20.29</t>
        </is>
      </c>
      <c r="M43" s="15" t="inlineStr">
        <is>
          <t xml:space="preserve">197-3-K/26</t>
        </is>
      </c>
    </row>
    <row r="44">
      <c r="A44" s="15" t="inlineStr">
        <is>
          <t xml:space="preserve">1</t>
        </is>
      </c>
      <c r="B44" s="15" t="inlineStr">
        <is>
          <t xml:space="preserve">CJ052501/01</t>
        </is>
      </c>
      <c r="C44" s="15" t="inlineStr">
        <is>
          <t xml:space="preserve">P050162</t>
        </is>
      </c>
      <c r="D44" s="15" t="inlineStr">
        <is>
          <t xml:space="preserve">Cap Junky</t>
        </is>
      </c>
      <c r="E44" s="15" t="inlineStr">
        <is>
          <t xml:space="preserve">5 Assay — Total CBD</t>
        </is>
      </c>
      <c r="F44" s="15" t="inlineStr">
        <is>
          <t xml:space="preserve">CITED</t>
        </is>
      </c>
      <c r="G44" s="15" t="inlineStr">
        <is>
          <t xml:space="preserve">ППК25280</t>
        </is>
      </c>
      <c r="H44" s="15" t="inlineStr">
        <is>
          <t xml:space="preserve">17.09.2025</t>
        </is>
      </c>
      <c r="I44" s="15" t="inlineStr">
        <is>
          <t xml:space="preserve">CNP</t>
        </is>
      </c>
      <c r="J44" s="15" t="inlineStr">
        <is>
          <t xml:space="preserve">in eCoA_DATABASE</t>
        </is>
      </c>
      <c r="K44" s="15"/>
      <c r="L44" s="15" t="inlineStr">
        <is>
          <t xml:space="preserve">0.07</t>
        </is>
      </c>
      <c r="M44" s="15" t="inlineStr">
        <is>
          <t xml:space="preserve">197-3-K/26</t>
        </is>
      </c>
    </row>
    <row r="45">
      <c r="A45" s="15" t="inlineStr">
        <is>
          <t xml:space="preserve">1</t>
        </is>
      </c>
      <c r="B45" s="15" t="inlineStr">
        <is>
          <t xml:space="preserve">CJ052501/01</t>
        </is>
      </c>
      <c r="C45" s="15" t="inlineStr">
        <is>
          <t xml:space="preserve">P050162</t>
        </is>
      </c>
      <c r="D45" s="15" t="inlineStr">
        <is>
          <t xml:space="preserve">Cap Junky</t>
        </is>
      </c>
      <c r="E45" s="15" t="inlineStr">
        <is>
          <t xml:space="preserve">6 Total CBN</t>
        </is>
      </c>
      <c r="F45" s="15" t="inlineStr">
        <is>
          <t xml:space="preserve">CITED</t>
        </is>
      </c>
      <c r="G45" s="15" t="inlineStr">
        <is>
          <t xml:space="preserve">ППК25280</t>
        </is>
      </c>
      <c r="H45" s="15" t="inlineStr">
        <is>
          <t xml:space="preserve">17.09.2025</t>
        </is>
      </c>
      <c r="I45" s="15" t="inlineStr">
        <is>
          <t xml:space="preserve">CNP</t>
        </is>
      </c>
      <c r="J45" s="15" t="inlineStr">
        <is>
          <t xml:space="preserve">in eCoA_DATABASE</t>
        </is>
      </c>
      <c r="K45" s="15"/>
      <c r="L45" s="15" t="inlineStr">
        <is>
          <t xml:space="preserve">0.02 ᴰ</t>
        </is>
      </c>
      <c r="M45" s="15" t="inlineStr">
        <is>
          <t xml:space="preserve">197-3-K/26</t>
        </is>
      </c>
    </row>
    <row r="46">
      <c r="A46" s="15" t="inlineStr">
        <is>
          <t xml:space="preserve">1</t>
        </is>
      </c>
      <c r="B46" s="15" t="inlineStr">
        <is>
          <t xml:space="preserve">CJ052501/01</t>
        </is>
      </c>
      <c r="C46" s="15" t="inlineStr">
        <is>
          <t xml:space="preserve">P050162</t>
        </is>
      </c>
      <c r="D46" s="15" t="inlineStr">
        <is>
          <t xml:space="preserve">Cap Junky</t>
        </is>
      </c>
      <c r="E46" s="15" t="inlineStr">
        <is>
          <t xml:space="preserve">7 Foreign matter</t>
        </is>
      </c>
      <c r="F46" s="15" t="inlineStr">
        <is>
          <t xml:space="preserve">CITED</t>
        </is>
      </c>
      <c r="G46" s="15" t="inlineStr">
        <is>
          <t xml:space="preserve">iCoA-PP_26-022</t>
        </is>
      </c>
      <c r="H46" s="15" t="inlineStr">
        <is>
          <t xml:space="preserve">30.09.2025</t>
        </is>
      </c>
      <c r="I46" s="15" t="inlineStr">
        <is>
          <t xml:space="preserve">PP</t>
        </is>
      </c>
      <c r="J46" s="15" t="inlineStr">
        <is>
          <t xml:space="preserve">planned, NOT ISSUED (2026-05-15)</t>
        </is>
      </c>
      <c r="K46" s="15" t="inlineStr">
        <is>
          <t xml:space="preserve">YES — the certificate has not been issued</t>
        </is>
      </c>
      <c r="L46" s="15" t="inlineStr">
        <is>
          <t xml:space="preserve">Conforms</t>
        </is>
      </c>
      <c r="M46" s="15"/>
    </row>
    <row r="47">
      <c r="A47" s="15" t="inlineStr">
        <is>
          <t xml:space="preserve">1</t>
        </is>
      </c>
      <c r="B47" s="15" t="inlineStr">
        <is>
          <t xml:space="preserve">CJ052501/01</t>
        </is>
      </c>
      <c r="C47" s="15" t="inlineStr">
        <is>
          <t xml:space="preserve">P050162</t>
        </is>
      </c>
      <c r="D47" s="15" t="inlineStr">
        <is>
          <t xml:space="preserve">Cap Junky</t>
        </is>
      </c>
      <c r="E47" s="15" t="inlineStr">
        <is>
          <t xml:space="preserve">8 Loss on drying</t>
        </is>
      </c>
      <c r="F47" s="15" t="inlineStr">
        <is>
          <t xml:space="preserve">CITED</t>
        </is>
      </c>
      <c r="G47" s="15" t="inlineStr">
        <is>
          <t xml:space="preserve">ППК25280</t>
        </is>
      </c>
      <c r="H47" s="15" t="inlineStr">
        <is>
          <t xml:space="preserve">17.09.2025</t>
        </is>
      </c>
      <c r="I47" s="15" t="inlineStr">
        <is>
          <t xml:space="preserve">CNP</t>
        </is>
      </c>
      <c r="J47" s="15" t="inlineStr">
        <is>
          <t xml:space="preserve">in eCoA_DATABASE</t>
        </is>
      </c>
      <c r="K47" s="15"/>
      <c r="L47" s="15" t="inlineStr">
        <is>
          <t xml:space="preserve">7.93</t>
        </is>
      </c>
      <c r="M47" s="15"/>
    </row>
    <row r="48">
      <c r="A48" s="15" t="inlineStr">
        <is>
          <t xml:space="preserve">1</t>
        </is>
      </c>
      <c r="B48" s="15" t="inlineStr">
        <is>
          <t xml:space="preserve">CJ052501/01</t>
        </is>
      </c>
      <c r="C48" s="15" t="inlineStr">
        <is>
          <t xml:space="preserve">P050162</t>
        </is>
      </c>
      <c r="D48" s="15" t="inlineStr">
        <is>
          <t xml:space="preserve">Cap Junky</t>
        </is>
      </c>
      <c r="E48" s="15" t="inlineStr">
        <is>
          <t xml:space="preserve">9 Microbiological purity</t>
        </is>
      </c>
      <c r="F48" s="15" t="inlineStr">
        <is>
          <t xml:space="preserve">CITED</t>
        </is>
      </c>
      <c r="G48" s="15" t="inlineStr">
        <is>
          <t xml:space="preserve">949-1687-25</t>
        </is>
      </c>
      <c r="H48" s="15" t="inlineStr">
        <is>
          <t xml:space="preserve">17.09.2025</t>
        </is>
      </c>
      <c r="I48" s="15" t="inlineStr">
        <is>
          <t xml:space="preserve">IJZ-MB</t>
        </is>
      </c>
      <c r="J48" s="15" t="inlineStr">
        <is>
          <t xml:space="preserve">in eCoA_DATABASE</t>
        </is>
      </c>
      <c r="K48" s="15"/>
      <c r="L48" s="15" t="inlineStr">
        <is>
          <t xml:space="preserve">2.8×10⁴; 1.7×10⁴; &lt;10³ and &gt;10² ᴿ; Одговара; Одговара</t>
        </is>
      </c>
      <c r="M48" s="15"/>
    </row>
    <row r="49">
      <c r="A49" s="15" t="inlineStr">
        <is>
          <t xml:space="preserve">1</t>
        </is>
      </c>
      <c r="B49" s="15" t="inlineStr">
        <is>
          <t xml:space="preserve">CJ052501/01</t>
        </is>
      </c>
      <c r="C49" s="15" t="inlineStr">
        <is>
          <t xml:space="preserve">P050162</t>
        </is>
      </c>
      <c r="D49" s="15" t="inlineStr">
        <is>
          <t xml:space="preserve">Cap Junky</t>
        </is>
      </c>
      <c r="E49" s="15" t="inlineStr">
        <is>
          <t xml:space="preserve">10 Mycotoxins</t>
        </is>
      </c>
      <c r="F49" s="15" t="inlineStr">
        <is>
          <t xml:space="preserve">CITED</t>
        </is>
      </c>
      <c r="G49" s="15" t="inlineStr">
        <is>
          <t xml:space="preserve">4350-2025</t>
        </is>
      </c>
      <c r="H49" s="15" t="inlineStr">
        <is>
          <t xml:space="preserve">15.09.2025</t>
        </is>
      </c>
      <c r="I49" s="15" t="inlineStr">
        <is>
          <t xml:space="preserve">IJZ</t>
        </is>
      </c>
      <c r="J49" s="15" t="inlineStr">
        <is>
          <t xml:space="preserve">in eCoA_DATABASE</t>
        </is>
      </c>
      <c r="K49" s="15"/>
      <c r="L49" s="15" t="inlineStr">
        <is>
          <t xml:space="preserve">n.r.; &lt;2; n.r.</t>
        </is>
      </c>
      <c r="M49" s="15" t="inlineStr">
        <is>
          <t xml:space="preserve">197-3-M/26</t>
        </is>
      </c>
    </row>
    <row r="50">
      <c r="A50" s="15" t="inlineStr">
        <is>
          <t xml:space="preserve">1</t>
        </is>
      </c>
      <c r="B50" s="15" t="inlineStr">
        <is>
          <t xml:space="preserve">CJ052501/01</t>
        </is>
      </c>
      <c r="C50" s="15" t="inlineStr">
        <is>
          <t xml:space="preserve">P050162</t>
        </is>
      </c>
      <c r="D50" s="15" t="inlineStr">
        <is>
          <t xml:space="preserve">Cap Junky</t>
        </is>
      </c>
      <c r="E50" s="15" t="inlineStr">
        <is>
          <t xml:space="preserve">11 Heavy metals</t>
        </is>
      </c>
      <c r="F50" s="15" t="inlineStr">
        <is>
          <t xml:space="preserve">CITED</t>
        </is>
      </c>
      <c r="G50" s="15" t="inlineStr">
        <is>
          <t xml:space="preserve">4350-2025</t>
        </is>
      </c>
      <c r="H50" s="15" t="inlineStr">
        <is>
          <t xml:space="preserve">15.09.2025</t>
        </is>
      </c>
      <c r="I50" s="15" t="inlineStr">
        <is>
          <t xml:space="preserve">IJZ</t>
        </is>
      </c>
      <c r="J50" s="15" t="inlineStr">
        <is>
          <t xml:space="preserve">in eCoA_DATABASE</t>
        </is>
      </c>
      <c r="K50" s="15"/>
      <c r="L50" s="15" t="inlineStr">
        <is>
          <t xml:space="preserve">0.085; Н.Д.; Н.Д.; Н.Д.</t>
        </is>
      </c>
      <c r="M50" s="15"/>
    </row>
    <row r="51">
      <c r="A51" s="15" t="inlineStr">
        <is>
          <t xml:space="preserve">1</t>
        </is>
      </c>
      <c r="B51" s="15" t="inlineStr">
        <is>
          <t xml:space="preserve">CJ052501/01</t>
        </is>
      </c>
      <c r="C51" s="15" t="inlineStr">
        <is>
          <t xml:space="preserve">P050162</t>
        </is>
      </c>
      <c r="D51" s="15" t="inlineStr">
        <is>
          <t xml:space="preserve">Cap Junky</t>
        </is>
      </c>
      <c r="E51" s="15" t="inlineStr">
        <is>
          <t xml:space="preserve">12 Pesticide residues</t>
        </is>
      </c>
      <c r="F51" s="15" t="inlineStr">
        <is>
          <t xml:space="preserve">CITED</t>
        </is>
      </c>
      <c r="G51" s="15" t="inlineStr">
        <is>
          <t xml:space="preserve">4350-2025</t>
        </is>
      </c>
      <c r="H51" s="15" t="inlineStr">
        <is>
          <t xml:space="preserve">15.09.2025</t>
        </is>
      </c>
      <c r="I51" s="15" t="inlineStr">
        <is>
          <t xml:space="preserve">IJZ</t>
        </is>
      </c>
      <c r="J51" s="15" t="inlineStr">
        <is>
          <t xml:space="preserve">in eCoA_DATABASE</t>
        </is>
      </c>
      <c r="K51" s="15"/>
      <c r="L51" s="15" t="inlineStr">
        <is>
          <t xml:space="preserve">≤ LOQ (all 24 compounds)</t>
        </is>
      </c>
      <c r="M51" s="15"/>
    </row>
    <row r="52">
      <c r="A52" s="15" t="inlineStr">
        <is>
          <t xml:space="preserve">1</t>
        </is>
      </c>
      <c r="B52" s="15" t="inlineStr">
        <is>
          <t xml:space="preserve">CJ062501/2</t>
        </is>
      </c>
      <c r="C52" s="15" t="inlineStr">
        <is>
          <t xml:space="preserve">P050212</t>
        </is>
      </c>
      <c r="D52" s="15" t="inlineStr">
        <is>
          <t xml:space="preserve">Cap Junky</t>
        </is>
      </c>
      <c r="E52" s="15" t="inlineStr">
        <is>
          <t xml:space="preserve">1 Identification A — appearance</t>
        </is>
      </c>
      <c r="F52" s="15" t="inlineStr">
        <is>
          <t xml:space="preserve">CITED</t>
        </is>
      </c>
      <c r="G52" s="15" t="inlineStr">
        <is>
          <t xml:space="preserve">iCoA-PP_26-027</t>
        </is>
      </c>
      <c r="H52" s="15" t="inlineStr">
        <is>
          <t xml:space="preserve">18.11.2025</t>
        </is>
      </c>
      <c r="I52" s="15" t="inlineStr">
        <is>
          <t xml:space="preserve">PP</t>
        </is>
      </c>
      <c r="J52" s="15" t="inlineStr">
        <is>
          <t xml:space="preserve">planned, NOT ISSUED (2026-05-15)</t>
        </is>
      </c>
      <c r="K52" s="15" t="inlineStr">
        <is>
          <t xml:space="preserve">YES — the certificate has not been issued</t>
        </is>
      </c>
      <c r="L52" s="15" t="inlineStr">
        <is>
          <t xml:space="preserve">Conforms</t>
        </is>
      </c>
      <c r="M52" s="15"/>
    </row>
    <row r="53">
      <c r="A53" s="15" t="inlineStr">
        <is>
          <t xml:space="preserve">1</t>
        </is>
      </c>
      <c r="B53" s="15" t="inlineStr">
        <is>
          <t xml:space="preserve">CJ062501/2</t>
        </is>
      </c>
      <c r="C53" s="15" t="inlineStr">
        <is>
          <t xml:space="preserve">P050212</t>
        </is>
      </c>
      <c r="D53" s="15" t="inlineStr">
        <is>
          <t xml:space="preserve">Cap Junky</t>
        </is>
      </c>
      <c r="E53" s="15" t="inlineStr">
        <is>
          <t xml:space="preserve">2 Identification B — microscopy</t>
        </is>
      </c>
      <c r="F53" s="15" t="inlineStr">
        <is>
          <t xml:space="preserve">CITED</t>
        </is>
      </c>
      <c r="G53" s="15" t="inlineStr">
        <is>
          <t xml:space="preserve">iCoA-PP_26-027</t>
        </is>
      </c>
      <c r="H53" s="15" t="inlineStr">
        <is>
          <t xml:space="preserve">18.11.2025</t>
        </is>
      </c>
      <c r="I53" s="15" t="inlineStr">
        <is>
          <t xml:space="preserve">PP</t>
        </is>
      </c>
      <c r="J53" s="15" t="inlineStr">
        <is>
          <t xml:space="preserve">planned, NOT ISSUED (2026-05-15)</t>
        </is>
      </c>
      <c r="K53" s="15" t="inlineStr">
        <is>
          <t xml:space="preserve">YES — the certificate has not been issued</t>
        </is>
      </c>
      <c r="L53" s="15" t="inlineStr">
        <is>
          <t xml:space="preserve">Conforms</t>
        </is>
      </c>
      <c r="M53" s="15"/>
    </row>
    <row r="54">
      <c r="A54" s="15" t="inlineStr">
        <is>
          <t xml:space="preserve">1</t>
        </is>
      </c>
      <c r="B54" s="15" t="inlineStr">
        <is>
          <t xml:space="preserve">CJ062501/2</t>
        </is>
      </c>
      <c r="C54" s="15" t="inlineStr">
        <is>
          <t xml:space="preserve">P050212</t>
        </is>
      </c>
      <c r="D54" s="15" t="inlineStr">
        <is>
          <t xml:space="preserve">Cap Junky</t>
        </is>
      </c>
      <c r="E54" s="15" t="inlineStr">
        <is>
          <t xml:space="preserve">3 Identification C — HPLC</t>
        </is>
      </c>
      <c r="F54" s="15" t="inlineStr">
        <is>
          <t xml:space="preserve">CITED</t>
        </is>
      </c>
      <c r="G54" s="15" t="inlineStr">
        <is>
          <t xml:space="preserve">ППК25322</t>
        </is>
      </c>
      <c r="H54" s="15" t="inlineStr">
        <is>
          <t xml:space="preserve">23.10.2025</t>
        </is>
      </c>
      <c r="I54" s="15" t="inlineStr">
        <is>
          <t xml:space="preserve">CNP</t>
        </is>
      </c>
      <c r="J54" s="15" t="inlineStr">
        <is>
          <t xml:space="preserve">in eCoA_DATABASE</t>
        </is>
      </c>
      <c r="K54" s="15"/>
      <c r="L54" s="15" t="inlineStr">
        <is>
          <t xml:space="preserve">Conforms (ImB spec.)</t>
        </is>
      </c>
      <c r="M54" s="15" t="inlineStr">
        <is>
          <t xml:space="preserve">197-4-K/26</t>
        </is>
      </c>
    </row>
    <row r="55">
      <c r="A55" s="15" t="inlineStr">
        <is>
          <t xml:space="preserve">1</t>
        </is>
      </c>
      <c r="B55" s="15" t="inlineStr">
        <is>
          <t xml:space="preserve">CJ062501/2</t>
        </is>
      </c>
      <c r="C55" s="15" t="inlineStr">
        <is>
          <t xml:space="preserve">P050212</t>
        </is>
      </c>
      <c r="D55" s="15" t="inlineStr">
        <is>
          <t xml:space="preserve">Cap Junky</t>
        </is>
      </c>
      <c r="E55" s="15" t="inlineStr">
        <is>
          <t xml:space="preserve">4 Assay — Total Δ⁹-THC</t>
        </is>
      </c>
      <c r="F55" s="15" t="inlineStr">
        <is>
          <t xml:space="preserve">CITED</t>
        </is>
      </c>
      <c r="G55" s="15" t="inlineStr">
        <is>
          <t xml:space="preserve">ППК25322</t>
        </is>
      </c>
      <c r="H55" s="15" t="inlineStr">
        <is>
          <t xml:space="preserve">23.10.2025</t>
        </is>
      </c>
      <c r="I55" s="15" t="inlineStr">
        <is>
          <t xml:space="preserve">CNP</t>
        </is>
      </c>
      <c r="J55" s="15" t="inlineStr">
        <is>
          <t xml:space="preserve">in eCoA_DATABASE</t>
        </is>
      </c>
      <c r="K55" s="15"/>
      <c r="L55" s="15" t="inlineStr">
        <is>
          <t xml:space="preserve">16.56</t>
        </is>
      </c>
      <c r="M55" s="15" t="inlineStr">
        <is>
          <t xml:space="preserve">197-4-K/26</t>
        </is>
      </c>
    </row>
    <row r="56">
      <c r="A56" s="15" t="inlineStr">
        <is>
          <t xml:space="preserve">1</t>
        </is>
      </c>
      <c r="B56" s="15" t="inlineStr">
        <is>
          <t xml:space="preserve">CJ062501/2</t>
        </is>
      </c>
      <c r="C56" s="15" t="inlineStr">
        <is>
          <t xml:space="preserve">P050212</t>
        </is>
      </c>
      <c r="D56" s="15" t="inlineStr">
        <is>
          <t xml:space="preserve">Cap Junky</t>
        </is>
      </c>
      <c r="E56" s="15" t="inlineStr">
        <is>
          <t xml:space="preserve">5 Assay — Total CBD</t>
        </is>
      </c>
      <c r="F56" s="15" t="inlineStr">
        <is>
          <t xml:space="preserve">CITED</t>
        </is>
      </c>
      <c r="G56" s="15" t="inlineStr">
        <is>
          <t xml:space="preserve">ППК25322</t>
        </is>
      </c>
      <c r="H56" s="15" t="inlineStr">
        <is>
          <t xml:space="preserve">23.10.2025</t>
        </is>
      </c>
      <c r="I56" s="15" t="inlineStr">
        <is>
          <t xml:space="preserve">CNP</t>
        </is>
      </c>
      <c r="J56" s="15" t="inlineStr">
        <is>
          <t xml:space="preserve">in eCoA_DATABASE</t>
        </is>
      </c>
      <c r="K56" s="15"/>
      <c r="L56" s="15" t="inlineStr">
        <is>
          <t xml:space="preserve">0.14</t>
        </is>
      </c>
      <c r="M56" s="15" t="inlineStr">
        <is>
          <t xml:space="preserve">197-4-K/26</t>
        </is>
      </c>
    </row>
    <row r="57">
      <c r="A57" s="15" t="inlineStr">
        <is>
          <t xml:space="preserve">1</t>
        </is>
      </c>
      <c r="B57" s="15" t="inlineStr">
        <is>
          <t xml:space="preserve">CJ062501/2</t>
        </is>
      </c>
      <c r="C57" s="15" t="inlineStr">
        <is>
          <t xml:space="preserve">P050212</t>
        </is>
      </c>
      <c r="D57" s="15" t="inlineStr">
        <is>
          <t xml:space="preserve">Cap Junky</t>
        </is>
      </c>
      <c r="E57" s="15" t="inlineStr">
        <is>
          <t xml:space="preserve">6 Total CBN</t>
        </is>
      </c>
      <c r="F57" s="15" t="inlineStr">
        <is>
          <t xml:space="preserve">CITED</t>
        </is>
      </c>
      <c r="G57" s="15" t="inlineStr">
        <is>
          <t xml:space="preserve">ППК25322</t>
        </is>
      </c>
      <c r="H57" s="15" t="inlineStr">
        <is>
          <t xml:space="preserve">23.10.2025</t>
        </is>
      </c>
      <c r="I57" s="15" t="inlineStr">
        <is>
          <t xml:space="preserve">CNP</t>
        </is>
      </c>
      <c r="J57" s="15" t="inlineStr">
        <is>
          <t xml:space="preserve">in eCoA_DATABASE</t>
        </is>
      </c>
      <c r="K57" s="15"/>
      <c r="L57" s="15" t="inlineStr">
        <is>
          <t xml:space="preserve">BLQ ᴰ</t>
        </is>
      </c>
      <c r="M57" s="15" t="inlineStr">
        <is>
          <t xml:space="preserve">197-4-K/26</t>
        </is>
      </c>
    </row>
    <row r="58">
      <c r="A58" s="15" t="inlineStr">
        <is>
          <t xml:space="preserve">1</t>
        </is>
      </c>
      <c r="B58" s="15" t="inlineStr">
        <is>
          <t xml:space="preserve">CJ062501/2</t>
        </is>
      </c>
      <c r="C58" s="15" t="inlineStr">
        <is>
          <t xml:space="preserve">P050212</t>
        </is>
      </c>
      <c r="D58" s="15" t="inlineStr">
        <is>
          <t xml:space="preserve">Cap Junky</t>
        </is>
      </c>
      <c r="E58" s="15" t="inlineStr">
        <is>
          <t xml:space="preserve">7 Foreign matter</t>
        </is>
      </c>
      <c r="F58" s="15" t="inlineStr">
        <is>
          <t xml:space="preserve">CITED</t>
        </is>
      </c>
      <c r="G58" s="15" t="inlineStr">
        <is>
          <t xml:space="preserve">iCoA-PP_26-027</t>
        </is>
      </c>
      <c r="H58" s="15" t="inlineStr">
        <is>
          <t xml:space="preserve">18.11.2025</t>
        </is>
      </c>
      <c r="I58" s="15" t="inlineStr">
        <is>
          <t xml:space="preserve">PP</t>
        </is>
      </c>
      <c r="J58" s="15" t="inlineStr">
        <is>
          <t xml:space="preserve">planned, NOT ISSUED (2026-05-15)</t>
        </is>
      </c>
      <c r="K58" s="15" t="inlineStr">
        <is>
          <t xml:space="preserve">YES — the certificate has not been issued</t>
        </is>
      </c>
      <c r="L58" s="15" t="inlineStr">
        <is>
          <t xml:space="preserve">Conforms</t>
        </is>
      </c>
      <c r="M58" s="15"/>
    </row>
    <row r="59">
      <c r="A59" s="15" t="inlineStr">
        <is>
          <t xml:space="preserve">1</t>
        </is>
      </c>
      <c r="B59" s="15" t="inlineStr">
        <is>
          <t xml:space="preserve">CJ062501/2</t>
        </is>
      </c>
      <c r="C59" s="15" t="inlineStr">
        <is>
          <t xml:space="preserve">P050212</t>
        </is>
      </c>
      <c r="D59" s="15" t="inlineStr">
        <is>
          <t xml:space="preserve">Cap Junky</t>
        </is>
      </c>
      <c r="E59" s="15" t="inlineStr">
        <is>
          <t xml:space="preserve">8 Loss on drying</t>
        </is>
      </c>
      <c r="F59" s="15" t="inlineStr">
        <is>
          <t xml:space="preserve">CITED</t>
        </is>
      </c>
      <c r="G59" s="15" t="inlineStr">
        <is>
          <t xml:space="preserve">ППК25322</t>
        </is>
      </c>
      <c r="H59" s="15" t="inlineStr">
        <is>
          <t xml:space="preserve">23.10.2025</t>
        </is>
      </c>
      <c r="I59" s="15" t="inlineStr">
        <is>
          <t xml:space="preserve">CNP</t>
        </is>
      </c>
      <c r="J59" s="15" t="inlineStr">
        <is>
          <t xml:space="preserve">in eCoA_DATABASE</t>
        </is>
      </c>
      <c r="K59" s="15"/>
      <c r="L59" s="15" t="inlineStr">
        <is>
          <t xml:space="preserve">6.70</t>
        </is>
      </c>
      <c r="M59" s="15"/>
    </row>
    <row r="60">
      <c r="A60" s="15" t="inlineStr">
        <is>
          <t xml:space="preserve">1</t>
        </is>
      </c>
      <c r="B60" s="15" t="inlineStr">
        <is>
          <t xml:space="preserve">CJ062501/2</t>
        </is>
      </c>
      <c r="C60" s="15" t="inlineStr">
        <is>
          <t xml:space="preserve">P050212</t>
        </is>
      </c>
      <c r="D60" s="15" t="inlineStr">
        <is>
          <t xml:space="preserve">Cap Junky</t>
        </is>
      </c>
      <c r="E60" s="15" t="inlineStr">
        <is>
          <t xml:space="preserve">9 Microbiological purity</t>
        </is>
      </c>
      <c r="F60" s="15" t="inlineStr">
        <is>
          <t xml:space="preserve">CITED</t>
        </is>
      </c>
      <c r="G60" s="15" t="inlineStr">
        <is>
          <t xml:space="preserve">1032-1851-25</t>
        </is>
      </c>
      <c r="H60" s="15" t="inlineStr">
        <is>
          <t xml:space="preserve">17.10.2025</t>
        </is>
      </c>
      <c r="I60" s="15" t="inlineStr">
        <is>
          <t xml:space="preserve">IJZ-MB</t>
        </is>
      </c>
      <c r="J60" s="15" t="inlineStr">
        <is>
          <t xml:space="preserve">in eCoA_DATABASE</t>
        </is>
      </c>
      <c r="K60" s="15"/>
      <c r="L60" s="15" t="inlineStr">
        <is>
          <t xml:space="preserve">2.2 x 10⁴; 4.9 x 10⁴; &lt;10⁴ и &gt;10³; Одговара; Одговара</t>
        </is>
      </c>
      <c r="M60" s="15" t="inlineStr">
        <is>
          <t xml:space="preserve">534/1065/26</t>
        </is>
      </c>
    </row>
    <row r="61">
      <c r="A61" s="15" t="inlineStr">
        <is>
          <t xml:space="preserve">1</t>
        </is>
      </c>
      <c r="B61" s="15" t="inlineStr">
        <is>
          <t xml:space="preserve">CJ062501/2</t>
        </is>
      </c>
      <c r="C61" s="15" t="inlineStr">
        <is>
          <t xml:space="preserve">P050212</t>
        </is>
      </c>
      <c r="D61" s="15" t="inlineStr">
        <is>
          <t xml:space="preserve">Cap Junky</t>
        </is>
      </c>
      <c r="E61" s="15" t="inlineStr">
        <is>
          <t xml:space="preserve">10 Mycotoxins</t>
        </is>
      </c>
      <c r="F61" s="15" t="inlineStr">
        <is>
          <t xml:space="preserve">CITED</t>
        </is>
      </c>
      <c r="G61" s="15" t="inlineStr">
        <is>
          <t xml:space="preserve">4908-2025</t>
        </is>
      </c>
      <c r="H61" s="15" t="inlineStr">
        <is>
          <t xml:space="preserve">24.10.2025</t>
        </is>
      </c>
      <c r="I61" s="15" t="inlineStr">
        <is>
          <t xml:space="preserve">IJZ</t>
        </is>
      </c>
      <c r="J61" s="15" t="inlineStr">
        <is>
          <t xml:space="preserve">in eCoA_DATABASE</t>
        </is>
      </c>
      <c r="K61" s="15"/>
      <c r="L61" s="15" t="inlineStr">
        <is>
          <t xml:space="preserve">n.r.; &lt;2; n.r.</t>
        </is>
      </c>
      <c r="M61" s="15" t="inlineStr">
        <is>
          <t xml:space="preserve">197-4-M/26</t>
        </is>
      </c>
    </row>
    <row r="62">
      <c r="A62" s="15" t="inlineStr">
        <is>
          <t xml:space="preserve">1</t>
        </is>
      </c>
      <c r="B62" s="15" t="inlineStr">
        <is>
          <t xml:space="preserve">CJ062501/2</t>
        </is>
      </c>
      <c r="C62" s="15" t="inlineStr">
        <is>
          <t xml:space="preserve">P050212</t>
        </is>
      </c>
      <c r="D62" s="15" t="inlineStr">
        <is>
          <t xml:space="preserve">Cap Junky</t>
        </is>
      </c>
      <c r="E62" s="15" t="inlineStr">
        <is>
          <t xml:space="preserve">11 Heavy metals</t>
        </is>
      </c>
      <c r="F62" s="15" t="inlineStr">
        <is>
          <t xml:space="preserve">CITED</t>
        </is>
      </c>
      <c r="G62" s="15" t="inlineStr">
        <is>
          <t xml:space="preserve">4908-2025</t>
        </is>
      </c>
      <c r="H62" s="15" t="inlineStr">
        <is>
          <t xml:space="preserve">24.10.2025</t>
        </is>
      </c>
      <c r="I62" s="15" t="inlineStr">
        <is>
          <t xml:space="preserve">IJZ</t>
        </is>
      </c>
      <c r="J62" s="15" t="inlineStr">
        <is>
          <t xml:space="preserve">in eCoA_DATABASE</t>
        </is>
      </c>
      <c r="K62" s="15"/>
      <c r="L62" s="15" t="inlineStr">
        <is>
          <t xml:space="preserve">0.026; 0.002; 0.011; 0.012</t>
        </is>
      </c>
      <c r="M62" s="15"/>
    </row>
    <row r="63">
      <c r="A63" s="15" t="inlineStr">
        <is>
          <t xml:space="preserve">1</t>
        </is>
      </c>
      <c r="B63" s="15" t="inlineStr">
        <is>
          <t xml:space="preserve">CJ062501/2</t>
        </is>
      </c>
      <c r="C63" s="15" t="inlineStr">
        <is>
          <t xml:space="preserve">P050212</t>
        </is>
      </c>
      <c r="D63" s="15" t="inlineStr">
        <is>
          <t xml:space="preserve">Cap Junky</t>
        </is>
      </c>
      <c r="E63" s="15" t="inlineStr">
        <is>
          <t xml:space="preserve">12 Pesticide residues</t>
        </is>
      </c>
      <c r="F63" s="15" t="inlineStr">
        <is>
          <t xml:space="preserve">CITED</t>
        </is>
      </c>
      <c r="G63" s="15" t="inlineStr">
        <is>
          <t xml:space="preserve">4908-2025</t>
        </is>
      </c>
      <c r="H63" s="15" t="inlineStr">
        <is>
          <t xml:space="preserve">24.10.2025</t>
        </is>
      </c>
      <c r="I63" s="15" t="inlineStr">
        <is>
          <t xml:space="preserve">IJZ</t>
        </is>
      </c>
      <c r="J63" s="15" t="inlineStr">
        <is>
          <t xml:space="preserve">in eCoA_DATABASE</t>
        </is>
      </c>
      <c r="K63" s="15"/>
      <c r="L63" s="15" t="inlineStr">
        <is>
          <t xml:space="preserve">≤ LOQ (all 28 compounds)</t>
        </is>
      </c>
      <c r="M63" s="15"/>
    </row>
    <row r="64">
      <c r="A64" s="15" t="inlineStr">
        <is>
          <t xml:space="preserve">1</t>
        </is>
      </c>
      <c r="B64" s="15" t="inlineStr">
        <is>
          <t xml:space="preserve">CJ082501/2</t>
        </is>
      </c>
      <c r="C64" s="15" t="inlineStr">
        <is>
          <t xml:space="preserve">P060032</t>
        </is>
      </c>
      <c r="D64" s="15" t="inlineStr">
        <is>
          <t xml:space="preserve">Cap Junky</t>
        </is>
      </c>
      <c r="E64" s="15" t="inlineStr">
        <is>
          <t xml:space="preserve">1 Identification A — appearance</t>
        </is>
      </c>
      <c r="F64" s="15" t="inlineStr">
        <is>
          <t xml:space="preserve">CITED</t>
        </is>
      </c>
      <c r="G64" s="15" t="inlineStr">
        <is>
          <t xml:space="preserve">iCoA-PP_26-039</t>
        </is>
      </c>
      <c r="H64" s="15" t="inlineStr">
        <is>
          <t xml:space="preserve">29.01.2026</t>
        </is>
      </c>
      <c r="I64" s="15" t="inlineStr">
        <is>
          <t xml:space="preserve">PP</t>
        </is>
      </c>
      <c r="J64" s="15" t="inlineStr">
        <is>
          <t xml:space="preserve">planned, NOT ISSUED (2026-05-15)</t>
        </is>
      </c>
      <c r="K64" s="15" t="inlineStr">
        <is>
          <t xml:space="preserve">YES — the certificate has not been issued</t>
        </is>
      </c>
      <c r="L64" s="15" t="inlineStr">
        <is>
          <t xml:space="preserve">Conforms</t>
        </is>
      </c>
      <c r="M64" s="15"/>
    </row>
    <row r="65">
      <c r="A65" s="15" t="inlineStr">
        <is>
          <t xml:space="preserve">1</t>
        </is>
      </c>
      <c r="B65" s="15" t="inlineStr">
        <is>
          <t xml:space="preserve">CJ082501/2</t>
        </is>
      </c>
      <c r="C65" s="15" t="inlineStr">
        <is>
          <t xml:space="preserve">P060032</t>
        </is>
      </c>
      <c r="D65" s="15" t="inlineStr">
        <is>
          <t xml:space="preserve">Cap Junky</t>
        </is>
      </c>
      <c r="E65" s="15" t="inlineStr">
        <is>
          <t xml:space="preserve">2 Identification B — microscopy</t>
        </is>
      </c>
      <c r="F65" s="15" t="inlineStr">
        <is>
          <t xml:space="preserve">CITED</t>
        </is>
      </c>
      <c r="G65" s="15" t="inlineStr">
        <is>
          <t xml:space="preserve">iCoA-PP_26-039</t>
        </is>
      </c>
      <c r="H65" s="15" t="inlineStr">
        <is>
          <t xml:space="preserve">29.01.2026</t>
        </is>
      </c>
      <c r="I65" s="15" t="inlineStr">
        <is>
          <t xml:space="preserve">PP</t>
        </is>
      </c>
      <c r="J65" s="15" t="inlineStr">
        <is>
          <t xml:space="preserve">planned, NOT ISSUED (2026-05-15)</t>
        </is>
      </c>
      <c r="K65" s="15" t="inlineStr">
        <is>
          <t xml:space="preserve">YES — the certificate has not been issued</t>
        </is>
      </c>
      <c r="L65" s="15" t="inlineStr">
        <is>
          <t xml:space="preserve">Conforms</t>
        </is>
      </c>
      <c r="M65" s="15"/>
    </row>
    <row r="66">
      <c r="A66" s="15" t="inlineStr">
        <is>
          <t xml:space="preserve">1</t>
        </is>
      </c>
      <c r="B66" s="15" t="inlineStr">
        <is>
          <t xml:space="preserve">CJ082501/2</t>
        </is>
      </c>
      <c r="C66" s="15" t="inlineStr">
        <is>
          <t xml:space="preserve">P060032</t>
        </is>
      </c>
      <c r="D66" s="15" t="inlineStr">
        <is>
          <t xml:space="preserve">Cap Junky</t>
        </is>
      </c>
      <c r="E66" s="15" t="inlineStr">
        <is>
          <t xml:space="preserve">3 Identification C — HPLC</t>
        </is>
      </c>
      <c r="F66" s="15" t="inlineStr">
        <is>
          <t xml:space="preserve">CITED</t>
        </is>
      </c>
      <c r="G66" s="15" t="inlineStr">
        <is>
          <t xml:space="preserve">ППК26003</t>
        </is>
      </c>
      <c r="H66" s="15" t="inlineStr">
        <is>
          <t xml:space="preserve">21.01.2026</t>
        </is>
      </c>
      <c r="I66" s="15" t="inlineStr">
        <is>
          <t xml:space="preserve">CNP</t>
        </is>
      </c>
      <c r="J66" s="15" t="inlineStr">
        <is>
          <t xml:space="preserve">in eCoA_DATABASE</t>
        </is>
      </c>
      <c r="K66" s="15"/>
      <c r="L66" s="15" t="inlineStr">
        <is>
          <t xml:space="preserve">Conforms (ImB spec.)</t>
        </is>
      </c>
      <c r="M66" s="15" t="inlineStr">
        <is>
          <t xml:space="preserve">197-5-K/26</t>
        </is>
      </c>
    </row>
    <row r="67">
      <c r="A67" s="15" t="inlineStr">
        <is>
          <t xml:space="preserve">1</t>
        </is>
      </c>
      <c r="B67" s="15" t="inlineStr">
        <is>
          <t xml:space="preserve">CJ082501/2</t>
        </is>
      </c>
      <c r="C67" s="15" t="inlineStr">
        <is>
          <t xml:space="preserve">P060032</t>
        </is>
      </c>
      <c r="D67" s="15" t="inlineStr">
        <is>
          <t xml:space="preserve">Cap Junky</t>
        </is>
      </c>
      <c r="E67" s="15" t="inlineStr">
        <is>
          <t xml:space="preserve">4 Assay — Total Δ⁹-THC</t>
        </is>
      </c>
      <c r="F67" s="15" t="inlineStr">
        <is>
          <t xml:space="preserve">CITED</t>
        </is>
      </c>
      <c r="G67" s="15" t="inlineStr">
        <is>
          <t xml:space="preserve">ППК26003</t>
        </is>
      </c>
      <c r="H67" s="15" t="inlineStr">
        <is>
          <t xml:space="preserve">21.01.2026</t>
        </is>
      </c>
      <c r="I67" s="15" t="inlineStr">
        <is>
          <t xml:space="preserve">CNP</t>
        </is>
      </c>
      <c r="J67" s="15" t="inlineStr">
        <is>
          <t xml:space="preserve">in eCoA_DATABASE</t>
        </is>
      </c>
      <c r="K67" s="15"/>
      <c r="L67" s="15" t="inlineStr">
        <is>
          <t xml:space="preserve">20.84</t>
        </is>
      </c>
      <c r="M67" s="15" t="inlineStr">
        <is>
          <t xml:space="preserve">197-5-K/26</t>
        </is>
      </c>
    </row>
    <row r="68">
      <c r="A68" s="15" t="inlineStr">
        <is>
          <t xml:space="preserve">1</t>
        </is>
      </c>
      <c r="B68" s="15" t="inlineStr">
        <is>
          <t xml:space="preserve">CJ082501/2</t>
        </is>
      </c>
      <c r="C68" s="15" t="inlineStr">
        <is>
          <t xml:space="preserve">P060032</t>
        </is>
      </c>
      <c r="D68" s="15" t="inlineStr">
        <is>
          <t xml:space="preserve">Cap Junky</t>
        </is>
      </c>
      <c r="E68" s="15" t="inlineStr">
        <is>
          <t xml:space="preserve">5 Assay — Total CBD</t>
        </is>
      </c>
      <c r="F68" s="15" t="inlineStr">
        <is>
          <t xml:space="preserve">CITED</t>
        </is>
      </c>
      <c r="G68" s="15" t="inlineStr">
        <is>
          <t xml:space="preserve">ППК26003</t>
        </is>
      </c>
      <c r="H68" s="15" t="inlineStr">
        <is>
          <t xml:space="preserve">21.01.2026</t>
        </is>
      </c>
      <c r="I68" s="15" t="inlineStr">
        <is>
          <t xml:space="preserve">CNP</t>
        </is>
      </c>
      <c r="J68" s="15" t="inlineStr">
        <is>
          <t xml:space="preserve">in eCoA_DATABASE</t>
        </is>
      </c>
      <c r="K68" s="15"/>
      <c r="L68" s="15" t="inlineStr">
        <is>
          <t xml:space="preserve">0.08</t>
        </is>
      </c>
      <c r="M68" s="15" t="inlineStr">
        <is>
          <t xml:space="preserve">197-5-K/26</t>
        </is>
      </c>
    </row>
    <row r="69">
      <c r="A69" s="15" t="inlineStr">
        <is>
          <t xml:space="preserve">1</t>
        </is>
      </c>
      <c r="B69" s="15" t="inlineStr">
        <is>
          <t xml:space="preserve">CJ082501/2</t>
        </is>
      </c>
      <c r="C69" s="15" t="inlineStr">
        <is>
          <t xml:space="preserve">P060032</t>
        </is>
      </c>
      <c r="D69" s="15" t="inlineStr">
        <is>
          <t xml:space="preserve">Cap Junky</t>
        </is>
      </c>
      <c r="E69" s="15" t="inlineStr">
        <is>
          <t xml:space="preserve">6 Total CBN</t>
        </is>
      </c>
      <c r="F69" s="15" t="inlineStr">
        <is>
          <t xml:space="preserve">CITED</t>
        </is>
      </c>
      <c r="G69" s="15" t="inlineStr">
        <is>
          <t xml:space="preserve">ППК26003</t>
        </is>
      </c>
      <c r="H69" s="15" t="inlineStr">
        <is>
          <t xml:space="preserve">21.01.2026</t>
        </is>
      </c>
      <c r="I69" s="15" t="inlineStr">
        <is>
          <t xml:space="preserve">CNP</t>
        </is>
      </c>
      <c r="J69" s="15" t="inlineStr">
        <is>
          <t xml:space="preserve">in eCoA_DATABASE</t>
        </is>
      </c>
      <c r="K69" s="15"/>
      <c r="L69" s="15" t="inlineStr">
        <is>
          <t xml:space="preserve">ND ᴰ</t>
        </is>
      </c>
      <c r="M69" s="15" t="inlineStr">
        <is>
          <t xml:space="preserve">197-5-K/26</t>
        </is>
      </c>
    </row>
    <row r="70">
      <c r="A70" s="15" t="inlineStr">
        <is>
          <t xml:space="preserve">1</t>
        </is>
      </c>
      <c r="B70" s="15" t="inlineStr">
        <is>
          <t xml:space="preserve">CJ082501/2</t>
        </is>
      </c>
      <c r="C70" s="15" t="inlineStr">
        <is>
          <t xml:space="preserve">P060032</t>
        </is>
      </c>
      <c r="D70" s="15" t="inlineStr">
        <is>
          <t xml:space="preserve">Cap Junky</t>
        </is>
      </c>
      <c r="E70" s="15" t="inlineStr">
        <is>
          <t xml:space="preserve">7 Foreign matter</t>
        </is>
      </c>
      <c r="F70" s="15" t="inlineStr">
        <is>
          <t xml:space="preserve">CITED</t>
        </is>
      </c>
      <c r="G70" s="15" t="inlineStr">
        <is>
          <t xml:space="preserve">iCoA-PP_26-039</t>
        </is>
      </c>
      <c r="H70" s="15" t="inlineStr">
        <is>
          <t xml:space="preserve">29.01.2026</t>
        </is>
      </c>
      <c r="I70" s="15" t="inlineStr">
        <is>
          <t xml:space="preserve">PP</t>
        </is>
      </c>
      <c r="J70" s="15" t="inlineStr">
        <is>
          <t xml:space="preserve">planned, NOT ISSUED (2026-05-15)</t>
        </is>
      </c>
      <c r="K70" s="15" t="inlineStr">
        <is>
          <t xml:space="preserve">YES — the certificate has not been issued</t>
        </is>
      </c>
      <c r="L70" s="15" t="inlineStr">
        <is>
          <t xml:space="preserve">Conforms</t>
        </is>
      </c>
      <c r="M70" s="15"/>
    </row>
    <row r="71">
      <c r="A71" s="15" t="inlineStr">
        <is>
          <t xml:space="preserve">1</t>
        </is>
      </c>
      <c r="B71" s="15" t="inlineStr">
        <is>
          <t xml:space="preserve">CJ082501/2</t>
        </is>
      </c>
      <c r="C71" s="15" t="inlineStr">
        <is>
          <t xml:space="preserve">P060032</t>
        </is>
      </c>
      <c r="D71" s="15" t="inlineStr">
        <is>
          <t xml:space="preserve">Cap Junky</t>
        </is>
      </c>
      <c r="E71" s="15" t="inlineStr">
        <is>
          <t xml:space="preserve">8 Loss on drying</t>
        </is>
      </c>
      <c r="F71" s="15" t="inlineStr">
        <is>
          <t xml:space="preserve">CITED</t>
        </is>
      </c>
      <c r="G71" s="15" t="inlineStr">
        <is>
          <t xml:space="preserve">ППК26003</t>
        </is>
      </c>
      <c r="H71" s="15" t="inlineStr">
        <is>
          <t xml:space="preserve">21.01.2026</t>
        </is>
      </c>
      <c r="I71" s="15" t="inlineStr">
        <is>
          <t xml:space="preserve">CNP</t>
        </is>
      </c>
      <c r="J71" s="15" t="inlineStr">
        <is>
          <t xml:space="preserve">in eCoA_DATABASE</t>
        </is>
      </c>
      <c r="K71" s="15"/>
      <c r="L71" s="15" t="inlineStr">
        <is>
          <t xml:space="preserve">7.37</t>
        </is>
      </c>
      <c r="M71" s="15"/>
    </row>
    <row r="72">
      <c r="A72" s="15" t="inlineStr">
        <is>
          <t xml:space="preserve">1</t>
        </is>
      </c>
      <c r="B72" s="15" t="inlineStr">
        <is>
          <t xml:space="preserve">CJ082501/2</t>
        </is>
      </c>
      <c r="C72" s="15" t="inlineStr">
        <is>
          <t xml:space="preserve">P060032</t>
        </is>
      </c>
      <c r="D72" s="15" t="inlineStr">
        <is>
          <t xml:space="preserve">Cap Junky</t>
        </is>
      </c>
      <c r="E72" s="15" t="inlineStr">
        <is>
          <t xml:space="preserve">9 Microbiological purity</t>
        </is>
      </c>
      <c r="F72" s="15" t="inlineStr">
        <is>
          <t xml:space="preserve">CITED</t>
        </is>
      </c>
      <c r="G72" s="15" t="inlineStr">
        <is>
          <t xml:space="preserve">4-0007-26</t>
        </is>
      </c>
      <c r="H72" s="15" t="inlineStr">
        <is>
          <t xml:space="preserve">20.01.2026</t>
        </is>
      </c>
      <c r="I72" s="15" t="inlineStr">
        <is>
          <t xml:space="preserve">IJZ-MB</t>
        </is>
      </c>
      <c r="J72" s="15" t="inlineStr">
        <is>
          <t xml:space="preserve">in eCoA_DATABASE</t>
        </is>
      </c>
      <c r="K72" s="15"/>
      <c r="L72" s="15" t="inlineStr">
        <is>
          <t xml:space="preserve">9.5×10²; 1.2×10³; &lt;10; Одговара; Одговара</t>
        </is>
      </c>
      <c r="M72" s="15"/>
    </row>
    <row r="73">
      <c r="A73" s="15" t="inlineStr">
        <is>
          <t xml:space="preserve">1</t>
        </is>
      </c>
      <c r="B73" s="15" t="inlineStr">
        <is>
          <t xml:space="preserve">CJ082501/2</t>
        </is>
      </c>
      <c r="C73" s="15" t="inlineStr">
        <is>
          <t xml:space="preserve">P060032</t>
        </is>
      </c>
      <c r="D73" s="15" t="inlineStr">
        <is>
          <t xml:space="preserve">Cap Junky</t>
        </is>
      </c>
      <c r="E73" s="15" t="inlineStr">
        <is>
          <t xml:space="preserve">10 Mycotoxins</t>
        </is>
      </c>
      <c r="F73" s="15" t="inlineStr">
        <is>
          <t xml:space="preserve">CITED</t>
        </is>
      </c>
      <c r="G73" s="15" t="inlineStr">
        <is>
          <t xml:space="preserve">82-2026</t>
        </is>
      </c>
      <c r="H73" s="15" t="inlineStr">
        <is>
          <t xml:space="preserve">02.02.2026</t>
        </is>
      </c>
      <c r="I73" s="15" t="inlineStr">
        <is>
          <t xml:space="preserve">IJZ</t>
        </is>
      </c>
      <c r="J73" s="15" t="inlineStr">
        <is>
          <t xml:space="preserve">in eCoA_DATABASE</t>
        </is>
      </c>
      <c r="K73" s="15"/>
      <c r="L73" s="15" t="inlineStr">
        <is>
          <t xml:space="preserve">n.r.; &lt;2; n.r.</t>
        </is>
      </c>
      <c r="M73" s="15"/>
    </row>
    <row r="74">
      <c r="A74" s="15" t="inlineStr">
        <is>
          <t xml:space="preserve">1</t>
        </is>
      </c>
      <c r="B74" s="15" t="inlineStr">
        <is>
          <t xml:space="preserve">CJ082501/2</t>
        </is>
      </c>
      <c r="C74" s="15" t="inlineStr">
        <is>
          <t xml:space="preserve">P060032</t>
        </is>
      </c>
      <c r="D74" s="15" t="inlineStr">
        <is>
          <t xml:space="preserve">Cap Junky</t>
        </is>
      </c>
      <c r="E74" s="15" t="inlineStr">
        <is>
          <t xml:space="preserve">11 Heavy metals</t>
        </is>
      </c>
      <c r="F74" s="15" t="inlineStr">
        <is>
          <t xml:space="preserve">CITED</t>
        </is>
      </c>
      <c r="G74" s="15" t="inlineStr">
        <is>
          <t xml:space="preserve">82-2026</t>
        </is>
      </c>
      <c r="H74" s="15" t="inlineStr">
        <is>
          <t xml:space="preserve">02.02.2026</t>
        </is>
      </c>
      <c r="I74" s="15" t="inlineStr">
        <is>
          <t xml:space="preserve">IJZ</t>
        </is>
      </c>
      <c r="J74" s="15" t="inlineStr">
        <is>
          <t xml:space="preserve">in eCoA_DATABASE</t>
        </is>
      </c>
      <c r="K74" s="15"/>
      <c r="L74" s="15" t="inlineStr">
        <is>
          <t xml:space="preserve">0.073; н.д.; н.д.; н.д.</t>
        </is>
      </c>
      <c r="M74" s="15"/>
    </row>
    <row r="75">
      <c r="A75" s="15" t="inlineStr">
        <is>
          <t xml:space="preserve">1</t>
        </is>
      </c>
      <c r="B75" s="15" t="inlineStr">
        <is>
          <t xml:space="preserve">CJ082501/2</t>
        </is>
      </c>
      <c r="C75" s="15" t="inlineStr">
        <is>
          <t xml:space="preserve">P060032</t>
        </is>
      </c>
      <c r="D75" s="15" t="inlineStr">
        <is>
          <t xml:space="preserve">Cap Junky</t>
        </is>
      </c>
      <c r="E75" s="15" t="inlineStr">
        <is>
          <t xml:space="preserve">12 Pesticide residues</t>
        </is>
      </c>
      <c r="F75" s="15" t="inlineStr">
        <is>
          <t xml:space="preserve">CITED</t>
        </is>
      </c>
      <c r="G75" s="15" t="inlineStr">
        <is>
          <t xml:space="preserve">82-2026</t>
        </is>
      </c>
      <c r="H75" s="15" t="inlineStr">
        <is>
          <t xml:space="preserve">02.02.2026</t>
        </is>
      </c>
      <c r="I75" s="15" t="inlineStr">
        <is>
          <t xml:space="preserve">IJZ</t>
        </is>
      </c>
      <c r="J75" s="15" t="inlineStr">
        <is>
          <t xml:space="preserve">in eCoA_DATABASE</t>
        </is>
      </c>
      <c r="K75" s="15"/>
      <c r="L75" s="15" t="inlineStr">
        <is>
          <t xml:space="preserve">≤ LOQ (all 29 compounds)</t>
        </is>
      </c>
      <c r="M75" s="15"/>
    </row>
    <row r="76">
      <c r="A76" s="15" t="inlineStr">
        <is>
          <t xml:space="preserve">1</t>
        </is>
      </c>
      <c r="B76" s="15" t="inlineStr">
        <is>
          <t xml:space="preserve">FB012602</t>
        </is>
      </c>
      <c r="C76" s="15" t="inlineStr">
        <is>
          <t xml:space="preserve">P060352</t>
        </is>
      </c>
      <c r="D76" s="15" t="inlineStr">
        <is>
          <t xml:space="preserve">Fat Bastard</t>
        </is>
      </c>
      <c r="E76" s="15" t="inlineStr">
        <is>
          <t xml:space="preserve">1 Identification A — appearance</t>
        </is>
      </c>
      <c r="F76" s="15" t="inlineStr">
        <is>
          <t xml:space="preserve">CITED</t>
        </is>
      </c>
      <c r="G76" s="15" t="inlineStr">
        <is>
          <t xml:space="preserve">iCoA-PP_26-067</t>
        </is>
      </c>
      <c r="H76" s="15" t="inlineStr">
        <is>
          <t xml:space="preserve">23.05.2026</t>
        </is>
      </c>
      <c r="I76" s="15" t="inlineStr">
        <is>
          <t xml:space="preserve">PP</t>
        </is>
      </c>
      <c r="J76" s="15" t="inlineStr">
        <is>
          <t xml:space="preserve">planned, NOT ISSUED (2026-05-28)</t>
        </is>
      </c>
      <c r="K76" s="15" t="inlineStr">
        <is>
          <t xml:space="preserve">YES — the certificate has not been issued</t>
        </is>
      </c>
      <c r="L76" s="15" t="inlineStr">
        <is>
          <t xml:space="preserve">Conforms</t>
        </is>
      </c>
      <c r="M76" s="15"/>
    </row>
    <row r="77">
      <c r="A77" s="15" t="inlineStr">
        <is>
          <t xml:space="preserve">1</t>
        </is>
      </c>
      <c r="B77" s="15" t="inlineStr">
        <is>
          <t xml:space="preserve">FB012602</t>
        </is>
      </c>
      <c r="C77" s="15" t="inlineStr">
        <is>
          <t xml:space="preserve">P060352</t>
        </is>
      </c>
      <c r="D77" s="15" t="inlineStr">
        <is>
          <t xml:space="preserve">Fat Bastard</t>
        </is>
      </c>
      <c r="E77" s="15" t="inlineStr">
        <is>
          <t xml:space="preserve">2 Identification B — microscopy</t>
        </is>
      </c>
      <c r="F77" s="15" t="inlineStr">
        <is>
          <t xml:space="preserve">CITED</t>
        </is>
      </c>
      <c r="G77" s="15" t="inlineStr">
        <is>
          <t xml:space="preserve">iCoA-PP_26-067</t>
        </is>
      </c>
      <c r="H77" s="15" t="inlineStr">
        <is>
          <t xml:space="preserve">23.05.2026</t>
        </is>
      </c>
      <c r="I77" s="15" t="inlineStr">
        <is>
          <t xml:space="preserve">PP</t>
        </is>
      </c>
      <c r="J77" s="15" t="inlineStr">
        <is>
          <t xml:space="preserve">planned, NOT ISSUED (2026-05-28)</t>
        </is>
      </c>
      <c r="K77" s="15" t="inlineStr">
        <is>
          <t xml:space="preserve">YES — the certificate has not been issued</t>
        </is>
      </c>
      <c r="L77" s="15" t="inlineStr">
        <is>
          <t xml:space="preserve">Conforms</t>
        </is>
      </c>
      <c r="M77" s="15"/>
    </row>
    <row r="78">
      <c r="A78" s="15" t="inlineStr">
        <is>
          <t xml:space="preserve">1</t>
        </is>
      </c>
      <c r="B78" s="15" t="inlineStr">
        <is>
          <t xml:space="preserve">FB012602</t>
        </is>
      </c>
      <c r="C78" s="15" t="inlineStr">
        <is>
          <t xml:space="preserve">P060352</t>
        </is>
      </c>
      <c r="D78" s="15" t="inlineStr">
        <is>
          <t xml:space="preserve">Fat Bastard</t>
        </is>
      </c>
      <c r="E78" s="15" t="inlineStr">
        <is>
          <t xml:space="preserve">3 Identification C — HPLC</t>
        </is>
      </c>
      <c r="F78" s="15" t="inlineStr">
        <is>
          <t xml:space="preserve">CITED</t>
        </is>
      </c>
      <c r="G78" s="15" t="inlineStr">
        <is>
          <t xml:space="preserve">197-7-K-26</t>
        </is>
      </c>
      <c r="H78" s="15" t="inlineStr">
        <is>
          <t xml:space="preserve">07.08.2026</t>
        </is>
      </c>
      <c r="I78" s="15" t="inlineStr">
        <is>
          <t xml:space="preserve">FHM-K</t>
        </is>
      </c>
      <c r="J78" s="15" t="inlineStr">
        <is>
          <t xml:space="preserve">in eCoA_DATABASE</t>
        </is>
      </c>
      <c r="K78" s="15"/>
      <c r="L78" s="15" t="inlineStr">
        <is>
          <t xml:space="preserve">identity by the HPLC cannabinoid profile on this certificate</t>
        </is>
      </c>
      <c r="M78" s="15"/>
    </row>
    <row r="79">
      <c r="A79" s="15" t="inlineStr">
        <is>
          <t xml:space="preserve">1</t>
        </is>
      </c>
      <c r="B79" s="15" t="inlineStr">
        <is>
          <t xml:space="preserve">FB012602</t>
        </is>
      </c>
      <c r="C79" s="15" t="inlineStr">
        <is>
          <t xml:space="preserve">P060352</t>
        </is>
      </c>
      <c r="D79" s="15" t="inlineStr">
        <is>
          <t xml:space="preserve">Fat Bastard</t>
        </is>
      </c>
      <c r="E79" s="15" t="inlineStr">
        <is>
          <t xml:space="preserve">4 Assay — Total Δ⁹-THC</t>
        </is>
      </c>
      <c r="F79" s="15" t="inlineStr">
        <is>
          <t xml:space="preserve">CITED</t>
        </is>
      </c>
      <c r="G79" s="15" t="inlineStr">
        <is>
          <t xml:space="preserve">197-7-K-26</t>
        </is>
      </c>
      <c r="H79" s="15" t="inlineStr">
        <is>
          <t xml:space="preserve">07.08.2026</t>
        </is>
      </c>
      <c r="I79" s="15" t="inlineStr">
        <is>
          <t xml:space="preserve">FHM-K</t>
        </is>
      </c>
      <c r="J79" s="15" t="inlineStr">
        <is>
          <t xml:space="preserve">in eCoA_DATABASE</t>
        </is>
      </c>
      <c r="K79" s="15"/>
      <c r="L79" s="15" t="inlineStr">
        <is>
          <t xml:space="preserve">24.09 %w/w</t>
        </is>
      </c>
      <c r="M79" s="15"/>
    </row>
    <row r="80">
      <c r="A80" s="15" t="inlineStr">
        <is>
          <t xml:space="preserve">1</t>
        </is>
      </c>
      <c r="B80" s="15" t="inlineStr">
        <is>
          <t xml:space="preserve">FB012602</t>
        </is>
      </c>
      <c r="C80" s="15" t="inlineStr">
        <is>
          <t xml:space="preserve">P060352</t>
        </is>
      </c>
      <c r="D80" s="15" t="inlineStr">
        <is>
          <t xml:space="preserve">Fat Bastard</t>
        </is>
      </c>
      <c r="E80" s="15" t="inlineStr">
        <is>
          <t xml:space="preserve">5 Assay — Total CBD</t>
        </is>
      </c>
      <c r="F80" s="15" t="inlineStr">
        <is>
          <t xml:space="preserve">CITED</t>
        </is>
      </c>
      <c r="G80" s="15" t="inlineStr">
        <is>
          <t xml:space="preserve">197-7-K-26</t>
        </is>
      </c>
      <c r="H80" s="15" t="inlineStr">
        <is>
          <t xml:space="preserve">07.08.2026</t>
        </is>
      </c>
      <c r="I80" s="15" t="inlineStr">
        <is>
          <t xml:space="preserve">FHM-K</t>
        </is>
      </c>
      <c r="J80" s="15" t="inlineStr">
        <is>
          <t xml:space="preserve">in eCoA_DATABASE</t>
        </is>
      </c>
      <c r="K80" s="15"/>
      <c r="L80" s="15" t="inlineStr">
        <is>
          <t xml:space="preserve">&lt; LOQ %w/w</t>
        </is>
      </c>
      <c r="M80" s="15"/>
    </row>
    <row r="81">
      <c r="A81" s="15" t="inlineStr">
        <is>
          <t xml:space="preserve">1</t>
        </is>
      </c>
      <c r="B81" s="15" t="inlineStr">
        <is>
          <t xml:space="preserve">FB012602</t>
        </is>
      </c>
      <c r="C81" s="15" t="inlineStr">
        <is>
          <t xml:space="preserve">P060352</t>
        </is>
      </c>
      <c r="D81" s="15" t="inlineStr">
        <is>
          <t xml:space="preserve">Fat Bastard</t>
        </is>
      </c>
      <c r="E81" s="15" t="inlineStr">
        <is>
          <t xml:space="preserve">6 Total CBN</t>
        </is>
      </c>
      <c r="F81" s="15" t="inlineStr">
        <is>
          <t xml:space="preserve">CITED</t>
        </is>
      </c>
      <c r="G81" s="15" t="inlineStr">
        <is>
          <t xml:space="preserve">197-7-K-26</t>
        </is>
      </c>
      <c r="H81" s="15" t="inlineStr">
        <is>
          <t xml:space="preserve">07.08.2026</t>
        </is>
      </c>
      <c r="I81" s="15" t="inlineStr">
        <is>
          <t xml:space="preserve">FHM-K</t>
        </is>
      </c>
      <c r="J81" s="15" t="inlineStr">
        <is>
          <t xml:space="preserve">in eCoA_DATABASE</t>
        </is>
      </c>
      <c r="K81" s="15"/>
      <c r="L81" s="15" t="inlineStr">
        <is>
          <t xml:space="preserve">&lt; LOQ %w/w</t>
        </is>
      </c>
      <c r="M81" s="15"/>
    </row>
    <row r="82">
      <c r="A82" s="15" t="inlineStr">
        <is>
          <t xml:space="preserve">1</t>
        </is>
      </c>
      <c r="B82" s="15" t="inlineStr">
        <is>
          <t xml:space="preserve">FB012602</t>
        </is>
      </c>
      <c r="C82" s="15" t="inlineStr">
        <is>
          <t xml:space="preserve">P060352</t>
        </is>
      </c>
      <c r="D82" s="15" t="inlineStr">
        <is>
          <t xml:space="preserve">Fat Bastard</t>
        </is>
      </c>
      <c r="E82" s="15" t="inlineStr">
        <is>
          <t xml:space="preserve">7 Foreign matter</t>
        </is>
      </c>
      <c r="F82" s="15" t="inlineStr">
        <is>
          <t xml:space="preserve">CITED</t>
        </is>
      </c>
      <c r="G82" s="15" t="inlineStr">
        <is>
          <t xml:space="preserve">iCoA-PP_26-067</t>
        </is>
      </c>
      <c r="H82" s="15" t="inlineStr">
        <is>
          <t xml:space="preserve">23.05.2026</t>
        </is>
      </c>
      <c r="I82" s="15" t="inlineStr">
        <is>
          <t xml:space="preserve">PP</t>
        </is>
      </c>
      <c r="J82" s="15" t="inlineStr">
        <is>
          <t xml:space="preserve">planned, NOT ISSUED (2026-05-28)</t>
        </is>
      </c>
      <c r="K82" s="15" t="inlineStr">
        <is>
          <t xml:space="preserve">YES — the certificate has not been issued</t>
        </is>
      </c>
      <c r="L82" s="15" t="inlineStr">
        <is>
          <t xml:space="preserve">Conforms</t>
        </is>
      </c>
      <c r="M82" s="15"/>
    </row>
    <row r="83">
      <c r="A83" s="15" t="inlineStr">
        <is>
          <t xml:space="preserve">1</t>
        </is>
      </c>
      <c r="B83" s="15" t="inlineStr">
        <is>
          <t xml:space="preserve">FB012602</t>
        </is>
      </c>
      <c r="C83" s="15" t="inlineStr">
        <is>
          <t xml:space="preserve">P060352</t>
        </is>
      </c>
      <c r="D83" s="15" t="inlineStr">
        <is>
          <t xml:space="preserve">Fat Bastard</t>
        </is>
      </c>
      <c r="E83" s="15" t="inlineStr">
        <is>
          <t xml:space="preserve">8 Loss on drying</t>
        </is>
      </c>
      <c r="F83" s="15" t="inlineStr">
        <is>
          <t xml:space="preserve">NOTHING ON FILE</t>
        </is>
      </c>
      <c r="G83" s="15" t="inlineStr">
        <is>
          <t xml:space="preserve">—</t>
        </is>
      </c>
      <c r="H83" s="15" t="inlineStr">
        <is>
          <t xml:space="preserve">—</t>
        </is>
      </c>
      <c r="I83" s="15" t="inlineStr">
        <is>
          <t xml:space="preserve">—</t>
        </is>
      </c>
      <c r="J83" s="15" t="inlineStr">
        <is>
          <t xml:space="preserve">no document anywhere</t>
        </is>
      </c>
      <c r="K83" s="15"/>
      <c r="L83" s="15" t="inlineStr">
        <is>
          <t xml:space="preserve">—</t>
        </is>
      </c>
      <c r="M83" s="15"/>
    </row>
    <row r="84">
      <c r="A84" s="15" t="inlineStr">
        <is>
          <t xml:space="preserve">1</t>
        </is>
      </c>
      <c r="B84" s="15" t="inlineStr">
        <is>
          <t xml:space="preserve">FB012602</t>
        </is>
      </c>
      <c r="C84" s="15" t="inlineStr">
        <is>
          <t xml:space="preserve">P060352</t>
        </is>
      </c>
      <c r="D84" s="15" t="inlineStr">
        <is>
          <t xml:space="preserve">Fat Bastard</t>
        </is>
      </c>
      <c r="E84" s="15" t="inlineStr">
        <is>
          <t xml:space="preserve">9 Microbiological purity</t>
        </is>
      </c>
      <c r="F84" s="15" t="inlineStr">
        <is>
          <t xml:space="preserve">READ IN THIS PASS</t>
        </is>
      </c>
      <c r="G84" s="15" t="inlineStr">
        <is>
          <t xml:space="preserve">366/0696/26</t>
        </is>
      </c>
      <c r="H84" s="15" t="inlineStr">
        <is>
          <t xml:space="preserve">01.06.2026</t>
        </is>
      </c>
      <c r="I84" s="15" t="inlineStr">
        <is>
          <t xml:space="preserve">IJZ-MB</t>
        </is>
      </c>
      <c r="J84" s="15" t="inlineStr">
        <is>
          <t xml:space="preserve">in eCoA_DATABASE</t>
        </is>
      </c>
      <c r="K84" s="15"/>
      <c r="L84" s="15" t="inlineStr">
        <is>
          <t xml:space="preserve">6,3 x 10⁴ CFU/g CFU/g; 2,2 x 10⁴ CFU/g CFU/g; &lt; 10 CFU/g CFU/g; Отсутна /g; Отсутна /25 g</t>
        </is>
      </c>
      <c r="M84" s="15"/>
    </row>
    <row r="85">
      <c r="A85" s="15" t="inlineStr">
        <is>
          <t xml:space="preserve">1</t>
        </is>
      </c>
      <c r="B85" s="15" t="inlineStr">
        <is>
          <t xml:space="preserve">FB012602</t>
        </is>
      </c>
      <c r="C85" s="15" t="inlineStr">
        <is>
          <t xml:space="preserve">P060352</t>
        </is>
      </c>
      <c r="D85" s="15" t="inlineStr">
        <is>
          <t xml:space="preserve">Fat Bastard</t>
        </is>
      </c>
      <c r="E85" s="15" t="inlineStr">
        <is>
          <t xml:space="preserve">10 Mycotoxins</t>
        </is>
      </c>
      <c r="F85" s="15" t="inlineStr">
        <is>
          <t xml:space="preserve">CITED</t>
        </is>
      </c>
      <c r="G85" s="15" t="inlineStr">
        <is>
          <t xml:space="preserve">197-7-M-26</t>
        </is>
      </c>
      <c r="H85" s="15" t="inlineStr">
        <is>
          <t xml:space="preserve">10.08.2026</t>
        </is>
      </c>
      <c r="I85" s="15" t="inlineStr">
        <is>
          <t xml:space="preserve">FHM-M</t>
        </is>
      </c>
      <c r="J85" s="15" t="inlineStr">
        <is>
          <t xml:space="preserve">in eCoA_DATABASE</t>
        </is>
      </c>
      <c r="K85" s="15"/>
      <c r="L85" s="15" t="inlineStr">
        <is>
          <t xml:space="preserve">ND µg/kg; ND µg/kg; ND µg/kg; ND µg/kg; ND µg/kg</t>
        </is>
      </c>
      <c r="M85" s="15"/>
    </row>
    <row r="86">
      <c r="A86" s="15" t="inlineStr">
        <is>
          <t xml:space="preserve">1</t>
        </is>
      </c>
      <c r="B86" s="15" t="inlineStr">
        <is>
          <t xml:space="preserve">FB012602</t>
        </is>
      </c>
      <c r="C86" s="15" t="inlineStr">
        <is>
          <t xml:space="preserve">P060352</t>
        </is>
      </c>
      <c r="D86" s="15" t="inlineStr">
        <is>
          <t xml:space="preserve">Fat Bastard</t>
        </is>
      </c>
      <c r="E86" s="15" t="inlineStr">
        <is>
          <t xml:space="preserve">11 Heavy metals</t>
        </is>
      </c>
      <c r="F86" s="15" t="inlineStr">
        <is>
          <t xml:space="preserve">NOTHING ON FILE</t>
        </is>
      </c>
      <c r="G86" s="15" t="inlineStr">
        <is>
          <t xml:space="preserve">—</t>
        </is>
      </c>
      <c r="H86" s="15" t="inlineStr">
        <is>
          <t xml:space="preserve">—</t>
        </is>
      </c>
      <c r="I86" s="15" t="inlineStr">
        <is>
          <t xml:space="preserve">—</t>
        </is>
      </c>
      <c r="J86" s="15" t="inlineStr">
        <is>
          <t xml:space="preserve">no document anywhere</t>
        </is>
      </c>
      <c r="K86" s="15"/>
      <c r="L86" s="15" t="inlineStr">
        <is>
          <t xml:space="preserve">—</t>
        </is>
      </c>
      <c r="M86" s="15"/>
    </row>
    <row r="87">
      <c r="A87" s="15" t="inlineStr">
        <is>
          <t xml:space="preserve">1</t>
        </is>
      </c>
      <c r="B87" s="15" t="inlineStr">
        <is>
          <t xml:space="preserve">FB012602</t>
        </is>
      </c>
      <c r="C87" s="15" t="inlineStr">
        <is>
          <t xml:space="preserve">P060352</t>
        </is>
      </c>
      <c r="D87" s="15" t="inlineStr">
        <is>
          <t xml:space="preserve">Fat Bastard</t>
        </is>
      </c>
      <c r="E87" s="15" t="inlineStr">
        <is>
          <t xml:space="preserve">12 Pesticide residues</t>
        </is>
      </c>
      <c r="F87" s="15" t="inlineStr">
        <is>
          <t xml:space="preserve">NOTHING ON FILE</t>
        </is>
      </c>
      <c r="G87" s="15" t="inlineStr">
        <is>
          <t xml:space="preserve">—</t>
        </is>
      </c>
      <c r="H87" s="15" t="inlineStr">
        <is>
          <t xml:space="preserve">—</t>
        </is>
      </c>
      <c r="I87" s="15" t="inlineStr">
        <is>
          <t xml:space="preserve">—</t>
        </is>
      </c>
      <c r="J87" s="15" t="inlineStr">
        <is>
          <t xml:space="preserve">no document anywhere</t>
        </is>
      </c>
      <c r="K87" s="15"/>
      <c r="L87" s="15" t="inlineStr">
        <is>
          <t xml:space="preserve">—</t>
        </is>
      </c>
      <c r="M87" s="15"/>
    </row>
    <row r="88">
      <c r="A88" s="15" t="inlineStr">
        <is>
          <t xml:space="preserve">1</t>
        </is>
      </c>
      <c r="B88" s="15" t="inlineStr">
        <is>
          <t xml:space="preserve">GG012603</t>
        </is>
      </c>
      <c r="C88" s="15" t="inlineStr">
        <is>
          <t xml:space="preserve">P060402</t>
        </is>
      </c>
      <c r="D88" s="15" t="inlineStr">
        <is>
          <t xml:space="preserve">GG4</t>
        </is>
      </c>
      <c r="E88" s="15" t="inlineStr">
        <is>
          <t xml:space="preserve">1 Identification A — appearance</t>
        </is>
      </c>
      <c r="F88" s="15" t="inlineStr">
        <is>
          <t xml:space="preserve">CITED</t>
        </is>
      </c>
      <c r="G88" s="15" t="inlineStr">
        <is>
          <t xml:space="preserve">ППК26114</t>
        </is>
      </c>
      <c r="H88" s="15" t="inlineStr">
        <is>
          <t xml:space="preserve">30.06.2026</t>
        </is>
      </c>
      <c r="I88" s="15" t="inlineStr">
        <is>
          <t xml:space="preserve">CNP</t>
        </is>
      </c>
      <c r="J88" s="15" t="inlineStr">
        <is>
          <t xml:space="preserve">in eCoA_DATABASE</t>
        </is>
      </c>
      <c r="K88" s="15"/>
      <c r="L88" s="15" t="inlineStr">
        <is>
          <t xml:space="preserve">Одговара; Одговара</t>
        </is>
      </c>
      <c r="M88" s="15"/>
    </row>
    <row r="89">
      <c r="A89" s="15" t="inlineStr">
        <is>
          <t xml:space="preserve">1</t>
        </is>
      </c>
      <c r="B89" s="15" t="inlineStr">
        <is>
          <t xml:space="preserve">GG012603</t>
        </is>
      </c>
      <c r="C89" s="15" t="inlineStr">
        <is>
          <t xml:space="preserve">P060402</t>
        </is>
      </c>
      <c r="D89" s="15" t="inlineStr">
        <is>
          <t xml:space="preserve">GG4</t>
        </is>
      </c>
      <c r="E89" s="15" t="inlineStr">
        <is>
          <t xml:space="preserve">2 Identification B — microscopy</t>
        </is>
      </c>
      <c r="F89" s="15" t="inlineStr">
        <is>
          <t xml:space="preserve">CITED</t>
        </is>
      </c>
      <c r="G89" s="15" t="inlineStr">
        <is>
          <t xml:space="preserve">ППК26114</t>
        </is>
      </c>
      <c r="H89" s="15" t="inlineStr">
        <is>
          <t xml:space="preserve">30.06.2026</t>
        </is>
      </c>
      <c r="I89" s="15" t="inlineStr">
        <is>
          <t xml:space="preserve">CNP</t>
        </is>
      </c>
      <c r="J89" s="15" t="inlineStr">
        <is>
          <t xml:space="preserve">in eCoA_DATABASE</t>
        </is>
      </c>
      <c r="K89" s="15"/>
      <c r="L89" s="15" t="inlineStr">
        <is>
          <t xml:space="preserve">Одговара; Одговара</t>
        </is>
      </c>
      <c r="M89" s="15"/>
    </row>
    <row r="90">
      <c r="A90" s="15" t="inlineStr">
        <is>
          <t xml:space="preserve">1</t>
        </is>
      </c>
      <c r="B90" s="15" t="inlineStr">
        <is>
          <t xml:space="preserve">GG012603</t>
        </is>
      </c>
      <c r="C90" s="15" t="inlineStr">
        <is>
          <t xml:space="preserve">P060402</t>
        </is>
      </c>
      <c r="D90" s="15" t="inlineStr">
        <is>
          <t xml:space="preserve">GG4</t>
        </is>
      </c>
      <c r="E90" s="15" t="inlineStr">
        <is>
          <t xml:space="preserve">3 Identification C — HPLC</t>
        </is>
      </c>
      <c r="F90" s="15" t="inlineStr">
        <is>
          <t xml:space="preserve">CITED</t>
        </is>
      </c>
      <c r="G90" s="15" t="inlineStr">
        <is>
          <t xml:space="preserve">ППК26114</t>
        </is>
      </c>
      <c r="H90" s="15" t="inlineStr">
        <is>
          <t xml:space="preserve">30.06.2026</t>
        </is>
      </c>
      <c r="I90" s="15" t="inlineStr">
        <is>
          <t xml:space="preserve">CNP</t>
        </is>
      </c>
      <c r="J90" s="15" t="inlineStr">
        <is>
          <t xml:space="preserve">in eCoA_DATABASE</t>
        </is>
      </c>
      <c r="K90" s="15"/>
      <c r="L90" s="15" t="inlineStr">
        <is>
          <t xml:space="preserve">identity by the HPLC cannabinoid profile on this certificate</t>
        </is>
      </c>
      <c r="M90" s="15" t="inlineStr">
        <is>
          <t xml:space="preserve">197-8-K/26</t>
        </is>
      </c>
    </row>
    <row r="91">
      <c r="A91" s="15" t="inlineStr">
        <is>
          <t xml:space="preserve">1</t>
        </is>
      </c>
      <c r="B91" s="15" t="inlineStr">
        <is>
          <t xml:space="preserve">GG012603</t>
        </is>
      </c>
      <c r="C91" s="15" t="inlineStr">
        <is>
          <t xml:space="preserve">P060402</t>
        </is>
      </c>
      <c r="D91" s="15" t="inlineStr">
        <is>
          <t xml:space="preserve">GG4</t>
        </is>
      </c>
      <c r="E91" s="15" t="inlineStr">
        <is>
          <t xml:space="preserve">4 Assay — Total Δ⁹-THC</t>
        </is>
      </c>
      <c r="F91" s="15" t="inlineStr">
        <is>
          <t xml:space="preserve">CITED</t>
        </is>
      </c>
      <c r="G91" s="15" t="inlineStr">
        <is>
          <t xml:space="preserve">ППК26114</t>
        </is>
      </c>
      <c r="H91" s="15" t="inlineStr">
        <is>
          <t xml:space="preserve">30.06.2026</t>
        </is>
      </c>
      <c r="I91" s="15" t="inlineStr">
        <is>
          <t xml:space="preserve">CNP</t>
        </is>
      </c>
      <c r="J91" s="15" t="inlineStr">
        <is>
          <t xml:space="preserve">in eCoA_DATABASE</t>
        </is>
      </c>
      <c r="K91" s="15"/>
      <c r="L91" s="15" t="inlineStr">
        <is>
          <t xml:space="preserve">17.59 % %; 17.59 % %</t>
        </is>
      </c>
      <c r="M91" s="15" t="inlineStr">
        <is>
          <t xml:space="preserve">197-8-K/26</t>
        </is>
      </c>
    </row>
    <row r="92">
      <c r="A92" s="15" t="inlineStr">
        <is>
          <t xml:space="preserve">1</t>
        </is>
      </c>
      <c r="B92" s="15" t="inlineStr">
        <is>
          <t xml:space="preserve">GG012603</t>
        </is>
      </c>
      <c r="C92" s="15" t="inlineStr">
        <is>
          <t xml:space="preserve">P060402</t>
        </is>
      </c>
      <c r="D92" s="15" t="inlineStr">
        <is>
          <t xml:space="preserve">GG4</t>
        </is>
      </c>
      <c r="E92" s="15" t="inlineStr">
        <is>
          <t xml:space="preserve">5 Assay — Total CBD</t>
        </is>
      </c>
      <c r="F92" s="15" t="inlineStr">
        <is>
          <t xml:space="preserve">CITED</t>
        </is>
      </c>
      <c r="G92" s="15" t="inlineStr">
        <is>
          <t xml:space="preserve">ППК26114</t>
        </is>
      </c>
      <c r="H92" s="15" t="inlineStr">
        <is>
          <t xml:space="preserve">30.06.2026</t>
        </is>
      </c>
      <c r="I92" s="15" t="inlineStr">
        <is>
          <t xml:space="preserve">CNP</t>
        </is>
      </c>
      <c r="J92" s="15" t="inlineStr">
        <is>
          <t xml:space="preserve">in eCoA_DATABASE</t>
        </is>
      </c>
      <c r="K92" s="15"/>
      <c r="L92" s="15" t="inlineStr">
        <is>
          <t xml:space="preserve">0.05 % %; 0.05 % %</t>
        </is>
      </c>
      <c r="M92" s="15" t="inlineStr">
        <is>
          <t xml:space="preserve">197-8-K/26</t>
        </is>
      </c>
    </row>
    <row r="93">
      <c r="A93" s="15" t="inlineStr">
        <is>
          <t xml:space="preserve">1</t>
        </is>
      </c>
      <c r="B93" s="15" t="inlineStr">
        <is>
          <t xml:space="preserve">GG012603</t>
        </is>
      </c>
      <c r="C93" s="15" t="inlineStr">
        <is>
          <t xml:space="preserve">P060402</t>
        </is>
      </c>
      <c r="D93" s="15" t="inlineStr">
        <is>
          <t xml:space="preserve">GG4</t>
        </is>
      </c>
      <c r="E93" s="15" t="inlineStr">
        <is>
          <t xml:space="preserve">6 Total CBN</t>
        </is>
      </c>
      <c r="F93" s="15" t="inlineStr">
        <is>
          <t xml:space="preserve">CITED</t>
        </is>
      </c>
      <c r="G93" s="15" t="inlineStr">
        <is>
          <t xml:space="preserve">ППК26114</t>
        </is>
      </c>
      <c r="H93" s="15" t="inlineStr">
        <is>
          <t xml:space="preserve">30.06.2026</t>
        </is>
      </c>
      <c r="I93" s="15" t="inlineStr">
        <is>
          <t xml:space="preserve">CNP</t>
        </is>
      </c>
      <c r="J93" s="15" t="inlineStr">
        <is>
          <t xml:space="preserve">in eCoA_DATABASE</t>
        </is>
      </c>
      <c r="K93" s="15"/>
      <c r="L93" s="15" t="inlineStr">
        <is>
          <t xml:space="preserve">0.15 % %; 0.15 % %</t>
        </is>
      </c>
      <c r="M93" s="15" t="inlineStr">
        <is>
          <t xml:space="preserve">197-8-K/26</t>
        </is>
      </c>
    </row>
    <row r="94">
      <c r="A94" s="15" t="inlineStr">
        <is>
          <t xml:space="preserve">1</t>
        </is>
      </c>
      <c r="B94" s="15" t="inlineStr">
        <is>
          <t xml:space="preserve">GG012603</t>
        </is>
      </c>
      <c r="C94" s="15" t="inlineStr">
        <is>
          <t xml:space="preserve">P060402</t>
        </is>
      </c>
      <c r="D94" s="15" t="inlineStr">
        <is>
          <t xml:space="preserve">GG4</t>
        </is>
      </c>
      <c r="E94" s="15" t="inlineStr">
        <is>
          <t xml:space="preserve">7 Foreign matter</t>
        </is>
      </c>
      <c r="F94" s="15" t="inlineStr">
        <is>
          <t xml:space="preserve">CITED</t>
        </is>
      </c>
      <c r="G94" s="15" t="inlineStr">
        <is>
          <t xml:space="preserve">ППК26114</t>
        </is>
      </c>
      <c r="H94" s="15" t="inlineStr">
        <is>
          <t xml:space="preserve">30.06.2026</t>
        </is>
      </c>
      <c r="I94" s="15" t="inlineStr">
        <is>
          <t xml:space="preserve">CNP</t>
        </is>
      </c>
      <c r="J94" s="15" t="inlineStr">
        <is>
          <t xml:space="preserve">in eCoA_DATABASE</t>
        </is>
      </c>
      <c r="K94" s="15"/>
      <c r="L94" s="15" t="inlineStr">
        <is>
          <t xml:space="preserve">0.09 % (Одговара) %; 0.09 % (Одговара) %</t>
        </is>
      </c>
      <c r="M94" s="15"/>
    </row>
    <row r="95">
      <c r="A95" s="15" t="inlineStr">
        <is>
          <t xml:space="preserve">1</t>
        </is>
      </c>
      <c r="B95" s="15" t="inlineStr">
        <is>
          <t xml:space="preserve">GG012603</t>
        </is>
      </c>
      <c r="C95" s="15" t="inlineStr">
        <is>
          <t xml:space="preserve">P060402</t>
        </is>
      </c>
      <c r="D95" s="15" t="inlineStr">
        <is>
          <t xml:space="preserve">GG4</t>
        </is>
      </c>
      <c r="E95" s="15" t="inlineStr">
        <is>
          <t xml:space="preserve">8 Loss on drying</t>
        </is>
      </c>
      <c r="F95" s="15" t="inlineStr">
        <is>
          <t xml:space="preserve">CITED</t>
        </is>
      </c>
      <c r="G95" s="15" t="inlineStr">
        <is>
          <t xml:space="preserve">ППК26114</t>
        </is>
      </c>
      <c r="H95" s="15" t="inlineStr">
        <is>
          <t xml:space="preserve">30.06.2026</t>
        </is>
      </c>
      <c r="I95" s="15" t="inlineStr">
        <is>
          <t xml:space="preserve">CNP</t>
        </is>
      </c>
      <c r="J95" s="15" t="inlineStr">
        <is>
          <t xml:space="preserve">in eCoA_DATABASE</t>
        </is>
      </c>
      <c r="K95" s="15"/>
      <c r="L95" s="15" t="inlineStr">
        <is>
          <t xml:space="preserve">6.48 % %; 6.48 % %</t>
        </is>
      </c>
      <c r="M95" s="15"/>
    </row>
    <row r="96">
      <c r="A96" s="15" t="inlineStr">
        <is>
          <t xml:space="preserve">1</t>
        </is>
      </c>
      <c r="B96" s="15" t="inlineStr">
        <is>
          <t xml:space="preserve">GG012603</t>
        </is>
      </c>
      <c r="C96" s="15" t="inlineStr">
        <is>
          <t xml:space="preserve">P060402</t>
        </is>
      </c>
      <c r="D96" s="15" t="inlineStr">
        <is>
          <t xml:space="preserve">GG4</t>
        </is>
      </c>
      <c r="E96" s="15" t="inlineStr">
        <is>
          <t xml:space="preserve">9 Microbiological purity</t>
        </is>
      </c>
      <c r="F96" s="15" t="inlineStr">
        <is>
          <t xml:space="preserve">READ IN THIS PASS</t>
        </is>
      </c>
      <c r="G96" s="15" t="inlineStr">
        <is>
          <t xml:space="preserve">404/0787/26</t>
        </is>
      </c>
      <c r="H96" s="15" t="inlineStr">
        <is>
          <t xml:space="preserve">24.06.2026</t>
        </is>
      </c>
      <c r="I96" s="15" t="inlineStr">
        <is>
          <t xml:space="preserve">IJZ-MB</t>
        </is>
      </c>
      <c r="J96" s="15" t="inlineStr">
        <is>
          <t xml:space="preserve">in eCoA_DATABASE</t>
        </is>
      </c>
      <c r="K96" s="15"/>
      <c r="L96" s="15" t="inlineStr">
        <is>
          <t xml:space="preserve">5 x 10³ CFU/g CFU/g; 4,1 x 10³ CFU/g CFU/g; &lt; 10 CFU/g CFU/g; Отсутна /g; Отсутна /25 g</t>
        </is>
      </c>
      <c r="M96" s="15"/>
    </row>
    <row r="97">
      <c r="A97" s="15" t="inlineStr">
        <is>
          <t xml:space="preserve">1</t>
        </is>
      </c>
      <c r="B97" s="15" t="inlineStr">
        <is>
          <t xml:space="preserve">GG012603</t>
        </is>
      </c>
      <c r="C97" s="15" t="inlineStr">
        <is>
          <t xml:space="preserve">P060402</t>
        </is>
      </c>
      <c r="D97" s="15" t="inlineStr">
        <is>
          <t xml:space="preserve">GG4</t>
        </is>
      </c>
      <c r="E97" s="15" t="inlineStr">
        <is>
          <t xml:space="preserve">10 Mycotoxins</t>
        </is>
      </c>
      <c r="F97" s="15" t="inlineStr">
        <is>
          <t xml:space="preserve">CITED</t>
        </is>
      </c>
      <c r="G97" s="15" t="inlineStr">
        <is>
          <t xml:space="preserve">197-8-M-26</t>
        </is>
      </c>
      <c r="H97" s="15" t="inlineStr">
        <is>
          <t xml:space="preserve">10.08.2026</t>
        </is>
      </c>
      <c r="I97" s="15" t="inlineStr">
        <is>
          <t xml:space="preserve">FHM-M</t>
        </is>
      </c>
      <c r="J97" s="15" t="inlineStr">
        <is>
          <t xml:space="preserve">in eCoA_DATABASE</t>
        </is>
      </c>
      <c r="K97" s="15"/>
      <c r="L97" s="15" t="inlineStr">
        <is>
          <t xml:space="preserve">ND µg/kg; ND µg/kg; ND µg/kg; ND µg/kg; ND µg/kg</t>
        </is>
      </c>
      <c r="M97" s="15" t="inlineStr">
        <is>
          <t xml:space="preserve">3659/2026</t>
        </is>
      </c>
    </row>
    <row r="98">
      <c r="A98" s="15" t="inlineStr">
        <is>
          <t xml:space="preserve">1</t>
        </is>
      </c>
      <c r="B98" s="15" t="inlineStr">
        <is>
          <t xml:space="preserve">GG012603</t>
        </is>
      </c>
      <c r="C98" s="15" t="inlineStr">
        <is>
          <t xml:space="preserve">P060402</t>
        </is>
      </c>
      <c r="D98" s="15" t="inlineStr">
        <is>
          <t xml:space="preserve">GG4</t>
        </is>
      </c>
      <c r="E98" s="15" t="inlineStr">
        <is>
          <t xml:space="preserve">11 Heavy metals</t>
        </is>
      </c>
      <c r="F98" s="15" t="inlineStr">
        <is>
          <t xml:space="preserve">READ IN THIS PASS</t>
        </is>
      </c>
      <c r="G98" s="15" t="inlineStr">
        <is>
          <t xml:space="preserve">3659/2026</t>
        </is>
      </c>
      <c r="H98" s="15" t="inlineStr">
        <is>
          <t xml:space="preserve">22.06.2026</t>
        </is>
      </c>
      <c r="I98" s="15" t="inlineStr">
        <is>
          <t xml:space="preserve">IJZ</t>
        </is>
      </c>
      <c r="J98" s="15" t="inlineStr">
        <is>
          <t xml:space="preserve">in eCoA_DATABASE</t>
        </is>
      </c>
      <c r="K98" s="15"/>
      <c r="L98" s="15" t="inlineStr">
        <is>
          <t xml:space="preserve">0,059 mg/kg; 0,03 mg/kg(l); 0,05 mg/kg(l); 0,015 mg/kg(l)</t>
        </is>
      </c>
      <c r="M98" s="15"/>
    </row>
    <row r="99">
      <c r="A99" s="15" t="inlineStr">
        <is>
          <t xml:space="preserve">1</t>
        </is>
      </c>
      <c r="B99" s="15" t="inlineStr">
        <is>
          <t xml:space="preserve">GG012603</t>
        </is>
      </c>
      <c r="C99" s="15" t="inlineStr">
        <is>
          <t xml:space="preserve">P060402</t>
        </is>
      </c>
      <c r="D99" s="15" t="inlineStr">
        <is>
          <t xml:space="preserve">GG4</t>
        </is>
      </c>
      <c r="E99" s="15" t="inlineStr">
        <is>
          <t xml:space="preserve">12 Pesticide residues</t>
        </is>
      </c>
      <c r="F99" s="15" t="inlineStr">
        <is>
          <t xml:space="preserve">READ IN THIS PASS</t>
        </is>
      </c>
      <c r="G99" s="15" t="inlineStr">
        <is>
          <t xml:space="preserve">3659/2026</t>
        </is>
      </c>
      <c r="H99" s="15" t="inlineStr">
        <is>
          <t xml:space="preserve">22.06.2026</t>
        </is>
      </c>
      <c r="I99" s="15" t="inlineStr">
        <is>
          <t xml:space="preserve">IJZ</t>
        </is>
      </c>
      <c r="J99" s="15" t="inlineStr">
        <is>
          <t xml:space="preserve">in eCoA_DATABASE</t>
        </is>
      </c>
      <c r="K99" s="15"/>
      <c r="L99" s="15" t="inlineStr">
        <is>
          <t xml:space="preserve">&lt; 0,01 mg/kg; &lt; 0,01 mg/kg; &lt; 0,01 mg/kg; &lt; 0,01 mg/kg; &lt; 0,01 mg/kg; &lt; 0,01 mg/kg; &lt; 0,01 mg/kg; &lt; 0,01 mg/kg; &lt; 0,01 mg/kg; &lt; 0,01 mg/kg; &lt; 0,01 mg/kg; &lt; 0,01 mg/kg; &lt; 0,01 mg/kg; &lt; 0,01 mg/kg; &lt; 0,01 mg/kg; &lt; 0,01 mg/kg; &lt; 0,01 mg/kg; &lt; 0,01 mg/kg; &lt; 0,01 mg/kg; &lt; 0,01 mg/kg; &lt; 0,01 mg/kg; &lt; 0,01</t>
        </is>
      </c>
      <c r="M99" s="15"/>
    </row>
    <row r="100">
      <c r="A100" s="15" t="inlineStr">
        <is>
          <t xml:space="preserve">1</t>
        </is>
      </c>
      <c r="B100" s="15" t="inlineStr">
        <is>
          <t xml:space="preserve">GG1024_01</t>
        </is>
      </c>
      <c r="C100" s="15" t="inlineStr">
        <is>
          <t xml:space="preserve">P050092</t>
        </is>
      </c>
      <c r="D100" s="15" t="inlineStr">
        <is>
          <t xml:space="preserve">Gorilla Glue</t>
        </is>
      </c>
      <c r="E100" s="15" t="inlineStr">
        <is>
          <t xml:space="preserve">1 Identification A — appearance</t>
        </is>
      </c>
      <c r="F100" s="15" t="inlineStr">
        <is>
          <t xml:space="preserve">CITED</t>
        </is>
      </c>
      <c r="G100" s="15" t="inlineStr">
        <is>
          <t xml:space="preserve">iCoA-PP_26-015</t>
        </is>
      </c>
      <c r="H100" s="15" t="inlineStr">
        <is>
          <t xml:space="preserve">31.07.2025</t>
        </is>
      </c>
      <c r="I100" s="15" t="inlineStr">
        <is>
          <t xml:space="preserve">PP</t>
        </is>
      </c>
      <c r="J100" s="15" t="inlineStr">
        <is>
          <t xml:space="preserve">planned, NOT ISSUED (2026-05-15)</t>
        </is>
      </c>
      <c r="K100" s="15" t="inlineStr">
        <is>
          <t xml:space="preserve">YES — the certificate has not been issued</t>
        </is>
      </c>
      <c r="L100" s="15" t="inlineStr">
        <is>
          <t xml:space="preserve">Conforms</t>
        </is>
      </c>
      <c r="M100" s="15"/>
    </row>
    <row r="101">
      <c r="A101" s="15" t="inlineStr">
        <is>
          <t xml:space="preserve">1</t>
        </is>
      </c>
      <c r="B101" s="15" t="inlineStr">
        <is>
          <t xml:space="preserve">GG1024_01</t>
        </is>
      </c>
      <c r="C101" s="15" t="inlineStr">
        <is>
          <t xml:space="preserve">P050092</t>
        </is>
      </c>
      <c r="D101" s="15" t="inlineStr">
        <is>
          <t xml:space="preserve">Gorilla Glue</t>
        </is>
      </c>
      <c r="E101" s="15" t="inlineStr">
        <is>
          <t xml:space="preserve">2 Identification B — microscopy</t>
        </is>
      </c>
      <c r="F101" s="15" t="inlineStr">
        <is>
          <t xml:space="preserve">CITED</t>
        </is>
      </c>
      <c r="G101" s="15" t="inlineStr">
        <is>
          <t xml:space="preserve">iCoA-PP_26-015</t>
        </is>
      </c>
      <c r="H101" s="15" t="inlineStr">
        <is>
          <t xml:space="preserve">31.07.2025</t>
        </is>
      </c>
      <c r="I101" s="15" t="inlineStr">
        <is>
          <t xml:space="preserve">PP</t>
        </is>
      </c>
      <c r="J101" s="15" t="inlineStr">
        <is>
          <t xml:space="preserve">planned, NOT ISSUED (2026-05-15)</t>
        </is>
      </c>
      <c r="K101" s="15" t="inlineStr">
        <is>
          <t xml:space="preserve">YES — the certificate has not been issued</t>
        </is>
      </c>
      <c r="L101" s="15" t="inlineStr">
        <is>
          <t xml:space="preserve">Conforms</t>
        </is>
      </c>
      <c r="M101" s="15"/>
    </row>
    <row r="102">
      <c r="A102" s="15" t="inlineStr">
        <is>
          <t xml:space="preserve">1</t>
        </is>
      </c>
      <c r="B102" s="15" t="inlineStr">
        <is>
          <t xml:space="preserve">GG1024_01</t>
        </is>
      </c>
      <c r="C102" s="15" t="inlineStr">
        <is>
          <t xml:space="preserve">P050092</t>
        </is>
      </c>
      <c r="D102" s="15" t="inlineStr">
        <is>
          <t xml:space="preserve">Gorilla Glue</t>
        </is>
      </c>
      <c r="E102" s="15" t="inlineStr">
        <is>
          <t xml:space="preserve">3 Identification C — HPLC</t>
        </is>
      </c>
      <c r="F102" s="15" t="inlineStr">
        <is>
          <t xml:space="preserve">CITED</t>
        </is>
      </c>
      <c r="G102" s="15" t="inlineStr">
        <is>
          <t xml:space="preserve">ППК25104</t>
        </is>
      </c>
      <c r="H102" s="15" t="inlineStr">
        <is>
          <t xml:space="preserve">17.04.2025</t>
        </is>
      </c>
      <c r="I102" s="15" t="inlineStr">
        <is>
          <t xml:space="preserve">CNP</t>
        </is>
      </c>
      <c r="J102" s="15" t="inlineStr">
        <is>
          <t xml:space="preserve">in eCoA_DATABASE</t>
        </is>
      </c>
      <c r="K102" s="15"/>
      <c r="L102" s="15" t="inlineStr">
        <is>
          <t xml:space="preserve">Conforms (ImB spec.)</t>
        </is>
      </c>
      <c r="M102" s="15" t="inlineStr">
        <is>
          <t xml:space="preserve">197-9-K/26</t>
        </is>
      </c>
    </row>
    <row r="103">
      <c r="A103" s="15" t="inlineStr">
        <is>
          <t xml:space="preserve">1</t>
        </is>
      </c>
      <c r="B103" s="15" t="inlineStr">
        <is>
          <t xml:space="preserve">GG1024_01</t>
        </is>
      </c>
      <c r="C103" s="15" t="inlineStr">
        <is>
          <t xml:space="preserve">P050092</t>
        </is>
      </c>
      <c r="D103" s="15" t="inlineStr">
        <is>
          <t xml:space="preserve">Gorilla Glue</t>
        </is>
      </c>
      <c r="E103" s="15" t="inlineStr">
        <is>
          <t xml:space="preserve">4 Assay — Total Δ⁹-THC</t>
        </is>
      </c>
      <c r="F103" s="15" t="inlineStr">
        <is>
          <t xml:space="preserve">CITED</t>
        </is>
      </c>
      <c r="G103" s="15" t="inlineStr">
        <is>
          <t xml:space="preserve">ППК25104</t>
        </is>
      </c>
      <c r="H103" s="15" t="inlineStr">
        <is>
          <t xml:space="preserve">17.04.2025</t>
        </is>
      </c>
      <c r="I103" s="15" t="inlineStr">
        <is>
          <t xml:space="preserve">CNP</t>
        </is>
      </c>
      <c r="J103" s="15" t="inlineStr">
        <is>
          <t xml:space="preserve">in eCoA_DATABASE</t>
        </is>
      </c>
      <c r="K103" s="15"/>
      <c r="L103" s="15" t="inlineStr">
        <is>
          <t xml:space="preserve">17.22</t>
        </is>
      </c>
      <c r="M103" s="15" t="inlineStr">
        <is>
          <t xml:space="preserve">197-9-K/26</t>
        </is>
      </c>
    </row>
    <row r="104">
      <c r="A104" s="15" t="inlineStr">
        <is>
          <t xml:space="preserve">1</t>
        </is>
      </c>
      <c r="B104" s="15" t="inlineStr">
        <is>
          <t xml:space="preserve">GG1024_01</t>
        </is>
      </c>
      <c r="C104" s="15" t="inlineStr">
        <is>
          <t xml:space="preserve">P050092</t>
        </is>
      </c>
      <c r="D104" s="15" t="inlineStr">
        <is>
          <t xml:space="preserve">Gorilla Glue</t>
        </is>
      </c>
      <c r="E104" s="15" t="inlineStr">
        <is>
          <t xml:space="preserve">5 Assay — Total CBD</t>
        </is>
      </c>
      <c r="F104" s="15" t="inlineStr">
        <is>
          <t xml:space="preserve">CITED</t>
        </is>
      </c>
      <c r="G104" s="15" t="inlineStr">
        <is>
          <t xml:space="preserve">ППК25104</t>
        </is>
      </c>
      <c r="H104" s="15" t="inlineStr">
        <is>
          <t xml:space="preserve">17.04.2025</t>
        </is>
      </c>
      <c r="I104" s="15" t="inlineStr">
        <is>
          <t xml:space="preserve">CNP</t>
        </is>
      </c>
      <c r="J104" s="15" t="inlineStr">
        <is>
          <t xml:space="preserve">in eCoA_DATABASE</t>
        </is>
      </c>
      <c r="K104" s="15"/>
      <c r="L104" s="15" t="inlineStr">
        <is>
          <t xml:space="preserve">0.05</t>
        </is>
      </c>
      <c r="M104" s="15" t="inlineStr">
        <is>
          <t xml:space="preserve">197-9-K/26</t>
        </is>
      </c>
    </row>
    <row r="105">
      <c r="A105" s="15" t="inlineStr">
        <is>
          <t xml:space="preserve">1</t>
        </is>
      </c>
      <c r="B105" s="15" t="inlineStr">
        <is>
          <t xml:space="preserve">GG1024_01</t>
        </is>
      </c>
      <c r="C105" s="15" t="inlineStr">
        <is>
          <t xml:space="preserve">P050092</t>
        </is>
      </c>
      <c r="D105" s="15" t="inlineStr">
        <is>
          <t xml:space="preserve">Gorilla Glue</t>
        </is>
      </c>
      <c r="E105" s="15" t="inlineStr">
        <is>
          <t xml:space="preserve">6 Total CBN</t>
        </is>
      </c>
      <c r="F105" s="15" t="inlineStr">
        <is>
          <t xml:space="preserve">CITED</t>
        </is>
      </c>
      <c r="G105" s="15" t="inlineStr">
        <is>
          <t xml:space="preserve">ППК25104</t>
        </is>
      </c>
      <c r="H105" s="15" t="inlineStr">
        <is>
          <t xml:space="preserve">17.04.2025</t>
        </is>
      </c>
      <c r="I105" s="15" t="inlineStr">
        <is>
          <t xml:space="preserve">CNP</t>
        </is>
      </c>
      <c r="J105" s="15" t="inlineStr">
        <is>
          <t xml:space="preserve">in eCoA_DATABASE</t>
        </is>
      </c>
      <c r="K105" s="15"/>
      <c r="L105" s="15" t="inlineStr">
        <is>
          <t xml:space="preserve">ND ᴰ</t>
        </is>
      </c>
      <c r="M105" s="15" t="inlineStr">
        <is>
          <t xml:space="preserve">197-9-K/26</t>
        </is>
      </c>
    </row>
    <row r="106">
      <c r="A106" s="15" t="inlineStr">
        <is>
          <t xml:space="preserve">1</t>
        </is>
      </c>
      <c r="B106" s="15" t="inlineStr">
        <is>
          <t xml:space="preserve">GG1024_01</t>
        </is>
      </c>
      <c r="C106" s="15" t="inlineStr">
        <is>
          <t xml:space="preserve">P050092</t>
        </is>
      </c>
      <c r="D106" s="15" t="inlineStr">
        <is>
          <t xml:space="preserve">Gorilla Glue</t>
        </is>
      </c>
      <c r="E106" s="15" t="inlineStr">
        <is>
          <t xml:space="preserve">7 Foreign matter</t>
        </is>
      </c>
      <c r="F106" s="15" t="inlineStr">
        <is>
          <t xml:space="preserve">CITED</t>
        </is>
      </c>
      <c r="G106" s="15" t="inlineStr">
        <is>
          <t xml:space="preserve">iCoA-PP_26-015</t>
        </is>
      </c>
      <c r="H106" s="15" t="inlineStr">
        <is>
          <t xml:space="preserve">31.07.2025</t>
        </is>
      </c>
      <c r="I106" s="15" t="inlineStr">
        <is>
          <t xml:space="preserve">PP</t>
        </is>
      </c>
      <c r="J106" s="15" t="inlineStr">
        <is>
          <t xml:space="preserve">planned, NOT ISSUED (2026-05-15)</t>
        </is>
      </c>
      <c r="K106" s="15" t="inlineStr">
        <is>
          <t xml:space="preserve">YES — the certificate has not been issued</t>
        </is>
      </c>
      <c r="L106" s="15" t="inlineStr">
        <is>
          <t xml:space="preserve">Conforms</t>
        </is>
      </c>
      <c r="M106" s="15"/>
    </row>
    <row r="107">
      <c r="A107" s="15" t="inlineStr">
        <is>
          <t xml:space="preserve">1</t>
        </is>
      </c>
      <c r="B107" s="15" t="inlineStr">
        <is>
          <t xml:space="preserve">GG1024_01</t>
        </is>
      </c>
      <c r="C107" s="15" t="inlineStr">
        <is>
          <t xml:space="preserve">P050092</t>
        </is>
      </c>
      <c r="D107" s="15" t="inlineStr">
        <is>
          <t xml:space="preserve">Gorilla Glue</t>
        </is>
      </c>
      <c r="E107" s="15" t="inlineStr">
        <is>
          <t xml:space="preserve">8 Loss on drying</t>
        </is>
      </c>
      <c r="F107" s="15" t="inlineStr">
        <is>
          <t xml:space="preserve">CITED</t>
        </is>
      </c>
      <c r="G107" s="15" t="inlineStr">
        <is>
          <t xml:space="preserve">ППК25104</t>
        </is>
      </c>
      <c r="H107" s="15" t="inlineStr">
        <is>
          <t xml:space="preserve">17.04.2025</t>
        </is>
      </c>
      <c r="I107" s="15" t="inlineStr">
        <is>
          <t xml:space="preserve">CNP</t>
        </is>
      </c>
      <c r="J107" s="15" t="inlineStr">
        <is>
          <t xml:space="preserve">in eCoA_DATABASE</t>
        </is>
      </c>
      <c r="K107" s="15"/>
      <c r="L107" s="15" t="inlineStr">
        <is>
          <t xml:space="preserve">7.54</t>
        </is>
      </c>
      <c r="M107" s="15"/>
    </row>
    <row r="108">
      <c r="A108" s="15" t="inlineStr">
        <is>
          <t xml:space="preserve">1</t>
        </is>
      </c>
      <c r="B108" s="15" t="inlineStr">
        <is>
          <t xml:space="preserve">GG1024_01</t>
        </is>
      </c>
      <c r="C108" s="15" t="inlineStr">
        <is>
          <t xml:space="preserve">P050092</t>
        </is>
      </c>
      <c r="D108" s="15" t="inlineStr">
        <is>
          <t xml:space="preserve">Gorilla Glue</t>
        </is>
      </c>
      <c r="E108" s="15" t="inlineStr">
        <is>
          <t xml:space="preserve">9 Microbiological purity</t>
        </is>
      </c>
      <c r="F108" s="15" t="inlineStr">
        <is>
          <t xml:space="preserve">CITED</t>
        </is>
      </c>
      <c r="G108" s="15" t="inlineStr">
        <is>
          <t xml:space="preserve">320-0587-25</t>
        </is>
      </c>
      <c r="H108" s="15" t="inlineStr">
        <is>
          <t xml:space="preserve">14.04.2025</t>
        </is>
      </c>
      <c r="I108" s="15" t="inlineStr">
        <is>
          <t xml:space="preserve">IJZ-MB</t>
        </is>
      </c>
      <c r="J108" s="15" t="inlineStr">
        <is>
          <t xml:space="preserve">in eCoA_DATABASE</t>
        </is>
      </c>
      <c r="K108" s="15"/>
      <c r="L108" s="15" t="inlineStr">
        <is>
          <t xml:space="preserve">5.1 x 10⁴; 4.2 x 10⁴; &lt;10; Одговара; Одговара</t>
        </is>
      </c>
      <c r="M108" s="15"/>
    </row>
    <row r="109">
      <c r="A109" s="15" t="inlineStr">
        <is>
          <t xml:space="preserve">1</t>
        </is>
      </c>
      <c r="B109" s="15" t="inlineStr">
        <is>
          <t xml:space="preserve">GG1024_01</t>
        </is>
      </c>
      <c r="C109" s="15" t="inlineStr">
        <is>
          <t xml:space="preserve">P050092</t>
        </is>
      </c>
      <c r="D109" s="15" t="inlineStr">
        <is>
          <t xml:space="preserve">Gorilla Glue</t>
        </is>
      </c>
      <c r="E109" s="15" t="inlineStr">
        <is>
          <t xml:space="preserve">10 Mycotoxins</t>
        </is>
      </c>
      <c r="F109" s="15" t="inlineStr">
        <is>
          <t xml:space="preserve">CITED</t>
        </is>
      </c>
      <c r="G109" s="15" t="inlineStr">
        <is>
          <t xml:space="preserve">1766-2025</t>
        </is>
      </c>
      <c r="H109" s="15" t="inlineStr">
        <is>
          <t xml:space="preserve">11.04.2025</t>
        </is>
      </c>
      <c r="I109" s="15" t="inlineStr">
        <is>
          <t xml:space="preserve">IJZ</t>
        </is>
      </c>
      <c r="J109" s="15" t="inlineStr">
        <is>
          <t xml:space="preserve">in eCoA_DATABASE</t>
        </is>
      </c>
      <c r="K109" s="15"/>
      <c r="L109" s="15" t="inlineStr">
        <is>
          <t xml:space="preserve">n.r.; &lt;2; n.r.</t>
        </is>
      </c>
      <c r="M109" s="15" t="inlineStr">
        <is>
          <t xml:space="preserve">197-9-M/26</t>
        </is>
      </c>
    </row>
    <row r="110">
      <c r="A110" s="15" t="inlineStr">
        <is>
          <t xml:space="preserve">1</t>
        </is>
      </c>
      <c r="B110" s="15" t="inlineStr">
        <is>
          <t xml:space="preserve">GG1024_01</t>
        </is>
      </c>
      <c r="C110" s="15" t="inlineStr">
        <is>
          <t xml:space="preserve">P050092</t>
        </is>
      </c>
      <c r="D110" s="15" t="inlineStr">
        <is>
          <t xml:space="preserve">Gorilla Glue</t>
        </is>
      </c>
      <c r="E110" s="15" t="inlineStr">
        <is>
          <t xml:space="preserve">11 Heavy metals</t>
        </is>
      </c>
      <c r="F110" s="15" t="inlineStr">
        <is>
          <t xml:space="preserve">CITED</t>
        </is>
      </c>
      <c r="G110" s="15" t="inlineStr">
        <is>
          <t xml:space="preserve">1766-2025</t>
        </is>
      </c>
      <c r="H110" s="15" t="inlineStr">
        <is>
          <t xml:space="preserve">11.04.2025</t>
        </is>
      </c>
      <c r="I110" s="15" t="inlineStr">
        <is>
          <t xml:space="preserve">IJZ</t>
        </is>
      </c>
      <c r="J110" s="15" t="inlineStr">
        <is>
          <t xml:space="preserve">in eCoA_DATABASE</t>
        </is>
      </c>
      <c r="K110" s="15"/>
      <c r="L110" s="15" t="inlineStr">
        <is>
          <t xml:space="preserve">0.02; 0.007; 0.015; 0.005</t>
        </is>
      </c>
      <c r="M110" s="15"/>
    </row>
    <row r="111">
      <c r="A111" s="15" t="inlineStr">
        <is>
          <t xml:space="preserve">1</t>
        </is>
      </c>
      <c r="B111" s="15" t="inlineStr">
        <is>
          <t xml:space="preserve">GG1024_01</t>
        </is>
      </c>
      <c r="C111" s="15" t="inlineStr">
        <is>
          <t xml:space="preserve">P050092</t>
        </is>
      </c>
      <c r="D111" s="15" t="inlineStr">
        <is>
          <t xml:space="preserve">Gorilla Glue</t>
        </is>
      </c>
      <c r="E111" s="15" t="inlineStr">
        <is>
          <t xml:space="preserve">12 Pesticide residues</t>
        </is>
      </c>
      <c r="F111" s="15" t="inlineStr">
        <is>
          <t xml:space="preserve">CITED</t>
        </is>
      </c>
      <c r="G111" s="15" t="inlineStr">
        <is>
          <t xml:space="preserve">1766-2025</t>
        </is>
      </c>
      <c r="H111" s="15" t="inlineStr">
        <is>
          <t xml:space="preserve">11.04.2025</t>
        </is>
      </c>
      <c r="I111" s="15" t="inlineStr">
        <is>
          <t xml:space="preserve">IJZ</t>
        </is>
      </c>
      <c r="J111" s="15" t="inlineStr">
        <is>
          <t xml:space="preserve">in eCoA_DATABASE</t>
        </is>
      </c>
      <c r="K111" s="15"/>
      <c r="L111" s="15" t="inlineStr">
        <is>
          <t xml:space="preserve">≤ LOQ (all 27 compounds)</t>
        </is>
      </c>
      <c r="M111" s="15"/>
    </row>
    <row r="112">
      <c r="A112" s="15" t="inlineStr">
        <is>
          <t xml:space="preserve">1</t>
        </is>
      </c>
      <c r="B112" s="15" t="inlineStr">
        <is>
          <t xml:space="preserve">GP052501</t>
        </is>
      </c>
      <c r="C112" s="15" t="inlineStr">
        <is>
          <t xml:space="preserve">P050152</t>
        </is>
      </c>
      <c r="D112" s="15" t="inlineStr">
        <is>
          <t xml:space="preserve">Grape Pie</t>
        </is>
      </c>
      <c r="E112" s="15" t="inlineStr">
        <is>
          <t xml:space="preserve">1 Identification A — appearance</t>
        </is>
      </c>
      <c r="F112" s="15" t="inlineStr">
        <is>
          <t xml:space="preserve">CITED</t>
        </is>
      </c>
      <c r="G112" s="15" t="inlineStr">
        <is>
          <t xml:space="preserve">iCoA-PP_26-020</t>
        </is>
      </c>
      <c r="H112" s="15" t="inlineStr">
        <is>
          <t xml:space="preserve">25.09.2025</t>
        </is>
      </c>
      <c r="I112" s="15" t="inlineStr">
        <is>
          <t xml:space="preserve">PP</t>
        </is>
      </c>
      <c r="J112" s="15" t="inlineStr">
        <is>
          <t xml:space="preserve">planned, NOT ISSUED (2026-05-15)</t>
        </is>
      </c>
      <c r="K112" s="15" t="inlineStr">
        <is>
          <t xml:space="preserve">YES — the certificate has not been issued</t>
        </is>
      </c>
      <c r="L112" s="15" t="inlineStr">
        <is>
          <t xml:space="preserve">Conforms</t>
        </is>
      </c>
      <c r="M112" s="15"/>
    </row>
    <row r="113">
      <c r="A113" s="15" t="inlineStr">
        <is>
          <t xml:space="preserve">1</t>
        </is>
      </c>
      <c r="B113" s="15" t="inlineStr">
        <is>
          <t xml:space="preserve">GP052501</t>
        </is>
      </c>
      <c r="C113" s="15" t="inlineStr">
        <is>
          <t xml:space="preserve">P050152</t>
        </is>
      </c>
      <c r="D113" s="15" t="inlineStr">
        <is>
          <t xml:space="preserve">Grape Pie</t>
        </is>
      </c>
      <c r="E113" s="15" t="inlineStr">
        <is>
          <t xml:space="preserve">2 Identification B — microscopy</t>
        </is>
      </c>
      <c r="F113" s="15" t="inlineStr">
        <is>
          <t xml:space="preserve">CITED</t>
        </is>
      </c>
      <c r="G113" s="15" t="inlineStr">
        <is>
          <t xml:space="preserve">iCoA-PP_26-020</t>
        </is>
      </c>
      <c r="H113" s="15" t="inlineStr">
        <is>
          <t xml:space="preserve">25.09.2025</t>
        </is>
      </c>
      <c r="I113" s="15" t="inlineStr">
        <is>
          <t xml:space="preserve">PP</t>
        </is>
      </c>
      <c r="J113" s="15" t="inlineStr">
        <is>
          <t xml:space="preserve">planned, NOT ISSUED (2026-05-15)</t>
        </is>
      </c>
      <c r="K113" s="15" t="inlineStr">
        <is>
          <t xml:space="preserve">YES — the certificate has not been issued</t>
        </is>
      </c>
      <c r="L113" s="15" t="inlineStr">
        <is>
          <t xml:space="preserve">Conforms</t>
        </is>
      </c>
      <c r="M113" s="15"/>
    </row>
    <row r="114">
      <c r="A114" s="15" t="inlineStr">
        <is>
          <t xml:space="preserve">1</t>
        </is>
      </c>
      <c r="B114" s="15" t="inlineStr">
        <is>
          <t xml:space="preserve">GP052501</t>
        </is>
      </c>
      <c r="C114" s="15" t="inlineStr">
        <is>
          <t xml:space="preserve">P050152</t>
        </is>
      </c>
      <c r="D114" s="15" t="inlineStr">
        <is>
          <t xml:space="preserve">Grape Pie</t>
        </is>
      </c>
      <c r="E114" s="15" t="inlineStr">
        <is>
          <t xml:space="preserve">3 Identification C — HPLC</t>
        </is>
      </c>
      <c r="F114" s="15" t="inlineStr">
        <is>
          <t xml:space="preserve">CITED</t>
        </is>
      </c>
      <c r="G114" s="15" t="inlineStr">
        <is>
          <t xml:space="preserve">ППК25279</t>
        </is>
      </c>
      <c r="H114" s="15" t="inlineStr">
        <is>
          <t xml:space="preserve">19.09.2025</t>
        </is>
      </c>
      <c r="I114" s="15" t="inlineStr">
        <is>
          <t xml:space="preserve">CNP</t>
        </is>
      </c>
      <c r="J114" s="15" t="inlineStr">
        <is>
          <t xml:space="preserve">in eCoA_DATABASE</t>
        </is>
      </c>
      <c r="K114" s="15"/>
      <c r="L114" s="15" t="inlineStr">
        <is>
          <t xml:space="preserve">Conforms (ImB spec.)</t>
        </is>
      </c>
      <c r="M114" s="15" t="inlineStr">
        <is>
          <t xml:space="preserve">197-10-K/26</t>
        </is>
      </c>
    </row>
    <row r="115">
      <c r="A115" s="15" t="inlineStr">
        <is>
          <t xml:space="preserve">1</t>
        </is>
      </c>
      <c r="B115" s="15" t="inlineStr">
        <is>
          <t xml:space="preserve">GP052501</t>
        </is>
      </c>
      <c r="C115" s="15" t="inlineStr">
        <is>
          <t xml:space="preserve">P050152</t>
        </is>
      </c>
      <c r="D115" s="15" t="inlineStr">
        <is>
          <t xml:space="preserve">Grape Pie</t>
        </is>
      </c>
      <c r="E115" s="15" t="inlineStr">
        <is>
          <t xml:space="preserve">4 Assay — Total Δ⁹-THC</t>
        </is>
      </c>
      <c r="F115" s="15" t="inlineStr">
        <is>
          <t xml:space="preserve">CITED</t>
        </is>
      </c>
      <c r="G115" s="15" t="inlineStr">
        <is>
          <t xml:space="preserve">ППК25279</t>
        </is>
      </c>
      <c r="H115" s="15" t="inlineStr">
        <is>
          <t xml:space="preserve">19.09.2025</t>
        </is>
      </c>
      <c r="I115" s="15" t="inlineStr">
        <is>
          <t xml:space="preserve">CNP</t>
        </is>
      </c>
      <c r="J115" s="15" t="inlineStr">
        <is>
          <t xml:space="preserve">in eCoA_DATABASE</t>
        </is>
      </c>
      <c r="K115" s="15"/>
      <c r="L115" s="15" t="inlineStr">
        <is>
          <t xml:space="preserve">18.98</t>
        </is>
      </c>
      <c r="M115" s="15" t="inlineStr">
        <is>
          <t xml:space="preserve">197-10-K/26</t>
        </is>
      </c>
    </row>
    <row r="116">
      <c r="A116" s="15" t="inlineStr">
        <is>
          <t xml:space="preserve">1</t>
        </is>
      </c>
      <c r="B116" s="15" t="inlineStr">
        <is>
          <t xml:space="preserve">GP052501</t>
        </is>
      </c>
      <c r="C116" s="15" t="inlineStr">
        <is>
          <t xml:space="preserve">P050152</t>
        </is>
      </c>
      <c r="D116" s="15" t="inlineStr">
        <is>
          <t xml:space="preserve">Grape Pie</t>
        </is>
      </c>
      <c r="E116" s="15" t="inlineStr">
        <is>
          <t xml:space="preserve">5 Assay — Total CBD</t>
        </is>
      </c>
      <c r="F116" s="15" t="inlineStr">
        <is>
          <t xml:space="preserve">CITED</t>
        </is>
      </c>
      <c r="G116" s="15" t="inlineStr">
        <is>
          <t xml:space="preserve">ППК25279</t>
        </is>
      </c>
      <c r="H116" s="15" t="inlineStr">
        <is>
          <t xml:space="preserve">19.09.2025</t>
        </is>
      </c>
      <c r="I116" s="15" t="inlineStr">
        <is>
          <t xml:space="preserve">CNP</t>
        </is>
      </c>
      <c r="J116" s="15" t="inlineStr">
        <is>
          <t xml:space="preserve">in eCoA_DATABASE</t>
        </is>
      </c>
      <c r="K116" s="15"/>
      <c r="L116" s="15" t="inlineStr">
        <is>
          <t xml:space="preserve">0.08</t>
        </is>
      </c>
      <c r="M116" s="15" t="inlineStr">
        <is>
          <t xml:space="preserve">197-10-K/26</t>
        </is>
      </c>
    </row>
    <row r="117">
      <c r="A117" s="15" t="inlineStr">
        <is>
          <t xml:space="preserve">1</t>
        </is>
      </c>
      <c r="B117" s="15" t="inlineStr">
        <is>
          <t xml:space="preserve">GP052501</t>
        </is>
      </c>
      <c r="C117" s="15" t="inlineStr">
        <is>
          <t xml:space="preserve">P050152</t>
        </is>
      </c>
      <c r="D117" s="15" t="inlineStr">
        <is>
          <t xml:space="preserve">Grape Pie</t>
        </is>
      </c>
      <c r="E117" s="15" t="inlineStr">
        <is>
          <t xml:space="preserve">6 Total CBN</t>
        </is>
      </c>
      <c r="F117" s="15" t="inlineStr">
        <is>
          <t xml:space="preserve">CITED</t>
        </is>
      </c>
      <c r="G117" s="15" t="inlineStr">
        <is>
          <t xml:space="preserve">ППК25279</t>
        </is>
      </c>
      <c r="H117" s="15" t="inlineStr">
        <is>
          <t xml:space="preserve">19.09.2025</t>
        </is>
      </c>
      <c r="I117" s="15" t="inlineStr">
        <is>
          <t xml:space="preserve">CNP</t>
        </is>
      </c>
      <c r="J117" s="15" t="inlineStr">
        <is>
          <t xml:space="preserve">in eCoA_DATABASE</t>
        </is>
      </c>
      <c r="K117" s="15"/>
      <c r="L117" s="15" t="inlineStr">
        <is>
          <t xml:space="preserve">0.03 ᴰ</t>
        </is>
      </c>
      <c r="M117" s="15" t="inlineStr">
        <is>
          <t xml:space="preserve">197-10-K/26</t>
        </is>
      </c>
    </row>
    <row r="118">
      <c r="A118" s="15" t="inlineStr">
        <is>
          <t xml:space="preserve">1</t>
        </is>
      </c>
      <c r="B118" s="15" t="inlineStr">
        <is>
          <t xml:space="preserve">GP052501</t>
        </is>
      </c>
      <c r="C118" s="15" t="inlineStr">
        <is>
          <t xml:space="preserve">P050152</t>
        </is>
      </c>
      <c r="D118" s="15" t="inlineStr">
        <is>
          <t xml:space="preserve">Grape Pie</t>
        </is>
      </c>
      <c r="E118" s="15" t="inlineStr">
        <is>
          <t xml:space="preserve">7 Foreign matter</t>
        </is>
      </c>
      <c r="F118" s="15" t="inlineStr">
        <is>
          <t xml:space="preserve">CITED</t>
        </is>
      </c>
      <c r="G118" s="15" t="inlineStr">
        <is>
          <t xml:space="preserve">iCoA-PP_26-020</t>
        </is>
      </c>
      <c r="H118" s="15" t="inlineStr">
        <is>
          <t xml:space="preserve">25.09.2025</t>
        </is>
      </c>
      <c r="I118" s="15" t="inlineStr">
        <is>
          <t xml:space="preserve">PP</t>
        </is>
      </c>
      <c r="J118" s="15" t="inlineStr">
        <is>
          <t xml:space="preserve">planned, NOT ISSUED (2026-05-15)</t>
        </is>
      </c>
      <c r="K118" s="15" t="inlineStr">
        <is>
          <t xml:space="preserve">YES — the certificate has not been issued</t>
        </is>
      </c>
      <c r="L118" s="15" t="inlineStr">
        <is>
          <t xml:space="preserve">Conforms</t>
        </is>
      </c>
      <c r="M118" s="15"/>
    </row>
    <row r="119">
      <c r="A119" s="15" t="inlineStr">
        <is>
          <t xml:space="preserve">1</t>
        </is>
      </c>
      <c r="B119" s="15" t="inlineStr">
        <is>
          <t xml:space="preserve">GP052501</t>
        </is>
      </c>
      <c r="C119" s="15" t="inlineStr">
        <is>
          <t xml:space="preserve">P050152</t>
        </is>
      </c>
      <c r="D119" s="15" t="inlineStr">
        <is>
          <t xml:space="preserve">Grape Pie</t>
        </is>
      </c>
      <c r="E119" s="15" t="inlineStr">
        <is>
          <t xml:space="preserve">8 Loss on drying</t>
        </is>
      </c>
      <c r="F119" s="15" t="inlineStr">
        <is>
          <t xml:space="preserve">CITED</t>
        </is>
      </c>
      <c r="G119" s="15" t="inlineStr">
        <is>
          <t xml:space="preserve">ППК25279</t>
        </is>
      </c>
      <c r="H119" s="15" t="inlineStr">
        <is>
          <t xml:space="preserve">19.09.2025</t>
        </is>
      </c>
      <c r="I119" s="15" t="inlineStr">
        <is>
          <t xml:space="preserve">CNP</t>
        </is>
      </c>
      <c r="J119" s="15" t="inlineStr">
        <is>
          <t xml:space="preserve">in eCoA_DATABASE</t>
        </is>
      </c>
      <c r="K119" s="15"/>
      <c r="L119" s="15" t="inlineStr">
        <is>
          <t xml:space="preserve">7.30</t>
        </is>
      </c>
      <c r="M119" s="15"/>
    </row>
    <row r="120">
      <c r="A120" s="15" t="inlineStr">
        <is>
          <t xml:space="preserve">1</t>
        </is>
      </c>
      <c r="B120" s="15" t="inlineStr">
        <is>
          <t xml:space="preserve">GP052501</t>
        </is>
      </c>
      <c r="C120" s="15" t="inlineStr">
        <is>
          <t xml:space="preserve">P050152</t>
        </is>
      </c>
      <c r="D120" s="15" t="inlineStr">
        <is>
          <t xml:space="preserve">Grape Pie</t>
        </is>
      </c>
      <c r="E120" s="15" t="inlineStr">
        <is>
          <t xml:space="preserve">9 Microbiological purity</t>
        </is>
      </c>
      <c r="F120" s="15" t="inlineStr">
        <is>
          <t xml:space="preserve">CITED</t>
        </is>
      </c>
      <c r="G120" s="15" t="inlineStr">
        <is>
          <t xml:space="preserve">946-1684-25</t>
        </is>
      </c>
      <c r="H120" s="15" t="inlineStr">
        <is>
          <t xml:space="preserve">17.09.2025</t>
        </is>
      </c>
      <c r="I120" s="15" t="inlineStr">
        <is>
          <t xml:space="preserve">IJZ-MB</t>
        </is>
      </c>
      <c r="J120" s="15" t="inlineStr">
        <is>
          <t xml:space="preserve">in eCoA_DATABASE</t>
        </is>
      </c>
      <c r="K120" s="15"/>
      <c r="L120" s="15" t="inlineStr">
        <is>
          <t xml:space="preserve">2.1×10⁴ ᴿ; 3.6 x 10⁴; &lt;10² и &gt;10¹; Одговара; Одговара</t>
        </is>
      </c>
      <c r="M120" s="15"/>
    </row>
    <row r="121">
      <c r="A121" s="15" t="inlineStr">
        <is>
          <t xml:space="preserve">1</t>
        </is>
      </c>
      <c r="B121" s="15" t="inlineStr">
        <is>
          <t xml:space="preserve">GP052501</t>
        </is>
      </c>
      <c r="C121" s="15" t="inlineStr">
        <is>
          <t xml:space="preserve">P050152</t>
        </is>
      </c>
      <c r="D121" s="15" t="inlineStr">
        <is>
          <t xml:space="preserve">Grape Pie</t>
        </is>
      </c>
      <c r="E121" s="15" t="inlineStr">
        <is>
          <t xml:space="preserve">10 Mycotoxins</t>
        </is>
      </c>
      <c r="F121" s="15" t="inlineStr">
        <is>
          <t xml:space="preserve">CITED</t>
        </is>
      </c>
      <c r="G121" s="15" t="inlineStr">
        <is>
          <t xml:space="preserve">4348-2025</t>
        </is>
      </c>
      <c r="H121" s="15" t="inlineStr">
        <is>
          <t xml:space="preserve">15.09.2025</t>
        </is>
      </c>
      <c r="I121" s="15" t="inlineStr">
        <is>
          <t xml:space="preserve">IJZ</t>
        </is>
      </c>
      <c r="J121" s="15" t="inlineStr">
        <is>
          <t xml:space="preserve">in eCoA_DATABASE</t>
        </is>
      </c>
      <c r="K121" s="15"/>
      <c r="L121" s="15" t="inlineStr">
        <is>
          <t xml:space="preserve">n.r.; &lt;2; n.r.</t>
        </is>
      </c>
      <c r="M121" s="15" t="inlineStr">
        <is>
          <t xml:space="preserve">197-10-M/26</t>
        </is>
      </c>
    </row>
    <row r="122">
      <c r="A122" s="15" t="inlineStr">
        <is>
          <t xml:space="preserve">1</t>
        </is>
      </c>
      <c r="B122" s="15" t="inlineStr">
        <is>
          <t xml:space="preserve">GP052501</t>
        </is>
      </c>
      <c r="C122" s="15" t="inlineStr">
        <is>
          <t xml:space="preserve">P050152</t>
        </is>
      </c>
      <c r="D122" s="15" t="inlineStr">
        <is>
          <t xml:space="preserve">Grape Pie</t>
        </is>
      </c>
      <c r="E122" s="15" t="inlineStr">
        <is>
          <t xml:space="preserve">11 Heavy metals</t>
        </is>
      </c>
      <c r="F122" s="15" t="inlineStr">
        <is>
          <t xml:space="preserve">CITED</t>
        </is>
      </c>
      <c r="G122" s="15" t="inlineStr">
        <is>
          <t xml:space="preserve">4348-2025</t>
        </is>
      </c>
      <c r="H122" s="15" t="inlineStr">
        <is>
          <t xml:space="preserve">15.09.2025</t>
        </is>
      </c>
      <c r="I122" s="15" t="inlineStr">
        <is>
          <t xml:space="preserve">IJZ</t>
        </is>
      </c>
      <c r="J122" s="15" t="inlineStr">
        <is>
          <t xml:space="preserve">in eCoA_DATABASE</t>
        </is>
      </c>
      <c r="K122" s="15"/>
      <c r="L122" s="15" t="inlineStr">
        <is>
          <t xml:space="preserve">0.06; н.д.; н.д.; н.д.</t>
        </is>
      </c>
      <c r="M122" s="15"/>
    </row>
    <row r="123">
      <c r="A123" s="15" t="inlineStr">
        <is>
          <t xml:space="preserve">1</t>
        </is>
      </c>
      <c r="B123" s="15" t="inlineStr">
        <is>
          <t xml:space="preserve">GP052501</t>
        </is>
      </c>
      <c r="C123" s="15" t="inlineStr">
        <is>
          <t xml:space="preserve">P050152</t>
        </is>
      </c>
      <c r="D123" s="15" t="inlineStr">
        <is>
          <t xml:space="preserve">Grape Pie</t>
        </is>
      </c>
      <c r="E123" s="15" t="inlineStr">
        <is>
          <t xml:space="preserve">12 Pesticide residues</t>
        </is>
      </c>
      <c r="F123" s="15" t="inlineStr">
        <is>
          <t xml:space="preserve">CITED</t>
        </is>
      </c>
      <c r="G123" s="15" t="inlineStr">
        <is>
          <t xml:space="preserve">4348-2025</t>
        </is>
      </c>
      <c r="H123" s="15" t="inlineStr">
        <is>
          <t xml:space="preserve">15.09.2025</t>
        </is>
      </c>
      <c r="I123" s="15" t="inlineStr">
        <is>
          <t xml:space="preserve">IJZ</t>
        </is>
      </c>
      <c r="J123" s="15" t="inlineStr">
        <is>
          <t xml:space="preserve">in eCoA_DATABASE</t>
        </is>
      </c>
      <c r="K123" s="15"/>
      <c r="L123" s="15" t="inlineStr">
        <is>
          <t xml:space="preserve">≤ LOQ (all 29 compounds)</t>
        </is>
      </c>
      <c r="M123" s="15"/>
    </row>
    <row r="124">
      <c r="A124" s="15" t="inlineStr">
        <is>
          <t xml:space="preserve">1</t>
        </is>
      </c>
      <c r="B124" s="15" t="inlineStr">
        <is>
          <t xml:space="preserve">GP0824_02</t>
        </is>
      </c>
      <c r="C124" s="15" t="inlineStr">
        <is>
          <t xml:space="preserve">P050022</t>
        </is>
      </c>
      <c r="D124" s="15" t="inlineStr">
        <is>
          <t xml:space="preserve">Grape Pie</t>
        </is>
      </c>
      <c r="E124" s="15" t="inlineStr">
        <is>
          <t xml:space="preserve">1 Identification A — appearance</t>
        </is>
      </c>
      <c r="F124" s="15" t="inlineStr">
        <is>
          <t xml:space="preserve">CITED</t>
        </is>
      </c>
      <c r="G124" s="15" t="inlineStr">
        <is>
          <t xml:space="preserve">iCoA-PP_26-007</t>
        </is>
      </c>
      <c r="H124" s="15" t="inlineStr">
        <is>
          <t xml:space="preserve">03.06.2025</t>
        </is>
      </c>
      <c r="I124" s="15" t="inlineStr">
        <is>
          <t xml:space="preserve">PP</t>
        </is>
      </c>
      <c r="J124" s="15" t="inlineStr">
        <is>
          <t xml:space="preserve">planned, NOT ISSUED (2026-05-15)</t>
        </is>
      </c>
      <c r="K124" s="15" t="inlineStr">
        <is>
          <t xml:space="preserve">YES — the certificate has not been issued</t>
        </is>
      </c>
      <c r="L124" s="15" t="inlineStr">
        <is>
          <t xml:space="preserve">Conforms</t>
        </is>
      </c>
      <c r="M124" s="15"/>
    </row>
    <row r="125">
      <c r="A125" s="15" t="inlineStr">
        <is>
          <t xml:space="preserve">1</t>
        </is>
      </c>
      <c r="B125" s="15" t="inlineStr">
        <is>
          <t xml:space="preserve">GP0824_02</t>
        </is>
      </c>
      <c r="C125" s="15" t="inlineStr">
        <is>
          <t xml:space="preserve">P050022</t>
        </is>
      </c>
      <c r="D125" s="15" t="inlineStr">
        <is>
          <t xml:space="preserve">Grape Pie</t>
        </is>
      </c>
      <c r="E125" s="15" t="inlineStr">
        <is>
          <t xml:space="preserve">2 Identification B — microscopy</t>
        </is>
      </c>
      <c r="F125" s="15" t="inlineStr">
        <is>
          <t xml:space="preserve">CITED</t>
        </is>
      </c>
      <c r="G125" s="15" t="inlineStr">
        <is>
          <t xml:space="preserve">iCoA-PP_26-007</t>
        </is>
      </c>
      <c r="H125" s="15" t="inlineStr">
        <is>
          <t xml:space="preserve">03.06.2025</t>
        </is>
      </c>
      <c r="I125" s="15" t="inlineStr">
        <is>
          <t xml:space="preserve">PP</t>
        </is>
      </c>
      <c r="J125" s="15" t="inlineStr">
        <is>
          <t xml:space="preserve">planned, NOT ISSUED (2026-05-15)</t>
        </is>
      </c>
      <c r="K125" s="15" t="inlineStr">
        <is>
          <t xml:space="preserve">YES — the certificate has not been issued</t>
        </is>
      </c>
      <c r="L125" s="15" t="inlineStr">
        <is>
          <t xml:space="preserve">Conforms</t>
        </is>
      </c>
      <c r="M125" s="15"/>
    </row>
    <row r="126">
      <c r="A126" s="15" t="inlineStr">
        <is>
          <t xml:space="preserve">1</t>
        </is>
      </c>
      <c r="B126" s="15" t="inlineStr">
        <is>
          <t xml:space="preserve">GP0824_02</t>
        </is>
      </c>
      <c r="C126" s="15" t="inlineStr">
        <is>
          <t xml:space="preserve">P050022</t>
        </is>
      </c>
      <c r="D126" s="15" t="inlineStr">
        <is>
          <t xml:space="preserve">Grape Pie</t>
        </is>
      </c>
      <c r="E126" s="15" t="inlineStr">
        <is>
          <t xml:space="preserve">3 Identification C — HPLC</t>
        </is>
      </c>
      <c r="F126" s="15" t="inlineStr">
        <is>
          <t xml:space="preserve">CITED</t>
        </is>
      </c>
      <c r="G126" s="15" t="inlineStr">
        <is>
          <t xml:space="preserve">ППК25139</t>
        </is>
      </c>
      <c r="H126" s="15" t="inlineStr">
        <is>
          <t xml:space="preserve">22.05.2025</t>
        </is>
      </c>
      <c r="I126" s="15" t="inlineStr">
        <is>
          <t xml:space="preserve">CNP</t>
        </is>
      </c>
      <c r="J126" s="15" t="inlineStr">
        <is>
          <t xml:space="preserve">in eCoA_DATABASE</t>
        </is>
      </c>
      <c r="K126" s="15"/>
      <c r="L126" s="15" t="inlineStr">
        <is>
          <t xml:space="preserve">Conforms (ImB spec.)</t>
        </is>
      </c>
      <c r="M126" s="15" t="inlineStr">
        <is>
          <t xml:space="preserve">197-11-K/26; ППК25174</t>
        </is>
      </c>
    </row>
    <row r="127">
      <c r="A127" s="15" t="inlineStr">
        <is>
          <t xml:space="preserve">1</t>
        </is>
      </c>
      <c r="B127" s="15" t="inlineStr">
        <is>
          <t xml:space="preserve">GP0824_02</t>
        </is>
      </c>
      <c r="C127" s="15" t="inlineStr">
        <is>
          <t xml:space="preserve">P050022</t>
        </is>
      </c>
      <c r="D127" s="15" t="inlineStr">
        <is>
          <t xml:space="preserve">Grape Pie</t>
        </is>
      </c>
      <c r="E127" s="15" t="inlineStr">
        <is>
          <t xml:space="preserve">4 Assay — Total Δ⁹-THC</t>
        </is>
      </c>
      <c r="F127" s="15" t="inlineStr">
        <is>
          <t xml:space="preserve">CITED</t>
        </is>
      </c>
      <c r="G127" s="15" t="inlineStr">
        <is>
          <t xml:space="preserve">ППК25139</t>
        </is>
      </c>
      <c r="H127" s="15" t="inlineStr">
        <is>
          <t xml:space="preserve">22.05.2025</t>
        </is>
      </c>
      <c r="I127" s="15" t="inlineStr">
        <is>
          <t xml:space="preserve">CNP</t>
        </is>
      </c>
      <c r="J127" s="15" t="inlineStr">
        <is>
          <t xml:space="preserve">in eCoA_DATABASE</t>
        </is>
      </c>
      <c r="K127" s="15"/>
      <c r="L127" s="15" t="inlineStr">
        <is>
          <t xml:space="preserve">23.79</t>
        </is>
      </c>
      <c r="M127" s="15" t="inlineStr">
        <is>
          <t xml:space="preserve">197-11-K/26; ППК25174</t>
        </is>
      </c>
    </row>
    <row r="128">
      <c r="A128" s="15" t="inlineStr">
        <is>
          <t xml:space="preserve">1</t>
        </is>
      </c>
      <c r="B128" s="15" t="inlineStr">
        <is>
          <t xml:space="preserve">GP0824_02</t>
        </is>
      </c>
      <c r="C128" s="15" t="inlineStr">
        <is>
          <t xml:space="preserve">P050022</t>
        </is>
      </c>
      <c r="D128" s="15" t="inlineStr">
        <is>
          <t xml:space="preserve">Grape Pie</t>
        </is>
      </c>
      <c r="E128" s="15" t="inlineStr">
        <is>
          <t xml:space="preserve">5 Assay — Total CBD</t>
        </is>
      </c>
      <c r="F128" s="15" t="inlineStr">
        <is>
          <t xml:space="preserve">CITED</t>
        </is>
      </c>
      <c r="G128" s="15" t="inlineStr">
        <is>
          <t xml:space="preserve">ППК25139</t>
        </is>
      </c>
      <c r="H128" s="15" t="inlineStr">
        <is>
          <t xml:space="preserve">22.05.2025</t>
        </is>
      </c>
      <c r="I128" s="15" t="inlineStr">
        <is>
          <t xml:space="preserve">CNP</t>
        </is>
      </c>
      <c r="J128" s="15" t="inlineStr">
        <is>
          <t xml:space="preserve">in eCoA_DATABASE</t>
        </is>
      </c>
      <c r="K128" s="15"/>
      <c r="L128" s="15" t="inlineStr">
        <is>
          <t xml:space="preserve">0.10</t>
        </is>
      </c>
      <c r="M128" s="15" t="inlineStr">
        <is>
          <t xml:space="preserve">197-11-K/26; ППК25174</t>
        </is>
      </c>
    </row>
    <row r="129">
      <c r="A129" s="15" t="inlineStr">
        <is>
          <t xml:space="preserve">1</t>
        </is>
      </c>
      <c r="B129" s="15" t="inlineStr">
        <is>
          <t xml:space="preserve">GP0824_02</t>
        </is>
      </c>
      <c r="C129" s="15" t="inlineStr">
        <is>
          <t xml:space="preserve">P050022</t>
        </is>
      </c>
      <c r="D129" s="15" t="inlineStr">
        <is>
          <t xml:space="preserve">Grape Pie</t>
        </is>
      </c>
      <c r="E129" s="15" t="inlineStr">
        <is>
          <t xml:space="preserve">6 Total CBN</t>
        </is>
      </c>
      <c r="F129" s="15" t="inlineStr">
        <is>
          <t xml:space="preserve">CITED</t>
        </is>
      </c>
      <c r="G129" s="15" t="inlineStr">
        <is>
          <t xml:space="preserve">ППК25139</t>
        </is>
      </c>
      <c r="H129" s="15" t="inlineStr">
        <is>
          <t xml:space="preserve">22.05.2025</t>
        </is>
      </c>
      <c r="I129" s="15" t="inlineStr">
        <is>
          <t xml:space="preserve">CNP</t>
        </is>
      </c>
      <c r="J129" s="15" t="inlineStr">
        <is>
          <t xml:space="preserve">in eCoA_DATABASE</t>
        </is>
      </c>
      <c r="K129" s="15"/>
      <c r="L129" s="15" t="inlineStr">
        <is>
          <t xml:space="preserve">0.02 ᴰ</t>
        </is>
      </c>
      <c r="M129" s="15" t="inlineStr">
        <is>
          <t xml:space="preserve">197-11-K/26; ППК25174</t>
        </is>
      </c>
    </row>
    <row r="130">
      <c r="A130" s="15" t="inlineStr">
        <is>
          <t xml:space="preserve">1</t>
        </is>
      </c>
      <c r="B130" s="15" t="inlineStr">
        <is>
          <t xml:space="preserve">GP0824_02</t>
        </is>
      </c>
      <c r="C130" s="15" t="inlineStr">
        <is>
          <t xml:space="preserve">P050022</t>
        </is>
      </c>
      <c r="D130" s="15" t="inlineStr">
        <is>
          <t xml:space="preserve">Grape Pie</t>
        </is>
      </c>
      <c r="E130" s="15" t="inlineStr">
        <is>
          <t xml:space="preserve">7 Foreign matter</t>
        </is>
      </c>
      <c r="F130" s="15" t="inlineStr">
        <is>
          <t xml:space="preserve">CITED</t>
        </is>
      </c>
      <c r="G130" s="15" t="inlineStr">
        <is>
          <t xml:space="preserve">iCoA-PP_26-007</t>
        </is>
      </c>
      <c r="H130" s="15" t="inlineStr">
        <is>
          <t xml:space="preserve">03.06.2025</t>
        </is>
      </c>
      <c r="I130" s="15" t="inlineStr">
        <is>
          <t xml:space="preserve">PP</t>
        </is>
      </c>
      <c r="J130" s="15" t="inlineStr">
        <is>
          <t xml:space="preserve">planned, NOT ISSUED (2026-05-15)</t>
        </is>
      </c>
      <c r="K130" s="15" t="inlineStr">
        <is>
          <t xml:space="preserve">YES — the certificate has not been issued</t>
        </is>
      </c>
      <c r="L130" s="15" t="inlineStr">
        <is>
          <t xml:space="preserve">Conforms</t>
        </is>
      </c>
      <c r="M130" s="15"/>
    </row>
    <row r="131">
      <c r="A131" s="15" t="inlineStr">
        <is>
          <t xml:space="preserve">1</t>
        </is>
      </c>
      <c r="B131" s="15" t="inlineStr">
        <is>
          <t xml:space="preserve">GP0824_02</t>
        </is>
      </c>
      <c r="C131" s="15" t="inlineStr">
        <is>
          <t xml:space="preserve">P050022</t>
        </is>
      </c>
      <c r="D131" s="15" t="inlineStr">
        <is>
          <t xml:space="preserve">Grape Pie</t>
        </is>
      </c>
      <c r="E131" s="15" t="inlineStr">
        <is>
          <t xml:space="preserve">8 Loss on drying</t>
        </is>
      </c>
      <c r="F131" s="15" t="inlineStr">
        <is>
          <t xml:space="preserve">CITED</t>
        </is>
      </c>
      <c r="G131" s="15" t="inlineStr">
        <is>
          <t xml:space="preserve">ППК25139</t>
        </is>
      </c>
      <c r="H131" s="15" t="inlineStr">
        <is>
          <t xml:space="preserve">22.05.2025</t>
        </is>
      </c>
      <c r="I131" s="15" t="inlineStr">
        <is>
          <t xml:space="preserve">CNP</t>
        </is>
      </c>
      <c r="J131" s="15" t="inlineStr">
        <is>
          <t xml:space="preserve">in eCoA_DATABASE</t>
        </is>
      </c>
      <c r="K131" s="15"/>
      <c r="L131" s="15" t="inlineStr">
        <is>
          <t xml:space="preserve">7.21</t>
        </is>
      </c>
      <c r="M131" s="15" t="inlineStr">
        <is>
          <t xml:space="preserve">ППК25174</t>
        </is>
      </c>
    </row>
    <row r="132">
      <c r="A132" s="15" t="inlineStr">
        <is>
          <t xml:space="preserve">1</t>
        </is>
      </c>
      <c r="B132" s="15" t="inlineStr">
        <is>
          <t xml:space="preserve">GP0824_02</t>
        </is>
      </c>
      <c r="C132" s="15" t="inlineStr">
        <is>
          <t xml:space="preserve">P050022</t>
        </is>
      </c>
      <c r="D132" s="15" t="inlineStr">
        <is>
          <t xml:space="preserve">Grape Pie</t>
        </is>
      </c>
      <c r="E132" s="15" t="inlineStr">
        <is>
          <t xml:space="preserve">9 Microbiological purity</t>
        </is>
      </c>
      <c r="F132" s="15" t="inlineStr">
        <is>
          <t xml:space="preserve">CITED</t>
        </is>
      </c>
      <c r="G132" s="15" t="inlineStr">
        <is>
          <t xml:space="preserve">471-0862-25</t>
        </is>
      </c>
      <c r="H132" s="15" t="inlineStr">
        <is>
          <t xml:space="preserve">22.05.2025</t>
        </is>
      </c>
      <c r="I132" s="15" t="inlineStr">
        <is>
          <t xml:space="preserve">IJZ-MB</t>
        </is>
      </c>
      <c r="J132" s="15" t="inlineStr">
        <is>
          <t xml:space="preserve">in eCoA_DATABASE</t>
        </is>
      </c>
      <c r="K132" s="15"/>
      <c r="L132" s="15" t="inlineStr">
        <is>
          <t xml:space="preserve">700; 10; &lt;10^2 и &gt;10; Одговара; Одговара</t>
        </is>
      </c>
      <c r="M132" s="15" t="inlineStr">
        <is>
          <t xml:space="preserve">627/1128/25; 475/0927/26; 476/0928/26</t>
        </is>
      </c>
    </row>
    <row r="133">
      <c r="A133" s="15" t="inlineStr">
        <is>
          <t xml:space="preserve">1</t>
        </is>
      </c>
      <c r="B133" s="15" t="inlineStr">
        <is>
          <t xml:space="preserve">GP0824_02</t>
        </is>
      </c>
      <c r="C133" s="15" t="inlineStr">
        <is>
          <t xml:space="preserve">P050022</t>
        </is>
      </c>
      <c r="D133" s="15" t="inlineStr">
        <is>
          <t xml:space="preserve">Grape Pie</t>
        </is>
      </c>
      <c r="E133" s="15" t="inlineStr">
        <is>
          <t xml:space="preserve">10 Mycotoxins</t>
        </is>
      </c>
      <c r="F133" s="15" t="inlineStr">
        <is>
          <t xml:space="preserve">CITED</t>
        </is>
      </c>
      <c r="G133" s="15" t="inlineStr">
        <is>
          <t xml:space="preserve">2471-2025</t>
        </is>
      </c>
      <c r="H133" s="15" t="inlineStr">
        <is>
          <t xml:space="preserve">30.05.2025</t>
        </is>
      </c>
      <c r="I133" s="15" t="inlineStr">
        <is>
          <t xml:space="preserve">IJZ</t>
        </is>
      </c>
      <c r="J133" s="15" t="inlineStr">
        <is>
          <t xml:space="preserve">in eCoA_DATABASE</t>
        </is>
      </c>
      <c r="K133" s="15"/>
      <c r="L133" s="15" t="inlineStr">
        <is>
          <t xml:space="preserve">n.r.; &lt;2; n.r.</t>
        </is>
      </c>
      <c r="M133" s="15" t="inlineStr">
        <is>
          <t xml:space="preserve">197-11-M/26; 3176/2025</t>
        </is>
      </c>
    </row>
    <row r="134">
      <c r="A134" s="15" t="inlineStr">
        <is>
          <t xml:space="preserve">1</t>
        </is>
      </c>
      <c r="B134" s="15" t="inlineStr">
        <is>
          <t xml:space="preserve">GP0824_02</t>
        </is>
      </c>
      <c r="C134" s="15" t="inlineStr">
        <is>
          <t xml:space="preserve">P050022</t>
        </is>
      </c>
      <c r="D134" s="15" t="inlineStr">
        <is>
          <t xml:space="preserve">Grape Pie</t>
        </is>
      </c>
      <c r="E134" s="15" t="inlineStr">
        <is>
          <t xml:space="preserve">11 Heavy metals</t>
        </is>
      </c>
      <c r="F134" s="15" t="inlineStr">
        <is>
          <t xml:space="preserve">CITED</t>
        </is>
      </c>
      <c r="G134" s="15" t="inlineStr">
        <is>
          <t xml:space="preserve">2471-2025</t>
        </is>
      </c>
      <c r="H134" s="15" t="inlineStr">
        <is>
          <t xml:space="preserve">30.05.2025</t>
        </is>
      </c>
      <c r="I134" s="15" t="inlineStr">
        <is>
          <t xml:space="preserve">IJZ</t>
        </is>
      </c>
      <c r="J134" s="15" t="inlineStr">
        <is>
          <t xml:space="preserve">in eCoA_DATABASE</t>
        </is>
      </c>
      <c r="K134" s="15"/>
      <c r="L134" s="15" t="inlineStr">
        <is>
          <t xml:space="preserve">н.д.; н.д.; н.д.; н.д.</t>
        </is>
      </c>
      <c r="M134" s="15" t="inlineStr">
        <is>
          <t xml:space="preserve">3176/2025</t>
        </is>
      </c>
    </row>
    <row r="135">
      <c r="A135" s="15" t="inlineStr">
        <is>
          <t xml:space="preserve">1</t>
        </is>
      </c>
      <c r="B135" s="15" t="inlineStr">
        <is>
          <t xml:space="preserve">GP0824_02</t>
        </is>
      </c>
      <c r="C135" s="15" t="inlineStr">
        <is>
          <t xml:space="preserve">P050022</t>
        </is>
      </c>
      <c r="D135" s="15" t="inlineStr">
        <is>
          <t xml:space="preserve">Grape Pie</t>
        </is>
      </c>
      <c r="E135" s="15" t="inlineStr">
        <is>
          <t xml:space="preserve">12 Pesticide residues</t>
        </is>
      </c>
      <c r="F135" s="15" t="inlineStr">
        <is>
          <t xml:space="preserve">CITED</t>
        </is>
      </c>
      <c r="G135" s="15" t="inlineStr">
        <is>
          <t xml:space="preserve">2471-2025</t>
        </is>
      </c>
      <c r="H135" s="15" t="inlineStr">
        <is>
          <t xml:space="preserve">30.05.2025</t>
        </is>
      </c>
      <c r="I135" s="15" t="inlineStr">
        <is>
          <t xml:space="preserve">IJZ</t>
        </is>
      </c>
      <c r="J135" s="15" t="inlineStr">
        <is>
          <t xml:space="preserve">in eCoA_DATABASE</t>
        </is>
      </c>
      <c r="K135" s="15"/>
      <c r="L135" s="15" t="inlineStr">
        <is>
          <t xml:space="preserve">≤ LOQ (all 29 compounds)</t>
        </is>
      </c>
      <c r="M135" s="15" t="inlineStr">
        <is>
          <t xml:space="preserve">3176/2025</t>
        </is>
      </c>
    </row>
    <row r="136">
      <c r="A136" s="15" t="inlineStr">
        <is>
          <t xml:space="preserve">1</t>
        </is>
      </c>
      <c r="B136" s="15" t="inlineStr">
        <is>
          <t xml:space="preserve">GP082501/2</t>
        </is>
      </c>
      <c r="C136" s="15" t="inlineStr">
        <is>
          <t xml:space="preserve">P050322</t>
        </is>
      </c>
      <c r="D136" s="15" t="inlineStr">
        <is>
          <t xml:space="preserve">Grape Pie</t>
        </is>
      </c>
      <c r="E136" s="15" t="inlineStr">
        <is>
          <t xml:space="preserve">1 Identification A — appearance</t>
        </is>
      </c>
      <c r="F136" s="15" t="inlineStr">
        <is>
          <t xml:space="preserve">CITED</t>
        </is>
      </c>
      <c r="G136" s="15" t="inlineStr">
        <is>
          <t xml:space="preserve">iCoA-PP_26-036</t>
        </is>
      </c>
      <c r="H136" s="15" t="inlineStr">
        <is>
          <t xml:space="preserve">26.12.2025</t>
        </is>
      </c>
      <c r="I136" s="15" t="inlineStr">
        <is>
          <t xml:space="preserve">PP</t>
        </is>
      </c>
      <c r="J136" s="15" t="inlineStr">
        <is>
          <t xml:space="preserve">planned, NOT ISSUED (2026-05-15)</t>
        </is>
      </c>
      <c r="K136" s="15" t="inlineStr">
        <is>
          <t xml:space="preserve">YES — the certificate has not been issued</t>
        </is>
      </c>
      <c r="L136" s="15" t="inlineStr">
        <is>
          <t xml:space="preserve">Conforms</t>
        </is>
      </c>
      <c r="M136" s="15"/>
    </row>
    <row r="137">
      <c r="A137" s="15" t="inlineStr">
        <is>
          <t xml:space="preserve">1</t>
        </is>
      </c>
      <c r="B137" s="15" t="inlineStr">
        <is>
          <t xml:space="preserve">GP082501/2</t>
        </is>
      </c>
      <c r="C137" s="15" t="inlineStr">
        <is>
          <t xml:space="preserve">P050322</t>
        </is>
      </c>
      <c r="D137" s="15" t="inlineStr">
        <is>
          <t xml:space="preserve">Grape Pie</t>
        </is>
      </c>
      <c r="E137" s="15" t="inlineStr">
        <is>
          <t xml:space="preserve">2 Identification B — microscopy</t>
        </is>
      </c>
      <c r="F137" s="15" t="inlineStr">
        <is>
          <t xml:space="preserve">CITED</t>
        </is>
      </c>
      <c r="G137" s="15" t="inlineStr">
        <is>
          <t xml:space="preserve">iCoA-PP_26-036</t>
        </is>
      </c>
      <c r="H137" s="15" t="inlineStr">
        <is>
          <t xml:space="preserve">26.12.2025</t>
        </is>
      </c>
      <c r="I137" s="15" t="inlineStr">
        <is>
          <t xml:space="preserve">PP</t>
        </is>
      </c>
      <c r="J137" s="15" t="inlineStr">
        <is>
          <t xml:space="preserve">planned, NOT ISSUED (2026-05-15)</t>
        </is>
      </c>
      <c r="K137" s="15" t="inlineStr">
        <is>
          <t xml:space="preserve">YES — the certificate has not been issued</t>
        </is>
      </c>
      <c r="L137" s="15" t="inlineStr">
        <is>
          <t xml:space="preserve">Conforms</t>
        </is>
      </c>
      <c r="M137" s="15"/>
    </row>
    <row r="138">
      <c r="A138" s="15" t="inlineStr">
        <is>
          <t xml:space="preserve">1</t>
        </is>
      </c>
      <c r="B138" s="15" t="inlineStr">
        <is>
          <t xml:space="preserve">GP082501/2</t>
        </is>
      </c>
      <c r="C138" s="15" t="inlineStr">
        <is>
          <t xml:space="preserve">P050322</t>
        </is>
      </c>
      <c r="D138" s="15" t="inlineStr">
        <is>
          <t xml:space="preserve">Grape Pie</t>
        </is>
      </c>
      <c r="E138" s="15" t="inlineStr">
        <is>
          <t xml:space="preserve">3 Identification C — HPLC</t>
        </is>
      </c>
      <c r="F138" s="15" t="inlineStr">
        <is>
          <t xml:space="preserve">CITED</t>
        </is>
      </c>
      <c r="G138" s="15" t="inlineStr">
        <is>
          <t xml:space="preserve">ППК25381</t>
        </is>
      </c>
      <c r="H138" s="15" t="inlineStr">
        <is>
          <t xml:space="preserve">12.12.2025</t>
        </is>
      </c>
      <c r="I138" s="15" t="inlineStr">
        <is>
          <t xml:space="preserve">CNP</t>
        </is>
      </c>
      <c r="J138" s="15" t="inlineStr">
        <is>
          <t xml:space="preserve">in eCoA_DATABASE</t>
        </is>
      </c>
      <c r="K138" s="15"/>
      <c r="L138" s="15" t="inlineStr">
        <is>
          <t xml:space="preserve">Conforms (ImB spec.)</t>
        </is>
      </c>
      <c r="M138" s="15" t="inlineStr">
        <is>
          <t xml:space="preserve">197-12-K/26</t>
        </is>
      </c>
    </row>
    <row r="139">
      <c r="A139" s="15" t="inlineStr">
        <is>
          <t xml:space="preserve">1</t>
        </is>
      </c>
      <c r="B139" s="15" t="inlineStr">
        <is>
          <t xml:space="preserve">GP082501/2</t>
        </is>
      </c>
      <c r="C139" s="15" t="inlineStr">
        <is>
          <t xml:space="preserve">P050322</t>
        </is>
      </c>
      <c r="D139" s="15" t="inlineStr">
        <is>
          <t xml:space="preserve">Grape Pie</t>
        </is>
      </c>
      <c r="E139" s="15" t="inlineStr">
        <is>
          <t xml:space="preserve">4 Assay — Total Δ⁹-THC</t>
        </is>
      </c>
      <c r="F139" s="15" t="inlineStr">
        <is>
          <t xml:space="preserve">CITED</t>
        </is>
      </c>
      <c r="G139" s="15" t="inlineStr">
        <is>
          <t xml:space="preserve">ППК25381</t>
        </is>
      </c>
      <c r="H139" s="15" t="inlineStr">
        <is>
          <t xml:space="preserve">12.12.2025</t>
        </is>
      </c>
      <c r="I139" s="15" t="inlineStr">
        <is>
          <t xml:space="preserve">CNP</t>
        </is>
      </c>
      <c r="J139" s="15" t="inlineStr">
        <is>
          <t xml:space="preserve">in eCoA_DATABASE</t>
        </is>
      </c>
      <c r="K139" s="15"/>
      <c r="L139" s="15" t="inlineStr">
        <is>
          <t xml:space="preserve">14.83</t>
        </is>
      </c>
      <c r="M139" s="15" t="inlineStr">
        <is>
          <t xml:space="preserve">197-12-K/26</t>
        </is>
      </c>
    </row>
    <row r="140">
      <c r="A140" s="15" t="inlineStr">
        <is>
          <t xml:space="preserve">1</t>
        </is>
      </c>
      <c r="B140" s="15" t="inlineStr">
        <is>
          <t xml:space="preserve">GP082501/2</t>
        </is>
      </c>
      <c r="C140" s="15" t="inlineStr">
        <is>
          <t xml:space="preserve">P050322</t>
        </is>
      </c>
      <c r="D140" s="15" t="inlineStr">
        <is>
          <t xml:space="preserve">Grape Pie</t>
        </is>
      </c>
      <c r="E140" s="15" t="inlineStr">
        <is>
          <t xml:space="preserve">5 Assay — Total CBD</t>
        </is>
      </c>
      <c r="F140" s="15" t="inlineStr">
        <is>
          <t xml:space="preserve">CITED</t>
        </is>
      </c>
      <c r="G140" s="15" t="inlineStr">
        <is>
          <t xml:space="preserve">ППК25381</t>
        </is>
      </c>
      <c r="H140" s="15" t="inlineStr">
        <is>
          <t xml:space="preserve">12.12.2025</t>
        </is>
      </c>
      <c r="I140" s="15" t="inlineStr">
        <is>
          <t xml:space="preserve">CNP</t>
        </is>
      </c>
      <c r="J140" s="15" t="inlineStr">
        <is>
          <t xml:space="preserve">in eCoA_DATABASE</t>
        </is>
      </c>
      <c r="K140" s="15"/>
      <c r="L140" s="15" t="inlineStr">
        <is>
          <t xml:space="preserve">0.11</t>
        </is>
      </c>
      <c r="M140" s="15" t="inlineStr">
        <is>
          <t xml:space="preserve">197-12-K/26</t>
        </is>
      </c>
    </row>
    <row r="141">
      <c r="A141" s="15" t="inlineStr">
        <is>
          <t xml:space="preserve">1</t>
        </is>
      </c>
      <c r="B141" s="15" t="inlineStr">
        <is>
          <t xml:space="preserve">GP082501/2</t>
        </is>
      </c>
      <c r="C141" s="15" t="inlineStr">
        <is>
          <t xml:space="preserve">P050322</t>
        </is>
      </c>
      <c r="D141" s="15" t="inlineStr">
        <is>
          <t xml:space="preserve">Grape Pie</t>
        </is>
      </c>
      <c r="E141" s="15" t="inlineStr">
        <is>
          <t xml:space="preserve">6 Total CBN</t>
        </is>
      </c>
      <c r="F141" s="15" t="inlineStr">
        <is>
          <t xml:space="preserve">CITED</t>
        </is>
      </c>
      <c r="G141" s="15" t="inlineStr">
        <is>
          <t xml:space="preserve">ППК25381</t>
        </is>
      </c>
      <c r="H141" s="15" t="inlineStr">
        <is>
          <t xml:space="preserve">12.12.2025</t>
        </is>
      </c>
      <c r="I141" s="15" t="inlineStr">
        <is>
          <t xml:space="preserve">CNP</t>
        </is>
      </c>
      <c r="J141" s="15" t="inlineStr">
        <is>
          <t xml:space="preserve">in eCoA_DATABASE</t>
        </is>
      </c>
      <c r="K141" s="15"/>
      <c r="L141" s="15" t="inlineStr">
        <is>
          <t xml:space="preserve">0.02 % ᴰ</t>
        </is>
      </c>
      <c r="M141" s="15" t="inlineStr">
        <is>
          <t xml:space="preserve">197-12-K/26</t>
        </is>
      </c>
    </row>
    <row r="142">
      <c r="A142" s="15" t="inlineStr">
        <is>
          <t xml:space="preserve">1</t>
        </is>
      </c>
      <c r="B142" s="15" t="inlineStr">
        <is>
          <t xml:space="preserve">GP082501/2</t>
        </is>
      </c>
      <c r="C142" s="15" t="inlineStr">
        <is>
          <t xml:space="preserve">P050322</t>
        </is>
      </c>
      <c r="D142" s="15" t="inlineStr">
        <is>
          <t xml:space="preserve">Grape Pie</t>
        </is>
      </c>
      <c r="E142" s="15" t="inlineStr">
        <is>
          <t xml:space="preserve">7 Foreign matter</t>
        </is>
      </c>
      <c r="F142" s="15" t="inlineStr">
        <is>
          <t xml:space="preserve">CITED</t>
        </is>
      </c>
      <c r="G142" s="15" t="inlineStr">
        <is>
          <t xml:space="preserve">iCoA-PP_26-036</t>
        </is>
      </c>
      <c r="H142" s="15" t="inlineStr">
        <is>
          <t xml:space="preserve">26.12.2025</t>
        </is>
      </c>
      <c r="I142" s="15" t="inlineStr">
        <is>
          <t xml:space="preserve">PP</t>
        </is>
      </c>
      <c r="J142" s="15" t="inlineStr">
        <is>
          <t xml:space="preserve">planned, NOT ISSUED (2026-05-15)</t>
        </is>
      </c>
      <c r="K142" s="15" t="inlineStr">
        <is>
          <t xml:space="preserve">YES — the certificate has not been issued</t>
        </is>
      </c>
      <c r="L142" s="15" t="inlineStr">
        <is>
          <t xml:space="preserve">Conforms</t>
        </is>
      </c>
      <c r="M142" s="15"/>
    </row>
    <row r="143">
      <c r="A143" s="15" t="inlineStr">
        <is>
          <t xml:space="preserve">1</t>
        </is>
      </c>
      <c r="B143" s="15" t="inlineStr">
        <is>
          <t xml:space="preserve">GP082501/2</t>
        </is>
      </c>
      <c r="C143" s="15" t="inlineStr">
        <is>
          <t xml:space="preserve">P050322</t>
        </is>
      </c>
      <c r="D143" s="15" t="inlineStr">
        <is>
          <t xml:space="preserve">Grape Pie</t>
        </is>
      </c>
      <c r="E143" s="15" t="inlineStr">
        <is>
          <t xml:space="preserve">8 Loss on drying</t>
        </is>
      </c>
      <c r="F143" s="15" t="inlineStr">
        <is>
          <t xml:space="preserve">CITED</t>
        </is>
      </c>
      <c r="G143" s="15" t="inlineStr">
        <is>
          <t xml:space="preserve">ППК25381</t>
        </is>
      </c>
      <c r="H143" s="15" t="inlineStr">
        <is>
          <t xml:space="preserve">12.12.2025</t>
        </is>
      </c>
      <c r="I143" s="15" t="inlineStr">
        <is>
          <t xml:space="preserve">CNP</t>
        </is>
      </c>
      <c r="J143" s="15" t="inlineStr">
        <is>
          <t xml:space="preserve">in eCoA_DATABASE</t>
        </is>
      </c>
      <c r="K143" s="15"/>
      <c r="L143" s="15" t="inlineStr">
        <is>
          <t xml:space="preserve">6.88</t>
        </is>
      </c>
      <c r="M143" s="15"/>
    </row>
    <row r="144">
      <c r="A144" s="15" t="inlineStr">
        <is>
          <t xml:space="preserve">1</t>
        </is>
      </c>
      <c r="B144" s="15" t="inlineStr">
        <is>
          <t xml:space="preserve">GP082501/2</t>
        </is>
      </c>
      <c r="C144" s="15" t="inlineStr">
        <is>
          <t xml:space="preserve">P050322</t>
        </is>
      </c>
      <c r="D144" s="15" t="inlineStr">
        <is>
          <t xml:space="preserve">Grape Pie</t>
        </is>
      </c>
      <c r="E144" s="15" t="inlineStr">
        <is>
          <t xml:space="preserve">9 Microbiological purity</t>
        </is>
      </c>
      <c r="F144" s="15" t="inlineStr">
        <is>
          <t xml:space="preserve">CITED</t>
        </is>
      </c>
      <c r="G144" s="15" t="inlineStr">
        <is>
          <t xml:space="preserve">1227-2193-25</t>
        </is>
      </c>
      <c r="H144" s="15" t="inlineStr">
        <is>
          <t xml:space="preserve">05.12.2025</t>
        </is>
      </c>
      <c r="I144" s="15" t="inlineStr">
        <is>
          <t xml:space="preserve">IJZ-MB</t>
        </is>
      </c>
      <c r="J144" s="15" t="inlineStr">
        <is>
          <t xml:space="preserve">in eCoA_DATABASE</t>
        </is>
      </c>
      <c r="K144" s="15"/>
      <c r="L144" s="15" t="inlineStr">
        <is>
          <t xml:space="preserve">3.2 x 10³; 5.8 x 10³; &lt;10^4 и &gt;10^3; Одговара; Одговара</t>
        </is>
      </c>
      <c r="M144" s="15"/>
    </row>
    <row r="145">
      <c r="A145" s="15" t="inlineStr">
        <is>
          <t xml:space="preserve">1</t>
        </is>
      </c>
      <c r="B145" s="15" t="inlineStr">
        <is>
          <t xml:space="preserve">GP082501/2</t>
        </is>
      </c>
      <c r="C145" s="15" t="inlineStr">
        <is>
          <t xml:space="preserve">P050322</t>
        </is>
      </c>
      <c r="D145" s="15" t="inlineStr">
        <is>
          <t xml:space="preserve">Grape Pie</t>
        </is>
      </c>
      <c r="E145" s="15" t="inlineStr">
        <is>
          <t xml:space="preserve">10 Mycotoxins</t>
        </is>
      </c>
      <c r="F145" s="15" t="inlineStr">
        <is>
          <t xml:space="preserve">CITED</t>
        </is>
      </c>
      <c r="G145" s="15" t="inlineStr">
        <is>
          <t xml:space="preserve">5889-2025</t>
        </is>
      </c>
      <c r="H145" s="15" t="inlineStr">
        <is>
          <t xml:space="preserve">12.12.2025</t>
        </is>
      </c>
      <c r="I145" s="15" t="inlineStr">
        <is>
          <t xml:space="preserve">IJZ</t>
        </is>
      </c>
      <c r="J145" s="15" t="inlineStr">
        <is>
          <t xml:space="preserve">in eCoA_DATABASE</t>
        </is>
      </c>
      <c r="K145" s="15"/>
      <c r="L145" s="15" t="inlineStr">
        <is>
          <t xml:space="preserve">n.r.; &lt;2; n.r.</t>
        </is>
      </c>
      <c r="M145" s="15" t="inlineStr">
        <is>
          <t xml:space="preserve">197-12-M/26</t>
        </is>
      </c>
    </row>
    <row r="146">
      <c r="A146" s="15" t="inlineStr">
        <is>
          <t xml:space="preserve">1</t>
        </is>
      </c>
      <c r="B146" s="15" t="inlineStr">
        <is>
          <t xml:space="preserve">GP082501/2</t>
        </is>
      </c>
      <c r="C146" s="15" t="inlineStr">
        <is>
          <t xml:space="preserve">P050322</t>
        </is>
      </c>
      <c r="D146" s="15" t="inlineStr">
        <is>
          <t xml:space="preserve">Grape Pie</t>
        </is>
      </c>
      <c r="E146" s="15" t="inlineStr">
        <is>
          <t xml:space="preserve">11 Heavy metals</t>
        </is>
      </c>
      <c r="F146" s="15" t="inlineStr">
        <is>
          <t xml:space="preserve">CITED</t>
        </is>
      </c>
      <c r="G146" s="15" t="inlineStr">
        <is>
          <t xml:space="preserve">5889-2025</t>
        </is>
      </c>
      <c r="H146" s="15" t="inlineStr">
        <is>
          <t xml:space="preserve">12.12.2025</t>
        </is>
      </c>
      <c r="I146" s="15" t="inlineStr">
        <is>
          <t xml:space="preserve">IJZ</t>
        </is>
      </c>
      <c r="J146" s="15" t="inlineStr">
        <is>
          <t xml:space="preserve">in eCoA_DATABASE</t>
        </is>
      </c>
      <c r="K146" s="15"/>
      <c r="L146" s="15" t="inlineStr">
        <is>
          <t xml:space="preserve">0.013; 0.003; 0.02; 0.016</t>
        </is>
      </c>
      <c r="M146" s="15"/>
    </row>
    <row r="147">
      <c r="A147" s="15" t="inlineStr">
        <is>
          <t xml:space="preserve">1</t>
        </is>
      </c>
      <c r="B147" s="15" t="inlineStr">
        <is>
          <t xml:space="preserve">GP082501/2</t>
        </is>
      </c>
      <c r="C147" s="15" t="inlineStr">
        <is>
          <t xml:space="preserve">P050322</t>
        </is>
      </c>
      <c r="D147" s="15" t="inlineStr">
        <is>
          <t xml:space="preserve">Grape Pie</t>
        </is>
      </c>
      <c r="E147" s="15" t="inlineStr">
        <is>
          <t xml:space="preserve">12 Pesticide residues</t>
        </is>
      </c>
      <c r="F147" s="15" t="inlineStr">
        <is>
          <t xml:space="preserve">CITED</t>
        </is>
      </c>
      <c r="G147" s="15" t="inlineStr">
        <is>
          <t xml:space="preserve">5889-2025</t>
        </is>
      </c>
      <c r="H147" s="15" t="inlineStr">
        <is>
          <t xml:space="preserve">12.12.2025</t>
        </is>
      </c>
      <c r="I147" s="15" t="inlineStr">
        <is>
          <t xml:space="preserve">IJZ</t>
        </is>
      </c>
      <c r="J147" s="15" t="inlineStr">
        <is>
          <t xml:space="preserve">in eCoA_DATABASE</t>
        </is>
      </c>
      <c r="K147" s="15"/>
      <c r="L147" s="15" t="inlineStr">
        <is>
          <t xml:space="preserve">≤ LOQ (all 29 compounds)</t>
        </is>
      </c>
      <c r="M147" s="15"/>
    </row>
    <row r="148">
      <c r="A148" s="15" t="inlineStr">
        <is>
          <t xml:space="preserve">1</t>
        </is>
      </c>
      <c r="B148" s="15" t="inlineStr">
        <is>
          <t xml:space="preserve">HPA1024</t>
        </is>
      </c>
      <c r="C148" s="15" t="inlineStr">
        <is>
          <t xml:space="preserve">—</t>
        </is>
      </c>
      <c r="D148" s="15" t="inlineStr">
        <is>
          <t xml:space="preserve">High Pro Amnesia</t>
        </is>
      </c>
      <c r="E148" s="15" t="inlineStr">
        <is>
          <t xml:space="preserve">1 Identification A — appearance</t>
        </is>
      </c>
      <c r="F148" s="15" t="inlineStr">
        <is>
          <t xml:space="preserve">CITED</t>
        </is>
      </c>
      <c r="G148" s="15" t="inlineStr">
        <is>
          <t xml:space="preserve">iCoA-PP_26-005</t>
        </is>
      </c>
      <c r="H148" s="15" t="inlineStr">
        <is>
          <t xml:space="preserve">11.04.2025</t>
        </is>
      </c>
      <c r="I148" s="15" t="inlineStr">
        <is>
          <t xml:space="preserve">PP</t>
        </is>
      </c>
      <c r="J148" s="15" t="inlineStr">
        <is>
          <t xml:space="preserve">planned, NOT ISSUED (2026-05-15)</t>
        </is>
      </c>
      <c r="K148" s="15" t="inlineStr">
        <is>
          <t xml:space="preserve">YES — the certificate has not been issued</t>
        </is>
      </c>
      <c r="L148" s="15" t="inlineStr">
        <is>
          <t xml:space="preserve">Conforms</t>
        </is>
      </c>
      <c r="M148" s="15"/>
    </row>
    <row r="149">
      <c r="A149" s="15" t="inlineStr">
        <is>
          <t xml:space="preserve">1</t>
        </is>
      </c>
      <c r="B149" s="15" t="inlineStr">
        <is>
          <t xml:space="preserve">HPA1024</t>
        </is>
      </c>
      <c r="C149" s="15" t="inlineStr">
        <is>
          <t xml:space="preserve">—</t>
        </is>
      </c>
      <c r="D149" s="15" t="inlineStr">
        <is>
          <t xml:space="preserve">High Pro Amnesia</t>
        </is>
      </c>
      <c r="E149" s="15" t="inlineStr">
        <is>
          <t xml:space="preserve">2 Identification B — microscopy</t>
        </is>
      </c>
      <c r="F149" s="15" t="inlineStr">
        <is>
          <t xml:space="preserve">CITED</t>
        </is>
      </c>
      <c r="G149" s="15" t="inlineStr">
        <is>
          <t xml:space="preserve">iCoA-PP_26-005</t>
        </is>
      </c>
      <c r="H149" s="15" t="inlineStr">
        <is>
          <t xml:space="preserve">11.04.2025</t>
        </is>
      </c>
      <c r="I149" s="15" t="inlineStr">
        <is>
          <t xml:space="preserve">PP</t>
        </is>
      </c>
      <c r="J149" s="15" t="inlineStr">
        <is>
          <t xml:space="preserve">planned, NOT ISSUED (2026-05-15)</t>
        </is>
      </c>
      <c r="K149" s="15" t="inlineStr">
        <is>
          <t xml:space="preserve">YES — the certificate has not been issued</t>
        </is>
      </c>
      <c r="L149" s="15" t="inlineStr">
        <is>
          <t xml:space="preserve">Conforms</t>
        </is>
      </c>
      <c r="M149" s="15"/>
    </row>
    <row r="150">
      <c r="A150" s="15" t="inlineStr">
        <is>
          <t xml:space="preserve">1</t>
        </is>
      </c>
      <c r="B150" s="15" t="inlineStr">
        <is>
          <t xml:space="preserve">HPA1024</t>
        </is>
      </c>
      <c r="C150" s="15" t="inlineStr">
        <is>
          <t xml:space="preserve">—</t>
        </is>
      </c>
      <c r="D150" s="15" t="inlineStr">
        <is>
          <t xml:space="preserve">High Pro Amnesia</t>
        </is>
      </c>
      <c r="E150" s="15" t="inlineStr">
        <is>
          <t xml:space="preserve">3 Identification C — HPLC</t>
        </is>
      </c>
      <c r="F150" s="15" t="inlineStr">
        <is>
          <t xml:space="preserve">CITED</t>
        </is>
      </c>
      <c r="G150" s="15" t="inlineStr">
        <is>
          <t xml:space="preserve">197-13-K-26</t>
        </is>
      </c>
      <c r="H150" s="15" t="inlineStr">
        <is>
          <t xml:space="preserve">07.08.2026</t>
        </is>
      </c>
      <c r="I150" s="15" t="inlineStr">
        <is>
          <t xml:space="preserve">FHM-K</t>
        </is>
      </c>
      <c r="J150" s="15" t="inlineStr">
        <is>
          <t xml:space="preserve">in eCoA_DATABASE</t>
        </is>
      </c>
      <c r="K150" s="15"/>
      <c r="L150" s="15" t="inlineStr">
        <is>
          <t xml:space="preserve">identity by the HPLC cannabinoid profile on this certificate</t>
        </is>
      </c>
      <c r="M150" s="15"/>
    </row>
    <row r="151">
      <c r="A151" s="15" t="inlineStr">
        <is>
          <t xml:space="preserve">1</t>
        </is>
      </c>
      <c r="B151" s="15" t="inlineStr">
        <is>
          <t xml:space="preserve">HPA1024</t>
        </is>
      </c>
      <c r="C151" s="15" t="inlineStr">
        <is>
          <t xml:space="preserve">—</t>
        </is>
      </c>
      <c r="D151" s="15" t="inlineStr">
        <is>
          <t xml:space="preserve">High Pro Amnesia</t>
        </is>
      </c>
      <c r="E151" s="15" t="inlineStr">
        <is>
          <t xml:space="preserve">4 Assay — Total Δ⁹-THC</t>
        </is>
      </c>
      <c r="F151" s="15" t="inlineStr">
        <is>
          <t xml:space="preserve">CITED</t>
        </is>
      </c>
      <c r="G151" s="15" t="inlineStr">
        <is>
          <t xml:space="preserve">197-13-K-26</t>
        </is>
      </c>
      <c r="H151" s="15" t="inlineStr">
        <is>
          <t xml:space="preserve">07.08.2026</t>
        </is>
      </c>
      <c r="I151" s="15" t="inlineStr">
        <is>
          <t xml:space="preserve">FHM-K</t>
        </is>
      </c>
      <c r="J151" s="15" t="inlineStr">
        <is>
          <t xml:space="preserve">in eCoA_DATABASE</t>
        </is>
      </c>
      <c r="K151" s="15"/>
      <c r="L151" s="15" t="inlineStr">
        <is>
          <t xml:space="preserve">19.68 %w/w</t>
        </is>
      </c>
      <c r="M151" s="15"/>
    </row>
    <row r="152">
      <c r="A152" s="15" t="inlineStr">
        <is>
          <t xml:space="preserve">1</t>
        </is>
      </c>
      <c r="B152" s="15" t="inlineStr">
        <is>
          <t xml:space="preserve">HPA1024</t>
        </is>
      </c>
      <c r="C152" s="15" t="inlineStr">
        <is>
          <t xml:space="preserve">—</t>
        </is>
      </c>
      <c r="D152" s="15" t="inlineStr">
        <is>
          <t xml:space="preserve">High Pro Amnesia</t>
        </is>
      </c>
      <c r="E152" s="15" t="inlineStr">
        <is>
          <t xml:space="preserve">5 Assay — Total CBD</t>
        </is>
      </c>
      <c r="F152" s="15" t="inlineStr">
        <is>
          <t xml:space="preserve">CITED</t>
        </is>
      </c>
      <c r="G152" s="15" t="inlineStr">
        <is>
          <t xml:space="preserve">197-13-K-26</t>
        </is>
      </c>
      <c r="H152" s="15" t="inlineStr">
        <is>
          <t xml:space="preserve">07.08.2026</t>
        </is>
      </c>
      <c r="I152" s="15" t="inlineStr">
        <is>
          <t xml:space="preserve">FHM-K</t>
        </is>
      </c>
      <c r="J152" s="15" t="inlineStr">
        <is>
          <t xml:space="preserve">in eCoA_DATABASE</t>
        </is>
      </c>
      <c r="K152" s="15"/>
      <c r="L152" s="15" t="inlineStr">
        <is>
          <t xml:space="preserve">&lt; LOQ %w/w</t>
        </is>
      </c>
      <c r="M152" s="15"/>
    </row>
    <row r="153">
      <c r="A153" s="15" t="inlineStr">
        <is>
          <t xml:space="preserve">1</t>
        </is>
      </c>
      <c r="B153" s="15" t="inlineStr">
        <is>
          <t xml:space="preserve">HPA1024</t>
        </is>
      </c>
      <c r="C153" s="15" t="inlineStr">
        <is>
          <t xml:space="preserve">—</t>
        </is>
      </c>
      <c r="D153" s="15" t="inlineStr">
        <is>
          <t xml:space="preserve">High Pro Amnesia</t>
        </is>
      </c>
      <c r="E153" s="15" t="inlineStr">
        <is>
          <t xml:space="preserve">6 Total CBN</t>
        </is>
      </c>
      <c r="F153" s="15" t="inlineStr">
        <is>
          <t xml:space="preserve">CITED</t>
        </is>
      </c>
      <c r="G153" s="15" t="inlineStr">
        <is>
          <t xml:space="preserve">197-13-K-26</t>
        </is>
      </c>
      <c r="H153" s="15" t="inlineStr">
        <is>
          <t xml:space="preserve">07.08.2026</t>
        </is>
      </c>
      <c r="I153" s="15" t="inlineStr">
        <is>
          <t xml:space="preserve">FHM-K</t>
        </is>
      </c>
      <c r="J153" s="15" t="inlineStr">
        <is>
          <t xml:space="preserve">in eCoA_DATABASE</t>
        </is>
      </c>
      <c r="K153" s="15"/>
      <c r="L153" s="15" t="inlineStr">
        <is>
          <t xml:space="preserve">&lt; LOQ %w/w</t>
        </is>
      </c>
      <c r="M153" s="15"/>
    </row>
    <row r="154">
      <c r="A154" s="15" t="inlineStr">
        <is>
          <t xml:space="preserve">1</t>
        </is>
      </c>
      <c r="B154" s="15" t="inlineStr">
        <is>
          <t xml:space="preserve">HPA1024</t>
        </is>
      </c>
      <c r="C154" s="15" t="inlineStr">
        <is>
          <t xml:space="preserve">—</t>
        </is>
      </c>
      <c r="D154" s="15" t="inlineStr">
        <is>
          <t xml:space="preserve">High Pro Amnesia</t>
        </is>
      </c>
      <c r="E154" s="15" t="inlineStr">
        <is>
          <t xml:space="preserve">7 Foreign matter</t>
        </is>
      </c>
      <c r="F154" s="15" t="inlineStr">
        <is>
          <t xml:space="preserve">CITED</t>
        </is>
      </c>
      <c r="G154" s="15" t="inlineStr">
        <is>
          <t xml:space="preserve">iCoA-PP_26-005</t>
        </is>
      </c>
      <c r="H154" s="15" t="inlineStr">
        <is>
          <t xml:space="preserve">11.04.2025</t>
        </is>
      </c>
      <c r="I154" s="15" t="inlineStr">
        <is>
          <t xml:space="preserve">PP</t>
        </is>
      </c>
      <c r="J154" s="15" t="inlineStr">
        <is>
          <t xml:space="preserve">planned, NOT ISSUED (2026-05-15)</t>
        </is>
      </c>
      <c r="K154" s="15" t="inlineStr">
        <is>
          <t xml:space="preserve">YES — the certificate has not been issued</t>
        </is>
      </c>
      <c r="L154" s="15" t="inlineStr">
        <is>
          <t xml:space="preserve">Conforms</t>
        </is>
      </c>
      <c r="M154" s="15"/>
    </row>
    <row r="155">
      <c r="A155" s="15" t="inlineStr">
        <is>
          <t xml:space="preserve">1</t>
        </is>
      </c>
      <c r="B155" s="15" t="inlineStr">
        <is>
          <t xml:space="preserve">HPA1024</t>
        </is>
      </c>
      <c r="C155" s="15" t="inlineStr">
        <is>
          <t xml:space="preserve">—</t>
        </is>
      </c>
      <c r="D155" s="15" t="inlineStr">
        <is>
          <t xml:space="preserve">High Pro Amnesia</t>
        </is>
      </c>
      <c r="E155" s="15" t="inlineStr">
        <is>
          <t xml:space="preserve">8 Loss on drying</t>
        </is>
      </c>
      <c r="F155" s="15" t="inlineStr">
        <is>
          <t xml:space="preserve">ON FILE, NOT READ</t>
        </is>
      </c>
      <c r="G155" s="15" t="inlineStr">
        <is>
          <t xml:space="preserve">—</t>
        </is>
      </c>
      <c r="H155" s="15" t="inlineStr">
        <is>
          <t xml:space="preserve">—</t>
        </is>
      </c>
      <c r="I155" s="15" t="inlineStr">
        <is>
          <t xml:space="preserve">—</t>
        </is>
      </c>
      <c r="J155" s="15" t="inlineStr">
        <is>
          <t xml:space="preserve">in eCoA_DATABASE/_IN-HOUSE_PP</t>
        </is>
      </c>
      <c r="K155" s="15"/>
      <c r="L155" s="15" t="inlineStr">
        <is>
          <t xml:space="preserve">—</t>
        </is>
      </c>
      <c r="M155" s="15"/>
    </row>
    <row r="156">
      <c r="A156" s="15" t="inlineStr">
        <is>
          <t xml:space="preserve">1</t>
        </is>
      </c>
      <c r="B156" s="15" t="inlineStr">
        <is>
          <t xml:space="preserve">HPA1024</t>
        </is>
      </c>
      <c r="C156" s="15" t="inlineStr">
        <is>
          <t xml:space="preserve">—</t>
        </is>
      </c>
      <c r="D156" s="15" t="inlineStr">
        <is>
          <t xml:space="preserve">High Pro Amnesia</t>
        </is>
      </c>
      <c r="E156" s="15" t="inlineStr">
        <is>
          <t xml:space="preserve">9 Microbiological purity</t>
        </is>
      </c>
      <c r="F156" s="15" t="inlineStr">
        <is>
          <t xml:space="preserve">READ IN THIS PASS</t>
        </is>
      </c>
      <c r="G156" s="15" t="inlineStr">
        <is>
          <t xml:space="preserve">NO-DOC-CODE (Report of Analysis)</t>
        </is>
      </c>
      <c r="H156" s="15" t="inlineStr">
        <is>
          <t xml:space="preserve">—</t>
        </is>
      </c>
      <c r="I156" s="15" t="inlineStr">
        <is>
          <t xml:space="preserve">PP</t>
        </is>
      </c>
      <c r="J156" s="15" t="inlineStr">
        <is>
          <t xml:space="preserve">in eCoA_DATABASE/_IN-HOUSE_PP</t>
        </is>
      </c>
      <c r="K156" s="15"/>
      <c r="L156" s="15" t="inlineStr">
        <is>
          <t xml:space="preserve">5.2·10⁴ CFU/g CFU/g; 7·10² CFU/g CFU/g; &lt;10 CFU/g CFU/g; Absent; Absent</t>
        </is>
      </c>
      <c r="M156" s="15"/>
    </row>
    <row r="157">
      <c r="A157" s="15" t="inlineStr">
        <is>
          <t xml:space="preserve">1</t>
        </is>
      </c>
      <c r="B157" s="15" t="inlineStr">
        <is>
          <t xml:space="preserve">HPA1024</t>
        </is>
      </c>
      <c r="C157" s="15" t="inlineStr">
        <is>
          <t xml:space="preserve">—</t>
        </is>
      </c>
      <c r="D157" s="15" t="inlineStr">
        <is>
          <t xml:space="preserve">High Pro Amnesia</t>
        </is>
      </c>
      <c r="E157" s="15" t="inlineStr">
        <is>
          <t xml:space="preserve">10 Mycotoxins</t>
        </is>
      </c>
      <c r="F157" s="15" t="inlineStr">
        <is>
          <t xml:space="preserve">CITED</t>
        </is>
      </c>
      <c r="G157" s="15" t="inlineStr">
        <is>
          <t xml:space="preserve">197-13-M-26</t>
        </is>
      </c>
      <c r="H157" s="15" t="inlineStr">
        <is>
          <t xml:space="preserve">10.08.2026</t>
        </is>
      </c>
      <c r="I157" s="15" t="inlineStr">
        <is>
          <t xml:space="preserve">FHM-M</t>
        </is>
      </c>
      <c r="J157" s="15" t="inlineStr">
        <is>
          <t xml:space="preserve">in eCoA_DATABASE</t>
        </is>
      </c>
      <c r="K157" s="15"/>
      <c r="L157" s="15" t="inlineStr">
        <is>
          <t xml:space="preserve">ND µg/kg; ND µg/kg; ND µg/kg; ND µg/kg; &lt; LOQ µg/kg</t>
        </is>
      </c>
      <c r="M157" s="15"/>
    </row>
    <row r="158">
      <c r="A158" s="15" t="inlineStr">
        <is>
          <t xml:space="preserve">1</t>
        </is>
      </c>
      <c r="B158" s="15" t="inlineStr">
        <is>
          <t xml:space="preserve">HPA1024</t>
        </is>
      </c>
      <c r="C158" s="15" t="inlineStr">
        <is>
          <t xml:space="preserve">—</t>
        </is>
      </c>
      <c r="D158" s="15" t="inlineStr">
        <is>
          <t xml:space="preserve">High Pro Amnesia</t>
        </is>
      </c>
      <c r="E158" s="15" t="inlineStr">
        <is>
          <t xml:space="preserve">11 Heavy metals</t>
        </is>
      </c>
      <c r="F158" s="15" t="inlineStr">
        <is>
          <t xml:space="preserve">READ IN THIS PASS</t>
        </is>
      </c>
      <c r="G158" s="15" t="inlineStr">
        <is>
          <t xml:space="preserve">NO-DOC-CODE (Report of Analysis)</t>
        </is>
      </c>
      <c r="H158" s="15" t="inlineStr">
        <is>
          <t xml:space="preserve">—</t>
        </is>
      </c>
      <c r="I158" s="15" t="inlineStr">
        <is>
          <t xml:space="preserve">PP</t>
        </is>
      </c>
      <c r="J158" s="15" t="inlineStr">
        <is>
          <t xml:space="preserve">in eCoA_DATABASE/_IN-HOUSE_PP</t>
        </is>
      </c>
      <c r="K158" s="15"/>
      <c r="L158" s="15" t="inlineStr">
        <is>
          <t xml:space="preserve">0.013 mg/kg mg/kg; 0.02 mg/kg mg/kg; 0.0026 mg/kg mg/kg; 0.017 mg/kg mg/kg</t>
        </is>
      </c>
      <c r="M158" s="15"/>
    </row>
    <row r="159">
      <c r="A159" s="15" t="inlineStr">
        <is>
          <t xml:space="preserve">1</t>
        </is>
      </c>
      <c r="B159" s="15" t="inlineStr">
        <is>
          <t xml:space="preserve">HPA1024</t>
        </is>
      </c>
      <c r="C159" s="15" t="inlineStr">
        <is>
          <t xml:space="preserve">—</t>
        </is>
      </c>
      <c r="D159" s="15" t="inlineStr">
        <is>
          <t xml:space="preserve">High Pro Amnesia</t>
        </is>
      </c>
      <c r="E159" s="15" t="inlineStr">
        <is>
          <t xml:space="preserve">12 Pesticide residues</t>
        </is>
      </c>
      <c r="F159" s="15" t="inlineStr">
        <is>
          <t xml:space="preserve">READ IN THIS PASS</t>
        </is>
      </c>
      <c r="G159" s="15" t="inlineStr">
        <is>
          <t xml:space="preserve">NO-DOC-CODE (Report of Analysis)</t>
        </is>
      </c>
      <c r="H159" s="15" t="inlineStr">
        <is>
          <t xml:space="preserve">—</t>
        </is>
      </c>
      <c r="I159" s="15" t="inlineStr">
        <is>
          <t xml:space="preserve">PP</t>
        </is>
      </c>
      <c r="J159" s="15" t="inlineStr">
        <is>
          <t xml:space="preserve">in eCoA_DATABASE/_IN-HOUSE_PP</t>
        </is>
      </c>
      <c r="K159" s="15"/>
      <c r="L159" s="15" t="inlineStr">
        <is>
          <t xml:space="preserve">N.D. mg/kg; N.D. mg/kg; N.D. mg/kg; N.D. mg/kg; N.D. mg/kg; N.D. mg/kg; N.D. mg/kg; N.D. mg/kg; N.D. mg/kg; N.D. mg/kg; N.D. mg/kg; N.D. mg/kg; N.D. mg/kg</t>
        </is>
      </c>
      <c r="M159" s="15"/>
    </row>
    <row r="160">
      <c r="A160" s="15" t="inlineStr">
        <is>
          <t xml:space="preserve">1</t>
        </is>
      </c>
      <c r="B160" s="15" t="inlineStr">
        <is>
          <t xml:space="preserve">HPA1024_01</t>
        </is>
      </c>
      <c r="C160" s="15" t="inlineStr">
        <is>
          <t xml:space="preserve">P050052</t>
        </is>
      </c>
      <c r="D160" s="15" t="inlineStr">
        <is>
          <t xml:space="preserve">High Pro Amnesia</t>
        </is>
      </c>
      <c r="E160" s="15" t="inlineStr">
        <is>
          <t xml:space="preserve">1 Identification A — appearance</t>
        </is>
      </c>
      <c r="F160" s="15" t="inlineStr">
        <is>
          <t xml:space="preserve">CITED</t>
        </is>
      </c>
      <c r="G160" s="15" t="inlineStr">
        <is>
          <t xml:space="preserve">iCoA-PP_26-011</t>
        </is>
      </c>
      <c r="H160" s="15" t="inlineStr">
        <is>
          <t xml:space="preserve">27.06.2025</t>
        </is>
      </c>
      <c r="I160" s="15" t="inlineStr">
        <is>
          <t xml:space="preserve">PP</t>
        </is>
      </c>
      <c r="J160" s="15" t="inlineStr">
        <is>
          <t xml:space="preserve">planned, NOT ISSUED (2026-05-15)</t>
        </is>
      </c>
      <c r="K160" s="15" t="inlineStr">
        <is>
          <t xml:space="preserve">YES — the certificate has not been issued</t>
        </is>
      </c>
      <c r="L160" s="15" t="inlineStr">
        <is>
          <t xml:space="preserve">Conforms</t>
        </is>
      </c>
      <c r="M160" s="15"/>
    </row>
    <row r="161">
      <c r="A161" s="15" t="inlineStr">
        <is>
          <t xml:space="preserve">1</t>
        </is>
      </c>
      <c r="B161" s="15" t="inlineStr">
        <is>
          <t xml:space="preserve">HPA1024_01</t>
        </is>
      </c>
      <c r="C161" s="15" t="inlineStr">
        <is>
          <t xml:space="preserve">P050052</t>
        </is>
      </c>
      <c r="D161" s="15" t="inlineStr">
        <is>
          <t xml:space="preserve">High Pro Amnesia</t>
        </is>
      </c>
      <c r="E161" s="15" t="inlineStr">
        <is>
          <t xml:space="preserve">2 Identification B — microscopy</t>
        </is>
      </c>
      <c r="F161" s="15" t="inlineStr">
        <is>
          <t xml:space="preserve">CITED</t>
        </is>
      </c>
      <c r="G161" s="15" t="inlineStr">
        <is>
          <t xml:space="preserve">iCoA-PP_26-011</t>
        </is>
      </c>
      <c r="H161" s="15" t="inlineStr">
        <is>
          <t xml:space="preserve">27.06.2025</t>
        </is>
      </c>
      <c r="I161" s="15" t="inlineStr">
        <is>
          <t xml:space="preserve">PP</t>
        </is>
      </c>
      <c r="J161" s="15" t="inlineStr">
        <is>
          <t xml:space="preserve">planned, NOT ISSUED (2026-05-15)</t>
        </is>
      </c>
      <c r="K161" s="15" t="inlineStr">
        <is>
          <t xml:space="preserve">YES — the certificate has not been issued</t>
        </is>
      </c>
      <c r="L161" s="15" t="inlineStr">
        <is>
          <t xml:space="preserve">Conforms</t>
        </is>
      </c>
      <c r="M161" s="15"/>
    </row>
    <row r="162">
      <c r="A162" s="15" t="inlineStr">
        <is>
          <t xml:space="preserve">1</t>
        </is>
      </c>
      <c r="B162" s="15" t="inlineStr">
        <is>
          <t xml:space="preserve">HPA1024_01</t>
        </is>
      </c>
      <c r="C162" s="15" t="inlineStr">
        <is>
          <t xml:space="preserve">P050052</t>
        </is>
      </c>
      <c r="D162" s="15" t="inlineStr">
        <is>
          <t xml:space="preserve">High Pro Amnesia</t>
        </is>
      </c>
      <c r="E162" s="15" t="inlineStr">
        <is>
          <t xml:space="preserve">3 Identification C — HPLC</t>
        </is>
      </c>
      <c r="F162" s="15" t="inlineStr">
        <is>
          <t xml:space="preserve">CITED</t>
        </is>
      </c>
      <c r="G162" s="15" t="inlineStr">
        <is>
          <t xml:space="preserve">ППК25155</t>
        </is>
      </c>
      <c r="H162" s="15" t="inlineStr">
        <is>
          <t xml:space="preserve">24.06.2025</t>
        </is>
      </c>
      <c r="I162" s="15" t="inlineStr">
        <is>
          <t xml:space="preserve">CNP</t>
        </is>
      </c>
      <c r="J162" s="15" t="inlineStr">
        <is>
          <t xml:space="preserve">in eCoA_DATABASE</t>
        </is>
      </c>
      <c r="K162" s="15"/>
      <c r="L162" s="15" t="inlineStr">
        <is>
          <t xml:space="preserve">Conforms (ImB spec.)</t>
        </is>
      </c>
      <c r="M162" s="15" t="inlineStr">
        <is>
          <t xml:space="preserve">197-14-K/26</t>
        </is>
      </c>
    </row>
    <row r="163">
      <c r="A163" s="15" t="inlineStr">
        <is>
          <t xml:space="preserve">1</t>
        </is>
      </c>
      <c r="B163" s="15" t="inlineStr">
        <is>
          <t xml:space="preserve">HPA1024_01</t>
        </is>
      </c>
      <c r="C163" s="15" t="inlineStr">
        <is>
          <t xml:space="preserve">P050052</t>
        </is>
      </c>
      <c r="D163" s="15" t="inlineStr">
        <is>
          <t xml:space="preserve">High Pro Amnesia</t>
        </is>
      </c>
      <c r="E163" s="15" t="inlineStr">
        <is>
          <t xml:space="preserve">4 Assay — Total Δ⁹-THC</t>
        </is>
      </c>
      <c r="F163" s="15" t="inlineStr">
        <is>
          <t xml:space="preserve">CITED</t>
        </is>
      </c>
      <c r="G163" s="15" t="inlineStr">
        <is>
          <t xml:space="preserve">ППК25155</t>
        </is>
      </c>
      <c r="H163" s="15" t="inlineStr">
        <is>
          <t xml:space="preserve">24.06.2025</t>
        </is>
      </c>
      <c r="I163" s="15" t="inlineStr">
        <is>
          <t xml:space="preserve">CNP</t>
        </is>
      </c>
      <c r="J163" s="15" t="inlineStr">
        <is>
          <t xml:space="preserve">in eCoA_DATABASE</t>
        </is>
      </c>
      <c r="K163" s="15"/>
      <c r="L163" s="15" t="inlineStr">
        <is>
          <t xml:space="preserve">22.43</t>
        </is>
      </c>
      <c r="M163" s="15" t="inlineStr">
        <is>
          <t xml:space="preserve">197-14-K/26</t>
        </is>
      </c>
    </row>
    <row r="164">
      <c r="A164" s="15" t="inlineStr">
        <is>
          <t xml:space="preserve">1</t>
        </is>
      </c>
      <c r="B164" s="15" t="inlineStr">
        <is>
          <t xml:space="preserve">HPA1024_01</t>
        </is>
      </c>
      <c r="C164" s="15" t="inlineStr">
        <is>
          <t xml:space="preserve">P050052</t>
        </is>
      </c>
      <c r="D164" s="15" t="inlineStr">
        <is>
          <t xml:space="preserve">High Pro Amnesia</t>
        </is>
      </c>
      <c r="E164" s="15" t="inlineStr">
        <is>
          <t xml:space="preserve">5 Assay — Total CBD</t>
        </is>
      </c>
      <c r="F164" s="15" t="inlineStr">
        <is>
          <t xml:space="preserve">CITED</t>
        </is>
      </c>
      <c r="G164" s="15" t="inlineStr">
        <is>
          <t xml:space="preserve">ППК25155</t>
        </is>
      </c>
      <c r="H164" s="15" t="inlineStr">
        <is>
          <t xml:space="preserve">24.06.2025</t>
        </is>
      </c>
      <c r="I164" s="15" t="inlineStr">
        <is>
          <t xml:space="preserve">CNP</t>
        </is>
      </c>
      <c r="J164" s="15" t="inlineStr">
        <is>
          <t xml:space="preserve">in eCoA_DATABASE</t>
        </is>
      </c>
      <c r="K164" s="15"/>
      <c r="L164" s="15" t="inlineStr">
        <is>
          <t xml:space="preserve">0.10</t>
        </is>
      </c>
      <c r="M164" s="15" t="inlineStr">
        <is>
          <t xml:space="preserve">197-14-K/26</t>
        </is>
      </c>
    </row>
    <row r="165">
      <c r="A165" s="15" t="inlineStr">
        <is>
          <t xml:space="preserve">1</t>
        </is>
      </c>
      <c r="B165" s="15" t="inlineStr">
        <is>
          <t xml:space="preserve">HPA1024_01</t>
        </is>
      </c>
      <c r="C165" s="15" t="inlineStr">
        <is>
          <t xml:space="preserve">P050052</t>
        </is>
      </c>
      <c r="D165" s="15" t="inlineStr">
        <is>
          <t xml:space="preserve">High Pro Amnesia</t>
        </is>
      </c>
      <c r="E165" s="15" t="inlineStr">
        <is>
          <t xml:space="preserve">6 Total CBN</t>
        </is>
      </c>
      <c r="F165" s="15" t="inlineStr">
        <is>
          <t xml:space="preserve">CITED</t>
        </is>
      </c>
      <c r="G165" s="15" t="inlineStr">
        <is>
          <t xml:space="preserve">ППК25155</t>
        </is>
      </c>
      <c r="H165" s="15" t="inlineStr">
        <is>
          <t xml:space="preserve">24.06.2025</t>
        </is>
      </c>
      <c r="I165" s="15" t="inlineStr">
        <is>
          <t xml:space="preserve">CNP</t>
        </is>
      </c>
      <c r="J165" s="15" t="inlineStr">
        <is>
          <t xml:space="preserve">in eCoA_DATABASE</t>
        </is>
      </c>
      <c r="K165" s="15"/>
      <c r="L165" s="15" t="inlineStr">
        <is>
          <t xml:space="preserve">0.02 ᴰ</t>
        </is>
      </c>
      <c r="M165" s="15" t="inlineStr">
        <is>
          <t xml:space="preserve">197-14-K/26</t>
        </is>
      </c>
    </row>
    <row r="166">
      <c r="A166" s="15" t="inlineStr">
        <is>
          <t xml:space="preserve">1</t>
        </is>
      </c>
      <c r="B166" s="15" t="inlineStr">
        <is>
          <t xml:space="preserve">HPA1024_01</t>
        </is>
      </c>
      <c r="C166" s="15" t="inlineStr">
        <is>
          <t xml:space="preserve">P050052</t>
        </is>
      </c>
      <c r="D166" s="15" t="inlineStr">
        <is>
          <t xml:space="preserve">High Pro Amnesia</t>
        </is>
      </c>
      <c r="E166" s="15" t="inlineStr">
        <is>
          <t xml:space="preserve">7 Foreign matter</t>
        </is>
      </c>
      <c r="F166" s="15" t="inlineStr">
        <is>
          <t xml:space="preserve">CITED</t>
        </is>
      </c>
      <c r="G166" s="15" t="inlineStr">
        <is>
          <t xml:space="preserve">iCoA-PP_26-011</t>
        </is>
      </c>
      <c r="H166" s="15" t="inlineStr">
        <is>
          <t xml:space="preserve">27.06.2025</t>
        </is>
      </c>
      <c r="I166" s="15" t="inlineStr">
        <is>
          <t xml:space="preserve">PP</t>
        </is>
      </c>
      <c r="J166" s="15" t="inlineStr">
        <is>
          <t xml:space="preserve">planned, NOT ISSUED (2026-05-15)</t>
        </is>
      </c>
      <c r="K166" s="15" t="inlineStr">
        <is>
          <t xml:space="preserve">YES — the certificate has not been issued</t>
        </is>
      </c>
      <c r="L166" s="15" t="inlineStr">
        <is>
          <t xml:space="preserve">Conforms</t>
        </is>
      </c>
      <c r="M166" s="15"/>
    </row>
    <row r="167">
      <c r="A167" s="15" t="inlineStr">
        <is>
          <t xml:space="preserve">1</t>
        </is>
      </c>
      <c r="B167" s="15" t="inlineStr">
        <is>
          <t xml:space="preserve">HPA1024_01</t>
        </is>
      </c>
      <c r="C167" s="15" t="inlineStr">
        <is>
          <t xml:space="preserve">P050052</t>
        </is>
      </c>
      <c r="D167" s="15" t="inlineStr">
        <is>
          <t xml:space="preserve">High Pro Amnesia</t>
        </is>
      </c>
      <c r="E167" s="15" t="inlineStr">
        <is>
          <t xml:space="preserve">8 Loss on drying</t>
        </is>
      </c>
      <c r="F167" s="15" t="inlineStr">
        <is>
          <t xml:space="preserve">CITED</t>
        </is>
      </c>
      <c r="G167" s="15" t="inlineStr">
        <is>
          <t xml:space="preserve">ППК25155</t>
        </is>
      </c>
      <c r="H167" s="15" t="inlineStr">
        <is>
          <t xml:space="preserve">24.06.2025</t>
        </is>
      </c>
      <c r="I167" s="15" t="inlineStr">
        <is>
          <t xml:space="preserve">CNP</t>
        </is>
      </c>
      <c r="J167" s="15" t="inlineStr">
        <is>
          <t xml:space="preserve">in eCoA_DATABASE</t>
        </is>
      </c>
      <c r="K167" s="15"/>
      <c r="L167" s="15" t="inlineStr">
        <is>
          <t xml:space="preserve">6.36</t>
        </is>
      </c>
      <c r="M167" s="15"/>
    </row>
    <row r="168">
      <c r="A168" s="15" t="inlineStr">
        <is>
          <t xml:space="preserve">1</t>
        </is>
      </c>
      <c r="B168" s="15" t="inlineStr">
        <is>
          <t xml:space="preserve">HPA1024_01</t>
        </is>
      </c>
      <c r="C168" s="15" t="inlineStr">
        <is>
          <t xml:space="preserve">P050052</t>
        </is>
      </c>
      <c r="D168" s="15" t="inlineStr">
        <is>
          <t xml:space="preserve">High Pro Amnesia</t>
        </is>
      </c>
      <c r="E168" s="15" t="inlineStr">
        <is>
          <t xml:space="preserve">9 Microbiological purity</t>
        </is>
      </c>
      <c r="F168" s="15" t="inlineStr">
        <is>
          <t xml:space="preserve">CITED</t>
        </is>
      </c>
      <c r="G168" s="15" t="inlineStr">
        <is>
          <t xml:space="preserve">587-1066-25</t>
        </is>
      </c>
      <c r="H168" s="15" t="inlineStr">
        <is>
          <t xml:space="preserve">18.06.2025</t>
        </is>
      </c>
      <c r="I168" s="15" t="inlineStr">
        <is>
          <t xml:space="preserve">IJZ-MB</t>
        </is>
      </c>
      <c r="J168" s="15" t="inlineStr">
        <is>
          <t xml:space="preserve">in eCoA_DATABASE</t>
        </is>
      </c>
      <c r="K168" s="15"/>
      <c r="L168" s="15" t="inlineStr">
        <is>
          <t xml:space="preserve">9.6 x 10³; 1.5 x 10⁴; &lt;10; Одговара; Одговара</t>
        </is>
      </c>
      <c r="M168" s="15"/>
    </row>
    <row r="169">
      <c r="A169" s="15" t="inlineStr">
        <is>
          <t xml:space="preserve">1</t>
        </is>
      </c>
      <c r="B169" s="15" t="inlineStr">
        <is>
          <t xml:space="preserve">HPA1024_01</t>
        </is>
      </c>
      <c r="C169" s="15" t="inlineStr">
        <is>
          <t xml:space="preserve">P050052</t>
        </is>
      </c>
      <c r="D169" s="15" t="inlineStr">
        <is>
          <t xml:space="preserve">High Pro Amnesia</t>
        </is>
      </c>
      <c r="E169" s="15" t="inlineStr">
        <is>
          <t xml:space="preserve">10 Mycotoxins</t>
        </is>
      </c>
      <c r="F169" s="15" t="inlineStr">
        <is>
          <t xml:space="preserve">CITED</t>
        </is>
      </c>
      <c r="G169" s="15" t="inlineStr">
        <is>
          <t xml:space="preserve">2995-2025</t>
        </is>
      </c>
      <c r="H169" s="15" t="inlineStr">
        <is>
          <t xml:space="preserve">19.06.2025</t>
        </is>
      </c>
      <c r="I169" s="15" t="inlineStr">
        <is>
          <t xml:space="preserve">IJZ</t>
        </is>
      </c>
      <c r="J169" s="15" t="inlineStr">
        <is>
          <t xml:space="preserve">in eCoA_DATABASE</t>
        </is>
      </c>
      <c r="K169" s="15"/>
      <c r="L169" s="15" t="inlineStr">
        <is>
          <t xml:space="preserve">n.r.; &lt;2; n.r.</t>
        </is>
      </c>
      <c r="M169" s="15" t="inlineStr">
        <is>
          <t xml:space="preserve">197-14-M/26</t>
        </is>
      </c>
    </row>
    <row r="170">
      <c r="A170" s="15" t="inlineStr">
        <is>
          <t xml:space="preserve">1</t>
        </is>
      </c>
      <c r="B170" s="15" t="inlineStr">
        <is>
          <t xml:space="preserve">HPA1024_01</t>
        </is>
      </c>
      <c r="C170" s="15" t="inlineStr">
        <is>
          <t xml:space="preserve">P050052</t>
        </is>
      </c>
      <c r="D170" s="15" t="inlineStr">
        <is>
          <t xml:space="preserve">High Pro Amnesia</t>
        </is>
      </c>
      <c r="E170" s="15" t="inlineStr">
        <is>
          <t xml:space="preserve">11 Heavy metals</t>
        </is>
      </c>
      <c r="F170" s="15" t="inlineStr">
        <is>
          <t xml:space="preserve">CITED</t>
        </is>
      </c>
      <c r="G170" s="15" t="inlineStr">
        <is>
          <t xml:space="preserve">2995-2025</t>
        </is>
      </c>
      <c r="H170" s="15" t="inlineStr">
        <is>
          <t xml:space="preserve">19.06.2025</t>
        </is>
      </c>
      <c r="I170" s="15" t="inlineStr">
        <is>
          <t xml:space="preserve">IJZ</t>
        </is>
      </c>
      <c r="J170" s="15" t="inlineStr">
        <is>
          <t xml:space="preserve">in eCoA_DATABASE</t>
        </is>
      </c>
      <c r="K170" s="15"/>
      <c r="L170" s="15" t="inlineStr">
        <is>
          <t xml:space="preserve">0.059; 0.014; 0.037; 0.008</t>
        </is>
      </c>
      <c r="M170" s="15"/>
    </row>
    <row r="171">
      <c r="A171" s="15" t="inlineStr">
        <is>
          <t xml:space="preserve">1</t>
        </is>
      </c>
      <c r="B171" s="15" t="inlineStr">
        <is>
          <t xml:space="preserve">HPA1024_01</t>
        </is>
      </c>
      <c r="C171" s="15" t="inlineStr">
        <is>
          <t xml:space="preserve">P050052</t>
        </is>
      </c>
      <c r="D171" s="15" t="inlineStr">
        <is>
          <t xml:space="preserve">High Pro Amnesia</t>
        </is>
      </c>
      <c r="E171" s="15" t="inlineStr">
        <is>
          <t xml:space="preserve">12 Pesticide residues</t>
        </is>
      </c>
      <c r="F171" s="15" t="inlineStr">
        <is>
          <t xml:space="preserve">CITED</t>
        </is>
      </c>
      <c r="G171" s="15" t="inlineStr">
        <is>
          <t xml:space="preserve">2995-2025</t>
        </is>
      </c>
      <c r="H171" s="15" t="inlineStr">
        <is>
          <t xml:space="preserve">19.06.2025</t>
        </is>
      </c>
      <c r="I171" s="15" t="inlineStr">
        <is>
          <t xml:space="preserve">IJZ</t>
        </is>
      </c>
      <c r="J171" s="15" t="inlineStr">
        <is>
          <t xml:space="preserve">in eCoA_DATABASE</t>
        </is>
      </c>
      <c r="K171" s="15"/>
      <c r="L171" s="15" t="inlineStr">
        <is>
          <t xml:space="preserve">≤ LOQ (all 23 compounds)</t>
        </is>
      </c>
      <c r="M171" s="15"/>
    </row>
    <row r="172">
      <c r="A172" s="15" t="inlineStr">
        <is>
          <t xml:space="preserve">1</t>
        </is>
      </c>
      <c r="B172" s="15" t="inlineStr">
        <is>
          <t xml:space="preserve">J31102501</t>
        </is>
      </c>
      <c r="C172" s="15" t="inlineStr">
        <is>
          <t xml:space="preserve">P060152</t>
        </is>
      </c>
      <c r="D172" s="15" t="inlineStr">
        <is>
          <t xml:space="preserve">Jokerz 31</t>
        </is>
      </c>
      <c r="E172" s="15" t="inlineStr">
        <is>
          <t xml:space="preserve">1 Identification A — appearance</t>
        </is>
      </c>
      <c r="F172" s="15" t="inlineStr">
        <is>
          <t xml:space="preserve">CITED</t>
        </is>
      </c>
      <c r="G172" s="15" t="inlineStr">
        <is>
          <t xml:space="preserve">iCoA-PP_26-048</t>
        </is>
      </c>
      <c r="H172" s="15" t="inlineStr">
        <is>
          <t xml:space="preserve">05.03.2026</t>
        </is>
      </c>
      <c r="I172" s="15" t="inlineStr">
        <is>
          <t xml:space="preserve">PP</t>
        </is>
      </c>
      <c r="J172" s="15" t="inlineStr">
        <is>
          <t xml:space="preserve">planned, NOT ISSUED (2026-05-15)</t>
        </is>
      </c>
      <c r="K172" s="15" t="inlineStr">
        <is>
          <t xml:space="preserve">YES — the certificate has not been issued</t>
        </is>
      </c>
      <c r="L172" s="15" t="inlineStr">
        <is>
          <t xml:space="preserve">Conforms</t>
        </is>
      </c>
      <c r="M172" s="15"/>
    </row>
    <row r="173">
      <c r="A173" s="15" t="inlineStr">
        <is>
          <t xml:space="preserve">1</t>
        </is>
      </c>
      <c r="B173" s="15" t="inlineStr">
        <is>
          <t xml:space="preserve">J31102501</t>
        </is>
      </c>
      <c r="C173" s="15" t="inlineStr">
        <is>
          <t xml:space="preserve">P060152</t>
        </is>
      </c>
      <c r="D173" s="15" t="inlineStr">
        <is>
          <t xml:space="preserve">Jokerz 31</t>
        </is>
      </c>
      <c r="E173" s="15" t="inlineStr">
        <is>
          <t xml:space="preserve">2 Identification B — microscopy</t>
        </is>
      </c>
      <c r="F173" s="15" t="inlineStr">
        <is>
          <t xml:space="preserve">CITED</t>
        </is>
      </c>
      <c r="G173" s="15" t="inlineStr">
        <is>
          <t xml:space="preserve">iCoA-PP_26-048</t>
        </is>
      </c>
      <c r="H173" s="15" t="inlineStr">
        <is>
          <t xml:space="preserve">05.03.2026</t>
        </is>
      </c>
      <c r="I173" s="15" t="inlineStr">
        <is>
          <t xml:space="preserve">PP</t>
        </is>
      </c>
      <c r="J173" s="15" t="inlineStr">
        <is>
          <t xml:space="preserve">planned, NOT ISSUED (2026-05-15)</t>
        </is>
      </c>
      <c r="K173" s="15" t="inlineStr">
        <is>
          <t xml:space="preserve">YES — the certificate has not been issued</t>
        </is>
      </c>
      <c r="L173" s="15" t="inlineStr">
        <is>
          <t xml:space="preserve">Conforms</t>
        </is>
      </c>
      <c r="M173" s="15"/>
    </row>
    <row r="174">
      <c r="A174" s="15" t="inlineStr">
        <is>
          <t xml:space="preserve">1</t>
        </is>
      </c>
      <c r="B174" s="15" t="inlineStr">
        <is>
          <t xml:space="preserve">J31102501</t>
        </is>
      </c>
      <c r="C174" s="15" t="inlineStr">
        <is>
          <t xml:space="preserve">P060152</t>
        </is>
      </c>
      <c r="D174" s="15" t="inlineStr">
        <is>
          <t xml:space="preserve">Jokerz 31</t>
        </is>
      </c>
      <c r="E174" s="15" t="inlineStr">
        <is>
          <t xml:space="preserve">3 Identification C — HPLC</t>
        </is>
      </c>
      <c r="F174" s="15" t="inlineStr">
        <is>
          <t xml:space="preserve">CITED</t>
        </is>
      </c>
      <c r="G174" s="15" t="inlineStr">
        <is>
          <t xml:space="preserve">051-1-K-26</t>
        </is>
      </c>
      <c r="H174" s="15" t="inlineStr">
        <is>
          <t xml:space="preserve">04.03.2026</t>
        </is>
      </c>
      <c r="I174" s="15" t="inlineStr">
        <is>
          <t xml:space="preserve">FHM-K</t>
        </is>
      </c>
      <c r="J174" s="15" t="inlineStr">
        <is>
          <t xml:space="preserve">in eCoA_DATABASE</t>
        </is>
      </c>
      <c r="K174" s="15"/>
      <c r="L174" s="15" t="inlineStr">
        <is>
          <t xml:space="preserve">Conforms (ImB spec.) ᴿ</t>
        </is>
      </c>
      <c r="M174" s="15" t="inlineStr">
        <is>
          <t xml:space="preserve">197-16-K/26</t>
        </is>
      </c>
    </row>
    <row r="175">
      <c r="A175" s="15" t="inlineStr">
        <is>
          <t xml:space="preserve">1</t>
        </is>
      </c>
      <c r="B175" s="15" t="inlineStr">
        <is>
          <t xml:space="preserve">J31102501</t>
        </is>
      </c>
      <c r="C175" s="15" t="inlineStr">
        <is>
          <t xml:space="preserve">P060152</t>
        </is>
      </c>
      <c r="D175" s="15" t="inlineStr">
        <is>
          <t xml:space="preserve">Jokerz 31</t>
        </is>
      </c>
      <c r="E175" s="15" t="inlineStr">
        <is>
          <t xml:space="preserve">4 Assay — Total Δ⁹-THC</t>
        </is>
      </c>
      <c r="F175" s="15" t="inlineStr">
        <is>
          <t xml:space="preserve">CITED</t>
        </is>
      </c>
      <c r="G175" s="15" t="inlineStr">
        <is>
          <t xml:space="preserve">051-1-K-26</t>
        </is>
      </c>
      <c r="H175" s="15" t="inlineStr">
        <is>
          <t xml:space="preserve">04.03.2026</t>
        </is>
      </c>
      <c r="I175" s="15" t="inlineStr">
        <is>
          <t xml:space="preserve">FHM-K</t>
        </is>
      </c>
      <c r="J175" s="15" t="inlineStr">
        <is>
          <t xml:space="preserve">in eCoA_DATABASE</t>
        </is>
      </c>
      <c r="K175" s="15"/>
      <c r="L175" s="15" t="inlineStr">
        <is>
          <t xml:space="preserve">19.14</t>
        </is>
      </c>
      <c r="M175" s="15" t="inlineStr">
        <is>
          <t xml:space="preserve">197-16-K/26</t>
        </is>
      </c>
    </row>
    <row r="176">
      <c r="A176" s="15" t="inlineStr">
        <is>
          <t xml:space="preserve">1</t>
        </is>
      </c>
      <c r="B176" s="15" t="inlineStr">
        <is>
          <t xml:space="preserve">J31102501</t>
        </is>
      </c>
      <c r="C176" s="15" t="inlineStr">
        <is>
          <t xml:space="preserve">P060152</t>
        </is>
      </c>
      <c r="D176" s="15" t="inlineStr">
        <is>
          <t xml:space="preserve">Jokerz 31</t>
        </is>
      </c>
      <c r="E176" s="15" t="inlineStr">
        <is>
          <t xml:space="preserve">5 Assay — Total CBD</t>
        </is>
      </c>
      <c r="F176" s="15" t="inlineStr">
        <is>
          <t xml:space="preserve">CITED</t>
        </is>
      </c>
      <c r="G176" s="15" t="inlineStr">
        <is>
          <t xml:space="preserve">051-1-K-26</t>
        </is>
      </c>
      <c r="H176" s="15" t="inlineStr">
        <is>
          <t xml:space="preserve">04.03.2026</t>
        </is>
      </c>
      <c r="I176" s="15" t="inlineStr">
        <is>
          <t xml:space="preserve">FHM-K</t>
        </is>
      </c>
      <c r="J176" s="15" t="inlineStr">
        <is>
          <t xml:space="preserve">in eCoA_DATABASE</t>
        </is>
      </c>
      <c r="K176" s="15"/>
      <c r="L176" s="15" t="inlineStr">
        <is>
          <t xml:space="preserve">&lt;LOQ**</t>
        </is>
      </c>
      <c r="M176" s="15" t="inlineStr">
        <is>
          <t xml:space="preserve">197-16-K/26</t>
        </is>
      </c>
    </row>
    <row r="177">
      <c r="A177" s="15" t="inlineStr">
        <is>
          <t xml:space="preserve">1</t>
        </is>
      </c>
      <c r="B177" s="15" t="inlineStr">
        <is>
          <t xml:space="preserve">J31102501</t>
        </is>
      </c>
      <c r="C177" s="15" t="inlineStr">
        <is>
          <t xml:space="preserve">P060152</t>
        </is>
      </c>
      <c r="D177" s="15" t="inlineStr">
        <is>
          <t xml:space="preserve">Jokerz 31</t>
        </is>
      </c>
      <c r="E177" s="15" t="inlineStr">
        <is>
          <t xml:space="preserve">6 Total CBN</t>
        </is>
      </c>
      <c r="F177" s="15" t="inlineStr">
        <is>
          <t xml:space="preserve">CITED</t>
        </is>
      </c>
      <c r="G177" s="15" t="inlineStr">
        <is>
          <t xml:space="preserve">051-1-K-26</t>
        </is>
      </c>
      <c r="H177" s="15" t="inlineStr">
        <is>
          <t xml:space="preserve">04.03.2026</t>
        </is>
      </c>
      <c r="I177" s="15" t="inlineStr">
        <is>
          <t xml:space="preserve">FHM-K</t>
        </is>
      </c>
      <c r="J177" s="15" t="inlineStr">
        <is>
          <t xml:space="preserve">in eCoA_DATABASE</t>
        </is>
      </c>
      <c r="K177" s="15"/>
      <c r="L177" s="15" t="inlineStr">
        <is>
          <t xml:space="preserve">&lt;LOQ**</t>
        </is>
      </c>
      <c r="M177" s="15" t="inlineStr">
        <is>
          <t xml:space="preserve">197-16-K/26</t>
        </is>
      </c>
    </row>
    <row r="178">
      <c r="A178" s="15" t="inlineStr">
        <is>
          <t xml:space="preserve">1</t>
        </is>
      </c>
      <c r="B178" s="15" t="inlineStr">
        <is>
          <t xml:space="preserve">J31102501</t>
        </is>
      </c>
      <c r="C178" s="15" t="inlineStr">
        <is>
          <t xml:space="preserve">P060152</t>
        </is>
      </c>
      <c r="D178" s="15" t="inlineStr">
        <is>
          <t xml:space="preserve">Jokerz 31</t>
        </is>
      </c>
      <c r="E178" s="15" t="inlineStr">
        <is>
          <t xml:space="preserve">7 Foreign matter</t>
        </is>
      </c>
      <c r="F178" s="15" t="inlineStr">
        <is>
          <t xml:space="preserve">CITED</t>
        </is>
      </c>
      <c r="G178" s="15" t="inlineStr">
        <is>
          <t xml:space="preserve">iCoA-PP_26-048</t>
        </is>
      </c>
      <c r="H178" s="15" t="inlineStr">
        <is>
          <t xml:space="preserve">05.03.2026</t>
        </is>
      </c>
      <c r="I178" s="15" t="inlineStr">
        <is>
          <t xml:space="preserve">PP</t>
        </is>
      </c>
      <c r="J178" s="15" t="inlineStr">
        <is>
          <t xml:space="preserve">planned, NOT ISSUED (2026-05-15)</t>
        </is>
      </c>
      <c r="K178" s="15" t="inlineStr">
        <is>
          <t xml:space="preserve">YES — the certificate has not been issued</t>
        </is>
      </c>
      <c r="L178" s="15" t="inlineStr">
        <is>
          <t xml:space="preserve">Conforms</t>
        </is>
      </c>
      <c r="M178" s="15"/>
    </row>
    <row r="179">
      <c r="A179" s="15" t="inlineStr">
        <is>
          <t xml:space="preserve">1</t>
        </is>
      </c>
      <c r="B179" s="15" t="inlineStr">
        <is>
          <t xml:space="preserve">J31102501</t>
        </is>
      </c>
      <c r="C179" s="15" t="inlineStr">
        <is>
          <t xml:space="preserve">P060152</t>
        </is>
      </c>
      <c r="D179" s="15" t="inlineStr">
        <is>
          <t xml:space="preserve">Jokerz 31</t>
        </is>
      </c>
      <c r="E179" s="15" t="inlineStr">
        <is>
          <t xml:space="preserve">8 Loss on drying</t>
        </is>
      </c>
      <c r="F179" s="15" t="inlineStr">
        <is>
          <t xml:space="preserve">CITED</t>
        </is>
      </c>
      <c r="G179" s="15" t="inlineStr">
        <is>
          <t xml:space="preserve">051-1-LoD-26</t>
        </is>
      </c>
      <c r="H179" s="15" t="inlineStr">
        <is>
          <t xml:space="preserve">02.03.2026</t>
        </is>
      </c>
      <c r="I179" s="15" t="inlineStr">
        <is>
          <t xml:space="preserve">FHM-K</t>
        </is>
      </c>
      <c r="J179" s="15" t="inlineStr">
        <is>
          <t xml:space="preserve">in eCoA_DATABASE</t>
        </is>
      </c>
      <c r="K179" s="15"/>
      <c r="L179" s="15" t="inlineStr">
        <is>
          <t xml:space="preserve">6.3</t>
        </is>
      </c>
      <c r="M179" s="15"/>
    </row>
    <row r="180">
      <c r="A180" s="15" t="inlineStr">
        <is>
          <t xml:space="preserve">1</t>
        </is>
      </c>
      <c r="B180" s="15" t="inlineStr">
        <is>
          <t xml:space="preserve">J31102501</t>
        </is>
      </c>
      <c r="C180" s="15" t="inlineStr">
        <is>
          <t xml:space="preserve">P060152</t>
        </is>
      </c>
      <c r="D180" s="15" t="inlineStr">
        <is>
          <t xml:space="preserve">Jokerz 31</t>
        </is>
      </c>
      <c r="E180" s="15" t="inlineStr">
        <is>
          <t xml:space="preserve">9 Microbiological purity</t>
        </is>
      </c>
      <c r="F180" s="15" t="inlineStr">
        <is>
          <t xml:space="preserve">READ IN THIS PASS</t>
        </is>
      </c>
      <c r="G180" s="15" t="inlineStr">
        <is>
          <t xml:space="preserve">133/0230/26</t>
        </is>
      </c>
      <c r="H180" s="15" t="inlineStr">
        <is>
          <t xml:space="preserve">06.03.2026</t>
        </is>
      </c>
      <c r="I180" s="15" t="inlineStr">
        <is>
          <t xml:space="preserve">IJZ-MB</t>
        </is>
      </c>
      <c r="J180" s="15" t="inlineStr">
        <is>
          <t xml:space="preserve">in eCoA_DATABASE</t>
        </is>
      </c>
      <c r="K180" s="15"/>
      <c r="L180" s="15" t="inlineStr">
        <is>
          <t xml:space="preserve">1,6 x 10² CFU/g CFU/g; 1,9 x 10² CFU/g CFU/g; &lt; 10 CFU/g CFU/g; Одговара; Одговара</t>
        </is>
      </c>
      <c r="M180" s="15"/>
    </row>
    <row r="181">
      <c r="A181" s="15" t="inlineStr">
        <is>
          <t xml:space="preserve">1</t>
        </is>
      </c>
      <c r="B181" s="15" t="inlineStr">
        <is>
          <t xml:space="preserve">J31102501</t>
        </is>
      </c>
      <c r="C181" s="15" t="inlineStr">
        <is>
          <t xml:space="preserve">P060152</t>
        </is>
      </c>
      <c r="D181" s="15" t="inlineStr">
        <is>
          <t xml:space="preserve">Jokerz 31</t>
        </is>
      </c>
      <c r="E181" s="15" t="inlineStr">
        <is>
          <t xml:space="preserve">10 Mycotoxins</t>
        </is>
      </c>
      <c r="F181" s="15" t="inlineStr">
        <is>
          <t xml:space="preserve">CITED</t>
        </is>
      </c>
      <c r="G181" s="15" t="inlineStr">
        <is>
          <t xml:space="preserve">197-16-M-26</t>
        </is>
      </c>
      <c r="H181" s="15" t="inlineStr">
        <is>
          <t xml:space="preserve">10.08.2026</t>
        </is>
      </c>
      <c r="I181" s="15" t="inlineStr">
        <is>
          <t xml:space="preserve">FHM-M</t>
        </is>
      </c>
      <c r="J181" s="15" t="inlineStr">
        <is>
          <t xml:space="preserve">in eCoA_DATABASE</t>
        </is>
      </c>
      <c r="K181" s="15"/>
      <c r="L181" s="15" t="inlineStr">
        <is>
          <t xml:space="preserve">ND µg/kg; ND µg/kg; ND µg/kg; ND µg/kg; ND µg/kg</t>
        </is>
      </c>
      <c r="M181" s="15" t="inlineStr">
        <is>
          <t xml:space="preserve">1056/2026</t>
        </is>
      </c>
    </row>
    <row r="182">
      <c r="A182" s="15" t="inlineStr">
        <is>
          <t xml:space="preserve">1</t>
        </is>
      </c>
      <c r="B182" s="15" t="inlineStr">
        <is>
          <t xml:space="preserve">J31102501</t>
        </is>
      </c>
      <c r="C182" s="15" t="inlineStr">
        <is>
          <t xml:space="preserve">P060152</t>
        </is>
      </c>
      <c r="D182" s="15" t="inlineStr">
        <is>
          <t xml:space="preserve">Jokerz 31</t>
        </is>
      </c>
      <c r="E182" s="15" t="inlineStr">
        <is>
          <t xml:space="preserve">11 Heavy metals</t>
        </is>
      </c>
      <c r="F182" s="15" t="inlineStr">
        <is>
          <t xml:space="preserve">READ IN THIS PASS</t>
        </is>
      </c>
      <c r="G182" s="15" t="inlineStr">
        <is>
          <t xml:space="preserve">1056/2026</t>
        </is>
      </c>
      <c r="H182" s="15" t="inlineStr">
        <is>
          <t xml:space="preserve">09.03.2026</t>
        </is>
      </c>
      <c r="I182" s="15" t="inlineStr">
        <is>
          <t xml:space="preserve">IJZ</t>
        </is>
      </c>
      <c r="J182" s="15" t="inlineStr">
        <is>
          <t xml:space="preserve">in eCoA_DATABASE</t>
        </is>
      </c>
      <c r="K182" s="15"/>
      <c r="L182" s="15" t="inlineStr">
        <is>
          <t xml:space="preserve">0,061 mg/kg(l); н.д. mg/kg(l); н.д. mg/kg(l); н.д. mg/kg(l)</t>
        </is>
      </c>
      <c r="M182" s="15"/>
    </row>
    <row r="183">
      <c r="A183" s="15" t="inlineStr">
        <is>
          <t xml:space="preserve">1</t>
        </is>
      </c>
      <c r="B183" s="15" t="inlineStr">
        <is>
          <t xml:space="preserve">J31102501</t>
        </is>
      </c>
      <c r="C183" s="15" t="inlineStr">
        <is>
          <t xml:space="preserve">P060152</t>
        </is>
      </c>
      <c r="D183" s="15" t="inlineStr">
        <is>
          <t xml:space="preserve">Jokerz 31</t>
        </is>
      </c>
      <c r="E183" s="15" t="inlineStr">
        <is>
          <t xml:space="preserve">12 Pesticide residues</t>
        </is>
      </c>
      <c r="F183" s="15" t="inlineStr">
        <is>
          <t xml:space="preserve">READ IN THIS PASS</t>
        </is>
      </c>
      <c r="G183" s="15" t="inlineStr">
        <is>
          <t xml:space="preserve">1056/2026</t>
        </is>
      </c>
      <c r="H183" s="15" t="inlineStr">
        <is>
          <t xml:space="preserve">09.03.2026</t>
        </is>
      </c>
      <c r="I183" s="15" t="inlineStr">
        <is>
          <t xml:space="preserve">IJZ</t>
        </is>
      </c>
      <c r="J183" s="15" t="inlineStr">
        <is>
          <t xml:space="preserve">in eCoA_DATABASE</t>
        </is>
      </c>
      <c r="K183" s="15"/>
      <c r="L183" s="15" t="inlineStr">
        <is>
          <t xml:space="preserve">н.д. mg/kg; н.д. mg/kg; н.д. mg/kg; н.д. mg/kg; н.д. mg/kg; н.д. mg/kg; н.д. mg/kg; н.д. mg/kg; н.д. mg/kg; н.д. mg/kg; н.д. mg/kg; н.д. mg/kg; н.д. mg/Kg; н.д. mg/kg; н.д. mg/kg; н.д. mg/kg; н.д. mg/kg; н.д. mg/kg; н.д. mg/kg; н.д. mg/kg; н.д. mg/kg; н.д. mg/kg; н.д. mg/kg; н.д. mg/kg; н.д. mg/kg; </t>
        </is>
      </c>
      <c r="M183" s="15"/>
    </row>
    <row r="184">
      <c r="A184" s="15" t="inlineStr">
        <is>
          <t xml:space="preserve">1</t>
        </is>
      </c>
      <c r="B184" s="15" t="inlineStr">
        <is>
          <t xml:space="preserve">JD112501</t>
        </is>
      </c>
      <c r="C184" s="15" t="inlineStr">
        <is>
          <t xml:space="preserve">P060212</t>
        </is>
      </c>
      <c r="D184" s="15" t="inlineStr">
        <is>
          <t xml:space="preserve">Jelly Donuts</t>
        </is>
      </c>
      <c r="E184" s="15" t="inlineStr">
        <is>
          <t xml:space="preserve">1 Identification A — appearance</t>
        </is>
      </c>
      <c r="F184" s="15" t="inlineStr">
        <is>
          <t xml:space="preserve">CITED</t>
        </is>
      </c>
      <c r="G184" s="15" t="inlineStr">
        <is>
          <t xml:space="preserve">iCoA-PP_26-054</t>
        </is>
      </c>
      <c r="H184" s="15" t="inlineStr">
        <is>
          <t xml:space="preserve">21.04.2026</t>
        </is>
      </c>
      <c r="I184" s="15" t="inlineStr">
        <is>
          <t xml:space="preserve">PP</t>
        </is>
      </c>
      <c r="J184" s="15" t="inlineStr">
        <is>
          <t xml:space="preserve">planned, NOT ISSUED (2026-05-15)</t>
        </is>
      </c>
      <c r="K184" s="15" t="inlineStr">
        <is>
          <t xml:space="preserve">YES — the certificate has not been issued</t>
        </is>
      </c>
      <c r="L184" s="15" t="inlineStr">
        <is>
          <t xml:space="preserve">Conforms</t>
        </is>
      </c>
      <c r="M184" s="15"/>
    </row>
    <row r="185">
      <c r="A185" s="15" t="inlineStr">
        <is>
          <t xml:space="preserve">1</t>
        </is>
      </c>
      <c r="B185" s="15" t="inlineStr">
        <is>
          <t xml:space="preserve">JD112501</t>
        </is>
      </c>
      <c r="C185" s="15" t="inlineStr">
        <is>
          <t xml:space="preserve">P060212</t>
        </is>
      </c>
      <c r="D185" s="15" t="inlineStr">
        <is>
          <t xml:space="preserve">Jelly Donuts</t>
        </is>
      </c>
      <c r="E185" s="15" t="inlineStr">
        <is>
          <t xml:space="preserve">2 Identification B — microscopy</t>
        </is>
      </c>
      <c r="F185" s="15" t="inlineStr">
        <is>
          <t xml:space="preserve">CITED</t>
        </is>
      </c>
      <c r="G185" s="15" t="inlineStr">
        <is>
          <t xml:space="preserve">iCoA-PP_26-054</t>
        </is>
      </c>
      <c r="H185" s="15" t="inlineStr">
        <is>
          <t xml:space="preserve">21.04.2026</t>
        </is>
      </c>
      <c r="I185" s="15" t="inlineStr">
        <is>
          <t xml:space="preserve">PP</t>
        </is>
      </c>
      <c r="J185" s="15" t="inlineStr">
        <is>
          <t xml:space="preserve">planned, NOT ISSUED (2026-05-15)</t>
        </is>
      </c>
      <c r="K185" s="15" t="inlineStr">
        <is>
          <t xml:space="preserve">YES — the certificate has not been issued</t>
        </is>
      </c>
      <c r="L185" s="15" t="inlineStr">
        <is>
          <t xml:space="preserve">Conforms</t>
        </is>
      </c>
      <c r="M185" s="15"/>
    </row>
    <row r="186">
      <c r="A186" s="15" t="inlineStr">
        <is>
          <t xml:space="preserve">1</t>
        </is>
      </c>
      <c r="B186" s="15" t="inlineStr">
        <is>
          <t xml:space="preserve">JD112501</t>
        </is>
      </c>
      <c r="C186" s="15" t="inlineStr">
        <is>
          <t xml:space="preserve">P060212</t>
        </is>
      </c>
      <c r="D186" s="15" t="inlineStr">
        <is>
          <t xml:space="preserve">Jelly Donuts</t>
        </is>
      </c>
      <c r="E186" s="15" t="inlineStr">
        <is>
          <t xml:space="preserve">3 Identification C — HPLC</t>
        </is>
      </c>
      <c r="F186" s="15" t="inlineStr">
        <is>
          <t xml:space="preserve">CITED</t>
        </is>
      </c>
      <c r="G186" s="15" t="inlineStr">
        <is>
          <t xml:space="preserve">ППК26063</t>
        </is>
      </c>
      <c r="H186" s="15" t="inlineStr">
        <is>
          <t xml:space="preserve">11.05.2026</t>
        </is>
      </c>
      <c r="I186" s="15" t="inlineStr">
        <is>
          <t xml:space="preserve">CNP</t>
        </is>
      </c>
      <c r="J186" s="15" t="inlineStr">
        <is>
          <t xml:space="preserve">in eCoA_DATABASE</t>
        </is>
      </c>
      <c r="K186" s="15"/>
      <c r="L186" s="15" t="inlineStr">
        <is>
          <t xml:space="preserve">identity by the HPLC cannabinoid profile on this certificate</t>
        </is>
      </c>
      <c r="M186" s="15" t="inlineStr">
        <is>
          <t xml:space="preserve">197-15-K/26; ППК26065</t>
        </is>
      </c>
    </row>
    <row r="187">
      <c r="A187" s="15" t="inlineStr">
        <is>
          <t xml:space="preserve">1</t>
        </is>
      </c>
      <c r="B187" s="15" t="inlineStr">
        <is>
          <t xml:space="preserve">JD112501</t>
        </is>
      </c>
      <c r="C187" s="15" t="inlineStr">
        <is>
          <t xml:space="preserve">P060212</t>
        </is>
      </c>
      <c r="D187" s="15" t="inlineStr">
        <is>
          <t xml:space="preserve">Jelly Donuts</t>
        </is>
      </c>
      <c r="E187" s="15" t="inlineStr">
        <is>
          <t xml:space="preserve">4 Assay — Total Δ⁹-THC</t>
        </is>
      </c>
      <c r="F187" s="15" t="inlineStr">
        <is>
          <t xml:space="preserve">CITED</t>
        </is>
      </c>
      <c r="G187" s="15" t="inlineStr">
        <is>
          <t xml:space="preserve">ППК26063</t>
        </is>
      </c>
      <c r="H187" s="15" t="inlineStr">
        <is>
          <t xml:space="preserve">11.05.2026</t>
        </is>
      </c>
      <c r="I187" s="15" t="inlineStr">
        <is>
          <t xml:space="preserve">CNP</t>
        </is>
      </c>
      <c r="J187" s="15" t="inlineStr">
        <is>
          <t xml:space="preserve">in eCoA_DATABASE</t>
        </is>
      </c>
      <c r="K187" s="15"/>
      <c r="L187" s="15" t="inlineStr">
        <is>
          <t xml:space="preserve">0.58 % %; 21.74 % %; 19.64 % %</t>
        </is>
      </c>
      <c r="M187" s="15" t="inlineStr">
        <is>
          <t xml:space="preserve">197-15-K/26; ППК26065</t>
        </is>
      </c>
    </row>
    <row r="188">
      <c r="A188" s="15" t="inlineStr">
        <is>
          <t xml:space="preserve">1</t>
        </is>
      </c>
      <c r="B188" s="15" t="inlineStr">
        <is>
          <t xml:space="preserve">JD112501</t>
        </is>
      </c>
      <c r="C188" s="15" t="inlineStr">
        <is>
          <t xml:space="preserve">P060212</t>
        </is>
      </c>
      <c r="D188" s="15" t="inlineStr">
        <is>
          <t xml:space="preserve">Jelly Donuts</t>
        </is>
      </c>
      <c r="E188" s="15" t="inlineStr">
        <is>
          <t xml:space="preserve">5 Assay — Total CBD</t>
        </is>
      </c>
      <c r="F188" s="15" t="inlineStr">
        <is>
          <t xml:space="preserve">CITED</t>
        </is>
      </c>
      <c r="G188" s="15" t="inlineStr">
        <is>
          <t xml:space="preserve">ППК26063</t>
        </is>
      </c>
      <c r="H188" s="15" t="inlineStr">
        <is>
          <t xml:space="preserve">11.05.2026</t>
        </is>
      </c>
      <c r="I188" s="15" t="inlineStr">
        <is>
          <t xml:space="preserve">CNP</t>
        </is>
      </c>
      <c r="J188" s="15" t="inlineStr">
        <is>
          <t xml:space="preserve">in eCoA_DATABASE</t>
        </is>
      </c>
      <c r="K188" s="15"/>
      <c r="L188" s="15" t="inlineStr">
        <is>
          <t xml:space="preserve">0.07 % %; BLQ %; 0.06 % %</t>
        </is>
      </c>
      <c r="M188" s="15" t="inlineStr">
        <is>
          <t xml:space="preserve">197-15-K/26; ППК26065</t>
        </is>
      </c>
    </row>
    <row r="189">
      <c r="A189" s="15" t="inlineStr">
        <is>
          <t xml:space="preserve">1</t>
        </is>
      </c>
      <c r="B189" s="15" t="inlineStr">
        <is>
          <t xml:space="preserve">JD112501</t>
        </is>
      </c>
      <c r="C189" s="15" t="inlineStr">
        <is>
          <t xml:space="preserve">P060212</t>
        </is>
      </c>
      <c r="D189" s="15" t="inlineStr">
        <is>
          <t xml:space="preserve">Jelly Donuts</t>
        </is>
      </c>
      <c r="E189" s="15" t="inlineStr">
        <is>
          <t xml:space="preserve">6 Total CBN</t>
        </is>
      </c>
      <c r="F189" s="15" t="inlineStr">
        <is>
          <t xml:space="preserve">CITED</t>
        </is>
      </c>
      <c r="G189" s="15" t="inlineStr">
        <is>
          <t xml:space="preserve">ППК26063</t>
        </is>
      </c>
      <c r="H189" s="15" t="inlineStr">
        <is>
          <t xml:space="preserve">11.05.2026</t>
        </is>
      </c>
      <c r="I189" s="15" t="inlineStr">
        <is>
          <t xml:space="preserve">CNP</t>
        </is>
      </c>
      <c r="J189" s="15" t="inlineStr">
        <is>
          <t xml:space="preserve">in eCoA_DATABASE</t>
        </is>
      </c>
      <c r="K189" s="15"/>
      <c r="L189" s="15" t="inlineStr">
        <is>
          <t xml:space="preserve">BLQ %</t>
        </is>
      </c>
      <c r="M189" s="15" t="inlineStr">
        <is>
          <t xml:space="preserve">197-15-K/26; ППК26065</t>
        </is>
      </c>
    </row>
    <row r="190">
      <c r="A190" s="15" t="inlineStr">
        <is>
          <t xml:space="preserve">1</t>
        </is>
      </c>
      <c r="B190" s="15" t="inlineStr">
        <is>
          <t xml:space="preserve">JD112501</t>
        </is>
      </c>
      <c r="C190" s="15" t="inlineStr">
        <is>
          <t xml:space="preserve">P060212</t>
        </is>
      </c>
      <c r="D190" s="15" t="inlineStr">
        <is>
          <t xml:space="preserve">Jelly Donuts</t>
        </is>
      </c>
      <c r="E190" s="15" t="inlineStr">
        <is>
          <t xml:space="preserve">7 Foreign matter</t>
        </is>
      </c>
      <c r="F190" s="15" t="inlineStr">
        <is>
          <t xml:space="preserve">CITED</t>
        </is>
      </c>
      <c r="G190" s="15" t="inlineStr">
        <is>
          <t xml:space="preserve">iCoA-PP_26-054</t>
        </is>
      </c>
      <c r="H190" s="15" t="inlineStr">
        <is>
          <t xml:space="preserve">21.04.2026</t>
        </is>
      </c>
      <c r="I190" s="15" t="inlineStr">
        <is>
          <t xml:space="preserve">PP</t>
        </is>
      </c>
      <c r="J190" s="15" t="inlineStr">
        <is>
          <t xml:space="preserve">planned, NOT ISSUED (2026-05-15)</t>
        </is>
      </c>
      <c r="K190" s="15" t="inlineStr">
        <is>
          <t xml:space="preserve">YES — the certificate has not been issued</t>
        </is>
      </c>
      <c r="L190" s="15" t="inlineStr">
        <is>
          <t xml:space="preserve">Conforms</t>
        </is>
      </c>
      <c r="M190" s="15"/>
    </row>
    <row r="191">
      <c r="A191" s="15" t="inlineStr">
        <is>
          <t xml:space="preserve">1</t>
        </is>
      </c>
      <c r="B191" s="15" t="inlineStr">
        <is>
          <t xml:space="preserve">JD112501</t>
        </is>
      </c>
      <c r="C191" s="15" t="inlineStr">
        <is>
          <t xml:space="preserve">P060212</t>
        </is>
      </c>
      <c r="D191" s="15" t="inlineStr">
        <is>
          <t xml:space="preserve">Jelly Donuts</t>
        </is>
      </c>
      <c r="E191" s="15" t="inlineStr">
        <is>
          <t xml:space="preserve">8 Loss on drying</t>
        </is>
      </c>
      <c r="F191" s="15" t="inlineStr">
        <is>
          <t xml:space="preserve">CITED</t>
        </is>
      </c>
      <c r="G191" s="15" t="inlineStr">
        <is>
          <t xml:space="preserve">ППК26063</t>
        </is>
      </c>
      <c r="H191" s="15" t="inlineStr">
        <is>
          <t xml:space="preserve">11.05.2026</t>
        </is>
      </c>
      <c r="I191" s="15" t="inlineStr">
        <is>
          <t xml:space="preserve">CNP</t>
        </is>
      </c>
      <c r="J191" s="15" t="inlineStr">
        <is>
          <t xml:space="preserve">in eCoA_DATABASE</t>
        </is>
      </c>
      <c r="K191" s="15"/>
      <c r="L191" s="15" t="inlineStr">
        <is>
          <t xml:space="preserve">6.69 % %</t>
        </is>
      </c>
      <c r="M191" s="15" t="inlineStr">
        <is>
          <t xml:space="preserve">ППК26065</t>
        </is>
      </c>
    </row>
    <row r="192">
      <c r="A192" s="15" t="inlineStr">
        <is>
          <t xml:space="preserve">1</t>
        </is>
      </c>
      <c r="B192" s="15" t="inlineStr">
        <is>
          <t xml:space="preserve">JD112501</t>
        </is>
      </c>
      <c r="C192" s="15" t="inlineStr">
        <is>
          <t xml:space="preserve">P060212</t>
        </is>
      </c>
      <c r="D192" s="15" t="inlineStr">
        <is>
          <t xml:space="preserve">Jelly Donuts</t>
        </is>
      </c>
      <c r="E192" s="15" t="inlineStr">
        <is>
          <t xml:space="preserve">9 Microbiological purity</t>
        </is>
      </c>
      <c r="F192" s="15" t="inlineStr">
        <is>
          <t xml:space="preserve">CITED</t>
        </is>
      </c>
      <c r="G192" s="15" t="inlineStr">
        <is>
          <t xml:space="preserve">306-0550-26</t>
        </is>
      </c>
      <c r="H192" s="15" t="inlineStr">
        <is>
          <t xml:space="preserve">28.04.2026</t>
        </is>
      </c>
      <c r="I192" s="15" t="inlineStr">
        <is>
          <t xml:space="preserve">IJZ-MB</t>
        </is>
      </c>
      <c r="J192" s="15" t="inlineStr">
        <is>
          <t xml:space="preserve">in eCoA_DATABASE</t>
        </is>
      </c>
      <c r="K192" s="15"/>
      <c r="L192" s="15" t="inlineStr">
        <is>
          <t xml:space="preserve">1 x 10⁴ CFU/g CFU/g; 6,7 x 10³ CFU/g CFU/g; &lt; 10³ и &gt;10² CFU/g CFU/g; Отсутна/g; Отсутна/25 g</t>
        </is>
      </c>
      <c r="M192" s="15" t="inlineStr">
        <is>
          <t xml:space="preserve">307/0551/26</t>
        </is>
      </c>
    </row>
    <row r="193">
      <c r="A193" s="15" t="inlineStr">
        <is>
          <t xml:space="preserve">1</t>
        </is>
      </c>
      <c r="B193" s="15" t="inlineStr">
        <is>
          <t xml:space="preserve">JD112501</t>
        </is>
      </c>
      <c r="C193" s="15" t="inlineStr">
        <is>
          <t xml:space="preserve">P060212</t>
        </is>
      </c>
      <c r="D193" s="15" t="inlineStr">
        <is>
          <t xml:space="preserve">Jelly Donuts</t>
        </is>
      </c>
      <c r="E193" s="15" t="inlineStr">
        <is>
          <t xml:space="preserve">10 Mycotoxins</t>
        </is>
      </c>
      <c r="F193" s="15" t="inlineStr">
        <is>
          <t xml:space="preserve">CITED</t>
        </is>
      </c>
      <c r="G193" s="15" t="inlineStr">
        <is>
          <t xml:space="preserve">2361-2026</t>
        </is>
      </c>
      <c r="H193" s="15" t="inlineStr">
        <is>
          <t xml:space="preserve">30.04.2026</t>
        </is>
      </c>
      <c r="I193" s="15" t="inlineStr">
        <is>
          <t xml:space="preserve">IJZ</t>
        </is>
      </c>
      <c r="J193" s="15" t="inlineStr">
        <is>
          <t xml:space="preserve">in eCoA_DATABASE</t>
        </is>
      </c>
      <c r="K193" s="15"/>
      <c r="L193" s="15" t="inlineStr">
        <is>
          <t xml:space="preserve">&lt; 2 µg/kg</t>
        </is>
      </c>
      <c r="M193" s="15" t="inlineStr">
        <is>
          <t xml:space="preserve">197-15-M/26; 2365/2026</t>
        </is>
      </c>
    </row>
    <row r="194">
      <c r="A194" s="15" t="inlineStr">
        <is>
          <t xml:space="preserve">1</t>
        </is>
      </c>
      <c r="B194" s="15" t="inlineStr">
        <is>
          <t xml:space="preserve">JD112501</t>
        </is>
      </c>
      <c r="C194" s="15" t="inlineStr">
        <is>
          <t xml:space="preserve">P060212</t>
        </is>
      </c>
      <c r="D194" s="15" t="inlineStr">
        <is>
          <t xml:space="preserve">Jelly Donuts</t>
        </is>
      </c>
      <c r="E194" s="15" t="inlineStr">
        <is>
          <t xml:space="preserve">11 Heavy metals</t>
        </is>
      </c>
      <c r="F194" s="15" t="inlineStr">
        <is>
          <t xml:space="preserve">CITED</t>
        </is>
      </c>
      <c r="G194" s="15" t="inlineStr">
        <is>
          <t xml:space="preserve">2361-2026</t>
        </is>
      </c>
      <c r="H194" s="15" t="inlineStr">
        <is>
          <t xml:space="preserve">30.04.2026</t>
        </is>
      </c>
      <c r="I194" s="15" t="inlineStr">
        <is>
          <t xml:space="preserve">IJZ</t>
        </is>
      </c>
      <c r="J194" s="15" t="inlineStr">
        <is>
          <t xml:space="preserve">in eCoA_DATABASE</t>
        </is>
      </c>
      <c r="K194" s="15"/>
      <c r="L194" s="15" t="inlineStr">
        <is>
          <t xml:space="preserve">0,022 mg/kg; 0,0149 mg/kg(l); 0,02 mg/kg(l); 0,0166 mg/kg(l)</t>
        </is>
      </c>
      <c r="M194" s="15" t="inlineStr">
        <is>
          <t xml:space="preserve">2365/2026</t>
        </is>
      </c>
    </row>
    <row r="195">
      <c r="A195" s="15" t="inlineStr">
        <is>
          <t xml:space="preserve">1</t>
        </is>
      </c>
      <c r="B195" s="15" t="inlineStr">
        <is>
          <t xml:space="preserve">JD112501</t>
        </is>
      </c>
      <c r="C195" s="15" t="inlineStr">
        <is>
          <t xml:space="preserve">P060212</t>
        </is>
      </c>
      <c r="D195" s="15" t="inlineStr">
        <is>
          <t xml:space="preserve">Jelly Donuts</t>
        </is>
      </c>
      <c r="E195" s="15" t="inlineStr">
        <is>
          <t xml:space="preserve">12 Pesticide residues</t>
        </is>
      </c>
      <c r="F195" s="15" t="inlineStr">
        <is>
          <t xml:space="preserve">CITED</t>
        </is>
      </c>
      <c r="G195" s="15" t="inlineStr">
        <is>
          <t xml:space="preserve">2361-2026</t>
        </is>
      </c>
      <c r="H195" s="15" t="inlineStr">
        <is>
          <t xml:space="preserve">30.04.2026</t>
        </is>
      </c>
      <c r="I195" s="15" t="inlineStr">
        <is>
          <t xml:space="preserve">IJZ</t>
        </is>
      </c>
      <c r="J195" s="15" t="inlineStr">
        <is>
          <t xml:space="preserve">in eCoA_DATABASE</t>
        </is>
      </c>
      <c r="K195" s="15"/>
      <c r="L195" s="15" t="inlineStr">
        <is>
          <t xml:space="preserve">н.д. mg/kg; н.д. mg/kg; н.д. mg/kg; н.д. mg/kg; н.д. mg/kg; н.д. mg/kg; н.д. mg/kg; н.д. mg/kg; н.д. mg/kg; н.д. mg/kg; н.д. mg/kg; н.д. mg/kg; н.д. mg/kg; н.д. mg/Kg; н.д. mg/kg; н.д. mg/kg; н.д. mg/kg; н.д. mg/kg; н.д. mg/kg; н.д. mg/kg; н.д. mg/kg; н.д. mg/kg; н.д. mg/kg; н.д. mg/kg; н.д. mg/kg; </t>
        </is>
      </c>
      <c r="M195" s="15" t="inlineStr">
        <is>
          <t xml:space="preserve">2365/2026</t>
        </is>
      </c>
    </row>
    <row r="196">
      <c r="A196" s="15" t="inlineStr">
        <is>
          <t xml:space="preserve">1</t>
        </is>
      </c>
      <c r="B196" s="15" t="inlineStr">
        <is>
          <t xml:space="preserve">OPM1024</t>
        </is>
      </c>
      <c r="C196" s="15" t="inlineStr">
        <is>
          <t xml:space="preserve">—</t>
        </is>
      </c>
      <c r="D196" s="15" t="inlineStr">
        <is>
          <t xml:space="preserve">Orange Punch Mimosa</t>
        </is>
      </c>
      <c r="E196" s="15" t="inlineStr">
        <is>
          <t xml:space="preserve">1 Identification A — appearance</t>
        </is>
      </c>
      <c r="F196" s="15" t="inlineStr">
        <is>
          <t xml:space="preserve">CITED</t>
        </is>
      </c>
      <c r="G196" s="15" t="inlineStr">
        <is>
          <t xml:space="preserve">NO-DOC-CODE (Report of Analysis)</t>
        </is>
      </c>
      <c r="H196" s="15" t="inlineStr">
        <is>
          <t xml:space="preserve">23.04.2025</t>
        </is>
      </c>
      <c r="I196" s="15" t="inlineStr">
        <is>
          <t xml:space="preserve">PP</t>
        </is>
      </c>
      <c r="J196" s="15" t="inlineStr">
        <is>
          <t xml:space="preserve">in eCoA_DATABASE/_IN-HOUSE_PP</t>
        </is>
      </c>
      <c r="K196" s="15"/>
      <c r="L196" s="15" t="inlineStr">
        <is>
          <t xml:space="preserve">Confirms</t>
        </is>
      </c>
      <c r="M196" s="15"/>
    </row>
    <row r="197">
      <c r="A197" s="15" t="inlineStr">
        <is>
          <t xml:space="preserve">1</t>
        </is>
      </c>
      <c r="B197" s="15" t="inlineStr">
        <is>
          <t xml:space="preserve">OPM1024</t>
        </is>
      </c>
      <c r="C197" s="15" t="inlineStr">
        <is>
          <t xml:space="preserve">—</t>
        </is>
      </c>
      <c r="D197" s="15" t="inlineStr">
        <is>
          <t xml:space="preserve">Orange Punch Mimosa</t>
        </is>
      </c>
      <c r="E197" s="15" t="inlineStr">
        <is>
          <t xml:space="preserve">2 Identification B — microscopy</t>
        </is>
      </c>
      <c r="F197" s="15" t="inlineStr">
        <is>
          <t xml:space="preserve">CITED</t>
        </is>
      </c>
      <c r="G197" s="15" t="inlineStr">
        <is>
          <t xml:space="preserve">iCoA-PP_26-006</t>
        </is>
      </c>
      <c r="H197" s="15" t="inlineStr">
        <is>
          <t xml:space="preserve">24.04.2025</t>
        </is>
      </c>
      <c r="I197" s="15" t="inlineStr">
        <is>
          <t xml:space="preserve">PP</t>
        </is>
      </c>
      <c r="J197" s="15" t="inlineStr">
        <is>
          <t xml:space="preserve">planned, NOT ISSUED (2026-05-15)</t>
        </is>
      </c>
      <c r="K197" s="15" t="inlineStr">
        <is>
          <t xml:space="preserve">YES — the certificate has not been issued</t>
        </is>
      </c>
      <c r="L197" s="15" t="inlineStr">
        <is>
          <t xml:space="preserve">Conforms</t>
        </is>
      </c>
      <c r="M197" s="15"/>
    </row>
    <row r="198">
      <c r="A198" s="15" t="inlineStr">
        <is>
          <t xml:space="preserve">1</t>
        </is>
      </c>
      <c r="B198" s="15" t="inlineStr">
        <is>
          <t xml:space="preserve">OPM1024</t>
        </is>
      </c>
      <c r="C198" s="15" t="inlineStr">
        <is>
          <t xml:space="preserve">—</t>
        </is>
      </c>
      <c r="D198" s="15" t="inlineStr">
        <is>
          <t xml:space="preserve">Orange Punch Mimosa</t>
        </is>
      </c>
      <c r="E198" s="15" t="inlineStr">
        <is>
          <t xml:space="preserve">3 Identification C — HPLC</t>
        </is>
      </c>
      <c r="F198" s="15" t="inlineStr">
        <is>
          <t xml:space="preserve">CITED</t>
        </is>
      </c>
      <c r="G198" s="15" t="inlineStr">
        <is>
          <t xml:space="preserve">197-17-K-26</t>
        </is>
      </c>
      <c r="H198" s="15" t="inlineStr">
        <is>
          <t xml:space="preserve">07.08.2026</t>
        </is>
      </c>
      <c r="I198" s="15" t="inlineStr">
        <is>
          <t xml:space="preserve">FHM-K</t>
        </is>
      </c>
      <c r="J198" s="15" t="inlineStr">
        <is>
          <t xml:space="preserve">in eCoA_DATABASE</t>
        </is>
      </c>
      <c r="K198" s="15"/>
      <c r="L198" s="15" t="inlineStr">
        <is>
          <t xml:space="preserve">identity by the HPLC cannabinoid profile on this certificate</t>
        </is>
      </c>
      <c r="M198" s="15"/>
    </row>
    <row r="199">
      <c r="A199" s="15" t="inlineStr">
        <is>
          <t xml:space="preserve">1</t>
        </is>
      </c>
      <c r="B199" s="15" t="inlineStr">
        <is>
          <t xml:space="preserve">OPM1024</t>
        </is>
      </c>
      <c r="C199" s="15" t="inlineStr">
        <is>
          <t xml:space="preserve">—</t>
        </is>
      </c>
      <c r="D199" s="15" t="inlineStr">
        <is>
          <t xml:space="preserve">Orange Punch Mimosa</t>
        </is>
      </c>
      <c r="E199" s="15" t="inlineStr">
        <is>
          <t xml:space="preserve">4 Assay — Total Δ⁹-THC</t>
        </is>
      </c>
      <c r="F199" s="15" t="inlineStr">
        <is>
          <t xml:space="preserve">CITED</t>
        </is>
      </c>
      <c r="G199" s="15" t="inlineStr">
        <is>
          <t xml:space="preserve">197-17-K-26</t>
        </is>
      </c>
      <c r="H199" s="15" t="inlineStr">
        <is>
          <t xml:space="preserve">07.08.2026</t>
        </is>
      </c>
      <c r="I199" s="15" t="inlineStr">
        <is>
          <t xml:space="preserve">FHM-K</t>
        </is>
      </c>
      <c r="J199" s="15" t="inlineStr">
        <is>
          <t xml:space="preserve">in eCoA_DATABASE</t>
        </is>
      </c>
      <c r="K199" s="15"/>
      <c r="L199" s="15" t="inlineStr">
        <is>
          <t xml:space="preserve">20.03 %w/w</t>
        </is>
      </c>
      <c r="M199" s="15"/>
    </row>
    <row r="200">
      <c r="A200" s="15" t="inlineStr">
        <is>
          <t xml:space="preserve">1</t>
        </is>
      </c>
      <c r="B200" s="15" t="inlineStr">
        <is>
          <t xml:space="preserve">OPM1024</t>
        </is>
      </c>
      <c r="C200" s="15" t="inlineStr">
        <is>
          <t xml:space="preserve">—</t>
        </is>
      </c>
      <c r="D200" s="15" t="inlineStr">
        <is>
          <t xml:space="preserve">Orange Punch Mimosa</t>
        </is>
      </c>
      <c r="E200" s="15" t="inlineStr">
        <is>
          <t xml:space="preserve">5 Assay — Total CBD</t>
        </is>
      </c>
      <c r="F200" s="15" t="inlineStr">
        <is>
          <t xml:space="preserve">CITED</t>
        </is>
      </c>
      <c r="G200" s="15" t="inlineStr">
        <is>
          <t xml:space="preserve">197-17-K-26</t>
        </is>
      </c>
      <c r="H200" s="15" t="inlineStr">
        <is>
          <t xml:space="preserve">07.08.2026</t>
        </is>
      </c>
      <c r="I200" s="15" t="inlineStr">
        <is>
          <t xml:space="preserve">FHM-K</t>
        </is>
      </c>
      <c r="J200" s="15" t="inlineStr">
        <is>
          <t xml:space="preserve">in eCoA_DATABASE</t>
        </is>
      </c>
      <c r="K200" s="15"/>
      <c r="L200" s="15" t="inlineStr">
        <is>
          <t xml:space="preserve">&lt; LOQ %w/w</t>
        </is>
      </c>
      <c r="M200" s="15"/>
    </row>
    <row r="201">
      <c r="A201" s="15" t="inlineStr">
        <is>
          <t xml:space="preserve">1</t>
        </is>
      </c>
      <c r="B201" s="15" t="inlineStr">
        <is>
          <t xml:space="preserve">OPM1024</t>
        </is>
      </c>
      <c r="C201" s="15" t="inlineStr">
        <is>
          <t xml:space="preserve">—</t>
        </is>
      </c>
      <c r="D201" s="15" t="inlineStr">
        <is>
          <t xml:space="preserve">Orange Punch Mimosa</t>
        </is>
      </c>
      <c r="E201" s="15" t="inlineStr">
        <is>
          <t xml:space="preserve">6 Total CBN</t>
        </is>
      </c>
      <c r="F201" s="15" t="inlineStr">
        <is>
          <t xml:space="preserve">CITED</t>
        </is>
      </c>
      <c r="G201" s="15" t="inlineStr">
        <is>
          <t xml:space="preserve">197-17-K-26</t>
        </is>
      </c>
      <c r="H201" s="15" t="inlineStr">
        <is>
          <t xml:space="preserve">07.08.2026</t>
        </is>
      </c>
      <c r="I201" s="15" t="inlineStr">
        <is>
          <t xml:space="preserve">FHM-K</t>
        </is>
      </c>
      <c r="J201" s="15" t="inlineStr">
        <is>
          <t xml:space="preserve">in eCoA_DATABASE</t>
        </is>
      </c>
      <c r="K201" s="15"/>
      <c r="L201" s="15" t="inlineStr">
        <is>
          <t xml:space="preserve">&lt; LOQ %w/w</t>
        </is>
      </c>
      <c r="M201" s="15"/>
    </row>
    <row r="202">
      <c r="A202" s="15" t="inlineStr">
        <is>
          <t xml:space="preserve">1</t>
        </is>
      </c>
      <c r="B202" s="15" t="inlineStr">
        <is>
          <t xml:space="preserve">OPM1024</t>
        </is>
      </c>
      <c r="C202" s="15" t="inlineStr">
        <is>
          <t xml:space="preserve">—</t>
        </is>
      </c>
      <c r="D202" s="15" t="inlineStr">
        <is>
          <t xml:space="preserve">Orange Punch Mimosa</t>
        </is>
      </c>
      <c r="E202" s="15" t="inlineStr">
        <is>
          <t xml:space="preserve">7 Foreign matter</t>
        </is>
      </c>
      <c r="F202" s="15" t="inlineStr">
        <is>
          <t xml:space="preserve">CITED</t>
        </is>
      </c>
      <c r="G202" s="15" t="inlineStr">
        <is>
          <t xml:space="preserve">NO-DOC-CODE (Report of Analysis)</t>
        </is>
      </c>
      <c r="H202" s="15" t="inlineStr">
        <is>
          <t xml:space="preserve">23.04.2025</t>
        </is>
      </c>
      <c r="I202" s="15" t="inlineStr">
        <is>
          <t xml:space="preserve">PP</t>
        </is>
      </c>
      <c r="J202" s="15" t="inlineStr">
        <is>
          <t xml:space="preserve">in eCoA_DATABASE/_IN-HOUSE_PP</t>
        </is>
      </c>
      <c r="K202" s="15"/>
      <c r="L202" s="15" t="inlineStr">
        <is>
          <t xml:space="preserve">Confirms</t>
        </is>
      </c>
      <c r="M202" s="15"/>
    </row>
    <row r="203">
      <c r="A203" s="15" t="inlineStr">
        <is>
          <t xml:space="preserve">1</t>
        </is>
      </c>
      <c r="B203" s="15" t="inlineStr">
        <is>
          <t xml:space="preserve">OPM1024</t>
        </is>
      </c>
      <c r="C203" s="15" t="inlineStr">
        <is>
          <t xml:space="preserve">—</t>
        </is>
      </c>
      <c r="D203" s="15" t="inlineStr">
        <is>
          <t xml:space="preserve">Orange Punch Mimosa</t>
        </is>
      </c>
      <c r="E203" s="15" t="inlineStr">
        <is>
          <t xml:space="preserve">8 Loss on drying</t>
        </is>
      </c>
      <c r="F203" s="15" t="inlineStr">
        <is>
          <t xml:space="preserve">ON FILE, NOT READ</t>
        </is>
      </c>
      <c r="G203" s="15" t="inlineStr">
        <is>
          <t xml:space="preserve">—</t>
        </is>
      </c>
      <c r="H203" s="15" t="inlineStr">
        <is>
          <t xml:space="preserve">—</t>
        </is>
      </c>
      <c r="I203" s="15" t="inlineStr">
        <is>
          <t xml:space="preserve">—</t>
        </is>
      </c>
      <c r="J203" s="15" t="inlineStr">
        <is>
          <t xml:space="preserve">in eCoA_DATABASE/_IN-HOUSE_PP</t>
        </is>
      </c>
      <c r="K203" s="15"/>
      <c r="L203" s="15" t="inlineStr">
        <is>
          <t xml:space="preserve">—</t>
        </is>
      </c>
      <c r="M203" s="15"/>
    </row>
    <row r="204">
      <c r="A204" s="15" t="inlineStr">
        <is>
          <t xml:space="preserve">1</t>
        </is>
      </c>
      <c r="B204" s="15" t="inlineStr">
        <is>
          <t xml:space="preserve">OPM1024</t>
        </is>
      </c>
      <c r="C204" s="15" t="inlineStr">
        <is>
          <t xml:space="preserve">—</t>
        </is>
      </c>
      <c r="D204" s="15" t="inlineStr">
        <is>
          <t xml:space="preserve">Orange Punch Mimosa</t>
        </is>
      </c>
      <c r="E204" s="15" t="inlineStr">
        <is>
          <t xml:space="preserve">9 Microbiological purity</t>
        </is>
      </c>
      <c r="F204" s="15" t="inlineStr">
        <is>
          <t xml:space="preserve">READ IN THIS PASS</t>
        </is>
      </c>
      <c r="G204" s="15" t="inlineStr">
        <is>
          <t xml:space="preserve">NO-DOC-CODE (Report of Analysis)</t>
        </is>
      </c>
      <c r="H204" s="15" t="inlineStr">
        <is>
          <t xml:space="preserve">—</t>
        </is>
      </c>
      <c r="I204" s="15" t="inlineStr">
        <is>
          <t xml:space="preserve">PP</t>
        </is>
      </c>
      <c r="J204" s="15" t="inlineStr">
        <is>
          <t xml:space="preserve">in eCoA_DATABASE/_IN-HOUSE_PP</t>
        </is>
      </c>
      <c r="K204" s="15"/>
      <c r="L204" s="15" t="inlineStr">
        <is>
          <t xml:space="preserve">1.3·10⁴ CFU/g CFU/g; 7·10² CFU/g CFU/g; &lt;10²&gt;10³CFU/g CFU/g; Absent; Absent</t>
        </is>
      </c>
      <c r="M204" s="15"/>
    </row>
    <row r="205">
      <c r="A205" s="15" t="inlineStr">
        <is>
          <t xml:space="preserve">1</t>
        </is>
      </c>
      <c r="B205" s="15" t="inlineStr">
        <is>
          <t xml:space="preserve">OPM1024</t>
        </is>
      </c>
      <c r="C205" s="15" t="inlineStr">
        <is>
          <t xml:space="preserve">—</t>
        </is>
      </c>
      <c r="D205" s="15" t="inlineStr">
        <is>
          <t xml:space="preserve">Orange Punch Mimosa</t>
        </is>
      </c>
      <c r="E205" s="15" t="inlineStr">
        <is>
          <t xml:space="preserve">10 Mycotoxins</t>
        </is>
      </c>
      <c r="F205" s="15" t="inlineStr">
        <is>
          <t xml:space="preserve">CITED</t>
        </is>
      </c>
      <c r="G205" s="15" t="inlineStr">
        <is>
          <t xml:space="preserve">197-17-M-26</t>
        </is>
      </c>
      <c r="H205" s="15" t="inlineStr">
        <is>
          <t xml:space="preserve">10.08.2026</t>
        </is>
      </c>
      <c r="I205" s="15" t="inlineStr">
        <is>
          <t xml:space="preserve">FHM-M</t>
        </is>
      </c>
      <c r="J205" s="15" t="inlineStr">
        <is>
          <t xml:space="preserve">in eCoA_DATABASE</t>
        </is>
      </c>
      <c r="K205" s="15"/>
      <c r="L205" s="15" t="inlineStr">
        <is>
          <t xml:space="preserve">ND µg/kg; ND µg/kg; ND µg/kg; ND µg/kg; ND µg/kg</t>
        </is>
      </c>
      <c r="M205" s="15"/>
    </row>
    <row r="206">
      <c r="A206" s="15" t="inlineStr">
        <is>
          <t xml:space="preserve">1</t>
        </is>
      </c>
      <c r="B206" s="15" t="inlineStr">
        <is>
          <t xml:space="preserve">OPM1024</t>
        </is>
      </c>
      <c r="C206" s="15" t="inlineStr">
        <is>
          <t xml:space="preserve">—</t>
        </is>
      </c>
      <c r="D206" s="15" t="inlineStr">
        <is>
          <t xml:space="preserve">Orange Punch Mimosa</t>
        </is>
      </c>
      <c r="E206" s="15" t="inlineStr">
        <is>
          <t xml:space="preserve">11 Heavy metals</t>
        </is>
      </c>
      <c r="F206" s="15" t="inlineStr">
        <is>
          <t xml:space="preserve">READ IN THIS PASS</t>
        </is>
      </c>
      <c r="G206" s="15" t="inlineStr">
        <is>
          <t xml:space="preserve">NO-DOC-CODE (Report of Analysis)</t>
        </is>
      </c>
      <c r="H206" s="15" t="inlineStr">
        <is>
          <t xml:space="preserve">—</t>
        </is>
      </c>
      <c r="I206" s="15" t="inlineStr">
        <is>
          <t xml:space="preserve">PP</t>
        </is>
      </c>
      <c r="J206" s="15" t="inlineStr">
        <is>
          <t xml:space="preserve">in eCoA_DATABASE/_IN-HOUSE_PP</t>
        </is>
      </c>
      <c r="K206" s="15"/>
      <c r="L206" s="15" t="inlineStr">
        <is>
          <t xml:space="preserve">0.017 mg/kg mg/kg; 0.031 mg/kg mg/kg; 0.005 mg/kg mg/kg; 0.045 mg/kg mg/kg</t>
        </is>
      </c>
      <c r="M206" s="15"/>
    </row>
    <row r="207">
      <c r="A207" s="15" t="inlineStr">
        <is>
          <t xml:space="preserve">1</t>
        </is>
      </c>
      <c r="B207" s="15" t="inlineStr">
        <is>
          <t xml:space="preserve">OPM1024</t>
        </is>
      </c>
      <c r="C207" s="15" t="inlineStr">
        <is>
          <t xml:space="preserve">—</t>
        </is>
      </c>
      <c r="D207" s="15" t="inlineStr">
        <is>
          <t xml:space="preserve">Orange Punch Mimosa</t>
        </is>
      </c>
      <c r="E207" s="15" t="inlineStr">
        <is>
          <t xml:space="preserve">12 Pesticide residues</t>
        </is>
      </c>
      <c r="F207" s="15" t="inlineStr">
        <is>
          <t xml:space="preserve">READ IN THIS PASS</t>
        </is>
      </c>
      <c r="G207" s="15" t="inlineStr">
        <is>
          <t xml:space="preserve">NO-DOC-CODE (Report of Analysis)</t>
        </is>
      </c>
      <c r="H207" s="15" t="inlineStr">
        <is>
          <t xml:space="preserve">—</t>
        </is>
      </c>
      <c r="I207" s="15" t="inlineStr">
        <is>
          <t xml:space="preserve">PP</t>
        </is>
      </c>
      <c r="J207" s="15" t="inlineStr">
        <is>
          <t xml:space="preserve">in eCoA_DATABASE/_IN-HOUSE_PP</t>
        </is>
      </c>
      <c r="K207" s="15"/>
      <c r="L207" s="15" t="inlineStr">
        <is>
          <t xml:space="preserve">N.D. mg/kg; N.D. mg/kg; N.D. mg/kg; N.D. mg/kg; N.D. mg/kg; N.D. mg/kg; N.D. mg/kg; N.D. mg/kg; N.D. mg/kg; N.D. mg/kg; N.D. mg/kg; N.D. mg/kg; N.D. mg/kg</t>
        </is>
      </c>
      <c r="M207" s="15"/>
    </row>
    <row r="208">
      <c r="A208" s="15" t="inlineStr">
        <is>
          <t xml:space="preserve">1</t>
        </is>
      </c>
      <c r="B208" s="15" t="inlineStr">
        <is>
          <t xml:space="preserve">OPM1024_02</t>
        </is>
      </c>
      <c r="C208" s="15" t="inlineStr">
        <is>
          <t xml:space="preserve">P050062</t>
        </is>
      </c>
      <c r="D208" s="15" t="inlineStr">
        <is>
          <t xml:space="preserve">Orange Punch Mimosa</t>
        </is>
      </c>
      <c r="E208" s="15" t="inlineStr">
        <is>
          <t xml:space="preserve">1 Identification A — appearance</t>
        </is>
      </c>
      <c r="F208" s="15" t="inlineStr">
        <is>
          <t xml:space="preserve">CITED</t>
        </is>
      </c>
      <c r="G208" s="15" t="inlineStr">
        <is>
          <t xml:space="preserve">iCoA-PP_26-012</t>
        </is>
      </c>
      <c r="H208" s="15" t="inlineStr">
        <is>
          <t xml:space="preserve">04.07.2025</t>
        </is>
      </c>
      <c r="I208" s="15" t="inlineStr">
        <is>
          <t xml:space="preserve">PP</t>
        </is>
      </c>
      <c r="J208" s="15" t="inlineStr">
        <is>
          <t xml:space="preserve">planned, NOT ISSUED (2026-05-15)</t>
        </is>
      </c>
      <c r="K208" s="15" t="inlineStr">
        <is>
          <t xml:space="preserve">YES — the certificate has not been issued</t>
        </is>
      </c>
      <c r="L208" s="15" t="inlineStr">
        <is>
          <t xml:space="preserve">Conforms</t>
        </is>
      </c>
      <c r="M208" s="15"/>
    </row>
    <row r="209">
      <c r="A209" s="15" t="inlineStr">
        <is>
          <t xml:space="preserve">1</t>
        </is>
      </c>
      <c r="B209" s="15" t="inlineStr">
        <is>
          <t xml:space="preserve">OPM1024_02</t>
        </is>
      </c>
      <c r="C209" s="15" t="inlineStr">
        <is>
          <t xml:space="preserve">P050062</t>
        </is>
      </c>
      <c r="D209" s="15" t="inlineStr">
        <is>
          <t xml:space="preserve">Orange Punch Mimosa</t>
        </is>
      </c>
      <c r="E209" s="15" t="inlineStr">
        <is>
          <t xml:space="preserve">2 Identification B — microscopy</t>
        </is>
      </c>
      <c r="F209" s="15" t="inlineStr">
        <is>
          <t xml:space="preserve">CITED</t>
        </is>
      </c>
      <c r="G209" s="15" t="inlineStr">
        <is>
          <t xml:space="preserve">iCoA-PP_26-012</t>
        </is>
      </c>
      <c r="H209" s="15" t="inlineStr">
        <is>
          <t xml:space="preserve">04.07.2025</t>
        </is>
      </c>
      <c r="I209" s="15" t="inlineStr">
        <is>
          <t xml:space="preserve">PP</t>
        </is>
      </c>
      <c r="J209" s="15" t="inlineStr">
        <is>
          <t xml:space="preserve">planned, NOT ISSUED (2026-05-15)</t>
        </is>
      </c>
      <c r="K209" s="15" t="inlineStr">
        <is>
          <t xml:space="preserve">YES — the certificate has not been issued</t>
        </is>
      </c>
      <c r="L209" s="15" t="inlineStr">
        <is>
          <t xml:space="preserve">Conforms</t>
        </is>
      </c>
      <c r="M209" s="15"/>
    </row>
    <row r="210">
      <c r="A210" s="15" t="inlineStr">
        <is>
          <t xml:space="preserve">1</t>
        </is>
      </c>
      <c r="B210" s="15" t="inlineStr">
        <is>
          <t xml:space="preserve">OPM1024_02</t>
        </is>
      </c>
      <c r="C210" s="15" t="inlineStr">
        <is>
          <t xml:space="preserve">P050062</t>
        </is>
      </c>
      <c r="D210" s="15" t="inlineStr">
        <is>
          <t xml:space="preserve">Orange Punch Mimosa</t>
        </is>
      </c>
      <c r="E210" s="15" t="inlineStr">
        <is>
          <t xml:space="preserve">3 Identification C — HPLC</t>
        </is>
      </c>
      <c r="F210" s="15" t="inlineStr">
        <is>
          <t xml:space="preserve">CITED</t>
        </is>
      </c>
      <c r="G210" s="15" t="inlineStr">
        <is>
          <t xml:space="preserve">ППК25154</t>
        </is>
      </c>
      <c r="H210" s="15" t="inlineStr">
        <is>
          <t xml:space="preserve">24.06.2025</t>
        </is>
      </c>
      <c r="I210" s="15" t="inlineStr">
        <is>
          <t xml:space="preserve">CNP</t>
        </is>
      </c>
      <c r="J210" s="15" t="inlineStr">
        <is>
          <t xml:space="preserve">in eCoA_DATABASE</t>
        </is>
      </c>
      <c r="K210" s="15"/>
      <c r="L210" s="15" t="inlineStr">
        <is>
          <t xml:space="preserve">Conforms (ImB spec.)</t>
        </is>
      </c>
      <c r="M210" s="15" t="inlineStr">
        <is>
          <t xml:space="preserve">197-18-K/26</t>
        </is>
      </c>
    </row>
    <row r="211">
      <c r="A211" s="15" t="inlineStr">
        <is>
          <t xml:space="preserve">1</t>
        </is>
      </c>
      <c r="B211" s="15" t="inlineStr">
        <is>
          <t xml:space="preserve">OPM1024_02</t>
        </is>
      </c>
      <c r="C211" s="15" t="inlineStr">
        <is>
          <t xml:space="preserve">P050062</t>
        </is>
      </c>
      <c r="D211" s="15" t="inlineStr">
        <is>
          <t xml:space="preserve">Orange Punch Mimosa</t>
        </is>
      </c>
      <c r="E211" s="15" t="inlineStr">
        <is>
          <t xml:space="preserve">4 Assay — Total Δ⁹-THC</t>
        </is>
      </c>
      <c r="F211" s="15" t="inlineStr">
        <is>
          <t xml:space="preserve">CITED</t>
        </is>
      </c>
      <c r="G211" s="15" t="inlineStr">
        <is>
          <t xml:space="preserve">ППК25154</t>
        </is>
      </c>
      <c r="H211" s="15" t="inlineStr">
        <is>
          <t xml:space="preserve">24.06.2025</t>
        </is>
      </c>
      <c r="I211" s="15" t="inlineStr">
        <is>
          <t xml:space="preserve">CNP</t>
        </is>
      </c>
      <c r="J211" s="15" t="inlineStr">
        <is>
          <t xml:space="preserve">in eCoA_DATABASE</t>
        </is>
      </c>
      <c r="K211" s="15"/>
      <c r="L211" s="15" t="inlineStr">
        <is>
          <t xml:space="preserve">18.27</t>
        </is>
      </c>
      <c r="M211" s="15" t="inlineStr">
        <is>
          <t xml:space="preserve">197-18-K/26</t>
        </is>
      </c>
    </row>
    <row r="212">
      <c r="A212" s="15" t="inlineStr">
        <is>
          <t xml:space="preserve">1</t>
        </is>
      </c>
      <c r="B212" s="15" t="inlineStr">
        <is>
          <t xml:space="preserve">OPM1024_02</t>
        </is>
      </c>
      <c r="C212" s="15" t="inlineStr">
        <is>
          <t xml:space="preserve">P050062</t>
        </is>
      </c>
      <c r="D212" s="15" t="inlineStr">
        <is>
          <t xml:space="preserve">Orange Punch Mimosa</t>
        </is>
      </c>
      <c r="E212" s="15" t="inlineStr">
        <is>
          <t xml:space="preserve">5 Assay — Total CBD</t>
        </is>
      </c>
      <c r="F212" s="15" t="inlineStr">
        <is>
          <t xml:space="preserve">CITED</t>
        </is>
      </c>
      <c r="G212" s="15" t="inlineStr">
        <is>
          <t xml:space="preserve">ППК25154</t>
        </is>
      </c>
      <c r="H212" s="15" t="inlineStr">
        <is>
          <t xml:space="preserve">24.06.2025</t>
        </is>
      </c>
      <c r="I212" s="15" t="inlineStr">
        <is>
          <t xml:space="preserve">CNP</t>
        </is>
      </c>
      <c r="J212" s="15" t="inlineStr">
        <is>
          <t xml:space="preserve">in eCoA_DATABASE</t>
        </is>
      </c>
      <c r="K212" s="15"/>
      <c r="L212" s="15" t="inlineStr">
        <is>
          <t xml:space="preserve">0.05</t>
        </is>
      </c>
      <c r="M212" s="15" t="inlineStr">
        <is>
          <t xml:space="preserve">197-18-K/26</t>
        </is>
      </c>
    </row>
    <row r="213">
      <c r="A213" s="15" t="inlineStr">
        <is>
          <t xml:space="preserve">1</t>
        </is>
      </c>
      <c r="B213" s="15" t="inlineStr">
        <is>
          <t xml:space="preserve">OPM1024_02</t>
        </is>
      </c>
      <c r="C213" s="15" t="inlineStr">
        <is>
          <t xml:space="preserve">P050062</t>
        </is>
      </c>
      <c r="D213" s="15" t="inlineStr">
        <is>
          <t xml:space="preserve">Orange Punch Mimosa</t>
        </is>
      </c>
      <c r="E213" s="15" t="inlineStr">
        <is>
          <t xml:space="preserve">6 Total CBN</t>
        </is>
      </c>
      <c r="F213" s="15" t="inlineStr">
        <is>
          <t xml:space="preserve">CITED</t>
        </is>
      </c>
      <c r="G213" s="15" t="inlineStr">
        <is>
          <t xml:space="preserve">ППК25154</t>
        </is>
      </c>
      <c r="H213" s="15" t="inlineStr">
        <is>
          <t xml:space="preserve">24.06.2025</t>
        </is>
      </c>
      <c r="I213" s="15" t="inlineStr">
        <is>
          <t xml:space="preserve">CNP</t>
        </is>
      </c>
      <c r="J213" s="15" t="inlineStr">
        <is>
          <t xml:space="preserve">in eCoA_DATABASE</t>
        </is>
      </c>
      <c r="K213" s="15"/>
      <c r="L213" s="15" t="inlineStr">
        <is>
          <t xml:space="preserve">0.02 ᴰ</t>
        </is>
      </c>
      <c r="M213" s="15" t="inlineStr">
        <is>
          <t xml:space="preserve">197-18-K/26</t>
        </is>
      </c>
    </row>
    <row r="214">
      <c r="A214" s="15" t="inlineStr">
        <is>
          <t xml:space="preserve">1</t>
        </is>
      </c>
      <c r="B214" s="15" t="inlineStr">
        <is>
          <t xml:space="preserve">OPM1024_02</t>
        </is>
      </c>
      <c r="C214" s="15" t="inlineStr">
        <is>
          <t xml:space="preserve">P050062</t>
        </is>
      </c>
      <c r="D214" s="15" t="inlineStr">
        <is>
          <t xml:space="preserve">Orange Punch Mimosa</t>
        </is>
      </c>
      <c r="E214" s="15" t="inlineStr">
        <is>
          <t xml:space="preserve">7 Foreign matter</t>
        </is>
      </c>
      <c r="F214" s="15" t="inlineStr">
        <is>
          <t xml:space="preserve">CITED</t>
        </is>
      </c>
      <c r="G214" s="15" t="inlineStr">
        <is>
          <t xml:space="preserve">iCoA-PP_26-012</t>
        </is>
      </c>
      <c r="H214" s="15" t="inlineStr">
        <is>
          <t xml:space="preserve">04.07.2025</t>
        </is>
      </c>
      <c r="I214" s="15" t="inlineStr">
        <is>
          <t xml:space="preserve">PP</t>
        </is>
      </c>
      <c r="J214" s="15" t="inlineStr">
        <is>
          <t xml:space="preserve">planned, NOT ISSUED (2026-05-15)</t>
        </is>
      </c>
      <c r="K214" s="15" t="inlineStr">
        <is>
          <t xml:space="preserve">YES — the certificate has not been issued</t>
        </is>
      </c>
      <c r="L214" s="15" t="inlineStr">
        <is>
          <t xml:space="preserve">Conforms</t>
        </is>
      </c>
      <c r="M214" s="15"/>
    </row>
    <row r="215">
      <c r="A215" s="15" t="inlineStr">
        <is>
          <t xml:space="preserve">1</t>
        </is>
      </c>
      <c r="B215" s="15" t="inlineStr">
        <is>
          <t xml:space="preserve">OPM1024_02</t>
        </is>
      </c>
      <c r="C215" s="15" t="inlineStr">
        <is>
          <t xml:space="preserve">P050062</t>
        </is>
      </c>
      <c r="D215" s="15" t="inlineStr">
        <is>
          <t xml:space="preserve">Orange Punch Mimosa</t>
        </is>
      </c>
      <c r="E215" s="15" t="inlineStr">
        <is>
          <t xml:space="preserve">8 Loss on drying</t>
        </is>
      </c>
      <c r="F215" s="15" t="inlineStr">
        <is>
          <t xml:space="preserve">CITED</t>
        </is>
      </c>
      <c r="G215" s="15" t="inlineStr">
        <is>
          <t xml:space="preserve">ППК25154</t>
        </is>
      </c>
      <c r="H215" s="15" t="inlineStr">
        <is>
          <t xml:space="preserve">24.06.2025</t>
        </is>
      </c>
      <c r="I215" s="15" t="inlineStr">
        <is>
          <t xml:space="preserve">CNP</t>
        </is>
      </c>
      <c r="J215" s="15" t="inlineStr">
        <is>
          <t xml:space="preserve">in eCoA_DATABASE</t>
        </is>
      </c>
      <c r="K215" s="15"/>
      <c r="L215" s="15" t="inlineStr">
        <is>
          <t xml:space="preserve">6.89</t>
        </is>
      </c>
      <c r="M215" s="15"/>
    </row>
    <row r="216">
      <c r="A216" s="15" t="inlineStr">
        <is>
          <t xml:space="preserve">1</t>
        </is>
      </c>
      <c r="B216" s="15" t="inlineStr">
        <is>
          <t xml:space="preserve">OPM1024_02</t>
        </is>
      </c>
      <c r="C216" s="15" t="inlineStr">
        <is>
          <t xml:space="preserve">P050062</t>
        </is>
      </c>
      <c r="D216" s="15" t="inlineStr">
        <is>
          <t xml:space="preserve">Orange Punch Mimosa</t>
        </is>
      </c>
      <c r="E216" s="15" t="inlineStr">
        <is>
          <t xml:space="preserve">9 Microbiological purity</t>
        </is>
      </c>
      <c r="F216" s="15" t="inlineStr">
        <is>
          <t xml:space="preserve">CITED</t>
        </is>
      </c>
      <c r="G216" s="15" t="inlineStr">
        <is>
          <t xml:space="preserve">588-1067-25</t>
        </is>
      </c>
      <c r="H216" s="15" t="inlineStr">
        <is>
          <t xml:space="preserve">18.06.2025</t>
        </is>
      </c>
      <c r="I216" s="15" t="inlineStr">
        <is>
          <t xml:space="preserve">IJZ-MB</t>
        </is>
      </c>
      <c r="J216" s="15" t="inlineStr">
        <is>
          <t xml:space="preserve">in eCoA_DATABASE</t>
        </is>
      </c>
      <c r="K216" s="15"/>
      <c r="L216" s="15" t="inlineStr">
        <is>
          <t xml:space="preserve">3.4 x 10³; 3.6 x 10³; &lt;10; Одговара; Одговара</t>
        </is>
      </c>
      <c r="M216" s="15"/>
    </row>
    <row r="217">
      <c r="A217" s="15" t="inlineStr">
        <is>
          <t xml:space="preserve">1</t>
        </is>
      </c>
      <c r="B217" s="15" t="inlineStr">
        <is>
          <t xml:space="preserve">OPM1024_02</t>
        </is>
      </c>
      <c r="C217" s="15" t="inlineStr">
        <is>
          <t xml:space="preserve">P050062</t>
        </is>
      </c>
      <c r="D217" s="15" t="inlineStr">
        <is>
          <t xml:space="preserve">Orange Punch Mimosa</t>
        </is>
      </c>
      <c r="E217" s="15" t="inlineStr">
        <is>
          <t xml:space="preserve">10 Mycotoxins</t>
        </is>
      </c>
      <c r="F217" s="15" t="inlineStr">
        <is>
          <t xml:space="preserve">CITED</t>
        </is>
      </c>
      <c r="G217" s="15" t="inlineStr">
        <is>
          <t xml:space="preserve">2994-2025</t>
        </is>
      </c>
      <c r="H217" s="15" t="inlineStr">
        <is>
          <t xml:space="preserve">19.06.2025</t>
        </is>
      </c>
      <c r="I217" s="15" t="inlineStr">
        <is>
          <t xml:space="preserve">IJZ</t>
        </is>
      </c>
      <c r="J217" s="15" t="inlineStr">
        <is>
          <t xml:space="preserve">in eCoA_DATABASE</t>
        </is>
      </c>
      <c r="K217" s="15"/>
      <c r="L217" s="15" t="inlineStr">
        <is>
          <t xml:space="preserve">n.r.; &lt;2; n.r.</t>
        </is>
      </c>
      <c r="M217" s="15" t="inlineStr">
        <is>
          <t xml:space="preserve">197-18-M/26</t>
        </is>
      </c>
    </row>
    <row r="218">
      <c r="A218" s="15" t="inlineStr">
        <is>
          <t xml:space="preserve">1</t>
        </is>
      </c>
      <c r="B218" s="15" t="inlineStr">
        <is>
          <t xml:space="preserve">OPM1024_02</t>
        </is>
      </c>
      <c r="C218" s="15" t="inlineStr">
        <is>
          <t xml:space="preserve">P050062</t>
        </is>
      </c>
      <c r="D218" s="15" t="inlineStr">
        <is>
          <t xml:space="preserve">Orange Punch Mimosa</t>
        </is>
      </c>
      <c r="E218" s="15" t="inlineStr">
        <is>
          <t xml:space="preserve">11 Heavy metals</t>
        </is>
      </c>
      <c r="F218" s="15" t="inlineStr">
        <is>
          <t xml:space="preserve">CITED</t>
        </is>
      </c>
      <c r="G218" s="15" t="inlineStr">
        <is>
          <t xml:space="preserve">2994-2025</t>
        </is>
      </c>
      <c r="H218" s="15" t="inlineStr">
        <is>
          <t xml:space="preserve">19.06.2025</t>
        </is>
      </c>
      <c r="I218" s="15" t="inlineStr">
        <is>
          <t xml:space="preserve">IJZ</t>
        </is>
      </c>
      <c r="J218" s="15" t="inlineStr">
        <is>
          <t xml:space="preserve">in eCoA_DATABASE</t>
        </is>
      </c>
      <c r="K218" s="15"/>
      <c r="L218" s="15" t="inlineStr">
        <is>
          <t xml:space="preserve">0.052; 0.011; 0.028; 0.061</t>
        </is>
      </c>
      <c r="M218" s="15"/>
    </row>
    <row r="219">
      <c r="A219" s="15" t="inlineStr">
        <is>
          <t xml:space="preserve">1</t>
        </is>
      </c>
      <c r="B219" s="15" t="inlineStr">
        <is>
          <t xml:space="preserve">OPM1024_02</t>
        </is>
      </c>
      <c r="C219" s="15" t="inlineStr">
        <is>
          <t xml:space="preserve">P050062</t>
        </is>
      </c>
      <c r="D219" s="15" t="inlineStr">
        <is>
          <t xml:space="preserve">Orange Punch Mimosa</t>
        </is>
      </c>
      <c r="E219" s="15" t="inlineStr">
        <is>
          <t xml:space="preserve">12 Pesticide residues</t>
        </is>
      </c>
      <c r="F219" s="15" t="inlineStr">
        <is>
          <t xml:space="preserve">CITED</t>
        </is>
      </c>
      <c r="G219" s="15" t="inlineStr">
        <is>
          <t xml:space="preserve">2994-2025</t>
        </is>
      </c>
      <c r="H219" s="15" t="inlineStr">
        <is>
          <t xml:space="preserve">19.06.2025</t>
        </is>
      </c>
      <c r="I219" s="15" t="inlineStr">
        <is>
          <t xml:space="preserve">IJZ</t>
        </is>
      </c>
      <c r="J219" s="15" t="inlineStr">
        <is>
          <t xml:space="preserve">in eCoA_DATABASE</t>
        </is>
      </c>
      <c r="K219" s="15"/>
      <c r="L219" s="15" t="inlineStr">
        <is>
          <t xml:space="preserve">FINDS: delta HCH &lt;0.01</t>
        </is>
      </c>
      <c r="M219" s="15"/>
    </row>
    <row r="220">
      <c r="A220" s="15" t="inlineStr">
        <is>
          <t xml:space="preserve">1</t>
        </is>
      </c>
      <c r="B220" s="15" t="inlineStr">
        <is>
          <t xml:space="preserve">OPM122501</t>
        </is>
      </c>
      <c r="C220" s="15" t="inlineStr">
        <is>
          <t xml:space="preserve">P060242</t>
        </is>
      </c>
      <c r="D220" s="15" t="inlineStr">
        <is>
          <t xml:space="preserve">Orange Punch Mimosa</t>
        </is>
      </c>
      <c r="E220" s="15" t="inlineStr">
        <is>
          <t xml:space="preserve">1 Identification A — appearance</t>
        </is>
      </c>
      <c r="F220" s="15" t="inlineStr">
        <is>
          <t xml:space="preserve">CITED</t>
        </is>
      </c>
      <c r="G220" s="15" t="inlineStr">
        <is>
          <t xml:space="preserve">iCoA-PP_26-057</t>
        </is>
      </c>
      <c r="H220" s="15" t="inlineStr">
        <is>
          <t xml:space="preserve">28.04.2026</t>
        </is>
      </c>
      <c r="I220" s="15" t="inlineStr">
        <is>
          <t xml:space="preserve">PP</t>
        </is>
      </c>
      <c r="J220" s="15" t="inlineStr">
        <is>
          <t xml:space="preserve">planned, NOT ISSUED (2026-05-15)</t>
        </is>
      </c>
      <c r="K220" s="15" t="inlineStr">
        <is>
          <t xml:space="preserve">YES — the certificate has not been issued</t>
        </is>
      </c>
      <c r="L220" s="15" t="inlineStr">
        <is>
          <t xml:space="preserve">Conforms</t>
        </is>
      </c>
      <c r="M220" s="15"/>
    </row>
    <row r="221">
      <c r="A221" s="15" t="inlineStr">
        <is>
          <t xml:space="preserve">1</t>
        </is>
      </c>
      <c r="B221" s="15" t="inlineStr">
        <is>
          <t xml:space="preserve">OPM122501</t>
        </is>
      </c>
      <c r="C221" s="15" t="inlineStr">
        <is>
          <t xml:space="preserve">P060242</t>
        </is>
      </c>
      <c r="D221" s="15" t="inlineStr">
        <is>
          <t xml:space="preserve">Orange Punch Mimosa</t>
        </is>
      </c>
      <c r="E221" s="15" t="inlineStr">
        <is>
          <t xml:space="preserve">2 Identification B — microscopy</t>
        </is>
      </c>
      <c r="F221" s="15" t="inlineStr">
        <is>
          <t xml:space="preserve">CITED</t>
        </is>
      </c>
      <c r="G221" s="15" t="inlineStr">
        <is>
          <t xml:space="preserve">iCoA-PP_26-057</t>
        </is>
      </c>
      <c r="H221" s="15" t="inlineStr">
        <is>
          <t xml:space="preserve">28.04.2026</t>
        </is>
      </c>
      <c r="I221" s="15" t="inlineStr">
        <is>
          <t xml:space="preserve">PP</t>
        </is>
      </c>
      <c r="J221" s="15" t="inlineStr">
        <is>
          <t xml:space="preserve">planned, NOT ISSUED (2026-05-15)</t>
        </is>
      </c>
      <c r="K221" s="15" t="inlineStr">
        <is>
          <t xml:space="preserve">YES — the certificate has not been issued</t>
        </is>
      </c>
      <c r="L221" s="15" t="inlineStr">
        <is>
          <t xml:space="preserve">Conforms</t>
        </is>
      </c>
      <c r="M221" s="15"/>
    </row>
    <row r="222">
      <c r="A222" s="15" t="inlineStr">
        <is>
          <t xml:space="preserve">1</t>
        </is>
      </c>
      <c r="B222" s="15" t="inlineStr">
        <is>
          <t xml:space="preserve">OPM122501</t>
        </is>
      </c>
      <c r="C222" s="15" t="inlineStr">
        <is>
          <t xml:space="preserve">P060242</t>
        </is>
      </c>
      <c r="D222" s="15" t="inlineStr">
        <is>
          <t xml:space="preserve">Orange Punch Mimosa</t>
        </is>
      </c>
      <c r="E222" s="15" t="inlineStr">
        <is>
          <t xml:space="preserve">3 Identification C — HPLC</t>
        </is>
      </c>
      <c r="F222" s="15" t="inlineStr">
        <is>
          <t xml:space="preserve">CITED</t>
        </is>
      </c>
      <c r="G222" s="15" t="inlineStr">
        <is>
          <t xml:space="preserve">100-4-K-26</t>
        </is>
      </c>
      <c r="H222" s="15" t="inlineStr">
        <is>
          <t xml:space="preserve">09.04.2026</t>
        </is>
      </c>
      <c r="I222" s="15" t="inlineStr">
        <is>
          <t xml:space="preserve">FHM-K</t>
        </is>
      </c>
      <c r="J222" s="15" t="inlineStr">
        <is>
          <t xml:space="preserve">in eCoA_DATABASE</t>
        </is>
      </c>
      <c r="K222" s="15"/>
      <c r="L222" s="15" t="inlineStr">
        <is>
          <t xml:space="preserve">Conforms (ImB spec.) ᴿ</t>
        </is>
      </c>
      <c r="M222" s="15" t="inlineStr">
        <is>
          <t xml:space="preserve">197-19-K/26</t>
        </is>
      </c>
    </row>
    <row r="223">
      <c r="A223" s="15" t="inlineStr">
        <is>
          <t xml:space="preserve">1</t>
        </is>
      </c>
      <c r="B223" s="15" t="inlineStr">
        <is>
          <t xml:space="preserve">OPM122501</t>
        </is>
      </c>
      <c r="C223" s="15" t="inlineStr">
        <is>
          <t xml:space="preserve">P060242</t>
        </is>
      </c>
      <c r="D223" s="15" t="inlineStr">
        <is>
          <t xml:space="preserve">Orange Punch Mimosa</t>
        </is>
      </c>
      <c r="E223" s="15" t="inlineStr">
        <is>
          <t xml:space="preserve">4 Assay — Total Δ⁹-THC</t>
        </is>
      </c>
      <c r="F223" s="15" t="inlineStr">
        <is>
          <t xml:space="preserve">CITED</t>
        </is>
      </c>
      <c r="G223" s="15" t="inlineStr">
        <is>
          <t xml:space="preserve">100-4-K-26</t>
        </is>
      </c>
      <c r="H223" s="15" t="inlineStr">
        <is>
          <t xml:space="preserve">09.04.2026</t>
        </is>
      </c>
      <c r="I223" s="15" t="inlineStr">
        <is>
          <t xml:space="preserve">FHM-K</t>
        </is>
      </c>
      <c r="J223" s="15" t="inlineStr">
        <is>
          <t xml:space="preserve">in eCoA_DATABASE</t>
        </is>
      </c>
      <c r="K223" s="15"/>
      <c r="L223" s="15" t="inlineStr">
        <is>
          <t xml:space="preserve">8.09</t>
        </is>
      </c>
      <c r="M223" s="15" t="inlineStr">
        <is>
          <t xml:space="preserve">197-19-K/26</t>
        </is>
      </c>
    </row>
    <row r="224">
      <c r="A224" s="15" t="inlineStr">
        <is>
          <t xml:space="preserve">1</t>
        </is>
      </c>
      <c r="B224" s="15" t="inlineStr">
        <is>
          <t xml:space="preserve">OPM122501</t>
        </is>
      </c>
      <c r="C224" s="15" t="inlineStr">
        <is>
          <t xml:space="preserve">P060242</t>
        </is>
      </c>
      <c r="D224" s="15" t="inlineStr">
        <is>
          <t xml:space="preserve">Orange Punch Mimosa</t>
        </is>
      </c>
      <c r="E224" s="15" t="inlineStr">
        <is>
          <t xml:space="preserve">5 Assay — Total CBD</t>
        </is>
      </c>
      <c r="F224" s="15" t="inlineStr">
        <is>
          <t xml:space="preserve">CITED</t>
        </is>
      </c>
      <c r="G224" s="15" t="inlineStr">
        <is>
          <t xml:space="preserve">100-4-K-26</t>
        </is>
      </c>
      <c r="H224" s="15" t="inlineStr">
        <is>
          <t xml:space="preserve">09.04.2026</t>
        </is>
      </c>
      <c r="I224" s="15" t="inlineStr">
        <is>
          <t xml:space="preserve">FHM-K</t>
        </is>
      </c>
      <c r="J224" s="15" t="inlineStr">
        <is>
          <t xml:space="preserve">in eCoA_DATABASE</t>
        </is>
      </c>
      <c r="K224" s="15"/>
      <c r="L224" s="15" t="inlineStr">
        <is>
          <t xml:space="preserve">&lt;LOQ</t>
        </is>
      </c>
      <c r="M224" s="15" t="inlineStr">
        <is>
          <t xml:space="preserve">197-19-K/26</t>
        </is>
      </c>
    </row>
    <row r="225">
      <c r="A225" s="15" t="inlineStr">
        <is>
          <t xml:space="preserve">1</t>
        </is>
      </c>
      <c r="B225" s="15" t="inlineStr">
        <is>
          <t xml:space="preserve">OPM122501</t>
        </is>
      </c>
      <c r="C225" s="15" t="inlineStr">
        <is>
          <t xml:space="preserve">P060242</t>
        </is>
      </c>
      <c r="D225" s="15" t="inlineStr">
        <is>
          <t xml:space="preserve">Orange Punch Mimosa</t>
        </is>
      </c>
      <c r="E225" s="15" t="inlineStr">
        <is>
          <t xml:space="preserve">6 Total CBN</t>
        </is>
      </c>
      <c r="F225" s="15" t="inlineStr">
        <is>
          <t xml:space="preserve">CITED</t>
        </is>
      </c>
      <c r="G225" s="15" t="inlineStr">
        <is>
          <t xml:space="preserve">100-4-K-26</t>
        </is>
      </c>
      <c r="H225" s="15" t="inlineStr">
        <is>
          <t xml:space="preserve">09.04.2026</t>
        </is>
      </c>
      <c r="I225" s="15" t="inlineStr">
        <is>
          <t xml:space="preserve">FHM-K</t>
        </is>
      </c>
      <c r="J225" s="15" t="inlineStr">
        <is>
          <t xml:space="preserve">in eCoA_DATABASE</t>
        </is>
      </c>
      <c r="K225" s="15"/>
      <c r="L225" s="15" t="inlineStr">
        <is>
          <t xml:space="preserve">&lt;LOQ</t>
        </is>
      </c>
      <c r="M225" s="15" t="inlineStr">
        <is>
          <t xml:space="preserve">197-19-K/26</t>
        </is>
      </c>
    </row>
    <row r="226">
      <c r="A226" s="15" t="inlineStr">
        <is>
          <t xml:space="preserve">1</t>
        </is>
      </c>
      <c r="B226" s="15" t="inlineStr">
        <is>
          <t xml:space="preserve">OPM122501</t>
        </is>
      </c>
      <c r="C226" s="15" t="inlineStr">
        <is>
          <t xml:space="preserve">P060242</t>
        </is>
      </c>
      <c r="D226" s="15" t="inlineStr">
        <is>
          <t xml:space="preserve">Orange Punch Mimosa</t>
        </is>
      </c>
      <c r="E226" s="15" t="inlineStr">
        <is>
          <t xml:space="preserve">7 Foreign matter</t>
        </is>
      </c>
      <c r="F226" s="15" t="inlineStr">
        <is>
          <t xml:space="preserve">CITED</t>
        </is>
      </c>
      <c r="G226" s="15" t="inlineStr">
        <is>
          <t xml:space="preserve">iCoA-PP_26-057</t>
        </is>
      </c>
      <c r="H226" s="15" t="inlineStr">
        <is>
          <t xml:space="preserve">28.04.2026</t>
        </is>
      </c>
      <c r="I226" s="15" t="inlineStr">
        <is>
          <t xml:space="preserve">PP</t>
        </is>
      </c>
      <c r="J226" s="15" t="inlineStr">
        <is>
          <t xml:space="preserve">planned, NOT ISSUED (2026-05-15)</t>
        </is>
      </c>
      <c r="K226" s="15" t="inlineStr">
        <is>
          <t xml:space="preserve">YES — the certificate has not been issued</t>
        </is>
      </c>
      <c r="L226" s="15" t="inlineStr">
        <is>
          <t xml:space="preserve">Conforms</t>
        </is>
      </c>
      <c r="M226" s="15"/>
    </row>
    <row r="227">
      <c r="A227" s="15" t="inlineStr">
        <is>
          <t xml:space="preserve">1</t>
        </is>
      </c>
      <c r="B227" s="15" t="inlineStr">
        <is>
          <t xml:space="preserve">OPM122501</t>
        </is>
      </c>
      <c r="C227" s="15" t="inlineStr">
        <is>
          <t xml:space="preserve">P060242</t>
        </is>
      </c>
      <c r="D227" s="15" t="inlineStr">
        <is>
          <t xml:space="preserve">Orange Punch Mimosa</t>
        </is>
      </c>
      <c r="E227" s="15" t="inlineStr">
        <is>
          <t xml:space="preserve">8 Loss on drying</t>
        </is>
      </c>
      <c r="F227" s="15" t="inlineStr">
        <is>
          <t xml:space="preserve">CITED</t>
        </is>
      </c>
      <c r="G227" s="15" t="inlineStr">
        <is>
          <t xml:space="preserve">100-4-LoD-26</t>
        </is>
      </c>
      <c r="H227" s="15" t="inlineStr">
        <is>
          <t xml:space="preserve">09.04.2026</t>
        </is>
      </c>
      <c r="I227" s="15" t="inlineStr">
        <is>
          <t xml:space="preserve">FHM-K</t>
        </is>
      </c>
      <c r="J227" s="15" t="inlineStr">
        <is>
          <t xml:space="preserve">in eCoA_DATABASE</t>
        </is>
      </c>
      <c r="K227" s="15"/>
      <c r="L227" s="15" t="inlineStr">
        <is>
          <t xml:space="preserve">6.6</t>
        </is>
      </c>
      <c r="M227" s="15"/>
    </row>
    <row r="228">
      <c r="A228" s="15" t="inlineStr">
        <is>
          <t xml:space="preserve">1</t>
        </is>
      </c>
      <c r="B228" s="15" t="inlineStr">
        <is>
          <t xml:space="preserve">OPM122501</t>
        </is>
      </c>
      <c r="C228" s="15" t="inlineStr">
        <is>
          <t xml:space="preserve">P060242</t>
        </is>
      </c>
      <c r="D228" s="15" t="inlineStr">
        <is>
          <t xml:space="preserve">Orange Punch Mimosa</t>
        </is>
      </c>
      <c r="E228" s="15" t="inlineStr">
        <is>
          <t xml:space="preserve">9 Microbiological purity</t>
        </is>
      </c>
      <c r="F228" s="15" t="inlineStr">
        <is>
          <t xml:space="preserve">CITED</t>
        </is>
      </c>
      <c r="G228" s="15" t="inlineStr">
        <is>
          <t xml:space="preserve">229-0392-26</t>
        </is>
      </c>
      <c r="H228" s="15" t="inlineStr">
        <is>
          <t xml:space="preserve">07.04.2026</t>
        </is>
      </c>
      <c r="I228" s="15" t="inlineStr">
        <is>
          <t xml:space="preserve">IJZ-MB</t>
        </is>
      </c>
      <c r="J228" s="15" t="inlineStr">
        <is>
          <t xml:space="preserve">in eCoA_DATABASE</t>
        </is>
      </c>
      <c r="K228" s="15"/>
      <c r="L228" s="15" t="inlineStr">
        <is>
          <t xml:space="preserve">120; 100; &lt;10; Одговара; Одговара</t>
        </is>
      </c>
      <c r="M228" s="15"/>
    </row>
    <row r="229">
      <c r="A229" s="15" t="inlineStr">
        <is>
          <t xml:space="preserve">1</t>
        </is>
      </c>
      <c r="B229" s="15" t="inlineStr">
        <is>
          <t xml:space="preserve">OPM122501</t>
        </is>
      </c>
      <c r="C229" s="15" t="inlineStr">
        <is>
          <t xml:space="preserve">P060242</t>
        </is>
      </c>
      <c r="D229" s="15" t="inlineStr">
        <is>
          <t xml:space="preserve">Orange Punch Mimosa</t>
        </is>
      </c>
      <c r="E229" s="15" t="inlineStr">
        <is>
          <t xml:space="preserve">10 Mycotoxins</t>
        </is>
      </c>
      <c r="F229" s="15" t="inlineStr">
        <is>
          <t xml:space="preserve">CITED</t>
        </is>
      </c>
      <c r="G229" s="15" t="inlineStr">
        <is>
          <t xml:space="preserve">1627-2026</t>
        </is>
      </c>
      <c r="H229" s="15" t="inlineStr">
        <is>
          <t xml:space="preserve">23.04.2026</t>
        </is>
      </c>
      <c r="I229" s="15" t="inlineStr">
        <is>
          <t xml:space="preserve">IJZ</t>
        </is>
      </c>
      <c r="J229" s="15" t="inlineStr">
        <is>
          <t xml:space="preserve">in eCoA_DATABASE</t>
        </is>
      </c>
      <c r="K229" s="15"/>
      <c r="L229" s="15" t="inlineStr">
        <is>
          <t xml:space="preserve">n.r.; 2.2; n.r.</t>
        </is>
      </c>
      <c r="M229" s="15" t="inlineStr">
        <is>
          <t xml:space="preserve">197-19-M/26</t>
        </is>
      </c>
    </row>
    <row r="230">
      <c r="A230" s="15" t="inlineStr">
        <is>
          <t xml:space="preserve">1</t>
        </is>
      </c>
      <c r="B230" s="15" t="inlineStr">
        <is>
          <t xml:space="preserve">OPM122501</t>
        </is>
      </c>
      <c r="C230" s="15" t="inlineStr">
        <is>
          <t xml:space="preserve">P060242</t>
        </is>
      </c>
      <c r="D230" s="15" t="inlineStr">
        <is>
          <t xml:space="preserve">Orange Punch Mimosa</t>
        </is>
      </c>
      <c r="E230" s="15" t="inlineStr">
        <is>
          <t xml:space="preserve">11 Heavy metals</t>
        </is>
      </c>
      <c r="F230" s="15" t="inlineStr">
        <is>
          <t xml:space="preserve">CITED</t>
        </is>
      </c>
      <c r="G230" s="15" t="inlineStr">
        <is>
          <t xml:space="preserve">1627-2026</t>
        </is>
      </c>
      <c r="H230" s="15" t="inlineStr">
        <is>
          <t xml:space="preserve">23.04.2026</t>
        </is>
      </c>
      <c r="I230" s="15" t="inlineStr">
        <is>
          <t xml:space="preserve">IJZ</t>
        </is>
      </c>
      <c r="J230" s="15" t="inlineStr">
        <is>
          <t xml:space="preserve">in eCoA_DATABASE</t>
        </is>
      </c>
      <c r="K230" s="15"/>
      <c r="L230" s="15" t="inlineStr">
        <is>
          <t xml:space="preserve">0.049; 0.165; н.д.; н.д.</t>
        </is>
      </c>
      <c r="M230" s="15"/>
    </row>
    <row r="231">
      <c r="A231" s="15" t="inlineStr">
        <is>
          <t xml:space="preserve">1</t>
        </is>
      </c>
      <c r="B231" s="15" t="inlineStr">
        <is>
          <t xml:space="preserve">OPM122501</t>
        </is>
      </c>
      <c r="C231" s="15" t="inlineStr">
        <is>
          <t xml:space="preserve">P060242</t>
        </is>
      </c>
      <c r="D231" s="15" t="inlineStr">
        <is>
          <t xml:space="preserve">Orange Punch Mimosa</t>
        </is>
      </c>
      <c r="E231" s="15" t="inlineStr">
        <is>
          <t xml:space="preserve">12 Pesticide residues</t>
        </is>
      </c>
      <c r="F231" s="15" t="inlineStr">
        <is>
          <t xml:space="preserve">CITED</t>
        </is>
      </c>
      <c r="G231" s="15" t="inlineStr">
        <is>
          <t xml:space="preserve">1627-2026</t>
        </is>
      </c>
      <c r="H231" s="15" t="inlineStr">
        <is>
          <t xml:space="preserve">23.04.2026</t>
        </is>
      </c>
      <c r="I231" s="15" t="inlineStr">
        <is>
          <t xml:space="preserve">IJZ</t>
        </is>
      </c>
      <c r="J231" s="15" t="inlineStr">
        <is>
          <t xml:space="preserve">in eCoA_DATABASE</t>
        </is>
      </c>
      <c r="K231" s="15"/>
      <c r="L231" s="15" t="inlineStr">
        <is>
          <t xml:space="preserve">≤ LOQ (all 25 compounds)</t>
        </is>
      </c>
      <c r="M231" s="15"/>
    </row>
    <row r="232">
      <c r="A232" s="15" t="inlineStr">
        <is>
          <t xml:space="preserve">1</t>
        </is>
      </c>
      <c r="B232" s="15" t="inlineStr">
        <is>
          <t xml:space="preserve">PM092501</t>
        </is>
      </c>
      <c r="C232" s="15" t="inlineStr">
        <is>
          <t xml:space="preserve">P060062</t>
        </is>
      </c>
      <c r="D232" s="15" t="inlineStr">
        <is>
          <t xml:space="preserve">Permanent Marker</t>
        </is>
      </c>
      <c r="E232" s="15" t="inlineStr">
        <is>
          <t xml:space="preserve">1 Identification A — appearance</t>
        </is>
      </c>
      <c r="F232" s="15" t="inlineStr">
        <is>
          <t xml:space="preserve">CITED</t>
        </is>
      </c>
      <c r="G232" s="15" t="inlineStr">
        <is>
          <t xml:space="preserve">iCoA-PP_26-042</t>
        </is>
      </c>
      <c r="H232" s="15" t="inlineStr">
        <is>
          <t xml:space="preserve">30.01.2026</t>
        </is>
      </c>
      <c r="I232" s="15" t="inlineStr">
        <is>
          <t xml:space="preserve">PP</t>
        </is>
      </c>
      <c r="J232" s="15" t="inlineStr">
        <is>
          <t xml:space="preserve">planned, NOT ISSUED (2026-05-15)</t>
        </is>
      </c>
      <c r="K232" s="15" t="inlineStr">
        <is>
          <t xml:space="preserve">YES — the certificate has not been issued</t>
        </is>
      </c>
      <c r="L232" s="15" t="inlineStr">
        <is>
          <t xml:space="preserve">Conforms</t>
        </is>
      </c>
      <c r="M232" s="15"/>
    </row>
    <row r="233">
      <c r="A233" s="15" t="inlineStr">
        <is>
          <t xml:space="preserve">1</t>
        </is>
      </c>
      <c r="B233" s="15" t="inlineStr">
        <is>
          <t xml:space="preserve">PM092501</t>
        </is>
      </c>
      <c r="C233" s="15" t="inlineStr">
        <is>
          <t xml:space="preserve">P060062</t>
        </is>
      </c>
      <c r="D233" s="15" t="inlineStr">
        <is>
          <t xml:space="preserve">Permanent Marker</t>
        </is>
      </c>
      <c r="E233" s="15" t="inlineStr">
        <is>
          <t xml:space="preserve">2 Identification B — microscopy</t>
        </is>
      </c>
      <c r="F233" s="15" t="inlineStr">
        <is>
          <t xml:space="preserve">CITED</t>
        </is>
      </c>
      <c r="G233" s="15" t="inlineStr">
        <is>
          <t xml:space="preserve">iCoA-PP_26-042</t>
        </is>
      </c>
      <c r="H233" s="15" t="inlineStr">
        <is>
          <t xml:space="preserve">30.01.2026</t>
        </is>
      </c>
      <c r="I233" s="15" t="inlineStr">
        <is>
          <t xml:space="preserve">PP</t>
        </is>
      </c>
      <c r="J233" s="15" t="inlineStr">
        <is>
          <t xml:space="preserve">planned, NOT ISSUED (2026-05-15)</t>
        </is>
      </c>
      <c r="K233" s="15" t="inlineStr">
        <is>
          <t xml:space="preserve">YES — the certificate has not been issued</t>
        </is>
      </c>
      <c r="L233" s="15" t="inlineStr">
        <is>
          <t xml:space="preserve">Conforms</t>
        </is>
      </c>
      <c r="M233" s="15"/>
    </row>
    <row r="234">
      <c r="A234" s="15" t="inlineStr">
        <is>
          <t xml:space="preserve">1</t>
        </is>
      </c>
      <c r="B234" s="15" t="inlineStr">
        <is>
          <t xml:space="preserve">PM092501</t>
        </is>
      </c>
      <c r="C234" s="15" t="inlineStr">
        <is>
          <t xml:space="preserve">P060062</t>
        </is>
      </c>
      <c r="D234" s="15" t="inlineStr">
        <is>
          <t xml:space="preserve">Permanent Marker</t>
        </is>
      </c>
      <c r="E234" s="15" t="inlineStr">
        <is>
          <t xml:space="preserve">3 Identification C — HPLC</t>
        </is>
      </c>
      <c r="F234" s="15" t="inlineStr">
        <is>
          <t xml:space="preserve">CITED</t>
        </is>
      </c>
      <c r="G234" s="15" t="inlineStr">
        <is>
          <t xml:space="preserve">ППК26004</t>
        </is>
      </c>
      <c r="H234" s="15" t="inlineStr">
        <is>
          <t xml:space="preserve">21.01.2026</t>
        </is>
      </c>
      <c r="I234" s="15" t="inlineStr">
        <is>
          <t xml:space="preserve">CNP</t>
        </is>
      </c>
      <c r="J234" s="15" t="inlineStr">
        <is>
          <t xml:space="preserve">in eCoA_DATABASE</t>
        </is>
      </c>
      <c r="K234" s="15"/>
      <c r="L234" s="15" t="inlineStr">
        <is>
          <t xml:space="preserve">Conforms (ImB spec.) ᴿ</t>
        </is>
      </c>
      <c r="M234" s="15" t="inlineStr">
        <is>
          <t xml:space="preserve">197-20-K/26</t>
        </is>
      </c>
    </row>
    <row r="235">
      <c r="A235" s="15" t="inlineStr">
        <is>
          <t xml:space="preserve">1</t>
        </is>
      </c>
      <c r="B235" s="15" t="inlineStr">
        <is>
          <t xml:space="preserve">PM092501</t>
        </is>
      </c>
      <c r="C235" s="15" t="inlineStr">
        <is>
          <t xml:space="preserve">P060062</t>
        </is>
      </c>
      <c r="D235" s="15" t="inlineStr">
        <is>
          <t xml:space="preserve">Permanent Marker</t>
        </is>
      </c>
      <c r="E235" s="15" t="inlineStr">
        <is>
          <t xml:space="preserve">4 Assay — Total Δ⁹-THC</t>
        </is>
      </c>
      <c r="F235" s="15" t="inlineStr">
        <is>
          <t xml:space="preserve">CITED</t>
        </is>
      </c>
      <c r="G235" s="15" t="inlineStr">
        <is>
          <t xml:space="preserve">ППК26004</t>
        </is>
      </c>
      <c r="H235" s="15" t="inlineStr">
        <is>
          <t xml:space="preserve">21.01.2026</t>
        </is>
      </c>
      <c r="I235" s="15" t="inlineStr">
        <is>
          <t xml:space="preserve">CNP</t>
        </is>
      </c>
      <c r="J235" s="15" t="inlineStr">
        <is>
          <t xml:space="preserve">in eCoA_DATABASE</t>
        </is>
      </c>
      <c r="K235" s="15"/>
      <c r="L235" s="15" t="inlineStr">
        <is>
          <t xml:space="preserve">14.06 ᴿ</t>
        </is>
      </c>
      <c r="M235" s="15" t="inlineStr">
        <is>
          <t xml:space="preserve">197-20-K/26</t>
        </is>
      </c>
    </row>
    <row r="236">
      <c r="A236" s="15" t="inlineStr">
        <is>
          <t xml:space="preserve">1</t>
        </is>
      </c>
      <c r="B236" s="15" t="inlineStr">
        <is>
          <t xml:space="preserve">PM092501</t>
        </is>
      </c>
      <c r="C236" s="15" t="inlineStr">
        <is>
          <t xml:space="preserve">P060062</t>
        </is>
      </c>
      <c r="D236" s="15" t="inlineStr">
        <is>
          <t xml:space="preserve">Permanent Marker</t>
        </is>
      </c>
      <c r="E236" s="15" t="inlineStr">
        <is>
          <t xml:space="preserve">5 Assay — Total CBD</t>
        </is>
      </c>
      <c r="F236" s="15" t="inlineStr">
        <is>
          <t xml:space="preserve">CITED</t>
        </is>
      </c>
      <c r="G236" s="15" t="inlineStr">
        <is>
          <t xml:space="preserve">ППК26004</t>
        </is>
      </c>
      <c r="H236" s="15" t="inlineStr">
        <is>
          <t xml:space="preserve">21.01.2026</t>
        </is>
      </c>
      <c r="I236" s="15" t="inlineStr">
        <is>
          <t xml:space="preserve">CNP</t>
        </is>
      </c>
      <c r="J236" s="15" t="inlineStr">
        <is>
          <t xml:space="preserve">in eCoA_DATABASE</t>
        </is>
      </c>
      <c r="K236" s="15"/>
      <c r="L236" s="15" t="inlineStr">
        <is>
          <t xml:space="preserve">0.05</t>
        </is>
      </c>
      <c r="M236" s="15" t="inlineStr">
        <is>
          <t xml:space="preserve">197-20-K/26</t>
        </is>
      </c>
    </row>
    <row r="237">
      <c r="A237" s="15" t="inlineStr">
        <is>
          <t xml:space="preserve">1</t>
        </is>
      </c>
      <c r="B237" s="15" t="inlineStr">
        <is>
          <t xml:space="preserve">PM092501</t>
        </is>
      </c>
      <c r="C237" s="15" t="inlineStr">
        <is>
          <t xml:space="preserve">P060062</t>
        </is>
      </c>
      <c r="D237" s="15" t="inlineStr">
        <is>
          <t xml:space="preserve">Permanent Marker</t>
        </is>
      </c>
      <c r="E237" s="15" t="inlineStr">
        <is>
          <t xml:space="preserve">6 Total CBN</t>
        </is>
      </c>
      <c r="F237" s="15" t="inlineStr">
        <is>
          <t xml:space="preserve">CITED</t>
        </is>
      </c>
      <c r="G237" s="15" t="inlineStr">
        <is>
          <t xml:space="preserve">ППК26004</t>
        </is>
      </c>
      <c r="H237" s="15" t="inlineStr">
        <is>
          <t xml:space="preserve">21.01.2026</t>
        </is>
      </c>
      <c r="I237" s="15" t="inlineStr">
        <is>
          <t xml:space="preserve">CNP</t>
        </is>
      </c>
      <c r="J237" s="15" t="inlineStr">
        <is>
          <t xml:space="preserve">in eCoA_DATABASE</t>
        </is>
      </c>
      <c r="K237" s="15"/>
      <c r="L237" s="15" t="inlineStr">
        <is>
          <t xml:space="preserve">BLQ ᴰ</t>
        </is>
      </c>
      <c r="M237" s="15" t="inlineStr">
        <is>
          <t xml:space="preserve">197-20-K/26</t>
        </is>
      </c>
    </row>
    <row r="238">
      <c r="A238" s="15" t="inlineStr">
        <is>
          <t xml:space="preserve">1</t>
        </is>
      </c>
      <c r="B238" s="15" t="inlineStr">
        <is>
          <t xml:space="preserve">PM092501</t>
        </is>
      </c>
      <c r="C238" s="15" t="inlineStr">
        <is>
          <t xml:space="preserve">P060062</t>
        </is>
      </c>
      <c r="D238" s="15" t="inlineStr">
        <is>
          <t xml:space="preserve">Permanent Marker</t>
        </is>
      </c>
      <c r="E238" s="15" t="inlineStr">
        <is>
          <t xml:space="preserve">7 Foreign matter</t>
        </is>
      </c>
      <c r="F238" s="15" t="inlineStr">
        <is>
          <t xml:space="preserve">CITED</t>
        </is>
      </c>
      <c r="G238" s="15" t="inlineStr">
        <is>
          <t xml:space="preserve">iCoA-PP_26-042</t>
        </is>
      </c>
      <c r="H238" s="15" t="inlineStr">
        <is>
          <t xml:space="preserve">30.01.2026</t>
        </is>
      </c>
      <c r="I238" s="15" t="inlineStr">
        <is>
          <t xml:space="preserve">PP</t>
        </is>
      </c>
      <c r="J238" s="15" t="inlineStr">
        <is>
          <t xml:space="preserve">planned, NOT ISSUED (2026-05-15)</t>
        </is>
      </c>
      <c r="K238" s="15" t="inlineStr">
        <is>
          <t xml:space="preserve">YES — the certificate has not been issued</t>
        </is>
      </c>
      <c r="L238" s="15" t="inlineStr">
        <is>
          <t xml:space="preserve">Conforms</t>
        </is>
      </c>
      <c r="M238" s="15"/>
    </row>
    <row r="239">
      <c r="A239" s="15" t="inlineStr">
        <is>
          <t xml:space="preserve">1</t>
        </is>
      </c>
      <c r="B239" s="15" t="inlineStr">
        <is>
          <t xml:space="preserve">PM092501</t>
        </is>
      </c>
      <c r="C239" s="15" t="inlineStr">
        <is>
          <t xml:space="preserve">P060062</t>
        </is>
      </c>
      <c r="D239" s="15" t="inlineStr">
        <is>
          <t xml:space="preserve">Permanent Marker</t>
        </is>
      </c>
      <c r="E239" s="15" t="inlineStr">
        <is>
          <t xml:space="preserve">8 Loss on drying</t>
        </is>
      </c>
      <c r="F239" s="15" t="inlineStr">
        <is>
          <t xml:space="preserve">CITED</t>
        </is>
      </c>
      <c r="G239" s="15" t="inlineStr">
        <is>
          <t xml:space="preserve">ППК26004</t>
        </is>
      </c>
      <c r="H239" s="15" t="inlineStr">
        <is>
          <t xml:space="preserve">21.01.2026</t>
        </is>
      </c>
      <c r="I239" s="15" t="inlineStr">
        <is>
          <t xml:space="preserve">CNP</t>
        </is>
      </c>
      <c r="J239" s="15" t="inlineStr">
        <is>
          <t xml:space="preserve">in eCoA_DATABASE</t>
        </is>
      </c>
      <c r="K239" s="15"/>
      <c r="L239" s="15" t="inlineStr">
        <is>
          <t xml:space="preserve">7.97</t>
        </is>
      </c>
      <c r="M239" s="15"/>
    </row>
    <row r="240">
      <c r="A240" s="15" t="inlineStr">
        <is>
          <t xml:space="preserve">1</t>
        </is>
      </c>
      <c r="B240" s="15" t="inlineStr">
        <is>
          <t xml:space="preserve">PM092501</t>
        </is>
      </c>
      <c r="C240" s="15" t="inlineStr">
        <is>
          <t xml:space="preserve">P060062</t>
        </is>
      </c>
      <c r="D240" s="15" t="inlineStr">
        <is>
          <t xml:space="preserve">Permanent Marker</t>
        </is>
      </c>
      <c r="E240" s="15" t="inlineStr">
        <is>
          <t xml:space="preserve">9 Microbiological purity</t>
        </is>
      </c>
      <c r="F240" s="15" t="inlineStr">
        <is>
          <t xml:space="preserve">CITED</t>
        </is>
      </c>
      <c r="G240" s="15" t="inlineStr">
        <is>
          <t xml:space="preserve">6-0009-26</t>
        </is>
      </c>
      <c r="H240" s="15" t="inlineStr">
        <is>
          <t xml:space="preserve">20.01.2026</t>
        </is>
      </c>
      <c r="I240" s="15" t="inlineStr">
        <is>
          <t xml:space="preserve">IJZ-MB</t>
        </is>
      </c>
      <c r="J240" s="15" t="inlineStr">
        <is>
          <t xml:space="preserve">in eCoA_DATABASE</t>
        </is>
      </c>
      <c r="K240" s="15"/>
      <c r="L240" s="15" t="inlineStr">
        <is>
          <t xml:space="preserve">2×10³; 2.2×10³; &lt;10; Одговара; Одговара</t>
        </is>
      </c>
      <c r="M240" s="15"/>
    </row>
    <row r="241">
      <c r="A241" s="15" t="inlineStr">
        <is>
          <t xml:space="preserve">1</t>
        </is>
      </c>
      <c r="B241" s="15" t="inlineStr">
        <is>
          <t xml:space="preserve">PM092501</t>
        </is>
      </c>
      <c r="C241" s="15" t="inlineStr">
        <is>
          <t xml:space="preserve">P060062</t>
        </is>
      </c>
      <c r="D241" s="15" t="inlineStr">
        <is>
          <t xml:space="preserve">Permanent Marker</t>
        </is>
      </c>
      <c r="E241" s="15" t="inlineStr">
        <is>
          <t xml:space="preserve">10 Mycotoxins</t>
        </is>
      </c>
      <c r="F241" s="15" t="inlineStr">
        <is>
          <t xml:space="preserve">CITED</t>
        </is>
      </c>
      <c r="G241" s="15" t="inlineStr">
        <is>
          <t xml:space="preserve">83-2026</t>
        </is>
      </c>
      <c r="H241" s="15" t="inlineStr">
        <is>
          <t xml:space="preserve">02.02.2026</t>
        </is>
      </c>
      <c r="I241" s="15" t="inlineStr">
        <is>
          <t xml:space="preserve">IJZ</t>
        </is>
      </c>
      <c r="J241" s="15" t="inlineStr">
        <is>
          <t xml:space="preserve">in eCoA_DATABASE</t>
        </is>
      </c>
      <c r="K241" s="15"/>
      <c r="L241" s="15" t="inlineStr">
        <is>
          <t xml:space="preserve">n.r.; &lt;2; n.r.</t>
        </is>
      </c>
      <c r="M241" s="15" t="inlineStr">
        <is>
          <t xml:space="preserve">197-20-M/26</t>
        </is>
      </c>
    </row>
    <row r="242">
      <c r="A242" s="15" t="inlineStr">
        <is>
          <t xml:space="preserve">1</t>
        </is>
      </c>
      <c r="B242" s="15" t="inlineStr">
        <is>
          <t xml:space="preserve">PM092501</t>
        </is>
      </c>
      <c r="C242" s="15" t="inlineStr">
        <is>
          <t xml:space="preserve">P060062</t>
        </is>
      </c>
      <c r="D242" s="15" t="inlineStr">
        <is>
          <t xml:space="preserve">Permanent Marker</t>
        </is>
      </c>
      <c r="E242" s="15" t="inlineStr">
        <is>
          <t xml:space="preserve">11 Heavy metals</t>
        </is>
      </c>
      <c r="F242" s="15" t="inlineStr">
        <is>
          <t xml:space="preserve">CITED</t>
        </is>
      </c>
      <c r="G242" s="15" t="inlineStr">
        <is>
          <t xml:space="preserve">83-2026</t>
        </is>
      </c>
      <c r="H242" s="15" t="inlineStr">
        <is>
          <t xml:space="preserve">02.02.2026</t>
        </is>
      </c>
      <c r="I242" s="15" t="inlineStr">
        <is>
          <t xml:space="preserve">IJZ</t>
        </is>
      </c>
      <c r="J242" s="15" t="inlineStr">
        <is>
          <t xml:space="preserve">in eCoA_DATABASE</t>
        </is>
      </c>
      <c r="K242" s="15"/>
      <c r="L242" s="15" t="inlineStr">
        <is>
          <t xml:space="preserve">0.03; Н.д.; Н.д.; Н.д.</t>
        </is>
      </c>
      <c r="M242" s="15"/>
    </row>
    <row r="243">
      <c r="A243" s="15" t="inlineStr">
        <is>
          <t xml:space="preserve">1</t>
        </is>
      </c>
      <c r="B243" s="15" t="inlineStr">
        <is>
          <t xml:space="preserve">PM092501</t>
        </is>
      </c>
      <c r="C243" s="15" t="inlineStr">
        <is>
          <t xml:space="preserve">P060062</t>
        </is>
      </c>
      <c r="D243" s="15" t="inlineStr">
        <is>
          <t xml:space="preserve">Permanent Marker</t>
        </is>
      </c>
      <c r="E243" s="15" t="inlineStr">
        <is>
          <t xml:space="preserve">12 Pesticide residues</t>
        </is>
      </c>
      <c r="F243" s="15" t="inlineStr">
        <is>
          <t xml:space="preserve">CITED</t>
        </is>
      </c>
      <c r="G243" s="15" t="inlineStr">
        <is>
          <t xml:space="preserve">83-2026</t>
        </is>
      </c>
      <c r="H243" s="15" t="inlineStr">
        <is>
          <t xml:space="preserve">02.02.2026</t>
        </is>
      </c>
      <c r="I243" s="15" t="inlineStr">
        <is>
          <t xml:space="preserve">IJZ</t>
        </is>
      </c>
      <c r="J243" s="15" t="inlineStr">
        <is>
          <t xml:space="preserve">in eCoA_DATABASE</t>
        </is>
      </c>
      <c r="K243" s="15"/>
      <c r="L243" s="15" t="inlineStr">
        <is>
          <t xml:space="preserve">≤ LOQ (all 28 compounds)</t>
        </is>
      </c>
      <c r="M243" s="15"/>
    </row>
    <row r="244">
      <c r="A244" s="15" t="inlineStr">
        <is>
          <t xml:space="preserve">1</t>
        </is>
      </c>
      <c r="B244" s="15" t="inlineStr">
        <is>
          <t xml:space="preserve">SCR012603</t>
        </is>
      </c>
      <c r="C244" s="15" t="inlineStr">
        <is>
          <t xml:space="preserve">P060382</t>
        </is>
      </c>
      <c r="D244" s="15" t="inlineStr">
        <is>
          <t xml:space="preserve">Scrambler</t>
        </is>
      </c>
      <c r="E244" s="15" t="inlineStr">
        <is>
          <t xml:space="preserve">1 Identification A — appearance</t>
        </is>
      </c>
      <c r="F244" s="15" t="inlineStr">
        <is>
          <t xml:space="preserve">CITED</t>
        </is>
      </c>
      <c r="G244" s="15" t="inlineStr">
        <is>
          <t xml:space="preserve">iCoA-PP_26-069</t>
        </is>
      </c>
      <c r="H244" s="15" t="inlineStr">
        <is>
          <t xml:space="preserve">25.05.2026</t>
        </is>
      </c>
      <c r="I244" s="15" t="inlineStr">
        <is>
          <t xml:space="preserve">PP</t>
        </is>
      </c>
      <c r="J244" s="15" t="inlineStr">
        <is>
          <t xml:space="preserve">planned, NOT ISSUED (2026-06-01)</t>
        </is>
      </c>
      <c r="K244" s="15" t="inlineStr">
        <is>
          <t xml:space="preserve">YES — the certificate has not been issued</t>
        </is>
      </c>
      <c r="L244" s="15" t="inlineStr">
        <is>
          <t xml:space="preserve">Conforms</t>
        </is>
      </c>
      <c r="M244" s="15"/>
    </row>
    <row r="245">
      <c r="A245" s="15" t="inlineStr">
        <is>
          <t xml:space="preserve">1</t>
        </is>
      </c>
      <c r="B245" s="15" t="inlineStr">
        <is>
          <t xml:space="preserve">SCR012603</t>
        </is>
      </c>
      <c r="C245" s="15" t="inlineStr">
        <is>
          <t xml:space="preserve">P060382</t>
        </is>
      </c>
      <c r="D245" s="15" t="inlineStr">
        <is>
          <t xml:space="preserve">Scrambler</t>
        </is>
      </c>
      <c r="E245" s="15" t="inlineStr">
        <is>
          <t xml:space="preserve">2 Identification B — microscopy</t>
        </is>
      </c>
      <c r="F245" s="15" t="inlineStr">
        <is>
          <t xml:space="preserve">CITED</t>
        </is>
      </c>
      <c r="G245" s="15" t="inlineStr">
        <is>
          <t xml:space="preserve">iCoA-PP_26-069</t>
        </is>
      </c>
      <c r="H245" s="15" t="inlineStr">
        <is>
          <t xml:space="preserve">25.05.2026</t>
        </is>
      </c>
      <c r="I245" s="15" t="inlineStr">
        <is>
          <t xml:space="preserve">PP</t>
        </is>
      </c>
      <c r="J245" s="15" t="inlineStr">
        <is>
          <t xml:space="preserve">planned, NOT ISSUED (2026-06-01)</t>
        </is>
      </c>
      <c r="K245" s="15" t="inlineStr">
        <is>
          <t xml:space="preserve">YES — the certificate has not been issued</t>
        </is>
      </c>
      <c r="L245" s="15" t="inlineStr">
        <is>
          <t xml:space="preserve">Conforms</t>
        </is>
      </c>
      <c r="M245" s="15"/>
    </row>
    <row r="246">
      <c r="A246" s="15" t="inlineStr">
        <is>
          <t xml:space="preserve">1</t>
        </is>
      </c>
      <c r="B246" s="15" t="inlineStr">
        <is>
          <t xml:space="preserve">SCR012603</t>
        </is>
      </c>
      <c r="C246" s="15" t="inlineStr">
        <is>
          <t xml:space="preserve">P060382</t>
        </is>
      </c>
      <c r="D246" s="15" t="inlineStr">
        <is>
          <t xml:space="preserve">Scrambler</t>
        </is>
      </c>
      <c r="E246" s="15" t="inlineStr">
        <is>
          <t xml:space="preserve">3 Identification C — HPLC</t>
        </is>
      </c>
      <c r="F246" s="15" t="inlineStr">
        <is>
          <t xml:space="preserve">CITED</t>
        </is>
      </c>
      <c r="G246" s="15" t="inlineStr">
        <is>
          <t xml:space="preserve">197-21-K-26</t>
        </is>
      </c>
      <c r="H246" s="15" t="inlineStr">
        <is>
          <t xml:space="preserve">07.08.2026</t>
        </is>
      </c>
      <c r="I246" s="15" t="inlineStr">
        <is>
          <t xml:space="preserve">FHM-K</t>
        </is>
      </c>
      <c r="J246" s="15" t="inlineStr">
        <is>
          <t xml:space="preserve">in eCoA_DATABASE</t>
        </is>
      </c>
      <c r="K246" s="15"/>
      <c r="L246" s="15" t="inlineStr">
        <is>
          <t xml:space="preserve">identity by the HPLC cannabinoid profile on this certificate</t>
        </is>
      </c>
      <c r="M246" s="15"/>
    </row>
    <row r="247">
      <c r="A247" s="15" t="inlineStr">
        <is>
          <t xml:space="preserve">1</t>
        </is>
      </c>
      <c r="B247" s="15" t="inlineStr">
        <is>
          <t xml:space="preserve">SCR012603</t>
        </is>
      </c>
      <c r="C247" s="15" t="inlineStr">
        <is>
          <t xml:space="preserve">P060382</t>
        </is>
      </c>
      <c r="D247" s="15" t="inlineStr">
        <is>
          <t xml:space="preserve">Scrambler</t>
        </is>
      </c>
      <c r="E247" s="15" t="inlineStr">
        <is>
          <t xml:space="preserve">4 Assay — Total Δ⁹-THC</t>
        </is>
      </c>
      <c r="F247" s="15" t="inlineStr">
        <is>
          <t xml:space="preserve">CITED</t>
        </is>
      </c>
      <c r="G247" s="15" t="inlineStr">
        <is>
          <t xml:space="preserve">197-21-K-26</t>
        </is>
      </c>
      <c r="H247" s="15" t="inlineStr">
        <is>
          <t xml:space="preserve">07.08.2026</t>
        </is>
      </c>
      <c r="I247" s="15" t="inlineStr">
        <is>
          <t xml:space="preserve">FHM-K</t>
        </is>
      </c>
      <c r="J247" s="15" t="inlineStr">
        <is>
          <t xml:space="preserve">in eCoA_DATABASE</t>
        </is>
      </c>
      <c r="K247" s="15"/>
      <c r="L247" s="15" t="inlineStr">
        <is>
          <t xml:space="preserve">17.84 %w/w</t>
        </is>
      </c>
      <c r="M247" s="15"/>
    </row>
    <row r="248">
      <c r="A248" s="15" t="inlineStr">
        <is>
          <t xml:space="preserve">1</t>
        </is>
      </c>
      <c r="B248" s="15" t="inlineStr">
        <is>
          <t xml:space="preserve">SCR012603</t>
        </is>
      </c>
      <c r="C248" s="15" t="inlineStr">
        <is>
          <t xml:space="preserve">P060382</t>
        </is>
      </c>
      <c r="D248" s="15" t="inlineStr">
        <is>
          <t xml:space="preserve">Scrambler</t>
        </is>
      </c>
      <c r="E248" s="15" t="inlineStr">
        <is>
          <t xml:space="preserve">5 Assay — Total CBD</t>
        </is>
      </c>
      <c r="F248" s="15" t="inlineStr">
        <is>
          <t xml:space="preserve">CITED</t>
        </is>
      </c>
      <c r="G248" s="15" t="inlineStr">
        <is>
          <t xml:space="preserve">197-21-K-26</t>
        </is>
      </c>
      <c r="H248" s="15" t="inlineStr">
        <is>
          <t xml:space="preserve">07.08.2026</t>
        </is>
      </c>
      <c r="I248" s="15" t="inlineStr">
        <is>
          <t xml:space="preserve">FHM-K</t>
        </is>
      </c>
      <c r="J248" s="15" t="inlineStr">
        <is>
          <t xml:space="preserve">in eCoA_DATABASE</t>
        </is>
      </c>
      <c r="K248" s="15"/>
      <c r="L248" s="15" t="inlineStr">
        <is>
          <t xml:space="preserve">&lt; LOQ %w/w</t>
        </is>
      </c>
      <c r="M248" s="15"/>
    </row>
    <row r="249">
      <c r="A249" s="15" t="inlineStr">
        <is>
          <t xml:space="preserve">1</t>
        </is>
      </c>
      <c r="B249" s="15" t="inlineStr">
        <is>
          <t xml:space="preserve">SCR012603</t>
        </is>
      </c>
      <c r="C249" s="15" t="inlineStr">
        <is>
          <t xml:space="preserve">P060382</t>
        </is>
      </c>
      <c r="D249" s="15" t="inlineStr">
        <is>
          <t xml:space="preserve">Scrambler</t>
        </is>
      </c>
      <c r="E249" s="15" t="inlineStr">
        <is>
          <t xml:space="preserve">6 Total CBN</t>
        </is>
      </c>
      <c r="F249" s="15" t="inlineStr">
        <is>
          <t xml:space="preserve">CITED</t>
        </is>
      </c>
      <c r="G249" s="15" t="inlineStr">
        <is>
          <t xml:space="preserve">197-21-K-26</t>
        </is>
      </c>
      <c r="H249" s="15" t="inlineStr">
        <is>
          <t xml:space="preserve">07.08.2026</t>
        </is>
      </c>
      <c r="I249" s="15" t="inlineStr">
        <is>
          <t xml:space="preserve">FHM-K</t>
        </is>
      </c>
      <c r="J249" s="15" t="inlineStr">
        <is>
          <t xml:space="preserve">in eCoA_DATABASE</t>
        </is>
      </c>
      <c r="K249" s="15"/>
      <c r="L249" s="15" t="inlineStr">
        <is>
          <t xml:space="preserve">&lt; LOQ %w/w</t>
        </is>
      </c>
      <c r="M249" s="15"/>
    </row>
    <row r="250">
      <c r="A250" s="15" t="inlineStr">
        <is>
          <t xml:space="preserve">1</t>
        </is>
      </c>
      <c r="B250" s="15" t="inlineStr">
        <is>
          <t xml:space="preserve">SCR012603</t>
        </is>
      </c>
      <c r="C250" s="15" t="inlineStr">
        <is>
          <t xml:space="preserve">P060382</t>
        </is>
      </c>
      <c r="D250" s="15" t="inlineStr">
        <is>
          <t xml:space="preserve">Scrambler</t>
        </is>
      </c>
      <c r="E250" s="15" t="inlineStr">
        <is>
          <t xml:space="preserve">7 Foreign matter</t>
        </is>
      </c>
      <c r="F250" s="15" t="inlineStr">
        <is>
          <t xml:space="preserve">CITED</t>
        </is>
      </c>
      <c r="G250" s="15" t="inlineStr">
        <is>
          <t xml:space="preserve">iCoA-PP_26-069</t>
        </is>
      </c>
      <c r="H250" s="15" t="inlineStr">
        <is>
          <t xml:space="preserve">25.05.2026</t>
        </is>
      </c>
      <c r="I250" s="15" t="inlineStr">
        <is>
          <t xml:space="preserve">PP</t>
        </is>
      </c>
      <c r="J250" s="15" t="inlineStr">
        <is>
          <t xml:space="preserve">planned, NOT ISSUED (2026-06-01)</t>
        </is>
      </c>
      <c r="K250" s="15" t="inlineStr">
        <is>
          <t xml:space="preserve">YES — the certificate has not been issued</t>
        </is>
      </c>
      <c r="L250" s="15" t="inlineStr">
        <is>
          <t xml:space="preserve">Conforms</t>
        </is>
      </c>
      <c r="M250" s="15"/>
    </row>
    <row r="251">
      <c r="A251" s="15" t="inlineStr">
        <is>
          <t xml:space="preserve">1</t>
        </is>
      </c>
      <c r="B251" s="15" t="inlineStr">
        <is>
          <t xml:space="preserve">SCR012603</t>
        </is>
      </c>
      <c r="C251" s="15" t="inlineStr">
        <is>
          <t xml:space="preserve">P060382</t>
        </is>
      </c>
      <c r="D251" s="15" t="inlineStr">
        <is>
          <t xml:space="preserve">Scrambler</t>
        </is>
      </c>
      <c r="E251" s="15" t="inlineStr">
        <is>
          <t xml:space="preserve">8 Loss on drying</t>
        </is>
      </c>
      <c r="F251" s="15" t="inlineStr">
        <is>
          <t xml:space="preserve">NOTHING ON FILE</t>
        </is>
      </c>
      <c r="G251" s="15" t="inlineStr">
        <is>
          <t xml:space="preserve">—</t>
        </is>
      </c>
      <c r="H251" s="15" t="inlineStr">
        <is>
          <t xml:space="preserve">—</t>
        </is>
      </c>
      <c r="I251" s="15" t="inlineStr">
        <is>
          <t xml:space="preserve">—</t>
        </is>
      </c>
      <c r="J251" s="15" t="inlineStr">
        <is>
          <t xml:space="preserve">no document anywhere</t>
        </is>
      </c>
      <c r="K251" s="15"/>
      <c r="L251" s="15" t="inlineStr">
        <is>
          <t xml:space="preserve">—</t>
        </is>
      </c>
      <c r="M251" s="15"/>
    </row>
    <row r="252">
      <c r="A252" s="15" t="inlineStr">
        <is>
          <t xml:space="preserve">1</t>
        </is>
      </c>
      <c r="B252" s="15" t="inlineStr">
        <is>
          <t xml:space="preserve">SCR012603</t>
        </is>
      </c>
      <c r="C252" s="15" t="inlineStr">
        <is>
          <t xml:space="preserve">P060382</t>
        </is>
      </c>
      <c r="D252" s="15" t="inlineStr">
        <is>
          <t xml:space="preserve">Scrambler</t>
        </is>
      </c>
      <c r="E252" s="15" t="inlineStr">
        <is>
          <t xml:space="preserve">9 Microbiological purity</t>
        </is>
      </c>
      <c r="F252" s="15" t="inlineStr">
        <is>
          <t xml:space="preserve">READ IN THIS PASS</t>
        </is>
      </c>
      <c r="G252" s="15" t="inlineStr">
        <is>
          <t xml:space="preserve">364/0694/26</t>
        </is>
      </c>
      <c r="H252" s="15" t="inlineStr">
        <is>
          <t xml:space="preserve">01.06.2026</t>
        </is>
      </c>
      <c r="I252" s="15" t="inlineStr">
        <is>
          <t xml:space="preserve">IJZ-MB</t>
        </is>
      </c>
      <c r="J252" s="15" t="inlineStr">
        <is>
          <t xml:space="preserve">in eCoA_DATABASE</t>
        </is>
      </c>
      <c r="K252" s="15"/>
      <c r="L252" s="15" t="inlineStr">
        <is>
          <t xml:space="preserve">5,4 x 10⁴ CFU/g CFU/g; 1,8 x 10⁴ CFU/g CFU/g; &lt; 10 CFU/g CFU/g; Отсутна /g; Отсутна /25 g</t>
        </is>
      </c>
      <c r="M252" s="15"/>
    </row>
    <row r="253">
      <c r="A253" s="15" t="inlineStr">
        <is>
          <t xml:space="preserve">1</t>
        </is>
      </c>
      <c r="B253" s="15" t="inlineStr">
        <is>
          <t xml:space="preserve">SCR012603</t>
        </is>
      </c>
      <c r="C253" s="15" t="inlineStr">
        <is>
          <t xml:space="preserve">P060382</t>
        </is>
      </c>
      <c r="D253" s="15" t="inlineStr">
        <is>
          <t xml:space="preserve">Scrambler</t>
        </is>
      </c>
      <c r="E253" s="15" t="inlineStr">
        <is>
          <t xml:space="preserve">10 Mycotoxins</t>
        </is>
      </c>
      <c r="F253" s="15" t="inlineStr">
        <is>
          <t xml:space="preserve">CITED</t>
        </is>
      </c>
      <c r="G253" s="15" t="inlineStr">
        <is>
          <t xml:space="preserve">197-21-M-26</t>
        </is>
      </c>
      <c r="H253" s="15" t="inlineStr">
        <is>
          <t xml:space="preserve">10.08.2026</t>
        </is>
      </c>
      <c r="I253" s="15" t="inlineStr">
        <is>
          <t xml:space="preserve">FHM-M</t>
        </is>
      </c>
      <c r="J253" s="15" t="inlineStr">
        <is>
          <t xml:space="preserve">in eCoA_DATABASE</t>
        </is>
      </c>
      <c r="K253" s="15"/>
      <c r="L253" s="15" t="inlineStr">
        <is>
          <t xml:space="preserve">ND µg/kg; ND µg/kg; ND µg/kg; ND µg/kg; ND µg/kg</t>
        </is>
      </c>
      <c r="M253" s="15"/>
    </row>
    <row r="254">
      <c r="A254" s="15" t="inlineStr">
        <is>
          <t xml:space="preserve">1</t>
        </is>
      </c>
      <c r="B254" s="15" t="inlineStr">
        <is>
          <t xml:space="preserve">SCR012603</t>
        </is>
      </c>
      <c r="C254" s="15" t="inlineStr">
        <is>
          <t xml:space="preserve">P060382</t>
        </is>
      </c>
      <c r="D254" s="15" t="inlineStr">
        <is>
          <t xml:space="preserve">Scrambler</t>
        </is>
      </c>
      <c r="E254" s="15" t="inlineStr">
        <is>
          <t xml:space="preserve">11 Heavy metals</t>
        </is>
      </c>
      <c r="F254" s="15" t="inlineStr">
        <is>
          <t xml:space="preserve">NOTHING ON FILE</t>
        </is>
      </c>
      <c r="G254" s="15" t="inlineStr">
        <is>
          <t xml:space="preserve">—</t>
        </is>
      </c>
      <c r="H254" s="15" t="inlineStr">
        <is>
          <t xml:space="preserve">—</t>
        </is>
      </c>
      <c r="I254" s="15" t="inlineStr">
        <is>
          <t xml:space="preserve">—</t>
        </is>
      </c>
      <c r="J254" s="15" t="inlineStr">
        <is>
          <t xml:space="preserve">no document anywhere</t>
        </is>
      </c>
      <c r="K254" s="15"/>
      <c r="L254" s="15" t="inlineStr">
        <is>
          <t xml:space="preserve">—</t>
        </is>
      </c>
      <c r="M254" s="15"/>
    </row>
    <row r="255">
      <c r="A255" s="15" t="inlineStr">
        <is>
          <t xml:space="preserve">1</t>
        </is>
      </c>
      <c r="B255" s="15" t="inlineStr">
        <is>
          <t xml:space="preserve">SCR012603</t>
        </is>
      </c>
      <c r="C255" s="15" t="inlineStr">
        <is>
          <t xml:space="preserve">P060382</t>
        </is>
      </c>
      <c r="D255" s="15" t="inlineStr">
        <is>
          <t xml:space="preserve">Scrambler</t>
        </is>
      </c>
      <c r="E255" s="15" t="inlineStr">
        <is>
          <t xml:space="preserve">12 Pesticide residues</t>
        </is>
      </c>
      <c r="F255" s="15" t="inlineStr">
        <is>
          <t xml:space="preserve">NOTHING ON FILE</t>
        </is>
      </c>
      <c r="G255" s="15" t="inlineStr">
        <is>
          <t xml:space="preserve">—</t>
        </is>
      </c>
      <c r="H255" s="15" t="inlineStr">
        <is>
          <t xml:space="preserve">—</t>
        </is>
      </c>
      <c r="I255" s="15" t="inlineStr">
        <is>
          <t xml:space="preserve">—</t>
        </is>
      </c>
      <c r="J255" s="15" t="inlineStr">
        <is>
          <t xml:space="preserve">no document anywhere</t>
        </is>
      </c>
      <c r="K255" s="15"/>
      <c r="L255" s="15" t="inlineStr">
        <is>
          <t xml:space="preserve">—</t>
        </is>
      </c>
      <c r="M255" s="15"/>
    </row>
    <row r="256">
      <c r="A256" s="15" t="inlineStr">
        <is>
          <t xml:space="preserve">2</t>
        </is>
      </c>
      <c r="B256" s="15" t="inlineStr">
        <is>
          <t xml:space="preserve">ACC102501</t>
        </is>
      </c>
      <c r="C256" s="15" t="inlineStr">
        <is>
          <t xml:space="preserve">P060122</t>
        </is>
      </c>
      <c r="D256" s="15" t="inlineStr">
        <is>
          <t xml:space="preserve">Amnesia Core Cut</t>
        </is>
      </c>
      <c r="E256" s="15" t="inlineStr">
        <is>
          <t xml:space="preserve">1 Identification A — appearance</t>
        </is>
      </c>
      <c r="F256" s="15" t="inlineStr">
        <is>
          <t xml:space="preserve">NOTHING ON FILE</t>
        </is>
      </c>
      <c r="G256" s="15" t="inlineStr">
        <is>
          <t xml:space="preserve">—</t>
        </is>
      </c>
      <c r="H256" s="15" t="inlineStr">
        <is>
          <t xml:space="preserve">—</t>
        </is>
      </c>
      <c r="I256" s="15" t="inlineStr">
        <is>
          <t xml:space="preserve">—</t>
        </is>
      </c>
      <c r="J256" s="15" t="inlineStr">
        <is>
          <t xml:space="preserve">no document anywhere</t>
        </is>
      </c>
      <c r="K256" s="15"/>
      <c r="L256" s="15" t="inlineStr">
        <is>
          <t xml:space="preserve">—</t>
        </is>
      </c>
      <c r="M256" s="15"/>
    </row>
    <row r="257">
      <c r="A257" s="15" t="inlineStr">
        <is>
          <t xml:space="preserve">2</t>
        </is>
      </c>
      <c r="B257" s="15" t="inlineStr">
        <is>
          <t xml:space="preserve">ACC102501</t>
        </is>
      </c>
      <c r="C257" s="15" t="inlineStr">
        <is>
          <t xml:space="preserve">P060122</t>
        </is>
      </c>
      <c r="D257" s="15" t="inlineStr">
        <is>
          <t xml:space="preserve">Amnesia Core Cut</t>
        </is>
      </c>
      <c r="E257" s="15" t="inlineStr">
        <is>
          <t xml:space="preserve">2 Identification B — microscopy</t>
        </is>
      </c>
      <c r="F257" s="15" t="inlineStr">
        <is>
          <t xml:space="preserve">NOTHING ON FILE</t>
        </is>
      </c>
      <c r="G257" s="15" t="inlineStr">
        <is>
          <t xml:space="preserve">—</t>
        </is>
      </c>
      <c r="H257" s="15" t="inlineStr">
        <is>
          <t xml:space="preserve">—</t>
        </is>
      </c>
      <c r="I257" s="15" t="inlineStr">
        <is>
          <t xml:space="preserve">—</t>
        </is>
      </c>
      <c r="J257" s="15" t="inlineStr">
        <is>
          <t xml:space="preserve">no document anywhere</t>
        </is>
      </c>
      <c r="K257" s="15"/>
      <c r="L257" s="15" t="inlineStr">
        <is>
          <t xml:space="preserve">—</t>
        </is>
      </c>
      <c r="M257" s="15"/>
    </row>
    <row r="258">
      <c r="A258" s="15" t="inlineStr">
        <is>
          <t xml:space="preserve">2</t>
        </is>
      </c>
      <c r="B258" s="15" t="inlineStr">
        <is>
          <t xml:space="preserve">ACC102501</t>
        </is>
      </c>
      <c r="C258" s="15" t="inlineStr">
        <is>
          <t xml:space="preserve">P060122</t>
        </is>
      </c>
      <c r="D258" s="15" t="inlineStr">
        <is>
          <t xml:space="preserve">Amnesia Core Cut</t>
        </is>
      </c>
      <c r="E258" s="15" t="inlineStr">
        <is>
          <t xml:space="preserve">3 Identification C — HPLC</t>
        </is>
      </c>
      <c r="F258" s="15" t="inlineStr">
        <is>
          <t xml:space="preserve">READ IN THIS PASS</t>
        </is>
      </c>
      <c r="G258" s="15" t="inlineStr">
        <is>
          <t xml:space="preserve">031-5-K/26</t>
        </is>
      </c>
      <c r="H258" s="15" t="inlineStr">
        <is>
          <t xml:space="preserve">10.02.2026</t>
        </is>
      </c>
      <c r="I258" s="15" t="inlineStr">
        <is>
          <t xml:space="preserve">FHM</t>
        </is>
      </c>
      <c r="J258" s="15" t="inlineStr">
        <is>
          <t xml:space="preserve">in eCoA_DATABASE</t>
        </is>
      </c>
      <c r="K258" s="15"/>
      <c r="L258" s="15" t="inlineStr">
        <is>
          <t xml:space="preserve">identity by the HPLC cannabinoid profile on this certificate</t>
        </is>
      </c>
      <c r="M258" s="15" t="inlineStr">
        <is>
          <t xml:space="preserve">220-1-K/26</t>
        </is>
      </c>
    </row>
    <row r="259">
      <c r="A259" s="15" t="inlineStr">
        <is>
          <t xml:space="preserve">2</t>
        </is>
      </c>
      <c r="B259" s="15" t="inlineStr">
        <is>
          <t xml:space="preserve">ACC102501</t>
        </is>
      </c>
      <c r="C259" s="15" t="inlineStr">
        <is>
          <t xml:space="preserve">P060122</t>
        </is>
      </c>
      <c r="D259" s="15" t="inlineStr">
        <is>
          <t xml:space="preserve">Amnesia Core Cut</t>
        </is>
      </c>
      <c r="E259" s="15" t="inlineStr">
        <is>
          <t xml:space="preserve">4 Assay — Total Δ⁹-THC</t>
        </is>
      </c>
      <c r="F259" s="15" t="inlineStr">
        <is>
          <t xml:space="preserve">READ IN THIS PASS</t>
        </is>
      </c>
      <c r="G259" s="15" t="inlineStr">
        <is>
          <t xml:space="preserve">031-5-K/26</t>
        </is>
      </c>
      <c r="H259" s="15" t="inlineStr">
        <is>
          <t xml:space="preserve">10.02.2026</t>
        </is>
      </c>
      <c r="I259" s="15" t="inlineStr">
        <is>
          <t xml:space="preserve">FHM</t>
        </is>
      </c>
      <c r="J259" s="15" t="inlineStr">
        <is>
          <t xml:space="preserve">in eCoA_DATABASE</t>
        </is>
      </c>
      <c r="K259" s="15"/>
      <c r="L259" s="15" t="inlineStr">
        <is>
          <t xml:space="preserve">12.91 %w/w; 0.79 %; 12.91 %w/w; 0.79 %</t>
        </is>
      </c>
      <c r="M259" s="15" t="inlineStr">
        <is>
          <t xml:space="preserve">220-1-K/26</t>
        </is>
      </c>
    </row>
    <row r="260">
      <c r="A260" s="15" t="inlineStr">
        <is>
          <t xml:space="preserve">2</t>
        </is>
      </c>
      <c r="B260" s="15" t="inlineStr">
        <is>
          <t xml:space="preserve">ACC102501</t>
        </is>
      </c>
      <c r="C260" s="15" t="inlineStr">
        <is>
          <t xml:space="preserve">P060122</t>
        </is>
      </c>
      <c r="D260" s="15" t="inlineStr">
        <is>
          <t xml:space="preserve">Amnesia Core Cut</t>
        </is>
      </c>
      <c r="E260" s="15" t="inlineStr">
        <is>
          <t xml:space="preserve">5 Assay — Total CBD</t>
        </is>
      </c>
      <c r="F260" s="15" t="inlineStr">
        <is>
          <t xml:space="preserve">READ IN THIS PASS</t>
        </is>
      </c>
      <c r="G260" s="15" t="inlineStr">
        <is>
          <t xml:space="preserve">031-5-K/26</t>
        </is>
      </c>
      <c r="H260" s="15" t="inlineStr">
        <is>
          <t xml:space="preserve">10.02.2026</t>
        </is>
      </c>
      <c r="I260" s="15" t="inlineStr">
        <is>
          <t xml:space="preserve">FHM</t>
        </is>
      </c>
      <c r="J260" s="15" t="inlineStr">
        <is>
          <t xml:space="preserve">in eCoA_DATABASE</t>
        </is>
      </c>
      <c r="K260" s="15"/>
      <c r="L260" s="15" t="inlineStr">
        <is>
          <t xml:space="preserve">&lt;LOQ** %w/w; &lt;LOQ** %w/w</t>
        </is>
      </c>
      <c r="M260" s="15" t="inlineStr">
        <is>
          <t xml:space="preserve">220-1-K/26</t>
        </is>
      </c>
    </row>
    <row r="261">
      <c r="A261" s="15" t="inlineStr">
        <is>
          <t xml:space="preserve">2</t>
        </is>
      </c>
      <c r="B261" s="15" t="inlineStr">
        <is>
          <t xml:space="preserve">ACC102501</t>
        </is>
      </c>
      <c r="C261" s="15" t="inlineStr">
        <is>
          <t xml:space="preserve">P060122</t>
        </is>
      </c>
      <c r="D261" s="15" t="inlineStr">
        <is>
          <t xml:space="preserve">Amnesia Core Cut</t>
        </is>
      </c>
      <c r="E261" s="15" t="inlineStr">
        <is>
          <t xml:space="preserve">6 Total CBN</t>
        </is>
      </c>
      <c r="F261" s="15" t="inlineStr">
        <is>
          <t xml:space="preserve">READ IN THIS PASS</t>
        </is>
      </c>
      <c r="G261" s="15" t="inlineStr">
        <is>
          <t xml:space="preserve">031-5-K/26</t>
        </is>
      </c>
      <c r="H261" s="15" t="inlineStr">
        <is>
          <t xml:space="preserve">10.02.2026</t>
        </is>
      </c>
      <c r="I261" s="15" t="inlineStr">
        <is>
          <t xml:space="preserve">FHM</t>
        </is>
      </c>
      <c r="J261" s="15" t="inlineStr">
        <is>
          <t xml:space="preserve">in eCoA_DATABASE</t>
        </is>
      </c>
      <c r="K261" s="15"/>
      <c r="L261" s="15" t="inlineStr">
        <is>
          <t xml:space="preserve">&lt;LOQ** %w/w; &lt;LOQ** %w/w</t>
        </is>
      </c>
      <c r="M261" s="15" t="inlineStr">
        <is>
          <t xml:space="preserve">220-1-K/26</t>
        </is>
      </c>
    </row>
    <row r="262">
      <c r="A262" s="15" t="inlineStr">
        <is>
          <t xml:space="preserve">2</t>
        </is>
      </c>
      <c r="B262" s="15" t="inlineStr">
        <is>
          <t xml:space="preserve">ACC102501</t>
        </is>
      </c>
      <c r="C262" s="15" t="inlineStr">
        <is>
          <t xml:space="preserve">P060122</t>
        </is>
      </c>
      <c r="D262" s="15" t="inlineStr">
        <is>
          <t xml:space="preserve">Amnesia Core Cut</t>
        </is>
      </c>
      <c r="E262" s="15" t="inlineStr">
        <is>
          <t xml:space="preserve">7 Foreign matter</t>
        </is>
      </c>
      <c r="F262" s="15" t="inlineStr">
        <is>
          <t xml:space="preserve">NOTHING ON FILE</t>
        </is>
      </c>
      <c r="G262" s="15" t="inlineStr">
        <is>
          <t xml:space="preserve">—</t>
        </is>
      </c>
      <c r="H262" s="15" t="inlineStr">
        <is>
          <t xml:space="preserve">—</t>
        </is>
      </c>
      <c r="I262" s="15" t="inlineStr">
        <is>
          <t xml:space="preserve">—</t>
        </is>
      </c>
      <c r="J262" s="15" t="inlineStr">
        <is>
          <t xml:space="preserve">no document anywhere</t>
        </is>
      </c>
      <c r="K262" s="15"/>
      <c r="L262" s="15" t="inlineStr">
        <is>
          <t xml:space="preserve">—</t>
        </is>
      </c>
      <c r="M262" s="15"/>
    </row>
    <row r="263">
      <c r="A263" s="15" t="inlineStr">
        <is>
          <t xml:space="preserve">2</t>
        </is>
      </c>
      <c r="B263" s="15" t="inlineStr">
        <is>
          <t xml:space="preserve">ACC102501</t>
        </is>
      </c>
      <c r="C263" s="15" t="inlineStr">
        <is>
          <t xml:space="preserve">P060122</t>
        </is>
      </c>
      <c r="D263" s="15" t="inlineStr">
        <is>
          <t xml:space="preserve">Amnesia Core Cut</t>
        </is>
      </c>
      <c r="E263" s="15" t="inlineStr">
        <is>
          <t xml:space="preserve">8 Loss on drying</t>
        </is>
      </c>
      <c r="F263" s="15" t="inlineStr">
        <is>
          <t xml:space="preserve">READ IN THIS PASS</t>
        </is>
      </c>
      <c r="G263" s="15" t="inlineStr">
        <is>
          <t xml:space="preserve">031-5-LoD/26</t>
        </is>
      </c>
      <c r="H263" s="15" t="inlineStr">
        <is>
          <t xml:space="preserve">12.02.2026</t>
        </is>
      </c>
      <c r="I263" s="15" t="inlineStr">
        <is>
          <t xml:space="preserve">FHM</t>
        </is>
      </c>
      <c r="J263" s="15" t="inlineStr">
        <is>
          <t xml:space="preserve">in eCoA_DATABASE</t>
        </is>
      </c>
      <c r="K263" s="15"/>
      <c r="L263" s="15" t="inlineStr">
        <is>
          <t xml:space="preserve">7,1 %</t>
        </is>
      </c>
      <c r="M263" s="15"/>
    </row>
    <row r="264">
      <c r="A264" s="15" t="inlineStr">
        <is>
          <t xml:space="preserve">2</t>
        </is>
      </c>
      <c r="B264" s="15" t="inlineStr">
        <is>
          <t xml:space="preserve">ACC102501</t>
        </is>
      </c>
      <c r="C264" s="15" t="inlineStr">
        <is>
          <t xml:space="preserve">P060122</t>
        </is>
      </c>
      <c r="D264" s="15" t="inlineStr">
        <is>
          <t xml:space="preserve">Amnesia Core Cut</t>
        </is>
      </c>
      <c r="E264" s="15" t="inlineStr">
        <is>
          <t xml:space="preserve">9 Microbiological purity</t>
        </is>
      </c>
      <c r="F264" s="15" t="inlineStr">
        <is>
          <t xml:space="preserve">READ IN THIS PASS</t>
        </is>
      </c>
      <c r="G264" s="15" t="inlineStr">
        <is>
          <t xml:space="preserve">77/0120/26</t>
        </is>
      </c>
      <c r="H264" s="15" t="inlineStr">
        <is>
          <t xml:space="preserve">09.02.2026</t>
        </is>
      </c>
      <c r="I264" s="15" t="inlineStr">
        <is>
          <t xml:space="preserve">IJZ-MB</t>
        </is>
      </c>
      <c r="J264" s="15" t="inlineStr">
        <is>
          <t xml:space="preserve">in eCoA_DATABASE</t>
        </is>
      </c>
      <c r="K264" s="15"/>
      <c r="L264" s="15" t="inlineStr">
        <is>
          <t xml:space="preserve">1 x 10³ CFU/g CFU/g; 1,6 x 10³ CFU/g CFU/g; &lt; 10 CFU/g CFU/g; Одговара; Одговара</t>
        </is>
      </c>
      <c r="M264" s="15"/>
    </row>
    <row r="265">
      <c r="A265" s="15" t="inlineStr">
        <is>
          <t xml:space="preserve">2</t>
        </is>
      </c>
      <c r="B265" s="15" t="inlineStr">
        <is>
          <t xml:space="preserve">ACC102501</t>
        </is>
      </c>
      <c r="C265" s="15" t="inlineStr">
        <is>
          <t xml:space="preserve">P060122</t>
        </is>
      </c>
      <c r="D265" s="15" t="inlineStr">
        <is>
          <t xml:space="preserve">Amnesia Core Cut</t>
        </is>
      </c>
      <c r="E265" s="15" t="inlineStr">
        <is>
          <t xml:space="preserve">10 Mycotoxins</t>
        </is>
      </c>
      <c r="F265" s="15" t="inlineStr">
        <is>
          <t xml:space="preserve">READ IN THIS PASS</t>
        </is>
      </c>
      <c r="G265" s="15" t="inlineStr">
        <is>
          <t xml:space="preserve">326/2026</t>
        </is>
      </c>
      <c r="H265" s="15" t="inlineStr">
        <is>
          <t xml:space="preserve">11.02.2026</t>
        </is>
      </c>
      <c r="I265" s="15" t="inlineStr">
        <is>
          <t xml:space="preserve">IJZ</t>
        </is>
      </c>
      <c r="J265" s="15" t="inlineStr">
        <is>
          <t xml:space="preserve">in eCoA_DATABASE</t>
        </is>
      </c>
      <c r="K265" s="15"/>
      <c r="L265" s="15" t="inlineStr">
        <is>
          <t xml:space="preserve">2,3 µg/kg</t>
        </is>
      </c>
      <c r="M265" s="15"/>
    </row>
    <row r="266">
      <c r="A266" s="15" t="inlineStr">
        <is>
          <t xml:space="preserve">2</t>
        </is>
      </c>
      <c r="B266" s="15" t="inlineStr">
        <is>
          <t xml:space="preserve">ACC102501</t>
        </is>
      </c>
      <c r="C266" s="15" t="inlineStr">
        <is>
          <t xml:space="preserve">P060122</t>
        </is>
      </c>
      <c r="D266" s="15" t="inlineStr">
        <is>
          <t xml:space="preserve">Amnesia Core Cut</t>
        </is>
      </c>
      <c r="E266" s="15" t="inlineStr">
        <is>
          <t xml:space="preserve">11 Heavy metals</t>
        </is>
      </c>
      <c r="F266" s="15" t="inlineStr">
        <is>
          <t xml:space="preserve">READ IN THIS PASS</t>
        </is>
      </c>
      <c r="G266" s="15" t="inlineStr">
        <is>
          <t xml:space="preserve">326/2026</t>
        </is>
      </c>
      <c r="H266" s="15" t="inlineStr">
        <is>
          <t xml:space="preserve">11.02.2026</t>
        </is>
      </c>
      <c r="I266" s="15" t="inlineStr">
        <is>
          <t xml:space="preserve">IJZ</t>
        </is>
      </c>
      <c r="J266" s="15" t="inlineStr">
        <is>
          <t xml:space="preserve">in eCoA_DATABASE</t>
        </is>
      </c>
      <c r="K266" s="15"/>
      <c r="L266" s="15" t="inlineStr">
        <is>
          <t xml:space="preserve">0,078 mg/kg(l); н.д. mg/kg(l); 0,022 mg/kg(l); н.д. mg/kg(l)</t>
        </is>
      </c>
      <c r="M266" s="15"/>
    </row>
    <row r="267">
      <c r="A267" s="15" t="inlineStr">
        <is>
          <t xml:space="preserve">2</t>
        </is>
      </c>
      <c r="B267" s="15" t="inlineStr">
        <is>
          <t xml:space="preserve">ACC102501</t>
        </is>
      </c>
      <c r="C267" s="15" t="inlineStr">
        <is>
          <t xml:space="preserve">P060122</t>
        </is>
      </c>
      <c r="D267" s="15" t="inlineStr">
        <is>
          <t xml:space="preserve">Amnesia Core Cut</t>
        </is>
      </c>
      <c r="E267" s="15" t="inlineStr">
        <is>
          <t xml:space="preserve">12 Pesticide residues</t>
        </is>
      </c>
      <c r="F267" s="15" t="inlineStr">
        <is>
          <t xml:space="preserve">READ IN THIS PASS</t>
        </is>
      </c>
      <c r="G267" s="15" t="inlineStr">
        <is>
          <t xml:space="preserve">326/2026</t>
        </is>
      </c>
      <c r="H267" s="15" t="inlineStr">
        <is>
          <t xml:space="preserve">11.02.2026</t>
        </is>
      </c>
      <c r="I267" s="15" t="inlineStr">
        <is>
          <t xml:space="preserve">IJZ</t>
        </is>
      </c>
      <c r="J267" s="15" t="inlineStr">
        <is>
          <t xml:space="preserve">in eCoA_DATABASE</t>
        </is>
      </c>
      <c r="K267" s="15"/>
      <c r="L267" s="15" t="inlineStr">
        <is>
          <t xml:space="preserve">н.д. mg/kg; н.д. mg/kg; н.д. mg/kg; н.д. mg/kg; н.д. mg/kg; н.д. mg/kg; н.д. mg/kg; н.д. mg/kg; н.д. mg/kg; н.д. mg/kg; н.д. mg/kg; н.д. mg/kg; н.д. mg/Kg; н.д. mg/kg; н.д. mg/kg; н.д. mg/kg; н.д. mg/kg; н.д. mg/kg; н.д. mg/kg; н.д. mg/kg; н.д. mg/kg; н.д. mg/kg; н.д. mg/kg; н.д. mg/kg; н.д. mg/kg; </t>
        </is>
      </c>
      <c r="M267" s="15"/>
    </row>
    <row r="268">
      <c r="A268" s="15" t="inlineStr">
        <is>
          <t xml:space="preserve">2</t>
        </is>
      </c>
      <c r="B268" s="15" t="inlineStr">
        <is>
          <t xml:space="preserve">BSS052501</t>
        </is>
      </c>
      <c r="C268" s="15" t="inlineStr">
        <is>
          <t xml:space="preserve">P050192</t>
        </is>
      </c>
      <c r="D268" s="15" t="inlineStr">
        <is>
          <t xml:space="preserve">Blue Sunset Sherbet</t>
        </is>
      </c>
      <c r="E268" s="15" t="inlineStr">
        <is>
          <t xml:space="preserve">1 Identification A — appearance</t>
        </is>
      </c>
      <c r="F268" s="15" t="inlineStr">
        <is>
          <t xml:space="preserve">CITED</t>
        </is>
      </c>
      <c r="G268" s="15" t="inlineStr">
        <is>
          <t xml:space="preserve">iCoA-PP_26-025</t>
        </is>
      </c>
      <c r="H268" s="15" t="inlineStr">
        <is>
          <t xml:space="preserve">10.10.2025</t>
        </is>
      </c>
      <c r="I268" s="15" t="inlineStr">
        <is>
          <t xml:space="preserve">PP</t>
        </is>
      </c>
      <c r="J268" s="15" t="inlineStr">
        <is>
          <t xml:space="preserve">planned, NOT ISSUED (2026-05-15)</t>
        </is>
      </c>
      <c r="K268" s="15" t="inlineStr">
        <is>
          <t xml:space="preserve">YES — the certificate has not been issued</t>
        </is>
      </c>
      <c r="L268" s="15" t="inlineStr">
        <is>
          <t xml:space="preserve">Conforms</t>
        </is>
      </c>
      <c r="M268" s="15"/>
    </row>
    <row r="269">
      <c r="A269" s="15" t="inlineStr">
        <is>
          <t xml:space="preserve">2</t>
        </is>
      </c>
      <c r="B269" s="15" t="inlineStr">
        <is>
          <t xml:space="preserve">BSS052501</t>
        </is>
      </c>
      <c r="C269" s="15" t="inlineStr">
        <is>
          <t xml:space="preserve">P050192</t>
        </is>
      </c>
      <c r="D269" s="15" t="inlineStr">
        <is>
          <t xml:space="preserve">Blue Sunset Sherbet</t>
        </is>
      </c>
      <c r="E269" s="15" t="inlineStr">
        <is>
          <t xml:space="preserve">2 Identification B — microscopy</t>
        </is>
      </c>
      <c r="F269" s="15" t="inlineStr">
        <is>
          <t xml:space="preserve">CITED</t>
        </is>
      </c>
      <c r="G269" s="15" t="inlineStr">
        <is>
          <t xml:space="preserve">iCoA-PP_26-025</t>
        </is>
      </c>
      <c r="H269" s="15" t="inlineStr">
        <is>
          <t xml:space="preserve">10.10.2025</t>
        </is>
      </c>
      <c r="I269" s="15" t="inlineStr">
        <is>
          <t xml:space="preserve">PP</t>
        </is>
      </c>
      <c r="J269" s="15" t="inlineStr">
        <is>
          <t xml:space="preserve">planned, NOT ISSUED (2026-05-15)</t>
        </is>
      </c>
      <c r="K269" s="15" t="inlineStr">
        <is>
          <t xml:space="preserve">YES — the certificate has not been issued</t>
        </is>
      </c>
      <c r="L269" s="15" t="inlineStr">
        <is>
          <t xml:space="preserve">Conforms</t>
        </is>
      </c>
      <c r="M269" s="15"/>
    </row>
    <row r="270">
      <c r="A270" s="15" t="inlineStr">
        <is>
          <t xml:space="preserve">2</t>
        </is>
      </c>
      <c r="B270" s="15" t="inlineStr">
        <is>
          <t xml:space="preserve">BSS052501</t>
        </is>
      </c>
      <c r="C270" s="15" t="inlineStr">
        <is>
          <t xml:space="preserve">P050192</t>
        </is>
      </c>
      <c r="D270" s="15" t="inlineStr">
        <is>
          <t xml:space="preserve">Blue Sunset Sherbet</t>
        </is>
      </c>
      <c r="E270" s="15" t="inlineStr">
        <is>
          <t xml:space="preserve">3 Identification C — HPLC</t>
        </is>
      </c>
      <c r="F270" s="15" t="inlineStr">
        <is>
          <t xml:space="preserve">CITED</t>
        </is>
      </c>
      <c r="G270" s="15" t="inlineStr">
        <is>
          <t xml:space="preserve">NGP-QCG-SOP-024 F3</t>
        </is>
      </c>
      <c r="H270" s="15" t="inlineStr">
        <is>
          <t xml:space="preserve">28.11.2025</t>
        </is>
      </c>
      <c r="I270" s="15" t="inlineStr">
        <is>
          <t xml:space="preserve">NGP</t>
        </is>
      </c>
      <c r="J270" s="15" t="inlineStr">
        <is>
          <t xml:space="preserve">in eCoA_DATABASE</t>
        </is>
      </c>
      <c r="K270" s="15"/>
      <c r="L270" s="15" t="inlineStr">
        <is>
          <t xml:space="preserve">identity by the HPLC cannabinoid profile on this certificate</t>
        </is>
      </c>
      <c r="M270" s="15" t="inlineStr">
        <is>
          <t xml:space="preserve">220-2-K/26</t>
        </is>
      </c>
    </row>
    <row r="271">
      <c r="A271" s="15" t="inlineStr">
        <is>
          <t xml:space="preserve">2</t>
        </is>
      </c>
      <c r="B271" s="15" t="inlineStr">
        <is>
          <t xml:space="preserve">BSS052501</t>
        </is>
      </c>
      <c r="C271" s="15" t="inlineStr">
        <is>
          <t xml:space="preserve">P050192</t>
        </is>
      </c>
      <c r="D271" s="15" t="inlineStr">
        <is>
          <t xml:space="preserve">Blue Sunset Sherbet</t>
        </is>
      </c>
      <c r="E271" s="15" t="inlineStr">
        <is>
          <t xml:space="preserve">4 Assay — Total Δ⁹-THC</t>
        </is>
      </c>
      <c r="F271" s="15" t="inlineStr">
        <is>
          <t xml:space="preserve">CITED</t>
        </is>
      </c>
      <c r="G271" s="15" t="inlineStr">
        <is>
          <t xml:space="preserve">NGP-QCG-SOP-024 F3</t>
        </is>
      </c>
      <c r="H271" s="15" t="inlineStr">
        <is>
          <t xml:space="preserve">28.11.2025</t>
        </is>
      </c>
      <c r="I271" s="15" t="inlineStr">
        <is>
          <t xml:space="preserve">NGP</t>
        </is>
      </c>
      <c r="J271" s="15" t="inlineStr">
        <is>
          <t xml:space="preserve">in eCoA_DATABASE</t>
        </is>
      </c>
      <c r="K271" s="15"/>
      <c r="L271" s="15" t="inlineStr">
        <is>
          <t xml:space="preserve">20.39 % (w/w)</t>
        </is>
      </c>
      <c r="M271" s="15" t="inlineStr">
        <is>
          <t xml:space="preserve">220-2-K/26</t>
        </is>
      </c>
    </row>
    <row r="272">
      <c r="A272" s="15" t="inlineStr">
        <is>
          <t xml:space="preserve">2</t>
        </is>
      </c>
      <c r="B272" s="15" t="inlineStr">
        <is>
          <t xml:space="preserve">BSS052501</t>
        </is>
      </c>
      <c r="C272" s="15" t="inlineStr">
        <is>
          <t xml:space="preserve">P050192</t>
        </is>
      </c>
      <c r="D272" s="15" t="inlineStr">
        <is>
          <t xml:space="preserve">Blue Sunset Sherbet</t>
        </is>
      </c>
      <c r="E272" s="15" t="inlineStr">
        <is>
          <t xml:space="preserve">5 Assay — Total CBD</t>
        </is>
      </c>
      <c r="F272" s="15" t="inlineStr">
        <is>
          <t xml:space="preserve">CITED</t>
        </is>
      </c>
      <c r="G272" s="15" t="inlineStr">
        <is>
          <t xml:space="preserve">NGP-QCG-SOP-024 F3</t>
        </is>
      </c>
      <c r="H272" s="15" t="inlineStr">
        <is>
          <t xml:space="preserve">28.11.2025</t>
        </is>
      </c>
      <c r="I272" s="15" t="inlineStr">
        <is>
          <t xml:space="preserve">NGP</t>
        </is>
      </c>
      <c r="J272" s="15" t="inlineStr">
        <is>
          <t xml:space="preserve">in eCoA_DATABASE</t>
        </is>
      </c>
      <c r="K272" s="15"/>
      <c r="L272" s="15" t="inlineStr">
        <is>
          <t xml:space="preserve">0.11 % (w/w)</t>
        </is>
      </c>
      <c r="M272" s="15" t="inlineStr">
        <is>
          <t xml:space="preserve">220-2-K/26</t>
        </is>
      </c>
    </row>
    <row r="273">
      <c r="A273" s="15" t="inlineStr">
        <is>
          <t xml:space="preserve">2</t>
        </is>
      </c>
      <c r="B273" s="15" t="inlineStr">
        <is>
          <t xml:space="preserve">BSS052501</t>
        </is>
      </c>
      <c r="C273" s="15" t="inlineStr">
        <is>
          <t xml:space="preserve">P050192</t>
        </is>
      </c>
      <c r="D273" s="15" t="inlineStr">
        <is>
          <t xml:space="preserve">Blue Sunset Sherbet</t>
        </is>
      </c>
      <c r="E273" s="15" t="inlineStr">
        <is>
          <t xml:space="preserve">6 Total CBN</t>
        </is>
      </c>
      <c r="F273" s="15" t="inlineStr">
        <is>
          <t xml:space="preserve">CITED</t>
        </is>
      </c>
      <c r="G273" s="15" t="inlineStr">
        <is>
          <t xml:space="preserve">NGP-QCG-SOP-024 F3</t>
        </is>
      </c>
      <c r="H273" s="15" t="inlineStr">
        <is>
          <t xml:space="preserve">28.11.2025</t>
        </is>
      </c>
      <c r="I273" s="15" t="inlineStr">
        <is>
          <t xml:space="preserve">NGP</t>
        </is>
      </c>
      <c r="J273" s="15" t="inlineStr">
        <is>
          <t xml:space="preserve">in eCoA_DATABASE</t>
        </is>
      </c>
      <c r="K273" s="15"/>
      <c r="L273" s="15" t="inlineStr">
        <is>
          <t xml:space="preserve">0.05 % (w/w); 0.01 % (w/w); 0.96 % (w/w); 0.06 % (w/w); 22.16 % (w/w)</t>
        </is>
      </c>
      <c r="M273" s="15" t="inlineStr">
        <is>
          <t xml:space="preserve">220-2-K/26</t>
        </is>
      </c>
    </row>
    <row r="274">
      <c r="A274" s="15" t="inlineStr">
        <is>
          <t xml:space="preserve">2</t>
        </is>
      </c>
      <c r="B274" s="15" t="inlineStr">
        <is>
          <t xml:space="preserve">BSS052501</t>
        </is>
      </c>
      <c r="C274" s="15" t="inlineStr">
        <is>
          <t xml:space="preserve">P050192</t>
        </is>
      </c>
      <c r="D274" s="15" t="inlineStr">
        <is>
          <t xml:space="preserve">Blue Sunset Sherbet</t>
        </is>
      </c>
      <c r="E274" s="15" t="inlineStr">
        <is>
          <t xml:space="preserve">7 Foreign matter</t>
        </is>
      </c>
      <c r="F274" s="15" t="inlineStr">
        <is>
          <t xml:space="preserve">CITED</t>
        </is>
      </c>
      <c r="G274" s="15" t="inlineStr">
        <is>
          <t xml:space="preserve">iCoA-PP_26-025</t>
        </is>
      </c>
      <c r="H274" s="15" t="inlineStr">
        <is>
          <t xml:space="preserve">10.10.2025</t>
        </is>
      </c>
      <c r="I274" s="15" t="inlineStr">
        <is>
          <t xml:space="preserve">PP</t>
        </is>
      </c>
      <c r="J274" s="15" t="inlineStr">
        <is>
          <t xml:space="preserve">planned, NOT ISSUED (2026-05-15)</t>
        </is>
      </c>
      <c r="K274" s="15" t="inlineStr">
        <is>
          <t xml:space="preserve">YES — the certificate has not been issued</t>
        </is>
      </c>
      <c r="L274" s="15" t="inlineStr">
        <is>
          <t xml:space="preserve">Conforms</t>
        </is>
      </c>
      <c r="M274" s="15"/>
    </row>
    <row r="275">
      <c r="A275" s="15" t="inlineStr">
        <is>
          <t xml:space="preserve">2</t>
        </is>
      </c>
      <c r="B275" s="15" t="inlineStr">
        <is>
          <t xml:space="preserve">BSS052501</t>
        </is>
      </c>
      <c r="C275" s="15" t="inlineStr">
        <is>
          <t xml:space="preserve">P050192</t>
        </is>
      </c>
      <c r="D275" s="15" t="inlineStr">
        <is>
          <t xml:space="preserve">Blue Sunset Sherbet</t>
        </is>
      </c>
      <c r="E275" s="15" t="inlineStr">
        <is>
          <t xml:space="preserve">8 Loss on drying</t>
        </is>
      </c>
      <c r="F275" s="15" t="inlineStr">
        <is>
          <t xml:space="preserve">READ IN THIS PASS</t>
        </is>
      </c>
      <c r="G275" s="15" t="inlineStr">
        <is>
          <t xml:space="preserve">NGP-QCG-SOP-024 F3</t>
        </is>
      </c>
      <c r="H275" s="15" t="inlineStr">
        <is>
          <t xml:space="preserve">28.11.2025</t>
        </is>
      </c>
      <c r="I275" s="15" t="inlineStr">
        <is>
          <t xml:space="preserve">NGP</t>
        </is>
      </c>
      <c r="J275" s="15" t="inlineStr">
        <is>
          <t xml:space="preserve">in eCoA_DATABASE</t>
        </is>
      </c>
      <c r="K275" s="15"/>
      <c r="L275" s="15" t="inlineStr">
        <is>
          <t xml:space="preserve">8.60 %</t>
        </is>
      </c>
      <c r="M275" s="15"/>
    </row>
    <row r="276">
      <c r="A276" s="15" t="inlineStr">
        <is>
          <t xml:space="preserve">2</t>
        </is>
      </c>
      <c r="B276" s="15" t="inlineStr">
        <is>
          <t xml:space="preserve">BSS052501</t>
        </is>
      </c>
      <c r="C276" s="15" t="inlineStr">
        <is>
          <t xml:space="preserve">P050192</t>
        </is>
      </c>
      <c r="D276" s="15" t="inlineStr">
        <is>
          <t xml:space="preserve">Blue Sunset Sherbet</t>
        </is>
      </c>
      <c r="E276" s="15" t="inlineStr">
        <is>
          <t xml:space="preserve">9 Microbiological purity</t>
        </is>
      </c>
      <c r="F276" s="15" t="inlineStr">
        <is>
          <t xml:space="preserve">CITED</t>
        </is>
      </c>
      <c r="G276" s="15" t="inlineStr">
        <is>
          <t xml:space="preserve">1157-2058-25</t>
        </is>
      </c>
      <c r="H276" s="15" t="inlineStr">
        <is>
          <t xml:space="preserve">24.11.2025</t>
        </is>
      </c>
      <c r="I276" s="15" t="inlineStr">
        <is>
          <t xml:space="preserve">IJZ-MB</t>
        </is>
      </c>
      <c r="J276" s="15" t="inlineStr">
        <is>
          <t xml:space="preserve">in eCoA_DATABASE</t>
        </is>
      </c>
      <c r="K276" s="15"/>
      <c r="L276" s="15" t="inlineStr">
        <is>
          <t xml:space="preserve">200 CFU/g CFU/g; 200 CFU/g CFU/g; &lt; 10² и &gt;10 CFU/g CFU/g; Одговара /g; Одговара /25 g</t>
        </is>
      </c>
      <c r="M276" s="15" t="inlineStr">
        <is>
          <t xml:space="preserve">548/1079/26</t>
        </is>
      </c>
    </row>
    <row r="277">
      <c r="A277" s="15" t="inlineStr">
        <is>
          <t xml:space="preserve">2</t>
        </is>
      </c>
      <c r="B277" s="15" t="inlineStr">
        <is>
          <t xml:space="preserve">BSS052501</t>
        </is>
      </c>
      <c r="C277" s="15" t="inlineStr">
        <is>
          <t xml:space="preserve">P050192</t>
        </is>
      </c>
      <c r="D277" s="15" t="inlineStr">
        <is>
          <t xml:space="preserve">Blue Sunset Sherbet</t>
        </is>
      </c>
      <c r="E277" s="15" t="inlineStr">
        <is>
          <t xml:space="preserve">10 Mycotoxins</t>
        </is>
      </c>
      <c r="F277" s="15" t="inlineStr">
        <is>
          <t xml:space="preserve">CITED</t>
        </is>
      </c>
      <c r="G277" s="15" t="inlineStr">
        <is>
          <t xml:space="preserve">276-31-M-25</t>
        </is>
      </c>
      <c r="H277" s="15" t="inlineStr">
        <is>
          <t xml:space="preserve">04.12.2025</t>
        </is>
      </c>
      <c r="I277" s="15" t="inlineStr">
        <is>
          <t xml:space="preserve">FHM-M</t>
        </is>
      </c>
      <c r="J277" s="15" t="inlineStr">
        <is>
          <t xml:space="preserve">in eCoA_DATABASE</t>
        </is>
      </c>
      <c r="K277" s="15"/>
      <c r="L277" s="15" t="inlineStr">
        <is>
          <t xml:space="preserve">ND * μg/kg; ND * μg/kg; ND * μg/kg; ND * μg/kg; &lt;LOQ ** μg/kg</t>
        </is>
      </c>
      <c r="M277" s="15"/>
    </row>
    <row r="278">
      <c r="A278" s="15" t="inlineStr">
        <is>
          <t xml:space="preserve">2</t>
        </is>
      </c>
      <c r="B278" s="15" t="inlineStr">
        <is>
          <t xml:space="preserve">BSS052501</t>
        </is>
      </c>
      <c r="C278" s="15" t="inlineStr">
        <is>
          <t xml:space="preserve">P050192</t>
        </is>
      </c>
      <c r="D278" s="15" t="inlineStr">
        <is>
          <t xml:space="preserve">Blue Sunset Sherbet</t>
        </is>
      </c>
      <c r="E278" s="15" t="inlineStr">
        <is>
          <t xml:space="preserve">11 Heavy metals</t>
        </is>
      </c>
      <c r="F278" s="15" t="inlineStr">
        <is>
          <t xml:space="preserve">CITED</t>
        </is>
      </c>
      <c r="G278" s="15" t="inlineStr">
        <is>
          <t xml:space="preserve">5661-2025</t>
        </is>
      </c>
      <c r="H278" s="15" t="inlineStr">
        <is>
          <t xml:space="preserve">01.12.2025</t>
        </is>
      </c>
      <c r="I278" s="15" t="inlineStr">
        <is>
          <t xml:space="preserve">IJZ</t>
        </is>
      </c>
      <c r="J278" s="15" t="inlineStr">
        <is>
          <t xml:space="preserve">in eCoA_DATABASE</t>
        </is>
      </c>
      <c r="K278" s="15"/>
      <c r="L278" s="15" t="inlineStr">
        <is>
          <t xml:space="preserve">0,024 mg/kg; 0,004 mg/kg(l); 0,025 mg/kg(l); 0,0036 mg/kg(l)</t>
        </is>
      </c>
      <c r="M278" s="15"/>
    </row>
    <row r="279">
      <c r="A279" s="15" t="inlineStr">
        <is>
          <t xml:space="preserve">2</t>
        </is>
      </c>
      <c r="B279" s="15" t="inlineStr">
        <is>
          <t xml:space="preserve">BSS052501</t>
        </is>
      </c>
      <c r="C279" s="15" t="inlineStr">
        <is>
          <t xml:space="preserve">P050192</t>
        </is>
      </c>
      <c r="D279" s="15" t="inlineStr">
        <is>
          <t xml:space="preserve">Blue Sunset Sherbet</t>
        </is>
      </c>
      <c r="E279" s="15" t="inlineStr">
        <is>
          <t xml:space="preserve">12 Pesticide residues</t>
        </is>
      </c>
      <c r="F279" s="15" t="inlineStr">
        <is>
          <t xml:space="preserve">CITED</t>
        </is>
      </c>
      <c r="G279" s="15" t="inlineStr">
        <is>
          <t xml:space="preserve">10802_2845-2 EN</t>
        </is>
      </c>
      <c r="H279" s="15" t="inlineStr">
        <is>
          <t xml:space="preserve">17.11.2025</t>
        </is>
      </c>
      <c r="I279" s="15" t="inlineStr">
        <is>
          <t xml:space="preserve">DFL</t>
        </is>
      </c>
      <c r="J279" s="15" t="inlineStr">
        <is>
          <t xml:space="preserve">in eCoA_DATABASE</t>
        </is>
      </c>
      <c r="K279" s="15"/>
      <c r="L279" s="15" t="inlineStr">
        <is>
          <t xml:space="preserve">≤ LOQ (0.01 mg/kg) mg/kg</t>
        </is>
      </c>
      <c r="M279" s="15" t="inlineStr">
        <is>
          <t xml:space="preserve">10802_2845-2 MK</t>
        </is>
      </c>
    </row>
    <row r="280">
      <c r="A280" s="15" t="inlineStr">
        <is>
          <t xml:space="preserve">2</t>
        </is>
      </c>
      <c r="B280" s="15" t="inlineStr">
        <is>
          <t xml:space="preserve">CC012603</t>
        </is>
      </c>
      <c r="C280" s="15" t="inlineStr">
        <is>
          <t xml:space="preserve">P060372</t>
        </is>
      </c>
      <c r="D280" s="15" t="inlineStr">
        <is>
          <t xml:space="preserve">CashCow</t>
        </is>
      </c>
      <c r="E280" s="15" t="inlineStr">
        <is>
          <t xml:space="preserve">1 Identification A — appearance</t>
        </is>
      </c>
      <c r="F280" s="15" t="inlineStr">
        <is>
          <t xml:space="preserve">NOTHING ON FILE</t>
        </is>
      </c>
      <c r="G280" s="15" t="inlineStr">
        <is>
          <t xml:space="preserve">—</t>
        </is>
      </c>
      <c r="H280" s="15" t="inlineStr">
        <is>
          <t xml:space="preserve">—</t>
        </is>
      </c>
      <c r="I280" s="15" t="inlineStr">
        <is>
          <t xml:space="preserve">—</t>
        </is>
      </c>
      <c r="J280" s="15" t="inlineStr">
        <is>
          <t xml:space="preserve">no document anywhere</t>
        </is>
      </c>
      <c r="K280" s="15"/>
      <c r="L280" s="15" t="inlineStr">
        <is>
          <t xml:space="preserve">—</t>
        </is>
      </c>
      <c r="M280" s="15"/>
    </row>
    <row r="281">
      <c r="A281" s="15" t="inlineStr">
        <is>
          <t xml:space="preserve">2</t>
        </is>
      </c>
      <c r="B281" s="15" t="inlineStr">
        <is>
          <t xml:space="preserve">CC012603</t>
        </is>
      </c>
      <c r="C281" s="15" t="inlineStr">
        <is>
          <t xml:space="preserve">P060372</t>
        </is>
      </c>
      <c r="D281" s="15" t="inlineStr">
        <is>
          <t xml:space="preserve">CashCow</t>
        </is>
      </c>
      <c r="E281" s="15" t="inlineStr">
        <is>
          <t xml:space="preserve">2 Identification B — microscopy</t>
        </is>
      </c>
      <c r="F281" s="15" t="inlineStr">
        <is>
          <t xml:space="preserve">NOTHING ON FILE</t>
        </is>
      </c>
      <c r="G281" s="15" t="inlineStr">
        <is>
          <t xml:space="preserve">—</t>
        </is>
      </c>
      <c r="H281" s="15" t="inlineStr">
        <is>
          <t xml:space="preserve">—</t>
        </is>
      </c>
      <c r="I281" s="15" t="inlineStr">
        <is>
          <t xml:space="preserve">—</t>
        </is>
      </c>
      <c r="J281" s="15" t="inlineStr">
        <is>
          <t xml:space="preserve">no document anywhere</t>
        </is>
      </c>
      <c r="K281" s="15"/>
      <c r="L281" s="15" t="inlineStr">
        <is>
          <t xml:space="preserve">—</t>
        </is>
      </c>
      <c r="M281" s="15"/>
    </row>
    <row r="282">
      <c r="A282" s="15" t="inlineStr">
        <is>
          <t xml:space="preserve">2</t>
        </is>
      </c>
      <c r="B282" s="15" t="inlineStr">
        <is>
          <t xml:space="preserve">CC012603</t>
        </is>
      </c>
      <c r="C282" s="15" t="inlineStr">
        <is>
          <t xml:space="preserve">P060372</t>
        </is>
      </c>
      <c r="D282" s="15" t="inlineStr">
        <is>
          <t xml:space="preserve">CashCow</t>
        </is>
      </c>
      <c r="E282" s="15" t="inlineStr">
        <is>
          <t xml:space="preserve">3 Identification C — HPLC</t>
        </is>
      </c>
      <c r="F282" s="15" t="inlineStr">
        <is>
          <t xml:space="preserve">READ IN THIS PASS</t>
        </is>
      </c>
      <c r="G282" s="15" t="inlineStr">
        <is>
          <t xml:space="preserve">220-29-K/26</t>
        </is>
      </c>
      <c r="H282" s="15" t="inlineStr">
        <is>
          <t xml:space="preserve">26.08.2026</t>
        </is>
      </c>
      <c r="I282" s="15" t="inlineStr">
        <is>
          <t xml:space="preserve">FHM</t>
        </is>
      </c>
      <c r="J282" s="15" t="inlineStr">
        <is>
          <t xml:space="preserve">in eCoA_DATABASE</t>
        </is>
      </c>
      <c r="K282" s="15"/>
      <c r="L282" s="15" t="inlineStr">
        <is>
          <t xml:space="preserve">identity by the HPLC cannabinoid profile on this certificate</t>
        </is>
      </c>
      <c r="M282" s="15"/>
    </row>
    <row r="283">
      <c r="A283" s="15" t="inlineStr">
        <is>
          <t xml:space="preserve">2</t>
        </is>
      </c>
      <c r="B283" s="15" t="inlineStr">
        <is>
          <t xml:space="preserve">CC012603</t>
        </is>
      </c>
      <c r="C283" s="15" t="inlineStr">
        <is>
          <t xml:space="preserve">P060372</t>
        </is>
      </c>
      <c r="D283" s="15" t="inlineStr">
        <is>
          <t xml:space="preserve">CashCow</t>
        </is>
      </c>
      <c r="E283" s="15" t="inlineStr">
        <is>
          <t xml:space="preserve">4 Assay — Total Δ⁹-THC</t>
        </is>
      </c>
      <c r="F283" s="15" t="inlineStr">
        <is>
          <t xml:space="preserve">READ IN THIS PASS</t>
        </is>
      </c>
      <c r="G283" s="15" t="inlineStr">
        <is>
          <t xml:space="preserve">220-29-K/26</t>
        </is>
      </c>
      <c r="H283" s="15" t="inlineStr">
        <is>
          <t xml:space="preserve">26.08.2026</t>
        </is>
      </c>
      <c r="I283" s="15" t="inlineStr">
        <is>
          <t xml:space="preserve">FHM</t>
        </is>
      </c>
      <c r="J283" s="15" t="inlineStr">
        <is>
          <t xml:space="preserve">in eCoA_DATABASE</t>
        </is>
      </c>
      <c r="K283" s="15"/>
      <c r="L283" s="15" t="inlineStr">
        <is>
          <t xml:space="preserve">14.76 % w/w</t>
        </is>
      </c>
      <c r="M283" s="15"/>
    </row>
    <row r="284">
      <c r="A284" s="15" t="inlineStr">
        <is>
          <t xml:space="preserve">2</t>
        </is>
      </c>
      <c r="B284" s="15" t="inlineStr">
        <is>
          <t xml:space="preserve">CC012603</t>
        </is>
      </c>
      <c r="C284" s="15" t="inlineStr">
        <is>
          <t xml:space="preserve">P060372</t>
        </is>
      </c>
      <c r="D284" s="15" t="inlineStr">
        <is>
          <t xml:space="preserve">CashCow</t>
        </is>
      </c>
      <c r="E284" s="15" t="inlineStr">
        <is>
          <t xml:space="preserve">5 Assay — Total CBD</t>
        </is>
      </c>
      <c r="F284" s="15" t="inlineStr">
        <is>
          <t xml:space="preserve">READ IN THIS PASS</t>
        </is>
      </c>
      <c r="G284" s="15" t="inlineStr">
        <is>
          <t xml:space="preserve">220-29-K/26</t>
        </is>
      </c>
      <c r="H284" s="15" t="inlineStr">
        <is>
          <t xml:space="preserve">26.08.2026</t>
        </is>
      </c>
      <c r="I284" s="15" t="inlineStr">
        <is>
          <t xml:space="preserve">FHM</t>
        </is>
      </c>
      <c r="J284" s="15" t="inlineStr">
        <is>
          <t xml:space="preserve">in eCoA_DATABASE</t>
        </is>
      </c>
      <c r="K284" s="15"/>
      <c r="L284" s="15" t="inlineStr">
        <is>
          <t xml:space="preserve">&lt; LOQ % w/w</t>
        </is>
      </c>
      <c r="M284" s="15"/>
    </row>
    <row r="285">
      <c r="A285" s="15" t="inlineStr">
        <is>
          <t xml:space="preserve">2</t>
        </is>
      </c>
      <c r="B285" s="15" t="inlineStr">
        <is>
          <t xml:space="preserve">CC012603</t>
        </is>
      </c>
      <c r="C285" s="15" t="inlineStr">
        <is>
          <t xml:space="preserve">P060372</t>
        </is>
      </c>
      <c r="D285" s="15" t="inlineStr">
        <is>
          <t xml:space="preserve">CashCow</t>
        </is>
      </c>
      <c r="E285" s="15" t="inlineStr">
        <is>
          <t xml:space="preserve">6 Total CBN</t>
        </is>
      </c>
      <c r="F285" s="15" t="inlineStr">
        <is>
          <t xml:space="preserve">READ IN THIS PASS</t>
        </is>
      </c>
      <c r="G285" s="15" t="inlineStr">
        <is>
          <t xml:space="preserve">220-29-K/26</t>
        </is>
      </c>
      <c r="H285" s="15" t="inlineStr">
        <is>
          <t xml:space="preserve">26.08.2026</t>
        </is>
      </c>
      <c r="I285" s="15" t="inlineStr">
        <is>
          <t xml:space="preserve">FHM</t>
        </is>
      </c>
      <c r="J285" s="15" t="inlineStr">
        <is>
          <t xml:space="preserve">in eCoA_DATABASE</t>
        </is>
      </c>
      <c r="K285" s="15"/>
      <c r="L285" s="15" t="inlineStr">
        <is>
          <t xml:space="preserve">&lt; LOQ % w/w</t>
        </is>
      </c>
      <c r="M285" s="15"/>
    </row>
    <row r="286">
      <c r="A286" s="15" t="inlineStr">
        <is>
          <t xml:space="preserve">2</t>
        </is>
      </c>
      <c r="B286" s="15" t="inlineStr">
        <is>
          <t xml:space="preserve">CC012603</t>
        </is>
      </c>
      <c r="C286" s="15" t="inlineStr">
        <is>
          <t xml:space="preserve">P060372</t>
        </is>
      </c>
      <c r="D286" s="15" t="inlineStr">
        <is>
          <t xml:space="preserve">CashCow</t>
        </is>
      </c>
      <c r="E286" s="15" t="inlineStr">
        <is>
          <t xml:space="preserve">7 Foreign matter</t>
        </is>
      </c>
      <c r="F286" s="15" t="inlineStr">
        <is>
          <t xml:space="preserve">NOTHING ON FILE</t>
        </is>
      </c>
      <c r="G286" s="15" t="inlineStr">
        <is>
          <t xml:space="preserve">—</t>
        </is>
      </c>
      <c r="H286" s="15" t="inlineStr">
        <is>
          <t xml:space="preserve">—</t>
        </is>
      </c>
      <c r="I286" s="15" t="inlineStr">
        <is>
          <t xml:space="preserve">—</t>
        </is>
      </c>
      <c r="J286" s="15" t="inlineStr">
        <is>
          <t xml:space="preserve">no document anywhere</t>
        </is>
      </c>
      <c r="K286" s="15"/>
      <c r="L286" s="15" t="inlineStr">
        <is>
          <t xml:space="preserve">—</t>
        </is>
      </c>
      <c r="M286" s="15"/>
    </row>
    <row r="287">
      <c r="A287" s="15" t="inlineStr">
        <is>
          <t xml:space="preserve">2</t>
        </is>
      </c>
      <c r="B287" s="15" t="inlineStr">
        <is>
          <t xml:space="preserve">CC012603</t>
        </is>
      </c>
      <c r="C287" s="15" t="inlineStr">
        <is>
          <t xml:space="preserve">P060372</t>
        </is>
      </c>
      <c r="D287" s="15" t="inlineStr">
        <is>
          <t xml:space="preserve">CashCow</t>
        </is>
      </c>
      <c r="E287" s="15" t="inlineStr">
        <is>
          <t xml:space="preserve">8 Loss on drying</t>
        </is>
      </c>
      <c r="F287" s="15" t="inlineStr">
        <is>
          <t xml:space="preserve">NOTHING ON FILE</t>
        </is>
      </c>
      <c r="G287" s="15" t="inlineStr">
        <is>
          <t xml:space="preserve">—</t>
        </is>
      </c>
      <c r="H287" s="15" t="inlineStr">
        <is>
          <t xml:space="preserve">—</t>
        </is>
      </c>
      <c r="I287" s="15" t="inlineStr">
        <is>
          <t xml:space="preserve">—</t>
        </is>
      </c>
      <c r="J287" s="15" t="inlineStr">
        <is>
          <t xml:space="preserve">no document anywhere</t>
        </is>
      </c>
      <c r="K287" s="15"/>
      <c r="L287" s="15" t="inlineStr">
        <is>
          <t xml:space="preserve">—</t>
        </is>
      </c>
      <c r="M287" s="15"/>
    </row>
    <row r="288">
      <c r="A288" s="15" t="inlineStr">
        <is>
          <t xml:space="preserve">2</t>
        </is>
      </c>
      <c r="B288" s="15" t="inlineStr">
        <is>
          <t xml:space="preserve">CC012603</t>
        </is>
      </c>
      <c r="C288" s="15" t="inlineStr">
        <is>
          <t xml:space="preserve">P060372</t>
        </is>
      </c>
      <c r="D288" s="15" t="inlineStr">
        <is>
          <t xml:space="preserve">CashCow</t>
        </is>
      </c>
      <c r="E288" s="15" t="inlineStr">
        <is>
          <t xml:space="preserve">9 Microbiological purity</t>
        </is>
      </c>
      <c r="F288" s="15" t="inlineStr">
        <is>
          <t xml:space="preserve">READ IN THIS PASS</t>
        </is>
      </c>
      <c r="G288" s="15" t="inlineStr">
        <is>
          <t xml:space="preserve">363/0693/26</t>
        </is>
      </c>
      <c r="H288" s="15" t="inlineStr">
        <is>
          <t xml:space="preserve">01.06.2026</t>
        </is>
      </c>
      <c r="I288" s="15" t="inlineStr">
        <is>
          <t xml:space="preserve">IJZ-MB</t>
        </is>
      </c>
      <c r="J288" s="15" t="inlineStr">
        <is>
          <t xml:space="preserve">in eCoA_DATABASE</t>
        </is>
      </c>
      <c r="K288" s="15"/>
      <c r="L288" s="15" t="inlineStr">
        <is>
          <t xml:space="preserve">2,7 x 10³ CFU/g CFU/g; 1,6 x 10⁴ CFU/g CFU/g; &lt; 10 CFU/g CFU/g; Отсутна /g; Отсутна /25 g</t>
        </is>
      </c>
      <c r="M288" s="15"/>
    </row>
    <row r="289">
      <c r="A289" s="15" t="inlineStr">
        <is>
          <t xml:space="preserve">2</t>
        </is>
      </c>
      <c r="B289" s="15" t="inlineStr">
        <is>
          <t xml:space="preserve">CC012603</t>
        </is>
      </c>
      <c r="C289" s="15" t="inlineStr">
        <is>
          <t xml:space="preserve">P060372</t>
        </is>
      </c>
      <c r="D289" s="15" t="inlineStr">
        <is>
          <t xml:space="preserve">CashCow</t>
        </is>
      </c>
      <c r="E289" s="15" t="inlineStr">
        <is>
          <t xml:space="preserve">10 Mycotoxins</t>
        </is>
      </c>
      <c r="F289" s="15" t="inlineStr">
        <is>
          <t xml:space="preserve">NOTHING ON FILE</t>
        </is>
      </c>
      <c r="G289" s="15" t="inlineStr">
        <is>
          <t xml:space="preserve">—</t>
        </is>
      </c>
      <c r="H289" s="15" t="inlineStr">
        <is>
          <t xml:space="preserve">—</t>
        </is>
      </c>
      <c r="I289" s="15" t="inlineStr">
        <is>
          <t xml:space="preserve">—</t>
        </is>
      </c>
      <c r="J289" s="15" t="inlineStr">
        <is>
          <t xml:space="preserve">no document anywhere</t>
        </is>
      </c>
      <c r="K289" s="15"/>
      <c r="L289" s="15" t="inlineStr">
        <is>
          <t xml:space="preserve">—</t>
        </is>
      </c>
      <c r="M289" s="15"/>
    </row>
    <row r="290">
      <c r="A290" s="15" t="inlineStr">
        <is>
          <t xml:space="preserve">2</t>
        </is>
      </c>
      <c r="B290" s="15" t="inlineStr">
        <is>
          <t xml:space="preserve">CC012603</t>
        </is>
      </c>
      <c r="C290" s="15" t="inlineStr">
        <is>
          <t xml:space="preserve">P060372</t>
        </is>
      </c>
      <c r="D290" s="15" t="inlineStr">
        <is>
          <t xml:space="preserve">CashCow</t>
        </is>
      </c>
      <c r="E290" s="15" t="inlineStr">
        <is>
          <t xml:space="preserve">11 Heavy metals</t>
        </is>
      </c>
      <c r="F290" s="15" t="inlineStr">
        <is>
          <t xml:space="preserve">NOTHING ON FILE</t>
        </is>
      </c>
      <c r="G290" s="15" t="inlineStr">
        <is>
          <t xml:space="preserve">—</t>
        </is>
      </c>
      <c r="H290" s="15" t="inlineStr">
        <is>
          <t xml:space="preserve">—</t>
        </is>
      </c>
      <c r="I290" s="15" t="inlineStr">
        <is>
          <t xml:space="preserve">—</t>
        </is>
      </c>
      <c r="J290" s="15" t="inlineStr">
        <is>
          <t xml:space="preserve">no document anywhere</t>
        </is>
      </c>
      <c r="K290" s="15"/>
      <c r="L290" s="15" t="inlineStr">
        <is>
          <t xml:space="preserve">—</t>
        </is>
      </c>
      <c r="M290" s="15"/>
    </row>
    <row r="291">
      <c r="A291" s="15" t="inlineStr">
        <is>
          <t xml:space="preserve">2</t>
        </is>
      </c>
      <c r="B291" s="15" t="inlineStr">
        <is>
          <t xml:space="preserve">CC012603</t>
        </is>
      </c>
      <c r="C291" s="15" t="inlineStr">
        <is>
          <t xml:space="preserve">P060372</t>
        </is>
      </c>
      <c r="D291" s="15" t="inlineStr">
        <is>
          <t xml:space="preserve">CashCow</t>
        </is>
      </c>
      <c r="E291" s="15" t="inlineStr">
        <is>
          <t xml:space="preserve">12 Pesticide residues</t>
        </is>
      </c>
      <c r="F291" s="15" t="inlineStr">
        <is>
          <t xml:space="preserve">NOTHING ON FILE</t>
        </is>
      </c>
      <c r="G291" s="15" t="inlineStr">
        <is>
          <t xml:space="preserve">—</t>
        </is>
      </c>
      <c r="H291" s="15" t="inlineStr">
        <is>
          <t xml:space="preserve">—</t>
        </is>
      </c>
      <c r="I291" s="15" t="inlineStr">
        <is>
          <t xml:space="preserve">—</t>
        </is>
      </c>
      <c r="J291" s="15" t="inlineStr">
        <is>
          <t xml:space="preserve">no document anywhere</t>
        </is>
      </c>
      <c r="K291" s="15"/>
      <c r="L291" s="15" t="inlineStr">
        <is>
          <t xml:space="preserve">—</t>
        </is>
      </c>
      <c r="M291" s="15"/>
    </row>
    <row r="292">
      <c r="A292" s="15" t="inlineStr">
        <is>
          <t xml:space="preserve">2</t>
        </is>
      </c>
      <c r="B292" s="15" t="inlineStr">
        <is>
          <t xml:space="preserve">CF102501</t>
        </is>
      </c>
      <c r="C292" s="15" t="inlineStr">
        <is>
          <t xml:space="preserve">P060132</t>
        </is>
      </c>
      <c r="D292" s="15" t="inlineStr">
        <is>
          <t xml:space="preserve">Chem Flyer</t>
        </is>
      </c>
      <c r="E292" s="15" t="inlineStr">
        <is>
          <t xml:space="preserve">1 Identification A — appearance</t>
        </is>
      </c>
      <c r="F292" s="15" t="inlineStr">
        <is>
          <t xml:space="preserve">NOTHING ON FILE</t>
        </is>
      </c>
      <c r="G292" s="15" t="inlineStr">
        <is>
          <t xml:space="preserve">—</t>
        </is>
      </c>
      <c r="H292" s="15" t="inlineStr">
        <is>
          <t xml:space="preserve">—</t>
        </is>
      </c>
      <c r="I292" s="15" t="inlineStr">
        <is>
          <t xml:space="preserve">—</t>
        </is>
      </c>
      <c r="J292" s="15" t="inlineStr">
        <is>
          <t xml:space="preserve">no document anywhere</t>
        </is>
      </c>
      <c r="K292" s="15"/>
      <c r="L292" s="15" t="inlineStr">
        <is>
          <t xml:space="preserve">—</t>
        </is>
      </c>
      <c r="M292" s="15"/>
    </row>
    <row r="293">
      <c r="A293" s="15" t="inlineStr">
        <is>
          <t xml:space="preserve">2</t>
        </is>
      </c>
      <c r="B293" s="15" t="inlineStr">
        <is>
          <t xml:space="preserve">CF102501</t>
        </is>
      </c>
      <c r="C293" s="15" t="inlineStr">
        <is>
          <t xml:space="preserve">P060132</t>
        </is>
      </c>
      <c r="D293" s="15" t="inlineStr">
        <is>
          <t xml:space="preserve">Chem Flyer</t>
        </is>
      </c>
      <c r="E293" s="15" t="inlineStr">
        <is>
          <t xml:space="preserve">2 Identification B — microscopy</t>
        </is>
      </c>
      <c r="F293" s="15" t="inlineStr">
        <is>
          <t xml:space="preserve">NOTHING ON FILE</t>
        </is>
      </c>
      <c r="G293" s="15" t="inlineStr">
        <is>
          <t xml:space="preserve">—</t>
        </is>
      </c>
      <c r="H293" s="15" t="inlineStr">
        <is>
          <t xml:space="preserve">—</t>
        </is>
      </c>
      <c r="I293" s="15" t="inlineStr">
        <is>
          <t xml:space="preserve">—</t>
        </is>
      </c>
      <c r="J293" s="15" t="inlineStr">
        <is>
          <t xml:space="preserve">no document anywhere</t>
        </is>
      </c>
      <c r="K293" s="15"/>
      <c r="L293" s="15" t="inlineStr">
        <is>
          <t xml:space="preserve">—</t>
        </is>
      </c>
      <c r="M293" s="15"/>
    </row>
    <row r="294">
      <c r="A294" s="15" t="inlineStr">
        <is>
          <t xml:space="preserve">2</t>
        </is>
      </c>
      <c r="B294" s="15" t="inlineStr">
        <is>
          <t xml:space="preserve">CF102501</t>
        </is>
      </c>
      <c r="C294" s="15" t="inlineStr">
        <is>
          <t xml:space="preserve">P060132</t>
        </is>
      </c>
      <c r="D294" s="15" t="inlineStr">
        <is>
          <t xml:space="preserve">Chem Flyer</t>
        </is>
      </c>
      <c r="E294" s="15" t="inlineStr">
        <is>
          <t xml:space="preserve">3 Identification C — HPLC</t>
        </is>
      </c>
      <c r="F294" s="15" t="inlineStr">
        <is>
          <t xml:space="preserve">READ IN THIS PASS</t>
        </is>
      </c>
      <c r="G294" s="15" t="inlineStr">
        <is>
          <t xml:space="preserve">031-4-K/26</t>
        </is>
      </c>
      <c r="H294" s="15" t="inlineStr">
        <is>
          <t xml:space="preserve">10.02.2026</t>
        </is>
      </c>
      <c r="I294" s="15" t="inlineStr">
        <is>
          <t xml:space="preserve">FHM</t>
        </is>
      </c>
      <c r="J294" s="15" t="inlineStr">
        <is>
          <t xml:space="preserve">in eCoA_DATABASE</t>
        </is>
      </c>
      <c r="K294" s="15"/>
      <c r="L294" s="15" t="inlineStr">
        <is>
          <t xml:space="preserve">identity by the HPLC cannabinoid profile on this certificate</t>
        </is>
      </c>
      <c r="M294" s="15" t="inlineStr">
        <is>
          <t xml:space="preserve">220-6-K/26</t>
        </is>
      </c>
    </row>
    <row r="295">
      <c r="A295" s="15" t="inlineStr">
        <is>
          <t xml:space="preserve">2</t>
        </is>
      </c>
      <c r="B295" s="15" t="inlineStr">
        <is>
          <t xml:space="preserve">CF102501</t>
        </is>
      </c>
      <c r="C295" s="15" t="inlineStr">
        <is>
          <t xml:space="preserve">P060132</t>
        </is>
      </c>
      <c r="D295" s="15" t="inlineStr">
        <is>
          <t xml:space="preserve">Chem Flyer</t>
        </is>
      </c>
      <c r="E295" s="15" t="inlineStr">
        <is>
          <t xml:space="preserve">4 Assay — Total Δ⁹-THC</t>
        </is>
      </c>
      <c r="F295" s="15" t="inlineStr">
        <is>
          <t xml:space="preserve">READ IN THIS PASS</t>
        </is>
      </c>
      <c r="G295" s="15" t="inlineStr">
        <is>
          <t xml:space="preserve">031-4-K/26</t>
        </is>
      </c>
      <c r="H295" s="15" t="inlineStr">
        <is>
          <t xml:space="preserve">10.02.2026</t>
        </is>
      </c>
      <c r="I295" s="15" t="inlineStr">
        <is>
          <t xml:space="preserve">FHM</t>
        </is>
      </c>
      <c r="J295" s="15" t="inlineStr">
        <is>
          <t xml:space="preserve">in eCoA_DATABASE</t>
        </is>
      </c>
      <c r="K295" s="15"/>
      <c r="L295" s="15" t="inlineStr">
        <is>
          <t xml:space="preserve">9.83 %w/w; 0.60 %; 9.83 %w/w; 0.60 %</t>
        </is>
      </c>
      <c r="M295" s="15" t="inlineStr">
        <is>
          <t xml:space="preserve">220-6-K/26</t>
        </is>
      </c>
    </row>
    <row r="296">
      <c r="A296" s="15" t="inlineStr">
        <is>
          <t xml:space="preserve">2</t>
        </is>
      </c>
      <c r="B296" s="15" t="inlineStr">
        <is>
          <t xml:space="preserve">CF102501</t>
        </is>
      </c>
      <c r="C296" s="15" t="inlineStr">
        <is>
          <t xml:space="preserve">P060132</t>
        </is>
      </c>
      <c r="D296" s="15" t="inlineStr">
        <is>
          <t xml:space="preserve">Chem Flyer</t>
        </is>
      </c>
      <c r="E296" s="15" t="inlineStr">
        <is>
          <t xml:space="preserve">5 Assay — Total CBD</t>
        </is>
      </c>
      <c r="F296" s="15" t="inlineStr">
        <is>
          <t xml:space="preserve">READ IN THIS PASS</t>
        </is>
      </c>
      <c r="G296" s="15" t="inlineStr">
        <is>
          <t xml:space="preserve">031-4-K/26</t>
        </is>
      </c>
      <c r="H296" s="15" t="inlineStr">
        <is>
          <t xml:space="preserve">10.02.2026</t>
        </is>
      </c>
      <c r="I296" s="15" t="inlineStr">
        <is>
          <t xml:space="preserve">FHM</t>
        </is>
      </c>
      <c r="J296" s="15" t="inlineStr">
        <is>
          <t xml:space="preserve">in eCoA_DATABASE</t>
        </is>
      </c>
      <c r="K296" s="15"/>
      <c r="L296" s="15" t="inlineStr">
        <is>
          <t xml:space="preserve">&lt;LOQ** %w/w; &lt;LOQ** %w/w</t>
        </is>
      </c>
      <c r="M296" s="15" t="inlineStr">
        <is>
          <t xml:space="preserve">220-6-K/26</t>
        </is>
      </c>
    </row>
    <row r="297">
      <c r="A297" s="15" t="inlineStr">
        <is>
          <t xml:space="preserve">2</t>
        </is>
      </c>
      <c r="B297" s="15" t="inlineStr">
        <is>
          <t xml:space="preserve">CF102501</t>
        </is>
      </c>
      <c r="C297" s="15" t="inlineStr">
        <is>
          <t xml:space="preserve">P060132</t>
        </is>
      </c>
      <c r="D297" s="15" t="inlineStr">
        <is>
          <t xml:space="preserve">Chem Flyer</t>
        </is>
      </c>
      <c r="E297" s="15" t="inlineStr">
        <is>
          <t xml:space="preserve">6 Total CBN</t>
        </is>
      </c>
      <c r="F297" s="15" t="inlineStr">
        <is>
          <t xml:space="preserve">READ IN THIS PASS</t>
        </is>
      </c>
      <c r="G297" s="15" t="inlineStr">
        <is>
          <t xml:space="preserve">031-4-K/26</t>
        </is>
      </c>
      <c r="H297" s="15" t="inlineStr">
        <is>
          <t xml:space="preserve">10.02.2026</t>
        </is>
      </c>
      <c r="I297" s="15" t="inlineStr">
        <is>
          <t xml:space="preserve">FHM</t>
        </is>
      </c>
      <c r="J297" s="15" t="inlineStr">
        <is>
          <t xml:space="preserve">in eCoA_DATABASE</t>
        </is>
      </c>
      <c r="K297" s="15"/>
      <c r="L297" s="15" t="inlineStr">
        <is>
          <t xml:space="preserve">&lt;LOQ** %w/w; &lt;LOQ** %w/w</t>
        </is>
      </c>
      <c r="M297" s="15" t="inlineStr">
        <is>
          <t xml:space="preserve">220-6-K/26</t>
        </is>
      </c>
    </row>
    <row r="298">
      <c r="A298" s="15" t="inlineStr">
        <is>
          <t xml:space="preserve">2</t>
        </is>
      </c>
      <c r="B298" s="15" t="inlineStr">
        <is>
          <t xml:space="preserve">CF102501</t>
        </is>
      </c>
      <c r="C298" s="15" t="inlineStr">
        <is>
          <t xml:space="preserve">P060132</t>
        </is>
      </c>
      <c r="D298" s="15" t="inlineStr">
        <is>
          <t xml:space="preserve">Chem Flyer</t>
        </is>
      </c>
      <c r="E298" s="15" t="inlineStr">
        <is>
          <t xml:space="preserve">7 Foreign matter</t>
        </is>
      </c>
      <c r="F298" s="15" t="inlineStr">
        <is>
          <t xml:space="preserve">NOTHING ON FILE</t>
        </is>
      </c>
      <c r="G298" s="15" t="inlineStr">
        <is>
          <t xml:space="preserve">—</t>
        </is>
      </c>
      <c r="H298" s="15" t="inlineStr">
        <is>
          <t xml:space="preserve">—</t>
        </is>
      </c>
      <c r="I298" s="15" t="inlineStr">
        <is>
          <t xml:space="preserve">—</t>
        </is>
      </c>
      <c r="J298" s="15" t="inlineStr">
        <is>
          <t xml:space="preserve">no document anywhere</t>
        </is>
      </c>
      <c r="K298" s="15"/>
      <c r="L298" s="15" t="inlineStr">
        <is>
          <t xml:space="preserve">—</t>
        </is>
      </c>
      <c r="M298" s="15"/>
    </row>
    <row r="299">
      <c r="A299" s="15" t="inlineStr">
        <is>
          <t xml:space="preserve">2</t>
        </is>
      </c>
      <c r="B299" s="15" t="inlineStr">
        <is>
          <t xml:space="preserve">CF102501</t>
        </is>
      </c>
      <c r="C299" s="15" t="inlineStr">
        <is>
          <t xml:space="preserve">P060132</t>
        </is>
      </c>
      <c r="D299" s="15" t="inlineStr">
        <is>
          <t xml:space="preserve">Chem Flyer</t>
        </is>
      </c>
      <c r="E299" s="15" t="inlineStr">
        <is>
          <t xml:space="preserve">8 Loss on drying</t>
        </is>
      </c>
      <c r="F299" s="15" t="inlineStr">
        <is>
          <t xml:space="preserve">READ IN THIS PASS</t>
        </is>
      </c>
      <c r="G299" s="15" t="inlineStr">
        <is>
          <t xml:space="preserve">031-4-LoD/26</t>
        </is>
      </c>
      <c r="H299" s="15" t="inlineStr">
        <is>
          <t xml:space="preserve">12.02.2026</t>
        </is>
      </c>
      <c r="I299" s="15" t="inlineStr">
        <is>
          <t xml:space="preserve">FHM</t>
        </is>
      </c>
      <c r="J299" s="15" t="inlineStr">
        <is>
          <t xml:space="preserve">in eCoA_DATABASE</t>
        </is>
      </c>
      <c r="K299" s="15"/>
      <c r="L299" s="15" t="inlineStr">
        <is>
          <t xml:space="preserve">5,6 %</t>
        </is>
      </c>
      <c r="M299" s="15"/>
    </row>
    <row r="300">
      <c r="A300" s="15" t="inlineStr">
        <is>
          <t xml:space="preserve">2</t>
        </is>
      </c>
      <c r="B300" s="15" t="inlineStr">
        <is>
          <t xml:space="preserve">CF102501</t>
        </is>
      </c>
      <c r="C300" s="15" t="inlineStr">
        <is>
          <t xml:space="preserve">P060132</t>
        </is>
      </c>
      <c r="D300" s="15" t="inlineStr">
        <is>
          <t xml:space="preserve">Chem Flyer</t>
        </is>
      </c>
      <c r="E300" s="15" t="inlineStr">
        <is>
          <t xml:space="preserve">9 Microbiological purity</t>
        </is>
      </c>
      <c r="F300" s="15" t="inlineStr">
        <is>
          <t xml:space="preserve">READ IN THIS PASS</t>
        </is>
      </c>
      <c r="G300" s="15" t="inlineStr">
        <is>
          <t xml:space="preserve">73/0116/26</t>
        </is>
      </c>
      <c r="H300" s="15" t="inlineStr">
        <is>
          <t xml:space="preserve">09.02.2026</t>
        </is>
      </c>
      <c r="I300" s="15" t="inlineStr">
        <is>
          <t xml:space="preserve">IJZ-MB</t>
        </is>
      </c>
      <c r="J300" s="15" t="inlineStr">
        <is>
          <t xml:space="preserve">in eCoA_DATABASE</t>
        </is>
      </c>
      <c r="K300" s="15"/>
      <c r="L300" s="15" t="inlineStr">
        <is>
          <t xml:space="preserve">3,1 x 10⁴ CFU/g CFU/g; 3,9 x 10⁴ CFU/g CFU/g; &lt; 10³ и 10² CFU/g CFU/g; Одговара; Одговара</t>
        </is>
      </c>
      <c r="M300" s="15"/>
    </row>
    <row r="301">
      <c r="A301" s="15" t="inlineStr">
        <is>
          <t xml:space="preserve">2</t>
        </is>
      </c>
      <c r="B301" s="15" t="inlineStr">
        <is>
          <t xml:space="preserve">CF102501</t>
        </is>
      </c>
      <c r="C301" s="15" t="inlineStr">
        <is>
          <t xml:space="preserve">P060132</t>
        </is>
      </c>
      <c r="D301" s="15" t="inlineStr">
        <is>
          <t xml:space="preserve">Chem Flyer</t>
        </is>
      </c>
      <c r="E301" s="15" t="inlineStr">
        <is>
          <t xml:space="preserve">10 Mycotoxins</t>
        </is>
      </c>
      <c r="F301" s="15" t="inlineStr">
        <is>
          <t xml:space="preserve">READ IN THIS PASS</t>
        </is>
      </c>
      <c r="G301" s="15" t="inlineStr">
        <is>
          <t xml:space="preserve">330/2026</t>
        </is>
      </c>
      <c r="H301" s="15" t="inlineStr">
        <is>
          <t xml:space="preserve">11.02.2026</t>
        </is>
      </c>
      <c r="I301" s="15" t="inlineStr">
        <is>
          <t xml:space="preserve">IJZ</t>
        </is>
      </c>
      <c r="J301" s="15" t="inlineStr">
        <is>
          <t xml:space="preserve">in eCoA_DATABASE</t>
        </is>
      </c>
      <c r="K301" s="15"/>
      <c r="L301" s="15" t="inlineStr">
        <is>
          <t xml:space="preserve">2,1 µg/kg</t>
        </is>
      </c>
      <c r="M301" s="15"/>
    </row>
    <row r="302">
      <c r="A302" s="15" t="inlineStr">
        <is>
          <t xml:space="preserve">2</t>
        </is>
      </c>
      <c r="B302" s="15" t="inlineStr">
        <is>
          <t xml:space="preserve">CF102501</t>
        </is>
      </c>
      <c r="C302" s="15" t="inlineStr">
        <is>
          <t xml:space="preserve">P060132</t>
        </is>
      </c>
      <c r="D302" s="15" t="inlineStr">
        <is>
          <t xml:space="preserve">Chem Flyer</t>
        </is>
      </c>
      <c r="E302" s="15" t="inlineStr">
        <is>
          <t xml:space="preserve">11 Heavy metals</t>
        </is>
      </c>
      <c r="F302" s="15" t="inlineStr">
        <is>
          <t xml:space="preserve">READ IN THIS PASS</t>
        </is>
      </c>
      <c r="G302" s="15" t="inlineStr">
        <is>
          <t xml:space="preserve">330/2026</t>
        </is>
      </c>
      <c r="H302" s="15" t="inlineStr">
        <is>
          <t xml:space="preserve">11.02.2026</t>
        </is>
      </c>
      <c r="I302" s="15" t="inlineStr">
        <is>
          <t xml:space="preserve">IJZ</t>
        </is>
      </c>
      <c r="J302" s="15" t="inlineStr">
        <is>
          <t xml:space="preserve">in eCoA_DATABASE</t>
        </is>
      </c>
      <c r="K302" s="15"/>
      <c r="L302" s="15" t="inlineStr">
        <is>
          <t xml:space="preserve">0,07 mg/kg(l); 0,0942 mg/kg(l); н.д. mg/kg(l); н.д. mg/kg(l)</t>
        </is>
      </c>
      <c r="M302" s="15"/>
    </row>
    <row r="303">
      <c r="A303" s="15" t="inlineStr">
        <is>
          <t xml:space="preserve">2</t>
        </is>
      </c>
      <c r="B303" s="15" t="inlineStr">
        <is>
          <t xml:space="preserve">CF102501</t>
        </is>
      </c>
      <c r="C303" s="15" t="inlineStr">
        <is>
          <t xml:space="preserve">P060132</t>
        </is>
      </c>
      <c r="D303" s="15" t="inlineStr">
        <is>
          <t xml:space="preserve">Chem Flyer</t>
        </is>
      </c>
      <c r="E303" s="15" t="inlineStr">
        <is>
          <t xml:space="preserve">12 Pesticide residues</t>
        </is>
      </c>
      <c r="F303" s="15" t="inlineStr">
        <is>
          <t xml:space="preserve">READ IN THIS PASS</t>
        </is>
      </c>
      <c r="G303" s="15" t="inlineStr">
        <is>
          <t xml:space="preserve">330/2026</t>
        </is>
      </c>
      <c r="H303" s="15" t="inlineStr">
        <is>
          <t xml:space="preserve">11.02.2026</t>
        </is>
      </c>
      <c r="I303" s="15" t="inlineStr">
        <is>
          <t xml:space="preserve">IJZ</t>
        </is>
      </c>
      <c r="J303" s="15" t="inlineStr">
        <is>
          <t xml:space="preserve">in eCoA_DATABASE</t>
        </is>
      </c>
      <c r="K303" s="15"/>
      <c r="L303" s="15" t="inlineStr">
        <is>
          <t xml:space="preserve">н.д. mg/kg; н.д. mg/kg; н.д. mg/kg; н.д. mg/kg; н.д. mg/kg; н.д. mg/kg; н.д. mg/kg; н.д. mg/kg; н.д. mg/kg; н.д. mg/kg; н.д. mg/kg; н.д. mg/kg; н.д. mg/kg; н.д. mg/kg; н.д. mg/kg; н.д. mg/kg; н.д. mg/kg; н.д. mg/kg; н.д. mg/kg; н.д. mg/kg; н.д. mg/kg; н.д. mg/kg; н.д. mg/kg; н.д. mg/kg; н.д. mg/kg; </t>
        </is>
      </c>
      <c r="M303" s="15"/>
    </row>
    <row r="304">
      <c r="A304" s="15" t="inlineStr">
        <is>
          <t xml:space="preserve">2</t>
        </is>
      </c>
      <c r="B304" s="15" t="inlineStr">
        <is>
          <t xml:space="preserve">CJ062501/1</t>
        </is>
      </c>
      <c r="C304" s="15" t="inlineStr">
        <is>
          <t xml:space="preserve">P050222</t>
        </is>
      </c>
      <c r="D304" s="15" t="inlineStr">
        <is>
          <t xml:space="preserve">Cap Junky</t>
        </is>
      </c>
      <c r="E304" s="15" t="inlineStr">
        <is>
          <t xml:space="preserve">1 Identification A — appearance</t>
        </is>
      </c>
      <c r="F304" s="15" t="inlineStr">
        <is>
          <t xml:space="preserve">CITED</t>
        </is>
      </c>
      <c r="G304" s="15" t="inlineStr">
        <is>
          <t xml:space="preserve">iCoA-PP_26-028</t>
        </is>
      </c>
      <c r="H304" s="15" t="inlineStr">
        <is>
          <t xml:space="preserve">24.11.2025</t>
        </is>
      </c>
      <c r="I304" s="15" t="inlineStr">
        <is>
          <t xml:space="preserve">PP</t>
        </is>
      </c>
      <c r="J304" s="15" t="inlineStr">
        <is>
          <t xml:space="preserve">planned, NOT ISSUED (2026-05-15)</t>
        </is>
      </c>
      <c r="K304" s="15" t="inlineStr">
        <is>
          <t xml:space="preserve">YES — the certificate has not been issued</t>
        </is>
      </c>
      <c r="L304" s="15" t="inlineStr">
        <is>
          <t xml:space="preserve">Conforms</t>
        </is>
      </c>
      <c r="M304" s="15"/>
    </row>
    <row r="305">
      <c r="A305" s="15" t="inlineStr">
        <is>
          <t xml:space="preserve">2</t>
        </is>
      </c>
      <c r="B305" s="15" t="inlineStr">
        <is>
          <t xml:space="preserve">CJ062501/1</t>
        </is>
      </c>
      <c r="C305" s="15" t="inlineStr">
        <is>
          <t xml:space="preserve">P050222</t>
        </is>
      </c>
      <c r="D305" s="15" t="inlineStr">
        <is>
          <t xml:space="preserve">Cap Junky</t>
        </is>
      </c>
      <c r="E305" s="15" t="inlineStr">
        <is>
          <t xml:space="preserve">2 Identification B — microscopy</t>
        </is>
      </c>
      <c r="F305" s="15" t="inlineStr">
        <is>
          <t xml:space="preserve">CITED</t>
        </is>
      </c>
      <c r="G305" s="15" t="inlineStr">
        <is>
          <t xml:space="preserve">iCoA-PP_26-028</t>
        </is>
      </c>
      <c r="H305" s="15" t="inlineStr">
        <is>
          <t xml:space="preserve">24.11.2025</t>
        </is>
      </c>
      <c r="I305" s="15" t="inlineStr">
        <is>
          <t xml:space="preserve">PP</t>
        </is>
      </c>
      <c r="J305" s="15" t="inlineStr">
        <is>
          <t xml:space="preserve">planned, NOT ISSUED (2026-05-15)</t>
        </is>
      </c>
      <c r="K305" s="15" t="inlineStr">
        <is>
          <t xml:space="preserve">YES — the certificate has not been issued</t>
        </is>
      </c>
      <c r="L305" s="15" t="inlineStr">
        <is>
          <t xml:space="preserve">Conforms</t>
        </is>
      </c>
      <c r="M305" s="15"/>
    </row>
    <row r="306">
      <c r="A306" s="15" t="inlineStr">
        <is>
          <t xml:space="preserve">2</t>
        </is>
      </c>
      <c r="B306" s="15" t="inlineStr">
        <is>
          <t xml:space="preserve">CJ062501/1</t>
        </is>
      </c>
      <c r="C306" s="15" t="inlineStr">
        <is>
          <t xml:space="preserve">P050222</t>
        </is>
      </c>
      <c r="D306" s="15" t="inlineStr">
        <is>
          <t xml:space="preserve">Cap Junky</t>
        </is>
      </c>
      <c r="E306" s="15" t="inlineStr">
        <is>
          <t xml:space="preserve">3 Identification C — HPLC</t>
        </is>
      </c>
      <c r="F306" s="15" t="inlineStr">
        <is>
          <t xml:space="preserve">CITED</t>
        </is>
      </c>
      <c r="G306" s="15" t="inlineStr">
        <is>
          <t xml:space="preserve">ППК25321</t>
        </is>
      </c>
      <c r="H306" s="15" t="inlineStr">
        <is>
          <t xml:space="preserve">23.10.2025</t>
        </is>
      </c>
      <c r="I306" s="15" t="inlineStr">
        <is>
          <t xml:space="preserve">CNP</t>
        </is>
      </c>
      <c r="J306" s="15" t="inlineStr">
        <is>
          <t xml:space="preserve">in eCoA_DATABASE</t>
        </is>
      </c>
      <c r="K306" s="15"/>
      <c r="L306" s="15" t="inlineStr">
        <is>
          <t xml:space="preserve">Conforms (ImB spec.)</t>
        </is>
      </c>
      <c r="M306" s="15" t="inlineStr">
        <is>
          <t xml:space="preserve">220-3-K/26</t>
        </is>
      </c>
    </row>
    <row r="307">
      <c r="A307" s="15" t="inlineStr">
        <is>
          <t xml:space="preserve">2</t>
        </is>
      </c>
      <c r="B307" s="15" t="inlineStr">
        <is>
          <t xml:space="preserve">CJ062501/1</t>
        </is>
      </c>
      <c r="C307" s="15" t="inlineStr">
        <is>
          <t xml:space="preserve">P050222</t>
        </is>
      </c>
      <c r="D307" s="15" t="inlineStr">
        <is>
          <t xml:space="preserve">Cap Junky</t>
        </is>
      </c>
      <c r="E307" s="15" t="inlineStr">
        <is>
          <t xml:space="preserve">4 Assay — Total Δ⁹-THC</t>
        </is>
      </c>
      <c r="F307" s="15" t="inlineStr">
        <is>
          <t xml:space="preserve">CITED</t>
        </is>
      </c>
      <c r="G307" s="15" t="inlineStr">
        <is>
          <t xml:space="preserve">ППК25321</t>
        </is>
      </c>
      <c r="H307" s="15" t="inlineStr">
        <is>
          <t xml:space="preserve">23.10.2025</t>
        </is>
      </c>
      <c r="I307" s="15" t="inlineStr">
        <is>
          <t xml:space="preserve">CNP</t>
        </is>
      </c>
      <c r="J307" s="15" t="inlineStr">
        <is>
          <t xml:space="preserve">in eCoA_DATABASE</t>
        </is>
      </c>
      <c r="K307" s="15"/>
      <c r="L307" s="15" t="inlineStr">
        <is>
          <t xml:space="preserve">21.51</t>
        </is>
      </c>
      <c r="M307" s="15" t="inlineStr">
        <is>
          <t xml:space="preserve">220-3-K/26</t>
        </is>
      </c>
    </row>
    <row r="308">
      <c r="A308" s="15" t="inlineStr">
        <is>
          <t xml:space="preserve">2</t>
        </is>
      </c>
      <c r="B308" s="15" t="inlineStr">
        <is>
          <t xml:space="preserve">CJ062501/1</t>
        </is>
      </c>
      <c r="C308" s="15" t="inlineStr">
        <is>
          <t xml:space="preserve">P050222</t>
        </is>
      </c>
      <c r="D308" s="15" t="inlineStr">
        <is>
          <t xml:space="preserve">Cap Junky</t>
        </is>
      </c>
      <c r="E308" s="15" t="inlineStr">
        <is>
          <t xml:space="preserve">5 Assay — Total CBD</t>
        </is>
      </c>
      <c r="F308" s="15" t="inlineStr">
        <is>
          <t xml:space="preserve">CITED</t>
        </is>
      </c>
      <c r="G308" s="15" t="inlineStr">
        <is>
          <t xml:space="preserve">ППК25321</t>
        </is>
      </c>
      <c r="H308" s="15" t="inlineStr">
        <is>
          <t xml:space="preserve">23.10.2025</t>
        </is>
      </c>
      <c r="I308" s="15" t="inlineStr">
        <is>
          <t xml:space="preserve">CNP</t>
        </is>
      </c>
      <c r="J308" s="15" t="inlineStr">
        <is>
          <t xml:space="preserve">in eCoA_DATABASE</t>
        </is>
      </c>
      <c r="K308" s="15"/>
      <c r="L308" s="15" t="inlineStr">
        <is>
          <t xml:space="preserve">0.07</t>
        </is>
      </c>
      <c r="M308" s="15" t="inlineStr">
        <is>
          <t xml:space="preserve">220-3-K/26</t>
        </is>
      </c>
    </row>
    <row r="309">
      <c r="A309" s="15" t="inlineStr">
        <is>
          <t xml:space="preserve">2</t>
        </is>
      </c>
      <c r="B309" s="15" t="inlineStr">
        <is>
          <t xml:space="preserve">CJ062501/1</t>
        </is>
      </c>
      <c r="C309" s="15" t="inlineStr">
        <is>
          <t xml:space="preserve">P050222</t>
        </is>
      </c>
      <c r="D309" s="15" t="inlineStr">
        <is>
          <t xml:space="preserve">Cap Junky</t>
        </is>
      </c>
      <c r="E309" s="15" t="inlineStr">
        <is>
          <t xml:space="preserve">6 Total CBN</t>
        </is>
      </c>
      <c r="F309" s="15" t="inlineStr">
        <is>
          <t xml:space="preserve">CITED</t>
        </is>
      </c>
      <c r="G309" s="15" t="inlineStr">
        <is>
          <t xml:space="preserve">ППК25321</t>
        </is>
      </c>
      <c r="H309" s="15" t="inlineStr">
        <is>
          <t xml:space="preserve">23.10.2025</t>
        </is>
      </c>
      <c r="I309" s="15" t="inlineStr">
        <is>
          <t xml:space="preserve">CNP</t>
        </is>
      </c>
      <c r="J309" s="15" t="inlineStr">
        <is>
          <t xml:space="preserve">in eCoA_DATABASE</t>
        </is>
      </c>
      <c r="K309" s="15"/>
      <c r="L309" s="15" t="inlineStr">
        <is>
          <t xml:space="preserve">0.02 ᴰ</t>
        </is>
      </c>
      <c r="M309" s="15" t="inlineStr">
        <is>
          <t xml:space="preserve">220-3-K/26</t>
        </is>
      </c>
    </row>
    <row r="310">
      <c r="A310" s="15" t="inlineStr">
        <is>
          <t xml:space="preserve">2</t>
        </is>
      </c>
      <c r="B310" s="15" t="inlineStr">
        <is>
          <t xml:space="preserve">CJ062501/1</t>
        </is>
      </c>
      <c r="C310" s="15" t="inlineStr">
        <is>
          <t xml:space="preserve">P050222</t>
        </is>
      </c>
      <c r="D310" s="15" t="inlineStr">
        <is>
          <t xml:space="preserve">Cap Junky</t>
        </is>
      </c>
      <c r="E310" s="15" t="inlineStr">
        <is>
          <t xml:space="preserve">7 Foreign matter</t>
        </is>
      </c>
      <c r="F310" s="15" t="inlineStr">
        <is>
          <t xml:space="preserve">CITED</t>
        </is>
      </c>
      <c r="G310" s="15" t="inlineStr">
        <is>
          <t xml:space="preserve">iCoA-PP_26-028</t>
        </is>
      </c>
      <c r="H310" s="15" t="inlineStr">
        <is>
          <t xml:space="preserve">24.11.2025</t>
        </is>
      </c>
      <c r="I310" s="15" t="inlineStr">
        <is>
          <t xml:space="preserve">PP</t>
        </is>
      </c>
      <c r="J310" s="15" t="inlineStr">
        <is>
          <t xml:space="preserve">planned, NOT ISSUED (2026-05-15)</t>
        </is>
      </c>
      <c r="K310" s="15" t="inlineStr">
        <is>
          <t xml:space="preserve">YES — the certificate has not been issued</t>
        </is>
      </c>
      <c r="L310" s="15" t="inlineStr">
        <is>
          <t xml:space="preserve">Conforms</t>
        </is>
      </c>
      <c r="M310" s="15"/>
    </row>
    <row r="311">
      <c r="A311" s="15" t="inlineStr">
        <is>
          <t xml:space="preserve">2</t>
        </is>
      </c>
      <c r="B311" s="15" t="inlineStr">
        <is>
          <t xml:space="preserve">CJ062501/1</t>
        </is>
      </c>
      <c r="C311" s="15" t="inlineStr">
        <is>
          <t xml:space="preserve">P050222</t>
        </is>
      </c>
      <c r="D311" s="15" t="inlineStr">
        <is>
          <t xml:space="preserve">Cap Junky</t>
        </is>
      </c>
      <c r="E311" s="15" t="inlineStr">
        <is>
          <t xml:space="preserve">8 Loss on drying</t>
        </is>
      </c>
      <c r="F311" s="15" t="inlineStr">
        <is>
          <t xml:space="preserve">CITED</t>
        </is>
      </c>
      <c r="G311" s="15" t="inlineStr">
        <is>
          <t xml:space="preserve">ППК25321</t>
        </is>
      </c>
      <c r="H311" s="15" t="inlineStr">
        <is>
          <t xml:space="preserve">23.10.2025</t>
        </is>
      </c>
      <c r="I311" s="15" t="inlineStr">
        <is>
          <t xml:space="preserve">CNP</t>
        </is>
      </c>
      <c r="J311" s="15" t="inlineStr">
        <is>
          <t xml:space="preserve">in eCoA_DATABASE</t>
        </is>
      </c>
      <c r="K311" s="15"/>
      <c r="L311" s="15" t="inlineStr">
        <is>
          <t xml:space="preserve">7.77</t>
        </is>
      </c>
      <c r="M311" s="15"/>
    </row>
    <row r="312">
      <c r="A312" s="15" t="inlineStr">
        <is>
          <t xml:space="preserve">2</t>
        </is>
      </c>
      <c r="B312" s="15" t="inlineStr">
        <is>
          <t xml:space="preserve">CJ062501/1</t>
        </is>
      </c>
      <c r="C312" s="15" t="inlineStr">
        <is>
          <t xml:space="preserve">P050222</t>
        </is>
      </c>
      <c r="D312" s="15" t="inlineStr">
        <is>
          <t xml:space="preserve">Cap Junky</t>
        </is>
      </c>
      <c r="E312" s="15" t="inlineStr">
        <is>
          <t xml:space="preserve">9 Microbiological purity</t>
        </is>
      </c>
      <c r="F312" s="15" t="inlineStr">
        <is>
          <t xml:space="preserve">CITED</t>
        </is>
      </c>
      <c r="G312" s="15" t="inlineStr">
        <is>
          <t xml:space="preserve">1217-2168-25</t>
        </is>
      </c>
      <c r="H312" s="15" t="inlineStr">
        <is>
          <t xml:space="preserve">01.12.2025</t>
        </is>
      </c>
      <c r="I312" s="15" t="inlineStr">
        <is>
          <t xml:space="preserve">IJZ-MB</t>
        </is>
      </c>
      <c r="J312" s="15" t="inlineStr">
        <is>
          <t xml:space="preserve">in eCoA_DATABASE</t>
        </is>
      </c>
      <c r="K312" s="15"/>
      <c r="L312" s="15" t="inlineStr">
        <is>
          <t xml:space="preserve">&lt;10; 20; &lt;10; Одговара; Одговара</t>
        </is>
      </c>
      <c r="M312" s="15" t="inlineStr">
        <is>
          <t xml:space="preserve">535/1066/26</t>
        </is>
      </c>
    </row>
    <row r="313">
      <c r="A313" s="15" t="inlineStr">
        <is>
          <t xml:space="preserve">2</t>
        </is>
      </c>
      <c r="B313" s="15" t="inlineStr">
        <is>
          <t xml:space="preserve">CJ062501/1</t>
        </is>
      </c>
      <c r="C313" s="15" t="inlineStr">
        <is>
          <t xml:space="preserve">P050222</t>
        </is>
      </c>
      <c r="D313" s="15" t="inlineStr">
        <is>
          <t xml:space="preserve">Cap Junky</t>
        </is>
      </c>
      <c r="E313" s="15" t="inlineStr">
        <is>
          <t xml:space="preserve">10 Mycotoxins</t>
        </is>
      </c>
      <c r="F313" s="15" t="inlineStr">
        <is>
          <t xml:space="preserve">CITED</t>
        </is>
      </c>
      <c r="G313" s="15" t="inlineStr">
        <is>
          <t xml:space="preserve">4907-2025</t>
        </is>
      </c>
      <c r="H313" s="15" t="inlineStr">
        <is>
          <t xml:space="preserve">24.10.2025</t>
        </is>
      </c>
      <c r="I313" s="15" t="inlineStr">
        <is>
          <t xml:space="preserve">IJZ</t>
        </is>
      </c>
      <c r="J313" s="15" t="inlineStr">
        <is>
          <t xml:space="preserve">in eCoA_DATABASE</t>
        </is>
      </c>
      <c r="K313" s="15"/>
      <c r="L313" s="15" t="inlineStr">
        <is>
          <t xml:space="preserve">n.r.; &lt;2; n.r.</t>
        </is>
      </c>
      <c r="M313" s="15"/>
    </row>
    <row r="314">
      <c r="A314" s="15" t="inlineStr">
        <is>
          <t xml:space="preserve">2</t>
        </is>
      </c>
      <c r="B314" s="15" t="inlineStr">
        <is>
          <t xml:space="preserve">CJ062501/1</t>
        </is>
      </c>
      <c r="C314" s="15" t="inlineStr">
        <is>
          <t xml:space="preserve">P050222</t>
        </is>
      </c>
      <c r="D314" s="15" t="inlineStr">
        <is>
          <t xml:space="preserve">Cap Junky</t>
        </is>
      </c>
      <c r="E314" s="15" t="inlineStr">
        <is>
          <t xml:space="preserve">11 Heavy metals</t>
        </is>
      </c>
      <c r="F314" s="15" t="inlineStr">
        <is>
          <t xml:space="preserve">CITED</t>
        </is>
      </c>
      <c r="G314" s="15" t="inlineStr">
        <is>
          <t xml:space="preserve">4907-2025</t>
        </is>
      </c>
      <c r="H314" s="15" t="inlineStr">
        <is>
          <t xml:space="preserve">24.10.2025</t>
        </is>
      </c>
      <c r="I314" s="15" t="inlineStr">
        <is>
          <t xml:space="preserve">IJZ</t>
        </is>
      </c>
      <c r="J314" s="15" t="inlineStr">
        <is>
          <t xml:space="preserve">in eCoA_DATABASE</t>
        </is>
      </c>
      <c r="K314" s="15"/>
      <c r="L314" s="15" t="inlineStr">
        <is>
          <t xml:space="preserve">0.037; 0.002; 0.027; 0.017</t>
        </is>
      </c>
      <c r="M314" s="15"/>
    </row>
    <row r="315">
      <c r="A315" s="15" t="inlineStr">
        <is>
          <t xml:space="preserve">2</t>
        </is>
      </c>
      <c r="B315" s="15" t="inlineStr">
        <is>
          <t xml:space="preserve">CJ062501/1</t>
        </is>
      </c>
      <c r="C315" s="15" t="inlineStr">
        <is>
          <t xml:space="preserve">P050222</t>
        </is>
      </c>
      <c r="D315" s="15" t="inlineStr">
        <is>
          <t xml:space="preserve">Cap Junky</t>
        </is>
      </c>
      <c r="E315" s="15" t="inlineStr">
        <is>
          <t xml:space="preserve">12 Pesticide residues</t>
        </is>
      </c>
      <c r="F315" s="15" t="inlineStr">
        <is>
          <t xml:space="preserve">CITED</t>
        </is>
      </c>
      <c r="G315" s="15" t="inlineStr">
        <is>
          <t xml:space="preserve">4907-2025</t>
        </is>
      </c>
      <c r="H315" s="15" t="inlineStr">
        <is>
          <t xml:space="preserve">24.10.2025</t>
        </is>
      </c>
      <c r="I315" s="15" t="inlineStr">
        <is>
          <t xml:space="preserve">IJZ</t>
        </is>
      </c>
      <c r="J315" s="15" t="inlineStr">
        <is>
          <t xml:space="preserve">in eCoA_DATABASE</t>
        </is>
      </c>
      <c r="K315" s="15"/>
      <c r="L315" s="15" t="inlineStr">
        <is>
          <t xml:space="preserve">≤ LOQ (all 29 compounds)</t>
        </is>
      </c>
      <c r="M315" s="15"/>
    </row>
    <row r="316">
      <c r="A316" s="15" t="inlineStr">
        <is>
          <t xml:space="preserve">2</t>
        </is>
      </c>
      <c r="B316" s="15" t="inlineStr">
        <is>
          <t xml:space="preserve">CJ082501/1</t>
        </is>
      </c>
      <c r="C316" s="15" t="inlineStr">
        <is>
          <t xml:space="preserve">P060022</t>
        </is>
      </c>
      <c r="D316" s="15" t="inlineStr">
        <is>
          <t xml:space="preserve">Cap Junky</t>
        </is>
      </c>
      <c r="E316" s="15" t="inlineStr">
        <is>
          <t xml:space="preserve">1 Identification A — appearance</t>
        </is>
      </c>
      <c r="F316" s="15" t="inlineStr">
        <is>
          <t xml:space="preserve">CITED</t>
        </is>
      </c>
      <c r="G316" s="15" t="inlineStr">
        <is>
          <t xml:space="preserve">iCoA-PP_26-038</t>
        </is>
      </c>
      <c r="H316" s="15" t="inlineStr">
        <is>
          <t xml:space="preserve">16.01.2026</t>
        </is>
      </c>
      <c r="I316" s="15" t="inlineStr">
        <is>
          <t xml:space="preserve">PP</t>
        </is>
      </c>
      <c r="J316" s="15" t="inlineStr">
        <is>
          <t xml:space="preserve">planned, NOT ISSUED (2026-05-15)</t>
        </is>
      </c>
      <c r="K316" s="15" t="inlineStr">
        <is>
          <t xml:space="preserve">YES — the certificate has not been issued</t>
        </is>
      </c>
      <c r="L316" s="15" t="inlineStr">
        <is>
          <t xml:space="preserve">Conforms</t>
        </is>
      </c>
      <c r="M316" s="15"/>
    </row>
    <row r="317">
      <c r="A317" s="15" t="inlineStr">
        <is>
          <t xml:space="preserve">2</t>
        </is>
      </c>
      <c r="B317" s="15" t="inlineStr">
        <is>
          <t xml:space="preserve">CJ082501/1</t>
        </is>
      </c>
      <c r="C317" s="15" t="inlineStr">
        <is>
          <t xml:space="preserve">P060022</t>
        </is>
      </c>
      <c r="D317" s="15" t="inlineStr">
        <is>
          <t xml:space="preserve">Cap Junky</t>
        </is>
      </c>
      <c r="E317" s="15" t="inlineStr">
        <is>
          <t xml:space="preserve">2 Identification B — microscopy</t>
        </is>
      </c>
      <c r="F317" s="15" t="inlineStr">
        <is>
          <t xml:space="preserve">CITED</t>
        </is>
      </c>
      <c r="G317" s="15" t="inlineStr">
        <is>
          <t xml:space="preserve">iCoA-PP_26-038</t>
        </is>
      </c>
      <c r="H317" s="15" t="inlineStr">
        <is>
          <t xml:space="preserve">16.01.2026</t>
        </is>
      </c>
      <c r="I317" s="15" t="inlineStr">
        <is>
          <t xml:space="preserve">PP</t>
        </is>
      </c>
      <c r="J317" s="15" t="inlineStr">
        <is>
          <t xml:space="preserve">planned, NOT ISSUED (2026-05-15)</t>
        </is>
      </c>
      <c r="K317" s="15" t="inlineStr">
        <is>
          <t xml:space="preserve">YES — the certificate has not been issued</t>
        </is>
      </c>
      <c r="L317" s="15" t="inlineStr">
        <is>
          <t xml:space="preserve">Conforms</t>
        </is>
      </c>
      <c r="M317" s="15"/>
    </row>
    <row r="318">
      <c r="A318" s="15" t="inlineStr">
        <is>
          <t xml:space="preserve">2</t>
        </is>
      </c>
      <c r="B318" s="15" t="inlineStr">
        <is>
          <t xml:space="preserve">CJ082501/1</t>
        </is>
      </c>
      <c r="C318" s="15" t="inlineStr">
        <is>
          <t xml:space="preserve">P060022</t>
        </is>
      </c>
      <c r="D318" s="15" t="inlineStr">
        <is>
          <t xml:space="preserve">Cap Junky</t>
        </is>
      </c>
      <c r="E318" s="15" t="inlineStr">
        <is>
          <t xml:space="preserve">3 Identification C — HPLC</t>
        </is>
      </c>
      <c r="F318" s="15" t="inlineStr">
        <is>
          <t xml:space="preserve">CITED</t>
        </is>
      </c>
      <c r="G318" s="15" t="inlineStr">
        <is>
          <t xml:space="preserve">ППК26002</t>
        </is>
      </c>
      <c r="H318" s="15" t="inlineStr">
        <is>
          <t xml:space="preserve">21.01.2026</t>
        </is>
      </c>
      <c r="I318" s="15" t="inlineStr">
        <is>
          <t xml:space="preserve">CNP</t>
        </is>
      </c>
      <c r="J318" s="15" t="inlineStr">
        <is>
          <t xml:space="preserve">in eCoA_DATABASE</t>
        </is>
      </c>
      <c r="K318" s="15"/>
      <c r="L318" s="15" t="inlineStr">
        <is>
          <t xml:space="preserve">Conforms (ImB spec.)</t>
        </is>
      </c>
      <c r="M318" s="15" t="inlineStr">
        <is>
          <t xml:space="preserve">220-4-K/26</t>
        </is>
      </c>
    </row>
    <row r="319">
      <c r="A319" s="15" t="inlineStr">
        <is>
          <t xml:space="preserve">2</t>
        </is>
      </c>
      <c r="B319" s="15" t="inlineStr">
        <is>
          <t xml:space="preserve">CJ082501/1</t>
        </is>
      </c>
      <c r="C319" s="15" t="inlineStr">
        <is>
          <t xml:space="preserve">P060022</t>
        </is>
      </c>
      <c r="D319" s="15" t="inlineStr">
        <is>
          <t xml:space="preserve">Cap Junky</t>
        </is>
      </c>
      <c r="E319" s="15" t="inlineStr">
        <is>
          <t xml:space="preserve">4 Assay — Total Δ⁹-THC</t>
        </is>
      </c>
      <c r="F319" s="15" t="inlineStr">
        <is>
          <t xml:space="preserve">CITED</t>
        </is>
      </c>
      <c r="G319" s="15" t="inlineStr">
        <is>
          <t xml:space="preserve">ППК26002</t>
        </is>
      </c>
      <c r="H319" s="15" t="inlineStr">
        <is>
          <t xml:space="preserve">21.01.2026</t>
        </is>
      </c>
      <c r="I319" s="15" t="inlineStr">
        <is>
          <t xml:space="preserve">CNP</t>
        </is>
      </c>
      <c r="J319" s="15" t="inlineStr">
        <is>
          <t xml:space="preserve">in eCoA_DATABASE</t>
        </is>
      </c>
      <c r="K319" s="15"/>
      <c r="L319" s="15" t="inlineStr">
        <is>
          <t xml:space="preserve">24.96</t>
        </is>
      </c>
      <c r="M319" s="15" t="inlineStr">
        <is>
          <t xml:space="preserve">220-4-K/26</t>
        </is>
      </c>
    </row>
    <row r="320">
      <c r="A320" s="15" t="inlineStr">
        <is>
          <t xml:space="preserve">2</t>
        </is>
      </c>
      <c r="B320" s="15" t="inlineStr">
        <is>
          <t xml:space="preserve">CJ082501/1</t>
        </is>
      </c>
      <c r="C320" s="15" t="inlineStr">
        <is>
          <t xml:space="preserve">P060022</t>
        </is>
      </c>
      <c r="D320" s="15" t="inlineStr">
        <is>
          <t xml:space="preserve">Cap Junky</t>
        </is>
      </c>
      <c r="E320" s="15" t="inlineStr">
        <is>
          <t xml:space="preserve">5 Assay — Total CBD</t>
        </is>
      </c>
      <c r="F320" s="15" t="inlineStr">
        <is>
          <t xml:space="preserve">CITED</t>
        </is>
      </c>
      <c r="G320" s="15" t="inlineStr">
        <is>
          <t xml:space="preserve">ППК26002</t>
        </is>
      </c>
      <c r="H320" s="15" t="inlineStr">
        <is>
          <t xml:space="preserve">21.01.2026</t>
        </is>
      </c>
      <c r="I320" s="15" t="inlineStr">
        <is>
          <t xml:space="preserve">CNP</t>
        </is>
      </c>
      <c r="J320" s="15" t="inlineStr">
        <is>
          <t xml:space="preserve">in eCoA_DATABASE</t>
        </is>
      </c>
      <c r="K320" s="15"/>
      <c r="L320" s="15" t="inlineStr">
        <is>
          <t xml:space="preserve">0.09</t>
        </is>
      </c>
      <c r="M320" s="15" t="inlineStr">
        <is>
          <t xml:space="preserve">220-4-K/26</t>
        </is>
      </c>
    </row>
    <row r="321">
      <c r="A321" s="15" t="inlineStr">
        <is>
          <t xml:space="preserve">2</t>
        </is>
      </c>
      <c r="B321" s="15" t="inlineStr">
        <is>
          <t xml:space="preserve">CJ082501/1</t>
        </is>
      </c>
      <c r="C321" s="15" t="inlineStr">
        <is>
          <t xml:space="preserve">P060022</t>
        </is>
      </c>
      <c r="D321" s="15" t="inlineStr">
        <is>
          <t xml:space="preserve">Cap Junky</t>
        </is>
      </c>
      <c r="E321" s="15" t="inlineStr">
        <is>
          <t xml:space="preserve">6 Total CBN</t>
        </is>
      </c>
      <c r="F321" s="15" t="inlineStr">
        <is>
          <t xml:space="preserve">CITED</t>
        </is>
      </c>
      <c r="G321" s="15" t="inlineStr">
        <is>
          <t xml:space="preserve">ППК26002</t>
        </is>
      </c>
      <c r="H321" s="15" t="inlineStr">
        <is>
          <t xml:space="preserve">21.01.2026</t>
        </is>
      </c>
      <c r="I321" s="15" t="inlineStr">
        <is>
          <t xml:space="preserve">CNP</t>
        </is>
      </c>
      <c r="J321" s="15" t="inlineStr">
        <is>
          <t xml:space="preserve">in eCoA_DATABASE</t>
        </is>
      </c>
      <c r="K321" s="15"/>
      <c r="L321" s="15" t="inlineStr">
        <is>
          <t xml:space="preserve">0.02 % ᴰ</t>
        </is>
      </c>
      <c r="M321" s="15" t="inlineStr">
        <is>
          <t xml:space="preserve">220-4-K/26</t>
        </is>
      </c>
    </row>
    <row r="322">
      <c r="A322" s="15" t="inlineStr">
        <is>
          <t xml:space="preserve">2</t>
        </is>
      </c>
      <c r="B322" s="15" t="inlineStr">
        <is>
          <t xml:space="preserve">CJ082501/1</t>
        </is>
      </c>
      <c r="C322" s="15" t="inlineStr">
        <is>
          <t xml:space="preserve">P060022</t>
        </is>
      </c>
      <c r="D322" s="15" t="inlineStr">
        <is>
          <t xml:space="preserve">Cap Junky</t>
        </is>
      </c>
      <c r="E322" s="15" t="inlineStr">
        <is>
          <t xml:space="preserve">7 Foreign matter</t>
        </is>
      </c>
      <c r="F322" s="15" t="inlineStr">
        <is>
          <t xml:space="preserve">CITED</t>
        </is>
      </c>
      <c r="G322" s="15" t="inlineStr">
        <is>
          <t xml:space="preserve">iCoA-PP_26-038</t>
        </is>
      </c>
      <c r="H322" s="15" t="inlineStr">
        <is>
          <t xml:space="preserve">16.01.2026</t>
        </is>
      </c>
      <c r="I322" s="15" t="inlineStr">
        <is>
          <t xml:space="preserve">PP</t>
        </is>
      </c>
      <c r="J322" s="15" t="inlineStr">
        <is>
          <t xml:space="preserve">planned, NOT ISSUED (2026-05-15)</t>
        </is>
      </c>
      <c r="K322" s="15" t="inlineStr">
        <is>
          <t xml:space="preserve">YES — the certificate has not been issued</t>
        </is>
      </c>
      <c r="L322" s="15" t="inlineStr">
        <is>
          <t xml:space="preserve">Conforms</t>
        </is>
      </c>
      <c r="M322" s="15"/>
    </row>
    <row r="323">
      <c r="A323" s="15" t="inlineStr">
        <is>
          <t xml:space="preserve">2</t>
        </is>
      </c>
      <c r="B323" s="15" t="inlineStr">
        <is>
          <t xml:space="preserve">CJ082501/1</t>
        </is>
      </c>
      <c r="C323" s="15" t="inlineStr">
        <is>
          <t xml:space="preserve">P060022</t>
        </is>
      </c>
      <c r="D323" s="15" t="inlineStr">
        <is>
          <t xml:space="preserve">Cap Junky</t>
        </is>
      </c>
      <c r="E323" s="15" t="inlineStr">
        <is>
          <t xml:space="preserve">8 Loss on drying</t>
        </is>
      </c>
      <c r="F323" s="15" t="inlineStr">
        <is>
          <t xml:space="preserve">CITED</t>
        </is>
      </c>
      <c r="G323" s="15" t="inlineStr">
        <is>
          <t xml:space="preserve">ППК26002</t>
        </is>
      </c>
      <c r="H323" s="15" t="inlineStr">
        <is>
          <t xml:space="preserve">21.01.2026</t>
        </is>
      </c>
      <c r="I323" s="15" t="inlineStr">
        <is>
          <t xml:space="preserve">CNP</t>
        </is>
      </c>
      <c r="J323" s="15" t="inlineStr">
        <is>
          <t xml:space="preserve">in eCoA_DATABASE</t>
        </is>
      </c>
      <c r="K323" s="15"/>
      <c r="L323" s="15" t="inlineStr">
        <is>
          <t xml:space="preserve">7.21</t>
        </is>
      </c>
      <c r="M323" s="15"/>
    </row>
    <row r="324">
      <c r="A324" s="15" t="inlineStr">
        <is>
          <t xml:space="preserve">2</t>
        </is>
      </c>
      <c r="B324" s="15" t="inlineStr">
        <is>
          <t xml:space="preserve">CJ082501/1</t>
        </is>
      </c>
      <c r="C324" s="15" t="inlineStr">
        <is>
          <t xml:space="preserve">P060022</t>
        </is>
      </c>
      <c r="D324" s="15" t="inlineStr">
        <is>
          <t xml:space="preserve">Cap Junky</t>
        </is>
      </c>
      <c r="E324" s="15" t="inlineStr">
        <is>
          <t xml:space="preserve">9 Microbiological purity</t>
        </is>
      </c>
      <c r="F324" s="15" t="inlineStr">
        <is>
          <t xml:space="preserve">CITED</t>
        </is>
      </c>
      <c r="G324" s="15" t="inlineStr">
        <is>
          <t xml:space="preserve">8-0011-26</t>
        </is>
      </c>
      <c r="H324" s="15" t="inlineStr">
        <is>
          <t xml:space="preserve">20.01.2026</t>
        </is>
      </c>
      <c r="I324" s="15" t="inlineStr">
        <is>
          <t xml:space="preserve">IJZ-MB</t>
        </is>
      </c>
      <c r="J324" s="15" t="inlineStr">
        <is>
          <t xml:space="preserve">in eCoA_DATABASE</t>
        </is>
      </c>
      <c r="K324" s="15"/>
      <c r="L324" s="15" t="inlineStr">
        <is>
          <t xml:space="preserve">1,5 x 10² CFU/g CFU/g; 1,3 x 10² CFU/g CFU/g; &lt; 10 CFU/g CFU/g; Одговара /g; Одговара /25 g</t>
        </is>
      </c>
      <c r="M324" s="15"/>
    </row>
    <row r="325">
      <c r="A325" s="15" t="inlineStr">
        <is>
          <t xml:space="preserve">2</t>
        </is>
      </c>
      <c r="B325" s="15" t="inlineStr">
        <is>
          <t xml:space="preserve">CJ082501/1</t>
        </is>
      </c>
      <c r="C325" s="15" t="inlineStr">
        <is>
          <t xml:space="preserve">P060022</t>
        </is>
      </c>
      <c r="D325" s="15" t="inlineStr">
        <is>
          <t xml:space="preserve">Cap Junky</t>
        </is>
      </c>
      <c r="E325" s="15" t="inlineStr">
        <is>
          <t xml:space="preserve">10 Mycotoxins</t>
        </is>
      </c>
      <c r="F325" s="15" t="inlineStr">
        <is>
          <t xml:space="preserve">CITED</t>
        </is>
      </c>
      <c r="G325" s="15" t="inlineStr">
        <is>
          <t xml:space="preserve">81-2026</t>
        </is>
      </c>
      <c r="H325" s="15" t="inlineStr">
        <is>
          <t xml:space="preserve">02.02.2026</t>
        </is>
      </c>
      <c r="I325" s="15" t="inlineStr">
        <is>
          <t xml:space="preserve">IJZ</t>
        </is>
      </c>
      <c r="J325" s="15" t="inlineStr">
        <is>
          <t xml:space="preserve">in eCoA_DATABASE</t>
        </is>
      </c>
      <c r="K325" s="15"/>
      <c r="L325" s="15" t="inlineStr">
        <is>
          <t xml:space="preserve">n.r.; &lt;2; n.r.</t>
        </is>
      </c>
      <c r="M325" s="15"/>
    </row>
    <row r="326">
      <c r="A326" s="15" t="inlineStr">
        <is>
          <t xml:space="preserve">2</t>
        </is>
      </c>
      <c r="B326" s="15" t="inlineStr">
        <is>
          <t xml:space="preserve">CJ082501/1</t>
        </is>
      </c>
      <c r="C326" s="15" t="inlineStr">
        <is>
          <t xml:space="preserve">P060022</t>
        </is>
      </c>
      <c r="D326" s="15" t="inlineStr">
        <is>
          <t xml:space="preserve">Cap Junky</t>
        </is>
      </c>
      <c r="E326" s="15" t="inlineStr">
        <is>
          <t xml:space="preserve">11 Heavy metals</t>
        </is>
      </c>
      <c r="F326" s="15" t="inlineStr">
        <is>
          <t xml:space="preserve">CITED</t>
        </is>
      </c>
      <c r="G326" s="15" t="inlineStr">
        <is>
          <t xml:space="preserve">81-2026</t>
        </is>
      </c>
      <c r="H326" s="15" t="inlineStr">
        <is>
          <t xml:space="preserve">02.02.2026</t>
        </is>
      </c>
      <c r="I326" s="15" t="inlineStr">
        <is>
          <t xml:space="preserve">IJZ</t>
        </is>
      </c>
      <c r="J326" s="15" t="inlineStr">
        <is>
          <t xml:space="preserve">in eCoA_DATABASE</t>
        </is>
      </c>
      <c r="K326" s="15"/>
      <c r="L326" s="15" t="inlineStr">
        <is>
          <t xml:space="preserve">0.075; н.д.; н.д.; н.д.</t>
        </is>
      </c>
      <c r="M326" s="15"/>
    </row>
    <row r="327">
      <c r="A327" s="15" t="inlineStr">
        <is>
          <t xml:space="preserve">2</t>
        </is>
      </c>
      <c r="B327" s="15" t="inlineStr">
        <is>
          <t xml:space="preserve">CJ082501/1</t>
        </is>
      </c>
      <c r="C327" s="15" t="inlineStr">
        <is>
          <t xml:space="preserve">P060022</t>
        </is>
      </c>
      <c r="D327" s="15" t="inlineStr">
        <is>
          <t xml:space="preserve">Cap Junky</t>
        </is>
      </c>
      <c r="E327" s="15" t="inlineStr">
        <is>
          <t xml:space="preserve">12 Pesticide residues</t>
        </is>
      </c>
      <c r="F327" s="15" t="inlineStr">
        <is>
          <t xml:space="preserve">CITED</t>
        </is>
      </c>
      <c r="G327" s="15" t="inlineStr">
        <is>
          <t xml:space="preserve">81-2026</t>
        </is>
      </c>
      <c r="H327" s="15" t="inlineStr">
        <is>
          <t xml:space="preserve">02.02.2026</t>
        </is>
      </c>
      <c r="I327" s="15" t="inlineStr">
        <is>
          <t xml:space="preserve">IJZ</t>
        </is>
      </c>
      <c r="J327" s="15" t="inlineStr">
        <is>
          <t xml:space="preserve">in eCoA_DATABASE</t>
        </is>
      </c>
      <c r="K327" s="15"/>
      <c r="L327" s="15" t="inlineStr">
        <is>
          <t xml:space="preserve">≤ LOQ (all 26 compounds)</t>
        </is>
      </c>
      <c r="M327" s="15"/>
    </row>
    <row r="328">
      <c r="A328" s="15" t="inlineStr">
        <is>
          <t xml:space="preserve">2</t>
        </is>
      </c>
      <c r="B328" s="15" t="inlineStr">
        <is>
          <t xml:space="preserve">CJ092501</t>
        </is>
      </c>
      <c r="C328" s="15" t="inlineStr">
        <is>
          <t xml:space="preserve">P060072</t>
        </is>
      </c>
      <c r="D328" s="15" t="inlineStr">
        <is>
          <t xml:space="preserve">Cap Junky</t>
        </is>
      </c>
      <c r="E328" s="15" t="inlineStr">
        <is>
          <t xml:space="preserve">1 Identification A — appearance</t>
        </is>
      </c>
      <c r="F328" s="15" t="inlineStr">
        <is>
          <t xml:space="preserve">CITED</t>
        </is>
      </c>
      <c r="G328" s="15" t="inlineStr">
        <is>
          <t xml:space="preserve">iCoA-PP_26-043</t>
        </is>
      </c>
      <c r="H328" s="15" t="inlineStr">
        <is>
          <t xml:space="preserve">02.02.2026</t>
        </is>
      </c>
      <c r="I328" s="15" t="inlineStr">
        <is>
          <t xml:space="preserve">PP</t>
        </is>
      </c>
      <c r="J328" s="15" t="inlineStr">
        <is>
          <t xml:space="preserve">planned, NOT ISSUED (2026-05-15)</t>
        </is>
      </c>
      <c r="K328" s="15" t="inlineStr">
        <is>
          <t xml:space="preserve">YES — the certificate has not been issued</t>
        </is>
      </c>
      <c r="L328" s="15" t="inlineStr">
        <is>
          <t xml:space="preserve">Conforms</t>
        </is>
      </c>
      <c r="M328" s="15"/>
    </row>
    <row r="329">
      <c r="A329" s="15" t="inlineStr">
        <is>
          <t xml:space="preserve">2</t>
        </is>
      </c>
      <c r="B329" s="15" t="inlineStr">
        <is>
          <t xml:space="preserve">CJ092501</t>
        </is>
      </c>
      <c r="C329" s="15" t="inlineStr">
        <is>
          <t xml:space="preserve">P060072</t>
        </is>
      </c>
      <c r="D329" s="15" t="inlineStr">
        <is>
          <t xml:space="preserve">Cap Junky</t>
        </is>
      </c>
      <c r="E329" s="15" t="inlineStr">
        <is>
          <t xml:space="preserve">2 Identification B — microscopy</t>
        </is>
      </c>
      <c r="F329" s="15" t="inlineStr">
        <is>
          <t xml:space="preserve">CITED</t>
        </is>
      </c>
      <c r="G329" s="15" t="inlineStr">
        <is>
          <t xml:space="preserve">iCoA-PP_26-043</t>
        </is>
      </c>
      <c r="H329" s="15" t="inlineStr">
        <is>
          <t xml:space="preserve">02.02.2026</t>
        </is>
      </c>
      <c r="I329" s="15" t="inlineStr">
        <is>
          <t xml:space="preserve">PP</t>
        </is>
      </c>
      <c r="J329" s="15" t="inlineStr">
        <is>
          <t xml:space="preserve">planned, NOT ISSUED (2026-05-15)</t>
        </is>
      </c>
      <c r="K329" s="15" t="inlineStr">
        <is>
          <t xml:space="preserve">YES — the certificate has not been issued</t>
        </is>
      </c>
      <c r="L329" s="15" t="inlineStr">
        <is>
          <t xml:space="preserve">Conforms</t>
        </is>
      </c>
      <c r="M329" s="15"/>
    </row>
    <row r="330">
      <c r="A330" s="15" t="inlineStr">
        <is>
          <t xml:space="preserve">2</t>
        </is>
      </c>
      <c r="B330" s="15" t="inlineStr">
        <is>
          <t xml:space="preserve">CJ092501</t>
        </is>
      </c>
      <c r="C330" s="15" t="inlineStr">
        <is>
          <t xml:space="preserve">P060072</t>
        </is>
      </c>
      <c r="D330" s="15" t="inlineStr">
        <is>
          <t xml:space="preserve">Cap Junky</t>
        </is>
      </c>
      <c r="E330" s="15" t="inlineStr">
        <is>
          <t xml:space="preserve">3 Identification C — HPLC</t>
        </is>
      </c>
      <c r="F330" s="15" t="inlineStr">
        <is>
          <t xml:space="preserve">CITED</t>
        </is>
      </c>
      <c r="G330" s="15" t="inlineStr">
        <is>
          <t xml:space="preserve">ППК26007</t>
        </is>
      </c>
      <c r="H330" s="15" t="inlineStr">
        <is>
          <t xml:space="preserve">21.01.2026</t>
        </is>
      </c>
      <c r="I330" s="15" t="inlineStr">
        <is>
          <t xml:space="preserve">CNP</t>
        </is>
      </c>
      <c r="J330" s="15" t="inlineStr">
        <is>
          <t xml:space="preserve">in eCoA_DATABASE</t>
        </is>
      </c>
      <c r="K330" s="15"/>
      <c r="L330" s="15" t="inlineStr">
        <is>
          <t xml:space="preserve">Conforms (ImB spec.)</t>
        </is>
      </c>
      <c r="M330" s="15" t="inlineStr">
        <is>
          <t xml:space="preserve">220-5-K/26</t>
        </is>
      </c>
    </row>
    <row r="331">
      <c r="A331" s="15" t="inlineStr">
        <is>
          <t xml:space="preserve">2</t>
        </is>
      </c>
      <c r="B331" s="15" t="inlineStr">
        <is>
          <t xml:space="preserve">CJ092501</t>
        </is>
      </c>
      <c r="C331" s="15" t="inlineStr">
        <is>
          <t xml:space="preserve">P060072</t>
        </is>
      </c>
      <c r="D331" s="15" t="inlineStr">
        <is>
          <t xml:space="preserve">Cap Junky</t>
        </is>
      </c>
      <c r="E331" s="15" t="inlineStr">
        <is>
          <t xml:space="preserve">4 Assay — Total Δ⁹-THC</t>
        </is>
      </c>
      <c r="F331" s="15" t="inlineStr">
        <is>
          <t xml:space="preserve">CITED</t>
        </is>
      </c>
      <c r="G331" s="15" t="inlineStr">
        <is>
          <t xml:space="preserve">ППК26007</t>
        </is>
      </c>
      <c r="H331" s="15" t="inlineStr">
        <is>
          <t xml:space="preserve">21.01.2026</t>
        </is>
      </c>
      <c r="I331" s="15" t="inlineStr">
        <is>
          <t xml:space="preserve">CNP</t>
        </is>
      </c>
      <c r="J331" s="15" t="inlineStr">
        <is>
          <t xml:space="preserve">in eCoA_DATABASE</t>
        </is>
      </c>
      <c r="K331" s="15"/>
      <c r="L331" s="15" t="inlineStr">
        <is>
          <t xml:space="preserve">22.30</t>
        </is>
      </c>
      <c r="M331" s="15" t="inlineStr">
        <is>
          <t xml:space="preserve">220-5-K/26</t>
        </is>
      </c>
    </row>
    <row r="332">
      <c r="A332" s="15" t="inlineStr">
        <is>
          <t xml:space="preserve">2</t>
        </is>
      </c>
      <c r="B332" s="15" t="inlineStr">
        <is>
          <t xml:space="preserve">CJ092501</t>
        </is>
      </c>
      <c r="C332" s="15" t="inlineStr">
        <is>
          <t xml:space="preserve">P060072</t>
        </is>
      </c>
      <c r="D332" s="15" t="inlineStr">
        <is>
          <t xml:space="preserve">Cap Junky</t>
        </is>
      </c>
      <c r="E332" s="15" t="inlineStr">
        <is>
          <t xml:space="preserve">5 Assay — Total CBD</t>
        </is>
      </c>
      <c r="F332" s="15" t="inlineStr">
        <is>
          <t xml:space="preserve">CITED</t>
        </is>
      </c>
      <c r="G332" s="15" t="inlineStr">
        <is>
          <t xml:space="preserve">ППК26007</t>
        </is>
      </c>
      <c r="H332" s="15" t="inlineStr">
        <is>
          <t xml:space="preserve">21.01.2026</t>
        </is>
      </c>
      <c r="I332" s="15" t="inlineStr">
        <is>
          <t xml:space="preserve">CNP</t>
        </is>
      </c>
      <c r="J332" s="15" t="inlineStr">
        <is>
          <t xml:space="preserve">in eCoA_DATABASE</t>
        </is>
      </c>
      <c r="K332" s="15"/>
      <c r="L332" s="15" t="inlineStr">
        <is>
          <t xml:space="preserve">0.10</t>
        </is>
      </c>
      <c r="M332" s="15" t="inlineStr">
        <is>
          <t xml:space="preserve">220-5-K/26</t>
        </is>
      </c>
    </row>
    <row r="333">
      <c r="A333" s="15" t="inlineStr">
        <is>
          <t xml:space="preserve">2</t>
        </is>
      </c>
      <c r="B333" s="15" t="inlineStr">
        <is>
          <t xml:space="preserve">CJ092501</t>
        </is>
      </c>
      <c r="C333" s="15" t="inlineStr">
        <is>
          <t xml:space="preserve">P060072</t>
        </is>
      </c>
      <c r="D333" s="15" t="inlineStr">
        <is>
          <t xml:space="preserve">Cap Junky</t>
        </is>
      </c>
      <c r="E333" s="15" t="inlineStr">
        <is>
          <t xml:space="preserve">6 Total CBN</t>
        </is>
      </c>
      <c r="F333" s="15" t="inlineStr">
        <is>
          <t xml:space="preserve">CITED</t>
        </is>
      </c>
      <c r="G333" s="15" t="inlineStr">
        <is>
          <t xml:space="preserve">ППК26007</t>
        </is>
      </c>
      <c r="H333" s="15" t="inlineStr">
        <is>
          <t xml:space="preserve">21.01.2026</t>
        </is>
      </c>
      <c r="I333" s="15" t="inlineStr">
        <is>
          <t xml:space="preserve">CNP</t>
        </is>
      </c>
      <c r="J333" s="15" t="inlineStr">
        <is>
          <t xml:space="preserve">in eCoA_DATABASE</t>
        </is>
      </c>
      <c r="K333" s="15"/>
      <c r="L333" s="15" t="inlineStr">
        <is>
          <t xml:space="preserve">ND ᴰ</t>
        </is>
      </c>
      <c r="M333" s="15" t="inlineStr">
        <is>
          <t xml:space="preserve">220-5-K/26</t>
        </is>
      </c>
    </row>
    <row r="334">
      <c r="A334" s="15" t="inlineStr">
        <is>
          <t xml:space="preserve">2</t>
        </is>
      </c>
      <c r="B334" s="15" t="inlineStr">
        <is>
          <t xml:space="preserve">CJ092501</t>
        </is>
      </c>
      <c r="C334" s="15" t="inlineStr">
        <is>
          <t xml:space="preserve">P060072</t>
        </is>
      </c>
      <c r="D334" s="15" t="inlineStr">
        <is>
          <t xml:space="preserve">Cap Junky</t>
        </is>
      </c>
      <c r="E334" s="15" t="inlineStr">
        <is>
          <t xml:space="preserve">7 Foreign matter</t>
        </is>
      </c>
      <c r="F334" s="15" t="inlineStr">
        <is>
          <t xml:space="preserve">CITED</t>
        </is>
      </c>
      <c r="G334" s="15" t="inlineStr">
        <is>
          <t xml:space="preserve">iCoA-PP_26-043</t>
        </is>
      </c>
      <c r="H334" s="15" t="inlineStr">
        <is>
          <t xml:space="preserve">02.02.2026</t>
        </is>
      </c>
      <c r="I334" s="15" t="inlineStr">
        <is>
          <t xml:space="preserve">PP</t>
        </is>
      </c>
      <c r="J334" s="15" t="inlineStr">
        <is>
          <t xml:space="preserve">planned, NOT ISSUED (2026-05-15)</t>
        </is>
      </c>
      <c r="K334" s="15" t="inlineStr">
        <is>
          <t xml:space="preserve">YES — the certificate has not been issued</t>
        </is>
      </c>
      <c r="L334" s="15" t="inlineStr">
        <is>
          <t xml:space="preserve">Conforms</t>
        </is>
      </c>
      <c r="M334" s="15"/>
    </row>
    <row r="335">
      <c r="A335" s="15" t="inlineStr">
        <is>
          <t xml:space="preserve">2</t>
        </is>
      </c>
      <c r="B335" s="15" t="inlineStr">
        <is>
          <t xml:space="preserve">CJ092501</t>
        </is>
      </c>
      <c r="C335" s="15" t="inlineStr">
        <is>
          <t xml:space="preserve">P060072</t>
        </is>
      </c>
      <c r="D335" s="15" t="inlineStr">
        <is>
          <t xml:space="preserve">Cap Junky</t>
        </is>
      </c>
      <c r="E335" s="15" t="inlineStr">
        <is>
          <t xml:space="preserve">8 Loss on drying</t>
        </is>
      </c>
      <c r="F335" s="15" t="inlineStr">
        <is>
          <t xml:space="preserve">CITED</t>
        </is>
      </c>
      <c r="G335" s="15" t="inlineStr">
        <is>
          <t xml:space="preserve">ППК26007</t>
        </is>
      </c>
      <c r="H335" s="15" t="inlineStr">
        <is>
          <t xml:space="preserve">21.01.2026</t>
        </is>
      </c>
      <c r="I335" s="15" t="inlineStr">
        <is>
          <t xml:space="preserve">CNP</t>
        </is>
      </c>
      <c r="J335" s="15" t="inlineStr">
        <is>
          <t xml:space="preserve">in eCoA_DATABASE</t>
        </is>
      </c>
      <c r="K335" s="15"/>
      <c r="L335" s="15" t="inlineStr">
        <is>
          <t xml:space="preserve">7.64</t>
        </is>
      </c>
      <c r="M335" s="15"/>
    </row>
    <row r="336">
      <c r="A336" s="15" t="inlineStr">
        <is>
          <t xml:space="preserve">2</t>
        </is>
      </c>
      <c r="B336" s="15" t="inlineStr">
        <is>
          <t xml:space="preserve">CJ092501</t>
        </is>
      </c>
      <c r="C336" s="15" t="inlineStr">
        <is>
          <t xml:space="preserve">P060072</t>
        </is>
      </c>
      <c r="D336" s="15" t="inlineStr">
        <is>
          <t xml:space="preserve">Cap Junky</t>
        </is>
      </c>
      <c r="E336" s="15" t="inlineStr">
        <is>
          <t xml:space="preserve">9 Microbiological purity</t>
        </is>
      </c>
      <c r="F336" s="15" t="inlineStr">
        <is>
          <t xml:space="preserve">CITED</t>
        </is>
      </c>
      <c r="G336" s="15" t="inlineStr">
        <is>
          <t xml:space="preserve">10-0013-26</t>
        </is>
      </c>
      <c r="H336" s="15" t="inlineStr">
        <is>
          <t xml:space="preserve">20.01.2026</t>
        </is>
      </c>
      <c r="I336" s="15" t="inlineStr">
        <is>
          <t xml:space="preserve">IJZ-MB</t>
        </is>
      </c>
      <c r="J336" s="15" t="inlineStr">
        <is>
          <t xml:space="preserve">in eCoA_DATABASE</t>
        </is>
      </c>
      <c r="K336" s="15"/>
      <c r="L336" s="15" t="inlineStr">
        <is>
          <t xml:space="preserve">&lt;10; &lt;10; &lt;10; Одговара; Одговара</t>
        </is>
      </c>
      <c r="M336" s="15"/>
    </row>
    <row r="337">
      <c r="A337" s="15" t="inlineStr">
        <is>
          <t xml:space="preserve">2</t>
        </is>
      </c>
      <c r="B337" s="15" t="inlineStr">
        <is>
          <t xml:space="preserve">CJ092501</t>
        </is>
      </c>
      <c r="C337" s="15" t="inlineStr">
        <is>
          <t xml:space="preserve">P060072</t>
        </is>
      </c>
      <c r="D337" s="15" t="inlineStr">
        <is>
          <t xml:space="preserve">Cap Junky</t>
        </is>
      </c>
      <c r="E337" s="15" t="inlineStr">
        <is>
          <t xml:space="preserve">10 Mycotoxins</t>
        </is>
      </c>
      <c r="F337" s="15" t="inlineStr">
        <is>
          <t xml:space="preserve">CITED</t>
        </is>
      </c>
      <c r="G337" s="15" t="inlineStr">
        <is>
          <t xml:space="preserve">86-2026</t>
        </is>
      </c>
      <c r="H337" s="15" t="inlineStr">
        <is>
          <t xml:space="preserve">02.02.2026</t>
        </is>
      </c>
      <c r="I337" s="15" t="inlineStr">
        <is>
          <t xml:space="preserve">IJZ</t>
        </is>
      </c>
      <c r="J337" s="15" t="inlineStr">
        <is>
          <t xml:space="preserve">in eCoA_DATABASE</t>
        </is>
      </c>
      <c r="K337" s="15"/>
      <c r="L337" s="15" t="inlineStr">
        <is>
          <t xml:space="preserve">n.r.; &lt;2; n.r.</t>
        </is>
      </c>
      <c r="M337" s="15"/>
    </row>
    <row r="338">
      <c r="A338" s="15" t="inlineStr">
        <is>
          <t xml:space="preserve">2</t>
        </is>
      </c>
      <c r="B338" s="15" t="inlineStr">
        <is>
          <t xml:space="preserve">CJ092501</t>
        </is>
      </c>
      <c r="C338" s="15" t="inlineStr">
        <is>
          <t xml:space="preserve">P060072</t>
        </is>
      </c>
      <c r="D338" s="15" t="inlineStr">
        <is>
          <t xml:space="preserve">Cap Junky</t>
        </is>
      </c>
      <c r="E338" s="15" t="inlineStr">
        <is>
          <t xml:space="preserve">11 Heavy metals</t>
        </is>
      </c>
      <c r="F338" s="15" t="inlineStr">
        <is>
          <t xml:space="preserve">CITED</t>
        </is>
      </c>
      <c r="G338" s="15" t="inlineStr">
        <is>
          <t xml:space="preserve">86-2026</t>
        </is>
      </c>
      <c r="H338" s="15" t="inlineStr">
        <is>
          <t xml:space="preserve">02.02.2026</t>
        </is>
      </c>
      <c r="I338" s="15" t="inlineStr">
        <is>
          <t xml:space="preserve">IJZ</t>
        </is>
      </c>
      <c r="J338" s="15" t="inlineStr">
        <is>
          <t xml:space="preserve">in eCoA_DATABASE</t>
        </is>
      </c>
      <c r="K338" s="15"/>
      <c r="L338" s="15" t="inlineStr">
        <is>
          <t xml:space="preserve">0.04; н.д.; н.д.; 0.004</t>
        </is>
      </c>
      <c r="M338" s="15"/>
    </row>
    <row r="339">
      <c r="A339" s="15" t="inlineStr">
        <is>
          <t xml:space="preserve">2</t>
        </is>
      </c>
      <c r="B339" s="15" t="inlineStr">
        <is>
          <t xml:space="preserve">CJ092501</t>
        </is>
      </c>
      <c r="C339" s="15" t="inlineStr">
        <is>
          <t xml:space="preserve">P060072</t>
        </is>
      </c>
      <c r="D339" s="15" t="inlineStr">
        <is>
          <t xml:space="preserve">Cap Junky</t>
        </is>
      </c>
      <c r="E339" s="15" t="inlineStr">
        <is>
          <t xml:space="preserve">12 Pesticide residues</t>
        </is>
      </c>
      <c r="F339" s="15" t="inlineStr">
        <is>
          <t xml:space="preserve">CITED</t>
        </is>
      </c>
      <c r="G339" s="15" t="inlineStr">
        <is>
          <t xml:space="preserve">86-2026</t>
        </is>
      </c>
      <c r="H339" s="15" t="inlineStr">
        <is>
          <t xml:space="preserve">02.02.2026</t>
        </is>
      </c>
      <c r="I339" s="15" t="inlineStr">
        <is>
          <t xml:space="preserve">IJZ</t>
        </is>
      </c>
      <c r="J339" s="15" t="inlineStr">
        <is>
          <t xml:space="preserve">in eCoA_DATABASE</t>
        </is>
      </c>
      <c r="K339" s="15"/>
      <c r="L339" s="15" t="inlineStr">
        <is>
          <t xml:space="preserve">≤ LOQ (all 29 compounds)</t>
        </is>
      </c>
      <c r="M339" s="15"/>
    </row>
    <row r="340">
      <c r="A340" s="15" t="inlineStr">
        <is>
          <t xml:space="preserve">2</t>
        </is>
      </c>
      <c r="B340" s="15" t="inlineStr">
        <is>
          <t xml:space="preserve">CLE072501</t>
        </is>
      </c>
      <c r="C340" s="15" t="inlineStr">
        <is>
          <t xml:space="preserve">P050282</t>
        </is>
      </c>
      <c r="D340" s="15" t="inlineStr">
        <is>
          <t xml:space="preserve">Clemosa</t>
        </is>
      </c>
      <c r="E340" s="15" t="inlineStr">
        <is>
          <t xml:space="preserve">1 Identification A — appearance</t>
        </is>
      </c>
      <c r="F340" s="15" t="inlineStr">
        <is>
          <t xml:space="preserve">CITED</t>
        </is>
      </c>
      <c r="G340" s="15" t="inlineStr">
        <is>
          <t xml:space="preserve">iCoA-PP_26-032</t>
        </is>
      </c>
      <c r="H340" s="15" t="inlineStr">
        <is>
          <t xml:space="preserve">03.12.2025</t>
        </is>
      </c>
      <c r="I340" s="15" t="inlineStr">
        <is>
          <t xml:space="preserve">PP</t>
        </is>
      </c>
      <c r="J340" s="15" t="inlineStr">
        <is>
          <t xml:space="preserve">planned, NOT ISSUED (2026-05-15)</t>
        </is>
      </c>
      <c r="K340" s="15" t="inlineStr">
        <is>
          <t xml:space="preserve">YES — the certificate has not been issued</t>
        </is>
      </c>
      <c r="L340" s="15" t="inlineStr">
        <is>
          <t xml:space="preserve">Conforms</t>
        </is>
      </c>
      <c r="M340" s="15"/>
    </row>
    <row r="341">
      <c r="A341" s="15" t="inlineStr">
        <is>
          <t xml:space="preserve">2</t>
        </is>
      </c>
      <c r="B341" s="15" t="inlineStr">
        <is>
          <t xml:space="preserve">CLE072501</t>
        </is>
      </c>
      <c r="C341" s="15" t="inlineStr">
        <is>
          <t xml:space="preserve">P050282</t>
        </is>
      </c>
      <c r="D341" s="15" t="inlineStr">
        <is>
          <t xml:space="preserve">Clemosa</t>
        </is>
      </c>
      <c r="E341" s="15" t="inlineStr">
        <is>
          <t xml:space="preserve">2 Identification B — microscopy</t>
        </is>
      </c>
      <c r="F341" s="15" t="inlineStr">
        <is>
          <t xml:space="preserve">CITED</t>
        </is>
      </c>
      <c r="G341" s="15" t="inlineStr">
        <is>
          <t xml:space="preserve">iCoA-PP_26-032</t>
        </is>
      </c>
      <c r="H341" s="15" t="inlineStr">
        <is>
          <t xml:space="preserve">03.12.2025</t>
        </is>
      </c>
      <c r="I341" s="15" t="inlineStr">
        <is>
          <t xml:space="preserve">PP</t>
        </is>
      </c>
      <c r="J341" s="15" t="inlineStr">
        <is>
          <t xml:space="preserve">planned, NOT ISSUED (2026-05-15)</t>
        </is>
      </c>
      <c r="K341" s="15" t="inlineStr">
        <is>
          <t xml:space="preserve">YES — the certificate has not been issued</t>
        </is>
      </c>
      <c r="L341" s="15" t="inlineStr">
        <is>
          <t xml:space="preserve">Conforms</t>
        </is>
      </c>
      <c r="M341" s="15"/>
    </row>
    <row r="342">
      <c r="A342" s="15" t="inlineStr">
        <is>
          <t xml:space="preserve">2</t>
        </is>
      </c>
      <c r="B342" s="15" t="inlineStr">
        <is>
          <t xml:space="preserve">CLE072501</t>
        </is>
      </c>
      <c r="C342" s="15" t="inlineStr">
        <is>
          <t xml:space="preserve">P050282</t>
        </is>
      </c>
      <c r="D342" s="15" t="inlineStr">
        <is>
          <t xml:space="preserve">Clemosa</t>
        </is>
      </c>
      <c r="E342" s="15" t="inlineStr">
        <is>
          <t xml:space="preserve">3 Identification C — HPLC</t>
        </is>
      </c>
      <c r="F342" s="15" t="inlineStr">
        <is>
          <t xml:space="preserve">CITED</t>
        </is>
      </c>
      <c r="G342" s="15" t="inlineStr">
        <is>
          <t xml:space="preserve">ППК25370</t>
        </is>
      </c>
      <c r="H342" s="15" t="inlineStr">
        <is>
          <t xml:space="preserve">28.11.2025</t>
        </is>
      </c>
      <c r="I342" s="15" t="inlineStr">
        <is>
          <t xml:space="preserve">CNP</t>
        </is>
      </c>
      <c r="J342" s="15" t="inlineStr">
        <is>
          <t xml:space="preserve">in eCoA_DATABASE</t>
        </is>
      </c>
      <c r="K342" s="15"/>
      <c r="L342" s="15" t="inlineStr">
        <is>
          <t xml:space="preserve">Conforms (ImB spec.)</t>
        </is>
      </c>
      <c r="M342" s="15" t="inlineStr">
        <is>
          <t xml:space="preserve">220-7-K/26</t>
        </is>
      </c>
    </row>
    <row r="343">
      <c r="A343" s="15" t="inlineStr">
        <is>
          <t xml:space="preserve">2</t>
        </is>
      </c>
      <c r="B343" s="15" t="inlineStr">
        <is>
          <t xml:space="preserve">CLE072501</t>
        </is>
      </c>
      <c r="C343" s="15" t="inlineStr">
        <is>
          <t xml:space="preserve">P050282</t>
        </is>
      </c>
      <c r="D343" s="15" t="inlineStr">
        <is>
          <t xml:space="preserve">Clemosa</t>
        </is>
      </c>
      <c r="E343" s="15" t="inlineStr">
        <is>
          <t xml:space="preserve">4 Assay — Total Δ⁹-THC</t>
        </is>
      </c>
      <c r="F343" s="15" t="inlineStr">
        <is>
          <t xml:space="preserve">CITED</t>
        </is>
      </c>
      <c r="G343" s="15" t="inlineStr">
        <is>
          <t xml:space="preserve">ППК25370</t>
        </is>
      </c>
      <c r="H343" s="15" t="inlineStr">
        <is>
          <t xml:space="preserve">28.11.2025</t>
        </is>
      </c>
      <c r="I343" s="15" t="inlineStr">
        <is>
          <t xml:space="preserve">CNP</t>
        </is>
      </c>
      <c r="J343" s="15" t="inlineStr">
        <is>
          <t xml:space="preserve">in eCoA_DATABASE</t>
        </is>
      </c>
      <c r="K343" s="15"/>
      <c r="L343" s="15" t="inlineStr">
        <is>
          <t xml:space="preserve">8.02</t>
        </is>
      </c>
      <c r="M343" s="15" t="inlineStr">
        <is>
          <t xml:space="preserve">220-7-K/26</t>
        </is>
      </c>
    </row>
    <row r="344">
      <c r="A344" s="15" t="inlineStr">
        <is>
          <t xml:space="preserve">2</t>
        </is>
      </c>
      <c r="B344" s="15" t="inlineStr">
        <is>
          <t xml:space="preserve">CLE072501</t>
        </is>
      </c>
      <c r="C344" s="15" t="inlineStr">
        <is>
          <t xml:space="preserve">P050282</t>
        </is>
      </c>
      <c r="D344" s="15" t="inlineStr">
        <is>
          <t xml:space="preserve">Clemosa</t>
        </is>
      </c>
      <c r="E344" s="15" t="inlineStr">
        <is>
          <t xml:space="preserve">5 Assay — Total CBD</t>
        </is>
      </c>
      <c r="F344" s="15" t="inlineStr">
        <is>
          <t xml:space="preserve">CITED</t>
        </is>
      </c>
      <c r="G344" s="15" t="inlineStr">
        <is>
          <t xml:space="preserve">ППК25370</t>
        </is>
      </c>
      <c r="H344" s="15" t="inlineStr">
        <is>
          <t xml:space="preserve">28.11.2025</t>
        </is>
      </c>
      <c r="I344" s="15" t="inlineStr">
        <is>
          <t xml:space="preserve">CNP</t>
        </is>
      </c>
      <c r="J344" s="15" t="inlineStr">
        <is>
          <t xml:space="preserve">in eCoA_DATABASE</t>
        </is>
      </c>
      <c r="K344" s="15"/>
      <c r="L344" s="15" t="inlineStr">
        <is>
          <t xml:space="preserve">0.04</t>
        </is>
      </c>
      <c r="M344" s="15" t="inlineStr">
        <is>
          <t xml:space="preserve">220-7-K/26</t>
        </is>
      </c>
    </row>
    <row r="345">
      <c r="A345" s="15" t="inlineStr">
        <is>
          <t xml:space="preserve">2</t>
        </is>
      </c>
      <c r="B345" s="15" t="inlineStr">
        <is>
          <t xml:space="preserve">CLE072501</t>
        </is>
      </c>
      <c r="C345" s="15" t="inlineStr">
        <is>
          <t xml:space="preserve">P050282</t>
        </is>
      </c>
      <c r="D345" s="15" t="inlineStr">
        <is>
          <t xml:space="preserve">Clemosa</t>
        </is>
      </c>
      <c r="E345" s="15" t="inlineStr">
        <is>
          <t xml:space="preserve">6 Total CBN</t>
        </is>
      </c>
      <c r="F345" s="15" t="inlineStr">
        <is>
          <t xml:space="preserve">CITED</t>
        </is>
      </c>
      <c r="G345" s="15" t="inlineStr">
        <is>
          <t xml:space="preserve">ППК25370</t>
        </is>
      </c>
      <c r="H345" s="15" t="inlineStr">
        <is>
          <t xml:space="preserve">28.11.2025</t>
        </is>
      </c>
      <c r="I345" s="15" t="inlineStr">
        <is>
          <t xml:space="preserve">CNP</t>
        </is>
      </c>
      <c r="J345" s="15" t="inlineStr">
        <is>
          <t xml:space="preserve">in eCoA_DATABASE</t>
        </is>
      </c>
      <c r="K345" s="15"/>
      <c r="L345" s="15" t="inlineStr">
        <is>
          <t xml:space="preserve">BLQ ᴰ</t>
        </is>
      </c>
      <c r="M345" s="15" t="inlineStr">
        <is>
          <t xml:space="preserve">220-7-K/26</t>
        </is>
      </c>
    </row>
    <row r="346">
      <c r="A346" s="15" t="inlineStr">
        <is>
          <t xml:space="preserve">2</t>
        </is>
      </c>
      <c r="B346" s="15" t="inlineStr">
        <is>
          <t xml:space="preserve">CLE072501</t>
        </is>
      </c>
      <c r="C346" s="15" t="inlineStr">
        <is>
          <t xml:space="preserve">P050282</t>
        </is>
      </c>
      <c r="D346" s="15" t="inlineStr">
        <is>
          <t xml:space="preserve">Clemosa</t>
        </is>
      </c>
      <c r="E346" s="15" t="inlineStr">
        <is>
          <t xml:space="preserve">7 Foreign matter</t>
        </is>
      </c>
      <c r="F346" s="15" t="inlineStr">
        <is>
          <t xml:space="preserve">CITED</t>
        </is>
      </c>
      <c r="G346" s="15" t="inlineStr">
        <is>
          <t xml:space="preserve">iCoA-PP_26-032</t>
        </is>
      </c>
      <c r="H346" s="15" t="inlineStr">
        <is>
          <t xml:space="preserve">03.12.2025</t>
        </is>
      </c>
      <c r="I346" s="15" t="inlineStr">
        <is>
          <t xml:space="preserve">PP</t>
        </is>
      </c>
      <c r="J346" s="15" t="inlineStr">
        <is>
          <t xml:space="preserve">planned, NOT ISSUED (2026-05-15)</t>
        </is>
      </c>
      <c r="K346" s="15" t="inlineStr">
        <is>
          <t xml:space="preserve">YES — the certificate has not been issued</t>
        </is>
      </c>
      <c r="L346" s="15" t="inlineStr">
        <is>
          <t xml:space="preserve">Conforms</t>
        </is>
      </c>
      <c r="M346" s="15"/>
    </row>
    <row r="347">
      <c r="A347" s="15" t="inlineStr">
        <is>
          <t xml:space="preserve">2</t>
        </is>
      </c>
      <c r="B347" s="15" t="inlineStr">
        <is>
          <t xml:space="preserve">CLE072501</t>
        </is>
      </c>
      <c r="C347" s="15" t="inlineStr">
        <is>
          <t xml:space="preserve">P050282</t>
        </is>
      </c>
      <c r="D347" s="15" t="inlineStr">
        <is>
          <t xml:space="preserve">Clemosa</t>
        </is>
      </c>
      <c r="E347" s="15" t="inlineStr">
        <is>
          <t xml:space="preserve">8 Loss on drying</t>
        </is>
      </c>
      <c r="F347" s="15" t="inlineStr">
        <is>
          <t xml:space="preserve">CITED</t>
        </is>
      </c>
      <c r="G347" s="15" t="inlineStr">
        <is>
          <t xml:space="preserve">ППК25370</t>
        </is>
      </c>
      <c r="H347" s="15" t="inlineStr">
        <is>
          <t xml:space="preserve">28.11.2025</t>
        </is>
      </c>
      <c r="I347" s="15" t="inlineStr">
        <is>
          <t xml:space="preserve">CNP</t>
        </is>
      </c>
      <c r="J347" s="15" t="inlineStr">
        <is>
          <t xml:space="preserve">in eCoA_DATABASE</t>
        </is>
      </c>
      <c r="K347" s="15"/>
      <c r="L347" s="15" t="inlineStr">
        <is>
          <t xml:space="preserve">9.68</t>
        </is>
      </c>
      <c r="M347" s="15"/>
    </row>
    <row r="348">
      <c r="A348" s="15" t="inlineStr">
        <is>
          <t xml:space="preserve">2</t>
        </is>
      </c>
      <c r="B348" s="15" t="inlineStr">
        <is>
          <t xml:space="preserve">CLE072501</t>
        </is>
      </c>
      <c r="C348" s="15" t="inlineStr">
        <is>
          <t xml:space="preserve">P050282</t>
        </is>
      </c>
      <c r="D348" s="15" t="inlineStr">
        <is>
          <t xml:space="preserve">Clemosa</t>
        </is>
      </c>
      <c r="E348" s="15" t="inlineStr">
        <is>
          <t xml:space="preserve">9 Microbiological purity</t>
        </is>
      </c>
      <c r="F348" s="15" t="inlineStr">
        <is>
          <t xml:space="preserve">CITED</t>
        </is>
      </c>
      <c r="G348" s="15" t="inlineStr">
        <is>
          <t xml:space="preserve">1219-2170-25</t>
        </is>
      </c>
      <c r="H348" s="15" t="inlineStr">
        <is>
          <t xml:space="preserve">01.12.2025</t>
        </is>
      </c>
      <c r="I348" s="15" t="inlineStr">
        <is>
          <t xml:space="preserve">IJZ-MB</t>
        </is>
      </c>
      <c r="J348" s="15" t="inlineStr">
        <is>
          <t xml:space="preserve">in eCoA_DATABASE</t>
        </is>
      </c>
      <c r="K348" s="15"/>
      <c r="L348" s="15" t="inlineStr">
        <is>
          <t xml:space="preserve">&lt;10; &lt;10; &lt;10; Одговара; Одговара</t>
        </is>
      </c>
      <c r="M348" s="15"/>
    </row>
    <row r="349">
      <c r="A349" s="15" t="inlineStr">
        <is>
          <t xml:space="preserve">2</t>
        </is>
      </c>
      <c r="B349" s="15" t="inlineStr">
        <is>
          <t xml:space="preserve">CLE072501</t>
        </is>
      </c>
      <c r="C349" s="15" t="inlineStr">
        <is>
          <t xml:space="preserve">P050282</t>
        </is>
      </c>
      <c r="D349" s="15" t="inlineStr">
        <is>
          <t xml:space="preserve">Clemosa</t>
        </is>
      </c>
      <c r="E349" s="15" t="inlineStr">
        <is>
          <t xml:space="preserve">10 Mycotoxins</t>
        </is>
      </c>
      <c r="F349" s="15" t="inlineStr">
        <is>
          <t xml:space="preserve">CITED</t>
        </is>
      </c>
      <c r="G349" s="15" t="inlineStr">
        <is>
          <t xml:space="preserve">5700-2025</t>
        </is>
      </c>
      <c r="H349" s="15" t="inlineStr">
        <is>
          <t xml:space="preserve">02.12.2025</t>
        </is>
      </c>
      <c r="I349" s="15" t="inlineStr">
        <is>
          <t xml:space="preserve">IJZ</t>
        </is>
      </c>
      <c r="J349" s="15" t="inlineStr">
        <is>
          <t xml:space="preserve">in eCoA_DATABASE</t>
        </is>
      </c>
      <c r="K349" s="15"/>
      <c r="L349" s="15" t="inlineStr">
        <is>
          <t xml:space="preserve">n.r.; 2.2; n.r.</t>
        </is>
      </c>
      <c r="M349" s="15"/>
    </row>
    <row r="350">
      <c r="A350" s="15" t="inlineStr">
        <is>
          <t xml:space="preserve">2</t>
        </is>
      </c>
      <c r="B350" s="15" t="inlineStr">
        <is>
          <t xml:space="preserve">CLE072501</t>
        </is>
      </c>
      <c r="C350" s="15" t="inlineStr">
        <is>
          <t xml:space="preserve">P050282</t>
        </is>
      </c>
      <c r="D350" s="15" t="inlineStr">
        <is>
          <t xml:space="preserve">Clemosa</t>
        </is>
      </c>
      <c r="E350" s="15" t="inlineStr">
        <is>
          <t xml:space="preserve">11 Heavy metals</t>
        </is>
      </c>
      <c r="F350" s="15" t="inlineStr">
        <is>
          <t xml:space="preserve">CITED</t>
        </is>
      </c>
      <c r="G350" s="15" t="inlineStr">
        <is>
          <t xml:space="preserve">5700-2025</t>
        </is>
      </c>
      <c r="H350" s="15" t="inlineStr">
        <is>
          <t xml:space="preserve">02.12.2025</t>
        </is>
      </c>
      <c r="I350" s="15" t="inlineStr">
        <is>
          <t xml:space="preserve">IJZ</t>
        </is>
      </c>
      <c r="J350" s="15" t="inlineStr">
        <is>
          <t xml:space="preserve">in eCoA_DATABASE</t>
        </is>
      </c>
      <c r="K350" s="15"/>
      <c r="L350" s="15" t="inlineStr">
        <is>
          <t xml:space="preserve">0.032; 0.002; 0.013; 0.021</t>
        </is>
      </c>
      <c r="M350" s="15"/>
    </row>
    <row r="351">
      <c r="A351" s="15" t="inlineStr">
        <is>
          <t xml:space="preserve">2</t>
        </is>
      </c>
      <c r="B351" s="15" t="inlineStr">
        <is>
          <t xml:space="preserve">CLE072501</t>
        </is>
      </c>
      <c r="C351" s="15" t="inlineStr">
        <is>
          <t xml:space="preserve">P050282</t>
        </is>
      </c>
      <c r="D351" s="15" t="inlineStr">
        <is>
          <t xml:space="preserve">Clemosa</t>
        </is>
      </c>
      <c r="E351" s="15" t="inlineStr">
        <is>
          <t xml:space="preserve">12 Pesticide residues</t>
        </is>
      </c>
      <c r="F351" s="15" t="inlineStr">
        <is>
          <t xml:space="preserve">CITED</t>
        </is>
      </c>
      <c r="G351" s="15" t="inlineStr">
        <is>
          <t xml:space="preserve">5700-2025</t>
        </is>
      </c>
      <c r="H351" s="15" t="inlineStr">
        <is>
          <t xml:space="preserve">02.12.2025</t>
        </is>
      </c>
      <c r="I351" s="15" t="inlineStr">
        <is>
          <t xml:space="preserve">IJZ</t>
        </is>
      </c>
      <c r="J351" s="15" t="inlineStr">
        <is>
          <t xml:space="preserve">in eCoA_DATABASE</t>
        </is>
      </c>
      <c r="K351" s="15"/>
      <c r="L351" s="15" t="inlineStr">
        <is>
          <t xml:space="preserve">≤ LOQ (all 27 compounds)</t>
        </is>
      </c>
      <c r="M351" s="15"/>
    </row>
    <row r="352">
      <c r="A352" s="15" t="inlineStr">
        <is>
          <t xml:space="preserve">2</t>
        </is>
      </c>
      <c r="B352" s="15" t="inlineStr">
        <is>
          <t xml:space="preserve">FB012601/1</t>
        </is>
      </c>
      <c r="C352" s="15" t="inlineStr">
        <is>
          <t xml:space="preserve">P060322</t>
        </is>
      </c>
      <c r="D352" s="15" t="inlineStr">
        <is>
          <t xml:space="preserve">Fat Bastard</t>
        </is>
      </c>
      <c r="E352" s="15" t="inlineStr">
        <is>
          <t xml:space="preserve">1 Identification A — appearance</t>
        </is>
      </c>
      <c r="F352" s="15" t="inlineStr">
        <is>
          <t xml:space="preserve">CITED</t>
        </is>
      </c>
      <c r="G352" s="15" t="inlineStr">
        <is>
          <t xml:space="preserve">iCoA-PP_26-066</t>
        </is>
      </c>
      <c r="H352" s="15" t="inlineStr">
        <is>
          <t xml:space="preserve">22.05.2026</t>
        </is>
      </c>
      <c r="I352" s="15" t="inlineStr">
        <is>
          <t xml:space="preserve">PP</t>
        </is>
      </c>
      <c r="J352" s="15" t="inlineStr">
        <is>
          <t xml:space="preserve">planned, NOT ISSUED (2026-05-27)</t>
        </is>
      </c>
      <c r="K352" s="15" t="inlineStr">
        <is>
          <t xml:space="preserve">YES — the certificate has not been issued</t>
        </is>
      </c>
      <c r="L352" s="15" t="inlineStr">
        <is>
          <t xml:space="preserve">Conforms</t>
        </is>
      </c>
      <c r="M352" s="15"/>
    </row>
    <row r="353">
      <c r="A353" s="15" t="inlineStr">
        <is>
          <t xml:space="preserve">2</t>
        </is>
      </c>
      <c r="B353" s="15" t="inlineStr">
        <is>
          <t xml:space="preserve">FB012601/1</t>
        </is>
      </c>
      <c r="C353" s="15" t="inlineStr">
        <is>
          <t xml:space="preserve">P060322</t>
        </is>
      </c>
      <c r="D353" s="15" t="inlineStr">
        <is>
          <t xml:space="preserve">Fat Bastard</t>
        </is>
      </c>
      <c r="E353" s="15" t="inlineStr">
        <is>
          <t xml:space="preserve">2 Identification B — microscopy</t>
        </is>
      </c>
      <c r="F353" s="15" t="inlineStr">
        <is>
          <t xml:space="preserve">CITED</t>
        </is>
      </c>
      <c r="G353" s="15" t="inlineStr">
        <is>
          <t xml:space="preserve">iCoA-PP_26-066</t>
        </is>
      </c>
      <c r="H353" s="15" t="inlineStr">
        <is>
          <t xml:space="preserve">22.05.2026</t>
        </is>
      </c>
      <c r="I353" s="15" t="inlineStr">
        <is>
          <t xml:space="preserve">PP</t>
        </is>
      </c>
      <c r="J353" s="15" t="inlineStr">
        <is>
          <t xml:space="preserve">planned, NOT ISSUED (2026-05-27)</t>
        </is>
      </c>
      <c r="K353" s="15" t="inlineStr">
        <is>
          <t xml:space="preserve">YES — the certificate has not been issued</t>
        </is>
      </c>
      <c r="L353" s="15" t="inlineStr">
        <is>
          <t xml:space="preserve">Conforms</t>
        </is>
      </c>
      <c r="M353" s="15"/>
    </row>
    <row r="354">
      <c r="A354" s="15" t="inlineStr">
        <is>
          <t xml:space="preserve">2</t>
        </is>
      </c>
      <c r="B354" s="15" t="inlineStr">
        <is>
          <t xml:space="preserve">FB012601/1</t>
        </is>
      </c>
      <c r="C354" s="15" t="inlineStr">
        <is>
          <t xml:space="preserve">P060322</t>
        </is>
      </c>
      <c r="D354" s="15" t="inlineStr">
        <is>
          <t xml:space="preserve">Fat Bastard</t>
        </is>
      </c>
      <c r="E354" s="15" t="inlineStr">
        <is>
          <t xml:space="preserve">3 Identification C — HPLC</t>
        </is>
      </c>
      <c r="F354" s="15" t="inlineStr">
        <is>
          <t xml:space="preserve">CITED</t>
        </is>
      </c>
      <c r="G354" s="15" t="inlineStr">
        <is>
          <t xml:space="preserve">ППК26067</t>
        </is>
      </c>
      <c r="H354" s="15" t="inlineStr">
        <is>
          <t xml:space="preserve">11.05.2026</t>
        </is>
      </c>
      <c r="I354" s="15" t="inlineStr">
        <is>
          <t xml:space="preserve">CNP</t>
        </is>
      </c>
      <c r="J354" s="15" t="inlineStr">
        <is>
          <t xml:space="preserve">in eCoA_DATABASE</t>
        </is>
      </c>
      <c r="K354" s="15"/>
      <c r="L354" s="15" t="inlineStr">
        <is>
          <t xml:space="preserve">identity by the HPLC cannabinoid profile on this certificate</t>
        </is>
      </c>
      <c r="M354" s="15" t="inlineStr">
        <is>
          <t xml:space="preserve">220-8-K/26</t>
        </is>
      </c>
    </row>
    <row r="355">
      <c r="A355" s="15" t="inlineStr">
        <is>
          <t xml:space="preserve">2</t>
        </is>
      </c>
      <c r="B355" s="15" t="inlineStr">
        <is>
          <t xml:space="preserve">FB012601/1</t>
        </is>
      </c>
      <c r="C355" s="15" t="inlineStr">
        <is>
          <t xml:space="preserve">P060322</t>
        </is>
      </c>
      <c r="D355" s="15" t="inlineStr">
        <is>
          <t xml:space="preserve">Fat Bastard</t>
        </is>
      </c>
      <c r="E355" s="15" t="inlineStr">
        <is>
          <t xml:space="preserve">4 Assay — Total Δ⁹-THC</t>
        </is>
      </c>
      <c r="F355" s="15" t="inlineStr">
        <is>
          <t xml:space="preserve">CITED</t>
        </is>
      </c>
      <c r="G355" s="15" t="inlineStr">
        <is>
          <t xml:space="preserve">ППК26067</t>
        </is>
      </c>
      <c r="H355" s="15" t="inlineStr">
        <is>
          <t xml:space="preserve">11.05.2026</t>
        </is>
      </c>
      <c r="I355" s="15" t="inlineStr">
        <is>
          <t xml:space="preserve">CNP</t>
        </is>
      </c>
      <c r="J355" s="15" t="inlineStr">
        <is>
          <t xml:space="preserve">in eCoA_DATABASE</t>
        </is>
      </c>
      <c r="K355" s="15"/>
      <c r="L355" s="15" t="inlineStr">
        <is>
          <t xml:space="preserve">0.56 % %; 16.10 % %; 14.68 % %</t>
        </is>
      </c>
      <c r="M355" s="15" t="inlineStr">
        <is>
          <t xml:space="preserve">220-8-K/26</t>
        </is>
      </c>
    </row>
    <row r="356">
      <c r="A356" s="15" t="inlineStr">
        <is>
          <t xml:space="preserve">2</t>
        </is>
      </c>
      <c r="B356" s="15" t="inlineStr">
        <is>
          <t xml:space="preserve">FB012601/1</t>
        </is>
      </c>
      <c r="C356" s="15" t="inlineStr">
        <is>
          <t xml:space="preserve">P060322</t>
        </is>
      </c>
      <c r="D356" s="15" t="inlineStr">
        <is>
          <t xml:space="preserve">Fat Bastard</t>
        </is>
      </c>
      <c r="E356" s="15" t="inlineStr">
        <is>
          <t xml:space="preserve">5 Assay — Total CBD</t>
        </is>
      </c>
      <c r="F356" s="15" t="inlineStr">
        <is>
          <t xml:space="preserve">CITED</t>
        </is>
      </c>
      <c r="G356" s="15" t="inlineStr">
        <is>
          <t xml:space="preserve">ППК26067</t>
        </is>
      </c>
      <c r="H356" s="15" t="inlineStr">
        <is>
          <t xml:space="preserve">11.05.2026</t>
        </is>
      </c>
      <c r="I356" s="15" t="inlineStr">
        <is>
          <t xml:space="preserve">CNP</t>
        </is>
      </c>
      <c r="J356" s="15" t="inlineStr">
        <is>
          <t xml:space="preserve">in eCoA_DATABASE</t>
        </is>
      </c>
      <c r="K356" s="15"/>
      <c r="L356" s="15" t="inlineStr">
        <is>
          <t xml:space="preserve">0.04 % %; BLQ %; 0.04 % %</t>
        </is>
      </c>
      <c r="M356" s="15" t="inlineStr">
        <is>
          <t xml:space="preserve">220-8-K/26</t>
        </is>
      </c>
    </row>
    <row r="357">
      <c r="A357" s="15" t="inlineStr">
        <is>
          <t xml:space="preserve">2</t>
        </is>
      </c>
      <c r="B357" s="15" t="inlineStr">
        <is>
          <t xml:space="preserve">FB012601/1</t>
        </is>
      </c>
      <c r="C357" s="15" t="inlineStr">
        <is>
          <t xml:space="preserve">P060322</t>
        </is>
      </c>
      <c r="D357" s="15" t="inlineStr">
        <is>
          <t xml:space="preserve">Fat Bastard</t>
        </is>
      </c>
      <c r="E357" s="15" t="inlineStr">
        <is>
          <t xml:space="preserve">6 Total CBN</t>
        </is>
      </c>
      <c r="F357" s="15" t="inlineStr">
        <is>
          <t xml:space="preserve">CITED</t>
        </is>
      </c>
      <c r="G357" s="15" t="inlineStr">
        <is>
          <t xml:space="preserve">ППК26067</t>
        </is>
      </c>
      <c r="H357" s="15" t="inlineStr">
        <is>
          <t xml:space="preserve">11.05.2026</t>
        </is>
      </c>
      <c r="I357" s="15" t="inlineStr">
        <is>
          <t xml:space="preserve">CNP</t>
        </is>
      </c>
      <c r="J357" s="15" t="inlineStr">
        <is>
          <t xml:space="preserve">in eCoA_DATABASE</t>
        </is>
      </c>
      <c r="K357" s="15"/>
      <c r="L357" s="15" t="inlineStr">
        <is>
          <t xml:space="preserve">BLQ %</t>
        </is>
      </c>
      <c r="M357" s="15" t="inlineStr">
        <is>
          <t xml:space="preserve">220-8-K/26</t>
        </is>
      </c>
    </row>
    <row r="358">
      <c r="A358" s="15" t="inlineStr">
        <is>
          <t xml:space="preserve">2</t>
        </is>
      </c>
      <c r="B358" s="15" t="inlineStr">
        <is>
          <t xml:space="preserve">FB012601/1</t>
        </is>
      </c>
      <c r="C358" s="15" t="inlineStr">
        <is>
          <t xml:space="preserve">P060322</t>
        </is>
      </c>
      <c r="D358" s="15" t="inlineStr">
        <is>
          <t xml:space="preserve">Fat Bastard</t>
        </is>
      </c>
      <c r="E358" s="15" t="inlineStr">
        <is>
          <t xml:space="preserve">7 Foreign matter</t>
        </is>
      </c>
      <c r="F358" s="15" t="inlineStr">
        <is>
          <t xml:space="preserve">CITED</t>
        </is>
      </c>
      <c r="G358" s="15" t="inlineStr">
        <is>
          <t xml:space="preserve">iCoA-PP_26-066</t>
        </is>
      </c>
      <c r="H358" s="15" t="inlineStr">
        <is>
          <t xml:space="preserve">22.05.2026</t>
        </is>
      </c>
      <c r="I358" s="15" t="inlineStr">
        <is>
          <t xml:space="preserve">PP</t>
        </is>
      </c>
      <c r="J358" s="15" t="inlineStr">
        <is>
          <t xml:space="preserve">planned, NOT ISSUED (2026-05-27)</t>
        </is>
      </c>
      <c r="K358" s="15" t="inlineStr">
        <is>
          <t xml:space="preserve">YES — the certificate has not been issued</t>
        </is>
      </c>
      <c r="L358" s="15" t="inlineStr">
        <is>
          <t xml:space="preserve">Conforms</t>
        </is>
      </c>
      <c r="M358" s="15"/>
    </row>
    <row r="359">
      <c r="A359" s="15" t="inlineStr">
        <is>
          <t xml:space="preserve">2</t>
        </is>
      </c>
      <c r="B359" s="15" t="inlineStr">
        <is>
          <t xml:space="preserve">FB012601/1</t>
        </is>
      </c>
      <c r="C359" s="15" t="inlineStr">
        <is>
          <t xml:space="preserve">P060322</t>
        </is>
      </c>
      <c r="D359" s="15" t="inlineStr">
        <is>
          <t xml:space="preserve">Fat Bastard</t>
        </is>
      </c>
      <c r="E359" s="15" t="inlineStr">
        <is>
          <t xml:space="preserve">8 Loss on drying</t>
        </is>
      </c>
      <c r="F359" s="15" t="inlineStr">
        <is>
          <t xml:space="preserve">CITED</t>
        </is>
      </c>
      <c r="G359" s="15" t="inlineStr">
        <is>
          <t xml:space="preserve">ППК26067</t>
        </is>
      </c>
      <c r="H359" s="15" t="inlineStr">
        <is>
          <t xml:space="preserve">11.05.2026</t>
        </is>
      </c>
      <c r="I359" s="15" t="inlineStr">
        <is>
          <t xml:space="preserve">CNP</t>
        </is>
      </c>
      <c r="J359" s="15" t="inlineStr">
        <is>
          <t xml:space="preserve">in eCoA_DATABASE</t>
        </is>
      </c>
      <c r="K359" s="15"/>
      <c r="L359" s="15" t="inlineStr">
        <is>
          <t xml:space="preserve">7.67 % %</t>
        </is>
      </c>
      <c r="M359" s="15"/>
    </row>
    <row r="360">
      <c r="A360" s="15" t="inlineStr">
        <is>
          <t xml:space="preserve">2</t>
        </is>
      </c>
      <c r="B360" s="15" t="inlineStr">
        <is>
          <t xml:space="preserve">FB012601/1</t>
        </is>
      </c>
      <c r="C360" s="15" t="inlineStr">
        <is>
          <t xml:space="preserve">P060322</t>
        </is>
      </c>
      <c r="D360" s="15" t="inlineStr">
        <is>
          <t xml:space="preserve">Fat Bastard</t>
        </is>
      </c>
      <c r="E360" s="15" t="inlineStr">
        <is>
          <t xml:space="preserve">9 Microbiological purity</t>
        </is>
      </c>
      <c r="F360" s="15" t="inlineStr">
        <is>
          <t xml:space="preserve">CITED</t>
        </is>
      </c>
      <c r="G360" s="15" t="inlineStr">
        <is>
          <t xml:space="preserve">308-0552-26</t>
        </is>
      </c>
      <c r="H360" s="15" t="inlineStr">
        <is>
          <t xml:space="preserve">28.04.2026</t>
        </is>
      </c>
      <c r="I360" s="15" t="inlineStr">
        <is>
          <t xml:space="preserve">IJZ-MB</t>
        </is>
      </c>
      <c r="J360" s="15" t="inlineStr">
        <is>
          <t xml:space="preserve">in eCoA_DATABASE</t>
        </is>
      </c>
      <c r="K360" s="15"/>
      <c r="L360" s="15" t="inlineStr">
        <is>
          <t xml:space="preserve">2 x 10³ CFU/g CFU/g; 2,1 x 10³ CFU/g CFU/g; &lt; 10 CFU/g CFU/g; Отсутна/g; Отсутна/25 g</t>
        </is>
      </c>
      <c r="M360" s="15"/>
    </row>
    <row r="361">
      <c r="A361" s="15" t="inlineStr">
        <is>
          <t xml:space="preserve">2</t>
        </is>
      </c>
      <c r="B361" s="15" t="inlineStr">
        <is>
          <t xml:space="preserve">FB012601/1</t>
        </is>
      </c>
      <c r="C361" s="15" t="inlineStr">
        <is>
          <t xml:space="preserve">P060322</t>
        </is>
      </c>
      <c r="D361" s="15" t="inlineStr">
        <is>
          <t xml:space="preserve">Fat Bastard</t>
        </is>
      </c>
      <c r="E361" s="15" t="inlineStr">
        <is>
          <t xml:space="preserve">10 Mycotoxins</t>
        </is>
      </c>
      <c r="F361" s="15" t="inlineStr">
        <is>
          <t xml:space="preserve">CITED</t>
        </is>
      </c>
      <c r="G361" s="15" t="inlineStr">
        <is>
          <t xml:space="preserve">2362-2026</t>
        </is>
      </c>
      <c r="H361" s="15" t="inlineStr">
        <is>
          <t xml:space="preserve">30.04.2026</t>
        </is>
      </c>
      <c r="I361" s="15" t="inlineStr">
        <is>
          <t xml:space="preserve">IJZ</t>
        </is>
      </c>
      <c r="J361" s="15" t="inlineStr">
        <is>
          <t xml:space="preserve">in eCoA_DATABASE</t>
        </is>
      </c>
      <c r="K361" s="15"/>
      <c r="L361" s="15" t="inlineStr">
        <is>
          <t xml:space="preserve">&lt; 2 µg/kg</t>
        </is>
      </c>
      <c r="M361" s="15"/>
    </row>
    <row r="362">
      <c r="A362" s="15" t="inlineStr">
        <is>
          <t xml:space="preserve">2</t>
        </is>
      </c>
      <c r="B362" s="15" t="inlineStr">
        <is>
          <t xml:space="preserve">FB012601/1</t>
        </is>
      </c>
      <c r="C362" s="15" t="inlineStr">
        <is>
          <t xml:space="preserve">P060322</t>
        </is>
      </c>
      <c r="D362" s="15" t="inlineStr">
        <is>
          <t xml:space="preserve">Fat Bastard</t>
        </is>
      </c>
      <c r="E362" s="15" t="inlineStr">
        <is>
          <t xml:space="preserve">11 Heavy metals</t>
        </is>
      </c>
      <c r="F362" s="15" t="inlineStr">
        <is>
          <t xml:space="preserve">CITED</t>
        </is>
      </c>
      <c r="G362" s="15" t="inlineStr">
        <is>
          <t xml:space="preserve">2362-2026</t>
        </is>
      </c>
      <c r="H362" s="15" t="inlineStr">
        <is>
          <t xml:space="preserve">30.04.2026</t>
        </is>
      </c>
      <c r="I362" s="15" t="inlineStr">
        <is>
          <t xml:space="preserve">IJZ</t>
        </is>
      </c>
      <c r="J362" s="15" t="inlineStr">
        <is>
          <t xml:space="preserve">in eCoA_DATABASE</t>
        </is>
      </c>
      <c r="K362" s="15"/>
      <c r="L362" s="15" t="inlineStr">
        <is>
          <t xml:space="preserve">0,0114 mg/kg; 0,017 mg/kg(l); 0,0144 mg/kg(l); 0,0155 mg/kg(l)</t>
        </is>
      </c>
      <c r="M362" s="15"/>
    </row>
    <row r="363">
      <c r="A363" s="15" t="inlineStr">
        <is>
          <t xml:space="preserve">2</t>
        </is>
      </c>
      <c r="B363" s="15" t="inlineStr">
        <is>
          <t xml:space="preserve">FB012601/1</t>
        </is>
      </c>
      <c r="C363" s="15" t="inlineStr">
        <is>
          <t xml:space="preserve">P060322</t>
        </is>
      </c>
      <c r="D363" s="15" t="inlineStr">
        <is>
          <t xml:space="preserve">Fat Bastard</t>
        </is>
      </c>
      <c r="E363" s="15" t="inlineStr">
        <is>
          <t xml:space="preserve">12 Pesticide residues</t>
        </is>
      </c>
      <c r="F363" s="15" t="inlineStr">
        <is>
          <t xml:space="preserve">CITED</t>
        </is>
      </c>
      <c r="G363" s="15" t="inlineStr">
        <is>
          <t xml:space="preserve">2362-2026</t>
        </is>
      </c>
      <c r="H363" s="15" t="inlineStr">
        <is>
          <t xml:space="preserve">30.04.2026</t>
        </is>
      </c>
      <c r="I363" s="15" t="inlineStr">
        <is>
          <t xml:space="preserve">IJZ</t>
        </is>
      </c>
      <c r="J363" s="15" t="inlineStr">
        <is>
          <t xml:space="preserve">in eCoA_DATABASE</t>
        </is>
      </c>
      <c r="K363" s="15"/>
      <c r="L363" s="15" t="inlineStr">
        <is>
          <t xml:space="preserve">н.д. mg/kg; н.д. mg/kg; н.д. mg/kg; н.д. mg/kg; н.д. mg/kg; н.д. mg/kg; н.д. mg/kg; н.д. mg/kg; н.д. mg/kg; н.д. mg/kg; н.д. mg/kg; н.д. mg/kg; н.д. mg/kg; н.д. mg/Kg; н.д. mg/kg; н.д. mg/kg; н.д. mg/kg; н.д. mg/kg; н.д. mg/kg; н.д. mg/kg; н.д. mg/kg; н.д. mg/kg; н.д. mg/kg; н.д. mg/kg; н.д. mg/kg; </t>
        </is>
      </c>
      <c r="M363" s="15"/>
    </row>
    <row r="364">
      <c r="A364" s="15" t="inlineStr">
        <is>
          <t xml:space="preserve">2</t>
        </is>
      </c>
      <c r="B364" s="15" t="inlineStr">
        <is>
          <t xml:space="preserve">GG1024</t>
        </is>
      </c>
      <c r="C364" s="15" t="inlineStr">
        <is>
          <t xml:space="preserve">—</t>
        </is>
      </c>
      <c r="D364" s="15" t="inlineStr">
        <is>
          <t xml:space="preserve">Gorilla Glue</t>
        </is>
      </c>
      <c r="E364" s="15" t="inlineStr">
        <is>
          <t xml:space="preserve">1 Identification A — appearance</t>
        </is>
      </c>
      <c r="F364" s="15" t="inlineStr">
        <is>
          <t xml:space="preserve">CITED</t>
        </is>
      </c>
      <c r="G364" s="15" t="inlineStr">
        <is>
          <t xml:space="preserve">iCoA-PP_26-004</t>
        </is>
      </c>
      <c r="H364" s="15" t="inlineStr">
        <is>
          <t xml:space="preserve">11.03.2025</t>
        </is>
      </c>
      <c r="I364" s="15" t="inlineStr">
        <is>
          <t xml:space="preserve">PP</t>
        </is>
      </c>
      <c r="J364" s="15" t="inlineStr">
        <is>
          <t xml:space="preserve">planned, NOT ISSUED (2026-05-15)</t>
        </is>
      </c>
      <c r="K364" s="15" t="inlineStr">
        <is>
          <t xml:space="preserve">YES — the certificate has not been issued</t>
        </is>
      </c>
      <c r="L364" s="15" t="inlineStr">
        <is>
          <t xml:space="preserve">Conforms</t>
        </is>
      </c>
      <c r="M364" s="15"/>
    </row>
    <row r="365">
      <c r="A365" s="15" t="inlineStr">
        <is>
          <t xml:space="preserve">2</t>
        </is>
      </c>
      <c r="B365" s="15" t="inlineStr">
        <is>
          <t xml:space="preserve">GG1024</t>
        </is>
      </c>
      <c r="C365" s="15" t="inlineStr">
        <is>
          <t xml:space="preserve">—</t>
        </is>
      </c>
      <c r="D365" s="15" t="inlineStr">
        <is>
          <t xml:space="preserve">Gorilla Glue</t>
        </is>
      </c>
      <c r="E365" s="15" t="inlineStr">
        <is>
          <t xml:space="preserve">2 Identification B — microscopy</t>
        </is>
      </c>
      <c r="F365" s="15" t="inlineStr">
        <is>
          <t xml:space="preserve">CITED</t>
        </is>
      </c>
      <c r="G365" s="15" t="inlineStr">
        <is>
          <t xml:space="preserve">iCoA-PP_26-004</t>
        </is>
      </c>
      <c r="H365" s="15" t="inlineStr">
        <is>
          <t xml:space="preserve">11.03.2025</t>
        </is>
      </c>
      <c r="I365" s="15" t="inlineStr">
        <is>
          <t xml:space="preserve">PP</t>
        </is>
      </c>
      <c r="J365" s="15" t="inlineStr">
        <is>
          <t xml:space="preserve">planned, NOT ISSUED (2026-05-15)</t>
        </is>
      </c>
      <c r="K365" s="15" t="inlineStr">
        <is>
          <t xml:space="preserve">YES — the certificate has not been issued</t>
        </is>
      </c>
      <c r="L365" s="15" t="inlineStr">
        <is>
          <t xml:space="preserve">Conforms</t>
        </is>
      </c>
      <c r="M365" s="15"/>
    </row>
    <row r="366">
      <c r="A366" s="15" t="inlineStr">
        <is>
          <t xml:space="preserve">2</t>
        </is>
      </c>
      <c r="B366" s="15" t="inlineStr">
        <is>
          <t xml:space="preserve">GG1024</t>
        </is>
      </c>
      <c r="C366" s="15" t="inlineStr">
        <is>
          <t xml:space="preserve">—</t>
        </is>
      </c>
      <c r="D366" s="15" t="inlineStr">
        <is>
          <t xml:space="preserve">Gorilla Glue</t>
        </is>
      </c>
      <c r="E366" s="15" t="inlineStr">
        <is>
          <t xml:space="preserve">3 Identification C — HPLC</t>
        </is>
      </c>
      <c r="F366" s="15" t="inlineStr">
        <is>
          <t xml:space="preserve">READ IN THIS PASS</t>
        </is>
      </c>
      <c r="G366" s="15" t="inlineStr">
        <is>
          <t xml:space="preserve">220-9-K/26</t>
        </is>
      </c>
      <c r="H366" s="15" t="inlineStr">
        <is>
          <t xml:space="preserve">25.08.2026</t>
        </is>
      </c>
      <c r="I366" s="15" t="inlineStr">
        <is>
          <t xml:space="preserve">FHM</t>
        </is>
      </c>
      <c r="J366" s="15" t="inlineStr">
        <is>
          <t xml:space="preserve">in eCoA_DATABASE</t>
        </is>
      </c>
      <c r="K366" s="15"/>
      <c r="L366" s="15" t="inlineStr">
        <is>
          <t xml:space="preserve">identity by the HPLC cannabinoid profile on this certificate</t>
        </is>
      </c>
      <c r="M366" s="15" t="inlineStr">
        <is>
          <t xml:space="preserve">ППК25008</t>
        </is>
      </c>
    </row>
    <row r="367">
      <c r="A367" s="15" t="inlineStr">
        <is>
          <t xml:space="preserve">2</t>
        </is>
      </c>
      <c r="B367" s="15" t="inlineStr">
        <is>
          <t xml:space="preserve">GG1024</t>
        </is>
      </c>
      <c r="C367" s="15" t="inlineStr">
        <is>
          <t xml:space="preserve">—</t>
        </is>
      </c>
      <c r="D367" s="15" t="inlineStr">
        <is>
          <t xml:space="preserve">Gorilla Glue</t>
        </is>
      </c>
      <c r="E367" s="15" t="inlineStr">
        <is>
          <t xml:space="preserve">4 Assay — Total Δ⁹-THC</t>
        </is>
      </c>
      <c r="F367" s="15" t="inlineStr">
        <is>
          <t xml:space="preserve">READ IN THIS PASS</t>
        </is>
      </c>
      <c r="G367" s="15" t="inlineStr">
        <is>
          <t xml:space="preserve">220-9-K/26</t>
        </is>
      </c>
      <c r="H367" s="15" t="inlineStr">
        <is>
          <t xml:space="preserve">25.08.2026</t>
        </is>
      </c>
      <c r="I367" s="15" t="inlineStr">
        <is>
          <t xml:space="preserve">FHM</t>
        </is>
      </c>
      <c r="J367" s="15" t="inlineStr">
        <is>
          <t xml:space="preserve">in eCoA_DATABASE</t>
        </is>
      </c>
      <c r="K367" s="15"/>
      <c r="L367" s="15" t="inlineStr">
        <is>
          <t xml:space="preserve">15.51 % w/w</t>
        </is>
      </c>
      <c r="M367" s="15" t="inlineStr">
        <is>
          <t xml:space="preserve">ППК25008</t>
        </is>
      </c>
    </row>
    <row r="368">
      <c r="A368" s="15" t="inlineStr">
        <is>
          <t xml:space="preserve">2</t>
        </is>
      </c>
      <c r="B368" s="15" t="inlineStr">
        <is>
          <t xml:space="preserve">GG1024</t>
        </is>
      </c>
      <c r="C368" s="15" t="inlineStr">
        <is>
          <t xml:space="preserve">—</t>
        </is>
      </c>
      <c r="D368" s="15" t="inlineStr">
        <is>
          <t xml:space="preserve">Gorilla Glue</t>
        </is>
      </c>
      <c r="E368" s="15" t="inlineStr">
        <is>
          <t xml:space="preserve">5 Assay — Total CBD</t>
        </is>
      </c>
      <c r="F368" s="15" t="inlineStr">
        <is>
          <t xml:space="preserve">READ IN THIS PASS</t>
        </is>
      </c>
      <c r="G368" s="15" t="inlineStr">
        <is>
          <t xml:space="preserve">220-9-K/26</t>
        </is>
      </c>
      <c r="H368" s="15" t="inlineStr">
        <is>
          <t xml:space="preserve">25.08.2026</t>
        </is>
      </c>
      <c r="I368" s="15" t="inlineStr">
        <is>
          <t xml:space="preserve">FHM</t>
        </is>
      </c>
      <c r="J368" s="15" t="inlineStr">
        <is>
          <t xml:space="preserve">in eCoA_DATABASE</t>
        </is>
      </c>
      <c r="K368" s="15"/>
      <c r="L368" s="15" t="inlineStr">
        <is>
          <t xml:space="preserve">&lt; LOQ % w/w</t>
        </is>
      </c>
      <c r="M368" s="15" t="inlineStr">
        <is>
          <t xml:space="preserve">ППК25008</t>
        </is>
      </c>
    </row>
    <row r="369">
      <c r="A369" s="15" t="inlineStr">
        <is>
          <t xml:space="preserve">2</t>
        </is>
      </c>
      <c r="B369" s="15" t="inlineStr">
        <is>
          <t xml:space="preserve">GG1024</t>
        </is>
      </c>
      <c r="C369" s="15" t="inlineStr">
        <is>
          <t xml:space="preserve">—</t>
        </is>
      </c>
      <c r="D369" s="15" t="inlineStr">
        <is>
          <t xml:space="preserve">Gorilla Glue</t>
        </is>
      </c>
      <c r="E369" s="15" t="inlineStr">
        <is>
          <t xml:space="preserve">6 Total CBN</t>
        </is>
      </c>
      <c r="F369" s="15" t="inlineStr">
        <is>
          <t xml:space="preserve">READ IN THIS PASS</t>
        </is>
      </c>
      <c r="G369" s="15" t="inlineStr">
        <is>
          <t xml:space="preserve">220-9-K/26</t>
        </is>
      </c>
      <c r="H369" s="15" t="inlineStr">
        <is>
          <t xml:space="preserve">25.08.2026</t>
        </is>
      </c>
      <c r="I369" s="15" t="inlineStr">
        <is>
          <t xml:space="preserve">FHM</t>
        </is>
      </c>
      <c r="J369" s="15" t="inlineStr">
        <is>
          <t xml:space="preserve">in eCoA_DATABASE</t>
        </is>
      </c>
      <c r="K369" s="15"/>
      <c r="L369" s="15" t="inlineStr">
        <is>
          <t xml:space="preserve">&lt; LOQ % w/w</t>
        </is>
      </c>
      <c r="M369" s="15" t="inlineStr">
        <is>
          <t xml:space="preserve">ППК25008</t>
        </is>
      </c>
    </row>
    <row r="370">
      <c r="A370" s="15" t="inlineStr">
        <is>
          <t xml:space="preserve">2</t>
        </is>
      </c>
      <c r="B370" s="15" t="inlineStr">
        <is>
          <t xml:space="preserve">GG1024</t>
        </is>
      </c>
      <c r="C370" s="15" t="inlineStr">
        <is>
          <t xml:space="preserve">—</t>
        </is>
      </c>
      <c r="D370" s="15" t="inlineStr">
        <is>
          <t xml:space="preserve">Gorilla Glue</t>
        </is>
      </c>
      <c r="E370" s="15" t="inlineStr">
        <is>
          <t xml:space="preserve">7 Foreign matter</t>
        </is>
      </c>
      <c r="F370" s="15" t="inlineStr">
        <is>
          <t xml:space="preserve">CITED</t>
        </is>
      </c>
      <c r="G370" s="15" t="inlineStr">
        <is>
          <t xml:space="preserve">iCoA-PP_26-004</t>
        </is>
      </c>
      <c r="H370" s="15" t="inlineStr">
        <is>
          <t xml:space="preserve">11.03.2025</t>
        </is>
      </c>
      <c r="I370" s="15" t="inlineStr">
        <is>
          <t xml:space="preserve">PP</t>
        </is>
      </c>
      <c r="J370" s="15" t="inlineStr">
        <is>
          <t xml:space="preserve">planned, NOT ISSUED (2026-05-15)</t>
        </is>
      </c>
      <c r="K370" s="15" t="inlineStr">
        <is>
          <t xml:space="preserve">YES — the certificate has not been issued</t>
        </is>
      </c>
      <c r="L370" s="15" t="inlineStr">
        <is>
          <t xml:space="preserve">Confirms</t>
        </is>
      </c>
      <c r="M370" s="15"/>
    </row>
    <row r="371">
      <c r="A371" s="15" t="inlineStr">
        <is>
          <t xml:space="preserve">2</t>
        </is>
      </c>
      <c r="B371" s="15" t="inlineStr">
        <is>
          <t xml:space="preserve">GG1024</t>
        </is>
      </c>
      <c r="C371" s="15" t="inlineStr">
        <is>
          <t xml:space="preserve">—</t>
        </is>
      </c>
      <c r="D371" s="15" t="inlineStr">
        <is>
          <t xml:space="preserve">Gorilla Glue</t>
        </is>
      </c>
      <c r="E371" s="15" t="inlineStr">
        <is>
          <t xml:space="preserve">8 Loss on drying</t>
        </is>
      </c>
      <c r="F371" s="15" t="inlineStr">
        <is>
          <t xml:space="preserve">READ IN THIS PASS</t>
        </is>
      </c>
      <c r="G371" s="15" t="inlineStr">
        <is>
          <t xml:space="preserve">ППК25008</t>
        </is>
      </c>
      <c r="H371" s="15" t="inlineStr">
        <is>
          <t xml:space="preserve">29.01.2025</t>
        </is>
      </c>
      <c r="I371" s="15" t="inlineStr">
        <is>
          <t xml:space="preserve">CNP</t>
        </is>
      </c>
      <c r="J371" s="15" t="inlineStr">
        <is>
          <t xml:space="preserve">in eCoA_DATABASE</t>
        </is>
      </c>
      <c r="K371" s="15"/>
      <c r="L371" s="15" t="inlineStr">
        <is>
          <t xml:space="preserve">76.07 %</t>
        </is>
      </c>
      <c r="M371" s="15"/>
    </row>
    <row r="372">
      <c r="A372" s="15" t="inlineStr">
        <is>
          <t xml:space="preserve">2</t>
        </is>
      </c>
      <c r="B372" s="15" t="inlineStr">
        <is>
          <t xml:space="preserve">GG1024</t>
        </is>
      </c>
      <c r="C372" s="15" t="inlineStr">
        <is>
          <t xml:space="preserve">—</t>
        </is>
      </c>
      <c r="D372" s="15" t="inlineStr">
        <is>
          <t xml:space="preserve">Gorilla Glue</t>
        </is>
      </c>
      <c r="E372" s="15" t="inlineStr">
        <is>
          <t xml:space="preserve">9 Microbiological purity</t>
        </is>
      </c>
      <c r="F372" s="15" t="inlineStr">
        <is>
          <t xml:space="preserve">READ IN THIS PASS</t>
        </is>
      </c>
      <c r="G372" s="15" t="inlineStr">
        <is>
          <t xml:space="preserve">166/0274/25</t>
        </is>
      </c>
      <c r="H372" s="15" t="inlineStr">
        <is>
          <t xml:space="preserve">24.02.2025</t>
        </is>
      </c>
      <c r="I372" s="15" t="inlineStr">
        <is>
          <t xml:space="preserve">IJZ-MB</t>
        </is>
      </c>
      <c r="J372" s="15" t="inlineStr">
        <is>
          <t xml:space="preserve">in eCoA_DATABASE</t>
        </is>
      </c>
      <c r="K372" s="15"/>
      <c r="L372" s="15" t="inlineStr">
        <is>
          <t xml:space="preserve">1,1 x 10⁴ CFU/g; &lt; 10 CFU/g; &lt; 10² и &gt; 10 CFU/g; Одговара; Одговара</t>
        </is>
      </c>
      <c r="M372" s="15"/>
    </row>
    <row r="373">
      <c r="A373" s="15" t="inlineStr">
        <is>
          <t xml:space="preserve">2</t>
        </is>
      </c>
      <c r="B373" s="15" t="inlineStr">
        <is>
          <t xml:space="preserve">GG1024</t>
        </is>
      </c>
      <c r="C373" s="15" t="inlineStr">
        <is>
          <t xml:space="preserve">—</t>
        </is>
      </c>
      <c r="D373" s="15" t="inlineStr">
        <is>
          <t xml:space="preserve">Gorilla Glue</t>
        </is>
      </c>
      <c r="E373" s="15" t="inlineStr">
        <is>
          <t xml:space="preserve">10 Mycotoxins</t>
        </is>
      </c>
      <c r="F373" s="15" t="inlineStr">
        <is>
          <t xml:space="preserve">READ IN THIS PASS</t>
        </is>
      </c>
      <c r="G373" s="15" t="inlineStr">
        <is>
          <t xml:space="preserve">748/2025</t>
        </is>
      </c>
      <c r="H373" s="15" t="inlineStr">
        <is>
          <t xml:space="preserve">04.03.2025</t>
        </is>
      </c>
      <c r="I373" s="15" t="inlineStr">
        <is>
          <t xml:space="preserve">IJZ</t>
        </is>
      </c>
      <c r="J373" s="15" t="inlineStr">
        <is>
          <t xml:space="preserve">in eCoA_DATABASE</t>
        </is>
      </c>
      <c r="K373" s="15"/>
      <c r="L373" s="15" t="inlineStr">
        <is>
          <t xml:space="preserve">&lt; 2 µg/kg</t>
        </is>
      </c>
      <c r="M373" s="15"/>
    </row>
    <row r="374">
      <c r="A374" s="15" t="inlineStr">
        <is>
          <t xml:space="preserve">2</t>
        </is>
      </c>
      <c r="B374" s="15" t="inlineStr">
        <is>
          <t xml:space="preserve">GG1024</t>
        </is>
      </c>
      <c r="C374" s="15" t="inlineStr">
        <is>
          <t xml:space="preserve">—</t>
        </is>
      </c>
      <c r="D374" s="15" t="inlineStr">
        <is>
          <t xml:space="preserve">Gorilla Glue</t>
        </is>
      </c>
      <c r="E374" s="15" t="inlineStr">
        <is>
          <t xml:space="preserve">11 Heavy metals</t>
        </is>
      </c>
      <c r="F374" s="15" t="inlineStr">
        <is>
          <t xml:space="preserve">READ IN THIS PASS</t>
        </is>
      </c>
      <c r="G374" s="15" t="inlineStr">
        <is>
          <t xml:space="preserve">748/2025</t>
        </is>
      </c>
      <c r="H374" s="15" t="inlineStr">
        <is>
          <t xml:space="preserve">04.03.2025</t>
        </is>
      </c>
      <c r="I374" s="15" t="inlineStr">
        <is>
          <t xml:space="preserve">IJZ</t>
        </is>
      </c>
      <c r="J374" s="15" t="inlineStr">
        <is>
          <t xml:space="preserve">in eCoA_DATABASE</t>
        </is>
      </c>
      <c r="K374" s="15"/>
      <c r="L374" s="15" t="inlineStr">
        <is>
          <t xml:space="preserve">0,052 mg/kg; 0,016 mg/kg(l); 0,04 mg/kg(l); 0,004 mg/kg(l)</t>
        </is>
      </c>
      <c r="M374" s="15"/>
    </row>
    <row r="375">
      <c r="A375" s="15" t="inlineStr">
        <is>
          <t xml:space="preserve">2</t>
        </is>
      </c>
      <c r="B375" s="15" t="inlineStr">
        <is>
          <t xml:space="preserve">GG1024</t>
        </is>
      </c>
      <c r="C375" s="15" t="inlineStr">
        <is>
          <t xml:space="preserve">—</t>
        </is>
      </c>
      <c r="D375" s="15" t="inlineStr">
        <is>
          <t xml:space="preserve">Gorilla Glue</t>
        </is>
      </c>
      <c r="E375" s="15" t="inlineStr">
        <is>
          <t xml:space="preserve">12 Pesticide residues</t>
        </is>
      </c>
      <c r="F375" s="15" t="inlineStr">
        <is>
          <t xml:space="preserve">READ IN THIS PASS</t>
        </is>
      </c>
      <c r="G375" s="15" t="inlineStr">
        <is>
          <t xml:space="preserve">748/2025</t>
        </is>
      </c>
      <c r="H375" s="15" t="inlineStr">
        <is>
          <t xml:space="preserve">04.03.2025</t>
        </is>
      </c>
      <c r="I375" s="15" t="inlineStr">
        <is>
          <t xml:space="preserve">IJZ</t>
        </is>
      </c>
      <c r="J375" s="15" t="inlineStr">
        <is>
          <t xml:space="preserve">in eCoA_DATABASE</t>
        </is>
      </c>
      <c r="K375" s="15"/>
      <c r="L375" s="15" t="inlineStr">
        <is>
          <t xml:space="preserve">н.д. mg/Kg; н.д. mg/Kg; н.д. mg/kg; н.д. mg/kg(l); н.д. mg/kg(l); н.д. mg/kg(l); н.д. mg/kg(l); н.д. mg/kg(l); н.д. mg/kg(l); н.д. mg/kg(l); н.д. mg/kg(l); н.д. mg/kg(l); н.д. mg/kg(l); н.д. mg/kg(l); н.д. mg/kg(l); н.д. mg/kg; н.д. mg/kg; н.д. mg/kg; н.д. mg/kg; н.д. mg/kg; н.д. mg/kg; н.д. mg/kg; </t>
        </is>
      </c>
      <c r="M375" s="15"/>
    </row>
    <row r="376">
      <c r="A376" s="15" t="inlineStr">
        <is>
          <t xml:space="preserve">2</t>
        </is>
      </c>
      <c r="B376" s="15" t="inlineStr">
        <is>
          <t xml:space="preserve">GP072501/2</t>
        </is>
      </c>
      <c r="C376" s="15" t="inlineStr">
        <is>
          <t xml:space="preserve">P050302</t>
        </is>
      </c>
      <c r="D376" s="15" t="inlineStr">
        <is>
          <t xml:space="preserve">Grape Pie</t>
        </is>
      </c>
      <c r="E376" s="15" t="inlineStr">
        <is>
          <t xml:space="preserve">1 Identification A — appearance</t>
        </is>
      </c>
      <c r="F376" s="15" t="inlineStr">
        <is>
          <t xml:space="preserve">CITED</t>
        </is>
      </c>
      <c r="G376" s="15" t="inlineStr">
        <is>
          <t xml:space="preserve">iCoA-PP_26-034</t>
        </is>
      </c>
      <c r="H376" s="15" t="inlineStr">
        <is>
          <t xml:space="preserve">22.12.2025</t>
        </is>
      </c>
      <c r="I376" s="15" t="inlineStr">
        <is>
          <t xml:space="preserve">PP</t>
        </is>
      </c>
      <c r="J376" s="15" t="inlineStr">
        <is>
          <t xml:space="preserve">planned, NOT ISSUED (2026-05-15)</t>
        </is>
      </c>
      <c r="K376" s="15" t="inlineStr">
        <is>
          <t xml:space="preserve">YES — the certificate has not been issued</t>
        </is>
      </c>
      <c r="L376" s="15" t="inlineStr">
        <is>
          <t xml:space="preserve">Conforms</t>
        </is>
      </c>
      <c r="M376" s="15"/>
    </row>
    <row r="377">
      <c r="A377" s="15" t="inlineStr">
        <is>
          <t xml:space="preserve">2</t>
        </is>
      </c>
      <c r="B377" s="15" t="inlineStr">
        <is>
          <t xml:space="preserve">GP072501/2</t>
        </is>
      </c>
      <c r="C377" s="15" t="inlineStr">
        <is>
          <t xml:space="preserve">P050302</t>
        </is>
      </c>
      <c r="D377" s="15" t="inlineStr">
        <is>
          <t xml:space="preserve">Grape Pie</t>
        </is>
      </c>
      <c r="E377" s="15" t="inlineStr">
        <is>
          <t xml:space="preserve">2 Identification B — microscopy</t>
        </is>
      </c>
      <c r="F377" s="15" t="inlineStr">
        <is>
          <t xml:space="preserve">CITED</t>
        </is>
      </c>
      <c r="G377" s="15" t="inlineStr">
        <is>
          <t xml:space="preserve">iCoA-PP_26-034</t>
        </is>
      </c>
      <c r="H377" s="15" t="inlineStr">
        <is>
          <t xml:space="preserve">22.12.2025</t>
        </is>
      </c>
      <c r="I377" s="15" t="inlineStr">
        <is>
          <t xml:space="preserve">PP</t>
        </is>
      </c>
      <c r="J377" s="15" t="inlineStr">
        <is>
          <t xml:space="preserve">planned, NOT ISSUED (2026-05-15)</t>
        </is>
      </c>
      <c r="K377" s="15" t="inlineStr">
        <is>
          <t xml:space="preserve">YES — the certificate has not been issued</t>
        </is>
      </c>
      <c r="L377" s="15" t="inlineStr">
        <is>
          <t xml:space="preserve">Conforms</t>
        </is>
      </c>
      <c r="M377" s="15"/>
    </row>
    <row r="378">
      <c r="A378" s="15" t="inlineStr">
        <is>
          <t xml:space="preserve">2</t>
        </is>
      </c>
      <c r="B378" s="15" t="inlineStr">
        <is>
          <t xml:space="preserve">GP072501/2</t>
        </is>
      </c>
      <c r="C378" s="15" t="inlineStr">
        <is>
          <t xml:space="preserve">P050302</t>
        </is>
      </c>
      <c r="D378" s="15" t="inlineStr">
        <is>
          <t xml:space="preserve">Grape Pie</t>
        </is>
      </c>
      <c r="E378" s="15" t="inlineStr">
        <is>
          <t xml:space="preserve">3 Identification C — HPLC</t>
        </is>
      </c>
      <c r="F378" s="15" t="inlineStr">
        <is>
          <t xml:space="preserve">CITED</t>
        </is>
      </c>
      <c r="G378" s="15" t="inlineStr">
        <is>
          <t xml:space="preserve">ППК25379</t>
        </is>
      </c>
      <c r="H378" s="15" t="inlineStr">
        <is>
          <t xml:space="preserve">12.12.2025</t>
        </is>
      </c>
      <c r="I378" s="15" t="inlineStr">
        <is>
          <t xml:space="preserve">CNP</t>
        </is>
      </c>
      <c r="J378" s="15" t="inlineStr">
        <is>
          <t xml:space="preserve">in eCoA_DATABASE</t>
        </is>
      </c>
      <c r="K378" s="15"/>
      <c r="L378" s="15" t="inlineStr">
        <is>
          <t xml:space="preserve">Conforms (ImB spec.)</t>
        </is>
      </c>
      <c r="M378" s="15" t="inlineStr">
        <is>
          <t xml:space="preserve">220-10-K/26</t>
        </is>
      </c>
    </row>
    <row r="379">
      <c r="A379" s="15" t="inlineStr">
        <is>
          <t xml:space="preserve">2</t>
        </is>
      </c>
      <c r="B379" s="15" t="inlineStr">
        <is>
          <t xml:space="preserve">GP072501/2</t>
        </is>
      </c>
      <c r="C379" s="15" t="inlineStr">
        <is>
          <t xml:space="preserve">P050302</t>
        </is>
      </c>
      <c r="D379" s="15" t="inlineStr">
        <is>
          <t xml:space="preserve">Grape Pie</t>
        </is>
      </c>
      <c r="E379" s="15" t="inlineStr">
        <is>
          <t xml:space="preserve">4 Assay — Total Δ⁹-THC</t>
        </is>
      </c>
      <c r="F379" s="15" t="inlineStr">
        <is>
          <t xml:space="preserve">CITED</t>
        </is>
      </c>
      <c r="G379" s="15" t="inlineStr">
        <is>
          <t xml:space="preserve">ППК25379</t>
        </is>
      </c>
      <c r="H379" s="15" t="inlineStr">
        <is>
          <t xml:space="preserve">12.12.2025</t>
        </is>
      </c>
      <c r="I379" s="15" t="inlineStr">
        <is>
          <t xml:space="preserve">CNP</t>
        </is>
      </c>
      <c r="J379" s="15" t="inlineStr">
        <is>
          <t xml:space="preserve">in eCoA_DATABASE</t>
        </is>
      </c>
      <c r="K379" s="15"/>
      <c r="L379" s="15" t="inlineStr">
        <is>
          <t xml:space="preserve">19.81</t>
        </is>
      </c>
      <c r="M379" s="15" t="inlineStr">
        <is>
          <t xml:space="preserve">220-10-K/26</t>
        </is>
      </c>
    </row>
    <row r="380">
      <c r="A380" s="15" t="inlineStr">
        <is>
          <t xml:space="preserve">2</t>
        </is>
      </c>
      <c r="B380" s="15" t="inlineStr">
        <is>
          <t xml:space="preserve">GP072501/2</t>
        </is>
      </c>
      <c r="C380" s="15" t="inlineStr">
        <is>
          <t xml:space="preserve">P050302</t>
        </is>
      </c>
      <c r="D380" s="15" t="inlineStr">
        <is>
          <t xml:space="preserve">Grape Pie</t>
        </is>
      </c>
      <c r="E380" s="15" t="inlineStr">
        <is>
          <t xml:space="preserve">5 Assay — Total CBD</t>
        </is>
      </c>
      <c r="F380" s="15" t="inlineStr">
        <is>
          <t xml:space="preserve">CITED</t>
        </is>
      </c>
      <c r="G380" s="15" t="inlineStr">
        <is>
          <t xml:space="preserve">ППК25379</t>
        </is>
      </c>
      <c r="H380" s="15" t="inlineStr">
        <is>
          <t xml:space="preserve">12.12.2025</t>
        </is>
      </c>
      <c r="I380" s="15" t="inlineStr">
        <is>
          <t xml:space="preserve">CNP</t>
        </is>
      </c>
      <c r="J380" s="15" t="inlineStr">
        <is>
          <t xml:space="preserve">in eCoA_DATABASE</t>
        </is>
      </c>
      <c r="K380" s="15"/>
      <c r="L380" s="15" t="inlineStr">
        <is>
          <t xml:space="preserve">0.10</t>
        </is>
      </c>
      <c r="M380" s="15" t="inlineStr">
        <is>
          <t xml:space="preserve">220-10-K/26</t>
        </is>
      </c>
    </row>
    <row r="381">
      <c r="A381" s="15" t="inlineStr">
        <is>
          <t xml:space="preserve">2</t>
        </is>
      </c>
      <c r="B381" s="15" t="inlineStr">
        <is>
          <t xml:space="preserve">GP072501/2</t>
        </is>
      </c>
      <c r="C381" s="15" t="inlineStr">
        <is>
          <t xml:space="preserve">P050302</t>
        </is>
      </c>
      <c r="D381" s="15" t="inlineStr">
        <is>
          <t xml:space="preserve">Grape Pie</t>
        </is>
      </c>
      <c r="E381" s="15" t="inlineStr">
        <is>
          <t xml:space="preserve">6 Total CBN</t>
        </is>
      </c>
      <c r="F381" s="15" t="inlineStr">
        <is>
          <t xml:space="preserve">CITED</t>
        </is>
      </c>
      <c r="G381" s="15" t="inlineStr">
        <is>
          <t xml:space="preserve">ППК25379</t>
        </is>
      </c>
      <c r="H381" s="15" t="inlineStr">
        <is>
          <t xml:space="preserve">12.12.2025</t>
        </is>
      </c>
      <c r="I381" s="15" t="inlineStr">
        <is>
          <t xml:space="preserve">CNP</t>
        </is>
      </c>
      <c r="J381" s="15" t="inlineStr">
        <is>
          <t xml:space="preserve">in eCoA_DATABASE</t>
        </is>
      </c>
      <c r="K381" s="15"/>
      <c r="L381" s="15" t="inlineStr">
        <is>
          <t xml:space="preserve">0.03 % ᴰ</t>
        </is>
      </c>
      <c r="M381" s="15" t="inlineStr">
        <is>
          <t xml:space="preserve">220-10-K/26</t>
        </is>
      </c>
    </row>
    <row r="382">
      <c r="A382" s="15" t="inlineStr">
        <is>
          <t xml:space="preserve">2</t>
        </is>
      </c>
      <c r="B382" s="15" t="inlineStr">
        <is>
          <t xml:space="preserve">GP072501/2</t>
        </is>
      </c>
      <c r="C382" s="15" t="inlineStr">
        <is>
          <t xml:space="preserve">P050302</t>
        </is>
      </c>
      <c r="D382" s="15" t="inlineStr">
        <is>
          <t xml:space="preserve">Grape Pie</t>
        </is>
      </c>
      <c r="E382" s="15" t="inlineStr">
        <is>
          <t xml:space="preserve">7 Foreign matter</t>
        </is>
      </c>
      <c r="F382" s="15" t="inlineStr">
        <is>
          <t xml:space="preserve">CITED</t>
        </is>
      </c>
      <c r="G382" s="15" t="inlineStr">
        <is>
          <t xml:space="preserve">iCoA-PP_26-034</t>
        </is>
      </c>
      <c r="H382" s="15" t="inlineStr">
        <is>
          <t xml:space="preserve">22.12.2025</t>
        </is>
      </c>
      <c r="I382" s="15" t="inlineStr">
        <is>
          <t xml:space="preserve">PP</t>
        </is>
      </c>
      <c r="J382" s="15" t="inlineStr">
        <is>
          <t xml:space="preserve">planned, NOT ISSUED (2026-05-15)</t>
        </is>
      </c>
      <c r="K382" s="15" t="inlineStr">
        <is>
          <t xml:space="preserve">YES — the certificate has not been issued</t>
        </is>
      </c>
      <c r="L382" s="15" t="inlineStr">
        <is>
          <t xml:space="preserve">Conforms</t>
        </is>
      </c>
      <c r="M382" s="15"/>
    </row>
    <row r="383">
      <c r="A383" s="15" t="inlineStr">
        <is>
          <t xml:space="preserve">2</t>
        </is>
      </c>
      <c r="B383" s="15" t="inlineStr">
        <is>
          <t xml:space="preserve">GP072501/2</t>
        </is>
      </c>
      <c r="C383" s="15" t="inlineStr">
        <is>
          <t xml:space="preserve">P050302</t>
        </is>
      </c>
      <c r="D383" s="15" t="inlineStr">
        <is>
          <t xml:space="preserve">Grape Pie</t>
        </is>
      </c>
      <c r="E383" s="15" t="inlineStr">
        <is>
          <t xml:space="preserve">8 Loss on drying</t>
        </is>
      </c>
      <c r="F383" s="15" t="inlineStr">
        <is>
          <t xml:space="preserve">CITED</t>
        </is>
      </c>
      <c r="G383" s="15" t="inlineStr">
        <is>
          <t xml:space="preserve">ППК25379</t>
        </is>
      </c>
      <c r="H383" s="15" t="inlineStr">
        <is>
          <t xml:space="preserve">12.12.2025</t>
        </is>
      </c>
      <c r="I383" s="15" t="inlineStr">
        <is>
          <t xml:space="preserve">CNP</t>
        </is>
      </c>
      <c r="J383" s="15" t="inlineStr">
        <is>
          <t xml:space="preserve">in eCoA_DATABASE</t>
        </is>
      </c>
      <c r="K383" s="15"/>
      <c r="L383" s="15" t="inlineStr">
        <is>
          <t xml:space="preserve">7.41</t>
        </is>
      </c>
      <c r="M383" s="15"/>
    </row>
    <row r="384">
      <c r="A384" s="15" t="inlineStr">
        <is>
          <t xml:space="preserve">2</t>
        </is>
      </c>
      <c r="B384" s="15" t="inlineStr">
        <is>
          <t xml:space="preserve">GP072501/2</t>
        </is>
      </c>
      <c r="C384" s="15" t="inlineStr">
        <is>
          <t xml:space="preserve">P050302</t>
        </is>
      </c>
      <c r="D384" s="15" t="inlineStr">
        <is>
          <t xml:space="preserve">Grape Pie</t>
        </is>
      </c>
      <c r="E384" s="15" t="inlineStr">
        <is>
          <t xml:space="preserve">9 Microbiological purity</t>
        </is>
      </c>
      <c r="F384" s="15" t="inlineStr">
        <is>
          <t xml:space="preserve">CITED</t>
        </is>
      </c>
      <c r="G384" s="15" t="inlineStr">
        <is>
          <t xml:space="preserve">1229-2195-25</t>
        </is>
      </c>
      <c r="H384" s="15" t="inlineStr">
        <is>
          <t xml:space="preserve">05.12.2025</t>
        </is>
      </c>
      <c r="I384" s="15" t="inlineStr">
        <is>
          <t xml:space="preserve">IJZ-MB</t>
        </is>
      </c>
      <c r="J384" s="15" t="inlineStr">
        <is>
          <t xml:space="preserve">in eCoA_DATABASE</t>
        </is>
      </c>
      <c r="K384" s="15"/>
      <c r="L384" s="15" t="inlineStr">
        <is>
          <t xml:space="preserve">2 x 10² CFU/g CFU/g; 3 x 10² CFU/g CFU/g; &lt; 10 CFU/g CFU/g; Одговара /g; Одговара /25 g</t>
        </is>
      </c>
      <c r="M384" s="15"/>
    </row>
    <row r="385">
      <c r="A385" s="15" t="inlineStr">
        <is>
          <t xml:space="preserve">2</t>
        </is>
      </c>
      <c r="B385" s="15" t="inlineStr">
        <is>
          <t xml:space="preserve">GP072501/2</t>
        </is>
      </c>
      <c r="C385" s="15" t="inlineStr">
        <is>
          <t xml:space="preserve">P050302</t>
        </is>
      </c>
      <c r="D385" s="15" t="inlineStr">
        <is>
          <t xml:space="preserve">Grape Pie</t>
        </is>
      </c>
      <c r="E385" s="15" t="inlineStr">
        <is>
          <t xml:space="preserve">10 Mycotoxins</t>
        </is>
      </c>
      <c r="F385" s="15" t="inlineStr">
        <is>
          <t xml:space="preserve">CITED</t>
        </is>
      </c>
      <c r="G385" s="15" t="inlineStr">
        <is>
          <t xml:space="preserve">5887-2025</t>
        </is>
      </c>
      <c r="H385" s="15" t="inlineStr">
        <is>
          <t xml:space="preserve">12.12.2025</t>
        </is>
      </c>
      <c r="I385" s="15" t="inlineStr">
        <is>
          <t xml:space="preserve">IJZ</t>
        </is>
      </c>
      <c r="J385" s="15" t="inlineStr">
        <is>
          <t xml:space="preserve">in eCoA_DATABASE</t>
        </is>
      </c>
      <c r="K385" s="15"/>
      <c r="L385" s="15" t="inlineStr">
        <is>
          <t xml:space="preserve">n.r.; &lt;2; n.r.</t>
        </is>
      </c>
      <c r="M385" s="15"/>
    </row>
    <row r="386">
      <c r="A386" s="15" t="inlineStr">
        <is>
          <t xml:space="preserve">2</t>
        </is>
      </c>
      <c r="B386" s="15" t="inlineStr">
        <is>
          <t xml:space="preserve">GP072501/2</t>
        </is>
      </c>
      <c r="C386" s="15" t="inlineStr">
        <is>
          <t xml:space="preserve">P050302</t>
        </is>
      </c>
      <c r="D386" s="15" t="inlineStr">
        <is>
          <t xml:space="preserve">Grape Pie</t>
        </is>
      </c>
      <c r="E386" s="15" t="inlineStr">
        <is>
          <t xml:space="preserve">11 Heavy metals</t>
        </is>
      </c>
      <c r="F386" s="15" t="inlineStr">
        <is>
          <t xml:space="preserve">CITED</t>
        </is>
      </c>
      <c r="G386" s="15" t="inlineStr">
        <is>
          <t xml:space="preserve">5887-2025</t>
        </is>
      </c>
      <c r="H386" s="15" t="inlineStr">
        <is>
          <t xml:space="preserve">12.12.2025</t>
        </is>
      </c>
      <c r="I386" s="15" t="inlineStr">
        <is>
          <t xml:space="preserve">IJZ</t>
        </is>
      </c>
      <c r="J386" s="15" t="inlineStr">
        <is>
          <t xml:space="preserve">in eCoA_DATABASE</t>
        </is>
      </c>
      <c r="K386" s="15"/>
      <c r="L386" s="15" t="inlineStr">
        <is>
          <t xml:space="preserve">0.017; 0.0028; 0.02; 0.019</t>
        </is>
      </c>
      <c r="M386" s="15"/>
    </row>
    <row r="387">
      <c r="A387" s="15" t="inlineStr">
        <is>
          <t xml:space="preserve">2</t>
        </is>
      </c>
      <c r="B387" s="15" t="inlineStr">
        <is>
          <t xml:space="preserve">GP072501/2</t>
        </is>
      </c>
      <c r="C387" s="15" t="inlineStr">
        <is>
          <t xml:space="preserve">P050302</t>
        </is>
      </c>
      <c r="D387" s="15" t="inlineStr">
        <is>
          <t xml:space="preserve">Grape Pie</t>
        </is>
      </c>
      <c r="E387" s="15" t="inlineStr">
        <is>
          <t xml:space="preserve">12 Pesticide residues</t>
        </is>
      </c>
      <c r="F387" s="15" t="inlineStr">
        <is>
          <t xml:space="preserve">CITED</t>
        </is>
      </c>
      <c r="G387" s="15" t="inlineStr">
        <is>
          <t xml:space="preserve">5887-2025</t>
        </is>
      </c>
      <c r="H387" s="15" t="inlineStr">
        <is>
          <t xml:space="preserve">12.12.2025</t>
        </is>
      </c>
      <c r="I387" s="15" t="inlineStr">
        <is>
          <t xml:space="preserve">IJZ</t>
        </is>
      </c>
      <c r="J387" s="15" t="inlineStr">
        <is>
          <t xml:space="preserve">in eCoA_DATABASE</t>
        </is>
      </c>
      <c r="K387" s="15"/>
      <c r="L387" s="15" t="inlineStr">
        <is>
          <t xml:space="preserve">≤ LOQ (all 29 compounds)</t>
        </is>
      </c>
      <c r="M387" s="15"/>
    </row>
    <row r="388">
      <c r="A388" s="15" t="inlineStr">
        <is>
          <t xml:space="preserve">2</t>
        </is>
      </c>
      <c r="B388" s="15" t="inlineStr">
        <is>
          <t xml:space="preserve">GP0824_03</t>
        </is>
      </c>
      <c r="C388" s="15" t="inlineStr">
        <is>
          <t xml:space="preserve">P050072</t>
        </is>
      </c>
      <c r="D388" s="15" t="inlineStr">
        <is>
          <t xml:space="preserve">Grape Pie</t>
        </is>
      </c>
      <c r="E388" s="15" t="inlineStr">
        <is>
          <t xml:space="preserve">1 Identification A — appearance</t>
        </is>
      </c>
      <c r="F388" s="15" t="inlineStr">
        <is>
          <t xml:space="preserve">CITED</t>
        </is>
      </c>
      <c r="G388" s="15" t="inlineStr">
        <is>
          <t xml:space="preserve">iCoA-PP_26-013</t>
        </is>
      </c>
      <c r="H388" s="15" t="inlineStr">
        <is>
          <t xml:space="preserve">14.07.2025</t>
        </is>
      </c>
      <c r="I388" s="15" t="inlineStr">
        <is>
          <t xml:space="preserve">PP</t>
        </is>
      </c>
      <c r="J388" s="15" t="inlineStr">
        <is>
          <t xml:space="preserve">planned, NOT ISSUED (2026-05-15)</t>
        </is>
      </c>
      <c r="K388" s="15" t="inlineStr">
        <is>
          <t xml:space="preserve">YES — the certificate has not been issued</t>
        </is>
      </c>
      <c r="L388" s="15" t="inlineStr">
        <is>
          <t xml:space="preserve">Conforms</t>
        </is>
      </c>
      <c r="M388" s="15"/>
    </row>
    <row r="389">
      <c r="A389" s="15" t="inlineStr">
        <is>
          <t xml:space="preserve">2</t>
        </is>
      </c>
      <c r="B389" s="15" t="inlineStr">
        <is>
          <t xml:space="preserve">GP0824_03</t>
        </is>
      </c>
      <c r="C389" s="15" t="inlineStr">
        <is>
          <t xml:space="preserve">P050072</t>
        </is>
      </c>
      <c r="D389" s="15" t="inlineStr">
        <is>
          <t xml:space="preserve">Grape Pie</t>
        </is>
      </c>
      <c r="E389" s="15" t="inlineStr">
        <is>
          <t xml:space="preserve">2 Identification B — microscopy</t>
        </is>
      </c>
      <c r="F389" s="15" t="inlineStr">
        <is>
          <t xml:space="preserve">CITED</t>
        </is>
      </c>
      <c r="G389" s="15" t="inlineStr">
        <is>
          <t xml:space="preserve">iCoA-PP_26-013</t>
        </is>
      </c>
      <c r="H389" s="15" t="inlineStr">
        <is>
          <t xml:space="preserve">14.07.2025</t>
        </is>
      </c>
      <c r="I389" s="15" t="inlineStr">
        <is>
          <t xml:space="preserve">PP</t>
        </is>
      </c>
      <c r="J389" s="15" t="inlineStr">
        <is>
          <t xml:space="preserve">planned, NOT ISSUED (2026-05-15)</t>
        </is>
      </c>
      <c r="K389" s="15" t="inlineStr">
        <is>
          <t xml:space="preserve">YES — the certificate has not been issued</t>
        </is>
      </c>
      <c r="L389" s="15" t="inlineStr">
        <is>
          <t xml:space="preserve">Conforms</t>
        </is>
      </c>
      <c r="M389" s="15"/>
    </row>
    <row r="390">
      <c r="A390" s="15" t="inlineStr">
        <is>
          <t xml:space="preserve">2</t>
        </is>
      </c>
      <c r="B390" s="15" t="inlineStr">
        <is>
          <t xml:space="preserve">GP0824_03</t>
        </is>
      </c>
      <c r="C390" s="15" t="inlineStr">
        <is>
          <t xml:space="preserve">P050072</t>
        </is>
      </c>
      <c r="D390" s="15" t="inlineStr">
        <is>
          <t xml:space="preserve">Grape Pie</t>
        </is>
      </c>
      <c r="E390" s="15" t="inlineStr">
        <is>
          <t xml:space="preserve">3 Identification C — HPLC</t>
        </is>
      </c>
      <c r="F390" s="15" t="inlineStr">
        <is>
          <t xml:space="preserve">CITED</t>
        </is>
      </c>
      <c r="G390" s="15" t="inlineStr">
        <is>
          <t xml:space="preserve">ППК25175</t>
        </is>
      </c>
      <c r="H390" s="15" t="inlineStr">
        <is>
          <t xml:space="preserve">10.07.2025</t>
        </is>
      </c>
      <c r="I390" s="15" t="inlineStr">
        <is>
          <t xml:space="preserve">CNP</t>
        </is>
      </c>
      <c r="J390" s="15" t="inlineStr">
        <is>
          <t xml:space="preserve">in eCoA_DATABASE</t>
        </is>
      </c>
      <c r="K390" s="15"/>
      <c r="L390" s="15" t="inlineStr">
        <is>
          <t xml:space="preserve">Conforms (ImB spec.)</t>
        </is>
      </c>
      <c r="M390" s="15" t="inlineStr">
        <is>
          <t xml:space="preserve">220-11-K/26</t>
        </is>
      </c>
    </row>
    <row r="391">
      <c r="A391" s="15" t="inlineStr">
        <is>
          <t xml:space="preserve">2</t>
        </is>
      </c>
      <c r="B391" s="15" t="inlineStr">
        <is>
          <t xml:space="preserve">GP0824_03</t>
        </is>
      </c>
      <c r="C391" s="15" t="inlineStr">
        <is>
          <t xml:space="preserve">P050072</t>
        </is>
      </c>
      <c r="D391" s="15" t="inlineStr">
        <is>
          <t xml:space="preserve">Grape Pie</t>
        </is>
      </c>
      <c r="E391" s="15" t="inlineStr">
        <is>
          <t xml:space="preserve">4 Assay — Total Δ⁹-THC</t>
        </is>
      </c>
      <c r="F391" s="15" t="inlineStr">
        <is>
          <t xml:space="preserve">CITED</t>
        </is>
      </c>
      <c r="G391" s="15" t="inlineStr">
        <is>
          <t xml:space="preserve">ППК25175</t>
        </is>
      </c>
      <c r="H391" s="15" t="inlineStr">
        <is>
          <t xml:space="preserve">10.07.2025</t>
        </is>
      </c>
      <c r="I391" s="15" t="inlineStr">
        <is>
          <t xml:space="preserve">CNP</t>
        </is>
      </c>
      <c r="J391" s="15" t="inlineStr">
        <is>
          <t xml:space="preserve">in eCoA_DATABASE</t>
        </is>
      </c>
      <c r="K391" s="15"/>
      <c r="L391" s="15" t="inlineStr">
        <is>
          <t xml:space="preserve">25.45</t>
        </is>
      </c>
      <c r="M391" s="15" t="inlineStr">
        <is>
          <t xml:space="preserve">220-11-K/26</t>
        </is>
      </c>
    </row>
    <row r="392">
      <c r="A392" s="15" t="inlineStr">
        <is>
          <t xml:space="preserve">2</t>
        </is>
      </c>
      <c r="B392" s="15" t="inlineStr">
        <is>
          <t xml:space="preserve">GP0824_03</t>
        </is>
      </c>
      <c r="C392" s="15" t="inlineStr">
        <is>
          <t xml:space="preserve">P050072</t>
        </is>
      </c>
      <c r="D392" s="15" t="inlineStr">
        <is>
          <t xml:space="preserve">Grape Pie</t>
        </is>
      </c>
      <c r="E392" s="15" t="inlineStr">
        <is>
          <t xml:space="preserve">5 Assay — Total CBD</t>
        </is>
      </c>
      <c r="F392" s="15" t="inlineStr">
        <is>
          <t xml:space="preserve">CITED</t>
        </is>
      </c>
      <c r="G392" s="15" t="inlineStr">
        <is>
          <t xml:space="preserve">ППК25175</t>
        </is>
      </c>
      <c r="H392" s="15" t="inlineStr">
        <is>
          <t xml:space="preserve">10.07.2025</t>
        </is>
      </c>
      <c r="I392" s="15" t="inlineStr">
        <is>
          <t xml:space="preserve">CNP</t>
        </is>
      </c>
      <c r="J392" s="15" t="inlineStr">
        <is>
          <t xml:space="preserve">in eCoA_DATABASE</t>
        </is>
      </c>
      <c r="K392" s="15"/>
      <c r="L392" s="15" t="inlineStr">
        <is>
          <t xml:space="preserve">0.08</t>
        </is>
      </c>
      <c r="M392" s="15" t="inlineStr">
        <is>
          <t xml:space="preserve">220-11-K/26</t>
        </is>
      </c>
    </row>
    <row r="393">
      <c r="A393" s="15" t="inlineStr">
        <is>
          <t xml:space="preserve">2</t>
        </is>
      </c>
      <c r="B393" s="15" t="inlineStr">
        <is>
          <t xml:space="preserve">GP0824_03</t>
        </is>
      </c>
      <c r="C393" s="15" t="inlineStr">
        <is>
          <t xml:space="preserve">P050072</t>
        </is>
      </c>
      <c r="D393" s="15" t="inlineStr">
        <is>
          <t xml:space="preserve">Grape Pie</t>
        </is>
      </c>
      <c r="E393" s="15" t="inlineStr">
        <is>
          <t xml:space="preserve">6 Total CBN</t>
        </is>
      </c>
      <c r="F393" s="15" t="inlineStr">
        <is>
          <t xml:space="preserve">CITED</t>
        </is>
      </c>
      <c r="G393" s="15" t="inlineStr">
        <is>
          <t xml:space="preserve">ППК25175</t>
        </is>
      </c>
      <c r="H393" s="15" t="inlineStr">
        <is>
          <t xml:space="preserve">10.07.2025</t>
        </is>
      </c>
      <c r="I393" s="15" t="inlineStr">
        <is>
          <t xml:space="preserve">CNP</t>
        </is>
      </c>
      <c r="J393" s="15" t="inlineStr">
        <is>
          <t xml:space="preserve">in eCoA_DATABASE</t>
        </is>
      </c>
      <c r="K393" s="15"/>
      <c r="L393" s="15" t="inlineStr">
        <is>
          <t xml:space="preserve">BLQ ᴰ</t>
        </is>
      </c>
      <c r="M393" s="15" t="inlineStr">
        <is>
          <t xml:space="preserve">220-11-K/26</t>
        </is>
      </c>
    </row>
    <row r="394">
      <c r="A394" s="15" t="inlineStr">
        <is>
          <t xml:space="preserve">2</t>
        </is>
      </c>
      <c r="B394" s="15" t="inlineStr">
        <is>
          <t xml:space="preserve">GP0824_03</t>
        </is>
      </c>
      <c r="C394" s="15" t="inlineStr">
        <is>
          <t xml:space="preserve">P050072</t>
        </is>
      </c>
      <c r="D394" s="15" t="inlineStr">
        <is>
          <t xml:space="preserve">Grape Pie</t>
        </is>
      </c>
      <c r="E394" s="15" t="inlineStr">
        <is>
          <t xml:space="preserve">7 Foreign matter</t>
        </is>
      </c>
      <c r="F394" s="15" t="inlineStr">
        <is>
          <t xml:space="preserve">CITED</t>
        </is>
      </c>
      <c r="G394" s="15" t="inlineStr">
        <is>
          <t xml:space="preserve">iCoA-PP_26-013</t>
        </is>
      </c>
      <c r="H394" s="15" t="inlineStr">
        <is>
          <t xml:space="preserve">14.07.2025</t>
        </is>
      </c>
      <c r="I394" s="15" t="inlineStr">
        <is>
          <t xml:space="preserve">PP</t>
        </is>
      </c>
      <c r="J394" s="15" t="inlineStr">
        <is>
          <t xml:space="preserve">planned, NOT ISSUED (2026-05-15)</t>
        </is>
      </c>
      <c r="K394" s="15" t="inlineStr">
        <is>
          <t xml:space="preserve">YES — the certificate has not been issued</t>
        </is>
      </c>
      <c r="L394" s="15" t="inlineStr">
        <is>
          <t xml:space="preserve">Conforms</t>
        </is>
      </c>
      <c r="M394" s="15"/>
    </row>
    <row r="395">
      <c r="A395" s="15" t="inlineStr">
        <is>
          <t xml:space="preserve">2</t>
        </is>
      </c>
      <c r="B395" s="15" t="inlineStr">
        <is>
          <t xml:space="preserve">GP0824_03</t>
        </is>
      </c>
      <c r="C395" s="15" t="inlineStr">
        <is>
          <t xml:space="preserve">P050072</t>
        </is>
      </c>
      <c r="D395" s="15" t="inlineStr">
        <is>
          <t xml:space="preserve">Grape Pie</t>
        </is>
      </c>
      <c r="E395" s="15" t="inlineStr">
        <is>
          <t xml:space="preserve">8 Loss on drying</t>
        </is>
      </c>
      <c r="F395" s="15" t="inlineStr">
        <is>
          <t xml:space="preserve">CITED</t>
        </is>
      </c>
      <c r="G395" s="15" t="inlineStr">
        <is>
          <t xml:space="preserve">ППК25175</t>
        </is>
      </c>
      <c r="H395" s="15" t="inlineStr">
        <is>
          <t xml:space="preserve">10.07.2025</t>
        </is>
      </c>
      <c r="I395" s="15" t="inlineStr">
        <is>
          <t xml:space="preserve">CNP</t>
        </is>
      </c>
      <c r="J395" s="15" t="inlineStr">
        <is>
          <t xml:space="preserve">in eCoA_DATABASE</t>
        </is>
      </c>
      <c r="K395" s="15"/>
      <c r="L395" s="15" t="inlineStr">
        <is>
          <t xml:space="preserve">6.58</t>
        </is>
      </c>
      <c r="M395" s="15"/>
    </row>
    <row r="396">
      <c r="A396" s="15" t="inlineStr">
        <is>
          <t xml:space="preserve">2</t>
        </is>
      </c>
      <c r="B396" s="15" t="inlineStr">
        <is>
          <t xml:space="preserve">GP0824_03</t>
        </is>
      </c>
      <c r="C396" s="15" t="inlineStr">
        <is>
          <t xml:space="preserve">P050072</t>
        </is>
      </c>
      <c r="D396" s="15" t="inlineStr">
        <is>
          <t xml:space="preserve">Grape Pie</t>
        </is>
      </c>
      <c r="E396" s="15" t="inlineStr">
        <is>
          <t xml:space="preserve">9 Microbiological purity</t>
        </is>
      </c>
      <c r="F396" s="15" t="inlineStr">
        <is>
          <t xml:space="preserve">CITED</t>
        </is>
      </c>
      <c r="G396" s="15" t="inlineStr">
        <is>
          <t xml:space="preserve">628-1129-25</t>
        </is>
      </c>
      <c r="H396" s="15" t="inlineStr">
        <is>
          <t xml:space="preserve">02.07.2025</t>
        </is>
      </c>
      <c r="I396" s="15" t="inlineStr">
        <is>
          <t xml:space="preserve">IJZ-MB</t>
        </is>
      </c>
      <c r="J396" s="15" t="inlineStr">
        <is>
          <t xml:space="preserve">in eCoA_DATABASE</t>
        </is>
      </c>
      <c r="K396" s="15"/>
      <c r="L396" s="15" t="inlineStr">
        <is>
          <t xml:space="preserve">1.1 x 10⁴; 1.2 x 10⁴; &lt;10⁴ и &gt;10³; Одговара; Одговара</t>
        </is>
      </c>
      <c r="M396" s="15"/>
    </row>
    <row r="397">
      <c r="A397" s="15" t="inlineStr">
        <is>
          <t xml:space="preserve">2</t>
        </is>
      </c>
      <c r="B397" s="15" t="inlineStr">
        <is>
          <t xml:space="preserve">GP0824_03</t>
        </is>
      </c>
      <c r="C397" s="15" t="inlineStr">
        <is>
          <t xml:space="preserve">P050072</t>
        </is>
      </c>
      <c r="D397" s="15" t="inlineStr">
        <is>
          <t xml:space="preserve">Grape Pie</t>
        </is>
      </c>
      <c r="E397" s="15" t="inlineStr">
        <is>
          <t xml:space="preserve">10 Mycotoxins</t>
        </is>
      </c>
      <c r="F397" s="15" t="inlineStr">
        <is>
          <t xml:space="preserve">CITED</t>
        </is>
      </c>
      <c r="G397" s="15" t="inlineStr">
        <is>
          <t xml:space="preserve">3178-2025</t>
        </is>
      </c>
      <c r="H397" s="15" t="inlineStr">
        <is>
          <t xml:space="preserve">26.06.2025</t>
        </is>
      </c>
      <c r="I397" s="15" t="inlineStr">
        <is>
          <t xml:space="preserve">IJZ</t>
        </is>
      </c>
      <c r="J397" s="15" t="inlineStr">
        <is>
          <t xml:space="preserve">in eCoA_DATABASE</t>
        </is>
      </c>
      <c r="K397" s="15"/>
      <c r="L397" s="15" t="inlineStr">
        <is>
          <t xml:space="preserve">n.r.; &lt;2; n.r.</t>
        </is>
      </c>
      <c r="M397" s="15"/>
    </row>
    <row r="398">
      <c r="A398" s="15" t="inlineStr">
        <is>
          <t xml:space="preserve">2</t>
        </is>
      </c>
      <c r="B398" s="15" t="inlineStr">
        <is>
          <t xml:space="preserve">GP0824_03</t>
        </is>
      </c>
      <c r="C398" s="15" t="inlineStr">
        <is>
          <t xml:space="preserve">P050072</t>
        </is>
      </c>
      <c r="D398" s="15" t="inlineStr">
        <is>
          <t xml:space="preserve">Grape Pie</t>
        </is>
      </c>
      <c r="E398" s="15" t="inlineStr">
        <is>
          <t xml:space="preserve">11 Heavy metals</t>
        </is>
      </c>
      <c r="F398" s="15" t="inlineStr">
        <is>
          <t xml:space="preserve">CITED</t>
        </is>
      </c>
      <c r="G398" s="15" t="inlineStr">
        <is>
          <t xml:space="preserve">3178-2025</t>
        </is>
      </c>
      <c r="H398" s="15" t="inlineStr">
        <is>
          <t xml:space="preserve">26.06.2025</t>
        </is>
      </c>
      <c r="I398" s="15" t="inlineStr">
        <is>
          <t xml:space="preserve">IJZ</t>
        </is>
      </c>
      <c r="J398" s="15" t="inlineStr">
        <is>
          <t xml:space="preserve">in eCoA_DATABASE</t>
        </is>
      </c>
      <c r="K398" s="15"/>
      <c r="L398" s="15" t="inlineStr">
        <is>
          <t xml:space="preserve">н.д.; н.д.; 0.119; н.д.</t>
        </is>
      </c>
      <c r="M398" s="15"/>
    </row>
    <row r="399">
      <c r="A399" s="15" t="inlineStr">
        <is>
          <t xml:space="preserve">2</t>
        </is>
      </c>
      <c r="B399" s="15" t="inlineStr">
        <is>
          <t xml:space="preserve">GP0824_03</t>
        </is>
      </c>
      <c r="C399" s="15" t="inlineStr">
        <is>
          <t xml:space="preserve">P050072</t>
        </is>
      </c>
      <c r="D399" s="15" t="inlineStr">
        <is>
          <t xml:space="preserve">Grape Pie</t>
        </is>
      </c>
      <c r="E399" s="15" t="inlineStr">
        <is>
          <t xml:space="preserve">12 Pesticide residues</t>
        </is>
      </c>
      <c r="F399" s="15" t="inlineStr">
        <is>
          <t xml:space="preserve">CITED</t>
        </is>
      </c>
      <c r="G399" s="15" t="inlineStr">
        <is>
          <t xml:space="preserve">3178-2025</t>
        </is>
      </c>
      <c r="H399" s="15" t="inlineStr">
        <is>
          <t xml:space="preserve">26.06.2025</t>
        </is>
      </c>
      <c r="I399" s="15" t="inlineStr">
        <is>
          <t xml:space="preserve">IJZ</t>
        </is>
      </c>
      <c r="J399" s="15" t="inlineStr">
        <is>
          <t xml:space="preserve">in eCoA_DATABASE</t>
        </is>
      </c>
      <c r="K399" s="15"/>
      <c r="L399" s="15" t="inlineStr">
        <is>
          <t xml:space="preserve">≤ LOQ (all 29 compounds)</t>
        </is>
      </c>
      <c r="M399" s="15"/>
    </row>
    <row r="400">
      <c r="A400" s="15" t="inlineStr">
        <is>
          <t xml:space="preserve">2</t>
        </is>
      </c>
      <c r="B400" s="15" t="inlineStr">
        <is>
          <t xml:space="preserve">GP082501/1</t>
        </is>
      </c>
      <c r="C400" s="15" t="inlineStr">
        <is>
          <t xml:space="preserve">P050312</t>
        </is>
      </c>
      <c r="D400" s="15" t="inlineStr">
        <is>
          <t xml:space="preserve">Grape Pie</t>
        </is>
      </c>
      <c r="E400" s="15" t="inlineStr">
        <is>
          <t xml:space="preserve">1 Identification A — appearance</t>
        </is>
      </c>
      <c r="F400" s="15" t="inlineStr">
        <is>
          <t xml:space="preserve">CITED</t>
        </is>
      </c>
      <c r="G400" s="15" t="inlineStr">
        <is>
          <t xml:space="preserve">iCoA-PP_26-035</t>
        </is>
      </c>
      <c r="H400" s="15" t="inlineStr">
        <is>
          <t xml:space="preserve">23.12.2025</t>
        </is>
      </c>
      <c r="I400" s="15" t="inlineStr">
        <is>
          <t xml:space="preserve">PP</t>
        </is>
      </c>
      <c r="J400" s="15" t="inlineStr">
        <is>
          <t xml:space="preserve">planned, NOT ISSUED (2026-05-15)</t>
        </is>
      </c>
      <c r="K400" s="15" t="inlineStr">
        <is>
          <t xml:space="preserve">YES — the certificate has not been issued</t>
        </is>
      </c>
      <c r="L400" s="15" t="inlineStr">
        <is>
          <t xml:space="preserve">Conforms</t>
        </is>
      </c>
      <c r="M400" s="15"/>
    </row>
    <row r="401">
      <c r="A401" s="15" t="inlineStr">
        <is>
          <t xml:space="preserve">2</t>
        </is>
      </c>
      <c r="B401" s="15" t="inlineStr">
        <is>
          <t xml:space="preserve">GP082501/1</t>
        </is>
      </c>
      <c r="C401" s="15" t="inlineStr">
        <is>
          <t xml:space="preserve">P050312</t>
        </is>
      </c>
      <c r="D401" s="15" t="inlineStr">
        <is>
          <t xml:space="preserve">Grape Pie</t>
        </is>
      </c>
      <c r="E401" s="15" t="inlineStr">
        <is>
          <t xml:space="preserve">2 Identification B — microscopy</t>
        </is>
      </c>
      <c r="F401" s="15" t="inlineStr">
        <is>
          <t xml:space="preserve">CITED</t>
        </is>
      </c>
      <c r="G401" s="15" t="inlineStr">
        <is>
          <t xml:space="preserve">iCoA-PP_26-035</t>
        </is>
      </c>
      <c r="H401" s="15" t="inlineStr">
        <is>
          <t xml:space="preserve">23.12.2025</t>
        </is>
      </c>
      <c r="I401" s="15" t="inlineStr">
        <is>
          <t xml:space="preserve">PP</t>
        </is>
      </c>
      <c r="J401" s="15" t="inlineStr">
        <is>
          <t xml:space="preserve">planned, NOT ISSUED (2026-05-15)</t>
        </is>
      </c>
      <c r="K401" s="15" t="inlineStr">
        <is>
          <t xml:space="preserve">YES — the certificate has not been issued</t>
        </is>
      </c>
      <c r="L401" s="15" t="inlineStr">
        <is>
          <t xml:space="preserve">Conforms</t>
        </is>
      </c>
      <c r="M401" s="15"/>
    </row>
    <row r="402">
      <c r="A402" s="15" t="inlineStr">
        <is>
          <t xml:space="preserve">2</t>
        </is>
      </c>
      <c r="B402" s="15" t="inlineStr">
        <is>
          <t xml:space="preserve">GP082501/1</t>
        </is>
      </c>
      <c r="C402" s="15" t="inlineStr">
        <is>
          <t xml:space="preserve">P050312</t>
        </is>
      </c>
      <c r="D402" s="15" t="inlineStr">
        <is>
          <t xml:space="preserve">Grape Pie</t>
        </is>
      </c>
      <c r="E402" s="15" t="inlineStr">
        <is>
          <t xml:space="preserve">3 Identification C — HPLC</t>
        </is>
      </c>
      <c r="F402" s="15" t="inlineStr">
        <is>
          <t xml:space="preserve">CITED</t>
        </is>
      </c>
      <c r="G402" s="15" t="inlineStr">
        <is>
          <t xml:space="preserve">ППК25380</t>
        </is>
      </c>
      <c r="H402" s="15" t="inlineStr">
        <is>
          <t xml:space="preserve">12.12.2025</t>
        </is>
      </c>
      <c r="I402" s="15" t="inlineStr">
        <is>
          <t xml:space="preserve">CNP</t>
        </is>
      </c>
      <c r="J402" s="15" t="inlineStr">
        <is>
          <t xml:space="preserve">in eCoA_DATABASE</t>
        </is>
      </c>
      <c r="K402" s="15"/>
      <c r="L402" s="15" t="inlineStr">
        <is>
          <t xml:space="preserve">Conforms (ImB spec.)</t>
        </is>
      </c>
      <c r="M402" s="15" t="inlineStr">
        <is>
          <t xml:space="preserve">220-12-K/26</t>
        </is>
      </c>
    </row>
    <row r="403">
      <c r="A403" s="15" t="inlineStr">
        <is>
          <t xml:space="preserve">2</t>
        </is>
      </c>
      <c r="B403" s="15" t="inlineStr">
        <is>
          <t xml:space="preserve">GP082501/1</t>
        </is>
      </c>
      <c r="C403" s="15" t="inlineStr">
        <is>
          <t xml:space="preserve">P050312</t>
        </is>
      </c>
      <c r="D403" s="15" t="inlineStr">
        <is>
          <t xml:space="preserve">Grape Pie</t>
        </is>
      </c>
      <c r="E403" s="15" t="inlineStr">
        <is>
          <t xml:space="preserve">4 Assay — Total Δ⁹-THC</t>
        </is>
      </c>
      <c r="F403" s="15" t="inlineStr">
        <is>
          <t xml:space="preserve">CITED</t>
        </is>
      </c>
      <c r="G403" s="15" t="inlineStr">
        <is>
          <t xml:space="preserve">ППК25380</t>
        </is>
      </c>
      <c r="H403" s="15" t="inlineStr">
        <is>
          <t xml:space="preserve">12.12.2025</t>
        </is>
      </c>
      <c r="I403" s="15" t="inlineStr">
        <is>
          <t xml:space="preserve">CNP</t>
        </is>
      </c>
      <c r="J403" s="15" t="inlineStr">
        <is>
          <t xml:space="preserve">in eCoA_DATABASE</t>
        </is>
      </c>
      <c r="K403" s="15"/>
      <c r="L403" s="15" t="inlineStr">
        <is>
          <t xml:space="preserve">21.29</t>
        </is>
      </c>
      <c r="M403" s="15" t="inlineStr">
        <is>
          <t xml:space="preserve">220-12-K/26</t>
        </is>
      </c>
    </row>
    <row r="404">
      <c r="A404" s="15" t="inlineStr">
        <is>
          <t xml:space="preserve">2</t>
        </is>
      </c>
      <c r="B404" s="15" t="inlineStr">
        <is>
          <t xml:space="preserve">GP082501/1</t>
        </is>
      </c>
      <c r="C404" s="15" t="inlineStr">
        <is>
          <t xml:space="preserve">P050312</t>
        </is>
      </c>
      <c r="D404" s="15" t="inlineStr">
        <is>
          <t xml:space="preserve">Grape Pie</t>
        </is>
      </c>
      <c r="E404" s="15" t="inlineStr">
        <is>
          <t xml:space="preserve">5 Assay — Total CBD</t>
        </is>
      </c>
      <c r="F404" s="15" t="inlineStr">
        <is>
          <t xml:space="preserve">CITED</t>
        </is>
      </c>
      <c r="G404" s="15" t="inlineStr">
        <is>
          <t xml:space="preserve">ППК25380</t>
        </is>
      </c>
      <c r="H404" s="15" t="inlineStr">
        <is>
          <t xml:space="preserve">12.12.2025</t>
        </is>
      </c>
      <c r="I404" s="15" t="inlineStr">
        <is>
          <t xml:space="preserve">CNP</t>
        </is>
      </c>
      <c r="J404" s="15" t="inlineStr">
        <is>
          <t xml:space="preserve">in eCoA_DATABASE</t>
        </is>
      </c>
      <c r="K404" s="15"/>
      <c r="L404" s="15" t="inlineStr">
        <is>
          <t xml:space="preserve">0.08</t>
        </is>
      </c>
      <c r="M404" s="15" t="inlineStr">
        <is>
          <t xml:space="preserve">220-12-K/26</t>
        </is>
      </c>
    </row>
    <row r="405">
      <c r="A405" s="15" t="inlineStr">
        <is>
          <t xml:space="preserve">2</t>
        </is>
      </c>
      <c r="B405" s="15" t="inlineStr">
        <is>
          <t xml:space="preserve">GP082501/1</t>
        </is>
      </c>
      <c r="C405" s="15" t="inlineStr">
        <is>
          <t xml:space="preserve">P050312</t>
        </is>
      </c>
      <c r="D405" s="15" t="inlineStr">
        <is>
          <t xml:space="preserve">Grape Pie</t>
        </is>
      </c>
      <c r="E405" s="15" t="inlineStr">
        <is>
          <t xml:space="preserve">6 Total CBN</t>
        </is>
      </c>
      <c r="F405" s="15" t="inlineStr">
        <is>
          <t xml:space="preserve">CITED</t>
        </is>
      </c>
      <c r="G405" s="15" t="inlineStr">
        <is>
          <t xml:space="preserve">ППК25380</t>
        </is>
      </c>
      <c r="H405" s="15" t="inlineStr">
        <is>
          <t xml:space="preserve">12.12.2025</t>
        </is>
      </c>
      <c r="I405" s="15" t="inlineStr">
        <is>
          <t xml:space="preserve">CNP</t>
        </is>
      </c>
      <c r="J405" s="15" t="inlineStr">
        <is>
          <t xml:space="preserve">in eCoA_DATABASE</t>
        </is>
      </c>
      <c r="K405" s="15"/>
      <c r="L405" s="15" t="inlineStr">
        <is>
          <t xml:space="preserve">0.03 % ᴰ</t>
        </is>
      </c>
      <c r="M405" s="15" t="inlineStr">
        <is>
          <t xml:space="preserve">220-12-K/26</t>
        </is>
      </c>
    </row>
    <row r="406">
      <c r="A406" s="15" t="inlineStr">
        <is>
          <t xml:space="preserve">2</t>
        </is>
      </c>
      <c r="B406" s="15" t="inlineStr">
        <is>
          <t xml:space="preserve">GP082501/1</t>
        </is>
      </c>
      <c r="C406" s="15" t="inlineStr">
        <is>
          <t xml:space="preserve">P050312</t>
        </is>
      </c>
      <c r="D406" s="15" t="inlineStr">
        <is>
          <t xml:space="preserve">Grape Pie</t>
        </is>
      </c>
      <c r="E406" s="15" t="inlineStr">
        <is>
          <t xml:space="preserve">7 Foreign matter</t>
        </is>
      </c>
      <c r="F406" s="15" t="inlineStr">
        <is>
          <t xml:space="preserve">CITED</t>
        </is>
      </c>
      <c r="G406" s="15" t="inlineStr">
        <is>
          <t xml:space="preserve">iCoA-PP_26-035</t>
        </is>
      </c>
      <c r="H406" s="15" t="inlineStr">
        <is>
          <t xml:space="preserve">23.12.2025</t>
        </is>
      </c>
      <c r="I406" s="15" t="inlineStr">
        <is>
          <t xml:space="preserve">PP</t>
        </is>
      </c>
      <c r="J406" s="15" t="inlineStr">
        <is>
          <t xml:space="preserve">planned, NOT ISSUED (2026-05-15)</t>
        </is>
      </c>
      <c r="K406" s="15" t="inlineStr">
        <is>
          <t xml:space="preserve">YES — the certificate has not been issued</t>
        </is>
      </c>
      <c r="L406" s="15" t="inlineStr">
        <is>
          <t xml:space="preserve">Conforms</t>
        </is>
      </c>
      <c r="M406" s="15"/>
    </row>
    <row r="407">
      <c r="A407" s="15" t="inlineStr">
        <is>
          <t xml:space="preserve">2</t>
        </is>
      </c>
      <c r="B407" s="15" t="inlineStr">
        <is>
          <t xml:space="preserve">GP082501/1</t>
        </is>
      </c>
      <c r="C407" s="15" t="inlineStr">
        <is>
          <t xml:space="preserve">P050312</t>
        </is>
      </c>
      <c r="D407" s="15" t="inlineStr">
        <is>
          <t xml:space="preserve">Grape Pie</t>
        </is>
      </c>
      <c r="E407" s="15" t="inlineStr">
        <is>
          <t xml:space="preserve">8 Loss on drying</t>
        </is>
      </c>
      <c r="F407" s="15" t="inlineStr">
        <is>
          <t xml:space="preserve">CITED</t>
        </is>
      </c>
      <c r="G407" s="15" t="inlineStr">
        <is>
          <t xml:space="preserve">ППК25380</t>
        </is>
      </c>
      <c r="H407" s="15" t="inlineStr">
        <is>
          <t xml:space="preserve">12.12.2025</t>
        </is>
      </c>
      <c r="I407" s="15" t="inlineStr">
        <is>
          <t xml:space="preserve">CNP</t>
        </is>
      </c>
      <c r="J407" s="15" t="inlineStr">
        <is>
          <t xml:space="preserve">in eCoA_DATABASE</t>
        </is>
      </c>
      <c r="K407" s="15"/>
      <c r="L407" s="15" t="inlineStr">
        <is>
          <t xml:space="preserve">6.29</t>
        </is>
      </c>
      <c r="M407" s="15"/>
    </row>
    <row r="408">
      <c r="A408" s="15" t="inlineStr">
        <is>
          <t xml:space="preserve">2</t>
        </is>
      </c>
      <c r="B408" s="15" t="inlineStr">
        <is>
          <t xml:space="preserve">GP082501/1</t>
        </is>
      </c>
      <c r="C408" s="15" t="inlineStr">
        <is>
          <t xml:space="preserve">P050312</t>
        </is>
      </c>
      <c r="D408" s="15" t="inlineStr">
        <is>
          <t xml:space="preserve">Grape Pie</t>
        </is>
      </c>
      <c r="E408" s="15" t="inlineStr">
        <is>
          <t xml:space="preserve">9 Microbiological purity</t>
        </is>
      </c>
      <c r="F408" s="15" t="inlineStr">
        <is>
          <t xml:space="preserve">CITED</t>
        </is>
      </c>
      <c r="G408" s="15" t="inlineStr">
        <is>
          <t xml:space="preserve">1226-2192-25</t>
        </is>
      </c>
      <c r="H408" s="15" t="inlineStr">
        <is>
          <t xml:space="preserve">05.12.2025</t>
        </is>
      </c>
      <c r="I408" s="15" t="inlineStr">
        <is>
          <t xml:space="preserve">IJZ-MB</t>
        </is>
      </c>
      <c r="J408" s="15" t="inlineStr">
        <is>
          <t xml:space="preserve">in eCoA_DATABASE</t>
        </is>
      </c>
      <c r="K408" s="15"/>
      <c r="L408" s="15" t="inlineStr">
        <is>
          <t xml:space="preserve">4,3 x 10² CFU/g CFU/g; 1 x 10³ CFU/g CFU/g; &lt; 10³ и &gt; 10² CFU/g CFU/g; Одговара /g; Одговара /25 g</t>
        </is>
      </c>
      <c r="M408" s="15"/>
    </row>
    <row r="409">
      <c r="A409" s="15" t="inlineStr">
        <is>
          <t xml:space="preserve">2</t>
        </is>
      </c>
      <c r="B409" s="15" t="inlineStr">
        <is>
          <t xml:space="preserve">GP082501/1</t>
        </is>
      </c>
      <c r="C409" s="15" t="inlineStr">
        <is>
          <t xml:space="preserve">P050312</t>
        </is>
      </c>
      <c r="D409" s="15" t="inlineStr">
        <is>
          <t xml:space="preserve">Grape Pie</t>
        </is>
      </c>
      <c r="E409" s="15" t="inlineStr">
        <is>
          <t xml:space="preserve">10 Mycotoxins</t>
        </is>
      </c>
      <c r="F409" s="15" t="inlineStr">
        <is>
          <t xml:space="preserve">CITED</t>
        </is>
      </c>
      <c r="G409" s="15" t="inlineStr">
        <is>
          <t xml:space="preserve">5888-2025</t>
        </is>
      </c>
      <c r="H409" s="15" t="inlineStr">
        <is>
          <t xml:space="preserve">12.12.2025</t>
        </is>
      </c>
      <c r="I409" s="15" t="inlineStr">
        <is>
          <t xml:space="preserve">IJZ</t>
        </is>
      </c>
      <c r="J409" s="15" t="inlineStr">
        <is>
          <t xml:space="preserve">in eCoA_DATABASE</t>
        </is>
      </c>
      <c r="K409" s="15"/>
      <c r="L409" s="15" t="inlineStr">
        <is>
          <t xml:space="preserve">n.r.; &lt;2; n.r.</t>
        </is>
      </c>
      <c r="M409" s="15"/>
    </row>
    <row r="410">
      <c r="A410" s="15" t="inlineStr">
        <is>
          <t xml:space="preserve">2</t>
        </is>
      </c>
      <c r="B410" s="15" t="inlineStr">
        <is>
          <t xml:space="preserve">GP082501/1</t>
        </is>
      </c>
      <c r="C410" s="15" t="inlineStr">
        <is>
          <t xml:space="preserve">P050312</t>
        </is>
      </c>
      <c r="D410" s="15" t="inlineStr">
        <is>
          <t xml:space="preserve">Grape Pie</t>
        </is>
      </c>
      <c r="E410" s="15" t="inlineStr">
        <is>
          <t xml:space="preserve">11 Heavy metals</t>
        </is>
      </c>
      <c r="F410" s="15" t="inlineStr">
        <is>
          <t xml:space="preserve">CITED</t>
        </is>
      </c>
      <c r="G410" s="15" t="inlineStr">
        <is>
          <t xml:space="preserve">5888-2025</t>
        </is>
      </c>
      <c r="H410" s="15" t="inlineStr">
        <is>
          <t xml:space="preserve">12.12.2025</t>
        </is>
      </c>
      <c r="I410" s="15" t="inlineStr">
        <is>
          <t xml:space="preserve">IJZ</t>
        </is>
      </c>
      <c r="J410" s="15" t="inlineStr">
        <is>
          <t xml:space="preserve">in eCoA_DATABASE</t>
        </is>
      </c>
      <c r="K410" s="15"/>
      <c r="L410" s="15" t="inlineStr">
        <is>
          <t xml:space="preserve">0.014; 0.003; 0.02; 0.017</t>
        </is>
      </c>
      <c r="M410" s="15"/>
    </row>
    <row r="411">
      <c r="A411" s="15" t="inlineStr">
        <is>
          <t xml:space="preserve">2</t>
        </is>
      </c>
      <c r="B411" s="15" t="inlineStr">
        <is>
          <t xml:space="preserve">GP082501/1</t>
        </is>
      </c>
      <c r="C411" s="15" t="inlineStr">
        <is>
          <t xml:space="preserve">P050312</t>
        </is>
      </c>
      <c r="D411" s="15" t="inlineStr">
        <is>
          <t xml:space="preserve">Grape Pie</t>
        </is>
      </c>
      <c r="E411" s="15" t="inlineStr">
        <is>
          <t xml:space="preserve">12 Pesticide residues</t>
        </is>
      </c>
      <c r="F411" s="15" t="inlineStr">
        <is>
          <t xml:space="preserve">CITED</t>
        </is>
      </c>
      <c r="G411" s="15" t="inlineStr">
        <is>
          <t xml:space="preserve">5888-2025</t>
        </is>
      </c>
      <c r="H411" s="15" t="inlineStr">
        <is>
          <t xml:space="preserve">12.12.2025</t>
        </is>
      </c>
      <c r="I411" s="15" t="inlineStr">
        <is>
          <t xml:space="preserve">IJZ</t>
        </is>
      </c>
      <c r="J411" s="15" t="inlineStr">
        <is>
          <t xml:space="preserve">in eCoA_DATABASE</t>
        </is>
      </c>
      <c r="K411" s="15"/>
      <c r="L411" s="15" t="inlineStr">
        <is>
          <t xml:space="preserve">≤ LOQ (all 28 compounds)</t>
        </is>
      </c>
      <c r="M411" s="15"/>
    </row>
    <row r="412">
      <c r="A412" s="15" t="inlineStr">
        <is>
          <t xml:space="preserve">2</t>
        </is>
      </c>
      <c r="B412" s="15" t="inlineStr">
        <is>
          <t xml:space="preserve">GP092501</t>
        </is>
      </c>
      <c r="C412" s="15" t="inlineStr">
        <is>
          <t xml:space="preserve">P060092</t>
        </is>
      </c>
      <c r="D412" s="15" t="inlineStr">
        <is>
          <t xml:space="preserve">Grape Pie</t>
        </is>
      </c>
      <c r="E412" s="15" t="inlineStr">
        <is>
          <t xml:space="preserve">1 Identification A — appearance</t>
        </is>
      </c>
      <c r="F412" s="15" t="inlineStr">
        <is>
          <t xml:space="preserve">CITED</t>
        </is>
      </c>
      <c r="G412" s="15" t="inlineStr">
        <is>
          <t xml:space="preserve">iCoA-PP_26-045</t>
        </is>
      </c>
      <c r="H412" s="15" t="inlineStr">
        <is>
          <t xml:space="preserve">03.02.2026</t>
        </is>
      </c>
      <c r="I412" s="15" t="inlineStr">
        <is>
          <t xml:space="preserve">PP</t>
        </is>
      </c>
      <c r="J412" s="15" t="inlineStr">
        <is>
          <t xml:space="preserve">planned, NOT ISSUED (2026-05-15)</t>
        </is>
      </c>
      <c r="K412" s="15" t="inlineStr">
        <is>
          <t xml:space="preserve">YES — the certificate has not been issued</t>
        </is>
      </c>
      <c r="L412" s="15" t="inlineStr">
        <is>
          <t xml:space="preserve">Conforms</t>
        </is>
      </c>
      <c r="M412" s="15"/>
    </row>
    <row r="413">
      <c r="A413" s="15" t="inlineStr">
        <is>
          <t xml:space="preserve">2</t>
        </is>
      </c>
      <c r="B413" s="15" t="inlineStr">
        <is>
          <t xml:space="preserve">GP092501</t>
        </is>
      </c>
      <c r="C413" s="15" t="inlineStr">
        <is>
          <t xml:space="preserve">P060092</t>
        </is>
      </c>
      <c r="D413" s="15" t="inlineStr">
        <is>
          <t xml:space="preserve">Grape Pie</t>
        </is>
      </c>
      <c r="E413" s="15" t="inlineStr">
        <is>
          <t xml:space="preserve">2 Identification B — microscopy</t>
        </is>
      </c>
      <c r="F413" s="15" t="inlineStr">
        <is>
          <t xml:space="preserve">CITED</t>
        </is>
      </c>
      <c r="G413" s="15" t="inlineStr">
        <is>
          <t xml:space="preserve">iCoA-PP_26-045</t>
        </is>
      </c>
      <c r="H413" s="15" t="inlineStr">
        <is>
          <t xml:space="preserve">03.02.2026</t>
        </is>
      </c>
      <c r="I413" s="15" t="inlineStr">
        <is>
          <t xml:space="preserve">PP</t>
        </is>
      </c>
      <c r="J413" s="15" t="inlineStr">
        <is>
          <t xml:space="preserve">planned, NOT ISSUED (2026-05-15)</t>
        </is>
      </c>
      <c r="K413" s="15" t="inlineStr">
        <is>
          <t xml:space="preserve">YES — the certificate has not been issued</t>
        </is>
      </c>
      <c r="L413" s="15" t="inlineStr">
        <is>
          <t xml:space="preserve">Conforms</t>
        </is>
      </c>
      <c r="M413" s="15"/>
    </row>
    <row r="414">
      <c r="A414" s="15" t="inlineStr">
        <is>
          <t xml:space="preserve">2</t>
        </is>
      </c>
      <c r="B414" s="15" t="inlineStr">
        <is>
          <t xml:space="preserve">GP092501</t>
        </is>
      </c>
      <c r="C414" s="15" t="inlineStr">
        <is>
          <t xml:space="preserve">P060092</t>
        </is>
      </c>
      <c r="D414" s="15" t="inlineStr">
        <is>
          <t xml:space="preserve">Grape Pie</t>
        </is>
      </c>
      <c r="E414" s="15" t="inlineStr">
        <is>
          <t xml:space="preserve">3 Identification C — HPLC</t>
        </is>
      </c>
      <c r="F414" s="15" t="inlineStr">
        <is>
          <t xml:space="preserve">CITED</t>
        </is>
      </c>
      <c r="G414" s="15" t="inlineStr">
        <is>
          <t xml:space="preserve">ППК26009</t>
        </is>
      </c>
      <c r="H414" s="15" t="inlineStr">
        <is>
          <t xml:space="preserve">21.01.2026</t>
        </is>
      </c>
      <c r="I414" s="15" t="inlineStr">
        <is>
          <t xml:space="preserve">CNP</t>
        </is>
      </c>
      <c r="J414" s="15" t="inlineStr">
        <is>
          <t xml:space="preserve">in eCoA_DATABASE</t>
        </is>
      </c>
      <c r="K414" s="15"/>
      <c r="L414" s="15" t="inlineStr">
        <is>
          <t xml:space="preserve">Conforms (ImB spec.)</t>
        </is>
      </c>
      <c r="M414" s="15" t="inlineStr">
        <is>
          <t xml:space="preserve">220-13-K/26</t>
        </is>
      </c>
    </row>
    <row r="415">
      <c r="A415" s="15" t="inlineStr">
        <is>
          <t xml:space="preserve">2</t>
        </is>
      </c>
      <c r="B415" s="15" t="inlineStr">
        <is>
          <t xml:space="preserve">GP092501</t>
        </is>
      </c>
      <c r="C415" s="15" t="inlineStr">
        <is>
          <t xml:space="preserve">P060092</t>
        </is>
      </c>
      <c r="D415" s="15" t="inlineStr">
        <is>
          <t xml:space="preserve">Grape Pie</t>
        </is>
      </c>
      <c r="E415" s="15" t="inlineStr">
        <is>
          <t xml:space="preserve">4 Assay — Total Δ⁹-THC</t>
        </is>
      </c>
      <c r="F415" s="15" t="inlineStr">
        <is>
          <t xml:space="preserve">CITED</t>
        </is>
      </c>
      <c r="G415" s="15" t="inlineStr">
        <is>
          <t xml:space="preserve">ППК26009</t>
        </is>
      </c>
      <c r="H415" s="15" t="inlineStr">
        <is>
          <t xml:space="preserve">21.01.2026</t>
        </is>
      </c>
      <c r="I415" s="15" t="inlineStr">
        <is>
          <t xml:space="preserve">CNP</t>
        </is>
      </c>
      <c r="J415" s="15" t="inlineStr">
        <is>
          <t xml:space="preserve">in eCoA_DATABASE</t>
        </is>
      </c>
      <c r="K415" s="15"/>
      <c r="L415" s="15" t="inlineStr">
        <is>
          <t xml:space="preserve">25.73</t>
        </is>
      </c>
      <c r="M415" s="15" t="inlineStr">
        <is>
          <t xml:space="preserve">220-13-K/26</t>
        </is>
      </c>
    </row>
    <row r="416">
      <c r="A416" s="15" t="inlineStr">
        <is>
          <t xml:space="preserve">2</t>
        </is>
      </c>
      <c r="B416" s="15" t="inlineStr">
        <is>
          <t xml:space="preserve">GP092501</t>
        </is>
      </c>
      <c r="C416" s="15" t="inlineStr">
        <is>
          <t xml:space="preserve">P060092</t>
        </is>
      </c>
      <c r="D416" s="15" t="inlineStr">
        <is>
          <t xml:space="preserve">Grape Pie</t>
        </is>
      </c>
      <c r="E416" s="15" t="inlineStr">
        <is>
          <t xml:space="preserve">5 Assay — Total CBD</t>
        </is>
      </c>
      <c r="F416" s="15" t="inlineStr">
        <is>
          <t xml:space="preserve">CITED</t>
        </is>
      </c>
      <c r="G416" s="15" t="inlineStr">
        <is>
          <t xml:space="preserve">ППК26009</t>
        </is>
      </c>
      <c r="H416" s="15" t="inlineStr">
        <is>
          <t xml:space="preserve">21.01.2026</t>
        </is>
      </c>
      <c r="I416" s="15" t="inlineStr">
        <is>
          <t xml:space="preserve">CNP</t>
        </is>
      </c>
      <c r="J416" s="15" t="inlineStr">
        <is>
          <t xml:space="preserve">in eCoA_DATABASE</t>
        </is>
      </c>
      <c r="K416" s="15"/>
      <c r="L416" s="15" t="inlineStr">
        <is>
          <t xml:space="preserve">0.11</t>
        </is>
      </c>
      <c r="M416" s="15" t="inlineStr">
        <is>
          <t xml:space="preserve">220-13-K/26</t>
        </is>
      </c>
    </row>
    <row r="417">
      <c r="A417" s="15" t="inlineStr">
        <is>
          <t xml:space="preserve">2</t>
        </is>
      </c>
      <c r="B417" s="15" t="inlineStr">
        <is>
          <t xml:space="preserve">GP092501</t>
        </is>
      </c>
      <c r="C417" s="15" t="inlineStr">
        <is>
          <t xml:space="preserve">P060092</t>
        </is>
      </c>
      <c r="D417" s="15" t="inlineStr">
        <is>
          <t xml:space="preserve">Grape Pie</t>
        </is>
      </c>
      <c r="E417" s="15" t="inlineStr">
        <is>
          <t xml:space="preserve">6 Total CBN</t>
        </is>
      </c>
      <c r="F417" s="15" t="inlineStr">
        <is>
          <t xml:space="preserve">CITED</t>
        </is>
      </c>
      <c r="G417" s="15" t="inlineStr">
        <is>
          <t xml:space="preserve">ППК26009</t>
        </is>
      </c>
      <c r="H417" s="15" t="inlineStr">
        <is>
          <t xml:space="preserve">21.01.2026</t>
        </is>
      </c>
      <c r="I417" s="15" t="inlineStr">
        <is>
          <t xml:space="preserve">CNP</t>
        </is>
      </c>
      <c r="J417" s="15" t="inlineStr">
        <is>
          <t xml:space="preserve">in eCoA_DATABASE</t>
        </is>
      </c>
      <c r="K417" s="15"/>
      <c r="L417" s="15" t="inlineStr">
        <is>
          <t xml:space="preserve">0.02 % ᴰ</t>
        </is>
      </c>
      <c r="M417" s="15" t="inlineStr">
        <is>
          <t xml:space="preserve">220-13-K/26</t>
        </is>
      </c>
    </row>
    <row r="418">
      <c r="A418" s="15" t="inlineStr">
        <is>
          <t xml:space="preserve">2</t>
        </is>
      </c>
      <c r="B418" s="15" t="inlineStr">
        <is>
          <t xml:space="preserve">GP092501</t>
        </is>
      </c>
      <c r="C418" s="15" t="inlineStr">
        <is>
          <t xml:space="preserve">P060092</t>
        </is>
      </c>
      <c r="D418" s="15" t="inlineStr">
        <is>
          <t xml:space="preserve">Grape Pie</t>
        </is>
      </c>
      <c r="E418" s="15" t="inlineStr">
        <is>
          <t xml:space="preserve">7 Foreign matter</t>
        </is>
      </c>
      <c r="F418" s="15" t="inlineStr">
        <is>
          <t xml:space="preserve">CITED</t>
        </is>
      </c>
      <c r="G418" s="15" t="inlineStr">
        <is>
          <t xml:space="preserve">iCoA-PP_26-045</t>
        </is>
      </c>
      <c r="H418" s="15" t="inlineStr">
        <is>
          <t xml:space="preserve">03.02.2026</t>
        </is>
      </c>
      <c r="I418" s="15" t="inlineStr">
        <is>
          <t xml:space="preserve">PP</t>
        </is>
      </c>
      <c r="J418" s="15" t="inlineStr">
        <is>
          <t xml:space="preserve">planned, NOT ISSUED (2026-05-15)</t>
        </is>
      </c>
      <c r="K418" s="15" t="inlineStr">
        <is>
          <t xml:space="preserve">YES — the certificate has not been issued</t>
        </is>
      </c>
      <c r="L418" s="15" t="inlineStr">
        <is>
          <t xml:space="preserve">Conforms</t>
        </is>
      </c>
      <c r="M418" s="15"/>
    </row>
    <row r="419">
      <c r="A419" s="15" t="inlineStr">
        <is>
          <t xml:space="preserve">2</t>
        </is>
      </c>
      <c r="B419" s="15" t="inlineStr">
        <is>
          <t xml:space="preserve">GP092501</t>
        </is>
      </c>
      <c r="C419" s="15" t="inlineStr">
        <is>
          <t xml:space="preserve">P060092</t>
        </is>
      </c>
      <c r="D419" s="15" t="inlineStr">
        <is>
          <t xml:space="preserve">Grape Pie</t>
        </is>
      </c>
      <c r="E419" s="15" t="inlineStr">
        <is>
          <t xml:space="preserve">8 Loss on drying</t>
        </is>
      </c>
      <c r="F419" s="15" t="inlineStr">
        <is>
          <t xml:space="preserve">CITED</t>
        </is>
      </c>
      <c r="G419" s="15" t="inlineStr">
        <is>
          <t xml:space="preserve">ППК26009</t>
        </is>
      </c>
      <c r="H419" s="15" t="inlineStr">
        <is>
          <t xml:space="preserve">21.01.2026</t>
        </is>
      </c>
      <c r="I419" s="15" t="inlineStr">
        <is>
          <t xml:space="preserve">CNP</t>
        </is>
      </c>
      <c r="J419" s="15" t="inlineStr">
        <is>
          <t xml:space="preserve">in eCoA_DATABASE</t>
        </is>
      </c>
      <c r="K419" s="15"/>
      <c r="L419" s="15" t="inlineStr">
        <is>
          <t xml:space="preserve">6.91</t>
        </is>
      </c>
      <c r="M419" s="15"/>
    </row>
    <row r="420">
      <c r="A420" s="15" t="inlineStr">
        <is>
          <t xml:space="preserve">2</t>
        </is>
      </c>
      <c r="B420" s="15" t="inlineStr">
        <is>
          <t xml:space="preserve">GP092501</t>
        </is>
      </c>
      <c r="C420" s="15" t="inlineStr">
        <is>
          <t xml:space="preserve">P060092</t>
        </is>
      </c>
      <c r="D420" s="15" t="inlineStr">
        <is>
          <t xml:space="preserve">Grape Pie</t>
        </is>
      </c>
      <c r="E420" s="15" t="inlineStr">
        <is>
          <t xml:space="preserve">9 Microbiological purity</t>
        </is>
      </c>
      <c r="F420" s="15" t="inlineStr">
        <is>
          <t xml:space="preserve">CITED</t>
        </is>
      </c>
      <c r="G420" s="15" t="inlineStr">
        <is>
          <t xml:space="preserve">5-0008-26</t>
        </is>
      </c>
      <c r="H420" s="15" t="inlineStr">
        <is>
          <t xml:space="preserve">20.01.2026</t>
        </is>
      </c>
      <c r="I420" s="15" t="inlineStr">
        <is>
          <t xml:space="preserve">IJZ-MB</t>
        </is>
      </c>
      <c r="J420" s="15" t="inlineStr">
        <is>
          <t xml:space="preserve">in eCoA_DATABASE</t>
        </is>
      </c>
      <c r="K420" s="15"/>
      <c r="L420" s="15" t="inlineStr">
        <is>
          <t xml:space="preserve">1 x 10² CFU/g CFU/g; &lt; 10 CFU/g CFU/g; &lt; 10² и &gt; 10 CFU/g CFU/g; Одговара /g; Одговара /25 g</t>
        </is>
      </c>
      <c r="M420" s="15"/>
    </row>
    <row r="421">
      <c r="A421" s="15" t="inlineStr">
        <is>
          <t xml:space="preserve">2</t>
        </is>
      </c>
      <c r="B421" s="15" t="inlineStr">
        <is>
          <t xml:space="preserve">GP092501</t>
        </is>
      </c>
      <c r="C421" s="15" t="inlineStr">
        <is>
          <t xml:space="preserve">P060092</t>
        </is>
      </c>
      <c r="D421" s="15" t="inlineStr">
        <is>
          <t xml:space="preserve">Grape Pie</t>
        </is>
      </c>
      <c r="E421" s="15" t="inlineStr">
        <is>
          <t xml:space="preserve">10 Mycotoxins</t>
        </is>
      </c>
      <c r="F421" s="15" t="inlineStr">
        <is>
          <t xml:space="preserve">CITED</t>
        </is>
      </c>
      <c r="G421" s="15" t="inlineStr">
        <is>
          <t xml:space="preserve">88-2026</t>
        </is>
      </c>
      <c r="H421" s="15" t="inlineStr">
        <is>
          <t xml:space="preserve">03.02.2026</t>
        </is>
      </c>
      <c r="I421" s="15" t="inlineStr">
        <is>
          <t xml:space="preserve">IJZ</t>
        </is>
      </c>
      <c r="J421" s="15" t="inlineStr">
        <is>
          <t xml:space="preserve">in eCoA_DATABASE</t>
        </is>
      </c>
      <c r="K421" s="15"/>
      <c r="L421" s="15" t="inlineStr">
        <is>
          <t xml:space="preserve">n.r.; &lt;2; n.r.</t>
        </is>
      </c>
      <c r="M421" s="15"/>
    </row>
    <row r="422">
      <c r="A422" s="15" t="inlineStr">
        <is>
          <t xml:space="preserve">2</t>
        </is>
      </c>
      <c r="B422" s="15" t="inlineStr">
        <is>
          <t xml:space="preserve">GP092501</t>
        </is>
      </c>
      <c r="C422" s="15" t="inlineStr">
        <is>
          <t xml:space="preserve">P060092</t>
        </is>
      </c>
      <c r="D422" s="15" t="inlineStr">
        <is>
          <t xml:space="preserve">Grape Pie</t>
        </is>
      </c>
      <c r="E422" s="15" t="inlineStr">
        <is>
          <t xml:space="preserve">11 Heavy metals</t>
        </is>
      </c>
      <c r="F422" s="15" t="inlineStr">
        <is>
          <t xml:space="preserve">CITED</t>
        </is>
      </c>
      <c r="G422" s="15" t="inlineStr">
        <is>
          <t xml:space="preserve">88-2026</t>
        </is>
      </c>
      <c r="H422" s="15" t="inlineStr">
        <is>
          <t xml:space="preserve">03.02.2026</t>
        </is>
      </c>
      <c r="I422" s="15" t="inlineStr">
        <is>
          <t xml:space="preserve">IJZ</t>
        </is>
      </c>
      <c r="J422" s="15" t="inlineStr">
        <is>
          <t xml:space="preserve">in eCoA_DATABASE</t>
        </is>
      </c>
      <c r="K422" s="15"/>
      <c r="L422" s="15" t="inlineStr">
        <is>
          <t xml:space="preserve">0.022; Н.д.; Н.д.; 0.007</t>
        </is>
      </c>
      <c r="M422" s="15"/>
    </row>
    <row r="423">
      <c r="A423" s="15" t="inlineStr">
        <is>
          <t xml:space="preserve">2</t>
        </is>
      </c>
      <c r="B423" s="15" t="inlineStr">
        <is>
          <t xml:space="preserve">GP092501</t>
        </is>
      </c>
      <c r="C423" s="15" t="inlineStr">
        <is>
          <t xml:space="preserve">P060092</t>
        </is>
      </c>
      <c r="D423" s="15" t="inlineStr">
        <is>
          <t xml:space="preserve">Grape Pie</t>
        </is>
      </c>
      <c r="E423" s="15" t="inlineStr">
        <is>
          <t xml:space="preserve">12 Pesticide residues</t>
        </is>
      </c>
      <c r="F423" s="15" t="inlineStr">
        <is>
          <t xml:space="preserve">CITED</t>
        </is>
      </c>
      <c r="G423" s="15" t="inlineStr">
        <is>
          <t xml:space="preserve">88-2026</t>
        </is>
      </c>
      <c r="H423" s="15" t="inlineStr">
        <is>
          <t xml:space="preserve">03.02.2026</t>
        </is>
      </c>
      <c r="I423" s="15" t="inlineStr">
        <is>
          <t xml:space="preserve">IJZ</t>
        </is>
      </c>
      <c r="J423" s="15" t="inlineStr">
        <is>
          <t xml:space="preserve">in eCoA_DATABASE</t>
        </is>
      </c>
      <c r="K423" s="15"/>
      <c r="L423" s="15" t="inlineStr">
        <is>
          <t xml:space="preserve">≤ LOQ (all 29 compounds)</t>
        </is>
      </c>
      <c r="M423" s="15"/>
    </row>
    <row r="424">
      <c r="A424" s="15" t="inlineStr">
        <is>
          <t xml:space="preserve">2</t>
        </is>
      </c>
      <c r="B424" s="15" t="inlineStr">
        <is>
          <t xml:space="preserve">GRC102501/2</t>
        </is>
      </c>
      <c r="C424" s="15" t="inlineStr">
        <is>
          <t xml:space="preserve">P060182</t>
        </is>
      </c>
      <c r="D424" s="15" t="inlineStr">
        <is>
          <t xml:space="preserve">Grapes and Cream</t>
        </is>
      </c>
      <c r="E424" s="15" t="inlineStr">
        <is>
          <t xml:space="preserve">1 Identification A — appearance</t>
        </is>
      </c>
      <c r="F424" s="15" t="inlineStr">
        <is>
          <t xml:space="preserve">NOTHING ON FILE</t>
        </is>
      </c>
      <c r="G424" s="15" t="inlineStr">
        <is>
          <t xml:space="preserve">—</t>
        </is>
      </c>
      <c r="H424" s="15" t="inlineStr">
        <is>
          <t xml:space="preserve">—</t>
        </is>
      </c>
      <c r="I424" s="15" t="inlineStr">
        <is>
          <t xml:space="preserve">—</t>
        </is>
      </c>
      <c r="J424" s="15" t="inlineStr">
        <is>
          <t xml:space="preserve">no document anywhere</t>
        </is>
      </c>
      <c r="K424" s="15"/>
      <c r="L424" s="15" t="inlineStr">
        <is>
          <t xml:space="preserve">—</t>
        </is>
      </c>
      <c r="M424" s="15"/>
    </row>
    <row r="425">
      <c r="A425" s="15" t="inlineStr">
        <is>
          <t xml:space="preserve">2</t>
        </is>
      </c>
      <c r="B425" s="15" t="inlineStr">
        <is>
          <t xml:space="preserve">GRC102501/2</t>
        </is>
      </c>
      <c r="C425" s="15" t="inlineStr">
        <is>
          <t xml:space="preserve">P060182</t>
        </is>
      </c>
      <c r="D425" s="15" t="inlineStr">
        <is>
          <t xml:space="preserve">Grapes and Cream</t>
        </is>
      </c>
      <c r="E425" s="15" t="inlineStr">
        <is>
          <t xml:space="preserve">2 Identification B — microscopy</t>
        </is>
      </c>
      <c r="F425" s="15" t="inlineStr">
        <is>
          <t xml:space="preserve">NOTHING ON FILE</t>
        </is>
      </c>
      <c r="G425" s="15" t="inlineStr">
        <is>
          <t xml:space="preserve">—</t>
        </is>
      </c>
      <c r="H425" s="15" t="inlineStr">
        <is>
          <t xml:space="preserve">—</t>
        </is>
      </c>
      <c r="I425" s="15" t="inlineStr">
        <is>
          <t xml:space="preserve">—</t>
        </is>
      </c>
      <c r="J425" s="15" t="inlineStr">
        <is>
          <t xml:space="preserve">no document anywhere</t>
        </is>
      </c>
      <c r="K425" s="15"/>
      <c r="L425" s="15" t="inlineStr">
        <is>
          <t xml:space="preserve">—</t>
        </is>
      </c>
      <c r="M425" s="15"/>
    </row>
    <row r="426">
      <c r="A426" s="15" t="inlineStr">
        <is>
          <t xml:space="preserve">2</t>
        </is>
      </c>
      <c r="B426" s="15" t="inlineStr">
        <is>
          <t xml:space="preserve">GRC102501/2</t>
        </is>
      </c>
      <c r="C426" s="15" t="inlineStr">
        <is>
          <t xml:space="preserve">P060182</t>
        </is>
      </c>
      <c r="D426" s="15" t="inlineStr">
        <is>
          <t xml:space="preserve">Grapes and Cream</t>
        </is>
      </c>
      <c r="E426" s="15" t="inlineStr">
        <is>
          <t xml:space="preserve">3 Identification C — HPLC</t>
        </is>
      </c>
      <c r="F426" s="15" t="inlineStr">
        <is>
          <t xml:space="preserve">READ IN THIS PASS</t>
        </is>
      </c>
      <c r="G426" s="15" t="inlineStr">
        <is>
          <t xml:space="preserve">051-6-K/26</t>
        </is>
      </c>
      <c r="H426" s="15" t="inlineStr">
        <is>
          <t xml:space="preserve">04.03.2026</t>
        </is>
      </c>
      <c r="I426" s="15" t="inlineStr">
        <is>
          <t xml:space="preserve">FHM</t>
        </is>
      </c>
      <c r="J426" s="15" t="inlineStr">
        <is>
          <t xml:space="preserve">in eCoA_DATABASE</t>
        </is>
      </c>
      <c r="K426" s="15"/>
      <c r="L426" s="15" t="inlineStr">
        <is>
          <t xml:space="preserve">identity by the HPLC cannabinoid profile on this certificate</t>
        </is>
      </c>
      <c r="M426" s="15" t="inlineStr">
        <is>
          <t xml:space="preserve">220-14-K/26; 031-1-K/26</t>
        </is>
      </c>
    </row>
    <row r="427">
      <c r="A427" s="15" t="inlineStr">
        <is>
          <t xml:space="preserve">2</t>
        </is>
      </c>
      <c r="B427" s="15" t="inlineStr">
        <is>
          <t xml:space="preserve">GRC102501/2</t>
        </is>
      </c>
      <c r="C427" s="15" t="inlineStr">
        <is>
          <t xml:space="preserve">P060182</t>
        </is>
      </c>
      <c r="D427" s="15" t="inlineStr">
        <is>
          <t xml:space="preserve">Grapes and Cream</t>
        </is>
      </c>
      <c r="E427" s="15" t="inlineStr">
        <is>
          <t xml:space="preserve">4 Assay — Total Δ⁹-THC</t>
        </is>
      </c>
      <c r="F427" s="15" t="inlineStr">
        <is>
          <t xml:space="preserve">READ IN THIS PASS</t>
        </is>
      </c>
      <c r="G427" s="15" t="inlineStr">
        <is>
          <t xml:space="preserve">051-6-K/26</t>
        </is>
      </c>
      <c r="H427" s="15" t="inlineStr">
        <is>
          <t xml:space="preserve">04.03.2026</t>
        </is>
      </c>
      <c r="I427" s="15" t="inlineStr">
        <is>
          <t xml:space="preserve">FHM</t>
        </is>
      </c>
      <c r="J427" s="15" t="inlineStr">
        <is>
          <t xml:space="preserve">in eCoA_DATABASE</t>
        </is>
      </c>
      <c r="K427" s="15"/>
      <c r="L427" s="15" t="inlineStr">
        <is>
          <t xml:space="preserve">11.53 %w/w</t>
        </is>
      </c>
      <c r="M427" s="15" t="inlineStr">
        <is>
          <t xml:space="preserve">220-14-K/26; 031-1-K/26</t>
        </is>
      </c>
    </row>
    <row r="428">
      <c r="A428" s="15" t="inlineStr">
        <is>
          <t xml:space="preserve">2</t>
        </is>
      </c>
      <c r="B428" s="15" t="inlineStr">
        <is>
          <t xml:space="preserve">GRC102501/2</t>
        </is>
      </c>
      <c r="C428" s="15" t="inlineStr">
        <is>
          <t xml:space="preserve">P060182</t>
        </is>
      </c>
      <c r="D428" s="15" t="inlineStr">
        <is>
          <t xml:space="preserve">Grapes and Cream</t>
        </is>
      </c>
      <c r="E428" s="15" t="inlineStr">
        <is>
          <t xml:space="preserve">5 Assay — Total CBD</t>
        </is>
      </c>
      <c r="F428" s="15" t="inlineStr">
        <is>
          <t xml:space="preserve">READ IN THIS PASS</t>
        </is>
      </c>
      <c r="G428" s="15" t="inlineStr">
        <is>
          <t xml:space="preserve">051-6-K/26</t>
        </is>
      </c>
      <c r="H428" s="15" t="inlineStr">
        <is>
          <t xml:space="preserve">04.03.2026</t>
        </is>
      </c>
      <c r="I428" s="15" t="inlineStr">
        <is>
          <t xml:space="preserve">FHM</t>
        </is>
      </c>
      <c r="J428" s="15" t="inlineStr">
        <is>
          <t xml:space="preserve">in eCoA_DATABASE</t>
        </is>
      </c>
      <c r="K428" s="15"/>
      <c r="L428" s="15" t="inlineStr">
        <is>
          <t xml:space="preserve">&lt;LOQ** %w/w</t>
        </is>
      </c>
      <c r="M428" s="15" t="inlineStr">
        <is>
          <t xml:space="preserve">220-14-K/26; 031-1-K/26</t>
        </is>
      </c>
    </row>
    <row r="429">
      <c r="A429" s="15" t="inlineStr">
        <is>
          <t xml:space="preserve">2</t>
        </is>
      </c>
      <c r="B429" s="15" t="inlineStr">
        <is>
          <t xml:space="preserve">GRC102501/2</t>
        </is>
      </c>
      <c r="C429" s="15" t="inlineStr">
        <is>
          <t xml:space="preserve">P060182</t>
        </is>
      </c>
      <c r="D429" s="15" t="inlineStr">
        <is>
          <t xml:space="preserve">Grapes and Cream</t>
        </is>
      </c>
      <c r="E429" s="15" t="inlineStr">
        <is>
          <t xml:space="preserve">6 Total CBN</t>
        </is>
      </c>
      <c r="F429" s="15" t="inlineStr">
        <is>
          <t xml:space="preserve">READ IN THIS PASS</t>
        </is>
      </c>
      <c r="G429" s="15" t="inlineStr">
        <is>
          <t xml:space="preserve">051-6-K/26</t>
        </is>
      </c>
      <c r="H429" s="15" t="inlineStr">
        <is>
          <t xml:space="preserve">04.03.2026</t>
        </is>
      </c>
      <c r="I429" s="15" t="inlineStr">
        <is>
          <t xml:space="preserve">FHM</t>
        </is>
      </c>
      <c r="J429" s="15" t="inlineStr">
        <is>
          <t xml:space="preserve">in eCoA_DATABASE</t>
        </is>
      </c>
      <c r="K429" s="15"/>
      <c r="L429" s="15" t="inlineStr">
        <is>
          <t xml:space="preserve">&lt;LOQ** %w/w</t>
        </is>
      </c>
      <c r="M429" s="15" t="inlineStr">
        <is>
          <t xml:space="preserve">220-14-K/26; 031-1-K/26</t>
        </is>
      </c>
    </row>
    <row r="430">
      <c r="A430" s="15" t="inlineStr">
        <is>
          <t xml:space="preserve">2</t>
        </is>
      </c>
      <c r="B430" s="15" t="inlineStr">
        <is>
          <t xml:space="preserve">GRC102501/2</t>
        </is>
      </c>
      <c r="C430" s="15" t="inlineStr">
        <is>
          <t xml:space="preserve">P060182</t>
        </is>
      </c>
      <c r="D430" s="15" t="inlineStr">
        <is>
          <t xml:space="preserve">Grapes and Cream</t>
        </is>
      </c>
      <c r="E430" s="15" t="inlineStr">
        <is>
          <t xml:space="preserve">7 Foreign matter</t>
        </is>
      </c>
      <c r="F430" s="15" t="inlineStr">
        <is>
          <t xml:space="preserve">NOTHING ON FILE</t>
        </is>
      </c>
      <c r="G430" s="15" t="inlineStr">
        <is>
          <t xml:space="preserve">—</t>
        </is>
      </c>
      <c r="H430" s="15" t="inlineStr">
        <is>
          <t xml:space="preserve">—</t>
        </is>
      </c>
      <c r="I430" s="15" t="inlineStr">
        <is>
          <t xml:space="preserve">—</t>
        </is>
      </c>
      <c r="J430" s="15" t="inlineStr">
        <is>
          <t xml:space="preserve">no document anywhere</t>
        </is>
      </c>
      <c r="K430" s="15"/>
      <c r="L430" s="15" t="inlineStr">
        <is>
          <t xml:space="preserve">—</t>
        </is>
      </c>
      <c r="M430" s="15"/>
    </row>
    <row r="431">
      <c r="A431" s="15" t="inlineStr">
        <is>
          <t xml:space="preserve">2</t>
        </is>
      </c>
      <c r="B431" s="15" t="inlineStr">
        <is>
          <t xml:space="preserve">GRC102501/2</t>
        </is>
      </c>
      <c r="C431" s="15" t="inlineStr">
        <is>
          <t xml:space="preserve">P060182</t>
        </is>
      </c>
      <c r="D431" s="15" t="inlineStr">
        <is>
          <t xml:space="preserve">Grapes and Cream</t>
        </is>
      </c>
      <c r="E431" s="15" t="inlineStr">
        <is>
          <t xml:space="preserve">8 Loss on drying</t>
        </is>
      </c>
      <c r="F431" s="15" t="inlineStr">
        <is>
          <t xml:space="preserve">READ IN THIS PASS</t>
        </is>
      </c>
      <c r="G431" s="15" t="inlineStr">
        <is>
          <t xml:space="preserve">051-6-LoD/26</t>
        </is>
      </c>
      <c r="H431" s="15" t="inlineStr">
        <is>
          <t xml:space="preserve">02.03.2026</t>
        </is>
      </c>
      <c r="I431" s="15" t="inlineStr">
        <is>
          <t xml:space="preserve">FHM</t>
        </is>
      </c>
      <c r="J431" s="15" t="inlineStr">
        <is>
          <t xml:space="preserve">in eCoA_DATABASE</t>
        </is>
      </c>
      <c r="K431" s="15"/>
      <c r="L431" s="15" t="inlineStr">
        <is>
          <t xml:space="preserve">7,7 %</t>
        </is>
      </c>
      <c r="M431" s="15" t="inlineStr">
        <is>
          <t xml:space="preserve">031-1-LoD/26</t>
        </is>
      </c>
    </row>
    <row r="432">
      <c r="A432" s="15" t="inlineStr">
        <is>
          <t xml:space="preserve">2</t>
        </is>
      </c>
      <c r="B432" s="15" t="inlineStr">
        <is>
          <t xml:space="preserve">GRC102501/2</t>
        </is>
      </c>
      <c r="C432" s="15" t="inlineStr">
        <is>
          <t xml:space="preserve">P060182</t>
        </is>
      </c>
      <c r="D432" s="15" t="inlineStr">
        <is>
          <t xml:space="preserve">Grapes and Cream</t>
        </is>
      </c>
      <c r="E432" s="15" t="inlineStr">
        <is>
          <t xml:space="preserve">9 Microbiological purity</t>
        </is>
      </c>
      <c r="F432" s="15" t="inlineStr">
        <is>
          <t xml:space="preserve">READ IN THIS PASS</t>
        </is>
      </c>
      <c r="G432" s="15" t="inlineStr">
        <is>
          <t xml:space="preserve">136/0233/26</t>
        </is>
      </c>
      <c r="H432" s="15" t="inlineStr">
        <is>
          <t xml:space="preserve">06.03.2026</t>
        </is>
      </c>
      <c r="I432" s="15" t="inlineStr">
        <is>
          <t xml:space="preserve">IJZ-MB</t>
        </is>
      </c>
      <c r="J432" s="15" t="inlineStr">
        <is>
          <t xml:space="preserve">in eCoA_DATABASE</t>
        </is>
      </c>
      <c r="K432" s="15"/>
      <c r="L432" s="15" t="inlineStr">
        <is>
          <t xml:space="preserve">2,3 x 10² CFU/g CFU/g; 1,3 x 10² CFU/g CFU/g; &lt; 10 CFU/g CFU/g; Одговара; Одговара</t>
        </is>
      </c>
      <c r="M432" s="15" t="inlineStr">
        <is>
          <t xml:space="preserve">76/0119/26</t>
        </is>
      </c>
    </row>
    <row r="433">
      <c r="A433" s="15" t="inlineStr">
        <is>
          <t xml:space="preserve">2</t>
        </is>
      </c>
      <c r="B433" s="15" t="inlineStr">
        <is>
          <t xml:space="preserve">GRC102501/2</t>
        </is>
      </c>
      <c r="C433" s="15" t="inlineStr">
        <is>
          <t xml:space="preserve">P060182</t>
        </is>
      </c>
      <c r="D433" s="15" t="inlineStr">
        <is>
          <t xml:space="preserve">Grapes and Cream</t>
        </is>
      </c>
      <c r="E433" s="15" t="inlineStr">
        <is>
          <t xml:space="preserve">10 Mycotoxins</t>
        </is>
      </c>
      <c r="F433" s="15" t="inlineStr">
        <is>
          <t xml:space="preserve">NOTHING ON FILE</t>
        </is>
      </c>
      <c r="G433" s="15" t="inlineStr">
        <is>
          <t xml:space="preserve">—</t>
        </is>
      </c>
      <c r="H433" s="15" t="inlineStr">
        <is>
          <t xml:space="preserve">—</t>
        </is>
      </c>
      <c r="I433" s="15" t="inlineStr">
        <is>
          <t xml:space="preserve">—</t>
        </is>
      </c>
      <c r="J433" s="15" t="inlineStr">
        <is>
          <t xml:space="preserve">no document anywhere</t>
        </is>
      </c>
      <c r="K433" s="15"/>
      <c r="L433" s="15" t="inlineStr">
        <is>
          <t xml:space="preserve">—</t>
        </is>
      </c>
      <c r="M433" s="15"/>
    </row>
    <row r="434">
      <c r="A434" s="15" t="inlineStr">
        <is>
          <t xml:space="preserve">2</t>
        </is>
      </c>
      <c r="B434" s="15" t="inlineStr">
        <is>
          <t xml:space="preserve">GRC102501/2</t>
        </is>
      </c>
      <c r="C434" s="15" t="inlineStr">
        <is>
          <t xml:space="preserve">P060182</t>
        </is>
      </c>
      <c r="D434" s="15" t="inlineStr">
        <is>
          <t xml:space="preserve">Grapes and Cream</t>
        </is>
      </c>
      <c r="E434" s="15" t="inlineStr">
        <is>
          <t xml:space="preserve">11 Heavy metals</t>
        </is>
      </c>
      <c r="F434" s="15" t="inlineStr">
        <is>
          <t xml:space="preserve">READ IN THIS PASS</t>
        </is>
      </c>
      <c r="G434" s="15" t="inlineStr">
        <is>
          <t xml:space="preserve">1060/2026</t>
        </is>
      </c>
      <c r="H434" s="15" t="inlineStr">
        <is>
          <t xml:space="preserve">09.03.2026</t>
        </is>
      </c>
      <c r="I434" s="15" t="inlineStr">
        <is>
          <t xml:space="preserve">IJZ</t>
        </is>
      </c>
      <c r="J434" s="15" t="inlineStr">
        <is>
          <t xml:space="preserve">in eCoA_DATABASE</t>
        </is>
      </c>
      <c r="K434" s="15"/>
      <c r="L434" s="15" t="inlineStr">
        <is>
          <t xml:space="preserve">н.д. mg/kg(l); н.д. mg/kg(l); 0,0013 mg/kg(l); н.д. mg/kg(l)</t>
        </is>
      </c>
      <c r="M434" s="15" t="inlineStr">
        <is>
          <t xml:space="preserve">328/2026</t>
        </is>
      </c>
    </row>
    <row r="435">
      <c r="A435" s="15" t="inlineStr">
        <is>
          <t xml:space="preserve">2</t>
        </is>
      </c>
      <c r="B435" s="15" t="inlineStr">
        <is>
          <t xml:space="preserve">GRC102501/2</t>
        </is>
      </c>
      <c r="C435" s="15" t="inlineStr">
        <is>
          <t xml:space="preserve">P060182</t>
        </is>
      </c>
      <c r="D435" s="15" t="inlineStr">
        <is>
          <t xml:space="preserve">Grapes and Cream</t>
        </is>
      </c>
      <c r="E435" s="15" t="inlineStr">
        <is>
          <t xml:space="preserve">12 Pesticide residues</t>
        </is>
      </c>
      <c r="F435" s="15" t="inlineStr">
        <is>
          <t xml:space="preserve">READ IN THIS PASS</t>
        </is>
      </c>
      <c r="G435" s="15" t="inlineStr">
        <is>
          <t xml:space="preserve">1060/2026</t>
        </is>
      </c>
      <c r="H435" s="15" t="inlineStr">
        <is>
          <t xml:space="preserve">09.03.2026</t>
        </is>
      </c>
      <c r="I435" s="15" t="inlineStr">
        <is>
          <t xml:space="preserve">IJZ</t>
        </is>
      </c>
      <c r="J435" s="15" t="inlineStr">
        <is>
          <t xml:space="preserve">in eCoA_DATABASE</t>
        </is>
      </c>
      <c r="K435" s="15"/>
      <c r="L435" s="15" t="inlineStr">
        <is>
          <t xml:space="preserve">н.д. mg/kg; н.д. mg/kg; н.д. mg/kg; н.д. mg/kg; н.д. mg/kg; н.д. mg/kg; н.д. mg/kg; н.д. mg/kg; н.д. mg/kg; н.д. mg/kg; н.д. mg/kg; н.д. mg/kg; н.д. mg/kg; н.д. mg/Kg; н.д. mg/kg; н.д. mg/kg; н.д. mg/kg; н.д. mg/kg; н.д. mg/kg; н.д. mg/kg; н.д. mg/kg; н.д. mg/kg; н.д. mg/kg; н.д. mg/kg; н.д. mg/kg; </t>
        </is>
      </c>
      <c r="M435" s="15" t="inlineStr">
        <is>
          <t xml:space="preserve">328/2026</t>
        </is>
      </c>
    </row>
    <row r="436">
      <c r="A436" s="15" t="inlineStr">
        <is>
          <t xml:space="preserve">2</t>
        </is>
      </c>
      <c r="B436" s="15" t="inlineStr">
        <is>
          <t xml:space="preserve">HPA052501</t>
        </is>
      </c>
      <c r="C436" s="15" t="inlineStr">
        <is>
          <t xml:space="preserve">P050182</t>
        </is>
      </c>
      <c r="D436" s="15" t="inlineStr">
        <is>
          <t xml:space="preserve">High Pro Amnesia</t>
        </is>
      </c>
      <c r="E436" s="15" t="inlineStr">
        <is>
          <t xml:space="preserve">1 Identification A — appearance</t>
        </is>
      </c>
      <c r="F436" s="15" t="inlineStr">
        <is>
          <t xml:space="preserve">CITED</t>
        </is>
      </c>
      <c r="G436" s="15" t="inlineStr">
        <is>
          <t xml:space="preserve">iCoA-PP_26-024</t>
        </is>
      </c>
      <c r="H436" s="15" t="inlineStr">
        <is>
          <t xml:space="preserve">03.10.2025</t>
        </is>
      </c>
      <c r="I436" s="15" t="inlineStr">
        <is>
          <t xml:space="preserve">PP</t>
        </is>
      </c>
      <c r="J436" s="15" t="inlineStr">
        <is>
          <t xml:space="preserve">planned, NOT ISSUED (2026-05-15)</t>
        </is>
      </c>
      <c r="K436" s="15" t="inlineStr">
        <is>
          <t xml:space="preserve">YES — the certificate has not been issued</t>
        </is>
      </c>
      <c r="L436" s="15" t="inlineStr">
        <is>
          <t xml:space="preserve">Conforms</t>
        </is>
      </c>
      <c r="M436" s="15"/>
    </row>
    <row r="437">
      <c r="A437" s="15" t="inlineStr">
        <is>
          <t xml:space="preserve">2</t>
        </is>
      </c>
      <c r="B437" s="15" t="inlineStr">
        <is>
          <t xml:space="preserve">HPA052501</t>
        </is>
      </c>
      <c r="C437" s="15" t="inlineStr">
        <is>
          <t xml:space="preserve">P050182</t>
        </is>
      </c>
      <c r="D437" s="15" t="inlineStr">
        <is>
          <t xml:space="preserve">High Pro Amnesia</t>
        </is>
      </c>
      <c r="E437" s="15" t="inlineStr">
        <is>
          <t xml:space="preserve">2 Identification B — microscopy</t>
        </is>
      </c>
      <c r="F437" s="15" t="inlineStr">
        <is>
          <t xml:space="preserve">CITED</t>
        </is>
      </c>
      <c r="G437" s="15" t="inlineStr">
        <is>
          <t xml:space="preserve">iCoA-PP_26-024</t>
        </is>
      </c>
      <c r="H437" s="15" t="inlineStr">
        <is>
          <t xml:space="preserve">03.10.2025</t>
        </is>
      </c>
      <c r="I437" s="15" t="inlineStr">
        <is>
          <t xml:space="preserve">PP</t>
        </is>
      </c>
      <c r="J437" s="15" t="inlineStr">
        <is>
          <t xml:space="preserve">planned, NOT ISSUED (2026-05-15)</t>
        </is>
      </c>
      <c r="K437" s="15" t="inlineStr">
        <is>
          <t xml:space="preserve">YES — the certificate has not been issued</t>
        </is>
      </c>
      <c r="L437" s="15" t="inlineStr">
        <is>
          <t xml:space="preserve">Conforms</t>
        </is>
      </c>
      <c r="M437" s="15"/>
    </row>
    <row r="438">
      <c r="A438" s="15" t="inlineStr">
        <is>
          <t xml:space="preserve">2</t>
        </is>
      </c>
      <c r="B438" s="15" t="inlineStr">
        <is>
          <t xml:space="preserve">HPA052501</t>
        </is>
      </c>
      <c r="C438" s="15" t="inlineStr">
        <is>
          <t xml:space="preserve">P050182</t>
        </is>
      </c>
      <c r="D438" s="15" t="inlineStr">
        <is>
          <t xml:space="preserve">High Pro Amnesia</t>
        </is>
      </c>
      <c r="E438" s="15" t="inlineStr">
        <is>
          <t xml:space="preserve">3 Identification C — HPLC</t>
        </is>
      </c>
      <c r="F438" s="15" t="inlineStr">
        <is>
          <t xml:space="preserve">CITED</t>
        </is>
      </c>
      <c r="G438" s="15" t="inlineStr">
        <is>
          <t xml:space="preserve">ППК25278</t>
        </is>
      </c>
      <c r="H438" s="15" t="inlineStr">
        <is>
          <t xml:space="preserve">19.09.2025</t>
        </is>
      </c>
      <c r="I438" s="15" t="inlineStr">
        <is>
          <t xml:space="preserve">CNP</t>
        </is>
      </c>
      <c r="J438" s="15" t="inlineStr">
        <is>
          <t xml:space="preserve">in eCoA_DATABASE</t>
        </is>
      </c>
      <c r="K438" s="15"/>
      <c r="L438" s="15" t="inlineStr">
        <is>
          <t xml:space="preserve">Conforms (ImB spec.)</t>
        </is>
      </c>
      <c r="M438" s="15" t="inlineStr">
        <is>
          <t xml:space="preserve">220-15-K/26</t>
        </is>
      </c>
    </row>
    <row r="439">
      <c r="A439" s="15" t="inlineStr">
        <is>
          <t xml:space="preserve">2</t>
        </is>
      </c>
      <c r="B439" s="15" t="inlineStr">
        <is>
          <t xml:space="preserve">HPA052501</t>
        </is>
      </c>
      <c r="C439" s="15" t="inlineStr">
        <is>
          <t xml:space="preserve">P050182</t>
        </is>
      </c>
      <c r="D439" s="15" t="inlineStr">
        <is>
          <t xml:space="preserve">High Pro Amnesia</t>
        </is>
      </c>
      <c r="E439" s="15" t="inlineStr">
        <is>
          <t xml:space="preserve">4 Assay — Total Δ⁹-THC</t>
        </is>
      </c>
      <c r="F439" s="15" t="inlineStr">
        <is>
          <t xml:space="preserve">CITED</t>
        </is>
      </c>
      <c r="G439" s="15" t="inlineStr">
        <is>
          <t xml:space="preserve">ППК25278</t>
        </is>
      </c>
      <c r="H439" s="15" t="inlineStr">
        <is>
          <t xml:space="preserve">19.09.2025</t>
        </is>
      </c>
      <c r="I439" s="15" t="inlineStr">
        <is>
          <t xml:space="preserve">CNP</t>
        </is>
      </c>
      <c r="J439" s="15" t="inlineStr">
        <is>
          <t xml:space="preserve">in eCoA_DATABASE</t>
        </is>
      </c>
      <c r="K439" s="15"/>
      <c r="L439" s="15" t="inlineStr">
        <is>
          <t xml:space="preserve">20.39</t>
        </is>
      </c>
      <c r="M439" s="15" t="inlineStr">
        <is>
          <t xml:space="preserve">220-15-K/26</t>
        </is>
      </c>
    </row>
    <row r="440">
      <c r="A440" s="15" t="inlineStr">
        <is>
          <t xml:space="preserve">2</t>
        </is>
      </c>
      <c r="B440" s="15" t="inlineStr">
        <is>
          <t xml:space="preserve">HPA052501</t>
        </is>
      </c>
      <c r="C440" s="15" t="inlineStr">
        <is>
          <t xml:space="preserve">P050182</t>
        </is>
      </c>
      <c r="D440" s="15" t="inlineStr">
        <is>
          <t xml:space="preserve">High Pro Amnesia</t>
        </is>
      </c>
      <c r="E440" s="15" t="inlineStr">
        <is>
          <t xml:space="preserve">5 Assay — Total CBD</t>
        </is>
      </c>
      <c r="F440" s="15" t="inlineStr">
        <is>
          <t xml:space="preserve">CITED</t>
        </is>
      </c>
      <c r="G440" s="15" t="inlineStr">
        <is>
          <t xml:space="preserve">ППК25278</t>
        </is>
      </c>
      <c r="H440" s="15" t="inlineStr">
        <is>
          <t xml:space="preserve">19.09.2025</t>
        </is>
      </c>
      <c r="I440" s="15" t="inlineStr">
        <is>
          <t xml:space="preserve">CNP</t>
        </is>
      </c>
      <c r="J440" s="15" t="inlineStr">
        <is>
          <t xml:space="preserve">in eCoA_DATABASE</t>
        </is>
      </c>
      <c r="K440" s="15"/>
      <c r="L440" s="15" t="inlineStr">
        <is>
          <t xml:space="preserve">0.09</t>
        </is>
      </c>
      <c r="M440" s="15" t="inlineStr">
        <is>
          <t xml:space="preserve">220-15-K/26</t>
        </is>
      </c>
    </row>
    <row r="441">
      <c r="A441" s="15" t="inlineStr">
        <is>
          <t xml:space="preserve">2</t>
        </is>
      </c>
      <c r="B441" s="15" t="inlineStr">
        <is>
          <t xml:space="preserve">HPA052501</t>
        </is>
      </c>
      <c r="C441" s="15" t="inlineStr">
        <is>
          <t xml:space="preserve">P050182</t>
        </is>
      </c>
      <c r="D441" s="15" t="inlineStr">
        <is>
          <t xml:space="preserve">High Pro Amnesia</t>
        </is>
      </c>
      <c r="E441" s="15" t="inlineStr">
        <is>
          <t xml:space="preserve">6 Total CBN</t>
        </is>
      </c>
      <c r="F441" s="15" t="inlineStr">
        <is>
          <t xml:space="preserve">CITED</t>
        </is>
      </c>
      <c r="G441" s="15" t="inlineStr">
        <is>
          <t xml:space="preserve">ППК25278</t>
        </is>
      </c>
      <c r="H441" s="15" t="inlineStr">
        <is>
          <t xml:space="preserve">19.09.2025</t>
        </is>
      </c>
      <c r="I441" s="15" t="inlineStr">
        <is>
          <t xml:space="preserve">CNP</t>
        </is>
      </c>
      <c r="J441" s="15" t="inlineStr">
        <is>
          <t xml:space="preserve">in eCoA_DATABASE</t>
        </is>
      </c>
      <c r="K441" s="15"/>
      <c r="L441" s="15" t="inlineStr">
        <is>
          <t xml:space="preserve">0.02 ᴰ</t>
        </is>
      </c>
      <c r="M441" s="15" t="inlineStr">
        <is>
          <t xml:space="preserve">220-15-K/26</t>
        </is>
      </c>
    </row>
    <row r="442">
      <c r="A442" s="15" t="inlineStr">
        <is>
          <t xml:space="preserve">2</t>
        </is>
      </c>
      <c r="B442" s="15" t="inlineStr">
        <is>
          <t xml:space="preserve">HPA052501</t>
        </is>
      </c>
      <c r="C442" s="15" t="inlineStr">
        <is>
          <t xml:space="preserve">P050182</t>
        </is>
      </c>
      <c r="D442" s="15" t="inlineStr">
        <is>
          <t xml:space="preserve">High Pro Amnesia</t>
        </is>
      </c>
      <c r="E442" s="15" t="inlineStr">
        <is>
          <t xml:space="preserve">7 Foreign matter</t>
        </is>
      </c>
      <c r="F442" s="15" t="inlineStr">
        <is>
          <t xml:space="preserve">CITED</t>
        </is>
      </c>
      <c r="G442" s="15" t="inlineStr">
        <is>
          <t xml:space="preserve">iCoA-PP_26-024</t>
        </is>
      </c>
      <c r="H442" s="15" t="inlineStr">
        <is>
          <t xml:space="preserve">03.10.2025</t>
        </is>
      </c>
      <c r="I442" s="15" t="inlineStr">
        <is>
          <t xml:space="preserve">PP</t>
        </is>
      </c>
      <c r="J442" s="15" t="inlineStr">
        <is>
          <t xml:space="preserve">planned, NOT ISSUED (2026-05-15)</t>
        </is>
      </c>
      <c r="K442" s="15" t="inlineStr">
        <is>
          <t xml:space="preserve">YES — the certificate has not been issued</t>
        </is>
      </c>
      <c r="L442" s="15" t="inlineStr">
        <is>
          <t xml:space="preserve">Conforms</t>
        </is>
      </c>
      <c r="M442" s="15"/>
    </row>
    <row r="443">
      <c r="A443" s="15" t="inlineStr">
        <is>
          <t xml:space="preserve">2</t>
        </is>
      </c>
      <c r="B443" s="15" t="inlineStr">
        <is>
          <t xml:space="preserve">HPA052501</t>
        </is>
      </c>
      <c r="C443" s="15" t="inlineStr">
        <is>
          <t xml:space="preserve">P050182</t>
        </is>
      </c>
      <c r="D443" s="15" t="inlineStr">
        <is>
          <t xml:space="preserve">High Pro Amnesia</t>
        </is>
      </c>
      <c r="E443" s="15" t="inlineStr">
        <is>
          <t xml:space="preserve">8 Loss on drying</t>
        </is>
      </c>
      <c r="F443" s="15" t="inlineStr">
        <is>
          <t xml:space="preserve">CITED</t>
        </is>
      </c>
      <c r="G443" s="15" t="inlineStr">
        <is>
          <t xml:space="preserve">ППК25278</t>
        </is>
      </c>
      <c r="H443" s="15" t="inlineStr">
        <is>
          <t xml:space="preserve">19.09.2025</t>
        </is>
      </c>
      <c r="I443" s="15" t="inlineStr">
        <is>
          <t xml:space="preserve">CNP</t>
        </is>
      </c>
      <c r="J443" s="15" t="inlineStr">
        <is>
          <t xml:space="preserve">in eCoA_DATABASE</t>
        </is>
      </c>
      <c r="K443" s="15"/>
      <c r="L443" s="15" t="inlineStr">
        <is>
          <t xml:space="preserve">7.29</t>
        </is>
      </c>
      <c r="M443" s="15"/>
    </row>
    <row r="444">
      <c r="A444" s="15" t="inlineStr">
        <is>
          <t xml:space="preserve">2</t>
        </is>
      </c>
      <c r="B444" s="15" t="inlineStr">
        <is>
          <t xml:space="preserve">HPA052501</t>
        </is>
      </c>
      <c r="C444" s="15" t="inlineStr">
        <is>
          <t xml:space="preserve">P050182</t>
        </is>
      </c>
      <c r="D444" s="15" t="inlineStr">
        <is>
          <t xml:space="preserve">High Pro Amnesia</t>
        </is>
      </c>
      <c r="E444" s="15" t="inlineStr">
        <is>
          <t xml:space="preserve">9 Microbiological purity</t>
        </is>
      </c>
      <c r="F444" s="15" t="inlineStr">
        <is>
          <t xml:space="preserve">CITED</t>
        </is>
      </c>
      <c r="G444" s="15" t="inlineStr">
        <is>
          <t xml:space="preserve">948-1686-25</t>
        </is>
      </c>
      <c r="H444" s="15" t="inlineStr">
        <is>
          <t xml:space="preserve">17.09.2025</t>
        </is>
      </c>
      <c r="I444" s="15" t="inlineStr">
        <is>
          <t xml:space="preserve">IJZ-MB</t>
        </is>
      </c>
      <c r="J444" s="15" t="inlineStr">
        <is>
          <t xml:space="preserve">in eCoA_DATABASE</t>
        </is>
      </c>
      <c r="K444" s="15"/>
      <c r="L444" s="15" t="inlineStr">
        <is>
          <t xml:space="preserve">2,7 x 10⁴ CFU/g CFU/g; 2,6 x 10⁴ CFU/g CFU/g; &lt; 10 CFU/g CFU/g; Одговара /g; Одговара /25 g</t>
        </is>
      </c>
      <c r="M444" s="15"/>
    </row>
    <row r="445">
      <c r="A445" s="15" t="inlineStr">
        <is>
          <t xml:space="preserve">2</t>
        </is>
      </c>
      <c r="B445" s="15" t="inlineStr">
        <is>
          <t xml:space="preserve">HPA052501</t>
        </is>
      </c>
      <c r="C445" s="15" t="inlineStr">
        <is>
          <t xml:space="preserve">P050182</t>
        </is>
      </c>
      <c r="D445" s="15" t="inlineStr">
        <is>
          <t xml:space="preserve">High Pro Amnesia</t>
        </is>
      </c>
      <c r="E445" s="15" t="inlineStr">
        <is>
          <t xml:space="preserve">10 Mycotoxins</t>
        </is>
      </c>
      <c r="F445" s="15" t="inlineStr">
        <is>
          <t xml:space="preserve">CITED</t>
        </is>
      </c>
      <c r="G445" s="15" t="inlineStr">
        <is>
          <t xml:space="preserve">4352-2025</t>
        </is>
      </c>
      <c r="H445" s="15" t="inlineStr">
        <is>
          <t xml:space="preserve">15.09.2025</t>
        </is>
      </c>
      <c r="I445" s="15" t="inlineStr">
        <is>
          <t xml:space="preserve">IJZ</t>
        </is>
      </c>
      <c r="J445" s="15" t="inlineStr">
        <is>
          <t xml:space="preserve">in eCoA_DATABASE</t>
        </is>
      </c>
      <c r="K445" s="15"/>
      <c r="L445" s="15" t="inlineStr">
        <is>
          <t xml:space="preserve">n.r.; &lt;2; n.r.</t>
        </is>
      </c>
      <c r="M445" s="15"/>
    </row>
    <row r="446">
      <c r="A446" s="15" t="inlineStr">
        <is>
          <t xml:space="preserve">2</t>
        </is>
      </c>
      <c r="B446" s="15" t="inlineStr">
        <is>
          <t xml:space="preserve">HPA052501</t>
        </is>
      </c>
      <c r="C446" s="15" t="inlineStr">
        <is>
          <t xml:space="preserve">P050182</t>
        </is>
      </c>
      <c r="D446" s="15" t="inlineStr">
        <is>
          <t xml:space="preserve">High Pro Amnesia</t>
        </is>
      </c>
      <c r="E446" s="15" t="inlineStr">
        <is>
          <t xml:space="preserve">11 Heavy metals</t>
        </is>
      </c>
      <c r="F446" s="15" t="inlineStr">
        <is>
          <t xml:space="preserve">CITED</t>
        </is>
      </c>
      <c r="G446" s="15" t="inlineStr">
        <is>
          <t xml:space="preserve">4352-2025</t>
        </is>
      </c>
      <c r="H446" s="15" t="inlineStr">
        <is>
          <t xml:space="preserve">15.09.2025</t>
        </is>
      </c>
      <c r="I446" s="15" t="inlineStr">
        <is>
          <t xml:space="preserve">IJZ</t>
        </is>
      </c>
      <c r="J446" s="15" t="inlineStr">
        <is>
          <t xml:space="preserve">in eCoA_DATABASE</t>
        </is>
      </c>
      <c r="K446" s="15"/>
      <c r="L446" s="15" t="inlineStr">
        <is>
          <t xml:space="preserve">0.034; н.д.; н.д.; н.д.</t>
        </is>
      </c>
      <c r="M446" s="15"/>
    </row>
    <row r="447">
      <c r="A447" s="15" t="inlineStr">
        <is>
          <t xml:space="preserve">2</t>
        </is>
      </c>
      <c r="B447" s="15" t="inlineStr">
        <is>
          <t xml:space="preserve">HPA052501</t>
        </is>
      </c>
      <c r="C447" s="15" t="inlineStr">
        <is>
          <t xml:space="preserve">P050182</t>
        </is>
      </c>
      <c r="D447" s="15" t="inlineStr">
        <is>
          <t xml:space="preserve">High Pro Amnesia</t>
        </is>
      </c>
      <c r="E447" s="15" t="inlineStr">
        <is>
          <t xml:space="preserve">12 Pesticide residues</t>
        </is>
      </c>
      <c r="F447" s="15" t="inlineStr">
        <is>
          <t xml:space="preserve">CITED</t>
        </is>
      </c>
      <c r="G447" s="15" t="inlineStr">
        <is>
          <t xml:space="preserve">4352-2025</t>
        </is>
      </c>
      <c r="H447" s="15" t="inlineStr">
        <is>
          <t xml:space="preserve">15.09.2025</t>
        </is>
      </c>
      <c r="I447" s="15" t="inlineStr">
        <is>
          <t xml:space="preserve">IJZ</t>
        </is>
      </c>
      <c r="J447" s="15" t="inlineStr">
        <is>
          <t xml:space="preserve">in eCoA_DATABASE</t>
        </is>
      </c>
      <c r="K447" s="15"/>
      <c r="L447" s="15" t="inlineStr">
        <is>
          <t xml:space="preserve">≤ LOQ (all 24 compounds)</t>
        </is>
      </c>
      <c r="M447" s="15"/>
    </row>
    <row r="448">
      <c r="A448" s="15" t="inlineStr">
        <is>
          <t xml:space="preserve">2</t>
        </is>
      </c>
      <c r="B448" s="15" t="inlineStr">
        <is>
          <t xml:space="preserve">JD012603/01</t>
        </is>
      </c>
      <c r="C448" s="15" t="inlineStr">
        <is>
          <t xml:space="preserve">P060362</t>
        </is>
      </c>
      <c r="D448" s="15" t="inlineStr">
        <is>
          <t xml:space="preserve">Jelly Donuts</t>
        </is>
      </c>
      <c r="E448" s="15" t="inlineStr">
        <is>
          <t xml:space="preserve">1 Identification A — appearance</t>
        </is>
      </c>
      <c r="F448" s="15" t="inlineStr">
        <is>
          <t xml:space="preserve">NOTHING ON FILE</t>
        </is>
      </c>
      <c r="G448" s="15" t="inlineStr">
        <is>
          <t xml:space="preserve">—</t>
        </is>
      </c>
      <c r="H448" s="15" t="inlineStr">
        <is>
          <t xml:space="preserve">—</t>
        </is>
      </c>
      <c r="I448" s="15" t="inlineStr">
        <is>
          <t xml:space="preserve">—</t>
        </is>
      </c>
      <c r="J448" s="15" t="inlineStr">
        <is>
          <t xml:space="preserve">no document anywhere</t>
        </is>
      </c>
      <c r="K448" s="15"/>
      <c r="L448" s="15" t="inlineStr">
        <is>
          <t xml:space="preserve">—</t>
        </is>
      </c>
      <c r="M448" s="15"/>
    </row>
    <row r="449">
      <c r="A449" s="15" t="inlineStr">
        <is>
          <t xml:space="preserve">2</t>
        </is>
      </c>
      <c r="B449" s="15" t="inlineStr">
        <is>
          <t xml:space="preserve">JD012603/01</t>
        </is>
      </c>
      <c r="C449" s="15" t="inlineStr">
        <is>
          <t xml:space="preserve">P060362</t>
        </is>
      </c>
      <c r="D449" s="15" t="inlineStr">
        <is>
          <t xml:space="preserve">Jelly Donuts</t>
        </is>
      </c>
      <c r="E449" s="15" t="inlineStr">
        <is>
          <t xml:space="preserve">2 Identification B — microscopy</t>
        </is>
      </c>
      <c r="F449" s="15" t="inlineStr">
        <is>
          <t xml:space="preserve">NOTHING ON FILE</t>
        </is>
      </c>
      <c r="G449" s="15" t="inlineStr">
        <is>
          <t xml:space="preserve">—</t>
        </is>
      </c>
      <c r="H449" s="15" t="inlineStr">
        <is>
          <t xml:space="preserve">—</t>
        </is>
      </c>
      <c r="I449" s="15" t="inlineStr">
        <is>
          <t xml:space="preserve">—</t>
        </is>
      </c>
      <c r="J449" s="15" t="inlineStr">
        <is>
          <t xml:space="preserve">no document anywhere</t>
        </is>
      </c>
      <c r="K449" s="15"/>
      <c r="L449" s="15" t="inlineStr">
        <is>
          <t xml:space="preserve">—</t>
        </is>
      </c>
      <c r="M449" s="15"/>
    </row>
    <row r="450">
      <c r="A450" s="15" t="inlineStr">
        <is>
          <t xml:space="preserve">2</t>
        </is>
      </c>
      <c r="B450" s="15" t="inlineStr">
        <is>
          <t xml:space="preserve">JD012603/01</t>
        </is>
      </c>
      <c r="C450" s="15" t="inlineStr">
        <is>
          <t xml:space="preserve">P060362</t>
        </is>
      </c>
      <c r="D450" s="15" t="inlineStr">
        <is>
          <t xml:space="preserve">Jelly Donuts</t>
        </is>
      </c>
      <c r="E450" s="15" t="inlineStr">
        <is>
          <t xml:space="preserve">3 Identification C — HPLC</t>
        </is>
      </c>
      <c r="F450" s="15" t="inlineStr">
        <is>
          <t xml:space="preserve">READ IN THIS PASS</t>
        </is>
      </c>
      <c r="G450" s="15" t="inlineStr">
        <is>
          <t xml:space="preserve">220-16-K/26</t>
        </is>
      </c>
      <c r="H450" s="15" t="inlineStr">
        <is>
          <t xml:space="preserve">25.08.2026</t>
        </is>
      </c>
      <c r="I450" s="15" t="inlineStr">
        <is>
          <t xml:space="preserve">FHM</t>
        </is>
      </c>
      <c r="J450" s="15" t="inlineStr">
        <is>
          <t xml:space="preserve">in eCoA_DATABASE</t>
        </is>
      </c>
      <c r="K450" s="15"/>
      <c r="L450" s="15" t="inlineStr">
        <is>
          <t xml:space="preserve">identity by the HPLC cannabinoid profile on this certificate</t>
        </is>
      </c>
      <c r="M450" s="15"/>
    </row>
    <row r="451">
      <c r="A451" s="15" t="inlineStr">
        <is>
          <t xml:space="preserve">2</t>
        </is>
      </c>
      <c r="B451" s="15" t="inlineStr">
        <is>
          <t xml:space="preserve">JD012603/01</t>
        </is>
      </c>
      <c r="C451" s="15" t="inlineStr">
        <is>
          <t xml:space="preserve">P060362</t>
        </is>
      </c>
      <c r="D451" s="15" t="inlineStr">
        <is>
          <t xml:space="preserve">Jelly Donuts</t>
        </is>
      </c>
      <c r="E451" s="15" t="inlineStr">
        <is>
          <t xml:space="preserve">4 Assay — Total Δ⁹-THC</t>
        </is>
      </c>
      <c r="F451" s="15" t="inlineStr">
        <is>
          <t xml:space="preserve">READ IN THIS PASS</t>
        </is>
      </c>
      <c r="G451" s="15" t="inlineStr">
        <is>
          <t xml:space="preserve">220-16-K/26</t>
        </is>
      </c>
      <c r="H451" s="15" t="inlineStr">
        <is>
          <t xml:space="preserve">25.08.2026</t>
        </is>
      </c>
      <c r="I451" s="15" t="inlineStr">
        <is>
          <t xml:space="preserve">FHM</t>
        </is>
      </c>
      <c r="J451" s="15" t="inlineStr">
        <is>
          <t xml:space="preserve">in eCoA_DATABASE</t>
        </is>
      </c>
      <c r="K451" s="15"/>
      <c r="L451" s="15" t="inlineStr">
        <is>
          <t xml:space="preserve">21.01 % w/w</t>
        </is>
      </c>
      <c r="M451" s="15"/>
    </row>
    <row r="452">
      <c r="A452" s="15" t="inlineStr">
        <is>
          <t xml:space="preserve">2</t>
        </is>
      </c>
      <c r="B452" s="15" t="inlineStr">
        <is>
          <t xml:space="preserve">JD012603/01</t>
        </is>
      </c>
      <c r="C452" s="15" t="inlineStr">
        <is>
          <t xml:space="preserve">P060362</t>
        </is>
      </c>
      <c r="D452" s="15" t="inlineStr">
        <is>
          <t xml:space="preserve">Jelly Donuts</t>
        </is>
      </c>
      <c r="E452" s="15" t="inlineStr">
        <is>
          <t xml:space="preserve">5 Assay — Total CBD</t>
        </is>
      </c>
      <c r="F452" s="15" t="inlineStr">
        <is>
          <t xml:space="preserve">READ IN THIS PASS</t>
        </is>
      </c>
      <c r="G452" s="15" t="inlineStr">
        <is>
          <t xml:space="preserve">220-16-K/26</t>
        </is>
      </c>
      <c r="H452" s="15" t="inlineStr">
        <is>
          <t xml:space="preserve">25.08.2026</t>
        </is>
      </c>
      <c r="I452" s="15" t="inlineStr">
        <is>
          <t xml:space="preserve">FHM</t>
        </is>
      </c>
      <c r="J452" s="15" t="inlineStr">
        <is>
          <t xml:space="preserve">in eCoA_DATABASE</t>
        </is>
      </c>
      <c r="K452" s="15"/>
      <c r="L452" s="15" t="inlineStr">
        <is>
          <t xml:space="preserve">&lt; LOQ % w/w</t>
        </is>
      </c>
      <c r="M452" s="15"/>
    </row>
    <row r="453">
      <c r="A453" s="15" t="inlineStr">
        <is>
          <t xml:space="preserve">2</t>
        </is>
      </c>
      <c r="B453" s="15" t="inlineStr">
        <is>
          <t xml:space="preserve">JD012603/01</t>
        </is>
      </c>
      <c r="C453" s="15" t="inlineStr">
        <is>
          <t xml:space="preserve">P060362</t>
        </is>
      </c>
      <c r="D453" s="15" t="inlineStr">
        <is>
          <t xml:space="preserve">Jelly Donuts</t>
        </is>
      </c>
      <c r="E453" s="15" t="inlineStr">
        <is>
          <t xml:space="preserve">6 Total CBN</t>
        </is>
      </c>
      <c r="F453" s="15" t="inlineStr">
        <is>
          <t xml:space="preserve">READ IN THIS PASS</t>
        </is>
      </c>
      <c r="G453" s="15" t="inlineStr">
        <is>
          <t xml:space="preserve">220-16-K/26</t>
        </is>
      </c>
      <c r="H453" s="15" t="inlineStr">
        <is>
          <t xml:space="preserve">25.08.2026</t>
        </is>
      </c>
      <c r="I453" s="15" t="inlineStr">
        <is>
          <t xml:space="preserve">FHM</t>
        </is>
      </c>
      <c r="J453" s="15" t="inlineStr">
        <is>
          <t xml:space="preserve">in eCoA_DATABASE</t>
        </is>
      </c>
      <c r="K453" s="15"/>
      <c r="L453" s="15" t="inlineStr">
        <is>
          <t xml:space="preserve">&lt; LOQ % w/w</t>
        </is>
      </c>
      <c r="M453" s="15"/>
    </row>
    <row r="454">
      <c r="A454" s="15" t="inlineStr">
        <is>
          <t xml:space="preserve">2</t>
        </is>
      </c>
      <c r="B454" s="15" t="inlineStr">
        <is>
          <t xml:space="preserve">JD012603/01</t>
        </is>
      </c>
      <c r="C454" s="15" t="inlineStr">
        <is>
          <t xml:space="preserve">P060362</t>
        </is>
      </c>
      <c r="D454" s="15" t="inlineStr">
        <is>
          <t xml:space="preserve">Jelly Donuts</t>
        </is>
      </c>
      <c r="E454" s="15" t="inlineStr">
        <is>
          <t xml:space="preserve">7 Foreign matter</t>
        </is>
      </c>
      <c r="F454" s="15" t="inlineStr">
        <is>
          <t xml:space="preserve">NOTHING ON FILE</t>
        </is>
      </c>
      <c r="G454" s="15" t="inlineStr">
        <is>
          <t xml:space="preserve">—</t>
        </is>
      </c>
      <c r="H454" s="15" t="inlineStr">
        <is>
          <t xml:space="preserve">—</t>
        </is>
      </c>
      <c r="I454" s="15" t="inlineStr">
        <is>
          <t xml:space="preserve">—</t>
        </is>
      </c>
      <c r="J454" s="15" t="inlineStr">
        <is>
          <t xml:space="preserve">no document anywhere</t>
        </is>
      </c>
      <c r="K454" s="15"/>
      <c r="L454" s="15" t="inlineStr">
        <is>
          <t xml:space="preserve">—</t>
        </is>
      </c>
      <c r="M454" s="15"/>
    </row>
    <row r="455">
      <c r="A455" s="15" t="inlineStr">
        <is>
          <t xml:space="preserve">2</t>
        </is>
      </c>
      <c r="B455" s="15" t="inlineStr">
        <is>
          <t xml:space="preserve">JD012603/01</t>
        </is>
      </c>
      <c r="C455" s="15" t="inlineStr">
        <is>
          <t xml:space="preserve">P060362</t>
        </is>
      </c>
      <c r="D455" s="15" t="inlineStr">
        <is>
          <t xml:space="preserve">Jelly Donuts</t>
        </is>
      </c>
      <c r="E455" s="15" t="inlineStr">
        <is>
          <t xml:space="preserve">8 Loss on drying</t>
        </is>
      </c>
      <c r="F455" s="15" t="inlineStr">
        <is>
          <t xml:space="preserve">NOTHING ON FILE</t>
        </is>
      </c>
      <c r="G455" s="15" t="inlineStr">
        <is>
          <t xml:space="preserve">—</t>
        </is>
      </c>
      <c r="H455" s="15" t="inlineStr">
        <is>
          <t xml:space="preserve">—</t>
        </is>
      </c>
      <c r="I455" s="15" t="inlineStr">
        <is>
          <t xml:space="preserve">—</t>
        </is>
      </c>
      <c r="J455" s="15" t="inlineStr">
        <is>
          <t xml:space="preserve">no document anywhere</t>
        </is>
      </c>
      <c r="K455" s="15"/>
      <c r="L455" s="15" t="inlineStr">
        <is>
          <t xml:space="preserve">—</t>
        </is>
      </c>
      <c r="M455" s="15"/>
    </row>
    <row r="456">
      <c r="A456" s="15" t="inlineStr">
        <is>
          <t xml:space="preserve">2</t>
        </is>
      </c>
      <c r="B456" s="15" t="inlineStr">
        <is>
          <t xml:space="preserve">JD012603/01</t>
        </is>
      </c>
      <c r="C456" s="15" t="inlineStr">
        <is>
          <t xml:space="preserve">P060362</t>
        </is>
      </c>
      <c r="D456" s="15" t="inlineStr">
        <is>
          <t xml:space="preserve">Jelly Donuts</t>
        </is>
      </c>
      <c r="E456" s="15" t="inlineStr">
        <is>
          <t xml:space="preserve">9 Microbiological purity</t>
        </is>
      </c>
      <c r="F456" s="15" t="inlineStr">
        <is>
          <t xml:space="preserve">READ IN THIS PASS</t>
        </is>
      </c>
      <c r="G456" s="15" t="inlineStr">
        <is>
          <t xml:space="preserve">365/0695/26</t>
        </is>
      </c>
      <c r="H456" s="15" t="inlineStr">
        <is>
          <t xml:space="preserve">01.06.2026</t>
        </is>
      </c>
      <c r="I456" s="15" t="inlineStr">
        <is>
          <t xml:space="preserve">IJZ-MB</t>
        </is>
      </c>
      <c r="J456" s="15" t="inlineStr">
        <is>
          <t xml:space="preserve">in eCoA_DATABASE</t>
        </is>
      </c>
      <c r="K456" s="15"/>
      <c r="L456" s="15" t="inlineStr">
        <is>
          <t xml:space="preserve">2 x 10² CFU/g CFU/g; 1 x 10² CFU/g CFU/g; &lt; 10 CFU/g CFU/g; Отсутна /g; Отсутна /25 g</t>
        </is>
      </c>
      <c r="M456" s="15"/>
    </row>
    <row r="457">
      <c r="A457" s="15" t="inlineStr">
        <is>
          <t xml:space="preserve">2</t>
        </is>
      </c>
      <c r="B457" s="15" t="inlineStr">
        <is>
          <t xml:space="preserve">JD012603/01</t>
        </is>
      </c>
      <c r="C457" s="15" t="inlineStr">
        <is>
          <t xml:space="preserve">P060362</t>
        </is>
      </c>
      <c r="D457" s="15" t="inlineStr">
        <is>
          <t xml:space="preserve">Jelly Donuts</t>
        </is>
      </c>
      <c r="E457" s="15" t="inlineStr">
        <is>
          <t xml:space="preserve">10 Mycotoxins</t>
        </is>
      </c>
      <c r="F457" s="15" t="inlineStr">
        <is>
          <t xml:space="preserve">NOTHING ON FILE</t>
        </is>
      </c>
      <c r="G457" s="15" t="inlineStr">
        <is>
          <t xml:space="preserve">—</t>
        </is>
      </c>
      <c r="H457" s="15" t="inlineStr">
        <is>
          <t xml:space="preserve">—</t>
        </is>
      </c>
      <c r="I457" s="15" t="inlineStr">
        <is>
          <t xml:space="preserve">—</t>
        </is>
      </c>
      <c r="J457" s="15" t="inlineStr">
        <is>
          <t xml:space="preserve">no document anywhere</t>
        </is>
      </c>
      <c r="K457" s="15"/>
      <c r="L457" s="15" t="inlineStr">
        <is>
          <t xml:space="preserve">—</t>
        </is>
      </c>
      <c r="M457" s="15"/>
    </row>
    <row r="458">
      <c r="A458" s="15" t="inlineStr">
        <is>
          <t xml:space="preserve">2</t>
        </is>
      </c>
      <c r="B458" s="15" t="inlineStr">
        <is>
          <t xml:space="preserve">JD012603/01</t>
        </is>
      </c>
      <c r="C458" s="15" t="inlineStr">
        <is>
          <t xml:space="preserve">P060362</t>
        </is>
      </c>
      <c r="D458" s="15" t="inlineStr">
        <is>
          <t xml:space="preserve">Jelly Donuts</t>
        </is>
      </c>
      <c r="E458" s="15" t="inlineStr">
        <is>
          <t xml:space="preserve">11 Heavy metals</t>
        </is>
      </c>
      <c r="F458" s="15" t="inlineStr">
        <is>
          <t xml:space="preserve">NOTHING ON FILE</t>
        </is>
      </c>
      <c r="G458" s="15" t="inlineStr">
        <is>
          <t xml:space="preserve">—</t>
        </is>
      </c>
      <c r="H458" s="15" t="inlineStr">
        <is>
          <t xml:space="preserve">—</t>
        </is>
      </c>
      <c r="I458" s="15" t="inlineStr">
        <is>
          <t xml:space="preserve">—</t>
        </is>
      </c>
      <c r="J458" s="15" t="inlineStr">
        <is>
          <t xml:space="preserve">no document anywhere</t>
        </is>
      </c>
      <c r="K458" s="15"/>
      <c r="L458" s="15" t="inlineStr">
        <is>
          <t xml:space="preserve">—</t>
        </is>
      </c>
      <c r="M458" s="15"/>
    </row>
    <row r="459">
      <c r="A459" s="15" t="inlineStr">
        <is>
          <t xml:space="preserve">2</t>
        </is>
      </c>
      <c r="B459" s="15" t="inlineStr">
        <is>
          <t xml:space="preserve">JD012603/01</t>
        </is>
      </c>
      <c r="C459" s="15" t="inlineStr">
        <is>
          <t xml:space="preserve">P060362</t>
        </is>
      </c>
      <c r="D459" s="15" t="inlineStr">
        <is>
          <t xml:space="preserve">Jelly Donuts</t>
        </is>
      </c>
      <c r="E459" s="15" t="inlineStr">
        <is>
          <t xml:space="preserve">12 Pesticide residues</t>
        </is>
      </c>
      <c r="F459" s="15" t="inlineStr">
        <is>
          <t xml:space="preserve">NOTHING ON FILE</t>
        </is>
      </c>
      <c r="G459" s="15" t="inlineStr">
        <is>
          <t xml:space="preserve">—</t>
        </is>
      </c>
      <c r="H459" s="15" t="inlineStr">
        <is>
          <t xml:space="preserve">—</t>
        </is>
      </c>
      <c r="I459" s="15" t="inlineStr">
        <is>
          <t xml:space="preserve">—</t>
        </is>
      </c>
      <c r="J459" s="15" t="inlineStr">
        <is>
          <t xml:space="preserve">no document anywhere</t>
        </is>
      </c>
      <c r="K459" s="15"/>
      <c r="L459" s="15" t="inlineStr">
        <is>
          <t xml:space="preserve">—</t>
        </is>
      </c>
      <c r="M459" s="15"/>
    </row>
    <row r="460">
      <c r="A460" s="15" t="inlineStr">
        <is>
          <t xml:space="preserve">2</t>
        </is>
      </c>
      <c r="B460" s="15" t="inlineStr">
        <is>
          <t xml:space="preserve">JD012603/02</t>
        </is>
      </c>
      <c r="C460" s="15" t="inlineStr">
        <is>
          <t xml:space="preserve">P060412</t>
        </is>
      </c>
      <c r="D460" s="15" t="inlineStr">
        <is>
          <t xml:space="preserve">Jelly Donuts</t>
        </is>
      </c>
      <c r="E460" s="15" t="inlineStr">
        <is>
          <t xml:space="preserve">1 Identification A — appearance</t>
        </is>
      </c>
      <c r="F460" s="15" t="inlineStr">
        <is>
          <t xml:space="preserve">READ IN THIS PASS</t>
        </is>
      </c>
      <c r="G460" s="15" t="inlineStr">
        <is>
          <t xml:space="preserve">ППК26113</t>
        </is>
      </c>
      <c r="H460" s="15" t="inlineStr">
        <is>
          <t xml:space="preserve">30.06.2026</t>
        </is>
      </c>
      <c r="I460" s="15" t="inlineStr">
        <is>
          <t xml:space="preserve">CNP</t>
        </is>
      </c>
      <c r="J460" s="15" t="inlineStr">
        <is>
          <t xml:space="preserve">in eCoA_DATABASE</t>
        </is>
      </c>
      <c r="K460" s="15"/>
      <c r="L460" s="15" t="inlineStr">
        <is>
          <t xml:space="preserve">Одговара; Одговара</t>
        </is>
      </c>
      <c r="M460" s="15"/>
    </row>
    <row r="461">
      <c r="A461" s="15" t="inlineStr">
        <is>
          <t xml:space="preserve">2</t>
        </is>
      </c>
      <c r="B461" s="15" t="inlineStr">
        <is>
          <t xml:space="preserve">JD012603/02</t>
        </is>
      </c>
      <c r="C461" s="15" t="inlineStr">
        <is>
          <t xml:space="preserve">P060412</t>
        </is>
      </c>
      <c r="D461" s="15" t="inlineStr">
        <is>
          <t xml:space="preserve">Jelly Donuts</t>
        </is>
      </c>
      <c r="E461" s="15" t="inlineStr">
        <is>
          <t xml:space="preserve">2 Identification B — microscopy</t>
        </is>
      </c>
      <c r="F461" s="15" t="inlineStr">
        <is>
          <t xml:space="preserve">READ IN THIS PASS</t>
        </is>
      </c>
      <c r="G461" s="15" t="inlineStr">
        <is>
          <t xml:space="preserve">ППК26113</t>
        </is>
      </c>
      <c r="H461" s="15" t="inlineStr">
        <is>
          <t xml:space="preserve">30.06.2026</t>
        </is>
      </c>
      <c r="I461" s="15" t="inlineStr">
        <is>
          <t xml:space="preserve">CNP</t>
        </is>
      </c>
      <c r="J461" s="15" t="inlineStr">
        <is>
          <t xml:space="preserve">in eCoA_DATABASE</t>
        </is>
      </c>
      <c r="K461" s="15"/>
      <c r="L461" s="15" t="inlineStr">
        <is>
          <t xml:space="preserve">Одговара; Одговара</t>
        </is>
      </c>
      <c r="M461" s="15"/>
    </row>
    <row r="462">
      <c r="A462" s="15" t="inlineStr">
        <is>
          <t xml:space="preserve">2</t>
        </is>
      </c>
      <c r="B462" s="15" t="inlineStr">
        <is>
          <t xml:space="preserve">JD012603/02</t>
        </is>
      </c>
      <c r="C462" s="15" t="inlineStr">
        <is>
          <t xml:space="preserve">P060412</t>
        </is>
      </c>
      <c r="D462" s="15" t="inlineStr">
        <is>
          <t xml:space="preserve">Jelly Donuts</t>
        </is>
      </c>
      <c r="E462" s="15" t="inlineStr">
        <is>
          <t xml:space="preserve">3 Identification C — HPLC</t>
        </is>
      </c>
      <c r="F462" s="15" t="inlineStr">
        <is>
          <t xml:space="preserve">READ IN THIS PASS</t>
        </is>
      </c>
      <c r="G462" s="15" t="inlineStr">
        <is>
          <t xml:space="preserve">220-17-K/26</t>
        </is>
      </c>
      <c r="H462" s="15" t="inlineStr">
        <is>
          <t xml:space="preserve">26.08.2026</t>
        </is>
      </c>
      <c r="I462" s="15" t="inlineStr">
        <is>
          <t xml:space="preserve">FHM</t>
        </is>
      </c>
      <c r="J462" s="15" t="inlineStr">
        <is>
          <t xml:space="preserve">in eCoA_DATABASE</t>
        </is>
      </c>
      <c r="K462" s="15"/>
      <c r="L462" s="15" t="inlineStr">
        <is>
          <t xml:space="preserve">identity by the HPLC cannabinoid profile on this certificate</t>
        </is>
      </c>
      <c r="M462" s="15" t="inlineStr">
        <is>
          <t xml:space="preserve">ППК26113</t>
        </is>
      </c>
    </row>
    <row r="463">
      <c r="A463" s="15" t="inlineStr">
        <is>
          <t xml:space="preserve">2</t>
        </is>
      </c>
      <c r="B463" s="15" t="inlineStr">
        <is>
          <t xml:space="preserve">JD012603/02</t>
        </is>
      </c>
      <c r="C463" s="15" t="inlineStr">
        <is>
          <t xml:space="preserve">P060412</t>
        </is>
      </c>
      <c r="D463" s="15" t="inlineStr">
        <is>
          <t xml:space="preserve">Jelly Donuts</t>
        </is>
      </c>
      <c r="E463" s="15" t="inlineStr">
        <is>
          <t xml:space="preserve">4 Assay — Total Δ⁹-THC</t>
        </is>
      </c>
      <c r="F463" s="15" t="inlineStr">
        <is>
          <t xml:space="preserve">READ IN THIS PASS</t>
        </is>
      </c>
      <c r="G463" s="15" t="inlineStr">
        <is>
          <t xml:space="preserve">220-17-K/26</t>
        </is>
      </c>
      <c r="H463" s="15" t="inlineStr">
        <is>
          <t xml:space="preserve">26.08.2026</t>
        </is>
      </c>
      <c r="I463" s="15" t="inlineStr">
        <is>
          <t xml:space="preserve">FHM</t>
        </is>
      </c>
      <c r="J463" s="15" t="inlineStr">
        <is>
          <t xml:space="preserve">in eCoA_DATABASE</t>
        </is>
      </c>
      <c r="K463" s="15"/>
      <c r="L463" s="15" t="inlineStr">
        <is>
          <t xml:space="preserve">14.43 % w/w</t>
        </is>
      </c>
      <c r="M463" s="15" t="inlineStr">
        <is>
          <t xml:space="preserve">ППК26113</t>
        </is>
      </c>
    </row>
    <row r="464">
      <c r="A464" s="15" t="inlineStr">
        <is>
          <t xml:space="preserve">2</t>
        </is>
      </c>
      <c r="B464" s="15" t="inlineStr">
        <is>
          <t xml:space="preserve">JD012603/02</t>
        </is>
      </c>
      <c r="C464" s="15" t="inlineStr">
        <is>
          <t xml:space="preserve">P060412</t>
        </is>
      </c>
      <c r="D464" s="15" t="inlineStr">
        <is>
          <t xml:space="preserve">Jelly Donuts</t>
        </is>
      </c>
      <c r="E464" s="15" t="inlineStr">
        <is>
          <t xml:space="preserve">5 Assay — Total CBD</t>
        </is>
      </c>
      <c r="F464" s="15" t="inlineStr">
        <is>
          <t xml:space="preserve">READ IN THIS PASS</t>
        </is>
      </c>
      <c r="G464" s="15" t="inlineStr">
        <is>
          <t xml:space="preserve">220-17-K/26</t>
        </is>
      </c>
      <c r="H464" s="15" t="inlineStr">
        <is>
          <t xml:space="preserve">26.08.2026</t>
        </is>
      </c>
      <c r="I464" s="15" t="inlineStr">
        <is>
          <t xml:space="preserve">FHM</t>
        </is>
      </c>
      <c r="J464" s="15" t="inlineStr">
        <is>
          <t xml:space="preserve">in eCoA_DATABASE</t>
        </is>
      </c>
      <c r="K464" s="15"/>
      <c r="L464" s="15" t="inlineStr">
        <is>
          <t xml:space="preserve">&lt; LOQ % w/w</t>
        </is>
      </c>
      <c r="M464" s="15" t="inlineStr">
        <is>
          <t xml:space="preserve">ППК26113</t>
        </is>
      </c>
    </row>
    <row r="465">
      <c r="A465" s="15" t="inlineStr">
        <is>
          <t xml:space="preserve">2</t>
        </is>
      </c>
      <c r="B465" s="15" t="inlineStr">
        <is>
          <t xml:space="preserve">JD012603/02</t>
        </is>
      </c>
      <c r="C465" s="15" t="inlineStr">
        <is>
          <t xml:space="preserve">P060412</t>
        </is>
      </c>
      <c r="D465" s="15" t="inlineStr">
        <is>
          <t xml:space="preserve">Jelly Donuts</t>
        </is>
      </c>
      <c r="E465" s="15" t="inlineStr">
        <is>
          <t xml:space="preserve">6 Total CBN</t>
        </is>
      </c>
      <c r="F465" s="15" t="inlineStr">
        <is>
          <t xml:space="preserve">READ IN THIS PASS</t>
        </is>
      </c>
      <c r="G465" s="15" t="inlineStr">
        <is>
          <t xml:space="preserve">220-17-K/26</t>
        </is>
      </c>
      <c r="H465" s="15" t="inlineStr">
        <is>
          <t xml:space="preserve">26.08.2026</t>
        </is>
      </c>
      <c r="I465" s="15" t="inlineStr">
        <is>
          <t xml:space="preserve">FHM</t>
        </is>
      </c>
      <c r="J465" s="15" t="inlineStr">
        <is>
          <t xml:space="preserve">in eCoA_DATABASE</t>
        </is>
      </c>
      <c r="K465" s="15"/>
      <c r="L465" s="15" t="inlineStr">
        <is>
          <t xml:space="preserve">&lt; LOQ % w/w</t>
        </is>
      </c>
      <c r="M465" s="15" t="inlineStr">
        <is>
          <t xml:space="preserve">ППК26113</t>
        </is>
      </c>
    </row>
    <row r="466">
      <c r="A466" s="15" t="inlineStr">
        <is>
          <t xml:space="preserve">2</t>
        </is>
      </c>
      <c r="B466" s="15" t="inlineStr">
        <is>
          <t xml:space="preserve">JD012603/02</t>
        </is>
      </c>
      <c r="C466" s="15" t="inlineStr">
        <is>
          <t xml:space="preserve">P060412</t>
        </is>
      </c>
      <c r="D466" s="15" t="inlineStr">
        <is>
          <t xml:space="preserve">Jelly Donuts</t>
        </is>
      </c>
      <c r="E466" s="15" t="inlineStr">
        <is>
          <t xml:space="preserve">7 Foreign matter</t>
        </is>
      </c>
      <c r="F466" s="15" t="inlineStr">
        <is>
          <t xml:space="preserve">READ IN THIS PASS</t>
        </is>
      </c>
      <c r="G466" s="15" t="inlineStr">
        <is>
          <t xml:space="preserve">ППК26113</t>
        </is>
      </c>
      <c r="H466" s="15" t="inlineStr">
        <is>
          <t xml:space="preserve">30.06.2026</t>
        </is>
      </c>
      <c r="I466" s="15" t="inlineStr">
        <is>
          <t xml:space="preserve">CNP</t>
        </is>
      </c>
      <c r="J466" s="15" t="inlineStr">
        <is>
          <t xml:space="preserve">in eCoA_DATABASE</t>
        </is>
      </c>
      <c r="K466" s="15"/>
      <c r="L466" s="15" t="inlineStr">
        <is>
          <t xml:space="preserve">/ (Одговара) %; / (Одговара) %</t>
        </is>
      </c>
      <c r="M466" s="15"/>
    </row>
    <row r="467">
      <c r="A467" s="15" t="inlineStr">
        <is>
          <t xml:space="preserve">2</t>
        </is>
      </c>
      <c r="B467" s="15" t="inlineStr">
        <is>
          <t xml:space="preserve">JD012603/02</t>
        </is>
      </c>
      <c r="C467" s="15" t="inlineStr">
        <is>
          <t xml:space="preserve">P060412</t>
        </is>
      </c>
      <c r="D467" s="15" t="inlineStr">
        <is>
          <t xml:space="preserve">Jelly Donuts</t>
        </is>
      </c>
      <c r="E467" s="15" t="inlineStr">
        <is>
          <t xml:space="preserve">8 Loss on drying</t>
        </is>
      </c>
      <c r="F467" s="15" t="inlineStr">
        <is>
          <t xml:space="preserve">READ IN THIS PASS</t>
        </is>
      </c>
      <c r="G467" s="15" t="inlineStr">
        <is>
          <t xml:space="preserve">ППК26113</t>
        </is>
      </c>
      <c r="H467" s="15" t="inlineStr">
        <is>
          <t xml:space="preserve">30.06.2026</t>
        </is>
      </c>
      <c r="I467" s="15" t="inlineStr">
        <is>
          <t xml:space="preserve">CNP</t>
        </is>
      </c>
      <c r="J467" s="15" t="inlineStr">
        <is>
          <t xml:space="preserve">in eCoA_DATABASE</t>
        </is>
      </c>
      <c r="K467" s="15"/>
      <c r="L467" s="15" t="inlineStr">
        <is>
          <t xml:space="preserve">7.52% %; 7.52 % %</t>
        </is>
      </c>
      <c r="M467" s="15"/>
    </row>
    <row r="468">
      <c r="A468" s="15" t="inlineStr">
        <is>
          <t xml:space="preserve">2</t>
        </is>
      </c>
      <c r="B468" s="15" t="inlineStr">
        <is>
          <t xml:space="preserve">JD012603/02</t>
        </is>
      </c>
      <c r="C468" s="15" t="inlineStr">
        <is>
          <t xml:space="preserve">P060412</t>
        </is>
      </c>
      <c r="D468" s="15" t="inlineStr">
        <is>
          <t xml:space="preserve">Jelly Donuts</t>
        </is>
      </c>
      <c r="E468" s="15" t="inlineStr">
        <is>
          <t xml:space="preserve">9 Microbiological purity</t>
        </is>
      </c>
      <c r="F468" s="15" t="inlineStr">
        <is>
          <t xml:space="preserve">READ IN THIS PASS</t>
        </is>
      </c>
      <c r="G468" s="15" t="inlineStr">
        <is>
          <t xml:space="preserve">405/0788/26</t>
        </is>
      </c>
      <c r="H468" s="15" t="inlineStr">
        <is>
          <t xml:space="preserve">24.06.2026</t>
        </is>
      </c>
      <c r="I468" s="15" t="inlineStr">
        <is>
          <t xml:space="preserve">IJZ-MB</t>
        </is>
      </c>
      <c r="J468" s="15" t="inlineStr">
        <is>
          <t xml:space="preserve">in eCoA_DATABASE</t>
        </is>
      </c>
      <c r="K468" s="15"/>
      <c r="L468" s="15" t="inlineStr">
        <is>
          <t xml:space="preserve">6,3 x 10³ CFU/g CFU/g; 4,4 x 10³ CFU/g CFU/g; &lt; 10 CFU/g CFU/g; Отсутна /g; Отсутна /25 g</t>
        </is>
      </c>
      <c r="M468" s="15"/>
    </row>
    <row r="469">
      <c r="A469" s="15" t="inlineStr">
        <is>
          <t xml:space="preserve">2</t>
        </is>
      </c>
      <c r="B469" s="15" t="inlineStr">
        <is>
          <t xml:space="preserve">JD012603/02</t>
        </is>
      </c>
      <c r="C469" s="15" t="inlineStr">
        <is>
          <t xml:space="preserve">P060412</t>
        </is>
      </c>
      <c r="D469" s="15" t="inlineStr">
        <is>
          <t xml:space="preserve">Jelly Donuts</t>
        </is>
      </c>
      <c r="E469" s="15" t="inlineStr">
        <is>
          <t xml:space="preserve">10 Mycotoxins</t>
        </is>
      </c>
      <c r="F469" s="15" t="inlineStr">
        <is>
          <t xml:space="preserve">READ IN THIS PASS</t>
        </is>
      </c>
      <c r="G469" s="15" t="inlineStr">
        <is>
          <t xml:space="preserve">3660/2026</t>
        </is>
      </c>
      <c r="H469" s="15" t="inlineStr">
        <is>
          <t xml:space="preserve">22.06.2026</t>
        </is>
      </c>
      <c r="I469" s="15" t="inlineStr">
        <is>
          <t xml:space="preserve">IJZ</t>
        </is>
      </c>
      <c r="J469" s="15" t="inlineStr">
        <is>
          <t xml:space="preserve">in eCoA_DATABASE</t>
        </is>
      </c>
      <c r="K469" s="15"/>
      <c r="L469" s="15" t="inlineStr">
        <is>
          <t xml:space="preserve">&lt; 2 µg/kg</t>
        </is>
      </c>
      <c r="M469" s="15"/>
    </row>
    <row r="470">
      <c r="A470" s="15" t="inlineStr">
        <is>
          <t xml:space="preserve">2</t>
        </is>
      </c>
      <c r="B470" s="15" t="inlineStr">
        <is>
          <t xml:space="preserve">JD012603/02</t>
        </is>
      </c>
      <c r="C470" s="15" t="inlineStr">
        <is>
          <t xml:space="preserve">P060412</t>
        </is>
      </c>
      <c r="D470" s="15" t="inlineStr">
        <is>
          <t xml:space="preserve">Jelly Donuts</t>
        </is>
      </c>
      <c r="E470" s="15" t="inlineStr">
        <is>
          <t xml:space="preserve">11 Heavy metals</t>
        </is>
      </c>
      <c r="F470" s="15" t="inlineStr">
        <is>
          <t xml:space="preserve">READ IN THIS PASS</t>
        </is>
      </c>
      <c r="G470" s="15" t="inlineStr">
        <is>
          <t xml:space="preserve">3660/2026</t>
        </is>
      </c>
      <c r="H470" s="15" t="inlineStr">
        <is>
          <t xml:space="preserve">22.06.2026</t>
        </is>
      </c>
      <c r="I470" s="15" t="inlineStr">
        <is>
          <t xml:space="preserve">IJZ</t>
        </is>
      </c>
      <c r="J470" s="15" t="inlineStr">
        <is>
          <t xml:space="preserve">in eCoA_DATABASE</t>
        </is>
      </c>
      <c r="K470" s="15"/>
      <c r="L470" s="15" t="inlineStr">
        <is>
          <t xml:space="preserve">0,085 mg/kg; 0,044 mg/kg(l); 0,042 mg/kg(l); 0,042 mg/kg(l)</t>
        </is>
      </c>
      <c r="M470" s="15"/>
    </row>
    <row r="471">
      <c r="A471" s="15" t="inlineStr">
        <is>
          <t xml:space="preserve">2</t>
        </is>
      </c>
      <c r="B471" s="15" t="inlineStr">
        <is>
          <t xml:space="preserve">JD012603/02</t>
        </is>
      </c>
      <c r="C471" s="15" t="inlineStr">
        <is>
          <t xml:space="preserve">P060412</t>
        </is>
      </c>
      <c r="D471" s="15" t="inlineStr">
        <is>
          <t xml:space="preserve">Jelly Donuts</t>
        </is>
      </c>
      <c r="E471" s="15" t="inlineStr">
        <is>
          <t xml:space="preserve">12 Pesticide residues</t>
        </is>
      </c>
      <c r="F471" s="15" t="inlineStr">
        <is>
          <t xml:space="preserve">READ IN THIS PASS</t>
        </is>
      </c>
      <c r="G471" s="15" t="inlineStr">
        <is>
          <t xml:space="preserve">3660/2026</t>
        </is>
      </c>
      <c r="H471" s="15" t="inlineStr">
        <is>
          <t xml:space="preserve">22.06.2026</t>
        </is>
      </c>
      <c r="I471" s="15" t="inlineStr">
        <is>
          <t xml:space="preserve">IJZ</t>
        </is>
      </c>
      <c r="J471" s="15" t="inlineStr">
        <is>
          <t xml:space="preserve">in eCoA_DATABASE</t>
        </is>
      </c>
      <c r="K471" s="15"/>
      <c r="L471" s="15" t="inlineStr">
        <is>
          <t xml:space="preserve">&lt; 0,01 mg/kg; &lt; 0,01 mg/kg; &lt; 0,01 mg/kg; &lt; 0,01 mg/kg; &lt; 0,01 mg/kg; &lt; 0,01 mg/kg; &lt; 0,01 mg/kg; &lt; 0,01 mg/kg; &lt; 0,01 mg/kg; &lt; 0,01 mg/kg; &lt; 0,01 mg/kg; &lt; 0,01 mg/kg; &lt; 0,01 mg/kg; &lt; 0,01 mg/kg; &lt; 0,01 mg/kg; &lt; 0,01 mg/kg; &lt; 0,01 mg/kg; &lt; 0,01 mg/kg; &lt; 0,01 mg/kg; &lt; 0,01 mg/kg; &lt; 0,01 mg/kg; &lt; 0,01</t>
        </is>
      </c>
      <c r="M471" s="15"/>
    </row>
    <row r="472">
      <c r="A472" s="15" t="inlineStr">
        <is>
          <t xml:space="preserve">2</t>
        </is>
      </c>
      <c r="B472" s="15" t="inlineStr">
        <is>
          <t xml:space="preserve">JD012603/02V</t>
        </is>
      </c>
      <c r="C472" s="15" t="inlineStr">
        <is>
          <t xml:space="preserve">P060422</t>
        </is>
      </c>
      <c r="D472" s="15" t="inlineStr">
        <is>
          <t xml:space="preserve">Jelly Donuts</t>
        </is>
      </c>
      <c r="E472" s="15" t="inlineStr">
        <is>
          <t xml:space="preserve">1 Identification A — appearance</t>
        </is>
      </c>
      <c r="F472" s="15" t="inlineStr">
        <is>
          <t xml:space="preserve">READ IN THIS PASS</t>
        </is>
      </c>
      <c r="G472" s="15" t="inlineStr">
        <is>
          <t xml:space="preserve">ППК26111</t>
        </is>
      </c>
      <c r="H472" s="15" t="inlineStr">
        <is>
          <t xml:space="preserve">30.06.2026</t>
        </is>
      </c>
      <c r="I472" s="15" t="inlineStr">
        <is>
          <t xml:space="preserve">CNP</t>
        </is>
      </c>
      <c r="J472" s="15" t="inlineStr">
        <is>
          <t xml:space="preserve">in eCoA_DATABASE</t>
        </is>
      </c>
      <c r="K472" s="15"/>
      <c r="L472" s="15" t="inlineStr">
        <is>
          <t xml:space="preserve">Одговара; Одговара</t>
        </is>
      </c>
      <c r="M472" s="15"/>
    </row>
    <row r="473">
      <c r="A473" s="15" t="inlineStr">
        <is>
          <t xml:space="preserve">2</t>
        </is>
      </c>
      <c r="B473" s="15" t="inlineStr">
        <is>
          <t xml:space="preserve">JD012603/02V</t>
        </is>
      </c>
      <c r="C473" s="15" t="inlineStr">
        <is>
          <t xml:space="preserve">P060422</t>
        </is>
      </c>
      <c r="D473" s="15" t="inlineStr">
        <is>
          <t xml:space="preserve">Jelly Donuts</t>
        </is>
      </c>
      <c r="E473" s="15" t="inlineStr">
        <is>
          <t xml:space="preserve">2 Identification B — microscopy</t>
        </is>
      </c>
      <c r="F473" s="15" t="inlineStr">
        <is>
          <t xml:space="preserve">READ IN THIS PASS</t>
        </is>
      </c>
      <c r="G473" s="15" t="inlineStr">
        <is>
          <t xml:space="preserve">ППК26111</t>
        </is>
      </c>
      <c r="H473" s="15" t="inlineStr">
        <is>
          <t xml:space="preserve">30.06.2026</t>
        </is>
      </c>
      <c r="I473" s="15" t="inlineStr">
        <is>
          <t xml:space="preserve">CNP</t>
        </is>
      </c>
      <c r="J473" s="15" t="inlineStr">
        <is>
          <t xml:space="preserve">in eCoA_DATABASE</t>
        </is>
      </c>
      <c r="K473" s="15"/>
      <c r="L473" s="15" t="inlineStr">
        <is>
          <t xml:space="preserve">Одговара; Одговара</t>
        </is>
      </c>
      <c r="M473" s="15"/>
    </row>
    <row r="474">
      <c r="A474" s="15" t="inlineStr">
        <is>
          <t xml:space="preserve">2</t>
        </is>
      </c>
      <c r="B474" s="15" t="inlineStr">
        <is>
          <t xml:space="preserve">JD012603/02V</t>
        </is>
      </c>
      <c r="C474" s="15" t="inlineStr">
        <is>
          <t xml:space="preserve">P060422</t>
        </is>
      </c>
      <c r="D474" s="15" t="inlineStr">
        <is>
          <t xml:space="preserve">Jelly Donuts</t>
        </is>
      </c>
      <c r="E474" s="15" t="inlineStr">
        <is>
          <t xml:space="preserve">3 Identification C — HPLC</t>
        </is>
      </c>
      <c r="F474" s="15" t="inlineStr">
        <is>
          <t xml:space="preserve">READ IN THIS PASS</t>
        </is>
      </c>
      <c r="G474" s="15" t="inlineStr">
        <is>
          <t xml:space="preserve">220-18-K/26</t>
        </is>
      </c>
      <c r="H474" s="15" t="inlineStr">
        <is>
          <t xml:space="preserve">26.08.2026</t>
        </is>
      </c>
      <c r="I474" s="15" t="inlineStr">
        <is>
          <t xml:space="preserve">FHM</t>
        </is>
      </c>
      <c r="J474" s="15" t="inlineStr">
        <is>
          <t xml:space="preserve">in eCoA_DATABASE</t>
        </is>
      </c>
      <c r="K474" s="15"/>
      <c r="L474" s="15" t="inlineStr">
        <is>
          <t xml:space="preserve">identity by the HPLC cannabinoid profile on this certificate</t>
        </is>
      </c>
      <c r="M474" s="15" t="inlineStr">
        <is>
          <t xml:space="preserve">ППК26111</t>
        </is>
      </c>
    </row>
    <row r="475">
      <c r="A475" s="15" t="inlineStr">
        <is>
          <t xml:space="preserve">2</t>
        </is>
      </c>
      <c r="B475" s="15" t="inlineStr">
        <is>
          <t xml:space="preserve">JD012603/02V</t>
        </is>
      </c>
      <c r="C475" s="15" t="inlineStr">
        <is>
          <t xml:space="preserve">P060422</t>
        </is>
      </c>
      <c r="D475" s="15" t="inlineStr">
        <is>
          <t xml:space="preserve">Jelly Donuts</t>
        </is>
      </c>
      <c r="E475" s="15" t="inlineStr">
        <is>
          <t xml:space="preserve">4 Assay — Total Δ⁹-THC</t>
        </is>
      </c>
      <c r="F475" s="15" t="inlineStr">
        <is>
          <t xml:space="preserve">READ IN THIS PASS</t>
        </is>
      </c>
      <c r="G475" s="15" t="inlineStr">
        <is>
          <t xml:space="preserve">220-18-K/26</t>
        </is>
      </c>
      <c r="H475" s="15" t="inlineStr">
        <is>
          <t xml:space="preserve">26.08.2026</t>
        </is>
      </c>
      <c r="I475" s="15" t="inlineStr">
        <is>
          <t xml:space="preserve">FHM</t>
        </is>
      </c>
      <c r="J475" s="15" t="inlineStr">
        <is>
          <t xml:space="preserve">in eCoA_DATABASE</t>
        </is>
      </c>
      <c r="K475" s="15"/>
      <c r="L475" s="15" t="inlineStr">
        <is>
          <t xml:space="preserve">17.09 % w/w</t>
        </is>
      </c>
      <c r="M475" s="15" t="inlineStr">
        <is>
          <t xml:space="preserve">ППК26111</t>
        </is>
      </c>
    </row>
    <row r="476">
      <c r="A476" s="15" t="inlineStr">
        <is>
          <t xml:space="preserve">2</t>
        </is>
      </c>
      <c r="B476" s="15" t="inlineStr">
        <is>
          <t xml:space="preserve">JD012603/02V</t>
        </is>
      </c>
      <c r="C476" s="15" t="inlineStr">
        <is>
          <t xml:space="preserve">P060422</t>
        </is>
      </c>
      <c r="D476" s="15" t="inlineStr">
        <is>
          <t xml:space="preserve">Jelly Donuts</t>
        </is>
      </c>
      <c r="E476" s="15" t="inlineStr">
        <is>
          <t xml:space="preserve">5 Assay — Total CBD</t>
        </is>
      </c>
      <c r="F476" s="15" t="inlineStr">
        <is>
          <t xml:space="preserve">READ IN THIS PASS</t>
        </is>
      </c>
      <c r="G476" s="15" t="inlineStr">
        <is>
          <t xml:space="preserve">220-18-K/26</t>
        </is>
      </c>
      <c r="H476" s="15" t="inlineStr">
        <is>
          <t xml:space="preserve">26.08.2026</t>
        </is>
      </c>
      <c r="I476" s="15" t="inlineStr">
        <is>
          <t xml:space="preserve">FHM</t>
        </is>
      </c>
      <c r="J476" s="15" t="inlineStr">
        <is>
          <t xml:space="preserve">in eCoA_DATABASE</t>
        </is>
      </c>
      <c r="K476" s="15"/>
      <c r="L476" s="15" t="inlineStr">
        <is>
          <t xml:space="preserve">&lt; LOQ % w/w</t>
        </is>
      </c>
      <c r="M476" s="15" t="inlineStr">
        <is>
          <t xml:space="preserve">ППК26111</t>
        </is>
      </c>
    </row>
    <row r="477">
      <c r="A477" s="15" t="inlineStr">
        <is>
          <t xml:space="preserve">2</t>
        </is>
      </c>
      <c r="B477" s="15" t="inlineStr">
        <is>
          <t xml:space="preserve">JD012603/02V</t>
        </is>
      </c>
      <c r="C477" s="15" t="inlineStr">
        <is>
          <t xml:space="preserve">P060422</t>
        </is>
      </c>
      <c r="D477" s="15" t="inlineStr">
        <is>
          <t xml:space="preserve">Jelly Donuts</t>
        </is>
      </c>
      <c r="E477" s="15" t="inlineStr">
        <is>
          <t xml:space="preserve">6 Total CBN</t>
        </is>
      </c>
      <c r="F477" s="15" t="inlineStr">
        <is>
          <t xml:space="preserve">READ IN THIS PASS</t>
        </is>
      </c>
      <c r="G477" s="15" t="inlineStr">
        <is>
          <t xml:space="preserve">220-18-K/26</t>
        </is>
      </c>
      <c r="H477" s="15" t="inlineStr">
        <is>
          <t xml:space="preserve">26.08.2026</t>
        </is>
      </c>
      <c r="I477" s="15" t="inlineStr">
        <is>
          <t xml:space="preserve">FHM</t>
        </is>
      </c>
      <c r="J477" s="15" t="inlineStr">
        <is>
          <t xml:space="preserve">in eCoA_DATABASE</t>
        </is>
      </c>
      <c r="K477" s="15"/>
      <c r="L477" s="15" t="inlineStr">
        <is>
          <t xml:space="preserve">&lt; LOQ % w/w</t>
        </is>
      </c>
      <c r="M477" s="15" t="inlineStr">
        <is>
          <t xml:space="preserve">ППК26111</t>
        </is>
      </c>
    </row>
    <row r="478">
      <c r="A478" s="15" t="inlineStr">
        <is>
          <t xml:space="preserve">2</t>
        </is>
      </c>
      <c r="B478" s="15" t="inlineStr">
        <is>
          <t xml:space="preserve">JD012603/02V</t>
        </is>
      </c>
      <c r="C478" s="15" t="inlineStr">
        <is>
          <t xml:space="preserve">P060422</t>
        </is>
      </c>
      <c r="D478" s="15" t="inlineStr">
        <is>
          <t xml:space="preserve">Jelly Donuts</t>
        </is>
      </c>
      <c r="E478" s="15" t="inlineStr">
        <is>
          <t xml:space="preserve">7 Foreign matter</t>
        </is>
      </c>
      <c r="F478" s="15" t="inlineStr">
        <is>
          <t xml:space="preserve">READ IN THIS PASS</t>
        </is>
      </c>
      <c r="G478" s="15" t="inlineStr">
        <is>
          <t xml:space="preserve">ППК26111</t>
        </is>
      </c>
      <c r="H478" s="15" t="inlineStr">
        <is>
          <t xml:space="preserve">30.06.2026</t>
        </is>
      </c>
      <c r="I478" s="15" t="inlineStr">
        <is>
          <t xml:space="preserve">CNP</t>
        </is>
      </c>
      <c r="J478" s="15" t="inlineStr">
        <is>
          <t xml:space="preserve">in eCoA_DATABASE</t>
        </is>
      </c>
      <c r="K478" s="15"/>
      <c r="L478" s="15" t="inlineStr">
        <is>
          <t xml:space="preserve">/ (Одговара) %; / (Одговара) %</t>
        </is>
      </c>
      <c r="M478" s="15"/>
    </row>
    <row r="479">
      <c r="A479" s="15" t="inlineStr">
        <is>
          <t xml:space="preserve">2</t>
        </is>
      </c>
      <c r="B479" s="15" t="inlineStr">
        <is>
          <t xml:space="preserve">JD012603/02V</t>
        </is>
      </c>
      <c r="C479" s="15" t="inlineStr">
        <is>
          <t xml:space="preserve">P060422</t>
        </is>
      </c>
      <c r="D479" s="15" t="inlineStr">
        <is>
          <t xml:space="preserve">Jelly Donuts</t>
        </is>
      </c>
      <c r="E479" s="15" t="inlineStr">
        <is>
          <t xml:space="preserve">8 Loss on drying</t>
        </is>
      </c>
      <c r="F479" s="15" t="inlineStr">
        <is>
          <t xml:space="preserve">READ IN THIS PASS</t>
        </is>
      </c>
      <c r="G479" s="15" t="inlineStr">
        <is>
          <t xml:space="preserve">ППК26111</t>
        </is>
      </c>
      <c r="H479" s="15" t="inlineStr">
        <is>
          <t xml:space="preserve">30.06.2026</t>
        </is>
      </c>
      <c r="I479" s="15" t="inlineStr">
        <is>
          <t xml:space="preserve">CNP</t>
        </is>
      </c>
      <c r="J479" s="15" t="inlineStr">
        <is>
          <t xml:space="preserve">in eCoA_DATABASE</t>
        </is>
      </c>
      <c r="K479" s="15"/>
      <c r="L479" s="15" t="inlineStr">
        <is>
          <t xml:space="preserve">7.04 % %; 7.04 % %</t>
        </is>
      </c>
      <c r="M479" s="15"/>
    </row>
    <row r="480">
      <c r="A480" s="15" t="inlineStr">
        <is>
          <t xml:space="preserve">2</t>
        </is>
      </c>
      <c r="B480" s="15" t="inlineStr">
        <is>
          <t xml:space="preserve">JD012603/02V</t>
        </is>
      </c>
      <c r="C480" s="15" t="inlineStr">
        <is>
          <t xml:space="preserve">P060422</t>
        </is>
      </c>
      <c r="D480" s="15" t="inlineStr">
        <is>
          <t xml:space="preserve">Jelly Donuts</t>
        </is>
      </c>
      <c r="E480" s="15" t="inlineStr">
        <is>
          <t xml:space="preserve">9 Microbiological purity</t>
        </is>
      </c>
      <c r="F480" s="15" t="inlineStr">
        <is>
          <t xml:space="preserve">READ IN THIS PASS</t>
        </is>
      </c>
      <c r="G480" s="15" t="inlineStr">
        <is>
          <t xml:space="preserve">406/0789/26</t>
        </is>
      </c>
      <c r="H480" s="15" t="inlineStr">
        <is>
          <t xml:space="preserve">24.06.2026</t>
        </is>
      </c>
      <c r="I480" s="15" t="inlineStr">
        <is>
          <t xml:space="preserve">IJZ-MB</t>
        </is>
      </c>
      <c r="J480" s="15" t="inlineStr">
        <is>
          <t xml:space="preserve">in eCoA_DATABASE</t>
        </is>
      </c>
      <c r="K480" s="15"/>
      <c r="L480" s="15" t="inlineStr">
        <is>
          <t xml:space="preserve">5,1 x 10³ CFU/g CFU/g; 4,7 x 10³ CFU/g CFU/g; &lt; 10 CFU/g CFU/g; Отсутна /g; Отсутна /25 g</t>
        </is>
      </c>
      <c r="M480" s="15"/>
    </row>
    <row r="481">
      <c r="A481" s="15" t="inlineStr">
        <is>
          <t xml:space="preserve">2</t>
        </is>
      </c>
      <c r="B481" s="15" t="inlineStr">
        <is>
          <t xml:space="preserve">JD012603/02V</t>
        </is>
      </c>
      <c r="C481" s="15" t="inlineStr">
        <is>
          <t xml:space="preserve">P060422</t>
        </is>
      </c>
      <c r="D481" s="15" t="inlineStr">
        <is>
          <t xml:space="preserve">Jelly Donuts</t>
        </is>
      </c>
      <c r="E481" s="15" t="inlineStr">
        <is>
          <t xml:space="preserve">10 Mycotoxins</t>
        </is>
      </c>
      <c r="F481" s="15" t="inlineStr">
        <is>
          <t xml:space="preserve">READ IN THIS PASS</t>
        </is>
      </c>
      <c r="G481" s="15" t="inlineStr">
        <is>
          <t xml:space="preserve">3662/2026</t>
        </is>
      </c>
      <c r="H481" s="15" t="inlineStr">
        <is>
          <t xml:space="preserve">22.06.2026</t>
        </is>
      </c>
      <c r="I481" s="15" t="inlineStr">
        <is>
          <t xml:space="preserve">IJZ</t>
        </is>
      </c>
      <c r="J481" s="15" t="inlineStr">
        <is>
          <t xml:space="preserve">in eCoA_DATABASE</t>
        </is>
      </c>
      <c r="K481" s="15"/>
      <c r="L481" s="15" t="inlineStr">
        <is>
          <t xml:space="preserve">&lt; 2 µg/kg</t>
        </is>
      </c>
      <c r="M481" s="15"/>
    </row>
    <row r="482">
      <c r="A482" s="15" t="inlineStr">
        <is>
          <t xml:space="preserve">2</t>
        </is>
      </c>
      <c r="B482" s="15" t="inlineStr">
        <is>
          <t xml:space="preserve">JD012603/02V</t>
        </is>
      </c>
      <c r="C482" s="15" t="inlineStr">
        <is>
          <t xml:space="preserve">P060422</t>
        </is>
      </c>
      <c r="D482" s="15" t="inlineStr">
        <is>
          <t xml:space="preserve">Jelly Donuts</t>
        </is>
      </c>
      <c r="E482" s="15" t="inlineStr">
        <is>
          <t xml:space="preserve">11 Heavy metals</t>
        </is>
      </c>
      <c r="F482" s="15" t="inlineStr">
        <is>
          <t xml:space="preserve">READ IN THIS PASS</t>
        </is>
      </c>
      <c r="G482" s="15" t="inlineStr">
        <is>
          <t xml:space="preserve">3662/2026</t>
        </is>
      </c>
      <c r="H482" s="15" t="inlineStr">
        <is>
          <t xml:space="preserve">22.06.2026</t>
        </is>
      </c>
      <c r="I482" s="15" t="inlineStr">
        <is>
          <t xml:space="preserve">IJZ</t>
        </is>
      </c>
      <c r="J482" s="15" t="inlineStr">
        <is>
          <t xml:space="preserve">in eCoA_DATABASE</t>
        </is>
      </c>
      <c r="K482" s="15"/>
      <c r="L482" s="15" t="inlineStr">
        <is>
          <t xml:space="preserve">0,06 mg/kg; 0,03 mg/kg(l); 0,045 mg/kg(l); 0,013 mg/kg(l)</t>
        </is>
      </c>
      <c r="M482" s="15"/>
    </row>
    <row r="483">
      <c r="A483" s="15" t="inlineStr">
        <is>
          <t xml:space="preserve">2</t>
        </is>
      </c>
      <c r="B483" s="15" t="inlineStr">
        <is>
          <t xml:space="preserve">JD012603/02V</t>
        </is>
      </c>
      <c r="C483" s="15" t="inlineStr">
        <is>
          <t xml:space="preserve">P060422</t>
        </is>
      </c>
      <c r="D483" s="15" t="inlineStr">
        <is>
          <t xml:space="preserve">Jelly Donuts</t>
        </is>
      </c>
      <c r="E483" s="15" t="inlineStr">
        <is>
          <t xml:space="preserve">12 Pesticide residues</t>
        </is>
      </c>
      <c r="F483" s="15" t="inlineStr">
        <is>
          <t xml:space="preserve">READ IN THIS PASS</t>
        </is>
      </c>
      <c r="G483" s="15" t="inlineStr">
        <is>
          <t xml:space="preserve">3662/2026</t>
        </is>
      </c>
      <c r="H483" s="15" t="inlineStr">
        <is>
          <t xml:space="preserve">22.06.2026</t>
        </is>
      </c>
      <c r="I483" s="15" t="inlineStr">
        <is>
          <t xml:space="preserve">IJZ</t>
        </is>
      </c>
      <c r="J483" s="15" t="inlineStr">
        <is>
          <t xml:space="preserve">in eCoA_DATABASE</t>
        </is>
      </c>
      <c r="K483" s="15"/>
      <c r="L483" s="15" t="inlineStr">
        <is>
          <t xml:space="preserve">&lt; 0,01 mg/kg; &lt; 0,01 mg/kg; &lt; 0,01 mg/kg; &lt; 0,01 mg/kg; &lt; 0,01 mg/kg; &lt; 0,01 mg/kg; &lt; 0,01 mg/kg; &lt; 0,01 mg/kg; &lt; 0,01 mg/kg; &lt; 0,01 mg/kg; &lt; 0,01 mg/kg; &lt; 0,01 mg/kg; &lt; 0,01 mg/kg; &lt; 0,01 mg/kg; &lt; 0,01 mg/kg; &lt; 0,01 mg/kg; &lt; 0,01 mg/kg; &lt; 0,01 mg/kg; &lt; 0,01 mg/kg; &lt; 0,01 mg/kg; &lt; 0,01 mg/kg; &lt; 0,01</t>
        </is>
      </c>
      <c r="M483" s="15"/>
    </row>
    <row r="484">
      <c r="A484" s="15" t="inlineStr">
        <is>
          <t xml:space="preserve">2</t>
        </is>
      </c>
      <c r="B484" s="15" t="inlineStr">
        <is>
          <t xml:space="preserve">KC102501</t>
        </is>
      </c>
      <c r="C484" s="15" t="inlineStr">
        <is>
          <t xml:space="preserve">P060172</t>
        </is>
      </c>
      <c r="D484" s="15" t="inlineStr">
        <is>
          <t xml:space="preserve">Kush Crasher</t>
        </is>
      </c>
      <c r="E484" s="15" t="inlineStr">
        <is>
          <t xml:space="preserve">1 Identification A — appearance</t>
        </is>
      </c>
      <c r="F484" s="15" t="inlineStr">
        <is>
          <t xml:space="preserve">CITED</t>
        </is>
      </c>
      <c r="G484" s="15" t="inlineStr">
        <is>
          <t xml:space="preserve">iCoA-PP_26-050</t>
        </is>
      </c>
      <c r="H484" s="15" t="inlineStr">
        <is>
          <t xml:space="preserve">12.03.2026</t>
        </is>
      </c>
      <c r="I484" s="15" t="inlineStr">
        <is>
          <t xml:space="preserve">PP</t>
        </is>
      </c>
      <c r="J484" s="15" t="inlineStr">
        <is>
          <t xml:space="preserve">planned, NOT ISSUED (2026-05-15)</t>
        </is>
      </c>
      <c r="K484" s="15" t="inlineStr">
        <is>
          <t xml:space="preserve">YES — the certificate has not been issued</t>
        </is>
      </c>
      <c r="L484" s="15" t="inlineStr">
        <is>
          <t xml:space="preserve">Conforms</t>
        </is>
      </c>
      <c r="M484" s="15"/>
    </row>
    <row r="485">
      <c r="A485" s="15" t="inlineStr">
        <is>
          <t xml:space="preserve">2</t>
        </is>
      </c>
      <c r="B485" s="15" t="inlineStr">
        <is>
          <t xml:space="preserve">KC102501</t>
        </is>
      </c>
      <c r="C485" s="15" t="inlineStr">
        <is>
          <t xml:space="preserve">P060172</t>
        </is>
      </c>
      <c r="D485" s="15" t="inlineStr">
        <is>
          <t xml:space="preserve">Kush Crasher</t>
        </is>
      </c>
      <c r="E485" s="15" t="inlineStr">
        <is>
          <t xml:space="preserve">2 Identification B — microscopy</t>
        </is>
      </c>
      <c r="F485" s="15" t="inlineStr">
        <is>
          <t xml:space="preserve">CITED</t>
        </is>
      </c>
      <c r="G485" s="15" t="inlineStr">
        <is>
          <t xml:space="preserve">iCoA-PP_26-050</t>
        </is>
      </c>
      <c r="H485" s="15" t="inlineStr">
        <is>
          <t xml:space="preserve">12.03.2026</t>
        </is>
      </c>
      <c r="I485" s="15" t="inlineStr">
        <is>
          <t xml:space="preserve">PP</t>
        </is>
      </c>
      <c r="J485" s="15" t="inlineStr">
        <is>
          <t xml:space="preserve">planned, NOT ISSUED (2026-05-15)</t>
        </is>
      </c>
      <c r="K485" s="15" t="inlineStr">
        <is>
          <t xml:space="preserve">YES — the certificate has not been issued</t>
        </is>
      </c>
      <c r="L485" s="15" t="inlineStr">
        <is>
          <t xml:space="preserve">Conforms</t>
        </is>
      </c>
      <c r="M485" s="15"/>
    </row>
    <row r="486">
      <c r="A486" s="15" t="inlineStr">
        <is>
          <t xml:space="preserve">2</t>
        </is>
      </c>
      <c r="B486" s="15" t="inlineStr">
        <is>
          <t xml:space="preserve">KC102501</t>
        </is>
      </c>
      <c r="C486" s="15" t="inlineStr">
        <is>
          <t xml:space="preserve">P060172</t>
        </is>
      </c>
      <c r="D486" s="15" t="inlineStr">
        <is>
          <t xml:space="preserve">Kush Crasher</t>
        </is>
      </c>
      <c r="E486" s="15" t="inlineStr">
        <is>
          <t xml:space="preserve">3 Identification C — HPLC</t>
        </is>
      </c>
      <c r="F486" s="15" t="inlineStr">
        <is>
          <t xml:space="preserve">CITED</t>
        </is>
      </c>
      <c r="G486" s="15" t="inlineStr">
        <is>
          <t xml:space="preserve">051-4-K-26</t>
        </is>
      </c>
      <c r="H486" s="15" t="inlineStr">
        <is>
          <t xml:space="preserve">04.03.2026</t>
        </is>
      </c>
      <c r="I486" s="15" t="inlineStr">
        <is>
          <t xml:space="preserve">FHM-K</t>
        </is>
      </c>
      <c r="J486" s="15" t="inlineStr">
        <is>
          <t xml:space="preserve">in eCoA_DATABASE</t>
        </is>
      </c>
      <c r="K486" s="15"/>
      <c r="L486" s="15" t="inlineStr">
        <is>
          <t xml:space="preserve">identity by the HPLC cannabinoid profile on this certificate</t>
        </is>
      </c>
      <c r="M486" s="15" t="inlineStr">
        <is>
          <t xml:space="preserve">220-19-K/26</t>
        </is>
      </c>
    </row>
    <row r="487">
      <c r="A487" s="15" t="inlineStr">
        <is>
          <t xml:space="preserve">2</t>
        </is>
      </c>
      <c r="B487" s="15" t="inlineStr">
        <is>
          <t xml:space="preserve">KC102501</t>
        </is>
      </c>
      <c r="C487" s="15" t="inlineStr">
        <is>
          <t xml:space="preserve">P060172</t>
        </is>
      </c>
      <c r="D487" s="15" t="inlineStr">
        <is>
          <t xml:space="preserve">Kush Crasher</t>
        </is>
      </c>
      <c r="E487" s="15" t="inlineStr">
        <is>
          <t xml:space="preserve">4 Assay — Total Δ⁹-THC</t>
        </is>
      </c>
      <c r="F487" s="15" t="inlineStr">
        <is>
          <t xml:space="preserve">CITED</t>
        </is>
      </c>
      <c r="G487" s="15" t="inlineStr">
        <is>
          <t xml:space="preserve">051-4-K-26</t>
        </is>
      </c>
      <c r="H487" s="15" t="inlineStr">
        <is>
          <t xml:space="preserve">04.03.2026</t>
        </is>
      </c>
      <c r="I487" s="15" t="inlineStr">
        <is>
          <t xml:space="preserve">FHM-K</t>
        </is>
      </c>
      <c r="J487" s="15" t="inlineStr">
        <is>
          <t xml:space="preserve">in eCoA_DATABASE</t>
        </is>
      </c>
      <c r="K487" s="15"/>
      <c r="L487" s="15" t="inlineStr">
        <is>
          <t xml:space="preserve">17.04 %w/w; ±1.05 %; 17.04 %w/w; ±1.05 %</t>
        </is>
      </c>
      <c r="M487" s="15" t="inlineStr">
        <is>
          <t xml:space="preserve">220-19-K/26</t>
        </is>
      </c>
    </row>
    <row r="488">
      <c r="A488" s="15" t="inlineStr">
        <is>
          <t xml:space="preserve">2</t>
        </is>
      </c>
      <c r="B488" s="15" t="inlineStr">
        <is>
          <t xml:space="preserve">KC102501</t>
        </is>
      </c>
      <c r="C488" s="15" t="inlineStr">
        <is>
          <t xml:space="preserve">P060172</t>
        </is>
      </c>
      <c r="D488" s="15" t="inlineStr">
        <is>
          <t xml:space="preserve">Kush Crasher</t>
        </is>
      </c>
      <c r="E488" s="15" t="inlineStr">
        <is>
          <t xml:space="preserve">5 Assay — Total CBD</t>
        </is>
      </c>
      <c r="F488" s="15" t="inlineStr">
        <is>
          <t xml:space="preserve">CITED</t>
        </is>
      </c>
      <c r="G488" s="15" t="inlineStr">
        <is>
          <t xml:space="preserve">051-4-K-26</t>
        </is>
      </c>
      <c r="H488" s="15" t="inlineStr">
        <is>
          <t xml:space="preserve">04.03.2026</t>
        </is>
      </c>
      <c r="I488" s="15" t="inlineStr">
        <is>
          <t xml:space="preserve">FHM-K</t>
        </is>
      </c>
      <c r="J488" s="15" t="inlineStr">
        <is>
          <t xml:space="preserve">in eCoA_DATABASE</t>
        </is>
      </c>
      <c r="K488" s="15"/>
      <c r="L488" s="15" t="inlineStr">
        <is>
          <t xml:space="preserve">&lt;LOQ** %w/w; &lt;LOQ** %w/w</t>
        </is>
      </c>
      <c r="M488" s="15" t="inlineStr">
        <is>
          <t xml:space="preserve">220-19-K/26</t>
        </is>
      </c>
    </row>
    <row r="489">
      <c r="A489" s="15" t="inlineStr">
        <is>
          <t xml:space="preserve">2</t>
        </is>
      </c>
      <c r="B489" s="15" t="inlineStr">
        <is>
          <t xml:space="preserve">KC102501</t>
        </is>
      </c>
      <c r="C489" s="15" t="inlineStr">
        <is>
          <t xml:space="preserve">P060172</t>
        </is>
      </c>
      <c r="D489" s="15" t="inlineStr">
        <is>
          <t xml:space="preserve">Kush Crasher</t>
        </is>
      </c>
      <c r="E489" s="15" t="inlineStr">
        <is>
          <t xml:space="preserve">6 Total CBN</t>
        </is>
      </c>
      <c r="F489" s="15" t="inlineStr">
        <is>
          <t xml:space="preserve">CITED</t>
        </is>
      </c>
      <c r="G489" s="15" t="inlineStr">
        <is>
          <t xml:space="preserve">051-4-K-26</t>
        </is>
      </c>
      <c r="H489" s="15" t="inlineStr">
        <is>
          <t xml:space="preserve">04.03.2026</t>
        </is>
      </c>
      <c r="I489" s="15" t="inlineStr">
        <is>
          <t xml:space="preserve">FHM-K</t>
        </is>
      </c>
      <c r="J489" s="15" t="inlineStr">
        <is>
          <t xml:space="preserve">in eCoA_DATABASE</t>
        </is>
      </c>
      <c r="K489" s="15"/>
      <c r="L489" s="15" t="inlineStr">
        <is>
          <t xml:space="preserve">&lt;LOQ** %w/w; &lt;LOQ** %w/w</t>
        </is>
      </c>
      <c r="M489" s="15" t="inlineStr">
        <is>
          <t xml:space="preserve">220-19-K/26</t>
        </is>
      </c>
    </row>
    <row r="490">
      <c r="A490" s="15" t="inlineStr">
        <is>
          <t xml:space="preserve">2</t>
        </is>
      </c>
      <c r="B490" s="15" t="inlineStr">
        <is>
          <t xml:space="preserve">KC102501</t>
        </is>
      </c>
      <c r="C490" s="15" t="inlineStr">
        <is>
          <t xml:space="preserve">P060172</t>
        </is>
      </c>
      <c r="D490" s="15" t="inlineStr">
        <is>
          <t xml:space="preserve">Kush Crasher</t>
        </is>
      </c>
      <c r="E490" s="15" t="inlineStr">
        <is>
          <t xml:space="preserve">7 Foreign matter</t>
        </is>
      </c>
      <c r="F490" s="15" t="inlineStr">
        <is>
          <t xml:space="preserve">CITED</t>
        </is>
      </c>
      <c r="G490" s="15" t="inlineStr">
        <is>
          <t xml:space="preserve">iCoA-PP_26-050</t>
        </is>
      </c>
      <c r="H490" s="15" t="inlineStr">
        <is>
          <t xml:space="preserve">12.03.2026</t>
        </is>
      </c>
      <c r="I490" s="15" t="inlineStr">
        <is>
          <t xml:space="preserve">PP</t>
        </is>
      </c>
      <c r="J490" s="15" t="inlineStr">
        <is>
          <t xml:space="preserve">planned, NOT ISSUED (2026-05-15)</t>
        </is>
      </c>
      <c r="K490" s="15" t="inlineStr">
        <is>
          <t xml:space="preserve">YES — the certificate has not been issued</t>
        </is>
      </c>
      <c r="L490" s="15" t="inlineStr">
        <is>
          <t xml:space="preserve">Conforms</t>
        </is>
      </c>
      <c r="M490" s="15"/>
    </row>
    <row r="491">
      <c r="A491" s="15" t="inlineStr">
        <is>
          <t xml:space="preserve">2</t>
        </is>
      </c>
      <c r="B491" s="15" t="inlineStr">
        <is>
          <t xml:space="preserve">KC102501</t>
        </is>
      </c>
      <c r="C491" s="15" t="inlineStr">
        <is>
          <t xml:space="preserve">P060172</t>
        </is>
      </c>
      <c r="D491" s="15" t="inlineStr">
        <is>
          <t xml:space="preserve">Kush Crasher</t>
        </is>
      </c>
      <c r="E491" s="15" t="inlineStr">
        <is>
          <t xml:space="preserve">8 Loss on drying</t>
        </is>
      </c>
      <c r="F491" s="15" t="inlineStr">
        <is>
          <t xml:space="preserve">CITED</t>
        </is>
      </c>
      <c r="G491" s="15" t="inlineStr">
        <is>
          <t xml:space="preserve">051-4-LoD-26</t>
        </is>
      </c>
      <c r="H491" s="15" t="inlineStr">
        <is>
          <t xml:space="preserve">02.03.2026</t>
        </is>
      </c>
      <c r="I491" s="15" t="inlineStr">
        <is>
          <t xml:space="preserve">FHM-K</t>
        </is>
      </c>
      <c r="J491" s="15" t="inlineStr">
        <is>
          <t xml:space="preserve">in eCoA_DATABASE</t>
        </is>
      </c>
      <c r="K491" s="15"/>
      <c r="L491" s="15" t="inlineStr">
        <is>
          <t xml:space="preserve">8.6</t>
        </is>
      </c>
      <c r="M491" s="15"/>
    </row>
    <row r="492">
      <c r="A492" s="15" t="inlineStr">
        <is>
          <t xml:space="preserve">2</t>
        </is>
      </c>
      <c r="B492" s="15" t="inlineStr">
        <is>
          <t xml:space="preserve">KC102501</t>
        </is>
      </c>
      <c r="C492" s="15" t="inlineStr">
        <is>
          <t xml:space="preserve">P060172</t>
        </is>
      </c>
      <c r="D492" s="15" t="inlineStr">
        <is>
          <t xml:space="preserve">Kush Crasher</t>
        </is>
      </c>
      <c r="E492" s="15" t="inlineStr">
        <is>
          <t xml:space="preserve">9 Microbiological purity</t>
        </is>
      </c>
      <c r="F492" s="15" t="inlineStr">
        <is>
          <t xml:space="preserve">READ IN THIS PASS</t>
        </is>
      </c>
      <c r="G492" s="15" t="inlineStr">
        <is>
          <t xml:space="preserve">129/0226/26</t>
        </is>
      </c>
      <c r="H492" s="15" t="inlineStr">
        <is>
          <t xml:space="preserve">06.03.2026</t>
        </is>
      </c>
      <c r="I492" s="15" t="inlineStr">
        <is>
          <t xml:space="preserve">IJZ-MB</t>
        </is>
      </c>
      <c r="J492" s="15" t="inlineStr">
        <is>
          <t xml:space="preserve">in eCoA_DATABASE</t>
        </is>
      </c>
      <c r="K492" s="15"/>
      <c r="L492" s="15" t="inlineStr">
        <is>
          <t xml:space="preserve">3,8 x 10³ CFU/g CFU/g; 6,8 x 10³ CFU/g CFU/g; &lt; 10³ и &gt;10² CFU/g CFU/g; Одговара; Одговара</t>
        </is>
      </c>
      <c r="M492" s="15"/>
    </row>
    <row r="493">
      <c r="A493" s="15" t="inlineStr">
        <is>
          <t xml:space="preserve">2</t>
        </is>
      </c>
      <c r="B493" s="15" t="inlineStr">
        <is>
          <t xml:space="preserve">KC102501</t>
        </is>
      </c>
      <c r="C493" s="15" t="inlineStr">
        <is>
          <t xml:space="preserve">P060172</t>
        </is>
      </c>
      <c r="D493" s="15" t="inlineStr">
        <is>
          <t xml:space="preserve">Kush Crasher</t>
        </is>
      </c>
      <c r="E493" s="15" t="inlineStr">
        <is>
          <t xml:space="preserve">10 Mycotoxins</t>
        </is>
      </c>
      <c r="F493" s="15" t="inlineStr">
        <is>
          <t xml:space="preserve">READ IN THIS PASS</t>
        </is>
      </c>
      <c r="G493" s="15" t="inlineStr">
        <is>
          <t xml:space="preserve">1058/2026</t>
        </is>
      </c>
      <c r="H493" s="15" t="inlineStr">
        <is>
          <t xml:space="preserve">09.03.2026</t>
        </is>
      </c>
      <c r="I493" s="15" t="inlineStr">
        <is>
          <t xml:space="preserve">IJZ</t>
        </is>
      </c>
      <c r="J493" s="15" t="inlineStr">
        <is>
          <t xml:space="preserve">in eCoA_DATABASE</t>
        </is>
      </c>
      <c r="K493" s="15"/>
      <c r="L493" s="15" t="inlineStr">
        <is>
          <t xml:space="preserve">2,8 µg/kg; (празен ред; отпечатена е само методата) Метода: Флуорометриски метод</t>
        </is>
      </c>
      <c r="M493" s="15"/>
    </row>
    <row r="494">
      <c r="A494" s="15" t="inlineStr">
        <is>
          <t xml:space="preserve">2</t>
        </is>
      </c>
      <c r="B494" s="15" t="inlineStr">
        <is>
          <t xml:space="preserve">KC102501</t>
        </is>
      </c>
      <c r="C494" s="15" t="inlineStr">
        <is>
          <t xml:space="preserve">P060172</t>
        </is>
      </c>
      <c r="D494" s="15" t="inlineStr">
        <is>
          <t xml:space="preserve">Kush Crasher</t>
        </is>
      </c>
      <c r="E494" s="15" t="inlineStr">
        <is>
          <t xml:space="preserve">11 Heavy metals</t>
        </is>
      </c>
      <c r="F494" s="15" t="inlineStr">
        <is>
          <t xml:space="preserve">READ IN THIS PASS</t>
        </is>
      </c>
      <c r="G494" s="15" t="inlineStr">
        <is>
          <t xml:space="preserve">1058/2026</t>
        </is>
      </c>
      <c r="H494" s="15" t="inlineStr">
        <is>
          <t xml:space="preserve">09.03.2026</t>
        </is>
      </c>
      <c r="I494" s="15" t="inlineStr">
        <is>
          <t xml:space="preserve">IJZ</t>
        </is>
      </c>
      <c r="J494" s="15" t="inlineStr">
        <is>
          <t xml:space="preserve">in eCoA_DATABASE</t>
        </is>
      </c>
      <c r="K494" s="15"/>
      <c r="L494" s="15" t="inlineStr">
        <is>
          <t xml:space="preserve">н.д. mg/kg(l); н.д. mg/kg(l); н.д. mg/kg(l); н.д. mg/kg(l)</t>
        </is>
      </c>
      <c r="M494" s="15"/>
    </row>
    <row r="495">
      <c r="A495" s="15" t="inlineStr">
        <is>
          <t xml:space="preserve">2</t>
        </is>
      </c>
      <c r="B495" s="15" t="inlineStr">
        <is>
          <t xml:space="preserve">KC102501</t>
        </is>
      </c>
      <c r="C495" s="15" t="inlineStr">
        <is>
          <t xml:space="preserve">P060172</t>
        </is>
      </c>
      <c r="D495" s="15" t="inlineStr">
        <is>
          <t xml:space="preserve">Kush Crasher</t>
        </is>
      </c>
      <c r="E495" s="15" t="inlineStr">
        <is>
          <t xml:space="preserve">12 Pesticide residues</t>
        </is>
      </c>
      <c r="F495" s="15" t="inlineStr">
        <is>
          <t xml:space="preserve">READ IN THIS PASS</t>
        </is>
      </c>
      <c r="G495" s="15" t="inlineStr">
        <is>
          <t xml:space="preserve">1058/2026</t>
        </is>
      </c>
      <c r="H495" s="15" t="inlineStr">
        <is>
          <t xml:space="preserve">09.03.2026</t>
        </is>
      </c>
      <c r="I495" s="15" t="inlineStr">
        <is>
          <t xml:space="preserve">IJZ</t>
        </is>
      </c>
      <c r="J495" s="15" t="inlineStr">
        <is>
          <t xml:space="preserve">in eCoA_DATABASE</t>
        </is>
      </c>
      <c r="K495" s="15"/>
      <c r="L495" s="15" t="inlineStr">
        <is>
          <t xml:space="preserve">н.д. mg/kg; н.д. mg/kg; н.д. mg/kg; н.д. mg/kg; н.д. mg/kg; н.д. mg/kg; н.д. mg/kg; н.д. mg/kg; н.д. mg/kg; н.д. mg/kg; н.д. mg/kg; н.д. mg/kg; н.д. mg/kg; н.д. mg/kg; н.д. mg/kg; н.д. mg/kg; н.д. mg/kg; н.д. mg/kg; н.д. mg/kg; н.д. mg/kg; н.д. mg/kg; н.д. mg/kg; н.д. mg/kg; н.д. mg/kg; н.д. mg/kg; </t>
        </is>
      </c>
      <c r="M495" s="15"/>
    </row>
    <row r="496">
      <c r="A496" s="15" t="inlineStr">
        <is>
          <t xml:space="preserve">2</t>
        </is>
      </c>
      <c r="B496" s="15" t="inlineStr">
        <is>
          <t xml:space="preserve">MB0824_05</t>
        </is>
      </c>
      <c r="C496" s="15" t="inlineStr">
        <is>
          <t xml:space="preserve">P050112</t>
        </is>
      </c>
      <c r="D496" s="15" t="inlineStr">
        <is>
          <t xml:space="preserve">Motor Breath</t>
        </is>
      </c>
      <c r="E496" s="15" t="inlineStr">
        <is>
          <t xml:space="preserve">1 Identification A — appearance</t>
        </is>
      </c>
      <c r="F496" s="15" t="inlineStr">
        <is>
          <t xml:space="preserve">CITED</t>
        </is>
      </c>
      <c r="G496" s="15" t="inlineStr">
        <is>
          <t xml:space="preserve">iCoA-PP_26-017</t>
        </is>
      </c>
      <c r="H496" s="15" t="inlineStr">
        <is>
          <t xml:space="preserve">25.08.2025</t>
        </is>
      </c>
      <c r="I496" s="15" t="inlineStr">
        <is>
          <t xml:space="preserve">PP</t>
        </is>
      </c>
      <c r="J496" s="15" t="inlineStr">
        <is>
          <t xml:space="preserve">planned, NOT ISSUED (2026-05-15)</t>
        </is>
      </c>
      <c r="K496" s="15" t="inlineStr">
        <is>
          <t xml:space="preserve">YES — the certificate has not been issued</t>
        </is>
      </c>
      <c r="L496" s="15" t="inlineStr">
        <is>
          <t xml:space="preserve">Conforms</t>
        </is>
      </c>
      <c r="M496" s="15"/>
    </row>
    <row r="497">
      <c r="A497" s="15" t="inlineStr">
        <is>
          <t xml:space="preserve">2</t>
        </is>
      </c>
      <c r="B497" s="15" t="inlineStr">
        <is>
          <t xml:space="preserve">MB0824_05</t>
        </is>
      </c>
      <c r="C497" s="15" t="inlineStr">
        <is>
          <t xml:space="preserve">P050112</t>
        </is>
      </c>
      <c r="D497" s="15" t="inlineStr">
        <is>
          <t xml:space="preserve">Motor Breath</t>
        </is>
      </c>
      <c r="E497" s="15" t="inlineStr">
        <is>
          <t xml:space="preserve">2 Identification B — microscopy</t>
        </is>
      </c>
      <c r="F497" s="15" t="inlineStr">
        <is>
          <t xml:space="preserve">CITED</t>
        </is>
      </c>
      <c r="G497" s="15" t="inlineStr">
        <is>
          <t xml:space="preserve">iCoA-PP_26-017</t>
        </is>
      </c>
      <c r="H497" s="15" t="inlineStr">
        <is>
          <t xml:space="preserve">25.08.2025</t>
        </is>
      </c>
      <c r="I497" s="15" t="inlineStr">
        <is>
          <t xml:space="preserve">PP</t>
        </is>
      </c>
      <c r="J497" s="15" t="inlineStr">
        <is>
          <t xml:space="preserve">planned, NOT ISSUED (2026-05-15)</t>
        </is>
      </c>
      <c r="K497" s="15" t="inlineStr">
        <is>
          <t xml:space="preserve">YES — the certificate has not been issued</t>
        </is>
      </c>
      <c r="L497" s="15" t="inlineStr">
        <is>
          <t xml:space="preserve">Conforms</t>
        </is>
      </c>
      <c r="M497" s="15"/>
    </row>
    <row r="498">
      <c r="A498" s="15" t="inlineStr">
        <is>
          <t xml:space="preserve">2</t>
        </is>
      </c>
      <c r="B498" s="15" t="inlineStr">
        <is>
          <t xml:space="preserve">MB0824_05</t>
        </is>
      </c>
      <c r="C498" s="15" t="inlineStr">
        <is>
          <t xml:space="preserve">P050112</t>
        </is>
      </c>
      <c r="D498" s="15" t="inlineStr">
        <is>
          <t xml:space="preserve">Motor Breath</t>
        </is>
      </c>
      <c r="E498" s="15" t="inlineStr">
        <is>
          <t xml:space="preserve">3 Identification C — HPLC</t>
        </is>
      </c>
      <c r="F498" s="15" t="inlineStr">
        <is>
          <t xml:space="preserve">CITED</t>
        </is>
      </c>
      <c r="G498" s="15" t="inlineStr">
        <is>
          <t xml:space="preserve">ППК25211</t>
        </is>
      </c>
      <c r="H498" s="15" t="inlineStr">
        <is>
          <t xml:space="preserve">28.07.2025</t>
        </is>
      </c>
      <c r="I498" s="15" t="inlineStr">
        <is>
          <t xml:space="preserve">CNP</t>
        </is>
      </c>
      <c r="J498" s="15" t="inlineStr">
        <is>
          <t xml:space="preserve">in eCoA_DATABASE</t>
        </is>
      </c>
      <c r="K498" s="15"/>
      <c r="L498" s="15" t="inlineStr">
        <is>
          <t xml:space="preserve">Conforms (ImB spec.)</t>
        </is>
      </c>
      <c r="M498" s="15" t="inlineStr">
        <is>
          <t xml:space="preserve">220-20-K/26</t>
        </is>
      </c>
    </row>
    <row r="499">
      <c r="A499" s="15" t="inlineStr">
        <is>
          <t xml:space="preserve">2</t>
        </is>
      </c>
      <c r="B499" s="15" t="inlineStr">
        <is>
          <t xml:space="preserve">MB0824_05</t>
        </is>
      </c>
      <c r="C499" s="15" t="inlineStr">
        <is>
          <t xml:space="preserve">P050112</t>
        </is>
      </c>
      <c r="D499" s="15" t="inlineStr">
        <is>
          <t xml:space="preserve">Motor Breath</t>
        </is>
      </c>
      <c r="E499" s="15" t="inlineStr">
        <is>
          <t xml:space="preserve">4 Assay — Total Δ⁹-THC</t>
        </is>
      </c>
      <c r="F499" s="15" t="inlineStr">
        <is>
          <t xml:space="preserve">CITED</t>
        </is>
      </c>
      <c r="G499" s="15" t="inlineStr">
        <is>
          <t xml:space="preserve">ППК25211</t>
        </is>
      </c>
      <c r="H499" s="15" t="inlineStr">
        <is>
          <t xml:space="preserve">28.07.2025</t>
        </is>
      </c>
      <c r="I499" s="15" t="inlineStr">
        <is>
          <t xml:space="preserve">CNP</t>
        </is>
      </c>
      <c r="J499" s="15" t="inlineStr">
        <is>
          <t xml:space="preserve">in eCoA_DATABASE</t>
        </is>
      </c>
      <c r="K499" s="15"/>
      <c r="L499" s="15" t="inlineStr">
        <is>
          <t xml:space="preserve">16.82</t>
        </is>
      </c>
      <c r="M499" s="15" t="inlineStr">
        <is>
          <t xml:space="preserve">220-20-K/26</t>
        </is>
      </c>
    </row>
    <row r="500">
      <c r="A500" s="15" t="inlineStr">
        <is>
          <t xml:space="preserve">2</t>
        </is>
      </c>
      <c r="B500" s="15" t="inlineStr">
        <is>
          <t xml:space="preserve">MB0824_05</t>
        </is>
      </c>
      <c r="C500" s="15" t="inlineStr">
        <is>
          <t xml:space="preserve">P050112</t>
        </is>
      </c>
      <c r="D500" s="15" t="inlineStr">
        <is>
          <t xml:space="preserve">Motor Breath</t>
        </is>
      </c>
      <c r="E500" s="15" t="inlineStr">
        <is>
          <t xml:space="preserve">5 Assay — Total CBD</t>
        </is>
      </c>
      <c r="F500" s="15" t="inlineStr">
        <is>
          <t xml:space="preserve">CITED</t>
        </is>
      </c>
      <c r="G500" s="15" t="inlineStr">
        <is>
          <t xml:space="preserve">ППК25211</t>
        </is>
      </c>
      <c r="H500" s="15" t="inlineStr">
        <is>
          <t xml:space="preserve">28.07.2025</t>
        </is>
      </c>
      <c r="I500" s="15" t="inlineStr">
        <is>
          <t xml:space="preserve">CNP</t>
        </is>
      </c>
      <c r="J500" s="15" t="inlineStr">
        <is>
          <t xml:space="preserve">in eCoA_DATABASE</t>
        </is>
      </c>
      <c r="K500" s="15"/>
      <c r="L500" s="15" t="inlineStr">
        <is>
          <t xml:space="preserve">0.06</t>
        </is>
      </c>
      <c r="M500" s="15" t="inlineStr">
        <is>
          <t xml:space="preserve">220-20-K/26</t>
        </is>
      </c>
    </row>
    <row r="501">
      <c r="A501" s="15" t="inlineStr">
        <is>
          <t xml:space="preserve">2</t>
        </is>
      </c>
      <c r="B501" s="15" t="inlineStr">
        <is>
          <t xml:space="preserve">MB0824_05</t>
        </is>
      </c>
      <c r="C501" s="15" t="inlineStr">
        <is>
          <t xml:space="preserve">P050112</t>
        </is>
      </c>
      <c r="D501" s="15" t="inlineStr">
        <is>
          <t xml:space="preserve">Motor Breath</t>
        </is>
      </c>
      <c r="E501" s="15" t="inlineStr">
        <is>
          <t xml:space="preserve">6 Total CBN</t>
        </is>
      </c>
      <c r="F501" s="15" t="inlineStr">
        <is>
          <t xml:space="preserve">CITED</t>
        </is>
      </c>
      <c r="G501" s="15" t="inlineStr">
        <is>
          <t xml:space="preserve">ППК25211</t>
        </is>
      </c>
      <c r="H501" s="15" t="inlineStr">
        <is>
          <t xml:space="preserve">28.07.2025</t>
        </is>
      </c>
      <c r="I501" s="15" t="inlineStr">
        <is>
          <t xml:space="preserve">CNP</t>
        </is>
      </c>
      <c r="J501" s="15" t="inlineStr">
        <is>
          <t xml:space="preserve">in eCoA_DATABASE</t>
        </is>
      </c>
      <c r="K501" s="15"/>
      <c r="L501" s="15" t="inlineStr">
        <is>
          <t xml:space="preserve">0.02 ᴰ</t>
        </is>
      </c>
      <c r="M501" s="15" t="inlineStr">
        <is>
          <t xml:space="preserve">220-20-K/26</t>
        </is>
      </c>
    </row>
    <row r="502">
      <c r="A502" s="15" t="inlineStr">
        <is>
          <t xml:space="preserve">2</t>
        </is>
      </c>
      <c r="B502" s="15" t="inlineStr">
        <is>
          <t xml:space="preserve">MB0824_05</t>
        </is>
      </c>
      <c r="C502" s="15" t="inlineStr">
        <is>
          <t xml:space="preserve">P050112</t>
        </is>
      </c>
      <c r="D502" s="15" t="inlineStr">
        <is>
          <t xml:space="preserve">Motor Breath</t>
        </is>
      </c>
      <c r="E502" s="15" t="inlineStr">
        <is>
          <t xml:space="preserve">7 Foreign matter</t>
        </is>
      </c>
      <c r="F502" s="15" t="inlineStr">
        <is>
          <t xml:space="preserve">CITED</t>
        </is>
      </c>
      <c r="G502" s="15" t="inlineStr">
        <is>
          <t xml:space="preserve">iCoA-PP_26-017</t>
        </is>
      </c>
      <c r="H502" s="15" t="inlineStr">
        <is>
          <t xml:space="preserve">25.08.2025</t>
        </is>
      </c>
      <c r="I502" s="15" t="inlineStr">
        <is>
          <t xml:space="preserve">PP</t>
        </is>
      </c>
      <c r="J502" s="15" t="inlineStr">
        <is>
          <t xml:space="preserve">planned, NOT ISSUED (2026-05-15)</t>
        </is>
      </c>
      <c r="K502" s="15" t="inlineStr">
        <is>
          <t xml:space="preserve">YES — the certificate has not been issued</t>
        </is>
      </c>
      <c r="L502" s="15" t="inlineStr">
        <is>
          <t xml:space="preserve">Conforms</t>
        </is>
      </c>
      <c r="M502" s="15"/>
    </row>
    <row r="503">
      <c r="A503" s="15" t="inlineStr">
        <is>
          <t xml:space="preserve">2</t>
        </is>
      </c>
      <c r="B503" s="15" t="inlineStr">
        <is>
          <t xml:space="preserve">MB0824_05</t>
        </is>
      </c>
      <c r="C503" s="15" t="inlineStr">
        <is>
          <t xml:space="preserve">P050112</t>
        </is>
      </c>
      <c r="D503" s="15" t="inlineStr">
        <is>
          <t xml:space="preserve">Motor Breath</t>
        </is>
      </c>
      <c r="E503" s="15" t="inlineStr">
        <is>
          <t xml:space="preserve">8 Loss on drying</t>
        </is>
      </c>
      <c r="F503" s="15" t="inlineStr">
        <is>
          <t xml:space="preserve">CITED</t>
        </is>
      </c>
      <c r="G503" s="15" t="inlineStr">
        <is>
          <t xml:space="preserve">ППК25211</t>
        </is>
      </c>
      <c r="H503" s="15" t="inlineStr">
        <is>
          <t xml:space="preserve">28.07.2025</t>
        </is>
      </c>
      <c r="I503" s="15" t="inlineStr">
        <is>
          <t xml:space="preserve">CNP</t>
        </is>
      </c>
      <c r="J503" s="15" t="inlineStr">
        <is>
          <t xml:space="preserve">in eCoA_DATABASE</t>
        </is>
      </c>
      <c r="K503" s="15"/>
      <c r="L503" s="15" t="inlineStr">
        <is>
          <t xml:space="preserve">6.56</t>
        </is>
      </c>
      <c r="M503" s="15"/>
    </row>
    <row r="504">
      <c r="A504" s="15" t="inlineStr">
        <is>
          <t xml:space="preserve">2</t>
        </is>
      </c>
      <c r="B504" s="15" t="inlineStr">
        <is>
          <t xml:space="preserve">MB0824_05</t>
        </is>
      </c>
      <c r="C504" s="15" t="inlineStr">
        <is>
          <t xml:space="preserve">P050112</t>
        </is>
      </c>
      <c r="D504" s="15" t="inlineStr">
        <is>
          <t xml:space="preserve">Motor Breath</t>
        </is>
      </c>
      <c r="E504" s="15" t="inlineStr">
        <is>
          <t xml:space="preserve">9 Microbiological purity</t>
        </is>
      </c>
      <c r="F504" s="15" t="inlineStr">
        <is>
          <t xml:space="preserve">CITED</t>
        </is>
      </c>
      <c r="G504" s="15" t="inlineStr">
        <is>
          <t xml:space="preserve">767-1376-25</t>
        </is>
      </c>
      <c r="H504" s="15" t="inlineStr">
        <is>
          <t xml:space="preserve">29.07.2025</t>
        </is>
      </c>
      <c r="I504" s="15" t="inlineStr">
        <is>
          <t xml:space="preserve">IJZ-MB</t>
        </is>
      </c>
      <c r="J504" s="15" t="inlineStr">
        <is>
          <t xml:space="preserve">in eCoA_DATABASE</t>
        </is>
      </c>
      <c r="K504" s="15"/>
      <c r="L504" s="15" t="inlineStr">
        <is>
          <t xml:space="preserve">3,5 x 10³ CFU/g CFU/g; 1 x 10³ CFU/g CFU/g; &lt; 10 CFU/g CFU/g; Одговара /g; Одговара /25 g</t>
        </is>
      </c>
      <c r="M504" s="15"/>
    </row>
    <row r="505">
      <c r="A505" s="15" t="inlineStr">
        <is>
          <t xml:space="preserve">2</t>
        </is>
      </c>
      <c r="B505" s="15" t="inlineStr">
        <is>
          <t xml:space="preserve">MB0824_05</t>
        </is>
      </c>
      <c r="C505" s="15" t="inlineStr">
        <is>
          <t xml:space="preserve">P050112</t>
        </is>
      </c>
      <c r="D505" s="15" t="inlineStr">
        <is>
          <t xml:space="preserve">Motor Breath</t>
        </is>
      </c>
      <c r="E505" s="15" t="inlineStr">
        <is>
          <t xml:space="preserve">10 Mycotoxins</t>
        </is>
      </c>
      <c r="F505" s="15" t="inlineStr">
        <is>
          <t xml:space="preserve">CITED</t>
        </is>
      </c>
      <c r="G505" s="15" t="inlineStr">
        <is>
          <t xml:space="preserve">3638-2025</t>
        </is>
      </c>
      <c r="H505" s="15" t="inlineStr">
        <is>
          <t xml:space="preserve">28.07.2025</t>
        </is>
      </c>
      <c r="I505" s="15" t="inlineStr">
        <is>
          <t xml:space="preserve">IJZ</t>
        </is>
      </c>
      <c r="J505" s="15" t="inlineStr">
        <is>
          <t xml:space="preserve">in eCoA_DATABASE</t>
        </is>
      </c>
      <c r="K505" s="15"/>
      <c r="L505" s="15" t="inlineStr">
        <is>
          <t xml:space="preserve">n.r.; 2; n.r.</t>
        </is>
      </c>
      <c r="M505" s="15"/>
    </row>
    <row r="506">
      <c r="A506" s="15" t="inlineStr">
        <is>
          <t xml:space="preserve">2</t>
        </is>
      </c>
      <c r="B506" s="15" t="inlineStr">
        <is>
          <t xml:space="preserve">MB0824_05</t>
        </is>
      </c>
      <c r="C506" s="15" t="inlineStr">
        <is>
          <t xml:space="preserve">P050112</t>
        </is>
      </c>
      <c r="D506" s="15" t="inlineStr">
        <is>
          <t xml:space="preserve">Motor Breath</t>
        </is>
      </c>
      <c r="E506" s="15" t="inlineStr">
        <is>
          <t xml:space="preserve">11 Heavy metals</t>
        </is>
      </c>
      <c r="F506" s="15" t="inlineStr">
        <is>
          <t xml:space="preserve">CITED</t>
        </is>
      </c>
      <c r="G506" s="15" t="inlineStr">
        <is>
          <t xml:space="preserve">3638-2025</t>
        </is>
      </c>
      <c r="H506" s="15" t="inlineStr">
        <is>
          <t xml:space="preserve">28.07.2025</t>
        </is>
      </c>
      <c r="I506" s="15" t="inlineStr">
        <is>
          <t xml:space="preserve">IJZ</t>
        </is>
      </c>
      <c r="J506" s="15" t="inlineStr">
        <is>
          <t xml:space="preserve">in eCoA_DATABASE</t>
        </is>
      </c>
      <c r="K506" s="15"/>
      <c r="L506" s="15" t="inlineStr">
        <is>
          <t xml:space="preserve">Н.д.; Н.д.; 0.086; 0.006</t>
        </is>
      </c>
      <c r="M506" s="15"/>
    </row>
    <row r="507">
      <c r="A507" s="15" t="inlineStr">
        <is>
          <t xml:space="preserve">2</t>
        </is>
      </c>
      <c r="B507" s="15" t="inlineStr">
        <is>
          <t xml:space="preserve">MB0824_05</t>
        </is>
      </c>
      <c r="C507" s="15" t="inlineStr">
        <is>
          <t xml:space="preserve">P050112</t>
        </is>
      </c>
      <c r="D507" s="15" t="inlineStr">
        <is>
          <t xml:space="preserve">Motor Breath</t>
        </is>
      </c>
      <c r="E507" s="15" t="inlineStr">
        <is>
          <t xml:space="preserve">12 Pesticide residues</t>
        </is>
      </c>
      <c r="F507" s="15" t="inlineStr">
        <is>
          <t xml:space="preserve">CITED</t>
        </is>
      </c>
      <c r="G507" s="15" t="inlineStr">
        <is>
          <t xml:space="preserve">3638-2025</t>
        </is>
      </c>
      <c r="H507" s="15" t="inlineStr">
        <is>
          <t xml:space="preserve">28.07.2025</t>
        </is>
      </c>
      <c r="I507" s="15" t="inlineStr">
        <is>
          <t xml:space="preserve">IJZ</t>
        </is>
      </c>
      <c r="J507" s="15" t="inlineStr">
        <is>
          <t xml:space="preserve">in eCoA_DATABASE</t>
        </is>
      </c>
      <c r="K507" s="15"/>
      <c r="L507" s="15" t="inlineStr">
        <is>
          <t xml:space="preserve">N.D. ᴿ</t>
        </is>
      </c>
      <c r="M507" s="15"/>
    </row>
    <row r="508">
      <c r="A508" s="15" t="inlineStr">
        <is>
          <t xml:space="preserve">2</t>
        </is>
      </c>
      <c r="B508" s="15" t="inlineStr">
        <is>
          <t xml:space="preserve">OMP1024_01</t>
        </is>
      </c>
      <c r="C508" s="15" t="inlineStr">
        <is>
          <t xml:space="preserve">P050042</t>
        </is>
      </c>
      <c r="D508" s="15" t="inlineStr">
        <is>
          <t xml:space="preserve">Orange Punch Mimosa</t>
        </is>
      </c>
      <c r="E508" s="15" t="inlineStr">
        <is>
          <t xml:space="preserve">1 Identification A — appearance</t>
        </is>
      </c>
      <c r="F508" s="15" t="inlineStr">
        <is>
          <t xml:space="preserve">CITED</t>
        </is>
      </c>
      <c r="G508" s="15" t="inlineStr">
        <is>
          <t xml:space="preserve">iCoA-PP_26-010</t>
        </is>
      </c>
      <c r="H508" s="15" t="inlineStr">
        <is>
          <t xml:space="preserve">20.06.2025</t>
        </is>
      </c>
      <c r="I508" s="15" t="inlineStr">
        <is>
          <t xml:space="preserve">PP</t>
        </is>
      </c>
      <c r="J508" s="15" t="inlineStr">
        <is>
          <t xml:space="preserve">planned, NOT ISSUED (2026-05-15)</t>
        </is>
      </c>
      <c r="K508" s="15" t="inlineStr">
        <is>
          <t xml:space="preserve">YES — the certificate has not been issued</t>
        </is>
      </c>
      <c r="L508" s="15" t="inlineStr">
        <is>
          <t xml:space="preserve">Conforms</t>
        </is>
      </c>
      <c r="M508" s="15"/>
    </row>
    <row r="509">
      <c r="A509" s="15" t="inlineStr">
        <is>
          <t xml:space="preserve">2</t>
        </is>
      </c>
      <c r="B509" s="15" t="inlineStr">
        <is>
          <t xml:space="preserve">OMP1024_01</t>
        </is>
      </c>
      <c r="C509" s="15" t="inlineStr">
        <is>
          <t xml:space="preserve">P050042</t>
        </is>
      </c>
      <c r="D509" s="15" t="inlineStr">
        <is>
          <t xml:space="preserve">Orange Punch Mimosa</t>
        </is>
      </c>
      <c r="E509" s="15" t="inlineStr">
        <is>
          <t xml:space="preserve">2 Identification B — microscopy</t>
        </is>
      </c>
      <c r="F509" s="15" t="inlineStr">
        <is>
          <t xml:space="preserve">CITED</t>
        </is>
      </c>
      <c r="G509" s="15" t="inlineStr">
        <is>
          <t xml:space="preserve">iCoA-PP_26-010</t>
        </is>
      </c>
      <c r="H509" s="15" t="inlineStr">
        <is>
          <t xml:space="preserve">20.06.2025</t>
        </is>
      </c>
      <c r="I509" s="15" t="inlineStr">
        <is>
          <t xml:space="preserve">PP</t>
        </is>
      </c>
      <c r="J509" s="15" t="inlineStr">
        <is>
          <t xml:space="preserve">planned, NOT ISSUED (2026-05-15)</t>
        </is>
      </c>
      <c r="K509" s="15" t="inlineStr">
        <is>
          <t xml:space="preserve">YES — the certificate has not been issued</t>
        </is>
      </c>
      <c r="L509" s="15" t="inlineStr">
        <is>
          <t xml:space="preserve">Conforms</t>
        </is>
      </c>
      <c r="M509" s="15"/>
    </row>
    <row r="510">
      <c r="A510" s="15" t="inlineStr">
        <is>
          <t xml:space="preserve">2</t>
        </is>
      </c>
      <c r="B510" s="15" t="inlineStr">
        <is>
          <t xml:space="preserve">OMP1024_01</t>
        </is>
      </c>
      <c r="C510" s="15" t="inlineStr">
        <is>
          <t xml:space="preserve">P050042</t>
        </is>
      </c>
      <c r="D510" s="15" t="inlineStr">
        <is>
          <t xml:space="preserve">Orange Punch Mimosa</t>
        </is>
      </c>
      <c r="E510" s="15" t="inlineStr">
        <is>
          <t xml:space="preserve">3 Identification C — HPLC</t>
        </is>
      </c>
      <c r="F510" s="15" t="inlineStr">
        <is>
          <t xml:space="preserve">CITED</t>
        </is>
      </c>
      <c r="G510" s="15" t="inlineStr">
        <is>
          <t xml:space="preserve">ППК25117</t>
        </is>
      </c>
      <c r="H510" s="15" t="inlineStr">
        <is>
          <t xml:space="preserve">06.05.2025</t>
        </is>
      </c>
      <c r="I510" s="15" t="inlineStr">
        <is>
          <t xml:space="preserve">CNP</t>
        </is>
      </c>
      <c r="J510" s="15" t="inlineStr">
        <is>
          <t xml:space="preserve">in eCoA_DATABASE</t>
        </is>
      </c>
      <c r="K510" s="15"/>
      <c r="L510" s="15" t="inlineStr">
        <is>
          <t xml:space="preserve">identity by the HPLC cannabinoid profile on this certificate</t>
        </is>
      </c>
      <c r="M510" s="15" t="inlineStr">
        <is>
          <t xml:space="preserve">220-21-K/26</t>
        </is>
      </c>
    </row>
    <row r="511">
      <c r="A511" s="15" t="inlineStr">
        <is>
          <t xml:space="preserve">2</t>
        </is>
      </c>
      <c r="B511" s="15" t="inlineStr">
        <is>
          <t xml:space="preserve">OMP1024_01</t>
        </is>
      </c>
      <c r="C511" s="15" t="inlineStr">
        <is>
          <t xml:space="preserve">P050042</t>
        </is>
      </c>
      <c r="D511" s="15" t="inlineStr">
        <is>
          <t xml:space="preserve">Orange Punch Mimosa</t>
        </is>
      </c>
      <c r="E511" s="15" t="inlineStr">
        <is>
          <t xml:space="preserve">4 Assay — Total Δ⁹-THC</t>
        </is>
      </c>
      <c r="F511" s="15" t="inlineStr">
        <is>
          <t xml:space="preserve">CITED</t>
        </is>
      </c>
      <c r="G511" s="15" t="inlineStr">
        <is>
          <t xml:space="preserve">ППК25117</t>
        </is>
      </c>
      <c r="H511" s="15" t="inlineStr">
        <is>
          <t xml:space="preserve">06.05.2025</t>
        </is>
      </c>
      <c r="I511" s="15" t="inlineStr">
        <is>
          <t xml:space="preserve">CNP</t>
        </is>
      </c>
      <c r="J511" s="15" t="inlineStr">
        <is>
          <t xml:space="preserve">in eCoA_DATABASE</t>
        </is>
      </c>
      <c r="K511" s="15"/>
      <c r="L511" s="15" t="inlineStr">
        <is>
          <t xml:space="preserve">0.46 %; 17.01 %; 15.38 %</t>
        </is>
      </c>
      <c r="M511" s="15" t="inlineStr">
        <is>
          <t xml:space="preserve">220-21-K/26</t>
        </is>
      </c>
    </row>
    <row r="512">
      <c r="A512" s="15" t="inlineStr">
        <is>
          <t xml:space="preserve">2</t>
        </is>
      </c>
      <c r="B512" s="15" t="inlineStr">
        <is>
          <t xml:space="preserve">OMP1024_01</t>
        </is>
      </c>
      <c r="C512" s="15" t="inlineStr">
        <is>
          <t xml:space="preserve">P050042</t>
        </is>
      </c>
      <c r="D512" s="15" t="inlineStr">
        <is>
          <t xml:space="preserve">Orange Punch Mimosa</t>
        </is>
      </c>
      <c r="E512" s="15" t="inlineStr">
        <is>
          <t xml:space="preserve">5 Assay — Total CBD</t>
        </is>
      </c>
      <c r="F512" s="15" t="inlineStr">
        <is>
          <t xml:space="preserve">CITED</t>
        </is>
      </c>
      <c r="G512" s="15" t="inlineStr">
        <is>
          <t xml:space="preserve">ППК25117</t>
        </is>
      </c>
      <c r="H512" s="15" t="inlineStr">
        <is>
          <t xml:space="preserve">06.05.2025</t>
        </is>
      </c>
      <c r="I512" s="15" t="inlineStr">
        <is>
          <t xml:space="preserve">CNP</t>
        </is>
      </c>
      <c r="J512" s="15" t="inlineStr">
        <is>
          <t xml:space="preserve">in eCoA_DATABASE</t>
        </is>
      </c>
      <c r="K512" s="15"/>
      <c r="L512" s="15" t="inlineStr">
        <is>
          <t xml:space="preserve">0.05 %; ND %; 0.04 %</t>
        </is>
      </c>
      <c r="M512" s="15" t="inlineStr">
        <is>
          <t xml:space="preserve">220-21-K/26</t>
        </is>
      </c>
    </row>
    <row r="513">
      <c r="A513" s="15" t="inlineStr">
        <is>
          <t xml:space="preserve">2</t>
        </is>
      </c>
      <c r="B513" s="15" t="inlineStr">
        <is>
          <t xml:space="preserve">OMP1024_01</t>
        </is>
      </c>
      <c r="C513" s="15" t="inlineStr">
        <is>
          <t xml:space="preserve">P050042</t>
        </is>
      </c>
      <c r="D513" s="15" t="inlineStr">
        <is>
          <t xml:space="preserve">Orange Punch Mimosa</t>
        </is>
      </c>
      <c r="E513" s="15" t="inlineStr">
        <is>
          <t xml:space="preserve">6 Total CBN</t>
        </is>
      </c>
      <c r="F513" s="15" t="inlineStr">
        <is>
          <t xml:space="preserve">CITED</t>
        </is>
      </c>
      <c r="G513" s="15" t="inlineStr">
        <is>
          <t xml:space="preserve">ППК25117</t>
        </is>
      </c>
      <c r="H513" s="15" t="inlineStr">
        <is>
          <t xml:space="preserve">06.05.2025</t>
        </is>
      </c>
      <c r="I513" s="15" t="inlineStr">
        <is>
          <t xml:space="preserve">CNP</t>
        </is>
      </c>
      <c r="J513" s="15" t="inlineStr">
        <is>
          <t xml:space="preserve">in eCoA_DATABASE</t>
        </is>
      </c>
      <c r="K513" s="15"/>
      <c r="L513" s="15" t="inlineStr">
        <is>
          <t xml:space="preserve">0.01 %</t>
        </is>
      </c>
      <c r="M513" s="15" t="inlineStr">
        <is>
          <t xml:space="preserve">220-21-K/26</t>
        </is>
      </c>
    </row>
    <row r="514">
      <c r="A514" s="15" t="inlineStr">
        <is>
          <t xml:space="preserve">2</t>
        </is>
      </c>
      <c r="B514" s="15" t="inlineStr">
        <is>
          <t xml:space="preserve">OMP1024_01</t>
        </is>
      </c>
      <c r="C514" s="15" t="inlineStr">
        <is>
          <t xml:space="preserve">P050042</t>
        </is>
      </c>
      <c r="D514" s="15" t="inlineStr">
        <is>
          <t xml:space="preserve">Orange Punch Mimosa</t>
        </is>
      </c>
      <c r="E514" s="15" t="inlineStr">
        <is>
          <t xml:space="preserve">7 Foreign matter</t>
        </is>
      </c>
      <c r="F514" s="15" t="inlineStr">
        <is>
          <t xml:space="preserve">CITED</t>
        </is>
      </c>
      <c r="G514" s="15" t="inlineStr">
        <is>
          <t xml:space="preserve">iCoA-PP_26-010</t>
        </is>
      </c>
      <c r="H514" s="15" t="inlineStr">
        <is>
          <t xml:space="preserve">20.06.2025</t>
        </is>
      </c>
      <c r="I514" s="15" t="inlineStr">
        <is>
          <t xml:space="preserve">PP</t>
        </is>
      </c>
      <c r="J514" s="15" t="inlineStr">
        <is>
          <t xml:space="preserve">planned, NOT ISSUED (2026-05-15)</t>
        </is>
      </c>
      <c r="K514" s="15" t="inlineStr">
        <is>
          <t xml:space="preserve">YES — the certificate has not been issued</t>
        </is>
      </c>
      <c r="L514" s="15" t="inlineStr">
        <is>
          <t xml:space="preserve">Conforms</t>
        </is>
      </c>
      <c r="M514" s="15"/>
    </row>
    <row r="515">
      <c r="A515" s="15" t="inlineStr">
        <is>
          <t xml:space="preserve">2</t>
        </is>
      </c>
      <c r="B515" s="15" t="inlineStr">
        <is>
          <t xml:space="preserve">OMP1024_01</t>
        </is>
      </c>
      <c r="C515" s="15" t="inlineStr">
        <is>
          <t xml:space="preserve">P050042</t>
        </is>
      </c>
      <c r="D515" s="15" t="inlineStr">
        <is>
          <t xml:space="preserve">Orange Punch Mimosa</t>
        </is>
      </c>
      <c r="E515" s="15" t="inlineStr">
        <is>
          <t xml:space="preserve">8 Loss on drying</t>
        </is>
      </c>
      <c r="F515" s="15" t="inlineStr">
        <is>
          <t xml:space="preserve">CITED</t>
        </is>
      </c>
      <c r="G515" s="15" t="inlineStr">
        <is>
          <t xml:space="preserve">ППК25117</t>
        </is>
      </c>
      <c r="H515" s="15" t="inlineStr">
        <is>
          <t xml:space="preserve">06.05.2025</t>
        </is>
      </c>
      <c r="I515" s="15" t="inlineStr">
        <is>
          <t xml:space="preserve">CNP</t>
        </is>
      </c>
      <c r="J515" s="15" t="inlineStr">
        <is>
          <t xml:space="preserve">in eCoA_DATABASE</t>
        </is>
      </c>
      <c r="K515" s="15"/>
      <c r="L515" s="15" t="inlineStr">
        <is>
          <t xml:space="preserve">5.86 %</t>
        </is>
      </c>
      <c r="M515" s="15"/>
    </row>
    <row r="516">
      <c r="A516" s="15" t="inlineStr">
        <is>
          <t xml:space="preserve">2</t>
        </is>
      </c>
      <c r="B516" s="15" t="inlineStr">
        <is>
          <t xml:space="preserve">OMP1024_01</t>
        </is>
      </c>
      <c r="C516" s="15" t="inlineStr">
        <is>
          <t xml:space="preserve">P050042</t>
        </is>
      </c>
      <c r="D516" s="15" t="inlineStr">
        <is>
          <t xml:space="preserve">Orange Punch Mimosa</t>
        </is>
      </c>
      <c r="E516" s="15" t="inlineStr">
        <is>
          <t xml:space="preserve">9 Microbiological purity</t>
        </is>
      </c>
      <c r="F516" s="15" t="inlineStr">
        <is>
          <t xml:space="preserve">CITED</t>
        </is>
      </c>
      <c r="G516" s="15" t="inlineStr">
        <is>
          <t xml:space="preserve">407-0745-25</t>
        </is>
      </c>
      <c r="H516" s="15" t="inlineStr">
        <is>
          <t xml:space="preserve">05.05.2025</t>
        </is>
      </c>
      <c r="I516" s="15" t="inlineStr">
        <is>
          <t xml:space="preserve">IJZ-MB</t>
        </is>
      </c>
      <c r="J516" s="15" t="inlineStr">
        <is>
          <t xml:space="preserve">in eCoA_DATABASE</t>
        </is>
      </c>
      <c r="K516" s="15"/>
      <c r="L516" s="15" t="inlineStr">
        <is>
          <t xml:space="preserve">10 CFU/g; &lt; 10 CFU/g; &lt; 10² и &gt; 10 CFU/g; Одговара; Одговара</t>
        </is>
      </c>
      <c r="M516" s="15"/>
    </row>
    <row r="517">
      <c r="A517" s="15" t="inlineStr">
        <is>
          <t xml:space="preserve">2</t>
        </is>
      </c>
      <c r="B517" s="15" t="inlineStr">
        <is>
          <t xml:space="preserve">OMP1024_01</t>
        </is>
      </c>
      <c r="C517" s="15" t="inlineStr">
        <is>
          <t xml:space="preserve">P050042</t>
        </is>
      </c>
      <c r="D517" s="15" t="inlineStr">
        <is>
          <t xml:space="preserve">Orange Punch Mimosa</t>
        </is>
      </c>
      <c r="E517" s="15" t="inlineStr">
        <is>
          <t xml:space="preserve">10 Mycotoxins</t>
        </is>
      </c>
      <c r="F517" s="15" t="inlineStr">
        <is>
          <t xml:space="preserve">CITED</t>
        </is>
      </c>
      <c r="G517" s="15" t="inlineStr">
        <is>
          <t xml:space="preserve">2156-2025</t>
        </is>
      </c>
      <c r="H517" s="15" t="inlineStr">
        <is>
          <t xml:space="preserve">07.05.2025</t>
        </is>
      </c>
      <c r="I517" s="15" t="inlineStr">
        <is>
          <t xml:space="preserve">IJZ</t>
        </is>
      </c>
      <c r="J517" s="15" t="inlineStr">
        <is>
          <t xml:space="preserve">in eCoA_DATABASE</t>
        </is>
      </c>
      <c r="K517" s="15"/>
      <c r="L517" s="15" t="inlineStr">
        <is>
          <t xml:space="preserve">&lt; 2 µg/kg</t>
        </is>
      </c>
      <c r="M517" s="15"/>
    </row>
    <row r="518">
      <c r="A518" s="15" t="inlineStr">
        <is>
          <t xml:space="preserve">2</t>
        </is>
      </c>
      <c r="B518" s="15" t="inlineStr">
        <is>
          <t xml:space="preserve">OMP1024_01</t>
        </is>
      </c>
      <c r="C518" s="15" t="inlineStr">
        <is>
          <t xml:space="preserve">P050042</t>
        </is>
      </c>
      <c r="D518" s="15" t="inlineStr">
        <is>
          <t xml:space="preserve">Orange Punch Mimosa</t>
        </is>
      </c>
      <c r="E518" s="15" t="inlineStr">
        <is>
          <t xml:space="preserve">11 Heavy metals</t>
        </is>
      </c>
      <c r="F518" s="15" t="inlineStr">
        <is>
          <t xml:space="preserve">CITED</t>
        </is>
      </c>
      <c r="G518" s="15" t="inlineStr">
        <is>
          <t xml:space="preserve">2156-2025</t>
        </is>
      </c>
      <c r="H518" s="15" t="inlineStr">
        <is>
          <t xml:space="preserve">07.05.2025</t>
        </is>
      </c>
      <c r="I518" s="15" t="inlineStr">
        <is>
          <t xml:space="preserve">IJZ</t>
        </is>
      </c>
      <c r="J518" s="15" t="inlineStr">
        <is>
          <t xml:space="preserve">in eCoA_DATABASE</t>
        </is>
      </c>
      <c r="K518" s="15"/>
      <c r="L518" s="15" t="inlineStr">
        <is>
          <t xml:space="preserve">0,031 mg/kg; 0,004 mg/kg(l); 0,01 mg/kg(l); 0,001 mg/kg(l)</t>
        </is>
      </c>
      <c r="M518" s="15"/>
    </row>
    <row r="519">
      <c r="A519" s="15" t="inlineStr">
        <is>
          <t xml:space="preserve">2</t>
        </is>
      </c>
      <c r="B519" s="15" t="inlineStr">
        <is>
          <t xml:space="preserve">OMP1024_01</t>
        </is>
      </c>
      <c r="C519" s="15" t="inlineStr">
        <is>
          <t xml:space="preserve">P050042</t>
        </is>
      </c>
      <c r="D519" s="15" t="inlineStr">
        <is>
          <t xml:space="preserve">Orange Punch Mimosa</t>
        </is>
      </c>
      <c r="E519" s="15" t="inlineStr">
        <is>
          <t xml:space="preserve">12 Pesticide residues</t>
        </is>
      </c>
      <c r="F519" s="15" t="inlineStr">
        <is>
          <t xml:space="preserve">CITED</t>
        </is>
      </c>
      <c r="G519" s="15" t="inlineStr">
        <is>
          <t xml:space="preserve">2156-2025</t>
        </is>
      </c>
      <c r="H519" s="15" t="inlineStr">
        <is>
          <t xml:space="preserve">07.05.2025</t>
        </is>
      </c>
      <c r="I519" s="15" t="inlineStr">
        <is>
          <t xml:space="preserve">IJZ</t>
        </is>
      </c>
      <c r="J519" s="15" t="inlineStr">
        <is>
          <t xml:space="preserve">in eCoA_DATABASE</t>
        </is>
      </c>
      <c r="K519" s="15"/>
      <c r="L519" s="15" t="inlineStr">
        <is>
          <t xml:space="preserve">н.д. mg/kg(l); н.д. mg/kg(l); н.д. mg/kg(l); н.д. mg/kg(l); н.д. mg/kg(l); н.д. mg/kg(l); н.д. mg/kg(l); н.д. mg/kg(l); н.д. mg/kg(l); н.д. mg/kg(l); н.д. mg/kg(l); н.д. mg/kg(l); н.д. mg/Kg; н.д. mg/Kg; н.д. mg/kg; н.д. mg/kg; н.д. mg/kg; н.д. mg/kg; н.д. mg/kg; н.д. mg/kg; н.д. mg/kg; н.д. mg/kg; </t>
        </is>
      </c>
      <c r="M519" s="15"/>
    </row>
    <row r="520">
      <c r="A520" s="15" t="inlineStr">
        <is>
          <t xml:space="preserve">2</t>
        </is>
      </c>
      <c r="B520" s="15" t="inlineStr">
        <is>
          <t xml:space="preserve">OPM092501</t>
        </is>
      </c>
      <c r="C520" s="15" t="inlineStr">
        <is>
          <t xml:space="preserve">P060042</t>
        </is>
      </c>
      <c r="D520" s="15" t="inlineStr">
        <is>
          <t xml:space="preserve">Orange Punch Mimosa</t>
        </is>
      </c>
      <c r="E520" s="15" t="inlineStr">
        <is>
          <t xml:space="preserve">1 Identification A — appearance</t>
        </is>
      </c>
      <c r="F520" s="15" t="inlineStr">
        <is>
          <t xml:space="preserve">CITED</t>
        </is>
      </c>
      <c r="G520" s="15" t="inlineStr">
        <is>
          <t xml:space="preserve">iCoA-PP_26-040</t>
        </is>
      </c>
      <c r="H520" s="15" t="inlineStr">
        <is>
          <t xml:space="preserve">29.01.2026</t>
        </is>
      </c>
      <c r="I520" s="15" t="inlineStr">
        <is>
          <t xml:space="preserve">PP</t>
        </is>
      </c>
      <c r="J520" s="15" t="inlineStr">
        <is>
          <t xml:space="preserve">planned, NOT ISSUED (2026-05-15)</t>
        </is>
      </c>
      <c r="K520" s="15" t="inlineStr">
        <is>
          <t xml:space="preserve">YES — the certificate has not been issued</t>
        </is>
      </c>
      <c r="L520" s="15" t="inlineStr">
        <is>
          <t xml:space="preserve">Conforms</t>
        </is>
      </c>
      <c r="M520" s="15"/>
    </row>
    <row r="521">
      <c r="A521" s="15" t="inlineStr">
        <is>
          <t xml:space="preserve">2</t>
        </is>
      </c>
      <c r="B521" s="15" t="inlineStr">
        <is>
          <t xml:space="preserve">OPM092501</t>
        </is>
      </c>
      <c r="C521" s="15" t="inlineStr">
        <is>
          <t xml:space="preserve">P060042</t>
        </is>
      </c>
      <c r="D521" s="15" t="inlineStr">
        <is>
          <t xml:space="preserve">Orange Punch Mimosa</t>
        </is>
      </c>
      <c r="E521" s="15" t="inlineStr">
        <is>
          <t xml:space="preserve">2 Identification B — microscopy</t>
        </is>
      </c>
      <c r="F521" s="15" t="inlineStr">
        <is>
          <t xml:space="preserve">CITED</t>
        </is>
      </c>
      <c r="G521" s="15" t="inlineStr">
        <is>
          <t xml:space="preserve">iCoA-PP_26-040</t>
        </is>
      </c>
      <c r="H521" s="15" t="inlineStr">
        <is>
          <t xml:space="preserve">29.01.2026</t>
        </is>
      </c>
      <c r="I521" s="15" t="inlineStr">
        <is>
          <t xml:space="preserve">PP</t>
        </is>
      </c>
      <c r="J521" s="15" t="inlineStr">
        <is>
          <t xml:space="preserve">planned, NOT ISSUED (2026-05-15)</t>
        </is>
      </c>
      <c r="K521" s="15" t="inlineStr">
        <is>
          <t xml:space="preserve">YES — the certificate has not been issued</t>
        </is>
      </c>
      <c r="L521" s="15" t="inlineStr">
        <is>
          <t xml:space="preserve">Conforms</t>
        </is>
      </c>
      <c r="M521" s="15"/>
    </row>
    <row r="522">
      <c r="A522" s="15" t="inlineStr">
        <is>
          <t xml:space="preserve">2</t>
        </is>
      </c>
      <c r="B522" s="15" t="inlineStr">
        <is>
          <t xml:space="preserve">OPM092501</t>
        </is>
      </c>
      <c r="C522" s="15" t="inlineStr">
        <is>
          <t xml:space="preserve">P060042</t>
        </is>
      </c>
      <c r="D522" s="15" t="inlineStr">
        <is>
          <t xml:space="preserve">Orange Punch Mimosa</t>
        </is>
      </c>
      <c r="E522" s="15" t="inlineStr">
        <is>
          <t xml:space="preserve">3 Identification C — HPLC</t>
        </is>
      </c>
      <c r="F522" s="15" t="inlineStr">
        <is>
          <t xml:space="preserve">CITED</t>
        </is>
      </c>
      <c r="G522" s="15" t="inlineStr">
        <is>
          <t xml:space="preserve">ППК26008</t>
        </is>
      </c>
      <c r="H522" s="15" t="inlineStr">
        <is>
          <t xml:space="preserve">21.01.2026</t>
        </is>
      </c>
      <c r="I522" s="15" t="inlineStr">
        <is>
          <t xml:space="preserve">CNP</t>
        </is>
      </c>
      <c r="J522" s="15" t="inlineStr">
        <is>
          <t xml:space="preserve">in eCoA_DATABASE</t>
        </is>
      </c>
      <c r="K522" s="15"/>
      <c r="L522" s="15" t="inlineStr">
        <is>
          <t xml:space="preserve">Conforms (ImB spec.)</t>
        </is>
      </c>
      <c r="M522" s="15" t="inlineStr">
        <is>
          <t xml:space="preserve">220-22-K/26</t>
        </is>
      </c>
    </row>
    <row r="523">
      <c r="A523" s="15" t="inlineStr">
        <is>
          <t xml:space="preserve">2</t>
        </is>
      </c>
      <c r="B523" s="15" t="inlineStr">
        <is>
          <t xml:space="preserve">OPM092501</t>
        </is>
      </c>
      <c r="C523" s="15" t="inlineStr">
        <is>
          <t xml:space="preserve">P060042</t>
        </is>
      </c>
      <c r="D523" s="15" t="inlineStr">
        <is>
          <t xml:space="preserve">Orange Punch Mimosa</t>
        </is>
      </c>
      <c r="E523" s="15" t="inlineStr">
        <is>
          <t xml:space="preserve">4 Assay — Total Δ⁹-THC</t>
        </is>
      </c>
      <c r="F523" s="15" t="inlineStr">
        <is>
          <t xml:space="preserve">CITED</t>
        </is>
      </c>
      <c r="G523" s="15" t="inlineStr">
        <is>
          <t xml:space="preserve">ППК26008</t>
        </is>
      </c>
      <c r="H523" s="15" t="inlineStr">
        <is>
          <t xml:space="preserve">21.01.2026</t>
        </is>
      </c>
      <c r="I523" s="15" t="inlineStr">
        <is>
          <t xml:space="preserve">CNP</t>
        </is>
      </c>
      <c r="J523" s="15" t="inlineStr">
        <is>
          <t xml:space="preserve">in eCoA_DATABASE</t>
        </is>
      </c>
      <c r="K523" s="15"/>
      <c r="L523" s="15" t="inlineStr">
        <is>
          <t xml:space="preserve">9.43</t>
        </is>
      </c>
      <c r="M523" s="15" t="inlineStr">
        <is>
          <t xml:space="preserve">220-22-K/26</t>
        </is>
      </c>
    </row>
    <row r="524">
      <c r="A524" s="15" t="inlineStr">
        <is>
          <t xml:space="preserve">2</t>
        </is>
      </c>
      <c r="B524" s="15" t="inlineStr">
        <is>
          <t xml:space="preserve">OPM092501</t>
        </is>
      </c>
      <c r="C524" s="15" t="inlineStr">
        <is>
          <t xml:space="preserve">P060042</t>
        </is>
      </c>
      <c r="D524" s="15" t="inlineStr">
        <is>
          <t xml:space="preserve">Orange Punch Mimosa</t>
        </is>
      </c>
      <c r="E524" s="15" t="inlineStr">
        <is>
          <t xml:space="preserve">5 Assay — Total CBD</t>
        </is>
      </c>
      <c r="F524" s="15" t="inlineStr">
        <is>
          <t xml:space="preserve">CITED</t>
        </is>
      </c>
      <c r="G524" s="15" t="inlineStr">
        <is>
          <t xml:space="preserve">ППК26008</t>
        </is>
      </c>
      <c r="H524" s="15" t="inlineStr">
        <is>
          <t xml:space="preserve">21.01.2026</t>
        </is>
      </c>
      <c r="I524" s="15" t="inlineStr">
        <is>
          <t xml:space="preserve">CNP</t>
        </is>
      </c>
      <c r="J524" s="15" t="inlineStr">
        <is>
          <t xml:space="preserve">in eCoA_DATABASE</t>
        </is>
      </c>
      <c r="K524" s="15"/>
      <c r="L524" s="15" t="inlineStr">
        <is>
          <t xml:space="preserve">0.04</t>
        </is>
      </c>
      <c r="M524" s="15" t="inlineStr">
        <is>
          <t xml:space="preserve">220-22-K/26</t>
        </is>
      </c>
    </row>
    <row r="525">
      <c r="A525" s="15" t="inlineStr">
        <is>
          <t xml:space="preserve">2</t>
        </is>
      </c>
      <c r="B525" s="15" t="inlineStr">
        <is>
          <t xml:space="preserve">OPM092501</t>
        </is>
      </c>
      <c r="C525" s="15" t="inlineStr">
        <is>
          <t xml:space="preserve">P060042</t>
        </is>
      </c>
      <c r="D525" s="15" t="inlineStr">
        <is>
          <t xml:space="preserve">Orange Punch Mimosa</t>
        </is>
      </c>
      <c r="E525" s="15" t="inlineStr">
        <is>
          <t xml:space="preserve">6 Total CBN</t>
        </is>
      </c>
      <c r="F525" s="15" t="inlineStr">
        <is>
          <t xml:space="preserve">CITED</t>
        </is>
      </c>
      <c r="G525" s="15" t="inlineStr">
        <is>
          <t xml:space="preserve">ППК26008</t>
        </is>
      </c>
      <c r="H525" s="15" t="inlineStr">
        <is>
          <t xml:space="preserve">21.01.2026</t>
        </is>
      </c>
      <c r="I525" s="15" t="inlineStr">
        <is>
          <t xml:space="preserve">CNP</t>
        </is>
      </c>
      <c r="J525" s="15" t="inlineStr">
        <is>
          <t xml:space="preserve">in eCoA_DATABASE</t>
        </is>
      </c>
      <c r="K525" s="15"/>
      <c r="L525" s="15" t="inlineStr">
        <is>
          <t xml:space="preserve">ND ᴰ</t>
        </is>
      </c>
      <c r="M525" s="15" t="inlineStr">
        <is>
          <t xml:space="preserve">220-22-K/26</t>
        </is>
      </c>
    </row>
    <row r="526">
      <c r="A526" s="15" t="inlineStr">
        <is>
          <t xml:space="preserve">2</t>
        </is>
      </c>
      <c r="B526" s="15" t="inlineStr">
        <is>
          <t xml:space="preserve">OPM092501</t>
        </is>
      </c>
      <c r="C526" s="15" t="inlineStr">
        <is>
          <t xml:space="preserve">P060042</t>
        </is>
      </c>
      <c r="D526" s="15" t="inlineStr">
        <is>
          <t xml:space="preserve">Orange Punch Mimosa</t>
        </is>
      </c>
      <c r="E526" s="15" t="inlineStr">
        <is>
          <t xml:space="preserve">7 Foreign matter</t>
        </is>
      </c>
      <c r="F526" s="15" t="inlineStr">
        <is>
          <t xml:space="preserve">CITED</t>
        </is>
      </c>
      <c r="G526" s="15" t="inlineStr">
        <is>
          <t xml:space="preserve">iCoA-PP_26-040</t>
        </is>
      </c>
      <c r="H526" s="15" t="inlineStr">
        <is>
          <t xml:space="preserve">29.01.2026</t>
        </is>
      </c>
      <c r="I526" s="15" t="inlineStr">
        <is>
          <t xml:space="preserve">PP</t>
        </is>
      </c>
      <c r="J526" s="15" t="inlineStr">
        <is>
          <t xml:space="preserve">planned, NOT ISSUED (2026-05-15)</t>
        </is>
      </c>
      <c r="K526" s="15" t="inlineStr">
        <is>
          <t xml:space="preserve">YES — the certificate has not been issued</t>
        </is>
      </c>
      <c r="L526" s="15" t="inlineStr">
        <is>
          <t xml:space="preserve">Conforms</t>
        </is>
      </c>
      <c r="M526" s="15"/>
    </row>
    <row r="527">
      <c r="A527" s="15" t="inlineStr">
        <is>
          <t xml:space="preserve">2</t>
        </is>
      </c>
      <c r="B527" s="15" t="inlineStr">
        <is>
          <t xml:space="preserve">OPM092501</t>
        </is>
      </c>
      <c r="C527" s="15" t="inlineStr">
        <is>
          <t xml:space="preserve">P060042</t>
        </is>
      </c>
      <c r="D527" s="15" t="inlineStr">
        <is>
          <t xml:space="preserve">Orange Punch Mimosa</t>
        </is>
      </c>
      <c r="E527" s="15" t="inlineStr">
        <is>
          <t xml:space="preserve">8 Loss on drying</t>
        </is>
      </c>
      <c r="F527" s="15" t="inlineStr">
        <is>
          <t xml:space="preserve">CITED</t>
        </is>
      </c>
      <c r="G527" s="15" t="inlineStr">
        <is>
          <t xml:space="preserve">ППК26008</t>
        </is>
      </c>
      <c r="H527" s="15" t="inlineStr">
        <is>
          <t xml:space="preserve">21.01.2026</t>
        </is>
      </c>
      <c r="I527" s="15" t="inlineStr">
        <is>
          <t xml:space="preserve">CNP</t>
        </is>
      </c>
      <c r="J527" s="15" t="inlineStr">
        <is>
          <t xml:space="preserve">in eCoA_DATABASE</t>
        </is>
      </c>
      <c r="K527" s="15"/>
      <c r="L527" s="15" t="inlineStr">
        <is>
          <t xml:space="preserve">7.85</t>
        </is>
      </c>
      <c r="M527" s="15"/>
    </row>
    <row r="528">
      <c r="A528" s="15" t="inlineStr">
        <is>
          <t xml:space="preserve">2</t>
        </is>
      </c>
      <c r="B528" s="15" t="inlineStr">
        <is>
          <t xml:space="preserve">OPM092501</t>
        </is>
      </c>
      <c r="C528" s="15" t="inlineStr">
        <is>
          <t xml:space="preserve">P060042</t>
        </is>
      </c>
      <c r="D528" s="15" t="inlineStr">
        <is>
          <t xml:space="preserve">Orange Punch Mimosa</t>
        </is>
      </c>
      <c r="E528" s="15" t="inlineStr">
        <is>
          <t xml:space="preserve">9 Microbiological purity</t>
        </is>
      </c>
      <c r="F528" s="15" t="inlineStr">
        <is>
          <t xml:space="preserve">CITED</t>
        </is>
      </c>
      <c r="G528" s="15" t="inlineStr">
        <is>
          <t xml:space="preserve">2-0005-26</t>
        </is>
      </c>
      <c r="H528" s="15" t="inlineStr">
        <is>
          <t xml:space="preserve">20.01.2026</t>
        </is>
      </c>
      <c r="I528" s="15" t="inlineStr">
        <is>
          <t xml:space="preserve">IJZ-MB</t>
        </is>
      </c>
      <c r="J528" s="15" t="inlineStr">
        <is>
          <t xml:space="preserve">in eCoA_DATABASE</t>
        </is>
      </c>
      <c r="K528" s="15"/>
      <c r="L528" s="15" t="inlineStr">
        <is>
          <t xml:space="preserve">10 CFU/g CFU/g; 10 CFU/g CFU/g; &lt; 10² и &gt; 10 CFU/g CFU/g; Одговара /g; Одговара /25 g</t>
        </is>
      </c>
      <c r="M528" s="15"/>
    </row>
    <row r="529">
      <c r="A529" s="15" t="inlineStr">
        <is>
          <t xml:space="preserve">2</t>
        </is>
      </c>
      <c r="B529" s="15" t="inlineStr">
        <is>
          <t xml:space="preserve">OPM092501</t>
        </is>
      </c>
      <c r="C529" s="15" t="inlineStr">
        <is>
          <t xml:space="preserve">P060042</t>
        </is>
      </c>
      <c r="D529" s="15" t="inlineStr">
        <is>
          <t xml:space="preserve">Orange Punch Mimosa</t>
        </is>
      </c>
      <c r="E529" s="15" t="inlineStr">
        <is>
          <t xml:space="preserve">10 Mycotoxins</t>
        </is>
      </c>
      <c r="F529" s="15" t="inlineStr">
        <is>
          <t xml:space="preserve">CITED</t>
        </is>
      </c>
      <c r="G529" s="15" t="inlineStr">
        <is>
          <t xml:space="preserve">87-2026</t>
        </is>
      </c>
      <c r="H529" s="15" t="inlineStr">
        <is>
          <t xml:space="preserve">03.02.2026</t>
        </is>
      </c>
      <c r="I529" s="15" t="inlineStr">
        <is>
          <t xml:space="preserve">IJZ</t>
        </is>
      </c>
      <c r="J529" s="15" t="inlineStr">
        <is>
          <t xml:space="preserve">in eCoA_DATABASE</t>
        </is>
      </c>
      <c r="K529" s="15"/>
      <c r="L529" s="15" t="inlineStr">
        <is>
          <t xml:space="preserve">n.r.; 2.2; n.r.</t>
        </is>
      </c>
      <c r="M529" s="15"/>
    </row>
    <row r="530">
      <c r="A530" s="15" t="inlineStr">
        <is>
          <t xml:space="preserve">2</t>
        </is>
      </c>
      <c r="B530" s="15" t="inlineStr">
        <is>
          <t xml:space="preserve">OPM092501</t>
        </is>
      </c>
      <c r="C530" s="15" t="inlineStr">
        <is>
          <t xml:space="preserve">P060042</t>
        </is>
      </c>
      <c r="D530" s="15" t="inlineStr">
        <is>
          <t xml:space="preserve">Orange Punch Mimosa</t>
        </is>
      </c>
      <c r="E530" s="15" t="inlineStr">
        <is>
          <t xml:space="preserve">11 Heavy metals</t>
        </is>
      </c>
      <c r="F530" s="15" t="inlineStr">
        <is>
          <t xml:space="preserve">CITED</t>
        </is>
      </c>
      <c r="G530" s="15" t="inlineStr">
        <is>
          <t xml:space="preserve">87-2026</t>
        </is>
      </c>
      <c r="H530" s="15" t="inlineStr">
        <is>
          <t xml:space="preserve">03.02.2026</t>
        </is>
      </c>
      <c r="I530" s="15" t="inlineStr">
        <is>
          <t xml:space="preserve">IJZ</t>
        </is>
      </c>
      <c r="J530" s="15" t="inlineStr">
        <is>
          <t xml:space="preserve">in eCoA_DATABASE</t>
        </is>
      </c>
      <c r="K530" s="15"/>
      <c r="L530" s="15" t="inlineStr">
        <is>
          <t xml:space="preserve">0.022; н.д.; н.д.; н.д.</t>
        </is>
      </c>
      <c r="M530" s="15"/>
    </row>
    <row r="531">
      <c r="A531" s="15" t="inlineStr">
        <is>
          <t xml:space="preserve">2</t>
        </is>
      </c>
      <c r="B531" s="15" t="inlineStr">
        <is>
          <t xml:space="preserve">OPM092501</t>
        </is>
      </c>
      <c r="C531" s="15" t="inlineStr">
        <is>
          <t xml:space="preserve">P060042</t>
        </is>
      </c>
      <c r="D531" s="15" t="inlineStr">
        <is>
          <t xml:space="preserve">Orange Punch Mimosa</t>
        </is>
      </c>
      <c r="E531" s="15" t="inlineStr">
        <is>
          <t xml:space="preserve">12 Pesticide residues</t>
        </is>
      </c>
      <c r="F531" s="15" t="inlineStr">
        <is>
          <t xml:space="preserve">CITED</t>
        </is>
      </c>
      <c r="G531" s="15" t="inlineStr">
        <is>
          <t xml:space="preserve">87-2026</t>
        </is>
      </c>
      <c r="H531" s="15" t="inlineStr">
        <is>
          <t xml:space="preserve">03.02.2026</t>
        </is>
      </c>
      <c r="I531" s="15" t="inlineStr">
        <is>
          <t xml:space="preserve">IJZ</t>
        </is>
      </c>
      <c r="J531" s="15" t="inlineStr">
        <is>
          <t xml:space="preserve">in eCoA_DATABASE</t>
        </is>
      </c>
      <c r="K531" s="15"/>
      <c r="L531" s="15" t="inlineStr">
        <is>
          <t xml:space="preserve">≤ LOQ (all 29 compounds)</t>
        </is>
      </c>
      <c r="M531" s="15"/>
    </row>
    <row r="532">
      <c r="A532" s="15" t="inlineStr">
        <is>
          <t xml:space="preserve">2</t>
        </is>
      </c>
      <c r="B532" s="15" t="inlineStr">
        <is>
          <t xml:space="preserve">OPM1024_03</t>
        </is>
      </c>
      <c r="C532" s="15" t="inlineStr">
        <is>
          <t xml:space="preserve">P050082</t>
        </is>
      </c>
      <c r="D532" s="15" t="inlineStr">
        <is>
          <t xml:space="preserve">Orange Punch Mimosa</t>
        </is>
      </c>
      <c r="E532" s="15" t="inlineStr">
        <is>
          <t xml:space="preserve">1 Identification A — appearance</t>
        </is>
      </c>
      <c r="F532" s="15" t="inlineStr">
        <is>
          <t xml:space="preserve">CITED</t>
        </is>
      </c>
      <c r="G532" s="15" t="inlineStr">
        <is>
          <t xml:space="preserve">iCoA-PP_26-014</t>
        </is>
      </c>
      <c r="H532" s="15" t="inlineStr">
        <is>
          <t xml:space="preserve">22.07.2025</t>
        </is>
      </c>
      <c r="I532" s="15" t="inlineStr">
        <is>
          <t xml:space="preserve">PP</t>
        </is>
      </c>
      <c r="J532" s="15" t="inlineStr">
        <is>
          <t xml:space="preserve">planned, NOT ISSUED (2026-05-15)</t>
        </is>
      </c>
      <c r="K532" s="15" t="inlineStr">
        <is>
          <t xml:space="preserve">YES — the certificate has not been issued</t>
        </is>
      </c>
      <c r="L532" s="15" t="inlineStr">
        <is>
          <t xml:space="preserve">Conforms</t>
        </is>
      </c>
      <c r="M532" s="15"/>
    </row>
    <row r="533">
      <c r="A533" s="15" t="inlineStr">
        <is>
          <t xml:space="preserve">2</t>
        </is>
      </c>
      <c r="B533" s="15" t="inlineStr">
        <is>
          <t xml:space="preserve">OPM1024_03</t>
        </is>
      </c>
      <c r="C533" s="15" t="inlineStr">
        <is>
          <t xml:space="preserve">P050082</t>
        </is>
      </c>
      <c r="D533" s="15" t="inlineStr">
        <is>
          <t xml:space="preserve">Orange Punch Mimosa</t>
        </is>
      </c>
      <c r="E533" s="15" t="inlineStr">
        <is>
          <t xml:space="preserve">2 Identification B — microscopy</t>
        </is>
      </c>
      <c r="F533" s="15" t="inlineStr">
        <is>
          <t xml:space="preserve">CITED</t>
        </is>
      </c>
      <c r="G533" s="15" t="inlineStr">
        <is>
          <t xml:space="preserve">iCoA-PP_26-014</t>
        </is>
      </c>
      <c r="H533" s="15" t="inlineStr">
        <is>
          <t xml:space="preserve">22.07.2025</t>
        </is>
      </c>
      <c r="I533" s="15" t="inlineStr">
        <is>
          <t xml:space="preserve">PP</t>
        </is>
      </c>
      <c r="J533" s="15" t="inlineStr">
        <is>
          <t xml:space="preserve">planned, NOT ISSUED (2026-05-15)</t>
        </is>
      </c>
      <c r="K533" s="15" t="inlineStr">
        <is>
          <t xml:space="preserve">YES — the certificate has not been issued</t>
        </is>
      </c>
      <c r="L533" s="15" t="inlineStr">
        <is>
          <t xml:space="preserve">Conforms</t>
        </is>
      </c>
      <c r="M533" s="15"/>
    </row>
    <row r="534">
      <c r="A534" s="15" t="inlineStr">
        <is>
          <t xml:space="preserve">2</t>
        </is>
      </c>
      <c r="B534" s="15" t="inlineStr">
        <is>
          <t xml:space="preserve">OPM1024_03</t>
        </is>
      </c>
      <c r="C534" s="15" t="inlineStr">
        <is>
          <t xml:space="preserve">P050082</t>
        </is>
      </c>
      <c r="D534" s="15" t="inlineStr">
        <is>
          <t xml:space="preserve">Orange Punch Mimosa</t>
        </is>
      </c>
      <c r="E534" s="15" t="inlineStr">
        <is>
          <t xml:space="preserve">3 Identification C — HPLC</t>
        </is>
      </c>
      <c r="F534" s="15" t="inlineStr">
        <is>
          <t xml:space="preserve">CITED</t>
        </is>
      </c>
      <c r="G534" s="15" t="inlineStr">
        <is>
          <t xml:space="preserve">ППК25210</t>
        </is>
      </c>
      <c r="H534" s="15" t="inlineStr">
        <is>
          <t xml:space="preserve">28.07.2025</t>
        </is>
      </c>
      <c r="I534" s="15" t="inlineStr">
        <is>
          <t xml:space="preserve">CNP</t>
        </is>
      </c>
      <c r="J534" s="15" t="inlineStr">
        <is>
          <t xml:space="preserve">in eCoA_DATABASE</t>
        </is>
      </c>
      <c r="K534" s="15"/>
      <c r="L534" s="15" t="inlineStr">
        <is>
          <t xml:space="preserve">Conforms (ImB spec.)</t>
        </is>
      </c>
      <c r="M534" s="15" t="inlineStr">
        <is>
          <t xml:space="preserve">220-23-K/26</t>
        </is>
      </c>
    </row>
    <row r="535">
      <c r="A535" s="15" t="inlineStr">
        <is>
          <t xml:space="preserve">2</t>
        </is>
      </c>
      <c r="B535" s="15" t="inlineStr">
        <is>
          <t xml:space="preserve">OPM1024_03</t>
        </is>
      </c>
      <c r="C535" s="15" t="inlineStr">
        <is>
          <t xml:space="preserve">P050082</t>
        </is>
      </c>
      <c r="D535" s="15" t="inlineStr">
        <is>
          <t xml:space="preserve">Orange Punch Mimosa</t>
        </is>
      </c>
      <c r="E535" s="15" t="inlineStr">
        <is>
          <t xml:space="preserve">4 Assay — Total Δ⁹-THC</t>
        </is>
      </c>
      <c r="F535" s="15" t="inlineStr">
        <is>
          <t xml:space="preserve">CITED</t>
        </is>
      </c>
      <c r="G535" s="15" t="inlineStr">
        <is>
          <t xml:space="preserve">ППК25210</t>
        </is>
      </c>
      <c r="H535" s="15" t="inlineStr">
        <is>
          <t xml:space="preserve">28.07.2025</t>
        </is>
      </c>
      <c r="I535" s="15" t="inlineStr">
        <is>
          <t xml:space="preserve">CNP</t>
        </is>
      </c>
      <c r="J535" s="15" t="inlineStr">
        <is>
          <t xml:space="preserve">in eCoA_DATABASE</t>
        </is>
      </c>
      <c r="K535" s="15"/>
      <c r="L535" s="15" t="inlineStr">
        <is>
          <t xml:space="preserve">16.55</t>
        </is>
      </c>
      <c r="M535" s="15" t="inlineStr">
        <is>
          <t xml:space="preserve">220-23-K/26</t>
        </is>
      </c>
    </row>
    <row r="536">
      <c r="A536" s="15" t="inlineStr">
        <is>
          <t xml:space="preserve">2</t>
        </is>
      </c>
      <c r="B536" s="15" t="inlineStr">
        <is>
          <t xml:space="preserve">OPM1024_03</t>
        </is>
      </c>
      <c r="C536" s="15" t="inlineStr">
        <is>
          <t xml:space="preserve">P050082</t>
        </is>
      </c>
      <c r="D536" s="15" t="inlineStr">
        <is>
          <t xml:space="preserve">Orange Punch Mimosa</t>
        </is>
      </c>
      <c r="E536" s="15" t="inlineStr">
        <is>
          <t xml:space="preserve">5 Assay — Total CBD</t>
        </is>
      </c>
      <c r="F536" s="15" t="inlineStr">
        <is>
          <t xml:space="preserve">CITED</t>
        </is>
      </c>
      <c r="G536" s="15" t="inlineStr">
        <is>
          <t xml:space="preserve">ППК25210</t>
        </is>
      </c>
      <c r="H536" s="15" t="inlineStr">
        <is>
          <t xml:space="preserve">28.07.2025</t>
        </is>
      </c>
      <c r="I536" s="15" t="inlineStr">
        <is>
          <t xml:space="preserve">CNP</t>
        </is>
      </c>
      <c r="J536" s="15" t="inlineStr">
        <is>
          <t xml:space="preserve">in eCoA_DATABASE</t>
        </is>
      </c>
      <c r="K536" s="15"/>
      <c r="L536" s="15" t="inlineStr">
        <is>
          <t xml:space="preserve">0.04</t>
        </is>
      </c>
      <c r="M536" s="15" t="inlineStr">
        <is>
          <t xml:space="preserve">220-23-K/26</t>
        </is>
      </c>
    </row>
    <row r="537">
      <c r="A537" s="15" t="inlineStr">
        <is>
          <t xml:space="preserve">2</t>
        </is>
      </c>
      <c r="B537" s="15" t="inlineStr">
        <is>
          <t xml:space="preserve">OPM1024_03</t>
        </is>
      </c>
      <c r="C537" s="15" t="inlineStr">
        <is>
          <t xml:space="preserve">P050082</t>
        </is>
      </c>
      <c r="D537" s="15" t="inlineStr">
        <is>
          <t xml:space="preserve">Orange Punch Mimosa</t>
        </is>
      </c>
      <c r="E537" s="15" t="inlineStr">
        <is>
          <t xml:space="preserve">6 Total CBN</t>
        </is>
      </c>
      <c r="F537" s="15" t="inlineStr">
        <is>
          <t xml:space="preserve">CITED</t>
        </is>
      </c>
      <c r="G537" s="15" t="inlineStr">
        <is>
          <t xml:space="preserve">ППК25210</t>
        </is>
      </c>
      <c r="H537" s="15" t="inlineStr">
        <is>
          <t xml:space="preserve">28.07.2025</t>
        </is>
      </c>
      <c r="I537" s="15" t="inlineStr">
        <is>
          <t xml:space="preserve">CNP</t>
        </is>
      </c>
      <c r="J537" s="15" t="inlineStr">
        <is>
          <t xml:space="preserve">in eCoA_DATABASE</t>
        </is>
      </c>
      <c r="K537" s="15"/>
      <c r="L537" s="15" t="inlineStr">
        <is>
          <t xml:space="preserve">0.01 ᴰ</t>
        </is>
      </c>
      <c r="M537" s="15" t="inlineStr">
        <is>
          <t xml:space="preserve">220-23-K/26</t>
        </is>
      </c>
    </row>
    <row r="538">
      <c r="A538" s="15" t="inlineStr">
        <is>
          <t xml:space="preserve">2</t>
        </is>
      </c>
      <c r="B538" s="15" t="inlineStr">
        <is>
          <t xml:space="preserve">OPM1024_03</t>
        </is>
      </c>
      <c r="C538" s="15" t="inlineStr">
        <is>
          <t xml:space="preserve">P050082</t>
        </is>
      </c>
      <c r="D538" s="15" t="inlineStr">
        <is>
          <t xml:space="preserve">Orange Punch Mimosa</t>
        </is>
      </c>
      <c r="E538" s="15" t="inlineStr">
        <is>
          <t xml:space="preserve">7 Foreign matter</t>
        </is>
      </c>
      <c r="F538" s="15" t="inlineStr">
        <is>
          <t xml:space="preserve">CITED</t>
        </is>
      </c>
      <c r="G538" s="15" t="inlineStr">
        <is>
          <t xml:space="preserve">iCoA-PP_26-014</t>
        </is>
      </c>
      <c r="H538" s="15" t="inlineStr">
        <is>
          <t xml:space="preserve">22.07.2025</t>
        </is>
      </c>
      <c r="I538" s="15" t="inlineStr">
        <is>
          <t xml:space="preserve">PP</t>
        </is>
      </c>
      <c r="J538" s="15" t="inlineStr">
        <is>
          <t xml:space="preserve">planned, NOT ISSUED (2026-05-15)</t>
        </is>
      </c>
      <c r="K538" s="15" t="inlineStr">
        <is>
          <t xml:space="preserve">YES — the certificate has not been issued</t>
        </is>
      </c>
      <c r="L538" s="15" t="inlineStr">
        <is>
          <t xml:space="preserve">Conforms</t>
        </is>
      </c>
      <c r="M538" s="15"/>
    </row>
    <row r="539">
      <c r="A539" s="15" t="inlineStr">
        <is>
          <t xml:space="preserve">2</t>
        </is>
      </c>
      <c r="B539" s="15" t="inlineStr">
        <is>
          <t xml:space="preserve">OPM1024_03</t>
        </is>
      </c>
      <c r="C539" s="15" t="inlineStr">
        <is>
          <t xml:space="preserve">P050082</t>
        </is>
      </c>
      <c r="D539" s="15" t="inlineStr">
        <is>
          <t xml:space="preserve">Orange Punch Mimosa</t>
        </is>
      </c>
      <c r="E539" s="15" t="inlineStr">
        <is>
          <t xml:space="preserve">8 Loss on drying</t>
        </is>
      </c>
      <c r="F539" s="15" t="inlineStr">
        <is>
          <t xml:space="preserve">CITED</t>
        </is>
      </c>
      <c r="G539" s="15" t="inlineStr">
        <is>
          <t xml:space="preserve">ППК25210</t>
        </is>
      </c>
      <c r="H539" s="15" t="inlineStr">
        <is>
          <t xml:space="preserve">28.07.2025</t>
        </is>
      </c>
      <c r="I539" s="15" t="inlineStr">
        <is>
          <t xml:space="preserve">CNP</t>
        </is>
      </c>
      <c r="J539" s="15" t="inlineStr">
        <is>
          <t xml:space="preserve">in eCoA_DATABASE</t>
        </is>
      </c>
      <c r="K539" s="15"/>
      <c r="L539" s="15" t="inlineStr">
        <is>
          <t xml:space="preserve">6.38</t>
        </is>
      </c>
      <c r="M539" s="15"/>
    </row>
    <row r="540">
      <c r="A540" s="15" t="inlineStr">
        <is>
          <t xml:space="preserve">2</t>
        </is>
      </c>
      <c r="B540" s="15" t="inlineStr">
        <is>
          <t xml:space="preserve">OPM1024_03</t>
        </is>
      </c>
      <c r="C540" s="15" t="inlineStr">
        <is>
          <t xml:space="preserve">P050082</t>
        </is>
      </c>
      <c r="D540" s="15" t="inlineStr">
        <is>
          <t xml:space="preserve">Orange Punch Mimosa</t>
        </is>
      </c>
      <c r="E540" s="15" t="inlineStr">
        <is>
          <t xml:space="preserve">9 Microbiological purity</t>
        </is>
      </c>
      <c r="F540" s="15" t="inlineStr">
        <is>
          <t xml:space="preserve">CITED</t>
        </is>
      </c>
      <c r="G540" s="15" t="inlineStr">
        <is>
          <t xml:space="preserve">766-1375-25</t>
        </is>
      </c>
      <c r="H540" s="15" t="inlineStr">
        <is>
          <t xml:space="preserve">29.07.2025</t>
        </is>
      </c>
      <c r="I540" s="15" t="inlineStr">
        <is>
          <t xml:space="preserve">IJZ-MB</t>
        </is>
      </c>
      <c r="J540" s="15" t="inlineStr">
        <is>
          <t xml:space="preserve">in eCoA_DATABASE</t>
        </is>
      </c>
      <c r="K540" s="15"/>
      <c r="L540" s="15" t="inlineStr">
        <is>
          <t xml:space="preserve">2 x 10² CFU/g CFU/g; 3 x 10² CFU/g CFU/g; &lt; 10 CFU/g CFU/g; Одговара /g; Одговара /25 g</t>
        </is>
      </c>
      <c r="M540" s="15"/>
    </row>
    <row r="541">
      <c r="A541" s="15" t="inlineStr">
        <is>
          <t xml:space="preserve">2</t>
        </is>
      </c>
      <c r="B541" s="15" t="inlineStr">
        <is>
          <t xml:space="preserve">OPM1024_03</t>
        </is>
      </c>
      <c r="C541" s="15" t="inlineStr">
        <is>
          <t xml:space="preserve">P050082</t>
        </is>
      </c>
      <c r="D541" s="15" t="inlineStr">
        <is>
          <t xml:space="preserve">Orange Punch Mimosa</t>
        </is>
      </c>
      <c r="E541" s="15" t="inlineStr">
        <is>
          <t xml:space="preserve">10 Mycotoxins</t>
        </is>
      </c>
      <c r="F541" s="15" t="inlineStr">
        <is>
          <t xml:space="preserve">CITED</t>
        </is>
      </c>
      <c r="G541" s="15" t="inlineStr">
        <is>
          <t xml:space="preserve">3636-2025</t>
        </is>
      </c>
      <c r="H541" s="15" t="inlineStr">
        <is>
          <t xml:space="preserve">28.07.2025</t>
        </is>
      </c>
      <c r="I541" s="15" t="inlineStr">
        <is>
          <t xml:space="preserve">IJZ</t>
        </is>
      </c>
      <c r="J541" s="15" t="inlineStr">
        <is>
          <t xml:space="preserve">in eCoA_DATABASE</t>
        </is>
      </c>
      <c r="K541" s="15"/>
      <c r="L541" s="15" t="inlineStr">
        <is>
          <t xml:space="preserve">n.r.; 2.1; n.r.</t>
        </is>
      </c>
      <c r="M541" s="15"/>
    </row>
    <row r="542">
      <c r="A542" s="15" t="inlineStr">
        <is>
          <t xml:space="preserve">2</t>
        </is>
      </c>
      <c r="B542" s="15" t="inlineStr">
        <is>
          <t xml:space="preserve">OPM1024_03</t>
        </is>
      </c>
      <c r="C542" s="15" t="inlineStr">
        <is>
          <t xml:space="preserve">P050082</t>
        </is>
      </c>
      <c r="D542" s="15" t="inlineStr">
        <is>
          <t xml:space="preserve">Orange Punch Mimosa</t>
        </is>
      </c>
      <c r="E542" s="15" t="inlineStr">
        <is>
          <t xml:space="preserve">11 Heavy metals</t>
        </is>
      </c>
      <c r="F542" s="15" t="inlineStr">
        <is>
          <t xml:space="preserve">CITED</t>
        </is>
      </c>
      <c r="G542" s="15" t="inlineStr">
        <is>
          <t xml:space="preserve">3636-2025</t>
        </is>
      </c>
      <c r="H542" s="15" t="inlineStr">
        <is>
          <t xml:space="preserve">28.07.2025</t>
        </is>
      </c>
      <c r="I542" s="15" t="inlineStr">
        <is>
          <t xml:space="preserve">IJZ</t>
        </is>
      </c>
      <c r="J542" s="15" t="inlineStr">
        <is>
          <t xml:space="preserve">in eCoA_DATABASE</t>
        </is>
      </c>
      <c r="K542" s="15"/>
      <c r="L542" s="15" t="inlineStr">
        <is>
          <t xml:space="preserve">Н.д.; Н.д.; 0.135; 0.03</t>
        </is>
      </c>
      <c r="M542" s="15"/>
    </row>
    <row r="543">
      <c r="A543" s="15" t="inlineStr">
        <is>
          <t xml:space="preserve">2</t>
        </is>
      </c>
      <c r="B543" s="15" t="inlineStr">
        <is>
          <t xml:space="preserve">OPM1024_03</t>
        </is>
      </c>
      <c r="C543" s="15" t="inlineStr">
        <is>
          <t xml:space="preserve">P050082</t>
        </is>
      </c>
      <c r="D543" s="15" t="inlineStr">
        <is>
          <t xml:space="preserve">Orange Punch Mimosa</t>
        </is>
      </c>
      <c r="E543" s="15" t="inlineStr">
        <is>
          <t xml:space="preserve">12 Pesticide residues</t>
        </is>
      </c>
      <c r="F543" s="15" t="inlineStr">
        <is>
          <t xml:space="preserve">CITED</t>
        </is>
      </c>
      <c r="G543" s="15" t="inlineStr">
        <is>
          <t xml:space="preserve">3636-2025</t>
        </is>
      </c>
      <c r="H543" s="15" t="inlineStr">
        <is>
          <t xml:space="preserve">28.07.2025</t>
        </is>
      </c>
      <c r="I543" s="15" t="inlineStr">
        <is>
          <t xml:space="preserve">IJZ</t>
        </is>
      </c>
      <c r="J543" s="15" t="inlineStr">
        <is>
          <t xml:space="preserve">in eCoA_DATABASE</t>
        </is>
      </c>
      <c r="K543" s="15"/>
      <c r="L543" s="15" t="inlineStr">
        <is>
          <t xml:space="preserve">≤ LOQ (all 26 compounds)</t>
        </is>
      </c>
      <c r="M543" s="15"/>
    </row>
    <row r="544">
      <c r="A544" s="15" t="inlineStr">
        <is>
          <t xml:space="preserve">2</t>
        </is>
      </c>
      <c r="B544" s="15" t="inlineStr">
        <is>
          <t xml:space="preserve">PM112501</t>
        </is>
      </c>
      <c r="C544" s="15" t="inlineStr">
        <is>
          <t xml:space="preserve">P060232</t>
        </is>
      </c>
      <c r="D544" s="15" t="inlineStr">
        <is>
          <t xml:space="preserve">Permanent Marker</t>
        </is>
      </c>
      <c r="E544" s="15" t="inlineStr">
        <is>
          <t xml:space="preserve">1 Identification A — appearance</t>
        </is>
      </c>
      <c r="F544" s="15" t="inlineStr">
        <is>
          <t xml:space="preserve">CITED</t>
        </is>
      </c>
      <c r="G544" s="15" t="inlineStr">
        <is>
          <t xml:space="preserve">iCoA-PP_26-056</t>
        </is>
      </c>
      <c r="H544" s="15" t="inlineStr">
        <is>
          <t xml:space="preserve">27.04.2026</t>
        </is>
      </c>
      <c r="I544" s="15" t="inlineStr">
        <is>
          <t xml:space="preserve">PP</t>
        </is>
      </c>
      <c r="J544" s="15" t="inlineStr">
        <is>
          <t xml:space="preserve">planned, NOT ISSUED (2026-05-15)</t>
        </is>
      </c>
      <c r="K544" s="15" t="inlineStr">
        <is>
          <t xml:space="preserve">YES — the certificate has not been issued</t>
        </is>
      </c>
      <c r="L544" s="15" t="inlineStr">
        <is>
          <t xml:space="preserve">Conforms</t>
        </is>
      </c>
      <c r="M544" s="15"/>
    </row>
    <row r="545">
      <c r="A545" s="15" t="inlineStr">
        <is>
          <t xml:space="preserve">2</t>
        </is>
      </c>
      <c r="B545" s="15" t="inlineStr">
        <is>
          <t xml:space="preserve">PM112501</t>
        </is>
      </c>
      <c r="C545" s="15" t="inlineStr">
        <is>
          <t xml:space="preserve">P060232</t>
        </is>
      </c>
      <c r="D545" s="15" t="inlineStr">
        <is>
          <t xml:space="preserve">Permanent Marker</t>
        </is>
      </c>
      <c r="E545" s="15" t="inlineStr">
        <is>
          <t xml:space="preserve">2 Identification B — microscopy</t>
        </is>
      </c>
      <c r="F545" s="15" t="inlineStr">
        <is>
          <t xml:space="preserve">CITED</t>
        </is>
      </c>
      <c r="G545" s="15" t="inlineStr">
        <is>
          <t xml:space="preserve">iCoA-PP_26-056</t>
        </is>
      </c>
      <c r="H545" s="15" t="inlineStr">
        <is>
          <t xml:space="preserve">27.04.2026</t>
        </is>
      </c>
      <c r="I545" s="15" t="inlineStr">
        <is>
          <t xml:space="preserve">PP</t>
        </is>
      </c>
      <c r="J545" s="15" t="inlineStr">
        <is>
          <t xml:space="preserve">planned, NOT ISSUED (2026-05-15)</t>
        </is>
      </c>
      <c r="K545" s="15" t="inlineStr">
        <is>
          <t xml:space="preserve">YES — the certificate has not been issued</t>
        </is>
      </c>
      <c r="L545" s="15" t="inlineStr">
        <is>
          <t xml:space="preserve">Conforms</t>
        </is>
      </c>
      <c r="M545" s="15"/>
    </row>
    <row r="546">
      <c r="A546" s="15" t="inlineStr">
        <is>
          <t xml:space="preserve">2</t>
        </is>
      </c>
      <c r="B546" s="15" t="inlineStr">
        <is>
          <t xml:space="preserve">PM112501</t>
        </is>
      </c>
      <c r="C546" s="15" t="inlineStr">
        <is>
          <t xml:space="preserve">P060232</t>
        </is>
      </c>
      <c r="D546" s="15" t="inlineStr">
        <is>
          <t xml:space="preserve">Permanent Marker</t>
        </is>
      </c>
      <c r="E546" s="15" t="inlineStr">
        <is>
          <t xml:space="preserve">3 Identification C — HPLC</t>
        </is>
      </c>
      <c r="F546" s="15" t="inlineStr">
        <is>
          <t xml:space="preserve">CITED</t>
        </is>
      </c>
      <c r="G546" s="15" t="inlineStr">
        <is>
          <t xml:space="preserve">ППК26030</t>
        </is>
      </c>
      <c r="H546" s="15" t="inlineStr">
        <is>
          <t xml:space="preserve">05.03.2026</t>
        </is>
      </c>
      <c r="I546" s="15" t="inlineStr">
        <is>
          <t xml:space="preserve">CNP</t>
        </is>
      </c>
      <c r="J546" s="15" t="inlineStr">
        <is>
          <t xml:space="preserve">in eCoA_DATABASE</t>
        </is>
      </c>
      <c r="K546" s="15"/>
      <c r="L546" s="15" t="inlineStr">
        <is>
          <t xml:space="preserve">identity by the HPLC cannabinoid profile on this certificate</t>
        </is>
      </c>
      <c r="M546" s="15" t="inlineStr">
        <is>
          <t xml:space="preserve">220-24-K/26</t>
        </is>
      </c>
    </row>
    <row r="547">
      <c r="A547" s="15" t="inlineStr">
        <is>
          <t xml:space="preserve">2</t>
        </is>
      </c>
      <c r="B547" s="15" t="inlineStr">
        <is>
          <t xml:space="preserve">PM112501</t>
        </is>
      </c>
      <c r="C547" s="15" t="inlineStr">
        <is>
          <t xml:space="preserve">P060232</t>
        </is>
      </c>
      <c r="D547" s="15" t="inlineStr">
        <is>
          <t xml:space="preserve">Permanent Marker</t>
        </is>
      </c>
      <c r="E547" s="15" t="inlineStr">
        <is>
          <t xml:space="preserve">4 Assay — Total Δ⁹-THC</t>
        </is>
      </c>
      <c r="F547" s="15" t="inlineStr">
        <is>
          <t xml:space="preserve">CITED</t>
        </is>
      </c>
      <c r="G547" s="15" t="inlineStr">
        <is>
          <t xml:space="preserve">ППК26030</t>
        </is>
      </c>
      <c r="H547" s="15" t="inlineStr">
        <is>
          <t xml:space="preserve">05.03.2026</t>
        </is>
      </c>
      <c r="I547" s="15" t="inlineStr">
        <is>
          <t xml:space="preserve">CNP</t>
        </is>
      </c>
      <c r="J547" s="15" t="inlineStr">
        <is>
          <t xml:space="preserve">in eCoA_DATABASE</t>
        </is>
      </c>
      <c r="K547" s="15"/>
      <c r="L547" s="15" t="inlineStr">
        <is>
          <t xml:space="preserve">0.41 % %; 14.73 % %; 13.33 % %</t>
        </is>
      </c>
      <c r="M547" s="15" t="inlineStr">
        <is>
          <t xml:space="preserve">220-24-K/26</t>
        </is>
      </c>
    </row>
    <row r="548">
      <c r="A548" s="15" t="inlineStr">
        <is>
          <t xml:space="preserve">2</t>
        </is>
      </c>
      <c r="B548" s="15" t="inlineStr">
        <is>
          <t xml:space="preserve">PM112501</t>
        </is>
      </c>
      <c r="C548" s="15" t="inlineStr">
        <is>
          <t xml:space="preserve">P060232</t>
        </is>
      </c>
      <c r="D548" s="15" t="inlineStr">
        <is>
          <t xml:space="preserve">Permanent Marker</t>
        </is>
      </c>
      <c r="E548" s="15" t="inlineStr">
        <is>
          <t xml:space="preserve">5 Assay — Total CBD</t>
        </is>
      </c>
      <c r="F548" s="15" t="inlineStr">
        <is>
          <t xml:space="preserve">CITED</t>
        </is>
      </c>
      <c r="G548" s="15" t="inlineStr">
        <is>
          <t xml:space="preserve">ППК26030</t>
        </is>
      </c>
      <c r="H548" s="15" t="inlineStr">
        <is>
          <t xml:space="preserve">05.03.2026</t>
        </is>
      </c>
      <c r="I548" s="15" t="inlineStr">
        <is>
          <t xml:space="preserve">CNP</t>
        </is>
      </c>
      <c r="J548" s="15" t="inlineStr">
        <is>
          <t xml:space="preserve">in eCoA_DATABASE</t>
        </is>
      </c>
      <c r="K548" s="15"/>
      <c r="L548" s="15" t="inlineStr">
        <is>
          <t xml:space="preserve">0.03 % %; BLQ %; 0.03 % %</t>
        </is>
      </c>
      <c r="M548" s="15" t="inlineStr">
        <is>
          <t xml:space="preserve">220-24-K/26</t>
        </is>
      </c>
    </row>
    <row r="549">
      <c r="A549" s="15" t="inlineStr">
        <is>
          <t xml:space="preserve">2</t>
        </is>
      </c>
      <c r="B549" s="15" t="inlineStr">
        <is>
          <t xml:space="preserve">PM112501</t>
        </is>
      </c>
      <c r="C549" s="15" t="inlineStr">
        <is>
          <t xml:space="preserve">P060232</t>
        </is>
      </c>
      <c r="D549" s="15" t="inlineStr">
        <is>
          <t xml:space="preserve">Permanent Marker</t>
        </is>
      </c>
      <c r="E549" s="15" t="inlineStr">
        <is>
          <t xml:space="preserve">6 Total CBN</t>
        </is>
      </c>
      <c r="F549" s="15" t="inlineStr">
        <is>
          <t xml:space="preserve">CITED</t>
        </is>
      </c>
      <c r="G549" s="15" t="inlineStr">
        <is>
          <t xml:space="preserve">ППК26030</t>
        </is>
      </c>
      <c r="H549" s="15" t="inlineStr">
        <is>
          <t xml:space="preserve">05.03.2026</t>
        </is>
      </c>
      <c r="I549" s="15" t="inlineStr">
        <is>
          <t xml:space="preserve">CNP</t>
        </is>
      </c>
      <c r="J549" s="15" t="inlineStr">
        <is>
          <t xml:space="preserve">in eCoA_DATABASE</t>
        </is>
      </c>
      <c r="K549" s="15"/>
      <c r="L549" s="15" t="inlineStr">
        <is>
          <t xml:space="preserve">0.01 % %</t>
        </is>
      </c>
      <c r="M549" s="15" t="inlineStr">
        <is>
          <t xml:space="preserve">220-24-K/26</t>
        </is>
      </c>
    </row>
    <row r="550">
      <c r="A550" s="15" t="inlineStr">
        <is>
          <t xml:space="preserve">2</t>
        </is>
      </c>
      <c r="B550" s="15" t="inlineStr">
        <is>
          <t xml:space="preserve">PM112501</t>
        </is>
      </c>
      <c r="C550" s="15" t="inlineStr">
        <is>
          <t xml:space="preserve">P060232</t>
        </is>
      </c>
      <c r="D550" s="15" t="inlineStr">
        <is>
          <t xml:space="preserve">Permanent Marker</t>
        </is>
      </c>
      <c r="E550" s="15" t="inlineStr">
        <is>
          <t xml:space="preserve">7 Foreign matter</t>
        </is>
      </c>
      <c r="F550" s="15" t="inlineStr">
        <is>
          <t xml:space="preserve">CITED</t>
        </is>
      </c>
      <c r="G550" s="15" t="inlineStr">
        <is>
          <t xml:space="preserve">iCoA-PP_26-056</t>
        </is>
      </c>
      <c r="H550" s="15" t="inlineStr">
        <is>
          <t xml:space="preserve">27.04.2026</t>
        </is>
      </c>
      <c r="I550" s="15" t="inlineStr">
        <is>
          <t xml:space="preserve">PP</t>
        </is>
      </c>
      <c r="J550" s="15" t="inlineStr">
        <is>
          <t xml:space="preserve">planned, NOT ISSUED (2026-05-15)</t>
        </is>
      </c>
      <c r="K550" s="15" t="inlineStr">
        <is>
          <t xml:space="preserve">YES — the certificate has not been issued</t>
        </is>
      </c>
      <c r="L550" s="15" t="inlineStr">
        <is>
          <t xml:space="preserve">Conforms</t>
        </is>
      </c>
      <c r="M550" s="15"/>
    </row>
    <row r="551">
      <c r="A551" s="15" t="inlineStr">
        <is>
          <t xml:space="preserve">2</t>
        </is>
      </c>
      <c r="B551" s="15" t="inlineStr">
        <is>
          <t xml:space="preserve">PM112501</t>
        </is>
      </c>
      <c r="C551" s="15" t="inlineStr">
        <is>
          <t xml:space="preserve">P060232</t>
        </is>
      </c>
      <c r="D551" s="15" t="inlineStr">
        <is>
          <t xml:space="preserve">Permanent Marker</t>
        </is>
      </c>
      <c r="E551" s="15" t="inlineStr">
        <is>
          <t xml:space="preserve">8 Loss on drying</t>
        </is>
      </c>
      <c r="F551" s="15" t="inlineStr">
        <is>
          <t xml:space="preserve">CITED</t>
        </is>
      </c>
      <c r="G551" s="15" t="inlineStr">
        <is>
          <t xml:space="preserve">ППК26030</t>
        </is>
      </c>
      <c r="H551" s="15" t="inlineStr">
        <is>
          <t xml:space="preserve">05.03.2026</t>
        </is>
      </c>
      <c r="I551" s="15" t="inlineStr">
        <is>
          <t xml:space="preserve">CNP</t>
        </is>
      </c>
      <c r="J551" s="15" t="inlineStr">
        <is>
          <t xml:space="preserve">in eCoA_DATABASE</t>
        </is>
      </c>
      <c r="K551" s="15"/>
      <c r="L551" s="15" t="inlineStr">
        <is>
          <t xml:space="preserve">8.61 % %</t>
        </is>
      </c>
      <c r="M551" s="15"/>
    </row>
    <row r="552">
      <c r="A552" s="15" t="inlineStr">
        <is>
          <t xml:space="preserve">2</t>
        </is>
      </c>
      <c r="B552" s="15" t="inlineStr">
        <is>
          <t xml:space="preserve">PM112501</t>
        </is>
      </c>
      <c r="C552" s="15" t="inlineStr">
        <is>
          <t xml:space="preserve">P060232</t>
        </is>
      </c>
      <c r="D552" s="15" t="inlineStr">
        <is>
          <t xml:space="preserve">Permanent Marker</t>
        </is>
      </c>
      <c r="E552" s="15" t="inlineStr">
        <is>
          <t xml:space="preserve">9 Microbiological purity</t>
        </is>
      </c>
      <c r="F552" s="15" t="inlineStr">
        <is>
          <t xml:space="preserve">READ IN THIS PASS</t>
        </is>
      </c>
      <c r="G552" s="15" t="inlineStr">
        <is>
          <t xml:space="preserve">135/0232/26</t>
        </is>
      </c>
      <c r="H552" s="15" t="inlineStr">
        <is>
          <t xml:space="preserve">06.03.2026</t>
        </is>
      </c>
      <c r="I552" s="15" t="inlineStr">
        <is>
          <t xml:space="preserve">IJZ-MB</t>
        </is>
      </c>
      <c r="J552" s="15" t="inlineStr">
        <is>
          <t xml:space="preserve">in eCoA_DATABASE</t>
        </is>
      </c>
      <c r="K552" s="15"/>
      <c r="L552" s="15" t="inlineStr">
        <is>
          <t xml:space="preserve">10 CFU/g CFU/g; &lt; 10 CFU/g CFU/g; &lt; 10 CFU/g CFU/g; Одговара; Одговара</t>
        </is>
      </c>
      <c r="M552" s="15"/>
    </row>
    <row r="553">
      <c r="A553" s="15" t="inlineStr">
        <is>
          <t xml:space="preserve">2</t>
        </is>
      </c>
      <c r="B553" s="15" t="inlineStr">
        <is>
          <t xml:space="preserve">PM112501</t>
        </is>
      </c>
      <c r="C553" s="15" t="inlineStr">
        <is>
          <t xml:space="preserve">P060232</t>
        </is>
      </c>
      <c r="D553" s="15" t="inlineStr">
        <is>
          <t xml:space="preserve">Permanent Marker</t>
        </is>
      </c>
      <c r="E553" s="15" t="inlineStr">
        <is>
          <t xml:space="preserve">10 Mycotoxins</t>
        </is>
      </c>
      <c r="F553" s="15" t="inlineStr">
        <is>
          <t xml:space="preserve">NOTHING ON FILE</t>
        </is>
      </c>
      <c r="G553" s="15" t="inlineStr">
        <is>
          <t xml:space="preserve">—</t>
        </is>
      </c>
      <c r="H553" s="15" t="inlineStr">
        <is>
          <t xml:space="preserve">—</t>
        </is>
      </c>
      <c r="I553" s="15" t="inlineStr">
        <is>
          <t xml:space="preserve">—</t>
        </is>
      </c>
      <c r="J553" s="15" t="inlineStr">
        <is>
          <t xml:space="preserve">no document anywhere</t>
        </is>
      </c>
      <c r="K553" s="15"/>
      <c r="L553" s="15" t="inlineStr">
        <is>
          <t xml:space="preserve">—</t>
        </is>
      </c>
      <c r="M553" s="15"/>
    </row>
    <row r="554">
      <c r="A554" s="15" t="inlineStr">
        <is>
          <t xml:space="preserve">2</t>
        </is>
      </c>
      <c r="B554" s="15" t="inlineStr">
        <is>
          <t xml:space="preserve">PM112501</t>
        </is>
      </c>
      <c r="C554" s="15" t="inlineStr">
        <is>
          <t xml:space="preserve">P060232</t>
        </is>
      </c>
      <c r="D554" s="15" t="inlineStr">
        <is>
          <t xml:space="preserve">Permanent Marker</t>
        </is>
      </c>
      <c r="E554" s="15" t="inlineStr">
        <is>
          <t xml:space="preserve">11 Heavy metals</t>
        </is>
      </c>
      <c r="F554" s="15" t="inlineStr">
        <is>
          <t xml:space="preserve">READ IN THIS PASS</t>
        </is>
      </c>
      <c r="G554" s="15" t="inlineStr">
        <is>
          <t xml:space="preserve">1059/2026</t>
        </is>
      </c>
      <c r="H554" s="15" t="inlineStr">
        <is>
          <t xml:space="preserve">09.03.2026</t>
        </is>
      </c>
      <c r="I554" s="15" t="inlineStr">
        <is>
          <t xml:space="preserve">IJZ</t>
        </is>
      </c>
      <c r="J554" s="15" t="inlineStr">
        <is>
          <t xml:space="preserve">in eCoA_DATABASE</t>
        </is>
      </c>
      <c r="K554" s="15"/>
      <c r="L554" s="15" t="inlineStr">
        <is>
          <t xml:space="preserve">н.д. mg/kg(l); н.д. mg/kg(l); н.д. mg/kg(l); н.д. mg/kg(l)</t>
        </is>
      </c>
      <c r="M554" s="15"/>
    </row>
    <row r="555">
      <c r="A555" s="15" t="inlineStr">
        <is>
          <t xml:space="preserve">2</t>
        </is>
      </c>
      <c r="B555" s="15" t="inlineStr">
        <is>
          <t xml:space="preserve">PM112501</t>
        </is>
      </c>
      <c r="C555" s="15" t="inlineStr">
        <is>
          <t xml:space="preserve">P060232</t>
        </is>
      </c>
      <c r="D555" s="15" t="inlineStr">
        <is>
          <t xml:space="preserve">Permanent Marker</t>
        </is>
      </c>
      <c r="E555" s="15" t="inlineStr">
        <is>
          <t xml:space="preserve">12 Pesticide residues</t>
        </is>
      </c>
      <c r="F555" s="15" t="inlineStr">
        <is>
          <t xml:space="preserve">READ IN THIS PASS</t>
        </is>
      </c>
      <c r="G555" s="15" t="inlineStr">
        <is>
          <t xml:space="preserve">1059/2026</t>
        </is>
      </c>
      <c r="H555" s="15" t="inlineStr">
        <is>
          <t xml:space="preserve">09.03.2026</t>
        </is>
      </c>
      <c r="I555" s="15" t="inlineStr">
        <is>
          <t xml:space="preserve">IJZ</t>
        </is>
      </c>
      <c r="J555" s="15" t="inlineStr">
        <is>
          <t xml:space="preserve">in eCoA_DATABASE</t>
        </is>
      </c>
      <c r="K555" s="15"/>
      <c r="L555" s="15" t="inlineStr">
        <is>
          <t xml:space="preserve">н.д. mg/kg; н.д. mg/kg; н.д. mg/kg; н.д. mg/kg; н.д. mg/kg; н.д. mg/kg; н.д. mg/kg; н.д. mg/kg; н.д. mg/kg; н.д. mg/kg; н.д. mg/kg; н.д. mg/kg; н.д. mg/kg; н.д. mg/Kg; н.д. mg/kg; н.д. mg/kg; н.д. mg/kg; н.д. mg/kg; н.д. mg/kg; н.д. mg/kg; н.д. mg/kg; н.д. mg/kg; н.д. mg/kg; н.д. mg/kg; н.д. mg/kg; </t>
        </is>
      </c>
      <c r="M555" s="15"/>
    </row>
    <row r="556">
      <c r="A556" s="15" t="inlineStr">
        <is>
          <t xml:space="preserve">2</t>
        </is>
      </c>
      <c r="B556" s="15" t="inlineStr">
        <is>
          <t xml:space="preserve">PUM102501</t>
        </is>
      </c>
      <c r="C556" s="15" t="inlineStr">
        <is>
          <t xml:space="preserve">P060112</t>
        </is>
      </c>
      <c r="D556" s="15" t="inlineStr">
        <is>
          <t xml:space="preserve">Pure Michigen</t>
        </is>
      </c>
      <c r="E556" s="15" t="inlineStr">
        <is>
          <t xml:space="preserve">1 Identification A — appearance</t>
        </is>
      </c>
      <c r="F556" s="15" t="inlineStr">
        <is>
          <t xml:space="preserve">NOTHING ON FILE</t>
        </is>
      </c>
      <c r="G556" s="15" t="inlineStr">
        <is>
          <t xml:space="preserve">—</t>
        </is>
      </c>
      <c r="H556" s="15" t="inlineStr">
        <is>
          <t xml:space="preserve">—</t>
        </is>
      </c>
      <c r="I556" s="15" t="inlineStr">
        <is>
          <t xml:space="preserve">—</t>
        </is>
      </c>
      <c r="J556" s="15" t="inlineStr">
        <is>
          <t xml:space="preserve">no document anywhere</t>
        </is>
      </c>
      <c r="K556" s="15"/>
      <c r="L556" s="15" t="inlineStr">
        <is>
          <t xml:space="preserve">—</t>
        </is>
      </c>
      <c r="M556" s="15"/>
    </row>
    <row r="557">
      <c r="A557" s="15" t="inlineStr">
        <is>
          <t xml:space="preserve">2</t>
        </is>
      </c>
      <c r="B557" s="15" t="inlineStr">
        <is>
          <t xml:space="preserve">PUM102501</t>
        </is>
      </c>
      <c r="C557" s="15" t="inlineStr">
        <is>
          <t xml:space="preserve">P060112</t>
        </is>
      </c>
      <c r="D557" s="15" t="inlineStr">
        <is>
          <t xml:space="preserve">Pure Michigen</t>
        </is>
      </c>
      <c r="E557" s="15" t="inlineStr">
        <is>
          <t xml:space="preserve">2 Identification B — microscopy</t>
        </is>
      </c>
      <c r="F557" s="15" t="inlineStr">
        <is>
          <t xml:space="preserve">NOTHING ON FILE</t>
        </is>
      </c>
      <c r="G557" s="15" t="inlineStr">
        <is>
          <t xml:space="preserve">—</t>
        </is>
      </c>
      <c r="H557" s="15" t="inlineStr">
        <is>
          <t xml:space="preserve">—</t>
        </is>
      </c>
      <c r="I557" s="15" t="inlineStr">
        <is>
          <t xml:space="preserve">—</t>
        </is>
      </c>
      <c r="J557" s="15" t="inlineStr">
        <is>
          <t xml:space="preserve">no document anywhere</t>
        </is>
      </c>
      <c r="K557" s="15"/>
      <c r="L557" s="15" t="inlineStr">
        <is>
          <t xml:space="preserve">—</t>
        </is>
      </c>
      <c r="M557" s="15"/>
    </row>
    <row r="558">
      <c r="A558" s="15" t="inlineStr">
        <is>
          <t xml:space="preserve">2</t>
        </is>
      </c>
      <c r="B558" s="15" t="inlineStr">
        <is>
          <t xml:space="preserve">PUM102501</t>
        </is>
      </c>
      <c r="C558" s="15" t="inlineStr">
        <is>
          <t xml:space="preserve">P060112</t>
        </is>
      </c>
      <c r="D558" s="15" t="inlineStr">
        <is>
          <t xml:space="preserve">Pure Michigen</t>
        </is>
      </c>
      <c r="E558" s="15" t="inlineStr">
        <is>
          <t xml:space="preserve">3 Identification C — HPLC</t>
        </is>
      </c>
      <c r="F558" s="15" t="inlineStr">
        <is>
          <t xml:space="preserve">READ IN THIS PASS</t>
        </is>
      </c>
      <c r="G558" s="15" t="inlineStr">
        <is>
          <t xml:space="preserve">031-2-K/26</t>
        </is>
      </c>
      <c r="H558" s="15" t="inlineStr">
        <is>
          <t xml:space="preserve">10.02.2026</t>
        </is>
      </c>
      <c r="I558" s="15" t="inlineStr">
        <is>
          <t xml:space="preserve">FHM</t>
        </is>
      </c>
      <c r="J558" s="15" t="inlineStr">
        <is>
          <t xml:space="preserve">in eCoA_DATABASE</t>
        </is>
      </c>
      <c r="K558" s="15"/>
      <c r="L558" s="15" t="inlineStr">
        <is>
          <t xml:space="preserve">identity by the HPLC cannabinoid profile on this certificate</t>
        </is>
      </c>
      <c r="M558" s="15" t="inlineStr">
        <is>
          <t xml:space="preserve">220-25-K/26</t>
        </is>
      </c>
    </row>
    <row r="559">
      <c r="A559" s="15" t="inlineStr">
        <is>
          <t xml:space="preserve">2</t>
        </is>
      </c>
      <c r="B559" s="15" t="inlineStr">
        <is>
          <t xml:space="preserve">PUM102501</t>
        </is>
      </c>
      <c r="C559" s="15" t="inlineStr">
        <is>
          <t xml:space="preserve">P060112</t>
        </is>
      </c>
      <c r="D559" s="15" t="inlineStr">
        <is>
          <t xml:space="preserve">Pure Michigen</t>
        </is>
      </c>
      <c r="E559" s="15" t="inlineStr">
        <is>
          <t xml:space="preserve">4 Assay — Total Δ⁹-THC</t>
        </is>
      </c>
      <c r="F559" s="15" t="inlineStr">
        <is>
          <t xml:space="preserve">READ IN THIS PASS</t>
        </is>
      </c>
      <c r="G559" s="15" t="inlineStr">
        <is>
          <t xml:space="preserve">031-2-K/26</t>
        </is>
      </c>
      <c r="H559" s="15" t="inlineStr">
        <is>
          <t xml:space="preserve">10.02.2026</t>
        </is>
      </c>
      <c r="I559" s="15" t="inlineStr">
        <is>
          <t xml:space="preserve">FHM</t>
        </is>
      </c>
      <c r="J559" s="15" t="inlineStr">
        <is>
          <t xml:space="preserve">in eCoA_DATABASE</t>
        </is>
      </c>
      <c r="K559" s="15"/>
      <c r="L559" s="15" t="inlineStr">
        <is>
          <t xml:space="preserve">15.63 %w/w; 0.96 %</t>
        </is>
      </c>
      <c r="M559" s="15" t="inlineStr">
        <is>
          <t xml:space="preserve">220-25-K/26</t>
        </is>
      </c>
    </row>
    <row r="560">
      <c r="A560" s="15" t="inlineStr">
        <is>
          <t xml:space="preserve">2</t>
        </is>
      </c>
      <c r="B560" s="15" t="inlineStr">
        <is>
          <t xml:space="preserve">PUM102501</t>
        </is>
      </c>
      <c r="C560" s="15" t="inlineStr">
        <is>
          <t xml:space="preserve">P060112</t>
        </is>
      </c>
      <c r="D560" s="15" t="inlineStr">
        <is>
          <t xml:space="preserve">Pure Michigen</t>
        </is>
      </c>
      <c r="E560" s="15" t="inlineStr">
        <is>
          <t xml:space="preserve">5 Assay — Total CBD</t>
        </is>
      </c>
      <c r="F560" s="15" t="inlineStr">
        <is>
          <t xml:space="preserve">READ IN THIS PASS</t>
        </is>
      </c>
      <c r="G560" s="15" t="inlineStr">
        <is>
          <t xml:space="preserve">031-2-K/26</t>
        </is>
      </c>
      <c r="H560" s="15" t="inlineStr">
        <is>
          <t xml:space="preserve">10.02.2026</t>
        </is>
      </c>
      <c r="I560" s="15" t="inlineStr">
        <is>
          <t xml:space="preserve">FHM</t>
        </is>
      </c>
      <c r="J560" s="15" t="inlineStr">
        <is>
          <t xml:space="preserve">in eCoA_DATABASE</t>
        </is>
      </c>
      <c r="K560" s="15"/>
      <c r="L560" s="15" t="inlineStr">
        <is>
          <t xml:space="preserve">&lt;LOQ** %w/w</t>
        </is>
      </c>
      <c r="M560" s="15" t="inlineStr">
        <is>
          <t xml:space="preserve">220-25-K/26</t>
        </is>
      </c>
    </row>
    <row r="561">
      <c r="A561" s="15" t="inlineStr">
        <is>
          <t xml:space="preserve">2</t>
        </is>
      </c>
      <c r="B561" s="15" t="inlineStr">
        <is>
          <t xml:space="preserve">PUM102501</t>
        </is>
      </c>
      <c r="C561" s="15" t="inlineStr">
        <is>
          <t xml:space="preserve">P060112</t>
        </is>
      </c>
      <c r="D561" s="15" t="inlineStr">
        <is>
          <t xml:space="preserve">Pure Michigen</t>
        </is>
      </c>
      <c r="E561" s="15" t="inlineStr">
        <is>
          <t xml:space="preserve">6 Total CBN</t>
        </is>
      </c>
      <c r="F561" s="15" t="inlineStr">
        <is>
          <t xml:space="preserve">READ IN THIS PASS</t>
        </is>
      </c>
      <c r="G561" s="15" t="inlineStr">
        <is>
          <t xml:space="preserve">031-2-K/26</t>
        </is>
      </c>
      <c r="H561" s="15" t="inlineStr">
        <is>
          <t xml:space="preserve">10.02.2026</t>
        </is>
      </c>
      <c r="I561" s="15" t="inlineStr">
        <is>
          <t xml:space="preserve">FHM</t>
        </is>
      </c>
      <c r="J561" s="15" t="inlineStr">
        <is>
          <t xml:space="preserve">in eCoA_DATABASE</t>
        </is>
      </c>
      <c r="K561" s="15"/>
      <c r="L561" s="15" t="inlineStr">
        <is>
          <t xml:space="preserve">&lt;LOQ** %w/w</t>
        </is>
      </c>
      <c r="M561" s="15" t="inlineStr">
        <is>
          <t xml:space="preserve">220-25-K/26</t>
        </is>
      </c>
    </row>
    <row r="562">
      <c r="A562" s="15" t="inlineStr">
        <is>
          <t xml:space="preserve">2</t>
        </is>
      </c>
      <c r="B562" s="15" t="inlineStr">
        <is>
          <t xml:space="preserve">PUM102501</t>
        </is>
      </c>
      <c r="C562" s="15" t="inlineStr">
        <is>
          <t xml:space="preserve">P060112</t>
        </is>
      </c>
      <c r="D562" s="15" t="inlineStr">
        <is>
          <t xml:space="preserve">Pure Michigen</t>
        </is>
      </c>
      <c r="E562" s="15" t="inlineStr">
        <is>
          <t xml:space="preserve">7 Foreign matter</t>
        </is>
      </c>
      <c r="F562" s="15" t="inlineStr">
        <is>
          <t xml:space="preserve">NOTHING ON FILE</t>
        </is>
      </c>
      <c r="G562" s="15" t="inlineStr">
        <is>
          <t xml:space="preserve">—</t>
        </is>
      </c>
      <c r="H562" s="15" t="inlineStr">
        <is>
          <t xml:space="preserve">—</t>
        </is>
      </c>
      <c r="I562" s="15" t="inlineStr">
        <is>
          <t xml:space="preserve">—</t>
        </is>
      </c>
      <c r="J562" s="15" t="inlineStr">
        <is>
          <t xml:space="preserve">no document anywhere</t>
        </is>
      </c>
      <c r="K562" s="15"/>
      <c r="L562" s="15" t="inlineStr">
        <is>
          <t xml:space="preserve">—</t>
        </is>
      </c>
      <c r="M562" s="15"/>
    </row>
    <row r="563">
      <c r="A563" s="15" t="inlineStr">
        <is>
          <t xml:space="preserve">2</t>
        </is>
      </c>
      <c r="B563" s="15" t="inlineStr">
        <is>
          <t xml:space="preserve">PUM102501</t>
        </is>
      </c>
      <c r="C563" s="15" t="inlineStr">
        <is>
          <t xml:space="preserve">P060112</t>
        </is>
      </c>
      <c r="D563" s="15" t="inlineStr">
        <is>
          <t xml:space="preserve">Pure Michigen</t>
        </is>
      </c>
      <c r="E563" s="15" t="inlineStr">
        <is>
          <t xml:space="preserve">8 Loss on drying</t>
        </is>
      </c>
      <c r="F563" s="15" t="inlineStr">
        <is>
          <t xml:space="preserve">READ IN THIS PASS</t>
        </is>
      </c>
      <c r="G563" s="15" t="inlineStr">
        <is>
          <t xml:space="preserve">031-2-LoD/26</t>
        </is>
      </c>
      <c r="H563" s="15" t="inlineStr">
        <is>
          <t xml:space="preserve">11.02.2026</t>
        </is>
      </c>
      <c r="I563" s="15" t="inlineStr">
        <is>
          <t xml:space="preserve">FHM</t>
        </is>
      </c>
      <c r="J563" s="15" t="inlineStr">
        <is>
          <t xml:space="preserve">in eCoA_DATABASE</t>
        </is>
      </c>
      <c r="K563" s="15"/>
      <c r="L563" s="15" t="inlineStr">
        <is>
          <t xml:space="preserve">6,4 %</t>
        </is>
      </c>
      <c r="M563" s="15"/>
    </row>
    <row r="564">
      <c r="A564" s="15" t="inlineStr">
        <is>
          <t xml:space="preserve">2</t>
        </is>
      </c>
      <c r="B564" s="15" t="inlineStr">
        <is>
          <t xml:space="preserve">PUM102501</t>
        </is>
      </c>
      <c r="C564" s="15" t="inlineStr">
        <is>
          <t xml:space="preserve">P060112</t>
        </is>
      </c>
      <c r="D564" s="15" t="inlineStr">
        <is>
          <t xml:space="preserve">Pure Michigen</t>
        </is>
      </c>
      <c r="E564" s="15" t="inlineStr">
        <is>
          <t xml:space="preserve">9 Microbiological purity</t>
        </is>
      </c>
      <c r="F564" s="15" t="inlineStr">
        <is>
          <t xml:space="preserve">READ IN THIS PASS</t>
        </is>
      </c>
      <c r="G564" s="15" t="inlineStr">
        <is>
          <t xml:space="preserve">74/0117/26</t>
        </is>
      </c>
      <c r="H564" s="15" t="inlineStr">
        <is>
          <t xml:space="preserve">09.02.2026</t>
        </is>
      </c>
      <c r="I564" s="15" t="inlineStr">
        <is>
          <t xml:space="preserve">IJZ-MB</t>
        </is>
      </c>
      <c r="J564" s="15" t="inlineStr">
        <is>
          <t xml:space="preserve">in eCoA_DATABASE</t>
        </is>
      </c>
      <c r="K564" s="15"/>
      <c r="L564" s="15" t="inlineStr">
        <is>
          <t xml:space="preserve">5 x 10¹ CFU/g CFU/g; 5 x 10¹ CFU/g CFU/g; &lt; 10 CFU/g CFU/g; Одговара; Одговара</t>
        </is>
      </c>
      <c r="M564" s="15"/>
    </row>
    <row r="565">
      <c r="A565" s="15" t="inlineStr">
        <is>
          <t xml:space="preserve">2</t>
        </is>
      </c>
      <c r="B565" s="15" t="inlineStr">
        <is>
          <t xml:space="preserve">PUM102501</t>
        </is>
      </c>
      <c r="C565" s="15" t="inlineStr">
        <is>
          <t xml:space="preserve">P060112</t>
        </is>
      </c>
      <c r="D565" s="15" t="inlineStr">
        <is>
          <t xml:space="preserve">Pure Michigen</t>
        </is>
      </c>
      <c r="E565" s="15" t="inlineStr">
        <is>
          <t xml:space="preserve">10 Mycotoxins</t>
        </is>
      </c>
      <c r="F565" s="15" t="inlineStr">
        <is>
          <t xml:space="preserve">READ IN THIS PASS</t>
        </is>
      </c>
      <c r="G565" s="15" t="inlineStr">
        <is>
          <t xml:space="preserve">327/2026</t>
        </is>
      </c>
      <c r="H565" s="15" t="inlineStr">
        <is>
          <t xml:space="preserve">11.02.2026</t>
        </is>
      </c>
      <c r="I565" s="15" t="inlineStr">
        <is>
          <t xml:space="preserve">IJZ</t>
        </is>
      </c>
      <c r="J565" s="15" t="inlineStr">
        <is>
          <t xml:space="preserve">in eCoA_DATABASE</t>
        </is>
      </c>
      <c r="K565" s="15"/>
      <c r="L565" s="15" t="inlineStr">
        <is>
          <t xml:space="preserve">&lt; 2 µg/kg</t>
        </is>
      </c>
      <c r="M565" s="15"/>
    </row>
    <row r="566">
      <c r="A566" s="15" t="inlineStr">
        <is>
          <t xml:space="preserve">2</t>
        </is>
      </c>
      <c r="B566" s="15" t="inlineStr">
        <is>
          <t xml:space="preserve">PUM102501</t>
        </is>
      </c>
      <c r="C566" s="15" t="inlineStr">
        <is>
          <t xml:space="preserve">P060112</t>
        </is>
      </c>
      <c r="D566" s="15" t="inlineStr">
        <is>
          <t xml:space="preserve">Pure Michigen</t>
        </is>
      </c>
      <c r="E566" s="15" t="inlineStr">
        <is>
          <t xml:space="preserve">11 Heavy metals</t>
        </is>
      </c>
      <c r="F566" s="15" t="inlineStr">
        <is>
          <t xml:space="preserve">READ IN THIS PASS</t>
        </is>
      </c>
      <c r="G566" s="15" t="inlineStr">
        <is>
          <t xml:space="preserve">327/2026</t>
        </is>
      </c>
      <c r="H566" s="15" t="inlineStr">
        <is>
          <t xml:space="preserve">11.02.2026</t>
        </is>
      </c>
      <c r="I566" s="15" t="inlineStr">
        <is>
          <t xml:space="preserve">IJZ</t>
        </is>
      </c>
      <c r="J566" s="15" t="inlineStr">
        <is>
          <t xml:space="preserve">in eCoA_DATABASE</t>
        </is>
      </c>
      <c r="K566" s="15"/>
      <c r="L566" s="15" t="inlineStr">
        <is>
          <t xml:space="preserve">0,078 mg/kg(l); н.д. mg/kg(l); 0,0187 mg/kg(l); н.д. mg/kg(l)</t>
        </is>
      </c>
      <c r="M566" s="15"/>
    </row>
    <row r="567">
      <c r="A567" s="15" t="inlineStr">
        <is>
          <t xml:space="preserve">2</t>
        </is>
      </c>
      <c r="B567" s="15" t="inlineStr">
        <is>
          <t xml:space="preserve">PUM102501</t>
        </is>
      </c>
      <c r="C567" s="15" t="inlineStr">
        <is>
          <t xml:space="preserve">P060112</t>
        </is>
      </c>
      <c r="D567" s="15" t="inlineStr">
        <is>
          <t xml:space="preserve">Pure Michigen</t>
        </is>
      </c>
      <c r="E567" s="15" t="inlineStr">
        <is>
          <t xml:space="preserve">12 Pesticide residues</t>
        </is>
      </c>
      <c r="F567" s="15" t="inlineStr">
        <is>
          <t xml:space="preserve">READ IN THIS PASS</t>
        </is>
      </c>
      <c r="G567" s="15" t="inlineStr">
        <is>
          <t xml:space="preserve">327/2026</t>
        </is>
      </c>
      <c r="H567" s="15" t="inlineStr">
        <is>
          <t xml:space="preserve">11.02.2026</t>
        </is>
      </c>
      <c r="I567" s="15" t="inlineStr">
        <is>
          <t xml:space="preserve">IJZ</t>
        </is>
      </c>
      <c r="J567" s="15" t="inlineStr">
        <is>
          <t xml:space="preserve">in eCoA_DATABASE</t>
        </is>
      </c>
      <c r="K567" s="15"/>
      <c r="L567" s="15" t="inlineStr">
        <is>
          <t xml:space="preserve">н.д. mg/kg; н.д. mg/kg; н.д. mg/kg; н.д. mg/kg; н.д. mg/kg; н.д. mg/kg; н.д. mg/kg; н.д. mg/kg; н.д. mg/kg; н.д. mg/kg; н.д. mg/kg; н.д. mg/kg; н.д. mg/Kg; н.д. mg/kg; н.д. mg/kg; н.д. mg/kg; н.д. mg/kg; н.д. mg/kg; н.д. mg/kg; н.д. mg/kg; н.д. mg/kg; н.д. mg/kg; н.д. mg/kg; н.д. mg/kg; н.д. mg/kg; </t>
        </is>
      </c>
      <c r="M567" s="15"/>
    </row>
    <row r="568">
      <c r="A568" s="15" t="inlineStr">
        <is>
          <t xml:space="preserve">2</t>
        </is>
      </c>
      <c r="B568" s="15" t="inlineStr">
        <is>
          <t xml:space="preserve">SCR112501</t>
        </is>
      </c>
      <c r="C568" s="15" t="inlineStr">
        <is>
          <t xml:space="preserve">P060282</t>
        </is>
      </c>
      <c r="D568" s="15" t="inlineStr">
        <is>
          <t xml:space="preserve">Scrambler</t>
        </is>
      </c>
      <c r="E568" s="15" t="inlineStr">
        <is>
          <t xml:space="preserve">1 Identification A — appearance</t>
        </is>
      </c>
      <c r="F568" s="15" t="inlineStr">
        <is>
          <t xml:space="preserve">CITED</t>
        </is>
      </c>
      <c r="G568" s="15" t="inlineStr">
        <is>
          <t xml:space="preserve">iCoA-PP_26-061</t>
        </is>
      </c>
      <c r="H568" s="15" t="inlineStr">
        <is>
          <t xml:space="preserve">18.05.2026</t>
        </is>
      </c>
      <c r="I568" s="15" t="inlineStr">
        <is>
          <t xml:space="preserve">PP</t>
        </is>
      </c>
      <c r="J568" s="15" t="inlineStr">
        <is>
          <t xml:space="preserve">planned, NOT ISSUED (2026-05-25)</t>
        </is>
      </c>
      <c r="K568" s="15" t="inlineStr">
        <is>
          <t xml:space="preserve">YES — the certificate has not been issued</t>
        </is>
      </c>
      <c r="L568" s="15" t="inlineStr">
        <is>
          <t xml:space="preserve">Conforms</t>
        </is>
      </c>
      <c r="M568" s="15"/>
    </row>
    <row r="569">
      <c r="A569" s="15" t="inlineStr">
        <is>
          <t xml:space="preserve">2</t>
        </is>
      </c>
      <c r="B569" s="15" t="inlineStr">
        <is>
          <t xml:space="preserve">SCR112501</t>
        </is>
      </c>
      <c r="C569" s="15" t="inlineStr">
        <is>
          <t xml:space="preserve">P060282</t>
        </is>
      </c>
      <c r="D569" s="15" t="inlineStr">
        <is>
          <t xml:space="preserve">Scrambler</t>
        </is>
      </c>
      <c r="E569" s="15" t="inlineStr">
        <is>
          <t xml:space="preserve">2 Identification B — microscopy</t>
        </is>
      </c>
      <c r="F569" s="15" t="inlineStr">
        <is>
          <t xml:space="preserve">CITED</t>
        </is>
      </c>
      <c r="G569" s="15" t="inlineStr">
        <is>
          <t xml:space="preserve">iCoA-PP_26-061</t>
        </is>
      </c>
      <c r="H569" s="15" t="inlineStr">
        <is>
          <t xml:space="preserve">18.05.2026</t>
        </is>
      </c>
      <c r="I569" s="15" t="inlineStr">
        <is>
          <t xml:space="preserve">PP</t>
        </is>
      </c>
      <c r="J569" s="15" t="inlineStr">
        <is>
          <t xml:space="preserve">planned, NOT ISSUED (2026-05-25)</t>
        </is>
      </c>
      <c r="K569" s="15" t="inlineStr">
        <is>
          <t xml:space="preserve">YES — the certificate has not been issued</t>
        </is>
      </c>
      <c r="L569" s="15" t="inlineStr">
        <is>
          <t xml:space="preserve">Conforms</t>
        </is>
      </c>
      <c r="M569" s="15"/>
    </row>
    <row r="570">
      <c r="A570" s="15" t="inlineStr">
        <is>
          <t xml:space="preserve">2</t>
        </is>
      </c>
      <c r="B570" s="15" t="inlineStr">
        <is>
          <t xml:space="preserve">SCR112501</t>
        </is>
      </c>
      <c r="C570" s="15" t="inlineStr">
        <is>
          <t xml:space="preserve">P060282</t>
        </is>
      </c>
      <c r="D570" s="15" t="inlineStr">
        <is>
          <t xml:space="preserve">Scrambler</t>
        </is>
      </c>
      <c r="E570" s="15" t="inlineStr">
        <is>
          <t xml:space="preserve">3 Identification C — HPLC</t>
        </is>
      </c>
      <c r="F570" s="15" t="inlineStr">
        <is>
          <t xml:space="preserve">CITED</t>
        </is>
      </c>
      <c r="G570" s="15" t="inlineStr">
        <is>
          <t xml:space="preserve">ППК26069</t>
        </is>
      </c>
      <c r="H570" s="15" t="inlineStr">
        <is>
          <t xml:space="preserve">11.05.2026</t>
        </is>
      </c>
      <c r="I570" s="15" t="inlineStr">
        <is>
          <t xml:space="preserve">CNP</t>
        </is>
      </c>
      <c r="J570" s="15" t="inlineStr">
        <is>
          <t xml:space="preserve">in eCoA_DATABASE</t>
        </is>
      </c>
      <c r="K570" s="15"/>
      <c r="L570" s="15" t="inlineStr">
        <is>
          <t xml:space="preserve">identity by the HPLC cannabinoid profile on this certificate</t>
        </is>
      </c>
      <c r="M570" s="15" t="inlineStr">
        <is>
          <t xml:space="preserve">220-26-K/26</t>
        </is>
      </c>
    </row>
    <row r="571">
      <c r="A571" s="15" t="inlineStr">
        <is>
          <t xml:space="preserve">2</t>
        </is>
      </c>
      <c r="B571" s="15" t="inlineStr">
        <is>
          <t xml:space="preserve">SCR112501</t>
        </is>
      </c>
      <c r="C571" s="15" t="inlineStr">
        <is>
          <t xml:space="preserve">P060282</t>
        </is>
      </c>
      <c r="D571" s="15" t="inlineStr">
        <is>
          <t xml:space="preserve">Scrambler</t>
        </is>
      </c>
      <c r="E571" s="15" t="inlineStr">
        <is>
          <t xml:space="preserve">4 Assay — Total Δ⁹-THC</t>
        </is>
      </c>
      <c r="F571" s="15" t="inlineStr">
        <is>
          <t xml:space="preserve">CITED</t>
        </is>
      </c>
      <c r="G571" s="15" t="inlineStr">
        <is>
          <t xml:space="preserve">ППК26069</t>
        </is>
      </c>
      <c r="H571" s="15" t="inlineStr">
        <is>
          <t xml:space="preserve">11.05.2026</t>
        </is>
      </c>
      <c r="I571" s="15" t="inlineStr">
        <is>
          <t xml:space="preserve">CNP</t>
        </is>
      </c>
      <c r="J571" s="15" t="inlineStr">
        <is>
          <t xml:space="preserve">in eCoA_DATABASE</t>
        </is>
      </c>
      <c r="K571" s="15"/>
      <c r="L571" s="15" t="inlineStr">
        <is>
          <t xml:space="preserve">0.64 % %; 18.80 % %; 17.13 % %</t>
        </is>
      </c>
      <c r="M571" s="15" t="inlineStr">
        <is>
          <t xml:space="preserve">220-26-K/26</t>
        </is>
      </c>
    </row>
    <row r="572">
      <c r="A572" s="15" t="inlineStr">
        <is>
          <t xml:space="preserve">2</t>
        </is>
      </c>
      <c r="B572" s="15" t="inlineStr">
        <is>
          <t xml:space="preserve">SCR112501</t>
        </is>
      </c>
      <c r="C572" s="15" t="inlineStr">
        <is>
          <t xml:space="preserve">P060282</t>
        </is>
      </c>
      <c r="D572" s="15" t="inlineStr">
        <is>
          <t xml:space="preserve">Scrambler</t>
        </is>
      </c>
      <c r="E572" s="15" t="inlineStr">
        <is>
          <t xml:space="preserve">5 Assay — Total CBD</t>
        </is>
      </c>
      <c r="F572" s="15" t="inlineStr">
        <is>
          <t xml:space="preserve">CITED</t>
        </is>
      </c>
      <c r="G572" s="15" t="inlineStr">
        <is>
          <t xml:space="preserve">ППК26069</t>
        </is>
      </c>
      <c r="H572" s="15" t="inlineStr">
        <is>
          <t xml:space="preserve">11.05.2026</t>
        </is>
      </c>
      <c r="I572" s="15" t="inlineStr">
        <is>
          <t xml:space="preserve">CNP</t>
        </is>
      </c>
      <c r="J572" s="15" t="inlineStr">
        <is>
          <t xml:space="preserve">in eCoA_DATABASE</t>
        </is>
      </c>
      <c r="K572" s="15"/>
      <c r="L572" s="15" t="inlineStr">
        <is>
          <t xml:space="preserve">0.05 % %; BLQ %; 0.04 % %</t>
        </is>
      </c>
      <c r="M572" s="15" t="inlineStr">
        <is>
          <t xml:space="preserve">220-26-K/26</t>
        </is>
      </c>
    </row>
    <row r="573">
      <c r="A573" s="15" t="inlineStr">
        <is>
          <t xml:space="preserve">2</t>
        </is>
      </c>
      <c r="B573" s="15" t="inlineStr">
        <is>
          <t xml:space="preserve">SCR112501</t>
        </is>
      </c>
      <c r="C573" s="15" t="inlineStr">
        <is>
          <t xml:space="preserve">P060282</t>
        </is>
      </c>
      <c r="D573" s="15" t="inlineStr">
        <is>
          <t xml:space="preserve">Scrambler</t>
        </is>
      </c>
      <c r="E573" s="15" t="inlineStr">
        <is>
          <t xml:space="preserve">6 Total CBN</t>
        </is>
      </c>
      <c r="F573" s="15" t="inlineStr">
        <is>
          <t xml:space="preserve">CITED</t>
        </is>
      </c>
      <c r="G573" s="15" t="inlineStr">
        <is>
          <t xml:space="preserve">ППК26069</t>
        </is>
      </c>
      <c r="H573" s="15" t="inlineStr">
        <is>
          <t xml:space="preserve">11.05.2026</t>
        </is>
      </c>
      <c r="I573" s="15" t="inlineStr">
        <is>
          <t xml:space="preserve">CNP</t>
        </is>
      </c>
      <c r="J573" s="15" t="inlineStr">
        <is>
          <t xml:space="preserve">in eCoA_DATABASE</t>
        </is>
      </c>
      <c r="K573" s="15"/>
      <c r="L573" s="15" t="inlineStr">
        <is>
          <t xml:space="preserve">BLQ %</t>
        </is>
      </c>
      <c r="M573" s="15" t="inlineStr">
        <is>
          <t xml:space="preserve">220-26-K/26</t>
        </is>
      </c>
    </row>
    <row r="574">
      <c r="A574" s="15" t="inlineStr">
        <is>
          <t xml:space="preserve">2</t>
        </is>
      </c>
      <c r="B574" s="15" t="inlineStr">
        <is>
          <t xml:space="preserve">SCR112501</t>
        </is>
      </c>
      <c r="C574" s="15" t="inlineStr">
        <is>
          <t xml:space="preserve">P060282</t>
        </is>
      </c>
      <c r="D574" s="15" t="inlineStr">
        <is>
          <t xml:space="preserve">Scrambler</t>
        </is>
      </c>
      <c r="E574" s="15" t="inlineStr">
        <is>
          <t xml:space="preserve">7 Foreign matter</t>
        </is>
      </c>
      <c r="F574" s="15" t="inlineStr">
        <is>
          <t xml:space="preserve">CITED</t>
        </is>
      </c>
      <c r="G574" s="15" t="inlineStr">
        <is>
          <t xml:space="preserve">iCoA-PP_26-061</t>
        </is>
      </c>
      <c r="H574" s="15" t="inlineStr">
        <is>
          <t xml:space="preserve">18.05.2026</t>
        </is>
      </c>
      <c r="I574" s="15" t="inlineStr">
        <is>
          <t xml:space="preserve">PP</t>
        </is>
      </c>
      <c r="J574" s="15" t="inlineStr">
        <is>
          <t xml:space="preserve">planned, NOT ISSUED (2026-05-25)</t>
        </is>
      </c>
      <c r="K574" s="15" t="inlineStr">
        <is>
          <t xml:space="preserve">YES — the certificate has not been issued</t>
        </is>
      </c>
      <c r="L574" s="15" t="inlineStr">
        <is>
          <t xml:space="preserve">Conforms</t>
        </is>
      </c>
      <c r="M574" s="15"/>
    </row>
    <row r="575">
      <c r="A575" s="15" t="inlineStr">
        <is>
          <t xml:space="preserve">2</t>
        </is>
      </c>
      <c r="B575" s="15" t="inlineStr">
        <is>
          <t xml:space="preserve">SCR112501</t>
        </is>
      </c>
      <c r="C575" s="15" t="inlineStr">
        <is>
          <t xml:space="preserve">P060282</t>
        </is>
      </c>
      <c r="D575" s="15" t="inlineStr">
        <is>
          <t xml:space="preserve">Scrambler</t>
        </is>
      </c>
      <c r="E575" s="15" t="inlineStr">
        <is>
          <t xml:space="preserve">8 Loss on drying</t>
        </is>
      </c>
      <c r="F575" s="15" t="inlineStr">
        <is>
          <t xml:space="preserve">CITED</t>
        </is>
      </c>
      <c r="G575" s="15" t="inlineStr">
        <is>
          <t xml:space="preserve">ППК26069</t>
        </is>
      </c>
      <c r="H575" s="15" t="inlineStr">
        <is>
          <t xml:space="preserve">11.05.2026</t>
        </is>
      </c>
      <c r="I575" s="15" t="inlineStr">
        <is>
          <t xml:space="preserve">CNP</t>
        </is>
      </c>
      <c r="J575" s="15" t="inlineStr">
        <is>
          <t xml:space="preserve">in eCoA_DATABASE</t>
        </is>
      </c>
      <c r="K575" s="15"/>
      <c r="L575" s="15" t="inlineStr">
        <is>
          <t xml:space="preserve">6.84 % %</t>
        </is>
      </c>
      <c r="M575" s="15"/>
    </row>
    <row r="576">
      <c r="A576" s="15" t="inlineStr">
        <is>
          <t xml:space="preserve">2</t>
        </is>
      </c>
      <c r="B576" s="15" t="inlineStr">
        <is>
          <t xml:space="preserve">SCR112501</t>
        </is>
      </c>
      <c r="C576" s="15" t="inlineStr">
        <is>
          <t xml:space="preserve">P060282</t>
        </is>
      </c>
      <c r="D576" s="15" t="inlineStr">
        <is>
          <t xml:space="preserve">Scrambler</t>
        </is>
      </c>
      <c r="E576" s="15" t="inlineStr">
        <is>
          <t xml:space="preserve">9 Microbiological purity</t>
        </is>
      </c>
      <c r="F576" s="15" t="inlineStr">
        <is>
          <t xml:space="preserve">CITED</t>
        </is>
      </c>
      <c r="G576" s="15" t="inlineStr">
        <is>
          <t xml:space="preserve">305-0549-26</t>
        </is>
      </c>
      <c r="H576" s="15" t="inlineStr">
        <is>
          <t xml:space="preserve">28.04.2026</t>
        </is>
      </c>
      <c r="I576" s="15" t="inlineStr">
        <is>
          <t xml:space="preserve">IJZ-MB</t>
        </is>
      </c>
      <c r="J576" s="15" t="inlineStr">
        <is>
          <t xml:space="preserve">in eCoA_DATABASE</t>
        </is>
      </c>
      <c r="K576" s="15"/>
      <c r="L576" s="15" t="inlineStr">
        <is>
          <t xml:space="preserve">2,3 x 10³ CFU/g CFU/g; 4,3 x 10³ CFU/g CFU/g; &lt; 10³ и &gt;10² CFU/g CFU/g; отсутна/g /g; отсутна/25 /25 g; 2,3 x 10³ CFU/g CFU/g; 4,3 x 10³ CFU/g CFU/g; &lt;10³ и &gt;10² CFU/g CFU/g; отсутна/g; отсутна/25</t>
        </is>
      </c>
      <c r="M576" s="15"/>
    </row>
    <row r="577">
      <c r="A577" s="15" t="inlineStr">
        <is>
          <t xml:space="preserve">2</t>
        </is>
      </c>
      <c r="B577" s="15" t="inlineStr">
        <is>
          <t xml:space="preserve">SCR112501</t>
        </is>
      </c>
      <c r="C577" s="15" t="inlineStr">
        <is>
          <t xml:space="preserve">P060282</t>
        </is>
      </c>
      <c r="D577" s="15" t="inlineStr">
        <is>
          <t xml:space="preserve">Scrambler</t>
        </is>
      </c>
      <c r="E577" s="15" t="inlineStr">
        <is>
          <t xml:space="preserve">10 Mycotoxins</t>
        </is>
      </c>
      <c r="F577" s="15" t="inlineStr">
        <is>
          <t xml:space="preserve">CITED</t>
        </is>
      </c>
      <c r="G577" s="15" t="inlineStr">
        <is>
          <t xml:space="preserve">2360-2026</t>
        </is>
      </c>
      <c r="H577" s="15" t="inlineStr">
        <is>
          <t xml:space="preserve">29.04.2026</t>
        </is>
      </c>
      <c r="I577" s="15" t="inlineStr">
        <is>
          <t xml:space="preserve">IJZ</t>
        </is>
      </c>
      <c r="J577" s="15" t="inlineStr">
        <is>
          <t xml:space="preserve">in eCoA_DATABASE</t>
        </is>
      </c>
      <c r="K577" s="15"/>
      <c r="L577" s="15" t="inlineStr">
        <is>
          <t xml:space="preserve">&lt; 2 µg/kg</t>
        </is>
      </c>
      <c r="M577" s="15"/>
    </row>
    <row r="578">
      <c r="A578" s="15" t="inlineStr">
        <is>
          <t xml:space="preserve">2</t>
        </is>
      </c>
      <c r="B578" s="15" t="inlineStr">
        <is>
          <t xml:space="preserve">SCR112501</t>
        </is>
      </c>
      <c r="C578" s="15" t="inlineStr">
        <is>
          <t xml:space="preserve">P060282</t>
        </is>
      </c>
      <c r="D578" s="15" t="inlineStr">
        <is>
          <t xml:space="preserve">Scrambler</t>
        </is>
      </c>
      <c r="E578" s="15" t="inlineStr">
        <is>
          <t xml:space="preserve">11 Heavy metals</t>
        </is>
      </c>
      <c r="F578" s="15" t="inlineStr">
        <is>
          <t xml:space="preserve">CITED</t>
        </is>
      </c>
      <c r="G578" s="15" t="inlineStr">
        <is>
          <t xml:space="preserve">2360-2026</t>
        </is>
      </c>
      <c r="H578" s="15" t="inlineStr">
        <is>
          <t xml:space="preserve">29.04.2026</t>
        </is>
      </c>
      <c r="I578" s="15" t="inlineStr">
        <is>
          <t xml:space="preserve">IJZ</t>
        </is>
      </c>
      <c r="J578" s="15" t="inlineStr">
        <is>
          <t xml:space="preserve">in eCoA_DATABASE</t>
        </is>
      </c>
      <c r="K578" s="15"/>
      <c r="L578" s="15" t="inlineStr">
        <is>
          <t xml:space="preserve">0,0299 mg/kg; 0,0136 mg/kg(l); 0,0154 mg/kg(l); 0,017 mg/kg(l)</t>
        </is>
      </c>
      <c r="M578" s="15"/>
    </row>
    <row r="579">
      <c r="A579" s="15" t="inlineStr">
        <is>
          <t xml:space="preserve">2</t>
        </is>
      </c>
      <c r="B579" s="15" t="inlineStr">
        <is>
          <t xml:space="preserve">SCR112501</t>
        </is>
      </c>
      <c r="C579" s="15" t="inlineStr">
        <is>
          <t xml:space="preserve">P060282</t>
        </is>
      </c>
      <c r="D579" s="15" t="inlineStr">
        <is>
          <t xml:space="preserve">Scrambler</t>
        </is>
      </c>
      <c r="E579" s="15" t="inlineStr">
        <is>
          <t xml:space="preserve">12 Pesticide residues</t>
        </is>
      </c>
      <c r="F579" s="15" t="inlineStr">
        <is>
          <t xml:space="preserve">CITED</t>
        </is>
      </c>
      <c r="G579" s="15" t="inlineStr">
        <is>
          <t xml:space="preserve">2360-2026</t>
        </is>
      </c>
      <c r="H579" s="15" t="inlineStr">
        <is>
          <t xml:space="preserve">29.04.2026</t>
        </is>
      </c>
      <c r="I579" s="15" t="inlineStr">
        <is>
          <t xml:space="preserve">IJZ</t>
        </is>
      </c>
      <c r="J579" s="15" t="inlineStr">
        <is>
          <t xml:space="preserve">in eCoA_DATABASE</t>
        </is>
      </c>
      <c r="K579" s="15"/>
      <c r="L579" s="15" t="inlineStr">
        <is>
          <t xml:space="preserve">н.д. mg/kg; н.д. mg/kg; н.д. mg/kg; н.д. mg/kg; н.д. mg/kg; н.д. mg/kg; н.д. mg/kg; н.д. mg/kg; н.д. mg/kg; н.д. mg/kg; н.д. mg/kg; н.д. mg/kg; н.д. mg/Kg; н.д. mg/kg; н.д. mg/kg; н.д. mg/kg; н.д. mg/kg; н.д. mg/kg; н.д. mg/kg; н.д. mg/kg; н.д. mg/kg; н.д. mg/kg; н.д. mg/kg; н.д. mg/kg; н.д. mg/kg; </t>
        </is>
      </c>
      <c r="M579" s="15"/>
    </row>
    <row r="580">
      <c r="A580" s="15" t="inlineStr">
        <is>
          <t xml:space="preserve">2</t>
        </is>
      </c>
      <c r="B580" s="15" t="inlineStr">
        <is>
          <t xml:space="preserve">SJ092501</t>
        </is>
      </c>
      <c r="C580" s="15" t="inlineStr">
        <is>
          <t xml:space="preserve">—</t>
        </is>
      </c>
      <c r="D580" s="15" t="inlineStr">
        <is>
          <t xml:space="preserve">Sleepy Joe</t>
        </is>
      </c>
      <c r="E580" s="15" t="inlineStr">
        <is>
          <t xml:space="preserve">1 Identification A — appearance</t>
        </is>
      </c>
      <c r="F580" s="15" t="inlineStr">
        <is>
          <t xml:space="preserve">ON FILE, NOT READ</t>
        </is>
      </c>
      <c r="G580" s="15" t="inlineStr">
        <is>
          <t xml:space="preserve">—</t>
        </is>
      </c>
      <c r="H580" s="15" t="inlineStr">
        <is>
          <t xml:space="preserve">—</t>
        </is>
      </c>
      <c r="I580" s="15" t="inlineStr">
        <is>
          <t xml:space="preserve">—</t>
        </is>
      </c>
      <c r="J580" s="15" t="inlineStr">
        <is>
          <t xml:space="preserve">in eCoA_DATABASE/_IN-HOUSE_PP</t>
        </is>
      </c>
      <c r="K580" s="15"/>
      <c r="L580" s="15" t="inlineStr">
        <is>
          <t xml:space="preserve">—</t>
        </is>
      </c>
      <c r="M580" s="15"/>
    </row>
    <row r="581">
      <c r="A581" s="15" t="inlineStr">
        <is>
          <t xml:space="preserve">2</t>
        </is>
      </c>
      <c r="B581" s="15" t="inlineStr">
        <is>
          <t xml:space="preserve">SJ092501</t>
        </is>
      </c>
      <c r="C581" s="15" t="inlineStr">
        <is>
          <t xml:space="preserve">—</t>
        </is>
      </c>
      <c r="D581" s="15" t="inlineStr">
        <is>
          <t xml:space="preserve">Sleepy Joe</t>
        </is>
      </c>
      <c r="E581" s="15" t="inlineStr">
        <is>
          <t xml:space="preserve">2 Identification B — microscopy</t>
        </is>
      </c>
      <c r="F581" s="15" t="inlineStr">
        <is>
          <t xml:space="preserve">ON FILE, NOT READ</t>
        </is>
      </c>
      <c r="G581" s="15" t="inlineStr">
        <is>
          <t xml:space="preserve">—</t>
        </is>
      </c>
      <c r="H581" s="15" t="inlineStr">
        <is>
          <t xml:space="preserve">—</t>
        </is>
      </c>
      <c r="I581" s="15" t="inlineStr">
        <is>
          <t xml:space="preserve">—</t>
        </is>
      </c>
      <c r="J581" s="15" t="inlineStr">
        <is>
          <t xml:space="preserve">in eCoA_DATABASE/_IN-HOUSE_PP</t>
        </is>
      </c>
      <c r="K581" s="15"/>
      <c r="L581" s="15" t="inlineStr">
        <is>
          <t xml:space="preserve">—</t>
        </is>
      </c>
      <c r="M581" s="15"/>
    </row>
    <row r="582">
      <c r="A582" s="15" t="inlineStr">
        <is>
          <t xml:space="preserve">2</t>
        </is>
      </c>
      <c r="B582" s="15" t="inlineStr">
        <is>
          <t xml:space="preserve">SJ092501</t>
        </is>
      </c>
      <c r="C582" s="15" t="inlineStr">
        <is>
          <t xml:space="preserve">—</t>
        </is>
      </c>
      <c r="D582" s="15" t="inlineStr">
        <is>
          <t xml:space="preserve">Sleepy Joe</t>
        </is>
      </c>
      <c r="E582" s="15" t="inlineStr">
        <is>
          <t xml:space="preserve">3 Identification C — HPLC</t>
        </is>
      </c>
      <c r="F582" s="15" t="inlineStr">
        <is>
          <t xml:space="preserve">READ IN THIS PASS</t>
        </is>
      </c>
      <c r="G582" s="15" t="inlineStr">
        <is>
          <t xml:space="preserve">ППК26006</t>
        </is>
      </c>
      <c r="H582" s="15" t="inlineStr">
        <is>
          <t xml:space="preserve">21.01.2026</t>
        </is>
      </c>
      <c r="I582" s="15" t="inlineStr">
        <is>
          <t xml:space="preserve">CNP</t>
        </is>
      </c>
      <c r="J582" s="15" t="inlineStr">
        <is>
          <t xml:space="preserve">in eCoA_DATABASE</t>
        </is>
      </c>
      <c r="K582" s="15"/>
      <c r="L582" s="15" t="inlineStr">
        <is>
          <t xml:space="preserve">identity by the HPLC cannabinoid profile on this certificate</t>
        </is>
      </c>
      <c r="M582" s="15" t="inlineStr">
        <is>
          <t xml:space="preserve">220-27-K/26</t>
        </is>
      </c>
    </row>
    <row r="583">
      <c r="A583" s="15" t="inlineStr">
        <is>
          <t xml:space="preserve">2</t>
        </is>
      </c>
      <c r="B583" s="15" t="inlineStr">
        <is>
          <t xml:space="preserve">SJ092501</t>
        </is>
      </c>
      <c r="C583" s="15" t="inlineStr">
        <is>
          <t xml:space="preserve">—</t>
        </is>
      </c>
      <c r="D583" s="15" t="inlineStr">
        <is>
          <t xml:space="preserve">Sleepy Joe</t>
        </is>
      </c>
      <c r="E583" s="15" t="inlineStr">
        <is>
          <t xml:space="preserve">4 Assay — Total Δ⁹-THC</t>
        </is>
      </c>
      <c r="F583" s="15" t="inlineStr">
        <is>
          <t xml:space="preserve">READ IN THIS PASS</t>
        </is>
      </c>
      <c r="G583" s="15" t="inlineStr">
        <is>
          <t xml:space="preserve">ППК26006</t>
        </is>
      </c>
      <c r="H583" s="15" t="inlineStr">
        <is>
          <t xml:space="preserve">21.01.2026</t>
        </is>
      </c>
      <c r="I583" s="15" t="inlineStr">
        <is>
          <t xml:space="preserve">CNP</t>
        </is>
      </c>
      <c r="J583" s="15" t="inlineStr">
        <is>
          <t xml:space="preserve">in eCoA_DATABASE</t>
        </is>
      </c>
      <c r="K583" s="15"/>
      <c r="L583" s="15" t="inlineStr">
        <is>
          <t xml:space="preserve">0.35 %; 12.10 %; 10.96 %</t>
        </is>
      </c>
      <c r="M583" s="15" t="inlineStr">
        <is>
          <t xml:space="preserve">220-27-K/26</t>
        </is>
      </c>
    </row>
    <row r="584">
      <c r="A584" s="15" t="inlineStr">
        <is>
          <t xml:space="preserve">2</t>
        </is>
      </c>
      <c r="B584" s="15" t="inlineStr">
        <is>
          <t xml:space="preserve">SJ092501</t>
        </is>
      </c>
      <c r="C584" s="15" t="inlineStr">
        <is>
          <t xml:space="preserve">—</t>
        </is>
      </c>
      <c r="D584" s="15" t="inlineStr">
        <is>
          <t xml:space="preserve">Sleepy Joe</t>
        </is>
      </c>
      <c r="E584" s="15" t="inlineStr">
        <is>
          <t xml:space="preserve">5 Assay — Total CBD</t>
        </is>
      </c>
      <c r="F584" s="15" t="inlineStr">
        <is>
          <t xml:space="preserve">READ IN THIS PASS</t>
        </is>
      </c>
      <c r="G584" s="15" t="inlineStr">
        <is>
          <t xml:space="preserve">ППК26006</t>
        </is>
      </c>
      <c r="H584" s="15" t="inlineStr">
        <is>
          <t xml:space="preserve">21.01.2026</t>
        </is>
      </c>
      <c r="I584" s="15" t="inlineStr">
        <is>
          <t xml:space="preserve">CNP</t>
        </is>
      </c>
      <c r="J584" s="15" t="inlineStr">
        <is>
          <t xml:space="preserve">in eCoA_DATABASE</t>
        </is>
      </c>
      <c r="K584" s="15"/>
      <c r="L584" s="15" t="inlineStr">
        <is>
          <t xml:space="preserve">0.08 %; BLQ; 0.07 %</t>
        </is>
      </c>
      <c r="M584" s="15" t="inlineStr">
        <is>
          <t xml:space="preserve">220-27-K/26</t>
        </is>
      </c>
    </row>
    <row r="585">
      <c r="A585" s="15" t="inlineStr">
        <is>
          <t xml:space="preserve">2</t>
        </is>
      </c>
      <c r="B585" s="15" t="inlineStr">
        <is>
          <t xml:space="preserve">SJ092501</t>
        </is>
      </c>
      <c r="C585" s="15" t="inlineStr">
        <is>
          <t xml:space="preserve">—</t>
        </is>
      </c>
      <c r="D585" s="15" t="inlineStr">
        <is>
          <t xml:space="preserve">Sleepy Joe</t>
        </is>
      </c>
      <c r="E585" s="15" t="inlineStr">
        <is>
          <t xml:space="preserve">6 Total CBN</t>
        </is>
      </c>
      <c r="F585" s="15" t="inlineStr">
        <is>
          <t xml:space="preserve">READ IN THIS PASS</t>
        </is>
      </c>
      <c r="G585" s="15" t="inlineStr">
        <is>
          <t xml:space="preserve">ППК26006</t>
        </is>
      </c>
      <c r="H585" s="15" t="inlineStr">
        <is>
          <t xml:space="preserve">21.01.2026</t>
        </is>
      </c>
      <c r="I585" s="15" t="inlineStr">
        <is>
          <t xml:space="preserve">CNP</t>
        </is>
      </c>
      <c r="J585" s="15" t="inlineStr">
        <is>
          <t xml:space="preserve">in eCoA_DATABASE</t>
        </is>
      </c>
      <c r="K585" s="15"/>
      <c r="L585" s="15" t="inlineStr">
        <is>
          <t xml:space="preserve">BLQ</t>
        </is>
      </c>
      <c r="M585" s="15" t="inlineStr">
        <is>
          <t xml:space="preserve">220-27-K/26</t>
        </is>
      </c>
    </row>
    <row r="586">
      <c r="A586" s="15" t="inlineStr">
        <is>
          <t xml:space="preserve">2</t>
        </is>
      </c>
      <c r="B586" s="15" t="inlineStr">
        <is>
          <t xml:space="preserve">SJ092501</t>
        </is>
      </c>
      <c r="C586" s="15" t="inlineStr">
        <is>
          <t xml:space="preserve">—</t>
        </is>
      </c>
      <c r="D586" s="15" t="inlineStr">
        <is>
          <t xml:space="preserve">Sleepy Joe</t>
        </is>
      </c>
      <c r="E586" s="15" t="inlineStr">
        <is>
          <t xml:space="preserve">7 Foreign matter</t>
        </is>
      </c>
      <c r="F586" s="15" t="inlineStr">
        <is>
          <t xml:space="preserve">ON FILE, NOT READ</t>
        </is>
      </c>
      <c r="G586" s="15" t="inlineStr">
        <is>
          <t xml:space="preserve">—</t>
        </is>
      </c>
      <c r="H586" s="15" t="inlineStr">
        <is>
          <t xml:space="preserve">—</t>
        </is>
      </c>
      <c r="I586" s="15" t="inlineStr">
        <is>
          <t xml:space="preserve">—</t>
        </is>
      </c>
      <c r="J586" s="15" t="inlineStr">
        <is>
          <t xml:space="preserve">in eCoA_DATABASE/_IN-HOUSE_PP</t>
        </is>
      </c>
      <c r="K586" s="15"/>
      <c r="L586" s="15" t="inlineStr">
        <is>
          <t xml:space="preserve">—</t>
        </is>
      </c>
      <c r="M586" s="15"/>
    </row>
    <row r="587">
      <c r="A587" s="15" t="inlineStr">
        <is>
          <t xml:space="preserve">2</t>
        </is>
      </c>
      <c r="B587" s="15" t="inlineStr">
        <is>
          <t xml:space="preserve">SJ092501</t>
        </is>
      </c>
      <c r="C587" s="15" t="inlineStr">
        <is>
          <t xml:space="preserve">—</t>
        </is>
      </c>
      <c r="D587" s="15" t="inlineStr">
        <is>
          <t xml:space="preserve">Sleepy Joe</t>
        </is>
      </c>
      <c r="E587" s="15" t="inlineStr">
        <is>
          <t xml:space="preserve">8 Loss on drying</t>
        </is>
      </c>
      <c r="F587" s="15" t="inlineStr">
        <is>
          <t xml:space="preserve">READ IN THIS PASS</t>
        </is>
      </c>
      <c r="G587" s="15" t="inlineStr">
        <is>
          <t xml:space="preserve">ППК26006</t>
        </is>
      </c>
      <c r="H587" s="15" t="inlineStr">
        <is>
          <t xml:space="preserve">21.01.2026</t>
        </is>
      </c>
      <c r="I587" s="15" t="inlineStr">
        <is>
          <t xml:space="preserve">CNP</t>
        </is>
      </c>
      <c r="J587" s="15" t="inlineStr">
        <is>
          <t xml:space="preserve">in eCoA_DATABASE</t>
        </is>
      </c>
      <c r="K587" s="15"/>
      <c r="L587" s="15" t="inlineStr">
        <is>
          <t xml:space="preserve">8.68 %</t>
        </is>
      </c>
      <c r="M587" s="15"/>
    </row>
    <row r="588">
      <c r="A588" s="15" t="inlineStr">
        <is>
          <t xml:space="preserve">2</t>
        </is>
      </c>
      <c r="B588" s="15" t="inlineStr">
        <is>
          <t xml:space="preserve">SJ092501</t>
        </is>
      </c>
      <c r="C588" s="15" t="inlineStr">
        <is>
          <t xml:space="preserve">—</t>
        </is>
      </c>
      <c r="D588" s="15" t="inlineStr">
        <is>
          <t xml:space="preserve">Sleepy Joe</t>
        </is>
      </c>
      <c r="E588" s="15" t="inlineStr">
        <is>
          <t xml:space="preserve">9 Microbiological purity</t>
        </is>
      </c>
      <c r="F588" s="15" t="inlineStr">
        <is>
          <t xml:space="preserve">READ IN THIS PASS</t>
        </is>
      </c>
      <c r="G588" s="15" t="inlineStr">
        <is>
          <t xml:space="preserve">9/0012/26</t>
        </is>
      </c>
      <c r="H588" s="15" t="inlineStr">
        <is>
          <t xml:space="preserve">20.01.2026</t>
        </is>
      </c>
      <c r="I588" s="15" t="inlineStr">
        <is>
          <t xml:space="preserve">IJZ-MB</t>
        </is>
      </c>
      <c r="J588" s="15" t="inlineStr">
        <is>
          <t xml:space="preserve">in eCoA_DATABASE</t>
        </is>
      </c>
      <c r="K588" s="15"/>
      <c r="L588" s="15" t="inlineStr">
        <is>
          <t xml:space="preserve">&lt; 10 CFU/g CFU/g; &lt; 10 CFU/g CFU/g; &lt; 10 CFU/g CFU/g; Одговара /g; Одговара /25 g</t>
        </is>
      </c>
      <c r="M588" s="15"/>
    </row>
    <row r="589">
      <c r="A589" s="15" t="inlineStr">
        <is>
          <t xml:space="preserve">2</t>
        </is>
      </c>
      <c r="B589" s="15" t="inlineStr">
        <is>
          <t xml:space="preserve">SJ092501</t>
        </is>
      </c>
      <c r="C589" s="15" t="inlineStr">
        <is>
          <t xml:space="preserve">—</t>
        </is>
      </c>
      <c r="D589" s="15" t="inlineStr">
        <is>
          <t xml:space="preserve">Sleepy Joe</t>
        </is>
      </c>
      <c r="E589" s="15" t="inlineStr">
        <is>
          <t xml:space="preserve">10 Mycotoxins</t>
        </is>
      </c>
      <c r="F589" s="15" t="inlineStr">
        <is>
          <t xml:space="preserve">READ IN THIS PASS</t>
        </is>
      </c>
      <c r="G589" s="15" t="inlineStr">
        <is>
          <t xml:space="preserve">85/2026</t>
        </is>
      </c>
      <c r="H589" s="15" t="inlineStr">
        <is>
          <t xml:space="preserve">02.02.2026</t>
        </is>
      </c>
      <c r="I589" s="15" t="inlineStr">
        <is>
          <t xml:space="preserve">IJZ</t>
        </is>
      </c>
      <c r="J589" s="15" t="inlineStr">
        <is>
          <t xml:space="preserve">in eCoA_DATABASE</t>
        </is>
      </c>
      <c r="K589" s="15"/>
      <c r="L589" s="15" t="inlineStr">
        <is>
          <t xml:space="preserve">2 µg/kg</t>
        </is>
      </c>
      <c r="M589" s="15"/>
    </row>
    <row r="590">
      <c r="A590" s="15" t="inlineStr">
        <is>
          <t xml:space="preserve">2</t>
        </is>
      </c>
      <c r="B590" s="15" t="inlineStr">
        <is>
          <t xml:space="preserve">SJ092501</t>
        </is>
      </c>
      <c r="C590" s="15" t="inlineStr">
        <is>
          <t xml:space="preserve">—</t>
        </is>
      </c>
      <c r="D590" s="15" t="inlineStr">
        <is>
          <t xml:space="preserve">Sleepy Joe</t>
        </is>
      </c>
      <c r="E590" s="15" t="inlineStr">
        <is>
          <t xml:space="preserve">11 Heavy metals</t>
        </is>
      </c>
      <c r="F590" s="15" t="inlineStr">
        <is>
          <t xml:space="preserve">READ IN THIS PASS</t>
        </is>
      </c>
      <c r="G590" s="15" t="inlineStr">
        <is>
          <t xml:space="preserve">85/2026</t>
        </is>
      </c>
      <c r="H590" s="15" t="inlineStr">
        <is>
          <t xml:space="preserve">02.02.2026</t>
        </is>
      </c>
      <c r="I590" s="15" t="inlineStr">
        <is>
          <t xml:space="preserve">IJZ</t>
        </is>
      </c>
      <c r="J590" s="15" t="inlineStr">
        <is>
          <t xml:space="preserve">in eCoA_DATABASE</t>
        </is>
      </c>
      <c r="K590" s="15"/>
      <c r="L590" s="15" t="inlineStr">
        <is>
          <t xml:space="preserve">0,08 mg/kg(l); 0,003 mg/kg(l); н.д. mg/kg(l); 3,341 mg/kg(l); н.д. mg/kg(l)</t>
        </is>
      </c>
      <c r="M590" s="15"/>
    </row>
    <row r="591">
      <c r="A591" s="15" t="inlineStr">
        <is>
          <t xml:space="preserve">2</t>
        </is>
      </c>
      <c r="B591" s="15" t="inlineStr">
        <is>
          <t xml:space="preserve">SJ092501</t>
        </is>
      </c>
      <c r="C591" s="15" t="inlineStr">
        <is>
          <t xml:space="preserve">—</t>
        </is>
      </c>
      <c r="D591" s="15" t="inlineStr">
        <is>
          <t xml:space="preserve">Sleepy Joe</t>
        </is>
      </c>
      <c r="E591" s="15" t="inlineStr">
        <is>
          <t xml:space="preserve">12 Pesticide residues</t>
        </is>
      </c>
      <c r="F591" s="15" t="inlineStr">
        <is>
          <t xml:space="preserve">READ IN THIS PASS</t>
        </is>
      </c>
      <c r="G591" s="15" t="inlineStr">
        <is>
          <t xml:space="preserve">85/2026</t>
        </is>
      </c>
      <c r="H591" s="15" t="inlineStr">
        <is>
          <t xml:space="preserve">02.02.2026</t>
        </is>
      </c>
      <c r="I591" s="15" t="inlineStr">
        <is>
          <t xml:space="preserve">IJZ</t>
        </is>
      </c>
      <c r="J591" s="15" t="inlineStr">
        <is>
          <t xml:space="preserve">in eCoA_DATABASE</t>
        </is>
      </c>
      <c r="K591" s="15"/>
      <c r="L591" s="15" t="inlineStr">
        <is>
          <t xml:space="preserve">н.д. mg/kg; н.д. mg/kg; н.д. mg/kg; н.д. mg/kg; н.д. mg/kg; н.д. mg/kg; н.д. mg/kg; н.д. mg/kg; н.д. mg/kg; н.д. mg/kg; н.д. mg/kg; н.д. mg/kg; н.д. mg/Kg; н.д. mg/Kg; н.д. mg/kg; н.д. mg/kg; н.д. mg/kg; н.д. mg/kg; н.д. mg/kg; н.д. mg/kg; н.д. mg/kg; н.д. mg/kg; н.д. mg/kg; н.д. mg/kg; н.д. mg/kg; </t>
        </is>
      </c>
      <c r="M591" s="15"/>
    </row>
    <row r="592">
      <c r="A592" s="15" t="inlineStr">
        <is>
          <t xml:space="preserve">2</t>
        </is>
      </c>
      <c r="B592" s="15" t="inlineStr">
        <is>
          <t xml:space="preserve">WC082501</t>
        </is>
      </c>
      <c r="C592" s="15" t="inlineStr">
        <is>
          <t xml:space="preserve">P060012</t>
        </is>
      </c>
      <c r="D592" s="15" t="inlineStr">
        <is>
          <t xml:space="preserve">Wedding Crusher</t>
        </is>
      </c>
      <c r="E592" s="15" t="inlineStr">
        <is>
          <t xml:space="preserve">1 Identification A — appearance</t>
        </is>
      </c>
      <c r="F592" s="15" t="inlineStr">
        <is>
          <t xml:space="preserve">CITED</t>
        </is>
      </c>
      <c r="G592" s="15" t="inlineStr">
        <is>
          <t xml:space="preserve">iCoA-PP_26-037</t>
        </is>
      </c>
      <c r="H592" s="15" t="inlineStr">
        <is>
          <t xml:space="preserve">13.01.2026</t>
        </is>
      </c>
      <c r="I592" s="15" t="inlineStr">
        <is>
          <t xml:space="preserve">PP</t>
        </is>
      </c>
      <c r="J592" s="15" t="inlineStr">
        <is>
          <t xml:space="preserve">planned, NOT ISSUED (2026-05-15)</t>
        </is>
      </c>
      <c r="K592" s="15" t="inlineStr">
        <is>
          <t xml:space="preserve">YES — the certificate has not been issued</t>
        </is>
      </c>
      <c r="L592" s="15" t="inlineStr">
        <is>
          <t xml:space="preserve">Conforms</t>
        </is>
      </c>
      <c r="M592" s="15"/>
    </row>
    <row r="593">
      <c r="A593" s="15" t="inlineStr">
        <is>
          <t xml:space="preserve">2</t>
        </is>
      </c>
      <c r="B593" s="15" t="inlineStr">
        <is>
          <t xml:space="preserve">WC082501</t>
        </is>
      </c>
      <c r="C593" s="15" t="inlineStr">
        <is>
          <t xml:space="preserve">P060012</t>
        </is>
      </c>
      <c r="D593" s="15" t="inlineStr">
        <is>
          <t xml:space="preserve">Wedding Crusher</t>
        </is>
      </c>
      <c r="E593" s="15" t="inlineStr">
        <is>
          <t xml:space="preserve">2 Identification B — microscopy</t>
        </is>
      </c>
      <c r="F593" s="15" t="inlineStr">
        <is>
          <t xml:space="preserve">CITED</t>
        </is>
      </c>
      <c r="G593" s="15" t="inlineStr">
        <is>
          <t xml:space="preserve">iCoA-PP_26-037</t>
        </is>
      </c>
      <c r="H593" s="15" t="inlineStr">
        <is>
          <t xml:space="preserve">13.01.2026</t>
        </is>
      </c>
      <c r="I593" s="15" t="inlineStr">
        <is>
          <t xml:space="preserve">PP</t>
        </is>
      </c>
      <c r="J593" s="15" t="inlineStr">
        <is>
          <t xml:space="preserve">planned, NOT ISSUED (2026-05-15)</t>
        </is>
      </c>
      <c r="K593" s="15" t="inlineStr">
        <is>
          <t xml:space="preserve">YES — the certificate has not been issued</t>
        </is>
      </c>
      <c r="L593" s="15" t="inlineStr">
        <is>
          <t xml:space="preserve">Conforms</t>
        </is>
      </c>
      <c r="M593" s="15"/>
    </row>
    <row r="594">
      <c r="A594" s="15" t="inlineStr">
        <is>
          <t xml:space="preserve">2</t>
        </is>
      </c>
      <c r="B594" s="15" t="inlineStr">
        <is>
          <t xml:space="preserve">WC082501</t>
        </is>
      </c>
      <c r="C594" s="15" t="inlineStr">
        <is>
          <t xml:space="preserve">P060012</t>
        </is>
      </c>
      <c r="D594" s="15" t="inlineStr">
        <is>
          <t xml:space="preserve">Wedding Crusher</t>
        </is>
      </c>
      <c r="E594" s="15" t="inlineStr">
        <is>
          <t xml:space="preserve">3 Identification C — HPLC</t>
        </is>
      </c>
      <c r="F594" s="15" t="inlineStr">
        <is>
          <t xml:space="preserve">CITED</t>
        </is>
      </c>
      <c r="G594" s="15" t="inlineStr">
        <is>
          <t xml:space="preserve">ППК26001</t>
        </is>
      </c>
      <c r="H594" s="15" t="inlineStr">
        <is>
          <t xml:space="preserve">21.01.2026</t>
        </is>
      </c>
      <c r="I594" s="15" t="inlineStr">
        <is>
          <t xml:space="preserve">CNP</t>
        </is>
      </c>
      <c r="J594" s="15" t="inlineStr">
        <is>
          <t xml:space="preserve">in eCoA_DATABASE</t>
        </is>
      </c>
      <c r="K594" s="15"/>
      <c r="L594" s="15" t="inlineStr">
        <is>
          <t xml:space="preserve">Conforms (ImB spec.)</t>
        </is>
      </c>
      <c r="M594" s="15" t="inlineStr">
        <is>
          <t xml:space="preserve">220-28-K/26</t>
        </is>
      </c>
    </row>
    <row r="595">
      <c r="A595" s="15" t="inlineStr">
        <is>
          <t xml:space="preserve">2</t>
        </is>
      </c>
      <c r="B595" s="15" t="inlineStr">
        <is>
          <t xml:space="preserve">WC082501</t>
        </is>
      </c>
      <c r="C595" s="15" t="inlineStr">
        <is>
          <t xml:space="preserve">P060012</t>
        </is>
      </c>
      <c r="D595" s="15" t="inlineStr">
        <is>
          <t xml:space="preserve">Wedding Crusher</t>
        </is>
      </c>
      <c r="E595" s="15" t="inlineStr">
        <is>
          <t xml:space="preserve">4 Assay — Total Δ⁹-THC</t>
        </is>
      </c>
      <c r="F595" s="15" t="inlineStr">
        <is>
          <t xml:space="preserve">CITED</t>
        </is>
      </c>
      <c r="G595" s="15" t="inlineStr">
        <is>
          <t xml:space="preserve">ППК26001</t>
        </is>
      </c>
      <c r="H595" s="15" t="inlineStr">
        <is>
          <t xml:space="preserve">21.01.2026</t>
        </is>
      </c>
      <c r="I595" s="15" t="inlineStr">
        <is>
          <t xml:space="preserve">CNP</t>
        </is>
      </c>
      <c r="J595" s="15" t="inlineStr">
        <is>
          <t xml:space="preserve">in eCoA_DATABASE</t>
        </is>
      </c>
      <c r="K595" s="15"/>
      <c r="L595" s="15" t="inlineStr">
        <is>
          <t xml:space="preserve">21.67</t>
        </is>
      </c>
      <c r="M595" s="15" t="inlineStr">
        <is>
          <t xml:space="preserve">220-28-K/26</t>
        </is>
      </c>
    </row>
    <row r="596">
      <c r="A596" s="15" t="inlineStr">
        <is>
          <t xml:space="preserve">2</t>
        </is>
      </c>
      <c r="B596" s="15" t="inlineStr">
        <is>
          <t xml:space="preserve">WC082501</t>
        </is>
      </c>
      <c r="C596" s="15" t="inlineStr">
        <is>
          <t xml:space="preserve">P060012</t>
        </is>
      </c>
      <c r="D596" s="15" t="inlineStr">
        <is>
          <t xml:space="preserve">Wedding Crusher</t>
        </is>
      </c>
      <c r="E596" s="15" t="inlineStr">
        <is>
          <t xml:space="preserve">5 Assay — Total CBD</t>
        </is>
      </c>
      <c r="F596" s="15" t="inlineStr">
        <is>
          <t xml:space="preserve">CITED</t>
        </is>
      </c>
      <c r="G596" s="15" t="inlineStr">
        <is>
          <t xml:space="preserve">ППК26001</t>
        </is>
      </c>
      <c r="H596" s="15" t="inlineStr">
        <is>
          <t xml:space="preserve">21.01.2026</t>
        </is>
      </c>
      <c r="I596" s="15" t="inlineStr">
        <is>
          <t xml:space="preserve">CNP</t>
        </is>
      </c>
      <c r="J596" s="15" t="inlineStr">
        <is>
          <t xml:space="preserve">in eCoA_DATABASE</t>
        </is>
      </c>
      <c r="K596" s="15"/>
      <c r="L596" s="15" t="inlineStr">
        <is>
          <t xml:space="preserve">0.08</t>
        </is>
      </c>
      <c r="M596" s="15" t="inlineStr">
        <is>
          <t xml:space="preserve">220-28-K/26</t>
        </is>
      </c>
    </row>
    <row r="597">
      <c r="A597" s="15" t="inlineStr">
        <is>
          <t xml:space="preserve">2</t>
        </is>
      </c>
      <c r="B597" s="15" t="inlineStr">
        <is>
          <t xml:space="preserve">WC082501</t>
        </is>
      </c>
      <c r="C597" s="15" t="inlineStr">
        <is>
          <t xml:space="preserve">P060012</t>
        </is>
      </c>
      <c r="D597" s="15" t="inlineStr">
        <is>
          <t xml:space="preserve">Wedding Crusher</t>
        </is>
      </c>
      <c r="E597" s="15" t="inlineStr">
        <is>
          <t xml:space="preserve">6 Total CBN</t>
        </is>
      </c>
      <c r="F597" s="15" t="inlineStr">
        <is>
          <t xml:space="preserve">CITED</t>
        </is>
      </c>
      <c r="G597" s="15" t="inlineStr">
        <is>
          <t xml:space="preserve">ППК26001</t>
        </is>
      </c>
      <c r="H597" s="15" t="inlineStr">
        <is>
          <t xml:space="preserve">21.01.2026</t>
        </is>
      </c>
      <c r="I597" s="15" t="inlineStr">
        <is>
          <t xml:space="preserve">CNP</t>
        </is>
      </c>
      <c r="J597" s="15" t="inlineStr">
        <is>
          <t xml:space="preserve">in eCoA_DATABASE</t>
        </is>
      </c>
      <c r="K597" s="15"/>
      <c r="L597" s="15" t="inlineStr">
        <is>
          <t xml:space="preserve">0.02 % ᴰ</t>
        </is>
      </c>
      <c r="M597" s="15" t="inlineStr">
        <is>
          <t xml:space="preserve">220-28-K/26</t>
        </is>
      </c>
    </row>
    <row r="598">
      <c r="A598" s="15" t="inlineStr">
        <is>
          <t xml:space="preserve">2</t>
        </is>
      </c>
      <c r="B598" s="15" t="inlineStr">
        <is>
          <t xml:space="preserve">WC082501</t>
        </is>
      </c>
      <c r="C598" s="15" t="inlineStr">
        <is>
          <t xml:space="preserve">P060012</t>
        </is>
      </c>
      <c r="D598" s="15" t="inlineStr">
        <is>
          <t xml:space="preserve">Wedding Crusher</t>
        </is>
      </c>
      <c r="E598" s="15" t="inlineStr">
        <is>
          <t xml:space="preserve">7 Foreign matter</t>
        </is>
      </c>
      <c r="F598" s="15" t="inlineStr">
        <is>
          <t xml:space="preserve">CITED</t>
        </is>
      </c>
      <c r="G598" s="15" t="inlineStr">
        <is>
          <t xml:space="preserve">iCoA-PP_26-037</t>
        </is>
      </c>
      <c r="H598" s="15" t="inlineStr">
        <is>
          <t xml:space="preserve">13.01.2026</t>
        </is>
      </c>
      <c r="I598" s="15" t="inlineStr">
        <is>
          <t xml:space="preserve">PP</t>
        </is>
      </c>
      <c r="J598" s="15" t="inlineStr">
        <is>
          <t xml:space="preserve">planned, NOT ISSUED (2026-05-15)</t>
        </is>
      </c>
      <c r="K598" s="15" t="inlineStr">
        <is>
          <t xml:space="preserve">YES — the certificate has not been issued</t>
        </is>
      </c>
      <c r="L598" s="15" t="inlineStr">
        <is>
          <t xml:space="preserve">Conforms</t>
        </is>
      </c>
      <c r="M598" s="15"/>
    </row>
    <row r="599">
      <c r="A599" s="15" t="inlineStr">
        <is>
          <t xml:space="preserve">2</t>
        </is>
      </c>
      <c r="B599" s="15" t="inlineStr">
        <is>
          <t xml:space="preserve">WC082501</t>
        </is>
      </c>
      <c r="C599" s="15" t="inlineStr">
        <is>
          <t xml:space="preserve">P060012</t>
        </is>
      </c>
      <c r="D599" s="15" t="inlineStr">
        <is>
          <t xml:space="preserve">Wedding Crusher</t>
        </is>
      </c>
      <c r="E599" s="15" t="inlineStr">
        <is>
          <t xml:space="preserve">8 Loss on drying</t>
        </is>
      </c>
      <c r="F599" s="15" t="inlineStr">
        <is>
          <t xml:space="preserve">CITED</t>
        </is>
      </c>
      <c r="G599" s="15" t="inlineStr">
        <is>
          <t xml:space="preserve">ППК26001</t>
        </is>
      </c>
      <c r="H599" s="15" t="inlineStr">
        <is>
          <t xml:space="preserve">21.01.2026</t>
        </is>
      </c>
      <c r="I599" s="15" t="inlineStr">
        <is>
          <t xml:space="preserve">CNP</t>
        </is>
      </c>
      <c r="J599" s="15" t="inlineStr">
        <is>
          <t xml:space="preserve">in eCoA_DATABASE</t>
        </is>
      </c>
      <c r="K599" s="15"/>
      <c r="L599" s="15" t="inlineStr">
        <is>
          <t xml:space="preserve">7.50</t>
        </is>
      </c>
      <c r="M599" s="15"/>
    </row>
    <row r="600">
      <c r="A600" s="15" t="inlineStr">
        <is>
          <t xml:space="preserve">2</t>
        </is>
      </c>
      <c r="B600" s="15" t="inlineStr">
        <is>
          <t xml:space="preserve">WC082501</t>
        </is>
      </c>
      <c r="C600" s="15" t="inlineStr">
        <is>
          <t xml:space="preserve">P060012</t>
        </is>
      </c>
      <c r="D600" s="15" t="inlineStr">
        <is>
          <t xml:space="preserve">Wedding Crusher</t>
        </is>
      </c>
      <c r="E600" s="15" t="inlineStr">
        <is>
          <t xml:space="preserve">9 Microbiological purity</t>
        </is>
      </c>
      <c r="F600" s="15" t="inlineStr">
        <is>
          <t xml:space="preserve">CITED</t>
        </is>
      </c>
      <c r="G600" s="15" t="inlineStr">
        <is>
          <t xml:space="preserve">3-0006-26</t>
        </is>
      </c>
      <c r="H600" s="15" t="inlineStr">
        <is>
          <t xml:space="preserve">20.01.2026</t>
        </is>
      </c>
      <c r="I600" s="15" t="inlineStr">
        <is>
          <t xml:space="preserve">IJZ-MB</t>
        </is>
      </c>
      <c r="J600" s="15" t="inlineStr">
        <is>
          <t xml:space="preserve">in eCoA_DATABASE</t>
        </is>
      </c>
      <c r="K600" s="15"/>
      <c r="L600" s="15" t="inlineStr">
        <is>
          <t xml:space="preserve">10 CFU/g CFU/g; 30 CFU/g CFU/g; &lt; 10 CFU/g CFU/g; Одговара /g; Одговара /25 g</t>
        </is>
      </c>
      <c r="M600" s="15"/>
    </row>
    <row r="601">
      <c r="A601" s="15" t="inlineStr">
        <is>
          <t xml:space="preserve">2</t>
        </is>
      </c>
      <c r="B601" s="15" t="inlineStr">
        <is>
          <t xml:space="preserve">WC082501</t>
        </is>
      </c>
      <c r="C601" s="15" t="inlineStr">
        <is>
          <t xml:space="preserve">P060012</t>
        </is>
      </c>
      <c r="D601" s="15" t="inlineStr">
        <is>
          <t xml:space="preserve">Wedding Crusher</t>
        </is>
      </c>
      <c r="E601" s="15" t="inlineStr">
        <is>
          <t xml:space="preserve">10 Mycotoxins</t>
        </is>
      </c>
      <c r="F601" s="15" t="inlineStr">
        <is>
          <t xml:space="preserve">CITED</t>
        </is>
      </c>
      <c r="G601" s="15" t="inlineStr">
        <is>
          <t xml:space="preserve">80-2026</t>
        </is>
      </c>
      <c r="H601" s="15" t="inlineStr">
        <is>
          <t xml:space="preserve">02.02.2026</t>
        </is>
      </c>
      <c r="I601" s="15" t="inlineStr">
        <is>
          <t xml:space="preserve">IJZ</t>
        </is>
      </c>
      <c r="J601" s="15" t="inlineStr">
        <is>
          <t xml:space="preserve">in eCoA_DATABASE</t>
        </is>
      </c>
      <c r="K601" s="15"/>
      <c r="L601" s="15" t="inlineStr">
        <is>
          <t xml:space="preserve">n.r.; &lt;2; n.r.</t>
        </is>
      </c>
      <c r="M601" s="15"/>
    </row>
    <row r="602">
      <c r="A602" s="15" t="inlineStr">
        <is>
          <t xml:space="preserve">2</t>
        </is>
      </c>
      <c r="B602" s="15" t="inlineStr">
        <is>
          <t xml:space="preserve">WC082501</t>
        </is>
      </c>
      <c r="C602" s="15" t="inlineStr">
        <is>
          <t xml:space="preserve">P060012</t>
        </is>
      </c>
      <c r="D602" s="15" t="inlineStr">
        <is>
          <t xml:space="preserve">Wedding Crusher</t>
        </is>
      </c>
      <c r="E602" s="15" t="inlineStr">
        <is>
          <t xml:space="preserve">11 Heavy metals</t>
        </is>
      </c>
      <c r="F602" s="15" t="inlineStr">
        <is>
          <t xml:space="preserve">CITED</t>
        </is>
      </c>
      <c r="G602" s="15" t="inlineStr">
        <is>
          <t xml:space="preserve">80-2026</t>
        </is>
      </c>
      <c r="H602" s="15" t="inlineStr">
        <is>
          <t xml:space="preserve">02.02.2026</t>
        </is>
      </c>
      <c r="I602" s="15" t="inlineStr">
        <is>
          <t xml:space="preserve">IJZ</t>
        </is>
      </c>
      <c r="J602" s="15" t="inlineStr">
        <is>
          <t xml:space="preserve">in eCoA_DATABASE</t>
        </is>
      </c>
      <c r="K602" s="15"/>
      <c r="L602" s="15" t="inlineStr">
        <is>
          <t xml:space="preserve">н.д.; н.д.; н.д.; н.д.</t>
        </is>
      </c>
      <c r="M602" s="15"/>
    </row>
    <row r="603">
      <c r="A603" s="15" t="inlineStr">
        <is>
          <t xml:space="preserve">2</t>
        </is>
      </c>
      <c r="B603" s="15" t="inlineStr">
        <is>
          <t xml:space="preserve">WC082501</t>
        </is>
      </c>
      <c r="C603" s="15" t="inlineStr">
        <is>
          <t xml:space="preserve">P060012</t>
        </is>
      </c>
      <c r="D603" s="15" t="inlineStr">
        <is>
          <t xml:space="preserve">Wedding Crusher</t>
        </is>
      </c>
      <c r="E603" s="15" t="inlineStr">
        <is>
          <t xml:space="preserve">12 Pesticide residues</t>
        </is>
      </c>
      <c r="F603" s="15" t="inlineStr">
        <is>
          <t xml:space="preserve">CITED</t>
        </is>
      </c>
      <c r="G603" s="15" t="inlineStr">
        <is>
          <t xml:space="preserve">80-2026</t>
        </is>
      </c>
      <c r="H603" s="15" t="inlineStr">
        <is>
          <t xml:space="preserve">02.02.2026</t>
        </is>
      </c>
      <c r="I603" s="15" t="inlineStr">
        <is>
          <t xml:space="preserve">IJZ</t>
        </is>
      </c>
      <c r="J603" s="15" t="inlineStr">
        <is>
          <t xml:space="preserve">in eCoA_DATABASE</t>
        </is>
      </c>
      <c r="K603" s="15"/>
      <c r="L603" s="15" t="inlineStr">
        <is>
          <t xml:space="preserve">≤ LOQ (all 29 compounds)</t>
        </is>
      </c>
      <c r="M603" s="15"/>
    </row>
  </sheetData>
  <pageMargins bottom="0.4" footer="0.0" header="0.0" left="0.3" right="0.3" top="0.4"/>
</worksheet>
</file>

<file path=xl/worksheets/sheetY2.xml><?xml version="1.0" encoding="utf-8"?>
<worksheet xmlns="http://schemas.openxmlformats.org/spreadsheetml/2006/main" xmlns:r="http://schemas.openxmlformats.org/officeDocument/2006/relationships">
  <sheetPr>
    <pageSetUpPr fitToPage="1"/>
  </sheetPr>
  <sheetViews>
    <sheetView workbookViewId="0">
      <pane ySplit="3.0" topLeftCell="A4" activePane="bottomLeft" state="frozen"/>
    </sheetView>
  </sheetViews>
  <sheetFormatPr defaultColWidth="14.43" defaultRowHeight="15.0"/>
  <cols>
    <col customWidth="1" min="1" max="1" width="30"/>
    <col customWidth="1" min="2" max="2" width="26"/>
    <col customWidth="1" min="3" max="3" width="12"/>
    <col customWidth="1" min="4" max="4" width="26"/>
    <col customWidth="1" min="5" max="5" width="44"/>
    <col customWidth="1" min="6" max="6" width="60"/>
  </cols>
  <sheetData>
    <row r="1">
      <c r="A1" s="4" t="inlineStr">
        <is>
          <t xml:space="preserve">Documents read in this pass — on file, never transcribed, read page by page at 165 dpi on 09.09.2026. Results are quoted as printed.</t>
        </is>
      </c>
    </row>
    <row r="2"/>
    <row r="3">
      <c r="A3" s="4" t="inlineStr">
        <is>
          <t xml:space="preserve">Document</t>
        </is>
      </c>
      <c r="B3" s="4" t="inlineStr">
        <is>
          <t xml:space="preserve">Laboratory</t>
        </is>
      </c>
      <c r="C3" s="4" t="inlineStr">
        <is>
          <t xml:space="preserve">Issued</t>
        </is>
      </c>
      <c r="D3" s="4" t="inlineStr">
        <is>
          <t xml:space="preserve">Batch</t>
        </is>
      </c>
      <c r="E3" s="4" t="inlineStr">
        <is>
          <t xml:space="preserve">Determinations it carries</t>
        </is>
      </c>
      <c r="F3" s="4" t="inlineStr">
        <is>
          <t xml:space="preserve">What it prints</t>
        </is>
      </c>
    </row>
    <row r="4">
      <c r="A4" s="15" t="inlineStr">
        <is>
          <t xml:space="preserve">031-1-K/26</t>
        </is>
      </c>
      <c r="B4" s="15" t="inlineStr">
        <is>
          <t xml:space="preserve">FHM</t>
        </is>
      </c>
      <c r="C4" s="15" t="inlineStr">
        <is>
          <t xml:space="preserve">10.02.2026</t>
        </is>
      </c>
      <c r="D4" s="15" t="inlineStr">
        <is>
          <t xml:space="preserve">GRC102501/2 · P060182</t>
        </is>
      </c>
      <c r="E4" s="15" t="inlineStr">
        <is>
          <t xml:space="preserve">cannabinoids</t>
        </is>
      </c>
      <c r="F4" s="15" t="inlineStr">
        <is>
          <t xml:space="preserve">Total Δ⁹-THC 7.05 % w/w · CBD &lt;LOQ · CBN &lt;LOQ</t>
        </is>
      </c>
    </row>
    <row r="5">
      <c r="A5" s="15" t="inlineStr">
        <is>
          <t xml:space="preserve">031-1-LoD/26</t>
        </is>
      </c>
      <c r="B5" s="15" t="inlineStr">
        <is>
          <t xml:space="preserve">FHM</t>
        </is>
      </c>
      <c r="C5" s="15" t="inlineStr">
        <is>
          <t xml:space="preserve">12.02.2026</t>
        </is>
      </c>
      <c r="D5" s="15" t="inlineStr">
        <is>
          <t xml:space="preserve">GRC102501/2 · P060182</t>
        </is>
      </c>
      <c r="E5" s="15" t="inlineStr">
        <is>
          <t xml:space="preserve">loss on drying</t>
        </is>
      </c>
      <c r="F5" s="15" t="inlineStr">
        <is>
          <t xml:space="preserve">7,2 % (spec &lt; 12)</t>
        </is>
      </c>
    </row>
    <row r="6">
      <c r="A6" s="15" t="inlineStr">
        <is>
          <t xml:space="preserve">031-2-LoD/26</t>
        </is>
      </c>
      <c r="B6" s="15" t="inlineStr">
        <is>
          <t xml:space="preserve">FHM</t>
        </is>
      </c>
      <c r="C6" s="15" t="inlineStr">
        <is>
          <t xml:space="preserve">11.02.2026</t>
        </is>
      </c>
      <c r="D6" s="15" t="inlineStr">
        <is>
          <t xml:space="preserve">PUM102501 · P060112</t>
        </is>
      </c>
      <c r="E6" s="15" t="inlineStr">
        <is>
          <t xml:space="preserve">loss on drying</t>
        </is>
      </c>
      <c r="F6" s="15" t="inlineStr">
        <is>
          <t xml:space="preserve">6,4 %</t>
        </is>
      </c>
    </row>
    <row r="7">
      <c r="A7" s="15" t="inlineStr">
        <is>
          <t xml:space="preserve">031-4-LoD/26</t>
        </is>
      </c>
      <c r="B7" s="15" t="inlineStr">
        <is>
          <t xml:space="preserve">FHM</t>
        </is>
      </c>
      <c r="C7" s="15" t="inlineStr">
        <is>
          <t xml:space="preserve">12.02.2026</t>
        </is>
      </c>
      <c r="D7" s="15" t="inlineStr">
        <is>
          <t xml:space="preserve">CF102501 · P060132</t>
        </is>
      </c>
      <c r="E7" s="15" t="inlineStr">
        <is>
          <t xml:space="preserve">loss on drying</t>
        </is>
      </c>
      <c r="F7" s="15" t="inlineStr">
        <is>
          <t xml:space="preserve">5,6 %</t>
        </is>
      </c>
    </row>
    <row r="8">
      <c r="A8" s="15" t="inlineStr">
        <is>
          <t xml:space="preserve">031-5-LoD/26</t>
        </is>
      </c>
      <c r="B8" s="15" t="inlineStr">
        <is>
          <t xml:space="preserve">FHM</t>
        </is>
      </c>
      <c r="C8" s="15" t="inlineStr">
        <is>
          <t xml:space="preserve">12.02.2026</t>
        </is>
      </c>
      <c r="D8" s="15" t="inlineStr">
        <is>
          <t xml:space="preserve">ACC102501 · P060122</t>
        </is>
      </c>
      <c r="E8" s="15" t="inlineStr">
        <is>
          <t xml:space="preserve">loss on drying</t>
        </is>
      </c>
      <c r="F8" s="15" t="inlineStr">
        <is>
          <t xml:space="preserve">7,1 %</t>
        </is>
      </c>
    </row>
    <row r="9">
      <c r="A9" s="15" t="inlineStr">
        <is>
          <t xml:space="preserve">051-6-K/26</t>
        </is>
      </c>
      <c r="B9" s="15" t="inlineStr">
        <is>
          <t xml:space="preserve">FHM</t>
        </is>
      </c>
      <c r="C9" s="15" t="inlineStr">
        <is>
          <t xml:space="preserve">04.03.2026</t>
        </is>
      </c>
      <c r="D9" s="15" t="inlineStr">
        <is>
          <t xml:space="preserve">GRC102501/2 · P060182</t>
        </is>
      </c>
      <c r="E9" s="15" t="inlineStr">
        <is>
          <t xml:space="preserve">cannabinoids</t>
        </is>
      </c>
      <c r="F9" s="15" t="inlineStr">
        <is>
          <t xml:space="preserve">Total Δ⁹-THC 11.53 % w/w · CBD &lt;LOQ · CBN &lt;LOQ</t>
        </is>
      </c>
    </row>
    <row r="10">
      <c r="A10" s="15" t="inlineStr">
        <is>
          <t xml:space="preserve">051-6-LoD/26</t>
        </is>
      </c>
      <c r="B10" s="15" t="inlineStr">
        <is>
          <t xml:space="preserve">FHM</t>
        </is>
      </c>
      <c r="C10" s="15" t="inlineStr">
        <is>
          <t xml:space="preserve">02.03.2026</t>
        </is>
      </c>
      <c r="D10" s="15" t="inlineStr">
        <is>
          <t xml:space="preserve">GRC102501/2 · P060182</t>
        </is>
      </c>
      <c r="E10" s="15" t="inlineStr">
        <is>
          <t xml:space="preserve">loss on drying</t>
        </is>
      </c>
      <c r="F10" s="15" t="inlineStr">
        <is>
          <t xml:space="preserve">7,7 %</t>
        </is>
      </c>
    </row>
    <row r="11">
      <c r="A11" s="15" t="inlineStr">
        <is>
          <t xml:space="preserve">85/2026</t>
        </is>
      </c>
      <c r="B11" s="15" t="inlineStr">
        <is>
          <t xml:space="preserve">IJZ</t>
        </is>
      </c>
      <c r="C11" s="15" t="inlineStr">
        <is>
          <t xml:space="preserve">02.02.2026</t>
        </is>
      </c>
      <c r="D11" s="15" t="inlineStr">
        <is>
          <t xml:space="preserve">SJ092501 · P060082</t>
        </is>
      </c>
      <c r="E11" s="15" t="inlineStr">
        <is>
          <t xml:space="preserve">mycotoxins, heavy metals, pesticides</t>
        </is>
      </c>
      <c r="F11" s="15" t="inlineStr">
        <is>
          <t xml:space="preserve">total aflatoxins 2 µg/kg (spec ≤ 4) · Pb 0,08 · Hg 0,003 · Cd н.д. · As н.д. · 29 pesticides all н.д.</t>
        </is>
      </c>
    </row>
    <row r="12">
      <c r="A12" s="15" t="inlineStr">
        <is>
          <t xml:space="preserve">ППК26006</t>
        </is>
      </c>
      <c r="B12" s="15" t="inlineStr">
        <is>
          <t xml:space="preserve">CNP</t>
        </is>
      </c>
      <c r="C12" s="15" t="inlineStr">
        <is>
          <t xml:space="preserve">21.01.2026</t>
        </is>
      </c>
      <c r="D12" s="15" t="inlineStr">
        <is>
          <t xml:space="preserve">SJ092501 · P060082</t>
        </is>
      </c>
      <c r="E12" s="15" t="inlineStr">
        <is>
          <t xml:space="preserve">cannabinoids, loss on drying</t>
        </is>
      </c>
      <c r="F12" s="15" t="inlineStr">
        <is>
          <t xml:space="preserve">Total Δ⁹-THC 10.96 % · Total CBD 0.07 % · CBN BLQ · LoD 8.68 %</t>
        </is>
      </c>
    </row>
    <row r="13">
      <c r="A13" s="15" t="inlineStr">
        <is>
          <t xml:space="preserve">10802_2845-2 EN</t>
        </is>
      </c>
      <c r="B13" s="15" t="inlineStr">
        <is>
          <t xml:space="preserve">State Phytosanitary Laboratory</t>
        </is>
      </c>
      <c r="C13" s="15" t="inlineStr">
        <is>
          <t xml:space="preserve">17.11.2025</t>
        </is>
      </c>
      <c r="D13" s="15" t="inlineStr">
        <is>
          <t xml:space="preserve">BSS052501 · P050192</t>
        </is>
      </c>
      <c r="E13" s="15" t="inlineStr">
        <is>
          <t xml:space="preserve">pesticides</t>
        </is>
      </c>
      <c r="F13" s="15" t="inlineStr">
        <is>
          <t xml:space="preserve">471 analytes, single summary row: ≤ LOQ (0.01 mg/kg)</t>
        </is>
      </c>
    </row>
    <row r="14">
      <c r="A14" s="15" t="inlineStr">
        <is>
          <t xml:space="preserve">276-31-M/25</t>
        </is>
      </c>
      <c r="B14" s="15" t="inlineStr">
        <is>
          <t xml:space="preserve">FHM</t>
        </is>
      </c>
      <c r="C14" s="15" t="inlineStr">
        <is>
          <t xml:space="preserve">04.12.2025</t>
        </is>
      </c>
      <c r="D14" s="15" t="inlineStr">
        <is>
          <t xml:space="preserve">BSS052501 · P050192</t>
        </is>
      </c>
      <c r="E14" s="15" t="inlineStr">
        <is>
          <t xml:space="preserve">mycotoxins</t>
        </is>
      </c>
      <c r="F14" s="15" t="inlineStr">
        <is>
          <t xml:space="preserve">Aflatoxin B1 B2 G1 G2 = ND · Ochratoxin A &lt; LOQ</t>
        </is>
      </c>
    </row>
    <row r="15">
      <c r="A15" s="15" t="inlineStr">
        <is>
          <t xml:space="preserve">5661/2025</t>
        </is>
      </c>
      <c r="B15" s="15" t="inlineStr">
        <is>
          <t xml:space="preserve">IJZ</t>
        </is>
      </c>
      <c r="C15" s="15" t="inlineStr">
        <is>
          <t xml:space="preserve">01.12.2025</t>
        </is>
      </c>
      <c r="D15" s="15" t="inlineStr">
        <is>
          <t xml:space="preserve">BSS052501 · P050192</t>
        </is>
      </c>
      <c r="E15" s="15" t="inlineStr">
        <is>
          <t xml:space="preserve">heavy metals ONLY</t>
        </is>
      </c>
      <c r="F15" s="15" t="inlineStr">
        <is>
          <t xml:space="preserve">Pb 0,024 · Cd 0,004 · As 0,025 · Hg 0,0036 — no aflatoxin row, no pesticide table</t>
        </is>
      </c>
    </row>
    <row r="16">
      <c r="A16" s="15" t="inlineStr">
        <is>
          <t xml:space="preserve">NGP-QCG-SOP-024 F3</t>
        </is>
      </c>
      <c r="B16" s="15" t="inlineStr">
        <is>
          <t xml:space="preserve">NGP</t>
        </is>
      </c>
      <c r="C16" s="15" t="inlineStr">
        <is>
          <t xml:space="preserve">28.11.2025</t>
        </is>
      </c>
      <c r="D16" s="15" t="inlineStr">
        <is>
          <t xml:space="preserve">BSS052501 · P050192</t>
        </is>
      </c>
      <c r="E16" s="15" t="inlineStr">
        <is>
          <t xml:space="preserve">cannabinoids, loss on drying</t>
        </is>
      </c>
      <c r="F16" s="15" t="inlineStr">
        <is>
          <t xml:space="preserve">Total THC 20.39 % · Total CBD 0.11 % · average LoD 8.60 %</t>
        </is>
      </c>
    </row>
    <row r="17">
      <c r="A17" s="15" t="inlineStr">
        <is>
          <t xml:space="preserve">QCCoA 001v02</t>
        </is>
      </c>
      <c r="B17" s="15" t="inlineStr">
        <is>
          <t xml:space="preserve">PP in-house</t>
        </is>
      </c>
      <c r="C17" s="15" t="inlineStr">
        <is>
          <t xml:space="preserve">04.12.2025</t>
        </is>
      </c>
      <c r="D17" s="15" t="inlineStr">
        <is>
          <t xml:space="preserve">BSS052501 · P050192</t>
        </is>
      </c>
      <c r="E17" s="15" t="inlineStr">
        <is>
          <t xml:space="preserve">appearance, foreign matter (own); everything else quoted</t>
        </is>
      </c>
      <c r="F17" s="15" t="inlineStr">
        <is>
          <t xml:space="preserve">appearance Confirms · foreign matter Confirms — no percentage printed</t>
        </is>
      </c>
    </row>
    <row r="18">
      <c r="A18" s="15" t="inlineStr">
        <is>
          <t xml:space="preserve">QCCoA 001v02</t>
        </is>
      </c>
      <c r="B18" s="15" t="inlineStr">
        <is>
          <t xml:space="preserve">PP in-house</t>
        </is>
      </c>
      <c r="C18" s="15" t="inlineStr">
        <is>
          <t xml:space="preserve">20.02.2026</t>
        </is>
      </c>
      <c r="D18" s="15" t="inlineStr">
        <is>
          <t xml:space="preserve">SJ092501 · P060082</t>
        </is>
      </c>
      <c r="E18" s="15" t="inlineStr">
        <is>
          <t xml:space="preserve">appearance, foreign matter (own); everything else quoted</t>
        </is>
      </c>
      <c r="F18" s="15" t="inlineStr">
        <is>
          <t xml:space="preserve">appearance Confirms · foreign matter Confirms — no percentage printed</t>
        </is>
      </c>
    </row>
    <row r="19">
      <c r="A19" s="15" t="inlineStr">
        <is>
          <t xml:space="preserve">Report of Analysis (no code)</t>
        </is>
      </c>
      <c r="B19" s="15" t="inlineStr">
        <is>
          <t xml:space="preserve">PP in-house</t>
        </is>
      </c>
      <c r="C19" s="15" t="inlineStr">
        <is>
          <t xml:space="preserve">23.04.2025</t>
        </is>
      </c>
      <c r="D19" s="15" t="inlineStr">
        <is>
          <t xml:space="preserve">HPA1024, OPM1024, GG1024</t>
        </is>
      </c>
      <c r="E19" s="15" t="inlineStr">
        <is>
          <t xml:space="preserve">appearance, foreign matter (own); everything else quoted</t>
        </is>
      </c>
      <c r="F19" s="15" t="inlineStr">
        <is>
          <t xml:space="preserve">Confirms / Confirms — no document code, no version, no report number, no loss on drying</t>
        </is>
      </c>
    </row>
    <row r="20"/>
    <row r="21">
      <c r="A21" s="4" t="inlineStr">
        <is>
          <t xml:space="preserve">Three findings from this reading</t>
        </is>
      </c>
    </row>
    <row r="22">
      <c r="A22" s="15" t="inlineStr">
        <is>
          <t xml:space="preserve">5661/2025 carries heavy metals ONLY</t>
        </is>
      </c>
      <c r="B22" s="15" t="inlineStr">
        <is>
          <t xml:space="preserve">Four rows — Pb, Cd, As, Hg. No aflatoxin row, no pesticide table. BSS052501 mycotoxins therefore rest on Farmahem 276-31-M/25 and pesticides on the phytosanitary report 10802_2845-2.</t>
        </is>
      </c>
    </row>
    <row r="23">
      <c r="A23" s="15" t="inlineStr">
        <is>
          <t xml:space="preserve">NGP-QCG-SOP-024 F3 does carry a loss on drying</t>
        </is>
      </c>
      <c r="B23" s="15" t="inlineStr">
        <is>
          <t xml:space="preserve">Average LoD 8.60 % is printed on the form. The tracker records "not on this certificate".</t>
        </is>
      </c>
    </row>
    <row r="24">
      <c r="A24" s="15" t="inlineStr">
        <is>
          <t xml:space="preserve">10802_2845-2 is not a German laboratory</t>
        </is>
      </c>
      <c r="B24" s="15" t="inlineStr">
        <is>
          <t xml:space="preserve">Issuer is the State Phytosanitary Laboratory, Ministry of Agriculture, Skopje, accredited under IARNM LT-036. It prints one summary row for all 471 analytes at a single LOQ of 0.01 mg/kg — no per-analyte result.</t>
        </is>
      </c>
    </row>
  </sheetData>
  <pageMargins bottom="0.4" footer="0.0" header="0.0" left="0.3" right="0.3" top="0.4"/>
</worksheet>
</file>

<file path=xl/worksheets/sheetY3.xml><?xml version="1.0" encoding="utf-8"?>
<worksheet xmlns="http://schemas.openxmlformats.org/spreadsheetml/2006/main" xmlns:r="http://schemas.openxmlformats.org/officeDocument/2006/relationships">
  <sheetPr>
    <pageSetUpPr fitToPage="1"/>
  </sheetPr>
  <sheetViews>
    <sheetView workbookViewId="0">
      <pane ySplit="1.0" topLeftCell="A2" activePane="bottomLeft" state="frozen"/>
    </sheetView>
  </sheetViews>
  <sheetFormatPr defaultColWidth="14.43" defaultRowHeight="15.0"/>
  <cols>
    <col customWidth="1" min="1" max="1" width="46"/>
    <col customWidth="1" min="2" max="2" width="16"/>
    <col customWidth="1" min="3" max="3" width="26"/>
    <col customWidth="1" min="4" max="4" width="64"/>
  </cols>
  <sheetData>
    <row r="1">
      <c r="A1" s="4" t="inlineStr">
        <is>
          <t xml:space="preserve">The identity determinations — Identification A, Identification B and foreign matter rest on iCoA certificates that have not been issued.</t>
        </is>
      </c>
    </row>
    <row r="2"/>
    <row r="3">
      <c r="A3" s="15" t="inlineStr">
        <is>
          <t xml:space="preserve">Cells citing an unissued iCoA</t>
        </is>
      </c>
      <c r="B3" s="15" t="inlineStr">
        <is>
          <t xml:space="preserve">118</t>
        </is>
      </c>
    </row>
    <row r="4">
      <c r="A4" s="15" t="inlineStr">
        <is>
          <t xml:space="preserve">Batches affected</t>
        </is>
      </c>
      <c r="B4" s="15" t="inlineStr">
        <is>
          <t xml:space="preserve">40 of 50</t>
        </is>
      </c>
    </row>
    <row r="5">
      <c r="A5" s="15" t="inlineStr">
        <is>
          <t xml:space="preserve">Distinct iCoA codes</t>
        </is>
      </c>
      <c r="B5" s="15" t="inlineStr">
        <is>
          <t xml:space="preserve">40 — every one shown in the iCoA Register sheet with a PLANNED issue date of 15.05.2026 or later</t>
        </is>
      </c>
    </row>
    <row r="6">
      <c r="A6" s="15" t="inlineStr">
        <is>
          <t xml:space="preserve">In-house documents that perform a microscopic examination</t>
        </is>
      </c>
      <c r="B6" s="15" t="inlineStr">
        <is>
          <t xml:space="preserve">0 of the 5 read</t>
        </is>
      </c>
    </row>
    <row r="7"/>
    <row r="8">
      <c r="A8" s="4" t="inlineStr">
        <is>
          <t xml:space="preserve">What the in-house certificates actually carry as their own work</t>
        </is>
      </c>
    </row>
    <row r="9">
      <c r="A9" s="15" t="inlineStr">
        <is>
          <t xml:space="preserve">Appearance</t>
        </is>
      </c>
      <c r="B9" s="15" t="inlineStr">
        <is>
          <t xml:space="preserve">reported as the single word "Confirms" — no description recorded</t>
        </is>
      </c>
    </row>
    <row r="10">
      <c r="A10" s="15" t="inlineStr">
        <is>
          <t xml:space="preserve">Foreign matter</t>
        </is>
      </c>
      <c r="B10" s="15" t="inlineStr">
        <is>
          <t xml:space="preserve">reported as "Confirms" against a &lt; 2.0 % specification — NO PERCENTAGE PRINTED. Ph. Eur. 2.8.2 is gravimetric; EudraLex Vol. 4 Ch. 6 §6.7 requires the actual result.</t>
        </is>
      </c>
    </row>
    <row r="11">
      <c r="A11" s="15" t="inlineStr">
        <is>
          <t xml:space="preserve">Identification B — microscopy</t>
        </is>
      </c>
      <c r="B11" s="15" t="inlineStr">
        <is>
          <t xml:space="preserve">NOT PERFORMED on any of the five documents read</t>
        </is>
      </c>
    </row>
    <row r="12">
      <c r="A12" s="15" t="inlineStr">
        <is>
          <t xml:space="preserve">Everything else</t>
        </is>
      </c>
      <c r="B12" s="15" t="inlineStr">
        <is>
          <t xml:space="preserve">starred and footnoted as tested externally, with no external certificate number cited anywhere</t>
        </is>
      </c>
    </row>
    <row r="13">
      <c r="A13" s="15" t="inlineStr">
        <is>
          <t xml:space="preserve">The three Report of Analysis documents</t>
        </is>
      </c>
      <c r="B13" s="15" t="inlineStr">
        <is>
          <t xml:space="preserve">no document code, no version, no report number, no conclusion, and no loss on drying at all — EudraLex Vol. 4 Ch. 4 §4.9</t>
        </is>
      </c>
    </row>
    <row r="14">
      <c r="A14" s="15" t="inlineStr">
        <is>
          <t xml:space="preserve">The two QCCoA 001v02 certificates</t>
        </is>
      </c>
      <c r="B14" s="15" t="inlineStr">
        <is>
          <t xml:space="preserve">signed by an unnamed preparer and an unnamed Head of QC</t>
        </is>
      </c>
    </row>
    <row r="15"/>
    <row r="16">
      <c r="A16" s="4" t="inlineStr">
        <is>
          <t xml:space="preserve">Batch</t>
        </is>
      </c>
      <c r="B16" s="4" t="inlineStr">
        <is>
          <t xml:space="preserve">P lot</t>
        </is>
      </c>
      <c r="C16" s="4" t="inlineStr">
        <is>
          <t xml:space="preserve">iCoA cited (not issued)</t>
        </is>
      </c>
      <c r="D16" s="4" t="inlineStr">
        <is>
          <t xml:space="preserve">Determinations blocked</t>
        </is>
      </c>
    </row>
    <row r="17">
      <c r="A17" s="15" t="inlineStr">
        <is>
          <t xml:space="preserve">BG1024</t>
        </is>
      </c>
      <c r="B17" s="15" t="inlineStr">
        <is>
          <t xml:space="preserve">—</t>
        </is>
      </c>
      <c r="C17" s="15" t="inlineStr">
        <is>
          <t xml:space="preserve">iCoA-PP_26-003</t>
        </is>
      </c>
      <c r="D17" s="15" t="inlineStr">
        <is>
          <t xml:space="preserve">1 Identification A — appearance; 2 Identification B — microscopy; 7 Foreign matter</t>
        </is>
      </c>
    </row>
    <row r="18">
      <c r="A18" s="15" t="inlineStr">
        <is>
          <t xml:space="preserve">BSS1024</t>
        </is>
      </c>
      <c r="B18" s="15" t="inlineStr">
        <is>
          <t xml:space="preserve">—</t>
        </is>
      </c>
      <c r="C18" s="15" t="inlineStr">
        <is>
          <t xml:space="preserve">iCoA-PP_26-002</t>
        </is>
      </c>
      <c r="D18" s="15" t="inlineStr">
        <is>
          <t xml:space="preserve">1 Identification A — appearance; 2 Identification B — microscopy; 7 Foreign matter</t>
        </is>
      </c>
    </row>
    <row r="19">
      <c r="A19" s="15" t="inlineStr">
        <is>
          <t xml:space="preserve">CC012601/1</t>
        </is>
      </c>
      <c r="B19" s="15" t="inlineStr">
        <is>
          <t xml:space="preserve">P060332</t>
        </is>
      </c>
      <c r="C19" s="15" t="inlineStr">
        <is>
          <t xml:space="preserve">iCoA-PP_26-065</t>
        </is>
      </c>
      <c r="D19" s="15" t="inlineStr">
        <is>
          <t xml:space="preserve">1 Identification A — appearance; 2 Identification B — microscopy; 7 Foreign matter</t>
        </is>
      </c>
    </row>
    <row r="20">
      <c r="A20" s="15" t="inlineStr">
        <is>
          <t xml:space="preserve">CJ052501/01</t>
        </is>
      </c>
      <c r="B20" s="15" t="inlineStr">
        <is>
          <t xml:space="preserve">P050162</t>
        </is>
      </c>
      <c r="C20" s="15" t="inlineStr">
        <is>
          <t xml:space="preserve">iCoA-PP_26-022</t>
        </is>
      </c>
      <c r="D20" s="15" t="inlineStr">
        <is>
          <t xml:space="preserve">1 Identification A — appearance; 2 Identification B — microscopy; 7 Foreign matter</t>
        </is>
      </c>
    </row>
    <row r="21">
      <c r="A21" s="15" t="inlineStr">
        <is>
          <t xml:space="preserve">CJ062501/2</t>
        </is>
      </c>
      <c r="B21" s="15" t="inlineStr">
        <is>
          <t xml:space="preserve">P050212</t>
        </is>
      </c>
      <c r="C21" s="15" t="inlineStr">
        <is>
          <t xml:space="preserve">iCoA-PP_26-027</t>
        </is>
      </c>
      <c r="D21" s="15" t="inlineStr">
        <is>
          <t xml:space="preserve">1 Identification A — appearance; 2 Identification B — microscopy; 7 Foreign matter</t>
        </is>
      </c>
    </row>
    <row r="22">
      <c r="A22" s="15" t="inlineStr">
        <is>
          <t xml:space="preserve">CJ082501/2</t>
        </is>
      </c>
      <c r="B22" s="15" t="inlineStr">
        <is>
          <t xml:space="preserve">P060032</t>
        </is>
      </c>
      <c r="C22" s="15" t="inlineStr">
        <is>
          <t xml:space="preserve">iCoA-PP_26-039</t>
        </is>
      </c>
      <c r="D22" s="15" t="inlineStr">
        <is>
          <t xml:space="preserve">1 Identification A — appearance; 2 Identification B — microscopy; 7 Foreign matter</t>
        </is>
      </c>
    </row>
    <row r="23">
      <c r="A23" s="15" t="inlineStr">
        <is>
          <t xml:space="preserve">FB012602</t>
        </is>
      </c>
      <c r="B23" s="15" t="inlineStr">
        <is>
          <t xml:space="preserve">P060352</t>
        </is>
      </c>
      <c r="C23" s="15" t="inlineStr">
        <is>
          <t xml:space="preserve">iCoA-PP_26-067</t>
        </is>
      </c>
      <c r="D23" s="15" t="inlineStr">
        <is>
          <t xml:space="preserve">1 Identification A — appearance; 2 Identification B — microscopy; 7 Foreign matter</t>
        </is>
      </c>
    </row>
    <row r="24">
      <c r="A24" s="15" t="inlineStr">
        <is>
          <t xml:space="preserve">GG1024_01</t>
        </is>
      </c>
      <c r="B24" s="15" t="inlineStr">
        <is>
          <t xml:space="preserve">P050092</t>
        </is>
      </c>
      <c r="C24" s="15" t="inlineStr">
        <is>
          <t xml:space="preserve">iCoA-PP_26-015</t>
        </is>
      </c>
      <c r="D24" s="15" t="inlineStr">
        <is>
          <t xml:space="preserve">1 Identification A — appearance; 2 Identification B — microscopy; 7 Foreign matter</t>
        </is>
      </c>
    </row>
    <row r="25">
      <c r="A25" s="15" t="inlineStr">
        <is>
          <t xml:space="preserve">GP052501</t>
        </is>
      </c>
      <c r="B25" s="15" t="inlineStr">
        <is>
          <t xml:space="preserve">P050152</t>
        </is>
      </c>
      <c r="C25" s="15" t="inlineStr">
        <is>
          <t xml:space="preserve">iCoA-PP_26-020</t>
        </is>
      </c>
      <c r="D25" s="15" t="inlineStr">
        <is>
          <t xml:space="preserve">1 Identification A — appearance; 2 Identification B — microscopy; 7 Foreign matter</t>
        </is>
      </c>
    </row>
    <row r="26">
      <c r="A26" s="15" t="inlineStr">
        <is>
          <t xml:space="preserve">GP0824_02</t>
        </is>
      </c>
      <c r="B26" s="15" t="inlineStr">
        <is>
          <t xml:space="preserve">P050022</t>
        </is>
      </c>
      <c r="C26" s="15" t="inlineStr">
        <is>
          <t xml:space="preserve">iCoA-PP_26-007</t>
        </is>
      </c>
      <c r="D26" s="15" t="inlineStr">
        <is>
          <t xml:space="preserve">1 Identification A — appearance; 2 Identification B — microscopy; 7 Foreign matter</t>
        </is>
      </c>
    </row>
    <row r="27">
      <c r="A27" s="15" t="inlineStr">
        <is>
          <t xml:space="preserve">GP082501/2</t>
        </is>
      </c>
      <c r="B27" s="15" t="inlineStr">
        <is>
          <t xml:space="preserve">P050322</t>
        </is>
      </c>
      <c r="C27" s="15" t="inlineStr">
        <is>
          <t xml:space="preserve">iCoA-PP_26-036</t>
        </is>
      </c>
      <c r="D27" s="15" t="inlineStr">
        <is>
          <t xml:space="preserve">1 Identification A — appearance; 2 Identification B — microscopy; 7 Foreign matter</t>
        </is>
      </c>
    </row>
    <row r="28">
      <c r="A28" s="15" t="inlineStr">
        <is>
          <t xml:space="preserve">HPA1024</t>
        </is>
      </c>
      <c r="B28" s="15" t="inlineStr">
        <is>
          <t xml:space="preserve">—</t>
        </is>
      </c>
      <c r="C28" s="15" t="inlineStr">
        <is>
          <t xml:space="preserve">iCoA-PP_26-005</t>
        </is>
      </c>
      <c r="D28" s="15" t="inlineStr">
        <is>
          <t xml:space="preserve">1 Identification A — appearance; 2 Identification B — microscopy; 7 Foreign matter</t>
        </is>
      </c>
    </row>
    <row r="29">
      <c r="A29" s="15" t="inlineStr">
        <is>
          <t xml:space="preserve">HPA1024_01</t>
        </is>
      </c>
      <c r="B29" s="15" t="inlineStr">
        <is>
          <t xml:space="preserve">P050052</t>
        </is>
      </c>
      <c r="C29" s="15" t="inlineStr">
        <is>
          <t xml:space="preserve">iCoA-PP_26-011</t>
        </is>
      </c>
      <c r="D29" s="15" t="inlineStr">
        <is>
          <t xml:space="preserve">1 Identification A — appearance; 2 Identification B — microscopy; 7 Foreign matter</t>
        </is>
      </c>
    </row>
    <row r="30">
      <c r="A30" s="15" t="inlineStr">
        <is>
          <t xml:space="preserve">J31102501</t>
        </is>
      </c>
      <c r="B30" s="15" t="inlineStr">
        <is>
          <t xml:space="preserve">P060152</t>
        </is>
      </c>
      <c r="C30" s="15" t="inlineStr">
        <is>
          <t xml:space="preserve">iCoA-PP_26-048</t>
        </is>
      </c>
      <c r="D30" s="15" t="inlineStr">
        <is>
          <t xml:space="preserve">1 Identification A — appearance; 2 Identification B — microscopy; 7 Foreign matter</t>
        </is>
      </c>
    </row>
    <row r="31">
      <c r="A31" s="15" t="inlineStr">
        <is>
          <t xml:space="preserve">JD112501</t>
        </is>
      </c>
      <c r="B31" s="15" t="inlineStr">
        <is>
          <t xml:space="preserve">P060212</t>
        </is>
      </c>
      <c r="C31" s="15" t="inlineStr">
        <is>
          <t xml:space="preserve">iCoA-PP_26-054</t>
        </is>
      </c>
      <c r="D31" s="15" t="inlineStr">
        <is>
          <t xml:space="preserve">1 Identification A — appearance; 2 Identification B — microscopy; 7 Foreign matter</t>
        </is>
      </c>
    </row>
    <row r="32">
      <c r="A32" s="15" t="inlineStr">
        <is>
          <t xml:space="preserve">OPM1024</t>
        </is>
      </c>
      <c r="B32" s="15" t="inlineStr">
        <is>
          <t xml:space="preserve">—</t>
        </is>
      </c>
      <c r="C32" s="15" t="inlineStr">
        <is>
          <t xml:space="preserve">iCoA-PP_26-006</t>
        </is>
      </c>
      <c r="D32" s="15" t="inlineStr">
        <is>
          <t xml:space="preserve">2 Identification B — microscopy</t>
        </is>
      </c>
    </row>
    <row r="33">
      <c r="A33" s="15" t="inlineStr">
        <is>
          <t xml:space="preserve">OPM1024_02</t>
        </is>
      </c>
      <c r="B33" s="15" t="inlineStr">
        <is>
          <t xml:space="preserve">P050062</t>
        </is>
      </c>
      <c r="C33" s="15" t="inlineStr">
        <is>
          <t xml:space="preserve">iCoA-PP_26-012</t>
        </is>
      </c>
      <c r="D33" s="15" t="inlineStr">
        <is>
          <t xml:space="preserve">1 Identification A — appearance; 2 Identification B — microscopy; 7 Foreign matter</t>
        </is>
      </c>
    </row>
    <row r="34">
      <c r="A34" s="15" t="inlineStr">
        <is>
          <t xml:space="preserve">OPM122501</t>
        </is>
      </c>
      <c r="B34" s="15" t="inlineStr">
        <is>
          <t xml:space="preserve">P060242</t>
        </is>
      </c>
      <c r="C34" s="15" t="inlineStr">
        <is>
          <t xml:space="preserve">iCoA-PP_26-057</t>
        </is>
      </c>
      <c r="D34" s="15" t="inlineStr">
        <is>
          <t xml:space="preserve">1 Identification A — appearance; 2 Identification B — microscopy; 7 Foreign matter</t>
        </is>
      </c>
    </row>
    <row r="35">
      <c r="A35" s="15" t="inlineStr">
        <is>
          <t xml:space="preserve">PM092501</t>
        </is>
      </c>
      <c r="B35" s="15" t="inlineStr">
        <is>
          <t xml:space="preserve">P060062</t>
        </is>
      </c>
      <c r="C35" s="15" t="inlineStr">
        <is>
          <t xml:space="preserve">iCoA-PP_26-042</t>
        </is>
      </c>
      <c r="D35" s="15" t="inlineStr">
        <is>
          <t xml:space="preserve">1 Identification A — appearance; 2 Identification B — microscopy; 7 Foreign matter</t>
        </is>
      </c>
    </row>
    <row r="36">
      <c r="A36" s="15" t="inlineStr">
        <is>
          <t xml:space="preserve">SCR012603</t>
        </is>
      </c>
      <c r="B36" s="15" t="inlineStr">
        <is>
          <t xml:space="preserve">P060382</t>
        </is>
      </c>
      <c r="C36" s="15" t="inlineStr">
        <is>
          <t xml:space="preserve">iCoA-PP_26-069</t>
        </is>
      </c>
      <c r="D36" s="15" t="inlineStr">
        <is>
          <t xml:space="preserve">1 Identification A — appearance; 2 Identification B — microscopy; 7 Foreign matter</t>
        </is>
      </c>
    </row>
    <row r="37">
      <c r="A37" s="15" t="inlineStr">
        <is>
          <t xml:space="preserve">BSS052501</t>
        </is>
      </c>
      <c r="B37" s="15" t="inlineStr">
        <is>
          <t xml:space="preserve">P050192</t>
        </is>
      </c>
      <c r="C37" s="15" t="inlineStr">
        <is>
          <t xml:space="preserve">iCoA-PP_26-025</t>
        </is>
      </c>
      <c r="D37" s="15" t="inlineStr">
        <is>
          <t xml:space="preserve">1 Identification A — appearance; 2 Identification B — microscopy; 7 Foreign matter</t>
        </is>
      </c>
    </row>
    <row r="38">
      <c r="A38" s="15" t="inlineStr">
        <is>
          <t xml:space="preserve">CJ062501/1</t>
        </is>
      </c>
      <c r="B38" s="15" t="inlineStr">
        <is>
          <t xml:space="preserve">P050222</t>
        </is>
      </c>
      <c r="C38" s="15" t="inlineStr">
        <is>
          <t xml:space="preserve">iCoA-PP_26-028</t>
        </is>
      </c>
      <c r="D38" s="15" t="inlineStr">
        <is>
          <t xml:space="preserve">1 Identification A — appearance; 2 Identification B — microscopy; 7 Foreign matter</t>
        </is>
      </c>
    </row>
    <row r="39">
      <c r="A39" s="15" t="inlineStr">
        <is>
          <t xml:space="preserve">CJ082501/1</t>
        </is>
      </c>
      <c r="B39" s="15" t="inlineStr">
        <is>
          <t xml:space="preserve">P060022</t>
        </is>
      </c>
      <c r="C39" s="15" t="inlineStr">
        <is>
          <t xml:space="preserve">iCoA-PP_26-038</t>
        </is>
      </c>
      <c r="D39" s="15" t="inlineStr">
        <is>
          <t xml:space="preserve">1 Identification A — appearance; 2 Identification B — microscopy; 7 Foreign matter</t>
        </is>
      </c>
    </row>
    <row r="40">
      <c r="A40" s="15" t="inlineStr">
        <is>
          <t xml:space="preserve">CJ092501</t>
        </is>
      </c>
      <c r="B40" s="15" t="inlineStr">
        <is>
          <t xml:space="preserve">P060072</t>
        </is>
      </c>
      <c r="C40" s="15" t="inlineStr">
        <is>
          <t xml:space="preserve">iCoA-PP_26-043</t>
        </is>
      </c>
      <c r="D40" s="15" t="inlineStr">
        <is>
          <t xml:space="preserve">1 Identification A — appearance; 2 Identification B — microscopy; 7 Foreign matter</t>
        </is>
      </c>
    </row>
    <row r="41">
      <c r="A41" s="15" t="inlineStr">
        <is>
          <t xml:space="preserve">CLE072501</t>
        </is>
      </c>
      <c r="B41" s="15" t="inlineStr">
        <is>
          <t xml:space="preserve">P050282</t>
        </is>
      </c>
      <c r="C41" s="15" t="inlineStr">
        <is>
          <t xml:space="preserve">iCoA-PP_26-032</t>
        </is>
      </c>
      <c r="D41" s="15" t="inlineStr">
        <is>
          <t xml:space="preserve">1 Identification A — appearance; 2 Identification B — microscopy; 7 Foreign matter</t>
        </is>
      </c>
    </row>
    <row r="42">
      <c r="A42" s="15" t="inlineStr">
        <is>
          <t xml:space="preserve">FB012601/1</t>
        </is>
      </c>
      <c r="B42" s="15" t="inlineStr">
        <is>
          <t xml:space="preserve">P060322</t>
        </is>
      </c>
      <c r="C42" s="15" t="inlineStr">
        <is>
          <t xml:space="preserve">iCoA-PP_26-066</t>
        </is>
      </c>
      <c r="D42" s="15" t="inlineStr">
        <is>
          <t xml:space="preserve">1 Identification A — appearance; 2 Identification B — microscopy; 7 Foreign matter</t>
        </is>
      </c>
    </row>
    <row r="43">
      <c r="A43" s="15" t="inlineStr">
        <is>
          <t xml:space="preserve">GG1024</t>
        </is>
      </c>
      <c r="B43" s="15" t="inlineStr">
        <is>
          <t xml:space="preserve">—</t>
        </is>
      </c>
      <c r="C43" s="15" t="inlineStr">
        <is>
          <t xml:space="preserve">iCoA-PP_26-004</t>
        </is>
      </c>
      <c r="D43" s="15" t="inlineStr">
        <is>
          <t xml:space="preserve">1 Identification A — appearance; 2 Identification B — microscopy; 7 Foreign matter</t>
        </is>
      </c>
    </row>
    <row r="44">
      <c r="A44" s="15" t="inlineStr">
        <is>
          <t xml:space="preserve">GP072501/2</t>
        </is>
      </c>
      <c r="B44" s="15" t="inlineStr">
        <is>
          <t xml:space="preserve">P050302</t>
        </is>
      </c>
      <c r="C44" s="15" t="inlineStr">
        <is>
          <t xml:space="preserve">iCoA-PP_26-034</t>
        </is>
      </c>
      <c r="D44" s="15" t="inlineStr">
        <is>
          <t xml:space="preserve">1 Identification A — appearance; 2 Identification B — microscopy; 7 Foreign matter</t>
        </is>
      </c>
    </row>
    <row r="45">
      <c r="A45" s="15" t="inlineStr">
        <is>
          <t xml:space="preserve">GP0824_03</t>
        </is>
      </c>
      <c r="B45" s="15" t="inlineStr">
        <is>
          <t xml:space="preserve">P050072</t>
        </is>
      </c>
      <c r="C45" s="15" t="inlineStr">
        <is>
          <t xml:space="preserve">iCoA-PP_26-013</t>
        </is>
      </c>
      <c r="D45" s="15" t="inlineStr">
        <is>
          <t xml:space="preserve">1 Identification A — appearance; 2 Identification B — microscopy; 7 Foreign matter</t>
        </is>
      </c>
    </row>
    <row r="46">
      <c r="A46" s="15" t="inlineStr">
        <is>
          <t xml:space="preserve">GP082501/1</t>
        </is>
      </c>
      <c r="B46" s="15" t="inlineStr">
        <is>
          <t xml:space="preserve">P050312</t>
        </is>
      </c>
      <c r="C46" s="15" t="inlineStr">
        <is>
          <t xml:space="preserve">iCoA-PP_26-035</t>
        </is>
      </c>
      <c r="D46" s="15" t="inlineStr">
        <is>
          <t xml:space="preserve">1 Identification A — appearance; 2 Identification B — microscopy; 7 Foreign matter</t>
        </is>
      </c>
    </row>
    <row r="47">
      <c r="A47" s="15" t="inlineStr">
        <is>
          <t xml:space="preserve">GP092501</t>
        </is>
      </c>
      <c r="B47" s="15" t="inlineStr">
        <is>
          <t xml:space="preserve">P060092</t>
        </is>
      </c>
      <c r="C47" s="15" t="inlineStr">
        <is>
          <t xml:space="preserve">iCoA-PP_26-045</t>
        </is>
      </c>
      <c r="D47" s="15" t="inlineStr">
        <is>
          <t xml:space="preserve">1 Identification A — appearance; 2 Identification B — microscopy; 7 Foreign matter</t>
        </is>
      </c>
    </row>
    <row r="48">
      <c r="A48" s="15" t="inlineStr">
        <is>
          <t xml:space="preserve">HPA052501</t>
        </is>
      </c>
      <c r="B48" s="15" t="inlineStr">
        <is>
          <t xml:space="preserve">P050182</t>
        </is>
      </c>
      <c r="C48" s="15" t="inlineStr">
        <is>
          <t xml:space="preserve">iCoA-PP_26-024</t>
        </is>
      </c>
      <c r="D48" s="15" t="inlineStr">
        <is>
          <t xml:space="preserve">1 Identification A — appearance; 2 Identification B — microscopy; 7 Foreign matter</t>
        </is>
      </c>
    </row>
    <row r="49">
      <c r="A49" s="15" t="inlineStr">
        <is>
          <t xml:space="preserve">KC102501</t>
        </is>
      </c>
      <c r="B49" s="15" t="inlineStr">
        <is>
          <t xml:space="preserve">P060172</t>
        </is>
      </c>
      <c r="C49" s="15" t="inlineStr">
        <is>
          <t xml:space="preserve">iCoA-PP_26-050</t>
        </is>
      </c>
      <c r="D49" s="15" t="inlineStr">
        <is>
          <t xml:space="preserve">1 Identification A — appearance; 2 Identification B — microscopy; 7 Foreign matter</t>
        </is>
      </c>
    </row>
    <row r="50">
      <c r="A50" s="15" t="inlineStr">
        <is>
          <t xml:space="preserve">MB0824_05</t>
        </is>
      </c>
      <c r="B50" s="15" t="inlineStr">
        <is>
          <t xml:space="preserve">P050112</t>
        </is>
      </c>
      <c r="C50" s="15" t="inlineStr">
        <is>
          <t xml:space="preserve">iCoA-PP_26-017</t>
        </is>
      </c>
      <c r="D50" s="15" t="inlineStr">
        <is>
          <t xml:space="preserve">1 Identification A — appearance; 2 Identification B — microscopy; 7 Foreign matter</t>
        </is>
      </c>
    </row>
    <row r="51">
      <c r="A51" s="15" t="inlineStr">
        <is>
          <t xml:space="preserve">OMP1024_01</t>
        </is>
      </c>
      <c r="B51" s="15" t="inlineStr">
        <is>
          <t xml:space="preserve">P050042</t>
        </is>
      </c>
      <c r="C51" s="15" t="inlineStr">
        <is>
          <t xml:space="preserve">iCoA-PP_26-010</t>
        </is>
      </c>
      <c r="D51" s="15" t="inlineStr">
        <is>
          <t xml:space="preserve">1 Identification A — appearance; 2 Identification B — microscopy; 7 Foreign matter</t>
        </is>
      </c>
    </row>
    <row r="52">
      <c r="A52" s="15" t="inlineStr">
        <is>
          <t xml:space="preserve">OPM092501</t>
        </is>
      </c>
      <c r="B52" s="15" t="inlineStr">
        <is>
          <t xml:space="preserve">P060042</t>
        </is>
      </c>
      <c r="C52" s="15" t="inlineStr">
        <is>
          <t xml:space="preserve">iCoA-PP_26-040</t>
        </is>
      </c>
      <c r="D52" s="15" t="inlineStr">
        <is>
          <t xml:space="preserve">1 Identification A — appearance; 2 Identification B — microscopy; 7 Foreign matter</t>
        </is>
      </c>
    </row>
    <row r="53">
      <c r="A53" s="15" t="inlineStr">
        <is>
          <t xml:space="preserve">OPM1024_03</t>
        </is>
      </c>
      <c r="B53" s="15" t="inlineStr">
        <is>
          <t xml:space="preserve">P050082</t>
        </is>
      </c>
      <c r="C53" s="15" t="inlineStr">
        <is>
          <t xml:space="preserve">iCoA-PP_26-014</t>
        </is>
      </c>
      <c r="D53" s="15" t="inlineStr">
        <is>
          <t xml:space="preserve">1 Identification A — appearance; 2 Identification B — microscopy; 7 Foreign matter</t>
        </is>
      </c>
    </row>
    <row r="54">
      <c r="A54" s="15" t="inlineStr">
        <is>
          <t xml:space="preserve">PM112501</t>
        </is>
      </c>
      <c r="B54" s="15" t="inlineStr">
        <is>
          <t xml:space="preserve">P060232</t>
        </is>
      </c>
      <c r="C54" s="15" t="inlineStr">
        <is>
          <t xml:space="preserve">iCoA-PP_26-056</t>
        </is>
      </c>
      <c r="D54" s="15" t="inlineStr">
        <is>
          <t xml:space="preserve">1 Identification A — appearance; 2 Identification B — microscopy; 7 Foreign matter</t>
        </is>
      </c>
    </row>
    <row r="55">
      <c r="A55" s="15" t="inlineStr">
        <is>
          <t xml:space="preserve">SCR112501</t>
        </is>
      </c>
      <c r="B55" s="15" t="inlineStr">
        <is>
          <t xml:space="preserve">P060282</t>
        </is>
      </c>
      <c r="C55" s="15" t="inlineStr">
        <is>
          <t xml:space="preserve">iCoA-PP_26-061</t>
        </is>
      </c>
      <c r="D55" s="15" t="inlineStr">
        <is>
          <t xml:space="preserve">1 Identification A — appearance; 2 Identification B — microscopy; 7 Foreign matter</t>
        </is>
      </c>
    </row>
    <row r="56">
      <c r="A56" s="15" t="inlineStr">
        <is>
          <t xml:space="preserve">WC082501</t>
        </is>
      </c>
      <c r="B56" s="15" t="inlineStr">
        <is>
          <t xml:space="preserve">P060012</t>
        </is>
      </c>
      <c r="C56" s="15" t="inlineStr">
        <is>
          <t xml:space="preserve">iCoA-PP_26-037</t>
        </is>
      </c>
      <c r="D56" s="15" t="inlineStr">
        <is>
          <t xml:space="preserve">1 Identification A — appearance; 2 Identification B — microscopy; 7 Foreign matter</t>
        </is>
      </c>
    </row>
  </sheetData>
  <pageMargins bottom="0.4" footer="0.0" header="0.0" left="0.3" right="0.3" top="0.4"/>
</worksheet>
</file>

<file path=xl/worksheets/sheetY4.xml><?xml version="1.0" encoding="utf-8"?>
<worksheet xmlns="http://schemas.openxmlformats.org/spreadsheetml/2006/main" xmlns:r="http://schemas.openxmlformats.org/officeDocument/2006/relationships">
  <sheetPr>
    <pageSetUpPr fitToPage="1"/>
  </sheetPr>
  <sheetViews>
    <sheetView workbookViewId="0">
      <pane ySplit="3.0" topLeftCell="A4" activePane="bottomLeft" state="frozen"/>
    </sheetView>
  </sheetViews>
  <sheetFormatPr defaultColWidth="14.43" defaultRowHeight="15.0"/>
  <cols>
    <col customWidth="1" min="1" max="1" width="9"/>
    <col customWidth="1" min="2" max="2" width="15"/>
    <col customWidth="1" min="3" max="3" width="11"/>
    <col customWidth="1" min="4" max="4" width="22"/>
    <col customWidth="1" min="5" max="5" width="6"/>
    <col customWidth="1" min="6" max="6" width="90"/>
  </cols>
  <sheetData>
    <row r="1">
      <c r="A1" s="4" t="inlineStr">
        <is>
          <t xml:space="preserve">Nothing on file — 37 determinations on 10 batches with no document anywhere: not in eCoA_DATABASE, not in eCoA_OLD, not as a planned certificate. Samples to submit, not documents to find.</t>
        </is>
      </c>
    </row>
    <row r="2"/>
    <row r="3">
      <c r="A3" s="4" t="inlineStr">
        <is>
          <t xml:space="preserve">Tranche</t>
        </is>
      </c>
      <c r="B3" s="4" t="inlineStr">
        <is>
          <t xml:space="preserve">Batch</t>
        </is>
      </c>
      <c r="C3" s="4" t="inlineStr">
        <is>
          <t xml:space="preserve">P lot</t>
        </is>
      </c>
      <c r="D3" s="4" t="inlineStr">
        <is>
          <t xml:space="preserve">Strain</t>
        </is>
      </c>
      <c r="E3" s="4" t="inlineStr">
        <is>
          <t xml:space="preserve">n</t>
        </is>
      </c>
      <c r="F3" s="4" t="inlineStr">
        <is>
          <t xml:space="preserve">Determinations with no document</t>
        </is>
      </c>
    </row>
    <row r="4">
      <c r="A4" s="15" t="inlineStr">
        <is>
          <t xml:space="preserve">2</t>
        </is>
      </c>
      <c r="B4" s="15" t="inlineStr">
        <is>
          <t xml:space="preserve">CC012603</t>
        </is>
      </c>
      <c r="C4" s="15" t="inlineStr">
        <is>
          <t xml:space="preserve">P060372</t>
        </is>
      </c>
      <c r="D4" s="15" t="inlineStr">
        <is>
          <t xml:space="preserve">CashCow</t>
        </is>
      </c>
      <c r="E4" s="15" t="inlineStr">
        <is>
          <t xml:space="preserve">7</t>
        </is>
      </c>
      <c r="F4" s="15" t="inlineStr">
        <is>
          <t xml:space="preserve">1 Identification A — appearance; 2 Identification B — microscopy; 7 Foreign matter; 8 Loss on drying; 10 Mycotoxins; 11 Heavy metals; 12 Pesticide residues</t>
        </is>
      </c>
    </row>
    <row r="5">
      <c r="A5" s="15" t="inlineStr">
        <is>
          <t xml:space="preserve">2</t>
        </is>
      </c>
      <c r="B5" s="15" t="inlineStr">
        <is>
          <t xml:space="preserve">JD012603/01</t>
        </is>
      </c>
      <c r="C5" s="15" t="inlineStr">
        <is>
          <t xml:space="preserve">P060362</t>
        </is>
      </c>
      <c r="D5" s="15" t="inlineStr">
        <is>
          <t xml:space="preserve">Jelly Donuts</t>
        </is>
      </c>
      <c r="E5" s="15" t="inlineStr">
        <is>
          <t xml:space="preserve">7</t>
        </is>
      </c>
      <c r="F5" s="15" t="inlineStr">
        <is>
          <t xml:space="preserve">1 Identification A — appearance; 2 Identification B — microscopy; 7 Foreign matter; 8 Loss on drying; 10 Mycotoxins; 11 Heavy metals; 12 Pesticide residues</t>
        </is>
      </c>
    </row>
    <row r="6">
      <c r="A6" s="15" t="inlineStr">
        <is>
          <t xml:space="preserve">2</t>
        </is>
      </c>
      <c r="B6" s="15" t="inlineStr">
        <is>
          <t xml:space="preserve">GRC102501/2</t>
        </is>
      </c>
      <c r="C6" s="15" t="inlineStr">
        <is>
          <t xml:space="preserve">P060182</t>
        </is>
      </c>
      <c r="D6" s="15" t="inlineStr">
        <is>
          <t xml:space="preserve">Grapes and Cream</t>
        </is>
      </c>
      <c r="E6" s="15" t="inlineStr">
        <is>
          <t xml:space="preserve">4</t>
        </is>
      </c>
      <c r="F6" s="15" t="inlineStr">
        <is>
          <t xml:space="preserve">1 Identification A — appearance; 2 Identification B — microscopy; 7 Foreign matter; 10 Mycotoxins</t>
        </is>
      </c>
    </row>
    <row r="7">
      <c r="A7" s="15" t="inlineStr">
        <is>
          <t xml:space="preserve">1</t>
        </is>
      </c>
      <c r="B7" s="15" t="inlineStr">
        <is>
          <t xml:space="preserve">CC012601/1</t>
        </is>
      </c>
      <c r="C7" s="15" t="inlineStr">
        <is>
          <t xml:space="preserve">P060332</t>
        </is>
      </c>
      <c r="D7" s="15" t="inlineStr">
        <is>
          <t xml:space="preserve">CashCow</t>
        </is>
      </c>
      <c r="E7" s="15" t="inlineStr">
        <is>
          <t xml:space="preserve">3</t>
        </is>
      </c>
      <c r="F7" s="15" t="inlineStr">
        <is>
          <t xml:space="preserve">8 Loss on drying; 11 Heavy metals; 12 Pesticide residues</t>
        </is>
      </c>
    </row>
    <row r="8">
      <c r="A8" s="15" t="inlineStr">
        <is>
          <t xml:space="preserve">1</t>
        </is>
      </c>
      <c r="B8" s="15" t="inlineStr">
        <is>
          <t xml:space="preserve">FB012602</t>
        </is>
      </c>
      <c r="C8" s="15" t="inlineStr">
        <is>
          <t xml:space="preserve">P060352</t>
        </is>
      </c>
      <c r="D8" s="15" t="inlineStr">
        <is>
          <t xml:space="preserve">Fat Bastard</t>
        </is>
      </c>
      <c r="E8" s="15" t="inlineStr">
        <is>
          <t xml:space="preserve">3</t>
        </is>
      </c>
      <c r="F8" s="15" t="inlineStr">
        <is>
          <t xml:space="preserve">8 Loss on drying; 11 Heavy metals; 12 Pesticide residues</t>
        </is>
      </c>
    </row>
    <row r="9">
      <c r="A9" s="15" t="inlineStr">
        <is>
          <t xml:space="preserve">1</t>
        </is>
      </c>
      <c r="B9" s="15" t="inlineStr">
        <is>
          <t xml:space="preserve">SCR012603</t>
        </is>
      </c>
      <c r="C9" s="15" t="inlineStr">
        <is>
          <t xml:space="preserve">P060382</t>
        </is>
      </c>
      <c r="D9" s="15" t="inlineStr">
        <is>
          <t xml:space="preserve">Scrambler</t>
        </is>
      </c>
      <c r="E9" s="15" t="inlineStr">
        <is>
          <t xml:space="preserve">3</t>
        </is>
      </c>
      <c r="F9" s="15" t="inlineStr">
        <is>
          <t xml:space="preserve">8 Loss on drying; 11 Heavy metals; 12 Pesticide residues</t>
        </is>
      </c>
    </row>
    <row r="10">
      <c r="A10" s="15" t="inlineStr">
        <is>
          <t xml:space="preserve">2</t>
        </is>
      </c>
      <c r="B10" s="15" t="inlineStr">
        <is>
          <t xml:space="preserve">ACC102501</t>
        </is>
      </c>
      <c r="C10" s="15" t="inlineStr">
        <is>
          <t xml:space="preserve">P060122</t>
        </is>
      </c>
      <c r="D10" s="15" t="inlineStr">
        <is>
          <t xml:space="preserve">Amnesia Core Cut</t>
        </is>
      </c>
      <c r="E10" s="15" t="inlineStr">
        <is>
          <t xml:space="preserve">3</t>
        </is>
      </c>
      <c r="F10" s="15" t="inlineStr">
        <is>
          <t xml:space="preserve">1 Identification A — appearance; 2 Identification B — microscopy; 7 Foreign matter</t>
        </is>
      </c>
    </row>
    <row r="11">
      <c r="A11" s="15" t="inlineStr">
        <is>
          <t xml:space="preserve">2</t>
        </is>
      </c>
      <c r="B11" s="15" t="inlineStr">
        <is>
          <t xml:space="preserve">CF102501</t>
        </is>
      </c>
      <c r="C11" s="15" t="inlineStr">
        <is>
          <t xml:space="preserve">P060132</t>
        </is>
      </c>
      <c r="D11" s="15" t="inlineStr">
        <is>
          <t xml:space="preserve">Chem Flyer</t>
        </is>
      </c>
      <c r="E11" s="15" t="inlineStr">
        <is>
          <t xml:space="preserve">3</t>
        </is>
      </c>
      <c r="F11" s="15" t="inlineStr">
        <is>
          <t xml:space="preserve">1 Identification A — appearance; 2 Identification B — microscopy; 7 Foreign matter</t>
        </is>
      </c>
    </row>
    <row r="12">
      <c r="A12" s="15" t="inlineStr">
        <is>
          <t xml:space="preserve">2</t>
        </is>
      </c>
      <c r="B12" s="15" t="inlineStr">
        <is>
          <t xml:space="preserve">PUM102501</t>
        </is>
      </c>
      <c r="C12" s="15" t="inlineStr">
        <is>
          <t xml:space="preserve">P060112</t>
        </is>
      </c>
      <c r="D12" s="15" t="inlineStr">
        <is>
          <t xml:space="preserve">Pure Michigen</t>
        </is>
      </c>
      <c r="E12" s="15" t="inlineStr">
        <is>
          <t xml:space="preserve">3</t>
        </is>
      </c>
      <c r="F12" s="15" t="inlineStr">
        <is>
          <t xml:space="preserve">1 Identification A — appearance; 2 Identification B — microscopy; 7 Foreign matter</t>
        </is>
      </c>
    </row>
    <row r="13">
      <c r="A13" s="15" t="inlineStr">
        <is>
          <t xml:space="preserve">2</t>
        </is>
      </c>
      <c r="B13" s="15" t="inlineStr">
        <is>
          <t xml:space="preserve">PM112501</t>
        </is>
      </c>
      <c r="C13" s="15" t="inlineStr">
        <is>
          <t xml:space="preserve">P060232</t>
        </is>
      </c>
      <c r="D13" s="15" t="inlineStr">
        <is>
          <t xml:space="preserve">Permanent Marker</t>
        </is>
      </c>
      <c r="E13" s="15" t="inlineStr">
        <is>
          <t xml:space="preserve">1</t>
        </is>
      </c>
      <c r="F13" s="15" t="inlineStr">
        <is>
          <t xml:space="preserve">10 Mycotoxins</t>
        </is>
      </c>
    </row>
  </sheetData>
  <pageMargins bottom="0.4" footer="0.0" header="0.0" left="0.3" right="0.3" top="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Batch Coverage v16</vt:lpstr>
      <vt:lpstr>CoQ Parameter Tracker v13</vt:lpstr>
      <vt:lpstr>iCoA Register</vt:lpstr>
      <vt:lpstr>iCoA Issuance</vt:lpstr>
      <vt:lpstr>CoQ Register</vt:lpstr>
      <vt:lpstr>Delivery T1–T3</vt:lpstr>
      <vt:lpstr>Parameters</vt:lpstr>
      <vt:lpstr>Credit Audit</vt:lpstr>
      <vt:lpstr>Credit Corrections</vt:lpstr>
      <vt:lpstr>Work Order</vt:lpstr>
      <vt:lpstr>Batch Dates</vt:lpstr>
      <vt:lpstr>Read Me</vt:lpstr>
      <vt:lpstr>Summary Dashboard</vt:lpstr>
      <vt:lpstr>eCoA Split 09.09.2026</vt:lpstr>
      <vt:lpstr>Split Findings</vt:lpstr>
      <vt:lpstr>FHM 220 Retest</vt:lpstr>
      <vt:lpstr>FHM 220 Coverage</vt:lpstr>
      <vt:lpstr>Batch Coverage v15</vt:lpstr>
      <vt:lpstr>Split Reconciliation</vt:lpstr>
      <vt:lpstr>Coverage Update 09.09</vt:lpstr>
      <vt:lpstr>eCoA_OLD Reconciliation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Blagoj Nikolov</cp:lastModifiedBy>
  <dcterms:created xsi:type="dcterms:W3CDTF">2026-08-31T02:16:30Z</dcterms:created>
  <dcterms:modified xsi:type="dcterms:W3CDTF">2026-09-09T11:41:09Z</dcterms:modified>
</cp:coreProperties>
</file>