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6"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Reference!$A$220:$A$366</definedName>
    <definedName name="_fold_Reconciliation_09_09">Reference!$A$370:$A$643</definedName>
    <definedName name="_fold_Credit_Audit">Reference!$A$647:$A$660</definedName>
    <definedName name="_fold_Credit_Corrections">Reference!$A$664:$A$797</definedName>
    <definedName name="_fold_Work_Order">Reference!$A$801:$A$842</definedName>
    <definedName name="_fold_Open_Items">Reference!$A$846:$A$904</definedName>
    <definedName name="_fold_Not_Tested_Review">Reference!$A$908:$A$1202</definedName>
    <definedName name="_fold_Summary_Dashboard">Reference!$A$1206:$A$1226</definedName>
    <definedName name="_xlnm._FilterDatabase" localSheetId="0" hidden="1">'Batch Coverage'!$A$1:$V$87</definedName>
    <definedName name="_xlnm.Print_Titles" localSheetId="0">'Batch Coverage'!$1:$1</definedName>
    <definedName name="_xlnm.Print_Titles" localSheetId="1">'CoQ Parameter Tracker v46'!$1:$4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Supersession'!$A$1:$P$120</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6" headerRowCount="1">
  <autoFilter ref="A1:AB216"/>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iCoA-PP_26-100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iCoA-PP_26-101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iCoA-PP_26-073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iCoA-PP_26-073
CoQ-PP_26-063 · initial release
iCoA-PP_26-177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iCoA-PP_26-180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iCoA-PP_26-078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iCoA-PP_26-078
CoQ-PP_26-069 · initial release
iCoA-PP_26-130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iCoA-PP_26-093
CoQ-PP_26-079 · initial release
iCoA-PP_26-181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iCoA-PP_26-181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iCoA-PP_26-080
CoQ-PP_26-075 · initial release
iCoA-PP_26-182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iCoA-PP_26-182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iCoA-PP_26-095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iCoA-PP_26-075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iCoA-PP_26-075
CoQ-PP_26-065 · initial release
iCoA-PP_26-183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iCoA-PP_26-085
CoQ-PP_26-077 · initial release
iCoA-PP_26-110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iCoA-PP_26-110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iCoA-PP_26-099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iCoA-PP_26-131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iCoA-PP_26-064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iCoA-PP_26-064
CoQ-PP_26-061 · initial release
iCoA-PP_26-166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iCoA-PP_26-112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iCoA-PP_26-112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iCoA-PP_26-053
CoQ-PP_26-051 · initial release
iCoA-PP_26-114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iCoA-PP_26-053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iCoA-PP_26-114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iCoA-PP_26-059
CoQ-PP_26-056 · initial release
iCoA-PP_26-170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iCoA-PP_26-059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iCoA-PP_26-170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iCoA-PP_26-072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iCoA-PP_26-072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iCoA-PP_26-171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iCoA-PP_26-121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iCoA-PP_26-060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iCoA-PP_26-060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iCoA-PP_26-115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iCoA-PP_26-056
CoQ-PP_26-053 · initial release
iCoA-PP_26-141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iCoA-PP_26-056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iCoA-PP_26-141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iCoA-PP_26-116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iCoA-PP_26-116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iCoA-PP_26-061
CoQ-PP_26-058 · initial release
iCoA-PP_26-157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iCoA-PP_26-061
CoQ-PP_26-058 · initial release
iCoA-PP_26-157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iCoA-PP_26-063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iCoA-PP_26-063
CoQ-PP_26-060 · initial release
iCoA-PP_26-118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iCoA-PP_26-118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iCoA-PP_26-009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iCoA-PP_26-009
CoQ-PP_26-008 · initial release
iCoA-PP_26-165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iCoA-PP_26-008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iCoA-PP_26-008
CoQ-PP_26-007 · initial release
iCoA-PP_26-108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iCoA-PP_26-108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iCoA-PP_26-108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iCoA-PP_26-010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iCoA-PP_26-010
CoQ-PP_26-009 · initial release
iCoA-PP_26-173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iCoA-PP_26-092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iCoA-PP_26-092
CoQ-PP_26-010 · initial release
iCoA-PP_26-144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iCoA-PP_26-011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iCoA-PP_26-011
CoQ-PP_26-011 · initial release
iCoA-PP_26-113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iCoA-PP_26-012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iCoA-PP_26-012
CoQ-PP_26-012 · initial release
iCoA-PP_26-117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iCoA-PP_26-013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iCoA-PP_26-013
CoQ-PP_26-013 · initial release
iCoA-PP_26-133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iCoA-PP_26-133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iCoA-PP_26-014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iCoA-PP_26-014
CoQ-PP_26-014 · initial release
iCoA-PP_26-149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iCoA-PP_26-015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iCoA-PP_26-015
CoQ-PP_26-015 · initial release
iCoA-PP_26-106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iCoA-PP_26-016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iCoA-PP_26-016
CoQ-PP_26-016 · initial release
iCoA-PP_26-156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iCoA-PP_26-156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iCoA-PP_26-017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iCoA-PP_26-017
CoQ-PP_26-017 · initial release
iCoA-PP_26-142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iCoA-PP_26-089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iCoA-PP_26-089
CoQ-PP_26-018 · initial release
iCoA-PP_26-176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iCoA-PP_26-018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iCoA-PP_26-018
CoQ-PP_26-019 · initial release
iCoA-PP_26-174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iCoA-PP_26-019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iCoA-PP_26-019
CoQ-PP_26-020 · initial release
iCoA-PP_26-107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iCoA-PP_26-021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iCoA-PP_26-021
CoQ-PP_26-022 · initial release
iCoA-PP_26-102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iCoA-PP_26-022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iCoA-PP_26-022
CoQ-PP_26-023 · initial release
iCoA-PP_26-178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iCoA-PP_26-023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iCoA-PP_26-023
CoQ-PP_26-024 · initial release
iCoA-PP_26-137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iCoA-PP_26-024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iCoA-PP_26-024
CoQ-PP_26-025 · initial release
iCoA-PP_26-124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iCoA-PP_26-024
CoQ-PP_26-025 · initial release
iCoA-PP_26-124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iCoA-PP_26-025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iCoA-PP_26-167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iCoA-PP_26-167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iCoA-PP_26-167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iCoA-PP_26-026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iCoA-PP_26-026
CoQ-PP_26-027 · initial release
iCoA-PP_26-103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iCoA-PP_26-027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iCoA-PP_26-027
CoQ-PP_26-028 · initial release
iCoA-PP_26-126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iCoA-PP_26-028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iCoA-PP_26-028
CoQ-PP_26-029 · initial release
iCoA-PP_26-179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iCoA-PP_26-029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iCoA-PP_26-029
CoQ-PP_26-030 · initial release
iCoA-PP_26-163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iCoA-PP_26-030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iCoA-PP_26-030
CoQ-PP_26-031 · initial release
iCoA-PP_26-158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iCoA-PP_26-031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iCoA-PP_26-031
CoQ-PP_26-032 · initial release
iCoA-PP_26-129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iCoA-PP_26-032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iCoA-PP_26-032
CoQ-PP_26-033 · initial release
iCoA-PP_26-168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iCoA-PP_26-033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iCoA-PP_26-033
CoQ-PP_26-034 · initial release
iCoA-PP_26-132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iCoA-PP_26-034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iCoA-PP_26-034
CoQ-PP_26-035 · initial release
iCoA-PP_26-134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iCoA-PP_26-035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iCoA-PP_26-035
CoQ-PP_26-036 · initial release
iCoA-PP_26-111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iCoA-PP_26-036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iCoA-PP_26-036
CoQ-PP_26-037 · initial release
iCoA-PP_26-154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iCoA-PP_26-037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iCoA-PP_26-037
CoQ-PP_26-038 · initial release
iCoA-PP_26-127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iCoA-PP_26-038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iCoA-PP_26-038
CoQ-PP_26-039 · initial release
iCoA-PP_26-104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iCoA-PP_26-039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iCoA-PP_26-039
CoQ-PP_26-040 · initial release
iCoA-PP_26-143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iCoA-PP_26-040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iCoA-PP_26-040
CoQ-PP_26-041 · initial release
iCoA-PP_26-175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iCoA-PP_26-041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iCoA-PP_26-041
CoQ-PP_26-042 · initial release
iCoA-PP_26-120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iCoA-PP_26-042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iCoA-PP_26-042
CoQ-PP_26-043 · initial release
iCoA-PP_26-128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iCoA-PP_26-043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iCoA-PP_26-043
CoQ-PP_26-044 · initial release
iCoA-PP_26-153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iCoA-PP_26-044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iCoA-PP_26-044
CoQ-PP_26-045 · initial release
iCoA-PP_26-135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iCoA-PP_26-079
CoQ-PP_26-068 · initial release
iCoA-PP_26-105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iCoA-PP_26-083
CoQ-PP_26-070 · initial release
iCoA-PP_26-109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iCoA-PP_26-087
CoQ-PP_26-074 · initial release
iCoA-PP_26-119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iCoA-PP_26-096
— at issue —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13"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iCoA-PP_26-097
— at issue —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15.375"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iCoA-PP_26-098
— at issue —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15.375"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iCoA-PP_26-062
CoQ-PP_26-059 · initial release
iCoA-PP_26-150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iCoA-PP_26-062
CoQ-PP_26-059 · initial release
iCoA-PP_26-150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iCoA-PP_26-094
CoQ-PP_26-080 · initial release
iCoA-PP_26-160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iCoA-PP_26-160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iCoA-PP_26-074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iCoA-PP_26-074
CoQ-PP_26-064 · initial release
iCoA-PP_26-152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iCoA-PP_26-055
CoQ-PP_26-052 · initial release
iCoA-PP_26-161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iCoA-PP_26-055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iCoA-PP_26-161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iCoA-PP_26-058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iCoA-PP_26-058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iCoA-PP_26-162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iCoA-PP_26-020
CoQ-PP_26-021 · initial release
iCoA-PP_26-155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iCoA-PP_26-045
CoQ-PP_26-046 · initial release
iCoA-PP_26-164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iCoA-PP_26-088
CoQ-PP_26-073 · initial release
iCoA-PP_26-159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iCoA-PP_26-047
CoQ-PP_26-048 · initial release
iCoA-PP_26-123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iCoA-PP_26-048
CoQ-PP_26-049 · initial release
iCoA-PP_26-125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iCoA-PP_26-046
CoQ-PP_26-047 · initial release
iCoA-PP_26-151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iCoA-PP_26-084
CoQ-PP_26-072 · initial release
iCoA-PP_26-145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iCoA-PP_26-122
CoQ-PP_26-084 · initial release
iCoA-PP_26-148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iCoA-PP_26-147
— at issue —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iCoA-PP_26-146
— at issue —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t="n">
        <v>46176</v>
      </c>
      <c r="E8" s="245" t="n">
        <v>45784</v>
      </c>
      <c r="F8" s="245">
        <f>IFERROR(INDEX('Batch Dates'!$G:$G,MATCH(J8,'Batch Dates'!$C:$C,0)),IFERROR(INDEX('Batch Dates'!$G:$G,MATCH(I8,'Batch Dates'!$B:$B,0)),""))</f>
        <v/>
      </c>
      <c r="G8" s="243" t="inlineStr">
        <is>
          <t>legacy</t>
        </is>
      </c>
      <c r="H8" s="243" t="inlineStr">
        <is>
          <t>retest 1</t>
        </is>
      </c>
      <c r="I8" s="244" t="inlineStr">
        <is>
          <t>OMP1024_01</t>
        </is>
      </c>
      <c r="J8" s="243" t="inlineStr">
        <is>
          <t>P050042</t>
        </is>
      </c>
      <c r="K8" s="243" t="inlineStr">
        <is>
          <t>Orange Punch Mimosa</t>
        </is>
      </c>
      <c r="L8" s="243" t="inlineStr">
        <is>
          <t>Ident A + Ident B + Foreign matter</t>
        </is>
      </c>
      <c r="M8" s="248" t="inlineStr">
        <is>
          <t>—</t>
        </is>
      </c>
      <c r="N8" s="243">
        <f>IFERROR(INDEX('CoQ Register'!$B:$B,MATCH("P050042|R",'CoQ Register'!$S:$S,0)),"—")</f>
        <v/>
      </c>
      <c r="O8" s="248" t="inlineStr">
        <is>
          <t>—</t>
        </is>
      </c>
      <c r="P8" s="243" t="inlineStr">
        <is>
          <t>20.06.2026</t>
        </is>
      </c>
      <c r="Q8" s="243" t="inlineStr">
        <is>
          <t>26.03.2025 – 27.03.2025</t>
        </is>
      </c>
      <c r="R8" s="243" t="inlineStr">
        <is>
          <t>20.06.2025</t>
        </is>
      </c>
      <c r="S8" s="245">
        <f>IFERROR(INDEX('CoQ Register'!$D:$D,MATCH("P050042|R",'CoQ Register'!$S:$S,0)),"")</f>
        <v/>
      </c>
      <c r="T8" s="243" t="inlineStr">
        <is>
          <t>Conforms</t>
        </is>
      </c>
      <c r="U8" s="243" t="inlineStr">
        <is>
          <t>Conforms</t>
        </is>
      </c>
      <c r="V8" s="243" t="inlineStr">
        <is>
          <t>Conforms</t>
        </is>
      </c>
      <c r="W8" s="243" t="inlineStr">
        <is>
          <t>220-21-K-26, (26.08.2026) [FHM-K]</t>
        </is>
      </c>
      <c r="X8" s="243" t="inlineStr">
        <is>
          <t>220-21-K-26, (26.08.2026) [FHM-K]</t>
        </is>
      </c>
      <c r="Y8" s="243" t="inlineStr">
        <is>
          <t>220-21-M-26, (11.09.2026) [FHM-M]</t>
        </is>
      </c>
      <c r="Z8" s="243" t="inlineStr">
        <is>
          <t>#8, #9, #11, #12 from the initial testing</t>
        </is>
      </c>
      <c r="AA8" s="243" t="inlineStr">
        <is>
          <t>P050042|R</t>
        </is>
      </c>
      <c r="AB8" s="250" t="inlineStr">
        <is>
          <t>registered — retest 1,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GP0824_02</t>
        </is>
      </c>
      <c r="J9" s="243" t="inlineStr">
        <is>
          <t>P050022</t>
        </is>
      </c>
      <c r="K9" s="243" t="inlineStr">
        <is>
          <t>Grape Pie</t>
        </is>
      </c>
      <c r="L9" s="243" t="inlineStr">
        <is>
          <t>Ident A + Ident B + Foreign matter</t>
        </is>
      </c>
      <c r="M9" s="248" t="inlineStr">
        <is>
          <t>—</t>
        </is>
      </c>
      <c r="N9" s="243">
        <f>IFERROR(INDEX('CoQ Register'!$B:$B,MATCH("P050022|I",'CoQ Register'!$S:$S,0)),"—")</f>
        <v/>
      </c>
      <c r="O9" s="243" t="inlineStr">
        <is>
          <t>iCoA-PP-2025-0006</t>
        </is>
      </c>
      <c r="P9" s="243" t="inlineStr">
        <is>
          <t>03.06.2025</t>
        </is>
      </c>
      <c r="Q9" s="243" t="inlineStr">
        <is>
          <t>22.04.2025 – 23.04.2025</t>
        </is>
      </c>
      <c r="R9" s="243" t="inlineStr">
        <is>
          <t>03.06.2025 – 11.06.2025</t>
        </is>
      </c>
      <c r="S9" s="245">
        <f>IFERROR(INDEX('CoQ Register'!$D:$D,MATCH("P050022|I",'CoQ Register'!$S:$S,0)),"")</f>
        <v/>
      </c>
      <c r="T9" s="243" t="inlineStr">
        <is>
          <t>Conforms</t>
        </is>
      </c>
      <c r="U9" s="243" t="inlineStr">
        <is>
          <t>Conforms</t>
        </is>
      </c>
      <c r="V9" s="243" t="inlineStr">
        <is>
          <t>Conforms</t>
        </is>
      </c>
      <c r="W9" s="243" t="inlineStr">
        <is>
          <t>ППК25139, (22.05.2025) [CNP]</t>
        </is>
      </c>
      <c r="X9" s="243" t="inlineStr">
        <is>
          <t>—</t>
        </is>
      </c>
      <c r="Y9" s="243" t="inlineStr">
        <is>
          <t>—</t>
        </is>
      </c>
      <c r="Z9" s="243" t="inlineStr">
        <is>
          <t>—</t>
        </is>
      </c>
      <c r="AA9" s="243" t="inlineStr">
        <is>
          <t>P050022|I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GG1024_02</t>
        </is>
      </c>
      <c r="J10" s="243" t="inlineStr">
        <is>
          <t>P050012</t>
        </is>
      </c>
      <c r="K10" s="243" t="inlineStr">
        <is>
          <t>Gorilla Glue</t>
        </is>
      </c>
      <c r="L10" s="243" t="inlineStr">
        <is>
          <t>Ident A + Ident B + Foreign matter</t>
        </is>
      </c>
      <c r="M10" s="248" t="inlineStr">
        <is>
          <t>—</t>
        </is>
      </c>
      <c r="N10" s="243">
        <f>IFERROR(INDEX('CoQ Register'!$B:$B,MATCH("P050012|I",'CoQ Register'!$S:$S,0)),"—")</f>
        <v/>
      </c>
      <c r="O10" s="248" t="inlineStr">
        <is>
          <t>—</t>
        </is>
      </c>
      <c r="P10" s="243" t="inlineStr">
        <is>
          <t>30.05.2025</t>
        </is>
      </c>
      <c r="Q10" s="243" t="inlineStr">
        <is>
          <t>14.04.2025 – 15.04.2025</t>
        </is>
      </c>
      <c r="R10" s="243" t="inlineStr">
        <is>
          <t>11.06.2025 – 16.06.2025 (the issuance plan's basis: 30.05.2025)</t>
        </is>
      </c>
      <c r="S10" s="245">
        <f>IFERROR(INDEX('CoQ Register'!$D:$D,MATCH("P050012|I",'CoQ Register'!$S:$S,0)),"")</f>
        <v/>
      </c>
      <c r="T10" s="243" t="inlineStr">
        <is>
          <t>Conforms</t>
        </is>
      </c>
      <c r="U10" s="243" t="inlineStr">
        <is>
          <t>Conforms</t>
        </is>
      </c>
      <c r="V10" s="243" t="inlineStr">
        <is>
          <t>Conforms</t>
        </is>
      </c>
      <c r="W10" s="243" t="inlineStr">
        <is>
          <t>ППК25140, (22.05.2025) [CNP]</t>
        </is>
      </c>
      <c r="X10" s="243" t="inlineStr">
        <is>
          <t>—</t>
        </is>
      </c>
      <c r="Y10" s="243" t="inlineStr">
        <is>
          <t>—</t>
        </is>
      </c>
      <c r="Z10" s="243" t="inlineStr">
        <is>
          <t>—</t>
        </is>
      </c>
      <c r="AA10" s="243" t="inlineStr">
        <is>
          <t>P050012|I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MB0824_04</t>
        </is>
      </c>
      <c r="J11" s="243" t="inlineStr">
        <is>
          <t>P050032</t>
        </is>
      </c>
      <c r="K11" s="243" t="inlineStr">
        <is>
          <t>Motor Breath</t>
        </is>
      </c>
      <c r="L11" s="243" t="inlineStr">
        <is>
          <t>Ident A + Ident B + Foreign matter</t>
        </is>
      </c>
      <c r="M11" s="248" t="inlineStr">
        <is>
          <t>—</t>
        </is>
      </c>
      <c r="N11" s="243">
        <f>IFERROR(INDEX('CoQ Register'!$B:$B,MATCH("P050032|I",'CoQ Register'!$S:$S,0)),"—")</f>
        <v/>
      </c>
      <c r="O11" s="248" t="inlineStr">
        <is>
          <t>—</t>
        </is>
      </c>
      <c r="P11" s="243" t="inlineStr">
        <is>
          <t>07.05.2025</t>
        </is>
      </c>
      <c r="Q11" s="243" t="inlineStr">
        <is>
          <t>02.04.2025 – 03.04.2025</t>
        </is>
      </c>
      <c r="R11" s="243" t="inlineStr">
        <is>
          <t>16.06.2025 – 19.06.2025 (the issuance plan's basis: 07.05.2025)</t>
        </is>
      </c>
      <c r="S11" s="245">
        <f>IFERROR(INDEX('CoQ Register'!$D:$D,MATCH("P050032|I",'CoQ Register'!$S:$S,0)),"")</f>
        <v/>
      </c>
      <c r="T11" s="243" t="inlineStr">
        <is>
          <t>Conforms</t>
        </is>
      </c>
      <c r="U11" s="243" t="inlineStr">
        <is>
          <t>Conforms</t>
        </is>
      </c>
      <c r="V11" s="243" t="inlineStr">
        <is>
          <t>Conforms</t>
        </is>
      </c>
      <c r="W11" s="243" t="inlineStr">
        <is>
          <t>ППК25118, (06.05.2025) [CNP]</t>
        </is>
      </c>
      <c r="X11" s="243" t="inlineStr">
        <is>
          <t>—</t>
        </is>
      </c>
      <c r="Y11" s="243" t="inlineStr">
        <is>
          <t>—</t>
        </is>
      </c>
      <c r="Z11" s="243" t="inlineStr">
        <is>
          <t>—</t>
        </is>
      </c>
      <c r="AA11" s="243" t="inlineStr">
        <is>
          <t>P050032|I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HPA1024_01</t>
        </is>
      </c>
      <c r="J12" s="243" t="inlineStr">
        <is>
          <t>P050052</t>
        </is>
      </c>
      <c r="K12" s="243" t="inlineStr">
        <is>
          <t>High Pro Amnesia</t>
        </is>
      </c>
      <c r="L12" s="243" t="inlineStr">
        <is>
          <t>Ident A + Ident B + Foreign matter</t>
        </is>
      </c>
      <c r="M12" s="248" t="inlineStr">
        <is>
          <t>—</t>
        </is>
      </c>
      <c r="N12" s="243">
        <f>IFERROR(INDEX('CoQ Register'!$B:$B,MATCH("P050052|I",'CoQ Register'!$S:$S,0)),"—")</f>
        <v/>
      </c>
      <c r="O12" s="243" t="inlineStr">
        <is>
          <t>iCoA-PP-2025-0008</t>
        </is>
      </c>
      <c r="P12" s="243" t="inlineStr">
        <is>
          <t>27.06.2025</t>
        </is>
      </c>
      <c r="Q12" s="243" t="inlineStr">
        <is>
          <t>27.05.2025 – 28.05.2025</t>
        </is>
      </c>
      <c r="R12" s="243" t="inlineStr">
        <is>
          <t>27.06.2025 – 04.07.2025</t>
        </is>
      </c>
      <c r="S12" s="245">
        <f>IFERROR(INDEX('CoQ Register'!$D:$D,MATCH("P050052|I",'CoQ Register'!$S:$S,0)),"")</f>
        <v/>
      </c>
      <c r="T12" s="243" t="inlineStr">
        <is>
          <t>Conforms</t>
        </is>
      </c>
      <c r="U12" s="243" t="inlineStr">
        <is>
          <t>Conforms</t>
        </is>
      </c>
      <c r="V12" s="243" t="inlineStr">
        <is>
          <t>Conforms</t>
        </is>
      </c>
      <c r="W12" s="243" t="inlineStr">
        <is>
          <t>ППК25155, (24.06.2025) [CNP]</t>
        </is>
      </c>
      <c r="X12" s="243" t="inlineStr">
        <is>
          <t>—</t>
        </is>
      </c>
      <c r="Y12" s="243" t="inlineStr">
        <is>
          <t>—</t>
        </is>
      </c>
      <c r="Z12" s="243" t="inlineStr">
        <is>
          <t>—</t>
        </is>
      </c>
      <c r="AA12" s="243" t="inlineStr">
        <is>
          <t>P050052|I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OPM1024_02</t>
        </is>
      </c>
      <c r="J13" s="243" t="inlineStr">
        <is>
          <t>P050062</t>
        </is>
      </c>
      <c r="K13" s="243" t="inlineStr">
        <is>
          <t>Orange Punch Mimosa</t>
        </is>
      </c>
      <c r="L13" s="243" t="inlineStr">
        <is>
          <t>Ident A + Ident B + Foreign matter</t>
        </is>
      </c>
      <c r="M13" s="248" t="inlineStr">
        <is>
          <t>—</t>
        </is>
      </c>
      <c r="N13" s="243">
        <f>IFERROR(INDEX('CoQ Register'!$B:$B,MATCH("P050062|I",'CoQ Register'!$S:$S,0)),"—")</f>
        <v/>
      </c>
      <c r="O13" s="243" t="inlineStr">
        <is>
          <t>iCoA-PP-2025-0009</t>
        </is>
      </c>
      <c r="P13" s="243" t="inlineStr">
        <is>
          <t>04.07.2025</t>
        </is>
      </c>
      <c r="Q13" s="243" t="inlineStr">
        <is>
          <t>29.05.2025 – 30.05.2025</t>
        </is>
      </c>
      <c r="R13" s="243" t="inlineStr">
        <is>
          <t>04.07.2025 – 10.07.2025</t>
        </is>
      </c>
      <c r="S13" s="245">
        <f>IFERROR(INDEX('CoQ Register'!$D:$D,MATCH("P050062|I",'CoQ Register'!$S:$S,0)),"")</f>
        <v/>
      </c>
      <c r="T13" s="243" t="inlineStr">
        <is>
          <t>Conforms</t>
        </is>
      </c>
      <c r="U13" s="243" t="inlineStr">
        <is>
          <t>Conforms</t>
        </is>
      </c>
      <c r="V13" s="243" t="inlineStr">
        <is>
          <t>Conforms</t>
        </is>
      </c>
      <c r="W13" s="243" t="inlineStr">
        <is>
          <t>ППК25154, (24.06.2025) [CNP]</t>
        </is>
      </c>
      <c r="X13" s="243" t="inlineStr">
        <is>
          <t>—</t>
        </is>
      </c>
      <c r="Y13" s="243" t="inlineStr">
        <is>
          <t>—</t>
        </is>
      </c>
      <c r="Z13" s="243" t="inlineStr">
        <is>
          <t>—</t>
        </is>
      </c>
      <c r="AA13" s="243" t="inlineStr">
        <is>
          <t>P050062|I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GP0824_03</t>
        </is>
      </c>
      <c r="J14" s="243" t="inlineStr">
        <is>
          <t>P050072</t>
        </is>
      </c>
      <c r="K14" s="243" t="inlineStr">
        <is>
          <t>Grape Pie</t>
        </is>
      </c>
      <c r="L14" s="243" t="inlineStr">
        <is>
          <t>Ident A + Ident B + Foreign matter</t>
        </is>
      </c>
      <c r="M14" s="248" t="inlineStr">
        <is>
          <t>—</t>
        </is>
      </c>
      <c r="N14" s="243">
        <f>IFERROR(INDEX('CoQ Register'!$B:$B,MATCH("P050072|I",'CoQ Register'!$S:$S,0)),"—")</f>
        <v/>
      </c>
      <c r="O14" s="243" t="inlineStr">
        <is>
          <t>iCoA-PP-2025-0010</t>
        </is>
      </c>
      <c r="P14" s="243" t="inlineStr">
        <is>
          <t>14.07.2025</t>
        </is>
      </c>
      <c r="Q14" s="243" t="inlineStr">
        <is>
          <t>09.06.2025 – 10.06.2025</t>
        </is>
      </c>
      <c r="R14" s="243" t="inlineStr">
        <is>
          <t>14.07.2025 – 17.07.2025</t>
        </is>
      </c>
      <c r="S14" s="245">
        <f>IFERROR(INDEX('CoQ Register'!$D:$D,MATCH("P050072|I",'CoQ Register'!$S:$S,0)),"")</f>
        <v/>
      </c>
      <c r="T14" s="243" t="inlineStr">
        <is>
          <t>Conforms</t>
        </is>
      </c>
      <c r="U14" s="243" t="inlineStr">
        <is>
          <t>Conforms</t>
        </is>
      </c>
      <c r="V14" s="243" t="inlineStr">
        <is>
          <t>Conforms</t>
        </is>
      </c>
      <c r="W14" s="243" t="inlineStr">
        <is>
          <t>ППК25175, (10.07.2025) [CNP]</t>
        </is>
      </c>
      <c r="X14" s="243" t="inlineStr">
        <is>
          <t>—</t>
        </is>
      </c>
      <c r="Y14" s="243" t="inlineStr">
        <is>
          <t>—</t>
        </is>
      </c>
      <c r="Z14" s="243" t="inlineStr">
        <is>
          <t>—</t>
        </is>
      </c>
      <c r="AA14" s="243" t="inlineStr">
        <is>
          <t>P050072|I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OPM1024_03</t>
        </is>
      </c>
      <c r="J15" s="243" t="inlineStr">
        <is>
          <t>P050082</t>
        </is>
      </c>
      <c r="K15" s="243" t="inlineStr">
        <is>
          <t>Orange Punch Mimosa</t>
        </is>
      </c>
      <c r="L15" s="243" t="inlineStr">
        <is>
          <t>Ident A + Ident B + Foreign matter</t>
        </is>
      </c>
      <c r="M15" s="248" t="inlineStr">
        <is>
          <t>—</t>
        </is>
      </c>
      <c r="N15" s="243">
        <f>IFERROR(INDEX('CoQ Register'!$B:$B,MATCH("P050082|I",'CoQ Register'!$S:$S,0)),"—")</f>
        <v/>
      </c>
      <c r="O15" s="243" t="inlineStr">
        <is>
          <t>iCoA-PP-2025-0011</t>
        </is>
      </c>
      <c r="P15" s="243" t="inlineStr">
        <is>
          <t>22.07.2025</t>
        </is>
      </c>
      <c r="Q15" s="243" t="inlineStr">
        <is>
          <t>01.07.2025 – 02.07.2025</t>
        </is>
      </c>
      <c r="R15" s="243" t="inlineStr">
        <is>
          <t>22.07.2025 – 30.07.2025</t>
        </is>
      </c>
      <c r="S15" s="245">
        <f>IFERROR(INDEX('CoQ Register'!$D:$D,MATCH("P050082|I",'CoQ Register'!$S:$S,0)),"")</f>
        <v/>
      </c>
      <c r="T15" s="243" t="inlineStr">
        <is>
          <t>Conforms</t>
        </is>
      </c>
      <c r="U15" s="243" t="inlineStr">
        <is>
          <t>Conforms</t>
        </is>
      </c>
      <c r="V15" s="243" t="inlineStr">
        <is>
          <t>Conforms</t>
        </is>
      </c>
      <c r="W15" s="243" t="inlineStr">
        <is>
          <t>ППК25210, (28.07.2025) [CNP]</t>
        </is>
      </c>
      <c r="X15" s="243" t="inlineStr">
        <is>
          <t>—</t>
        </is>
      </c>
      <c r="Y15" s="243" t="inlineStr">
        <is>
          <t>—</t>
        </is>
      </c>
      <c r="Z15" s="243" t="inlineStr">
        <is>
          <t>—</t>
        </is>
      </c>
      <c r="AA15" s="243" t="inlineStr">
        <is>
          <t>P050082|I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GG1024_01</t>
        </is>
      </c>
      <c r="J16" s="243" t="inlineStr">
        <is>
          <t>P050092</t>
        </is>
      </c>
      <c r="K16" s="243" t="inlineStr">
        <is>
          <t>Gorilla Glue</t>
        </is>
      </c>
      <c r="L16" s="243" t="inlineStr">
        <is>
          <t>Ident A + Ident B + Foreign matter</t>
        </is>
      </c>
      <c r="M16" s="248" t="inlineStr">
        <is>
          <t>—</t>
        </is>
      </c>
      <c r="N16" s="243">
        <f>IFERROR(INDEX('CoQ Register'!$B:$B,MATCH("P050092|I",'CoQ Register'!$S:$S,0)),"—")</f>
        <v/>
      </c>
      <c r="O16" s="243" t="inlineStr">
        <is>
          <t>iCoA-PP-2025-0012</t>
        </is>
      </c>
      <c r="P16" s="243" t="inlineStr">
        <is>
          <t>31.07.2025</t>
        </is>
      </c>
      <c r="Q16" s="243" t="inlineStr">
        <is>
          <t>17.03.2025 – 18.03.2025</t>
        </is>
      </c>
      <c r="R16" s="243" t="inlineStr">
        <is>
          <t>31.07.2025 – 05.08.2025</t>
        </is>
      </c>
      <c r="S16" s="245">
        <f>IFERROR(INDEX('CoQ Register'!$D:$D,MATCH("P050092|I",'CoQ Register'!$S:$S,0)),"")</f>
        <v/>
      </c>
      <c r="T16" s="243" t="inlineStr">
        <is>
          <t>Conforms</t>
        </is>
      </c>
      <c r="U16" s="243" t="inlineStr">
        <is>
          <t>Conforms</t>
        </is>
      </c>
      <c r="V16" s="243" t="inlineStr">
        <is>
          <t>Conforms</t>
        </is>
      </c>
      <c r="W16" s="243" t="inlineStr">
        <is>
          <t>ППК25104, (17.04.2025) [CNP]</t>
        </is>
      </c>
      <c r="X16" s="243" t="inlineStr">
        <is>
          <t>—</t>
        </is>
      </c>
      <c r="Y16" s="243" t="inlineStr">
        <is>
          <t>—</t>
        </is>
      </c>
      <c r="Z16" s="243" t="inlineStr">
        <is>
          <t>—</t>
        </is>
      </c>
      <c r="AA16" s="243" t="inlineStr">
        <is>
          <t>P050092|I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GP0824_01</t>
        </is>
      </c>
      <c r="J17" s="243" t="inlineStr">
        <is>
          <t>P050102</t>
        </is>
      </c>
      <c r="K17" s="243" t="inlineStr">
        <is>
          <t>Grape Pie</t>
        </is>
      </c>
      <c r="L17" s="243" t="inlineStr">
        <is>
          <t>Ident A + Ident B + Foreign matter</t>
        </is>
      </c>
      <c r="M17" s="248" t="inlineStr">
        <is>
          <t>—</t>
        </is>
      </c>
      <c r="N17" s="243">
        <f>IFERROR(INDEX('CoQ Register'!$B:$B,MATCH("P050102|I",'CoQ Register'!$S:$S,0)),"—")</f>
        <v/>
      </c>
      <c r="O17" s="248" t="inlineStr">
        <is>
          <t>—</t>
        </is>
      </c>
      <c r="P17" s="243" t="inlineStr">
        <is>
          <t>17.04.2025</t>
        </is>
      </c>
      <c r="Q17" s="243" t="inlineStr">
        <is>
          <t>20.03.2025 – 21.03.2025</t>
        </is>
      </c>
      <c r="R17" s="243" t="inlineStr">
        <is>
          <t>05.08.2025 – 07.08.2025 (the issuance plan's basis: 17.04.2025)</t>
        </is>
      </c>
      <c r="S17" s="245">
        <f>IFERROR(INDEX('CoQ Register'!$D:$D,MATCH("P050102|I",'CoQ Register'!$S:$S,0)),"")</f>
        <v/>
      </c>
      <c r="T17" s="243" t="inlineStr">
        <is>
          <t>Conforms</t>
        </is>
      </c>
      <c r="U17" s="243" t="inlineStr">
        <is>
          <t>Conforms</t>
        </is>
      </c>
      <c r="V17" s="243" t="inlineStr">
        <is>
          <t>Conforms</t>
        </is>
      </c>
      <c r="W17" s="243" t="inlineStr">
        <is>
          <t>ППК25105, (17.04.2025) [CNP]</t>
        </is>
      </c>
      <c r="X17" s="243" t="inlineStr">
        <is>
          <t>—</t>
        </is>
      </c>
      <c r="Y17" s="243" t="inlineStr">
        <is>
          <t>—</t>
        </is>
      </c>
      <c r="Z17" s="243" t="inlineStr">
        <is>
          <t>—</t>
        </is>
      </c>
      <c r="AA17" s="243" t="inlineStr">
        <is>
          <t>P050102|I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MB0824_05</t>
        </is>
      </c>
      <c r="J18" s="243" t="inlineStr">
        <is>
          <t>P050112</t>
        </is>
      </c>
      <c r="K18" s="243" t="inlineStr">
        <is>
          <t>Motor Breath</t>
        </is>
      </c>
      <c r="L18" s="243" t="inlineStr">
        <is>
          <t>Ident A + Ident B + Foreign matter</t>
        </is>
      </c>
      <c r="M18" s="248" t="inlineStr">
        <is>
          <t>—</t>
        </is>
      </c>
      <c r="N18" s="243">
        <f>IFERROR(INDEX('CoQ Register'!$B:$B,MATCH("P050112|I",'CoQ Register'!$S:$S,0)),"—")</f>
        <v/>
      </c>
      <c r="O18" s="243" t="inlineStr">
        <is>
          <t>iCoA-PP-2025-0013</t>
        </is>
      </c>
      <c r="P18" s="243" t="inlineStr">
        <is>
          <t>25.08.2025</t>
        </is>
      </c>
      <c r="Q18" s="243" t="inlineStr">
        <is>
          <t>08.07.2025 – 09.07.2025</t>
        </is>
      </c>
      <c r="R18" s="243" t="inlineStr">
        <is>
          <t>25.08.2025 – 31.08.2025</t>
        </is>
      </c>
      <c r="S18" s="245">
        <f>IFERROR(INDEX('CoQ Register'!$D:$D,MATCH("P050112|I",'CoQ Register'!$S:$S,0)),"")</f>
        <v/>
      </c>
      <c r="T18" s="243" t="inlineStr">
        <is>
          <t>Conforms</t>
        </is>
      </c>
      <c r="U18" s="243" t="inlineStr">
        <is>
          <t>Conforms</t>
        </is>
      </c>
      <c r="V18" s="243" t="inlineStr">
        <is>
          <t>Conforms</t>
        </is>
      </c>
      <c r="W18" s="243" t="inlineStr">
        <is>
          <t>ППК25211, (28.07.2025) [CNP]</t>
        </is>
      </c>
      <c r="X18" s="243" t="inlineStr">
        <is>
          <t>—</t>
        </is>
      </c>
      <c r="Y18" s="243" t="inlineStr">
        <is>
          <t>—</t>
        </is>
      </c>
      <c r="Z18" s="243" t="inlineStr">
        <is>
          <t>—</t>
        </is>
      </c>
      <c r="AA18" s="243" t="inlineStr">
        <is>
          <t>P050112|I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OPM052501</t>
        </is>
      </c>
      <c r="J19" s="243" t="inlineStr">
        <is>
          <t>P050132</t>
        </is>
      </c>
      <c r="K19" s="243" t="inlineStr">
        <is>
          <t>Orange Punch Mimosa</t>
        </is>
      </c>
      <c r="L19" s="243" t="inlineStr">
        <is>
          <t>Ident A + Ident B + Foreign matter</t>
        </is>
      </c>
      <c r="M19" s="248" t="inlineStr">
        <is>
          <t>—</t>
        </is>
      </c>
      <c r="N19" s="243">
        <f>IFERROR(INDEX('CoQ Register'!$B:$B,MATCH("P050132|I",'CoQ Register'!$S:$S,0)),"—")</f>
        <v/>
      </c>
      <c r="O19" s="248" t="inlineStr">
        <is>
          <t>—</t>
        </is>
      </c>
      <c r="P19" s="243" t="inlineStr">
        <is>
          <t>05.09.2025</t>
        </is>
      </c>
      <c r="Q19" s="243" t="inlineStr">
        <is>
          <t>11.08.2025 – 13.08.2025</t>
        </is>
      </c>
      <c r="R19" s="243" t="inlineStr">
        <is>
          <t>09.09.2025 – 15.09.2025 (the issuance plan's basis: 05.09.2025)</t>
        </is>
      </c>
      <c r="S19" s="245">
        <f>IFERROR(INDEX('CoQ Register'!$D:$D,MATCH("P050132|I",'CoQ Register'!$S:$S,0)),"")</f>
        <v/>
      </c>
      <c r="T19" s="243" t="inlineStr">
        <is>
          <t>Conforms</t>
        </is>
      </c>
      <c r="U19" s="243" t="inlineStr">
        <is>
          <t>Conforms</t>
        </is>
      </c>
      <c r="V19" s="243" t="inlineStr">
        <is>
          <t>Conforms</t>
        </is>
      </c>
      <c r="W19" s="243" t="inlineStr">
        <is>
          <t>ППК25257, (05.09.2025) [CNP]</t>
        </is>
      </c>
      <c r="X19" s="243" t="inlineStr">
        <is>
          <t>—</t>
        </is>
      </c>
      <c r="Y19" s="243" t="inlineStr">
        <is>
          <t>—</t>
        </is>
      </c>
      <c r="Z19" s="243" t="inlineStr">
        <is>
          <t>—</t>
        </is>
      </c>
      <c r="AA19" s="243" t="inlineStr">
        <is>
          <t>P050132|I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GP052501</t>
        </is>
      </c>
      <c r="J20" s="243" t="inlineStr">
        <is>
          <t>P050152</t>
        </is>
      </c>
      <c r="K20" s="243" t="inlineStr">
        <is>
          <t>Grape Pie</t>
        </is>
      </c>
      <c r="L20" s="243" t="inlineStr">
        <is>
          <t>Ident A + Ident B + Foreign matter</t>
        </is>
      </c>
      <c r="M20" s="248" t="inlineStr">
        <is>
          <t>—</t>
        </is>
      </c>
      <c r="N20" s="243">
        <f>IFERROR(INDEX('CoQ Register'!$B:$B,MATCH("P050152|I",'CoQ Register'!$S:$S,0)),"—")</f>
        <v/>
      </c>
      <c r="O20" s="243" t="inlineStr">
        <is>
          <t>iCoA-PP-2025-0014</t>
        </is>
      </c>
      <c r="P20" s="243" t="inlineStr">
        <is>
          <t>25.09.2025</t>
        </is>
      </c>
      <c r="Q20" s="243" t="inlineStr">
        <is>
          <t>— not given —</t>
        </is>
      </c>
      <c r="R20" s="243" t="inlineStr">
        <is>
          <t>25.09.2025</t>
        </is>
      </c>
      <c r="S20" s="245">
        <f>IFERROR(INDEX('CoQ Register'!$D:$D,MATCH("P050152|I",'CoQ Register'!$S:$S,0)),"")</f>
        <v/>
      </c>
      <c r="T20" s="243" t="inlineStr">
        <is>
          <t>Conforms</t>
        </is>
      </c>
      <c r="U20" s="243" t="inlineStr">
        <is>
          <t>Conforms</t>
        </is>
      </c>
      <c r="V20" s="243" t="inlineStr">
        <is>
          <t>Conforms</t>
        </is>
      </c>
      <c r="W20" s="243" t="inlineStr">
        <is>
          <t>ППК25279, (19.09.2025) [CNP]</t>
        </is>
      </c>
      <c r="X20" s="243" t="inlineStr">
        <is>
          <t>—</t>
        </is>
      </c>
      <c r="Y20" s="243" t="inlineStr">
        <is>
          <t>—</t>
        </is>
      </c>
      <c r="Z20" s="243" t="inlineStr">
        <is>
          <t>—</t>
        </is>
      </c>
      <c r="AA20" s="243" t="inlineStr">
        <is>
          <t>P050152|I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BSS1024_01/2</t>
        </is>
      </c>
      <c r="J21" s="243" t="inlineStr">
        <is>
          <t>P050142</t>
        </is>
      </c>
      <c r="K21" s="243" t="inlineStr">
        <is>
          <t>Blue Sunset Sherbet</t>
        </is>
      </c>
      <c r="L21" s="243" t="inlineStr">
        <is>
          <t>Ident A + Ident B + Foreign matter</t>
        </is>
      </c>
      <c r="M21" s="248" t="inlineStr">
        <is>
          <t>—</t>
        </is>
      </c>
      <c r="N21" s="243">
        <f>IFERROR(INDEX('CoQ Register'!$B:$B,MATCH("P050142|I",'CoQ Register'!$S:$S,0)),"—")</f>
        <v/>
      </c>
      <c r="O21" s="248" t="inlineStr">
        <is>
          <t>—</t>
        </is>
      </c>
      <c r="P21" s="243" t="inlineStr">
        <is>
          <t>30.09.2025</t>
        </is>
      </c>
      <c r="Q21" s="243" t="inlineStr">
        <is>
          <t>— not given —</t>
        </is>
      </c>
      <c r="R21" s="243" t="inlineStr">
        <is>
          <t>30.09.2025</t>
        </is>
      </c>
      <c r="S21" s="245">
        <f>IFERROR(INDEX('CoQ Register'!$D:$D,MATCH("P050142|I",'CoQ Register'!$S:$S,0)),"")</f>
        <v/>
      </c>
      <c r="T21" s="243" t="inlineStr">
        <is>
          <t>Conforms</t>
        </is>
      </c>
      <c r="U21" s="243" t="inlineStr">
        <is>
          <t>Conforms</t>
        </is>
      </c>
      <c r="V21" s="243" t="inlineStr">
        <is>
          <t>Conforms</t>
        </is>
      </c>
      <c r="W21" s="243" t="inlineStr">
        <is>
          <t>— no cannabinoid certificate from the initial testing —</t>
        </is>
      </c>
      <c r="X21" s="243" t="inlineStr">
        <is>
          <t>—</t>
        </is>
      </c>
      <c r="Y21" s="243" t="inlineStr">
        <is>
          <t>—</t>
        </is>
      </c>
      <c r="Z21" s="243" t="inlineStr">
        <is>
          <t>—</t>
        </is>
      </c>
      <c r="AA21" s="243" t="inlineStr">
        <is>
          <t>P050142|I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CJ052501/01</t>
        </is>
      </c>
      <c r="J22" s="243" t="inlineStr">
        <is>
          <t>P050162</t>
        </is>
      </c>
      <c r="K22" s="243" t="inlineStr">
        <is>
          <t>Cap Junky</t>
        </is>
      </c>
      <c r="L22" s="243" t="inlineStr">
        <is>
          <t>Ident A + Ident B + Foreign matter</t>
        </is>
      </c>
      <c r="M22" s="248" t="inlineStr">
        <is>
          <t>—</t>
        </is>
      </c>
      <c r="N22" s="243">
        <f>IFERROR(INDEX('CoQ Register'!$B:$B,MATCH("P050162|I",'CoQ Register'!$S:$S,0)),"—")</f>
        <v/>
      </c>
      <c r="O22" s="243" t="inlineStr">
        <is>
          <t>iCoA-PP-2025-0015</t>
        </is>
      </c>
      <c r="P22" s="243" t="inlineStr">
        <is>
          <t>30.09.2025</t>
        </is>
      </c>
      <c r="Q22" s="243" t="inlineStr">
        <is>
          <t>20.08.2025</t>
        </is>
      </c>
      <c r="R22" s="243" t="inlineStr">
        <is>
          <t>30.09.2025 – 01.10.2025</t>
        </is>
      </c>
      <c r="S22" s="245">
        <f>IFERROR(INDEX('CoQ Register'!$D:$D,MATCH("P050162|I",'CoQ Register'!$S:$S,0)),"")</f>
        <v/>
      </c>
      <c r="T22" s="243" t="inlineStr">
        <is>
          <t>Conforms</t>
        </is>
      </c>
      <c r="U22" s="243" t="inlineStr">
        <is>
          <t>Conforms</t>
        </is>
      </c>
      <c r="V22" s="243" t="inlineStr">
        <is>
          <t>Conforms</t>
        </is>
      </c>
      <c r="W22" s="243" t="inlineStr">
        <is>
          <t>ППК25280, (17.09.2025) [CNP]</t>
        </is>
      </c>
      <c r="X22" s="243" t="inlineStr">
        <is>
          <t>—</t>
        </is>
      </c>
      <c r="Y22" s="243" t="inlineStr">
        <is>
          <t>—</t>
        </is>
      </c>
      <c r="Z22" s="243" t="inlineStr">
        <is>
          <t>—</t>
        </is>
      </c>
      <c r="AA22" s="243" t="inlineStr">
        <is>
          <t>P050162|I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CJ052501/02</t>
        </is>
      </c>
      <c r="J23" s="243" t="inlineStr">
        <is>
          <t>P050172</t>
        </is>
      </c>
      <c r="K23" s="243" t="inlineStr">
        <is>
          <t>Cap Junky</t>
        </is>
      </c>
      <c r="L23" s="243" t="inlineStr">
        <is>
          <t>Ident A + Ident B + Foreign matter</t>
        </is>
      </c>
      <c r="M23" s="248" t="inlineStr">
        <is>
          <t>—</t>
        </is>
      </c>
      <c r="N23" s="243">
        <f>IFERROR(INDEX('CoQ Register'!$B:$B,MATCH("P050172|I",'CoQ Register'!$S:$S,0)),"—")</f>
        <v/>
      </c>
      <c r="O23" s="248" t="inlineStr">
        <is>
          <t>—</t>
        </is>
      </c>
      <c r="P23" s="243" t="inlineStr">
        <is>
          <t>17.09.2025</t>
        </is>
      </c>
      <c r="Q23" s="243" t="inlineStr">
        <is>
          <t>20.08.2025</t>
        </is>
      </c>
      <c r="R23" s="243" t="inlineStr">
        <is>
          <t>01.10.2025 – 02.10.2025 (the issuance plan's basis: 17.09.2025)</t>
        </is>
      </c>
      <c r="S23" s="245">
        <f>IFERROR(INDEX('CoQ Register'!$D:$D,MATCH("P050172|I",'CoQ Register'!$S:$S,0)),"")</f>
        <v/>
      </c>
      <c r="T23" s="243" t="inlineStr">
        <is>
          <t>Conforms</t>
        </is>
      </c>
      <c r="U23" s="243" t="inlineStr">
        <is>
          <t>Conforms</t>
        </is>
      </c>
      <c r="V23" s="243" t="inlineStr">
        <is>
          <t>Conforms</t>
        </is>
      </c>
      <c r="W23" s="243" t="inlineStr">
        <is>
          <t>ППК25281, (17.09.2025) [CNP]</t>
        </is>
      </c>
      <c r="X23" s="243" t="inlineStr">
        <is>
          <t>—</t>
        </is>
      </c>
      <c r="Y23" s="243" t="inlineStr">
        <is>
          <t>—</t>
        </is>
      </c>
      <c r="Z23" s="243" t="inlineStr">
        <is>
          <t>—</t>
        </is>
      </c>
      <c r="AA23" s="243" t="inlineStr">
        <is>
          <t>P050172|I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HPA052501</t>
        </is>
      </c>
      <c r="J24" s="243" t="inlineStr">
        <is>
          <t>P050182</t>
        </is>
      </c>
      <c r="K24" s="243" t="inlineStr">
        <is>
          <t>High Pro Amnesia</t>
        </is>
      </c>
      <c r="L24" s="243" t="inlineStr">
        <is>
          <t>Ident A + Ident B + Foreign matter</t>
        </is>
      </c>
      <c r="M24" s="248" t="inlineStr">
        <is>
          <t>—</t>
        </is>
      </c>
      <c r="N24" s="243">
        <f>IFERROR(INDEX('CoQ Register'!$B:$B,MATCH("P050182|I",'CoQ Register'!$S:$S,0)),"—")</f>
        <v/>
      </c>
      <c r="O24" s="243" t="inlineStr">
        <is>
          <t>iCoA-PP-2025-0016</t>
        </is>
      </c>
      <c r="P24" s="243" t="inlineStr">
        <is>
          <t>03.10.2025</t>
        </is>
      </c>
      <c r="Q24" s="243" t="inlineStr">
        <is>
          <t>21.08.2025 – 23.08.2025</t>
        </is>
      </c>
      <c r="R24" s="243" t="inlineStr">
        <is>
          <t>03.10.2025 – 09.10.2025</t>
        </is>
      </c>
      <c r="S24" s="245">
        <f>IFERROR(INDEX('CoQ Register'!$D:$D,MATCH("P050182|I",'CoQ Register'!$S:$S,0)),"")</f>
        <v/>
      </c>
      <c r="T24" s="243" t="inlineStr">
        <is>
          <t>Conforms</t>
        </is>
      </c>
      <c r="U24" s="243" t="inlineStr">
        <is>
          <t>Conforms</t>
        </is>
      </c>
      <c r="V24" s="243" t="inlineStr">
        <is>
          <t>Conforms</t>
        </is>
      </c>
      <c r="W24" s="243" t="inlineStr">
        <is>
          <t>ППК25278, (19.09.2025) [CNP]</t>
        </is>
      </c>
      <c r="X24" s="243" t="inlineStr">
        <is>
          <t>—</t>
        </is>
      </c>
      <c r="Y24" s="243" t="inlineStr">
        <is>
          <t>—</t>
        </is>
      </c>
      <c r="Z24" s="243" t="inlineStr">
        <is>
          <t>—</t>
        </is>
      </c>
      <c r="AA24" s="243" t="inlineStr">
        <is>
          <t>P050182|I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BSS052501</t>
        </is>
      </c>
      <c r="J25" s="243" t="inlineStr">
        <is>
          <t>P050192</t>
        </is>
      </c>
      <c r="K25" s="243" t="inlineStr">
        <is>
          <t>Blue Sunset Sherbet</t>
        </is>
      </c>
      <c r="L25" s="243" t="inlineStr">
        <is>
          <t>Ident A + Ident B + #4 + #5 + Foreign matter + #8</t>
        </is>
      </c>
      <c r="M25" s="248" t="inlineStr">
        <is>
          <t>—</t>
        </is>
      </c>
      <c r="N25" s="243">
        <f>IFERROR(INDEX('CoQ Register'!$B:$B,MATCH("P050192|I",'CoQ Register'!$S:$S,0)),"—")</f>
        <v/>
      </c>
      <c r="O25" s="243" t="inlineStr">
        <is>
          <t>iCoA-PP-2025-0017</t>
        </is>
      </c>
      <c r="P25" s="243" t="inlineStr">
        <is>
          <t>10.10.2025</t>
        </is>
      </c>
      <c r="Q25" s="243" t="inlineStr">
        <is>
          <t>01.09.2025 – 03.09.2025</t>
        </is>
      </c>
      <c r="R25" s="243" t="inlineStr">
        <is>
          <t>10.10.2025 – 21.10.2025</t>
        </is>
      </c>
      <c r="S25" s="245">
        <f>IFERROR(INDEX('CoQ Register'!$D:$D,MATCH("P050192|I",'CoQ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P050192|I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GP062501</t>
        </is>
      </c>
      <c r="J26" s="243" t="inlineStr">
        <is>
          <t>P050202</t>
        </is>
      </c>
      <c r="K26" s="243" t="inlineStr">
        <is>
          <t>Grape Pie</t>
        </is>
      </c>
      <c r="L26" s="243" t="inlineStr">
        <is>
          <t>Ident A + Ident B + #4 + #5 + Foreign matter + #8</t>
        </is>
      </c>
      <c r="M26" s="248" t="inlineStr">
        <is>
          <t>—</t>
        </is>
      </c>
      <c r="N26" s="243">
        <f>IFERROR(INDEX('CoQ Register'!$B:$B,MATCH("P050202|I",'CoQ Register'!$S:$S,0)),"—")</f>
        <v/>
      </c>
      <c r="O26" s="248" t="inlineStr">
        <is>
          <t>—</t>
        </is>
      </c>
      <c r="P26" s="243" t="inlineStr">
        <is>
          <t>11.05.2026</t>
        </is>
      </c>
      <c r="Q26" s="243" t="inlineStr">
        <is>
          <t>15.09.2025 – 17.09.2025</t>
        </is>
      </c>
      <c r="R26" s="243" t="inlineStr">
        <is>
          <t>30.10.2025 – 07.11.2025 (the issuance plan's basis: 11.05.2026)</t>
        </is>
      </c>
      <c r="S26" s="245">
        <f>IFERROR(INDEX('CoQ Register'!$D:$D,MATCH("P050202|I",'CoQ Register'!$S:$S,0)),"")</f>
        <v/>
      </c>
      <c r="T26" s="243" t="inlineStr">
        <is>
          <t>Conforms</t>
        </is>
      </c>
      <c r="U26" s="243" t="inlineStr">
        <is>
          <t>Conforms</t>
        </is>
      </c>
      <c r="V26" s="243" t="inlineStr">
        <is>
          <t>Conforms</t>
        </is>
      </c>
      <c r="W26" s="243" t="inlineStr">
        <is>
          <t>NGP-QCG-SOP-024 F3, (28.11.2025) [NGP]</t>
        </is>
      </c>
      <c r="X26" s="243" t="inlineStr">
        <is>
          <t>—</t>
        </is>
      </c>
      <c r="Y26" s="243" t="inlineStr">
        <is>
          <t>—</t>
        </is>
      </c>
      <c r="Z26" s="243" t="inlineStr">
        <is>
          <t>—</t>
        </is>
      </c>
      <c r="AA26" s="243" t="inlineStr">
        <is>
          <t>P050202|I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CJ062501/2</t>
        </is>
      </c>
      <c r="J27" s="243" t="inlineStr">
        <is>
          <t>P050212</t>
        </is>
      </c>
      <c r="K27" s="243" t="inlineStr">
        <is>
          <t>Cap Junky</t>
        </is>
      </c>
      <c r="L27" s="243" t="inlineStr">
        <is>
          <t>Ident A + Ident B + Foreign matter</t>
        </is>
      </c>
      <c r="M27" s="248" t="inlineStr">
        <is>
          <t>—</t>
        </is>
      </c>
      <c r="N27" s="243">
        <f>IFERROR(INDEX('CoQ Register'!$B:$B,MATCH("P050212|I",'CoQ Register'!$S:$S,0)),"—")</f>
        <v/>
      </c>
      <c r="O27" s="248" t="inlineStr">
        <is>
          <t>—</t>
        </is>
      </c>
      <c r="P27" s="243" t="inlineStr">
        <is>
          <t>24.01.2026</t>
        </is>
      </c>
      <c r="Q27" s="243" t="inlineStr">
        <is>
          <t>23.09.2025 – 24.09.2025</t>
        </is>
      </c>
      <c r="R27" s="243" t="inlineStr">
        <is>
          <t>18.11.2025 – 24.11.2025 (the issuance plan's basis: 24.01.2026)</t>
        </is>
      </c>
      <c r="S27" s="245">
        <f>IFERROR(INDEX('CoQ Register'!$D:$D,MATCH("P050212|I",'CoQ Register'!$S:$S,0)),"")</f>
        <v/>
      </c>
      <c r="T27" s="243" t="inlineStr">
        <is>
          <t>Conforms</t>
        </is>
      </c>
      <c r="U27" s="243" t="inlineStr">
        <is>
          <t>Conforms</t>
        </is>
      </c>
      <c r="V27" s="243" t="inlineStr">
        <is>
          <t>Conforms</t>
        </is>
      </c>
      <c r="W27" s="243" t="inlineStr">
        <is>
          <t>ППК25322, (23.10.2025) [CNP]</t>
        </is>
      </c>
      <c r="X27" s="243" t="inlineStr">
        <is>
          <t>—</t>
        </is>
      </c>
      <c r="Y27" s="243" t="inlineStr">
        <is>
          <t>—</t>
        </is>
      </c>
      <c r="Z27" s="243" t="inlineStr">
        <is>
          <t>—</t>
        </is>
      </c>
      <c r="AA27" s="243" t="inlineStr">
        <is>
          <t>P050212|I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CJ062501/1</t>
        </is>
      </c>
      <c r="J28" s="243" t="inlineStr">
        <is>
          <t>P050222</t>
        </is>
      </c>
      <c r="K28" s="243" t="inlineStr">
        <is>
          <t>Cap Junky</t>
        </is>
      </c>
      <c r="L28" s="243" t="inlineStr">
        <is>
          <t>Ident A + Ident B + Foreign matter</t>
        </is>
      </c>
      <c r="M28" s="248" t="inlineStr">
        <is>
          <t>—</t>
        </is>
      </c>
      <c r="N28" s="243">
        <f>IFERROR(INDEX('CoQ Register'!$B:$B,MATCH("P050222|I",'CoQ Register'!$S:$S,0)),"—")</f>
        <v/>
      </c>
      <c r="O28" s="243" t="inlineStr">
        <is>
          <t>iCoA-PP-2025-0018</t>
        </is>
      </c>
      <c r="P28" s="243" t="inlineStr">
        <is>
          <t>24.11.2025</t>
        </is>
      </c>
      <c r="Q28" s="243" t="inlineStr">
        <is>
          <t>23.09.2025</t>
        </is>
      </c>
      <c r="R28" s="243" t="inlineStr">
        <is>
          <t>24.11.2025 – 25.11.2025</t>
        </is>
      </c>
      <c r="S28" s="245">
        <f>IFERROR(INDEX('CoQ Register'!$D:$D,MATCH("P050222|I",'CoQ Register'!$S:$S,0)),"")</f>
        <v/>
      </c>
      <c r="T28" s="243" t="inlineStr">
        <is>
          <t>Conforms</t>
        </is>
      </c>
      <c r="U28" s="243" t="inlineStr">
        <is>
          <t>Conforms</t>
        </is>
      </c>
      <c r="V28" s="243" t="inlineStr">
        <is>
          <t>Conforms</t>
        </is>
      </c>
      <c r="W28" s="243" t="inlineStr">
        <is>
          <t>ППК25321, (23.10.2025) [CNP]</t>
        </is>
      </c>
      <c r="X28" s="243" t="inlineStr">
        <is>
          <t>—</t>
        </is>
      </c>
      <c r="Y28" s="243" t="inlineStr">
        <is>
          <t>—</t>
        </is>
      </c>
      <c r="Z28" s="243" t="inlineStr">
        <is>
          <t>—</t>
        </is>
      </c>
      <c r="AA28" s="243" t="inlineStr">
        <is>
          <t>P050222|I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CJ072501</t>
        </is>
      </c>
      <c r="J29" s="243" t="inlineStr">
        <is>
          <t>P050252</t>
        </is>
      </c>
      <c r="K29" s="243" t="inlineStr">
        <is>
          <t>Cap Junky</t>
        </is>
      </c>
      <c r="L29" s="243" t="inlineStr">
        <is>
          <t>Ident A + Ident B + Foreign matter</t>
        </is>
      </c>
      <c r="M29" s="248" t="inlineStr">
        <is>
          <t>—</t>
        </is>
      </c>
      <c r="N29" s="243">
        <f>IFERROR(INDEX('CoQ Register'!$B:$B,MATCH("P050252|I",'CoQ Register'!$S:$S,0)),"—")</f>
        <v/>
      </c>
      <c r="O29" s="248" t="inlineStr">
        <is>
          <t>—</t>
        </is>
      </c>
      <c r="P29" s="243" t="inlineStr">
        <is>
          <t>02.12.2025</t>
        </is>
      </c>
      <c r="Q29" s="243" t="inlineStr">
        <is>
          <t>27.10.2025</t>
        </is>
      </c>
      <c r="R29" s="243" t="inlineStr">
        <is>
          <t>27.11.2025 – 28.11.2025 (the issuance plan's basis: 02.12.2025)</t>
        </is>
      </c>
      <c r="S29" s="245">
        <f>IFERROR(INDEX('CoQ Register'!$D:$D,MATCH("P050252|I",'CoQ Register'!$S:$S,0)),"")</f>
        <v/>
      </c>
      <c r="T29" s="243" t="inlineStr">
        <is>
          <t>Conforms</t>
        </is>
      </c>
      <c r="U29" s="243" t="inlineStr">
        <is>
          <t>Conforms</t>
        </is>
      </c>
      <c r="V29" s="243" t="inlineStr">
        <is>
          <t>Conforms</t>
        </is>
      </c>
      <c r="W29" s="243" t="inlineStr">
        <is>
          <t>ППК25367, (28.11.2025) [CNP]</t>
        </is>
      </c>
      <c r="X29" s="243" t="inlineStr">
        <is>
          <t>—</t>
        </is>
      </c>
      <c r="Y29" s="243" t="inlineStr">
        <is>
          <t>—</t>
        </is>
      </c>
      <c r="Z29" s="243" t="inlineStr">
        <is>
          <t>—</t>
        </is>
      </c>
      <c r="AA29" s="243" t="inlineStr">
        <is>
          <t>P050252|I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WC072501</t>
        </is>
      </c>
      <c r="J30" s="243" t="inlineStr">
        <is>
          <t>P050262</t>
        </is>
      </c>
      <c r="K30" s="243" t="inlineStr">
        <is>
          <t>Wedding Crusher</t>
        </is>
      </c>
      <c r="L30" s="243" t="inlineStr">
        <is>
          <t>Ident A + Ident B + Foreign matter</t>
        </is>
      </c>
      <c r="M30" s="248" t="inlineStr">
        <is>
          <t>—</t>
        </is>
      </c>
      <c r="N30" s="243">
        <f>IFERROR(INDEX('CoQ Register'!$B:$B,MATCH("P050262|I",'CoQ Register'!$S:$S,0)),"—")</f>
        <v/>
      </c>
      <c r="O30" s="248" t="inlineStr">
        <is>
          <t>—</t>
        </is>
      </c>
      <c r="P30" s="243" t="inlineStr">
        <is>
          <t>02.12.2025</t>
        </is>
      </c>
      <c r="Q30" s="243" t="inlineStr">
        <is>
          <t>27.10.2025 – 28.10.2025</t>
        </is>
      </c>
      <c r="R30" s="243" t="inlineStr">
        <is>
          <t>01.12.2025 (the issuance plan's basis: 02.12.2025)</t>
        </is>
      </c>
      <c r="S30" s="245">
        <f>IFERROR(INDEX('CoQ Register'!$D:$D,MATCH("P050262|I",'CoQ Register'!$S:$S,0)),"")</f>
        <v/>
      </c>
      <c r="T30" s="243" t="inlineStr">
        <is>
          <t>Conforms</t>
        </is>
      </c>
      <c r="U30" s="243" t="inlineStr">
        <is>
          <t>Conforms</t>
        </is>
      </c>
      <c r="V30" s="243" t="inlineStr">
        <is>
          <t>Conforms</t>
        </is>
      </c>
      <c r="W30" s="243" t="inlineStr">
        <is>
          <t>ППК25369, (28.11.2025) [CNP]</t>
        </is>
      </c>
      <c r="X30" s="243" t="inlineStr">
        <is>
          <t>—</t>
        </is>
      </c>
      <c r="Y30" s="243" t="inlineStr">
        <is>
          <t>—</t>
        </is>
      </c>
      <c r="Z30" s="243" t="inlineStr">
        <is>
          <t>—</t>
        </is>
      </c>
      <c r="AA30" s="243" t="inlineStr">
        <is>
          <t>P050262|I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PM072501</t>
        </is>
      </c>
      <c r="J31" s="243" t="inlineStr">
        <is>
          <t>P050272</t>
        </is>
      </c>
      <c r="K31" s="243" t="inlineStr">
        <is>
          <t>Permanent Marker</t>
        </is>
      </c>
      <c r="L31" s="243" t="inlineStr">
        <is>
          <t>Ident A + Ident B + Foreign matter</t>
        </is>
      </c>
      <c r="M31" s="248" t="inlineStr">
        <is>
          <t>—</t>
        </is>
      </c>
      <c r="N31" s="243">
        <f>IFERROR(INDEX('CoQ Register'!$B:$B,MATCH("P050272|I",'CoQ Register'!$S:$S,0)),"—")</f>
        <v/>
      </c>
      <c r="O31" s="248" t="inlineStr">
        <is>
          <t>—</t>
        </is>
      </c>
      <c r="P31" s="243" t="inlineStr">
        <is>
          <t>21.01.2026</t>
        </is>
      </c>
      <c r="Q31" s="243" t="inlineStr">
        <is>
          <t>27.10.2025</t>
        </is>
      </c>
      <c r="R31" s="243" t="inlineStr">
        <is>
          <t>02.12.2025 – 03.12.2025 (the issuance plan's basis: 21.01.2026)</t>
        </is>
      </c>
      <c r="S31" s="245">
        <f>IFERROR(INDEX('CoQ Register'!$D:$D,MATCH("P050272|I",'CoQ Register'!$S:$S,0)),"")</f>
        <v/>
      </c>
      <c r="T31" s="243" t="inlineStr">
        <is>
          <t>Conforms</t>
        </is>
      </c>
      <c r="U31" s="243" t="inlineStr">
        <is>
          <t>Conforms</t>
        </is>
      </c>
      <c r="V31" s="243" t="inlineStr">
        <is>
          <t>Conforms</t>
        </is>
      </c>
      <c r="W31" s="243" t="inlineStr">
        <is>
          <t>ППК25368, (28.11.2025) [CNP]</t>
        </is>
      </c>
      <c r="X31" s="243" t="inlineStr">
        <is>
          <t>—</t>
        </is>
      </c>
      <c r="Y31" s="243" t="inlineStr">
        <is>
          <t>—</t>
        </is>
      </c>
      <c r="Z31" s="243" t="inlineStr">
        <is>
          <t>—</t>
        </is>
      </c>
      <c r="AA31" s="243" t="inlineStr">
        <is>
          <t>P050272|I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CLE072501</t>
        </is>
      </c>
      <c r="J32" s="243" t="inlineStr">
        <is>
          <t>P050282</t>
        </is>
      </c>
      <c r="K32" s="243" t="inlineStr">
        <is>
          <t>Clemosa A Bud</t>
        </is>
      </c>
      <c r="L32" s="243" t="inlineStr">
        <is>
          <t>Ident A + Ident B + Foreign matter</t>
        </is>
      </c>
      <c r="M32" s="248" t="inlineStr">
        <is>
          <t>—</t>
        </is>
      </c>
      <c r="N32" s="243">
        <f>IFERROR(INDEX('CoQ Register'!$B:$B,MATCH("P050282|I",'CoQ Register'!$S:$S,0)),"—")</f>
        <v/>
      </c>
      <c r="O32" s="243" t="inlineStr">
        <is>
          <t>iCoA-PP-2025-0019</t>
        </is>
      </c>
      <c r="P32" s="243" t="inlineStr">
        <is>
          <t>03.12.2025</t>
        </is>
      </c>
      <c r="Q32" s="243" t="inlineStr">
        <is>
          <t>28.10.2025</t>
        </is>
      </c>
      <c r="R32" s="243" t="inlineStr">
        <is>
          <t>03.12.2025 – 04.12.2025</t>
        </is>
      </c>
      <c r="S32" s="245">
        <f>IFERROR(INDEX('CoQ Register'!$D:$D,MATCH("P050282|I",'CoQ Register'!$S:$S,0)),"")</f>
        <v/>
      </c>
      <c r="T32" s="243" t="inlineStr">
        <is>
          <t>Conforms</t>
        </is>
      </c>
      <c r="U32" s="243" t="inlineStr">
        <is>
          <t>Conforms</t>
        </is>
      </c>
      <c r="V32" s="243" t="inlineStr">
        <is>
          <t>Conforms</t>
        </is>
      </c>
      <c r="W32" s="243" t="inlineStr">
        <is>
          <t>ППК25370, (28.11.2025) [CNP]</t>
        </is>
      </c>
      <c r="X32" s="243" t="inlineStr">
        <is>
          <t>—</t>
        </is>
      </c>
      <c r="Y32" s="243" t="inlineStr">
        <is>
          <t>—</t>
        </is>
      </c>
      <c r="Z32" s="243" t="inlineStr">
        <is>
          <t>—</t>
        </is>
      </c>
      <c r="AA32" s="243" t="inlineStr">
        <is>
          <t>P050282|I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GP072501/1</t>
        </is>
      </c>
      <c r="J33" s="243" t="inlineStr">
        <is>
          <t>P050292</t>
        </is>
      </c>
      <c r="K33" s="243" t="inlineStr">
        <is>
          <t>Grape Pie</t>
        </is>
      </c>
      <c r="L33" s="243" t="inlineStr">
        <is>
          <t>Ident A + Ident B + Foreign matter</t>
        </is>
      </c>
      <c r="M33" s="248" t="inlineStr">
        <is>
          <t>—</t>
        </is>
      </c>
      <c r="N33" s="243">
        <f>IFERROR(INDEX('CoQ Register'!$B:$B,MATCH("P050292|I",'CoQ Register'!$S:$S,0)),"—")</f>
        <v/>
      </c>
      <c r="O33" s="248" t="inlineStr">
        <is>
          <t>—</t>
        </is>
      </c>
      <c r="P33" s="243" t="inlineStr">
        <is>
          <t>21.01.2026</t>
        </is>
      </c>
      <c r="Q33" s="243" t="inlineStr">
        <is>
          <t>11.11.2025 – 13.11.2025</t>
        </is>
      </c>
      <c r="R33" s="243" t="inlineStr">
        <is>
          <t>15.12.2025 – 21.12.2025 (the issuance plan's basis: 21.01.2026)</t>
        </is>
      </c>
      <c r="S33" s="245">
        <f>IFERROR(INDEX('CoQ Register'!$D:$D,MATCH("P050292|I",'CoQ Register'!$S:$S,0)),"")</f>
        <v/>
      </c>
      <c r="T33" s="243" t="inlineStr">
        <is>
          <t>Conforms</t>
        </is>
      </c>
      <c r="U33" s="243" t="inlineStr">
        <is>
          <t>Conforms</t>
        </is>
      </c>
      <c r="V33" s="243" t="inlineStr">
        <is>
          <t>Conforms</t>
        </is>
      </c>
      <c r="W33" s="243" t="inlineStr">
        <is>
          <t>ППК25378, (12.12.2025) [CNP]</t>
        </is>
      </c>
      <c r="X33" s="243" t="inlineStr">
        <is>
          <t>—</t>
        </is>
      </c>
      <c r="Y33" s="243" t="inlineStr">
        <is>
          <t>—</t>
        </is>
      </c>
      <c r="Z33" s="243" t="inlineStr">
        <is>
          <t>—</t>
        </is>
      </c>
      <c r="AA33" s="243" t="inlineStr">
        <is>
          <t>P050292|I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GP072501/2</t>
        </is>
      </c>
      <c r="J34" s="243" t="inlineStr">
        <is>
          <t>P050302</t>
        </is>
      </c>
      <c r="K34" s="243" t="inlineStr">
        <is>
          <t>Grape Pie</t>
        </is>
      </c>
      <c r="L34" s="243" t="inlineStr">
        <is>
          <t>Ident A + Ident B + Foreign matter</t>
        </is>
      </c>
      <c r="M34" s="248" t="inlineStr">
        <is>
          <t>—</t>
        </is>
      </c>
      <c r="N34" s="243">
        <f>IFERROR(INDEX('CoQ Register'!$B:$B,MATCH("P050302|I",'CoQ Register'!$S:$S,0)),"—")</f>
        <v/>
      </c>
      <c r="O34" s="243" t="inlineStr">
        <is>
          <t>iCoA-PP-2025-0020</t>
        </is>
      </c>
      <c r="P34" s="243" t="inlineStr">
        <is>
          <t>22.12.2025</t>
        </is>
      </c>
      <c r="Q34" s="243" t="inlineStr">
        <is>
          <t>13.11.2025</t>
        </is>
      </c>
      <c r="R34" s="243" t="inlineStr">
        <is>
          <t>22.12.2025</t>
        </is>
      </c>
      <c r="S34" s="245">
        <f>IFERROR(INDEX('CoQ Register'!$D:$D,MATCH("P050302|I",'CoQ Register'!$S:$S,0)),"")</f>
        <v/>
      </c>
      <c r="T34" s="243" t="inlineStr">
        <is>
          <t>Conforms</t>
        </is>
      </c>
      <c r="U34" s="243" t="inlineStr">
        <is>
          <t>Conforms</t>
        </is>
      </c>
      <c r="V34" s="243" t="inlineStr">
        <is>
          <t>Conforms</t>
        </is>
      </c>
      <c r="W34" s="243" t="inlineStr">
        <is>
          <t>ППК25379, (12.12.2025) [CNP]</t>
        </is>
      </c>
      <c r="X34" s="243" t="inlineStr">
        <is>
          <t>—</t>
        </is>
      </c>
      <c r="Y34" s="243" t="inlineStr">
        <is>
          <t>—</t>
        </is>
      </c>
      <c r="Z34" s="243" t="inlineStr">
        <is>
          <t>—</t>
        </is>
      </c>
      <c r="AA34" s="243" t="inlineStr">
        <is>
          <t>P050302|I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GP082501/1</t>
        </is>
      </c>
      <c r="J35" s="243" t="inlineStr">
        <is>
          <t>P050312</t>
        </is>
      </c>
      <c r="K35" s="243" t="inlineStr">
        <is>
          <t>Grape Pie</t>
        </is>
      </c>
      <c r="L35" s="243" t="inlineStr">
        <is>
          <t>Ident A + Ident B + Foreign matter</t>
        </is>
      </c>
      <c r="M35" s="248" t="inlineStr">
        <is>
          <t>—</t>
        </is>
      </c>
      <c r="N35" s="243">
        <f>IFERROR(INDEX('CoQ Register'!$B:$B,MATCH("P050312|I",'CoQ Register'!$S:$S,0)),"—")</f>
        <v/>
      </c>
      <c r="O35" s="243" t="inlineStr">
        <is>
          <t>iCoA-PP-2025-0021</t>
        </is>
      </c>
      <c r="P35" s="243" t="inlineStr">
        <is>
          <t>23.12.2025</t>
        </is>
      </c>
      <c r="Q35" s="243" t="inlineStr">
        <is>
          <t>19.11.2025 – 20.11.2025</t>
        </is>
      </c>
      <c r="R35" s="243" t="inlineStr">
        <is>
          <t>23.12.2025 – 26.12.2025</t>
        </is>
      </c>
      <c r="S35" s="245">
        <f>IFERROR(INDEX('CoQ Register'!$D:$D,MATCH("P050312|I",'CoQ Register'!$S:$S,0)),"")</f>
        <v/>
      </c>
      <c r="T35" s="243" t="inlineStr">
        <is>
          <t>Conforms</t>
        </is>
      </c>
      <c r="U35" s="243" t="inlineStr">
        <is>
          <t>Conforms</t>
        </is>
      </c>
      <c r="V35" s="243" t="inlineStr">
        <is>
          <t>Conforms</t>
        </is>
      </c>
      <c r="W35" s="243" t="inlineStr">
        <is>
          <t>ППК25380, (12.12.2025) [CNP]</t>
        </is>
      </c>
      <c r="X35" s="243" t="inlineStr">
        <is>
          <t>—</t>
        </is>
      </c>
      <c r="Y35" s="243" t="inlineStr">
        <is>
          <t>—</t>
        </is>
      </c>
      <c r="Z35" s="243" t="inlineStr">
        <is>
          <t>—</t>
        </is>
      </c>
      <c r="AA35" s="243" t="inlineStr">
        <is>
          <t>P050312|I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GP082501/2</t>
        </is>
      </c>
      <c r="J36" s="243" t="inlineStr">
        <is>
          <t>P050322</t>
        </is>
      </c>
      <c r="K36" s="243" t="inlineStr">
        <is>
          <t>Grape Pie</t>
        </is>
      </c>
      <c r="L36" s="243" t="inlineStr">
        <is>
          <t>Ident A + Ident B + Foreign matter</t>
        </is>
      </c>
      <c r="M36" s="248" t="inlineStr">
        <is>
          <t>—</t>
        </is>
      </c>
      <c r="N36" s="243">
        <f>IFERROR(INDEX('CoQ Register'!$B:$B,MATCH("P050322|I",'CoQ Register'!$S:$S,0)),"—")</f>
        <v/>
      </c>
      <c r="O36" s="243" t="inlineStr">
        <is>
          <t>iCoA-PP-2025-0022</t>
        </is>
      </c>
      <c r="P36" s="243" t="inlineStr">
        <is>
          <t>26.12.2025</t>
        </is>
      </c>
      <c r="Q36" s="243" t="inlineStr">
        <is>
          <t>20.11.2025</t>
        </is>
      </c>
      <c r="R36" s="243" t="inlineStr">
        <is>
          <t>26.12.2025</t>
        </is>
      </c>
      <c r="S36" s="245">
        <f>IFERROR(INDEX('CoQ Register'!$D:$D,MATCH("P050322|I",'CoQ Register'!$S:$S,0)),"")</f>
        <v/>
      </c>
      <c r="T36" s="243" t="inlineStr">
        <is>
          <t>Conforms</t>
        </is>
      </c>
      <c r="U36" s="243" t="inlineStr">
        <is>
          <t>Conforms</t>
        </is>
      </c>
      <c r="V36" s="243" t="inlineStr">
        <is>
          <t>Conforms</t>
        </is>
      </c>
      <c r="W36" s="243" t="inlineStr">
        <is>
          <t>ППК25381, (12.12.2025) [CNP]</t>
        </is>
      </c>
      <c r="X36" s="243" t="inlineStr">
        <is>
          <t>—</t>
        </is>
      </c>
      <c r="Y36" s="243" t="inlineStr">
        <is>
          <t>—</t>
        </is>
      </c>
      <c r="Z36" s="243" t="inlineStr">
        <is>
          <t>—</t>
        </is>
      </c>
      <c r="AA36" s="243" t="inlineStr">
        <is>
          <t>P050322|I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WC082501</t>
        </is>
      </c>
      <c r="J37" s="243" t="inlineStr">
        <is>
          <t>P060012</t>
        </is>
      </c>
      <c r="K37" s="243" t="inlineStr">
        <is>
          <t>Wedding Crusher</t>
        </is>
      </c>
      <c r="L37" s="243" t="inlineStr">
        <is>
          <t>Ident A + Ident B + Foreign matter</t>
        </is>
      </c>
      <c r="M37" s="248" t="inlineStr">
        <is>
          <t>—</t>
        </is>
      </c>
      <c r="N37" s="243">
        <f>IFERROR(INDEX('CoQ Register'!$B:$B,MATCH("P060012|I",'CoQ Register'!$S:$S,0)),"—")</f>
        <v/>
      </c>
      <c r="O37" s="243" t="inlineStr">
        <is>
          <t>iCoA-PP-2026-0001</t>
        </is>
      </c>
      <c r="P37" s="243" t="inlineStr">
        <is>
          <t>13.01.2026</t>
        </is>
      </c>
      <c r="Q37" s="243" t="inlineStr">
        <is>
          <t>09.12.2025</t>
        </is>
      </c>
      <c r="R37" s="243" t="inlineStr">
        <is>
          <t>13.01.2026 – 14.01.2026</t>
        </is>
      </c>
      <c r="S37" s="245">
        <f>IFERROR(INDEX('CoQ Register'!$D:$D,MATCH("P060012|I",'CoQ Register'!$S:$S,0)),"")</f>
        <v/>
      </c>
      <c r="T37" s="243" t="inlineStr">
        <is>
          <t>Conforms</t>
        </is>
      </c>
      <c r="U37" s="243" t="inlineStr">
        <is>
          <t>Conforms</t>
        </is>
      </c>
      <c r="V37" s="243" t="inlineStr">
        <is>
          <t>Conforms</t>
        </is>
      </c>
      <c r="W37" s="243" t="inlineStr">
        <is>
          <t>ППК26001, (21.01.2026) [CNP]</t>
        </is>
      </c>
      <c r="X37" s="243" t="inlineStr">
        <is>
          <t>—</t>
        </is>
      </c>
      <c r="Y37" s="243" t="inlineStr">
        <is>
          <t>—</t>
        </is>
      </c>
      <c r="Z37" s="243" t="inlineStr">
        <is>
          <t>—</t>
        </is>
      </c>
      <c r="AA37" s="243" t="inlineStr">
        <is>
          <t>P060012|I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CJ082501/1</t>
        </is>
      </c>
      <c r="J38" s="243" t="inlineStr">
        <is>
          <t>P060022</t>
        </is>
      </c>
      <c r="K38" s="243" t="inlineStr">
        <is>
          <t>Cap Junky</t>
        </is>
      </c>
      <c r="L38" s="243" t="inlineStr">
        <is>
          <t>Ident A + Ident B + Foreign matter</t>
        </is>
      </c>
      <c r="M38" s="248" t="inlineStr">
        <is>
          <t>—</t>
        </is>
      </c>
      <c r="N38" s="243">
        <f>IFERROR(INDEX('CoQ Register'!$B:$B,MATCH("P060022|I",'CoQ Register'!$S:$S,0)),"—")</f>
        <v/>
      </c>
      <c r="O38" s="243" t="inlineStr">
        <is>
          <t>iCoA-PP-2026-0002</t>
        </is>
      </c>
      <c r="P38" s="243" t="inlineStr">
        <is>
          <t>16.01.2026</t>
        </is>
      </c>
      <c r="Q38" s="243" t="inlineStr">
        <is>
          <t>09.12.2025 – 10.12.2025</t>
        </is>
      </c>
      <c r="R38" s="243" t="inlineStr">
        <is>
          <t>16.01.2026</t>
        </is>
      </c>
      <c r="S38" s="245">
        <f>IFERROR(INDEX('CoQ Register'!$D:$D,MATCH("P060022|I",'CoQ Register'!$S:$S,0)),"")</f>
        <v/>
      </c>
      <c r="T38" s="243" t="inlineStr">
        <is>
          <t>Conforms</t>
        </is>
      </c>
      <c r="U38" s="243" t="inlineStr">
        <is>
          <t>Conforms</t>
        </is>
      </c>
      <c r="V38" s="243" t="inlineStr">
        <is>
          <t>Conforms</t>
        </is>
      </c>
      <c r="W38" s="243" t="inlineStr">
        <is>
          <t>ППК26002, (21.01.2026) [CNP]</t>
        </is>
      </c>
      <c r="X38" s="243" t="inlineStr">
        <is>
          <t>—</t>
        </is>
      </c>
      <c r="Y38" s="243" t="inlineStr">
        <is>
          <t>—</t>
        </is>
      </c>
      <c r="Z38" s="243" t="inlineStr">
        <is>
          <t>—</t>
        </is>
      </c>
      <c r="AA38" s="243" t="inlineStr">
        <is>
          <t>P060022|I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CJ082501/2</t>
        </is>
      </c>
      <c r="J39" s="243" t="inlineStr">
        <is>
          <t>P060032</t>
        </is>
      </c>
      <c r="K39" s="243" t="inlineStr">
        <is>
          <t>Cap Junky</t>
        </is>
      </c>
      <c r="L39" s="243" t="inlineStr">
        <is>
          <t>Ident A + Ident B + Foreign matter</t>
        </is>
      </c>
      <c r="M39" s="248" t="inlineStr">
        <is>
          <t>—</t>
        </is>
      </c>
      <c r="N39" s="243">
        <f>IFERROR(INDEX('CoQ Register'!$B:$B,MATCH("P060032|I",'CoQ Register'!$S:$S,0)),"—")</f>
        <v/>
      </c>
      <c r="O39" s="243" t="inlineStr">
        <is>
          <t>iCoA-PP-2026-0003</t>
        </is>
      </c>
      <c r="P39" s="243" t="inlineStr">
        <is>
          <t>29.01.2026</t>
        </is>
      </c>
      <c r="Q39" s="243" t="inlineStr">
        <is>
          <t>10.12.2025</t>
        </is>
      </c>
      <c r="R39" s="243" t="inlineStr">
        <is>
          <t>29.01.2026</t>
        </is>
      </c>
      <c r="S39" s="245">
        <f>IFERROR(INDEX('CoQ Register'!$D:$D,MATCH("P060032|I",'CoQ Register'!$S:$S,0)),"")</f>
        <v/>
      </c>
      <c r="T39" s="243" t="inlineStr">
        <is>
          <t>Conforms</t>
        </is>
      </c>
      <c r="U39" s="243" t="inlineStr">
        <is>
          <t>Conforms</t>
        </is>
      </c>
      <c r="V39" s="243" t="inlineStr">
        <is>
          <t>Conforms</t>
        </is>
      </c>
      <c r="W39" s="243" t="inlineStr">
        <is>
          <t>ППК26003, (21.01.2026) [CNP]</t>
        </is>
      </c>
      <c r="X39" s="243" t="inlineStr">
        <is>
          <t>—</t>
        </is>
      </c>
      <c r="Y39" s="243" t="inlineStr">
        <is>
          <t>—</t>
        </is>
      </c>
      <c r="Z39" s="243" t="inlineStr">
        <is>
          <t>—</t>
        </is>
      </c>
      <c r="AA39" s="243" t="inlineStr">
        <is>
          <t>P060032|I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OPM092501</t>
        </is>
      </c>
      <c r="J40" s="243" t="inlineStr">
        <is>
          <t>P060042</t>
        </is>
      </c>
      <c r="K40" s="243" t="inlineStr">
        <is>
          <t>Orange Punch Mimosa</t>
        </is>
      </c>
      <c r="L40" s="243" t="inlineStr">
        <is>
          <t>Ident A + Ident B + Foreign matter</t>
        </is>
      </c>
      <c r="M40" s="248" t="inlineStr">
        <is>
          <t>—</t>
        </is>
      </c>
      <c r="N40" s="243">
        <f>IFERROR(INDEX('CoQ Register'!$B:$B,MATCH("P060042|I",'CoQ Register'!$S:$S,0)),"—")</f>
        <v/>
      </c>
      <c r="O40" s="243" t="inlineStr">
        <is>
          <t>iCoA-PP-2026-0004</t>
        </is>
      </c>
      <c r="P40" s="243" t="inlineStr">
        <is>
          <t>29.01.2026</t>
        </is>
      </c>
      <c r="Q40" s="243" t="inlineStr">
        <is>
          <t>12.12.2025</t>
        </is>
      </c>
      <c r="R40" s="243" t="inlineStr">
        <is>
          <t>29.01.2026</t>
        </is>
      </c>
      <c r="S40" s="245">
        <f>IFERROR(INDEX('CoQ Register'!$D:$D,MATCH("P060042|I",'CoQ Register'!$S:$S,0)),"")</f>
        <v/>
      </c>
      <c r="T40" s="243" t="inlineStr">
        <is>
          <t>Conforms</t>
        </is>
      </c>
      <c r="U40" s="243" t="inlineStr">
        <is>
          <t>Conforms</t>
        </is>
      </c>
      <c r="V40" s="243" t="inlineStr">
        <is>
          <t>Conforms</t>
        </is>
      </c>
      <c r="W40" s="243" t="inlineStr">
        <is>
          <t>ППК26008, (21.01.2026) [CNP]</t>
        </is>
      </c>
      <c r="X40" s="243" t="inlineStr">
        <is>
          <t>—</t>
        </is>
      </c>
      <c r="Y40" s="243" t="inlineStr">
        <is>
          <t>—</t>
        </is>
      </c>
      <c r="Z40" s="243" t="inlineStr">
        <is>
          <t>—</t>
        </is>
      </c>
      <c r="AA40" s="243" t="inlineStr">
        <is>
          <t>P060042|I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AB092501</t>
        </is>
      </c>
      <c r="J41" s="243" t="inlineStr">
        <is>
          <t>P060052</t>
        </is>
      </c>
      <c r="K41" s="243" t="inlineStr">
        <is>
          <t>Apple and Banana</t>
        </is>
      </c>
      <c r="L41" s="243" t="inlineStr">
        <is>
          <t>Ident A + Ident B + Foreign matter</t>
        </is>
      </c>
      <c r="M41" s="248" t="inlineStr">
        <is>
          <t>—</t>
        </is>
      </c>
      <c r="N41" s="243">
        <f>IFERROR(INDEX('CoQ Register'!$B:$B,MATCH("P060052|I",'CoQ Register'!$S:$S,0)),"—")</f>
        <v/>
      </c>
      <c r="O41" s="248" t="inlineStr">
        <is>
          <t>—</t>
        </is>
      </c>
      <c r="P41" s="243" t="inlineStr">
        <is>
          <t>20.02.2026</t>
        </is>
      </c>
      <c r="Q41" s="243" t="inlineStr">
        <is>
          <t>11.12.2025</t>
        </is>
      </c>
      <c r="R41" s="243" t="inlineStr">
        <is>
          <t>30.01.2026 (the issuance plan's basis: 20.02.2026)</t>
        </is>
      </c>
      <c r="S41" s="245">
        <f>IFERROR(INDEX('CoQ Register'!$D:$D,MATCH("P060052|I",'CoQ Register'!$S:$S,0)),"")</f>
        <v/>
      </c>
      <c r="T41" s="243" t="inlineStr">
        <is>
          <t>Conforms</t>
        </is>
      </c>
      <c r="U41" s="243" t="inlineStr">
        <is>
          <t>Conforms</t>
        </is>
      </c>
      <c r="V41" s="243" t="inlineStr">
        <is>
          <t>Conforms</t>
        </is>
      </c>
      <c r="W41" s="243" t="inlineStr">
        <is>
          <t>ППК26005, (21.01.2026) [CNP]</t>
        </is>
      </c>
      <c r="X41" s="243" t="inlineStr">
        <is>
          <t>—</t>
        </is>
      </c>
      <c r="Y41" s="243" t="inlineStr">
        <is>
          <t>—</t>
        </is>
      </c>
      <c r="Z41" s="243" t="inlineStr">
        <is>
          <t>—</t>
        </is>
      </c>
      <c r="AA41" s="243" t="inlineStr">
        <is>
          <t>P060052|I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PM092501</t>
        </is>
      </c>
      <c r="J42" s="243" t="inlineStr">
        <is>
          <t>P060062</t>
        </is>
      </c>
      <c r="K42" s="243" t="inlineStr">
        <is>
          <t>Permanent Marker</t>
        </is>
      </c>
      <c r="L42" s="243" t="inlineStr">
        <is>
          <t>Ident A + Ident B + Foreign matter</t>
        </is>
      </c>
      <c r="M42" s="248" t="inlineStr">
        <is>
          <t>—</t>
        </is>
      </c>
      <c r="N42" s="243">
        <f>IFERROR(INDEX('CoQ Register'!$B:$B,MATCH("P060062|I",'CoQ Register'!$S:$S,0)),"—")</f>
        <v/>
      </c>
      <c r="O42" s="243" t="inlineStr">
        <is>
          <t>iCoA-PP-2026-0005</t>
        </is>
      </c>
      <c r="P42" s="243" t="inlineStr">
        <is>
          <t>30.01.2026</t>
        </is>
      </c>
      <c r="Q42" s="243" t="inlineStr">
        <is>
          <t>11.12.2025</t>
        </is>
      </c>
      <c r="R42" s="243" t="inlineStr">
        <is>
          <t>30.01.2026</t>
        </is>
      </c>
      <c r="S42" s="245">
        <f>IFERROR(INDEX('CoQ Register'!$D:$D,MATCH("P060062|I",'CoQ Register'!$S:$S,0)),"")</f>
        <v/>
      </c>
      <c r="T42" s="243" t="inlineStr">
        <is>
          <t>Conforms</t>
        </is>
      </c>
      <c r="U42" s="243" t="inlineStr">
        <is>
          <t>Conforms</t>
        </is>
      </c>
      <c r="V42" s="243" t="inlineStr">
        <is>
          <t>Conforms</t>
        </is>
      </c>
      <c r="W42" s="243" t="inlineStr">
        <is>
          <t>ППК26004, (21.01.2026) [CNP]</t>
        </is>
      </c>
      <c r="X42" s="243" t="inlineStr">
        <is>
          <t>—</t>
        </is>
      </c>
      <c r="Y42" s="243" t="inlineStr">
        <is>
          <t>—</t>
        </is>
      </c>
      <c r="Z42" s="243" t="inlineStr">
        <is>
          <t>—</t>
        </is>
      </c>
      <c r="AA42" s="243" t="inlineStr">
        <is>
          <t>P060062|I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CJ092501</t>
        </is>
      </c>
      <c r="J43" s="243" t="inlineStr">
        <is>
          <t>P060072</t>
        </is>
      </c>
      <c r="K43" s="243" t="inlineStr">
        <is>
          <t>Cap Junky</t>
        </is>
      </c>
      <c r="L43" s="243" t="inlineStr">
        <is>
          <t>Ident A + Ident B + Foreign matter</t>
        </is>
      </c>
      <c r="M43" s="248" t="inlineStr">
        <is>
          <t>—</t>
        </is>
      </c>
      <c r="N43" s="243">
        <f>IFERROR(INDEX('CoQ Register'!$B:$B,MATCH("P060072|I",'CoQ Register'!$S:$S,0)),"—")</f>
        <v/>
      </c>
      <c r="O43" s="243" t="inlineStr">
        <is>
          <t>iCoA-PP-2026-0006</t>
        </is>
      </c>
      <c r="P43" s="243" t="inlineStr">
        <is>
          <t>02.02.2026</t>
        </is>
      </c>
      <c r="Q43" s="243" t="inlineStr">
        <is>
          <t>12.12.2025</t>
        </is>
      </c>
      <c r="R43" s="243" t="inlineStr">
        <is>
          <t>02.02.2026</t>
        </is>
      </c>
      <c r="S43" s="245">
        <f>IFERROR(INDEX('CoQ Register'!$D:$D,MATCH("P060072|I",'CoQ Register'!$S:$S,0)),"")</f>
        <v/>
      </c>
      <c r="T43" s="243" t="inlineStr">
        <is>
          <t>Conforms</t>
        </is>
      </c>
      <c r="U43" s="243" t="inlineStr">
        <is>
          <t>Conforms</t>
        </is>
      </c>
      <c r="V43" s="243" t="inlineStr">
        <is>
          <t>Conforms</t>
        </is>
      </c>
      <c r="W43" s="243" t="inlineStr">
        <is>
          <t>ППК26007, (21.01.2026) [CNP]</t>
        </is>
      </c>
      <c r="X43" s="243" t="inlineStr">
        <is>
          <t>—</t>
        </is>
      </c>
      <c r="Y43" s="243" t="inlineStr">
        <is>
          <t>—</t>
        </is>
      </c>
      <c r="Z43" s="243" t="inlineStr">
        <is>
          <t>—</t>
        </is>
      </c>
      <c r="AA43" s="243" t="inlineStr">
        <is>
          <t>P060072|I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SJ0925021</t>
        </is>
      </c>
      <c r="J44" s="243" t="inlineStr">
        <is>
          <t>P060082</t>
        </is>
      </c>
      <c r="K44" s="243" t="inlineStr">
        <is>
          <t>Sleepy Joe</t>
        </is>
      </c>
      <c r="L44" s="243" t="inlineStr">
        <is>
          <t>Ident A + Ident B + Foreign matter</t>
        </is>
      </c>
      <c r="M44" s="248" t="inlineStr">
        <is>
          <t>—</t>
        </is>
      </c>
      <c r="N44" s="243">
        <f>IFERROR(INDEX('CoQ Register'!$B:$B,MATCH("P060082|I",'CoQ Register'!$S:$S,0)),"—")</f>
        <v/>
      </c>
      <c r="O44" s="243" t="inlineStr">
        <is>
          <t>iCoA-PP-2026-0007</t>
        </is>
      </c>
      <c r="P44" s="243" t="inlineStr">
        <is>
          <t>02.02.2026</t>
        </is>
      </c>
      <c r="Q44" s="243" t="inlineStr">
        <is>
          <t>11.12.2025 – 12.12.2025</t>
        </is>
      </c>
      <c r="R44" s="243" t="inlineStr">
        <is>
          <t>02.02.2026</t>
        </is>
      </c>
      <c r="S44" s="245">
        <f>IFERROR(INDEX('CoQ Register'!$D:$D,MATCH("P060082|I",'CoQ Register'!$S:$S,0)),"")</f>
        <v/>
      </c>
      <c r="T44" s="243" t="inlineStr">
        <is>
          <t>Conforms</t>
        </is>
      </c>
      <c r="U44" s="243" t="inlineStr">
        <is>
          <t>Conforms</t>
        </is>
      </c>
      <c r="V44" s="243" t="inlineStr">
        <is>
          <t>Conforms</t>
        </is>
      </c>
      <c r="W44" s="243" t="inlineStr">
        <is>
          <t>ППК26006, (21.01.2026) [CNP]</t>
        </is>
      </c>
      <c r="X44" s="243" t="inlineStr">
        <is>
          <t>—</t>
        </is>
      </c>
      <c r="Y44" s="243" t="inlineStr">
        <is>
          <t>—</t>
        </is>
      </c>
      <c r="Z44" s="243" t="inlineStr">
        <is>
          <t>—</t>
        </is>
      </c>
      <c r="AA44" s="243" t="inlineStr">
        <is>
          <t>P060082|I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GP092501</t>
        </is>
      </c>
      <c r="J45" s="243" t="inlineStr">
        <is>
          <t>P060092</t>
        </is>
      </c>
      <c r="K45" s="243" t="inlineStr">
        <is>
          <t>Grape Pie</t>
        </is>
      </c>
      <c r="L45" s="243" t="inlineStr">
        <is>
          <t>Ident A + Ident B + Foreign matter</t>
        </is>
      </c>
      <c r="M45" s="248" t="inlineStr">
        <is>
          <t>—</t>
        </is>
      </c>
      <c r="N45" s="243">
        <f>IFERROR(INDEX('CoQ Register'!$B:$B,MATCH("P060092|I",'CoQ Register'!$S:$S,0)),"—")</f>
        <v/>
      </c>
      <c r="O45" s="243" t="inlineStr">
        <is>
          <t>iCoA-PP-2026-0008</t>
        </is>
      </c>
      <c r="P45" s="243" t="inlineStr">
        <is>
          <t>03.02.2026</t>
        </is>
      </c>
      <c r="Q45" s="243" t="inlineStr">
        <is>
          <t>16.12.2025 – 17.12.2025</t>
        </is>
      </c>
      <c r="R45" s="243" t="inlineStr">
        <is>
          <t>03.02.2026 – 09.02.2026</t>
        </is>
      </c>
      <c r="S45" s="245">
        <f>IFERROR(INDEX('CoQ Register'!$D:$D,MATCH("P060092|I",'CoQ Register'!$S:$S,0)),"")</f>
        <v/>
      </c>
      <c r="T45" s="243" t="inlineStr">
        <is>
          <t>Conforms</t>
        </is>
      </c>
      <c r="U45" s="243" t="inlineStr">
        <is>
          <t>Conforms</t>
        </is>
      </c>
      <c r="V45" s="243" t="inlineStr">
        <is>
          <t>Conforms</t>
        </is>
      </c>
      <c r="W45" s="243" t="inlineStr">
        <is>
          <t>ППК26009, (21.01.2026) [CNP]</t>
        </is>
      </c>
      <c r="X45" s="243" t="inlineStr">
        <is>
          <t>—</t>
        </is>
      </c>
      <c r="Y45" s="243" t="inlineStr">
        <is>
          <t>—</t>
        </is>
      </c>
      <c r="Z45" s="243" t="inlineStr">
        <is>
          <t>—</t>
        </is>
      </c>
      <c r="AA45" s="243" t="inlineStr">
        <is>
          <t>P060092|I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WED102501</t>
        </is>
      </c>
      <c r="J46" s="243" t="inlineStr">
        <is>
          <t>P060102</t>
        </is>
      </c>
      <c r="K46" s="243" t="inlineStr">
        <is>
          <t>Wedding Cake</t>
        </is>
      </c>
      <c r="L46" s="243" t="inlineStr">
        <is>
          <t>Ident A + Ident B + Foreign matter</t>
        </is>
      </c>
      <c r="M46" s="248" t="inlineStr">
        <is>
          <t>—</t>
        </is>
      </c>
      <c r="N46" s="243">
        <f>IFERROR(INDEX('CoQ Register'!$B:$B,MATCH("P060102|I",'CoQ Register'!$S:$S,0)),"—")</f>
        <v/>
      </c>
      <c r="O46" s="248" t="inlineStr">
        <is>
          <t>—</t>
        </is>
      </c>
      <c r="P46" s="243" t="inlineStr">
        <is>
          <t>16.02.2026</t>
        </is>
      </c>
      <c r="Q46" s="243" t="inlineStr">
        <is>
          <t>08.01.2026</t>
        </is>
      </c>
      <c r="R46" s="243" t="inlineStr">
        <is>
          <t>16.02.2026</t>
        </is>
      </c>
      <c r="S46" s="245">
        <f>IFERROR(INDEX('CoQ Register'!$D:$D,MATCH("P060102|I",'CoQ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P060102|I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PUM102501</t>
        </is>
      </c>
      <c r="J47" s="243" t="inlineStr">
        <is>
          <t>P060112</t>
        </is>
      </c>
      <c r="K47" s="243" t="inlineStr">
        <is>
          <t>Pure Michigen</t>
        </is>
      </c>
      <c r="L47" s="243" t="inlineStr">
        <is>
          <t>Ident A + Ident B + Foreign matter</t>
        </is>
      </c>
      <c r="M47" s="248" t="inlineStr">
        <is>
          <t>—</t>
        </is>
      </c>
      <c r="N47" s="243">
        <f>IFERROR(INDEX('CoQ Register'!$B:$B,MATCH("P060112|I",'CoQ Register'!$S:$S,0)),"—")</f>
        <v/>
      </c>
      <c r="O47" s="243" t="inlineStr">
        <is>
          <t>iCoA-PP-2026-0009</t>
        </is>
      </c>
      <c r="P47" s="243" t="inlineStr">
        <is>
          <t>17.02.2026</t>
        </is>
      </c>
      <c r="Q47" s="243" t="inlineStr">
        <is>
          <t>08.01.2026 – 09.01.2026</t>
        </is>
      </c>
      <c r="R47" s="243" t="inlineStr">
        <is>
          <t>17.02.2026</t>
        </is>
      </c>
      <c r="S47" s="245">
        <f>IFERROR(INDEX('CoQ Register'!$D:$D,MATCH("P060112|I",'CoQ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P060112|I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ACC102501</t>
        </is>
      </c>
      <c r="J48" s="243" t="inlineStr">
        <is>
          <t>P060122</t>
        </is>
      </c>
      <c r="K48" s="243" t="inlineStr">
        <is>
          <t>Amnesia Core Cut</t>
        </is>
      </c>
      <c r="L48" s="243" t="inlineStr">
        <is>
          <t>Ident A + Ident B + Foreign matter</t>
        </is>
      </c>
      <c r="M48" s="248" t="inlineStr">
        <is>
          <t>—</t>
        </is>
      </c>
      <c r="N48" s="243">
        <f>IFERROR(INDEX('CoQ Register'!$B:$B,MATCH("P060122|I",'CoQ Register'!$S:$S,0)),"—")</f>
        <v/>
      </c>
      <c r="O48" s="243" t="inlineStr">
        <is>
          <t>iCoA-PP-2026-0010</t>
        </is>
      </c>
      <c r="P48" s="243" t="inlineStr">
        <is>
          <t>18.02.2026</t>
        </is>
      </c>
      <c r="Q48" s="243" t="inlineStr">
        <is>
          <t>09.01.2026</t>
        </is>
      </c>
      <c r="R48" s="243" t="inlineStr">
        <is>
          <t>18.02.2026 – 19.02.2026</t>
        </is>
      </c>
      <c r="S48" s="245">
        <f>IFERROR(INDEX('CoQ Register'!$D:$D,MATCH("P060122|I",'CoQ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P060122|I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CF102501</t>
        </is>
      </c>
      <c r="J49" s="243" t="inlineStr">
        <is>
          <t>P060132</t>
        </is>
      </c>
      <c r="K49" s="243" t="inlineStr">
        <is>
          <t>Chem Flyer</t>
        </is>
      </c>
      <c r="L49" s="243" t="inlineStr">
        <is>
          <t>Ident A + Ident B + Foreign matter</t>
        </is>
      </c>
      <c r="M49" s="248" t="inlineStr">
        <is>
          <t>—</t>
        </is>
      </c>
      <c r="N49" s="243">
        <f>IFERROR(INDEX('CoQ Register'!$B:$B,MATCH("P060132|I",'CoQ Register'!$S:$S,0)),"—")</f>
        <v/>
      </c>
      <c r="O49" s="243" t="inlineStr">
        <is>
          <t>iCoA-PP-2026-0011</t>
        </is>
      </c>
      <c r="P49" s="243" t="inlineStr">
        <is>
          <t>19.02.2026</t>
        </is>
      </c>
      <c r="Q49" s="243" t="inlineStr">
        <is>
          <t>09.01.2026</t>
        </is>
      </c>
      <c r="R49" s="243" t="inlineStr">
        <is>
          <t>19.02.2026 – 20.02.2026</t>
        </is>
      </c>
      <c r="S49" s="245">
        <f>IFERROR(INDEX('CoQ Register'!$D:$D,MATCH("P060132|I",'CoQ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P060132|I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GRC102501</t>
        </is>
      </c>
      <c r="J50" s="243" t="inlineStr">
        <is>
          <t>P060142</t>
        </is>
      </c>
      <c r="K50" s="243" t="inlineStr">
        <is>
          <t>Grapes And Cream</t>
        </is>
      </c>
      <c r="L50" s="243" t="inlineStr">
        <is>
          <t>Ident A + Ident B + Foreign matter</t>
        </is>
      </c>
      <c r="M50" s="248" t="inlineStr">
        <is>
          <t>—</t>
        </is>
      </c>
      <c r="N50" s="243">
        <f>IFERROR(INDEX('CoQ Register'!$B:$B,MATCH("P060142|I",'CoQ Register'!$S:$S,0)),"—")</f>
        <v/>
      </c>
      <c r="O50" s="248" t="inlineStr">
        <is>
          <t>—</t>
        </is>
      </c>
      <c r="P50" s="243" t="inlineStr">
        <is>
          <t>23.02.2026</t>
        </is>
      </c>
      <c r="Q50" s="243" t="inlineStr">
        <is>
          <t>09.01.2026</t>
        </is>
      </c>
      <c r="R50" s="243" t="inlineStr">
        <is>
          <t>23.02.2026</t>
        </is>
      </c>
      <c r="S50" s="245">
        <f>IFERROR(INDEX('CoQ Register'!$D:$D,MATCH("P060142|I",'CoQ Register'!$S:$S,0)),"")</f>
        <v/>
      </c>
      <c r="T50" s="243" t="inlineStr">
        <is>
          <t>Conforms</t>
        </is>
      </c>
      <c r="U50" s="243" t="inlineStr">
        <is>
          <t>Conforms</t>
        </is>
      </c>
      <c r="V50" s="243" t="inlineStr">
        <is>
          <t>Conforms</t>
        </is>
      </c>
      <c r="W50" s="243" t="inlineStr">
        <is>
          <t>— no cannabinoid certificate from the initial testing —</t>
        </is>
      </c>
      <c r="X50" s="243" t="inlineStr">
        <is>
          <t>—</t>
        </is>
      </c>
      <c r="Y50" s="243" t="inlineStr">
        <is>
          <t>—</t>
        </is>
      </c>
      <c r="Z50" s="243" t="inlineStr">
        <is>
          <t>—</t>
        </is>
      </c>
      <c r="AA50" s="243" t="inlineStr">
        <is>
          <t>P060142|I</t>
        </is>
      </c>
      <c r="AB50" s="250" t="inlineStr">
        <is>
          <t>registered — initial release, issued 03.06.2026</t>
        </is>
      </c>
    </row>
    <row r="51">
      <c r="A51" s="243" t="n">
        <v>50</v>
      </c>
      <c r="B51" s="244" t="inlineStr">
        <is>
          <t>iCoA-PP_26-050</t>
        </is>
      </c>
      <c r="C51" s="249" t="inlineStr">
        <is>
          <t>yes</t>
        </is>
      </c>
      <c r="D51" s="245" t="n">
        <v>46176</v>
      </c>
      <c r="E51" s="245" t="n">
        <v>46086</v>
      </c>
      <c r="F51" s="245">
        <f>IFERROR(INDEX('Batch Dates'!$G:$G,MATCH(J51,'Batch Dates'!$C:$C,0)),IFERROR(INDEX('Batch Dates'!$G:$G,MATCH(I51,'Batch Dates'!$B:$B,0)),""))</f>
        <v/>
      </c>
      <c r="G51" s="243" t="inlineStr">
        <is>
          <t>legacy</t>
        </is>
      </c>
      <c r="H51" s="243" t="inlineStr">
        <is>
          <t>retest 1</t>
        </is>
      </c>
      <c r="I51" s="244" t="inlineStr">
        <is>
          <t>GP0824_02</t>
        </is>
      </c>
      <c r="J51" s="243" t="inlineStr">
        <is>
          <t>P050022</t>
        </is>
      </c>
      <c r="K51" s="243" t="inlineStr">
        <is>
          <t>Grape Pie</t>
        </is>
      </c>
      <c r="L51" s="243" t="inlineStr">
        <is>
          <t>Ident A + Ident B + Foreign matter</t>
        </is>
      </c>
      <c r="M51" s="248" t="inlineStr">
        <is>
          <t>—</t>
        </is>
      </c>
      <c r="N51" s="243">
        <f>IFERROR(INDEX('CoQ Register'!$B:$B,MATCH("P050022|R",'CoQ Register'!$S:$S,0)),"—")</f>
        <v/>
      </c>
      <c r="O51" s="248" t="inlineStr">
        <is>
          <t>—</t>
        </is>
      </c>
      <c r="P51" s="243" t="inlineStr">
        <is>
          <t>03.06.2026</t>
        </is>
      </c>
      <c r="Q51" s="243" t="inlineStr">
        <is>
          <t>22.04.2025 – 23.04.2025</t>
        </is>
      </c>
      <c r="R51" s="243" t="inlineStr">
        <is>
          <t>03.06.2025 – 11.06.2025</t>
        </is>
      </c>
      <c r="S51" s="245">
        <f>IFERROR(INDEX('CoQ Register'!$D:$D,MATCH("P050022|R",'CoQ Register'!$S:$S,0)),"")</f>
        <v/>
      </c>
      <c r="T51" s="243" t="inlineStr">
        <is>
          <t>Conforms</t>
        </is>
      </c>
      <c r="U51" s="243" t="inlineStr">
        <is>
          <t>Conforms</t>
        </is>
      </c>
      <c r="V51" s="243" t="inlineStr">
        <is>
          <t>Conforms</t>
        </is>
      </c>
      <c r="W51" s="243" t="inlineStr">
        <is>
          <t>197-11-K-26, (07.08.2026) [FHM-K]</t>
        </is>
      </c>
      <c r="X51" s="243" t="inlineStr">
        <is>
          <t>197-11-K-26, (07.08.2026) [FHM-K]</t>
        </is>
      </c>
      <c r="Y51" s="243" t="inlineStr">
        <is>
          <t>197-11-M-26, (10.08.2026) [FHM-M]</t>
        </is>
      </c>
      <c r="Z51" s="243" t="inlineStr">
        <is>
          <t>#8, #9, #11, #12 from the initial testing</t>
        </is>
      </c>
      <c r="AA51" s="243" t="inlineStr">
        <is>
          <t>P050022|R</t>
        </is>
      </c>
      <c r="AB51" s="250" t="inlineStr">
        <is>
          <t>registered — retest 1, issued 03.06.2026</t>
        </is>
      </c>
    </row>
    <row r="52">
      <c r="A52" s="243" t="n">
        <v>51</v>
      </c>
      <c r="B52" s="244" t="inlineStr">
        <is>
          <t>iCoA-PP_26-051</t>
        </is>
      </c>
      <c r="C52" s="249" t="inlineStr">
        <is>
          <t>yes</t>
        </is>
      </c>
      <c r="D52" s="245" t="n">
        <v>46176</v>
      </c>
      <c r="E52" s="245" t="n">
        <v>46086</v>
      </c>
      <c r="F52" s="245">
        <f>IFERROR(INDEX('Batch Dates'!$G:$G,MATCH(J52,'Batch Dates'!$C:$C,0)),IFERROR(INDEX('Batch Dates'!$G:$G,MATCH(I52,'Batch Dates'!$B:$B,0)),""))</f>
        <v/>
      </c>
      <c r="G52" s="243" t="inlineStr">
        <is>
          <t>legacy</t>
        </is>
      </c>
      <c r="H52" s="243" t="inlineStr">
        <is>
          <t>retest 2</t>
        </is>
      </c>
      <c r="I52" s="244" t="inlineStr">
        <is>
          <t>GP0824_02</t>
        </is>
      </c>
      <c r="J52" s="243" t="inlineStr">
        <is>
          <t>P050022</t>
        </is>
      </c>
      <c r="K52" s="243" t="inlineStr">
        <is>
          <t>Grape Pie</t>
        </is>
      </c>
      <c r="L52" s="243" t="inlineStr">
        <is>
          <t>Ident A + Ident B + Foreign matter</t>
        </is>
      </c>
      <c r="M52" s="248" t="inlineStr">
        <is>
          <t>—</t>
        </is>
      </c>
      <c r="N52" s="243">
        <f>IFERROR(INDEX('CoQ Register'!$B:$B,MATCH("P050022|R2",'CoQ Register'!$S:$S,0)),"—")</f>
        <v/>
      </c>
      <c r="O52" s="248" t="inlineStr">
        <is>
          <t>—</t>
        </is>
      </c>
      <c r="P52" s="243" t="inlineStr">
        <is>
          <t>03.06.2026</t>
        </is>
      </c>
      <c r="Q52" s="243" t="inlineStr">
        <is>
          <t>22.04.2025 – 23.04.2025</t>
        </is>
      </c>
      <c r="R52" s="243" t="inlineStr">
        <is>
          <t>03.06.2025 – 11.06.2025</t>
        </is>
      </c>
      <c r="S52" s="245">
        <f>IFERROR(INDEX('CoQ Register'!$D:$D,MATCH("P050022|R2",'CoQ Register'!$S:$S,0)),"")</f>
        <v/>
      </c>
      <c r="T52" s="243" t="inlineStr">
        <is>
          <t>Conforms</t>
        </is>
      </c>
      <c r="U52" s="243" t="inlineStr">
        <is>
          <t>Conforms</t>
        </is>
      </c>
      <c r="V52" s="243" t="inlineStr">
        <is>
          <t>Conforms</t>
        </is>
      </c>
      <c r="W52" s="243" t="inlineStr">
        <is>
          <t>197-11-K-26, (07.08.2026) [FHM-K]</t>
        </is>
      </c>
      <c r="X52" s="243" t="inlineStr">
        <is>
          <t>197-11-K-26, (07.08.2026) [FHM-K]</t>
        </is>
      </c>
      <c r="Y52" s="243" t="inlineStr">
        <is>
          <t>197-11-M-26, (10.08.2026) [FHM-M]</t>
        </is>
      </c>
      <c r="Z52" s="243" t="inlineStr">
        <is>
          <t>#8, #9, #11, #12 from the initial testing</t>
        </is>
      </c>
      <c r="AA52" s="243" t="inlineStr">
        <is>
          <t>P050022|R2</t>
        </is>
      </c>
      <c r="AB52" s="250" t="inlineStr">
        <is>
          <t>registered — retest 2, issued 03.06.2026</t>
        </is>
      </c>
    </row>
    <row r="53">
      <c r="A53" s="243" t="n">
        <v>52</v>
      </c>
      <c r="B53" s="244" t="inlineStr">
        <is>
          <t>iCoA-PP_26-052</t>
        </is>
      </c>
      <c r="C53" s="249" t="inlineStr">
        <is>
          <t>yes</t>
        </is>
      </c>
      <c r="D53" s="245" t="n">
        <v>46176</v>
      </c>
      <c r="E53" s="245" t="n">
        <v>46086</v>
      </c>
      <c r="F53" s="245">
        <f>IFERROR(INDEX('Batch Dates'!$G:$G,MATCH(J53,'Batch Dates'!$C:$C,0)),IFERROR(INDEX('Batch Dates'!$G:$G,MATCH(I53,'Batch Dates'!$B:$B,0)),""))</f>
        <v/>
      </c>
      <c r="G53" s="243" t="inlineStr">
        <is>
          <t>legacy</t>
        </is>
      </c>
      <c r="H53" s="243" t="inlineStr">
        <is>
          <t>retest 2</t>
        </is>
      </c>
      <c r="I53" s="244" t="inlineStr">
        <is>
          <t>GP0824_03</t>
        </is>
      </c>
      <c r="J53" s="243" t="inlineStr">
        <is>
          <t>P050072</t>
        </is>
      </c>
      <c r="K53" s="243" t="inlineStr">
        <is>
          <t>Grape Pie</t>
        </is>
      </c>
      <c r="L53" s="243" t="inlineStr">
        <is>
          <t>Ident A + Ident B + Foreign matter</t>
        </is>
      </c>
      <c r="M53" s="248" t="inlineStr">
        <is>
          <t>—</t>
        </is>
      </c>
      <c r="N53" s="243">
        <f>IFERROR(INDEX('CoQ Register'!$B:$B,MATCH("P050072|R2",'CoQ Register'!$S:$S,0)),"—")</f>
        <v/>
      </c>
      <c r="O53" s="248" t="inlineStr">
        <is>
          <t>—</t>
        </is>
      </c>
      <c r="P53" s="243" t="inlineStr">
        <is>
          <t>14.07.2026</t>
        </is>
      </c>
      <c r="Q53" s="243" t="inlineStr">
        <is>
          <t>09.06.2025 – 10.06.2025</t>
        </is>
      </c>
      <c r="R53" s="243" t="inlineStr">
        <is>
          <t>14.07.2025 – 17.07.2025</t>
        </is>
      </c>
      <c r="S53" s="245">
        <f>IFERROR(INDEX('CoQ Register'!$D:$D,MATCH("P050072|R2",'CoQ Register'!$S:$S,0)),"")</f>
        <v/>
      </c>
      <c r="T53" s="243" t="inlineStr">
        <is>
          <t>Conforms</t>
        </is>
      </c>
      <c r="U53" s="243" t="inlineStr">
        <is>
          <t>Conforms</t>
        </is>
      </c>
      <c r="V53" s="243" t="inlineStr">
        <is>
          <t>Conforms</t>
        </is>
      </c>
      <c r="W53" s="243" t="inlineStr">
        <is>
          <t>220-11-K-26, (25.08.2026) [FHM-K]</t>
        </is>
      </c>
      <c r="X53" s="243" t="inlineStr">
        <is>
          <t>220-11-K-26, (25.08.2026) [FHM-K]</t>
        </is>
      </c>
      <c r="Y53" s="243" t="inlineStr">
        <is>
          <t>220-11-M-26, (11.09.2026) [FHM-M]</t>
        </is>
      </c>
      <c r="Z53" s="243" t="inlineStr">
        <is>
          <t>#8, #9, #11, #12 from the initial testing</t>
        </is>
      </c>
      <c r="AA53" s="243" t="inlineStr">
        <is>
          <t>P050072|R2</t>
        </is>
      </c>
      <c r="AB53" s="250" t="inlineStr">
        <is>
          <t>registered — retest 2,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J31102501</t>
        </is>
      </c>
      <c r="J54" s="243" t="inlineStr">
        <is>
          <t>P060152</t>
        </is>
      </c>
      <c r="K54" s="243" t="inlineStr">
        <is>
          <t>Jokerz 31</t>
        </is>
      </c>
      <c r="L54" s="243" t="inlineStr">
        <is>
          <t>Ident A + Ident B + Foreign matter</t>
        </is>
      </c>
      <c r="M54" s="248" t="inlineStr">
        <is>
          <t>—</t>
        </is>
      </c>
      <c r="N54" s="243">
        <f>IFERROR(INDEX('CoQ Register'!$B:$B,MATCH("P060152|I",'CoQ Register'!$S:$S,0)),"—")</f>
        <v/>
      </c>
      <c r="O54" s="243" t="inlineStr">
        <is>
          <t>iCoA-PP-2026-0012</t>
        </is>
      </c>
      <c r="P54" s="243" t="inlineStr">
        <is>
          <t>05.03.2026</t>
        </is>
      </c>
      <c r="Q54" s="243" t="inlineStr">
        <is>
          <t>21.01.2026</t>
        </is>
      </c>
      <c r="R54" s="243" t="inlineStr">
        <is>
          <t>05.03.2026</t>
        </is>
      </c>
      <c r="S54" s="245">
        <f>IFERROR(INDEX('CoQ Register'!$D:$D,MATCH("P060152|I",'CoQ Register'!$S:$S,0)),"")</f>
        <v/>
      </c>
      <c r="T54" s="243" t="inlineStr">
        <is>
          <t>Conforms</t>
        </is>
      </c>
      <c r="U54" s="243" t="inlineStr">
        <is>
          <t>Conforms</t>
        </is>
      </c>
      <c r="V54" s="243" t="inlineStr">
        <is>
          <t>Conforms</t>
        </is>
      </c>
      <c r="W54" s="243" t="inlineStr">
        <is>
          <t>051-1-K-26, (04.03.2026) [FHM-K]</t>
        </is>
      </c>
      <c r="X54" s="243" t="inlineStr">
        <is>
          <t>—</t>
        </is>
      </c>
      <c r="Y54" s="243" t="inlineStr">
        <is>
          <t>—</t>
        </is>
      </c>
      <c r="Z54" s="243" t="inlineStr">
        <is>
          <t>—</t>
        </is>
      </c>
      <c r="AA54" s="243" t="inlineStr">
        <is>
          <t>P060152|I</t>
        </is>
      </c>
      <c r="AB54" s="250" t="inlineStr">
        <is>
          <t>registered — initial release, issued 03.06.2026</t>
        </is>
      </c>
    </row>
    <row r="55">
      <c r="A55" s="243" t="n">
        <v>54</v>
      </c>
      <c r="B55" s="244" t="inlineStr">
        <is>
          <t>iCoA-PP_26-054</t>
        </is>
      </c>
      <c r="C55" s="249" t="inlineStr">
        <is>
          <t>yes</t>
        </is>
      </c>
      <c r="D55" s="245" t="n">
        <v>46176</v>
      </c>
      <c r="E55" s="245" t="n">
        <v>46087</v>
      </c>
      <c r="F55" s="245">
        <f>IFERROR(INDEX('Batch Dates'!$G:$G,MATCH(J55,'Batch Dates'!$C:$C,0)),IFERROR(INDEX('Batch Dates'!$G:$G,MATCH(I55,'Batch Dates'!$B:$B,0)),""))</f>
        <v/>
      </c>
      <c r="G55" s="243" t="inlineStr">
        <is>
          <t>legacy</t>
        </is>
      </c>
      <c r="H55" s="243" t="inlineStr">
        <is>
          <t>retest 1</t>
        </is>
      </c>
      <c r="I55" s="244" t="inlineStr">
        <is>
          <t>GRC102501</t>
        </is>
      </c>
      <c r="J55" s="243" t="inlineStr">
        <is>
          <t>P060182</t>
        </is>
      </c>
      <c r="K55" s="243" t="inlineStr">
        <is>
          <t>Grapes And Cream</t>
        </is>
      </c>
      <c r="L55" s="243" t="inlineStr">
        <is>
          <t>Ident A + Ident B + Foreign matter</t>
        </is>
      </c>
      <c r="M55" s="248" t="inlineStr">
        <is>
          <t>—</t>
        </is>
      </c>
      <c r="N55" s="243">
        <f>IFERROR(INDEX('CoQ Register'!$B:$B,MATCH("P060182|R",'CoQ Register'!$S:$S,0)),"—")</f>
        <v/>
      </c>
      <c r="O55" s="248" t="inlineStr">
        <is>
          <t>—</t>
        </is>
      </c>
      <c r="P55" s="243" t="inlineStr">
        <is>
          <t>14.03.2027</t>
        </is>
      </c>
      <c r="Q55" s="243" t="inlineStr">
        <is>
          <t>20.01.2026</t>
        </is>
      </c>
      <c r="R55" s="243" t="inlineStr">
        <is>
          <t>14.03.2026</t>
        </is>
      </c>
      <c r="S55" s="245">
        <f>IFERROR(INDEX('CoQ Register'!$D:$D,MATCH("P060182|R",'CoQ Register'!$S:$S,0)),"")</f>
        <v/>
      </c>
      <c r="T55" s="243" t="inlineStr">
        <is>
          <t>Conforms</t>
        </is>
      </c>
      <c r="U55" s="243" t="inlineStr">
        <is>
          <t>Conforms</t>
        </is>
      </c>
      <c r="V55" s="243" t="inlineStr">
        <is>
          <t>Conforms</t>
        </is>
      </c>
      <c r="W55" s="243" t="inlineStr">
        <is>
          <t>220-14-K-26, (25.08.2026) [FHM-K]</t>
        </is>
      </c>
      <c r="X55" s="243" t="inlineStr">
        <is>
          <t>220-14-K-26, (25.08.2026) [FHM-K]</t>
        </is>
      </c>
      <c r="Y55" s="243" t="inlineStr">
        <is>
          <t>220-14-M-26, (11.09.2026) [FHM-M]</t>
        </is>
      </c>
      <c r="Z55" s="243" t="inlineStr">
        <is>
          <t>#8, #9, #11, #12 from the initial testing</t>
        </is>
      </c>
      <c r="AA55" s="243" t="inlineStr">
        <is>
          <t>P060182|R</t>
        </is>
      </c>
      <c r="AB55" s="250" t="inlineStr">
        <is>
          <t>registered — retest 1,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SJ102501</t>
        </is>
      </c>
      <c r="J56" s="243" t="inlineStr">
        <is>
          <t>P060162</t>
        </is>
      </c>
      <c r="K56" s="243" t="inlineStr">
        <is>
          <t>Sleepy Joe</t>
        </is>
      </c>
      <c r="L56" s="243" t="inlineStr">
        <is>
          <t>Ident A + Ident B + Foreign matter</t>
        </is>
      </c>
      <c r="M56" s="248" t="inlineStr">
        <is>
          <t>—</t>
        </is>
      </c>
      <c r="N56" s="243">
        <f>IFERROR(INDEX('CoQ Register'!$B:$B,MATCH("P060162|I",'CoQ Register'!$S:$S,0)),"—")</f>
        <v/>
      </c>
      <c r="O56" s="248" t="inlineStr">
        <is>
          <t>—</t>
        </is>
      </c>
      <c r="P56" s="243" t="inlineStr">
        <is>
          <t>04.03.2026</t>
        </is>
      </c>
      <c r="Q56" s="243" t="inlineStr">
        <is>
          <t>20.01.2026</t>
        </is>
      </c>
      <c r="R56" s="243" t="inlineStr">
        <is>
          <t>09.03.2026 (the issuance plan's basis: 04.03.2026)</t>
        </is>
      </c>
      <c r="S56" s="245">
        <f>IFERROR(INDEX('CoQ Register'!$D:$D,MATCH("P060162|I",'CoQ Register'!$S:$S,0)),"")</f>
        <v/>
      </c>
      <c r="T56" s="243" t="inlineStr">
        <is>
          <t>Conforms</t>
        </is>
      </c>
      <c r="U56" s="243" t="inlineStr">
        <is>
          <t>Conforms</t>
        </is>
      </c>
      <c r="V56" s="243" t="inlineStr">
        <is>
          <t>Conforms</t>
        </is>
      </c>
      <c r="W56" s="243" t="inlineStr">
        <is>
          <t>051-3-K-26, (04.03.2026) [FHM-K]</t>
        </is>
      </c>
      <c r="X56" s="243" t="inlineStr">
        <is>
          <t>—</t>
        </is>
      </c>
      <c r="Y56" s="243" t="inlineStr">
        <is>
          <t>—</t>
        </is>
      </c>
      <c r="Z56" s="243" t="inlineStr">
        <is>
          <t>—</t>
        </is>
      </c>
      <c r="AA56" s="243" t="inlineStr">
        <is>
          <t>P060162|I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KC102501</t>
        </is>
      </c>
      <c r="J57" s="243" t="inlineStr">
        <is>
          <t>P060172</t>
        </is>
      </c>
      <c r="K57" s="243" t="inlineStr">
        <is>
          <t>Kush Crasher</t>
        </is>
      </c>
      <c r="L57" s="243" t="inlineStr">
        <is>
          <t>Ident A + Ident B + Foreign matter</t>
        </is>
      </c>
      <c r="M57" s="248" t="inlineStr">
        <is>
          <t>—</t>
        </is>
      </c>
      <c r="N57" s="243">
        <f>IFERROR(INDEX('CoQ Register'!$B:$B,MATCH("P060172|I",'CoQ Register'!$S:$S,0)),"—")</f>
        <v/>
      </c>
      <c r="O57" s="243" t="inlineStr">
        <is>
          <t>iCoA-PP-2026-0013</t>
        </is>
      </c>
      <c r="P57" s="243" t="inlineStr">
        <is>
          <t>12.03.2026</t>
        </is>
      </c>
      <c r="Q57" s="243" t="inlineStr">
        <is>
          <t>20.01.2026 – 21.01.2026</t>
        </is>
      </c>
      <c r="R57" s="243" t="inlineStr">
        <is>
          <t>12.03.2026</t>
        </is>
      </c>
      <c r="S57" s="245">
        <f>IFERROR(INDEX('CoQ Register'!$D:$D,MATCH("P060172|I",'CoQ Register'!$S:$S,0)),"")</f>
        <v/>
      </c>
      <c r="T57" s="243" t="inlineStr">
        <is>
          <t>Conforms</t>
        </is>
      </c>
      <c r="U57" s="243" t="inlineStr">
        <is>
          <t>Conforms</t>
        </is>
      </c>
      <c r="V57" s="243" t="inlineStr">
        <is>
          <t>Conforms</t>
        </is>
      </c>
      <c r="W57" s="243" t="inlineStr">
        <is>
          <t>051-4-K-26, (04.03.2026) [FHM-K]</t>
        </is>
      </c>
      <c r="X57" s="243" t="inlineStr">
        <is>
          <t>—</t>
        </is>
      </c>
      <c r="Y57" s="243" t="inlineStr">
        <is>
          <t>—</t>
        </is>
      </c>
      <c r="Z57" s="243" t="inlineStr">
        <is>
          <t>—</t>
        </is>
      </c>
      <c r="AA57" s="243" t="inlineStr">
        <is>
          <t>P060172|I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GRC102501</t>
        </is>
      </c>
      <c r="J58" s="243" t="inlineStr">
        <is>
          <t>P060182</t>
        </is>
      </c>
      <c r="K58" s="243" t="inlineStr">
        <is>
          <t>Grapes And Cream</t>
        </is>
      </c>
      <c r="L58" s="243" t="inlineStr">
        <is>
          <t>Ident A + Ident B + Foreign matter</t>
        </is>
      </c>
      <c r="M58" s="248" t="inlineStr">
        <is>
          <t>—</t>
        </is>
      </c>
      <c r="N58" s="243">
        <f>IFERROR(INDEX('CoQ Register'!$B:$B,MATCH("P060182|I",'CoQ Register'!$S:$S,0)),"—")</f>
        <v/>
      </c>
      <c r="O58" s="243" t="inlineStr">
        <is>
          <t>iCoA-PP-2026-0014</t>
        </is>
      </c>
      <c r="P58" s="243" t="inlineStr">
        <is>
          <t>14.03.2026</t>
        </is>
      </c>
      <c r="Q58" s="243" t="inlineStr">
        <is>
          <t>20.01.2026</t>
        </is>
      </c>
      <c r="R58" s="243" t="inlineStr">
        <is>
          <t>14.03.2026</t>
        </is>
      </c>
      <c r="S58" s="245">
        <f>IFERROR(INDEX('CoQ Register'!$D:$D,MATCH("P060182|I",'CoQ Register'!$S:$S,0)),"")</f>
        <v/>
      </c>
      <c r="T58" s="243" t="inlineStr">
        <is>
          <t>Conforms</t>
        </is>
      </c>
      <c r="U58" s="243" t="inlineStr">
        <is>
          <t>Conforms</t>
        </is>
      </c>
      <c r="V58" s="243" t="inlineStr">
        <is>
          <t>Conforms</t>
        </is>
      </c>
      <c r="W58" s="243" t="inlineStr">
        <is>
          <t>051-6-K-26, (04.03.2026) [FHM-K]</t>
        </is>
      </c>
      <c r="X58" s="243" t="inlineStr">
        <is>
          <t>—</t>
        </is>
      </c>
      <c r="Y58" s="243" t="inlineStr">
        <is>
          <t>—</t>
        </is>
      </c>
      <c r="Z58" s="243" t="inlineStr">
        <is>
          <t>—</t>
        </is>
      </c>
      <c r="AA58" s="243" t="inlineStr">
        <is>
          <t>P060182|I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SJ112501</t>
        </is>
      </c>
      <c r="J59" s="243" t="inlineStr">
        <is>
          <t>P060192</t>
        </is>
      </c>
      <c r="K59" s="243" t="inlineStr">
        <is>
          <t>Sleepy Joe</t>
        </is>
      </c>
      <c r="L59" s="243" t="inlineStr">
        <is>
          <t>Ident A + Ident B + Foreign matter</t>
        </is>
      </c>
      <c r="M59" s="248" t="inlineStr">
        <is>
          <t>—</t>
        </is>
      </c>
      <c r="N59" s="243">
        <f>IFERROR(INDEX('CoQ Register'!$B:$B,MATCH("P060192|I",'CoQ Register'!$S:$S,0)),"—")</f>
        <v/>
      </c>
      <c r="O59" s="248" t="inlineStr">
        <is>
          <t>—</t>
        </is>
      </c>
      <c r="P59" s="243" t="inlineStr">
        <is>
          <t>04.03.2026</t>
        </is>
      </c>
      <c r="Q59" s="243" t="inlineStr">
        <is>
          <t>26.01.2026 – 27.01.2026</t>
        </is>
      </c>
      <c r="R59" s="243" t="inlineStr">
        <is>
          <t>31.03.2026 (the issuance plan's basis: 04.03.2026)</t>
        </is>
      </c>
      <c r="S59" s="245">
        <f>IFERROR(INDEX('CoQ Register'!$D:$D,MATCH("P060192|I",'CoQ Register'!$S:$S,0)),"")</f>
        <v/>
      </c>
      <c r="T59" s="243" t="inlineStr">
        <is>
          <t>Conforms</t>
        </is>
      </c>
      <c r="U59" s="243" t="inlineStr">
        <is>
          <t>Conforms</t>
        </is>
      </c>
      <c r="V59" s="243" t="inlineStr">
        <is>
          <t>Conforms</t>
        </is>
      </c>
      <c r="W59" s="243" t="inlineStr">
        <is>
          <t>051-2-K-26, (04.03.2026) [FHM-K]</t>
        </is>
      </c>
      <c r="X59" s="243" t="inlineStr">
        <is>
          <t>—</t>
        </is>
      </c>
      <c r="Y59" s="243" t="inlineStr">
        <is>
          <t>—</t>
        </is>
      </c>
      <c r="Z59" s="243" t="inlineStr">
        <is>
          <t>—</t>
        </is>
      </c>
      <c r="AA59" s="243" t="inlineStr">
        <is>
          <t>P060192|I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J31112501</t>
        </is>
      </c>
      <c r="J60" s="243" t="inlineStr">
        <is>
          <t>P060202</t>
        </is>
      </c>
      <c r="K60" s="243" t="inlineStr">
        <is>
          <t>Jokerz 31</t>
        </is>
      </c>
      <c r="L60" s="243" t="inlineStr">
        <is>
          <t>Ident A + Ident B + Foreign matter</t>
        </is>
      </c>
      <c r="M60" s="248" t="inlineStr">
        <is>
          <t>—</t>
        </is>
      </c>
      <c r="N60" s="243">
        <f>IFERROR(INDEX('CoQ Register'!$B:$B,MATCH("P060202|I",'CoQ Register'!$S:$S,0)),"—")</f>
        <v/>
      </c>
      <c r="O60" s="248" t="inlineStr">
        <is>
          <t>—</t>
        </is>
      </c>
      <c r="P60" s="243" t="inlineStr">
        <is>
          <t>09.04.2026</t>
        </is>
      </c>
      <c r="Q60" s="243" t="inlineStr">
        <is>
          <t>26.01.2026</t>
        </is>
      </c>
      <c r="R60" s="243" t="inlineStr">
        <is>
          <t>17.04.2026 (the issuance plan's basis: 09.04.2026)</t>
        </is>
      </c>
      <c r="S60" s="245">
        <f>IFERROR(INDEX('CoQ Register'!$D:$D,MATCH("P060202|I",'CoQ Register'!$S:$S,0)),"")</f>
        <v/>
      </c>
      <c r="T60" s="243" t="inlineStr">
        <is>
          <t>Conforms</t>
        </is>
      </c>
      <c r="U60" s="243" t="inlineStr">
        <is>
          <t>Conforms</t>
        </is>
      </c>
      <c r="V60" s="243" t="inlineStr">
        <is>
          <t>Conforms</t>
        </is>
      </c>
      <c r="W60" s="243" t="inlineStr">
        <is>
          <t>051-5-K-26, (04.03.2026) [FHM-K]</t>
        </is>
      </c>
      <c r="X60" s="243" t="inlineStr">
        <is>
          <t>—</t>
        </is>
      </c>
      <c r="Y60" s="243" t="inlineStr">
        <is>
          <t>—</t>
        </is>
      </c>
      <c r="Z60" s="243" t="inlineStr">
        <is>
          <t>—</t>
        </is>
      </c>
      <c r="AA60" s="243" t="inlineStr">
        <is>
          <t>P060202|I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legacy</t>
        </is>
      </c>
      <c r="H61" s="243" t="inlineStr">
        <is>
          <t>initial release</t>
        </is>
      </c>
      <c r="I61" s="244" t="inlineStr">
        <is>
          <t>JD112501</t>
        </is>
      </c>
      <c r="J61" s="243" t="inlineStr">
        <is>
          <t>P060212</t>
        </is>
      </c>
      <c r="K61" s="243" t="inlineStr">
        <is>
          <t>Jelly Donuts</t>
        </is>
      </c>
      <c r="L61" s="243" t="inlineStr">
        <is>
          <t>Ident A + Ident B + Foreign matter</t>
        </is>
      </c>
      <c r="M61" s="248" t="inlineStr">
        <is>
          <t>—</t>
        </is>
      </c>
      <c r="N61" s="243">
        <f>IFERROR(INDEX('CoQ Register'!$B:$B,MATCH("P060212|I",'CoQ Register'!$S:$S,0)),"—")</f>
        <v/>
      </c>
      <c r="O61" s="243" t="inlineStr">
        <is>
          <t>iCoA-PP-2026-0015</t>
        </is>
      </c>
      <c r="P61" s="243" t="inlineStr">
        <is>
          <t>21.04.2026</t>
        </is>
      </c>
      <c r="Q61" s="243" t="inlineStr">
        <is>
          <t>25.03.2026</t>
        </is>
      </c>
      <c r="R61" s="243" t="inlineStr">
        <is>
          <t>21.04.2026</t>
        </is>
      </c>
      <c r="S61" s="245">
        <f>IFERROR(INDEX('CoQ Register'!$D:$D,MATCH("P060212|I",'CoQ Register'!$S:$S,0)),"")</f>
        <v/>
      </c>
      <c r="T61" s="243" t="inlineStr">
        <is>
          <t>Conforms</t>
        </is>
      </c>
      <c r="U61" s="243" t="inlineStr">
        <is>
          <t>Conforms</t>
        </is>
      </c>
      <c r="V61" s="243" t="inlineStr">
        <is>
          <t>Conforms</t>
        </is>
      </c>
      <c r="W61" s="243" t="inlineStr">
        <is>
          <t>ППК26063, (11.05.2026) [CNP]</t>
        </is>
      </c>
      <c r="X61" s="243" t="inlineStr">
        <is>
          <t>—</t>
        </is>
      </c>
      <c r="Y61" s="243" t="inlineStr">
        <is>
          <t>—</t>
        </is>
      </c>
      <c r="Z61" s="243" t="inlineStr">
        <is>
          <t>—</t>
        </is>
      </c>
      <c r="AA61" s="243" t="inlineStr">
        <is>
          <t>P060212|I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legacy</t>
        </is>
      </c>
      <c r="H62" s="243" t="inlineStr">
        <is>
          <t>initial release</t>
        </is>
      </c>
      <c r="I62" s="244" t="inlineStr">
        <is>
          <t>OPM112501</t>
        </is>
      </c>
      <c r="J62" s="243" t="inlineStr">
        <is>
          <t>P060222</t>
        </is>
      </c>
      <c r="K62" s="243" t="inlineStr">
        <is>
          <t>Orange Punch Mimosa</t>
        </is>
      </c>
      <c r="L62" s="243" t="inlineStr">
        <is>
          <t>Ident A + Ident B + Foreign matter</t>
        </is>
      </c>
      <c r="M62" s="248" t="inlineStr">
        <is>
          <t>—</t>
        </is>
      </c>
      <c r="N62" s="243">
        <f>IFERROR(INDEX('CoQ Register'!$B:$B,MATCH("P060222|I",'CoQ Register'!$S:$S,0)),"—")</f>
        <v/>
      </c>
      <c r="O62" s="248" t="inlineStr">
        <is>
          <t>—</t>
        </is>
      </c>
      <c r="P62" s="243" t="inlineStr">
        <is>
          <t>05.03.2026</t>
        </is>
      </c>
      <c r="Q62" s="243" t="inlineStr">
        <is>
          <t>05.02.2026</t>
        </is>
      </c>
      <c r="R62" s="243" t="inlineStr">
        <is>
          <t>24.04.2026 (the issuance plan's basis: 05.03.2026)</t>
        </is>
      </c>
      <c r="S62" s="245">
        <f>IFERROR(INDEX('CoQ Register'!$D:$D,MATCH("P060222|I",'CoQ Register'!$S:$S,0)),"")</f>
        <v/>
      </c>
      <c r="T62" s="243" t="inlineStr">
        <is>
          <t>Conforms</t>
        </is>
      </c>
      <c r="U62" s="243" t="inlineStr">
        <is>
          <t>Conforms</t>
        </is>
      </c>
      <c r="V62" s="243" t="inlineStr">
        <is>
          <t>Conforms</t>
        </is>
      </c>
      <c r="W62" s="243" t="inlineStr">
        <is>
          <t>ППК26031, (05.03.2026) [CNP]</t>
        </is>
      </c>
      <c r="X62" s="243" t="inlineStr">
        <is>
          <t>—</t>
        </is>
      </c>
      <c r="Y62" s="243" t="inlineStr">
        <is>
          <t>—</t>
        </is>
      </c>
      <c r="Z62" s="243" t="inlineStr">
        <is>
          <t>—</t>
        </is>
      </c>
      <c r="AA62" s="243" t="inlineStr">
        <is>
          <t>P060222|I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legacy</t>
        </is>
      </c>
      <c r="H63" s="243" t="inlineStr">
        <is>
          <t>initial release</t>
        </is>
      </c>
      <c r="I63" s="244" t="inlineStr">
        <is>
          <t>PM112501</t>
        </is>
      </c>
      <c r="J63" s="243" t="inlineStr">
        <is>
          <t>P060232</t>
        </is>
      </c>
      <c r="K63" s="243" t="inlineStr">
        <is>
          <t>Permanent Marker</t>
        </is>
      </c>
      <c r="L63" s="243" t="inlineStr">
        <is>
          <t>Ident A + Ident B + Foreign matter</t>
        </is>
      </c>
      <c r="M63" s="248" t="inlineStr">
        <is>
          <t>—</t>
        </is>
      </c>
      <c r="N63" s="243">
        <f>IFERROR(INDEX('CoQ Register'!$B:$B,MATCH("P060232|I",'CoQ Register'!$S:$S,0)),"—")</f>
        <v/>
      </c>
      <c r="O63" s="243" t="inlineStr">
        <is>
          <t>iCoA-PP-2026-0016</t>
        </is>
      </c>
      <c r="P63" s="243" t="inlineStr">
        <is>
          <t>27.04.2026</t>
        </is>
      </c>
      <c r="Q63" s="243" t="inlineStr">
        <is>
          <t>05.02.2026</t>
        </is>
      </c>
      <c r="R63" s="243" t="inlineStr">
        <is>
          <t>27.04.2026</t>
        </is>
      </c>
      <c r="S63" s="245">
        <f>IFERROR(INDEX('CoQ Register'!$D:$D,MATCH("P060232|I",'CoQ Register'!$S:$S,0)),"")</f>
        <v/>
      </c>
      <c r="T63" s="243" t="inlineStr">
        <is>
          <t>Conforms</t>
        </is>
      </c>
      <c r="U63" s="243" t="inlineStr">
        <is>
          <t>Conforms</t>
        </is>
      </c>
      <c r="V63" s="243" t="inlineStr">
        <is>
          <t>Conforms</t>
        </is>
      </c>
      <c r="W63" s="243" t="inlineStr">
        <is>
          <t>ППК26030, (05.03.2026) [CNP]</t>
        </is>
      </c>
      <c r="X63" s="243" t="inlineStr">
        <is>
          <t>—</t>
        </is>
      </c>
      <c r="Y63" s="243" t="inlineStr">
        <is>
          <t>—</t>
        </is>
      </c>
      <c r="Z63" s="243" t="inlineStr">
        <is>
          <t>—</t>
        </is>
      </c>
      <c r="AA63" s="243" t="inlineStr">
        <is>
          <t>P060232|I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legacy</t>
        </is>
      </c>
      <c r="H64" s="243" t="inlineStr">
        <is>
          <t>initial release</t>
        </is>
      </c>
      <c r="I64" s="244" t="inlineStr">
        <is>
          <t>OPM122501</t>
        </is>
      </c>
      <c r="J64" s="243" t="inlineStr">
        <is>
          <t>P060242</t>
        </is>
      </c>
      <c r="K64" s="243" t="inlineStr">
        <is>
          <t>Orange Punch Mimosa</t>
        </is>
      </c>
      <c r="L64" s="243" t="inlineStr">
        <is>
          <t>Ident A + Ident B + Foreign matter</t>
        </is>
      </c>
      <c r="M64" s="248" t="inlineStr">
        <is>
          <t>—</t>
        </is>
      </c>
      <c r="N64" s="243">
        <f>IFERROR(INDEX('CoQ Register'!$B:$B,MATCH("P060242|I",'CoQ Register'!$S:$S,0)),"—")</f>
        <v/>
      </c>
      <c r="O64" s="243" t="inlineStr">
        <is>
          <t>iCoA-PP-2026-0017</t>
        </is>
      </c>
      <c r="P64" s="243" t="inlineStr">
        <is>
          <t>28.04.2026</t>
        </is>
      </c>
      <c r="Q64" s="243" t="inlineStr">
        <is>
          <t>11.03.2026</t>
        </is>
      </c>
      <c r="R64" s="243" t="inlineStr">
        <is>
          <t>28.04.2026</t>
        </is>
      </c>
      <c r="S64" s="245">
        <f>IFERROR(INDEX('CoQ Register'!$D:$D,MATCH("P060242|I",'CoQ Register'!$S:$S,0)),"")</f>
        <v/>
      </c>
      <c r="T64" s="243" t="inlineStr">
        <is>
          <t>Conforms</t>
        </is>
      </c>
      <c r="U64" s="243" t="inlineStr">
        <is>
          <t>Conforms</t>
        </is>
      </c>
      <c r="V64" s="243" t="inlineStr">
        <is>
          <t>Conforms</t>
        </is>
      </c>
      <c r="W64" s="243" t="inlineStr">
        <is>
          <t>100-4-K-26, (09.04.2026) [FHM-K]</t>
        </is>
      </c>
      <c r="X64" s="243" t="inlineStr">
        <is>
          <t>—</t>
        </is>
      </c>
      <c r="Y64" s="243" t="inlineStr">
        <is>
          <t>—</t>
        </is>
      </c>
      <c r="Z64" s="243" t="inlineStr">
        <is>
          <t>—</t>
        </is>
      </c>
      <c r="AA64" s="243" t="inlineStr">
        <is>
          <t>P060242|I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legacy</t>
        </is>
      </c>
      <c r="H65" s="243" t="inlineStr">
        <is>
          <t>initial release</t>
        </is>
      </c>
      <c r="I65" s="244" t="inlineStr">
        <is>
          <t>GG112501</t>
        </is>
      </c>
      <c r="J65" s="243" t="inlineStr">
        <is>
          <t>P060252</t>
        </is>
      </c>
      <c r="K65" s="243" t="inlineStr">
        <is>
          <t>Gorilla Glue</t>
        </is>
      </c>
      <c r="L65" s="243" t="inlineStr">
        <is>
          <t>Ident A + Ident B + Foreign matter</t>
        </is>
      </c>
      <c r="M65" s="248" t="inlineStr">
        <is>
          <t>—</t>
        </is>
      </c>
      <c r="N65" s="243">
        <f>IFERROR(INDEX('CoQ Register'!$B:$B,MATCH("P060252|I",'CoQ Register'!$S:$S,0)),"—")</f>
        <v/>
      </c>
      <c r="O65" s="248" t="inlineStr">
        <is>
          <t>—</t>
        </is>
      </c>
      <c r="P65" s="243" t="inlineStr">
        <is>
          <t>11.05.2026</t>
        </is>
      </c>
      <c r="Q65" s="243" t="inlineStr">
        <is>
          <t>25.03.2026</t>
        </is>
      </c>
      <c r="R65" s="243" t="inlineStr">
        <is>
          <t>05.05.2026 (the issuance plan's basis: 11.05.2026)</t>
        </is>
      </c>
      <c r="S65" s="245">
        <f>IFERROR(INDEX('CoQ Register'!$D:$D,MATCH("P060252|I",'CoQ Register'!$S:$S,0)),"")</f>
        <v/>
      </c>
      <c r="T65" s="243" t="inlineStr">
        <is>
          <t>Conforms</t>
        </is>
      </c>
      <c r="U65" s="243" t="inlineStr">
        <is>
          <t>Conforms</t>
        </is>
      </c>
      <c r="V65" s="243" t="inlineStr">
        <is>
          <t>Conforms</t>
        </is>
      </c>
      <c r="W65" s="243" t="inlineStr">
        <is>
          <t>ППК26061, (11.05.2026) [CNP]</t>
        </is>
      </c>
      <c r="X65" s="243" t="inlineStr">
        <is>
          <t>—</t>
        </is>
      </c>
      <c r="Y65" s="243" t="inlineStr">
        <is>
          <t>—</t>
        </is>
      </c>
      <c r="Z65" s="243" t="inlineStr">
        <is>
          <t>—</t>
        </is>
      </c>
      <c r="AA65" s="243" t="inlineStr">
        <is>
          <t>P060252|I</t>
        </is>
      </c>
      <c r="AB65" s="250" t="inlineStr">
        <is>
          <t>registered — initial release, issued 03.06.2026</t>
        </is>
      </c>
    </row>
    <row r="66">
      <c r="A66" s="243" t="n">
        <v>65</v>
      </c>
      <c r="B66" s="244" t="inlineStr">
        <is>
          <t>iCoA-PP_26-065</t>
        </is>
      </c>
      <c r="C66" s="249" t="inlineStr">
        <is>
          <t>yes</t>
        </is>
      </c>
      <c r="D66" s="245" t="n">
        <v>46176</v>
      </c>
      <c r="E66" s="245" t="n">
        <v>46153</v>
      </c>
      <c r="F66" s="245">
        <f>IFERROR(INDEX('Batch Dates'!$G:$G,MATCH(J66,'Batch Dates'!$C:$C,0)),IFERROR(INDEX('Batch Dates'!$G:$G,MATCH(I66,'Batch Dates'!$B:$B,0)),""))</f>
        <v/>
      </c>
      <c r="G66" s="243" t="inlineStr">
        <is>
          <t>legacy</t>
        </is>
      </c>
      <c r="H66" s="243" t="inlineStr">
        <is>
          <t>retest 1</t>
        </is>
      </c>
      <c r="I66" s="244" t="inlineStr">
        <is>
          <t>GP062501</t>
        </is>
      </c>
      <c r="J66" s="243" t="inlineStr">
        <is>
          <t>P050202</t>
        </is>
      </c>
      <c r="K66" s="243" t="inlineStr">
        <is>
          <t>Grape Pie</t>
        </is>
      </c>
      <c r="L66" s="243" t="inlineStr">
        <is>
          <t>Ident A + Ident B + Foreign matter</t>
        </is>
      </c>
      <c r="M66" s="248" t="inlineStr">
        <is>
          <t>—</t>
        </is>
      </c>
      <c r="N66" s="243">
        <f>IFERROR(INDEX('CoQ Register'!$B:$B,MATCH("P050202|R",'CoQ Register'!$S:$S,0)),"—")</f>
        <v/>
      </c>
      <c r="O66" s="248" t="inlineStr">
        <is>
          <t>—</t>
        </is>
      </c>
      <c r="P66" s="243" t="inlineStr">
        <is>
          <t>11.05.2027</t>
        </is>
      </c>
      <c r="Q66" s="243" t="inlineStr">
        <is>
          <t>15.09.2025 – 17.09.2025</t>
        </is>
      </c>
      <c r="R66" s="243" t="inlineStr">
        <is>
          <t>30.10.2025 – 07.11.2025 (the issuance plan's basis: 11.05.2026)</t>
        </is>
      </c>
      <c r="S66" s="245">
        <f>IFERROR(INDEX('CoQ Register'!$D:$D,MATCH("P050202|R",'CoQ Register'!$S:$S,0)),"")</f>
        <v/>
      </c>
      <c r="T66" s="243" t="inlineStr">
        <is>
          <t>Conforms</t>
        </is>
      </c>
      <c r="U66" s="243" t="inlineStr">
        <is>
          <t>Conforms</t>
        </is>
      </c>
      <c r="V66" s="243" t="inlineStr">
        <is>
          <t>Conforms</t>
        </is>
      </c>
      <c r="W66" s="243" t="inlineStr">
        <is>
          <t>227-18-K-26, (11.09.2026) [FHM-K]</t>
        </is>
      </c>
      <c r="X66" s="243" t="inlineStr">
        <is>
          <t>227-18-K-26, (11.09.2026) [FHM-K]</t>
        </is>
      </c>
      <c r="Y66" s="243" t="inlineStr">
        <is>
          <t>— pending —</t>
        </is>
      </c>
      <c r="Z66" s="243" t="inlineStr">
        <is>
          <t>#8, #9, #11, #12 from the initial testing</t>
        </is>
      </c>
      <c r="AA66" s="243" t="inlineStr">
        <is>
          <t>P050202|R</t>
        </is>
      </c>
      <c r="AB66" s="250" t="inlineStr">
        <is>
          <t>registered — retest 1, issued 03.06.2026</t>
        </is>
      </c>
    </row>
    <row r="67">
      <c r="A67" s="243" t="n">
        <v>66</v>
      </c>
      <c r="B67" s="244" t="inlineStr">
        <is>
          <t>iCoA-PP_26-066</t>
        </is>
      </c>
      <c r="C67" s="249" t="inlineStr">
        <is>
          <t>yes</t>
        </is>
      </c>
      <c r="D67" s="245" t="n">
        <v>46176</v>
      </c>
      <c r="E67" s="245" t="n">
        <v>46153</v>
      </c>
      <c r="F67" s="245">
        <f>IFERROR(INDEX('Batch Dates'!$G:$G,MATCH(J67,'Batch Dates'!$C:$C,0)),IFERROR(INDEX('Batch Dates'!$G:$G,MATCH(I67,'Batch Dates'!$B:$B,0)),""))</f>
        <v/>
      </c>
      <c r="G67" s="243" t="inlineStr">
        <is>
          <t>legacy</t>
        </is>
      </c>
      <c r="H67" s="243" t="inlineStr">
        <is>
          <t>retest 3</t>
        </is>
      </c>
      <c r="I67" s="244" t="inlineStr">
        <is>
          <t>GP062501</t>
        </is>
      </c>
      <c r="J67" s="243" t="inlineStr">
        <is>
          <t>P050202</t>
        </is>
      </c>
      <c r="K67" s="243" t="inlineStr">
        <is>
          <t>Grape Pie</t>
        </is>
      </c>
      <c r="L67" s="243" t="inlineStr">
        <is>
          <t>Ident A + Ident B + Foreign matter</t>
        </is>
      </c>
      <c r="M67" s="248" t="inlineStr">
        <is>
          <t>—</t>
        </is>
      </c>
      <c r="N67" s="243">
        <f>IFERROR(INDEX('CoQ Register'!$B:$B,MATCH("P050202|R3",'CoQ Register'!$S:$S,0)),"—")</f>
        <v/>
      </c>
      <c r="O67" s="248" t="inlineStr">
        <is>
          <t>—</t>
        </is>
      </c>
      <c r="P67" s="243" t="inlineStr">
        <is>
          <t>11.05.2027</t>
        </is>
      </c>
      <c r="Q67" s="243" t="inlineStr">
        <is>
          <t>15.09.2025 – 17.09.2025</t>
        </is>
      </c>
      <c r="R67" s="243" t="inlineStr">
        <is>
          <t>30.10.2025 – 07.11.2025 (the issuance plan's basis: 11.05.2026)</t>
        </is>
      </c>
      <c r="S67" s="245">
        <f>IFERROR(INDEX('CoQ Register'!$D:$D,MATCH("P050202|R3",'CoQ Register'!$S:$S,0)),"")</f>
        <v/>
      </c>
      <c r="T67" s="243" t="inlineStr">
        <is>
          <t>Conforms</t>
        </is>
      </c>
      <c r="U67" s="243" t="inlineStr">
        <is>
          <t>Conforms</t>
        </is>
      </c>
      <c r="V67" s="243" t="inlineStr">
        <is>
          <t>Conforms</t>
        </is>
      </c>
      <c r="W67" s="243" t="inlineStr">
        <is>
          <t>227-18-K-26, (11.09.2026) [FHM-K]</t>
        </is>
      </c>
      <c r="X67" s="243" t="inlineStr">
        <is>
          <t>227-18-K-26, (11.09.2026) [FHM-K]</t>
        </is>
      </c>
      <c r="Y67" s="243" t="inlineStr">
        <is>
          <t>— pending —</t>
        </is>
      </c>
      <c r="Z67" s="243" t="inlineStr">
        <is>
          <t>#8, #9, #11, #12 from the initial testing</t>
        </is>
      </c>
      <c r="AA67" s="243" t="inlineStr">
        <is>
          <t>P050202|R3</t>
        </is>
      </c>
      <c r="AB67" s="250" t="inlineStr">
        <is>
          <t>registered — retest 3, issued 03.06.2026</t>
        </is>
      </c>
    </row>
    <row r="68">
      <c r="A68" s="243" t="n">
        <v>67</v>
      </c>
      <c r="B68" s="244" t="inlineStr">
        <is>
          <t>iCoA-PP_26-067</t>
        </is>
      </c>
      <c r="C68" s="249" t="inlineStr">
        <is>
          <t>yes</t>
        </is>
      </c>
      <c r="D68" s="245" t="n">
        <v>46176</v>
      </c>
      <c r="E68" s="245" t="n">
        <v>46153</v>
      </c>
      <c r="F68" s="245">
        <f>IFERROR(INDEX('Batch Dates'!$G:$G,MATCH(J68,'Batch Dates'!$C:$C,0)),IFERROR(INDEX('Batch Dates'!$G:$G,MATCH(I68,'Batch Dates'!$B:$B,0)),""))</f>
        <v/>
      </c>
      <c r="G68" s="243" t="inlineStr">
        <is>
          <t>legacy</t>
        </is>
      </c>
      <c r="H68" s="243" t="inlineStr">
        <is>
          <t>retest 4</t>
        </is>
      </c>
      <c r="I68" s="244" t="inlineStr">
        <is>
          <t>GP062501</t>
        </is>
      </c>
      <c r="J68" s="243" t="inlineStr">
        <is>
          <t>P050202</t>
        </is>
      </c>
      <c r="K68" s="243" t="inlineStr">
        <is>
          <t>Grape Pie</t>
        </is>
      </c>
      <c r="L68" s="243" t="inlineStr">
        <is>
          <t>Ident A + Ident B + Foreign matter</t>
        </is>
      </c>
      <c r="M68" s="248" t="inlineStr">
        <is>
          <t>—</t>
        </is>
      </c>
      <c r="N68" s="243">
        <f>IFERROR(INDEX('CoQ Register'!$B:$B,MATCH("P050202|R4",'CoQ Register'!$S:$S,0)),"—")</f>
        <v/>
      </c>
      <c r="O68" s="248" t="inlineStr">
        <is>
          <t>—</t>
        </is>
      </c>
      <c r="P68" s="243" t="inlineStr">
        <is>
          <t>11.05.2027</t>
        </is>
      </c>
      <c r="Q68" s="243" t="inlineStr">
        <is>
          <t>15.09.2025 – 17.09.2025</t>
        </is>
      </c>
      <c r="R68" s="243" t="inlineStr">
        <is>
          <t>30.10.2025 – 07.11.2025 (the issuance plan's basis: 11.05.2026)</t>
        </is>
      </c>
      <c r="S68" s="245">
        <f>IFERROR(INDEX('CoQ Register'!$D:$D,MATCH("P050202|R4",'CoQ Register'!$S:$S,0)),"")</f>
        <v/>
      </c>
      <c r="T68" s="243" t="inlineStr">
        <is>
          <t>Conforms</t>
        </is>
      </c>
      <c r="U68" s="243" t="inlineStr">
        <is>
          <t>Conforms</t>
        </is>
      </c>
      <c r="V68" s="243" t="inlineStr">
        <is>
          <t>Conforms</t>
        </is>
      </c>
      <c r="W68" s="243" t="inlineStr">
        <is>
          <t>227-18-K-26, (11.09.2026) [FHM-K]</t>
        </is>
      </c>
      <c r="X68" s="243" t="inlineStr">
        <is>
          <t>227-18-K-26, (11.09.2026) [FHM-K]</t>
        </is>
      </c>
      <c r="Y68" s="243" t="inlineStr">
        <is>
          <t>— pending —</t>
        </is>
      </c>
      <c r="Z68" s="243" t="inlineStr">
        <is>
          <t>#8, #9, #11, #12 from the initial testing</t>
        </is>
      </c>
      <c r="AA68" s="243" t="inlineStr">
        <is>
          <t>P050202|R4</t>
        </is>
      </c>
      <c r="AB68" s="250" t="inlineStr">
        <is>
          <t>registered — retest 4, issued 03.06.2026</t>
        </is>
      </c>
    </row>
    <row r="69">
      <c r="A69" s="243" t="n">
        <v>68</v>
      </c>
      <c r="B69" s="244" t="inlineStr">
        <is>
          <t>iCoA-PP_26-068</t>
        </is>
      </c>
      <c r="C69" s="249" t="inlineStr">
        <is>
          <t>yes</t>
        </is>
      </c>
      <c r="D69" s="245" t="n">
        <v>46176</v>
      </c>
      <c r="E69" s="245" t="n">
        <v>46153</v>
      </c>
      <c r="F69" s="245">
        <f>IFERROR(INDEX('Batch Dates'!$G:$G,MATCH(J69,'Batch Dates'!$C:$C,0)),IFERROR(INDEX('Batch Dates'!$G:$G,MATCH(I69,'Batch Dates'!$B:$B,0)),""))</f>
        <v/>
      </c>
      <c r="G69" s="243" t="inlineStr">
        <is>
          <t>legacy</t>
        </is>
      </c>
      <c r="H69" s="243" t="inlineStr">
        <is>
          <t>retest 3</t>
        </is>
      </c>
      <c r="I69" s="244" t="inlineStr">
        <is>
          <t>GP0824_02</t>
        </is>
      </c>
      <c r="J69" s="243" t="inlineStr">
        <is>
          <t>P050022</t>
        </is>
      </c>
      <c r="K69" s="243" t="inlineStr">
        <is>
          <t>Grape Pie</t>
        </is>
      </c>
      <c r="L69" s="243" t="inlineStr">
        <is>
          <t>Ident A + Ident B + Foreign matter</t>
        </is>
      </c>
      <c r="M69" s="248" t="inlineStr">
        <is>
          <t>—</t>
        </is>
      </c>
      <c r="N69" s="243">
        <f>IFERROR(INDEX('CoQ Register'!$B:$B,MATCH("P050022|R3",'CoQ Register'!$S:$S,0)),"—")</f>
        <v/>
      </c>
      <c r="O69" s="248" t="inlineStr">
        <is>
          <t>—</t>
        </is>
      </c>
      <c r="P69" s="243" t="inlineStr">
        <is>
          <t>03.06.2026</t>
        </is>
      </c>
      <c r="Q69" s="243" t="inlineStr">
        <is>
          <t>22.04.2025 – 23.04.2025</t>
        </is>
      </c>
      <c r="R69" s="243" t="inlineStr">
        <is>
          <t>03.06.2025 – 11.06.2025</t>
        </is>
      </c>
      <c r="S69" s="245">
        <f>IFERROR(INDEX('CoQ Register'!$D:$D,MATCH("P050022|R3",'CoQ Register'!$S:$S,0)),"")</f>
        <v/>
      </c>
      <c r="T69" s="243" t="inlineStr">
        <is>
          <t>Conforms</t>
        </is>
      </c>
      <c r="U69" s="243" t="inlineStr">
        <is>
          <t>Conforms</t>
        </is>
      </c>
      <c r="V69" s="243" t="inlineStr">
        <is>
          <t>Conforms</t>
        </is>
      </c>
      <c r="W69" s="243" t="inlineStr">
        <is>
          <t>197-11-K-26, (07.08.2026) [FHM-K]</t>
        </is>
      </c>
      <c r="X69" s="243" t="inlineStr">
        <is>
          <t>197-11-K-26, (07.08.2026) [FHM-K]</t>
        </is>
      </c>
      <c r="Y69" s="243" t="inlineStr">
        <is>
          <t>197-11-M-26, (10.08.2026) [FHM-M]</t>
        </is>
      </c>
      <c r="Z69" s="243" t="inlineStr">
        <is>
          <t>#8, #9, #11, #12 from the initial testing</t>
        </is>
      </c>
      <c r="AA69" s="243" t="inlineStr">
        <is>
          <t>P050022|R3</t>
        </is>
      </c>
      <c r="AB69" s="250" t="inlineStr">
        <is>
          <t>registered — retest 3, issued 03.06.2026</t>
        </is>
      </c>
    </row>
    <row r="70">
      <c r="A70" s="243" t="n">
        <v>69</v>
      </c>
      <c r="B70" s="244" t="inlineStr">
        <is>
          <t>iCoA-PP_26-069</t>
        </is>
      </c>
      <c r="C70" s="249" t="inlineStr">
        <is>
          <t>yes</t>
        </is>
      </c>
      <c r="D70" s="245" t="n">
        <v>46176</v>
      </c>
      <c r="E70" s="245" t="n">
        <v>46153</v>
      </c>
      <c r="F70" s="245">
        <f>IFERROR(INDEX('Batch Dates'!$G:$G,MATCH(J70,'Batch Dates'!$C:$C,0)),IFERROR(INDEX('Batch Dates'!$G:$G,MATCH(I70,'Batch Dates'!$B:$B,0)),""))</f>
        <v/>
      </c>
      <c r="G70" s="243" t="inlineStr">
        <is>
          <t>legacy</t>
        </is>
      </c>
      <c r="H70" s="243" t="inlineStr">
        <is>
          <t>retest 4</t>
        </is>
      </c>
      <c r="I70" s="244" t="inlineStr">
        <is>
          <t>GP0824_02</t>
        </is>
      </c>
      <c r="J70" s="243" t="inlineStr">
        <is>
          <t>P050022</t>
        </is>
      </c>
      <c r="K70" s="243" t="inlineStr">
        <is>
          <t>Grape Pie</t>
        </is>
      </c>
      <c r="L70" s="243" t="inlineStr">
        <is>
          <t>Ident A + Ident B + Foreign matter</t>
        </is>
      </c>
      <c r="M70" s="248" t="inlineStr">
        <is>
          <t>—</t>
        </is>
      </c>
      <c r="N70" s="243">
        <f>IFERROR(INDEX('CoQ Register'!$B:$B,MATCH("P050022|R4",'CoQ Register'!$S:$S,0)),"—")</f>
        <v/>
      </c>
      <c r="O70" s="248" t="inlineStr">
        <is>
          <t>—</t>
        </is>
      </c>
      <c r="P70" s="243" t="inlineStr">
        <is>
          <t>03.06.2026</t>
        </is>
      </c>
      <c r="Q70" s="243" t="inlineStr">
        <is>
          <t>22.04.2025 – 23.04.2025</t>
        </is>
      </c>
      <c r="R70" s="243" t="inlineStr">
        <is>
          <t>03.06.2025 – 11.06.2025</t>
        </is>
      </c>
      <c r="S70" s="245">
        <f>IFERROR(INDEX('CoQ Register'!$D:$D,MATCH("P050022|R4",'CoQ Register'!$S:$S,0)),"")</f>
        <v/>
      </c>
      <c r="T70" s="243" t="inlineStr">
        <is>
          <t>Conforms</t>
        </is>
      </c>
      <c r="U70" s="243" t="inlineStr">
        <is>
          <t>Conforms</t>
        </is>
      </c>
      <c r="V70" s="243" t="inlineStr">
        <is>
          <t>Conforms</t>
        </is>
      </c>
      <c r="W70" s="243" t="inlineStr">
        <is>
          <t>197-11-K-26, (07.08.2026) [FHM-K]</t>
        </is>
      </c>
      <c r="X70" s="243" t="inlineStr">
        <is>
          <t>197-11-K-26, (07.08.2026) [FHM-K]</t>
        </is>
      </c>
      <c r="Y70" s="243" t="inlineStr">
        <is>
          <t>197-11-M-26, (10.08.2026) [FHM-M]</t>
        </is>
      </c>
      <c r="Z70" s="243" t="inlineStr">
        <is>
          <t>#8, #9, #11, #12 from the initial testing</t>
        </is>
      </c>
      <c r="AA70" s="243" t="inlineStr">
        <is>
          <t>P050022|R4</t>
        </is>
      </c>
      <c r="AB70" s="250" t="inlineStr">
        <is>
          <t>registered — retest 4, issued 03.06.2026</t>
        </is>
      </c>
    </row>
    <row r="71">
      <c r="A71" s="243" t="n">
        <v>70</v>
      </c>
      <c r="B71" s="244" t="inlineStr">
        <is>
          <t>iCoA-PP_26-070</t>
        </is>
      </c>
      <c r="C71" s="249" t="inlineStr">
        <is>
          <t>yes</t>
        </is>
      </c>
      <c r="D71" s="245" t="n">
        <v>46176</v>
      </c>
      <c r="E71" s="245" t="n">
        <v>46153</v>
      </c>
      <c r="F71" s="245">
        <f>IFERROR(INDEX('Batch Dates'!$G:$G,MATCH(J71,'Batch Dates'!$C:$C,0)),IFERROR(INDEX('Batch Dates'!$G:$G,MATCH(I71,'Batch Dates'!$B:$B,0)),""))</f>
        <v/>
      </c>
      <c r="G71" s="243" t="inlineStr">
        <is>
          <t>legacy</t>
        </is>
      </c>
      <c r="H71" s="243" t="inlineStr">
        <is>
          <t>retest 1</t>
        </is>
      </c>
      <c r="I71" s="244" t="inlineStr">
        <is>
          <t>GP0824_03</t>
        </is>
      </c>
      <c r="J71" s="243" t="inlineStr">
        <is>
          <t>P050072</t>
        </is>
      </c>
      <c r="K71" s="243" t="inlineStr">
        <is>
          <t>Grape Pie</t>
        </is>
      </c>
      <c r="L71" s="243" t="inlineStr">
        <is>
          <t>Ident A + Ident B + Foreign matter</t>
        </is>
      </c>
      <c r="M71" s="248" t="inlineStr">
        <is>
          <t>—</t>
        </is>
      </c>
      <c r="N71" s="243">
        <f>IFERROR(INDEX('CoQ Register'!$B:$B,MATCH("P050072|R",'CoQ Register'!$S:$S,0)),"—")</f>
        <v/>
      </c>
      <c r="O71" s="248" t="inlineStr">
        <is>
          <t>—</t>
        </is>
      </c>
      <c r="P71" s="243" t="inlineStr">
        <is>
          <t>14.07.2026</t>
        </is>
      </c>
      <c r="Q71" s="243" t="inlineStr">
        <is>
          <t>09.06.2025 – 10.06.2025</t>
        </is>
      </c>
      <c r="R71" s="243" t="inlineStr">
        <is>
          <t>14.07.2025 – 17.07.2025</t>
        </is>
      </c>
      <c r="S71" s="245">
        <f>IFERROR(INDEX('CoQ Register'!$D:$D,MATCH("P050072|R",'CoQ Register'!$S:$S,0)),"")</f>
        <v/>
      </c>
      <c r="T71" s="243" t="inlineStr">
        <is>
          <t>Conforms</t>
        </is>
      </c>
      <c r="U71" s="243" t="inlineStr">
        <is>
          <t>Conforms</t>
        </is>
      </c>
      <c r="V71" s="243" t="inlineStr">
        <is>
          <t>Conforms</t>
        </is>
      </c>
      <c r="W71" s="243" t="inlineStr">
        <is>
          <t>220-11-K-26, (25.08.2026) [FHM-K]</t>
        </is>
      </c>
      <c r="X71" s="243" t="inlineStr">
        <is>
          <t>220-11-K-26, (25.08.2026) [FHM-K]</t>
        </is>
      </c>
      <c r="Y71" s="243" t="inlineStr">
        <is>
          <t>220-11-M-26, (11.09.2026) [FHM-M]</t>
        </is>
      </c>
      <c r="Z71" s="243" t="inlineStr">
        <is>
          <t>#8, #9, #11, #12 from the initial testing</t>
        </is>
      </c>
      <c r="AA71" s="243" t="inlineStr">
        <is>
          <t>P050072|R</t>
        </is>
      </c>
      <c r="AB71" s="250" t="inlineStr">
        <is>
          <t>registered — retest 1, issued 03.06.2026</t>
        </is>
      </c>
    </row>
    <row r="72">
      <c r="A72" s="243" t="n">
        <v>71</v>
      </c>
      <c r="B72" s="244" t="inlineStr">
        <is>
          <t>iCoA-PP_26-071</t>
        </is>
      </c>
      <c r="C72" s="249" t="inlineStr">
        <is>
          <t>yes</t>
        </is>
      </c>
      <c r="D72" s="245" t="n">
        <v>46176</v>
      </c>
      <c r="E72" s="245" t="n">
        <v>46153</v>
      </c>
      <c r="F72" s="245">
        <f>IFERROR(INDEX('Batch Dates'!$G:$G,MATCH(J72,'Batch Dates'!$C:$C,0)),IFERROR(INDEX('Batch Dates'!$G:$G,MATCH(I72,'Batch Dates'!$B:$B,0)),""))</f>
        <v/>
      </c>
      <c r="G72" s="243" t="inlineStr">
        <is>
          <t>legacy</t>
        </is>
      </c>
      <c r="H72" s="243" t="inlineStr">
        <is>
          <t>retest 3</t>
        </is>
      </c>
      <c r="I72" s="244" t="inlineStr">
        <is>
          <t>GP0824_03</t>
        </is>
      </c>
      <c r="J72" s="243" t="inlineStr">
        <is>
          <t>P050072</t>
        </is>
      </c>
      <c r="K72" s="243" t="inlineStr">
        <is>
          <t>Grape Pie</t>
        </is>
      </c>
      <c r="L72" s="243" t="inlineStr">
        <is>
          <t>Ident A + Ident B + Foreign matter</t>
        </is>
      </c>
      <c r="M72" s="248" t="inlineStr">
        <is>
          <t>—</t>
        </is>
      </c>
      <c r="N72" s="243">
        <f>IFERROR(INDEX('CoQ Register'!$B:$B,MATCH("P050072|R3",'CoQ Register'!$S:$S,0)),"—")</f>
        <v/>
      </c>
      <c r="O72" s="248" t="inlineStr">
        <is>
          <t>—</t>
        </is>
      </c>
      <c r="P72" s="243" t="inlineStr">
        <is>
          <t>14.07.2026</t>
        </is>
      </c>
      <c r="Q72" s="243" t="inlineStr">
        <is>
          <t>09.06.2025 – 10.06.2025</t>
        </is>
      </c>
      <c r="R72" s="243" t="inlineStr">
        <is>
          <t>14.07.2025 – 17.07.2025</t>
        </is>
      </c>
      <c r="S72" s="245">
        <f>IFERROR(INDEX('CoQ Register'!$D:$D,MATCH("P050072|R3",'CoQ Register'!$S:$S,0)),"")</f>
        <v/>
      </c>
      <c r="T72" s="243" t="inlineStr">
        <is>
          <t>Conforms</t>
        </is>
      </c>
      <c r="U72" s="243" t="inlineStr">
        <is>
          <t>Conforms</t>
        </is>
      </c>
      <c r="V72" s="243" t="inlineStr">
        <is>
          <t>Conforms</t>
        </is>
      </c>
      <c r="W72" s="243" t="inlineStr">
        <is>
          <t>220-11-K-26, (25.08.2026) [FHM-K]</t>
        </is>
      </c>
      <c r="X72" s="243" t="inlineStr">
        <is>
          <t>220-11-K-26, (25.08.2026) [FHM-K]</t>
        </is>
      </c>
      <c r="Y72" s="243" t="inlineStr">
        <is>
          <t>220-11-M-26, (11.09.2026) [FHM-M]</t>
        </is>
      </c>
      <c r="Z72" s="243" t="inlineStr">
        <is>
          <t>#8, #9, #11, #12 from the initial testing</t>
        </is>
      </c>
      <c r="AA72" s="243" t="inlineStr">
        <is>
          <t>P050072|R3</t>
        </is>
      </c>
      <c r="AB72" s="250" t="inlineStr">
        <is>
          <t>registered — retest 3,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J31122501</t>
        </is>
      </c>
      <c r="J73" s="243" t="inlineStr">
        <is>
          <t>P060262</t>
        </is>
      </c>
      <c r="K73" s="243" t="inlineStr">
        <is>
          <t>Jokerz 31</t>
        </is>
      </c>
      <c r="L73" s="243" t="inlineStr">
        <is>
          <t>Ident A + Ident B + Foreign matter</t>
        </is>
      </c>
      <c r="M73" s="248" t="inlineStr">
        <is>
          <t>—</t>
        </is>
      </c>
      <c r="N73" s="243">
        <f>IFERROR(INDEX('CoQ Register'!$B:$B,MATCH("P060262|I",'CoQ Register'!$S:$S,0)),"—")</f>
        <v/>
      </c>
      <c r="O73" s="248" t="inlineStr">
        <is>
          <t>—</t>
        </is>
      </c>
      <c r="P73" s="243" t="inlineStr">
        <is>
          <t>23.04.2026</t>
        </is>
      </c>
      <c r="Q73" s="243" t="inlineStr">
        <is>
          <t>04.03.2026</t>
        </is>
      </c>
      <c r="R73" s="243" t="inlineStr">
        <is>
          <t>14.05.2026 (the issuance plan's basis: 23.04.2026)</t>
        </is>
      </c>
      <c r="S73" s="245">
        <f>IFERROR(INDEX('CoQ Register'!$D:$D,MATCH("P060262|I",'CoQ Register'!$S:$S,0)),"")</f>
        <v/>
      </c>
      <c r="T73" s="243" t="inlineStr">
        <is>
          <t>Conforms</t>
        </is>
      </c>
      <c r="U73" s="243" t="inlineStr">
        <is>
          <t>Conforms</t>
        </is>
      </c>
      <c r="V73" s="243" t="inlineStr">
        <is>
          <t>Conforms</t>
        </is>
      </c>
      <c r="W73" s="243" t="inlineStr">
        <is>
          <t>100-2-K-26, (09.04.2026) [FHM-K]</t>
        </is>
      </c>
      <c r="X73" s="243" t="inlineStr">
        <is>
          <t>—</t>
        </is>
      </c>
      <c r="Y73" s="243" t="inlineStr">
        <is>
          <t>—</t>
        </is>
      </c>
      <c r="Z73" s="243" t="inlineStr">
        <is>
          <t>—</t>
        </is>
      </c>
      <c r="AA73" s="243" t="inlineStr">
        <is>
          <t>P060262|I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CC112501</t>
        </is>
      </c>
      <c r="J74" s="243" t="inlineStr">
        <is>
          <t>P060272</t>
        </is>
      </c>
      <c r="K74" s="243" t="inlineStr">
        <is>
          <t>Cash Cow</t>
        </is>
      </c>
      <c r="L74" s="243" t="inlineStr">
        <is>
          <t>Ident A + Ident B + Foreign matter</t>
        </is>
      </c>
      <c r="M74" s="248" t="inlineStr">
        <is>
          <t>—</t>
        </is>
      </c>
      <c r="N74" s="243">
        <f>IFERROR(INDEX('CoQ Register'!$B:$B,MATCH("P060272|I",'CoQ Register'!$S:$S,0)),"—")</f>
        <v/>
      </c>
      <c r="O74" s="248" t="inlineStr">
        <is>
          <t>—</t>
        </is>
      </c>
      <c r="P74" s="243" t="inlineStr">
        <is>
          <t>11.05.2026</t>
        </is>
      </c>
      <c r="Q74" s="243" t="inlineStr">
        <is>
          <t>25.03.2026</t>
        </is>
      </c>
      <c r="R74" s="243" t="inlineStr">
        <is>
          <t>18.05.2026 (the issuance plan's basis: 11.05.2026)</t>
        </is>
      </c>
      <c r="S74" s="245">
        <f>IFERROR(INDEX('CoQ Register'!$D:$D,MATCH("P060272|I",'CoQ Register'!$S:$S,0)),"")</f>
        <v/>
      </c>
      <c r="T74" s="243" t="inlineStr">
        <is>
          <t>Conforms</t>
        </is>
      </c>
      <c r="U74" s="243" t="inlineStr">
        <is>
          <t>Conforms</t>
        </is>
      </c>
      <c r="V74" s="243" t="inlineStr">
        <is>
          <t>Conforms</t>
        </is>
      </c>
      <c r="W74" s="243" t="inlineStr">
        <is>
          <t>ППК26068, (11.05.2026) [CNP]</t>
        </is>
      </c>
      <c r="X74" s="243" t="inlineStr">
        <is>
          <t>—</t>
        </is>
      </c>
      <c r="Y74" s="243" t="inlineStr">
        <is>
          <t>—</t>
        </is>
      </c>
      <c r="Z74" s="243" t="inlineStr">
        <is>
          <t>—</t>
        </is>
      </c>
      <c r="AA74" s="243" t="inlineStr">
        <is>
          <t>P060272|I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SCR112501</t>
        </is>
      </c>
      <c r="J75" s="243" t="inlineStr">
        <is>
          <t>P060282</t>
        </is>
      </c>
      <c r="K75" s="243" t="inlineStr">
        <is>
          <t>Scrambler</t>
        </is>
      </c>
      <c r="L75" s="243" t="inlineStr">
        <is>
          <t>Ident A + Ident B + Foreign matter</t>
        </is>
      </c>
      <c r="M75" s="248" t="inlineStr">
        <is>
          <t>—</t>
        </is>
      </c>
      <c r="N75" s="243">
        <f>IFERROR(INDEX('CoQ Register'!$B:$B,MATCH("P060282|I",'CoQ Register'!$S:$S,0)),"—")</f>
        <v/>
      </c>
      <c r="O75" s="243" t="inlineStr">
        <is>
          <t>iCoA-PP-2026-0018</t>
        </is>
      </c>
      <c r="P75" s="243" t="inlineStr">
        <is>
          <t>18.05.2026</t>
        </is>
      </c>
      <c r="Q75" s="243" t="inlineStr">
        <is>
          <t>25.03.2026</t>
        </is>
      </c>
      <c r="R75" s="243" t="inlineStr">
        <is>
          <t>18.05.2026</t>
        </is>
      </c>
      <c r="S75" s="245">
        <f>IFERROR(INDEX('CoQ Register'!$D:$D,MATCH("P060282|I",'CoQ Register'!$S:$S,0)),"")</f>
        <v/>
      </c>
      <c r="T75" s="243" t="inlineStr">
        <is>
          <t>Conforms</t>
        </is>
      </c>
      <c r="U75" s="243" t="inlineStr">
        <is>
          <t>Conforms</t>
        </is>
      </c>
      <c r="V75" s="243" t="inlineStr">
        <is>
          <t>Conforms</t>
        </is>
      </c>
      <c r="W75" s="243" t="inlineStr">
        <is>
          <t>ППК26069, (11.05.2026) [CNP]</t>
        </is>
      </c>
      <c r="X75" s="243" t="inlineStr">
        <is>
          <t>—</t>
        </is>
      </c>
      <c r="Y75" s="243" t="inlineStr">
        <is>
          <t>—</t>
        </is>
      </c>
      <c r="Z75" s="243" t="inlineStr">
        <is>
          <t>—</t>
        </is>
      </c>
      <c r="AA75" s="243" t="inlineStr">
        <is>
          <t>P060282|I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FB112501</t>
        </is>
      </c>
      <c r="J76" s="243" t="inlineStr">
        <is>
          <t>P060292</t>
        </is>
      </c>
      <c r="K76" s="243" t="inlineStr">
        <is>
          <t>Fat Bastard</t>
        </is>
      </c>
      <c r="L76" s="243" t="inlineStr">
        <is>
          <t>Ident A + Ident B + Foreign matter</t>
        </is>
      </c>
      <c r="M76" s="248" t="inlineStr">
        <is>
          <t>—</t>
        </is>
      </c>
      <c r="N76" s="243">
        <f>IFERROR(INDEX('CoQ Register'!$B:$B,MATCH("P060292|I",'CoQ Register'!$S:$S,0)),"—")</f>
        <v/>
      </c>
      <c r="O76" s="248" t="inlineStr">
        <is>
          <t>—</t>
        </is>
      </c>
      <c r="P76" s="243" t="inlineStr">
        <is>
          <t>11.05.2026</t>
        </is>
      </c>
      <c r="Q76" s="243" t="inlineStr">
        <is>
          <t>25.03.2026</t>
        </is>
      </c>
      <c r="R76" s="243" t="inlineStr">
        <is>
          <t>19.05.2026 (the issuance plan's basis: 11.05.2026)</t>
        </is>
      </c>
      <c r="S76" s="245">
        <f>IFERROR(INDEX('CoQ Register'!$D:$D,MATCH("P060292|I",'CoQ Register'!$S:$S,0)),"")</f>
        <v/>
      </c>
      <c r="T76" s="243" t="inlineStr">
        <is>
          <t>Conforms</t>
        </is>
      </c>
      <c r="U76" s="243" t="inlineStr">
        <is>
          <t>Conforms</t>
        </is>
      </c>
      <c r="V76" s="243" t="inlineStr">
        <is>
          <t>Conforms</t>
        </is>
      </c>
      <c r="W76" s="243" t="inlineStr">
        <is>
          <t>ППК26066, (11.05.2026) [CNP]</t>
        </is>
      </c>
      <c r="X76" s="243" t="inlineStr">
        <is>
          <t>—</t>
        </is>
      </c>
      <c r="Y76" s="243" t="inlineStr">
        <is>
          <t>—</t>
        </is>
      </c>
      <c r="Z76" s="243" t="inlineStr">
        <is>
          <t>—</t>
        </is>
      </c>
      <c r="AA76" s="243" t="inlineStr">
        <is>
          <t>P060292|I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GG012601＊</t>
        </is>
      </c>
      <c r="J77" s="243" t="inlineStr">
        <is>
          <t>P060302</t>
        </is>
      </c>
      <c r="K77" s="243" t="inlineStr">
        <is>
          <t>Gorilla Glue</t>
        </is>
      </c>
      <c r="L77" s="243" t="inlineStr">
        <is>
          <t>Ident A + Ident B + Foreign matter</t>
        </is>
      </c>
      <c r="M77" s="248" t="inlineStr">
        <is>
          <t>—</t>
        </is>
      </c>
      <c r="N77" s="243">
        <f>IFERROR(INDEX('CoQ Register'!$B:$B,MATCH("P060302|I",'CoQ Register'!$S:$S,0)),"—")</f>
        <v/>
      </c>
      <c r="O77" s="248" t="inlineStr">
        <is>
          <t>—</t>
        </is>
      </c>
      <c r="P77" s="243" t="inlineStr">
        <is>
          <t>11.05.2026</t>
        </is>
      </c>
      <c r="Q77" s="243" t="inlineStr">
        <is>
          <t>27.03.2026</t>
        </is>
      </c>
      <c r="R77" s="243" t="inlineStr">
        <is>
          <t>20.05.2026 (the issuance plan's basis: 11.05.2026)</t>
        </is>
      </c>
      <c r="S77" s="245">
        <f>IFERROR(INDEX('CoQ Register'!$D:$D,MATCH("P060302|I",'CoQ Register'!$S:$S,0)),"")</f>
        <v/>
      </c>
      <c r="T77" s="243" t="inlineStr">
        <is>
          <t>Conforms</t>
        </is>
      </c>
      <c r="U77" s="243" t="inlineStr">
        <is>
          <t>Conforms</t>
        </is>
      </c>
      <c r="V77" s="243" t="inlineStr">
        <is>
          <t>Conforms</t>
        </is>
      </c>
      <c r="W77" s="243" t="inlineStr">
        <is>
          <t>ППК26062, (11.05.2026) [CNP]</t>
        </is>
      </c>
      <c r="X77" s="243" t="inlineStr">
        <is>
          <t>—</t>
        </is>
      </c>
      <c r="Y77" s="243" t="inlineStr">
        <is>
          <t>—</t>
        </is>
      </c>
      <c r="Z77" s="243" t="inlineStr">
        <is>
          <t>—</t>
        </is>
      </c>
      <c r="AA77" s="243" t="inlineStr">
        <is>
          <t>P060302|I</t>
        </is>
      </c>
      <c r="AB77" s="250" t="inlineStr">
        <is>
          <t>registered — initial release, issued 03.06.2026</t>
        </is>
      </c>
    </row>
    <row r="78">
      <c r="A78" s="243" t="n">
        <v>77</v>
      </c>
      <c r="B78" s="244" t="inlineStr">
        <is>
          <t>iCoA-PP_26-077</t>
        </is>
      </c>
      <c r="C78" s="249" t="inlineStr">
        <is>
          <t>yes</t>
        </is>
      </c>
      <c r="D78" s="245">
        <f>IF(A78="","",IF(ISNUMBER(E78),MAX(DATE(2026,6,3),E78),DATE(2026,6,3)))</f>
        <v/>
      </c>
      <c r="E78" s="245">
        <f>IFERROR(INDEX('Batch Dates'!$F:$F,MATCH(J78,'Batch Dates'!$C:$C,0)),IFERROR(INDEX('Batch Dates'!$F:$F,MATCH(I78,'Batch Dates'!$B:$B,0)),""))</f>
        <v/>
      </c>
      <c r="F78" s="245">
        <f>IFERROR(INDEX('Batch Dates'!$G:$G,MATCH(J78,'Batch Dates'!$C:$C,0)),IFERROR(INDEX('Batch Dates'!$G:$G,MATCH(I78,'Batch Dates'!$B:$B,0)),""))</f>
        <v/>
      </c>
      <c r="G78" s="243" t="inlineStr">
        <is>
          <t>post-SOP</t>
        </is>
      </c>
      <c r="H78" s="243" t="inlineStr">
        <is>
          <t>initial release</t>
        </is>
      </c>
      <c r="I78" s="244" t="inlineStr">
        <is>
          <t>JD012601＊</t>
        </is>
      </c>
      <c r="J78" s="243" t="inlineStr">
        <is>
          <t>P060312</t>
        </is>
      </c>
      <c r="K78" s="243" t="inlineStr">
        <is>
          <t>Jelly Donuts</t>
        </is>
      </c>
      <c r="L78" s="243" t="inlineStr">
        <is>
          <t>Ident A + Ident B + Foreign matter</t>
        </is>
      </c>
      <c r="M78" s="248" t="inlineStr">
        <is>
          <t>—</t>
        </is>
      </c>
      <c r="N78" s="243">
        <f>IFERROR(INDEX('CoQ Register'!$B:$B,MATCH("P060312|I",'CoQ Register'!$S:$S,0)),"—")</f>
        <v/>
      </c>
      <c r="O78" s="248" t="inlineStr">
        <is>
          <t>—</t>
        </is>
      </c>
      <c r="P78" s="243" t="inlineStr">
        <is>
          <t>11.05.2026</t>
        </is>
      </c>
      <c r="Q78" s="243" t="inlineStr">
        <is>
          <t>27.03.2026</t>
        </is>
      </c>
      <c r="R78" s="243" t="inlineStr">
        <is>
          <t>21.05.2026 (the issuance plan's basis: 11.05.2026)</t>
        </is>
      </c>
      <c r="S78" s="245">
        <f>IFERROR(INDEX('CoQ Register'!$D:$D,MATCH("P060312|I",'CoQ Register'!$S:$S,0)),"")</f>
        <v/>
      </c>
      <c r="T78" s="243" t="inlineStr">
        <is>
          <t>Conforms</t>
        </is>
      </c>
      <c r="U78" s="243" t="inlineStr">
        <is>
          <t>Conforms</t>
        </is>
      </c>
      <c r="V78" s="243" t="inlineStr">
        <is>
          <t>Conforms</t>
        </is>
      </c>
      <c r="W78" s="243" t="inlineStr">
        <is>
          <t>ППК26064, (11.05.2026) [CNP]</t>
        </is>
      </c>
      <c r="X78" s="243" t="inlineStr">
        <is>
          <t>—</t>
        </is>
      </c>
      <c r="Y78" s="243" t="inlineStr">
        <is>
          <t>—</t>
        </is>
      </c>
      <c r="Z78" s="243" t="inlineStr">
        <is>
          <t>—</t>
        </is>
      </c>
      <c r="AA78" s="243" t="inlineStr">
        <is>
          <t>P060312|I</t>
        </is>
      </c>
      <c r="AB78" s="250" t="inlineStr">
        <is>
          <t>registered — initial release, issued 03.06.2026</t>
        </is>
      </c>
    </row>
    <row r="79">
      <c r="A79" s="243" t="n">
        <v>78</v>
      </c>
      <c r="B79" s="244" t="inlineStr">
        <is>
          <t>iCoA-PP_26-078</t>
        </is>
      </c>
      <c r="C79" s="249" t="inlineStr">
        <is>
          <t>yes</t>
        </is>
      </c>
      <c r="D79" s="245">
        <f>IF(A79="","",IF(ISNUMBER(E79),MAX(DATE(2026,6,3),E79),DATE(2026,6,3)))</f>
        <v/>
      </c>
      <c r="E79" s="245">
        <f>IFERROR(INDEX('Batch Dates'!$F:$F,MATCH(J79,'Batch Dates'!$C:$C,0)),IFERROR(INDEX('Batch Dates'!$F:$F,MATCH(I79,'Batch Dates'!$B:$B,0)),""))</f>
        <v/>
      </c>
      <c r="F79" s="245">
        <f>IFERROR(INDEX('Batch Dates'!$G:$G,MATCH(J79,'Batch Dates'!$C:$C,0)),IFERROR(INDEX('Batch Dates'!$G:$G,MATCH(I79,'Batch Dates'!$B:$B,0)),""))</f>
        <v/>
      </c>
      <c r="G79" s="243" t="inlineStr">
        <is>
          <t>post-SOP</t>
        </is>
      </c>
      <c r="H79" s="243" t="inlineStr">
        <is>
          <t>initial release</t>
        </is>
      </c>
      <c r="I79" s="244" t="inlineStr">
        <is>
          <t>FB012601_1</t>
        </is>
      </c>
      <c r="J79" s="243" t="inlineStr">
        <is>
          <t>P060322</t>
        </is>
      </c>
      <c r="K79" s="243" t="inlineStr">
        <is>
          <t>Fat Bastard</t>
        </is>
      </c>
      <c r="L79" s="243" t="inlineStr">
        <is>
          <t>Ident A + Ident B + Foreign matter</t>
        </is>
      </c>
      <c r="M79" s="248" t="inlineStr">
        <is>
          <t>—</t>
        </is>
      </c>
      <c r="N79" s="243">
        <f>IFERROR(INDEX('CoQ Register'!$B:$B,MATCH("P060322|I",'CoQ Register'!$S:$S,0)),"—")</f>
        <v/>
      </c>
      <c r="O79" s="243" t="inlineStr">
        <is>
          <t>iCoA-PP-2026-0019</t>
        </is>
      </c>
      <c r="P79" s="243" t="inlineStr">
        <is>
          <t>22.05.2026</t>
        </is>
      </c>
      <c r="Q79" s="243" t="inlineStr">
        <is>
          <t>27.03.2026</t>
        </is>
      </c>
      <c r="R79" s="243" t="inlineStr">
        <is>
          <t>22.05.2026</t>
        </is>
      </c>
      <c r="S79" s="245">
        <f>IFERROR(INDEX('CoQ Register'!$D:$D,MATCH("P060322|I",'CoQ Register'!$S:$S,0)),"")</f>
        <v/>
      </c>
      <c r="T79" s="243" t="inlineStr">
        <is>
          <t>Conforms</t>
        </is>
      </c>
      <c r="U79" s="243" t="inlineStr">
        <is>
          <t>Conforms</t>
        </is>
      </c>
      <c r="V79" s="243" t="inlineStr">
        <is>
          <t>Conforms</t>
        </is>
      </c>
      <c r="W79" s="243" t="inlineStr">
        <is>
          <t>ППК26067, (11.05.2026) [CNP]</t>
        </is>
      </c>
      <c r="X79" s="243" t="inlineStr">
        <is>
          <t>—</t>
        </is>
      </c>
      <c r="Y79" s="243" t="inlineStr">
        <is>
          <t>—</t>
        </is>
      </c>
      <c r="Z79" s="243" t="inlineStr">
        <is>
          <t>—</t>
        </is>
      </c>
      <c r="AA79" s="243" t="inlineStr">
        <is>
          <t>P060322|I</t>
        </is>
      </c>
      <c r="AB79" s="250" t="inlineStr">
        <is>
          <t>registered — initial release, issued 03.06.2026</t>
        </is>
      </c>
    </row>
    <row r="80">
      <c r="A80" s="243" t="n">
        <v>79</v>
      </c>
      <c r="B80" s="244" t="inlineStr">
        <is>
          <t>iCoA-PP_26-079</t>
        </is>
      </c>
      <c r="C80" s="249" t="inlineStr">
        <is>
          <t>yes</t>
        </is>
      </c>
      <c r="D80" s="245">
        <f>IF(A80="","",IF(ISNUMBER(E80),MAX(DATE(2026,6,3),E80),DATE(2026,6,3)))</f>
        <v/>
      </c>
      <c r="E80" s="245">
        <f>IFERROR(INDEX('Batch Dates'!$F:$F,MATCH(J80,'Batch Dates'!$C:$C,0)),IFERROR(INDEX('Batch Dates'!$F:$F,MATCH(I80,'Batch Dates'!$B:$B,0)),""))</f>
        <v/>
      </c>
      <c r="F80" s="245">
        <f>IFERROR(INDEX('Batch Dates'!$G:$G,MATCH(J80,'Batch Dates'!$C:$C,0)),IFERROR(INDEX('Batch Dates'!$G:$G,MATCH(I80,'Batch Dates'!$B:$B,0)),""))</f>
        <v/>
      </c>
      <c r="G80" s="243" t="inlineStr">
        <is>
          <t>post-SOP</t>
        </is>
      </c>
      <c r="H80" s="243" t="inlineStr">
        <is>
          <t>initial release</t>
        </is>
      </c>
      <c r="I80" s="244" t="inlineStr">
        <is>
          <t>CC012601/1</t>
        </is>
      </c>
      <c r="J80" s="243" t="inlineStr">
        <is>
          <t>P060332</t>
        </is>
      </c>
      <c r="K80" s="243" t="inlineStr">
        <is>
          <t>Cash Cow</t>
        </is>
      </c>
      <c r="L80" s="243" t="inlineStr">
        <is>
          <t>Ident A + Ident B + Foreign matter</t>
        </is>
      </c>
      <c r="M80" s="248" t="inlineStr">
        <is>
          <t>—</t>
        </is>
      </c>
      <c r="N80" s="243">
        <f>IFERROR(INDEX('CoQ Register'!$B:$B,MATCH("P060332|I",'CoQ Register'!$S:$S,0)),"—")</f>
        <v/>
      </c>
      <c r="O80" s="248" t="inlineStr">
        <is>
          <t>—</t>
        </is>
      </c>
      <c r="P80" s="243" t="inlineStr">
        <is>
          <t>10.08.2026</t>
        </is>
      </c>
      <c r="Q80" s="243" t="inlineStr">
        <is>
          <t>16.04.2026</t>
        </is>
      </c>
      <c r="R80" s="243" t="inlineStr">
        <is>
          <t>22.05.2026 (the issuance plan's basis: 10.08.2026)</t>
        </is>
      </c>
      <c r="S80" s="245">
        <f>IFERROR(INDEX('CoQ Register'!$D:$D,MATCH("P060332|I",'CoQ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P060332|I</t>
        </is>
      </c>
      <c r="AB80" s="250" t="inlineStr">
        <is>
          <t>registered — initial release, issued 03.06.2026</t>
        </is>
      </c>
    </row>
    <row r="81">
      <c r="A81" s="243" t="n">
        <v>80</v>
      </c>
      <c r="B81" s="244" t="inlineStr">
        <is>
          <t>iCoA-PP_26-080</t>
        </is>
      </c>
      <c r="C81" s="249" t="inlineStr">
        <is>
          <t>yes</t>
        </is>
      </c>
      <c r="D81" s="245">
        <f>IF(A81="","",IF(ISNUMBER(E81),MAX(DATE(2026,6,3),E81),DATE(2026,6,3)))</f>
        <v/>
      </c>
      <c r="E81" s="245">
        <f>IFERROR(INDEX('Batch Dates'!$F:$F,MATCH(J81,'Batch Dates'!$C:$C,0)),IFERROR(INDEX('Batch Dates'!$F:$F,MATCH(I81,'Batch Dates'!$B:$B,0)),""))</f>
        <v/>
      </c>
      <c r="F81" s="245">
        <f>IFERROR(INDEX('Batch Dates'!$G:$G,MATCH(J81,'Batch Dates'!$C:$C,0)),IFERROR(INDEX('Batch Dates'!$G:$G,MATCH(I81,'Batch Dates'!$B:$B,0)),""))</f>
        <v/>
      </c>
      <c r="G81" s="243" t="inlineStr">
        <is>
          <t>post-SOP</t>
        </is>
      </c>
      <c r="H81" s="243" t="inlineStr">
        <is>
          <t>initial release</t>
        </is>
      </c>
      <c r="I81" s="244" t="inlineStr">
        <is>
          <t>FB012603V</t>
        </is>
      </c>
      <c r="J81" s="243" t="inlineStr">
        <is>
          <t>P060392</t>
        </is>
      </c>
      <c r="K81" s="243" t="inlineStr">
        <is>
          <t>Fat Bastard</t>
        </is>
      </c>
      <c r="L81" s="243" t="inlineStr">
        <is>
          <t>Ident A + Ident B + Foreign matter</t>
        </is>
      </c>
      <c r="M81" s="243" t="inlineStr">
        <is>
          <t>A: ППК26110 / B: ППК26110 / FM: ППК26110</t>
        </is>
      </c>
      <c r="N81" s="243">
        <f>IFERROR(INDEX('CoQ Register'!$B:$B,MATCH("P060392|I",'CoQ Register'!$S:$S,0)),"—")</f>
        <v/>
      </c>
      <c r="O81" s="248" t="inlineStr">
        <is>
          <t>—</t>
        </is>
      </c>
      <c r="P81" s="243" t="inlineStr">
        <is>
          <t>30.06.2026</t>
        </is>
      </c>
      <c r="Q81" s="243" t="inlineStr">
        <is>
          <t>29.04.2026</t>
        </is>
      </c>
      <c r="R81" s="243" t="inlineStr">
        <is>
          <t>23.05.2026 (the issuance plan's basis: 30.06.2026)</t>
        </is>
      </c>
      <c r="S81" s="245">
        <f>IFERROR(INDEX('CoQ Register'!$D:$D,MATCH("P060392|I",'CoQ Register'!$S:$S,0)),"")</f>
        <v/>
      </c>
      <c r="T81" s="243" t="inlineStr">
        <is>
          <t>CNP ППК26110</t>
        </is>
      </c>
      <c r="U81" s="243" t="inlineStr">
        <is>
          <t>CNP ППК26110</t>
        </is>
      </c>
      <c r="V81" s="243" t="inlineStr">
        <is>
          <t>CNP ППК26110</t>
        </is>
      </c>
      <c r="W81" s="243" t="inlineStr">
        <is>
          <t>ППК26110, (30.06.2026) [CNP]</t>
        </is>
      </c>
      <c r="X81" s="243" t="inlineStr">
        <is>
          <t>—</t>
        </is>
      </c>
      <c r="Y81" s="243" t="inlineStr">
        <is>
          <t>—</t>
        </is>
      </c>
      <c r="Z81" s="243" t="inlineStr">
        <is>
          <t>—</t>
        </is>
      </c>
      <c r="AA81" s="243" t="inlineStr">
        <is>
          <t>P060392|I</t>
        </is>
      </c>
      <c r="AB81" s="250" t="inlineStr">
        <is>
          <t>registered — initial release, issued 03.06.2026</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JD012603</t>
        </is>
      </c>
      <c r="J82" s="243" t="inlineStr">
        <is>
          <t>P060422</t>
        </is>
      </c>
      <c r="K82" s="243" t="inlineStr">
        <is>
          <t>Jelly Donuts</t>
        </is>
      </c>
      <c r="L82" s="243" t="inlineStr">
        <is>
          <t>Ident A + Ident B + Foreign matter</t>
        </is>
      </c>
      <c r="M82" s="243" t="inlineStr">
        <is>
          <t>A: ППК26111 / B: ППК26111 / FM: ППК26111</t>
        </is>
      </c>
      <c r="N82" s="243">
        <f>IFERROR(INDEX('CoQ Register'!$B:$B,MATCH("P060422|I",'CoQ Register'!$S:$S,0)),"—")</f>
        <v/>
      </c>
      <c r="O82" s="243" t="inlineStr">
        <is>
          <t>iCoA-PP-2026-0022</t>
        </is>
      </c>
      <c r="P82" s="243" t="inlineStr">
        <is>
          <t>23.05.2026</t>
        </is>
      </c>
      <c r="Q82" s="243" t="inlineStr">
        <is>
          <t>29.04.2026</t>
        </is>
      </c>
      <c r="R82" s="243" t="inlineStr">
        <is>
          <t>23.05.2026</t>
        </is>
      </c>
      <c r="S82" s="245">
        <f>IFERROR(INDEX('CoQ Register'!$D:$D,MATCH("P060422|I",'CoQ Register'!$S:$S,0)),"")</f>
        <v/>
      </c>
      <c r="T82" s="243" t="inlineStr">
        <is>
          <t>CNP ППК26111</t>
        </is>
      </c>
      <c r="U82" s="243" t="inlineStr">
        <is>
          <t>CNP ППК26111</t>
        </is>
      </c>
      <c r="V82" s="243" t="inlineStr">
        <is>
          <t>CNP ППК26111</t>
        </is>
      </c>
      <c r="W82" s="243" t="inlineStr">
        <is>
          <t>ППК26111, (30.06.2026) [CNP]</t>
        </is>
      </c>
      <c r="X82" s="243" t="inlineStr">
        <is>
          <t>—</t>
        </is>
      </c>
      <c r="Y82" s="243" t="inlineStr">
        <is>
          <t>—</t>
        </is>
      </c>
      <c r="Z82" s="243" t="inlineStr">
        <is>
          <t>—</t>
        </is>
      </c>
      <c r="AA82" s="243" t="inlineStr">
        <is>
          <t>P060422|I</t>
        </is>
      </c>
      <c r="AB82" s="250" t="inlineStr">
        <is>
          <t>registered — initial release, issued 03.06.2026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JD012603</t>
        </is>
      </c>
      <c r="J83" s="243" t="inlineStr">
        <is>
          <t>P060362</t>
        </is>
      </c>
      <c r="K83" s="243" t="inlineStr">
        <is>
          <t>Jelly Donuts</t>
        </is>
      </c>
      <c r="L83" s="243" t="inlineStr">
        <is>
          <t>Ident A + Ident B + Foreign matter</t>
        </is>
      </c>
      <c r="M83" s="243" t="inlineStr">
        <is>
          <t>A: ППК26111 / B: ППК26111 / FM: ППК26111</t>
        </is>
      </c>
      <c r="N83" s="243">
        <f>IFERROR(INDEX('CoQ Register'!$B:$B,MATCH("P060362|I",'CoQ Register'!$S:$S,0)),"—")</f>
        <v/>
      </c>
      <c r="O83" s="243" t="inlineStr">
        <is>
          <t>iCoA-PP-2026-0020</t>
        </is>
      </c>
      <c r="P83" s="243" t="inlineStr">
        <is>
          <t>23.05.2026</t>
        </is>
      </c>
      <c r="Q83" s="243" t="inlineStr">
        <is>
          <t>22.04.2026</t>
        </is>
      </c>
      <c r="R83" s="243" t="inlineStr">
        <is>
          <t>23.05.2026</t>
        </is>
      </c>
      <c r="S83" s="245">
        <f>IFERROR(INDEX('CoQ Register'!$D:$D,MATCH("P060362|I",'CoQ Register'!$S:$S,0)),"")</f>
        <v/>
      </c>
      <c r="T83" s="243" t="inlineStr">
        <is>
          <t>CNP ППК26111</t>
        </is>
      </c>
      <c r="U83" s="243" t="inlineStr">
        <is>
          <t>CNP ППК26111</t>
        </is>
      </c>
      <c r="V83" s="243" t="inlineStr">
        <is>
          <t>CNP ППК26111</t>
        </is>
      </c>
      <c r="W83" s="243" t="inlineStr">
        <is>
          <t>— no cannabinoid certificate from the initial testing —</t>
        </is>
      </c>
      <c r="X83" s="243" t="inlineStr">
        <is>
          <t>—</t>
        </is>
      </c>
      <c r="Y83" s="243" t="inlineStr">
        <is>
          <t>—</t>
        </is>
      </c>
      <c r="Z83" s="243" t="inlineStr">
        <is>
          <t>—</t>
        </is>
      </c>
      <c r="AA83" s="243" t="inlineStr">
        <is>
          <t>P060362|I</t>
        </is>
      </c>
      <c r="AB83" s="250" t="inlineStr">
        <is>
          <t>registered — initial release, issued 03.06.2026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FB012602*</t>
        </is>
      </c>
      <c r="J84" s="243" t="inlineStr">
        <is>
          <t>P060352</t>
        </is>
      </c>
      <c r="K84" s="243" t="inlineStr">
        <is>
          <t>Fat Bastard</t>
        </is>
      </c>
      <c r="L84" s="243" t="inlineStr">
        <is>
          <t>Ident A + Ident B + Foreign matter</t>
        </is>
      </c>
      <c r="M84" s="248" t="inlineStr">
        <is>
          <t>—</t>
        </is>
      </c>
      <c r="N84" s="243">
        <f>IFERROR(INDEX('CoQ Register'!$B:$B,MATCH("P060352|I",'CoQ Register'!$S:$S,0)),"—")</f>
        <v/>
      </c>
      <c r="O84" s="243" t="inlineStr">
        <is>
          <t>iCoA-PP-2026-0021</t>
        </is>
      </c>
      <c r="P84" s="243" t="inlineStr">
        <is>
          <t>23.05.2026</t>
        </is>
      </c>
      <c r="Q84" s="243" t="inlineStr">
        <is>
          <t>16.04.2026</t>
        </is>
      </c>
      <c r="R84" s="243" t="inlineStr">
        <is>
          <t>23.05.2026</t>
        </is>
      </c>
      <c r="S84" s="245">
        <f>IFERROR(INDEX('CoQ Register'!$D:$D,MATCH("P060352|I",'CoQ Register'!$S:$S,0)),"")</f>
        <v/>
      </c>
      <c r="T84" s="243" t="inlineStr">
        <is>
          <t>Conforms</t>
        </is>
      </c>
      <c r="U84" s="243" t="inlineStr">
        <is>
          <t>Conforms</t>
        </is>
      </c>
      <c r="V84" s="243" t="inlineStr">
        <is>
          <t>Conforms</t>
        </is>
      </c>
      <c r="W84" s="243" t="inlineStr">
        <is>
          <t>— no cannabinoid certificate from the initial testing —</t>
        </is>
      </c>
      <c r="X84" s="243" t="inlineStr">
        <is>
          <t>—</t>
        </is>
      </c>
      <c r="Y84" s="243" t="inlineStr">
        <is>
          <t>—</t>
        </is>
      </c>
      <c r="Z84" s="243" t="inlineStr">
        <is>
          <t>—</t>
        </is>
      </c>
      <c r="AA84" s="243" t="inlineStr">
        <is>
          <t>P060352|I</t>
        </is>
      </c>
      <c r="AB84" s="250" t="inlineStr">
        <is>
          <t>registered — initial release, issued 03.06.2026</t>
        </is>
      </c>
    </row>
    <row r="85">
      <c r="A85" s="243" t="n">
        <v>84</v>
      </c>
      <c r="B85" s="244" t="inlineStr">
        <is>
          <t>iCoA-PP_26-084</t>
        </is>
      </c>
      <c r="C85" s="249" t="inlineStr">
        <is>
          <t>yes</t>
        </is>
      </c>
      <c r="D85" s="245">
        <f>IF(A85="","",IF(ISNUMBER(E85),MAX(DATE(2026,6,3),E85),DATE(2026,6,3)))</f>
        <v/>
      </c>
      <c r="E85" s="245">
        <f>IFERROR(INDEX('Batch Dates'!$F:$F,MATCH(J85,'Batch Dates'!$C:$C,0)),IFERROR(INDEX('Batch Dates'!$F:$F,MATCH(I85,'Batch Dates'!$B:$B,0)),""))</f>
        <v/>
      </c>
      <c r="F85" s="245">
        <f>IFERROR(INDEX('Batch Dates'!$G:$G,MATCH(J85,'Batch Dates'!$C:$C,0)),IFERROR(INDEX('Batch Dates'!$G:$G,MATCH(I85,'Batch Dates'!$B:$B,0)),""))</f>
        <v/>
      </c>
      <c r="G85" s="243" t="inlineStr">
        <is>
          <t>post-SOP</t>
        </is>
      </c>
      <c r="H85" s="243" t="inlineStr">
        <is>
          <t>initial release</t>
        </is>
      </c>
      <c r="I85" s="244" t="inlineStr">
        <is>
          <t>CC012603</t>
        </is>
      </c>
      <c r="J85" s="243" t="inlineStr">
        <is>
          <t>P060372</t>
        </is>
      </c>
      <c r="K85" s="243" t="inlineStr">
        <is>
          <t>Cash Cow</t>
        </is>
      </c>
      <c r="L85" s="243" t="inlineStr">
        <is>
          <t>Ident A + Ident B + Foreign matter</t>
        </is>
      </c>
      <c r="M85" s="248" t="inlineStr">
        <is>
          <t>—</t>
        </is>
      </c>
      <c r="N85" s="243">
        <f>IFERROR(INDEX('CoQ Register'!$B:$B,MATCH("P060372|I",'CoQ Register'!$S:$S,0)),"—")</f>
        <v/>
      </c>
      <c r="O85" s="243" t="inlineStr">
        <is>
          <t>iCoA-PP-2026-0024</t>
        </is>
      </c>
      <c r="P85" s="243" t="inlineStr">
        <is>
          <t>24.05.2026</t>
        </is>
      </c>
      <c r="Q85" s="243" t="inlineStr">
        <is>
          <t>22.04.2026</t>
        </is>
      </c>
      <c r="R85" s="243" t="inlineStr">
        <is>
          <t>24.05.2026</t>
        </is>
      </c>
      <c r="S85" s="245">
        <f>IFERROR(INDEX('CoQ Register'!$D:$D,MATCH("P060372|I",'CoQ Register'!$S:$S,0)),"")</f>
        <v/>
      </c>
      <c r="T85" s="243" t="inlineStr">
        <is>
          <t>Conforms</t>
        </is>
      </c>
      <c r="U85" s="243" t="inlineStr">
        <is>
          <t>Conforms</t>
        </is>
      </c>
      <c r="V85" s="243" t="inlineStr">
        <is>
          <t>Conforms</t>
        </is>
      </c>
      <c r="W85" s="243" t="inlineStr">
        <is>
          <t>— no cannabinoid certificate from the initial testing —</t>
        </is>
      </c>
      <c r="X85" s="243" t="inlineStr">
        <is>
          <t>—</t>
        </is>
      </c>
      <c r="Y85" s="243" t="inlineStr">
        <is>
          <t>—</t>
        </is>
      </c>
      <c r="Z85" s="243" t="inlineStr">
        <is>
          <t>—</t>
        </is>
      </c>
      <c r="AA85" s="243" t="inlineStr">
        <is>
          <t>P060372|I</t>
        </is>
      </c>
      <c r="AB85" s="250" t="inlineStr">
        <is>
          <t>registered — initial release, issued 03.06.2026</t>
        </is>
      </c>
    </row>
    <row r="86">
      <c r="A86" s="243" t="n">
        <v>85</v>
      </c>
      <c r="B86" s="244" t="inlineStr">
        <is>
          <t>iCoA-PP_26-085</t>
        </is>
      </c>
      <c r="C86" s="249" t="inlineStr">
        <is>
          <t>yes</t>
        </is>
      </c>
      <c r="D86" s="245">
        <f>IF(A86="","",IF(ISNUMBER(E86),MAX(DATE(2026,6,3),E86),DATE(2026,6,3)))</f>
        <v/>
      </c>
      <c r="E86" s="245">
        <f>IFERROR(INDEX('Batch Dates'!$F:$F,MATCH(J86,'Batch Dates'!$C:$C,0)),IFERROR(INDEX('Batch Dates'!$F:$F,MATCH(I86,'Batch Dates'!$B:$B,0)),""))</f>
        <v/>
      </c>
      <c r="F86" s="245">
        <f>IFERROR(INDEX('Batch Dates'!$G:$G,MATCH(J86,'Batch Dates'!$C:$C,0)),IFERROR(INDEX('Batch Dates'!$G:$G,MATCH(I86,'Batch Dates'!$B:$B,0)),""))</f>
        <v/>
      </c>
      <c r="G86" s="243" t="inlineStr">
        <is>
          <t>post-SOP</t>
        </is>
      </c>
      <c r="H86" s="243" t="inlineStr">
        <is>
          <t>initial release</t>
        </is>
      </c>
      <c r="I86" s="244" t="inlineStr">
        <is>
          <t>GG012603</t>
        </is>
      </c>
      <c r="J86" s="243" t="inlineStr">
        <is>
          <t>P060402</t>
        </is>
      </c>
      <c r="K86" s="243" t="inlineStr">
        <is>
          <t>Gorilla Glue</t>
        </is>
      </c>
      <c r="L86" s="243" t="inlineStr">
        <is>
          <t>Ident A + Ident B + Foreign matter</t>
        </is>
      </c>
      <c r="M86" s="243" t="inlineStr">
        <is>
          <t>A: ППК26114 / B: ППК26114 / FM: ППК26114</t>
        </is>
      </c>
      <c r="N86" s="243">
        <f>IFERROR(INDEX('CoQ Register'!$B:$B,MATCH("P060402|I",'CoQ Register'!$S:$S,0)),"—")</f>
        <v/>
      </c>
      <c r="O86" s="243" t="inlineStr">
        <is>
          <t>iCoA-PP-2026-0023</t>
        </is>
      </c>
      <c r="P86" s="243" t="inlineStr">
        <is>
          <t>24.05.2026</t>
        </is>
      </c>
      <c r="Q86" s="243" t="inlineStr">
        <is>
          <t>04.05.2026</t>
        </is>
      </c>
      <c r="R86" s="243" t="inlineStr">
        <is>
          <t>24.05.2026</t>
        </is>
      </c>
      <c r="S86" s="245">
        <f>IFERROR(INDEX('CoQ Register'!$D:$D,MATCH("P060402|I",'CoQ Register'!$S:$S,0)),"")</f>
        <v/>
      </c>
      <c r="T86" s="243" t="inlineStr">
        <is>
          <t>CNP ППК26114</t>
        </is>
      </c>
      <c r="U86" s="243" t="inlineStr">
        <is>
          <t>CNP ППК26114</t>
        </is>
      </c>
      <c r="V86" s="243" t="inlineStr">
        <is>
          <t>CNP ППК26114</t>
        </is>
      </c>
      <c r="W86" s="243" t="inlineStr">
        <is>
          <t>ППК26114, (30.06.2026) [CNP]</t>
        </is>
      </c>
      <c r="X86" s="243" t="inlineStr">
        <is>
          <t>—</t>
        </is>
      </c>
      <c r="Y86" s="243" t="inlineStr">
        <is>
          <t>—</t>
        </is>
      </c>
      <c r="Z86" s="243" t="inlineStr">
        <is>
          <t>—</t>
        </is>
      </c>
      <c r="AA86" s="243" t="inlineStr">
        <is>
          <t>P060402|I</t>
        </is>
      </c>
      <c r="AB86" s="250" t="inlineStr">
        <is>
          <t>registered — initial release, issued 03.06.2026</t>
        </is>
      </c>
    </row>
    <row r="87">
      <c r="A87" s="243" t="n">
        <v>86</v>
      </c>
      <c r="B87" s="244" t="inlineStr">
        <is>
          <t>iCoA-PP_26-086</t>
        </is>
      </c>
      <c r="C87" s="249" t="inlineStr">
        <is>
          <t>yes</t>
        </is>
      </c>
      <c r="D87" s="245">
        <f>IF(A87="","",IF(ISNUMBER(E87),MAX(DATE(2026,6,3),E87),DATE(2026,6,3)))</f>
        <v/>
      </c>
      <c r="E87" s="245">
        <f>IFERROR(INDEX('Batch Dates'!$F:$F,MATCH(J87,'Batch Dates'!$C:$C,0)),IFERROR(INDEX('Batch Dates'!$F:$F,MATCH(I87,'Batch Dates'!$B:$B,0)),""))</f>
        <v/>
      </c>
      <c r="F87" s="245">
        <f>IFERROR(INDEX('Batch Dates'!$G:$G,MATCH(J87,'Batch Dates'!$C:$C,0)),IFERROR(INDEX('Batch Dates'!$G:$G,MATCH(I87,'Batch Dates'!$B:$B,0)),""))</f>
        <v/>
      </c>
      <c r="G87" s="243" t="inlineStr">
        <is>
          <t>post-SOP</t>
        </is>
      </c>
      <c r="H87" s="243" t="inlineStr">
        <is>
          <t>initial release</t>
        </is>
      </c>
      <c r="I87" s="244" t="inlineStr">
        <is>
          <t>JD012603</t>
        </is>
      </c>
      <c r="J87" s="243" t="inlineStr">
        <is>
          <t>P060412</t>
        </is>
      </c>
      <c r="K87" s="243" t="inlineStr">
        <is>
          <t>Jelly Donuts</t>
        </is>
      </c>
      <c r="L87" s="243" t="inlineStr">
        <is>
          <t>Ident A + Ident B + Foreign matter</t>
        </is>
      </c>
      <c r="M87" s="243" t="inlineStr">
        <is>
          <t>A: ППК26111 / B: ППК26111 / FM: ППК26111</t>
        </is>
      </c>
      <c r="N87" s="243">
        <f>IFERROR(INDEX('CoQ Register'!$B:$B,MATCH("P060412|I",'CoQ Register'!$S:$S,0)),"—")</f>
        <v/>
      </c>
      <c r="O87" s="243" t="inlineStr">
        <is>
          <t>iCoA-PP-2026-0025</t>
        </is>
      </c>
      <c r="P87" s="243" t="inlineStr">
        <is>
          <t>24.05.2026</t>
        </is>
      </c>
      <c r="Q87" s="243" t="inlineStr">
        <is>
          <t>04.05.2026</t>
        </is>
      </c>
      <c r="R87" s="243" t="inlineStr">
        <is>
          <t>24.05.2026</t>
        </is>
      </c>
      <c r="S87" s="245">
        <f>IFERROR(INDEX('CoQ Register'!$D:$D,MATCH("P060412|I",'CoQ Register'!$S:$S,0)),"")</f>
        <v/>
      </c>
      <c r="T87" s="243" t="inlineStr">
        <is>
          <t>CNP ППК26111</t>
        </is>
      </c>
      <c r="U87" s="243" t="inlineStr">
        <is>
          <t>CNP ППК26111</t>
        </is>
      </c>
      <c r="V87" s="243" t="inlineStr">
        <is>
          <t>CNP ППК26111</t>
        </is>
      </c>
      <c r="W87" s="243" t="inlineStr">
        <is>
          <t>ППК26113, (30.06.2026) [CNP]</t>
        </is>
      </c>
      <c r="X87" s="243" t="inlineStr">
        <is>
          <t>—</t>
        </is>
      </c>
      <c r="Y87" s="243" t="inlineStr">
        <is>
          <t>—</t>
        </is>
      </c>
      <c r="Z87" s="243" t="inlineStr">
        <is>
          <t>—</t>
        </is>
      </c>
      <c r="AA87" s="243" t="inlineStr">
        <is>
          <t>P060412|I</t>
        </is>
      </c>
      <c r="AB87" s="250" t="inlineStr">
        <is>
          <t>registered — initial release, issued 03.06.2026</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SCR012603</t>
        </is>
      </c>
      <c r="J88" s="243" t="inlineStr">
        <is>
          <t>P060382</t>
        </is>
      </c>
      <c r="K88" s="243" t="inlineStr">
        <is>
          <t>Scrambler</t>
        </is>
      </c>
      <c r="L88" s="243" t="inlineStr">
        <is>
          <t>Ident A + Ident B + Foreign matter</t>
        </is>
      </c>
      <c r="M88" s="248" t="inlineStr">
        <is>
          <t>—</t>
        </is>
      </c>
      <c r="N88" s="243">
        <f>IFERROR(INDEX('CoQ Register'!$B:$B,MATCH("P060382|I",'CoQ Register'!$S:$S,0)),"—")</f>
        <v/>
      </c>
      <c r="O88" s="243" t="inlineStr">
        <is>
          <t>iCoA-PP-2026-0026</t>
        </is>
      </c>
      <c r="P88" s="243" t="inlineStr">
        <is>
          <t>25.05.2026</t>
        </is>
      </c>
      <c r="Q88" s="243" t="inlineStr">
        <is>
          <t>22.04.2026</t>
        </is>
      </c>
      <c r="R88" s="243" t="inlineStr">
        <is>
          <t>25.05.2026</t>
        </is>
      </c>
      <c r="S88" s="245">
        <f>IFERROR(INDEX('CoQ Register'!$D:$D,MATCH("P060382|I",'CoQ Register'!$S:$S,0)),"")</f>
        <v/>
      </c>
      <c r="T88" s="243" t="inlineStr">
        <is>
          <t>Conforms</t>
        </is>
      </c>
      <c r="U88" s="243" t="inlineStr">
        <is>
          <t>Conforms</t>
        </is>
      </c>
      <c r="V88" s="243" t="inlineStr">
        <is>
          <t>Conforms</t>
        </is>
      </c>
      <c r="W88" s="243" t="inlineStr">
        <is>
          <t>— no cannabinoid certificate from the initial testing —</t>
        </is>
      </c>
      <c r="X88" s="243" t="inlineStr">
        <is>
          <t>—</t>
        </is>
      </c>
      <c r="Y88" s="243" t="inlineStr">
        <is>
          <t>—</t>
        </is>
      </c>
      <c r="Z88" s="243" t="inlineStr">
        <is>
          <t>—</t>
        </is>
      </c>
      <c r="AA88" s="243" t="inlineStr">
        <is>
          <t>P060382|I</t>
        </is>
      </c>
      <c r="AB88" s="250" t="inlineStr">
        <is>
          <t>registered — initial release, issued 03.06.2026</t>
        </is>
      </c>
    </row>
    <row r="89">
      <c r="A89" s="243" t="n">
        <v>88</v>
      </c>
      <c r="B89" s="244" t="inlineStr">
        <is>
          <t>iCoA-PP_26-088</t>
        </is>
      </c>
      <c r="C89" s="249" t="inlineStr">
        <is>
          <t>yes</t>
        </is>
      </c>
      <c r="D89" s="245">
        <f>IF(A89="","",IF(ISNUMBER(E89),MAX(DATE(2026,6,3),E89),DATE(2026,6,3)))</f>
        <v/>
      </c>
      <c r="E89" s="245">
        <f>IFERROR(INDEX('Batch Dates'!$F:$F,MATCH(J89,'Batch Dates'!$C:$C,0)),IFERROR(INDEX('Batch Dates'!$F:$F,MATCH(I89,'Batch Dates'!$B:$B,0)),""))</f>
        <v/>
      </c>
      <c r="F89" s="245">
        <f>IFERROR(INDEX('Batch Dates'!$G:$G,MATCH(J89,'Batch Dates'!$C:$C,0)),IFERROR(INDEX('Batch Dates'!$G:$G,MATCH(I89,'Batch Dates'!$B:$B,0)),""))</f>
        <v/>
      </c>
      <c r="G89" s="243" t="inlineStr">
        <is>
          <t>post-SOP</t>
        </is>
      </c>
      <c r="H89" s="243" t="inlineStr">
        <is>
          <t>initial release</t>
        </is>
      </c>
      <c r="I89" s="244" t="inlineStr">
        <is>
          <t>SCR012601*</t>
        </is>
      </c>
      <c r="J89" s="243" t="inlineStr">
        <is>
          <t>P060342</t>
        </is>
      </c>
      <c r="K89" s="243" t="inlineStr">
        <is>
          <t>Scrambler</t>
        </is>
      </c>
      <c r="L89" s="243" t="inlineStr">
        <is>
          <t>Ident A + Ident B + Foreign matter</t>
        </is>
      </c>
      <c r="M89" s="248" t="inlineStr">
        <is>
          <t>—</t>
        </is>
      </c>
      <c r="N89" s="243">
        <f>IFERROR(INDEX('CoQ Register'!$B:$B,MATCH("P060342|I",'CoQ Register'!$S:$S,0)),"—")</f>
        <v/>
      </c>
      <c r="O89" s="248" t="inlineStr">
        <is>
          <t>—</t>
        </is>
      </c>
      <c r="P89" s="243" t="inlineStr">
        <is>
          <t>25.05.2026</t>
        </is>
      </c>
      <c r="Q89" s="243" t="inlineStr">
        <is>
          <t>16.04.2026</t>
        </is>
      </c>
      <c r="R89" s="243" t="inlineStr">
        <is>
          <t>25.05.2026</t>
        </is>
      </c>
      <c r="S89" s="245">
        <f>IFERROR(INDEX('CoQ Register'!$D:$D,MATCH("P060342|I",'CoQ Register'!$S:$S,0)),"")</f>
        <v/>
      </c>
      <c r="T89" s="243" t="inlineStr">
        <is>
          <t>Conforms</t>
        </is>
      </c>
      <c r="U89" s="243" t="inlineStr">
        <is>
          <t>Conforms</t>
        </is>
      </c>
      <c r="V89" s="243" t="inlineStr">
        <is>
          <t>Conforms</t>
        </is>
      </c>
      <c r="W89" s="243" t="inlineStr">
        <is>
          <t>— no cannabinoid certificate from the initial testing —</t>
        </is>
      </c>
      <c r="X89" s="243" t="inlineStr">
        <is>
          <t>—</t>
        </is>
      </c>
      <c r="Y89" s="243" t="inlineStr">
        <is>
          <t>—</t>
        </is>
      </c>
      <c r="Z89" s="243" t="inlineStr">
        <is>
          <t>—</t>
        </is>
      </c>
      <c r="AA89" s="243" t="inlineStr">
        <is>
          <t>P060342|I</t>
        </is>
      </c>
      <c r="AB89" s="250" t="inlineStr">
        <is>
          <t>registered — initial release, issued 03.06.2026</t>
        </is>
      </c>
    </row>
    <row r="90">
      <c r="A90" s="243" t="n">
        <v>89</v>
      </c>
      <c r="B90" s="244" t="inlineStr">
        <is>
          <t>iCoA-PP_26-089</t>
        </is>
      </c>
      <c r="C90" s="249" t="inlineStr">
        <is>
          <t>yes</t>
        </is>
      </c>
      <c r="D90" s="245" t="n">
        <v>46176</v>
      </c>
      <c r="E90" s="245" t="inlineStr">
        <is>
          <t>— not stated —</t>
        </is>
      </c>
      <c r="F90" s="245">
        <f>IFERROR(INDEX('Batch Dates'!$G:$G,MATCH(J90,'Batch Dates'!$C:$C,0)),IFERROR(INDEX('Batch Dates'!$G:$G,MATCH(I90,'Batch Dates'!$B:$B,0)),""))</f>
        <v/>
      </c>
      <c r="G90" s="243" t="inlineStr">
        <is>
          <t>legacy</t>
        </is>
      </c>
      <c r="H90" s="243" t="inlineStr">
        <is>
          <t>initial release</t>
        </is>
      </c>
      <c r="I90" s="244" t="inlineStr">
        <is>
          <t>BSS1024_01/1</t>
        </is>
      </c>
      <c r="J90" s="243" t="inlineStr">
        <is>
          <t>P050122</t>
        </is>
      </c>
      <c r="K90" s="243" t="inlineStr">
        <is>
          <t>Blue Sunset Sherbet</t>
        </is>
      </c>
      <c r="L90" s="243" t="inlineStr">
        <is>
          <t>Ident A + Ident B + Foreign matter</t>
        </is>
      </c>
      <c r="M90" s="248" t="inlineStr">
        <is>
          <t>—</t>
        </is>
      </c>
      <c r="N90" s="243">
        <f>IFERROR(INDEX('CoQ Register'!$B:$B,MATCH("P050122|I",'CoQ Register'!$S:$S,0)),"—")</f>
        <v/>
      </c>
      <c r="O90" s="248" t="inlineStr">
        <is>
          <t>—</t>
        </is>
      </c>
      <c r="P90" s="243" t="inlineStr">
        <is>
          <t>10.07.2025</t>
        </is>
      </c>
      <c r="Q90" s="243" t="inlineStr">
        <is>
          <t>04.06.2025 – 05.06.2025</t>
        </is>
      </c>
      <c r="R90" s="243" t="inlineStr">
        <is>
          <t>01.09.2025 – 09.09.2025 (the issuance plan's basis: 10.07.2025)</t>
        </is>
      </c>
      <c r="S90" s="245">
        <f>IFERROR(INDEX('CoQ Register'!$D:$D,MATCH("P050122|I",'CoQ Register'!$S:$S,0)),"")</f>
        <v/>
      </c>
      <c r="T90" s="243" t="inlineStr">
        <is>
          <t>Conforms</t>
        </is>
      </c>
      <c r="U90" s="243" t="inlineStr">
        <is>
          <t>Conforms</t>
        </is>
      </c>
      <c r="V90" s="243" t="inlineStr">
        <is>
          <t>Conforms</t>
        </is>
      </c>
      <c r="W90" s="243" t="inlineStr">
        <is>
          <t>ППК25176, (10.07.2025) [CNP]</t>
        </is>
      </c>
      <c r="X90" s="243" t="inlineStr">
        <is>
          <t>—</t>
        </is>
      </c>
      <c r="Y90" s="243" t="inlineStr">
        <is>
          <t>—</t>
        </is>
      </c>
      <c r="Z90" s="243" t="inlineStr">
        <is>
          <t>—</t>
        </is>
      </c>
      <c r="AA90" s="243" t="inlineStr">
        <is>
          <t>P050122|I</t>
        </is>
      </c>
      <c r="AB90" s="250" t="inlineStr">
        <is>
          <t>registered — initial release, issued 03.06.2026 · no packaging date on file — testing date not stated (owner, 15.09.2026: certified all the same)</t>
        </is>
      </c>
    </row>
    <row r="91">
      <c r="A91" s="243" t="n">
        <v>90</v>
      </c>
      <c r="B91" s="244" t="inlineStr">
        <is>
          <t>iCoA-PP_26-090</t>
        </is>
      </c>
      <c r="C91" s="249" t="inlineStr">
        <is>
          <t>yes</t>
        </is>
      </c>
      <c r="D91" s="245" t="n">
        <v>46176</v>
      </c>
      <c r="E91" s="245" t="inlineStr">
        <is>
          <t>— not stated —</t>
        </is>
      </c>
      <c r="F91" s="245">
        <f>IFERROR(INDEX('Batch Dates'!$G:$G,MATCH(J91,'Batch Dates'!$C:$C,0)),IFERROR(INDEX('Batch Dates'!$G:$G,MATCH(I91,'Batch Dates'!$B:$B,0)),""))</f>
        <v/>
      </c>
      <c r="G91" s="243" t="inlineStr">
        <is>
          <t>—</t>
        </is>
      </c>
      <c r="H91" s="243" t="inlineStr">
        <is>
          <t>initial release</t>
        </is>
      </c>
      <c r="I91" s="244" t="inlineStr">
        <is>
          <t>CC042601</t>
        </is>
      </c>
      <c r="J91" s="243" t="inlineStr">
        <is>
          <t>N/A — no P batch assigned</t>
        </is>
      </c>
      <c r="K91" s="243" t="inlineStr">
        <is>
          <t>Cash Cow</t>
        </is>
      </c>
      <c r="L91" s="243" t="inlineStr">
        <is>
          <t>Ident A + Ident B + Foreign matter</t>
        </is>
      </c>
      <c r="M91" s="248" t="inlineStr">
        <is>
          <t>—</t>
        </is>
      </c>
      <c r="N91" s="243">
        <f>IFERROR(INDEX('CoQ Register'!$B:$B,MATCH("CC042601|I",'CoQ Register'!$S:$S,0)),"—")</f>
        <v/>
      </c>
      <c r="O91" s="248" t="inlineStr">
        <is>
          <t>—</t>
        </is>
      </c>
      <c r="P91" s="243" t="inlineStr">
        <is>
          <t>—</t>
        </is>
      </c>
      <c r="Q91" s="243" t="inlineStr">
        <is>
          <t>— not on the list —</t>
        </is>
      </c>
      <c r="R91" s="243" t="inlineStr">
        <is>
          <t>— not on the list —</t>
        </is>
      </c>
      <c r="S91" s="245">
        <f>IFERROR(INDEX('CoQ Register'!$D:$D,MATCH("CC042601|I",'CoQ Register'!$S:$S,0)),"")</f>
        <v/>
      </c>
      <c r="T91" s="243" t="inlineStr">
        <is>
          <t>Conforms</t>
        </is>
      </c>
      <c r="U91" s="243" t="inlineStr">
        <is>
          <t>Conforms</t>
        </is>
      </c>
      <c r="V91" s="243" t="inlineStr">
        <is>
          <t>Conforms</t>
        </is>
      </c>
      <c r="W91" s="243" t="inlineStr">
        <is>
          <t>— no cannabinoid certificate from the initial testing —</t>
        </is>
      </c>
      <c r="X91" s="243" t="inlineStr">
        <is>
          <t>—</t>
        </is>
      </c>
      <c r="Y91" s="243" t="inlineStr">
        <is>
          <t>—</t>
        </is>
      </c>
      <c r="Z91" s="243" t="inlineStr">
        <is>
          <t>—</t>
        </is>
      </c>
      <c r="AA91" s="243" t="inlineStr">
        <is>
          <t>CC042601|I</t>
        </is>
      </c>
      <c r="AB91" s="250" t="inlineStr">
        <is>
          <t>registered — initial release, issued 03.06.2026 · no packaging date on file — testing date not stated (owner, 15.09.2026: certified all the same)</t>
        </is>
      </c>
    </row>
    <row r="92">
      <c r="A92" s="243" t="n">
        <v>91</v>
      </c>
      <c r="B92" s="244" t="inlineStr">
        <is>
          <t>iCoA-PP_26-091</t>
        </is>
      </c>
      <c r="C92" s="249" t="inlineStr">
        <is>
          <t>yes</t>
        </is>
      </c>
      <c r="D92" s="245" t="n">
        <v>46176</v>
      </c>
      <c r="E92" s="245" t="inlineStr">
        <is>
          <t>— not stated —</t>
        </is>
      </c>
      <c r="F92" s="245">
        <f>IFERROR(INDEX('Batch Dates'!$G:$G,MATCH(J92,'Batch Dates'!$C:$C,0)),IFERROR(INDEX('Batch Dates'!$G:$G,MATCH(I92,'Batch Dates'!$B:$B,0)),""))</f>
        <v/>
      </c>
      <c r="G92" s="243" t="inlineStr">
        <is>
          <t>—</t>
        </is>
      </c>
      <c r="H92" s="243" t="inlineStr">
        <is>
          <t>initial release</t>
        </is>
      </c>
      <c r="I92" s="244" t="inlineStr">
        <is>
          <t>FB042601</t>
        </is>
      </c>
      <c r="J92" s="243" t="inlineStr">
        <is>
          <t>N/A — no P batch assigned</t>
        </is>
      </c>
      <c r="K92" s="243" t="inlineStr">
        <is>
          <t>Fat Bastard</t>
        </is>
      </c>
      <c r="L92" s="243" t="inlineStr">
        <is>
          <t>Ident A + Ident B + Foreign matter</t>
        </is>
      </c>
      <c r="M92" s="248" t="inlineStr">
        <is>
          <t>—</t>
        </is>
      </c>
      <c r="N92" s="243">
        <f>IFERROR(INDEX('CoQ Register'!$B:$B,MATCH("FB042601|I",'CoQ Register'!$S:$S,0)),"—")</f>
        <v/>
      </c>
      <c r="O92" s="248" t="inlineStr">
        <is>
          <t>—</t>
        </is>
      </c>
      <c r="P92" s="243" t="inlineStr">
        <is>
          <t>—</t>
        </is>
      </c>
      <c r="Q92" s="243" t="inlineStr">
        <is>
          <t>— not on the list —</t>
        </is>
      </c>
      <c r="R92" s="243" t="inlineStr">
        <is>
          <t>— not on the list —</t>
        </is>
      </c>
      <c r="S92" s="245">
        <f>IFERROR(INDEX('CoQ Register'!$D:$D,MATCH("FB042601|I",'CoQ Register'!$S:$S,0)),"")</f>
        <v/>
      </c>
      <c r="T92" s="243" t="inlineStr">
        <is>
          <t>Conforms</t>
        </is>
      </c>
      <c r="U92" s="243" t="inlineStr">
        <is>
          <t>Conforms</t>
        </is>
      </c>
      <c r="V92" s="243" t="inlineStr">
        <is>
          <t>Conforms</t>
        </is>
      </c>
      <c r="W92" s="243" t="inlineStr">
        <is>
          <t>— no cannabinoid certificate from the initial testing —</t>
        </is>
      </c>
      <c r="X92" s="243" t="inlineStr">
        <is>
          <t>—</t>
        </is>
      </c>
      <c r="Y92" s="243" t="inlineStr">
        <is>
          <t>—</t>
        </is>
      </c>
      <c r="Z92" s="243" t="inlineStr">
        <is>
          <t>—</t>
        </is>
      </c>
      <c r="AA92" s="243" t="inlineStr">
        <is>
          <t>FB042601|I</t>
        </is>
      </c>
      <c r="AB92" s="250" t="inlineStr">
        <is>
          <t>registered — initial release, issued 03.06.2026 · no packaging date on file — testing date not stated (owner, 15.09.2026: certified all the same)</t>
        </is>
      </c>
    </row>
    <row r="93">
      <c r="A93" s="243" t="n">
        <v>92</v>
      </c>
      <c r="B93" s="244" t="inlineStr">
        <is>
          <t>iCoA-PP_26-092</t>
        </is>
      </c>
      <c r="C93" s="249" t="inlineStr">
        <is>
          <t>yes</t>
        </is>
      </c>
      <c r="D93" s="245" t="n">
        <v>46176</v>
      </c>
      <c r="E93" s="245" t="inlineStr">
        <is>
          <t>— not stated —</t>
        </is>
      </c>
      <c r="F93" s="245">
        <f>IFERROR(INDEX('Batch Dates'!$G:$G,MATCH(J93,'Batch Dates'!$C:$C,0)),IFERROR(INDEX('Batch Dates'!$G:$G,MATCH(I93,'Batch Dates'!$B:$B,0)),""))</f>
        <v/>
      </c>
      <c r="G93" s="243" t="inlineStr">
        <is>
          <t>legacy</t>
        </is>
      </c>
      <c r="H93" s="243" t="inlineStr">
        <is>
          <t>initial release</t>
        </is>
      </c>
      <c r="I93" s="244" t="inlineStr">
        <is>
          <t>OMP1024_01</t>
        </is>
      </c>
      <c r="J93" s="243" t="inlineStr">
        <is>
          <t>P050042</t>
        </is>
      </c>
      <c r="K93" s="243" t="inlineStr">
        <is>
          <t>Orange Punch Mimosa</t>
        </is>
      </c>
      <c r="L93" s="243" t="inlineStr">
        <is>
          <t>Ident A + Ident B + Foreign matter</t>
        </is>
      </c>
      <c r="M93" s="248" t="inlineStr">
        <is>
          <t>—</t>
        </is>
      </c>
      <c r="N93" s="243">
        <f>IFERROR(INDEX('CoQ Register'!$B:$B,MATCH("P050042|I",'CoQ Register'!$S:$S,0)),"—")</f>
        <v/>
      </c>
      <c r="O93" s="243" t="inlineStr">
        <is>
          <t>iCoA-PP-2025-0007</t>
        </is>
      </c>
      <c r="P93" s="243" t="inlineStr">
        <is>
          <t>20.06.2025</t>
        </is>
      </c>
      <c r="Q93" s="243" t="inlineStr">
        <is>
          <t>26.03.2025 – 27.03.2025</t>
        </is>
      </c>
      <c r="R93" s="243" t="inlineStr">
        <is>
          <t>20.06.2025</t>
        </is>
      </c>
      <c r="S93" s="245">
        <f>IFERROR(INDEX('CoQ Register'!$D:$D,MATCH("P050042|I",'CoQ Register'!$S:$S,0)),"")</f>
        <v/>
      </c>
      <c r="T93" s="243" t="inlineStr">
        <is>
          <t>Conforms</t>
        </is>
      </c>
      <c r="U93" s="243" t="inlineStr">
        <is>
          <t>Conforms</t>
        </is>
      </c>
      <c r="V93" s="243" t="inlineStr">
        <is>
          <t>Conforms</t>
        </is>
      </c>
      <c r="W93" s="243" t="inlineStr">
        <is>
          <t>ППК25117, (06.05.2025) [CNP]</t>
        </is>
      </c>
      <c r="X93" s="243" t="inlineStr">
        <is>
          <t>—</t>
        </is>
      </c>
      <c r="Y93" s="243" t="inlineStr">
        <is>
          <t>—</t>
        </is>
      </c>
      <c r="Z93" s="243" t="inlineStr">
        <is>
          <t>—</t>
        </is>
      </c>
      <c r="AA93" s="243" t="inlineStr">
        <is>
          <t>P050042|I</t>
        </is>
      </c>
      <c r="AB93" s="250" t="inlineStr">
        <is>
          <t>registered — initial release, issued 03.06.2026 · no packaging date on file — testing date not stated (owner, 15.09.2026: certified all the same)</t>
        </is>
      </c>
    </row>
    <row r="94">
      <c r="A94" s="243" t="n">
        <v>93</v>
      </c>
      <c r="B94" s="244" t="inlineStr">
        <is>
          <t>iCoA-PP_26-093</t>
        </is>
      </c>
      <c r="C94" s="249" t="inlineStr">
        <is>
          <t>yes</t>
        </is>
      </c>
      <c r="D94" s="245">
        <f>IF(A94="","",IF(ISNUMBER(E94),MAX(DATE(2026,6,3),E94),DATE(2026,6,3)))</f>
        <v/>
      </c>
      <c r="E94" s="245">
        <f>IFERROR(INDEX('Batch Dates'!$F:$F,MATCH(J94,'Batch Dates'!$C:$C,0)),IFERROR(INDEX('Batch Dates'!$F:$F,MATCH(I94,'Batch Dates'!$B:$B,0)),""))</f>
        <v/>
      </c>
      <c r="F94" s="245">
        <f>IFERROR(INDEX('Batch Dates'!$G:$G,MATCH(J94,'Batch Dates'!$C:$C,0)),IFERROR(INDEX('Batch Dates'!$G:$G,MATCH(I94,'Batch Dates'!$B:$B,0)),""))</f>
        <v/>
      </c>
      <c r="G94" s="243" t="inlineStr">
        <is>
          <t>post-SOP</t>
        </is>
      </c>
      <c r="H94" s="243" t="inlineStr">
        <is>
          <t>initial release</t>
        </is>
      </c>
      <c r="I94" s="244" t="inlineStr">
        <is>
          <t>FB012603</t>
        </is>
      </c>
      <c r="J94" s="243" t="inlineStr">
        <is>
          <t>P060432</t>
        </is>
      </c>
      <c r="K94" s="243" t="inlineStr">
        <is>
          <t>Fat Bastard</t>
        </is>
      </c>
      <c r="L94" s="243" t="inlineStr">
        <is>
          <t>Ident A + Ident B + Foreign matter</t>
        </is>
      </c>
      <c r="M94" s="243" t="inlineStr">
        <is>
          <t>A: ППК26112 / B: ППК26112 / FM: ППК26112</t>
        </is>
      </c>
      <c r="N94" s="243">
        <f>IFERROR(INDEX('CoQ Register'!$B:$B,MATCH("P060432|I",'CoQ Register'!$S:$S,0)),"—")</f>
        <v/>
      </c>
      <c r="O94" s="248" t="inlineStr">
        <is>
          <t>—</t>
        </is>
      </c>
      <c r="P94" s="243" t="inlineStr">
        <is>
          <t>30.06.2026</t>
        </is>
      </c>
      <c r="Q94" s="243" t="inlineStr">
        <is>
          <t>04.05.2026</t>
        </is>
      </c>
      <c r="R94" s="243" t="inlineStr">
        <is>
          <t>15.06.2026 (the issuance plan's basis: 30.06.2026)</t>
        </is>
      </c>
      <c r="S94" s="245">
        <f>IFERROR(INDEX('CoQ Register'!$D:$D,MATCH("P060432|I",'CoQ Register'!$S:$S,0)),"")</f>
        <v/>
      </c>
      <c r="T94" s="243" t="inlineStr">
        <is>
          <t>CNP ППК26112</t>
        </is>
      </c>
      <c r="U94" s="243" t="inlineStr">
        <is>
          <t>CNP ППК26112</t>
        </is>
      </c>
      <c r="V94" s="243" t="inlineStr">
        <is>
          <t>CNP ППК26112</t>
        </is>
      </c>
      <c r="W94" s="243" t="inlineStr">
        <is>
          <t>ППК26112, (30.06.2026) [CNP]</t>
        </is>
      </c>
      <c r="X94" s="243" t="inlineStr">
        <is>
          <t>—</t>
        </is>
      </c>
      <c r="Y94" s="243" t="inlineStr">
        <is>
          <t>—</t>
        </is>
      </c>
      <c r="Z94" s="243" t="inlineStr">
        <is>
          <t>—</t>
        </is>
      </c>
      <c r="AA94" s="243" t="inlineStr">
        <is>
          <t>P060432|I</t>
        </is>
      </c>
      <c r="AB94" s="250" t="inlineStr">
        <is>
          <t>registered — initial release, issued 15.06.2026</t>
        </is>
      </c>
    </row>
    <row r="95">
      <c r="A95" s="243" t="n">
        <v>94</v>
      </c>
      <c r="B95" s="244" t="inlineStr">
        <is>
          <t>iCoA-PP_26-094</t>
        </is>
      </c>
      <c r="C95" s="249" t="inlineStr">
        <is>
          <t>yes</t>
        </is>
      </c>
      <c r="D95" s="245">
        <f>IF(A95="","",IF(ISNUMBER(E95),MAX(DATE(2026,6,3),E95),DATE(2026,6,3)))</f>
        <v/>
      </c>
      <c r="E95" s="245">
        <f>IFERROR(INDEX('Batch Dates'!$F:$F,MATCH(J95,'Batch Dates'!$C:$C,0)),IFERROR(INDEX('Batch Dates'!$F:$F,MATCH(I95,'Batch Dates'!$B:$B,0)),""))</f>
        <v/>
      </c>
      <c r="F95" s="245">
        <f>IFERROR(INDEX('Batch Dates'!$G:$G,MATCH(J95,'Batch Dates'!$C:$C,0)),IFERROR(INDEX('Batch Dates'!$G:$G,MATCH(I95,'Batch Dates'!$B:$B,0)),""))</f>
        <v/>
      </c>
      <c r="G95" s="243" t="inlineStr">
        <is>
          <t>post-SOP</t>
        </is>
      </c>
      <c r="H95" s="243" t="inlineStr">
        <is>
          <t>initial release</t>
        </is>
      </c>
      <c r="I95" s="244" t="inlineStr">
        <is>
          <t>SCR022601</t>
        </is>
      </c>
      <c r="J95" s="243" t="inlineStr">
        <is>
          <t>P060442</t>
        </is>
      </c>
      <c r="K95" s="243" t="inlineStr">
        <is>
          <t>Scrambler</t>
        </is>
      </c>
      <c r="L95" s="243" t="inlineStr">
        <is>
          <t>Ident A + Ident B + Foreign matter</t>
        </is>
      </c>
      <c r="M95" s="243" t="inlineStr">
        <is>
          <t>A: ППК26116 / B: ППК26116 / FM: ППК26116</t>
        </is>
      </c>
      <c r="N95" s="243">
        <f>IFERROR(INDEX('CoQ Register'!$B:$B,MATCH("P060442|I",'CoQ Register'!$S:$S,0)),"—")</f>
        <v/>
      </c>
      <c r="O95" s="248" t="inlineStr">
        <is>
          <t>—</t>
        </is>
      </c>
      <c r="P95" s="243" t="inlineStr">
        <is>
          <t>06.07.2026</t>
        </is>
      </c>
      <c r="Q95" s="243" t="inlineStr">
        <is>
          <t>13.05.2026</t>
        </is>
      </c>
      <c r="R95" s="243" t="inlineStr">
        <is>
          <t>18.06.2026 (the issuance plan's basis: 06.07.2026)</t>
        </is>
      </c>
      <c r="S95" s="245">
        <f>IFERROR(INDEX('CoQ Register'!$D:$D,MATCH("P060442|I",'CoQ Register'!$S:$S,0)),"")</f>
        <v/>
      </c>
      <c r="T95" s="243" t="inlineStr">
        <is>
          <t>CNP ППК26116</t>
        </is>
      </c>
      <c r="U95" s="243" t="inlineStr">
        <is>
          <t>CNP ППК26116</t>
        </is>
      </c>
      <c r="V95" s="243" t="inlineStr">
        <is>
          <t>CNP ППК26116</t>
        </is>
      </c>
      <c r="W95" s="243" t="inlineStr">
        <is>
          <t>ППК26116, (06.07.2026) [CNP]</t>
        </is>
      </c>
      <c r="X95" s="243" t="inlineStr">
        <is>
          <t>—</t>
        </is>
      </c>
      <c r="Y95" s="243" t="inlineStr">
        <is>
          <t>—</t>
        </is>
      </c>
      <c r="Z95" s="243" t="inlineStr">
        <is>
          <t>—</t>
        </is>
      </c>
      <c r="AA95" s="243" t="inlineStr">
        <is>
          <t>P060442|I</t>
        </is>
      </c>
      <c r="AB95" s="250" t="inlineStr">
        <is>
          <t>registered — initial release, issued 18.06.2026</t>
        </is>
      </c>
    </row>
    <row r="96">
      <c r="A96" s="243" t="n">
        <v>95</v>
      </c>
      <c r="B96" s="244" t="inlineStr">
        <is>
          <t>iCoA-PP_26-095</t>
        </is>
      </c>
      <c r="C96" s="249" t="inlineStr">
        <is>
          <t>yes</t>
        </is>
      </c>
      <c r="D96" s="245">
        <f>IF(A96="","",IF(ISNUMBER(E96),MAX(DATE(2026,6,3),E96),DATE(2026,6,3)))</f>
        <v/>
      </c>
      <c r="E96" s="245">
        <f>IFERROR(INDEX('Batch Dates'!$F:$F,MATCH(J96,'Batch Dates'!$C:$C,0)),IFERROR(INDEX('Batch Dates'!$F:$F,MATCH(I96,'Batch Dates'!$B:$B,0)),""))</f>
        <v/>
      </c>
      <c r="F96" s="245">
        <f>IFERROR(INDEX('Batch Dates'!$G:$G,MATCH(J96,'Batch Dates'!$C:$C,0)),IFERROR(INDEX('Batch Dates'!$G:$G,MATCH(I96,'Batch Dates'!$B:$B,0)),""))</f>
        <v/>
      </c>
      <c r="G96" s="243" t="inlineStr">
        <is>
          <t>post-SOP</t>
        </is>
      </c>
      <c r="H96" s="243" t="inlineStr">
        <is>
          <t>initial release</t>
        </is>
      </c>
      <c r="I96" s="244" t="inlineStr">
        <is>
          <t>FB032601</t>
        </is>
      </c>
      <c r="J96" s="243" t="inlineStr">
        <is>
          <t>P060452</t>
        </is>
      </c>
      <c r="K96" s="243" t="inlineStr">
        <is>
          <t>Fat Bastard</t>
        </is>
      </c>
      <c r="L96" s="243" t="inlineStr">
        <is>
          <t>Ident A + Ident B + Foreign matter</t>
        </is>
      </c>
      <c r="M96" s="243" t="inlineStr">
        <is>
          <t>A: ППК26127 / B: ППК26127 / FM: ППК26127</t>
        </is>
      </c>
      <c r="N96" s="243">
        <f>IFERROR(INDEX('CoQ Register'!$B:$B,MATCH("P060452|I",'CoQ Register'!$S:$S,0)),"—")</f>
        <v/>
      </c>
      <c r="O96" s="248" t="inlineStr">
        <is>
          <t>—</t>
        </is>
      </c>
      <c r="P96" s="243" t="inlineStr">
        <is>
          <t>21.07.2026</t>
        </is>
      </c>
      <c r="Q96" s="243" t="inlineStr">
        <is>
          <t>02.06.2026</t>
        </is>
      </c>
      <c r="R96" s="243" t="inlineStr">
        <is>
          <t>29.06.2026 (the issuance plan's basis: 21.07.2026)</t>
        </is>
      </c>
      <c r="S96" s="245">
        <f>IFERROR(INDEX('CoQ Register'!$D:$D,MATCH("P060452|I",'CoQ Register'!$S:$S,0)),"")</f>
        <v/>
      </c>
      <c r="T96" s="243" t="inlineStr">
        <is>
          <t>CNP ППК26127</t>
        </is>
      </c>
      <c r="U96" s="243" t="inlineStr">
        <is>
          <t>CNP ППК26127</t>
        </is>
      </c>
      <c r="V96" s="243" t="inlineStr">
        <is>
          <t>CNP ППК26127</t>
        </is>
      </c>
      <c r="W96" s="243" t="inlineStr">
        <is>
          <t>ППК26127, (21.07.2026) [CNP]</t>
        </is>
      </c>
      <c r="X96" s="243" t="inlineStr">
        <is>
          <t>—</t>
        </is>
      </c>
      <c r="Y96" s="243" t="inlineStr">
        <is>
          <t>—</t>
        </is>
      </c>
      <c r="Z96" s="243" t="inlineStr">
        <is>
          <t>—</t>
        </is>
      </c>
      <c r="AA96" s="243" t="inlineStr">
        <is>
          <t>P060452|I</t>
        </is>
      </c>
      <c r="AB96" s="250" t="inlineStr">
        <is>
          <t>registered — initial release, issued 29.06.2026</t>
        </is>
      </c>
    </row>
    <row r="97">
      <c r="A97" s="243" t="n">
        <v>96</v>
      </c>
      <c r="B97" s="244" t="inlineStr">
        <is>
          <t>iCoA-PP_26-096</t>
        </is>
      </c>
      <c r="C97" s="249" t="inlineStr">
        <is>
          <t>yes</t>
        </is>
      </c>
      <c r="D97" s="245" t="n">
        <v>46209</v>
      </c>
      <c r="E97" s="245" t="inlineStr">
        <is>
          <t>— not stated —</t>
        </is>
      </c>
      <c r="F97" s="245">
        <f>IFERROR(INDEX('Batch Dates'!$G:$G,MATCH(J97,'Batch Dates'!$C:$C,0)),IFERROR(INDEX('Batch Dates'!$G:$G,MATCH(I97,'Batch Dates'!$B:$B,0)),""))</f>
        <v/>
      </c>
      <c r="G97" s="243" t="inlineStr">
        <is>
          <t>—</t>
        </is>
      </c>
      <c r="H97" s="243" t="inlineStr">
        <is>
          <t>initial release</t>
        </is>
      </c>
      <c r="I97" s="244" t="inlineStr">
        <is>
          <t>— not recorded — (P160012)</t>
        </is>
      </c>
      <c r="J97" s="243" t="inlineStr">
        <is>
          <t>P160012</t>
        </is>
      </c>
      <c r="K97" s="243" t="inlineStr">
        <is>
          <t>Grape Pie</t>
        </is>
      </c>
      <c r="L97" s="243" t="inlineStr">
        <is>
          <t>Ident A + Ident B + Foreign matter</t>
        </is>
      </c>
      <c r="M97" s="243" t="inlineStr">
        <is>
          <t>A: ППК26117 / B: ППК26117 / FM: ППК26117</t>
        </is>
      </c>
      <c r="N97" s="243">
        <f>IFERROR(INDEX('CoQ Register'!$B:$B,MATCH("P160012|I",'CoQ Register'!$S:$S,0)),"—")</f>
        <v/>
      </c>
      <c r="O97" s="248" t="inlineStr">
        <is>
          <t>—</t>
        </is>
      </c>
      <c r="P97" s="243" t="inlineStr">
        <is>
          <t>06.07.2026</t>
        </is>
      </c>
      <c r="Q97" s="243" t="inlineStr">
        <is>
          <t>— not on the list —</t>
        </is>
      </c>
      <c r="R97" s="243" t="inlineStr">
        <is>
          <t>— not on the list —</t>
        </is>
      </c>
      <c r="S97" s="245">
        <f>IFERROR(INDEX('CoQ Register'!$D:$D,MATCH("P160012|I",'CoQ Register'!$S:$S,0)),"")</f>
        <v/>
      </c>
      <c r="T97" s="243" t="inlineStr">
        <is>
          <t>CNP ППК26117</t>
        </is>
      </c>
      <c r="U97" s="243" t="inlineStr">
        <is>
          <t>CNP ППК26117</t>
        </is>
      </c>
      <c r="V97" s="243" t="inlineStr">
        <is>
          <t>CNP ППК26117</t>
        </is>
      </c>
      <c r="W97" s="243" t="inlineStr">
        <is>
          <t>ППК26117, (06.07.2026) [CNP]</t>
        </is>
      </c>
      <c r="X97" s="243" t="inlineStr">
        <is>
          <t>—</t>
        </is>
      </c>
      <c r="Y97" s="243" t="inlineStr">
        <is>
          <t>—</t>
        </is>
      </c>
      <c r="Z97" s="243" t="inlineStr">
        <is>
          <t>—</t>
        </is>
      </c>
      <c r="AA97" s="243" t="inlineStr">
        <is>
          <t>P160012|I</t>
        </is>
      </c>
      <c r="AB97" s="250" t="inlineStr">
        <is>
          <t>registered — initial release, issued 06.07.2026 · no packaging date on file — testing date not stated (owner, 15.09.2026: certified all the same)</t>
        </is>
      </c>
    </row>
    <row r="98">
      <c r="A98" s="243" t="n">
        <v>97</v>
      </c>
      <c r="B98" s="244" t="inlineStr">
        <is>
          <t>iCoA-PP_26-097</t>
        </is>
      </c>
      <c r="C98" s="249" t="inlineStr">
        <is>
          <t>yes</t>
        </is>
      </c>
      <c r="D98" s="245" t="n">
        <v>46209</v>
      </c>
      <c r="E98" s="245" t="inlineStr">
        <is>
          <t>— not stated —</t>
        </is>
      </c>
      <c r="F98" s="245">
        <f>IFERROR(INDEX('Batch Dates'!$G:$G,MATCH(J98,'Batch Dates'!$C:$C,0)),IFERROR(INDEX('Batch Dates'!$G:$G,MATCH(I98,'Batch Dates'!$B:$B,0)),""))</f>
        <v/>
      </c>
      <c r="G98" s="243" t="inlineStr">
        <is>
          <t>—</t>
        </is>
      </c>
      <c r="H98" s="243" t="inlineStr">
        <is>
          <t>initial release</t>
        </is>
      </c>
      <c r="I98" s="244" t="inlineStr">
        <is>
          <t>— not recorded — (P160022)</t>
        </is>
      </c>
      <c r="J98" s="243" t="inlineStr">
        <is>
          <t>P160022</t>
        </is>
      </c>
      <c r="K98" s="243" t="inlineStr">
        <is>
          <t>Grape Pie</t>
        </is>
      </c>
      <c r="L98" s="243" t="inlineStr">
        <is>
          <t>Ident A + Ident B + Foreign matter</t>
        </is>
      </c>
      <c r="M98" s="243" t="inlineStr">
        <is>
          <t>A: ППК26118 / B: ППК26118 / FM: ППК26118</t>
        </is>
      </c>
      <c r="N98" s="243">
        <f>IFERROR(INDEX('CoQ Register'!$B:$B,MATCH("P160022|I",'CoQ Register'!$S:$S,0)),"—")</f>
        <v/>
      </c>
      <c r="O98" s="248" t="inlineStr">
        <is>
          <t>—</t>
        </is>
      </c>
      <c r="P98" s="243" t="inlineStr">
        <is>
          <t>06.07.2026</t>
        </is>
      </c>
      <c r="Q98" s="243" t="inlineStr">
        <is>
          <t>— not on the list —</t>
        </is>
      </c>
      <c r="R98" s="243" t="inlineStr">
        <is>
          <t>— not on the list —</t>
        </is>
      </c>
      <c r="S98" s="245">
        <f>IFERROR(INDEX('CoQ Register'!$D:$D,MATCH("P160022|I",'CoQ Register'!$S:$S,0)),"")</f>
        <v/>
      </c>
      <c r="T98" s="243" t="inlineStr">
        <is>
          <t>CNP ППК26118</t>
        </is>
      </c>
      <c r="U98" s="243" t="inlineStr">
        <is>
          <t>CNP ППК26118</t>
        </is>
      </c>
      <c r="V98" s="243" t="inlineStr">
        <is>
          <t>CNP ППК26118</t>
        </is>
      </c>
      <c r="W98" s="243" t="inlineStr">
        <is>
          <t>ППК26118, (06.07.2026) [CNP]</t>
        </is>
      </c>
      <c r="X98" s="243" t="inlineStr">
        <is>
          <t>—</t>
        </is>
      </c>
      <c r="Y98" s="243" t="inlineStr">
        <is>
          <t>—</t>
        </is>
      </c>
      <c r="Z98" s="243" t="inlineStr">
        <is>
          <t>—</t>
        </is>
      </c>
      <c r="AA98" s="243" t="inlineStr">
        <is>
          <t>P160022|I</t>
        </is>
      </c>
      <c r="AB98" s="250" t="inlineStr">
        <is>
          <t>registered — initial release, issued 06.07.2026 · no packaging date on file — testing date not stated (owner, 15.09.2026: certified all the same)</t>
        </is>
      </c>
    </row>
    <row r="99">
      <c r="A99" s="243" t="n">
        <v>98</v>
      </c>
      <c r="B99" s="244" t="inlineStr">
        <is>
          <t>iCoA-PP_26-098</t>
        </is>
      </c>
      <c r="C99" s="249" t="inlineStr">
        <is>
          <t>yes</t>
        </is>
      </c>
      <c r="D99" s="245" t="n">
        <v>46209</v>
      </c>
      <c r="E99" s="245" t="inlineStr">
        <is>
          <t>— not stated —</t>
        </is>
      </c>
      <c r="F99" s="245">
        <f>IFERROR(INDEX('Batch Dates'!$G:$G,MATCH(J99,'Batch Dates'!$C:$C,0)),IFERROR(INDEX('Batch Dates'!$G:$G,MATCH(I99,'Batch Dates'!$B:$B,0)),""))</f>
        <v/>
      </c>
      <c r="G99" s="243" t="inlineStr">
        <is>
          <t>—</t>
        </is>
      </c>
      <c r="H99" s="243" t="inlineStr">
        <is>
          <t>initial release</t>
        </is>
      </c>
      <c r="I99" s="244" t="inlineStr">
        <is>
          <t>— not recorded — (P160032)</t>
        </is>
      </c>
      <c r="J99" s="243" t="inlineStr">
        <is>
          <t>P160032</t>
        </is>
      </c>
      <c r="K99" s="243" t="inlineStr">
        <is>
          <t>Grape Pie</t>
        </is>
      </c>
      <c r="L99" s="243" t="inlineStr">
        <is>
          <t>Ident A + Ident B + Foreign matter</t>
        </is>
      </c>
      <c r="M99" s="243" t="inlineStr">
        <is>
          <t>A: ППК26119 / B: ППК26119 / FM: ППК26119</t>
        </is>
      </c>
      <c r="N99" s="243">
        <f>IFERROR(INDEX('CoQ Register'!$B:$B,MATCH("P160032|I",'CoQ Register'!$S:$S,0)),"—")</f>
        <v/>
      </c>
      <c r="O99" s="248" t="inlineStr">
        <is>
          <t>—</t>
        </is>
      </c>
      <c r="P99" s="243" t="inlineStr">
        <is>
          <t>06.07.2026</t>
        </is>
      </c>
      <c r="Q99" s="243" t="inlineStr">
        <is>
          <t>— not on the list —</t>
        </is>
      </c>
      <c r="R99" s="243" t="inlineStr">
        <is>
          <t>— not on the list —</t>
        </is>
      </c>
      <c r="S99" s="245">
        <f>IFERROR(INDEX('CoQ Register'!$D:$D,MATCH("P160032|I",'CoQ Register'!$S:$S,0)),"")</f>
        <v/>
      </c>
      <c r="T99" s="243" t="inlineStr">
        <is>
          <t>CNP ППК26119</t>
        </is>
      </c>
      <c r="U99" s="243" t="inlineStr">
        <is>
          <t>CNP ППК26119</t>
        </is>
      </c>
      <c r="V99" s="243" t="inlineStr">
        <is>
          <t>CNP ППК26119</t>
        </is>
      </c>
      <c r="W99" s="243" t="inlineStr">
        <is>
          <t>ППК26119, (06.07.2026) [CNP]</t>
        </is>
      </c>
      <c r="X99" s="243" t="inlineStr">
        <is>
          <t>—</t>
        </is>
      </c>
      <c r="Y99" s="243" t="inlineStr">
        <is>
          <t>—</t>
        </is>
      </c>
      <c r="Z99" s="243" t="inlineStr">
        <is>
          <t>—</t>
        </is>
      </c>
      <c r="AA99" s="243" t="inlineStr">
        <is>
          <t>P160032|I</t>
        </is>
      </c>
      <c r="AB99" s="250" t="inlineStr">
        <is>
          <t>registered — initial release, issued 06.07.2026 · no packaging date on file — testing date not stated (owner, 15.09.2026: certified all the same)</t>
        </is>
      </c>
    </row>
    <row r="100">
      <c r="A100" s="243" t="n">
        <v>99</v>
      </c>
      <c r="B100" s="244" t="inlineStr">
        <is>
          <t>iCoA-PP_26-099</t>
        </is>
      </c>
      <c r="C100" s="249" t="inlineStr">
        <is>
          <t>yes</t>
        </is>
      </c>
      <c r="D100" s="245">
        <f>IF(A100="","",IF(ISNUMBER(E100),MAX(DATE(2026,6,3),E100),DATE(2026,6,3)))</f>
        <v/>
      </c>
      <c r="E100" s="245">
        <f>IFERROR(INDEX('Batch Dates'!$F:$F,MATCH(J100,'Batch Dates'!$C:$C,0)),IFERROR(INDEX('Batch Dates'!$F:$F,MATCH(I100,'Batch Dates'!$B:$B,0)),""))</f>
        <v/>
      </c>
      <c r="F100" s="245">
        <f>IFERROR(INDEX('Batch Dates'!$G:$G,MATCH(J100,'Batch Dates'!$C:$C,0)),IFERROR(INDEX('Batch Dates'!$G:$G,MATCH(I100,'Batch Dates'!$B:$B,0)),""))</f>
        <v/>
      </c>
      <c r="G100" s="243" t="inlineStr">
        <is>
          <t>post-SOP</t>
        </is>
      </c>
      <c r="H100" s="243" t="inlineStr">
        <is>
          <t>initial release</t>
        </is>
      </c>
      <c r="I100" s="244" t="inlineStr">
        <is>
          <t>GG032601</t>
        </is>
      </c>
      <c r="J100" s="243" t="inlineStr">
        <is>
          <t>P060462</t>
        </is>
      </c>
      <c r="K100" s="243" t="inlineStr">
        <is>
          <t>Gorilla Glue</t>
        </is>
      </c>
      <c r="L100" s="243" t="inlineStr">
        <is>
          <t>Ident A + Ident B + Foreign matter</t>
        </is>
      </c>
      <c r="M100" s="243" t="inlineStr">
        <is>
          <t>A: ППК26128 / B: ППК26128 / FM: ППК26128</t>
        </is>
      </c>
      <c r="N100" s="243">
        <f>IFERROR(INDEX('CoQ Register'!$B:$B,MATCH("P060462|I",'CoQ Register'!$S:$S,0)),"—")</f>
        <v/>
      </c>
      <c r="O100" s="248" t="inlineStr">
        <is>
          <t>—</t>
        </is>
      </c>
      <c r="P100" s="243" t="inlineStr">
        <is>
          <t>21.07.2026</t>
        </is>
      </c>
      <c r="Q100" s="243" t="inlineStr">
        <is>
          <t>16.06.2026</t>
        </is>
      </c>
      <c r="R100" s="243" t="inlineStr">
        <is>
          <t>16.07.2026 (the issuance plan's basis: 21.07.2026)</t>
        </is>
      </c>
      <c r="S100" s="245">
        <f>IFERROR(INDEX('CoQ Register'!$D:$D,MATCH("P060462|I",'CoQ Register'!$S:$S,0)),"")</f>
        <v/>
      </c>
      <c r="T100" s="243" t="inlineStr">
        <is>
          <t>CNP ППК26128</t>
        </is>
      </c>
      <c r="U100" s="243" t="inlineStr">
        <is>
          <t>CNP ППК26128</t>
        </is>
      </c>
      <c r="V100" s="243" t="inlineStr">
        <is>
          <t>CNP ППК26128</t>
        </is>
      </c>
      <c r="W100" s="243" t="inlineStr">
        <is>
          <t>ППК26128, (21.07.2026) [CNP]</t>
        </is>
      </c>
      <c r="X100" s="243" t="inlineStr">
        <is>
          <t>—</t>
        </is>
      </c>
      <c r="Y100" s="243" t="inlineStr">
        <is>
          <t>—</t>
        </is>
      </c>
      <c r="Z100" s="243" t="inlineStr">
        <is>
          <t>—</t>
        </is>
      </c>
      <c r="AA100" s="243" t="inlineStr">
        <is>
          <t>P060462|I</t>
        </is>
      </c>
      <c r="AB100" s="250" t="inlineStr">
        <is>
          <t>registered — initial release, issued 16.07.2026</t>
        </is>
      </c>
    </row>
    <row r="101">
      <c r="A101" s="243" t="n">
        <v>100</v>
      </c>
      <c r="B101" s="244" t="inlineStr">
        <is>
          <t>iCoA-PP_26-100</t>
        </is>
      </c>
      <c r="C101" s="249" t="inlineStr">
        <is>
          <t>yes</t>
        </is>
      </c>
      <c r="D101" s="245" t="n">
        <v>46230</v>
      </c>
      <c r="E101" s="245" t="n">
        <v>46224</v>
      </c>
      <c r="F101" s="245">
        <f>IFERROR(INDEX('Batch Dates'!$G:$G,MATCH(J101,'Batch Dates'!$C:$C,0)),IFERROR(INDEX('Batch Dates'!$G:$G,MATCH(I101,'Batch Dates'!$B:$B,0)),""))</f>
        <v/>
      </c>
      <c r="G101" s="243" t="inlineStr">
        <is>
          <t>legacy</t>
        </is>
      </c>
      <c r="H101" s="243" t="inlineStr">
        <is>
          <t>retest 1</t>
        </is>
      </c>
      <c r="I101" s="244" t="inlineStr">
        <is>
          <t>BG1024</t>
        </is>
      </c>
      <c r="J101" s="243" t="inlineStr">
        <is>
          <t>N/A — no P batch assigned</t>
        </is>
      </c>
      <c r="K101" s="243" t="inlineStr">
        <is>
          <t>Blue Gelato</t>
        </is>
      </c>
      <c r="L101" s="243" t="inlineStr">
        <is>
          <t>Ident A + Ident B + Foreign matter</t>
        </is>
      </c>
      <c r="M101" s="248" t="inlineStr">
        <is>
          <t>—</t>
        </is>
      </c>
      <c r="N101" s="243">
        <f>IFERROR(INDEX('CoQ Register'!$B:$B,MATCH("BG1024|R",'CoQ Register'!$S:$S,0)),"—")</f>
        <v/>
      </c>
      <c r="O101" s="248" t="inlineStr">
        <is>
          <t>—</t>
        </is>
      </c>
      <c r="P101" s="243" t="inlineStr">
        <is>
          <t>07.03.2026</t>
        </is>
      </c>
      <c r="Q101" s="243" t="inlineStr">
        <is>
          <t>21.01.2025</t>
        </is>
      </c>
      <c r="R101" s="243" t="inlineStr">
        <is>
          <t>07.03.2025</t>
        </is>
      </c>
      <c r="S101" s="245">
        <f>IFERROR(INDEX('CoQ Register'!$D:$D,MATCH("BG1024|R",'CoQ Register'!$S:$S,0)),"")</f>
        <v/>
      </c>
      <c r="T101" s="243" t="inlineStr">
        <is>
          <t>Conforms</t>
        </is>
      </c>
      <c r="U101" s="243" t="inlineStr">
        <is>
          <t>Conforms</t>
        </is>
      </c>
      <c r="V101" s="243" t="inlineStr">
        <is>
          <t>Conforms</t>
        </is>
      </c>
      <c r="W101" s="243" t="inlineStr">
        <is>
          <t>197-1-K-26, (07.08.2026) [FHM-K]</t>
        </is>
      </c>
      <c r="X101" s="243" t="inlineStr">
        <is>
          <t>197-1-K-26, (07.08.2026) [FHM-K]</t>
        </is>
      </c>
      <c r="Y101" s="243" t="inlineStr">
        <is>
          <t>197-1-M-26, (10.08.2026) [FHM-M]</t>
        </is>
      </c>
      <c r="Z101" s="243" t="inlineStr">
        <is>
          <t>#8, #9, #11, #12 from the initial testing</t>
        </is>
      </c>
      <c r="AA101" s="243" t="inlineStr">
        <is>
          <t>BG1024|R</t>
        </is>
      </c>
      <c r="AB101" s="250" t="inlineStr">
        <is>
          <t>registered — retest 1 · Tranche 1 (sampled 21–24.07.2026), tested 21.07.2026, issued 27.07.2026</t>
        </is>
      </c>
    </row>
    <row r="102">
      <c r="A102" s="243" t="n">
        <v>101</v>
      </c>
      <c r="B102" s="244" t="inlineStr">
        <is>
          <t>iCoA-PP_26-101</t>
        </is>
      </c>
      <c r="C102" s="249" t="inlineStr">
        <is>
          <t>yes</t>
        </is>
      </c>
      <c r="D102" s="245" t="n">
        <v>46230</v>
      </c>
      <c r="E102" s="245" t="n">
        <v>46224</v>
      </c>
      <c r="F102" s="245">
        <f>IFERROR(INDEX('Batch Dates'!$G:$G,MATCH(J102,'Batch Dates'!$C:$C,0)),IFERROR(INDEX('Batch Dates'!$G:$G,MATCH(I102,'Batch Dates'!$B:$B,0)),""))</f>
        <v/>
      </c>
      <c r="G102" s="243" t="inlineStr">
        <is>
          <t>legacy</t>
        </is>
      </c>
      <c r="H102" s="243" t="inlineStr">
        <is>
          <t>retest 1</t>
        </is>
      </c>
      <c r="I102" s="244" t="inlineStr">
        <is>
          <t>BSS1024</t>
        </is>
      </c>
      <c r="J102" s="243" t="inlineStr">
        <is>
          <t>N/A — no P batch assigned</t>
        </is>
      </c>
      <c r="K102" s="243" t="inlineStr">
        <is>
          <t>Blue Sunset Sherbet</t>
        </is>
      </c>
      <c r="L102" s="243" t="inlineStr">
        <is>
          <t>Ident A + Ident B + Foreign matter</t>
        </is>
      </c>
      <c r="M102" s="248" t="inlineStr">
        <is>
          <t>—</t>
        </is>
      </c>
      <c r="N102" s="243">
        <f>IFERROR(INDEX('CoQ Register'!$B:$B,MATCH("BSS1024|R",'CoQ Register'!$S:$S,0)),"—")</f>
        <v/>
      </c>
      <c r="O102" s="248" t="inlineStr">
        <is>
          <t>—</t>
        </is>
      </c>
      <c r="P102" s="243" t="inlineStr">
        <is>
          <t>04.03.2026</t>
        </is>
      </c>
      <c r="Q102" s="243" t="inlineStr">
        <is>
          <t>22.01.2025</t>
        </is>
      </c>
      <c r="R102" s="243" t="inlineStr">
        <is>
          <t>04.03.2025</t>
        </is>
      </c>
      <c r="S102" s="245">
        <f>IFERROR(INDEX('CoQ Register'!$D:$D,MATCH("BSS1024|R",'CoQ Register'!$S:$S,0)),"")</f>
        <v/>
      </c>
      <c r="T102" s="243" t="inlineStr">
        <is>
          <t>Conforms</t>
        </is>
      </c>
      <c r="U102" s="243" t="inlineStr">
        <is>
          <t>Conforms</t>
        </is>
      </c>
      <c r="V102" s="243" t="inlineStr">
        <is>
          <t>Conforms</t>
        </is>
      </c>
      <c r="W102" s="243" t="inlineStr">
        <is>
          <t>197-2-K-26, (07.08.2026) [FHM-K]</t>
        </is>
      </c>
      <c r="X102" s="243" t="inlineStr">
        <is>
          <t>197-2-K-26, (07.08.2026) [FHM-K]</t>
        </is>
      </c>
      <c r="Y102" s="243" t="inlineStr">
        <is>
          <t>197-2-M-26, (10.08.2026) [FHM-M]</t>
        </is>
      </c>
      <c r="Z102" s="243" t="inlineStr">
        <is>
          <t>#8, #9, #11, #12 from the initial testing</t>
        </is>
      </c>
      <c r="AA102" s="243" t="inlineStr">
        <is>
          <t>BSS1024|R</t>
        </is>
      </c>
      <c r="AB102" s="250" t="inlineStr">
        <is>
          <t>registered — retest 1 · Tranche 1 (sampled 21–24.07.2026), tested 21.07.2026, issued 27.07.2026</t>
        </is>
      </c>
    </row>
    <row r="103">
      <c r="A103" s="243" t="n">
        <v>102</v>
      </c>
      <c r="B103" s="244" t="inlineStr">
        <is>
          <t>iCoA-PP_26-102</t>
        </is>
      </c>
      <c r="C103" s="249" t="inlineStr">
        <is>
          <t>yes</t>
        </is>
      </c>
      <c r="D103" s="245" t="n">
        <v>46230</v>
      </c>
      <c r="E103" s="245" t="n">
        <v>46224</v>
      </c>
      <c r="F103" s="245">
        <f>IFERROR(INDEX('Batch Dates'!$G:$G,MATCH(J103,'Batch Dates'!$C:$C,0)),IFERROR(INDEX('Batch Dates'!$G:$G,MATCH(I103,'Batch Dates'!$B:$B,0)),""))</f>
        <v/>
      </c>
      <c r="G103" s="243" t="inlineStr">
        <is>
          <t>legacy</t>
        </is>
      </c>
      <c r="H103" s="243" t="inlineStr">
        <is>
          <t>retest 1</t>
        </is>
      </c>
      <c r="I103" s="244" t="inlineStr">
        <is>
          <t>CJ052501/01</t>
        </is>
      </c>
      <c r="J103" s="243" t="inlineStr">
        <is>
          <t>P050162</t>
        </is>
      </c>
      <c r="K103" s="243" t="inlineStr">
        <is>
          <t>Cap Junky</t>
        </is>
      </c>
      <c r="L103" s="243" t="inlineStr">
        <is>
          <t>Ident A + Ident B + Foreign matter</t>
        </is>
      </c>
      <c r="M103" s="248" t="inlineStr">
        <is>
          <t>—</t>
        </is>
      </c>
      <c r="N103" s="243">
        <f>IFERROR(INDEX('CoQ Register'!$B:$B,MATCH("P050162|R",'CoQ Register'!$S:$S,0)),"—")</f>
        <v/>
      </c>
      <c r="O103" s="248" t="inlineStr">
        <is>
          <t>—</t>
        </is>
      </c>
      <c r="P103" s="243" t="inlineStr">
        <is>
          <t>30.09.2026</t>
        </is>
      </c>
      <c r="Q103" s="243" t="inlineStr">
        <is>
          <t>20.08.2025</t>
        </is>
      </c>
      <c r="R103" s="243" t="inlineStr">
        <is>
          <t>30.09.2025 – 01.10.2025</t>
        </is>
      </c>
      <c r="S103" s="245">
        <f>IFERROR(INDEX('CoQ Register'!$D:$D,MATCH("P050162|R",'CoQ Register'!$S:$S,0)),"")</f>
        <v/>
      </c>
      <c r="T103" s="243" t="inlineStr">
        <is>
          <t>Conforms</t>
        </is>
      </c>
      <c r="U103" s="243" t="inlineStr">
        <is>
          <t>Conforms</t>
        </is>
      </c>
      <c r="V103" s="243" t="inlineStr">
        <is>
          <t>Conforms</t>
        </is>
      </c>
      <c r="W103" s="243" t="inlineStr">
        <is>
          <t>197-3-K-26, (07.08.2026) [FHM-K]</t>
        </is>
      </c>
      <c r="X103" s="243" t="inlineStr">
        <is>
          <t>197-3-K-26, (07.08.2026) [FHM-K]</t>
        </is>
      </c>
      <c r="Y103" s="243" t="inlineStr">
        <is>
          <t>197-3-M-26, (10.08.2026) [FHM-M]</t>
        </is>
      </c>
      <c r="Z103" s="243" t="inlineStr">
        <is>
          <t>#8, #9, #11, #12 from the initial testing</t>
        </is>
      </c>
      <c r="AA103" s="243" t="inlineStr">
        <is>
          <t>P050162|R</t>
        </is>
      </c>
      <c r="AB103" s="250" t="inlineStr">
        <is>
          <t>registered — retest 1 · Tranche 1 (sampled 21–24.07.2026), tested 21.07.2026, issued 27.07.2026</t>
        </is>
      </c>
    </row>
    <row r="104">
      <c r="A104" s="243" t="n">
        <v>103</v>
      </c>
      <c r="B104" s="244" t="inlineStr">
        <is>
          <t>iCoA-PP_26-103</t>
        </is>
      </c>
      <c r="C104" s="249" t="inlineStr">
        <is>
          <t>yes</t>
        </is>
      </c>
      <c r="D104" s="245" t="n">
        <v>46230</v>
      </c>
      <c r="E104" s="245" t="n">
        <v>46224</v>
      </c>
      <c r="F104" s="245">
        <f>IFERROR(INDEX('Batch Dates'!$G:$G,MATCH(J104,'Batch Dates'!$C:$C,0)),IFERROR(INDEX('Batch Dates'!$G:$G,MATCH(I104,'Batch Dates'!$B:$B,0)),""))</f>
        <v/>
      </c>
      <c r="G104" s="243" t="inlineStr">
        <is>
          <t>legacy</t>
        </is>
      </c>
      <c r="H104" s="243" t="inlineStr">
        <is>
          <t>retest 2</t>
        </is>
      </c>
      <c r="I104" s="244" t="inlineStr">
        <is>
          <t>CJ062501/2</t>
        </is>
      </c>
      <c r="J104" s="243" t="inlineStr">
        <is>
          <t>P050212</t>
        </is>
      </c>
      <c r="K104" s="243" t="inlineStr">
        <is>
          <t>Cap Junky</t>
        </is>
      </c>
      <c r="L104" s="243" t="inlineStr">
        <is>
          <t>Ident A + Ident B + Foreign matter</t>
        </is>
      </c>
      <c r="M104" s="248" t="inlineStr">
        <is>
          <t>—</t>
        </is>
      </c>
      <c r="N104" s="243">
        <f>IFERROR(INDEX('CoQ Register'!$B:$B,MATCH("P050212|R2",'CoQ Register'!$S:$S,0)),"—")</f>
        <v/>
      </c>
      <c r="O104" s="248" t="inlineStr">
        <is>
          <t>—</t>
        </is>
      </c>
      <c r="P104" s="243" t="inlineStr">
        <is>
          <t>24.01.2027</t>
        </is>
      </c>
      <c r="Q104" s="243" t="inlineStr">
        <is>
          <t>23.09.2025 – 24.09.2025</t>
        </is>
      </c>
      <c r="R104" s="243" t="inlineStr">
        <is>
          <t>18.11.2025 – 24.11.2025 (the issuance plan's basis: 24.01.2026)</t>
        </is>
      </c>
      <c r="S104" s="245">
        <f>IFERROR(INDEX('CoQ Register'!$D:$D,MATCH("P050212|R2",'CoQ Register'!$S:$S,0)),"")</f>
        <v/>
      </c>
      <c r="T104" s="243" t="inlineStr">
        <is>
          <t>Conforms</t>
        </is>
      </c>
      <c r="U104" s="243" t="inlineStr">
        <is>
          <t>Conforms</t>
        </is>
      </c>
      <c r="V104" s="243" t="inlineStr">
        <is>
          <t>Conforms</t>
        </is>
      </c>
      <c r="W104" s="243" t="inlineStr">
        <is>
          <t>197-4-K-26, (07.08.2026) [FHM-K]</t>
        </is>
      </c>
      <c r="X104" s="243" t="inlineStr">
        <is>
          <t>197-4-K-26, (07.08.2026) [FHM-K]</t>
        </is>
      </c>
      <c r="Y104" s="243" t="inlineStr">
        <is>
          <t>197-4-M-26, (10.08.2026) [FHM-M]</t>
        </is>
      </c>
      <c r="Z104" s="243" t="inlineStr">
        <is>
          <t>#8, #9, #11, #12 from the initial testing</t>
        </is>
      </c>
      <c r="AA104" s="243" t="inlineStr">
        <is>
          <t>P050212|R2</t>
        </is>
      </c>
      <c r="AB104" s="250" t="inlineStr">
        <is>
          <t>registered — retest 2 · Tranche 1 (sampled 21–24.07.2026), tested 21.07.2026, issued 27.07.2026</t>
        </is>
      </c>
    </row>
    <row r="105">
      <c r="A105" s="243" t="n">
        <v>104</v>
      </c>
      <c r="B105" s="244" t="inlineStr">
        <is>
          <t>iCoA-PP_26-104</t>
        </is>
      </c>
      <c r="C105" s="249" t="inlineStr">
        <is>
          <t>yes</t>
        </is>
      </c>
      <c r="D105" s="245" t="n">
        <v>46230</v>
      </c>
      <c r="E105" s="245" t="n">
        <v>46224</v>
      </c>
      <c r="F105" s="245">
        <f>IFERROR(INDEX('Batch Dates'!$G:$G,MATCH(J105,'Batch Dates'!$C:$C,0)),IFERROR(INDEX('Batch Dates'!$G:$G,MATCH(I105,'Batch Dates'!$B:$B,0)),""))</f>
        <v/>
      </c>
      <c r="G105" s="243" t="inlineStr">
        <is>
          <t>legacy</t>
        </is>
      </c>
      <c r="H105" s="243" t="inlineStr">
        <is>
          <t>retest 1</t>
        </is>
      </c>
      <c r="I105" s="244" t="inlineStr">
        <is>
          <t>CJ082501/2</t>
        </is>
      </c>
      <c r="J105" s="243" t="inlineStr">
        <is>
          <t>P060032</t>
        </is>
      </c>
      <c r="K105" s="243" t="inlineStr">
        <is>
          <t>Cap Junky</t>
        </is>
      </c>
      <c r="L105" s="243" t="inlineStr">
        <is>
          <t>Ident A + Ident B + Foreign matter</t>
        </is>
      </c>
      <c r="M105" s="248" t="inlineStr">
        <is>
          <t>—</t>
        </is>
      </c>
      <c r="N105" s="243">
        <f>IFERROR(INDEX('CoQ Register'!$B:$B,MATCH("P060032|R",'CoQ Register'!$S:$S,0)),"—")</f>
        <v/>
      </c>
      <c r="O105" s="248" t="inlineStr">
        <is>
          <t>—</t>
        </is>
      </c>
      <c r="P105" s="243" t="inlineStr">
        <is>
          <t>29.01.2027</t>
        </is>
      </c>
      <c r="Q105" s="243" t="inlineStr">
        <is>
          <t>10.12.2025</t>
        </is>
      </c>
      <c r="R105" s="243" t="inlineStr">
        <is>
          <t>29.01.2026</t>
        </is>
      </c>
      <c r="S105" s="245">
        <f>IFERROR(INDEX('CoQ Register'!$D:$D,MATCH("P060032|R",'CoQ Register'!$S:$S,0)),"")</f>
        <v/>
      </c>
      <c r="T105" s="243" t="inlineStr">
        <is>
          <t>Conforms</t>
        </is>
      </c>
      <c r="U105" s="243" t="inlineStr">
        <is>
          <t>Conforms</t>
        </is>
      </c>
      <c r="V105" s="243" t="inlineStr">
        <is>
          <t>Conforms</t>
        </is>
      </c>
      <c r="W105" s="243" t="inlineStr">
        <is>
          <t>197-5-K-26, (07.08.2026) [FHM-K]</t>
        </is>
      </c>
      <c r="X105" s="243" t="inlineStr">
        <is>
          <t>197-5-K-26, (07.08.2026) [FHM-K]</t>
        </is>
      </c>
      <c r="Y105" s="243" t="inlineStr">
        <is>
          <t>197-5-M-26, (10.08.2026) [FHM-M]</t>
        </is>
      </c>
      <c r="Z105" s="243" t="inlineStr">
        <is>
          <t>#8, #9, #11, #12 from the initial testing</t>
        </is>
      </c>
      <c r="AA105" s="243" t="inlineStr">
        <is>
          <t>P060032|R</t>
        </is>
      </c>
      <c r="AB105" s="250" t="inlineStr">
        <is>
          <t>registered — retest 1 · Tranche 1 (sampled 21–24.07.2026), tested 21.07.2026, issued 27.07.2026</t>
        </is>
      </c>
    </row>
    <row r="106">
      <c r="A106" s="243" t="n">
        <v>105</v>
      </c>
      <c r="B106" s="244" t="inlineStr">
        <is>
          <t>iCoA-PP_26-105</t>
        </is>
      </c>
      <c r="C106" s="249" t="inlineStr">
        <is>
          <t>yes</t>
        </is>
      </c>
      <c r="D106" s="245" t="n">
        <v>46230</v>
      </c>
      <c r="E106" s="245" t="n">
        <v>46224</v>
      </c>
      <c r="F106" s="245">
        <f>IFERROR(INDEX('Batch Dates'!$G:$G,MATCH(J106,'Batch Dates'!$C:$C,0)),IFERROR(INDEX('Batch Dates'!$G:$G,MATCH(I106,'Batch Dates'!$B:$B,0)),""))</f>
        <v/>
      </c>
      <c r="G106" s="243" t="inlineStr">
        <is>
          <t>post-SOP</t>
        </is>
      </c>
      <c r="H106" s="243" t="inlineStr">
        <is>
          <t>retest 1</t>
        </is>
      </c>
      <c r="I106" s="244" t="inlineStr">
        <is>
          <t>CC012601/1</t>
        </is>
      </c>
      <c r="J106" s="243" t="inlineStr">
        <is>
          <t>P060332</t>
        </is>
      </c>
      <c r="K106" s="243" t="inlineStr">
        <is>
          <t>Cash Cow</t>
        </is>
      </c>
      <c r="L106" s="243" t="inlineStr">
        <is>
          <t>Ident A + Ident B + Foreign matter</t>
        </is>
      </c>
      <c r="M106" s="248" t="inlineStr">
        <is>
          <t>—</t>
        </is>
      </c>
      <c r="N106" s="243">
        <f>IFERROR(INDEX('CoQ Register'!$B:$B,MATCH("P060332|R",'CoQ Register'!$S:$S,0)),"—")</f>
        <v/>
      </c>
      <c r="O106" s="248" t="inlineStr">
        <is>
          <t>—</t>
        </is>
      </c>
      <c r="P106" s="243" t="inlineStr">
        <is>
          <t>10.08.2027</t>
        </is>
      </c>
      <c r="Q106" s="243" t="inlineStr">
        <is>
          <t>16.04.2026</t>
        </is>
      </c>
      <c r="R106" s="243" t="inlineStr">
        <is>
          <t>22.05.2026 (the issuance plan's basis: 10.08.2026)</t>
        </is>
      </c>
      <c r="S106" s="245">
        <f>IFERROR(INDEX('CoQ Register'!$D:$D,MATCH("P060332|R",'CoQ Register'!$S:$S,0)),"")</f>
        <v/>
      </c>
      <c r="T106" s="243" t="inlineStr">
        <is>
          <t>Conforms</t>
        </is>
      </c>
      <c r="U106" s="243" t="inlineStr">
        <is>
          <t>Conforms</t>
        </is>
      </c>
      <c r="V106" s="243" t="inlineStr">
        <is>
          <t>Conforms</t>
        </is>
      </c>
      <c r="W106" s="243" t="inlineStr">
        <is>
          <t>197-6-K-26, (07.08.2026) [FHM-K]</t>
        </is>
      </c>
      <c r="X106" s="243" t="inlineStr">
        <is>
          <t>197-6-K-26, (07.08.2026) [FHM-K]</t>
        </is>
      </c>
      <c r="Y106" s="243" t="inlineStr">
        <is>
          <t>197-6-M-26, (10.08.2026) [FHM-M]</t>
        </is>
      </c>
      <c r="Z106" s="243" t="inlineStr">
        <is>
          <t>#8, #9, #11, #12 from the initial testing</t>
        </is>
      </c>
      <c r="AA106" s="243" t="inlineStr">
        <is>
          <t>P060332|R</t>
        </is>
      </c>
      <c r="AB106" s="250" t="inlineStr">
        <is>
          <t>registered — retest 1 · Tranche 1 (sampled 21–24.07.2026), tested 21.07.2026, issued 27.07.2026</t>
        </is>
      </c>
    </row>
    <row r="107">
      <c r="A107" s="243" t="n">
        <v>106</v>
      </c>
      <c r="B107" s="244" t="inlineStr">
        <is>
          <t>iCoA-PP_26-106</t>
        </is>
      </c>
      <c r="C107" s="249" t="inlineStr">
        <is>
          <t>yes</t>
        </is>
      </c>
      <c r="D107" s="245" t="n">
        <v>46230</v>
      </c>
      <c r="E107" s="245" t="n">
        <v>46225</v>
      </c>
      <c r="F107" s="245">
        <f>IFERROR(INDEX('Batch Dates'!$G:$G,MATCH(J107,'Batch Dates'!$C:$C,0)),IFERROR(INDEX('Batch Dates'!$G:$G,MATCH(I107,'Batch Dates'!$B:$B,0)),""))</f>
        <v/>
      </c>
      <c r="G107" s="243" t="inlineStr">
        <is>
          <t>legacy</t>
        </is>
      </c>
      <c r="H107" s="243" t="inlineStr">
        <is>
          <t>retest 1</t>
        </is>
      </c>
      <c r="I107" s="244" t="inlineStr">
        <is>
          <t>GG1024_01</t>
        </is>
      </c>
      <c r="J107" s="243" t="inlineStr">
        <is>
          <t>P050092</t>
        </is>
      </c>
      <c r="K107" s="243" t="inlineStr">
        <is>
          <t>Gorilla Glue</t>
        </is>
      </c>
      <c r="L107" s="243" t="inlineStr">
        <is>
          <t>Ident A + Ident B + Foreign matter</t>
        </is>
      </c>
      <c r="M107" s="248" t="inlineStr">
        <is>
          <t>—</t>
        </is>
      </c>
      <c r="N107" s="243">
        <f>IFERROR(INDEX('CoQ Register'!$B:$B,MATCH("P050092|R",'CoQ Register'!$S:$S,0)),"—")</f>
        <v/>
      </c>
      <c r="O107" s="248" t="inlineStr">
        <is>
          <t>—</t>
        </is>
      </c>
      <c r="P107" s="243" t="inlineStr">
        <is>
          <t>31.07.2026</t>
        </is>
      </c>
      <c r="Q107" s="243" t="inlineStr">
        <is>
          <t>17.03.2025 – 18.03.2025</t>
        </is>
      </c>
      <c r="R107" s="243" t="inlineStr">
        <is>
          <t>31.07.2025 – 05.08.2025</t>
        </is>
      </c>
      <c r="S107" s="245">
        <f>IFERROR(INDEX('CoQ Register'!$D:$D,MATCH("P050092|R",'CoQ Register'!$S:$S,0)),"")</f>
        <v/>
      </c>
      <c r="T107" s="243" t="inlineStr">
        <is>
          <t>Conforms</t>
        </is>
      </c>
      <c r="U107" s="243" t="inlineStr">
        <is>
          <t>Conforms</t>
        </is>
      </c>
      <c r="V107" s="243" t="inlineStr">
        <is>
          <t>Conforms</t>
        </is>
      </c>
      <c r="W107" s="243" t="inlineStr">
        <is>
          <t>197-9-K-26, (07.08.2026) [FHM-K]</t>
        </is>
      </c>
      <c r="X107" s="243" t="inlineStr">
        <is>
          <t>197-9-K-26, (07.08.2026) [FHM-K]</t>
        </is>
      </c>
      <c r="Y107" s="243" t="inlineStr">
        <is>
          <t>197-9-M-26, (10.08.2026) [FHM-M]</t>
        </is>
      </c>
      <c r="Z107" s="243" t="inlineStr">
        <is>
          <t>#8, #9, #11, #12 from the initial testing</t>
        </is>
      </c>
      <c r="AA107" s="243" t="inlineStr">
        <is>
          <t>P050092|R</t>
        </is>
      </c>
      <c r="AB107" s="250" t="inlineStr">
        <is>
          <t>registered — retest 1 · Tranche 1 (sampled 21–24.07.2026), tested 22.07.2026, issued 27.07.2026</t>
        </is>
      </c>
    </row>
    <row r="108">
      <c r="A108" s="243" t="n">
        <v>107</v>
      </c>
      <c r="B108" s="244" t="inlineStr">
        <is>
          <t>iCoA-PP_26-107</t>
        </is>
      </c>
      <c r="C108" s="249" t="inlineStr">
        <is>
          <t>yes</t>
        </is>
      </c>
      <c r="D108" s="245" t="n">
        <v>46230</v>
      </c>
      <c r="E108" s="245" t="n">
        <v>46225</v>
      </c>
      <c r="F108" s="245">
        <f>IFERROR(INDEX('Batch Dates'!$G:$G,MATCH(J108,'Batch Dates'!$C:$C,0)),IFERROR(INDEX('Batch Dates'!$G:$G,MATCH(I108,'Batch Dates'!$B:$B,0)),""))</f>
        <v/>
      </c>
      <c r="G108" s="243" t="inlineStr">
        <is>
          <t>legacy</t>
        </is>
      </c>
      <c r="H108" s="243" t="inlineStr">
        <is>
          <t>retest 1</t>
        </is>
      </c>
      <c r="I108" s="244" t="inlineStr">
        <is>
          <t>GP052501</t>
        </is>
      </c>
      <c r="J108" s="243" t="inlineStr">
        <is>
          <t>P050152</t>
        </is>
      </c>
      <c r="K108" s="243" t="inlineStr">
        <is>
          <t>Grape Pie</t>
        </is>
      </c>
      <c r="L108" s="243" t="inlineStr">
        <is>
          <t>Ident A + Ident B + Foreign matter</t>
        </is>
      </c>
      <c r="M108" s="248" t="inlineStr">
        <is>
          <t>—</t>
        </is>
      </c>
      <c r="N108" s="243">
        <f>IFERROR(INDEX('CoQ Register'!$B:$B,MATCH("P050152|R",'CoQ Register'!$S:$S,0)),"—")</f>
        <v/>
      </c>
      <c r="O108" s="248" t="inlineStr">
        <is>
          <t>—</t>
        </is>
      </c>
      <c r="P108" s="243" t="inlineStr">
        <is>
          <t>25.09.2026</t>
        </is>
      </c>
      <c r="Q108" s="243" t="inlineStr">
        <is>
          <t>— not given —</t>
        </is>
      </c>
      <c r="R108" s="243" t="inlineStr">
        <is>
          <t>25.09.2025</t>
        </is>
      </c>
      <c r="S108" s="245">
        <f>IFERROR(INDEX('CoQ Register'!$D:$D,MATCH("P050152|R",'CoQ Register'!$S:$S,0)),"")</f>
        <v/>
      </c>
      <c r="T108" s="243" t="inlineStr">
        <is>
          <t>Conforms</t>
        </is>
      </c>
      <c r="U108" s="243" t="inlineStr">
        <is>
          <t>Conforms</t>
        </is>
      </c>
      <c r="V108" s="243" t="inlineStr">
        <is>
          <t>Conforms</t>
        </is>
      </c>
      <c r="W108" s="243" t="inlineStr">
        <is>
          <t>197-10-K-26, (07.08.2026) [FHM-K]</t>
        </is>
      </c>
      <c r="X108" s="243" t="inlineStr">
        <is>
          <t>197-10-K-26, (07.08.2026) [FHM-K]</t>
        </is>
      </c>
      <c r="Y108" s="243" t="inlineStr">
        <is>
          <t>197-10-M-26, (10.08.2026) [FHM-M]</t>
        </is>
      </c>
      <c r="Z108" s="243" t="inlineStr">
        <is>
          <t>#8, #9, #11, #12 from the initial testing</t>
        </is>
      </c>
      <c r="AA108" s="243" t="inlineStr">
        <is>
          <t>P050152|R</t>
        </is>
      </c>
      <c r="AB108" s="250" t="inlineStr">
        <is>
          <t>registered — retest 1 · Tranche 1 (sampled 21–24.07.2026), tested 22.07.2026, issued 27.07.2026</t>
        </is>
      </c>
    </row>
    <row r="109">
      <c r="A109" s="243" t="n">
        <v>108</v>
      </c>
      <c r="B109" s="244" t="inlineStr">
        <is>
          <t>iCoA-PP_26-108</t>
        </is>
      </c>
      <c r="C109" s="249" t="inlineStr">
        <is>
          <t>yes</t>
        </is>
      </c>
      <c r="D109" s="245" t="n">
        <v>46230</v>
      </c>
      <c r="E109" s="245" t="n">
        <v>46225</v>
      </c>
      <c r="F109" s="245">
        <f>IFERROR(INDEX('Batch Dates'!$G:$G,MATCH(J109,'Batch Dates'!$C:$C,0)),IFERROR(INDEX('Batch Dates'!$G:$G,MATCH(I109,'Batch Dates'!$B:$B,0)),""))</f>
        <v/>
      </c>
      <c r="G109" s="243" t="inlineStr">
        <is>
          <t>legacy</t>
        </is>
      </c>
      <c r="H109" s="243" t="inlineStr">
        <is>
          <t>retest 5</t>
        </is>
      </c>
      <c r="I109" s="244" t="inlineStr">
        <is>
          <t>GP0824_02</t>
        </is>
      </c>
      <c r="J109" s="243" t="inlineStr">
        <is>
          <t>P050022</t>
        </is>
      </c>
      <c r="K109" s="243" t="inlineStr">
        <is>
          <t>Grape Pie</t>
        </is>
      </c>
      <c r="L109" s="243" t="inlineStr">
        <is>
          <t>Ident A + Ident B + Foreign matter</t>
        </is>
      </c>
      <c r="M109" s="248" t="inlineStr">
        <is>
          <t>—</t>
        </is>
      </c>
      <c r="N109" s="243">
        <f>IFERROR(INDEX('CoQ Register'!$B:$B,MATCH("P050022|R5",'CoQ Register'!$S:$S,0)),"—")</f>
        <v/>
      </c>
      <c r="O109" s="248" t="inlineStr">
        <is>
          <t>—</t>
        </is>
      </c>
      <c r="P109" s="243" t="inlineStr">
        <is>
          <t>03.06.2026</t>
        </is>
      </c>
      <c r="Q109" s="243" t="inlineStr">
        <is>
          <t>22.04.2025 – 23.04.2025</t>
        </is>
      </c>
      <c r="R109" s="243" t="inlineStr">
        <is>
          <t>03.06.2025 – 11.06.2025</t>
        </is>
      </c>
      <c r="S109" s="245">
        <f>IFERROR(INDEX('CoQ Register'!$D:$D,MATCH("P050022|R5",'CoQ Register'!$S:$S,0)),"")</f>
        <v/>
      </c>
      <c r="T109" s="243" t="inlineStr">
        <is>
          <t>Conforms</t>
        </is>
      </c>
      <c r="U109" s="243" t="inlineStr">
        <is>
          <t>Conforms</t>
        </is>
      </c>
      <c r="V109" s="243" t="inlineStr">
        <is>
          <t>Conforms</t>
        </is>
      </c>
      <c r="W109" s="243" t="inlineStr">
        <is>
          <t>197-11-K-26, (07.08.2026) [FHM-K]</t>
        </is>
      </c>
      <c r="X109" s="243" t="inlineStr">
        <is>
          <t>197-11-K-26, (07.08.2026) [FHM-K]</t>
        </is>
      </c>
      <c r="Y109" s="243" t="inlineStr">
        <is>
          <t>197-11-M-26, (10.08.2026) [FHM-M]</t>
        </is>
      </c>
      <c r="Z109" s="243" t="inlineStr">
        <is>
          <t>#8, #9, #11, #12 from the initial testing</t>
        </is>
      </c>
      <c r="AA109" s="243" t="inlineStr">
        <is>
          <t>P050022|R5</t>
        </is>
      </c>
      <c r="AB109" s="250" t="inlineStr">
        <is>
          <t>registered — retest 5 · Tranche 1 (sampled 21–24.07.2026), tested 22.07.2026, issued 27.07.2026</t>
        </is>
      </c>
    </row>
    <row r="110">
      <c r="A110" s="243" t="n">
        <v>109</v>
      </c>
      <c r="B110" s="244" t="inlineStr">
        <is>
          <t>iCoA-PP_26-109</t>
        </is>
      </c>
      <c r="C110" s="249" t="inlineStr">
        <is>
          <t>yes</t>
        </is>
      </c>
      <c r="D110" s="245" t="n">
        <v>46230</v>
      </c>
      <c r="E110" s="245" t="n">
        <v>46225</v>
      </c>
      <c r="F110" s="245">
        <f>IFERROR(INDEX('Batch Dates'!$G:$G,MATCH(J110,'Batch Dates'!$C:$C,0)),IFERROR(INDEX('Batch Dates'!$G:$G,MATCH(I110,'Batch Dates'!$B:$B,0)),""))</f>
        <v/>
      </c>
      <c r="G110" s="243" t="inlineStr">
        <is>
          <t>post-SOP</t>
        </is>
      </c>
      <c r="H110" s="243" t="inlineStr">
        <is>
          <t>retest 1</t>
        </is>
      </c>
      <c r="I110" s="244" t="inlineStr">
        <is>
          <t>FB012602*</t>
        </is>
      </c>
      <c r="J110" s="243" t="inlineStr">
        <is>
          <t>P060352</t>
        </is>
      </c>
      <c r="K110" s="243" t="inlineStr">
        <is>
          <t>Fat Bastard</t>
        </is>
      </c>
      <c r="L110" s="243" t="inlineStr">
        <is>
          <t>Ident A + Ident B + Foreign matter</t>
        </is>
      </c>
      <c r="M110" s="248" t="inlineStr">
        <is>
          <t>—</t>
        </is>
      </c>
      <c r="N110" s="243">
        <f>IFERROR(INDEX('CoQ Register'!$B:$B,MATCH("P060352|R",'CoQ Register'!$S:$S,0)),"—")</f>
        <v/>
      </c>
      <c r="O110" s="248" t="inlineStr">
        <is>
          <t>—</t>
        </is>
      </c>
      <c r="P110" s="243" t="inlineStr">
        <is>
          <t>23.05.2027</t>
        </is>
      </c>
      <c r="Q110" s="243" t="inlineStr">
        <is>
          <t>16.04.2026</t>
        </is>
      </c>
      <c r="R110" s="243" t="inlineStr">
        <is>
          <t>23.05.2026</t>
        </is>
      </c>
      <c r="S110" s="245">
        <f>IFERROR(INDEX('CoQ Register'!$D:$D,MATCH("P060352|R",'CoQ Register'!$S:$S,0)),"")</f>
        <v/>
      </c>
      <c r="T110" s="243" t="inlineStr">
        <is>
          <t>Conforms</t>
        </is>
      </c>
      <c r="U110" s="243" t="inlineStr">
        <is>
          <t>Conforms</t>
        </is>
      </c>
      <c r="V110" s="243" t="inlineStr">
        <is>
          <t>Conforms</t>
        </is>
      </c>
      <c r="W110" s="243" t="inlineStr">
        <is>
          <t>197-7-K-26, (07.08.2026) [FHM-K]</t>
        </is>
      </c>
      <c r="X110" s="243" t="inlineStr">
        <is>
          <t>197-7-K-26, (07.08.2026) [FHM-K]</t>
        </is>
      </c>
      <c r="Y110" s="243" t="inlineStr">
        <is>
          <t>197-7-M-26, (10.08.2026) [FHM-M]</t>
        </is>
      </c>
      <c r="Z110" s="243" t="inlineStr">
        <is>
          <t>#8, #9, #11, #12 from the initial testing</t>
        </is>
      </c>
      <c r="AA110" s="243" t="inlineStr">
        <is>
          <t>P060352|R</t>
        </is>
      </c>
      <c r="AB110" s="250" t="inlineStr">
        <is>
          <t>registered — retest 1 · Tranche 1 (sampled 21–24.07.2026), tested 22.07.2026, issued 27.07.2026</t>
        </is>
      </c>
    </row>
    <row r="111">
      <c r="A111" s="243" t="n">
        <v>110</v>
      </c>
      <c r="B111" s="244" t="inlineStr">
        <is>
          <t>iCoA-PP_26-110</t>
        </is>
      </c>
      <c r="C111" s="249" t="inlineStr">
        <is>
          <t>yes</t>
        </is>
      </c>
      <c r="D111" s="245" t="n">
        <v>46230</v>
      </c>
      <c r="E111" s="245" t="n">
        <v>46225</v>
      </c>
      <c r="F111" s="245">
        <f>IFERROR(INDEX('Batch Dates'!$G:$G,MATCH(J111,'Batch Dates'!$C:$C,0)),IFERROR(INDEX('Batch Dates'!$G:$G,MATCH(I111,'Batch Dates'!$B:$B,0)),""))</f>
        <v/>
      </c>
      <c r="G111" s="243" t="inlineStr">
        <is>
          <t>post-SOP</t>
        </is>
      </c>
      <c r="H111" s="243" t="inlineStr">
        <is>
          <t>retest 1</t>
        </is>
      </c>
      <c r="I111" s="244" t="inlineStr">
        <is>
          <t>GG012603</t>
        </is>
      </c>
      <c r="J111" s="243" t="inlineStr">
        <is>
          <t>P060402</t>
        </is>
      </c>
      <c r="K111" s="243" t="inlineStr">
        <is>
          <t>Gorilla Glue</t>
        </is>
      </c>
      <c r="L111" s="243" t="inlineStr">
        <is>
          <t>Ident A + Ident B + Foreign matter</t>
        </is>
      </c>
      <c r="M111" s="248" t="inlineStr">
        <is>
          <t>—</t>
        </is>
      </c>
      <c r="N111" s="243">
        <f>IFERROR(INDEX('CoQ Register'!$B:$B,MATCH("P060402|R",'CoQ Register'!$S:$S,0)),"—")</f>
        <v/>
      </c>
      <c r="O111" s="248" t="inlineStr">
        <is>
          <t>—</t>
        </is>
      </c>
      <c r="P111" s="243" t="inlineStr">
        <is>
          <t>24.05.2027</t>
        </is>
      </c>
      <c r="Q111" s="243" t="inlineStr">
        <is>
          <t>04.05.2026</t>
        </is>
      </c>
      <c r="R111" s="243" t="inlineStr">
        <is>
          <t>24.05.2026</t>
        </is>
      </c>
      <c r="S111" s="245">
        <f>IFERROR(INDEX('CoQ Register'!$D:$D,MATCH("P060402|R",'CoQ Register'!$S:$S,0)),"")</f>
        <v/>
      </c>
      <c r="T111" s="243" t="inlineStr">
        <is>
          <t>CNP ППК26114</t>
        </is>
      </c>
      <c r="U111" s="243" t="inlineStr">
        <is>
          <t>CNP ППК26114</t>
        </is>
      </c>
      <c r="V111" s="243" t="inlineStr">
        <is>
          <t>Conforms</t>
        </is>
      </c>
      <c r="W111" s="243" t="inlineStr">
        <is>
          <t>197-8-K-26, (07.08.2026) [FHM-K]</t>
        </is>
      </c>
      <c r="X111" s="243" t="inlineStr">
        <is>
          <t>197-8-K-26, (07.08.2026) [FHM-K]</t>
        </is>
      </c>
      <c r="Y111" s="243" t="inlineStr">
        <is>
          <t>197-8-M-26, (10.08.2026) [FHM-M]</t>
        </is>
      </c>
      <c r="Z111" s="243" t="inlineStr">
        <is>
          <t>#8, #9, #11, #12 from the initial testing</t>
        </is>
      </c>
      <c r="AA111" s="243" t="inlineStr">
        <is>
          <t>P060402|R</t>
        </is>
      </c>
      <c r="AB111" s="250" t="inlineStr">
        <is>
          <t>registered — retest 1 · Tranche 1 (sampled 21–24.07.2026), tested 22.07.2026, issued 27.07.2026</t>
        </is>
      </c>
    </row>
    <row r="112">
      <c r="A112" s="243" t="n">
        <v>111</v>
      </c>
      <c r="B112" s="244" t="inlineStr">
        <is>
          <t>iCoA-PP_26-111</t>
        </is>
      </c>
      <c r="C112" s="249" t="inlineStr">
        <is>
          <t>yes</t>
        </is>
      </c>
      <c r="D112" s="245" t="n">
        <v>46230</v>
      </c>
      <c r="E112" s="245" t="n">
        <v>46226</v>
      </c>
      <c r="F112" s="245">
        <f>IFERROR(INDEX('Batch Dates'!$G:$G,MATCH(J112,'Batch Dates'!$C:$C,0)),IFERROR(INDEX('Batch Dates'!$G:$G,MATCH(I112,'Batch Dates'!$B:$B,0)),""))</f>
        <v/>
      </c>
      <c r="G112" s="243" t="inlineStr">
        <is>
          <t>legacy</t>
        </is>
      </c>
      <c r="H112" s="243" t="inlineStr">
        <is>
          <t>retest 1</t>
        </is>
      </c>
      <c r="I112" s="244" t="inlineStr">
        <is>
          <t>GP082501/2</t>
        </is>
      </c>
      <c r="J112" s="243" t="inlineStr">
        <is>
          <t>P050322</t>
        </is>
      </c>
      <c r="K112" s="243" t="inlineStr">
        <is>
          <t>Grape Pie</t>
        </is>
      </c>
      <c r="L112" s="243" t="inlineStr">
        <is>
          <t>Ident A + Ident B + Foreign matter</t>
        </is>
      </c>
      <c r="M112" s="248" t="inlineStr">
        <is>
          <t>—</t>
        </is>
      </c>
      <c r="N112" s="243">
        <f>IFERROR(INDEX('CoQ Register'!$B:$B,MATCH("P050322|R",'CoQ Register'!$S:$S,0)),"—")</f>
        <v/>
      </c>
      <c r="O112" s="248" t="inlineStr">
        <is>
          <t>—</t>
        </is>
      </c>
      <c r="P112" s="243" t="inlineStr">
        <is>
          <t>26.12.2026</t>
        </is>
      </c>
      <c r="Q112" s="243" t="inlineStr">
        <is>
          <t>20.11.2025</t>
        </is>
      </c>
      <c r="R112" s="243" t="inlineStr">
        <is>
          <t>26.12.2025</t>
        </is>
      </c>
      <c r="S112" s="245">
        <f>IFERROR(INDEX('CoQ Register'!$D:$D,MATCH("P050322|R",'CoQ Register'!$S:$S,0)),"")</f>
        <v/>
      </c>
      <c r="T112" s="243" t="inlineStr">
        <is>
          <t>Conforms</t>
        </is>
      </c>
      <c r="U112" s="243" t="inlineStr">
        <is>
          <t>Conforms</t>
        </is>
      </c>
      <c r="V112" s="243" t="inlineStr">
        <is>
          <t>Conforms</t>
        </is>
      </c>
      <c r="W112" s="243" t="inlineStr">
        <is>
          <t>197-12-K-26, (07.08.2026) [FHM-K]</t>
        </is>
      </c>
      <c r="X112" s="243" t="inlineStr">
        <is>
          <t>197-12-K-26, (07.08.2026) [FHM-K]</t>
        </is>
      </c>
      <c r="Y112" s="243" t="inlineStr">
        <is>
          <t>197-12-M-26, (10.08.2026) [FHM-M]</t>
        </is>
      </c>
      <c r="Z112" s="243" t="inlineStr">
        <is>
          <t>#8, #9, #11, #12 from the initial testing</t>
        </is>
      </c>
      <c r="AA112" s="243" t="inlineStr">
        <is>
          <t>P050322|R</t>
        </is>
      </c>
      <c r="AB112" s="250" t="inlineStr">
        <is>
          <t>registered — retest 1 · Tranche 1 (sampled 21–24.07.2026), tested 23.07.2026, issued 27.07.2026</t>
        </is>
      </c>
    </row>
    <row r="113">
      <c r="A113" s="243" t="n">
        <v>112</v>
      </c>
      <c r="B113" s="244" t="inlineStr">
        <is>
          <t>iCoA-PP_26-112</t>
        </is>
      </c>
      <c r="C113" s="249" t="inlineStr">
        <is>
          <t>yes</t>
        </is>
      </c>
      <c r="D113" s="245" t="n">
        <v>46230</v>
      </c>
      <c r="E113" s="245" t="n">
        <v>46226</v>
      </c>
      <c r="F113" s="245">
        <f>IFERROR(INDEX('Batch Dates'!$G:$G,MATCH(J113,'Batch Dates'!$C:$C,0)),IFERROR(INDEX('Batch Dates'!$G:$G,MATCH(I113,'Batch Dates'!$B:$B,0)),""))</f>
        <v/>
      </c>
      <c r="G113" s="243" t="inlineStr">
        <is>
          <t>legacy</t>
        </is>
      </c>
      <c r="H113" s="243" t="inlineStr">
        <is>
          <t>retest 1</t>
        </is>
      </c>
      <c r="I113" s="244" t="inlineStr">
        <is>
          <t>HPA1024</t>
        </is>
      </c>
      <c r="J113" s="243" t="inlineStr">
        <is>
          <t>N/A — no P batch assigned</t>
        </is>
      </c>
      <c r="K113" s="243" t="inlineStr">
        <is>
          <t>High Pro Amnesia</t>
        </is>
      </c>
      <c r="L113" s="243" t="inlineStr">
        <is>
          <t>Ident A + Ident B + Foreign matter</t>
        </is>
      </c>
      <c r="M113" s="248" t="inlineStr">
        <is>
          <t>—</t>
        </is>
      </c>
      <c r="N113" s="243">
        <f>IFERROR(INDEX('CoQ Register'!$B:$B,MATCH("HPA1024|R",'CoQ Register'!$S:$S,0)),"—")</f>
        <v/>
      </c>
      <c r="O113" s="248" t="inlineStr">
        <is>
          <t>—</t>
        </is>
      </c>
      <c r="P113" s="243" t="inlineStr">
        <is>
          <t>11.04.2026</t>
        </is>
      </c>
      <c r="Q113" s="243" t="inlineStr">
        <is>
          <t>22.01.2025</t>
        </is>
      </c>
      <c r="R113" s="243" t="inlineStr">
        <is>
          <t>11.04.2025</t>
        </is>
      </c>
      <c r="S113" s="245">
        <f>IFERROR(INDEX('CoQ Register'!$D:$D,MATCH("HPA1024|R",'CoQ Register'!$S:$S,0)),"")</f>
        <v/>
      </c>
      <c r="T113" s="243" t="inlineStr">
        <is>
          <t>Conforms</t>
        </is>
      </c>
      <c r="U113" s="243" t="inlineStr">
        <is>
          <t>Conforms</t>
        </is>
      </c>
      <c r="V113" s="243" t="inlineStr">
        <is>
          <t>Conforms</t>
        </is>
      </c>
      <c r="W113" s="243" t="inlineStr">
        <is>
          <t>197-13-K-26, (07.08.2026) [FHM-K]</t>
        </is>
      </c>
      <c r="X113" s="243" t="inlineStr">
        <is>
          <t>197-13-K-26, (07.08.2026) [FHM-K]</t>
        </is>
      </c>
      <c r="Y113" s="243" t="inlineStr">
        <is>
          <t>197-13-M-26, (10.08.2026) [FHM-M]</t>
        </is>
      </c>
      <c r="Z113" s="243" t="inlineStr">
        <is>
          <t>#8, #9, #11, #12 from the initial testing</t>
        </is>
      </c>
      <c r="AA113" s="243" t="inlineStr">
        <is>
          <t>HPA1024|R</t>
        </is>
      </c>
      <c r="AB113" s="250" t="inlineStr">
        <is>
          <t>registered — retest 1 · Tranche 1 (sampled 21–24.07.2026), tested 23.07.2026, issued 27.07.2026</t>
        </is>
      </c>
    </row>
    <row r="114">
      <c r="A114" s="243" t="n">
        <v>113</v>
      </c>
      <c r="B114" s="244" t="inlineStr">
        <is>
          <t>iCoA-PP_26-113</t>
        </is>
      </c>
      <c r="C114" s="249" t="inlineStr">
        <is>
          <t>yes</t>
        </is>
      </c>
      <c r="D114" s="245" t="n">
        <v>46230</v>
      </c>
      <c r="E114" s="245" t="n">
        <v>46226</v>
      </c>
      <c r="F114" s="245">
        <f>IFERROR(INDEX('Batch Dates'!$G:$G,MATCH(J114,'Batch Dates'!$C:$C,0)),IFERROR(INDEX('Batch Dates'!$G:$G,MATCH(I114,'Batch Dates'!$B:$B,0)),""))</f>
        <v/>
      </c>
      <c r="G114" s="243" t="inlineStr">
        <is>
          <t>legacy</t>
        </is>
      </c>
      <c r="H114" s="243" t="inlineStr">
        <is>
          <t>retest 1</t>
        </is>
      </c>
      <c r="I114" s="244" t="inlineStr">
        <is>
          <t>HPA1024_01</t>
        </is>
      </c>
      <c r="J114" s="243" t="inlineStr">
        <is>
          <t>P050052</t>
        </is>
      </c>
      <c r="K114" s="243" t="inlineStr">
        <is>
          <t>High Pro Amnesia</t>
        </is>
      </c>
      <c r="L114" s="243" t="inlineStr">
        <is>
          <t>Ident A + Ident B + Foreign matter</t>
        </is>
      </c>
      <c r="M114" s="248" t="inlineStr">
        <is>
          <t>—</t>
        </is>
      </c>
      <c r="N114" s="243">
        <f>IFERROR(INDEX('CoQ Register'!$B:$B,MATCH("P050052|R",'CoQ Register'!$S:$S,0)),"—")</f>
        <v/>
      </c>
      <c r="O114" s="248" t="inlineStr">
        <is>
          <t>—</t>
        </is>
      </c>
      <c r="P114" s="243" t="inlineStr">
        <is>
          <t>27.06.2026</t>
        </is>
      </c>
      <c r="Q114" s="243" t="inlineStr">
        <is>
          <t>27.05.2025 – 28.05.2025</t>
        </is>
      </c>
      <c r="R114" s="243" t="inlineStr">
        <is>
          <t>27.06.2025 – 04.07.2025</t>
        </is>
      </c>
      <c r="S114" s="245">
        <f>IFERROR(INDEX('CoQ Register'!$D:$D,MATCH("P050052|R",'CoQ Register'!$S:$S,0)),"")</f>
        <v/>
      </c>
      <c r="T114" s="243" t="inlineStr">
        <is>
          <t>Conforms</t>
        </is>
      </c>
      <c r="U114" s="243" t="inlineStr">
        <is>
          <t>Conforms</t>
        </is>
      </c>
      <c r="V114" s="243" t="inlineStr">
        <is>
          <t>Conforms</t>
        </is>
      </c>
      <c r="W114" s="243" t="inlineStr">
        <is>
          <t>197-14-K-26, (07.08.2026) [FHM-K]</t>
        </is>
      </c>
      <c r="X114" s="243" t="inlineStr">
        <is>
          <t>197-14-K-26, (07.08.2026) [FHM-K]</t>
        </is>
      </c>
      <c r="Y114" s="243" t="inlineStr">
        <is>
          <t>197-14-M-26, (10.08.2026) [FHM-M]</t>
        </is>
      </c>
      <c r="Z114" s="243" t="inlineStr">
        <is>
          <t>#8, #9, #11, #12 from the initial testing</t>
        </is>
      </c>
      <c r="AA114" s="243" t="inlineStr">
        <is>
          <t>P050052|R</t>
        </is>
      </c>
      <c r="AB114" s="250" t="inlineStr">
        <is>
          <t>registered — retest 1 · Tranche 1 (sampled 21–24.07.2026), tested 23.07.2026, issued 27.07.2026</t>
        </is>
      </c>
    </row>
    <row r="115">
      <c r="A115" s="243" t="n">
        <v>114</v>
      </c>
      <c r="B115" s="244" t="inlineStr">
        <is>
          <t>iCoA-PP_26-114</t>
        </is>
      </c>
      <c r="C115" s="249" t="inlineStr">
        <is>
          <t>yes</t>
        </is>
      </c>
      <c r="D115" s="245" t="n">
        <v>46230</v>
      </c>
      <c r="E115" s="245" t="n">
        <v>46226</v>
      </c>
      <c r="F115" s="245">
        <f>IFERROR(INDEX('Batch Dates'!$G:$G,MATCH(J115,'Batch Dates'!$C:$C,0)),IFERROR(INDEX('Batch Dates'!$G:$G,MATCH(I115,'Batch Dates'!$B:$B,0)),""))</f>
        <v/>
      </c>
      <c r="G115" s="243" t="inlineStr">
        <is>
          <t>legacy</t>
        </is>
      </c>
      <c r="H115" s="243" t="inlineStr">
        <is>
          <t>retest 1</t>
        </is>
      </c>
      <c r="I115" s="244" t="inlineStr">
        <is>
          <t>J31102501</t>
        </is>
      </c>
      <c r="J115" s="243" t="inlineStr">
        <is>
          <t>P060152</t>
        </is>
      </c>
      <c r="K115" s="243" t="inlineStr">
        <is>
          <t>Jokerz 31</t>
        </is>
      </c>
      <c r="L115" s="243" t="inlineStr">
        <is>
          <t>Ident A + Ident B + Foreign matter</t>
        </is>
      </c>
      <c r="M115" s="248" t="inlineStr">
        <is>
          <t>—</t>
        </is>
      </c>
      <c r="N115" s="243">
        <f>IFERROR(INDEX('CoQ Register'!$B:$B,MATCH("P060152|R",'CoQ Register'!$S:$S,0)),"—")</f>
        <v/>
      </c>
      <c r="O115" s="248" t="inlineStr">
        <is>
          <t>—</t>
        </is>
      </c>
      <c r="P115" s="243" t="inlineStr">
        <is>
          <t>05.03.2027</t>
        </is>
      </c>
      <c r="Q115" s="243" t="inlineStr">
        <is>
          <t>21.01.2026</t>
        </is>
      </c>
      <c r="R115" s="243" t="inlineStr">
        <is>
          <t>05.03.2026</t>
        </is>
      </c>
      <c r="S115" s="245">
        <f>IFERROR(INDEX('CoQ Register'!$D:$D,MATCH("P060152|R",'CoQ Register'!$S:$S,0)),"")</f>
        <v/>
      </c>
      <c r="T115" s="243" t="inlineStr">
        <is>
          <t>Conforms</t>
        </is>
      </c>
      <c r="U115" s="243" t="inlineStr">
        <is>
          <t>Conforms</t>
        </is>
      </c>
      <c r="V115" s="243" t="inlineStr">
        <is>
          <t>Conforms</t>
        </is>
      </c>
      <c r="W115" s="243" t="inlineStr">
        <is>
          <t>197-16-K-26, (07.08.2026) [FHM-K]</t>
        </is>
      </c>
      <c r="X115" s="243" t="inlineStr">
        <is>
          <t>197-16-K-26, (07.08.2026) [FHM-K]</t>
        </is>
      </c>
      <c r="Y115" s="243" t="inlineStr">
        <is>
          <t>197-16-M-26, (10.08.2026) [FHM-M]</t>
        </is>
      </c>
      <c r="Z115" s="243" t="inlineStr">
        <is>
          <t>#8, #9, #11, #12 from the initial testing</t>
        </is>
      </c>
      <c r="AA115" s="243" t="inlineStr">
        <is>
          <t>P060152|R</t>
        </is>
      </c>
      <c r="AB115" s="250" t="inlineStr">
        <is>
          <t>registered — retest 1 · Tranche 1 (sampled 21–24.07.2026), tested 23.07.2026, issued 27.07.2026</t>
        </is>
      </c>
    </row>
    <row r="116">
      <c r="A116" s="243" t="n">
        <v>115</v>
      </c>
      <c r="B116" s="244" t="inlineStr">
        <is>
          <t>iCoA-PP_26-115</t>
        </is>
      </c>
      <c r="C116" s="249" t="inlineStr">
        <is>
          <t>yes</t>
        </is>
      </c>
      <c r="D116" s="245" t="n">
        <v>46230</v>
      </c>
      <c r="E116" s="245" t="n">
        <v>46226</v>
      </c>
      <c r="F116" s="245">
        <f>IFERROR(INDEX('Batch Dates'!$G:$G,MATCH(J116,'Batch Dates'!$C:$C,0)),IFERROR(INDEX('Batch Dates'!$G:$G,MATCH(I116,'Batch Dates'!$B:$B,0)),""))</f>
        <v/>
      </c>
      <c r="G116" s="243" t="inlineStr">
        <is>
          <t>legacy</t>
        </is>
      </c>
      <c r="H116" s="243" t="inlineStr">
        <is>
          <t>retest 1</t>
        </is>
      </c>
      <c r="I116" s="244" t="inlineStr">
        <is>
          <t>JD112501</t>
        </is>
      </c>
      <c r="J116" s="243" t="inlineStr">
        <is>
          <t>P060212</t>
        </is>
      </c>
      <c r="K116" s="243" t="inlineStr">
        <is>
          <t>Jelly Donuts</t>
        </is>
      </c>
      <c r="L116" s="243" t="inlineStr">
        <is>
          <t>Ident A + Ident B + Foreign matter</t>
        </is>
      </c>
      <c r="M116" s="248" t="inlineStr">
        <is>
          <t>—</t>
        </is>
      </c>
      <c r="N116" s="243">
        <f>IFERROR(INDEX('CoQ Register'!$B:$B,MATCH("P060212|R",'CoQ Register'!$S:$S,0)),"—")</f>
        <v/>
      </c>
      <c r="O116" s="248" t="inlineStr">
        <is>
          <t>—</t>
        </is>
      </c>
      <c r="P116" s="243" t="inlineStr">
        <is>
          <t>21.04.2027</t>
        </is>
      </c>
      <c r="Q116" s="243" t="inlineStr">
        <is>
          <t>25.03.2026</t>
        </is>
      </c>
      <c r="R116" s="243" t="inlineStr">
        <is>
          <t>21.04.2026</t>
        </is>
      </c>
      <c r="S116" s="245">
        <f>IFERROR(INDEX('CoQ Register'!$D:$D,MATCH("P060212|R",'CoQ Register'!$S:$S,0)),"")</f>
        <v/>
      </c>
      <c r="T116" s="243" t="inlineStr">
        <is>
          <t>Conforms</t>
        </is>
      </c>
      <c r="U116" s="243" t="inlineStr">
        <is>
          <t>Conforms</t>
        </is>
      </c>
      <c r="V116" s="243" t="inlineStr">
        <is>
          <t>Conforms</t>
        </is>
      </c>
      <c r="W116" s="243" t="inlineStr">
        <is>
          <t>197-15-K-26, (07.08.2026) [FHM-K]</t>
        </is>
      </c>
      <c r="X116" s="243" t="inlineStr">
        <is>
          <t>197-15-K-26, (07.08.2026) [FHM-K]</t>
        </is>
      </c>
      <c r="Y116" s="243" t="inlineStr">
        <is>
          <t>197-15-M-26, (10.08.2026) [FHM-M]</t>
        </is>
      </c>
      <c r="Z116" s="243" t="inlineStr">
        <is>
          <t>#8, #9, #11, #12 from the initial testing</t>
        </is>
      </c>
      <c r="AA116" s="243" t="inlineStr">
        <is>
          <t>P060212|R</t>
        </is>
      </c>
      <c r="AB116" s="250" t="inlineStr">
        <is>
          <t>registered — retest 1 · Tranche 1 (sampled 21–24.07.2026), tested 23.07.2026, issued 27.07.2026</t>
        </is>
      </c>
    </row>
    <row r="117">
      <c r="A117" s="243" t="n">
        <v>116</v>
      </c>
      <c r="B117" s="244" t="inlineStr">
        <is>
          <t>iCoA-PP_26-116</t>
        </is>
      </c>
      <c r="C117" s="249" t="inlineStr">
        <is>
          <t>yes</t>
        </is>
      </c>
      <c r="D117" s="245" t="n">
        <v>46230</v>
      </c>
      <c r="E117" s="245" t="n">
        <v>46227</v>
      </c>
      <c r="F117" s="245">
        <f>IFERROR(INDEX('Batch Dates'!$G:$G,MATCH(J117,'Batch Dates'!$C:$C,0)),IFERROR(INDEX('Batch Dates'!$G:$G,MATCH(I117,'Batch Dates'!$B:$B,0)),""))</f>
        <v/>
      </c>
      <c r="G117" s="243" t="inlineStr">
        <is>
          <t>legacy</t>
        </is>
      </c>
      <c r="H117" s="243" t="inlineStr">
        <is>
          <t>retest 1</t>
        </is>
      </c>
      <c r="I117" s="244" t="inlineStr">
        <is>
          <t>OPM1024</t>
        </is>
      </c>
      <c r="J117" s="243" t="inlineStr">
        <is>
          <t>N/A — no P batch assigned</t>
        </is>
      </c>
      <c r="K117" s="243" t="inlineStr">
        <is>
          <t>Orange Punch Mimosa</t>
        </is>
      </c>
      <c r="L117" s="243" t="inlineStr">
        <is>
          <t>Ident A + Ident B + Foreign matter</t>
        </is>
      </c>
      <c r="M117" s="248" t="inlineStr">
        <is>
          <t>—</t>
        </is>
      </c>
      <c r="N117" s="243">
        <f>IFERROR(INDEX('CoQ Register'!$B:$B,MATCH("OPM1024|R",'CoQ Register'!$S:$S,0)),"—")</f>
        <v/>
      </c>
      <c r="O117" s="248" t="inlineStr">
        <is>
          <t>—</t>
        </is>
      </c>
      <c r="P117" s="243" t="inlineStr">
        <is>
          <t>24.04.2026</t>
        </is>
      </c>
      <c r="Q117" s="243" t="inlineStr">
        <is>
          <t>21.01.2025</t>
        </is>
      </c>
      <c r="R117" s="243" t="inlineStr">
        <is>
          <t>24.04.2025 – 25.04.2025</t>
        </is>
      </c>
      <c r="S117" s="245">
        <f>IFERROR(INDEX('CoQ Register'!$D:$D,MATCH("OPM1024|R",'CoQ Register'!$S:$S,0)),"")</f>
        <v/>
      </c>
      <c r="T117" s="243" t="inlineStr">
        <is>
          <t>Conforms</t>
        </is>
      </c>
      <c r="U117" s="243" t="inlineStr">
        <is>
          <t>Conforms</t>
        </is>
      </c>
      <c r="V117" s="243" t="inlineStr">
        <is>
          <t>Conforms</t>
        </is>
      </c>
      <c r="W117" s="243" t="inlineStr">
        <is>
          <t>197-17-K-26, (07.08.2026) [FHM-K]</t>
        </is>
      </c>
      <c r="X117" s="243" t="inlineStr">
        <is>
          <t>197-17-K-26, (07.08.2026) [FHM-K]</t>
        </is>
      </c>
      <c r="Y117" s="243" t="inlineStr">
        <is>
          <t>197-17-M-26, (10.08.2026) [FHM-M]</t>
        </is>
      </c>
      <c r="Z117" s="243" t="inlineStr">
        <is>
          <t>#8, #9, #11, #12 from the initial testing</t>
        </is>
      </c>
      <c r="AA117" s="243" t="inlineStr">
        <is>
          <t>OPM1024|R</t>
        </is>
      </c>
      <c r="AB117" s="250" t="inlineStr">
        <is>
          <t>registered — retest 1 · Tranche 1 (sampled 21–24.07.2026), tested 24.07.2026, issued 27.07.2026</t>
        </is>
      </c>
    </row>
    <row r="118">
      <c r="A118" s="243" t="n">
        <v>117</v>
      </c>
      <c r="B118" s="244" t="inlineStr">
        <is>
          <t>iCoA-PP_26-117</t>
        </is>
      </c>
      <c r="C118" s="249" t="inlineStr">
        <is>
          <t>yes</t>
        </is>
      </c>
      <c r="D118" s="245" t="n">
        <v>46230</v>
      </c>
      <c r="E118" s="245" t="n">
        <v>46227</v>
      </c>
      <c r="F118" s="245">
        <f>IFERROR(INDEX('Batch Dates'!$G:$G,MATCH(J118,'Batch Dates'!$C:$C,0)),IFERROR(INDEX('Batch Dates'!$G:$G,MATCH(I118,'Batch Dates'!$B:$B,0)),""))</f>
        <v/>
      </c>
      <c r="G118" s="243" t="inlineStr">
        <is>
          <t>legacy</t>
        </is>
      </c>
      <c r="H118" s="243" t="inlineStr">
        <is>
          <t>retest 1</t>
        </is>
      </c>
      <c r="I118" s="244" t="inlineStr">
        <is>
          <t>OPM1024_02</t>
        </is>
      </c>
      <c r="J118" s="243" t="inlineStr">
        <is>
          <t>P050062</t>
        </is>
      </c>
      <c r="K118" s="243" t="inlineStr">
        <is>
          <t>Orange Punch Mimosa</t>
        </is>
      </c>
      <c r="L118" s="243" t="inlineStr">
        <is>
          <t>Ident A + Ident B + Foreign matter</t>
        </is>
      </c>
      <c r="M118" s="248" t="inlineStr">
        <is>
          <t>—</t>
        </is>
      </c>
      <c r="N118" s="243">
        <f>IFERROR(INDEX('CoQ Register'!$B:$B,MATCH("P050062|R",'CoQ Register'!$S:$S,0)),"—")</f>
        <v/>
      </c>
      <c r="O118" s="248" t="inlineStr">
        <is>
          <t>—</t>
        </is>
      </c>
      <c r="P118" s="243" t="inlineStr">
        <is>
          <t>04.07.2026</t>
        </is>
      </c>
      <c r="Q118" s="243" t="inlineStr">
        <is>
          <t>29.05.2025 – 30.05.2025</t>
        </is>
      </c>
      <c r="R118" s="243" t="inlineStr">
        <is>
          <t>04.07.2025 – 10.07.2025</t>
        </is>
      </c>
      <c r="S118" s="245">
        <f>IFERROR(INDEX('CoQ Register'!$D:$D,MATCH("P050062|R",'CoQ Register'!$S:$S,0)),"")</f>
        <v/>
      </c>
      <c r="T118" s="243" t="inlineStr">
        <is>
          <t>Conforms</t>
        </is>
      </c>
      <c r="U118" s="243" t="inlineStr">
        <is>
          <t>Conforms</t>
        </is>
      </c>
      <c r="V118" s="243" t="inlineStr">
        <is>
          <t>Conforms</t>
        </is>
      </c>
      <c r="W118" s="243" t="inlineStr">
        <is>
          <t>197-18-K-26, (07.08.2026) [FHM-K]</t>
        </is>
      </c>
      <c r="X118" s="243" t="inlineStr">
        <is>
          <t>197-18-K-26, (07.08.2026) [FHM-K]</t>
        </is>
      </c>
      <c r="Y118" s="243" t="inlineStr">
        <is>
          <t>197-18-M-26, (10.08.2026) [FHM-M]</t>
        </is>
      </c>
      <c r="Z118" s="243" t="inlineStr">
        <is>
          <t>#8, #9, #11, #12 from the initial testing</t>
        </is>
      </c>
      <c r="AA118" s="243" t="inlineStr">
        <is>
          <t>P050062|R</t>
        </is>
      </c>
      <c r="AB118" s="250" t="inlineStr">
        <is>
          <t>registered — retest 1 · Tranche 1 (sampled 21–24.07.2026), tested 24.07.2026, issued 27.07.2026</t>
        </is>
      </c>
    </row>
    <row r="119">
      <c r="A119" s="243" t="n">
        <v>118</v>
      </c>
      <c r="B119" s="244" t="inlineStr">
        <is>
          <t>iCoA-PP_26-118</t>
        </is>
      </c>
      <c r="C119" s="249" t="inlineStr">
        <is>
          <t>yes</t>
        </is>
      </c>
      <c r="D119" s="245" t="n">
        <v>46230</v>
      </c>
      <c r="E119" s="245" t="n">
        <v>46227</v>
      </c>
      <c r="F119" s="245">
        <f>IFERROR(INDEX('Batch Dates'!$G:$G,MATCH(J119,'Batch Dates'!$C:$C,0)),IFERROR(INDEX('Batch Dates'!$G:$G,MATCH(I119,'Batch Dates'!$B:$B,0)),""))</f>
        <v/>
      </c>
      <c r="G119" s="243" t="inlineStr">
        <is>
          <t>legacy</t>
        </is>
      </c>
      <c r="H119" s="243" t="inlineStr">
        <is>
          <t>retest 1</t>
        </is>
      </c>
      <c r="I119" s="244" t="inlineStr">
        <is>
          <t>OPM122501</t>
        </is>
      </c>
      <c r="J119" s="243" t="inlineStr">
        <is>
          <t>P060242</t>
        </is>
      </c>
      <c r="K119" s="243" t="inlineStr">
        <is>
          <t>Orange Punch Mimosa</t>
        </is>
      </c>
      <c r="L119" s="243" t="inlineStr">
        <is>
          <t>Ident A + Ident B + Foreign matter</t>
        </is>
      </c>
      <c r="M119" s="248" t="inlineStr">
        <is>
          <t>—</t>
        </is>
      </c>
      <c r="N119" s="243">
        <f>IFERROR(INDEX('CoQ Register'!$B:$B,MATCH("P060242|R",'CoQ Register'!$S:$S,0)),"—")</f>
        <v/>
      </c>
      <c r="O119" s="248" t="inlineStr">
        <is>
          <t>—</t>
        </is>
      </c>
      <c r="P119" s="243" t="inlineStr">
        <is>
          <t>28.04.2027</t>
        </is>
      </c>
      <c r="Q119" s="243" t="inlineStr">
        <is>
          <t>11.03.2026</t>
        </is>
      </c>
      <c r="R119" s="243" t="inlineStr">
        <is>
          <t>28.04.2026</t>
        </is>
      </c>
      <c r="S119" s="245">
        <f>IFERROR(INDEX('CoQ Register'!$D:$D,MATCH("P060242|R",'CoQ Register'!$S:$S,0)),"")</f>
        <v/>
      </c>
      <c r="T119" s="243" t="inlineStr">
        <is>
          <t>Conforms</t>
        </is>
      </c>
      <c r="U119" s="243" t="inlineStr">
        <is>
          <t>Conforms</t>
        </is>
      </c>
      <c r="V119" s="243" t="inlineStr">
        <is>
          <t>Conforms</t>
        </is>
      </c>
      <c r="W119" s="243" t="inlineStr">
        <is>
          <t>197-19-K-26, (07.08.2026) [FHM-K]</t>
        </is>
      </c>
      <c r="X119" s="243" t="inlineStr">
        <is>
          <t>197-19-K-26, (07.08.2026) [FHM-K]</t>
        </is>
      </c>
      <c r="Y119" s="243" t="inlineStr">
        <is>
          <t>197-19-M-26, (10.08.2026) [FHM-M]</t>
        </is>
      </c>
      <c r="Z119" s="243" t="inlineStr">
        <is>
          <t>#8, #9, #11, #12 from the initial testing</t>
        </is>
      </c>
      <c r="AA119" s="243" t="inlineStr">
        <is>
          <t>P060242|R</t>
        </is>
      </c>
      <c r="AB119" s="250" t="inlineStr">
        <is>
          <t>registered — retest 1 · Tranche 1 (sampled 21–24.07.2026), tested 24.07.2026, issued 27.07.2026</t>
        </is>
      </c>
    </row>
    <row r="120">
      <c r="A120" s="243" t="n">
        <v>119</v>
      </c>
      <c r="B120" s="244" t="inlineStr">
        <is>
          <t>iCoA-PP_26-119</t>
        </is>
      </c>
      <c r="C120" s="249" t="inlineStr">
        <is>
          <t>yes</t>
        </is>
      </c>
      <c r="D120" s="245" t="n">
        <v>46230</v>
      </c>
      <c r="E120" s="245" t="n">
        <v>46227</v>
      </c>
      <c r="F120" s="245">
        <f>IFERROR(INDEX('Batch Dates'!$G:$G,MATCH(J120,'Batch Dates'!$C:$C,0)),IFERROR(INDEX('Batch Dates'!$G:$G,MATCH(I120,'Batch Dates'!$B:$B,0)),""))</f>
        <v/>
      </c>
      <c r="G120" s="243" t="inlineStr">
        <is>
          <t>post-SOP</t>
        </is>
      </c>
      <c r="H120" s="243" t="inlineStr">
        <is>
          <t>retest 1</t>
        </is>
      </c>
      <c r="I120" s="244" t="inlineStr">
        <is>
          <t>SCR012603</t>
        </is>
      </c>
      <c r="J120" s="243" t="inlineStr">
        <is>
          <t>P060382</t>
        </is>
      </c>
      <c r="K120" s="243" t="inlineStr">
        <is>
          <t>Scrambler</t>
        </is>
      </c>
      <c r="L120" s="243" t="inlineStr">
        <is>
          <t>Ident A + Ident B + Foreign matter</t>
        </is>
      </c>
      <c r="M120" s="248" t="inlineStr">
        <is>
          <t>—</t>
        </is>
      </c>
      <c r="N120" s="243">
        <f>IFERROR(INDEX('CoQ Register'!$B:$B,MATCH("P060382|R",'CoQ Register'!$S:$S,0)),"—")</f>
        <v/>
      </c>
      <c r="O120" s="248" t="inlineStr">
        <is>
          <t>—</t>
        </is>
      </c>
      <c r="P120" s="243" t="inlineStr">
        <is>
          <t>25.05.2027</t>
        </is>
      </c>
      <c r="Q120" s="243" t="inlineStr">
        <is>
          <t>22.04.2026</t>
        </is>
      </c>
      <c r="R120" s="243" t="inlineStr">
        <is>
          <t>25.05.2026</t>
        </is>
      </c>
      <c r="S120" s="245">
        <f>IFERROR(INDEX('CoQ Register'!$D:$D,MATCH("P060382|R",'CoQ Register'!$S:$S,0)),"")</f>
        <v/>
      </c>
      <c r="T120" s="243" t="inlineStr">
        <is>
          <t>Conforms</t>
        </is>
      </c>
      <c r="U120" s="243" t="inlineStr">
        <is>
          <t>Conforms</t>
        </is>
      </c>
      <c r="V120" s="243" t="inlineStr">
        <is>
          <t>Conforms</t>
        </is>
      </c>
      <c r="W120" s="243" t="inlineStr">
        <is>
          <t>197-21-K-26, (07.08.2026) [FHM-K]</t>
        </is>
      </c>
      <c r="X120" s="243" t="inlineStr">
        <is>
          <t>197-21-K-26, (07.08.2026) [FHM-K]</t>
        </is>
      </c>
      <c r="Y120" s="243" t="inlineStr">
        <is>
          <t>197-21-M-26, (10.08.2026) [FHM-M]</t>
        </is>
      </c>
      <c r="Z120" s="243" t="inlineStr">
        <is>
          <t>#8, #9, #11, #12 from the initial testing</t>
        </is>
      </c>
      <c r="AA120" s="243" t="inlineStr">
        <is>
          <t>P060382|R</t>
        </is>
      </c>
      <c r="AB120" s="250" t="inlineStr">
        <is>
          <t>registered — retest 1 · Tranche 1 (sampled 21–24.07.2026), tested 24.07.2026, issued 27.07.2026</t>
        </is>
      </c>
    </row>
    <row r="121">
      <c r="A121" s="243" t="n">
        <v>120</v>
      </c>
      <c r="B121" s="244" t="inlineStr">
        <is>
          <t>iCoA-PP_26-120</t>
        </is>
      </c>
      <c r="C121" s="249" t="inlineStr">
        <is>
          <t>yes</t>
        </is>
      </c>
      <c r="D121" s="245" t="n">
        <v>46230</v>
      </c>
      <c r="E121" s="245" t="n">
        <v>46227</v>
      </c>
      <c r="F121" s="245">
        <f>IFERROR(INDEX('Batch Dates'!$G:$G,MATCH(J121,'Batch Dates'!$C:$C,0)),IFERROR(INDEX('Batch Dates'!$G:$G,MATCH(I121,'Batch Dates'!$B:$B,0)),""))</f>
        <v/>
      </c>
      <c r="G121" s="243" t="inlineStr">
        <is>
          <t>legacy</t>
        </is>
      </c>
      <c r="H121" s="243" t="inlineStr">
        <is>
          <t>retest 1</t>
        </is>
      </c>
      <c r="I121" s="244" t="inlineStr">
        <is>
          <t>PM092501</t>
        </is>
      </c>
      <c r="J121" s="243" t="inlineStr">
        <is>
          <t>P060062</t>
        </is>
      </c>
      <c r="K121" s="243" t="inlineStr">
        <is>
          <t>Permanent Marker</t>
        </is>
      </c>
      <c r="L121" s="243" t="inlineStr">
        <is>
          <t>Ident A + Ident B + Foreign matter</t>
        </is>
      </c>
      <c r="M121" s="248" t="inlineStr">
        <is>
          <t>—</t>
        </is>
      </c>
      <c r="N121" s="243">
        <f>IFERROR(INDEX('CoQ Register'!$B:$B,MATCH("P060062|R",'CoQ Register'!$S:$S,0)),"—")</f>
        <v/>
      </c>
      <c r="O121" s="248" t="inlineStr">
        <is>
          <t>—</t>
        </is>
      </c>
      <c r="P121" s="243" t="inlineStr">
        <is>
          <t>30.01.2027</t>
        </is>
      </c>
      <c r="Q121" s="243" t="inlineStr">
        <is>
          <t>11.12.2025</t>
        </is>
      </c>
      <c r="R121" s="243" t="inlineStr">
        <is>
          <t>30.01.2026</t>
        </is>
      </c>
      <c r="S121" s="245">
        <f>IFERROR(INDEX('CoQ Register'!$D:$D,MATCH("P060062|R",'CoQ Register'!$S:$S,0)),"")</f>
        <v/>
      </c>
      <c r="T121" s="243" t="inlineStr">
        <is>
          <t>Conforms</t>
        </is>
      </c>
      <c r="U121" s="243" t="inlineStr">
        <is>
          <t>Conforms</t>
        </is>
      </c>
      <c r="V121" s="243" t="inlineStr">
        <is>
          <t>Conforms</t>
        </is>
      </c>
      <c r="W121" s="243" t="inlineStr">
        <is>
          <t>197-20-K-26, (07.08.2026) [FHM-K]</t>
        </is>
      </c>
      <c r="X121" s="243" t="inlineStr">
        <is>
          <t>197-20-K-26, (07.08.2026) [FHM-K]</t>
        </is>
      </c>
      <c r="Y121" s="243" t="inlineStr">
        <is>
          <t>197-20-M-26, (10.08.2026) [FHM-M]</t>
        </is>
      </c>
      <c r="Z121" s="243" t="inlineStr">
        <is>
          <t>#8, #9, #11, #12 from the initial testing</t>
        </is>
      </c>
      <c r="AA121" s="243" t="inlineStr">
        <is>
          <t>P060062|R</t>
        </is>
      </c>
      <c r="AB121" s="250" t="inlineStr">
        <is>
          <t>registered — retest 1 · Tranche 1 (sampled 21–24.07.2026), tested 24.07.2026, issued 27.07.2026</t>
        </is>
      </c>
    </row>
    <row r="122">
      <c r="A122" s="243" t="n">
        <v>121</v>
      </c>
      <c r="B122" s="244" t="inlineStr">
        <is>
          <t>iCoA-PP_26-121</t>
        </is>
      </c>
      <c r="C122" s="249" t="inlineStr">
        <is>
          <t>yes</t>
        </is>
      </c>
      <c r="D122" s="245">
        <f>IF(A122="","",IF(ISNUMBER(E122),MAX(DATE(2026,6,3),E122),DATE(2026,6,3)))</f>
        <v/>
      </c>
      <c r="E122" s="245">
        <f>IFERROR(INDEX('Batch Dates'!$F:$F,MATCH(J122,'Batch Dates'!$C:$C,0)),IFERROR(INDEX('Batch Dates'!$F:$F,MATCH(I122,'Batch Dates'!$B:$B,0)),""))</f>
        <v/>
      </c>
      <c r="F122" s="245">
        <f>IFERROR(INDEX('Batch Dates'!$G:$G,MATCH(J122,'Batch Dates'!$C:$C,0)),IFERROR(INDEX('Batch Dates'!$G:$G,MATCH(I122,'Batch Dates'!$B:$B,0)),""))</f>
        <v/>
      </c>
      <c r="G122" s="243" t="inlineStr">
        <is>
          <t>post-SOP</t>
        </is>
      </c>
      <c r="H122" s="243" t="inlineStr">
        <is>
          <t>initial release</t>
        </is>
      </c>
      <c r="I122" s="244" t="inlineStr">
        <is>
          <t>JD022601</t>
        </is>
      </c>
      <c r="J122" s="243" t="inlineStr">
        <is>
          <t>P060482</t>
        </is>
      </c>
      <c r="K122" s="243" t="inlineStr">
        <is>
          <t>Jelly Donuts</t>
        </is>
      </c>
      <c r="L122" s="243" t="inlineStr">
        <is>
          <t>Ident A + Ident B + Foreign matter</t>
        </is>
      </c>
      <c r="M122" s="243" t="inlineStr">
        <is>
          <t>A: ППК26115 / B: ППК26115 / FM: ППК26115</t>
        </is>
      </c>
      <c r="N122" s="243">
        <f>IFERROR(INDEX('CoQ Register'!$B:$B,MATCH("P060482|I",'CoQ Register'!$S:$S,0)),"—")</f>
        <v/>
      </c>
      <c r="O122" s="248" t="inlineStr">
        <is>
          <t>—</t>
        </is>
      </c>
      <c r="P122" s="243" t="inlineStr">
        <is>
          <t>30.06.2026</t>
        </is>
      </c>
      <c r="Q122" s="243" t="inlineStr">
        <is>
          <t>18.05.2026</t>
        </is>
      </c>
      <c r="R122" s="243" t="inlineStr">
        <is>
          <t>05.08.2026 (the issuance plan's basis: 30.06.2026)</t>
        </is>
      </c>
      <c r="S122" s="245">
        <f>IFERROR(INDEX('CoQ Register'!$D:$D,MATCH("P060482|I",'CoQ Register'!$S:$S,0)),"")</f>
        <v/>
      </c>
      <c r="T122" s="243" t="inlineStr">
        <is>
          <t>CNP ППК26115</t>
        </is>
      </c>
      <c r="U122" s="243" t="inlineStr">
        <is>
          <t>CNP ППК26115</t>
        </is>
      </c>
      <c r="V122" s="243" t="inlineStr">
        <is>
          <t>CNP ППК26115</t>
        </is>
      </c>
      <c r="W122" s="243" t="inlineStr">
        <is>
          <t>ППК26115, (30.06.2026) [CNP]</t>
        </is>
      </c>
      <c r="X122" s="243" t="inlineStr">
        <is>
          <t>—</t>
        </is>
      </c>
      <c r="Y122" s="243" t="inlineStr">
        <is>
          <t>—</t>
        </is>
      </c>
      <c r="Z122" s="243" t="inlineStr">
        <is>
          <t>—</t>
        </is>
      </c>
      <c r="AA122" s="243" t="inlineStr">
        <is>
          <t>P060482|I</t>
        </is>
      </c>
      <c r="AB122" s="250" t="inlineStr">
        <is>
          <t>registered — initial release, issued 05.08.2026</t>
        </is>
      </c>
    </row>
    <row r="123">
      <c r="A123" s="243" t="n">
        <v>122</v>
      </c>
      <c r="B123" s="244" t="inlineStr">
        <is>
          <t>iCoA-PP_26-122</t>
        </is>
      </c>
      <c r="C123" s="249" t="inlineStr">
        <is>
          <t>yes</t>
        </is>
      </c>
      <c r="D123" s="245">
        <f>IF(A123="","",IF(ISNUMBER(E123),MAX(DATE(2026,6,3),E123),DATE(2026,6,3)))</f>
        <v/>
      </c>
      <c r="E123" s="245">
        <f>IFERROR(INDEX('Batch Dates'!$F:$F,MATCH(J123,'Batch Dates'!$C:$C,0)),IFERROR(INDEX('Batch Dates'!$F:$F,MATCH(I123,'Batch Dates'!$B:$B,0)),""))</f>
        <v/>
      </c>
      <c r="F123" s="245">
        <f>IFERROR(INDEX('Batch Dates'!$G:$G,MATCH(J123,'Batch Dates'!$C:$C,0)),IFERROR(INDEX('Batch Dates'!$G:$G,MATCH(I123,'Batch Dates'!$B:$B,0)),""))</f>
        <v/>
      </c>
      <c r="G123" s="243" t="inlineStr">
        <is>
          <t>post-SOP</t>
        </is>
      </c>
      <c r="H123" s="243" t="inlineStr">
        <is>
          <t>initial release</t>
        </is>
      </c>
      <c r="I123" s="244" t="inlineStr">
        <is>
          <t>JD042601</t>
        </is>
      </c>
      <c r="J123" s="243" t="inlineStr">
        <is>
          <t>P060492</t>
        </is>
      </c>
      <c r="K123" s="243" t="inlineStr">
        <is>
          <t>Jelly Donuts</t>
        </is>
      </c>
      <c r="L123" s="243" t="inlineStr">
        <is>
          <t>Ident A + Ident B + Foreign matter</t>
        </is>
      </c>
      <c r="M123" s="248" t="inlineStr">
        <is>
          <t>—</t>
        </is>
      </c>
      <c r="N123" s="243">
        <f>IFERROR(INDEX('CoQ Register'!$B:$B,MATCH("P060492|I",'CoQ Register'!$S:$S,0)),"—")</f>
        <v/>
      </c>
      <c r="O123" s="248" t="inlineStr">
        <is>
          <t>—</t>
        </is>
      </c>
      <c r="P123" s="243" t="inlineStr">
        <is>
          <t>13.08.2026</t>
        </is>
      </c>
      <c r="Q123" s="243" t="inlineStr">
        <is>
          <t>21.07.2026</t>
        </is>
      </c>
      <c r="R123" s="243" t="inlineStr">
        <is>
          <t>13.08.2026</t>
        </is>
      </c>
      <c r="S123" s="245">
        <f>IFERROR(INDEX('CoQ Register'!$D:$D,MATCH("P060492|I",'CoQ Register'!$S:$S,0)),"")</f>
        <v/>
      </c>
      <c r="T123" s="243" t="inlineStr">
        <is>
          <t>Conforms</t>
        </is>
      </c>
      <c r="U123" s="243" t="inlineStr">
        <is>
          <t>Conforms</t>
        </is>
      </c>
      <c r="V123" s="243" t="inlineStr">
        <is>
          <t>Conforms</t>
        </is>
      </c>
      <c r="W123" s="243" t="inlineStr">
        <is>
          <t>— no cannabinoid certificate from the initial testing —</t>
        </is>
      </c>
      <c r="X123" s="243" t="inlineStr">
        <is>
          <t>—</t>
        </is>
      </c>
      <c r="Y123" s="243" t="inlineStr">
        <is>
          <t>—</t>
        </is>
      </c>
      <c r="Z123" s="243" t="inlineStr">
        <is>
          <t>—</t>
        </is>
      </c>
      <c r="AA123" s="243" t="inlineStr">
        <is>
          <t>P060492|I</t>
        </is>
      </c>
      <c r="AB123" s="250" t="inlineStr">
        <is>
          <t>registered — initial release, issued 13.08.2026</t>
        </is>
      </c>
    </row>
    <row r="124">
      <c r="A124" s="243" t="n">
        <v>123</v>
      </c>
      <c r="B124" s="244" t="inlineStr">
        <is>
          <t>iCoA-PP_26-123</t>
        </is>
      </c>
      <c r="C124" s="249" t="inlineStr">
        <is>
          <t>yes</t>
        </is>
      </c>
      <c r="D124" s="245" t="n">
        <v>46251</v>
      </c>
      <c r="E124" s="245" t="n">
        <v>46246</v>
      </c>
      <c r="F124" s="245">
        <f>IFERROR(INDEX('Batch Dates'!$G:$G,MATCH(J124,'Batch Dates'!$C:$C,0)),IFERROR(INDEX('Batch Dates'!$G:$G,MATCH(I124,'Batch Dates'!$B:$B,0)),""))</f>
        <v/>
      </c>
      <c r="G124" s="243" t="inlineStr">
        <is>
          <t>legacy</t>
        </is>
      </c>
      <c r="H124" s="243" t="inlineStr">
        <is>
          <t>retest 1</t>
        </is>
      </c>
      <c r="I124" s="244" t="inlineStr">
        <is>
          <t>ACC102501</t>
        </is>
      </c>
      <c r="J124" s="243" t="inlineStr">
        <is>
          <t>P060122</t>
        </is>
      </c>
      <c r="K124" s="243" t="inlineStr">
        <is>
          <t>Amnesia Core Cut</t>
        </is>
      </c>
      <c r="L124" s="243" t="inlineStr">
        <is>
          <t>Ident A + Ident B + Foreign matter</t>
        </is>
      </c>
      <c r="M124" s="248" t="inlineStr">
        <is>
          <t>—</t>
        </is>
      </c>
      <c r="N124" s="243">
        <f>IFERROR(INDEX('CoQ Register'!$B:$B,MATCH("P060122|R",'CoQ Register'!$S:$S,0)),"—")</f>
        <v/>
      </c>
      <c r="O124" s="248" t="inlineStr">
        <is>
          <t>—</t>
        </is>
      </c>
      <c r="P124" s="243" t="inlineStr">
        <is>
          <t>18.02.2027</t>
        </is>
      </c>
      <c r="Q124" s="243" t="inlineStr">
        <is>
          <t>09.01.2026</t>
        </is>
      </c>
      <c r="R124" s="243" t="inlineStr">
        <is>
          <t>18.02.2026 – 19.02.2026</t>
        </is>
      </c>
      <c r="S124" s="245">
        <f>IFERROR(INDEX('CoQ Register'!$D:$D,MATCH("P060122|R",'CoQ Register'!$S:$S,0)),"")</f>
        <v/>
      </c>
      <c r="T124" s="243" t="inlineStr">
        <is>
          <t>Conforms</t>
        </is>
      </c>
      <c r="U124" s="243" t="inlineStr">
        <is>
          <t>Conforms</t>
        </is>
      </c>
      <c r="V124" s="243" t="inlineStr">
        <is>
          <t>Conforms</t>
        </is>
      </c>
      <c r="W124" s="243" t="inlineStr">
        <is>
          <t>220-1-K-26, (25.08.2026) [FHM-K]</t>
        </is>
      </c>
      <c r="X124" s="243" t="inlineStr">
        <is>
          <t>220-1-K-26, (25.08.2026) [FHM-K]</t>
        </is>
      </c>
      <c r="Y124" s="243" t="inlineStr">
        <is>
          <t>220-1-M-26, (11.09.2026) [FHM-M]</t>
        </is>
      </c>
      <c r="Z124" s="243" t="inlineStr">
        <is>
          <t>#8, #9, #11, #12 from the initial testing</t>
        </is>
      </c>
      <c r="AA124" s="243" t="inlineStr">
        <is>
          <t>P060122|R</t>
        </is>
      </c>
      <c r="AB124" s="250" t="inlineStr">
        <is>
          <t>registered — retest 1 · Tranche 2 (sampled 12–14.08.2026), tested 12.08.2026, issued 17.08.2026</t>
        </is>
      </c>
    </row>
    <row r="125">
      <c r="A125" s="243" t="n">
        <v>124</v>
      </c>
      <c r="B125" s="244" t="inlineStr">
        <is>
          <t>iCoA-PP_26-124</t>
        </is>
      </c>
      <c r="C125" s="249" t="inlineStr">
        <is>
          <t>yes</t>
        </is>
      </c>
      <c r="D125" s="245" t="n">
        <v>46251</v>
      </c>
      <c r="E125" s="245" t="n">
        <v>46246</v>
      </c>
      <c r="F125" s="245">
        <f>IFERROR(INDEX('Batch Dates'!$G:$G,MATCH(J125,'Batch Dates'!$C:$C,0)),IFERROR(INDEX('Batch Dates'!$G:$G,MATCH(I125,'Batch Dates'!$B:$B,0)),""))</f>
        <v/>
      </c>
      <c r="G125" s="243" t="inlineStr">
        <is>
          <t>legacy</t>
        </is>
      </c>
      <c r="H125" s="243" t="inlineStr">
        <is>
          <t>retest 1</t>
        </is>
      </c>
      <c r="I125" s="244" t="inlineStr">
        <is>
          <t>BSS052501</t>
        </is>
      </c>
      <c r="J125" s="243" t="inlineStr">
        <is>
          <t>P050192</t>
        </is>
      </c>
      <c r="K125" s="243" t="inlineStr">
        <is>
          <t>Blue Sunset Sherbet</t>
        </is>
      </c>
      <c r="L125" s="243" t="inlineStr">
        <is>
          <t>Ident A + Ident B + Foreign matter</t>
        </is>
      </c>
      <c r="M125" s="248" t="inlineStr">
        <is>
          <t>—</t>
        </is>
      </c>
      <c r="N125" s="243">
        <f>IFERROR(INDEX('CoQ Register'!$B:$B,MATCH("P050192|R",'CoQ Register'!$S:$S,0)),"—")</f>
        <v/>
      </c>
      <c r="O125" s="248" t="inlineStr">
        <is>
          <t>—</t>
        </is>
      </c>
      <c r="P125" s="243" t="inlineStr">
        <is>
          <t>10.10.2026</t>
        </is>
      </c>
      <c r="Q125" s="243" t="inlineStr">
        <is>
          <t>01.09.2025 – 03.09.2025</t>
        </is>
      </c>
      <c r="R125" s="243" t="inlineStr">
        <is>
          <t>10.10.2025 – 21.10.2025</t>
        </is>
      </c>
      <c r="S125" s="245">
        <f>IFERROR(INDEX('CoQ Register'!$D:$D,MATCH("P050192|R",'CoQ Register'!$S:$S,0)),"")</f>
        <v/>
      </c>
      <c r="T125" s="243" t="inlineStr">
        <is>
          <t>Conforms</t>
        </is>
      </c>
      <c r="U125" s="243" t="inlineStr">
        <is>
          <t>Conforms</t>
        </is>
      </c>
      <c r="V125" s="243" t="inlineStr">
        <is>
          <t>Conforms</t>
        </is>
      </c>
      <c r="W125" s="243" t="inlineStr">
        <is>
          <t>220-2-K-26, (25.08.2026) [FHM-K]</t>
        </is>
      </c>
      <c r="X125" s="243" t="inlineStr">
        <is>
          <t>220-2-K-26, (25.08.2026) [FHM-K]</t>
        </is>
      </c>
      <c r="Y125" s="243" t="inlineStr">
        <is>
          <t>220-2-M-26, (11.09.2026) [FHM-M]</t>
        </is>
      </c>
      <c r="Z125" s="243" t="inlineStr">
        <is>
          <t>#8, #9, #11, #12 from the initial testing</t>
        </is>
      </c>
      <c r="AA125" s="243" t="inlineStr">
        <is>
          <t>P050192|R</t>
        </is>
      </c>
      <c r="AB125" s="250" t="inlineStr">
        <is>
          <t>registered — retest 1 · Tranche 2 (sampled 12–14.08.2026), tested 12.08.2026, issued 17.08.2026</t>
        </is>
      </c>
    </row>
    <row r="126">
      <c r="A126" s="243" t="n">
        <v>125</v>
      </c>
      <c r="B126" s="244" t="inlineStr">
        <is>
          <t>iCoA-PP_26-125</t>
        </is>
      </c>
      <c r="C126" s="249" t="inlineStr">
        <is>
          <t>yes</t>
        </is>
      </c>
      <c r="D126" s="245" t="n">
        <v>46251</v>
      </c>
      <c r="E126" s="245" t="n">
        <v>46246</v>
      </c>
      <c r="F126" s="245">
        <f>IFERROR(INDEX('Batch Dates'!$G:$G,MATCH(J126,'Batch Dates'!$C:$C,0)),IFERROR(INDEX('Batch Dates'!$G:$G,MATCH(I126,'Batch Dates'!$B:$B,0)),""))</f>
        <v/>
      </c>
      <c r="G126" s="243" t="inlineStr">
        <is>
          <t>legacy</t>
        </is>
      </c>
      <c r="H126" s="243" t="inlineStr">
        <is>
          <t>retest 1</t>
        </is>
      </c>
      <c r="I126" s="244" t="inlineStr">
        <is>
          <t>CF102501</t>
        </is>
      </c>
      <c r="J126" s="243" t="inlineStr">
        <is>
          <t>P060132</t>
        </is>
      </c>
      <c r="K126" s="243" t="inlineStr">
        <is>
          <t>Chem Flyer</t>
        </is>
      </c>
      <c r="L126" s="243" t="inlineStr">
        <is>
          <t>Ident A + Ident B + Foreign matter</t>
        </is>
      </c>
      <c r="M126" s="248" t="inlineStr">
        <is>
          <t>—</t>
        </is>
      </c>
      <c r="N126" s="243">
        <f>IFERROR(INDEX('CoQ Register'!$B:$B,MATCH("P060132|R",'CoQ Register'!$S:$S,0)),"—")</f>
        <v/>
      </c>
      <c r="O126" s="248" t="inlineStr">
        <is>
          <t>—</t>
        </is>
      </c>
      <c r="P126" s="243" t="inlineStr">
        <is>
          <t>19.02.2027</t>
        </is>
      </c>
      <c r="Q126" s="243" t="inlineStr">
        <is>
          <t>09.01.2026</t>
        </is>
      </c>
      <c r="R126" s="243" t="inlineStr">
        <is>
          <t>19.02.2026 – 20.02.2026</t>
        </is>
      </c>
      <c r="S126" s="245">
        <f>IFERROR(INDEX('CoQ Register'!$D:$D,MATCH("P060132|R",'CoQ Register'!$S:$S,0)),"")</f>
        <v/>
      </c>
      <c r="T126" s="243" t="inlineStr">
        <is>
          <t>Conforms</t>
        </is>
      </c>
      <c r="U126" s="243" t="inlineStr">
        <is>
          <t>Conforms</t>
        </is>
      </c>
      <c r="V126" s="243" t="inlineStr">
        <is>
          <t>Conforms</t>
        </is>
      </c>
      <c r="W126" s="243" t="inlineStr">
        <is>
          <t>220-6-K-26, (25.08.2026) [FHM-K]</t>
        </is>
      </c>
      <c r="X126" s="243" t="inlineStr">
        <is>
          <t>220-6-K-26, (25.08.2026) [FHM-K]</t>
        </is>
      </c>
      <c r="Y126" s="243" t="inlineStr">
        <is>
          <t>220-6-M-26, (11.09.2026) [FHM-M]</t>
        </is>
      </c>
      <c r="Z126" s="243" t="inlineStr">
        <is>
          <t>#8, #9, #11, #12 from the initial testing</t>
        </is>
      </c>
      <c r="AA126" s="243" t="inlineStr">
        <is>
          <t>P060132|R</t>
        </is>
      </c>
      <c r="AB126" s="250" t="inlineStr">
        <is>
          <t>registered — retest 1 · Tranche 2 (sampled 12–14.08.2026), tested 12.08.2026, issued 17.08.2026</t>
        </is>
      </c>
    </row>
    <row r="127">
      <c r="A127" s="243" t="n">
        <v>126</v>
      </c>
      <c r="B127" s="244" t="inlineStr">
        <is>
          <t>iCoA-PP_26-126</t>
        </is>
      </c>
      <c r="C127" s="249" t="inlineStr">
        <is>
          <t>yes</t>
        </is>
      </c>
      <c r="D127" s="245" t="n">
        <v>46251</v>
      </c>
      <c r="E127" s="245" t="n">
        <v>46246</v>
      </c>
      <c r="F127" s="245">
        <f>IFERROR(INDEX('Batch Dates'!$G:$G,MATCH(J127,'Batch Dates'!$C:$C,0)),IFERROR(INDEX('Batch Dates'!$G:$G,MATCH(I127,'Batch Dates'!$B:$B,0)),""))</f>
        <v/>
      </c>
      <c r="G127" s="243" t="inlineStr">
        <is>
          <t>legacy</t>
        </is>
      </c>
      <c r="H127" s="243" t="inlineStr">
        <is>
          <t>retest 2</t>
        </is>
      </c>
      <c r="I127" s="244" t="inlineStr">
        <is>
          <t>CJ062501/1</t>
        </is>
      </c>
      <c r="J127" s="243" t="inlineStr">
        <is>
          <t>P050222</t>
        </is>
      </c>
      <c r="K127" s="243" t="inlineStr">
        <is>
          <t>Cap Junky</t>
        </is>
      </c>
      <c r="L127" s="243" t="inlineStr">
        <is>
          <t>Ident A + Ident B + Foreign matter</t>
        </is>
      </c>
      <c r="M127" s="248" t="inlineStr">
        <is>
          <t>—</t>
        </is>
      </c>
      <c r="N127" s="243">
        <f>IFERROR(INDEX('CoQ Register'!$B:$B,MATCH("P050222|R2",'CoQ Register'!$S:$S,0)),"—")</f>
        <v/>
      </c>
      <c r="O127" s="248" t="inlineStr">
        <is>
          <t>—</t>
        </is>
      </c>
      <c r="P127" s="243" t="inlineStr">
        <is>
          <t>24.11.2026</t>
        </is>
      </c>
      <c r="Q127" s="243" t="inlineStr">
        <is>
          <t>23.09.2025</t>
        </is>
      </c>
      <c r="R127" s="243" t="inlineStr">
        <is>
          <t>24.11.2025 – 25.11.2025</t>
        </is>
      </c>
      <c r="S127" s="245">
        <f>IFERROR(INDEX('CoQ Register'!$D:$D,MATCH("P050222|R2",'CoQ Register'!$S:$S,0)),"")</f>
        <v/>
      </c>
      <c r="T127" s="243" t="inlineStr">
        <is>
          <t>Conforms</t>
        </is>
      </c>
      <c r="U127" s="243" t="inlineStr">
        <is>
          <t>Conforms</t>
        </is>
      </c>
      <c r="V127" s="243" t="inlineStr">
        <is>
          <t>Conforms</t>
        </is>
      </c>
      <c r="W127" s="243" t="inlineStr">
        <is>
          <t>220-3-K-26, (25.08.2026) [FHM-K]</t>
        </is>
      </c>
      <c r="X127" s="243" t="inlineStr">
        <is>
          <t>220-3-K-26, (25.08.2026) [FHM-K]</t>
        </is>
      </c>
      <c r="Y127" s="243" t="inlineStr">
        <is>
          <t>220-3-M-26, (11.09.2026) [FHM-M]</t>
        </is>
      </c>
      <c r="Z127" s="243" t="inlineStr">
        <is>
          <t>#8, #9, #11, #12 from the initial testing</t>
        </is>
      </c>
      <c r="AA127" s="243" t="inlineStr">
        <is>
          <t>P050222|R2</t>
        </is>
      </c>
      <c r="AB127" s="250" t="inlineStr">
        <is>
          <t>registered — retest 2 · Tranche 2 (sampled 12–14.08.2026), tested 12.08.2026, issued 17.08.2026</t>
        </is>
      </c>
    </row>
    <row r="128">
      <c r="A128" s="243" t="n">
        <v>127</v>
      </c>
      <c r="B128" s="244" t="inlineStr">
        <is>
          <t>iCoA-PP_26-127</t>
        </is>
      </c>
      <c r="C128" s="249" t="inlineStr">
        <is>
          <t>yes</t>
        </is>
      </c>
      <c r="D128" s="245" t="n">
        <v>46251</v>
      </c>
      <c r="E128" s="245" t="n">
        <v>46246</v>
      </c>
      <c r="F128" s="245">
        <f>IFERROR(INDEX('Batch Dates'!$G:$G,MATCH(J128,'Batch Dates'!$C:$C,0)),IFERROR(INDEX('Batch Dates'!$G:$G,MATCH(I128,'Batch Dates'!$B:$B,0)),""))</f>
        <v/>
      </c>
      <c r="G128" s="243" t="inlineStr">
        <is>
          <t>legacy</t>
        </is>
      </c>
      <c r="H128" s="243" t="inlineStr">
        <is>
          <t>retest 1</t>
        </is>
      </c>
      <c r="I128" s="244" t="inlineStr">
        <is>
          <t>CJ082501/1</t>
        </is>
      </c>
      <c r="J128" s="243" t="inlineStr">
        <is>
          <t>P060022</t>
        </is>
      </c>
      <c r="K128" s="243" t="inlineStr">
        <is>
          <t>Cap Junky</t>
        </is>
      </c>
      <c r="L128" s="243" t="inlineStr">
        <is>
          <t>Ident A + Ident B + Foreign matter</t>
        </is>
      </c>
      <c r="M128" s="248" t="inlineStr">
        <is>
          <t>—</t>
        </is>
      </c>
      <c r="N128" s="243">
        <f>IFERROR(INDEX('CoQ Register'!$B:$B,MATCH("P060022|R",'CoQ Register'!$S:$S,0)),"—")</f>
        <v/>
      </c>
      <c r="O128" s="248" t="inlineStr">
        <is>
          <t>—</t>
        </is>
      </c>
      <c r="P128" s="243" t="inlineStr">
        <is>
          <t>16.01.2027</t>
        </is>
      </c>
      <c r="Q128" s="243" t="inlineStr">
        <is>
          <t>09.12.2025 – 10.12.2025</t>
        </is>
      </c>
      <c r="R128" s="243" t="inlineStr">
        <is>
          <t>16.01.2026</t>
        </is>
      </c>
      <c r="S128" s="245">
        <f>IFERROR(INDEX('CoQ Register'!$D:$D,MATCH("P060022|R",'CoQ Register'!$S:$S,0)),"")</f>
        <v/>
      </c>
      <c r="T128" s="243" t="inlineStr">
        <is>
          <t>Conforms</t>
        </is>
      </c>
      <c r="U128" s="243" t="inlineStr">
        <is>
          <t>Conforms</t>
        </is>
      </c>
      <c r="V128" s="243" t="inlineStr">
        <is>
          <t>Conforms</t>
        </is>
      </c>
      <c r="W128" s="243" t="inlineStr">
        <is>
          <t>220-4-K-26, (25.08.2026) [FHM-K]</t>
        </is>
      </c>
      <c r="X128" s="243" t="inlineStr">
        <is>
          <t>220-4-K-26, (25.08.2026) [FHM-K]</t>
        </is>
      </c>
      <c r="Y128" s="243" t="inlineStr">
        <is>
          <t>220-4-M-26, (11.09.2026) [FHM-M]</t>
        </is>
      </c>
      <c r="Z128" s="243" t="inlineStr">
        <is>
          <t>#8, #9, #11, #12 from the initial testing</t>
        </is>
      </c>
      <c r="AA128" s="243" t="inlineStr">
        <is>
          <t>P060022|R</t>
        </is>
      </c>
      <c r="AB128" s="250" t="inlineStr">
        <is>
          <t>registered — retest 1 · Tranche 2 (sampled 12–14.08.2026), tested 12.08.2026, issued 17.08.2026</t>
        </is>
      </c>
    </row>
    <row r="129">
      <c r="A129" s="243" t="n">
        <v>128</v>
      </c>
      <c r="B129" s="244" t="inlineStr">
        <is>
          <t>iCoA-PP_26-128</t>
        </is>
      </c>
      <c r="C129" s="249" t="inlineStr">
        <is>
          <t>yes</t>
        </is>
      </c>
      <c r="D129" s="245" t="n">
        <v>46251</v>
      </c>
      <c r="E129" s="245" t="n">
        <v>46246</v>
      </c>
      <c r="F129" s="245">
        <f>IFERROR(INDEX('Batch Dates'!$G:$G,MATCH(J129,'Batch Dates'!$C:$C,0)),IFERROR(INDEX('Batch Dates'!$G:$G,MATCH(I129,'Batch Dates'!$B:$B,0)),""))</f>
        <v/>
      </c>
      <c r="G129" s="243" t="inlineStr">
        <is>
          <t>legacy</t>
        </is>
      </c>
      <c r="H129" s="243" t="inlineStr">
        <is>
          <t>retest 1</t>
        </is>
      </c>
      <c r="I129" s="244" t="inlineStr">
        <is>
          <t>CJ092501</t>
        </is>
      </c>
      <c r="J129" s="243" t="inlineStr">
        <is>
          <t>P060072</t>
        </is>
      </c>
      <c r="K129" s="243" t="inlineStr">
        <is>
          <t>Cap Junky</t>
        </is>
      </c>
      <c r="L129" s="243" t="inlineStr">
        <is>
          <t>Ident A + Ident B + Foreign matter</t>
        </is>
      </c>
      <c r="M129" s="248" t="inlineStr">
        <is>
          <t>—</t>
        </is>
      </c>
      <c r="N129" s="243">
        <f>IFERROR(INDEX('CoQ Register'!$B:$B,MATCH("P060072|R",'CoQ Register'!$S:$S,0)),"—")</f>
        <v/>
      </c>
      <c r="O129" s="248" t="inlineStr">
        <is>
          <t>—</t>
        </is>
      </c>
      <c r="P129" s="243" t="inlineStr">
        <is>
          <t>02.02.2027</t>
        </is>
      </c>
      <c r="Q129" s="243" t="inlineStr">
        <is>
          <t>12.12.2025</t>
        </is>
      </c>
      <c r="R129" s="243" t="inlineStr">
        <is>
          <t>02.02.2026</t>
        </is>
      </c>
      <c r="S129" s="245">
        <f>IFERROR(INDEX('CoQ Register'!$D:$D,MATCH("P060072|R",'CoQ Register'!$S:$S,0)),"")</f>
        <v/>
      </c>
      <c r="T129" s="243" t="inlineStr">
        <is>
          <t>Conforms</t>
        </is>
      </c>
      <c r="U129" s="243" t="inlineStr">
        <is>
          <t>Conforms</t>
        </is>
      </c>
      <c r="V129" s="243" t="inlineStr">
        <is>
          <t>Conforms</t>
        </is>
      </c>
      <c r="W129" s="243" t="inlineStr">
        <is>
          <t>220-5-K-26, (25.08.2026) [FHM-K]</t>
        </is>
      </c>
      <c r="X129" s="243" t="inlineStr">
        <is>
          <t>220-5-K-26, (25.08.2026) [FHM-K]</t>
        </is>
      </c>
      <c r="Y129" s="243" t="inlineStr">
        <is>
          <t>220-5-M-26, (11.09.2026) [FHM-M]</t>
        </is>
      </c>
      <c r="Z129" s="243" t="inlineStr">
        <is>
          <t>#8, #9, #11, #12 from the initial testing</t>
        </is>
      </c>
      <c r="AA129" s="243" t="inlineStr">
        <is>
          <t>P060072|R</t>
        </is>
      </c>
      <c r="AB129" s="250" t="inlineStr">
        <is>
          <t>registered — retest 1 · Tranche 2 (sampled 12–14.08.2026), tested 12.08.2026, issued 17.08.2026</t>
        </is>
      </c>
    </row>
    <row r="130">
      <c r="A130" s="243" t="n">
        <v>129</v>
      </c>
      <c r="B130" s="244" t="inlineStr">
        <is>
          <t>iCoA-PP_26-129</t>
        </is>
      </c>
      <c r="C130" s="249" t="inlineStr">
        <is>
          <t>yes</t>
        </is>
      </c>
      <c r="D130" s="245" t="n">
        <v>46251</v>
      </c>
      <c r="E130" s="245" t="n">
        <v>46246</v>
      </c>
      <c r="F130" s="245">
        <f>IFERROR(INDEX('Batch Dates'!$G:$G,MATCH(J130,'Batch Dates'!$C:$C,0)),IFERROR(INDEX('Batch Dates'!$G:$G,MATCH(I130,'Batch Dates'!$B:$B,0)),""))</f>
        <v/>
      </c>
      <c r="G130" s="243" t="inlineStr">
        <is>
          <t>legacy</t>
        </is>
      </c>
      <c r="H130" s="243" t="inlineStr">
        <is>
          <t>retest 1</t>
        </is>
      </c>
      <c r="I130" s="244" t="inlineStr">
        <is>
          <t>CLE072501</t>
        </is>
      </c>
      <c r="J130" s="243" t="inlineStr">
        <is>
          <t>P050282</t>
        </is>
      </c>
      <c r="K130" s="243" t="inlineStr">
        <is>
          <t>Clemosa A Bud</t>
        </is>
      </c>
      <c r="L130" s="243" t="inlineStr">
        <is>
          <t>Ident A + Ident B + Foreign matter</t>
        </is>
      </c>
      <c r="M130" s="248" t="inlineStr">
        <is>
          <t>—</t>
        </is>
      </c>
      <c r="N130" s="243">
        <f>IFERROR(INDEX('CoQ Register'!$B:$B,MATCH("P050282|R",'CoQ Register'!$S:$S,0)),"—")</f>
        <v/>
      </c>
      <c r="O130" s="248" t="inlineStr">
        <is>
          <t>—</t>
        </is>
      </c>
      <c r="P130" s="243" t="inlineStr">
        <is>
          <t>03.12.2026</t>
        </is>
      </c>
      <c r="Q130" s="243" t="inlineStr">
        <is>
          <t>28.10.2025</t>
        </is>
      </c>
      <c r="R130" s="243" t="inlineStr">
        <is>
          <t>03.12.2025 – 04.12.2025</t>
        </is>
      </c>
      <c r="S130" s="245">
        <f>IFERROR(INDEX('CoQ Register'!$D:$D,MATCH("P050282|R",'CoQ Register'!$S:$S,0)),"")</f>
        <v/>
      </c>
      <c r="T130" s="243" t="inlineStr">
        <is>
          <t>Conforms</t>
        </is>
      </c>
      <c r="U130" s="243" t="inlineStr">
        <is>
          <t>Conforms</t>
        </is>
      </c>
      <c r="V130" s="243" t="inlineStr">
        <is>
          <t>Conforms</t>
        </is>
      </c>
      <c r="W130" s="243" t="inlineStr">
        <is>
          <t>220-7-K-26, (25.08.2026) [FHM-K]</t>
        </is>
      </c>
      <c r="X130" s="243" t="inlineStr">
        <is>
          <t>220-7-K-26, (25.08.2026) [FHM-K]</t>
        </is>
      </c>
      <c r="Y130" s="243" t="inlineStr">
        <is>
          <t>220-7-M-26, (11.09.2026) [FHM-M]</t>
        </is>
      </c>
      <c r="Z130" s="243" t="inlineStr">
        <is>
          <t>#8, #9, #11, #12 from the initial testing</t>
        </is>
      </c>
      <c r="AA130" s="243" t="inlineStr">
        <is>
          <t>P050282|R</t>
        </is>
      </c>
      <c r="AB130" s="250" t="inlineStr">
        <is>
          <t>registered — retest 1 · Tranche 2 (sampled 12–14.08.2026), tested 12.08.2026, issued 17.08.2026</t>
        </is>
      </c>
    </row>
    <row r="131">
      <c r="A131" s="243" t="n">
        <v>130</v>
      </c>
      <c r="B131" s="244" t="inlineStr">
        <is>
          <t>iCoA-PP_26-130</t>
        </is>
      </c>
      <c r="C131" s="249" t="inlineStr">
        <is>
          <t>yes</t>
        </is>
      </c>
      <c r="D131" s="245" t="n">
        <v>46251</v>
      </c>
      <c r="E131" s="245" t="n">
        <v>46246</v>
      </c>
      <c r="F131" s="245">
        <f>IFERROR(INDEX('Batch Dates'!$G:$G,MATCH(J131,'Batch Dates'!$C:$C,0)),IFERROR(INDEX('Batch Dates'!$G:$G,MATCH(I131,'Batch Dates'!$B:$B,0)),""))</f>
        <v/>
      </c>
      <c r="G131" s="243" t="inlineStr">
        <is>
          <t>post-SOP</t>
        </is>
      </c>
      <c r="H131" s="243" t="inlineStr">
        <is>
          <t>retest 1</t>
        </is>
      </c>
      <c r="I131" s="244" t="inlineStr">
        <is>
          <t>FB012601_1</t>
        </is>
      </c>
      <c r="J131" s="243" t="inlineStr">
        <is>
          <t>P060322</t>
        </is>
      </c>
      <c r="K131" s="243" t="inlineStr">
        <is>
          <t>Fat Bastard</t>
        </is>
      </c>
      <c r="L131" s="243" t="inlineStr">
        <is>
          <t>Ident A + Ident B + Foreign matter</t>
        </is>
      </c>
      <c r="M131" s="248" t="inlineStr">
        <is>
          <t>—</t>
        </is>
      </c>
      <c r="N131" s="243">
        <f>IFERROR(INDEX('CoQ Register'!$B:$B,MATCH("P060322|R",'CoQ Register'!$S:$S,0)),"—")</f>
        <v/>
      </c>
      <c r="O131" s="248" t="inlineStr">
        <is>
          <t>—</t>
        </is>
      </c>
      <c r="P131" s="243" t="inlineStr">
        <is>
          <t>22.05.2027</t>
        </is>
      </c>
      <c r="Q131" s="243" t="inlineStr">
        <is>
          <t>27.03.2026</t>
        </is>
      </c>
      <c r="R131" s="243" t="inlineStr">
        <is>
          <t>22.05.2026</t>
        </is>
      </c>
      <c r="S131" s="245">
        <f>IFERROR(INDEX('CoQ Register'!$D:$D,MATCH("P060322|R",'CoQ Register'!$S:$S,0)),"")</f>
        <v/>
      </c>
      <c r="T131" s="243" t="inlineStr">
        <is>
          <t>Conforms</t>
        </is>
      </c>
      <c r="U131" s="243" t="inlineStr">
        <is>
          <t>Conforms</t>
        </is>
      </c>
      <c r="V131" s="243" t="inlineStr">
        <is>
          <t>Conforms</t>
        </is>
      </c>
      <c r="W131" s="243" t="inlineStr">
        <is>
          <t>220-8-K-26, (25.08.2026) [FHM-K]</t>
        </is>
      </c>
      <c r="X131" s="243" t="inlineStr">
        <is>
          <t>220-8-K-26, (25.08.2026) [FHM-K]</t>
        </is>
      </c>
      <c r="Y131" s="243" t="inlineStr">
        <is>
          <t>220-8-M-26, (11.09.2026) [FHM-M]</t>
        </is>
      </c>
      <c r="Z131" s="243" t="inlineStr">
        <is>
          <t>#8, #9, #11, #12 from the initial testing</t>
        </is>
      </c>
      <c r="AA131" s="243" t="inlineStr">
        <is>
          <t>P060322|R</t>
        </is>
      </c>
      <c r="AB131" s="250" t="inlineStr">
        <is>
          <t>registered — retest 1 · Tranche 2 (sampled 12–14.08.2026), tested 12.08.2026, issued 17.08.2026</t>
        </is>
      </c>
    </row>
    <row r="132">
      <c r="A132" s="243" t="n">
        <v>131</v>
      </c>
      <c r="B132" s="244" t="inlineStr">
        <is>
          <t>iCoA-PP_26-131</t>
        </is>
      </c>
      <c r="C132" s="249" t="inlineStr">
        <is>
          <t>yes</t>
        </is>
      </c>
      <c r="D132" s="245" t="n">
        <v>46251</v>
      </c>
      <c r="E132" s="245" t="n">
        <v>46246</v>
      </c>
      <c r="F132" s="245">
        <f>IFERROR(INDEX('Batch Dates'!$G:$G,MATCH(J132,'Batch Dates'!$C:$C,0)),IFERROR(INDEX('Batch Dates'!$G:$G,MATCH(I132,'Batch Dates'!$B:$B,0)),""))</f>
        <v/>
      </c>
      <c r="G132" s="243" t="inlineStr">
        <is>
          <t>legacy</t>
        </is>
      </c>
      <c r="H132" s="243" t="inlineStr">
        <is>
          <t>retest 1</t>
        </is>
      </c>
      <c r="I132" s="244" t="inlineStr">
        <is>
          <t>GG1024</t>
        </is>
      </c>
      <c r="J132" s="243" t="inlineStr">
        <is>
          <t>N/A — no P batch assigned</t>
        </is>
      </c>
      <c r="K132" s="243" t="inlineStr">
        <is>
          <t>Gorilla Glue</t>
        </is>
      </c>
      <c r="L132" s="243" t="inlineStr">
        <is>
          <t>Ident A + Ident B + Foreign matter</t>
        </is>
      </c>
      <c r="M132" s="248" t="inlineStr">
        <is>
          <t>—</t>
        </is>
      </c>
      <c r="N132" s="243">
        <f>IFERROR(INDEX('CoQ Register'!$B:$B,MATCH("GG1024|R",'CoQ Register'!$S:$S,0)),"—")</f>
        <v/>
      </c>
      <c r="O132" s="248" t="inlineStr">
        <is>
          <t>—</t>
        </is>
      </c>
      <c r="P132" s="243" t="inlineStr">
        <is>
          <t>11.03.2026</t>
        </is>
      </c>
      <c r="Q132" s="243" t="inlineStr">
        <is>
          <t>20.01.2025</t>
        </is>
      </c>
      <c r="R132" s="243" t="inlineStr">
        <is>
          <t>11.03.2025</t>
        </is>
      </c>
      <c r="S132" s="245">
        <f>IFERROR(INDEX('CoQ Register'!$D:$D,MATCH("GG1024|R",'CoQ Register'!$S:$S,0)),"")</f>
        <v/>
      </c>
      <c r="T132" s="243" t="inlineStr">
        <is>
          <t>Conforms</t>
        </is>
      </c>
      <c r="U132" s="243" t="inlineStr">
        <is>
          <t>Conforms</t>
        </is>
      </c>
      <c r="V132" s="243" t="inlineStr">
        <is>
          <t>Conforms</t>
        </is>
      </c>
      <c r="W132" s="243" t="inlineStr">
        <is>
          <t>220-9-K-26, (25.08.2026) [FHM-K]</t>
        </is>
      </c>
      <c r="X132" s="243" t="inlineStr">
        <is>
          <t>220-9-K-26, (25.08.2026) [FHM-K]</t>
        </is>
      </c>
      <c r="Y132" s="243" t="inlineStr">
        <is>
          <t>220-9-M-26, (11.09.2026) [FHM-M]</t>
        </is>
      </c>
      <c r="Z132" s="243" t="inlineStr">
        <is>
          <t>#8, #9, #11, #12 from the initial testing</t>
        </is>
      </c>
      <c r="AA132" s="243" t="inlineStr">
        <is>
          <t>GG1024|R</t>
        </is>
      </c>
      <c r="AB132" s="250" t="inlineStr">
        <is>
          <t>registered — retest 1 · Tranche 2 (sampled 12–14.08.2026), tested 12.08.2026, issued 17.08.2026</t>
        </is>
      </c>
    </row>
    <row r="133">
      <c r="A133" s="243" t="n">
        <v>132</v>
      </c>
      <c r="B133" s="244" t="inlineStr">
        <is>
          <t>iCoA-PP_26-132</t>
        </is>
      </c>
      <c r="C133" s="249" t="inlineStr">
        <is>
          <t>yes</t>
        </is>
      </c>
      <c r="D133" s="245" t="n">
        <v>46251</v>
      </c>
      <c r="E133" s="245" t="n">
        <v>46246</v>
      </c>
      <c r="F133" s="245">
        <f>IFERROR(INDEX('Batch Dates'!$G:$G,MATCH(J133,'Batch Dates'!$C:$C,0)),IFERROR(INDEX('Batch Dates'!$G:$G,MATCH(I133,'Batch Dates'!$B:$B,0)),""))</f>
        <v/>
      </c>
      <c r="G133" s="243" t="inlineStr">
        <is>
          <t>legacy</t>
        </is>
      </c>
      <c r="H133" s="243" t="inlineStr">
        <is>
          <t>retest 1</t>
        </is>
      </c>
      <c r="I133" s="244" t="inlineStr">
        <is>
          <t>GP072501/2</t>
        </is>
      </c>
      <c r="J133" s="243" t="inlineStr">
        <is>
          <t>P050302</t>
        </is>
      </c>
      <c r="K133" s="243" t="inlineStr">
        <is>
          <t>Grape Pie</t>
        </is>
      </c>
      <c r="L133" s="243" t="inlineStr">
        <is>
          <t>Ident A + Ident B + Foreign matter</t>
        </is>
      </c>
      <c r="M133" s="248" t="inlineStr">
        <is>
          <t>—</t>
        </is>
      </c>
      <c r="N133" s="243">
        <f>IFERROR(INDEX('CoQ Register'!$B:$B,MATCH("P050302|R",'CoQ Register'!$S:$S,0)),"—")</f>
        <v/>
      </c>
      <c r="O133" s="248" t="inlineStr">
        <is>
          <t>—</t>
        </is>
      </c>
      <c r="P133" s="243" t="inlineStr">
        <is>
          <t>22.12.2026</t>
        </is>
      </c>
      <c r="Q133" s="243" t="inlineStr">
        <is>
          <t>13.11.2025</t>
        </is>
      </c>
      <c r="R133" s="243" t="inlineStr">
        <is>
          <t>22.12.2025</t>
        </is>
      </c>
      <c r="S133" s="245">
        <f>IFERROR(INDEX('CoQ Register'!$D:$D,MATCH("P050302|R",'CoQ Register'!$S:$S,0)),"")</f>
        <v/>
      </c>
      <c r="T133" s="243" t="inlineStr">
        <is>
          <t>Conforms</t>
        </is>
      </c>
      <c r="U133" s="243" t="inlineStr">
        <is>
          <t>Conforms</t>
        </is>
      </c>
      <c r="V133" s="243" t="inlineStr">
        <is>
          <t>Conforms</t>
        </is>
      </c>
      <c r="W133" s="243" t="inlineStr">
        <is>
          <t>220-10-K-26, (25.08.2026) [FHM-K]</t>
        </is>
      </c>
      <c r="X133" s="243" t="inlineStr">
        <is>
          <t>220-10-K-26, (25.08.2026) [FHM-K]</t>
        </is>
      </c>
      <c r="Y133" s="243" t="inlineStr">
        <is>
          <t>220-10-M-26, (11.09.2026) [FHM-M]</t>
        </is>
      </c>
      <c r="Z133" s="243" t="inlineStr">
        <is>
          <t>#8, #9, #11, #12 from the initial testing</t>
        </is>
      </c>
      <c r="AA133" s="243" t="inlineStr">
        <is>
          <t>P050302|R</t>
        </is>
      </c>
      <c r="AB133" s="250" t="inlineStr">
        <is>
          <t>registered — retest 1 · Tranche 2 (sampled 12–14.08.2026), tested 12.08.2026, issued 17.08.2026</t>
        </is>
      </c>
    </row>
    <row r="134">
      <c r="A134" s="243" t="n">
        <v>133</v>
      </c>
      <c r="B134" s="244" t="inlineStr">
        <is>
          <t>iCoA-PP_26-133</t>
        </is>
      </c>
      <c r="C134" s="249" t="inlineStr">
        <is>
          <t>yes</t>
        </is>
      </c>
      <c r="D134" s="245" t="n">
        <v>46251</v>
      </c>
      <c r="E134" s="245" t="n">
        <v>46246</v>
      </c>
      <c r="F134" s="245">
        <f>IFERROR(INDEX('Batch Dates'!$G:$G,MATCH(J134,'Batch Dates'!$C:$C,0)),IFERROR(INDEX('Batch Dates'!$G:$G,MATCH(I134,'Batch Dates'!$B:$B,0)),""))</f>
        <v/>
      </c>
      <c r="G134" s="243" t="inlineStr">
        <is>
          <t>legacy</t>
        </is>
      </c>
      <c r="H134" s="243" t="inlineStr">
        <is>
          <t>retest 4</t>
        </is>
      </c>
      <c r="I134" s="244" t="inlineStr">
        <is>
          <t>GP0824_03</t>
        </is>
      </c>
      <c r="J134" s="243" t="inlineStr">
        <is>
          <t>P050072</t>
        </is>
      </c>
      <c r="K134" s="243" t="inlineStr">
        <is>
          <t>Grape Pie</t>
        </is>
      </c>
      <c r="L134" s="243" t="inlineStr">
        <is>
          <t>Ident A + Ident B + Foreign matter</t>
        </is>
      </c>
      <c r="M134" s="248" t="inlineStr">
        <is>
          <t>—</t>
        </is>
      </c>
      <c r="N134" s="243">
        <f>IFERROR(INDEX('CoQ Register'!$B:$B,MATCH("P050072|R4",'CoQ Register'!$S:$S,0)),"—")</f>
        <v/>
      </c>
      <c r="O134" s="248" t="inlineStr">
        <is>
          <t>—</t>
        </is>
      </c>
      <c r="P134" s="243" t="inlineStr">
        <is>
          <t>14.07.2026</t>
        </is>
      </c>
      <c r="Q134" s="243" t="inlineStr">
        <is>
          <t>09.06.2025 – 10.06.2025</t>
        </is>
      </c>
      <c r="R134" s="243" t="inlineStr">
        <is>
          <t>14.07.2025 – 17.07.2025</t>
        </is>
      </c>
      <c r="S134" s="245">
        <f>IFERROR(INDEX('CoQ Register'!$D:$D,MATCH("P050072|R4",'CoQ Register'!$S:$S,0)),"")</f>
        <v/>
      </c>
      <c r="T134" s="243" t="inlineStr">
        <is>
          <t>Conforms</t>
        </is>
      </c>
      <c r="U134" s="243" t="inlineStr">
        <is>
          <t>Conforms</t>
        </is>
      </c>
      <c r="V134" s="243" t="inlineStr">
        <is>
          <t>Conforms</t>
        </is>
      </c>
      <c r="W134" s="243" t="inlineStr">
        <is>
          <t>220-11-K-26, (25.08.2026) [FHM-K]</t>
        </is>
      </c>
      <c r="X134" s="243" t="inlineStr">
        <is>
          <t>220-11-K-26, (25.08.2026) [FHM-K]</t>
        </is>
      </c>
      <c r="Y134" s="243" t="inlineStr">
        <is>
          <t>220-11-M-26, (11.09.2026) [FHM-M]</t>
        </is>
      </c>
      <c r="Z134" s="243" t="inlineStr">
        <is>
          <t>#8, #9, #11, #12 from the initial testing</t>
        </is>
      </c>
      <c r="AA134" s="243" t="inlineStr">
        <is>
          <t>P050072|R4</t>
        </is>
      </c>
      <c r="AB134" s="250" t="inlineStr">
        <is>
          <t>registered — retest 4 · Tranche 2 (sampled 12–14.08.2026), tested 12.08.2026, issued 17.08.2026</t>
        </is>
      </c>
    </row>
    <row r="135">
      <c r="A135" s="243" t="n">
        <v>134</v>
      </c>
      <c r="B135" s="244" t="inlineStr">
        <is>
          <t>iCoA-PP_26-134</t>
        </is>
      </c>
      <c r="C135" s="249" t="inlineStr">
        <is>
          <t>yes</t>
        </is>
      </c>
      <c r="D135" s="245" t="n">
        <v>46251</v>
      </c>
      <c r="E135" s="245" t="n">
        <v>46247</v>
      </c>
      <c r="F135" s="245">
        <f>IFERROR(INDEX('Batch Dates'!$G:$G,MATCH(J135,'Batch Dates'!$C:$C,0)),IFERROR(INDEX('Batch Dates'!$G:$G,MATCH(I135,'Batch Dates'!$B:$B,0)),""))</f>
        <v/>
      </c>
      <c r="G135" s="243" t="inlineStr">
        <is>
          <t>legacy</t>
        </is>
      </c>
      <c r="H135" s="243" t="inlineStr">
        <is>
          <t>retest 1</t>
        </is>
      </c>
      <c r="I135" s="244" t="inlineStr">
        <is>
          <t>GP082501/1</t>
        </is>
      </c>
      <c r="J135" s="243" t="inlineStr">
        <is>
          <t>P050312</t>
        </is>
      </c>
      <c r="K135" s="243" t="inlineStr">
        <is>
          <t>Grape Pie</t>
        </is>
      </c>
      <c r="L135" s="243" t="inlineStr">
        <is>
          <t>Ident A + Ident B + Foreign matter</t>
        </is>
      </c>
      <c r="M135" s="248" t="inlineStr">
        <is>
          <t>—</t>
        </is>
      </c>
      <c r="N135" s="243">
        <f>IFERROR(INDEX('CoQ Register'!$B:$B,MATCH("P050312|R",'CoQ Register'!$S:$S,0)),"—")</f>
        <v/>
      </c>
      <c r="O135" s="248" t="inlineStr">
        <is>
          <t>—</t>
        </is>
      </c>
      <c r="P135" s="243" t="inlineStr">
        <is>
          <t>23.12.2026</t>
        </is>
      </c>
      <c r="Q135" s="243" t="inlineStr">
        <is>
          <t>19.11.2025 – 20.11.2025</t>
        </is>
      </c>
      <c r="R135" s="243" t="inlineStr">
        <is>
          <t>23.12.2025 – 26.12.2025</t>
        </is>
      </c>
      <c r="S135" s="245">
        <f>IFERROR(INDEX('CoQ Register'!$D:$D,MATCH("P050312|R",'CoQ Register'!$S:$S,0)),"")</f>
        <v/>
      </c>
      <c r="T135" s="243" t="inlineStr">
        <is>
          <t>Conforms</t>
        </is>
      </c>
      <c r="U135" s="243" t="inlineStr">
        <is>
          <t>Conforms</t>
        </is>
      </c>
      <c r="V135" s="243" t="inlineStr">
        <is>
          <t>Conforms</t>
        </is>
      </c>
      <c r="W135" s="243" t="inlineStr">
        <is>
          <t>220-12-K-26, (25.08.2026) [FHM-K]</t>
        </is>
      </c>
      <c r="X135" s="243" t="inlineStr">
        <is>
          <t>220-12-K-26, (25.08.2026) [FHM-K]</t>
        </is>
      </c>
      <c r="Y135" s="243" t="inlineStr">
        <is>
          <t>220-12-M-26, (11.09.2026) [FHM-M]</t>
        </is>
      </c>
      <c r="Z135" s="243" t="inlineStr">
        <is>
          <t>#8, #9, #11, #12 from the initial testing</t>
        </is>
      </c>
      <c r="AA135" s="243" t="inlineStr">
        <is>
          <t>P050312|R</t>
        </is>
      </c>
      <c r="AB135" s="250" t="inlineStr">
        <is>
          <t>registered — retest 1 · Tranche 2 (sampled 12–14.08.2026), tested 13.08.2026, issued 17.08.2026</t>
        </is>
      </c>
    </row>
    <row r="136">
      <c r="A136" s="243" t="n">
        <v>135</v>
      </c>
      <c r="B136" s="244" t="inlineStr">
        <is>
          <t>iCoA-PP_26-135</t>
        </is>
      </c>
      <c r="C136" s="249" t="inlineStr">
        <is>
          <t>yes</t>
        </is>
      </c>
      <c r="D136" s="245" t="n">
        <v>46251</v>
      </c>
      <c r="E136" s="245" t="n">
        <v>46247</v>
      </c>
      <c r="F136" s="245">
        <f>IFERROR(INDEX('Batch Dates'!$G:$G,MATCH(J136,'Batch Dates'!$C:$C,0)),IFERROR(INDEX('Batch Dates'!$G:$G,MATCH(I136,'Batch Dates'!$B:$B,0)),""))</f>
        <v/>
      </c>
      <c r="G136" s="243" t="inlineStr">
        <is>
          <t>legacy</t>
        </is>
      </c>
      <c r="H136" s="243" t="inlineStr">
        <is>
          <t>retest 1</t>
        </is>
      </c>
      <c r="I136" s="244" t="inlineStr">
        <is>
          <t>GP092501</t>
        </is>
      </c>
      <c r="J136" s="243" t="inlineStr">
        <is>
          <t>P060092</t>
        </is>
      </c>
      <c r="K136" s="243" t="inlineStr">
        <is>
          <t>Grape Pie</t>
        </is>
      </c>
      <c r="L136" s="243" t="inlineStr">
        <is>
          <t>Ident A + Ident B + Foreign matter</t>
        </is>
      </c>
      <c r="M136" s="248" t="inlineStr">
        <is>
          <t>—</t>
        </is>
      </c>
      <c r="N136" s="243">
        <f>IFERROR(INDEX('CoQ Register'!$B:$B,MATCH("P060092|R",'CoQ Register'!$S:$S,0)),"—")</f>
        <v/>
      </c>
      <c r="O136" s="248" t="inlineStr">
        <is>
          <t>—</t>
        </is>
      </c>
      <c r="P136" s="243" t="inlineStr">
        <is>
          <t>03.02.2027</t>
        </is>
      </c>
      <c r="Q136" s="243" t="inlineStr">
        <is>
          <t>16.12.2025 – 17.12.2025</t>
        </is>
      </c>
      <c r="R136" s="243" t="inlineStr">
        <is>
          <t>03.02.2026 – 09.02.2026</t>
        </is>
      </c>
      <c r="S136" s="245">
        <f>IFERROR(INDEX('CoQ Register'!$D:$D,MATCH("P060092|R",'CoQ Register'!$S:$S,0)),"")</f>
        <v/>
      </c>
      <c r="T136" s="243" t="inlineStr">
        <is>
          <t>Conforms</t>
        </is>
      </c>
      <c r="U136" s="243" t="inlineStr">
        <is>
          <t>Conforms</t>
        </is>
      </c>
      <c r="V136" s="243" t="inlineStr">
        <is>
          <t>Conforms</t>
        </is>
      </c>
      <c r="W136" s="243" t="inlineStr">
        <is>
          <t>220-13-K-26, (25.08.2026) [FHM-K]</t>
        </is>
      </c>
      <c r="X136" s="243" t="inlineStr">
        <is>
          <t>220-13-K-26, (25.08.2026) [FHM-K]</t>
        </is>
      </c>
      <c r="Y136" s="243" t="inlineStr">
        <is>
          <t>220-13-M-26, (11.09.2026) [FHM-M]</t>
        </is>
      </c>
      <c r="Z136" s="243" t="inlineStr">
        <is>
          <t>#8, #9, #11, #12 from the initial testing</t>
        </is>
      </c>
      <c r="AA136" s="243" t="inlineStr">
        <is>
          <t>P060092|R</t>
        </is>
      </c>
      <c r="AB136" s="250" t="inlineStr">
        <is>
          <t>registered — retest 1 · Tranche 2 (sampled 12–14.08.2026), tested 13.08.2026, issued 17.08.2026</t>
        </is>
      </c>
    </row>
    <row r="137">
      <c r="A137" s="243" t="n">
        <v>136</v>
      </c>
      <c r="B137" s="244" t="inlineStr">
        <is>
          <t>iCoA-PP_26-136</t>
        </is>
      </c>
      <c r="C137" s="249" t="inlineStr">
        <is>
          <t>yes</t>
        </is>
      </c>
      <c r="D137" s="245" t="n">
        <v>46251</v>
      </c>
      <c r="E137" s="245" t="n">
        <v>46247</v>
      </c>
      <c r="F137" s="245">
        <f>IFERROR(INDEX('Batch Dates'!$G:$G,MATCH(J137,'Batch Dates'!$C:$C,0)),IFERROR(INDEX('Batch Dates'!$G:$G,MATCH(I137,'Batch Dates'!$B:$B,0)),""))</f>
        <v/>
      </c>
      <c r="G137" s="243" t="inlineStr">
        <is>
          <t>legacy</t>
        </is>
      </c>
      <c r="H137" s="243" t="inlineStr">
        <is>
          <t>retest 2</t>
        </is>
      </c>
      <c r="I137" s="244" t="inlineStr">
        <is>
          <t>GRC102501</t>
        </is>
      </c>
      <c r="J137" s="243" t="inlineStr">
        <is>
          <t>P060182</t>
        </is>
      </c>
      <c r="K137" s="243" t="inlineStr">
        <is>
          <t>Grapes And Cream</t>
        </is>
      </c>
      <c r="L137" s="243" t="inlineStr">
        <is>
          <t>Ident A + Ident B + Foreign matter</t>
        </is>
      </c>
      <c r="M137" s="248" t="inlineStr">
        <is>
          <t>—</t>
        </is>
      </c>
      <c r="N137" s="243">
        <f>IFERROR(INDEX('CoQ Register'!$B:$B,MATCH("P060182|R2",'CoQ Register'!$S:$S,0)),"—")</f>
        <v/>
      </c>
      <c r="O137" s="248" t="inlineStr">
        <is>
          <t>—</t>
        </is>
      </c>
      <c r="P137" s="243" t="inlineStr">
        <is>
          <t>14.03.2027</t>
        </is>
      </c>
      <c r="Q137" s="243" t="inlineStr">
        <is>
          <t>20.01.2026</t>
        </is>
      </c>
      <c r="R137" s="243" t="inlineStr">
        <is>
          <t>14.03.2026</t>
        </is>
      </c>
      <c r="S137" s="245">
        <f>IFERROR(INDEX('CoQ Register'!$D:$D,MATCH("P060182|R2",'CoQ Register'!$S:$S,0)),"")</f>
        <v/>
      </c>
      <c r="T137" s="243" t="inlineStr">
        <is>
          <t>Conforms</t>
        </is>
      </c>
      <c r="U137" s="243" t="inlineStr">
        <is>
          <t>Conforms</t>
        </is>
      </c>
      <c r="V137" s="243" t="inlineStr">
        <is>
          <t>Conforms</t>
        </is>
      </c>
      <c r="W137" s="243" t="inlineStr">
        <is>
          <t>220-14-K-26, (25.08.2026) [FHM-K]</t>
        </is>
      </c>
      <c r="X137" s="243" t="inlineStr">
        <is>
          <t>220-14-K-26, (25.08.2026) [FHM-K]</t>
        </is>
      </c>
      <c r="Y137" s="243" t="inlineStr">
        <is>
          <t>220-14-M-26, (11.09.2026) [FHM-M]</t>
        </is>
      </c>
      <c r="Z137" s="243" t="inlineStr">
        <is>
          <t>#8, #9, #11, #12 from the initial testing</t>
        </is>
      </c>
      <c r="AA137" s="243" t="inlineStr">
        <is>
          <t>P060182|R2</t>
        </is>
      </c>
      <c r="AB137" s="250" t="inlineStr">
        <is>
          <t>registered — retest 2 · Tranche 2 (sampled 12–14.08.2026), tested 13.08.2026, issued 17.08.2026</t>
        </is>
      </c>
    </row>
    <row r="138">
      <c r="A138" s="243" t="n">
        <v>137</v>
      </c>
      <c r="B138" s="244" t="inlineStr">
        <is>
          <t>iCoA-PP_26-137</t>
        </is>
      </c>
      <c r="C138" s="249" t="inlineStr">
        <is>
          <t>yes</t>
        </is>
      </c>
      <c r="D138" s="245" t="n">
        <v>46251</v>
      </c>
      <c r="E138" s="245" t="n">
        <v>46247</v>
      </c>
      <c r="F138" s="245">
        <f>IFERROR(INDEX('Batch Dates'!$G:$G,MATCH(J138,'Batch Dates'!$C:$C,0)),IFERROR(INDEX('Batch Dates'!$G:$G,MATCH(I138,'Batch Dates'!$B:$B,0)),""))</f>
        <v/>
      </c>
      <c r="G138" s="243" t="inlineStr">
        <is>
          <t>legacy</t>
        </is>
      </c>
      <c r="H138" s="243" t="inlineStr">
        <is>
          <t>retest 1</t>
        </is>
      </c>
      <c r="I138" s="244" t="inlineStr">
        <is>
          <t>HPA052501</t>
        </is>
      </c>
      <c r="J138" s="243" t="inlineStr">
        <is>
          <t>P050182</t>
        </is>
      </c>
      <c r="K138" s="243" t="inlineStr">
        <is>
          <t>High Pro Amnesia</t>
        </is>
      </c>
      <c r="L138" s="243" t="inlineStr">
        <is>
          <t>Ident A + Ident B + Foreign matter</t>
        </is>
      </c>
      <c r="M138" s="248" t="inlineStr">
        <is>
          <t>—</t>
        </is>
      </c>
      <c r="N138" s="243">
        <f>IFERROR(INDEX('CoQ Register'!$B:$B,MATCH("P050182|R",'CoQ Register'!$S:$S,0)),"—")</f>
        <v/>
      </c>
      <c r="O138" s="248" t="inlineStr">
        <is>
          <t>—</t>
        </is>
      </c>
      <c r="P138" s="243" t="inlineStr">
        <is>
          <t>03.10.2026</t>
        </is>
      </c>
      <c r="Q138" s="243" t="inlineStr">
        <is>
          <t>21.08.2025 – 23.08.2025</t>
        </is>
      </c>
      <c r="R138" s="243" t="inlineStr">
        <is>
          <t>03.10.2025 – 09.10.2025</t>
        </is>
      </c>
      <c r="S138" s="245">
        <f>IFERROR(INDEX('CoQ Register'!$D:$D,MATCH("P050182|R",'CoQ Register'!$S:$S,0)),"")</f>
        <v/>
      </c>
      <c r="T138" s="243" t="inlineStr">
        <is>
          <t>Conforms</t>
        </is>
      </c>
      <c r="U138" s="243" t="inlineStr">
        <is>
          <t>Conforms</t>
        </is>
      </c>
      <c r="V138" s="243" t="inlineStr">
        <is>
          <t>Conforms</t>
        </is>
      </c>
      <c r="W138" s="243" t="inlineStr">
        <is>
          <t>220-15-K-26, (25.08.2026) [FHM-K]</t>
        </is>
      </c>
      <c r="X138" s="243" t="inlineStr">
        <is>
          <t>220-15-K-26, (25.08.2026) [FHM-K]</t>
        </is>
      </c>
      <c r="Y138" s="243" t="inlineStr">
        <is>
          <t>220-15-M-26, (11.09.2026) [FHM-M]</t>
        </is>
      </c>
      <c r="Z138" s="243" t="inlineStr">
        <is>
          <t>#8, #9, #11, #12 from the initial testing</t>
        </is>
      </c>
      <c r="AA138" s="243" t="inlineStr">
        <is>
          <t>P050182|R</t>
        </is>
      </c>
      <c r="AB138" s="250" t="inlineStr">
        <is>
          <t>registered — retest 1 · Tranche 2 (sampled 12–14.08.2026), tested 13.08.2026, issued 17.08.2026</t>
        </is>
      </c>
    </row>
    <row r="139">
      <c r="A139" s="243" t="n">
        <v>138</v>
      </c>
      <c r="B139" s="244" t="inlineStr">
        <is>
          <t>iCoA-PP_26-138</t>
        </is>
      </c>
      <c r="C139" s="249" t="inlineStr">
        <is>
          <t>yes</t>
        </is>
      </c>
      <c r="D139" s="245" t="n">
        <v>46251</v>
      </c>
      <c r="E139" s="245" t="n">
        <v>46247</v>
      </c>
      <c r="F139" s="245">
        <f>IFERROR(INDEX('Batch Dates'!$G:$G,MATCH(J139,'Batch Dates'!$C:$C,0)),IFERROR(INDEX('Batch Dates'!$G:$G,MATCH(I139,'Batch Dates'!$B:$B,0)),""))</f>
        <v/>
      </c>
      <c r="G139" s="243" t="inlineStr">
        <is>
          <t>post-SOP</t>
        </is>
      </c>
      <c r="H139" s="243" t="inlineStr">
        <is>
          <t>retest 1</t>
        </is>
      </c>
      <c r="I139" s="244" t="inlineStr">
        <is>
          <t>JD012603</t>
        </is>
      </c>
      <c r="J139" s="243" t="inlineStr">
        <is>
          <t>P060412</t>
        </is>
      </c>
      <c r="K139" s="243" t="inlineStr">
        <is>
          <t>Jelly Donuts</t>
        </is>
      </c>
      <c r="L139" s="243" t="inlineStr">
        <is>
          <t>Ident A + Ident B + Foreign matter</t>
        </is>
      </c>
      <c r="M139" s="248" t="inlineStr">
        <is>
          <t>—</t>
        </is>
      </c>
      <c r="N139" s="243">
        <f>IFERROR(INDEX('CoQ Register'!$B:$B,MATCH("P060412|R",'CoQ Register'!$S:$S,0)),"—")</f>
        <v/>
      </c>
      <c r="O139" s="248" t="inlineStr">
        <is>
          <t>—</t>
        </is>
      </c>
      <c r="P139" s="243" t="inlineStr">
        <is>
          <t>24.05.2027</t>
        </is>
      </c>
      <c r="Q139" s="243" t="inlineStr">
        <is>
          <t>04.05.2026</t>
        </is>
      </c>
      <c r="R139" s="243" t="inlineStr">
        <is>
          <t>24.05.2026</t>
        </is>
      </c>
      <c r="S139" s="245">
        <f>IFERROR(INDEX('CoQ Register'!$D:$D,MATCH("P060412|R",'CoQ Register'!$S:$S,0)),"")</f>
        <v/>
      </c>
      <c r="T139" s="243" t="inlineStr">
        <is>
          <t>CNP ППК26111</t>
        </is>
      </c>
      <c r="U139" s="243" t="inlineStr">
        <is>
          <t>CNP ППК26111</t>
        </is>
      </c>
      <c r="V139" s="243" t="inlineStr">
        <is>
          <t>Conforms</t>
        </is>
      </c>
      <c r="W139" s="243" t="inlineStr">
        <is>
          <t>220-17-K-26, (26.08.2026) [FHM-K]</t>
        </is>
      </c>
      <c r="X139" s="243" t="inlineStr">
        <is>
          <t>220-17-K-26, (26.08.2026) [FHM-K]</t>
        </is>
      </c>
      <c r="Y139" s="243" t="inlineStr">
        <is>
          <t>220-17-M-26, (11.09.2026) [FHM-M]</t>
        </is>
      </c>
      <c r="Z139" s="243" t="inlineStr">
        <is>
          <t>#8, #9, #11, #12 from the initial testing</t>
        </is>
      </c>
      <c r="AA139" s="243" t="inlineStr">
        <is>
          <t>P060412|R</t>
        </is>
      </c>
      <c r="AB139" s="250" t="inlineStr">
        <is>
          <t>registered — retest 1 · Tranche 2 (sampled 12–14.08.2026), tested 13.08.2026, issued 17.08.2026</t>
        </is>
      </c>
    </row>
    <row r="140">
      <c r="A140" s="243" t="n">
        <v>139</v>
      </c>
      <c r="B140" s="244" t="inlineStr">
        <is>
          <t>iCoA-PP_26-139</t>
        </is>
      </c>
      <c r="C140" s="249" t="inlineStr">
        <is>
          <t>yes</t>
        </is>
      </c>
      <c r="D140" s="245" t="n">
        <v>46251</v>
      </c>
      <c r="E140" s="245" t="n">
        <v>46247</v>
      </c>
      <c r="F140" s="245">
        <f>IFERROR(INDEX('Batch Dates'!$G:$G,MATCH(J140,'Batch Dates'!$C:$C,0)),IFERROR(INDEX('Batch Dates'!$G:$G,MATCH(I140,'Batch Dates'!$B:$B,0)),""))</f>
        <v/>
      </c>
      <c r="G140" s="243" t="inlineStr">
        <is>
          <t>post-SOP</t>
        </is>
      </c>
      <c r="H140" s="243" t="inlineStr">
        <is>
          <t>retest 1</t>
        </is>
      </c>
      <c r="I140" s="244" t="inlineStr">
        <is>
          <t>JD012603</t>
        </is>
      </c>
      <c r="J140" s="243" t="inlineStr">
        <is>
          <t>P060422</t>
        </is>
      </c>
      <c r="K140" s="243" t="inlineStr">
        <is>
          <t>Jelly Donuts</t>
        </is>
      </c>
      <c r="L140" s="243" t="inlineStr">
        <is>
          <t>Ident A + Ident B + Foreign matter</t>
        </is>
      </c>
      <c r="M140" s="248" t="inlineStr">
        <is>
          <t>—</t>
        </is>
      </c>
      <c r="N140" s="243">
        <f>IFERROR(INDEX('CoQ Register'!$B:$B,MATCH("P060422|R",'CoQ Register'!$S:$S,0)),"—")</f>
        <v/>
      </c>
      <c r="O140" s="248" t="inlineStr">
        <is>
          <t>—</t>
        </is>
      </c>
      <c r="P140" s="243" t="inlineStr">
        <is>
          <t>23.05.2027</t>
        </is>
      </c>
      <c r="Q140" s="243" t="inlineStr">
        <is>
          <t>29.04.2026</t>
        </is>
      </c>
      <c r="R140" s="243" t="inlineStr">
        <is>
          <t>23.05.2026</t>
        </is>
      </c>
      <c r="S140" s="245">
        <f>IFERROR(INDEX('CoQ Register'!$D:$D,MATCH("P060422|R",'CoQ Register'!$S:$S,0)),"")</f>
        <v/>
      </c>
      <c r="T140" s="243" t="inlineStr">
        <is>
          <t>CNP ППК26111</t>
        </is>
      </c>
      <c r="U140" s="243" t="inlineStr">
        <is>
          <t>CNP ППК26111</t>
        </is>
      </c>
      <c r="V140" s="243" t="inlineStr">
        <is>
          <t>Conforms</t>
        </is>
      </c>
      <c r="W140" s="243" t="inlineStr">
        <is>
          <t>220-18-K-26, (26.08.2026) [FHM-K]</t>
        </is>
      </c>
      <c r="X140" s="243" t="inlineStr">
        <is>
          <t>220-18-K-26, (26.08.2026) [FHM-K]</t>
        </is>
      </c>
      <c r="Y140" s="243" t="inlineStr">
        <is>
          <t>220-18-M-26, (11.09.2026) [FHM-M]</t>
        </is>
      </c>
      <c r="Z140" s="243" t="inlineStr">
        <is>
          <t>#8, #9, #11, #12 from the initial testing</t>
        </is>
      </c>
      <c r="AA140" s="243" t="inlineStr">
        <is>
          <t>P060422|R</t>
        </is>
      </c>
      <c r="AB140" s="250" t="inlineStr">
        <is>
          <t>registered — retest 1 · Tranche 2 (sampled 12–14.08.2026), tested 13.08.2026, issued 17.08.2026</t>
        </is>
      </c>
    </row>
    <row r="141">
      <c r="A141" s="243" t="n">
        <v>140</v>
      </c>
      <c r="B141" s="244" t="inlineStr">
        <is>
          <t>iCoA-PP_26-140</t>
        </is>
      </c>
      <c r="C141" s="249" t="inlineStr">
        <is>
          <t>yes</t>
        </is>
      </c>
      <c r="D141" s="245" t="n">
        <v>46251</v>
      </c>
      <c r="E141" s="245" t="n">
        <v>46247</v>
      </c>
      <c r="F141" s="245">
        <f>IFERROR(INDEX('Batch Dates'!$G:$G,MATCH(J141,'Batch Dates'!$C:$C,0)),IFERROR(INDEX('Batch Dates'!$G:$G,MATCH(I141,'Batch Dates'!$B:$B,0)),""))</f>
        <v/>
      </c>
      <c r="G141" s="243" t="inlineStr">
        <is>
          <t>post-SOP</t>
        </is>
      </c>
      <c r="H141" s="243" t="inlineStr">
        <is>
          <t>retest 1</t>
        </is>
      </c>
      <c r="I141" s="244" t="inlineStr">
        <is>
          <t>JD012603</t>
        </is>
      </c>
      <c r="J141" s="243" t="inlineStr">
        <is>
          <t>P060362</t>
        </is>
      </c>
      <c r="K141" s="243" t="inlineStr">
        <is>
          <t>Jelly Donuts</t>
        </is>
      </c>
      <c r="L141" s="243" t="inlineStr">
        <is>
          <t>Ident A + Ident B + Foreign matter</t>
        </is>
      </c>
      <c r="M141" s="248" t="inlineStr">
        <is>
          <t>—</t>
        </is>
      </c>
      <c r="N141" s="243">
        <f>IFERROR(INDEX('CoQ Register'!$B:$B,MATCH("P060362|R",'CoQ Register'!$S:$S,0)),"—")</f>
        <v/>
      </c>
      <c r="O141" s="248" t="inlineStr">
        <is>
          <t>—</t>
        </is>
      </c>
      <c r="P141" s="243" t="inlineStr">
        <is>
          <t>23.05.2027</t>
        </is>
      </c>
      <c r="Q141" s="243" t="inlineStr">
        <is>
          <t>22.04.2026</t>
        </is>
      </c>
      <c r="R141" s="243" t="inlineStr">
        <is>
          <t>23.05.2026</t>
        </is>
      </c>
      <c r="S141" s="245">
        <f>IFERROR(INDEX('CoQ Register'!$D:$D,MATCH("P060362|R",'CoQ Register'!$S:$S,0)),"")</f>
        <v/>
      </c>
      <c r="T141" s="243" t="inlineStr">
        <is>
          <t>CNP ППК26111</t>
        </is>
      </c>
      <c r="U141" s="243" t="inlineStr">
        <is>
          <t>CNP ППК26111</t>
        </is>
      </c>
      <c r="V141" s="243" t="inlineStr">
        <is>
          <t>Conforms</t>
        </is>
      </c>
      <c r="W141" s="243" t="inlineStr">
        <is>
          <t>220-16-K-26, (25.08.2026) [FHM-K]</t>
        </is>
      </c>
      <c r="X141" s="243" t="inlineStr">
        <is>
          <t>220-16-K-26, (25.08.2026) [FHM-K]</t>
        </is>
      </c>
      <c r="Y141" s="243" t="inlineStr">
        <is>
          <t>220-16-M-26, (11.09.2026) [FHM-M]</t>
        </is>
      </c>
      <c r="Z141" s="243" t="inlineStr">
        <is>
          <t>#8, #9, #11, #12 from the initial testing</t>
        </is>
      </c>
      <c r="AA141" s="243" t="inlineStr">
        <is>
          <t>P060362|R</t>
        </is>
      </c>
      <c r="AB141" s="250" t="inlineStr">
        <is>
          <t>registered — retest 1 · Tranche 2 (sampled 12–14.08.2026), tested 13.08.2026, issued 17.08.2026</t>
        </is>
      </c>
    </row>
    <row r="142">
      <c r="A142" s="243" t="n">
        <v>141</v>
      </c>
      <c r="B142" s="244" t="inlineStr">
        <is>
          <t>iCoA-PP_26-141</t>
        </is>
      </c>
      <c r="C142" s="249" t="inlineStr">
        <is>
          <t>yes</t>
        </is>
      </c>
      <c r="D142" s="245" t="n">
        <v>46251</v>
      </c>
      <c r="E142" s="245" t="n">
        <v>46247</v>
      </c>
      <c r="F142" s="245">
        <f>IFERROR(INDEX('Batch Dates'!$G:$G,MATCH(J142,'Batch Dates'!$C:$C,0)),IFERROR(INDEX('Batch Dates'!$G:$G,MATCH(I142,'Batch Dates'!$B:$B,0)),""))</f>
        <v/>
      </c>
      <c r="G142" s="243" t="inlineStr">
        <is>
          <t>legacy</t>
        </is>
      </c>
      <c r="H142" s="243" t="inlineStr">
        <is>
          <t>retest 1</t>
        </is>
      </c>
      <c r="I142" s="244" t="inlineStr">
        <is>
          <t>KC102501</t>
        </is>
      </c>
      <c r="J142" s="243" t="inlineStr">
        <is>
          <t>P060172</t>
        </is>
      </c>
      <c r="K142" s="243" t="inlineStr">
        <is>
          <t>Kush Crasher</t>
        </is>
      </c>
      <c r="L142" s="243" t="inlineStr">
        <is>
          <t>Ident A + Ident B + Foreign matter</t>
        </is>
      </c>
      <c r="M142" s="248" t="inlineStr">
        <is>
          <t>—</t>
        </is>
      </c>
      <c r="N142" s="243">
        <f>IFERROR(INDEX('CoQ Register'!$B:$B,MATCH("P060172|R",'CoQ Register'!$S:$S,0)),"—")</f>
        <v/>
      </c>
      <c r="O142" s="248" t="inlineStr">
        <is>
          <t>—</t>
        </is>
      </c>
      <c r="P142" s="243" t="inlineStr">
        <is>
          <t>12.03.2027</t>
        </is>
      </c>
      <c r="Q142" s="243" t="inlineStr">
        <is>
          <t>20.01.2026 – 21.01.2026</t>
        </is>
      </c>
      <c r="R142" s="243" t="inlineStr">
        <is>
          <t>12.03.2026</t>
        </is>
      </c>
      <c r="S142" s="245">
        <f>IFERROR(INDEX('CoQ Register'!$D:$D,MATCH("P060172|R",'CoQ Register'!$S:$S,0)),"")</f>
        <v/>
      </c>
      <c r="T142" s="243" t="inlineStr">
        <is>
          <t>Conforms</t>
        </is>
      </c>
      <c r="U142" s="243" t="inlineStr">
        <is>
          <t>Conforms</t>
        </is>
      </c>
      <c r="V142" s="243" t="inlineStr">
        <is>
          <t>Conforms</t>
        </is>
      </c>
      <c r="W142" s="243" t="inlineStr">
        <is>
          <t>220-19-K-26, (26.08.2026) [FHM-K]</t>
        </is>
      </c>
      <c r="X142" s="243" t="inlineStr">
        <is>
          <t>220-19-K-26, (26.08.2026) [FHM-K]</t>
        </is>
      </c>
      <c r="Y142" s="243" t="inlineStr">
        <is>
          <t>220-19-M-26, (11.09.2026) [FHM-M]</t>
        </is>
      </c>
      <c r="Z142" s="243" t="inlineStr">
        <is>
          <t>#8, #9, #11, #12 from the initial testing</t>
        </is>
      </c>
      <c r="AA142" s="243" t="inlineStr">
        <is>
          <t>P060172|R</t>
        </is>
      </c>
      <c r="AB142" s="250" t="inlineStr">
        <is>
          <t>registered — retest 1 · Tranche 2 (sampled 12–14.08.2026), tested 13.08.2026, issued 17.08.2026</t>
        </is>
      </c>
    </row>
    <row r="143">
      <c r="A143" s="243" t="n">
        <v>142</v>
      </c>
      <c r="B143" s="244" t="inlineStr">
        <is>
          <t>iCoA-PP_26-142</t>
        </is>
      </c>
      <c r="C143" s="249" t="inlineStr">
        <is>
          <t>yes</t>
        </is>
      </c>
      <c r="D143" s="245" t="n">
        <v>46251</v>
      </c>
      <c r="E143" s="245" t="n">
        <v>46247</v>
      </c>
      <c r="F143" s="245">
        <f>IFERROR(INDEX('Batch Dates'!$G:$G,MATCH(J143,'Batch Dates'!$C:$C,0)),IFERROR(INDEX('Batch Dates'!$G:$G,MATCH(I143,'Batch Dates'!$B:$B,0)),""))</f>
        <v/>
      </c>
      <c r="G143" s="243" t="inlineStr">
        <is>
          <t>legacy</t>
        </is>
      </c>
      <c r="H143" s="243" t="inlineStr">
        <is>
          <t>retest 1</t>
        </is>
      </c>
      <c r="I143" s="244" t="inlineStr">
        <is>
          <t>MB0824_05</t>
        </is>
      </c>
      <c r="J143" s="243" t="inlineStr">
        <is>
          <t>P050112</t>
        </is>
      </c>
      <c r="K143" s="243" t="inlineStr">
        <is>
          <t>Motor Breath</t>
        </is>
      </c>
      <c r="L143" s="243" t="inlineStr">
        <is>
          <t>Ident A + Ident B + Foreign matter</t>
        </is>
      </c>
      <c r="M143" s="248" t="inlineStr">
        <is>
          <t>—</t>
        </is>
      </c>
      <c r="N143" s="243">
        <f>IFERROR(INDEX('CoQ Register'!$B:$B,MATCH("P050112|R",'CoQ Register'!$S:$S,0)),"—")</f>
        <v/>
      </c>
      <c r="O143" s="248" t="inlineStr">
        <is>
          <t>—</t>
        </is>
      </c>
      <c r="P143" s="243" t="inlineStr">
        <is>
          <t>25.08.2026</t>
        </is>
      </c>
      <c r="Q143" s="243" t="inlineStr">
        <is>
          <t>08.07.2025 – 09.07.2025</t>
        </is>
      </c>
      <c r="R143" s="243" t="inlineStr">
        <is>
          <t>25.08.2025 – 31.08.2025</t>
        </is>
      </c>
      <c r="S143" s="245">
        <f>IFERROR(INDEX('CoQ Register'!$D:$D,MATCH("P050112|R",'CoQ Register'!$S:$S,0)),"")</f>
        <v/>
      </c>
      <c r="T143" s="243" t="inlineStr">
        <is>
          <t>Conforms</t>
        </is>
      </c>
      <c r="U143" s="243" t="inlineStr">
        <is>
          <t>Conforms</t>
        </is>
      </c>
      <c r="V143" s="243" t="inlineStr">
        <is>
          <t>Conforms</t>
        </is>
      </c>
      <c r="W143" s="243" t="inlineStr">
        <is>
          <t>220-20-K-26, (26.08.2026) [FHM-K]</t>
        </is>
      </c>
      <c r="X143" s="243" t="inlineStr">
        <is>
          <t>220-20-K-26, (26.08.2026) [FHM-K]</t>
        </is>
      </c>
      <c r="Y143" s="243" t="inlineStr">
        <is>
          <t>220-20-M-26, (11.09.2026) [FHM-M]</t>
        </is>
      </c>
      <c r="Z143" s="243" t="inlineStr">
        <is>
          <t>#8, #9, #11, #12 from the initial testing</t>
        </is>
      </c>
      <c r="AA143" s="243" t="inlineStr">
        <is>
          <t>P050112|R</t>
        </is>
      </c>
      <c r="AB143" s="250" t="inlineStr">
        <is>
          <t>registered — retest 1 · Tranche 2 (sampled 12–14.08.2026), tested 13.08.2026, issued 17.08.2026</t>
        </is>
      </c>
    </row>
    <row r="144">
      <c r="A144" s="243" t="n">
        <v>143</v>
      </c>
      <c r="B144" s="244" t="inlineStr">
        <is>
          <t>iCoA-PP_26-143</t>
        </is>
      </c>
      <c r="C144" s="249" t="inlineStr">
        <is>
          <t>yes</t>
        </is>
      </c>
      <c r="D144" s="245" t="n">
        <v>46251</v>
      </c>
      <c r="E144" s="245" t="n">
        <v>46247</v>
      </c>
      <c r="F144" s="245">
        <f>IFERROR(INDEX('Batch Dates'!$G:$G,MATCH(J144,'Batch Dates'!$C:$C,0)),IFERROR(INDEX('Batch Dates'!$G:$G,MATCH(I144,'Batch Dates'!$B:$B,0)),""))</f>
        <v/>
      </c>
      <c r="G144" s="243" t="inlineStr">
        <is>
          <t>legacy</t>
        </is>
      </c>
      <c r="H144" s="243" t="inlineStr">
        <is>
          <t>retest 1</t>
        </is>
      </c>
      <c r="I144" s="244" t="inlineStr">
        <is>
          <t>OPM092501</t>
        </is>
      </c>
      <c r="J144" s="243" t="inlineStr">
        <is>
          <t>P060042</t>
        </is>
      </c>
      <c r="K144" s="243" t="inlineStr">
        <is>
          <t>Orange Punch Mimosa</t>
        </is>
      </c>
      <c r="L144" s="243" t="inlineStr">
        <is>
          <t>Ident A + Ident B + Foreign matter</t>
        </is>
      </c>
      <c r="M144" s="248" t="inlineStr">
        <is>
          <t>—</t>
        </is>
      </c>
      <c r="N144" s="243">
        <f>IFERROR(INDEX('CoQ Register'!$B:$B,MATCH("P060042|R",'CoQ Register'!$S:$S,0)),"—")</f>
        <v/>
      </c>
      <c r="O144" s="248" t="inlineStr">
        <is>
          <t>—</t>
        </is>
      </c>
      <c r="P144" s="243" t="inlineStr">
        <is>
          <t>29.01.2027</t>
        </is>
      </c>
      <c r="Q144" s="243" t="inlineStr">
        <is>
          <t>12.12.2025</t>
        </is>
      </c>
      <c r="R144" s="243" t="inlineStr">
        <is>
          <t>29.01.2026</t>
        </is>
      </c>
      <c r="S144" s="245">
        <f>IFERROR(INDEX('CoQ Register'!$D:$D,MATCH("P060042|R",'CoQ Register'!$S:$S,0)),"")</f>
        <v/>
      </c>
      <c r="T144" s="243" t="inlineStr">
        <is>
          <t>Conforms</t>
        </is>
      </c>
      <c r="U144" s="243" t="inlineStr">
        <is>
          <t>Conforms</t>
        </is>
      </c>
      <c r="V144" s="243" t="inlineStr">
        <is>
          <t>Conforms</t>
        </is>
      </c>
      <c r="W144" s="243" t="inlineStr">
        <is>
          <t>220-22-K-26, (26.08.2026) [FHM-K]</t>
        </is>
      </c>
      <c r="X144" s="243" t="inlineStr">
        <is>
          <t>220-22-K-26, (26.08.2026) [FHM-K]</t>
        </is>
      </c>
      <c r="Y144" s="243" t="inlineStr">
        <is>
          <t>220-22-M-26, (11.09.2026) [FHM-M]</t>
        </is>
      </c>
      <c r="Z144" s="243" t="inlineStr">
        <is>
          <t>#8, #9, #11, #12 from the initial testing</t>
        </is>
      </c>
      <c r="AA144" s="243" t="inlineStr">
        <is>
          <t>P060042|R</t>
        </is>
      </c>
      <c r="AB144" s="250" t="inlineStr">
        <is>
          <t>registered — retest 1 · Tranche 2 (sampled 12–14.08.2026), tested 13.08.2026, issued 17.08.2026</t>
        </is>
      </c>
    </row>
    <row r="145">
      <c r="A145" s="243" t="n">
        <v>144</v>
      </c>
      <c r="B145" s="244" t="inlineStr">
        <is>
          <t>iCoA-PP_26-144</t>
        </is>
      </c>
      <c r="C145" s="249" t="inlineStr">
        <is>
          <t>yes</t>
        </is>
      </c>
      <c r="D145" s="245" t="n">
        <v>46251</v>
      </c>
      <c r="E145" s="245" t="n">
        <v>46247</v>
      </c>
      <c r="F145" s="245">
        <f>IFERROR(INDEX('Batch Dates'!$G:$G,MATCH(J145,'Batch Dates'!$C:$C,0)),IFERROR(INDEX('Batch Dates'!$G:$G,MATCH(I145,'Batch Dates'!$B:$B,0)),""))</f>
        <v/>
      </c>
      <c r="G145" s="243" t="inlineStr">
        <is>
          <t>legacy</t>
        </is>
      </c>
      <c r="H145" s="243" t="inlineStr">
        <is>
          <t>retest 2</t>
        </is>
      </c>
      <c r="I145" s="244" t="inlineStr">
        <is>
          <t>OMP1024_01</t>
        </is>
      </c>
      <c r="J145" s="243" t="inlineStr">
        <is>
          <t>P050042</t>
        </is>
      </c>
      <c r="K145" s="243" t="inlineStr">
        <is>
          <t>Orange Punch Mimosa</t>
        </is>
      </c>
      <c r="L145" s="243" t="inlineStr">
        <is>
          <t>Ident A + Ident B + Foreign matter</t>
        </is>
      </c>
      <c r="M145" s="248" t="inlineStr">
        <is>
          <t>—</t>
        </is>
      </c>
      <c r="N145" s="243">
        <f>IFERROR(INDEX('CoQ Register'!$B:$B,MATCH("P050042|R2",'CoQ Register'!$S:$S,0)),"—")</f>
        <v/>
      </c>
      <c r="O145" s="248" t="inlineStr">
        <is>
          <t>—</t>
        </is>
      </c>
      <c r="P145" s="243" t="inlineStr">
        <is>
          <t>20.06.2026</t>
        </is>
      </c>
      <c r="Q145" s="243" t="inlineStr">
        <is>
          <t>26.03.2025 – 27.03.2025</t>
        </is>
      </c>
      <c r="R145" s="243" t="inlineStr">
        <is>
          <t>20.06.2025</t>
        </is>
      </c>
      <c r="S145" s="245">
        <f>IFERROR(INDEX('CoQ Register'!$D:$D,MATCH("P050042|R2",'CoQ Register'!$S:$S,0)),"")</f>
        <v/>
      </c>
      <c r="T145" s="243" t="inlineStr">
        <is>
          <t>Conforms</t>
        </is>
      </c>
      <c r="U145" s="243" t="inlineStr">
        <is>
          <t>Conforms</t>
        </is>
      </c>
      <c r="V145" s="243" t="inlineStr">
        <is>
          <t>Conforms</t>
        </is>
      </c>
      <c r="W145" s="243" t="inlineStr">
        <is>
          <t>220-21-K-26, (26.08.2026) [FHM-K]</t>
        </is>
      </c>
      <c r="X145" s="243" t="inlineStr">
        <is>
          <t>220-21-K-26, (26.08.2026) [FHM-K]</t>
        </is>
      </c>
      <c r="Y145" s="243" t="inlineStr">
        <is>
          <t>220-21-M-26, (11.09.2026) [FHM-M]</t>
        </is>
      </c>
      <c r="Z145" s="243" t="inlineStr">
        <is>
          <t>#8, #9, #11, #12 from the initial testing</t>
        </is>
      </c>
      <c r="AA145" s="243" t="inlineStr">
        <is>
          <t>P050042|R2</t>
        </is>
      </c>
      <c r="AB145" s="250" t="inlineStr">
        <is>
          <t>registered — retest 2 · Tranche 2 (sampled 12–14.08.2026), tested 13.08.2026, issued 17.08.2026</t>
        </is>
      </c>
    </row>
    <row r="146">
      <c r="A146" s="243" t="n">
        <v>145</v>
      </c>
      <c r="B146" s="244" t="inlineStr">
        <is>
          <t>iCoA-PP_26-145</t>
        </is>
      </c>
      <c r="C146" s="249" t="inlineStr">
        <is>
          <t>yes</t>
        </is>
      </c>
      <c r="D146" s="245" t="n">
        <v>46251</v>
      </c>
      <c r="E146" s="245" t="n">
        <v>46248</v>
      </c>
      <c r="F146" s="245">
        <f>IFERROR(INDEX('Batch Dates'!$G:$G,MATCH(J146,'Batch Dates'!$C:$C,0)),IFERROR(INDEX('Batch Dates'!$G:$G,MATCH(I146,'Batch Dates'!$B:$B,0)),""))</f>
        <v/>
      </c>
      <c r="G146" s="243" t="inlineStr">
        <is>
          <t>post-SOP</t>
        </is>
      </c>
      <c r="H146" s="243" t="inlineStr">
        <is>
          <t>retest 1</t>
        </is>
      </c>
      <c r="I146" s="244" t="inlineStr">
        <is>
          <t>CC012603</t>
        </is>
      </c>
      <c r="J146" s="243" t="inlineStr">
        <is>
          <t>P060372</t>
        </is>
      </c>
      <c r="K146" s="243" t="inlineStr">
        <is>
          <t>Cash Cow</t>
        </is>
      </c>
      <c r="L146" s="243" t="inlineStr">
        <is>
          <t>Ident A + Ident B + Foreign matter</t>
        </is>
      </c>
      <c r="M146" s="248" t="inlineStr">
        <is>
          <t>—</t>
        </is>
      </c>
      <c r="N146" s="243">
        <f>IFERROR(INDEX('CoQ Register'!$B:$B,MATCH("P060372|R",'CoQ Register'!$S:$S,0)),"—")</f>
        <v/>
      </c>
      <c r="O146" s="248" t="inlineStr">
        <is>
          <t>—</t>
        </is>
      </c>
      <c r="P146" s="243" t="inlineStr">
        <is>
          <t>24.05.2027</t>
        </is>
      </c>
      <c r="Q146" s="243" t="inlineStr">
        <is>
          <t>22.04.2026</t>
        </is>
      </c>
      <c r="R146" s="243" t="inlineStr">
        <is>
          <t>24.05.2026</t>
        </is>
      </c>
      <c r="S146" s="245">
        <f>IFERROR(INDEX('CoQ Register'!$D:$D,MATCH("P060372|R",'CoQ Register'!$S:$S,0)),"")</f>
        <v/>
      </c>
      <c r="T146" s="243" t="inlineStr">
        <is>
          <t>Conforms</t>
        </is>
      </c>
      <c r="U146" s="243" t="inlineStr">
        <is>
          <t>Conforms</t>
        </is>
      </c>
      <c r="V146" s="243" t="inlineStr">
        <is>
          <t>Conforms</t>
        </is>
      </c>
      <c r="W146" s="243" t="inlineStr">
        <is>
          <t>220-29-K-26, (26.08.2026) [FHM-K]</t>
        </is>
      </c>
      <c r="X146" s="243" t="inlineStr">
        <is>
          <t>220-29-K-26, (26.08.2026) [FHM-K]</t>
        </is>
      </c>
      <c r="Y146" s="243" t="inlineStr">
        <is>
          <t>220-29-M-26, (11.09.2026) [FHM-M]</t>
        </is>
      </c>
      <c r="Z146" s="243" t="inlineStr">
        <is>
          <t>#8, #9, #11, #12 from the initial testing</t>
        </is>
      </c>
      <c r="AA146" s="243" t="inlineStr">
        <is>
          <t>P060372|R</t>
        </is>
      </c>
      <c r="AB146" s="250" t="inlineStr">
        <is>
          <t>registered — retest 1 · Tranche 2 (sampled 12–14.08.2026), tested 14.08.2026, issued 17.08.2026</t>
        </is>
      </c>
    </row>
    <row r="147">
      <c r="A147" s="243" t="n">
        <v>146</v>
      </c>
      <c r="B147" s="244" t="inlineStr">
        <is>
          <t>iCoA-PP_26-146</t>
        </is>
      </c>
      <c r="C147" s="249" t="inlineStr">
        <is>
          <t>yes</t>
        </is>
      </c>
      <c r="D147" s="245" t="n">
        <v>46251</v>
      </c>
      <c r="E147" s="245" t="n">
        <v>46248</v>
      </c>
      <c r="F147" s="245">
        <f>IFERROR(INDEX('Batch Dates'!$G:$G,MATCH(J147,'Batch Dates'!$C:$C,0)),IFERROR(INDEX('Batch Dates'!$G:$G,MATCH(I147,'Batch Dates'!$B:$B,0)),""))</f>
        <v/>
      </c>
      <c r="G147" s="243" t="inlineStr">
        <is>
          <t>—</t>
        </is>
      </c>
      <c r="H147" s="243" t="inlineStr">
        <is>
          <t>retest 1</t>
        </is>
      </c>
      <c r="I147" s="244" t="inlineStr">
        <is>
          <t>CC042601</t>
        </is>
      </c>
      <c r="J147" s="243" t="inlineStr">
        <is>
          <t>N/A — no P batch assigned</t>
        </is>
      </c>
      <c r="K147" s="243" t="inlineStr">
        <is>
          <t>Cash Cow</t>
        </is>
      </c>
      <c r="L147" s="243" t="inlineStr">
        <is>
          <t>Ident A + Ident B + Foreign matter</t>
        </is>
      </c>
      <c r="M147" s="248" t="inlineStr">
        <is>
          <t>—</t>
        </is>
      </c>
      <c r="N147" s="243">
        <f>IFERROR(INDEX('CoQ Register'!$B:$B,MATCH("CC042601|R",'CoQ Register'!$S:$S,0)),"—")</f>
        <v/>
      </c>
      <c r="O147" s="248" t="inlineStr">
        <is>
          <t>—</t>
        </is>
      </c>
      <c r="P147" s="243" t="inlineStr">
        <is>
          <t>—</t>
        </is>
      </c>
      <c r="Q147" s="243" t="inlineStr">
        <is>
          <t>— not on the list —</t>
        </is>
      </c>
      <c r="R147" s="243" t="inlineStr">
        <is>
          <t>— not on the list —</t>
        </is>
      </c>
      <c r="S147" s="245">
        <f>IFERROR(INDEX('CoQ Register'!$D:$D,MATCH("CC042601|R",'CoQ Register'!$S:$S,0)),"")</f>
        <v/>
      </c>
      <c r="T147" s="243" t="inlineStr">
        <is>
          <t>Conforms</t>
        </is>
      </c>
      <c r="U147" s="243" t="inlineStr">
        <is>
          <t>Conforms</t>
        </is>
      </c>
      <c r="V147" s="243" t="inlineStr">
        <is>
          <t>Conforms</t>
        </is>
      </c>
      <c r="W147" s="243" t="inlineStr">
        <is>
          <t>220-32-K-26, (26.08.2026) [FHM-K]</t>
        </is>
      </c>
      <c r="X147" s="243" t="inlineStr">
        <is>
          <t>220-32-K-26, (26.08.2026) [FHM-K]</t>
        </is>
      </c>
      <c r="Y147" s="243" t="inlineStr">
        <is>
          <t>220-32-M-26, (11.09.2026) [FHM-M]</t>
        </is>
      </c>
      <c r="Z147" s="243" t="inlineStr">
        <is>
          <t>#8, #9, #11, #12 from the initial testing</t>
        </is>
      </c>
      <c r="AA147" s="243" t="inlineStr">
        <is>
          <t>CC042601|R</t>
        </is>
      </c>
      <c r="AB147" s="250" t="inlineStr">
        <is>
          <t>registered — retest 1 · Tranche 2 (sampled 12–14.08.2026), tested 14.08.2026, issued 17.08.2026</t>
        </is>
      </c>
    </row>
    <row r="148">
      <c r="A148" s="243" t="n">
        <v>147</v>
      </c>
      <c r="B148" s="244" t="inlineStr">
        <is>
          <t>iCoA-PP_26-147</t>
        </is>
      </c>
      <c r="C148" s="249" t="inlineStr">
        <is>
          <t>yes</t>
        </is>
      </c>
      <c r="D148" s="245" t="n">
        <v>46251</v>
      </c>
      <c r="E148" s="245" t="n">
        <v>46248</v>
      </c>
      <c r="F148" s="245">
        <f>IFERROR(INDEX('Batch Dates'!$G:$G,MATCH(J148,'Batch Dates'!$C:$C,0)),IFERROR(INDEX('Batch Dates'!$G:$G,MATCH(I148,'Batch Dates'!$B:$B,0)),""))</f>
        <v/>
      </c>
      <c r="G148" s="243" t="inlineStr">
        <is>
          <t>—</t>
        </is>
      </c>
      <c r="H148" s="243" t="inlineStr">
        <is>
          <t>retest 1</t>
        </is>
      </c>
      <c r="I148" s="244" t="inlineStr">
        <is>
          <t>FB042601</t>
        </is>
      </c>
      <c r="J148" s="243" t="inlineStr">
        <is>
          <t>N/A — no P batch assigned</t>
        </is>
      </c>
      <c r="K148" s="243" t="inlineStr">
        <is>
          <t>Fat Bastard</t>
        </is>
      </c>
      <c r="L148" s="243" t="inlineStr">
        <is>
          <t>Ident A + Ident B + Foreign matter</t>
        </is>
      </c>
      <c r="M148" s="248" t="inlineStr">
        <is>
          <t>—</t>
        </is>
      </c>
      <c r="N148" s="243">
        <f>IFERROR(INDEX('CoQ Register'!$B:$B,MATCH("FB042601|R",'CoQ Register'!$S:$S,0)),"—")</f>
        <v/>
      </c>
      <c r="O148" s="248" t="inlineStr">
        <is>
          <t>—</t>
        </is>
      </c>
      <c r="P148" s="243" t="inlineStr">
        <is>
          <t>—</t>
        </is>
      </c>
      <c r="Q148" s="243" t="inlineStr">
        <is>
          <t>— not on the list —</t>
        </is>
      </c>
      <c r="R148" s="243" t="inlineStr">
        <is>
          <t>— not on the list —</t>
        </is>
      </c>
      <c r="S148" s="245">
        <f>IFERROR(INDEX('CoQ Register'!$D:$D,MATCH("FB042601|R",'CoQ Register'!$S:$S,0)),"")</f>
        <v/>
      </c>
      <c r="T148" s="243" t="inlineStr">
        <is>
          <t>Conforms</t>
        </is>
      </c>
      <c r="U148" s="243" t="inlineStr">
        <is>
          <t>Conforms</t>
        </is>
      </c>
      <c r="V148" s="243" t="inlineStr">
        <is>
          <t>Conforms</t>
        </is>
      </c>
      <c r="W148" s="243" t="inlineStr">
        <is>
          <t>220-31-K-26, (26.08.2026) [FHM-K]</t>
        </is>
      </c>
      <c r="X148" s="243" t="inlineStr">
        <is>
          <t>220-31-K-26, (26.08.2026) [FHM-K]</t>
        </is>
      </c>
      <c r="Y148" s="243" t="inlineStr">
        <is>
          <t>220-31-M-26, (11.09.2026) [FHM-M]</t>
        </is>
      </c>
      <c r="Z148" s="243" t="inlineStr">
        <is>
          <t>#8, #9, #11, #12 from the initial testing</t>
        </is>
      </c>
      <c r="AA148" s="243" t="inlineStr">
        <is>
          <t>FB042601|R</t>
        </is>
      </c>
      <c r="AB148" s="250" t="inlineStr">
        <is>
          <t>registered — retest 1 · Tranche 2 (sampled 12–14.08.2026), tested 14.08.2026, issued 17.08.2026</t>
        </is>
      </c>
    </row>
    <row r="149">
      <c r="A149" s="243" t="n">
        <v>148</v>
      </c>
      <c r="B149" s="244" t="inlineStr">
        <is>
          <t>iCoA-PP_26-148</t>
        </is>
      </c>
      <c r="C149" s="249" t="inlineStr">
        <is>
          <t>yes</t>
        </is>
      </c>
      <c r="D149" s="245" t="n">
        <v>46251</v>
      </c>
      <c r="E149" s="245" t="n">
        <v>46248</v>
      </c>
      <c r="F149" s="245">
        <f>IFERROR(INDEX('Batch Dates'!$G:$G,MATCH(J149,'Batch Dates'!$C:$C,0)),IFERROR(INDEX('Batch Dates'!$G:$G,MATCH(I149,'Batch Dates'!$B:$B,0)),""))</f>
        <v/>
      </c>
      <c r="G149" s="243" t="inlineStr">
        <is>
          <t>post-SOP</t>
        </is>
      </c>
      <c r="H149" s="243" t="inlineStr">
        <is>
          <t>retest 1</t>
        </is>
      </c>
      <c r="I149" s="244" t="inlineStr">
        <is>
          <t>JD042601</t>
        </is>
      </c>
      <c r="J149" s="243" t="inlineStr">
        <is>
          <t>P060492</t>
        </is>
      </c>
      <c r="K149" s="243" t="inlineStr">
        <is>
          <t>Jelly Donuts</t>
        </is>
      </c>
      <c r="L149" s="243" t="inlineStr">
        <is>
          <t>Ident A + Ident B + Foreign matter</t>
        </is>
      </c>
      <c r="M149" s="248" t="inlineStr">
        <is>
          <t>—</t>
        </is>
      </c>
      <c r="N149" s="243">
        <f>IFERROR(INDEX('CoQ Register'!$B:$B,MATCH("P060492|R",'CoQ Register'!$S:$S,0)),"—")</f>
        <v/>
      </c>
      <c r="O149" s="248" t="inlineStr">
        <is>
          <t>—</t>
        </is>
      </c>
      <c r="P149" s="243" t="inlineStr">
        <is>
          <t>13.08.2027</t>
        </is>
      </c>
      <c r="Q149" s="243" t="inlineStr">
        <is>
          <t>21.07.2026</t>
        </is>
      </c>
      <c r="R149" s="243" t="inlineStr">
        <is>
          <t>13.08.2026</t>
        </is>
      </c>
      <c r="S149" s="245">
        <f>IFERROR(INDEX('CoQ Register'!$D:$D,MATCH("P060492|R",'CoQ Register'!$S:$S,0)),"")</f>
        <v/>
      </c>
      <c r="T149" s="243" t="inlineStr">
        <is>
          <t>Conforms</t>
        </is>
      </c>
      <c r="U149" s="243" t="inlineStr">
        <is>
          <t>Conforms</t>
        </is>
      </c>
      <c r="V149" s="243" t="inlineStr">
        <is>
          <t>Conforms</t>
        </is>
      </c>
      <c r="W149" s="243" t="inlineStr">
        <is>
          <t>220-30-K-26, (26.08.2026) [FHM-K]</t>
        </is>
      </c>
      <c r="X149" s="243" t="inlineStr">
        <is>
          <t>220-30-K-26, (26.08.2026) [FHM-K]</t>
        </is>
      </c>
      <c r="Y149" s="243" t="inlineStr">
        <is>
          <t>220-30-M-26, (11.09.2026) [FHM-M]</t>
        </is>
      </c>
      <c r="Z149" s="243" t="inlineStr">
        <is>
          <t>#8, #9, #11, #12 from the initial testing</t>
        </is>
      </c>
      <c r="AA149" s="243" t="inlineStr">
        <is>
          <t>P060492|R</t>
        </is>
      </c>
      <c r="AB149" s="250" t="inlineStr">
        <is>
          <t>registered — retest 1 · Tranche 2 (sampled 12–14.08.2026), tested 14.08.2026, issued 17.08.2026</t>
        </is>
      </c>
    </row>
    <row r="150">
      <c r="A150" s="243" t="n">
        <v>149</v>
      </c>
      <c r="B150" s="244" t="inlineStr">
        <is>
          <t>iCoA-PP_26-149</t>
        </is>
      </c>
      <c r="C150" s="249" t="inlineStr">
        <is>
          <t>yes</t>
        </is>
      </c>
      <c r="D150" s="245" t="n">
        <v>46251</v>
      </c>
      <c r="E150" s="245" t="n">
        <v>46248</v>
      </c>
      <c r="F150" s="245">
        <f>IFERROR(INDEX('Batch Dates'!$G:$G,MATCH(J150,'Batch Dates'!$C:$C,0)),IFERROR(INDEX('Batch Dates'!$G:$G,MATCH(I150,'Batch Dates'!$B:$B,0)),""))</f>
        <v/>
      </c>
      <c r="G150" s="243" t="inlineStr">
        <is>
          <t>legacy</t>
        </is>
      </c>
      <c r="H150" s="243" t="inlineStr">
        <is>
          <t>retest 1</t>
        </is>
      </c>
      <c r="I150" s="244" t="inlineStr">
        <is>
          <t>OPM1024_03</t>
        </is>
      </c>
      <c r="J150" s="243" t="inlineStr">
        <is>
          <t>P050082</t>
        </is>
      </c>
      <c r="K150" s="243" t="inlineStr">
        <is>
          <t>Orange Punch Mimosa</t>
        </is>
      </c>
      <c r="L150" s="243" t="inlineStr">
        <is>
          <t>Ident A + Ident B + Foreign matter</t>
        </is>
      </c>
      <c r="M150" s="248" t="inlineStr">
        <is>
          <t>—</t>
        </is>
      </c>
      <c r="N150" s="243">
        <f>IFERROR(INDEX('CoQ Register'!$B:$B,MATCH("P050082|R",'CoQ Register'!$S:$S,0)),"—")</f>
        <v/>
      </c>
      <c r="O150" s="248" t="inlineStr">
        <is>
          <t>—</t>
        </is>
      </c>
      <c r="P150" s="243" t="inlineStr">
        <is>
          <t>22.07.2026</t>
        </is>
      </c>
      <c r="Q150" s="243" t="inlineStr">
        <is>
          <t>01.07.2025 – 02.07.2025</t>
        </is>
      </c>
      <c r="R150" s="243" t="inlineStr">
        <is>
          <t>22.07.2025 – 30.07.2025</t>
        </is>
      </c>
      <c r="S150" s="245">
        <f>IFERROR(INDEX('CoQ Register'!$D:$D,MATCH("P050082|R",'CoQ Register'!$S:$S,0)),"")</f>
        <v/>
      </c>
      <c r="T150" s="243" t="inlineStr">
        <is>
          <t>Conforms</t>
        </is>
      </c>
      <c r="U150" s="243" t="inlineStr">
        <is>
          <t>Conforms</t>
        </is>
      </c>
      <c r="V150" s="243" t="inlineStr">
        <is>
          <t>Conforms</t>
        </is>
      </c>
      <c r="W150" s="243" t="inlineStr">
        <is>
          <t>220-23-K-26, (26.08.2026) [FHM-K]</t>
        </is>
      </c>
      <c r="X150" s="243" t="inlineStr">
        <is>
          <t>220-23-K-26, (26.08.2026) [FHM-K]</t>
        </is>
      </c>
      <c r="Y150" s="243" t="inlineStr">
        <is>
          <t>220-23-M-26, (11.09.2026) [FHM-M]</t>
        </is>
      </c>
      <c r="Z150" s="243" t="inlineStr">
        <is>
          <t>#8, #9, #11, #12 from the initial testing</t>
        </is>
      </c>
      <c r="AA150" s="243" t="inlineStr">
        <is>
          <t>P050082|R</t>
        </is>
      </c>
      <c r="AB150" s="250" t="inlineStr">
        <is>
          <t>registered — retest 1 · Tranche 2 (sampled 12–14.08.2026), tested 14.08.2026, issued 17.08.2026</t>
        </is>
      </c>
    </row>
    <row r="151">
      <c r="A151" s="243" t="n">
        <v>150</v>
      </c>
      <c r="B151" s="244" t="inlineStr">
        <is>
          <t>iCoA-PP_26-150</t>
        </is>
      </c>
      <c r="C151" s="249" t="inlineStr">
        <is>
          <t>yes</t>
        </is>
      </c>
      <c r="D151" s="245" t="n">
        <v>46251</v>
      </c>
      <c r="E151" s="245" t="n">
        <v>46248</v>
      </c>
      <c r="F151" s="245">
        <f>IFERROR(INDEX('Batch Dates'!$G:$G,MATCH(J151,'Batch Dates'!$C:$C,0)),IFERROR(INDEX('Batch Dates'!$G:$G,MATCH(I151,'Batch Dates'!$B:$B,0)),""))</f>
        <v/>
      </c>
      <c r="G151" s="243" t="inlineStr">
        <is>
          <t>legacy</t>
        </is>
      </c>
      <c r="H151" s="243" t="inlineStr">
        <is>
          <t>retest 1</t>
        </is>
      </c>
      <c r="I151" s="244" t="inlineStr">
        <is>
          <t>PM112501</t>
        </is>
      </c>
      <c r="J151" s="243" t="inlineStr">
        <is>
          <t>P060232</t>
        </is>
      </c>
      <c r="K151" s="243" t="inlineStr">
        <is>
          <t>Permanent Marker</t>
        </is>
      </c>
      <c r="L151" s="243" t="inlineStr">
        <is>
          <t>Ident A + Ident B + Foreign matter</t>
        </is>
      </c>
      <c r="M151" s="248" t="inlineStr">
        <is>
          <t>—</t>
        </is>
      </c>
      <c r="N151" s="243">
        <f>IFERROR(INDEX('CoQ Register'!$B:$B,MATCH("P060232|R",'CoQ Register'!$S:$S,0)),"—")</f>
        <v/>
      </c>
      <c r="O151" s="248" t="inlineStr">
        <is>
          <t>—</t>
        </is>
      </c>
      <c r="P151" s="243" t="inlineStr">
        <is>
          <t>27.04.2027</t>
        </is>
      </c>
      <c r="Q151" s="243" t="inlineStr">
        <is>
          <t>05.02.2026</t>
        </is>
      </c>
      <c r="R151" s="243" t="inlineStr">
        <is>
          <t>27.04.2026</t>
        </is>
      </c>
      <c r="S151" s="245">
        <f>IFERROR(INDEX('CoQ Register'!$D:$D,MATCH("P060232|R",'CoQ Register'!$S:$S,0)),"")</f>
        <v/>
      </c>
      <c r="T151" s="243" t="inlineStr">
        <is>
          <t>Conforms</t>
        </is>
      </c>
      <c r="U151" s="243" t="inlineStr">
        <is>
          <t>Conforms</t>
        </is>
      </c>
      <c r="V151" s="243" t="inlineStr">
        <is>
          <t>Conforms</t>
        </is>
      </c>
      <c r="W151" s="243" t="inlineStr">
        <is>
          <t>220-24-K-26, (26.08.2026) [FHM-K]</t>
        </is>
      </c>
      <c r="X151" s="243" t="inlineStr">
        <is>
          <t>220-24-K-26, (26.08.2026) [FHM-K]</t>
        </is>
      </c>
      <c r="Y151" s="243" t="inlineStr">
        <is>
          <t>220-24-M-26, (11.09.2026) [FHM-M]</t>
        </is>
      </c>
      <c r="Z151" s="243" t="inlineStr">
        <is>
          <t>#8, #9, #11, #12 from the initial testing</t>
        </is>
      </c>
      <c r="AA151" s="243" t="inlineStr">
        <is>
          <t>P060232|R</t>
        </is>
      </c>
      <c r="AB151" s="250" t="inlineStr">
        <is>
          <t>registered — retest 1 · Tranche 2 (sampled 12–14.08.2026), tested 14.08.2026, issued 17.08.2026</t>
        </is>
      </c>
    </row>
    <row r="152">
      <c r="A152" s="243" t="n">
        <v>151</v>
      </c>
      <c r="B152" s="244" t="inlineStr">
        <is>
          <t>iCoA-PP_26-151</t>
        </is>
      </c>
      <c r="C152" s="249" t="inlineStr">
        <is>
          <t>yes</t>
        </is>
      </c>
      <c r="D152" s="245" t="n">
        <v>46251</v>
      </c>
      <c r="E152" s="245" t="n">
        <v>46248</v>
      </c>
      <c r="F152" s="245">
        <f>IFERROR(INDEX('Batch Dates'!$G:$G,MATCH(J152,'Batch Dates'!$C:$C,0)),IFERROR(INDEX('Batch Dates'!$G:$G,MATCH(I152,'Batch Dates'!$B:$B,0)),""))</f>
        <v/>
      </c>
      <c r="G152" s="243" t="inlineStr">
        <is>
          <t>legacy</t>
        </is>
      </c>
      <c r="H152" s="243" t="inlineStr">
        <is>
          <t>retest 1</t>
        </is>
      </c>
      <c r="I152" s="244" t="inlineStr">
        <is>
          <t>PUM102501</t>
        </is>
      </c>
      <c r="J152" s="243" t="inlineStr">
        <is>
          <t>P060112</t>
        </is>
      </c>
      <c r="K152" s="243" t="inlineStr">
        <is>
          <t>Pure Michigen</t>
        </is>
      </c>
      <c r="L152" s="243" t="inlineStr">
        <is>
          <t>Ident A + Ident B + Foreign matter</t>
        </is>
      </c>
      <c r="M152" s="248" t="inlineStr">
        <is>
          <t>—</t>
        </is>
      </c>
      <c r="N152" s="243">
        <f>IFERROR(INDEX('CoQ Register'!$B:$B,MATCH("P060112|R",'CoQ Register'!$S:$S,0)),"—")</f>
        <v/>
      </c>
      <c r="O152" s="248" t="inlineStr">
        <is>
          <t>—</t>
        </is>
      </c>
      <c r="P152" s="243" t="inlineStr">
        <is>
          <t>17.02.2027</t>
        </is>
      </c>
      <c r="Q152" s="243" t="inlineStr">
        <is>
          <t>08.01.2026 – 09.01.2026</t>
        </is>
      </c>
      <c r="R152" s="243" t="inlineStr">
        <is>
          <t>17.02.2026</t>
        </is>
      </c>
      <c r="S152" s="245">
        <f>IFERROR(INDEX('CoQ Register'!$D:$D,MATCH("P060112|R",'CoQ Register'!$S:$S,0)),"")</f>
        <v/>
      </c>
      <c r="T152" s="243" t="inlineStr">
        <is>
          <t>Conforms</t>
        </is>
      </c>
      <c r="U152" s="243" t="inlineStr">
        <is>
          <t>Conforms</t>
        </is>
      </c>
      <c r="V152" s="243" t="inlineStr">
        <is>
          <t>Conforms</t>
        </is>
      </c>
      <c r="W152" s="243" t="inlineStr">
        <is>
          <t>220-25-K-26, (26.08.2026) [FHM-K]</t>
        </is>
      </c>
      <c r="X152" s="243" t="inlineStr">
        <is>
          <t>220-25-K-26, (26.08.2026) [FHM-K]</t>
        </is>
      </c>
      <c r="Y152" s="243" t="inlineStr">
        <is>
          <t>220-25-M-26, (11.09.2026) [FHM-M]</t>
        </is>
      </c>
      <c r="Z152" s="243" t="inlineStr">
        <is>
          <t>#8, #9, #11, #12 from the initial testing</t>
        </is>
      </c>
      <c r="AA152" s="243" t="inlineStr">
        <is>
          <t>P060112|R</t>
        </is>
      </c>
      <c r="AB152" s="250" t="inlineStr">
        <is>
          <t>registered — retest 1 · Tranche 2 (sampled 12–14.08.2026), tested 14.08.2026, issued 17.08.2026</t>
        </is>
      </c>
    </row>
    <row r="153">
      <c r="A153" s="243" t="n">
        <v>152</v>
      </c>
      <c r="B153" s="244" t="inlineStr">
        <is>
          <t>iCoA-PP_26-152</t>
        </is>
      </c>
      <c r="C153" s="249" t="inlineStr">
        <is>
          <t>yes</t>
        </is>
      </c>
      <c r="D153" s="245" t="n">
        <v>46251</v>
      </c>
      <c r="E153" s="245" t="n">
        <v>46248</v>
      </c>
      <c r="F153" s="245">
        <f>IFERROR(INDEX('Batch Dates'!$G:$G,MATCH(J153,'Batch Dates'!$C:$C,0)),IFERROR(INDEX('Batch Dates'!$G:$G,MATCH(I153,'Batch Dates'!$B:$B,0)),""))</f>
        <v/>
      </c>
      <c r="G153" s="243" t="inlineStr">
        <is>
          <t>post-SOP</t>
        </is>
      </c>
      <c r="H153" s="243" t="inlineStr">
        <is>
          <t>retest 1</t>
        </is>
      </c>
      <c r="I153" s="244" t="inlineStr">
        <is>
          <t>SCR112501</t>
        </is>
      </c>
      <c r="J153" s="243" t="inlineStr">
        <is>
          <t>P060282</t>
        </is>
      </c>
      <c r="K153" s="243" t="inlineStr">
        <is>
          <t>Scrambler</t>
        </is>
      </c>
      <c r="L153" s="243" t="inlineStr">
        <is>
          <t>Ident A + Ident B + Foreign matter</t>
        </is>
      </c>
      <c r="M153" s="248" t="inlineStr">
        <is>
          <t>—</t>
        </is>
      </c>
      <c r="N153" s="243">
        <f>IFERROR(INDEX('CoQ Register'!$B:$B,MATCH("P060282|R",'CoQ Register'!$S:$S,0)),"—")</f>
        <v/>
      </c>
      <c r="O153" s="248" t="inlineStr">
        <is>
          <t>—</t>
        </is>
      </c>
      <c r="P153" s="243" t="inlineStr">
        <is>
          <t>18.05.2027</t>
        </is>
      </c>
      <c r="Q153" s="243" t="inlineStr">
        <is>
          <t>25.03.2026</t>
        </is>
      </c>
      <c r="R153" s="243" t="inlineStr">
        <is>
          <t>18.05.2026</t>
        </is>
      </c>
      <c r="S153" s="245">
        <f>IFERROR(INDEX('CoQ Register'!$D:$D,MATCH("P060282|R",'CoQ Register'!$S:$S,0)),"")</f>
        <v/>
      </c>
      <c r="T153" s="243" t="inlineStr">
        <is>
          <t>Conforms</t>
        </is>
      </c>
      <c r="U153" s="243" t="inlineStr">
        <is>
          <t>Conforms</t>
        </is>
      </c>
      <c r="V153" s="243" t="inlineStr">
        <is>
          <t>Conforms</t>
        </is>
      </c>
      <c r="W153" s="243" t="inlineStr">
        <is>
          <t>220-26-K-26, (26.08.2026) [FHM-K]</t>
        </is>
      </c>
      <c r="X153" s="243" t="inlineStr">
        <is>
          <t>220-26-K-26, (26.08.2026) [FHM-K]</t>
        </is>
      </c>
      <c r="Y153" s="243" t="inlineStr">
        <is>
          <t>220-26-M-26, (11.09.2026) [FHM-M]</t>
        </is>
      </c>
      <c r="Z153" s="243" t="inlineStr">
        <is>
          <t>#8, #9, #11, #12 from the initial testing</t>
        </is>
      </c>
      <c r="AA153" s="243" t="inlineStr">
        <is>
          <t>P060282|R</t>
        </is>
      </c>
      <c r="AB153" s="250" t="inlineStr">
        <is>
          <t>registered — retest 1 · Tranche 2 (sampled 12–14.08.2026), tested 14.08.2026, issued 17.08.2026</t>
        </is>
      </c>
    </row>
    <row r="154">
      <c r="A154" s="243" t="n">
        <v>153</v>
      </c>
      <c r="B154" s="244" t="inlineStr">
        <is>
          <t>iCoA-PP_26-153</t>
        </is>
      </c>
      <c r="C154" s="249" t="inlineStr">
        <is>
          <t>yes</t>
        </is>
      </c>
      <c r="D154" s="245" t="n">
        <v>46251</v>
      </c>
      <c r="E154" s="245" t="n">
        <v>46248</v>
      </c>
      <c r="F154" s="245">
        <f>IFERROR(INDEX('Batch Dates'!$G:$G,MATCH(J154,'Batch Dates'!$C:$C,0)),IFERROR(INDEX('Batch Dates'!$G:$G,MATCH(I154,'Batch Dates'!$B:$B,0)),""))</f>
        <v/>
      </c>
      <c r="G154" s="243" t="inlineStr">
        <is>
          <t>legacy</t>
        </is>
      </c>
      <c r="H154" s="243" t="inlineStr">
        <is>
          <t>retest 1</t>
        </is>
      </c>
      <c r="I154" s="244" t="inlineStr">
        <is>
          <t>SJ0925021</t>
        </is>
      </c>
      <c r="J154" s="243" t="inlineStr">
        <is>
          <t>P060082</t>
        </is>
      </c>
      <c r="K154" s="243" t="inlineStr">
        <is>
          <t>Sleepy Joe</t>
        </is>
      </c>
      <c r="L154" s="243" t="inlineStr">
        <is>
          <t>Ident A + Ident B + Foreign matter</t>
        </is>
      </c>
      <c r="M154" s="248" t="inlineStr">
        <is>
          <t>—</t>
        </is>
      </c>
      <c r="N154" s="243">
        <f>IFERROR(INDEX('CoQ Register'!$B:$B,MATCH("P060082|R",'CoQ Register'!$S:$S,0)),"—")</f>
        <v/>
      </c>
      <c r="O154" s="248" t="inlineStr">
        <is>
          <t>—</t>
        </is>
      </c>
      <c r="P154" s="243" t="inlineStr">
        <is>
          <t>02.02.2027</t>
        </is>
      </c>
      <c r="Q154" s="243" t="inlineStr">
        <is>
          <t>11.12.2025 – 12.12.2025</t>
        </is>
      </c>
      <c r="R154" s="243" t="inlineStr">
        <is>
          <t>02.02.2026</t>
        </is>
      </c>
      <c r="S154" s="245">
        <f>IFERROR(INDEX('CoQ Register'!$D:$D,MATCH("P060082|R",'CoQ Register'!$S:$S,0)),"")</f>
        <v/>
      </c>
      <c r="T154" s="243" t="inlineStr">
        <is>
          <t>Conforms</t>
        </is>
      </c>
      <c r="U154" s="243" t="inlineStr">
        <is>
          <t>Conforms</t>
        </is>
      </c>
      <c r="V154" s="243" t="inlineStr">
        <is>
          <t>Conforms</t>
        </is>
      </c>
      <c r="W154" s="243" t="inlineStr">
        <is>
          <t>220-27-K-26, (26.08.2026) [FHM-K]</t>
        </is>
      </c>
      <c r="X154" s="243" t="inlineStr">
        <is>
          <t>220-27-K-26, (26.08.2026) [FHM-K]</t>
        </is>
      </c>
      <c r="Y154" s="243" t="inlineStr">
        <is>
          <t>220-27-M-26, (11.09.2026) [FHM-M]</t>
        </is>
      </c>
      <c r="Z154" s="243" t="inlineStr">
        <is>
          <t>#8, #9, #11, #12 from the initial testing</t>
        </is>
      </c>
      <c r="AA154" s="243" t="inlineStr">
        <is>
          <t>P060082|R</t>
        </is>
      </c>
      <c r="AB154" s="250" t="inlineStr">
        <is>
          <t>registered — retest 1 · Tranche 2 (sampled 12–14.08.2026), tested 14.08.2026, issued 17.08.2026</t>
        </is>
      </c>
    </row>
    <row r="155">
      <c r="A155" s="243" t="n">
        <v>154</v>
      </c>
      <c r="B155" s="244" t="inlineStr">
        <is>
          <t>iCoA-PP_26-154</t>
        </is>
      </c>
      <c r="C155" s="249" t="inlineStr">
        <is>
          <t>yes</t>
        </is>
      </c>
      <c r="D155" s="245" t="n">
        <v>46251</v>
      </c>
      <c r="E155" s="245" t="n">
        <v>46248</v>
      </c>
      <c r="F155" s="245">
        <f>IFERROR(INDEX('Batch Dates'!$G:$G,MATCH(J155,'Batch Dates'!$C:$C,0)),IFERROR(INDEX('Batch Dates'!$G:$G,MATCH(I155,'Batch Dates'!$B:$B,0)),""))</f>
        <v/>
      </c>
      <c r="G155" s="243" t="inlineStr">
        <is>
          <t>legacy</t>
        </is>
      </c>
      <c r="H155" s="243" t="inlineStr">
        <is>
          <t>retest 1</t>
        </is>
      </c>
      <c r="I155" s="244" t="inlineStr">
        <is>
          <t>WC082501</t>
        </is>
      </c>
      <c r="J155" s="243" t="inlineStr">
        <is>
          <t>P060012</t>
        </is>
      </c>
      <c r="K155" s="243" t="inlineStr">
        <is>
          <t>Wedding Crusher</t>
        </is>
      </c>
      <c r="L155" s="243" t="inlineStr">
        <is>
          <t>Ident A + Ident B + Foreign matter</t>
        </is>
      </c>
      <c r="M155" s="248" t="inlineStr">
        <is>
          <t>—</t>
        </is>
      </c>
      <c r="N155" s="243">
        <f>IFERROR(INDEX('CoQ Register'!$B:$B,MATCH("P060012|R",'CoQ Register'!$S:$S,0)),"—")</f>
        <v/>
      </c>
      <c r="O155" s="248" t="inlineStr">
        <is>
          <t>—</t>
        </is>
      </c>
      <c r="P155" s="243" t="inlineStr">
        <is>
          <t>13.01.2027</t>
        </is>
      </c>
      <c r="Q155" s="243" t="inlineStr">
        <is>
          <t>09.12.2025</t>
        </is>
      </c>
      <c r="R155" s="243" t="inlineStr">
        <is>
          <t>13.01.2026 – 14.01.2026</t>
        </is>
      </c>
      <c r="S155" s="245">
        <f>IFERROR(INDEX('CoQ Register'!$D:$D,MATCH("P060012|R",'CoQ Register'!$S:$S,0)),"")</f>
        <v/>
      </c>
      <c r="T155" s="243" t="inlineStr">
        <is>
          <t>Conforms</t>
        </is>
      </c>
      <c r="U155" s="243" t="inlineStr">
        <is>
          <t>Conforms</t>
        </is>
      </c>
      <c r="V155" s="243" t="inlineStr">
        <is>
          <t>Conforms</t>
        </is>
      </c>
      <c r="W155" s="243" t="inlineStr">
        <is>
          <t>220-28-K-26, (26.08.2026) [FHM-K]</t>
        </is>
      </c>
      <c r="X155" s="243" t="inlineStr">
        <is>
          <t>220-28-K-26, (26.08.2026) [FHM-K]</t>
        </is>
      </c>
      <c r="Y155" s="243" t="inlineStr">
        <is>
          <t>220-28-M-26, (11.09.2026) [FHM-M]</t>
        </is>
      </c>
      <c r="Z155" s="243" t="inlineStr">
        <is>
          <t>#8, #9, #11, #12 from the initial testing</t>
        </is>
      </c>
      <c r="AA155" s="243" t="inlineStr">
        <is>
          <t>P060012|R</t>
        </is>
      </c>
      <c r="AB155" s="250" t="inlineStr">
        <is>
          <t>registered — retest 1 · Tranche 2 (sampled 12–14.08.2026), tested 14.08.2026, issued 17.08.2026</t>
        </is>
      </c>
    </row>
    <row r="156">
      <c r="A156" s="243" t="n">
        <v>155</v>
      </c>
      <c r="B156" s="244" t="inlineStr">
        <is>
          <t>iCoA-PP_26-155</t>
        </is>
      </c>
      <c r="C156" s="249" t="inlineStr">
        <is>
          <t>yes</t>
        </is>
      </c>
      <c r="D156" s="245" t="n">
        <v>46258</v>
      </c>
      <c r="E156" s="245" t="n">
        <v>46253</v>
      </c>
      <c r="F156" s="245">
        <f>IFERROR(INDEX('Batch Dates'!$G:$G,MATCH(J156,'Batch Dates'!$C:$C,0)),IFERROR(INDEX('Batch Dates'!$G:$G,MATCH(I156,'Batch Dates'!$B:$B,0)),""))</f>
        <v/>
      </c>
      <c r="G156" s="243" t="inlineStr">
        <is>
          <t>legacy</t>
        </is>
      </c>
      <c r="H156" s="243" t="inlineStr">
        <is>
          <t>retest 2</t>
        </is>
      </c>
      <c r="I156" s="244" t="inlineStr">
        <is>
          <t>BSS1024_01/2</t>
        </is>
      </c>
      <c r="J156" s="243" t="inlineStr">
        <is>
          <t>P050142</t>
        </is>
      </c>
      <c r="K156" s="243" t="inlineStr">
        <is>
          <t>Blue Sunset Sherbet</t>
        </is>
      </c>
      <c r="L156" s="243" t="inlineStr">
        <is>
          <t>Ident A + Ident B + Foreign matter</t>
        </is>
      </c>
      <c r="M156" s="248" t="inlineStr">
        <is>
          <t>—</t>
        </is>
      </c>
      <c r="N156" s="243">
        <f>IFERROR(INDEX('CoQ Register'!$B:$B,MATCH("P050142|R2",'CoQ Register'!$S:$S,0)),"—")</f>
        <v/>
      </c>
      <c r="O156" s="248" t="inlineStr">
        <is>
          <t>—</t>
        </is>
      </c>
      <c r="P156" s="243" t="inlineStr">
        <is>
          <t>30.09.2026</t>
        </is>
      </c>
      <c r="Q156" s="243" t="inlineStr">
        <is>
          <t>— not given —</t>
        </is>
      </c>
      <c r="R156" s="243" t="inlineStr">
        <is>
          <t>30.09.2025</t>
        </is>
      </c>
      <c r="S156" s="245">
        <f>IFERROR(INDEX('CoQ Register'!$D:$D,MATCH("P050142|R2",'CoQ Register'!$S:$S,0)),"")</f>
        <v/>
      </c>
      <c r="T156" s="243" t="inlineStr">
        <is>
          <t>Conforms</t>
        </is>
      </c>
      <c r="U156" s="243" t="inlineStr">
        <is>
          <t>Conforms</t>
        </is>
      </c>
      <c r="V156" s="243" t="inlineStr">
        <is>
          <t>Conforms</t>
        </is>
      </c>
      <c r="W156" s="243" t="inlineStr">
        <is>
          <t>227-1-K-26, (11.09.2026) [FHM-K]</t>
        </is>
      </c>
      <c r="X156" s="243" t="inlineStr">
        <is>
          <t>227-1-K-26, (11.09.2026) [FHM-K]</t>
        </is>
      </c>
      <c r="Y156" s="243" t="inlineStr">
        <is>
          <t>— pending —</t>
        </is>
      </c>
      <c r="Z156" s="243" t="inlineStr">
        <is>
          <t>#8, #9, #11, #12 from the initial testing</t>
        </is>
      </c>
      <c r="AA156" s="243" t="inlineStr">
        <is>
          <t>P050142|R2</t>
        </is>
      </c>
      <c r="AB156" s="250" t="inlineStr">
        <is>
          <t>registered — retest 2 · Tranche 3 (sampled 19–21.08.2026), tested 19.08.2026, issued 24.08.2026</t>
        </is>
      </c>
    </row>
    <row r="157">
      <c r="A157" s="243" t="n">
        <v>156</v>
      </c>
      <c r="B157" s="244" t="inlineStr">
        <is>
          <t>iCoA-PP_26-156</t>
        </is>
      </c>
      <c r="C157" s="249" t="inlineStr">
        <is>
          <t>yes</t>
        </is>
      </c>
      <c r="D157" s="245" t="n">
        <v>46258</v>
      </c>
      <c r="E157" s="245" t="n">
        <v>46253</v>
      </c>
      <c r="F157" s="245">
        <f>IFERROR(INDEX('Batch Dates'!$G:$G,MATCH(J157,'Batch Dates'!$C:$C,0)),IFERROR(INDEX('Batch Dates'!$G:$G,MATCH(I157,'Batch Dates'!$B:$B,0)),""))</f>
        <v/>
      </c>
      <c r="G157" s="243" t="inlineStr">
        <is>
          <t>legacy</t>
        </is>
      </c>
      <c r="H157" s="243" t="inlineStr">
        <is>
          <t>retest 2</t>
        </is>
      </c>
      <c r="I157" s="244" t="inlineStr">
        <is>
          <t>GP0824_01</t>
        </is>
      </c>
      <c r="J157" s="243" t="inlineStr">
        <is>
          <t>P050102</t>
        </is>
      </c>
      <c r="K157" s="243" t="inlineStr">
        <is>
          <t>Grape Pie</t>
        </is>
      </c>
      <c r="L157" s="243" t="inlineStr">
        <is>
          <t>Ident A + Ident B + Foreign matter</t>
        </is>
      </c>
      <c r="M157" s="248" t="inlineStr">
        <is>
          <t>—</t>
        </is>
      </c>
      <c r="N157" s="243">
        <f>IFERROR(INDEX('CoQ Register'!$B:$B,MATCH("P050102|R2",'CoQ Register'!$S:$S,0)),"—")</f>
        <v/>
      </c>
      <c r="O157" s="248" t="inlineStr">
        <is>
          <t>—</t>
        </is>
      </c>
      <c r="P157" s="243" t="inlineStr">
        <is>
          <t>17.04.2026</t>
        </is>
      </c>
      <c r="Q157" s="243" t="inlineStr">
        <is>
          <t>20.03.2025 – 21.03.2025</t>
        </is>
      </c>
      <c r="R157" s="243" t="inlineStr">
        <is>
          <t>05.08.2025 – 07.08.2025 (the issuance plan's basis: 17.04.2025)</t>
        </is>
      </c>
      <c r="S157" s="245">
        <f>IFERROR(INDEX('CoQ Register'!$D:$D,MATCH("P050102|R2",'CoQ Register'!$S:$S,0)),"")</f>
        <v/>
      </c>
      <c r="T157" s="243" t="inlineStr">
        <is>
          <t>Conforms</t>
        </is>
      </c>
      <c r="U157" s="243" t="inlineStr">
        <is>
          <t>Conforms</t>
        </is>
      </c>
      <c r="V157" s="243" t="inlineStr">
        <is>
          <t>Conforms</t>
        </is>
      </c>
      <c r="W157" s="243" t="inlineStr">
        <is>
          <t>227-2-K-26, (11.09.2026) [FHM-K]</t>
        </is>
      </c>
      <c r="X157" s="243" t="inlineStr">
        <is>
          <t>227-2-K-26, (11.09.2026) [FHM-K]</t>
        </is>
      </c>
      <c r="Y157" s="243" t="inlineStr">
        <is>
          <t>— pending —</t>
        </is>
      </c>
      <c r="Z157" s="243" t="inlineStr">
        <is>
          <t>#8, #9, #11, #12 from the initial testing</t>
        </is>
      </c>
      <c r="AA157" s="243" t="inlineStr">
        <is>
          <t>P050102|R2</t>
        </is>
      </c>
      <c r="AB157" s="250" t="inlineStr">
        <is>
          <t>registered — retest 2 · Tranche 3 (sampled 19–21.08.2026), tested 19.08.2026, issued 24.08.2026</t>
        </is>
      </c>
    </row>
    <row r="158">
      <c r="A158" s="243" t="n">
        <v>157</v>
      </c>
      <c r="B158" s="244" t="inlineStr">
        <is>
          <t>iCoA-PP_26-157</t>
        </is>
      </c>
      <c r="C158" s="249" t="inlineStr">
        <is>
          <t>yes</t>
        </is>
      </c>
      <c r="D158" s="245" t="n">
        <v>46258</v>
      </c>
      <c r="E158" s="245" t="n">
        <v>46253</v>
      </c>
      <c r="F158" s="245">
        <f>IFERROR(INDEX('Batch Dates'!$G:$G,MATCH(J158,'Batch Dates'!$C:$C,0)),IFERROR(INDEX('Batch Dates'!$G:$G,MATCH(I158,'Batch Dates'!$B:$B,0)),""))</f>
        <v/>
      </c>
      <c r="G158" s="243" t="inlineStr">
        <is>
          <t>legacy</t>
        </is>
      </c>
      <c r="H158" s="243" t="inlineStr">
        <is>
          <t>retest 2</t>
        </is>
      </c>
      <c r="I158" s="244" t="inlineStr">
        <is>
          <t>OPM112501</t>
        </is>
      </c>
      <c r="J158" s="243" t="inlineStr">
        <is>
          <t>P060222</t>
        </is>
      </c>
      <c r="K158" s="243" t="inlineStr">
        <is>
          <t>Orange Punch Mimosa</t>
        </is>
      </c>
      <c r="L158" s="243" t="inlineStr">
        <is>
          <t>Ident A + Ident B + Foreign matter</t>
        </is>
      </c>
      <c r="M158" s="248" t="inlineStr">
        <is>
          <t>—</t>
        </is>
      </c>
      <c r="N158" s="243">
        <f>IFERROR(INDEX('CoQ Register'!$B:$B,MATCH("P060222|R2",'CoQ Register'!$S:$S,0)),"—")</f>
        <v/>
      </c>
      <c r="O158" s="248" t="inlineStr">
        <is>
          <t>—</t>
        </is>
      </c>
      <c r="P158" s="243" t="inlineStr">
        <is>
          <t>05.03.2027</t>
        </is>
      </c>
      <c r="Q158" s="243" t="inlineStr">
        <is>
          <t>05.02.2026</t>
        </is>
      </c>
      <c r="R158" s="243" t="inlineStr">
        <is>
          <t>24.04.2026 (the issuance plan's basis: 05.03.2026)</t>
        </is>
      </c>
      <c r="S158" s="245">
        <f>IFERROR(INDEX('CoQ Register'!$D:$D,MATCH("P060222|R2",'CoQ Register'!$S:$S,0)),"")</f>
        <v/>
      </c>
      <c r="T158" s="243" t="inlineStr">
        <is>
          <t>Conforms</t>
        </is>
      </c>
      <c r="U158" s="243" t="inlineStr">
        <is>
          <t>Conforms</t>
        </is>
      </c>
      <c r="V158" s="243" t="inlineStr">
        <is>
          <t>Conforms</t>
        </is>
      </c>
      <c r="W158" s="243" t="inlineStr">
        <is>
          <t>227-10-K-26, (11.09.2026) [FHM-K]</t>
        </is>
      </c>
      <c r="X158" s="243" t="inlineStr">
        <is>
          <t>227-10-K-26, (11.09.2026) [FHM-K]</t>
        </is>
      </c>
      <c r="Y158" s="243" t="inlineStr">
        <is>
          <t>— pending —</t>
        </is>
      </c>
      <c r="Z158" s="243" t="inlineStr">
        <is>
          <t>#8, #9, #11, #12 from the initial testing</t>
        </is>
      </c>
      <c r="AA158" s="243" t="inlineStr">
        <is>
          <t>P060222|R2</t>
        </is>
      </c>
      <c r="AB158" s="250" t="inlineStr">
        <is>
          <t>registered — retest 2 · Tranche 3 (sampled 19–21.08.2026), tested 19.08.2026, issued 24.08.2026</t>
        </is>
      </c>
    </row>
    <row r="159">
      <c r="A159" s="243" t="n">
        <v>158</v>
      </c>
      <c r="B159" s="244" t="inlineStr">
        <is>
          <t>iCoA-PP_26-158</t>
        </is>
      </c>
      <c r="C159" s="249" t="inlineStr">
        <is>
          <t>yes</t>
        </is>
      </c>
      <c r="D159" s="245" t="n">
        <v>46258</v>
      </c>
      <c r="E159" s="245" t="n">
        <v>46253</v>
      </c>
      <c r="F159" s="245">
        <f>IFERROR(INDEX('Batch Dates'!$G:$G,MATCH(J159,'Batch Dates'!$C:$C,0)),IFERROR(INDEX('Batch Dates'!$G:$G,MATCH(I159,'Batch Dates'!$B:$B,0)),""))</f>
        <v/>
      </c>
      <c r="G159" s="243" t="inlineStr">
        <is>
          <t>legacy</t>
        </is>
      </c>
      <c r="H159" s="243" t="inlineStr">
        <is>
          <t>retest 2</t>
        </is>
      </c>
      <c r="I159" s="244" t="inlineStr">
        <is>
          <t>PM072501</t>
        </is>
      </c>
      <c r="J159" s="243" t="inlineStr">
        <is>
          <t>P050272</t>
        </is>
      </c>
      <c r="K159" s="243" t="inlineStr">
        <is>
          <t>Permanent Marker</t>
        </is>
      </c>
      <c r="L159" s="243" t="inlineStr">
        <is>
          <t>Ident A + Ident B + Foreign matter</t>
        </is>
      </c>
      <c r="M159" s="248" t="inlineStr">
        <is>
          <t>—</t>
        </is>
      </c>
      <c r="N159" s="243">
        <f>IFERROR(INDEX('CoQ Register'!$B:$B,MATCH("P050272|R2",'CoQ Register'!$S:$S,0)),"—")</f>
        <v/>
      </c>
      <c r="O159" s="248" t="inlineStr">
        <is>
          <t>—</t>
        </is>
      </c>
      <c r="P159" s="243" t="inlineStr">
        <is>
          <t>21.01.2027</t>
        </is>
      </c>
      <c r="Q159" s="243" t="inlineStr">
        <is>
          <t>27.10.2025</t>
        </is>
      </c>
      <c r="R159" s="243" t="inlineStr">
        <is>
          <t>02.12.2025 – 03.12.2025 (the issuance plan's basis: 21.01.2026)</t>
        </is>
      </c>
      <c r="S159" s="245">
        <f>IFERROR(INDEX('CoQ Register'!$D:$D,MATCH("P050272|R2",'CoQ Register'!$S:$S,0)),"")</f>
        <v/>
      </c>
      <c r="T159" s="243" t="inlineStr">
        <is>
          <t>Conforms</t>
        </is>
      </c>
      <c r="U159" s="243" t="inlineStr">
        <is>
          <t>Conforms</t>
        </is>
      </c>
      <c r="V159" s="243" t="inlineStr">
        <is>
          <t>Conforms</t>
        </is>
      </c>
      <c r="W159" s="243" t="inlineStr">
        <is>
          <t>227-9-K-26, (11.09.2026) [FHM-K]</t>
        </is>
      </c>
      <c r="X159" s="243" t="inlineStr">
        <is>
          <t>227-9-K-26, (11.09.2026) [FHM-K]</t>
        </is>
      </c>
      <c r="Y159" s="243" t="inlineStr">
        <is>
          <t>— pending —</t>
        </is>
      </c>
      <c r="Z159" s="243" t="inlineStr">
        <is>
          <t>#8, #9, #11, #12 from the initial testing</t>
        </is>
      </c>
      <c r="AA159" s="243" t="inlineStr">
        <is>
          <t>P050272|R2</t>
        </is>
      </c>
      <c r="AB159" s="250" t="inlineStr">
        <is>
          <t>registered — retest 2 · Tranche 3 (sampled 19–21.08.2026), tested 19.08.2026, issued 24.08.2026</t>
        </is>
      </c>
    </row>
    <row r="160">
      <c r="A160" s="243" t="n">
        <v>159</v>
      </c>
      <c r="B160" s="244" t="inlineStr">
        <is>
          <t>iCoA-PP_26-159</t>
        </is>
      </c>
      <c r="C160" s="249" t="inlineStr">
        <is>
          <t>yes</t>
        </is>
      </c>
      <c r="D160" s="245" t="n">
        <v>46258</v>
      </c>
      <c r="E160" s="245" t="n">
        <v>46253</v>
      </c>
      <c r="F160" s="245">
        <f>IFERROR(INDEX('Batch Dates'!$G:$G,MATCH(J160,'Batch Dates'!$C:$C,0)),IFERROR(INDEX('Batch Dates'!$G:$G,MATCH(I160,'Batch Dates'!$B:$B,0)),""))</f>
        <v/>
      </c>
      <c r="G160" s="243" t="inlineStr">
        <is>
          <t>post-SOP</t>
        </is>
      </c>
      <c r="H160" s="243" t="inlineStr">
        <is>
          <t>retest 2</t>
        </is>
      </c>
      <c r="I160" s="244" t="inlineStr">
        <is>
          <t>SCR012601*</t>
        </is>
      </c>
      <c r="J160" s="243" t="inlineStr">
        <is>
          <t>P060342</t>
        </is>
      </c>
      <c r="K160" s="243" t="inlineStr">
        <is>
          <t>Scrambler</t>
        </is>
      </c>
      <c r="L160" s="243" t="inlineStr">
        <is>
          <t>Ident A + Ident B + Foreign matter</t>
        </is>
      </c>
      <c r="M160" s="248" t="inlineStr">
        <is>
          <t>—</t>
        </is>
      </c>
      <c r="N160" s="243">
        <f>IFERROR(INDEX('CoQ Register'!$B:$B,MATCH("P060342|R2",'CoQ Register'!$S:$S,0)),"—")</f>
        <v/>
      </c>
      <c r="O160" s="248" t="inlineStr">
        <is>
          <t>—</t>
        </is>
      </c>
      <c r="P160" s="243" t="inlineStr">
        <is>
          <t>25.05.2027</t>
        </is>
      </c>
      <c r="Q160" s="243" t="inlineStr">
        <is>
          <t>16.04.2026</t>
        </is>
      </c>
      <c r="R160" s="243" t="inlineStr">
        <is>
          <t>25.05.2026</t>
        </is>
      </c>
      <c r="S160" s="245">
        <f>IFERROR(INDEX('CoQ Register'!$D:$D,MATCH("P060342|R2",'CoQ Register'!$S:$S,0)),"")</f>
        <v/>
      </c>
      <c r="T160" s="243" t="inlineStr">
        <is>
          <t>Conforms</t>
        </is>
      </c>
      <c r="U160" s="243" t="inlineStr">
        <is>
          <t>Conforms</t>
        </is>
      </c>
      <c r="V160" s="243" t="inlineStr">
        <is>
          <t>Conforms</t>
        </is>
      </c>
      <c r="W160" s="243" t="inlineStr">
        <is>
          <t>227-8-K-26, (11.09.2026) [FHM-K]</t>
        </is>
      </c>
      <c r="X160" s="243" t="inlineStr">
        <is>
          <t>227-8-K-26, (11.09.2026) [FHM-K]</t>
        </is>
      </c>
      <c r="Y160" s="243" t="inlineStr">
        <is>
          <t>— pending —</t>
        </is>
      </c>
      <c r="Z160" s="243" t="inlineStr">
        <is>
          <t>#8, #9, #11, #12 from the initial testing</t>
        </is>
      </c>
      <c r="AA160" s="243" t="inlineStr">
        <is>
          <t>P060342|R2</t>
        </is>
      </c>
      <c r="AB160" s="250" t="inlineStr">
        <is>
          <t>registered — retest 2 · Tranche 3 (sampled 19–21.08.2026), tested 19.08.2026, issued 24.08.2026</t>
        </is>
      </c>
    </row>
    <row r="161">
      <c r="A161" s="243" t="n">
        <v>160</v>
      </c>
      <c r="B161" s="244" t="inlineStr">
        <is>
          <t>iCoA-PP_26-160</t>
        </is>
      </c>
      <c r="C161" s="249" t="inlineStr">
        <is>
          <t>yes</t>
        </is>
      </c>
      <c r="D161" s="245" t="n">
        <v>46258</v>
      </c>
      <c r="E161" s="245" t="n">
        <v>46253</v>
      </c>
      <c r="F161" s="245">
        <f>IFERROR(INDEX('Batch Dates'!$G:$G,MATCH(J161,'Batch Dates'!$C:$C,0)),IFERROR(INDEX('Batch Dates'!$G:$G,MATCH(I161,'Batch Dates'!$B:$B,0)),""))</f>
        <v/>
      </c>
      <c r="G161" s="243" t="inlineStr">
        <is>
          <t>post-SOP</t>
        </is>
      </c>
      <c r="H161" s="243" t="inlineStr">
        <is>
          <t>retest 2</t>
        </is>
      </c>
      <c r="I161" s="244" t="inlineStr">
        <is>
          <t>SCR022601</t>
        </is>
      </c>
      <c r="J161" s="243" t="inlineStr">
        <is>
          <t>P060442</t>
        </is>
      </c>
      <c r="K161" s="243" t="inlineStr">
        <is>
          <t>Scrambler</t>
        </is>
      </c>
      <c r="L161" s="243" t="inlineStr">
        <is>
          <t>Ident A + Ident B + Foreign matter</t>
        </is>
      </c>
      <c r="M161" s="248" t="inlineStr">
        <is>
          <t>—</t>
        </is>
      </c>
      <c r="N161" s="243">
        <f>IFERROR(INDEX('CoQ Register'!$B:$B,MATCH("P060442|R2",'CoQ Register'!$S:$S,0)),"—")</f>
        <v/>
      </c>
      <c r="O161" s="248" t="inlineStr">
        <is>
          <t>—</t>
        </is>
      </c>
      <c r="P161" s="243" t="inlineStr">
        <is>
          <t>06.07.2027</t>
        </is>
      </c>
      <c r="Q161" s="243" t="inlineStr">
        <is>
          <t>13.05.2026</t>
        </is>
      </c>
      <c r="R161" s="243" t="inlineStr">
        <is>
          <t>18.06.2026 (the issuance plan's basis: 06.07.2026)</t>
        </is>
      </c>
      <c r="S161" s="245">
        <f>IFERROR(INDEX('CoQ Register'!$D:$D,MATCH("P060442|R2",'CoQ Register'!$S:$S,0)),"")</f>
        <v/>
      </c>
      <c r="T161" s="243" t="inlineStr">
        <is>
          <t>CNP ППК26116</t>
        </is>
      </c>
      <c r="U161" s="243" t="inlineStr">
        <is>
          <t>CNP ППК26116</t>
        </is>
      </c>
      <c r="V161" s="243" t="inlineStr">
        <is>
          <t>Conforms</t>
        </is>
      </c>
      <c r="W161" s="243" t="inlineStr">
        <is>
          <t>227-7-K-26, (11.09.2026) [FHM-K]</t>
        </is>
      </c>
      <c r="X161" s="243" t="inlineStr">
        <is>
          <t>227-7-K-26, (11.09.2026) [FHM-K]</t>
        </is>
      </c>
      <c r="Y161" s="243" t="inlineStr">
        <is>
          <t>— pending —</t>
        </is>
      </c>
      <c r="Z161" s="243" t="inlineStr">
        <is>
          <t>#8, #9, #11, #12 from the initial testing</t>
        </is>
      </c>
      <c r="AA161" s="243" t="inlineStr">
        <is>
          <t>P060442|R2</t>
        </is>
      </c>
      <c r="AB161" s="250" t="inlineStr">
        <is>
          <t>registered — retest 2 · Tranche 3 (sampled 19–21.08.2026), tested 19.08.2026, issued 24.08.2026</t>
        </is>
      </c>
    </row>
    <row r="162">
      <c r="A162" s="243" t="n">
        <v>161</v>
      </c>
      <c r="B162" s="244" t="inlineStr">
        <is>
          <t>iCoA-PP_26-161</t>
        </is>
      </c>
      <c r="C162" s="249" t="inlineStr">
        <is>
          <t>yes</t>
        </is>
      </c>
      <c r="D162" s="245" t="n">
        <v>46258</v>
      </c>
      <c r="E162" s="245" t="n">
        <v>46253</v>
      </c>
      <c r="F162" s="245">
        <f>IFERROR(INDEX('Batch Dates'!$G:$G,MATCH(J162,'Batch Dates'!$C:$C,0)),IFERROR(INDEX('Batch Dates'!$G:$G,MATCH(I162,'Batch Dates'!$B:$B,0)),""))</f>
        <v/>
      </c>
      <c r="G162" s="243" t="inlineStr">
        <is>
          <t>legacy</t>
        </is>
      </c>
      <c r="H162" s="243" t="inlineStr">
        <is>
          <t>retest 2</t>
        </is>
      </c>
      <c r="I162" s="244" t="inlineStr">
        <is>
          <t>SJ102501</t>
        </is>
      </c>
      <c r="J162" s="243" t="inlineStr">
        <is>
          <t>P060162</t>
        </is>
      </c>
      <c r="K162" s="243" t="inlineStr">
        <is>
          <t>Sleepy Joe</t>
        </is>
      </c>
      <c r="L162" s="243" t="inlineStr">
        <is>
          <t>Ident A + Ident B + Foreign matter</t>
        </is>
      </c>
      <c r="M162" s="248" t="inlineStr">
        <is>
          <t>—</t>
        </is>
      </c>
      <c r="N162" s="243">
        <f>IFERROR(INDEX('CoQ Register'!$B:$B,MATCH("P060162|R2",'CoQ Register'!$S:$S,0)),"—")</f>
        <v/>
      </c>
      <c r="O162" s="248" t="inlineStr">
        <is>
          <t>—</t>
        </is>
      </c>
      <c r="P162" s="243" t="inlineStr">
        <is>
          <t>04.03.2027</t>
        </is>
      </c>
      <c r="Q162" s="243" t="inlineStr">
        <is>
          <t>20.01.2026</t>
        </is>
      </c>
      <c r="R162" s="243" t="inlineStr">
        <is>
          <t>09.03.2026 (the issuance plan's basis: 04.03.2026)</t>
        </is>
      </c>
      <c r="S162" s="245">
        <f>IFERROR(INDEX('CoQ Register'!$D:$D,MATCH("P060162|R2",'CoQ Register'!$S:$S,0)),"")</f>
        <v/>
      </c>
      <c r="T162" s="243" t="inlineStr">
        <is>
          <t>Conforms</t>
        </is>
      </c>
      <c r="U162" s="243" t="inlineStr">
        <is>
          <t>Conforms</t>
        </is>
      </c>
      <c r="V162" s="243" t="inlineStr">
        <is>
          <t>Conforms</t>
        </is>
      </c>
      <c r="W162" s="243" t="inlineStr">
        <is>
          <t>227-6-K-26, (11.09.2026) [FHM-K]</t>
        </is>
      </c>
      <c r="X162" s="243" t="inlineStr">
        <is>
          <t>227-6-K-26, (11.09.2026) [FHM-K]</t>
        </is>
      </c>
      <c r="Y162" s="243" t="inlineStr">
        <is>
          <t>— pending —</t>
        </is>
      </c>
      <c r="Z162" s="243" t="inlineStr">
        <is>
          <t>#8, #9, #11, #12 from the initial testing</t>
        </is>
      </c>
      <c r="AA162" s="243" t="inlineStr">
        <is>
          <t>P060162|R2</t>
        </is>
      </c>
      <c r="AB162" s="250" t="inlineStr">
        <is>
          <t>registered — retest 2 · Tranche 3 (sampled 19–21.08.2026), tested 19.08.2026, issued 24.08.2026</t>
        </is>
      </c>
    </row>
    <row r="163">
      <c r="A163" s="243" t="n">
        <v>162</v>
      </c>
      <c r="B163" s="244" t="inlineStr">
        <is>
          <t>iCoA-PP_26-162</t>
        </is>
      </c>
      <c r="C163" s="249" t="inlineStr">
        <is>
          <t>yes</t>
        </is>
      </c>
      <c r="D163" s="245" t="n">
        <v>46258</v>
      </c>
      <c r="E163" s="245" t="n">
        <v>46253</v>
      </c>
      <c r="F163" s="245">
        <f>IFERROR(INDEX('Batch Dates'!$G:$G,MATCH(J163,'Batch Dates'!$C:$C,0)),IFERROR(INDEX('Batch Dates'!$G:$G,MATCH(I163,'Batch Dates'!$B:$B,0)),""))</f>
        <v/>
      </c>
      <c r="G163" s="243" t="inlineStr">
        <is>
          <t>legacy</t>
        </is>
      </c>
      <c r="H163" s="243" t="inlineStr">
        <is>
          <t>retest 1</t>
        </is>
      </c>
      <c r="I163" s="244" t="inlineStr">
        <is>
          <t>SJ112501</t>
        </is>
      </c>
      <c r="J163" s="243" t="inlineStr">
        <is>
          <t>P060192</t>
        </is>
      </c>
      <c r="K163" s="243" t="inlineStr">
        <is>
          <t>Sleepy Joe</t>
        </is>
      </c>
      <c r="L163" s="243" t="inlineStr">
        <is>
          <t>Ident A + Ident B + Foreign matter</t>
        </is>
      </c>
      <c r="M163" s="248" t="inlineStr">
        <is>
          <t>—</t>
        </is>
      </c>
      <c r="N163" s="243">
        <f>IFERROR(INDEX('CoQ Register'!$B:$B,MATCH("P060192|R",'CoQ Register'!$S:$S,0)),"—")</f>
        <v/>
      </c>
      <c r="O163" s="248" t="inlineStr">
        <is>
          <t>—</t>
        </is>
      </c>
      <c r="P163" s="243" t="inlineStr">
        <is>
          <t>04.03.2027</t>
        </is>
      </c>
      <c r="Q163" s="243" t="inlineStr">
        <is>
          <t>26.01.2026 – 27.01.2026</t>
        </is>
      </c>
      <c r="R163" s="243" t="inlineStr">
        <is>
          <t>31.03.2026 (the issuance plan's basis: 04.03.2026)</t>
        </is>
      </c>
      <c r="S163" s="245">
        <f>IFERROR(INDEX('CoQ Register'!$D:$D,MATCH("P060192|R",'CoQ Register'!$S:$S,0)),"")</f>
        <v/>
      </c>
      <c r="T163" s="243" t="inlineStr">
        <is>
          <t>Conforms</t>
        </is>
      </c>
      <c r="U163" s="243" t="inlineStr">
        <is>
          <t>Conforms</t>
        </is>
      </c>
      <c r="V163" s="243" t="inlineStr">
        <is>
          <t>Conforms</t>
        </is>
      </c>
      <c r="W163" s="243" t="inlineStr">
        <is>
          <t>227-5-K-26, (11.09.2026) [FHM-K]</t>
        </is>
      </c>
      <c r="X163" s="243" t="inlineStr">
        <is>
          <t>227-5-K-26, (11.09.2026) [FHM-K]</t>
        </is>
      </c>
      <c r="Y163" s="243" t="inlineStr">
        <is>
          <t>— pending —</t>
        </is>
      </c>
      <c r="Z163" s="243" t="inlineStr">
        <is>
          <t>#8, #9, #11, #12 from the initial testing</t>
        </is>
      </c>
      <c r="AA163" s="243" t="inlineStr">
        <is>
          <t>P060192|R</t>
        </is>
      </c>
      <c r="AB163" s="250" t="inlineStr">
        <is>
          <t>registered — retest 1 · Tranche 3 (sampled 19–21.08.2026), tested 19.08.2026, issued 24.08.2026</t>
        </is>
      </c>
    </row>
    <row r="164">
      <c r="A164" s="243" t="n">
        <v>163</v>
      </c>
      <c r="B164" s="244" t="inlineStr">
        <is>
          <t>iCoA-PP_26-163</t>
        </is>
      </c>
      <c r="C164" s="249" t="inlineStr">
        <is>
          <t>yes</t>
        </is>
      </c>
      <c r="D164" s="245" t="n">
        <v>46258</v>
      </c>
      <c r="E164" s="245" t="n">
        <v>46253</v>
      </c>
      <c r="F164" s="245">
        <f>IFERROR(INDEX('Batch Dates'!$G:$G,MATCH(J164,'Batch Dates'!$C:$C,0)),IFERROR(INDEX('Batch Dates'!$G:$G,MATCH(I164,'Batch Dates'!$B:$B,0)),""))</f>
        <v/>
      </c>
      <c r="G164" s="243" t="inlineStr">
        <is>
          <t>legacy</t>
        </is>
      </c>
      <c r="H164" s="243" t="inlineStr">
        <is>
          <t>retest 2</t>
        </is>
      </c>
      <c r="I164" s="244" t="inlineStr">
        <is>
          <t>WC072501</t>
        </is>
      </c>
      <c r="J164" s="243" t="inlineStr">
        <is>
          <t>P050262</t>
        </is>
      </c>
      <c r="K164" s="243" t="inlineStr">
        <is>
          <t>Wedding Crusher</t>
        </is>
      </c>
      <c r="L164" s="243" t="inlineStr">
        <is>
          <t>Ident A + Ident B + Foreign matter</t>
        </is>
      </c>
      <c r="M164" s="248" t="inlineStr">
        <is>
          <t>—</t>
        </is>
      </c>
      <c r="N164" s="243">
        <f>IFERROR(INDEX('CoQ Register'!$B:$B,MATCH("P050262|R2",'CoQ Register'!$S:$S,0)),"—")</f>
        <v/>
      </c>
      <c r="O164" s="248" t="inlineStr">
        <is>
          <t>—</t>
        </is>
      </c>
      <c r="P164" s="243" t="inlineStr">
        <is>
          <t>02.12.2026</t>
        </is>
      </c>
      <c r="Q164" s="243" t="inlineStr">
        <is>
          <t>27.10.2025 – 28.10.2025</t>
        </is>
      </c>
      <c r="R164" s="243" t="inlineStr">
        <is>
          <t>01.12.2025 (the issuance plan's basis: 02.12.2025)</t>
        </is>
      </c>
      <c r="S164" s="245">
        <f>IFERROR(INDEX('CoQ Register'!$D:$D,MATCH("P050262|R2",'CoQ Register'!$S:$S,0)),"")</f>
        <v/>
      </c>
      <c r="T164" s="243" t="inlineStr">
        <is>
          <t>Conforms</t>
        </is>
      </c>
      <c r="U164" s="243" t="inlineStr">
        <is>
          <t>Conforms</t>
        </is>
      </c>
      <c r="V164" s="243" t="inlineStr">
        <is>
          <t>Conforms</t>
        </is>
      </c>
      <c r="W164" s="243" t="inlineStr">
        <is>
          <t>227-3-K-26, (11.09.2026) [FHM-K]</t>
        </is>
      </c>
      <c r="X164" s="243" t="inlineStr">
        <is>
          <t>227-3-K-26, (11.09.2026) [FHM-K]</t>
        </is>
      </c>
      <c r="Y164" s="243" t="inlineStr">
        <is>
          <t>— pending —</t>
        </is>
      </c>
      <c r="Z164" s="243" t="inlineStr">
        <is>
          <t>#8, #9, #11, #12 from the initial testing</t>
        </is>
      </c>
      <c r="AA164" s="243" t="inlineStr">
        <is>
          <t>P050262|R2</t>
        </is>
      </c>
      <c r="AB164" s="250" t="inlineStr">
        <is>
          <t>registered — retest 2 · Tranche 3 (sampled 19–21.08.2026), tested 19.08.2026, issued 24.08.2026</t>
        </is>
      </c>
    </row>
    <row r="165">
      <c r="A165" s="243" t="n">
        <v>164</v>
      </c>
      <c r="B165" s="244" t="inlineStr">
        <is>
          <t>iCoA-PP_26-164</t>
        </is>
      </c>
      <c r="C165" s="249" t="inlineStr">
        <is>
          <t>yes</t>
        </is>
      </c>
      <c r="D165" s="245" t="n">
        <v>46258</v>
      </c>
      <c r="E165" s="245" t="n">
        <v>46253</v>
      </c>
      <c r="F165" s="245">
        <f>IFERROR(INDEX('Batch Dates'!$G:$G,MATCH(J165,'Batch Dates'!$C:$C,0)),IFERROR(INDEX('Batch Dates'!$G:$G,MATCH(I165,'Batch Dates'!$B:$B,0)),""))</f>
        <v/>
      </c>
      <c r="G165" s="243" t="inlineStr">
        <is>
          <t>legacy</t>
        </is>
      </c>
      <c r="H165" s="243" t="inlineStr">
        <is>
          <t>retest 2</t>
        </is>
      </c>
      <c r="I165" s="244" t="inlineStr">
        <is>
          <t>WED102501</t>
        </is>
      </c>
      <c r="J165" s="243" t="inlineStr">
        <is>
          <t>P060102</t>
        </is>
      </c>
      <c r="K165" s="243" t="inlineStr">
        <is>
          <t>Wedding Cake</t>
        </is>
      </c>
      <c r="L165" s="243" t="inlineStr">
        <is>
          <t>Ident A + Ident B + Foreign matter</t>
        </is>
      </c>
      <c r="M165" s="248" t="inlineStr">
        <is>
          <t>—</t>
        </is>
      </c>
      <c r="N165" s="243">
        <f>IFERROR(INDEX('CoQ Register'!$B:$B,MATCH("P060102|R2",'CoQ Register'!$S:$S,0)),"—")</f>
        <v/>
      </c>
      <c r="O165" s="248" t="inlineStr">
        <is>
          <t>—</t>
        </is>
      </c>
      <c r="P165" s="243" t="inlineStr">
        <is>
          <t>16.02.2027</t>
        </is>
      </c>
      <c r="Q165" s="243" t="inlineStr">
        <is>
          <t>08.01.2026</t>
        </is>
      </c>
      <c r="R165" s="243" t="inlineStr">
        <is>
          <t>16.02.2026</t>
        </is>
      </c>
      <c r="S165" s="245">
        <f>IFERROR(INDEX('CoQ Register'!$D:$D,MATCH("P060102|R2",'CoQ Register'!$S:$S,0)),"")</f>
        <v/>
      </c>
      <c r="T165" s="243" t="inlineStr">
        <is>
          <t>Conforms</t>
        </is>
      </c>
      <c r="U165" s="243" t="inlineStr">
        <is>
          <t>Conforms</t>
        </is>
      </c>
      <c r="V165" s="243" t="inlineStr">
        <is>
          <t>Conforms</t>
        </is>
      </c>
      <c r="W165" s="243" t="inlineStr">
        <is>
          <t>227-4-K-26, (11.09.2026) [FHM-K]</t>
        </is>
      </c>
      <c r="X165" s="243" t="inlineStr">
        <is>
          <t>227-4-K-26, (11.09.2026) [FHM-K]</t>
        </is>
      </c>
      <c r="Y165" s="243" t="inlineStr">
        <is>
          <t>— pending —</t>
        </is>
      </c>
      <c r="Z165" s="243" t="inlineStr">
        <is>
          <t>#8, #9, #11, #12 from the initial testing</t>
        </is>
      </c>
      <c r="AA165" s="243" t="inlineStr">
        <is>
          <t>P060102|R2</t>
        </is>
      </c>
      <c r="AB165" s="250" t="inlineStr">
        <is>
          <t>registered — retest 2 · Tranche 3 (sampled 19–21.08.2026), tested 19.08.2026, issued 24.08.2026</t>
        </is>
      </c>
    </row>
    <row r="166">
      <c r="A166" s="243" t="n">
        <v>165</v>
      </c>
      <c r="B166" s="244" t="inlineStr">
        <is>
          <t>iCoA-PP_26-165</t>
        </is>
      </c>
      <c r="C166" s="249" t="inlineStr">
        <is>
          <t>yes</t>
        </is>
      </c>
      <c r="D166" s="245" t="n">
        <v>46258</v>
      </c>
      <c r="E166" s="245" t="n">
        <v>46254</v>
      </c>
      <c r="F166" s="245">
        <f>IFERROR(INDEX('Batch Dates'!$G:$G,MATCH(J166,'Batch Dates'!$C:$C,0)),IFERROR(INDEX('Batch Dates'!$G:$G,MATCH(I166,'Batch Dates'!$B:$B,0)),""))</f>
        <v/>
      </c>
      <c r="G166" s="243" t="inlineStr">
        <is>
          <t>legacy</t>
        </is>
      </c>
      <c r="H166" s="243" t="inlineStr">
        <is>
          <t>retest 2</t>
        </is>
      </c>
      <c r="I166" s="244" t="inlineStr">
        <is>
          <t>GG1024_02</t>
        </is>
      </c>
      <c r="J166" s="243" t="inlineStr">
        <is>
          <t>P050012</t>
        </is>
      </c>
      <c r="K166" s="243" t="inlineStr">
        <is>
          <t>Gorilla Glue</t>
        </is>
      </c>
      <c r="L166" s="243" t="inlineStr">
        <is>
          <t>Ident A + Ident B + Foreign matter</t>
        </is>
      </c>
      <c r="M166" s="248" t="inlineStr">
        <is>
          <t>—</t>
        </is>
      </c>
      <c r="N166" s="243">
        <f>IFERROR(INDEX('CoQ Register'!$B:$B,MATCH("P050012|R2",'CoQ Register'!$S:$S,0)),"—")</f>
        <v/>
      </c>
      <c r="O166" s="248" t="inlineStr">
        <is>
          <t>—</t>
        </is>
      </c>
      <c r="P166" s="243" t="inlineStr">
        <is>
          <t>30.05.2026</t>
        </is>
      </c>
      <c r="Q166" s="243" t="inlineStr">
        <is>
          <t>14.04.2025 – 15.04.2025</t>
        </is>
      </c>
      <c r="R166" s="243" t="inlineStr">
        <is>
          <t>11.06.2025 – 16.06.2025 (the issuance plan's basis: 30.05.2025)</t>
        </is>
      </c>
      <c r="S166" s="245">
        <f>IFERROR(INDEX('CoQ Register'!$D:$D,MATCH("P050012|R2",'CoQ Register'!$S:$S,0)),"")</f>
        <v/>
      </c>
      <c r="T166" s="243" t="inlineStr">
        <is>
          <t>Conforms</t>
        </is>
      </c>
      <c r="U166" s="243" t="inlineStr">
        <is>
          <t>Conforms</t>
        </is>
      </c>
      <c r="V166" s="243" t="inlineStr">
        <is>
          <t>Conforms</t>
        </is>
      </c>
      <c r="W166" s="243" t="inlineStr">
        <is>
          <t>227-19-K-26, (11.09.2026) [FHM-K]</t>
        </is>
      </c>
      <c r="X166" s="243" t="inlineStr">
        <is>
          <t>227-19-K-26, (11.09.2026) [FHM-K]</t>
        </is>
      </c>
      <c r="Y166" s="243" t="inlineStr">
        <is>
          <t>— pending —</t>
        </is>
      </c>
      <c r="Z166" s="243" t="inlineStr">
        <is>
          <t>#8, #9, #11, #12 from the initial testing</t>
        </is>
      </c>
      <c r="AA166" s="243" t="inlineStr">
        <is>
          <t>P050012|R2</t>
        </is>
      </c>
      <c r="AB166" s="250" t="inlineStr">
        <is>
          <t>registered — retest 2 · Tranche 3 (sampled 19–21.08.2026), tested 20.08.2026, issued 24.08.2026</t>
        </is>
      </c>
    </row>
    <row r="167">
      <c r="A167" s="243" t="n">
        <v>166</v>
      </c>
      <c r="B167" s="244" t="inlineStr">
        <is>
          <t>iCoA-PP_26-166</t>
        </is>
      </c>
      <c r="C167" s="249" t="inlineStr">
        <is>
          <t>yes</t>
        </is>
      </c>
      <c r="D167" s="245" t="n">
        <v>46258</v>
      </c>
      <c r="E167" s="245" t="n">
        <v>46254</v>
      </c>
      <c r="F167" s="245">
        <f>IFERROR(INDEX('Batch Dates'!$G:$G,MATCH(J167,'Batch Dates'!$C:$C,0)),IFERROR(INDEX('Batch Dates'!$G:$G,MATCH(I167,'Batch Dates'!$B:$B,0)),""))</f>
        <v/>
      </c>
      <c r="G167" s="243" t="inlineStr">
        <is>
          <t>legacy</t>
        </is>
      </c>
      <c r="H167" s="243" t="inlineStr">
        <is>
          <t>retest 2</t>
        </is>
      </c>
      <c r="I167" s="244" t="inlineStr">
        <is>
          <t>GG112501</t>
        </is>
      </c>
      <c r="J167" s="243" t="inlineStr">
        <is>
          <t>P060252</t>
        </is>
      </c>
      <c r="K167" s="243" t="inlineStr">
        <is>
          <t>Gorilla Glue</t>
        </is>
      </c>
      <c r="L167" s="243" t="inlineStr">
        <is>
          <t>Ident A + Ident B + Foreign matter</t>
        </is>
      </c>
      <c r="M167" s="248" t="inlineStr">
        <is>
          <t>—</t>
        </is>
      </c>
      <c r="N167" s="243">
        <f>IFERROR(INDEX('CoQ Register'!$B:$B,MATCH("P060252|R2",'CoQ Register'!$S:$S,0)),"—")</f>
        <v/>
      </c>
      <c r="O167" s="248" t="inlineStr">
        <is>
          <t>—</t>
        </is>
      </c>
      <c r="P167" s="243" t="inlineStr">
        <is>
          <t>11.05.2027</t>
        </is>
      </c>
      <c r="Q167" s="243" t="inlineStr">
        <is>
          <t>25.03.2026</t>
        </is>
      </c>
      <c r="R167" s="243" t="inlineStr">
        <is>
          <t>05.05.2026 (the issuance plan's basis: 11.05.2026)</t>
        </is>
      </c>
      <c r="S167" s="245">
        <f>IFERROR(INDEX('CoQ Register'!$D:$D,MATCH("P060252|R2",'CoQ Register'!$S:$S,0)),"")</f>
        <v/>
      </c>
      <c r="T167" s="243" t="inlineStr">
        <is>
          <t>Conforms</t>
        </is>
      </c>
      <c r="U167" s="243" t="inlineStr">
        <is>
          <t>Conforms</t>
        </is>
      </c>
      <c r="V167" s="243" t="inlineStr">
        <is>
          <t>Conforms</t>
        </is>
      </c>
      <c r="W167" s="243" t="inlineStr">
        <is>
          <t>227-20-K-26, (11.09.2026) [FHM-K]</t>
        </is>
      </c>
      <c r="X167" s="243" t="inlineStr">
        <is>
          <t>227-20-K-26, (11.09.2026) [FHM-K]</t>
        </is>
      </c>
      <c r="Y167" s="243" t="inlineStr">
        <is>
          <t>— pending —</t>
        </is>
      </c>
      <c r="Z167" s="243" t="inlineStr">
        <is>
          <t>#8, #9, #11, #12 from the initial testing</t>
        </is>
      </c>
      <c r="AA167" s="243" t="inlineStr">
        <is>
          <t>P060252|R2</t>
        </is>
      </c>
      <c r="AB167" s="250" t="inlineStr">
        <is>
          <t>registered — retest 2 · Tranche 3 (sampled 19–21.08.2026), tested 20.08.2026, issued 24.08.2026</t>
        </is>
      </c>
    </row>
    <row r="168">
      <c r="A168" s="243" t="n">
        <v>167</v>
      </c>
      <c r="B168" s="244" t="inlineStr">
        <is>
          <t>iCoA-PP_26-167</t>
        </is>
      </c>
      <c r="C168" s="249" t="inlineStr">
        <is>
          <t>yes</t>
        </is>
      </c>
      <c r="D168" s="245" t="n">
        <v>46258</v>
      </c>
      <c r="E168" s="245" t="n">
        <v>46254</v>
      </c>
      <c r="F168" s="245">
        <f>IFERROR(INDEX('Batch Dates'!$G:$G,MATCH(J168,'Batch Dates'!$C:$C,0)),IFERROR(INDEX('Batch Dates'!$G:$G,MATCH(I168,'Batch Dates'!$B:$B,0)),""))</f>
        <v/>
      </c>
      <c r="G168" s="243" t="inlineStr">
        <is>
          <t>legacy</t>
        </is>
      </c>
      <c r="H168" s="243" t="inlineStr">
        <is>
          <t>retest 5</t>
        </is>
      </c>
      <c r="I168" s="244" t="inlineStr">
        <is>
          <t>GP062501</t>
        </is>
      </c>
      <c r="J168" s="243" t="inlineStr">
        <is>
          <t>P050202</t>
        </is>
      </c>
      <c r="K168" s="243" t="inlineStr">
        <is>
          <t>Grape Pie</t>
        </is>
      </c>
      <c r="L168" s="243" t="inlineStr">
        <is>
          <t>Ident A + Ident B + Foreign matter</t>
        </is>
      </c>
      <c r="M168" s="248" t="inlineStr">
        <is>
          <t>—</t>
        </is>
      </c>
      <c r="N168" s="243">
        <f>IFERROR(INDEX('CoQ Register'!$B:$B,MATCH("P050202|R5",'CoQ Register'!$S:$S,0)),"—")</f>
        <v/>
      </c>
      <c r="O168" s="248" t="inlineStr">
        <is>
          <t>—</t>
        </is>
      </c>
      <c r="P168" s="243" t="inlineStr">
        <is>
          <t>11.05.2027</t>
        </is>
      </c>
      <c r="Q168" s="243" t="inlineStr">
        <is>
          <t>15.09.2025 – 17.09.2025</t>
        </is>
      </c>
      <c r="R168" s="243" t="inlineStr">
        <is>
          <t>30.10.2025 – 07.11.2025 (the issuance plan's basis: 11.05.2026)</t>
        </is>
      </c>
      <c r="S168" s="245">
        <f>IFERROR(INDEX('CoQ Register'!$D:$D,MATCH("P050202|R5",'CoQ Register'!$S:$S,0)),"")</f>
        <v/>
      </c>
      <c r="T168" s="243" t="inlineStr">
        <is>
          <t>Conforms</t>
        </is>
      </c>
      <c r="U168" s="243" t="inlineStr">
        <is>
          <t>Conforms</t>
        </is>
      </c>
      <c r="V168" s="243" t="inlineStr">
        <is>
          <t>Conforms</t>
        </is>
      </c>
      <c r="W168" s="243" t="inlineStr">
        <is>
          <t>227-18-K-26, (11.09.2026) [FHM-K]</t>
        </is>
      </c>
      <c r="X168" s="243" t="inlineStr">
        <is>
          <t>227-18-K-26, (11.09.2026) [FHM-K]</t>
        </is>
      </c>
      <c r="Y168" s="243" t="inlineStr">
        <is>
          <t>— pending —</t>
        </is>
      </c>
      <c r="Z168" s="243" t="inlineStr">
        <is>
          <t>#8, #9, #11, #12 from the initial testing</t>
        </is>
      </c>
      <c r="AA168" s="243" t="inlineStr">
        <is>
          <t>P050202|R5</t>
        </is>
      </c>
      <c r="AB168" s="250" t="inlineStr">
        <is>
          <t>registered — retest 5 · Tranche 3 (sampled 19–21.08.2026), tested 20.08.2026, issued 24.08.2026</t>
        </is>
      </c>
    </row>
    <row r="169">
      <c r="A169" s="243" t="n">
        <v>168</v>
      </c>
      <c r="B169" s="244" t="inlineStr">
        <is>
          <t>iCoA-PP_26-168</t>
        </is>
      </c>
      <c r="C169" s="249" t="inlineStr">
        <is>
          <t>yes</t>
        </is>
      </c>
      <c r="D169" s="245" t="n">
        <v>46258</v>
      </c>
      <c r="E169" s="245" t="n">
        <v>46254</v>
      </c>
      <c r="F169" s="245">
        <f>IFERROR(INDEX('Batch Dates'!$G:$G,MATCH(J169,'Batch Dates'!$C:$C,0)),IFERROR(INDEX('Batch Dates'!$G:$G,MATCH(I169,'Batch Dates'!$B:$B,0)),""))</f>
        <v/>
      </c>
      <c r="G169" s="243" t="inlineStr">
        <is>
          <t>legacy</t>
        </is>
      </c>
      <c r="H169" s="243" t="inlineStr">
        <is>
          <t>retest 2</t>
        </is>
      </c>
      <c r="I169" s="244" t="inlineStr">
        <is>
          <t>GP072501/1</t>
        </is>
      </c>
      <c r="J169" s="243" t="inlineStr">
        <is>
          <t>P050292</t>
        </is>
      </c>
      <c r="K169" s="243" t="inlineStr">
        <is>
          <t>Grape Pie</t>
        </is>
      </c>
      <c r="L169" s="243" t="inlineStr">
        <is>
          <t>Ident A + Ident B + Foreign matter</t>
        </is>
      </c>
      <c r="M169" s="248" t="inlineStr">
        <is>
          <t>—</t>
        </is>
      </c>
      <c r="N169" s="243">
        <f>IFERROR(INDEX('CoQ Register'!$B:$B,MATCH("P050292|R2",'CoQ Register'!$S:$S,0)),"—")</f>
        <v/>
      </c>
      <c r="O169" s="248" t="inlineStr">
        <is>
          <t>—</t>
        </is>
      </c>
      <c r="P169" s="243" t="inlineStr">
        <is>
          <t>21.01.2027</t>
        </is>
      </c>
      <c r="Q169" s="243" t="inlineStr">
        <is>
          <t>11.11.2025 – 13.11.2025</t>
        </is>
      </c>
      <c r="R169" s="243" t="inlineStr">
        <is>
          <t>15.12.2025 – 21.12.2025 (the issuance plan's basis: 21.01.2026)</t>
        </is>
      </c>
      <c r="S169" s="245">
        <f>IFERROR(INDEX('CoQ Register'!$D:$D,MATCH("P050292|R2",'CoQ Register'!$S:$S,0)),"")</f>
        <v/>
      </c>
      <c r="T169" s="243" t="inlineStr">
        <is>
          <t>Conforms</t>
        </is>
      </c>
      <c r="U169" s="243" t="inlineStr">
        <is>
          <t>Conforms</t>
        </is>
      </c>
      <c r="V169" s="243" t="inlineStr">
        <is>
          <t>Conforms</t>
        </is>
      </c>
      <c r="W169" s="243" t="inlineStr">
        <is>
          <t>227-17-K-26, (11.09.2026) [FHM-K]</t>
        </is>
      </c>
      <c r="X169" s="243" t="inlineStr">
        <is>
          <t>227-17-K-26, (11.09.2026) [FHM-K]</t>
        </is>
      </c>
      <c r="Y169" s="243" t="inlineStr">
        <is>
          <t>— pending —</t>
        </is>
      </c>
      <c r="Z169" s="243" t="inlineStr">
        <is>
          <t>#8, #9, #11, #12 from the initial testing</t>
        </is>
      </c>
      <c r="AA169" s="243" t="inlineStr">
        <is>
          <t>P050292|R2</t>
        </is>
      </c>
      <c r="AB169" s="250" t="inlineStr">
        <is>
          <t>registered — retest 2 · Tranche 3 (sampled 19–21.08.2026), tested 20.08.2026, issued 24.08.2026</t>
        </is>
      </c>
    </row>
    <row r="170">
      <c r="A170" s="243" t="n">
        <v>169</v>
      </c>
      <c r="B170" s="244" t="inlineStr">
        <is>
          <t>iCoA-PP_26-169</t>
        </is>
      </c>
      <c r="C170" s="249" t="inlineStr">
        <is>
          <t>yes</t>
        </is>
      </c>
      <c r="D170" s="245" t="n">
        <v>46258</v>
      </c>
      <c r="E170" s="245" t="n">
        <v>46254</v>
      </c>
      <c r="F170" s="245">
        <f>IFERROR(INDEX('Batch Dates'!$G:$G,MATCH(J170,'Batch Dates'!$C:$C,0)),IFERROR(INDEX('Batch Dates'!$G:$G,MATCH(I170,'Batch Dates'!$B:$B,0)),""))</f>
        <v/>
      </c>
      <c r="G170" s="243" t="inlineStr">
        <is>
          <t>legacy</t>
        </is>
      </c>
      <c r="H170" s="243" t="inlineStr">
        <is>
          <t>retest 2</t>
        </is>
      </c>
      <c r="I170" s="244" t="inlineStr">
        <is>
          <t>GRC102501</t>
        </is>
      </c>
      <c r="J170" s="243" t="inlineStr">
        <is>
          <t>P060142</t>
        </is>
      </c>
      <c r="K170" s="243" t="inlineStr">
        <is>
          <t>Grapes And Cream</t>
        </is>
      </c>
      <c r="L170" s="243" t="inlineStr">
        <is>
          <t>Ident A + Ident B + Foreign matter</t>
        </is>
      </c>
      <c r="M170" s="248" t="inlineStr">
        <is>
          <t>—</t>
        </is>
      </c>
      <c r="N170" s="243">
        <f>IFERROR(INDEX('CoQ Register'!$B:$B,MATCH("P060142|R2",'CoQ Register'!$S:$S,0)),"—")</f>
        <v/>
      </c>
      <c r="O170" s="248" t="inlineStr">
        <is>
          <t>—</t>
        </is>
      </c>
      <c r="P170" s="243" t="inlineStr">
        <is>
          <t>23.02.2027</t>
        </is>
      </c>
      <c r="Q170" s="243" t="inlineStr">
        <is>
          <t>09.01.2026</t>
        </is>
      </c>
      <c r="R170" s="243" t="inlineStr">
        <is>
          <t>23.02.2026</t>
        </is>
      </c>
      <c r="S170" s="245">
        <f>IFERROR(INDEX('CoQ Register'!$D:$D,MATCH("P060142|R2",'CoQ Register'!$S:$S,0)),"")</f>
        <v/>
      </c>
      <c r="T170" s="243" t="inlineStr">
        <is>
          <t>Conforms</t>
        </is>
      </c>
      <c r="U170" s="243" t="inlineStr">
        <is>
          <t>Conforms</t>
        </is>
      </c>
      <c r="V170" s="243" t="inlineStr">
        <is>
          <t>Conforms</t>
        </is>
      </c>
      <c r="W170" s="243" t="inlineStr">
        <is>
          <t>227-16-K-26, (11.09.2026) [FHM-K]</t>
        </is>
      </c>
      <c r="X170" s="243" t="inlineStr">
        <is>
          <t>227-16-K-26, (11.09.2026) [FHM-K]</t>
        </is>
      </c>
      <c r="Y170" s="243" t="inlineStr">
        <is>
          <t>— pending —</t>
        </is>
      </c>
      <c r="Z170" s="243" t="inlineStr">
        <is>
          <t>#8, #9, #11, #12 from the initial testing</t>
        </is>
      </c>
      <c r="AA170" s="243" t="inlineStr">
        <is>
          <t>P060142|R2</t>
        </is>
      </c>
      <c r="AB170" s="250" t="inlineStr">
        <is>
          <t>registered — retest 2 · Tranche 3 (sampled 19–21.08.2026), tested 20.08.2026, issued 24.08.2026</t>
        </is>
      </c>
    </row>
    <row r="171">
      <c r="A171" s="243" t="n">
        <v>170</v>
      </c>
      <c r="B171" s="244" t="inlineStr">
        <is>
          <t>iCoA-PP_26-170</t>
        </is>
      </c>
      <c r="C171" s="249" t="inlineStr">
        <is>
          <t>yes</t>
        </is>
      </c>
      <c r="D171" s="245" t="n">
        <v>46258</v>
      </c>
      <c r="E171" s="245" t="n">
        <v>46254</v>
      </c>
      <c r="F171" s="245">
        <f>IFERROR(INDEX('Batch Dates'!$G:$G,MATCH(J171,'Batch Dates'!$C:$C,0)),IFERROR(INDEX('Batch Dates'!$G:$G,MATCH(I171,'Batch Dates'!$B:$B,0)),""))</f>
        <v/>
      </c>
      <c r="G171" s="243" t="inlineStr">
        <is>
          <t>legacy</t>
        </is>
      </c>
      <c r="H171" s="243" t="inlineStr">
        <is>
          <t>retest 2</t>
        </is>
      </c>
      <c r="I171" s="244" t="inlineStr">
        <is>
          <t>J31112501</t>
        </is>
      </c>
      <c r="J171" s="243" t="inlineStr">
        <is>
          <t>P060202</t>
        </is>
      </c>
      <c r="K171" s="243" t="inlineStr">
        <is>
          <t>Jokerz 31</t>
        </is>
      </c>
      <c r="L171" s="243" t="inlineStr">
        <is>
          <t>Ident A + Ident B + Foreign matter</t>
        </is>
      </c>
      <c r="M171" s="248" t="inlineStr">
        <is>
          <t>—</t>
        </is>
      </c>
      <c r="N171" s="243">
        <f>IFERROR(INDEX('CoQ Register'!$B:$B,MATCH("P060202|R2",'CoQ Register'!$S:$S,0)),"—")</f>
        <v/>
      </c>
      <c r="O171" s="248" t="inlineStr">
        <is>
          <t>—</t>
        </is>
      </c>
      <c r="P171" s="243" t="inlineStr">
        <is>
          <t>09.04.2027</t>
        </is>
      </c>
      <c r="Q171" s="243" t="inlineStr">
        <is>
          <t>26.01.2026</t>
        </is>
      </c>
      <c r="R171" s="243" t="inlineStr">
        <is>
          <t>17.04.2026 (the issuance plan's basis: 09.04.2026)</t>
        </is>
      </c>
      <c r="S171" s="245">
        <f>IFERROR(INDEX('CoQ Register'!$D:$D,MATCH("P060202|R2",'CoQ Register'!$S:$S,0)),"")</f>
        <v/>
      </c>
      <c r="T171" s="243" t="inlineStr">
        <is>
          <t>Conforms</t>
        </is>
      </c>
      <c r="U171" s="243" t="inlineStr">
        <is>
          <t>Conforms</t>
        </is>
      </c>
      <c r="V171" s="243" t="inlineStr">
        <is>
          <t>Conforms</t>
        </is>
      </c>
      <c r="W171" s="243" t="inlineStr">
        <is>
          <t>227-14-K-26, (11.09.2026) [FHM-K]</t>
        </is>
      </c>
      <c r="X171" s="243" t="inlineStr">
        <is>
          <t>227-14-K-26, (11.09.2026) [FHM-K]</t>
        </is>
      </c>
      <c r="Y171" s="243" t="inlineStr">
        <is>
          <t>— pending —</t>
        </is>
      </c>
      <c r="Z171" s="243" t="inlineStr">
        <is>
          <t>#8, #9, #11, #12 from the initial testing</t>
        </is>
      </c>
      <c r="AA171" s="243" t="inlineStr">
        <is>
          <t>P060202|R2</t>
        </is>
      </c>
      <c r="AB171" s="250" t="inlineStr">
        <is>
          <t>registered — retest 2 · Tranche 3 (sampled 19–21.08.2026), tested 20.08.2026, issued 24.08.2026</t>
        </is>
      </c>
    </row>
    <row r="172">
      <c r="A172" s="243" t="n">
        <v>171</v>
      </c>
      <c r="B172" s="244" t="inlineStr">
        <is>
          <t>iCoA-PP_26-171</t>
        </is>
      </c>
      <c r="C172" s="249" t="inlineStr">
        <is>
          <t>yes</t>
        </is>
      </c>
      <c r="D172" s="245" t="n">
        <v>46258</v>
      </c>
      <c r="E172" s="245" t="n">
        <v>46254</v>
      </c>
      <c r="F172" s="245">
        <f>IFERROR(INDEX('Batch Dates'!$G:$G,MATCH(J172,'Batch Dates'!$C:$C,0)),IFERROR(INDEX('Batch Dates'!$G:$G,MATCH(I172,'Batch Dates'!$B:$B,0)),""))</f>
        <v/>
      </c>
      <c r="G172" s="243" t="inlineStr">
        <is>
          <t>post-SOP</t>
        </is>
      </c>
      <c r="H172" s="243" t="inlineStr">
        <is>
          <t>retest 2</t>
        </is>
      </c>
      <c r="I172" s="244" t="inlineStr">
        <is>
          <t>J31122501</t>
        </is>
      </c>
      <c r="J172" s="243" t="inlineStr">
        <is>
          <t>P060262</t>
        </is>
      </c>
      <c r="K172" s="243" t="inlineStr">
        <is>
          <t>Jokerz 31</t>
        </is>
      </c>
      <c r="L172" s="243" t="inlineStr">
        <is>
          <t>Ident A + Ident B + Foreign matter</t>
        </is>
      </c>
      <c r="M172" s="248" t="inlineStr">
        <is>
          <t>—</t>
        </is>
      </c>
      <c r="N172" s="243">
        <f>IFERROR(INDEX('CoQ Register'!$B:$B,MATCH("P060262|R2",'CoQ Register'!$S:$S,0)),"—")</f>
        <v/>
      </c>
      <c r="O172" s="248" t="inlineStr">
        <is>
          <t>—</t>
        </is>
      </c>
      <c r="P172" s="243" t="inlineStr">
        <is>
          <t>23.04.2027</t>
        </is>
      </c>
      <c r="Q172" s="243" t="inlineStr">
        <is>
          <t>04.03.2026</t>
        </is>
      </c>
      <c r="R172" s="243" t="inlineStr">
        <is>
          <t>14.05.2026 (the issuance plan's basis: 23.04.2026)</t>
        </is>
      </c>
      <c r="S172" s="245">
        <f>IFERROR(INDEX('CoQ Register'!$D:$D,MATCH("P060262|R2",'CoQ Register'!$S:$S,0)),"")</f>
        <v/>
      </c>
      <c r="T172" s="243" t="inlineStr">
        <is>
          <t>Conforms</t>
        </is>
      </c>
      <c r="U172" s="243" t="inlineStr">
        <is>
          <t>Conforms</t>
        </is>
      </c>
      <c r="V172" s="243" t="inlineStr">
        <is>
          <t>Conforms</t>
        </is>
      </c>
      <c r="W172" s="243" t="inlineStr">
        <is>
          <t>— retest assay not yet on file —</t>
        </is>
      </c>
      <c r="X172" s="243" t="inlineStr">
        <is>
          <t>— pending —</t>
        </is>
      </c>
      <c r="Y172" s="243" t="inlineStr">
        <is>
          <t>— pending —</t>
        </is>
      </c>
      <c r="Z172" s="243" t="inlineStr">
        <is>
          <t>#8, #9, #11, #12 from the initial testing</t>
        </is>
      </c>
      <c r="AA172" s="243" t="inlineStr">
        <is>
          <t>P060262|R2</t>
        </is>
      </c>
      <c r="AB172" s="250" t="inlineStr">
        <is>
          <t>registered — retest 2 · Tranche 3 (sampled 19–21.08.2026), tested 20.08.2026, issued 24.08.2026</t>
        </is>
      </c>
    </row>
    <row r="173">
      <c r="A173" s="243" t="n">
        <v>172</v>
      </c>
      <c r="B173" s="244" t="inlineStr">
        <is>
          <t>iCoA-PP_26-172</t>
        </is>
      </c>
      <c r="C173" s="249" t="inlineStr">
        <is>
          <t>yes</t>
        </is>
      </c>
      <c r="D173" s="245" t="n">
        <v>46258</v>
      </c>
      <c r="E173" s="245" t="n">
        <v>46254</v>
      </c>
      <c r="F173" s="245">
        <f>IFERROR(INDEX('Batch Dates'!$G:$G,MATCH(J173,'Batch Dates'!$C:$C,0)),IFERROR(INDEX('Batch Dates'!$G:$G,MATCH(I173,'Batch Dates'!$B:$B,0)),""))</f>
        <v/>
      </c>
      <c r="G173" s="243" t="inlineStr">
        <is>
          <t>post-SOP</t>
        </is>
      </c>
      <c r="H173" s="243" t="inlineStr">
        <is>
          <t>retest 2</t>
        </is>
      </c>
      <c r="I173" s="244" t="inlineStr">
        <is>
          <t>JD012601＊</t>
        </is>
      </c>
      <c r="J173" s="243" t="inlineStr">
        <is>
          <t>P060312</t>
        </is>
      </c>
      <c r="K173" s="243" t="inlineStr">
        <is>
          <t>Jelly Donuts</t>
        </is>
      </c>
      <c r="L173" s="243" t="inlineStr">
        <is>
          <t>Ident A + Ident B + Foreign matter</t>
        </is>
      </c>
      <c r="M173" s="248" t="inlineStr">
        <is>
          <t>—</t>
        </is>
      </c>
      <c r="N173" s="243">
        <f>IFERROR(INDEX('CoQ Register'!$B:$B,MATCH("P060312|R2",'CoQ Register'!$S:$S,0)),"—")</f>
        <v/>
      </c>
      <c r="O173" s="248" t="inlineStr">
        <is>
          <t>—</t>
        </is>
      </c>
      <c r="P173" s="243" t="inlineStr">
        <is>
          <t>11.05.2027</t>
        </is>
      </c>
      <c r="Q173" s="243" t="inlineStr">
        <is>
          <t>27.03.2026</t>
        </is>
      </c>
      <c r="R173" s="243" t="inlineStr">
        <is>
          <t>21.05.2026 (the issuance plan's basis: 11.05.2026)</t>
        </is>
      </c>
      <c r="S173" s="245">
        <f>IFERROR(INDEX('CoQ Register'!$D:$D,MATCH("P060312|R2",'CoQ Register'!$S:$S,0)),"")</f>
        <v/>
      </c>
      <c r="T173" s="243" t="inlineStr">
        <is>
          <t>Conforms</t>
        </is>
      </c>
      <c r="U173" s="243" t="inlineStr">
        <is>
          <t>Conforms</t>
        </is>
      </c>
      <c r="V173" s="243" t="inlineStr">
        <is>
          <t>Conforms</t>
        </is>
      </c>
      <c r="W173" s="243" t="inlineStr">
        <is>
          <t>227-15-K-26, (11.09.2026) [FHM-K]</t>
        </is>
      </c>
      <c r="X173" s="243" t="inlineStr">
        <is>
          <t>227-15-K-26, (11.09.2026) [FHM-K]</t>
        </is>
      </c>
      <c r="Y173" s="243" t="inlineStr">
        <is>
          <t>— pending —</t>
        </is>
      </c>
      <c r="Z173" s="243" t="inlineStr">
        <is>
          <t>#8, #9, #11, #12 from the initial testing</t>
        </is>
      </c>
      <c r="AA173" s="243" t="inlineStr">
        <is>
          <t>P060312|R2</t>
        </is>
      </c>
      <c r="AB173" s="250" t="inlineStr">
        <is>
          <t>registered — retest 2 · Tranche 3 (sampled 19–21.08.2026), tested 20.08.2026, issued 24.08.2026</t>
        </is>
      </c>
    </row>
    <row r="174">
      <c r="A174" s="243" t="n">
        <v>173</v>
      </c>
      <c r="B174" s="244" t="inlineStr">
        <is>
          <t>iCoA-PP_26-173</t>
        </is>
      </c>
      <c r="C174" s="249" t="inlineStr">
        <is>
          <t>yes</t>
        </is>
      </c>
      <c r="D174" s="245" t="n">
        <v>46258</v>
      </c>
      <c r="E174" s="245" t="n">
        <v>46254</v>
      </c>
      <c r="F174" s="245">
        <f>IFERROR(INDEX('Batch Dates'!$G:$G,MATCH(J174,'Batch Dates'!$C:$C,0)),IFERROR(INDEX('Batch Dates'!$G:$G,MATCH(I174,'Batch Dates'!$B:$B,0)),""))</f>
        <v/>
      </c>
      <c r="G174" s="243" t="inlineStr">
        <is>
          <t>legacy</t>
        </is>
      </c>
      <c r="H174" s="243" t="inlineStr">
        <is>
          <t>retest 2</t>
        </is>
      </c>
      <c r="I174" s="244" t="inlineStr">
        <is>
          <t>MB0824_04</t>
        </is>
      </c>
      <c r="J174" s="243" t="inlineStr">
        <is>
          <t>P050032</t>
        </is>
      </c>
      <c r="K174" s="243" t="inlineStr">
        <is>
          <t>Motor Breath</t>
        </is>
      </c>
      <c r="L174" s="243" t="inlineStr">
        <is>
          <t>Ident A + Ident B + Foreign matter</t>
        </is>
      </c>
      <c r="M174" s="248" t="inlineStr">
        <is>
          <t>—</t>
        </is>
      </c>
      <c r="N174" s="243">
        <f>IFERROR(INDEX('CoQ Register'!$B:$B,MATCH("P050032|R2",'CoQ Register'!$S:$S,0)),"—")</f>
        <v/>
      </c>
      <c r="O174" s="248" t="inlineStr">
        <is>
          <t>—</t>
        </is>
      </c>
      <c r="P174" s="243" t="inlineStr">
        <is>
          <t>07.05.2026</t>
        </is>
      </c>
      <c r="Q174" s="243" t="inlineStr">
        <is>
          <t>02.04.2025 – 03.04.2025</t>
        </is>
      </c>
      <c r="R174" s="243" t="inlineStr">
        <is>
          <t>16.06.2025 – 19.06.2025 (the issuance plan's basis: 07.05.2025)</t>
        </is>
      </c>
      <c r="S174" s="245">
        <f>IFERROR(INDEX('CoQ Register'!$D:$D,MATCH("P050032|R2",'CoQ Register'!$S:$S,0)),"")</f>
        <v/>
      </c>
      <c r="T174" s="243" t="inlineStr">
        <is>
          <t>Conforms</t>
        </is>
      </c>
      <c r="U174" s="243" t="inlineStr">
        <is>
          <t>Conforms</t>
        </is>
      </c>
      <c r="V174" s="243" t="inlineStr">
        <is>
          <t>Conforms</t>
        </is>
      </c>
      <c r="W174" s="243" t="inlineStr">
        <is>
          <t>227-12-K-26, (11.09.2026) [FHM-K]</t>
        </is>
      </c>
      <c r="X174" s="243" t="inlineStr">
        <is>
          <t>227-12-K-26, (11.09.2026) [FHM-K]</t>
        </is>
      </c>
      <c r="Y174" s="243" t="inlineStr">
        <is>
          <t>— pending —</t>
        </is>
      </c>
      <c r="Z174" s="243" t="inlineStr">
        <is>
          <t>#8, #9, #11, #12 from the initial testing</t>
        </is>
      </c>
      <c r="AA174" s="243" t="inlineStr">
        <is>
          <t>P050032|R2</t>
        </is>
      </c>
      <c r="AB174" s="250" t="inlineStr">
        <is>
          <t>registered — retest 2 · Tranche 3 (sampled 19–21.08.2026), tested 20.08.2026, issued 24.08.2026</t>
        </is>
      </c>
    </row>
    <row r="175">
      <c r="A175" s="243" t="n">
        <v>174</v>
      </c>
      <c r="B175" s="244" t="inlineStr">
        <is>
          <t>iCoA-PP_26-174</t>
        </is>
      </c>
      <c r="C175" s="249" t="inlineStr">
        <is>
          <t>yes</t>
        </is>
      </c>
      <c r="D175" s="245" t="n">
        <v>46258</v>
      </c>
      <c r="E175" s="245" t="n">
        <v>46254</v>
      </c>
      <c r="F175" s="245">
        <f>IFERROR(INDEX('Batch Dates'!$G:$G,MATCH(J175,'Batch Dates'!$C:$C,0)),IFERROR(INDEX('Batch Dates'!$G:$G,MATCH(I175,'Batch Dates'!$B:$B,0)),""))</f>
        <v/>
      </c>
      <c r="G175" s="243" t="inlineStr">
        <is>
          <t>legacy</t>
        </is>
      </c>
      <c r="H175" s="243" t="inlineStr">
        <is>
          <t>retest 2</t>
        </is>
      </c>
      <c r="I175" s="244" t="inlineStr">
        <is>
          <t>OPM052501</t>
        </is>
      </c>
      <c r="J175" s="243" t="inlineStr">
        <is>
          <t>P050132</t>
        </is>
      </c>
      <c r="K175" s="243" t="inlineStr">
        <is>
          <t>Orange Punch Mimosa</t>
        </is>
      </c>
      <c r="L175" s="243" t="inlineStr">
        <is>
          <t>Ident A + Ident B + Foreign matter</t>
        </is>
      </c>
      <c r="M175" s="248" t="inlineStr">
        <is>
          <t>—</t>
        </is>
      </c>
      <c r="N175" s="243">
        <f>IFERROR(INDEX('CoQ Register'!$B:$B,MATCH("P050132|R2",'CoQ Register'!$S:$S,0)),"—")</f>
        <v/>
      </c>
      <c r="O175" s="248" t="inlineStr">
        <is>
          <t>—</t>
        </is>
      </c>
      <c r="P175" s="243" t="inlineStr">
        <is>
          <t>05.09.2026</t>
        </is>
      </c>
      <c r="Q175" s="243" t="inlineStr">
        <is>
          <t>11.08.2025 – 13.08.2025</t>
        </is>
      </c>
      <c r="R175" s="243" t="inlineStr">
        <is>
          <t>09.09.2025 – 15.09.2025 (the issuance plan's basis: 05.09.2025)</t>
        </is>
      </c>
      <c r="S175" s="245">
        <f>IFERROR(INDEX('CoQ Register'!$D:$D,MATCH("P050132|R2",'CoQ Register'!$S:$S,0)),"")</f>
        <v/>
      </c>
      <c r="T175" s="243" t="inlineStr">
        <is>
          <t>Conforms</t>
        </is>
      </c>
      <c r="U175" s="243" t="inlineStr">
        <is>
          <t>Conforms</t>
        </is>
      </c>
      <c r="V175" s="243" t="inlineStr">
        <is>
          <t>Conforms</t>
        </is>
      </c>
      <c r="W175" s="243" t="inlineStr">
        <is>
          <t>227-11-K-26, (11.09.2026) [FHM-K]</t>
        </is>
      </c>
      <c r="X175" s="243" t="inlineStr">
        <is>
          <t>227-11-K-26, (11.09.2026) [FHM-K]</t>
        </is>
      </c>
      <c r="Y175" s="243" t="inlineStr">
        <is>
          <t>— pending —</t>
        </is>
      </c>
      <c r="Z175" s="243" t="inlineStr">
        <is>
          <t>#8, #9, #11, #12 from the initial testing</t>
        </is>
      </c>
      <c r="AA175" s="243" t="inlineStr">
        <is>
          <t>P050132|R2</t>
        </is>
      </c>
      <c r="AB175" s="250" t="inlineStr">
        <is>
          <t>registered — retest 2 · Tranche 3 (sampled 19–21.08.2026), tested 20.08.2026, issued 24.08.2026</t>
        </is>
      </c>
    </row>
    <row r="176">
      <c r="A176" s="243" t="n">
        <v>175</v>
      </c>
      <c r="B176" s="244" t="inlineStr">
        <is>
          <t>iCoA-PP_26-175</t>
        </is>
      </c>
      <c r="C176" s="249" t="inlineStr">
        <is>
          <t>yes</t>
        </is>
      </c>
      <c r="D176" s="245" t="n">
        <v>46258</v>
      </c>
      <c r="E176" s="245" t="n">
        <v>46255</v>
      </c>
      <c r="F176" s="245">
        <f>IFERROR(INDEX('Batch Dates'!$G:$G,MATCH(J176,'Batch Dates'!$C:$C,0)),IFERROR(INDEX('Batch Dates'!$G:$G,MATCH(I176,'Batch Dates'!$B:$B,0)),""))</f>
        <v/>
      </c>
      <c r="G176" s="243" t="inlineStr">
        <is>
          <t>legacy</t>
        </is>
      </c>
      <c r="H176" s="243" t="inlineStr">
        <is>
          <t>retest 2</t>
        </is>
      </c>
      <c r="I176" s="244" t="inlineStr">
        <is>
          <t>AB092501</t>
        </is>
      </c>
      <c r="J176" s="243" t="inlineStr">
        <is>
          <t>P060052</t>
        </is>
      </c>
      <c r="K176" s="243" t="inlineStr">
        <is>
          <t>Apple and Banana</t>
        </is>
      </c>
      <c r="L176" s="243" t="inlineStr">
        <is>
          <t>Ident A + Ident B + Foreign matter</t>
        </is>
      </c>
      <c r="M176" s="248" t="inlineStr">
        <is>
          <t>—</t>
        </is>
      </c>
      <c r="N176" s="243">
        <f>IFERROR(INDEX('CoQ Register'!$B:$B,MATCH("P060052|R2",'CoQ Register'!$S:$S,0)),"—")</f>
        <v/>
      </c>
      <c r="O176" s="248" t="inlineStr">
        <is>
          <t>—</t>
        </is>
      </c>
      <c r="P176" s="243" t="inlineStr">
        <is>
          <t>20.02.2027</t>
        </is>
      </c>
      <c r="Q176" s="243" t="inlineStr">
        <is>
          <t>11.12.2025</t>
        </is>
      </c>
      <c r="R176" s="243" t="inlineStr">
        <is>
          <t>30.01.2026 (the issuance plan's basis: 20.02.2026)</t>
        </is>
      </c>
      <c r="S176" s="245">
        <f>IFERROR(INDEX('CoQ Register'!$D:$D,MATCH("P060052|R2",'CoQ Register'!$S:$S,0)),"")</f>
        <v/>
      </c>
      <c r="T176" s="243" t="inlineStr">
        <is>
          <t>Conforms</t>
        </is>
      </c>
      <c r="U176" s="243" t="inlineStr">
        <is>
          <t>Conforms</t>
        </is>
      </c>
      <c r="V176" s="243" t="inlineStr">
        <is>
          <t>Conforms</t>
        </is>
      </c>
      <c r="W176" s="243" t="inlineStr">
        <is>
          <t>227-30-K-26, (11.09.2026) [FHM-K]</t>
        </is>
      </c>
      <c r="X176" s="243" t="inlineStr">
        <is>
          <t>227-30-K-26, (11.09.2026) [FHM-K]</t>
        </is>
      </c>
      <c r="Y176" s="243" t="inlineStr">
        <is>
          <t>— pending —</t>
        </is>
      </c>
      <c r="Z176" s="243" t="inlineStr">
        <is>
          <t>#8, #9, #11, #12 from the initial testing</t>
        </is>
      </c>
      <c r="AA176" s="243" t="inlineStr">
        <is>
          <t>P060052|R2</t>
        </is>
      </c>
      <c r="AB176" s="250" t="inlineStr">
        <is>
          <t>registered — retest 2 · Tranche 3 (sampled 19–21.08.2026), tested 21.08.2026, issued 24.08.2026</t>
        </is>
      </c>
    </row>
    <row r="177">
      <c r="A177" s="243" t="n">
        <v>176</v>
      </c>
      <c r="B177" s="244" t="inlineStr">
        <is>
          <t>iCoA-PP_26-176</t>
        </is>
      </c>
      <c r="C177" s="249" t="inlineStr">
        <is>
          <t>yes</t>
        </is>
      </c>
      <c r="D177" s="245" t="n">
        <v>46258</v>
      </c>
      <c r="E177" s="245" t="n">
        <v>46255</v>
      </c>
      <c r="F177" s="245">
        <f>IFERROR(INDEX('Batch Dates'!$G:$G,MATCH(J177,'Batch Dates'!$C:$C,0)),IFERROR(INDEX('Batch Dates'!$G:$G,MATCH(I177,'Batch Dates'!$B:$B,0)),""))</f>
        <v/>
      </c>
      <c r="G177" s="243" t="inlineStr">
        <is>
          <t>legacy</t>
        </is>
      </c>
      <c r="H177" s="243" t="inlineStr">
        <is>
          <t>retest 2</t>
        </is>
      </c>
      <c r="I177" s="244" t="inlineStr">
        <is>
          <t>BSS1024_01/1</t>
        </is>
      </c>
      <c r="J177" s="243" t="inlineStr">
        <is>
          <t>P050122</t>
        </is>
      </c>
      <c r="K177" s="243" t="inlineStr">
        <is>
          <t>Blue Sunset Sherbet</t>
        </is>
      </c>
      <c r="L177" s="243" t="inlineStr">
        <is>
          <t>Ident A + Ident B + Foreign matter</t>
        </is>
      </c>
      <c r="M177" s="248" t="inlineStr">
        <is>
          <t>—</t>
        </is>
      </c>
      <c r="N177" s="243">
        <f>IFERROR(INDEX('CoQ Register'!$B:$B,MATCH("P050122|R2",'CoQ Register'!$S:$S,0)),"—")</f>
        <v/>
      </c>
      <c r="O177" s="248" t="inlineStr">
        <is>
          <t>—</t>
        </is>
      </c>
      <c r="P177" s="243" t="inlineStr">
        <is>
          <t>10.07.2026</t>
        </is>
      </c>
      <c r="Q177" s="243" t="inlineStr">
        <is>
          <t>04.06.2025 – 05.06.2025</t>
        </is>
      </c>
      <c r="R177" s="243" t="inlineStr">
        <is>
          <t>01.09.2025 – 09.09.2025 (the issuance plan's basis: 10.07.2025)</t>
        </is>
      </c>
      <c r="S177" s="245">
        <f>IFERROR(INDEX('CoQ Register'!$D:$D,MATCH("P050122|R2",'CoQ Register'!$S:$S,0)),"")</f>
        <v/>
      </c>
      <c r="T177" s="243" t="inlineStr">
        <is>
          <t>Conforms</t>
        </is>
      </c>
      <c r="U177" s="243" t="inlineStr">
        <is>
          <t>Conforms</t>
        </is>
      </c>
      <c r="V177" s="243" t="inlineStr">
        <is>
          <t>Conforms</t>
        </is>
      </c>
      <c r="W177" s="243" t="inlineStr">
        <is>
          <t>227-29-K-26, (11.09.2026) [FHM-K]</t>
        </is>
      </c>
      <c r="X177" s="243" t="inlineStr">
        <is>
          <t>227-29-K-26, (11.09.2026) [FHM-K]</t>
        </is>
      </c>
      <c r="Y177" s="243" t="inlineStr">
        <is>
          <t>— pending —</t>
        </is>
      </c>
      <c r="Z177" s="243" t="inlineStr">
        <is>
          <t>#8, #9, #11, #12 from the initial testing</t>
        </is>
      </c>
      <c r="AA177" s="243" t="inlineStr">
        <is>
          <t>P050122|R2</t>
        </is>
      </c>
      <c r="AB177" s="250" t="inlineStr">
        <is>
          <t>registered — retest 2 · Tranche 3 (sampled 19–21.08.2026), tested 21.08.2026, issued 24.08.2026</t>
        </is>
      </c>
    </row>
    <row r="178">
      <c r="A178" s="243" t="n">
        <v>177</v>
      </c>
      <c r="B178" s="244" t="inlineStr">
        <is>
          <t>iCoA-PP_26-177</t>
        </is>
      </c>
      <c r="C178" s="249" t="inlineStr">
        <is>
          <t>yes</t>
        </is>
      </c>
      <c r="D178" s="245" t="n">
        <v>46258</v>
      </c>
      <c r="E178" s="245" t="n">
        <v>46255</v>
      </c>
      <c r="F178" s="245">
        <f>IFERROR(INDEX('Batch Dates'!$G:$G,MATCH(J178,'Batch Dates'!$C:$C,0)),IFERROR(INDEX('Batch Dates'!$G:$G,MATCH(I178,'Batch Dates'!$B:$B,0)),""))</f>
        <v/>
      </c>
      <c r="G178" s="243" t="inlineStr">
        <is>
          <t>post-SOP</t>
        </is>
      </c>
      <c r="H178" s="243" t="inlineStr">
        <is>
          <t>retest 2</t>
        </is>
      </c>
      <c r="I178" s="244" t="inlineStr">
        <is>
          <t>CC112501</t>
        </is>
      </c>
      <c r="J178" s="243" t="inlineStr">
        <is>
          <t>P060272</t>
        </is>
      </c>
      <c r="K178" s="243" t="inlineStr">
        <is>
          <t>Cash Cow</t>
        </is>
      </c>
      <c r="L178" s="243" t="inlineStr">
        <is>
          <t>Ident A + Ident B + Foreign matter</t>
        </is>
      </c>
      <c r="M178" s="248" t="inlineStr">
        <is>
          <t>—</t>
        </is>
      </c>
      <c r="N178" s="243">
        <f>IFERROR(INDEX('CoQ Register'!$B:$B,MATCH("P060272|R2",'CoQ Register'!$S:$S,0)),"—")</f>
        <v/>
      </c>
      <c r="O178" s="248" t="inlineStr">
        <is>
          <t>—</t>
        </is>
      </c>
      <c r="P178" s="243" t="inlineStr">
        <is>
          <t>11.05.2027</t>
        </is>
      </c>
      <c r="Q178" s="243" t="inlineStr">
        <is>
          <t>25.03.2026</t>
        </is>
      </c>
      <c r="R178" s="243" t="inlineStr">
        <is>
          <t>18.05.2026 (the issuance plan's basis: 11.05.2026)</t>
        </is>
      </c>
      <c r="S178" s="245">
        <f>IFERROR(INDEX('CoQ Register'!$D:$D,MATCH("P060272|R2",'CoQ Register'!$S:$S,0)),"")</f>
        <v/>
      </c>
      <c r="T178" s="243" t="inlineStr">
        <is>
          <t>Conforms</t>
        </is>
      </c>
      <c r="U178" s="243" t="inlineStr">
        <is>
          <t>Conforms</t>
        </is>
      </c>
      <c r="V178" s="243" t="inlineStr">
        <is>
          <t>Conforms</t>
        </is>
      </c>
      <c r="W178" s="243" t="inlineStr">
        <is>
          <t>227-25-K-26, (11.09.2026) [FHM-K]</t>
        </is>
      </c>
      <c r="X178" s="243" t="inlineStr">
        <is>
          <t>227-25-K-26, (11.09.2026) [FHM-K]</t>
        </is>
      </c>
      <c r="Y178" s="243" t="inlineStr">
        <is>
          <t>— pending —</t>
        </is>
      </c>
      <c r="Z178" s="243" t="inlineStr">
        <is>
          <t>#8, #9, #11, #12 from the initial testing</t>
        </is>
      </c>
      <c r="AA178" s="243" t="inlineStr">
        <is>
          <t>P060272|R2</t>
        </is>
      </c>
      <c r="AB178" s="250" t="inlineStr">
        <is>
          <t>registered — retest 2 · Tranche 3 (sampled 19–21.08.2026), tested 21.08.2026, issued 24.08.2026</t>
        </is>
      </c>
    </row>
    <row r="179">
      <c r="A179" s="243" t="n">
        <v>178</v>
      </c>
      <c r="B179" s="244" t="inlineStr">
        <is>
          <t>iCoA-PP_26-178</t>
        </is>
      </c>
      <c r="C179" s="249" t="inlineStr">
        <is>
          <t>yes</t>
        </is>
      </c>
      <c r="D179" s="245" t="n">
        <v>46258</v>
      </c>
      <c r="E179" s="245" t="n">
        <v>46255</v>
      </c>
      <c r="F179" s="245">
        <f>IFERROR(INDEX('Batch Dates'!$G:$G,MATCH(J179,'Batch Dates'!$C:$C,0)),IFERROR(INDEX('Batch Dates'!$G:$G,MATCH(I179,'Batch Dates'!$B:$B,0)),""))</f>
        <v/>
      </c>
      <c r="G179" s="243" t="inlineStr">
        <is>
          <t>legacy</t>
        </is>
      </c>
      <c r="H179" s="243" t="inlineStr">
        <is>
          <t>retest 2</t>
        </is>
      </c>
      <c r="I179" s="244" t="inlineStr">
        <is>
          <t>CJ052501/02</t>
        </is>
      </c>
      <c r="J179" s="243" t="inlineStr">
        <is>
          <t>P050172</t>
        </is>
      </c>
      <c r="K179" s="243" t="inlineStr">
        <is>
          <t>Cap Junky</t>
        </is>
      </c>
      <c r="L179" s="243" t="inlineStr">
        <is>
          <t>Ident A + Ident B + Foreign matter</t>
        </is>
      </c>
      <c r="M179" s="248" t="inlineStr">
        <is>
          <t>—</t>
        </is>
      </c>
      <c r="N179" s="243">
        <f>IFERROR(INDEX('CoQ Register'!$B:$B,MATCH("P050172|R2",'CoQ Register'!$S:$S,0)),"—")</f>
        <v/>
      </c>
      <c r="O179" s="248" t="inlineStr">
        <is>
          <t>—</t>
        </is>
      </c>
      <c r="P179" s="243" t="inlineStr">
        <is>
          <t>17.09.2026</t>
        </is>
      </c>
      <c r="Q179" s="243" t="inlineStr">
        <is>
          <t>20.08.2025</t>
        </is>
      </c>
      <c r="R179" s="243" t="inlineStr">
        <is>
          <t>01.10.2025 – 02.10.2025 (the issuance plan's basis: 17.09.2025)</t>
        </is>
      </c>
      <c r="S179" s="245">
        <f>IFERROR(INDEX('CoQ Register'!$D:$D,MATCH("P050172|R2",'CoQ Register'!$S:$S,0)),"")</f>
        <v/>
      </c>
      <c r="T179" s="243" t="inlineStr">
        <is>
          <t>Conforms</t>
        </is>
      </c>
      <c r="U179" s="243" t="inlineStr">
        <is>
          <t>Conforms</t>
        </is>
      </c>
      <c r="V179" s="243" t="inlineStr">
        <is>
          <t>Conforms</t>
        </is>
      </c>
      <c r="W179" s="243" t="inlineStr">
        <is>
          <t>227-28-K-26, (11.09.2026) [FHM-K]</t>
        </is>
      </c>
      <c r="X179" s="243" t="inlineStr">
        <is>
          <t>227-28-K-26, (11.09.2026) [FHM-K]</t>
        </is>
      </c>
      <c r="Y179" s="243" t="inlineStr">
        <is>
          <t>— pending —</t>
        </is>
      </c>
      <c r="Z179" s="243" t="inlineStr">
        <is>
          <t>#8, #9, #11, #12 from the initial testing</t>
        </is>
      </c>
      <c r="AA179" s="243" t="inlineStr">
        <is>
          <t>P050172|R2</t>
        </is>
      </c>
      <c r="AB179" s="250" t="inlineStr">
        <is>
          <t>registered — retest 2 · Tranche 3 (sampled 19–21.08.2026), tested 21.08.2026, issued 24.08.2026</t>
        </is>
      </c>
    </row>
    <row r="180">
      <c r="A180" s="243" t="n">
        <v>179</v>
      </c>
      <c r="B180" s="244" t="inlineStr">
        <is>
          <t>iCoA-PP_26-179</t>
        </is>
      </c>
      <c r="C180" s="249" t="inlineStr">
        <is>
          <t>yes</t>
        </is>
      </c>
      <c r="D180" s="245" t="n">
        <v>46258</v>
      </c>
      <c r="E180" s="245" t="n">
        <v>46255</v>
      </c>
      <c r="F180" s="245">
        <f>IFERROR(INDEX('Batch Dates'!$G:$G,MATCH(J180,'Batch Dates'!$C:$C,0)),IFERROR(INDEX('Batch Dates'!$G:$G,MATCH(I180,'Batch Dates'!$B:$B,0)),""))</f>
        <v/>
      </c>
      <c r="G180" s="243" t="inlineStr">
        <is>
          <t>legacy</t>
        </is>
      </c>
      <c r="H180" s="243" t="inlineStr">
        <is>
          <t>retest 2</t>
        </is>
      </c>
      <c r="I180" s="244" t="inlineStr">
        <is>
          <t>CJ072501</t>
        </is>
      </c>
      <c r="J180" s="243" t="inlineStr">
        <is>
          <t>P050252</t>
        </is>
      </c>
      <c r="K180" s="243" t="inlineStr">
        <is>
          <t>Cap Junky</t>
        </is>
      </c>
      <c r="L180" s="243" t="inlineStr">
        <is>
          <t>Ident A + Ident B + Foreign matter</t>
        </is>
      </c>
      <c r="M180" s="248" t="inlineStr">
        <is>
          <t>—</t>
        </is>
      </c>
      <c r="N180" s="243">
        <f>IFERROR(INDEX('CoQ Register'!$B:$B,MATCH("P050252|R2",'CoQ Register'!$S:$S,0)),"—")</f>
        <v/>
      </c>
      <c r="O180" s="248" t="inlineStr">
        <is>
          <t>—</t>
        </is>
      </c>
      <c r="P180" s="243" t="inlineStr">
        <is>
          <t>02.12.2026</t>
        </is>
      </c>
      <c r="Q180" s="243" t="inlineStr">
        <is>
          <t>27.10.2025</t>
        </is>
      </c>
      <c r="R180" s="243" t="inlineStr">
        <is>
          <t>27.11.2025 – 28.11.2025 (the issuance plan's basis: 02.12.2025)</t>
        </is>
      </c>
      <c r="S180" s="245">
        <f>IFERROR(INDEX('CoQ Register'!$D:$D,MATCH("P050252|R2",'CoQ Register'!$S:$S,0)),"")</f>
        <v/>
      </c>
      <c r="T180" s="243" t="inlineStr">
        <is>
          <t>Conforms</t>
        </is>
      </c>
      <c r="U180" s="243" t="inlineStr">
        <is>
          <t>Conforms</t>
        </is>
      </c>
      <c r="V180" s="243" t="inlineStr">
        <is>
          <t>Conforms</t>
        </is>
      </c>
      <c r="W180" s="243" t="inlineStr">
        <is>
          <t>227-27-K-26, (11.09.2026) [FHM-K]</t>
        </is>
      </c>
      <c r="X180" s="243" t="inlineStr">
        <is>
          <t>227-27-K-26, (11.09.2026) [FHM-K]</t>
        </is>
      </c>
      <c r="Y180" s="243" t="inlineStr">
        <is>
          <t>— pending —</t>
        </is>
      </c>
      <c r="Z180" s="243" t="inlineStr">
        <is>
          <t>#8, #9, #11, #12 from the initial testing</t>
        </is>
      </c>
      <c r="AA180" s="243" t="inlineStr">
        <is>
          <t>P050252|R2</t>
        </is>
      </c>
      <c r="AB180" s="250" t="inlineStr">
        <is>
          <t>registered — retest 2 · Tranche 3 (sampled 19–21.08.2026), tested 21.08.2026, issued 24.08.2026</t>
        </is>
      </c>
    </row>
    <row r="181">
      <c r="A181" s="243" t="n">
        <v>180</v>
      </c>
      <c r="B181" s="244" t="inlineStr">
        <is>
          <t>iCoA-PP_26-180</t>
        </is>
      </c>
      <c r="C181" s="249" t="inlineStr">
        <is>
          <t>yes</t>
        </is>
      </c>
      <c r="D181" s="245" t="n">
        <v>46258</v>
      </c>
      <c r="E181" s="245" t="n">
        <v>46255</v>
      </c>
      <c r="F181" s="245">
        <f>IFERROR(INDEX('Batch Dates'!$G:$G,MATCH(J181,'Batch Dates'!$C:$C,0)),IFERROR(INDEX('Batch Dates'!$G:$G,MATCH(I181,'Batch Dates'!$B:$B,0)),""))</f>
        <v/>
      </c>
      <c r="G181" s="243" t="inlineStr">
        <is>
          <t>legacy</t>
        </is>
      </c>
      <c r="H181" s="243" t="inlineStr">
        <is>
          <t>retest 2</t>
        </is>
      </c>
      <c r="I181" s="244" t="inlineStr">
        <is>
          <t>CJ1024</t>
        </is>
      </c>
      <c r="J181" s="243" t="inlineStr">
        <is>
          <t>N/A — no P batch assigned</t>
        </is>
      </c>
      <c r="K181" s="243" t="inlineStr">
        <is>
          <t>Cap Junky</t>
        </is>
      </c>
      <c r="L181" s="243" t="inlineStr">
        <is>
          <t>Ident A + Ident B + Foreign matter</t>
        </is>
      </c>
      <c r="M181" s="248" t="inlineStr">
        <is>
          <t>—</t>
        </is>
      </c>
      <c r="N181" s="243">
        <f>IFERROR(INDEX('CoQ Register'!$B:$B,MATCH("CJ1024|R2",'CoQ Register'!$S:$S,0)),"—")</f>
        <v/>
      </c>
      <c r="O181" s="248" t="inlineStr">
        <is>
          <t>—</t>
        </is>
      </c>
      <c r="P181" s="243" t="inlineStr">
        <is>
          <t>27.02.2026</t>
        </is>
      </c>
      <c r="Q181" s="243" t="inlineStr">
        <is>
          <t>20.01.2025</t>
        </is>
      </c>
      <c r="R181" s="243" t="inlineStr">
        <is>
          <t>03.03.2025 (the issuance plan's basis: 27.02.2025)</t>
        </is>
      </c>
      <c r="S181" s="245">
        <f>IFERROR(INDEX('CoQ Register'!$D:$D,MATCH("CJ1024|R2",'CoQ Register'!$S:$S,0)),"")</f>
        <v/>
      </c>
      <c r="T181" s="243" t="inlineStr">
        <is>
          <t>Conforms</t>
        </is>
      </c>
      <c r="U181" s="243" t="inlineStr">
        <is>
          <t>Conforms</t>
        </is>
      </c>
      <c r="V181" s="243" t="inlineStr">
        <is>
          <t>Conforms</t>
        </is>
      </c>
      <c r="W181" s="243" t="inlineStr">
        <is>
          <t>227-26-K-26, (11.09.2026) [FHM-K]</t>
        </is>
      </c>
      <c r="X181" s="243" t="inlineStr">
        <is>
          <t>227-26-K-26, (11.09.2026) [FHM-K]</t>
        </is>
      </c>
      <c r="Y181" s="243" t="inlineStr">
        <is>
          <t>— pending —</t>
        </is>
      </c>
      <c r="Z181" s="243" t="inlineStr">
        <is>
          <t>#8, #9, #11, #12 from the initial testing</t>
        </is>
      </c>
      <c r="AA181" s="243" t="inlineStr">
        <is>
          <t>CJ1024|R2</t>
        </is>
      </c>
      <c r="AB181" s="250" t="inlineStr">
        <is>
          <t>registered — retest 2 · Tranche 3 (sampled 19–21.08.2026), tested 21.08.2026, issued 24.08.2026</t>
        </is>
      </c>
    </row>
    <row r="182">
      <c r="A182" s="243" t="n">
        <v>181</v>
      </c>
      <c r="B182" s="244" t="inlineStr">
        <is>
          <t>iCoA-PP_26-181</t>
        </is>
      </c>
      <c r="C182" s="249" t="inlineStr">
        <is>
          <t>yes</t>
        </is>
      </c>
      <c r="D182" s="245" t="n">
        <v>46258</v>
      </c>
      <c r="E182" s="245" t="n">
        <v>46255</v>
      </c>
      <c r="F182" s="245">
        <f>IFERROR(INDEX('Batch Dates'!$G:$G,MATCH(J182,'Batch Dates'!$C:$C,0)),IFERROR(INDEX('Batch Dates'!$G:$G,MATCH(I182,'Batch Dates'!$B:$B,0)),""))</f>
        <v/>
      </c>
      <c r="G182" s="243" t="inlineStr">
        <is>
          <t>post-SOP</t>
        </is>
      </c>
      <c r="H182" s="243" t="inlineStr">
        <is>
          <t>retest 2</t>
        </is>
      </c>
      <c r="I182" s="244" t="inlineStr">
        <is>
          <t>FB012603</t>
        </is>
      </c>
      <c r="J182" s="243" t="inlineStr">
        <is>
          <t>P060432</t>
        </is>
      </c>
      <c r="K182" s="243" t="inlineStr">
        <is>
          <t>Fat Bastard</t>
        </is>
      </c>
      <c r="L182" s="243" t="inlineStr">
        <is>
          <t>Ident A + Ident B + Foreign matter</t>
        </is>
      </c>
      <c r="M182" s="248" t="inlineStr">
        <is>
          <t>—</t>
        </is>
      </c>
      <c r="N182" s="243">
        <f>IFERROR(INDEX('CoQ Register'!$B:$B,MATCH("P060432|R2",'CoQ Register'!$S:$S,0)),"—")</f>
        <v/>
      </c>
      <c r="O182" s="248" t="inlineStr">
        <is>
          <t>—</t>
        </is>
      </c>
      <c r="P182" s="243" t="inlineStr">
        <is>
          <t>30.06.2027</t>
        </is>
      </c>
      <c r="Q182" s="243" t="inlineStr">
        <is>
          <t>04.05.2026</t>
        </is>
      </c>
      <c r="R182" s="243" t="inlineStr">
        <is>
          <t>15.06.2026 (the issuance plan's basis: 30.06.2026)</t>
        </is>
      </c>
      <c r="S182" s="245">
        <f>IFERROR(INDEX('CoQ Register'!$D:$D,MATCH("P060432|R2",'CoQ Register'!$S:$S,0)),"")</f>
        <v/>
      </c>
      <c r="T182" s="243" t="inlineStr">
        <is>
          <t>CNP ППК26112</t>
        </is>
      </c>
      <c r="U182" s="243" t="inlineStr">
        <is>
          <t>CNP ППК26112</t>
        </is>
      </c>
      <c r="V182" s="243" t="inlineStr">
        <is>
          <t>Conforms</t>
        </is>
      </c>
      <c r="W182" s="243" t="inlineStr">
        <is>
          <t>227-24-K-26, (11.09.2026) [FHM-K]</t>
        </is>
      </c>
      <c r="X182" s="243" t="inlineStr">
        <is>
          <t>227-24-K-26, (11.09.2026) [FHM-K]</t>
        </is>
      </c>
      <c r="Y182" s="243" t="inlineStr">
        <is>
          <t>— pending —</t>
        </is>
      </c>
      <c r="Z182" s="243" t="inlineStr">
        <is>
          <t>#8, #9, #11, #12 from the initial testing</t>
        </is>
      </c>
      <c r="AA182" s="243" t="inlineStr">
        <is>
          <t>P060432|R2</t>
        </is>
      </c>
      <c r="AB182" s="250" t="inlineStr">
        <is>
          <t>registered — retest 2 · Tranche 3 (sampled 19–21.08.2026), tested 21.08.2026, issued 24.08.2026</t>
        </is>
      </c>
    </row>
    <row r="183">
      <c r="A183" s="243" t="n">
        <v>182</v>
      </c>
      <c r="B183" s="244" t="inlineStr">
        <is>
          <t>iCoA-PP_26-182</t>
        </is>
      </c>
      <c r="C183" s="249" t="inlineStr">
        <is>
          <t>yes</t>
        </is>
      </c>
      <c r="D183" s="245" t="n">
        <v>46258</v>
      </c>
      <c r="E183" s="245" t="n">
        <v>46255</v>
      </c>
      <c r="F183" s="245">
        <f>IFERROR(INDEX('Batch Dates'!$G:$G,MATCH(J183,'Batch Dates'!$C:$C,0)),IFERROR(INDEX('Batch Dates'!$G:$G,MATCH(I183,'Batch Dates'!$B:$B,0)),""))</f>
        <v/>
      </c>
      <c r="G183" s="243" t="inlineStr">
        <is>
          <t>post-SOP</t>
        </is>
      </c>
      <c r="H183" s="243" t="inlineStr">
        <is>
          <t>retest 2</t>
        </is>
      </c>
      <c r="I183" s="244" t="inlineStr">
        <is>
          <t>FB012603V</t>
        </is>
      </c>
      <c r="J183" s="243" t="inlineStr">
        <is>
          <t>P060392</t>
        </is>
      </c>
      <c r="K183" s="243" t="inlineStr">
        <is>
          <t>Fat Bastard</t>
        </is>
      </c>
      <c r="L183" s="243" t="inlineStr">
        <is>
          <t>Ident A + Ident B + Foreign matter</t>
        </is>
      </c>
      <c r="M183" s="248" t="inlineStr">
        <is>
          <t>—</t>
        </is>
      </c>
      <c r="N183" s="243">
        <f>IFERROR(INDEX('CoQ Register'!$B:$B,MATCH("P060392|R2",'CoQ Register'!$S:$S,0)),"—")</f>
        <v/>
      </c>
      <c r="O183" s="248" t="inlineStr">
        <is>
          <t>—</t>
        </is>
      </c>
      <c r="P183" s="243" t="inlineStr">
        <is>
          <t>30.06.2027</t>
        </is>
      </c>
      <c r="Q183" s="243" t="inlineStr">
        <is>
          <t>29.04.2026</t>
        </is>
      </c>
      <c r="R183" s="243" t="inlineStr">
        <is>
          <t>23.05.2026 (the issuance plan's basis: 30.06.2026)</t>
        </is>
      </c>
      <c r="S183" s="245">
        <f>IFERROR(INDEX('CoQ Register'!$D:$D,MATCH("P060392|R2",'CoQ Register'!$S:$S,0)),"")</f>
        <v/>
      </c>
      <c r="T183" s="243" t="inlineStr">
        <is>
          <t>CNP ППК26110</t>
        </is>
      </c>
      <c r="U183" s="243" t="inlineStr">
        <is>
          <t>CNP ППК26110</t>
        </is>
      </c>
      <c r="V183" s="243" t="inlineStr">
        <is>
          <t>Conforms</t>
        </is>
      </c>
      <c r="W183" s="243" t="inlineStr">
        <is>
          <t>227-23-K-26, (11.09.2026) [FHM-K]</t>
        </is>
      </c>
      <c r="X183" s="243" t="inlineStr">
        <is>
          <t>227-23-K-26, (11.09.2026) [FHM-K]</t>
        </is>
      </c>
      <c r="Y183" s="243" t="inlineStr">
        <is>
          <t>— pending —</t>
        </is>
      </c>
      <c r="Z183" s="243" t="inlineStr">
        <is>
          <t>#8, #9, #11, #12 from the initial testing</t>
        </is>
      </c>
      <c r="AA183" s="243" t="inlineStr">
        <is>
          <t>P060392|R2</t>
        </is>
      </c>
      <c r="AB183" s="250" t="inlineStr">
        <is>
          <t>registered — retest 2 · Tranche 3 (sampled 19–21.08.2026), tested 21.08.2026, issued 24.08.2026</t>
        </is>
      </c>
    </row>
    <row r="184">
      <c r="A184" s="243" t="n">
        <v>183</v>
      </c>
      <c r="B184" s="244" t="inlineStr">
        <is>
          <t>iCoA-PP_26-183</t>
        </is>
      </c>
      <c r="C184" s="249" t="inlineStr">
        <is>
          <t>yes</t>
        </is>
      </c>
      <c r="D184" s="245" t="n">
        <v>46258</v>
      </c>
      <c r="E184" s="245" t="n">
        <v>46255</v>
      </c>
      <c r="F184" s="245">
        <f>IFERROR(INDEX('Batch Dates'!$G:$G,MATCH(J184,'Batch Dates'!$C:$C,0)),IFERROR(INDEX('Batch Dates'!$G:$G,MATCH(I184,'Batch Dates'!$B:$B,0)),""))</f>
        <v/>
      </c>
      <c r="G184" s="243" t="inlineStr">
        <is>
          <t>post-SOP</t>
        </is>
      </c>
      <c r="H184" s="243" t="inlineStr">
        <is>
          <t>retest 2</t>
        </is>
      </c>
      <c r="I184" s="244" t="inlineStr">
        <is>
          <t>FB112501</t>
        </is>
      </c>
      <c r="J184" s="243" t="inlineStr">
        <is>
          <t>P060292</t>
        </is>
      </c>
      <c r="K184" s="243" t="inlineStr">
        <is>
          <t>Fat Bastard</t>
        </is>
      </c>
      <c r="L184" s="243" t="inlineStr">
        <is>
          <t>Ident A + Ident B + Foreign matter</t>
        </is>
      </c>
      <c r="M184" s="248" t="inlineStr">
        <is>
          <t>—</t>
        </is>
      </c>
      <c r="N184" s="243">
        <f>IFERROR(INDEX('CoQ Register'!$B:$B,MATCH("P060292|R2",'CoQ Register'!$S:$S,0)),"—")</f>
        <v/>
      </c>
      <c r="O184" s="248" t="inlineStr">
        <is>
          <t>—</t>
        </is>
      </c>
      <c r="P184" s="243" t="inlineStr">
        <is>
          <t>11.05.2027</t>
        </is>
      </c>
      <c r="Q184" s="243" t="inlineStr">
        <is>
          <t>25.03.2026</t>
        </is>
      </c>
      <c r="R184" s="243" t="inlineStr">
        <is>
          <t>19.05.2026 (the issuance plan's basis: 11.05.2026)</t>
        </is>
      </c>
      <c r="S184" s="245">
        <f>IFERROR(INDEX('CoQ Register'!$D:$D,MATCH("P060292|R2",'CoQ Register'!$S:$S,0)),"")</f>
        <v/>
      </c>
      <c r="T184" s="243" t="inlineStr">
        <is>
          <t>Conforms</t>
        </is>
      </c>
      <c r="U184" s="243" t="inlineStr">
        <is>
          <t>Conforms</t>
        </is>
      </c>
      <c r="V184" s="243" t="inlineStr">
        <is>
          <t>Conforms</t>
        </is>
      </c>
      <c r="W184" s="243" t="inlineStr">
        <is>
          <t>227-22-K-26, (11.09.2026) [FHM-K]</t>
        </is>
      </c>
      <c r="X184" s="243" t="inlineStr">
        <is>
          <t>227-22-K-26, (11.09.2026) [FHM-K]</t>
        </is>
      </c>
      <c r="Y184" s="243" t="inlineStr">
        <is>
          <t>— pending —</t>
        </is>
      </c>
      <c r="Z184" s="243" t="inlineStr">
        <is>
          <t>#8, #9, #11, #12 from the initial testing</t>
        </is>
      </c>
      <c r="AA184" s="243" t="inlineStr">
        <is>
          <t>P060292|R2</t>
        </is>
      </c>
      <c r="AB184" s="250" t="inlineStr">
        <is>
          <t>registered — retest 2 · Tranche 3 (sampled 19–21.08.2026), tested 21.08.2026, issued 24.08.2026</t>
        </is>
      </c>
    </row>
    <row r="185">
      <c r="A185" s="243" t="n">
        <v>184</v>
      </c>
      <c r="B185" s="244" t="inlineStr">
        <is>
          <t>iCoA-PP_26-184</t>
        </is>
      </c>
      <c r="C185" s="249" t="inlineStr">
        <is>
          <t>yes</t>
        </is>
      </c>
      <c r="D185" s="245" t="n">
        <v>46258</v>
      </c>
      <c r="E185" s="245" t="n">
        <v>46255</v>
      </c>
      <c r="F185" s="245">
        <f>IFERROR(INDEX('Batch Dates'!$G:$G,MATCH(J185,'Batch Dates'!$C:$C,0)),IFERROR(INDEX('Batch Dates'!$G:$G,MATCH(I185,'Batch Dates'!$B:$B,0)),""))</f>
        <v/>
      </c>
      <c r="G185" s="243" t="inlineStr">
        <is>
          <t>post-SOP</t>
        </is>
      </c>
      <c r="H185" s="243" t="inlineStr">
        <is>
          <t>retest 2</t>
        </is>
      </c>
      <c r="I185" s="244" t="inlineStr">
        <is>
          <t>GG012601＊</t>
        </is>
      </c>
      <c r="J185" s="243" t="inlineStr">
        <is>
          <t>P060302</t>
        </is>
      </c>
      <c r="K185" s="243" t="inlineStr">
        <is>
          <t>Gorilla Glue</t>
        </is>
      </c>
      <c r="L185" s="243" t="inlineStr">
        <is>
          <t>Ident A + Ident B + Foreign matter</t>
        </is>
      </c>
      <c r="M185" s="248" t="inlineStr">
        <is>
          <t>—</t>
        </is>
      </c>
      <c r="N185" s="243">
        <f>IFERROR(INDEX('CoQ Register'!$B:$B,MATCH("P060302|R2",'CoQ Register'!$S:$S,0)),"—")</f>
        <v/>
      </c>
      <c r="O185" s="248" t="inlineStr">
        <is>
          <t>—</t>
        </is>
      </c>
      <c r="P185" s="243" t="inlineStr">
        <is>
          <t>11.05.2027</t>
        </is>
      </c>
      <c r="Q185" s="243" t="inlineStr">
        <is>
          <t>27.03.2026</t>
        </is>
      </c>
      <c r="R185" s="243" t="inlineStr">
        <is>
          <t>20.05.2026 (the issuance plan's basis: 11.05.2026)</t>
        </is>
      </c>
      <c r="S185" s="245">
        <f>IFERROR(INDEX('CoQ Register'!$D:$D,MATCH("P060302|R2",'CoQ Register'!$S:$S,0)),"")</f>
        <v/>
      </c>
      <c r="T185" s="243" t="inlineStr">
        <is>
          <t>Conforms</t>
        </is>
      </c>
      <c r="U185" s="243" t="inlineStr">
        <is>
          <t>Conforms</t>
        </is>
      </c>
      <c r="V185" s="243" t="inlineStr">
        <is>
          <t>Conforms</t>
        </is>
      </c>
      <c r="W185" s="243" t="inlineStr">
        <is>
          <t>227-21-K-26, (11.09.2026) [FHM-K]</t>
        </is>
      </c>
      <c r="X185" s="243" t="inlineStr">
        <is>
          <t>227-21-K-26, (11.09.2026) [FHM-K]</t>
        </is>
      </c>
      <c r="Y185" s="243" t="inlineStr">
        <is>
          <t>— pending —</t>
        </is>
      </c>
      <c r="Z185" s="243" t="inlineStr">
        <is>
          <t>#8, #9, #11, #12 from the initial testing</t>
        </is>
      </c>
      <c r="AA185" s="243" t="inlineStr">
        <is>
          <t>P060302|R2</t>
        </is>
      </c>
      <c r="AB185" s="250" t="inlineStr">
        <is>
          <t>registered — retest 2 · Tranche 3 (sampled 19–21.08.2026), tested 21.08.2026, issued 24.08.2026</t>
        </is>
      </c>
    </row>
    <row r="186">
      <c r="A186" s="243" t="n">
        <v>185</v>
      </c>
      <c r="B186" s="244" t="inlineStr">
        <is>
          <t>iCoA-PP_26-185</t>
        </is>
      </c>
      <c r="C186" s="249" t="inlineStr">
        <is>
          <t>yes</t>
        </is>
      </c>
      <c r="D186" s="245" t="n">
        <v>46265</v>
      </c>
      <c r="E186" s="245" t="n">
        <v>46265</v>
      </c>
      <c r="F186" s="245">
        <f>IFERROR(INDEX('Batch Dates'!$G:$G,MATCH(J186,'Batch Dates'!$C:$C,0)),IFERROR(INDEX('Batch Dates'!$G:$G,MATCH(I186,'Batch Dates'!$B:$B,0)),""))</f>
        <v/>
      </c>
      <c r="G186" s="243" t="inlineStr">
        <is>
          <t>post-SOP</t>
        </is>
      </c>
      <c r="H186" s="243" t="inlineStr">
        <is>
          <t>retest 1</t>
        </is>
      </c>
      <c r="I186" s="244" t="inlineStr">
        <is>
          <t>CC112501</t>
        </is>
      </c>
      <c r="J186" s="243" t="inlineStr">
        <is>
          <t>P060272</t>
        </is>
      </c>
      <c r="K186" s="243" t="inlineStr">
        <is>
          <t>Cash Cow</t>
        </is>
      </c>
      <c r="L186" s="243" t="inlineStr">
        <is>
          <t>Ident A + Ident B + Foreign matter</t>
        </is>
      </c>
      <c r="M186" s="248" t="inlineStr">
        <is>
          <t>—</t>
        </is>
      </c>
      <c r="N186" s="243">
        <f>IFERROR(INDEX('CoQ Register'!$B:$B,MATCH("P060272|R",'CoQ Register'!$S:$S,0)),"—")</f>
        <v/>
      </c>
      <c r="O186" s="248" t="inlineStr">
        <is>
          <t>—</t>
        </is>
      </c>
      <c r="P186" s="243" t="inlineStr">
        <is>
          <t>11.05.2027</t>
        </is>
      </c>
      <c r="Q186" s="243" t="inlineStr">
        <is>
          <t>25.03.2026</t>
        </is>
      </c>
      <c r="R186" s="243" t="inlineStr">
        <is>
          <t>18.05.2026 (the issuance plan's basis: 11.05.2026)</t>
        </is>
      </c>
      <c r="S186" s="245">
        <f>IFERROR(INDEX('CoQ Register'!$D:$D,MATCH("P060272|R",'CoQ Register'!$S:$S,0)),"")</f>
        <v/>
      </c>
      <c r="T186" s="243" t="inlineStr">
        <is>
          <t>Conforms</t>
        </is>
      </c>
      <c r="U186" s="243" t="inlineStr">
        <is>
          <t>Conforms</t>
        </is>
      </c>
      <c r="V186" s="243" t="inlineStr">
        <is>
          <t>Conforms</t>
        </is>
      </c>
      <c r="W186" s="243" t="inlineStr">
        <is>
          <t>227-25-K-26, (11.09.2026) [FHM-K]</t>
        </is>
      </c>
      <c r="X186" s="243" t="inlineStr">
        <is>
          <t>227-25-K-26, (11.09.2026) [FHM-K]</t>
        </is>
      </c>
      <c r="Y186" s="243" t="inlineStr">
        <is>
          <t>— pending —</t>
        </is>
      </c>
      <c r="Z186" s="243" t="inlineStr">
        <is>
          <t>#8, #9, #11, #12 from the initial testing</t>
        </is>
      </c>
      <c r="AA186" s="243" t="inlineStr">
        <is>
          <t>P060272|R</t>
        </is>
      </c>
      <c r="AB186" s="250" t="inlineStr">
        <is>
          <t>registered — retest 1, issued 31.08.2026</t>
        </is>
      </c>
    </row>
    <row r="187">
      <c r="A187" s="243" t="n">
        <v>186</v>
      </c>
      <c r="B187" s="244" t="inlineStr">
        <is>
          <t>iCoA-PP_26-186</t>
        </is>
      </c>
      <c r="C187" s="249" t="inlineStr">
        <is>
          <t>yes</t>
        </is>
      </c>
      <c r="D187" s="245" t="n">
        <v>46265</v>
      </c>
      <c r="E187" s="245" t="n">
        <v>46265</v>
      </c>
      <c r="F187" s="245">
        <f>IFERROR(INDEX('Batch Dates'!$G:$G,MATCH(J187,'Batch Dates'!$C:$C,0)),IFERROR(INDEX('Batch Dates'!$G:$G,MATCH(I187,'Batch Dates'!$B:$B,0)),""))</f>
        <v/>
      </c>
      <c r="G187" s="243" t="inlineStr">
        <is>
          <t>legacy</t>
        </is>
      </c>
      <c r="H187" s="243" t="inlineStr">
        <is>
          <t>retest 1</t>
        </is>
      </c>
      <c r="I187" s="244" t="inlineStr">
        <is>
          <t>CJ062501/1</t>
        </is>
      </c>
      <c r="J187" s="243" t="inlineStr">
        <is>
          <t>P050222</t>
        </is>
      </c>
      <c r="K187" s="243" t="inlineStr">
        <is>
          <t>Cap Junky</t>
        </is>
      </c>
      <c r="L187" s="243" t="inlineStr">
        <is>
          <t>Ident A + Ident B + Foreign matter</t>
        </is>
      </c>
      <c r="M187" s="248" t="inlineStr">
        <is>
          <t>—</t>
        </is>
      </c>
      <c r="N187" s="243">
        <f>IFERROR(INDEX('CoQ Register'!$B:$B,MATCH("P050222|R",'CoQ Register'!$S:$S,0)),"—")</f>
        <v/>
      </c>
      <c r="O187" s="248" t="inlineStr">
        <is>
          <t>—</t>
        </is>
      </c>
      <c r="P187" s="243" t="inlineStr">
        <is>
          <t>24.11.2026</t>
        </is>
      </c>
      <c r="Q187" s="243" t="inlineStr">
        <is>
          <t>23.09.2025</t>
        </is>
      </c>
      <c r="R187" s="243" t="inlineStr">
        <is>
          <t>24.11.2025 – 25.11.2025</t>
        </is>
      </c>
      <c r="S187" s="245">
        <f>IFERROR(INDEX('CoQ Register'!$D:$D,MATCH("P050222|R",'CoQ Register'!$S:$S,0)),"")</f>
        <v/>
      </c>
      <c r="T187" s="243" t="inlineStr">
        <is>
          <t>Conforms</t>
        </is>
      </c>
      <c r="U187" s="243" t="inlineStr">
        <is>
          <t>Conforms</t>
        </is>
      </c>
      <c r="V187" s="243" t="inlineStr">
        <is>
          <t>Conforms</t>
        </is>
      </c>
      <c r="W187" s="243" t="inlineStr">
        <is>
          <t>220-3-K-26, (25.08.2026) [FHM-K]</t>
        </is>
      </c>
      <c r="X187" s="243" t="inlineStr">
        <is>
          <t>220-3-K-26, (25.08.2026) [FHM-K]</t>
        </is>
      </c>
      <c r="Y187" s="243" t="inlineStr">
        <is>
          <t>220-3-M-26, (11.09.2026) [FHM-M]</t>
        </is>
      </c>
      <c r="Z187" s="243" t="inlineStr">
        <is>
          <t>#8, #9, #11, #12 from the initial testing</t>
        </is>
      </c>
      <c r="AA187" s="243" t="inlineStr">
        <is>
          <t>P050222|R</t>
        </is>
      </c>
      <c r="AB187" s="250" t="inlineStr">
        <is>
          <t>registered — retest 1, issued 31.08.2026</t>
        </is>
      </c>
    </row>
    <row r="188">
      <c r="A188" s="243" t="n">
        <v>187</v>
      </c>
      <c r="B188" s="244" t="inlineStr">
        <is>
          <t>iCoA-PP_26-187</t>
        </is>
      </c>
      <c r="C188" s="249" t="inlineStr">
        <is>
          <t>yes</t>
        </is>
      </c>
      <c r="D188" s="245" t="n">
        <v>46265</v>
      </c>
      <c r="E188" s="245" t="n">
        <v>46265</v>
      </c>
      <c r="F188" s="245">
        <f>IFERROR(INDEX('Batch Dates'!$G:$G,MATCH(J188,'Batch Dates'!$C:$C,0)),IFERROR(INDEX('Batch Dates'!$G:$G,MATCH(I188,'Batch Dates'!$B:$B,0)),""))</f>
        <v/>
      </c>
      <c r="G188" s="243" t="inlineStr">
        <is>
          <t>legacy</t>
        </is>
      </c>
      <c r="H188" s="243" t="inlineStr">
        <is>
          <t>retest 1</t>
        </is>
      </c>
      <c r="I188" s="244" t="inlineStr">
        <is>
          <t>CJ062501/2</t>
        </is>
      </c>
      <c r="J188" s="243" t="inlineStr">
        <is>
          <t>P050212</t>
        </is>
      </c>
      <c r="K188" s="243" t="inlineStr">
        <is>
          <t>Cap Junky</t>
        </is>
      </c>
      <c r="L188" s="243" t="inlineStr">
        <is>
          <t>Ident A + Ident B + Foreign matter</t>
        </is>
      </c>
      <c r="M188" s="248" t="inlineStr">
        <is>
          <t>—</t>
        </is>
      </c>
      <c r="N188" s="243">
        <f>IFERROR(INDEX('CoQ Register'!$B:$B,MATCH("P050212|R",'CoQ Register'!$S:$S,0)),"—")</f>
        <v/>
      </c>
      <c r="O188" s="248" t="inlineStr">
        <is>
          <t>—</t>
        </is>
      </c>
      <c r="P188" s="243" t="inlineStr">
        <is>
          <t>24.01.2027</t>
        </is>
      </c>
      <c r="Q188" s="243" t="inlineStr">
        <is>
          <t>23.09.2025 – 24.09.2025</t>
        </is>
      </c>
      <c r="R188" s="243" t="inlineStr">
        <is>
          <t>18.11.2025 – 24.11.2025 (the issuance plan's basis: 24.01.2026)</t>
        </is>
      </c>
      <c r="S188" s="245">
        <f>IFERROR(INDEX('CoQ Register'!$D:$D,MATCH("P050212|R",'CoQ Register'!$S:$S,0)),"")</f>
        <v/>
      </c>
      <c r="T188" s="243" t="inlineStr">
        <is>
          <t>Conforms</t>
        </is>
      </c>
      <c r="U188" s="243" t="inlineStr">
        <is>
          <t>Conforms</t>
        </is>
      </c>
      <c r="V188" s="243" t="inlineStr">
        <is>
          <t>Conforms</t>
        </is>
      </c>
      <c r="W188" s="243" t="inlineStr">
        <is>
          <t>197-4-K-26, (07.08.2026) [FHM-K]</t>
        </is>
      </c>
      <c r="X188" s="243" t="inlineStr">
        <is>
          <t>197-4-K-26, (07.08.2026) [FHM-K]</t>
        </is>
      </c>
      <c r="Y188" s="243" t="inlineStr">
        <is>
          <t>197-4-M-26, (10.08.2026) [FHM-M]</t>
        </is>
      </c>
      <c r="Z188" s="243" t="inlineStr">
        <is>
          <t>#8, #9, #11, #12 from the initial testing</t>
        </is>
      </c>
      <c r="AA188" s="243" t="inlineStr">
        <is>
          <t>P050212|R</t>
        </is>
      </c>
      <c r="AB188" s="250" t="inlineStr">
        <is>
          <t>registered — retest 1, issued 31.08.2026</t>
        </is>
      </c>
    </row>
    <row r="189">
      <c r="A189" s="243" t="n">
        <v>188</v>
      </c>
      <c r="B189" s="244" t="inlineStr">
        <is>
          <t>iCoA-PP_26-188</t>
        </is>
      </c>
      <c r="C189" s="249" t="inlineStr">
        <is>
          <t>yes</t>
        </is>
      </c>
      <c r="D189" s="245" t="n">
        <v>46265</v>
      </c>
      <c r="E189" s="245" t="n">
        <v>46265</v>
      </c>
      <c r="F189" s="245">
        <f>IFERROR(INDEX('Batch Dates'!$G:$G,MATCH(J189,'Batch Dates'!$C:$C,0)),IFERROR(INDEX('Batch Dates'!$G:$G,MATCH(I189,'Batch Dates'!$B:$B,0)),""))</f>
        <v/>
      </c>
      <c r="G189" s="243" t="inlineStr">
        <is>
          <t>post-SOP</t>
        </is>
      </c>
      <c r="H189" s="243" t="inlineStr">
        <is>
          <t>retest 1</t>
        </is>
      </c>
      <c r="I189" s="244" t="inlineStr">
        <is>
          <t>FB012603</t>
        </is>
      </c>
      <c r="J189" s="243" t="inlineStr">
        <is>
          <t>P060432</t>
        </is>
      </c>
      <c r="K189" s="243" t="inlineStr">
        <is>
          <t>Fat Bastard</t>
        </is>
      </c>
      <c r="L189" s="243" t="inlineStr">
        <is>
          <t>Ident A + Ident B + Foreign matter</t>
        </is>
      </c>
      <c r="M189" s="248" t="inlineStr">
        <is>
          <t>—</t>
        </is>
      </c>
      <c r="N189" s="243">
        <f>IFERROR(INDEX('CoQ Register'!$B:$B,MATCH("P060432|R",'CoQ Register'!$S:$S,0)),"—")</f>
        <v/>
      </c>
      <c r="O189" s="248" t="inlineStr">
        <is>
          <t>—</t>
        </is>
      </c>
      <c r="P189" s="243" t="inlineStr">
        <is>
          <t>30.06.2027</t>
        </is>
      </c>
      <c r="Q189" s="243" t="inlineStr">
        <is>
          <t>04.05.2026</t>
        </is>
      </c>
      <c r="R189" s="243" t="inlineStr">
        <is>
          <t>15.06.2026 (the issuance plan's basis: 30.06.2026)</t>
        </is>
      </c>
      <c r="S189" s="245">
        <f>IFERROR(INDEX('CoQ Register'!$D:$D,MATCH("P060432|R",'CoQ Register'!$S:$S,0)),"")</f>
        <v/>
      </c>
      <c r="T189" s="243" t="inlineStr">
        <is>
          <t>CNP ППК26112</t>
        </is>
      </c>
      <c r="U189" s="243" t="inlineStr">
        <is>
          <t>CNP ППК26112</t>
        </is>
      </c>
      <c r="V189" s="243" t="inlineStr">
        <is>
          <t>Conforms</t>
        </is>
      </c>
      <c r="W189" s="243" t="inlineStr">
        <is>
          <t>227-24-K-26, (11.09.2026) [FHM-K]</t>
        </is>
      </c>
      <c r="X189" s="243" t="inlineStr">
        <is>
          <t>227-24-K-26, (11.09.2026) [FHM-K]</t>
        </is>
      </c>
      <c r="Y189" s="243" t="inlineStr">
        <is>
          <t>— pending —</t>
        </is>
      </c>
      <c r="Z189" s="243" t="inlineStr">
        <is>
          <t>#8, #9, #11, #12 from the initial testing</t>
        </is>
      </c>
      <c r="AA189" s="243" t="inlineStr">
        <is>
          <t>P060432|R</t>
        </is>
      </c>
      <c r="AB189" s="250" t="inlineStr">
        <is>
          <t>registered — retest 1, issued 31.08.2026</t>
        </is>
      </c>
    </row>
    <row r="190">
      <c r="A190" s="243" t="n">
        <v>189</v>
      </c>
      <c r="B190" s="244" t="inlineStr">
        <is>
          <t>iCoA-PP_26-189</t>
        </is>
      </c>
      <c r="C190" s="249" t="inlineStr">
        <is>
          <t>yes</t>
        </is>
      </c>
      <c r="D190" s="245" t="n">
        <v>46265</v>
      </c>
      <c r="E190" s="245" t="n">
        <v>46265</v>
      </c>
      <c r="F190" s="245">
        <f>IFERROR(INDEX('Batch Dates'!$G:$G,MATCH(J190,'Batch Dates'!$C:$C,0)),IFERROR(INDEX('Batch Dates'!$G:$G,MATCH(I190,'Batch Dates'!$B:$B,0)),""))</f>
        <v/>
      </c>
      <c r="G190" s="243" t="inlineStr">
        <is>
          <t>post-SOP</t>
        </is>
      </c>
      <c r="H190" s="243" t="inlineStr">
        <is>
          <t>retest 1</t>
        </is>
      </c>
      <c r="I190" s="244" t="inlineStr">
        <is>
          <t>FB012603V</t>
        </is>
      </c>
      <c r="J190" s="243" t="inlineStr">
        <is>
          <t>P060392</t>
        </is>
      </c>
      <c r="K190" s="243" t="inlineStr">
        <is>
          <t>Fat Bastard</t>
        </is>
      </c>
      <c r="L190" s="243" t="inlineStr">
        <is>
          <t>Ident A + Ident B + Foreign matter</t>
        </is>
      </c>
      <c r="M190" s="248" t="inlineStr">
        <is>
          <t>—</t>
        </is>
      </c>
      <c r="N190" s="243">
        <f>IFERROR(INDEX('CoQ Register'!$B:$B,MATCH("P060392|R",'CoQ Register'!$S:$S,0)),"—")</f>
        <v/>
      </c>
      <c r="O190" s="248" t="inlineStr">
        <is>
          <t>—</t>
        </is>
      </c>
      <c r="P190" s="243" t="inlineStr">
        <is>
          <t>30.06.2027</t>
        </is>
      </c>
      <c r="Q190" s="243" t="inlineStr">
        <is>
          <t>29.04.2026</t>
        </is>
      </c>
      <c r="R190" s="243" t="inlineStr">
        <is>
          <t>23.05.2026 (the issuance plan's basis: 30.06.2026)</t>
        </is>
      </c>
      <c r="S190" s="245">
        <f>IFERROR(INDEX('CoQ Register'!$D:$D,MATCH("P060392|R",'CoQ Register'!$S:$S,0)),"")</f>
        <v/>
      </c>
      <c r="T190" s="243" t="inlineStr">
        <is>
          <t>CNP ППК26110</t>
        </is>
      </c>
      <c r="U190" s="243" t="inlineStr">
        <is>
          <t>CNP ППК26110</t>
        </is>
      </c>
      <c r="V190" s="243" t="inlineStr">
        <is>
          <t>Conforms</t>
        </is>
      </c>
      <c r="W190" s="243" t="inlineStr">
        <is>
          <t>227-23-K-26, (11.09.2026) [FHM-K]</t>
        </is>
      </c>
      <c r="X190" s="243" t="inlineStr">
        <is>
          <t>227-23-K-26, (11.09.2026) [FHM-K]</t>
        </is>
      </c>
      <c r="Y190" s="243" t="inlineStr">
        <is>
          <t>— pending —</t>
        </is>
      </c>
      <c r="Z190" s="243" t="inlineStr">
        <is>
          <t>#8, #9, #11, #12 from the initial testing</t>
        </is>
      </c>
      <c r="AA190" s="243" t="inlineStr">
        <is>
          <t>P060392|R</t>
        </is>
      </c>
      <c r="AB190" s="250" t="inlineStr">
        <is>
          <t>registered — retest 1, issued 31.08.2026</t>
        </is>
      </c>
    </row>
    <row r="191">
      <c r="A191" s="243" t="n">
        <v>190</v>
      </c>
      <c r="B191" s="244" t="inlineStr">
        <is>
          <t>iCoA-PP_26-190</t>
        </is>
      </c>
      <c r="C191" s="249" t="inlineStr">
        <is>
          <t>yes</t>
        </is>
      </c>
      <c r="D191" s="245" t="n">
        <v>46265</v>
      </c>
      <c r="E191" s="245" t="n">
        <v>46265</v>
      </c>
      <c r="F191" s="245">
        <f>IFERROR(INDEX('Batch Dates'!$G:$G,MATCH(J191,'Batch Dates'!$C:$C,0)),IFERROR(INDEX('Batch Dates'!$G:$G,MATCH(I191,'Batch Dates'!$B:$B,0)),""))</f>
        <v/>
      </c>
      <c r="G191" s="243" t="inlineStr">
        <is>
          <t>post-SOP</t>
        </is>
      </c>
      <c r="H191" s="243" t="inlineStr">
        <is>
          <t>retest 1</t>
        </is>
      </c>
      <c r="I191" s="244" t="inlineStr">
        <is>
          <t>FB112501</t>
        </is>
      </c>
      <c r="J191" s="243" t="inlineStr">
        <is>
          <t>P060292</t>
        </is>
      </c>
      <c r="K191" s="243" t="inlineStr">
        <is>
          <t>Fat Bastard</t>
        </is>
      </c>
      <c r="L191" s="243" t="inlineStr">
        <is>
          <t>Ident A + Ident B + Foreign matter</t>
        </is>
      </c>
      <c r="M191" s="248" t="inlineStr">
        <is>
          <t>—</t>
        </is>
      </c>
      <c r="N191" s="243">
        <f>IFERROR(INDEX('CoQ Register'!$B:$B,MATCH("P060292|R",'CoQ Register'!$S:$S,0)),"—")</f>
        <v/>
      </c>
      <c r="O191" s="248" t="inlineStr">
        <is>
          <t>—</t>
        </is>
      </c>
      <c r="P191" s="243" t="inlineStr">
        <is>
          <t>11.05.2027</t>
        </is>
      </c>
      <c r="Q191" s="243" t="inlineStr">
        <is>
          <t>25.03.2026</t>
        </is>
      </c>
      <c r="R191" s="243" t="inlineStr">
        <is>
          <t>19.05.2026 (the issuance plan's basis: 11.05.2026)</t>
        </is>
      </c>
      <c r="S191" s="245">
        <f>IFERROR(INDEX('CoQ Register'!$D:$D,MATCH("P060292|R",'CoQ Register'!$S:$S,0)),"")</f>
        <v/>
      </c>
      <c r="T191" s="243" t="inlineStr">
        <is>
          <t>Conforms</t>
        </is>
      </c>
      <c r="U191" s="243" t="inlineStr">
        <is>
          <t>Conforms</t>
        </is>
      </c>
      <c r="V191" s="243" t="inlineStr">
        <is>
          <t>Conforms</t>
        </is>
      </c>
      <c r="W191" s="243" t="inlineStr">
        <is>
          <t>227-22-K-26, (11.09.2026) [FHM-K]</t>
        </is>
      </c>
      <c r="X191" s="243" t="inlineStr">
        <is>
          <t>227-22-K-26, (11.09.2026) [FHM-K]</t>
        </is>
      </c>
      <c r="Y191" s="243" t="inlineStr">
        <is>
          <t>— pending —</t>
        </is>
      </c>
      <c r="Z191" s="243" t="inlineStr">
        <is>
          <t>#8, #9, #11, #12 from the initial testing</t>
        </is>
      </c>
      <c r="AA191" s="243" t="inlineStr">
        <is>
          <t>P060292|R</t>
        </is>
      </c>
      <c r="AB191" s="250" t="inlineStr">
        <is>
          <t>registered — retest 1, issued 31.08.2026</t>
        </is>
      </c>
    </row>
    <row r="192">
      <c r="A192" s="243" t="n">
        <v>191</v>
      </c>
      <c r="B192" s="244" t="inlineStr">
        <is>
          <t>iCoA-PP_26-191</t>
        </is>
      </c>
      <c r="C192" s="249" t="inlineStr">
        <is>
          <t>yes</t>
        </is>
      </c>
      <c r="D192" s="245" t="n">
        <v>46265</v>
      </c>
      <c r="E192" s="245" t="n">
        <v>46265</v>
      </c>
      <c r="F192" s="245">
        <f>IFERROR(INDEX('Batch Dates'!$G:$G,MATCH(J192,'Batch Dates'!$C:$C,0)),IFERROR(INDEX('Batch Dates'!$G:$G,MATCH(I192,'Batch Dates'!$B:$B,0)),""))</f>
        <v/>
      </c>
      <c r="G192" s="243" t="inlineStr">
        <is>
          <t>post-SOP</t>
        </is>
      </c>
      <c r="H192" s="243" t="inlineStr">
        <is>
          <t>retest 1</t>
        </is>
      </c>
      <c r="I192" s="244" t="inlineStr">
        <is>
          <t>GG012601＊</t>
        </is>
      </c>
      <c r="J192" s="243" t="inlineStr">
        <is>
          <t>P060302</t>
        </is>
      </c>
      <c r="K192" s="243" t="inlineStr">
        <is>
          <t>Gorilla Glue</t>
        </is>
      </c>
      <c r="L192" s="243" t="inlineStr">
        <is>
          <t>Ident A + Ident B + Foreign matter</t>
        </is>
      </c>
      <c r="M192" s="248" t="inlineStr">
        <is>
          <t>—</t>
        </is>
      </c>
      <c r="N192" s="243">
        <f>IFERROR(INDEX('CoQ Register'!$B:$B,MATCH("P060302|R",'CoQ Register'!$S:$S,0)),"—")</f>
        <v/>
      </c>
      <c r="O192" s="248" t="inlineStr">
        <is>
          <t>—</t>
        </is>
      </c>
      <c r="P192" s="243" t="inlineStr">
        <is>
          <t>11.05.2027</t>
        </is>
      </c>
      <c r="Q192" s="243" t="inlineStr">
        <is>
          <t>27.03.2026</t>
        </is>
      </c>
      <c r="R192" s="243" t="inlineStr">
        <is>
          <t>20.05.2026 (the issuance plan's basis: 11.05.2026)</t>
        </is>
      </c>
      <c r="S192" s="245">
        <f>IFERROR(INDEX('CoQ Register'!$D:$D,MATCH("P060302|R",'CoQ Register'!$S:$S,0)),"")</f>
        <v/>
      </c>
      <c r="T192" s="243" t="inlineStr">
        <is>
          <t>Conforms</t>
        </is>
      </c>
      <c r="U192" s="243" t="inlineStr">
        <is>
          <t>Conforms</t>
        </is>
      </c>
      <c r="V192" s="243" t="inlineStr">
        <is>
          <t>Conforms</t>
        </is>
      </c>
      <c r="W192" s="243" t="inlineStr">
        <is>
          <t>227-21-K-26, (11.09.2026) [FHM-K]</t>
        </is>
      </c>
      <c r="X192" s="243" t="inlineStr">
        <is>
          <t>227-21-K-26, (11.09.2026) [FHM-K]</t>
        </is>
      </c>
      <c r="Y192" s="243" t="inlineStr">
        <is>
          <t>— pending —</t>
        </is>
      </c>
      <c r="Z192" s="243" t="inlineStr">
        <is>
          <t>#8, #9, #11, #12 from the initial testing</t>
        </is>
      </c>
      <c r="AA192" s="243" t="inlineStr">
        <is>
          <t>P060302|R</t>
        </is>
      </c>
      <c r="AB192" s="250" t="inlineStr">
        <is>
          <t>registered — retest 1, issued 31.08.2026</t>
        </is>
      </c>
    </row>
    <row r="193">
      <c r="A193" s="243" t="n">
        <v>192</v>
      </c>
      <c r="B193" s="244" t="inlineStr">
        <is>
          <t>iCoA-PP_26-192</t>
        </is>
      </c>
      <c r="C193" s="249" t="inlineStr">
        <is>
          <t>yes</t>
        </is>
      </c>
      <c r="D193" s="245" t="n">
        <v>46265</v>
      </c>
      <c r="E193" s="245" t="n">
        <v>46265</v>
      </c>
      <c r="F193" s="245">
        <f>IFERROR(INDEX('Batch Dates'!$G:$G,MATCH(J193,'Batch Dates'!$C:$C,0)),IFERROR(INDEX('Batch Dates'!$G:$G,MATCH(I193,'Batch Dates'!$B:$B,0)),""))</f>
        <v/>
      </c>
      <c r="G193" s="243" t="inlineStr">
        <is>
          <t>legacy</t>
        </is>
      </c>
      <c r="H193" s="243" t="inlineStr">
        <is>
          <t>retest 1</t>
        </is>
      </c>
      <c r="I193" s="244" t="inlineStr">
        <is>
          <t>GG112501</t>
        </is>
      </c>
      <c r="J193" s="243" t="inlineStr">
        <is>
          <t>P060252</t>
        </is>
      </c>
      <c r="K193" s="243" t="inlineStr">
        <is>
          <t>Gorilla Glue</t>
        </is>
      </c>
      <c r="L193" s="243" t="inlineStr">
        <is>
          <t>Ident A + Ident B + Foreign matter</t>
        </is>
      </c>
      <c r="M193" s="248" t="inlineStr">
        <is>
          <t>—</t>
        </is>
      </c>
      <c r="N193" s="243">
        <f>IFERROR(INDEX('CoQ Register'!$B:$B,MATCH("P060252|R",'CoQ Register'!$S:$S,0)),"—")</f>
        <v/>
      </c>
      <c r="O193" s="248" t="inlineStr">
        <is>
          <t>—</t>
        </is>
      </c>
      <c r="P193" s="243" t="inlineStr">
        <is>
          <t>11.05.2027</t>
        </is>
      </c>
      <c r="Q193" s="243" t="inlineStr">
        <is>
          <t>25.03.2026</t>
        </is>
      </c>
      <c r="R193" s="243" t="inlineStr">
        <is>
          <t>05.05.2026 (the issuance plan's basis: 11.05.2026)</t>
        </is>
      </c>
      <c r="S193" s="245">
        <f>IFERROR(INDEX('CoQ Register'!$D:$D,MATCH("P060252|R",'CoQ Register'!$S:$S,0)),"")</f>
        <v/>
      </c>
      <c r="T193" s="243" t="inlineStr">
        <is>
          <t>Conforms</t>
        </is>
      </c>
      <c r="U193" s="243" t="inlineStr">
        <is>
          <t>Conforms</t>
        </is>
      </c>
      <c r="V193" s="243" t="inlineStr">
        <is>
          <t>Conforms</t>
        </is>
      </c>
      <c r="W193" s="243" t="inlineStr">
        <is>
          <t>227-20-K-26, (11.09.2026) [FHM-K]</t>
        </is>
      </c>
      <c r="X193" s="243" t="inlineStr">
        <is>
          <t>227-20-K-26, (11.09.2026) [FHM-K]</t>
        </is>
      </c>
      <c r="Y193" s="243" t="inlineStr">
        <is>
          <t>— pending —</t>
        </is>
      </c>
      <c r="Z193" s="243" t="inlineStr">
        <is>
          <t>#8, #9, #11, #12 from the initial testing</t>
        </is>
      </c>
      <c r="AA193" s="243" t="inlineStr">
        <is>
          <t>P060252|R</t>
        </is>
      </c>
      <c r="AB193" s="250" t="inlineStr">
        <is>
          <t>registered — retest 1, issued 31.08.2026</t>
        </is>
      </c>
    </row>
    <row r="194">
      <c r="A194" s="243" t="n">
        <v>193</v>
      </c>
      <c r="B194" s="244" t="inlineStr">
        <is>
          <t>iCoA-PP_26-193</t>
        </is>
      </c>
      <c r="C194" s="249" t="inlineStr">
        <is>
          <t>yes</t>
        </is>
      </c>
      <c r="D194" s="245" t="n">
        <v>46265</v>
      </c>
      <c r="E194" s="245" t="n">
        <v>46265</v>
      </c>
      <c r="F194" s="245">
        <f>IFERROR(INDEX('Batch Dates'!$G:$G,MATCH(J194,'Batch Dates'!$C:$C,0)),IFERROR(INDEX('Batch Dates'!$G:$G,MATCH(I194,'Batch Dates'!$B:$B,0)),""))</f>
        <v/>
      </c>
      <c r="G194" s="243" t="inlineStr">
        <is>
          <t>legacy</t>
        </is>
      </c>
      <c r="H194" s="243" t="inlineStr">
        <is>
          <t>retest 1</t>
        </is>
      </c>
      <c r="I194" s="244" t="inlineStr">
        <is>
          <t>J31112501</t>
        </is>
      </c>
      <c r="J194" s="243" t="inlineStr">
        <is>
          <t>P060202</t>
        </is>
      </c>
      <c r="K194" s="243" t="inlineStr">
        <is>
          <t>Jokerz 31</t>
        </is>
      </c>
      <c r="L194" s="243" t="inlineStr">
        <is>
          <t>Ident A + Ident B + Foreign matter</t>
        </is>
      </c>
      <c r="M194" s="248" t="inlineStr">
        <is>
          <t>—</t>
        </is>
      </c>
      <c r="N194" s="243">
        <f>IFERROR(INDEX('CoQ Register'!$B:$B,MATCH("P060202|R",'CoQ Register'!$S:$S,0)),"—")</f>
        <v/>
      </c>
      <c r="O194" s="248" t="inlineStr">
        <is>
          <t>—</t>
        </is>
      </c>
      <c r="P194" s="243" t="inlineStr">
        <is>
          <t>09.04.2027</t>
        </is>
      </c>
      <c r="Q194" s="243" t="inlineStr">
        <is>
          <t>26.01.2026</t>
        </is>
      </c>
      <c r="R194" s="243" t="inlineStr">
        <is>
          <t>17.04.2026 (the issuance plan's basis: 09.04.2026)</t>
        </is>
      </c>
      <c r="S194" s="245">
        <f>IFERROR(INDEX('CoQ Register'!$D:$D,MATCH("P060202|R",'CoQ Register'!$S:$S,0)),"")</f>
        <v/>
      </c>
      <c r="T194" s="243" t="inlineStr">
        <is>
          <t>Conforms</t>
        </is>
      </c>
      <c r="U194" s="243" t="inlineStr">
        <is>
          <t>Conforms</t>
        </is>
      </c>
      <c r="V194" s="243" t="inlineStr">
        <is>
          <t>Conforms</t>
        </is>
      </c>
      <c r="W194" s="243" t="inlineStr">
        <is>
          <t>227-14-K-26, (11.09.2026) [FHM-K]</t>
        </is>
      </c>
      <c r="X194" s="243" t="inlineStr">
        <is>
          <t>227-14-K-26, (11.09.2026) [FHM-K]</t>
        </is>
      </c>
      <c r="Y194" s="243" t="inlineStr">
        <is>
          <t>— pending —</t>
        </is>
      </c>
      <c r="Z194" s="243" t="inlineStr">
        <is>
          <t>#8, #9, #11, #12 from the initial testing</t>
        </is>
      </c>
      <c r="AA194" s="243" t="inlineStr">
        <is>
          <t>P060202|R</t>
        </is>
      </c>
      <c r="AB194" s="250" t="inlineStr">
        <is>
          <t>registered — retest 1, issued 31.08.2026</t>
        </is>
      </c>
    </row>
    <row r="195">
      <c r="A195" s="243" t="n">
        <v>194</v>
      </c>
      <c r="B195" s="244" t="inlineStr">
        <is>
          <t>iCoA-PP_26-194</t>
        </is>
      </c>
      <c r="C195" s="249" t="inlineStr">
        <is>
          <t>yes</t>
        </is>
      </c>
      <c r="D195" s="245" t="n">
        <v>46265</v>
      </c>
      <c r="E195" s="245" t="n">
        <v>46265</v>
      </c>
      <c r="F195" s="245">
        <f>IFERROR(INDEX('Batch Dates'!$G:$G,MATCH(J195,'Batch Dates'!$C:$C,0)),IFERROR(INDEX('Batch Dates'!$G:$G,MATCH(I195,'Batch Dates'!$B:$B,0)),""))</f>
        <v/>
      </c>
      <c r="G195" s="243" t="inlineStr">
        <is>
          <t>post-SOP</t>
        </is>
      </c>
      <c r="H195" s="243" t="inlineStr">
        <is>
          <t>retest 1</t>
        </is>
      </c>
      <c r="I195" s="244" t="inlineStr">
        <is>
          <t>J31122501</t>
        </is>
      </c>
      <c r="J195" s="243" t="inlineStr">
        <is>
          <t>P060262</t>
        </is>
      </c>
      <c r="K195" s="243" t="inlineStr">
        <is>
          <t>Jokerz 31</t>
        </is>
      </c>
      <c r="L195" s="243" t="inlineStr">
        <is>
          <t>Ident A + Ident B + Foreign matter</t>
        </is>
      </c>
      <c r="M195" s="248" t="inlineStr">
        <is>
          <t>—</t>
        </is>
      </c>
      <c r="N195" s="243">
        <f>IFERROR(INDEX('CoQ Register'!$B:$B,MATCH("P060262|R",'CoQ Register'!$S:$S,0)),"—")</f>
        <v/>
      </c>
      <c r="O195" s="248" t="inlineStr">
        <is>
          <t>—</t>
        </is>
      </c>
      <c r="P195" s="243" t="inlineStr">
        <is>
          <t>23.04.2027</t>
        </is>
      </c>
      <c r="Q195" s="243" t="inlineStr">
        <is>
          <t>04.03.2026</t>
        </is>
      </c>
      <c r="R195" s="243" t="inlineStr">
        <is>
          <t>14.05.2026 (the issuance plan's basis: 23.04.2026)</t>
        </is>
      </c>
      <c r="S195" s="245">
        <f>IFERROR(INDEX('CoQ Register'!$D:$D,MATCH("P060262|R",'CoQ Register'!$S:$S,0)),"")</f>
        <v/>
      </c>
      <c r="T195" s="243" t="inlineStr">
        <is>
          <t>Conforms</t>
        </is>
      </c>
      <c r="U195" s="243" t="inlineStr">
        <is>
          <t>Conforms</t>
        </is>
      </c>
      <c r="V195" s="243" t="inlineStr">
        <is>
          <t>Conforms</t>
        </is>
      </c>
      <c r="W195" s="243" t="inlineStr">
        <is>
          <t>— retest assay not yet on file —</t>
        </is>
      </c>
      <c r="X195" s="243" t="inlineStr">
        <is>
          <t>— pending —</t>
        </is>
      </c>
      <c r="Y195" s="243" t="inlineStr">
        <is>
          <t>— pending —</t>
        </is>
      </c>
      <c r="Z195" s="243" t="inlineStr">
        <is>
          <t>#8, #9, #11, #12 from the initial testing</t>
        </is>
      </c>
      <c r="AA195" s="243" t="inlineStr">
        <is>
          <t>P060262|R</t>
        </is>
      </c>
      <c r="AB195" s="250" t="inlineStr">
        <is>
          <t>registered — retest 1, issued 31.08.2026</t>
        </is>
      </c>
    </row>
    <row r="196">
      <c r="A196" s="243" t="n">
        <v>195</v>
      </c>
      <c r="B196" s="244" t="inlineStr">
        <is>
          <t>iCoA-PP_26-195</t>
        </is>
      </c>
      <c r="C196" s="249" t="inlineStr">
        <is>
          <t>yes</t>
        </is>
      </c>
      <c r="D196" s="245" t="n">
        <v>46265</v>
      </c>
      <c r="E196" s="245" t="n">
        <v>46265</v>
      </c>
      <c r="F196" s="245">
        <f>IFERROR(INDEX('Batch Dates'!$G:$G,MATCH(J196,'Batch Dates'!$C:$C,0)),IFERROR(INDEX('Batch Dates'!$G:$G,MATCH(I196,'Batch Dates'!$B:$B,0)),""))</f>
        <v/>
      </c>
      <c r="G196" s="243" t="inlineStr">
        <is>
          <t>post-SOP</t>
        </is>
      </c>
      <c r="H196" s="243" t="inlineStr">
        <is>
          <t>retest 1</t>
        </is>
      </c>
      <c r="I196" s="244" t="inlineStr">
        <is>
          <t>JD012601＊</t>
        </is>
      </c>
      <c r="J196" s="243" t="inlineStr">
        <is>
          <t>P060312</t>
        </is>
      </c>
      <c r="K196" s="243" t="inlineStr">
        <is>
          <t>Jelly Donuts</t>
        </is>
      </c>
      <c r="L196" s="243" t="inlineStr">
        <is>
          <t>Ident A + Ident B + Foreign matter</t>
        </is>
      </c>
      <c r="M196" s="248" t="inlineStr">
        <is>
          <t>—</t>
        </is>
      </c>
      <c r="N196" s="243">
        <f>IFERROR(INDEX('CoQ Register'!$B:$B,MATCH("P060312|R",'CoQ Register'!$S:$S,0)),"—")</f>
        <v/>
      </c>
      <c r="O196" s="248" t="inlineStr">
        <is>
          <t>—</t>
        </is>
      </c>
      <c r="P196" s="243" t="inlineStr">
        <is>
          <t>11.05.2027</t>
        </is>
      </c>
      <c r="Q196" s="243" t="inlineStr">
        <is>
          <t>27.03.2026</t>
        </is>
      </c>
      <c r="R196" s="243" t="inlineStr">
        <is>
          <t>21.05.2026 (the issuance plan's basis: 11.05.2026)</t>
        </is>
      </c>
      <c r="S196" s="245">
        <f>IFERROR(INDEX('CoQ Register'!$D:$D,MATCH("P060312|R",'CoQ Register'!$S:$S,0)),"")</f>
        <v/>
      </c>
      <c r="T196" s="243" t="inlineStr">
        <is>
          <t>Conforms</t>
        </is>
      </c>
      <c r="U196" s="243" t="inlineStr">
        <is>
          <t>Conforms</t>
        </is>
      </c>
      <c r="V196" s="243" t="inlineStr">
        <is>
          <t>Conforms</t>
        </is>
      </c>
      <c r="W196" s="243" t="inlineStr">
        <is>
          <t>227-15-K-26, (11.09.2026) [FHM-K]</t>
        </is>
      </c>
      <c r="X196" s="243" t="inlineStr">
        <is>
          <t>227-15-K-26, (11.09.2026) [FHM-K]</t>
        </is>
      </c>
      <c r="Y196" s="243" t="inlineStr">
        <is>
          <t>— pending —</t>
        </is>
      </c>
      <c r="Z196" s="243" t="inlineStr">
        <is>
          <t>#8, #9, #11, #12 from the initial testing</t>
        </is>
      </c>
      <c r="AA196" s="243" t="inlineStr">
        <is>
          <t>P060312|R</t>
        </is>
      </c>
      <c r="AB196" s="250" t="inlineStr">
        <is>
          <t>registered — retest 1, issued 31.08.2026</t>
        </is>
      </c>
    </row>
    <row r="197">
      <c r="A197" s="243" t="n">
        <v>196</v>
      </c>
      <c r="B197" s="244" t="inlineStr">
        <is>
          <t>iCoA-PP_26-196</t>
        </is>
      </c>
      <c r="C197" s="249" t="inlineStr">
        <is>
          <t>yes</t>
        </is>
      </c>
      <c r="D197" s="245" t="n">
        <v>46265</v>
      </c>
      <c r="E197" s="245" t="n">
        <v>46265</v>
      </c>
      <c r="F197" s="245">
        <f>IFERROR(INDEX('Batch Dates'!$G:$G,MATCH(J197,'Batch Dates'!$C:$C,0)),IFERROR(INDEX('Batch Dates'!$G:$G,MATCH(I197,'Batch Dates'!$B:$B,0)),""))</f>
        <v/>
      </c>
      <c r="G197" s="243" t="inlineStr">
        <is>
          <t>legacy</t>
        </is>
      </c>
      <c r="H197" s="243" t="inlineStr">
        <is>
          <t>retest 1</t>
        </is>
      </c>
      <c r="I197" s="244" t="inlineStr">
        <is>
          <t>OPM112501</t>
        </is>
      </c>
      <c r="J197" s="243" t="inlineStr">
        <is>
          <t>P060222</t>
        </is>
      </c>
      <c r="K197" s="243" t="inlineStr">
        <is>
          <t>Orange Punch Mimosa</t>
        </is>
      </c>
      <c r="L197" s="243" t="inlineStr">
        <is>
          <t>Ident A + Ident B + Foreign matter</t>
        </is>
      </c>
      <c r="M197" s="248" t="inlineStr">
        <is>
          <t>—</t>
        </is>
      </c>
      <c r="N197" s="243">
        <f>IFERROR(INDEX('CoQ Register'!$B:$B,MATCH("P060222|R",'CoQ Register'!$S:$S,0)),"—")</f>
        <v/>
      </c>
      <c r="O197" s="248" t="inlineStr">
        <is>
          <t>—</t>
        </is>
      </c>
      <c r="P197" s="243" t="inlineStr">
        <is>
          <t>05.03.2027</t>
        </is>
      </c>
      <c r="Q197" s="243" t="inlineStr">
        <is>
          <t>05.02.2026</t>
        </is>
      </c>
      <c r="R197" s="243" t="inlineStr">
        <is>
          <t>24.04.2026 (the issuance plan's basis: 05.03.2026)</t>
        </is>
      </c>
      <c r="S197" s="245">
        <f>IFERROR(INDEX('CoQ Register'!$D:$D,MATCH("P060222|R",'CoQ Register'!$S:$S,0)),"")</f>
        <v/>
      </c>
      <c r="T197" s="243" t="inlineStr">
        <is>
          <t>Conforms</t>
        </is>
      </c>
      <c r="U197" s="243" t="inlineStr">
        <is>
          <t>Conforms</t>
        </is>
      </c>
      <c r="V197" s="243" t="inlineStr">
        <is>
          <t>Conforms</t>
        </is>
      </c>
      <c r="W197" s="243" t="inlineStr">
        <is>
          <t>227-10-K-26, (11.09.2026) [FHM-K]</t>
        </is>
      </c>
      <c r="X197" s="243" t="inlineStr">
        <is>
          <t>227-10-K-26, (11.09.2026) [FHM-K]</t>
        </is>
      </c>
      <c r="Y197" s="243" t="inlineStr">
        <is>
          <t>— pending —</t>
        </is>
      </c>
      <c r="Z197" s="243" t="inlineStr">
        <is>
          <t>#8, #9, #11, #12 from the initial testing</t>
        </is>
      </c>
      <c r="AA197" s="243" t="inlineStr">
        <is>
          <t>P060222|R</t>
        </is>
      </c>
      <c r="AB197" s="250" t="inlineStr">
        <is>
          <t>registered — retest 1, issued 31.08.2026</t>
        </is>
      </c>
    </row>
    <row r="198">
      <c r="A198" s="243" t="n">
        <v>197</v>
      </c>
      <c r="B198" s="244" t="inlineStr">
        <is>
          <t>iCoA-PP_26-197</t>
        </is>
      </c>
      <c r="C198" s="249" t="inlineStr">
        <is>
          <t>yes</t>
        </is>
      </c>
      <c r="D198" s="245" t="n">
        <v>46265</v>
      </c>
      <c r="E198" s="245" t="n">
        <v>46265</v>
      </c>
      <c r="F198" s="245">
        <f>IFERROR(INDEX('Batch Dates'!$G:$G,MATCH(J198,'Batch Dates'!$C:$C,0)),IFERROR(INDEX('Batch Dates'!$G:$G,MATCH(I198,'Batch Dates'!$B:$B,0)),""))</f>
        <v/>
      </c>
      <c r="G198" s="243" t="inlineStr">
        <is>
          <t>post-SOP</t>
        </is>
      </c>
      <c r="H198" s="243" t="inlineStr">
        <is>
          <t>retest 1</t>
        </is>
      </c>
      <c r="I198" s="244" t="inlineStr">
        <is>
          <t>SCR012601*</t>
        </is>
      </c>
      <c r="J198" s="243" t="inlineStr">
        <is>
          <t>P060342</t>
        </is>
      </c>
      <c r="K198" s="243" t="inlineStr">
        <is>
          <t>Scrambler</t>
        </is>
      </c>
      <c r="L198" s="243" t="inlineStr">
        <is>
          <t>Ident A + Ident B + Foreign matter</t>
        </is>
      </c>
      <c r="M198" s="248" t="inlineStr">
        <is>
          <t>—</t>
        </is>
      </c>
      <c r="N198" s="243">
        <f>IFERROR(INDEX('CoQ Register'!$B:$B,MATCH("P060342|R",'CoQ Register'!$S:$S,0)),"—")</f>
        <v/>
      </c>
      <c r="O198" s="248" t="inlineStr">
        <is>
          <t>—</t>
        </is>
      </c>
      <c r="P198" s="243" t="inlineStr">
        <is>
          <t>25.05.2027</t>
        </is>
      </c>
      <c r="Q198" s="243" t="inlineStr">
        <is>
          <t>16.04.2026</t>
        </is>
      </c>
      <c r="R198" s="243" t="inlineStr">
        <is>
          <t>25.05.2026</t>
        </is>
      </c>
      <c r="S198" s="245">
        <f>IFERROR(INDEX('CoQ Register'!$D:$D,MATCH("P060342|R",'CoQ Register'!$S:$S,0)),"")</f>
        <v/>
      </c>
      <c r="T198" s="243" t="inlineStr">
        <is>
          <t>Conforms</t>
        </is>
      </c>
      <c r="U198" s="243" t="inlineStr">
        <is>
          <t>Conforms</t>
        </is>
      </c>
      <c r="V198" s="243" t="inlineStr">
        <is>
          <t>Conforms</t>
        </is>
      </c>
      <c r="W198" s="243" t="inlineStr">
        <is>
          <t>227-8-K-26, (11.09.2026) [FHM-K]</t>
        </is>
      </c>
      <c r="X198" s="243" t="inlineStr">
        <is>
          <t>227-8-K-26, (11.09.2026) [FHM-K]</t>
        </is>
      </c>
      <c r="Y198" s="243" t="inlineStr">
        <is>
          <t>— pending —</t>
        </is>
      </c>
      <c r="Z198" s="243" t="inlineStr">
        <is>
          <t>#8, #9, #11, #12 from the initial testing</t>
        </is>
      </c>
      <c r="AA198" s="243" t="inlineStr">
        <is>
          <t>P060342|R</t>
        </is>
      </c>
      <c r="AB198" s="250" t="inlineStr">
        <is>
          <t>registered — retest 1, issued 31.08.2026</t>
        </is>
      </c>
    </row>
    <row r="199">
      <c r="A199" s="243" t="n">
        <v>198</v>
      </c>
      <c r="B199" s="244" t="inlineStr">
        <is>
          <t>iCoA-PP_26-198</t>
        </is>
      </c>
      <c r="C199" s="249" t="inlineStr">
        <is>
          <t>yes</t>
        </is>
      </c>
      <c r="D199" s="245" t="n">
        <v>46265</v>
      </c>
      <c r="E199" s="245" t="n">
        <v>46265</v>
      </c>
      <c r="F199" s="245">
        <f>IFERROR(INDEX('Batch Dates'!$G:$G,MATCH(J199,'Batch Dates'!$C:$C,0)),IFERROR(INDEX('Batch Dates'!$G:$G,MATCH(I199,'Batch Dates'!$B:$B,0)),""))</f>
        <v/>
      </c>
      <c r="G199" s="243" t="inlineStr">
        <is>
          <t>post-SOP</t>
        </is>
      </c>
      <c r="H199" s="243" t="inlineStr">
        <is>
          <t>retest 1</t>
        </is>
      </c>
      <c r="I199" s="244" t="inlineStr">
        <is>
          <t>SCR022601</t>
        </is>
      </c>
      <c r="J199" s="243" t="inlineStr">
        <is>
          <t>P060442</t>
        </is>
      </c>
      <c r="K199" s="243" t="inlineStr">
        <is>
          <t>Scrambler</t>
        </is>
      </c>
      <c r="L199" s="243" t="inlineStr">
        <is>
          <t>Ident A + Ident B + Foreign matter</t>
        </is>
      </c>
      <c r="M199" s="248" t="inlineStr">
        <is>
          <t>—</t>
        </is>
      </c>
      <c r="N199" s="243">
        <f>IFERROR(INDEX('CoQ Register'!$B:$B,MATCH("P060442|R",'CoQ Register'!$S:$S,0)),"—")</f>
        <v/>
      </c>
      <c r="O199" s="248" t="inlineStr">
        <is>
          <t>—</t>
        </is>
      </c>
      <c r="P199" s="243" t="inlineStr">
        <is>
          <t>06.07.2027</t>
        </is>
      </c>
      <c r="Q199" s="243" t="inlineStr">
        <is>
          <t>13.05.2026</t>
        </is>
      </c>
      <c r="R199" s="243" t="inlineStr">
        <is>
          <t>18.06.2026 (the issuance plan's basis: 06.07.2026)</t>
        </is>
      </c>
      <c r="S199" s="245">
        <f>IFERROR(INDEX('CoQ Register'!$D:$D,MATCH("P060442|R",'CoQ Register'!$S:$S,0)),"")</f>
        <v/>
      </c>
      <c r="T199" s="243" t="inlineStr">
        <is>
          <t>CNP ППК26116</t>
        </is>
      </c>
      <c r="U199" s="243" t="inlineStr">
        <is>
          <t>CNP ППК26116</t>
        </is>
      </c>
      <c r="V199" s="243" t="inlineStr">
        <is>
          <t>Conforms</t>
        </is>
      </c>
      <c r="W199" s="243" t="inlineStr">
        <is>
          <t>227-7-K-26, (11.09.2026) [FHM-K]</t>
        </is>
      </c>
      <c r="X199" s="243" t="inlineStr">
        <is>
          <t>227-7-K-26, (11.09.2026) [FHM-K]</t>
        </is>
      </c>
      <c r="Y199" s="243" t="inlineStr">
        <is>
          <t>— pending —</t>
        </is>
      </c>
      <c r="Z199" s="243" t="inlineStr">
        <is>
          <t>#8, #9, #11, #12 from the initial testing</t>
        </is>
      </c>
      <c r="AA199" s="243" t="inlineStr">
        <is>
          <t>P060442|R</t>
        </is>
      </c>
      <c r="AB199" s="250" t="inlineStr">
        <is>
          <t>registered — retest 1, issued 31.08.2026</t>
        </is>
      </c>
    </row>
    <row r="200">
      <c r="A200" s="243" t="n">
        <v>199</v>
      </c>
      <c r="B200" s="244" t="inlineStr">
        <is>
          <t>iCoA-PP_26-199</t>
        </is>
      </c>
      <c r="C200" s="249" t="inlineStr">
        <is>
          <t>yes</t>
        </is>
      </c>
      <c r="D200" s="245" t="n">
        <v>46265</v>
      </c>
      <c r="E200" s="245" t="n">
        <v>46265</v>
      </c>
      <c r="F200" s="245">
        <f>IFERROR(INDEX('Batch Dates'!$G:$G,MATCH(J200,'Batch Dates'!$C:$C,0)),IFERROR(INDEX('Batch Dates'!$G:$G,MATCH(I200,'Batch Dates'!$B:$B,0)),""))</f>
        <v/>
      </c>
      <c r="G200" s="243" t="inlineStr">
        <is>
          <t>legacy</t>
        </is>
      </c>
      <c r="H200" s="243" t="inlineStr">
        <is>
          <t>retest 1</t>
        </is>
      </c>
      <c r="I200" s="244" t="inlineStr">
        <is>
          <t>SJ102501</t>
        </is>
      </c>
      <c r="J200" s="243" t="inlineStr">
        <is>
          <t>P060162</t>
        </is>
      </c>
      <c r="K200" s="243" t="inlineStr">
        <is>
          <t>Sleepy Joe</t>
        </is>
      </c>
      <c r="L200" s="243" t="inlineStr">
        <is>
          <t>Ident A + Ident B + Foreign matter</t>
        </is>
      </c>
      <c r="M200" s="248" t="inlineStr">
        <is>
          <t>—</t>
        </is>
      </c>
      <c r="N200" s="243">
        <f>IFERROR(INDEX('CoQ Register'!$B:$B,MATCH("P060162|R",'CoQ Register'!$S:$S,0)),"—")</f>
        <v/>
      </c>
      <c r="O200" s="248" t="inlineStr">
        <is>
          <t>—</t>
        </is>
      </c>
      <c r="P200" s="243" t="inlineStr">
        <is>
          <t>04.03.2027</t>
        </is>
      </c>
      <c r="Q200" s="243" t="inlineStr">
        <is>
          <t>20.01.2026</t>
        </is>
      </c>
      <c r="R200" s="243" t="inlineStr">
        <is>
          <t>09.03.2026 (the issuance plan's basis: 04.03.2026)</t>
        </is>
      </c>
      <c r="S200" s="245">
        <f>IFERROR(INDEX('CoQ Register'!$D:$D,MATCH("P060162|R",'CoQ Register'!$S:$S,0)),"")</f>
        <v/>
      </c>
      <c r="T200" s="243" t="inlineStr">
        <is>
          <t>Conforms</t>
        </is>
      </c>
      <c r="U200" s="243" t="inlineStr">
        <is>
          <t>Conforms</t>
        </is>
      </c>
      <c r="V200" s="243" t="inlineStr">
        <is>
          <t>Conforms</t>
        </is>
      </c>
      <c r="W200" s="243" t="inlineStr">
        <is>
          <t>227-6-K-26, (11.09.2026) [FHM-K]</t>
        </is>
      </c>
      <c r="X200" s="243" t="inlineStr">
        <is>
          <t>227-6-K-26, (11.09.2026) [FHM-K]</t>
        </is>
      </c>
      <c r="Y200" s="243" t="inlineStr">
        <is>
          <t>— pending —</t>
        </is>
      </c>
      <c r="Z200" s="243" t="inlineStr">
        <is>
          <t>#8, #9, #11, #12 from the initial testing</t>
        </is>
      </c>
      <c r="AA200" s="243" t="inlineStr">
        <is>
          <t>P060162|R</t>
        </is>
      </c>
      <c r="AB200" s="250" t="inlineStr">
        <is>
          <t>registered — retest 1, issued 31.08.2026</t>
        </is>
      </c>
    </row>
    <row r="201">
      <c r="A201" s="243" t="n">
        <v>200</v>
      </c>
      <c r="B201" s="244" t="inlineStr">
        <is>
          <t>iCoA-PP_26-200</t>
        </is>
      </c>
      <c r="C201" s="249" t="inlineStr">
        <is>
          <t>yes</t>
        </is>
      </c>
      <c r="D201" s="245" t="n">
        <v>46266</v>
      </c>
      <c r="E201" s="245" t="n">
        <v>46266</v>
      </c>
      <c r="F201" s="245">
        <f>IFERROR(INDEX('Batch Dates'!$G:$G,MATCH(J201,'Batch Dates'!$C:$C,0)),IFERROR(INDEX('Batch Dates'!$G:$G,MATCH(I201,'Batch Dates'!$B:$B,0)),""))</f>
        <v/>
      </c>
      <c r="G201" s="243" t="inlineStr">
        <is>
          <t>legacy</t>
        </is>
      </c>
      <c r="H201" s="243" t="inlineStr">
        <is>
          <t>retest 1</t>
        </is>
      </c>
      <c r="I201" s="244" t="inlineStr">
        <is>
          <t>AB092501</t>
        </is>
      </c>
      <c r="J201" s="243" t="inlineStr">
        <is>
          <t>P060052</t>
        </is>
      </c>
      <c r="K201" s="243" t="inlineStr">
        <is>
          <t>Apple and Banana</t>
        </is>
      </c>
      <c r="L201" s="243" t="inlineStr">
        <is>
          <t>Ident A + Ident B + Foreign matter</t>
        </is>
      </c>
      <c r="M201" s="248" t="inlineStr">
        <is>
          <t>—</t>
        </is>
      </c>
      <c r="N201" s="243">
        <f>IFERROR(INDEX('CoQ Register'!$B:$B,MATCH("P060052|R",'CoQ Register'!$S:$S,0)),"—")</f>
        <v/>
      </c>
      <c r="O201" s="248" t="inlineStr">
        <is>
          <t>—</t>
        </is>
      </c>
      <c r="P201" s="243" t="inlineStr">
        <is>
          <t>20.02.2027</t>
        </is>
      </c>
      <c r="Q201" s="243" t="inlineStr">
        <is>
          <t>11.12.2025</t>
        </is>
      </c>
      <c r="R201" s="243" t="inlineStr">
        <is>
          <t>30.01.2026 (the issuance plan's basis: 20.02.2026)</t>
        </is>
      </c>
      <c r="S201" s="245">
        <f>IFERROR(INDEX('CoQ Register'!$D:$D,MATCH("P060052|R",'CoQ Register'!$S:$S,0)),"")</f>
        <v/>
      </c>
      <c r="T201" s="243" t="inlineStr">
        <is>
          <t>Conforms</t>
        </is>
      </c>
      <c r="U201" s="243" t="inlineStr">
        <is>
          <t>Conforms</t>
        </is>
      </c>
      <c r="V201" s="243" t="inlineStr">
        <is>
          <t>Conforms</t>
        </is>
      </c>
      <c r="W201" s="243" t="inlineStr">
        <is>
          <t>227-30-K-26, (11.09.2026) [FHM-K]</t>
        </is>
      </c>
      <c r="X201" s="243" t="inlineStr">
        <is>
          <t>227-30-K-26, (11.09.2026) [FHM-K]</t>
        </is>
      </c>
      <c r="Y201" s="243" t="inlineStr">
        <is>
          <t>— pending —</t>
        </is>
      </c>
      <c r="Z201" s="243" t="inlineStr">
        <is>
          <t>#8, #9, #11, #12 from the initial testing</t>
        </is>
      </c>
      <c r="AA201" s="243" t="inlineStr">
        <is>
          <t>P060052|R</t>
        </is>
      </c>
      <c r="AB201" s="250" t="inlineStr">
        <is>
          <t>registered — retest 1, issued 01.09.2026</t>
        </is>
      </c>
    </row>
    <row r="202">
      <c r="A202" s="243" t="n">
        <v>201</v>
      </c>
      <c r="B202" s="244" t="inlineStr">
        <is>
          <t>iCoA-PP_26-201</t>
        </is>
      </c>
      <c r="C202" s="249" t="inlineStr">
        <is>
          <t>yes</t>
        </is>
      </c>
      <c r="D202" s="245" t="n">
        <v>46266</v>
      </c>
      <c r="E202" s="245" t="n">
        <v>46266</v>
      </c>
      <c r="F202" s="245">
        <f>IFERROR(INDEX('Batch Dates'!$G:$G,MATCH(J202,'Batch Dates'!$C:$C,0)),IFERROR(INDEX('Batch Dates'!$G:$G,MATCH(I202,'Batch Dates'!$B:$B,0)),""))</f>
        <v/>
      </c>
      <c r="G202" s="243" t="inlineStr">
        <is>
          <t>legacy</t>
        </is>
      </c>
      <c r="H202" s="243" t="inlineStr">
        <is>
          <t>retest 1</t>
        </is>
      </c>
      <c r="I202" s="244" t="inlineStr">
        <is>
          <t>BSS1024_01/1</t>
        </is>
      </c>
      <c r="J202" s="243" t="inlineStr">
        <is>
          <t>P050122</t>
        </is>
      </c>
      <c r="K202" s="243" t="inlineStr">
        <is>
          <t>Blue Sunset Sherbet</t>
        </is>
      </c>
      <c r="L202" s="243" t="inlineStr">
        <is>
          <t>Ident A + Ident B + Foreign matter</t>
        </is>
      </c>
      <c r="M202" s="248" t="inlineStr">
        <is>
          <t>—</t>
        </is>
      </c>
      <c r="N202" s="243">
        <f>IFERROR(INDEX('CoQ Register'!$B:$B,MATCH("P050122|R",'CoQ Register'!$S:$S,0)),"—")</f>
        <v/>
      </c>
      <c r="O202" s="248" t="inlineStr">
        <is>
          <t>—</t>
        </is>
      </c>
      <c r="P202" s="243" t="inlineStr">
        <is>
          <t>10.07.2026</t>
        </is>
      </c>
      <c r="Q202" s="243" t="inlineStr">
        <is>
          <t>04.06.2025 – 05.06.2025</t>
        </is>
      </c>
      <c r="R202" s="243" t="inlineStr">
        <is>
          <t>01.09.2025 – 09.09.2025 (the issuance plan's basis: 10.07.2025)</t>
        </is>
      </c>
      <c r="S202" s="245">
        <f>IFERROR(INDEX('CoQ Register'!$D:$D,MATCH("P050122|R",'CoQ Register'!$S:$S,0)),"")</f>
        <v/>
      </c>
      <c r="T202" s="243" t="inlineStr">
        <is>
          <t>Conforms</t>
        </is>
      </c>
      <c r="U202" s="243" t="inlineStr">
        <is>
          <t>Conforms</t>
        </is>
      </c>
      <c r="V202" s="243" t="inlineStr">
        <is>
          <t>Conforms</t>
        </is>
      </c>
      <c r="W202" s="243" t="inlineStr">
        <is>
          <t>227-29-K-26, (11.09.2026) [FHM-K]</t>
        </is>
      </c>
      <c r="X202" s="243" t="inlineStr">
        <is>
          <t>227-29-K-26, (11.09.2026) [FHM-K]</t>
        </is>
      </c>
      <c r="Y202" s="243" t="inlineStr">
        <is>
          <t>— pending —</t>
        </is>
      </c>
      <c r="Z202" s="243" t="inlineStr">
        <is>
          <t>#8, #9, #11, #12 from the initial testing</t>
        </is>
      </c>
      <c r="AA202" s="243" t="inlineStr">
        <is>
          <t>P050122|R</t>
        </is>
      </c>
      <c r="AB202" s="250" t="inlineStr">
        <is>
          <t>registered — retest 1, issued 01.09.2026</t>
        </is>
      </c>
    </row>
    <row r="203">
      <c r="A203" s="243" t="n">
        <v>202</v>
      </c>
      <c r="B203" s="244" t="inlineStr">
        <is>
          <t>iCoA-PP_26-202</t>
        </is>
      </c>
      <c r="C203" s="249" t="inlineStr">
        <is>
          <t>yes</t>
        </is>
      </c>
      <c r="D203" s="245" t="n">
        <v>46266</v>
      </c>
      <c r="E203" s="245" t="n">
        <v>46266</v>
      </c>
      <c r="F203" s="245">
        <f>IFERROR(INDEX('Batch Dates'!$G:$G,MATCH(J203,'Batch Dates'!$C:$C,0)),IFERROR(INDEX('Batch Dates'!$G:$G,MATCH(I203,'Batch Dates'!$B:$B,0)),""))</f>
        <v/>
      </c>
      <c r="G203" s="243" t="inlineStr">
        <is>
          <t>legacy</t>
        </is>
      </c>
      <c r="H203" s="243" t="inlineStr">
        <is>
          <t>retest 1</t>
        </is>
      </c>
      <c r="I203" s="244" t="inlineStr">
        <is>
          <t>BSS1024_01/2</t>
        </is>
      </c>
      <c r="J203" s="243" t="inlineStr">
        <is>
          <t>P050142</t>
        </is>
      </c>
      <c r="K203" s="243" t="inlineStr">
        <is>
          <t>Blue Sunset Sherbet</t>
        </is>
      </c>
      <c r="L203" s="243" t="inlineStr">
        <is>
          <t>Ident A + Ident B + Foreign matter</t>
        </is>
      </c>
      <c r="M203" s="248" t="inlineStr">
        <is>
          <t>—</t>
        </is>
      </c>
      <c r="N203" s="243">
        <f>IFERROR(INDEX('CoQ Register'!$B:$B,MATCH("P050142|R",'CoQ Register'!$S:$S,0)),"—")</f>
        <v/>
      </c>
      <c r="O203" s="248" t="inlineStr">
        <is>
          <t>—</t>
        </is>
      </c>
      <c r="P203" s="243" t="inlineStr">
        <is>
          <t>30.09.2026</t>
        </is>
      </c>
      <c r="Q203" s="243" t="inlineStr">
        <is>
          <t>— not given —</t>
        </is>
      </c>
      <c r="R203" s="243" t="inlineStr">
        <is>
          <t>30.09.2025</t>
        </is>
      </c>
      <c r="S203" s="245">
        <f>IFERROR(INDEX('CoQ Register'!$D:$D,MATCH("P050142|R",'CoQ Register'!$S:$S,0)),"")</f>
        <v/>
      </c>
      <c r="T203" s="243" t="inlineStr">
        <is>
          <t>Conforms</t>
        </is>
      </c>
      <c r="U203" s="243" t="inlineStr">
        <is>
          <t>Conforms</t>
        </is>
      </c>
      <c r="V203" s="243" t="inlineStr">
        <is>
          <t>Conforms</t>
        </is>
      </c>
      <c r="W203" s="243" t="inlineStr">
        <is>
          <t>227-1-K-26, (11.09.2026) [FHM-K]</t>
        </is>
      </c>
      <c r="X203" s="243" t="inlineStr">
        <is>
          <t>227-1-K-26, (11.09.2026) [FHM-K]</t>
        </is>
      </c>
      <c r="Y203" s="243" t="inlineStr">
        <is>
          <t>— pending —</t>
        </is>
      </c>
      <c r="Z203" s="243" t="inlineStr">
        <is>
          <t>#8, #9, #11, #12 from the initial testing</t>
        </is>
      </c>
      <c r="AA203" s="243" t="inlineStr">
        <is>
          <t>P050142|R</t>
        </is>
      </c>
      <c r="AB203" s="250" t="inlineStr">
        <is>
          <t>registered — retest 1, issued 01.09.2026</t>
        </is>
      </c>
    </row>
    <row r="204">
      <c r="A204" s="243" t="n">
        <v>203</v>
      </c>
      <c r="B204" s="244" t="inlineStr">
        <is>
          <t>iCoA-PP_26-203</t>
        </is>
      </c>
      <c r="C204" s="249" t="inlineStr">
        <is>
          <t>yes</t>
        </is>
      </c>
      <c r="D204" s="245" t="n">
        <v>46266</v>
      </c>
      <c r="E204" s="245" t="n">
        <v>46266</v>
      </c>
      <c r="F204" s="245">
        <f>IFERROR(INDEX('Batch Dates'!$G:$G,MATCH(J204,'Batch Dates'!$C:$C,0)),IFERROR(INDEX('Batch Dates'!$G:$G,MATCH(I204,'Batch Dates'!$B:$B,0)),""))</f>
        <v/>
      </c>
      <c r="G204" s="243" t="inlineStr">
        <is>
          <t>legacy</t>
        </is>
      </c>
      <c r="H204" s="243" t="inlineStr">
        <is>
          <t>retest 1</t>
        </is>
      </c>
      <c r="I204" s="244" t="inlineStr">
        <is>
          <t>CJ052501/02</t>
        </is>
      </c>
      <c r="J204" s="243" t="inlineStr">
        <is>
          <t>P050172</t>
        </is>
      </c>
      <c r="K204" s="243" t="inlineStr">
        <is>
          <t>Cap Junky</t>
        </is>
      </c>
      <c r="L204" s="243" t="inlineStr">
        <is>
          <t>Ident A + Ident B + Foreign matter</t>
        </is>
      </c>
      <c r="M204" s="248" t="inlineStr">
        <is>
          <t>—</t>
        </is>
      </c>
      <c r="N204" s="243">
        <f>IFERROR(INDEX('CoQ Register'!$B:$B,MATCH("P050172|R",'CoQ Register'!$S:$S,0)),"—")</f>
        <v/>
      </c>
      <c r="O204" s="248" t="inlineStr">
        <is>
          <t>—</t>
        </is>
      </c>
      <c r="P204" s="243" t="inlineStr">
        <is>
          <t>17.09.2026</t>
        </is>
      </c>
      <c r="Q204" s="243" t="inlineStr">
        <is>
          <t>20.08.2025</t>
        </is>
      </c>
      <c r="R204" s="243" t="inlineStr">
        <is>
          <t>01.10.2025 – 02.10.2025 (the issuance plan's basis: 17.09.2025)</t>
        </is>
      </c>
      <c r="S204" s="245">
        <f>IFERROR(INDEX('CoQ Register'!$D:$D,MATCH("P050172|R",'CoQ Register'!$S:$S,0)),"")</f>
        <v/>
      </c>
      <c r="T204" s="243" t="inlineStr">
        <is>
          <t>Conforms</t>
        </is>
      </c>
      <c r="U204" s="243" t="inlineStr">
        <is>
          <t>Conforms</t>
        </is>
      </c>
      <c r="V204" s="243" t="inlineStr">
        <is>
          <t>Conforms</t>
        </is>
      </c>
      <c r="W204" s="243" t="inlineStr">
        <is>
          <t>227-28-K-26, (11.09.2026) [FHM-K]</t>
        </is>
      </c>
      <c r="X204" s="243" t="inlineStr">
        <is>
          <t>227-28-K-26, (11.09.2026) [FHM-K]</t>
        </is>
      </c>
      <c r="Y204" s="243" t="inlineStr">
        <is>
          <t>— pending —</t>
        </is>
      </c>
      <c r="Z204" s="243" t="inlineStr">
        <is>
          <t>#8, #9, #11, #12 from the initial testing</t>
        </is>
      </c>
      <c r="AA204" s="243" t="inlineStr">
        <is>
          <t>P050172|R</t>
        </is>
      </c>
      <c r="AB204" s="250" t="inlineStr">
        <is>
          <t>registered — retest 1, issued 01.09.2026</t>
        </is>
      </c>
    </row>
    <row r="205">
      <c r="A205" s="243" t="n">
        <v>204</v>
      </c>
      <c r="B205" s="244" t="inlineStr">
        <is>
          <t>iCoA-PP_26-204</t>
        </is>
      </c>
      <c r="C205" s="249" t="inlineStr">
        <is>
          <t>yes</t>
        </is>
      </c>
      <c r="D205" s="245" t="n">
        <v>46266</v>
      </c>
      <c r="E205" s="245" t="n">
        <v>46266</v>
      </c>
      <c r="F205" s="245">
        <f>IFERROR(INDEX('Batch Dates'!$G:$G,MATCH(J205,'Batch Dates'!$C:$C,0)),IFERROR(INDEX('Batch Dates'!$G:$G,MATCH(I205,'Batch Dates'!$B:$B,0)),""))</f>
        <v/>
      </c>
      <c r="G205" s="243" t="inlineStr">
        <is>
          <t>legacy</t>
        </is>
      </c>
      <c r="H205" s="243" t="inlineStr">
        <is>
          <t>retest 1</t>
        </is>
      </c>
      <c r="I205" s="244" t="inlineStr">
        <is>
          <t>CJ072501</t>
        </is>
      </c>
      <c r="J205" s="243" t="inlineStr">
        <is>
          <t>P050252</t>
        </is>
      </c>
      <c r="K205" s="243" t="inlineStr">
        <is>
          <t>Cap Junky</t>
        </is>
      </c>
      <c r="L205" s="243" t="inlineStr">
        <is>
          <t>Ident A + Ident B + Foreign matter</t>
        </is>
      </c>
      <c r="M205" s="248" t="inlineStr">
        <is>
          <t>—</t>
        </is>
      </c>
      <c r="N205" s="243">
        <f>IFERROR(INDEX('CoQ Register'!$B:$B,MATCH("P050252|R",'CoQ Register'!$S:$S,0)),"—")</f>
        <v/>
      </c>
      <c r="O205" s="248" t="inlineStr">
        <is>
          <t>—</t>
        </is>
      </c>
      <c r="P205" s="243" t="inlineStr">
        <is>
          <t>02.12.2026</t>
        </is>
      </c>
      <c r="Q205" s="243" t="inlineStr">
        <is>
          <t>27.10.2025</t>
        </is>
      </c>
      <c r="R205" s="243" t="inlineStr">
        <is>
          <t>27.11.2025 – 28.11.2025 (the issuance plan's basis: 02.12.2025)</t>
        </is>
      </c>
      <c r="S205" s="245">
        <f>IFERROR(INDEX('CoQ Register'!$D:$D,MATCH("P050252|R",'CoQ Register'!$S:$S,0)),"")</f>
        <v/>
      </c>
      <c r="T205" s="243" t="inlineStr">
        <is>
          <t>Conforms</t>
        </is>
      </c>
      <c r="U205" s="243" t="inlineStr">
        <is>
          <t>Conforms</t>
        </is>
      </c>
      <c r="V205" s="243" t="inlineStr">
        <is>
          <t>Conforms</t>
        </is>
      </c>
      <c r="W205" s="243" t="inlineStr">
        <is>
          <t>227-27-K-26, (11.09.2026) [FHM-K]</t>
        </is>
      </c>
      <c r="X205" s="243" t="inlineStr">
        <is>
          <t>227-27-K-26, (11.09.2026) [FHM-K]</t>
        </is>
      </c>
      <c r="Y205" s="243" t="inlineStr">
        <is>
          <t>— pending —</t>
        </is>
      </c>
      <c r="Z205" s="243" t="inlineStr">
        <is>
          <t>#8, #9, #11, #12 from the initial testing</t>
        </is>
      </c>
      <c r="AA205" s="243" t="inlineStr">
        <is>
          <t>P050252|R</t>
        </is>
      </c>
      <c r="AB205" s="250" t="inlineStr">
        <is>
          <t>registered — retest 1, issued 01.09.2026</t>
        </is>
      </c>
    </row>
    <row r="206">
      <c r="A206" s="243" t="n">
        <v>205</v>
      </c>
      <c r="B206" s="244" t="inlineStr">
        <is>
          <t>iCoA-PP_26-205</t>
        </is>
      </c>
      <c r="C206" s="249" t="inlineStr">
        <is>
          <t>yes</t>
        </is>
      </c>
      <c r="D206" s="245" t="n">
        <v>46266</v>
      </c>
      <c r="E206" s="245" t="n">
        <v>46266</v>
      </c>
      <c r="F206" s="245">
        <f>IFERROR(INDEX('Batch Dates'!$G:$G,MATCH(J206,'Batch Dates'!$C:$C,0)),IFERROR(INDEX('Batch Dates'!$G:$G,MATCH(I206,'Batch Dates'!$B:$B,0)),""))</f>
        <v/>
      </c>
      <c r="G206" s="243" t="inlineStr">
        <is>
          <t>legacy</t>
        </is>
      </c>
      <c r="H206" s="243" t="inlineStr">
        <is>
          <t>retest 1</t>
        </is>
      </c>
      <c r="I206" s="244" t="inlineStr">
        <is>
          <t>CJ1024</t>
        </is>
      </c>
      <c r="J206" s="243" t="inlineStr">
        <is>
          <t>N/A — no P batch assigned</t>
        </is>
      </c>
      <c r="K206" s="243" t="inlineStr">
        <is>
          <t>Cap Junky</t>
        </is>
      </c>
      <c r="L206" s="243" t="inlineStr">
        <is>
          <t>Ident A + Ident B + Foreign matter</t>
        </is>
      </c>
      <c r="M206" s="248" t="inlineStr">
        <is>
          <t>—</t>
        </is>
      </c>
      <c r="N206" s="243">
        <f>IFERROR(INDEX('CoQ Register'!$B:$B,MATCH("CJ1024|R",'CoQ Register'!$S:$S,0)),"—")</f>
        <v/>
      </c>
      <c r="O206" s="248" t="inlineStr">
        <is>
          <t>—</t>
        </is>
      </c>
      <c r="P206" s="243" t="inlineStr">
        <is>
          <t>27.02.2026</t>
        </is>
      </c>
      <c r="Q206" s="243" t="inlineStr">
        <is>
          <t>20.01.2025</t>
        </is>
      </c>
      <c r="R206" s="243" t="inlineStr">
        <is>
          <t>03.03.2025 (the issuance plan's basis: 27.02.2025)</t>
        </is>
      </c>
      <c r="S206" s="245">
        <f>IFERROR(INDEX('CoQ Register'!$D:$D,MATCH("CJ1024|R",'CoQ Register'!$S:$S,0)),"")</f>
        <v/>
      </c>
      <c r="T206" s="243" t="inlineStr">
        <is>
          <t>Conforms</t>
        </is>
      </c>
      <c r="U206" s="243" t="inlineStr">
        <is>
          <t>Conforms</t>
        </is>
      </c>
      <c r="V206" s="243" t="inlineStr">
        <is>
          <t>Conforms</t>
        </is>
      </c>
      <c r="W206" s="243" t="inlineStr">
        <is>
          <t>227-26-K-26, (11.09.2026) [FHM-K]</t>
        </is>
      </c>
      <c r="X206" s="243" t="inlineStr">
        <is>
          <t>227-26-K-26, (11.09.2026) [FHM-K]</t>
        </is>
      </c>
      <c r="Y206" s="243" t="inlineStr">
        <is>
          <t>— pending —</t>
        </is>
      </c>
      <c r="Z206" s="243" t="inlineStr">
        <is>
          <t>#8, #9, #11, #12 from the initial testing</t>
        </is>
      </c>
      <c r="AA206" s="243" t="inlineStr">
        <is>
          <t>CJ1024|R</t>
        </is>
      </c>
      <c r="AB206" s="250" t="inlineStr">
        <is>
          <t>registered — retest 1, issued 01.09.2026</t>
        </is>
      </c>
    </row>
    <row r="207">
      <c r="A207" s="243" t="n">
        <v>206</v>
      </c>
      <c r="B207" s="244" t="inlineStr">
        <is>
          <t>iCoA-PP_26-206</t>
        </is>
      </c>
      <c r="C207" s="249" t="inlineStr">
        <is>
          <t>yes</t>
        </is>
      </c>
      <c r="D207" s="245" t="n">
        <v>46266</v>
      </c>
      <c r="E207" s="245" t="n">
        <v>46266</v>
      </c>
      <c r="F207" s="245">
        <f>IFERROR(INDEX('Batch Dates'!$G:$G,MATCH(J207,'Batch Dates'!$C:$C,0)),IFERROR(INDEX('Batch Dates'!$G:$G,MATCH(I207,'Batch Dates'!$B:$B,0)),""))</f>
        <v/>
      </c>
      <c r="G207" s="243" t="inlineStr">
        <is>
          <t>legacy</t>
        </is>
      </c>
      <c r="H207" s="243" t="inlineStr">
        <is>
          <t>retest 1</t>
        </is>
      </c>
      <c r="I207" s="244" t="inlineStr">
        <is>
          <t>GG1024_02</t>
        </is>
      </c>
      <c r="J207" s="243" t="inlineStr">
        <is>
          <t>P050012</t>
        </is>
      </c>
      <c r="K207" s="243" t="inlineStr">
        <is>
          <t>Gorilla Glue</t>
        </is>
      </c>
      <c r="L207" s="243" t="inlineStr">
        <is>
          <t>Ident A + Ident B + Foreign matter</t>
        </is>
      </c>
      <c r="M207" s="248" t="inlineStr">
        <is>
          <t>—</t>
        </is>
      </c>
      <c r="N207" s="243">
        <f>IFERROR(INDEX('CoQ Register'!$B:$B,MATCH("P050012|R",'CoQ Register'!$S:$S,0)),"—")</f>
        <v/>
      </c>
      <c r="O207" s="248" t="inlineStr">
        <is>
          <t>—</t>
        </is>
      </c>
      <c r="P207" s="243" t="inlineStr">
        <is>
          <t>30.05.2026</t>
        </is>
      </c>
      <c r="Q207" s="243" t="inlineStr">
        <is>
          <t>14.04.2025 – 15.04.2025</t>
        </is>
      </c>
      <c r="R207" s="243" t="inlineStr">
        <is>
          <t>11.06.2025 – 16.06.2025 (the issuance plan's basis: 30.05.2025)</t>
        </is>
      </c>
      <c r="S207" s="245">
        <f>IFERROR(INDEX('CoQ Register'!$D:$D,MATCH("P050012|R",'CoQ Register'!$S:$S,0)),"")</f>
        <v/>
      </c>
      <c r="T207" s="243" t="inlineStr">
        <is>
          <t>Conforms</t>
        </is>
      </c>
      <c r="U207" s="243" t="inlineStr">
        <is>
          <t>Conforms</t>
        </is>
      </c>
      <c r="V207" s="243" t="inlineStr">
        <is>
          <t>Conforms</t>
        </is>
      </c>
      <c r="W207" s="243" t="inlineStr">
        <is>
          <t>227-19-K-26, (11.09.2026) [FHM-K]</t>
        </is>
      </c>
      <c r="X207" s="243" t="inlineStr">
        <is>
          <t>227-19-K-26, (11.09.2026) [FHM-K]</t>
        </is>
      </c>
      <c r="Y207" s="243" t="inlineStr">
        <is>
          <t>— pending —</t>
        </is>
      </c>
      <c r="Z207" s="243" t="inlineStr">
        <is>
          <t>#8, #9, #11, #12 from the initial testing</t>
        </is>
      </c>
      <c r="AA207" s="243" t="inlineStr">
        <is>
          <t>P050012|R</t>
        </is>
      </c>
      <c r="AB207" s="250" t="inlineStr">
        <is>
          <t>registered — retest 1, issued 01.09.2026</t>
        </is>
      </c>
    </row>
    <row r="208">
      <c r="A208" s="243" t="n">
        <v>207</v>
      </c>
      <c r="B208" s="244" t="inlineStr">
        <is>
          <t>iCoA-PP_26-207</t>
        </is>
      </c>
      <c r="C208" s="249" t="inlineStr">
        <is>
          <t>yes</t>
        </is>
      </c>
      <c r="D208" s="245" t="n">
        <v>46266</v>
      </c>
      <c r="E208" s="245" t="n">
        <v>46266</v>
      </c>
      <c r="F208" s="245">
        <f>IFERROR(INDEX('Batch Dates'!$G:$G,MATCH(J208,'Batch Dates'!$C:$C,0)),IFERROR(INDEX('Batch Dates'!$G:$G,MATCH(I208,'Batch Dates'!$B:$B,0)),""))</f>
        <v/>
      </c>
      <c r="G208" s="243" t="inlineStr">
        <is>
          <t>legacy</t>
        </is>
      </c>
      <c r="H208" s="243" t="inlineStr">
        <is>
          <t>retest 2</t>
        </is>
      </c>
      <c r="I208" s="244" t="inlineStr">
        <is>
          <t>GP062501</t>
        </is>
      </c>
      <c r="J208" s="243" t="inlineStr">
        <is>
          <t>P050202</t>
        </is>
      </c>
      <c r="K208" s="243" t="inlineStr">
        <is>
          <t>Grape Pie</t>
        </is>
      </c>
      <c r="L208" s="243" t="inlineStr">
        <is>
          <t>Ident A + Ident B + Foreign matter</t>
        </is>
      </c>
      <c r="M208" s="248" t="inlineStr">
        <is>
          <t>—</t>
        </is>
      </c>
      <c r="N208" s="243">
        <f>IFERROR(INDEX('CoQ Register'!$B:$B,MATCH("P050202|R2",'CoQ Register'!$S:$S,0)),"—")</f>
        <v/>
      </c>
      <c r="O208" s="248" t="inlineStr">
        <is>
          <t>—</t>
        </is>
      </c>
      <c r="P208" s="243" t="inlineStr">
        <is>
          <t>11.05.2027</t>
        </is>
      </c>
      <c r="Q208" s="243" t="inlineStr">
        <is>
          <t>15.09.2025 – 17.09.2025</t>
        </is>
      </c>
      <c r="R208" s="243" t="inlineStr">
        <is>
          <t>30.10.2025 – 07.11.2025 (the issuance plan's basis: 11.05.2026)</t>
        </is>
      </c>
      <c r="S208" s="245">
        <f>IFERROR(INDEX('CoQ Register'!$D:$D,MATCH("P050202|R2",'CoQ Register'!$S:$S,0)),"")</f>
        <v/>
      </c>
      <c r="T208" s="243" t="inlineStr">
        <is>
          <t>Conforms</t>
        </is>
      </c>
      <c r="U208" s="243" t="inlineStr">
        <is>
          <t>Conforms</t>
        </is>
      </c>
      <c r="V208" s="243" t="inlineStr">
        <is>
          <t>Conforms</t>
        </is>
      </c>
      <c r="W208" s="243" t="inlineStr">
        <is>
          <t>227-18-K-26, (11.09.2026) [FHM-K]</t>
        </is>
      </c>
      <c r="X208" s="243" t="inlineStr">
        <is>
          <t>227-18-K-26, (11.09.2026) [FHM-K]</t>
        </is>
      </c>
      <c r="Y208" s="243" t="inlineStr">
        <is>
          <t>— pending —</t>
        </is>
      </c>
      <c r="Z208" s="243" t="inlineStr">
        <is>
          <t>#8, #9, #11, #12 from the initial testing</t>
        </is>
      </c>
      <c r="AA208" s="243" t="inlineStr">
        <is>
          <t>P050202|R2</t>
        </is>
      </c>
      <c r="AB208" s="250" t="inlineStr">
        <is>
          <t>registered — retest 2, issued 01.09.2026</t>
        </is>
      </c>
    </row>
    <row r="209">
      <c r="A209" s="243" t="n">
        <v>208</v>
      </c>
      <c r="B209" s="244" t="inlineStr">
        <is>
          <t>iCoA-PP_26-208</t>
        </is>
      </c>
      <c r="C209" s="249" t="inlineStr">
        <is>
          <t>yes</t>
        </is>
      </c>
      <c r="D209" s="245" t="n">
        <v>46266</v>
      </c>
      <c r="E209" s="245" t="n">
        <v>46266</v>
      </c>
      <c r="F209" s="245">
        <f>IFERROR(INDEX('Batch Dates'!$G:$G,MATCH(J209,'Batch Dates'!$C:$C,0)),IFERROR(INDEX('Batch Dates'!$G:$G,MATCH(I209,'Batch Dates'!$B:$B,0)),""))</f>
        <v/>
      </c>
      <c r="G209" s="243" t="inlineStr">
        <is>
          <t>legacy</t>
        </is>
      </c>
      <c r="H209" s="243" t="inlineStr">
        <is>
          <t>retest 1</t>
        </is>
      </c>
      <c r="I209" s="244" t="inlineStr">
        <is>
          <t>GP072501/1</t>
        </is>
      </c>
      <c r="J209" s="243" t="inlineStr">
        <is>
          <t>P050292</t>
        </is>
      </c>
      <c r="K209" s="243" t="inlineStr">
        <is>
          <t>Grape Pie</t>
        </is>
      </c>
      <c r="L209" s="243" t="inlineStr">
        <is>
          <t>Ident A + Ident B + Foreign matter</t>
        </is>
      </c>
      <c r="M209" s="248" t="inlineStr">
        <is>
          <t>—</t>
        </is>
      </c>
      <c r="N209" s="243">
        <f>IFERROR(INDEX('CoQ Register'!$B:$B,MATCH("P050292|R",'CoQ Register'!$S:$S,0)),"—")</f>
        <v/>
      </c>
      <c r="O209" s="248" t="inlineStr">
        <is>
          <t>—</t>
        </is>
      </c>
      <c r="P209" s="243" t="inlineStr">
        <is>
          <t>21.01.2027</t>
        </is>
      </c>
      <c r="Q209" s="243" t="inlineStr">
        <is>
          <t>11.11.2025 – 13.11.2025</t>
        </is>
      </c>
      <c r="R209" s="243" t="inlineStr">
        <is>
          <t>15.12.2025 – 21.12.2025 (the issuance plan's basis: 21.01.2026)</t>
        </is>
      </c>
      <c r="S209" s="245">
        <f>IFERROR(INDEX('CoQ Register'!$D:$D,MATCH("P050292|R",'CoQ Register'!$S:$S,0)),"")</f>
        <v/>
      </c>
      <c r="T209" s="243" t="inlineStr">
        <is>
          <t>Conforms</t>
        </is>
      </c>
      <c r="U209" s="243" t="inlineStr">
        <is>
          <t>Conforms</t>
        </is>
      </c>
      <c r="V209" s="243" t="inlineStr">
        <is>
          <t>Conforms</t>
        </is>
      </c>
      <c r="W209" s="243" t="inlineStr">
        <is>
          <t>227-17-K-26, (11.09.2026) [FHM-K]</t>
        </is>
      </c>
      <c r="X209" s="243" t="inlineStr">
        <is>
          <t>227-17-K-26, (11.09.2026) [FHM-K]</t>
        </is>
      </c>
      <c r="Y209" s="243" t="inlineStr">
        <is>
          <t>— pending —</t>
        </is>
      </c>
      <c r="Z209" s="243" t="inlineStr">
        <is>
          <t>#8, #9, #11, #12 from the initial testing</t>
        </is>
      </c>
      <c r="AA209" s="243" t="inlineStr">
        <is>
          <t>P050292|R</t>
        </is>
      </c>
      <c r="AB209" s="250" t="inlineStr">
        <is>
          <t>registered — retest 1, issued 01.09.2026</t>
        </is>
      </c>
    </row>
    <row r="210">
      <c r="A210" s="243" t="n">
        <v>209</v>
      </c>
      <c r="B210" s="244" t="inlineStr">
        <is>
          <t>iCoA-PP_26-209</t>
        </is>
      </c>
      <c r="C210" s="249" t="inlineStr">
        <is>
          <t>yes</t>
        </is>
      </c>
      <c r="D210" s="245" t="n">
        <v>46266</v>
      </c>
      <c r="E210" s="245" t="n">
        <v>46266</v>
      </c>
      <c r="F210" s="245">
        <f>IFERROR(INDEX('Batch Dates'!$G:$G,MATCH(J210,'Batch Dates'!$C:$C,0)),IFERROR(INDEX('Batch Dates'!$G:$G,MATCH(I210,'Batch Dates'!$B:$B,0)),""))</f>
        <v/>
      </c>
      <c r="G210" s="243" t="inlineStr">
        <is>
          <t>legacy</t>
        </is>
      </c>
      <c r="H210" s="243" t="inlineStr">
        <is>
          <t>retest 1</t>
        </is>
      </c>
      <c r="I210" s="244" t="inlineStr">
        <is>
          <t>GP0824_01</t>
        </is>
      </c>
      <c r="J210" s="243" t="inlineStr">
        <is>
          <t>P050102</t>
        </is>
      </c>
      <c r="K210" s="243" t="inlineStr">
        <is>
          <t>Grape Pie</t>
        </is>
      </c>
      <c r="L210" s="243" t="inlineStr">
        <is>
          <t>Ident A + Ident B + Foreign matter</t>
        </is>
      </c>
      <c r="M210" s="248" t="inlineStr">
        <is>
          <t>—</t>
        </is>
      </c>
      <c r="N210" s="243">
        <f>IFERROR(INDEX('CoQ Register'!$B:$B,MATCH("P050102|R",'CoQ Register'!$S:$S,0)),"—")</f>
        <v/>
      </c>
      <c r="O210" s="248" t="inlineStr">
        <is>
          <t>—</t>
        </is>
      </c>
      <c r="P210" s="243" t="inlineStr">
        <is>
          <t>17.04.2026</t>
        </is>
      </c>
      <c r="Q210" s="243" t="inlineStr">
        <is>
          <t>20.03.2025 – 21.03.2025</t>
        </is>
      </c>
      <c r="R210" s="243" t="inlineStr">
        <is>
          <t>05.08.2025 – 07.08.2025 (the issuance plan's basis: 17.04.2025)</t>
        </is>
      </c>
      <c r="S210" s="245">
        <f>IFERROR(INDEX('CoQ Register'!$D:$D,MATCH("P050102|R",'CoQ Register'!$S:$S,0)),"")</f>
        <v/>
      </c>
      <c r="T210" s="243" t="inlineStr">
        <is>
          <t>Conforms</t>
        </is>
      </c>
      <c r="U210" s="243" t="inlineStr">
        <is>
          <t>Conforms</t>
        </is>
      </c>
      <c r="V210" s="243" t="inlineStr">
        <is>
          <t>Conforms</t>
        </is>
      </c>
      <c r="W210" s="243" t="inlineStr">
        <is>
          <t>227-2-K-26, (11.09.2026) [FHM-K]</t>
        </is>
      </c>
      <c r="X210" s="243" t="inlineStr">
        <is>
          <t>227-2-K-26, (11.09.2026) [FHM-K]</t>
        </is>
      </c>
      <c r="Y210" s="243" t="inlineStr">
        <is>
          <t>— pending —</t>
        </is>
      </c>
      <c r="Z210" s="243" t="inlineStr">
        <is>
          <t>#8, #9, #11, #12 from the initial testing</t>
        </is>
      </c>
      <c r="AA210" s="243" t="inlineStr">
        <is>
          <t>P050102|R</t>
        </is>
      </c>
      <c r="AB210" s="250" t="inlineStr">
        <is>
          <t>registered — retest 1, issued 01.09.2026</t>
        </is>
      </c>
    </row>
    <row r="211">
      <c r="A211" s="243" t="n">
        <v>210</v>
      </c>
      <c r="B211" s="244" t="inlineStr">
        <is>
          <t>iCoA-PP_26-210</t>
        </is>
      </c>
      <c r="C211" s="249" t="inlineStr">
        <is>
          <t>yes</t>
        </is>
      </c>
      <c r="D211" s="245" t="n">
        <v>46266</v>
      </c>
      <c r="E211" s="245" t="n">
        <v>46266</v>
      </c>
      <c r="F211" s="245">
        <f>IFERROR(INDEX('Batch Dates'!$G:$G,MATCH(J211,'Batch Dates'!$C:$C,0)),IFERROR(INDEX('Batch Dates'!$G:$G,MATCH(I211,'Batch Dates'!$B:$B,0)),""))</f>
        <v/>
      </c>
      <c r="G211" s="243" t="inlineStr">
        <is>
          <t>legacy</t>
        </is>
      </c>
      <c r="H211" s="243" t="inlineStr">
        <is>
          <t>retest 1</t>
        </is>
      </c>
      <c r="I211" s="244" t="inlineStr">
        <is>
          <t>GRC102501</t>
        </is>
      </c>
      <c r="J211" s="243" t="inlineStr">
        <is>
          <t>P060142</t>
        </is>
      </c>
      <c r="K211" s="243" t="inlineStr">
        <is>
          <t>Grapes And Cream</t>
        </is>
      </c>
      <c r="L211" s="243" t="inlineStr">
        <is>
          <t>Ident A + Ident B + Foreign matter</t>
        </is>
      </c>
      <c r="M211" s="248" t="inlineStr">
        <is>
          <t>—</t>
        </is>
      </c>
      <c r="N211" s="243">
        <f>IFERROR(INDEX('CoQ Register'!$B:$B,MATCH("P060142|R",'CoQ Register'!$S:$S,0)),"—")</f>
        <v/>
      </c>
      <c r="O211" s="248" t="inlineStr">
        <is>
          <t>—</t>
        </is>
      </c>
      <c r="P211" s="243" t="inlineStr">
        <is>
          <t>23.02.2027</t>
        </is>
      </c>
      <c r="Q211" s="243" t="inlineStr">
        <is>
          <t>09.01.2026</t>
        </is>
      </c>
      <c r="R211" s="243" t="inlineStr">
        <is>
          <t>23.02.2026</t>
        </is>
      </c>
      <c r="S211" s="245">
        <f>IFERROR(INDEX('CoQ Register'!$D:$D,MATCH("P060142|R",'CoQ Register'!$S:$S,0)),"")</f>
        <v/>
      </c>
      <c r="T211" s="243" t="inlineStr">
        <is>
          <t>Conforms</t>
        </is>
      </c>
      <c r="U211" s="243" t="inlineStr">
        <is>
          <t>Conforms</t>
        </is>
      </c>
      <c r="V211" s="243" t="inlineStr">
        <is>
          <t>Conforms</t>
        </is>
      </c>
      <c r="W211" s="243" t="inlineStr">
        <is>
          <t>227-16-K-26, (11.09.2026) [FHM-K]</t>
        </is>
      </c>
      <c r="X211" s="243" t="inlineStr">
        <is>
          <t>227-16-K-26, (11.09.2026) [FHM-K]</t>
        </is>
      </c>
      <c r="Y211" s="243" t="inlineStr">
        <is>
          <t>— pending —</t>
        </is>
      </c>
      <c r="Z211" s="243" t="inlineStr">
        <is>
          <t>#8, #9, #11, #12 from the initial testing</t>
        </is>
      </c>
      <c r="AA211" s="243" t="inlineStr">
        <is>
          <t>P060142|R</t>
        </is>
      </c>
      <c r="AB211" s="250" t="inlineStr">
        <is>
          <t>registered — retest 1, issued 01.09.2026</t>
        </is>
      </c>
    </row>
    <row r="212">
      <c r="A212" s="243" t="n">
        <v>211</v>
      </c>
      <c r="B212" s="244" t="inlineStr">
        <is>
          <t>iCoA-PP_26-211</t>
        </is>
      </c>
      <c r="C212" s="249" t="inlineStr">
        <is>
          <t>yes</t>
        </is>
      </c>
      <c r="D212" s="245" t="n">
        <v>46266</v>
      </c>
      <c r="E212" s="245" t="n">
        <v>46266</v>
      </c>
      <c r="F212" s="245">
        <f>IFERROR(INDEX('Batch Dates'!$G:$G,MATCH(J212,'Batch Dates'!$C:$C,0)),IFERROR(INDEX('Batch Dates'!$G:$G,MATCH(I212,'Batch Dates'!$B:$B,0)),""))</f>
        <v/>
      </c>
      <c r="G212" s="243" t="inlineStr">
        <is>
          <t>legacy</t>
        </is>
      </c>
      <c r="H212" s="243" t="inlineStr">
        <is>
          <t>retest 1</t>
        </is>
      </c>
      <c r="I212" s="244" t="inlineStr">
        <is>
          <t>MB0824_04</t>
        </is>
      </c>
      <c r="J212" s="243" t="inlineStr">
        <is>
          <t>P050032</t>
        </is>
      </c>
      <c r="K212" s="243" t="inlineStr">
        <is>
          <t>Motor Breath</t>
        </is>
      </c>
      <c r="L212" s="243" t="inlineStr">
        <is>
          <t>Ident A + Ident B + Foreign matter</t>
        </is>
      </c>
      <c r="M212" s="248" t="inlineStr">
        <is>
          <t>—</t>
        </is>
      </c>
      <c r="N212" s="243">
        <f>IFERROR(INDEX('CoQ Register'!$B:$B,MATCH("P050032|R",'CoQ Register'!$S:$S,0)),"—")</f>
        <v/>
      </c>
      <c r="O212" s="248" t="inlineStr">
        <is>
          <t>—</t>
        </is>
      </c>
      <c r="P212" s="243" t="inlineStr">
        <is>
          <t>07.05.2026</t>
        </is>
      </c>
      <c r="Q212" s="243" t="inlineStr">
        <is>
          <t>02.04.2025 – 03.04.2025</t>
        </is>
      </c>
      <c r="R212" s="243" t="inlineStr">
        <is>
          <t>16.06.2025 – 19.06.2025 (the issuance plan's basis: 07.05.2025)</t>
        </is>
      </c>
      <c r="S212" s="245">
        <f>IFERROR(INDEX('CoQ Register'!$D:$D,MATCH("P050032|R",'CoQ Register'!$S:$S,0)),"")</f>
        <v/>
      </c>
      <c r="T212" s="243" t="inlineStr">
        <is>
          <t>Conforms</t>
        </is>
      </c>
      <c r="U212" s="243" t="inlineStr">
        <is>
          <t>Conforms</t>
        </is>
      </c>
      <c r="V212" s="243" t="inlineStr">
        <is>
          <t>Conforms</t>
        </is>
      </c>
      <c r="W212" s="243" t="inlineStr">
        <is>
          <t>227-12-K-26, (11.09.2026) [FHM-K]</t>
        </is>
      </c>
      <c r="X212" s="243" t="inlineStr">
        <is>
          <t>227-12-K-26, (11.09.2026) [FHM-K]</t>
        </is>
      </c>
      <c r="Y212" s="243" t="inlineStr">
        <is>
          <t>— pending —</t>
        </is>
      </c>
      <c r="Z212" s="243" t="inlineStr">
        <is>
          <t>#8, #9, #11, #12 from the initial testing</t>
        </is>
      </c>
      <c r="AA212" s="243" t="inlineStr">
        <is>
          <t>P050032|R</t>
        </is>
      </c>
      <c r="AB212" s="250" t="inlineStr">
        <is>
          <t>registered — retest 1, issued 01.09.2026</t>
        </is>
      </c>
    </row>
    <row r="213">
      <c r="A213" s="243" t="n">
        <v>212</v>
      </c>
      <c r="B213" s="244" t="inlineStr">
        <is>
          <t>iCoA-PP_26-212</t>
        </is>
      </c>
      <c r="C213" s="249" t="inlineStr">
        <is>
          <t>yes</t>
        </is>
      </c>
      <c r="D213" s="245" t="n">
        <v>46266</v>
      </c>
      <c r="E213" s="245" t="n">
        <v>46266</v>
      </c>
      <c r="F213" s="245">
        <f>IFERROR(INDEX('Batch Dates'!$G:$G,MATCH(J213,'Batch Dates'!$C:$C,0)),IFERROR(INDEX('Batch Dates'!$G:$G,MATCH(I213,'Batch Dates'!$B:$B,0)),""))</f>
        <v/>
      </c>
      <c r="G213" s="243" t="inlineStr">
        <is>
          <t>legacy</t>
        </is>
      </c>
      <c r="H213" s="243" t="inlineStr">
        <is>
          <t>retest 1</t>
        </is>
      </c>
      <c r="I213" s="244" t="inlineStr">
        <is>
          <t>OPM052501</t>
        </is>
      </c>
      <c r="J213" s="243" t="inlineStr">
        <is>
          <t>P050132</t>
        </is>
      </c>
      <c r="K213" s="243" t="inlineStr">
        <is>
          <t>Orange Punch Mimosa</t>
        </is>
      </c>
      <c r="L213" s="243" t="inlineStr">
        <is>
          <t>Ident A + Ident B + Foreign matter</t>
        </is>
      </c>
      <c r="M213" s="248" t="inlineStr">
        <is>
          <t>—</t>
        </is>
      </c>
      <c r="N213" s="243">
        <f>IFERROR(INDEX('CoQ Register'!$B:$B,MATCH("P050132|R",'CoQ Register'!$S:$S,0)),"—")</f>
        <v/>
      </c>
      <c r="O213" s="248" t="inlineStr">
        <is>
          <t>—</t>
        </is>
      </c>
      <c r="P213" s="243" t="inlineStr">
        <is>
          <t>05.09.2026</t>
        </is>
      </c>
      <c r="Q213" s="243" t="inlineStr">
        <is>
          <t>11.08.2025 – 13.08.2025</t>
        </is>
      </c>
      <c r="R213" s="243" t="inlineStr">
        <is>
          <t>09.09.2025 – 15.09.2025 (the issuance plan's basis: 05.09.2025)</t>
        </is>
      </c>
      <c r="S213" s="245">
        <f>IFERROR(INDEX('CoQ Register'!$D:$D,MATCH("P050132|R",'CoQ Register'!$S:$S,0)),"")</f>
        <v/>
      </c>
      <c r="T213" s="243" t="inlineStr">
        <is>
          <t>Conforms</t>
        </is>
      </c>
      <c r="U213" s="243" t="inlineStr">
        <is>
          <t>Conforms</t>
        </is>
      </c>
      <c r="V213" s="243" t="inlineStr">
        <is>
          <t>Conforms</t>
        </is>
      </c>
      <c r="W213" s="243" t="inlineStr">
        <is>
          <t>227-11-K-26, (11.09.2026) [FHM-K]</t>
        </is>
      </c>
      <c r="X213" s="243" t="inlineStr">
        <is>
          <t>227-11-K-26, (11.09.2026) [FHM-K]</t>
        </is>
      </c>
      <c r="Y213" s="243" t="inlineStr">
        <is>
          <t>— pending —</t>
        </is>
      </c>
      <c r="Z213" s="243" t="inlineStr">
        <is>
          <t>#8, #9, #11, #12 from the initial testing</t>
        </is>
      </c>
      <c r="AA213" s="243" t="inlineStr">
        <is>
          <t>P050132|R</t>
        </is>
      </c>
      <c r="AB213" s="250" t="inlineStr">
        <is>
          <t>registered — retest 1, issued 01.09.2026</t>
        </is>
      </c>
    </row>
    <row r="214">
      <c r="A214" s="243" t="n">
        <v>213</v>
      </c>
      <c r="B214" s="244" t="inlineStr">
        <is>
          <t>iCoA-PP_26-213</t>
        </is>
      </c>
      <c r="C214" s="249" t="inlineStr">
        <is>
          <t>yes</t>
        </is>
      </c>
      <c r="D214" s="245" t="n">
        <v>46266</v>
      </c>
      <c r="E214" s="245" t="n">
        <v>46266</v>
      </c>
      <c r="F214" s="245">
        <f>IFERROR(INDEX('Batch Dates'!$G:$G,MATCH(J214,'Batch Dates'!$C:$C,0)),IFERROR(INDEX('Batch Dates'!$G:$G,MATCH(I214,'Batch Dates'!$B:$B,0)),""))</f>
        <v/>
      </c>
      <c r="G214" s="243" t="inlineStr">
        <is>
          <t>legacy</t>
        </is>
      </c>
      <c r="H214" s="243" t="inlineStr">
        <is>
          <t>retest 1</t>
        </is>
      </c>
      <c r="I214" s="244" t="inlineStr">
        <is>
          <t>PM072501</t>
        </is>
      </c>
      <c r="J214" s="243" t="inlineStr">
        <is>
          <t>P050272</t>
        </is>
      </c>
      <c r="K214" s="243" t="inlineStr">
        <is>
          <t>Permanent Marker</t>
        </is>
      </c>
      <c r="L214" s="243" t="inlineStr">
        <is>
          <t>Ident A + Ident B + Foreign matter</t>
        </is>
      </c>
      <c r="M214" s="248" t="inlineStr">
        <is>
          <t>—</t>
        </is>
      </c>
      <c r="N214" s="243">
        <f>IFERROR(INDEX('CoQ Register'!$B:$B,MATCH("P050272|R",'CoQ Register'!$S:$S,0)),"—")</f>
        <v/>
      </c>
      <c r="O214" s="248" t="inlineStr">
        <is>
          <t>—</t>
        </is>
      </c>
      <c r="P214" s="243" t="inlineStr">
        <is>
          <t>21.01.2027</t>
        </is>
      </c>
      <c r="Q214" s="243" t="inlineStr">
        <is>
          <t>27.10.2025</t>
        </is>
      </c>
      <c r="R214" s="243" t="inlineStr">
        <is>
          <t>02.12.2025 – 03.12.2025 (the issuance plan's basis: 21.01.2026)</t>
        </is>
      </c>
      <c r="S214" s="245">
        <f>IFERROR(INDEX('CoQ Register'!$D:$D,MATCH("P050272|R",'CoQ Register'!$S:$S,0)),"")</f>
        <v/>
      </c>
      <c r="T214" s="243" t="inlineStr">
        <is>
          <t>Conforms</t>
        </is>
      </c>
      <c r="U214" s="243" t="inlineStr">
        <is>
          <t>Conforms</t>
        </is>
      </c>
      <c r="V214" s="243" t="inlineStr">
        <is>
          <t>Conforms</t>
        </is>
      </c>
      <c r="W214" s="243" t="inlineStr">
        <is>
          <t>227-9-K-26, (11.09.2026) [FHM-K]</t>
        </is>
      </c>
      <c r="X214" s="243" t="inlineStr">
        <is>
          <t>227-9-K-26, (11.09.2026) [FHM-K]</t>
        </is>
      </c>
      <c r="Y214" s="243" t="inlineStr">
        <is>
          <t>— pending —</t>
        </is>
      </c>
      <c r="Z214" s="243" t="inlineStr">
        <is>
          <t>#8, #9, #11, #12 from the initial testing</t>
        </is>
      </c>
      <c r="AA214" s="243" t="inlineStr">
        <is>
          <t>P050272|R</t>
        </is>
      </c>
      <c r="AB214" s="250" t="inlineStr">
        <is>
          <t>registered — retest 1, issued 01.09.2026</t>
        </is>
      </c>
    </row>
    <row r="215">
      <c r="A215" s="243" t="n">
        <v>214</v>
      </c>
      <c r="B215" s="244" t="inlineStr">
        <is>
          <t>iCoA-PP_26-214</t>
        </is>
      </c>
      <c r="C215" s="249" t="inlineStr">
        <is>
          <t>yes</t>
        </is>
      </c>
      <c r="D215" s="245" t="n">
        <v>46266</v>
      </c>
      <c r="E215" s="245" t="n">
        <v>46266</v>
      </c>
      <c r="F215" s="245">
        <f>IFERROR(INDEX('Batch Dates'!$G:$G,MATCH(J215,'Batch Dates'!$C:$C,0)),IFERROR(INDEX('Batch Dates'!$G:$G,MATCH(I215,'Batch Dates'!$B:$B,0)),""))</f>
        <v/>
      </c>
      <c r="G215" s="243" t="inlineStr">
        <is>
          <t>legacy</t>
        </is>
      </c>
      <c r="H215" s="243" t="inlineStr">
        <is>
          <t>retest 1</t>
        </is>
      </c>
      <c r="I215" s="244" t="inlineStr">
        <is>
          <t>WC072501</t>
        </is>
      </c>
      <c r="J215" s="243" t="inlineStr">
        <is>
          <t>P050262</t>
        </is>
      </c>
      <c r="K215" s="243" t="inlineStr">
        <is>
          <t>Wedding Crusher</t>
        </is>
      </c>
      <c r="L215" s="243" t="inlineStr">
        <is>
          <t>Ident A + Ident B + Foreign matter</t>
        </is>
      </c>
      <c r="M215" s="248" t="inlineStr">
        <is>
          <t>—</t>
        </is>
      </c>
      <c r="N215" s="243">
        <f>IFERROR(INDEX('CoQ Register'!$B:$B,MATCH("P050262|R",'CoQ Register'!$S:$S,0)),"—")</f>
        <v/>
      </c>
      <c r="O215" s="248" t="inlineStr">
        <is>
          <t>—</t>
        </is>
      </c>
      <c r="P215" s="243" t="inlineStr">
        <is>
          <t>02.12.2026</t>
        </is>
      </c>
      <c r="Q215" s="243" t="inlineStr">
        <is>
          <t>27.10.2025 – 28.10.2025</t>
        </is>
      </c>
      <c r="R215" s="243" t="inlineStr">
        <is>
          <t>01.12.2025 (the issuance plan's basis: 02.12.2025)</t>
        </is>
      </c>
      <c r="S215" s="245">
        <f>IFERROR(INDEX('CoQ Register'!$D:$D,MATCH("P050262|R",'CoQ Register'!$S:$S,0)),"")</f>
        <v/>
      </c>
      <c r="T215" s="243" t="inlineStr">
        <is>
          <t>Conforms</t>
        </is>
      </c>
      <c r="U215" s="243" t="inlineStr">
        <is>
          <t>Conforms</t>
        </is>
      </c>
      <c r="V215" s="243" t="inlineStr">
        <is>
          <t>Conforms</t>
        </is>
      </c>
      <c r="W215" s="243" t="inlineStr">
        <is>
          <t>227-3-K-26, (11.09.2026) [FHM-K]</t>
        </is>
      </c>
      <c r="X215" s="243" t="inlineStr">
        <is>
          <t>227-3-K-26, (11.09.2026) [FHM-K]</t>
        </is>
      </c>
      <c r="Y215" s="243" t="inlineStr">
        <is>
          <t>— pending —</t>
        </is>
      </c>
      <c r="Z215" s="243" t="inlineStr">
        <is>
          <t>#8, #9, #11, #12 from the initial testing</t>
        </is>
      </c>
      <c r="AA215" s="243" t="inlineStr">
        <is>
          <t>P050262|R</t>
        </is>
      </c>
      <c r="AB215" s="250" t="inlineStr">
        <is>
          <t>registered — retest 1, issued 01.09.2026</t>
        </is>
      </c>
    </row>
    <row r="216">
      <c r="A216" s="243" t="n">
        <v>215</v>
      </c>
      <c r="B216" s="244" t="inlineStr">
        <is>
          <t>iCoA-PP_26-215</t>
        </is>
      </c>
      <c r="C216" s="249" t="inlineStr">
        <is>
          <t>yes</t>
        </is>
      </c>
      <c r="D216" s="245" t="n">
        <v>46266</v>
      </c>
      <c r="E216" s="245" t="n">
        <v>46266</v>
      </c>
      <c r="F216" s="245">
        <f>IFERROR(INDEX('Batch Dates'!$G:$G,MATCH(J216,'Batch Dates'!$C:$C,0)),IFERROR(INDEX('Batch Dates'!$G:$G,MATCH(I216,'Batch Dates'!$B:$B,0)),""))</f>
        <v/>
      </c>
      <c r="G216" s="243" t="inlineStr">
        <is>
          <t>legacy</t>
        </is>
      </c>
      <c r="H216" s="243" t="inlineStr">
        <is>
          <t>retest 1</t>
        </is>
      </c>
      <c r="I216" s="244" t="inlineStr">
        <is>
          <t>WED102501</t>
        </is>
      </c>
      <c r="J216" s="243" t="inlineStr">
        <is>
          <t>P060102</t>
        </is>
      </c>
      <c r="K216" s="243" t="inlineStr">
        <is>
          <t>Wedding Cake</t>
        </is>
      </c>
      <c r="L216" s="243" t="inlineStr">
        <is>
          <t>Ident A + Ident B + Foreign matter</t>
        </is>
      </c>
      <c r="M216" s="248" t="inlineStr">
        <is>
          <t>—</t>
        </is>
      </c>
      <c r="N216" s="243">
        <f>IFERROR(INDEX('CoQ Register'!$B:$B,MATCH("P060102|R",'CoQ Register'!$S:$S,0)),"—")</f>
        <v/>
      </c>
      <c r="O216" s="248" t="inlineStr">
        <is>
          <t>—</t>
        </is>
      </c>
      <c r="P216" s="243" t="inlineStr">
        <is>
          <t>16.02.2027</t>
        </is>
      </c>
      <c r="Q216" s="243" t="inlineStr">
        <is>
          <t>08.01.2026</t>
        </is>
      </c>
      <c r="R216" s="243" t="inlineStr">
        <is>
          <t>16.02.2026</t>
        </is>
      </c>
      <c r="S216" s="245">
        <f>IFERROR(INDEX('CoQ Register'!$D:$D,MATCH("P060102|R",'CoQ Register'!$S:$S,0)),"")</f>
        <v/>
      </c>
      <c r="T216" s="243" t="inlineStr">
        <is>
          <t>Conforms</t>
        </is>
      </c>
      <c r="U216" s="243" t="inlineStr">
        <is>
          <t>Conforms</t>
        </is>
      </c>
      <c r="V216" s="243" t="inlineStr">
        <is>
          <t>Conforms</t>
        </is>
      </c>
      <c r="W216" s="243" t="inlineStr">
        <is>
          <t>227-4-K-26, (11.09.2026) [FHM-K]</t>
        </is>
      </c>
      <c r="X216" s="243" t="inlineStr">
        <is>
          <t>227-4-K-26, (11.09.2026) [FHM-K]</t>
        </is>
      </c>
      <c r="Y216" s="243" t="inlineStr">
        <is>
          <t>— pending —</t>
        </is>
      </c>
      <c r="Z216" s="243" t="inlineStr">
        <is>
          <t>#8, #9, #11, #12 from the initial testing</t>
        </is>
      </c>
      <c r="AA216" s="243" t="inlineStr">
        <is>
          <t>P060102|R</t>
        </is>
      </c>
      <c r="AB216" s="250" t="inlineStr">
        <is>
          <t>registered — retest 1, issued 01.09.2026</t>
        </is>
      </c>
    </row>
    <row r="217"/>
    <row r="218" ht="110" customHeight="1" s="70">
      <c r="A218" s="24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8:AB218"/>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IF(OR(C2="yes",C2="allocated"),COUNT(A$1:A1)+1,"")</f>
        <v/>
      </c>
      <c r="B2" s="244">
        <f>IF(A2&lt;&gt;"","CoQ-PP_26-"&amp;TEXT(A2,"000"),"— at issue —")</f>
        <v/>
      </c>
      <c r="C2" s="249" t="inlineStr">
        <is>
          <t>yes</t>
        </is>
      </c>
      <c r="D2" s="245">
        <f>IF(OR(A2="",C2="allocated"),"",MAX(E2,IF(ISNUMBER(I2),I2,0),IFERROR(IF(ISNUMBER(INDEX('iCoA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1" t="n">
        <v>23</v>
      </c>
      <c r="W2" s="243" t="inlineStr">
        <is>
          <t>ППК25052</t>
        </is>
      </c>
      <c r="X2" s="243" t="inlineStr">
        <is>
          <t>24.00 ± 2.40 (II)</t>
        </is>
      </c>
      <c r="Y2" s="243" t="inlineStr">
        <is>
          <t>21.60 – 26.39 %</t>
        </is>
      </c>
      <c r="Z2" s="243" t="inlineStr">
        <is>
          <t>CJ_THC24 : CBD1</t>
        </is>
      </c>
      <c r="AA2" s="243" t="inlineStr">
        <is>
          <t>QCSP_001_CJ-II_v.01</t>
        </is>
      </c>
      <c r="AB2" s="252" t="inlineStr">
        <is>
          <t>for review — replaces the issued QCSP_001_CJ-II_v.01 (was CJ_THC26 : CBD1, 25.01 – 26.99 %); now CJ_THC24 : CBD1 21.60 – 26.39 %</t>
        </is>
      </c>
      <c r="AC2" s="246" t="inlineStr"/>
    </row>
    <row r="3">
      <c r="A3" s="243">
        <f>IF(OR(C3="yes",C3="allocated"),COUNT(A$1:A2)+1,"")</f>
        <v/>
      </c>
      <c r="B3" s="244">
        <f>IF(A3&lt;&gt;"","CoQ-PP_26-"&amp;TEXT(A3,"000"),"— at issue —")</f>
        <v/>
      </c>
      <c r="C3" s="249" t="inlineStr">
        <is>
          <t>yes</t>
        </is>
      </c>
      <c r="D3" s="245">
        <f>IF(OR(A3="",C3="allocated"),"",MAX(E3,IF(ISNUMBER(I3),I3,0),IFERROR(IF(ISNUMBER(INDEX('iCoA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1"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IF(OR(C4="yes",C4="allocated"),COUNT(A$1:A3)+1,"")</f>
        <v/>
      </c>
      <c r="B4" s="244">
        <f>IF(A4&lt;&gt;"","CoQ-PP_26-"&amp;TEXT(A4,"000"),"— at issue —")</f>
        <v/>
      </c>
      <c r="C4" s="249" t="inlineStr">
        <is>
          <t>yes</t>
        </is>
      </c>
      <c r="D4" s="245">
        <f>IF(OR(A4="",C4="allocated"),"",MAX(E4,IF(ISNUMBER(I4),I4,0),IFERROR(IF(ISNUMBER(INDEX('iCoA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1"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IF(OR(C5="yes",C5="allocated"),COUNT(A$1:A4)+1,"")</f>
        <v/>
      </c>
      <c r="B5" s="244">
        <f>IF(A5&lt;&gt;"","CoQ-PP_26-"&amp;TEXT(A5,"000"),"— at issue —")</f>
        <v/>
      </c>
      <c r="C5" s="249" t="inlineStr">
        <is>
          <t>yes</t>
        </is>
      </c>
      <c r="D5" s="245">
        <f>IF(OR(A5="",C5="allocated"),"",MAX(E5,IF(ISNUMBER(I5),I5,0),IFERROR(IF(ISNUMBER(INDEX('iCoA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2" t="inlineStr">
        <is>
          <t>no Total THC result on this certificate</t>
        </is>
      </c>
    </row>
    <row r="6">
      <c r="A6" s="243">
        <f>IF(OR(C6="yes",C6="allocated"),COUNT(A$1:A5)+1,"")</f>
        <v/>
      </c>
      <c r="B6" s="244">
        <f>IF(A6&lt;&gt;"","CoQ-PP_26-"&amp;TEXT(A6,"000"),"— at issue —")</f>
        <v/>
      </c>
      <c r="C6" s="249" t="inlineStr">
        <is>
          <t>yes</t>
        </is>
      </c>
      <c r="D6" s="245">
        <f>IF(OR(A6="",C6="allocated"),"",MAX(E6,IF(ISNUMBER(I6),I6,0),IFERROR(IF(ISNUMBER(INDEX('iCoA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1" t="n">
        <v>14.97</v>
      </c>
      <c r="W6" s="243" t="inlineStr">
        <is>
          <t>iCoA-PP_26-005</t>
        </is>
      </c>
      <c r="X6" s="243" t="inlineStr">
        <is>
          <t>15.00 ± 1.20 (III)</t>
        </is>
      </c>
      <c r="Y6" s="243" t="inlineStr">
        <is>
          <t>13.80 – 16.19 %</t>
        </is>
      </c>
      <c r="Z6" s="243" t="inlineStr">
        <is>
          <t>HPA_THC15 : CBD1</t>
        </is>
      </c>
      <c r="AA6" s="243" t="inlineStr">
        <is>
          <t>QCSP_001_HPA-III_v.01</t>
        </is>
      </c>
      <c r="AB6" s="252" t="inlineStr">
        <is>
          <t>for review — replaces the issued QCSP_001_HPA-III_v.01 (was HPA_THC18 : CBD1, 17.00 – 19.00 %); now HPA_THC15 : CBD1 13.80 – 16.19 %</t>
        </is>
      </c>
      <c r="AC6" s="246" t="inlineStr"/>
    </row>
    <row r="7">
      <c r="A7" s="243">
        <f>IF(OR(C7="yes",C7="allocated"),COUNT(A$1:A6)+1,"")</f>
        <v/>
      </c>
      <c r="B7" s="244">
        <f>IF(A7&lt;&gt;"","CoQ-PP_26-"&amp;TEXT(A7,"000"),"— at issue —")</f>
        <v/>
      </c>
      <c r="C7" s="249" t="inlineStr">
        <is>
          <t>yes</t>
        </is>
      </c>
      <c r="D7" s="245">
        <f>IF(OR(A7="",C7="allocated"),"",MAX(E7,IF(ISNUMBER(I7),I7,0),IFERROR(IF(ISNUMBER(INDEX('iCoA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1" t="n">
        <v>19.96</v>
      </c>
      <c r="W7" s="243" t="inlineStr">
        <is>
          <t>iCoA-PP_26-006</t>
        </is>
      </c>
      <c r="X7" s="243" t="inlineStr">
        <is>
          <t>20.00 ± 1.40 (I)</t>
        </is>
      </c>
      <c r="Y7" s="243" t="inlineStr">
        <is>
          <t>18.60 – 21.39 %</t>
        </is>
      </c>
      <c r="Z7" s="243" t="inlineStr">
        <is>
          <t>OPM_THC20 : CBD1</t>
        </is>
      </c>
      <c r="AA7" s="243" t="inlineStr">
        <is>
          <t>QCSP_001_OPM-I_v.01</t>
        </is>
      </c>
      <c r="AB7" s="252" t="inlineStr">
        <is>
          <t>for review — replaces the issued QCSP_001_OPM-I_v.01 (was OPM_THC22 : CBD1, 19.81 – 24.19 %); now OPM_THC20 : CBD1 18.60 – 21.39 %</t>
        </is>
      </c>
      <c r="AC7" s="246" t="inlineStr"/>
    </row>
    <row r="8">
      <c r="A8" s="243">
        <f>IF(OR(C8="yes",C8="allocated"),COUNT(A$1:A7)+1,"")</f>
        <v/>
      </c>
      <c r="B8" s="244">
        <f>IF(A8&lt;&gt;"","CoQ-PP_26-"&amp;TEXT(A8,"000"),"— at issue —")</f>
        <v/>
      </c>
      <c r="C8" s="249" t="inlineStr">
        <is>
          <t>yes</t>
        </is>
      </c>
      <c r="D8" s="245">
        <f>IF(OR(A8="",C8="allocated"),"",MAX(E8,IF(ISNUMBER(I8),I8,0),IFERROR(IF(ISNUMBER(INDEX('iCoA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1" t="n">
        <v>23.79</v>
      </c>
      <c r="W8" s="243" t="inlineStr">
        <is>
          <t>ППК25139</t>
        </is>
      </c>
      <c r="X8" s="243" t="inlineStr">
        <is>
          <t>24.00 ± 2.00 (II)</t>
        </is>
      </c>
      <c r="Y8" s="243" t="inlineStr">
        <is>
          <t>22.00 – 25.99 %</t>
        </is>
      </c>
      <c r="Z8" s="243" t="inlineStr">
        <is>
          <t>GP_THC24 : CBD1</t>
        </is>
      </c>
      <c r="AA8" s="243" t="inlineStr">
        <is>
          <t>QCSP_001_GP-II_v.01</t>
        </is>
      </c>
      <c r="AB8" s="252" t="inlineStr">
        <is>
          <t>for review — replaces the issued QCSP_001_GP-II_v.01 (was GP_THC26 : CBD1, 25.40 – 26.60 %); now GP_THC24 : CBD1 22.00 – 25.99 %</t>
        </is>
      </c>
      <c r="AC8" s="246" t="inlineStr"/>
    </row>
    <row r="9">
      <c r="A9" s="243">
        <f>IF(OR(C9="yes",C9="allocated"),COUNT(A$1:A8)+1,"")</f>
        <v/>
      </c>
      <c r="B9" s="244">
        <f>IF(A9&lt;&gt;"","CoQ-PP_26-"&amp;TEXT(A9,"000"),"— at issue —")</f>
        <v/>
      </c>
      <c r="C9" s="249" t="inlineStr">
        <is>
          <t>yes</t>
        </is>
      </c>
      <c r="D9" s="245">
        <f>IF(OR(A9="",C9="allocated"),"",MAX(E9,IF(ISNUMBER(I9),I9,0),IFERROR(IF(ISNUMBER(INDEX('iCoA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1" t="n">
        <v>15.95</v>
      </c>
      <c r="W9" s="243" t="inlineStr">
        <is>
          <t>ППК25140</t>
        </is>
      </c>
      <c r="X9" s="243" t="inlineStr">
        <is>
          <t>15.00 ± 1.23 (II)</t>
        </is>
      </c>
      <c r="Y9" s="243" t="inlineStr">
        <is>
          <t>13.77 – 16.22 %</t>
        </is>
      </c>
      <c r="Z9" s="243" t="inlineStr">
        <is>
          <t>GG_THC15 : CBD1</t>
        </is>
      </c>
      <c r="AA9" s="243" t="inlineStr">
        <is>
          <t>QCSP_001_GG-II_v.01</t>
        </is>
      </c>
      <c r="AB9" s="252" t="inlineStr">
        <is>
          <t>for review — replaces the issued QCSP_001_GG-II_v.01 (was GG_THC16 : CBD1, 15.00 – 17.00 %); now GG_THC15 : CBD1 13.77 – 16.22 %</t>
        </is>
      </c>
      <c r="AC9" s="246" t="inlineStr"/>
    </row>
    <row r="10">
      <c r="A10" s="243">
        <f>IF(OR(C10="yes",C10="allocated"),COUNT(A$1:A9)+1,"")</f>
        <v/>
      </c>
      <c r="B10" s="244">
        <f>IF(A10&lt;&gt;"","CoQ-PP_26-"&amp;TEXT(A10,"000"),"— at issue —")</f>
        <v/>
      </c>
      <c r="C10" s="249" t="inlineStr">
        <is>
          <t>yes</t>
        </is>
      </c>
      <c r="D10" s="245">
        <f>IF(OR(A10="",C10="allocated"),"",MAX(E10,IF(ISNUMBER(I10),I10,0),IFERROR(IF(ISNUMBER(INDEX('iCoA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1" t="n">
        <v>18.67</v>
      </c>
      <c r="W10" s="243" t="inlineStr">
        <is>
          <t>ППК25118</t>
        </is>
      </c>
      <c r="X10" s="243" t="inlineStr">
        <is>
          <t>18.00 ± 1.80 (I)</t>
        </is>
      </c>
      <c r="Y10" s="243" t="inlineStr">
        <is>
          <t>16.20 – 19.79 %</t>
        </is>
      </c>
      <c r="Z10" s="243" t="inlineStr">
        <is>
          <t>MB_THC18 : CBD1</t>
        </is>
      </c>
      <c r="AA10" s="243" t="inlineStr">
        <is>
          <t>QCSP_001_MB-I_v.01</t>
        </is>
      </c>
      <c r="AB10" s="252" t="inlineStr">
        <is>
          <t>for review — replaces the issued QCSP_001_MB-I_v.01 (was MB_THC18 : CBD1, 16.20 – 19.80 %); now MB_THC18 : CBD1 16.20 – 19.79 %</t>
        </is>
      </c>
      <c r="AC10" s="246" t="inlineStr"/>
    </row>
    <row r="11">
      <c r="A11" s="243">
        <f>IF(OR(C11="yes",C11="allocated"),COUNT(A$1:A10)+1,"")</f>
        <v/>
      </c>
      <c r="B11" s="244">
        <f>IF(A11&lt;&gt;"","CoQ-PP_26-"&amp;TEXT(A11,"000"),"— at issue —")</f>
        <v/>
      </c>
      <c r="C11" s="249" t="inlineStr">
        <is>
          <t>yes</t>
        </is>
      </c>
      <c r="D11" s="245">
        <f>IF(OR(A11="",C11="allocated"),"",MAX(E11,IF(ISNUMBER(I11),I11,0),IFERROR(IF(ISNUMBER(INDEX('iCoA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1"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IF(OR(C12="yes",C12="allocated"),COUNT(A$1:A11)+1,"")</f>
        <v/>
      </c>
      <c r="B12" s="244">
        <f>IF(A12&lt;&gt;"","CoQ-PP_26-"&amp;TEXT(A12,"000"),"— at issue —")</f>
        <v/>
      </c>
      <c r="C12" s="249" t="inlineStr">
        <is>
          <t>yes</t>
        </is>
      </c>
      <c r="D12" s="245">
        <f>IF(OR(A12="",C12="allocated"),"",MAX(E12,IF(ISNUMBER(I12),I12,0),IFERROR(IF(ISNUMBER(INDEX('iCoA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1" t="n">
        <v>22.43</v>
      </c>
      <c r="W12" s="243" t="inlineStr">
        <is>
          <t>ППК25155</t>
        </is>
      </c>
      <c r="X12" s="243" t="inlineStr">
        <is>
          <t>22.00 ± 2.20 (I)</t>
        </is>
      </c>
      <c r="Y12" s="243" t="inlineStr">
        <is>
          <t>19.80 – 24.19 %</t>
        </is>
      </c>
      <c r="Z12" s="243" t="inlineStr">
        <is>
          <t>HPA_THC22 : CBD1</t>
        </is>
      </c>
      <c r="AA12" s="243" t="inlineStr">
        <is>
          <t>QCSP_001_HPA-I_v.01</t>
        </is>
      </c>
      <c r="AB12" s="252" t="inlineStr">
        <is>
          <t>for review — replaces the issued QCSP_001_HPA-I_v.01 (was HPA_THC22 : CBD1, 21.00 – 23.00 %); now HPA_THC22 : CBD1 19.80 – 24.19 %</t>
        </is>
      </c>
      <c r="AC12" s="246" t="inlineStr"/>
    </row>
    <row r="13">
      <c r="A13" s="243">
        <f>IF(OR(C13="yes",C13="allocated"),COUNT(A$1:A12)+1,"")</f>
        <v/>
      </c>
      <c r="B13" s="244">
        <f>IF(A13&lt;&gt;"","CoQ-PP_26-"&amp;TEXT(A13,"000"),"— at issue —")</f>
        <v/>
      </c>
      <c r="C13" s="249" t="inlineStr">
        <is>
          <t>yes</t>
        </is>
      </c>
      <c r="D13" s="245">
        <f>IF(OR(A13="",C13="allocated"),"",MAX(E13,IF(ISNUMBER(I13),I13,0),IFERROR(IF(ISNUMBER(INDEX('iCoA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1" t="n">
        <v>18.27</v>
      </c>
      <c r="W13" s="243" t="inlineStr">
        <is>
          <t>ППК25154</t>
        </is>
      </c>
      <c r="X13" s="243" t="inlineStr">
        <is>
          <t>17.00 ± 1.60 (II)</t>
        </is>
      </c>
      <c r="Y13" s="243" t="inlineStr">
        <is>
          <t>15.40 – 18.59 %</t>
        </is>
      </c>
      <c r="Z13" s="243" t="inlineStr">
        <is>
          <t>OPM_THC17 : CBD1</t>
        </is>
      </c>
      <c r="AA13" s="243" t="inlineStr">
        <is>
          <t>QCSP_001_OPM-II_v.01</t>
        </is>
      </c>
      <c r="AB13" s="252" t="inlineStr">
        <is>
          <t>for review — replaces the issued QCSP_001_OPM-II_v.01 (was OPM_THC18 : CBD1, 16.20 – 19.80 %); now OPM_THC17 : CBD1 15.40 – 18.59 %</t>
        </is>
      </c>
      <c r="AC13" s="246" t="inlineStr"/>
    </row>
    <row r="14">
      <c r="A14" s="243">
        <f>IF(OR(C14="yes",C14="allocated"),COUNT(A$1:A13)+1,"")</f>
        <v/>
      </c>
      <c r="B14" s="244">
        <f>IF(A14&lt;&gt;"","CoQ-PP_26-"&amp;TEXT(A14,"000"),"— at issue —")</f>
        <v/>
      </c>
      <c r="C14" s="249" t="inlineStr">
        <is>
          <t>yes</t>
        </is>
      </c>
      <c r="D14" s="245">
        <f>IF(OR(A14="",C14="allocated"),"",MAX(E14,IF(ISNUMBER(I14),I14,0),IFERROR(IF(ISNUMBER(INDEX('iCoA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1" t="n">
        <v>25.45</v>
      </c>
      <c r="W14" s="243" t="inlineStr">
        <is>
          <t>ППК25175</t>
        </is>
      </c>
      <c r="X14" s="243" t="inlineStr">
        <is>
          <t>24.00 ± 2.00 (II)</t>
        </is>
      </c>
      <c r="Y14" s="243" t="inlineStr">
        <is>
          <t>22.00 – 25.99 %</t>
        </is>
      </c>
      <c r="Z14" s="243" t="inlineStr">
        <is>
          <t>GP_THC24 : CBD1</t>
        </is>
      </c>
      <c r="AA14" s="243" t="inlineStr">
        <is>
          <t>QCSP_001_GP-II_v.01</t>
        </is>
      </c>
      <c r="AB14" s="252" t="inlineStr">
        <is>
          <t>for review — replaces the issued QCSP_001_GP-II_v.01 (was GP_THC26 : CBD1, 25.40 – 26.60 %); now GP_THC24 : CBD1 22.00 – 25.99 %</t>
        </is>
      </c>
      <c r="AC14" s="246" t="inlineStr"/>
    </row>
    <row r="15">
      <c r="A15" s="243">
        <f>IF(OR(C15="yes",C15="allocated"),COUNT(A$1:A14)+1,"")</f>
        <v/>
      </c>
      <c r="B15" s="244">
        <f>IF(A15&lt;&gt;"","CoQ-PP_26-"&amp;TEXT(A15,"000"),"— at issue —")</f>
        <v/>
      </c>
      <c r="C15" s="249" t="inlineStr">
        <is>
          <t>yes</t>
        </is>
      </c>
      <c r="D15" s="245">
        <f>IF(OR(A15="",C15="allocated"),"",MAX(E15,IF(ISNUMBER(I15),I15,0),IFERROR(IF(ISNUMBER(INDEX('iCoA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1" t="n">
        <v>16.55</v>
      </c>
      <c r="W15" s="243" t="inlineStr">
        <is>
          <t>ППК25210</t>
        </is>
      </c>
      <c r="X15" s="243" t="inlineStr">
        <is>
          <t>17.00 ± 1.60 (II)</t>
        </is>
      </c>
      <c r="Y15" s="243" t="inlineStr">
        <is>
          <t>15.40 – 18.59 %</t>
        </is>
      </c>
      <c r="Z15" s="243" t="inlineStr">
        <is>
          <t>OPM_THC17 : CBD1</t>
        </is>
      </c>
      <c r="AA15" s="243" t="inlineStr">
        <is>
          <t>QCSP_001_OPM-II_v.01</t>
        </is>
      </c>
      <c r="AB15" s="252" t="inlineStr">
        <is>
          <t>for review — replaces the issued QCSP_001_OPM-II_v.01 (was OPM_THC18 : CBD1, 16.20 – 19.80 %); now OPM_THC17 : CBD1 15.40 – 18.59 %</t>
        </is>
      </c>
      <c r="AC15" s="246" t="inlineStr"/>
    </row>
    <row r="16">
      <c r="A16" s="243">
        <f>IF(OR(C16="yes",C16="allocated"),COUNT(A$1:A15)+1,"")</f>
        <v/>
      </c>
      <c r="B16" s="244">
        <f>IF(A16&lt;&gt;"","CoQ-PP_26-"&amp;TEXT(A16,"000"),"— at issue —")</f>
        <v/>
      </c>
      <c r="C16" s="249" t="inlineStr">
        <is>
          <t>yes</t>
        </is>
      </c>
      <c r="D16" s="245">
        <f>IF(OR(A16="",C16="allocated"),"",MAX(E16,IF(ISNUMBER(I16),I16,0),IFERROR(IF(ISNUMBER(INDEX('iCoA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1" t="n">
        <v>17.22</v>
      </c>
      <c r="W16" s="243" t="inlineStr">
        <is>
          <t>ППК25104</t>
        </is>
      </c>
      <c r="X16" s="243" t="inlineStr">
        <is>
          <t>18.00 ± 1.77 (I)</t>
        </is>
      </c>
      <c r="Y16" s="243" t="inlineStr">
        <is>
          <t>16.23 – 19.76 %</t>
        </is>
      </c>
      <c r="Z16" s="243" t="inlineStr">
        <is>
          <t>GG_THC18 : CBD1</t>
        </is>
      </c>
      <c r="AA16" s="243" t="inlineStr">
        <is>
          <t>QCSP_001_GG-I_v.01</t>
        </is>
      </c>
      <c r="AB16" s="252" t="inlineStr">
        <is>
          <t>for review — replaces the issued QCSP_001_GG-I_v.01 (was GG_THC18 : CBD1, 17.01 – 18.99 %); now GG_THC18 : CBD1 16.23 – 19.76 %</t>
        </is>
      </c>
      <c r="AC16" s="246" t="inlineStr"/>
    </row>
    <row r="17">
      <c r="A17" s="243">
        <f>IF(OR(C17="yes",C17="allocated"),COUNT(A$1:A16)+1,"")</f>
        <v/>
      </c>
      <c r="B17" s="244">
        <f>IF(A17&lt;&gt;"","CoQ-PP_26-"&amp;TEXT(A17,"000"),"— at issue —")</f>
        <v/>
      </c>
      <c r="C17" s="249" t="inlineStr">
        <is>
          <t>yes</t>
        </is>
      </c>
      <c r="D17" s="245">
        <f>IF(OR(A17="",C17="allocated"),"",MAX(E17,IF(ISNUMBER(I17),I17,0),IFERROR(IF(ISNUMBER(INDEX('iCoA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1" t="n">
        <v>20.79</v>
      </c>
      <c r="W17" s="243" t="inlineStr">
        <is>
          <t>ППК25105</t>
        </is>
      </c>
      <c r="X17" s="243" t="inlineStr">
        <is>
          <t>20.00 ± 2.00 (III)</t>
        </is>
      </c>
      <c r="Y17" s="243" t="inlineStr">
        <is>
          <t>18.00 – 21.99 %</t>
        </is>
      </c>
      <c r="Z17" s="243" t="inlineStr">
        <is>
          <t>GP_THC20 : CBD1</t>
        </is>
      </c>
      <c r="AA17" s="243" t="inlineStr">
        <is>
          <t>QCSP_001_GP-III_v.01</t>
        </is>
      </c>
      <c r="AB17" s="252" t="inlineStr">
        <is>
          <t>for review — replaces the issued QCSP_001_GP-III_v.01 (was GP_THC24 : CBD1, 22.61 – 25.39 %); now GP_THC20 : CBD1 18.00 – 21.99 %</t>
        </is>
      </c>
      <c r="AC17" s="246" t="inlineStr"/>
    </row>
    <row r="18">
      <c r="A18" s="243">
        <f>IF(OR(C18="yes",C18="allocated"),COUNT(A$1:A17)+1,"")</f>
        <v/>
      </c>
      <c r="B18" s="244">
        <f>IF(A18&lt;&gt;"","CoQ-PP_26-"&amp;TEXT(A18,"000"),"— at issue —")</f>
        <v/>
      </c>
      <c r="C18" s="249" t="inlineStr">
        <is>
          <t>yes</t>
        </is>
      </c>
      <c r="D18" s="245">
        <f>IF(OR(A18="",C18="allocated"),"",MAX(E18,IF(ISNUMBER(I18),I18,0),IFERROR(IF(ISNUMBER(INDEX('iCoA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1" t="n">
        <v>16.82</v>
      </c>
      <c r="W18" s="243" t="inlineStr">
        <is>
          <t>ППК25211</t>
        </is>
      </c>
      <c r="X18" s="243" t="inlineStr">
        <is>
          <t>18.00 ± 1.80 (I)</t>
        </is>
      </c>
      <c r="Y18" s="243" t="inlineStr">
        <is>
          <t>16.20 – 19.79 %</t>
        </is>
      </c>
      <c r="Z18" s="243" t="inlineStr">
        <is>
          <t>MB_THC18 : CBD1</t>
        </is>
      </c>
      <c r="AA18" s="243" t="inlineStr">
        <is>
          <t>QCSP_001_MB-I_v.01</t>
        </is>
      </c>
      <c r="AB18" s="252" t="inlineStr">
        <is>
          <t>for review — replaces the issued QCSP_001_MB-I_v.01 (was MB_THC18 : CBD1, 16.20 – 19.80 %); now MB_THC18 : CBD1 16.20 – 19.79 %</t>
        </is>
      </c>
      <c r="AC18" s="246" t="inlineStr"/>
    </row>
    <row r="19">
      <c r="A19" s="243">
        <f>IF(OR(C19="yes",C19="allocated"),COUNT(A$1:A18)+1,"")</f>
        <v/>
      </c>
      <c r="B19" s="244">
        <f>IF(A19&lt;&gt;"","CoQ-PP_26-"&amp;TEXT(A19,"000"),"— at issue —")</f>
        <v/>
      </c>
      <c r="C19" s="249" t="inlineStr">
        <is>
          <t>yes</t>
        </is>
      </c>
      <c r="D19" s="245">
        <f>IF(OR(A19="",C19="allocated"),"",MAX(E19,IF(ISNUMBER(I19),I19,0),IFERROR(IF(ISNUMBER(INDEX('iCoA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1" t="n">
        <v>23.42</v>
      </c>
      <c r="W19" s="243" t="inlineStr">
        <is>
          <t>ППК25176</t>
        </is>
      </c>
      <c r="X19" s="243" t="inlineStr">
        <is>
          <t>24.00 ± 2.11 (II)</t>
        </is>
      </c>
      <c r="Y19" s="243" t="inlineStr">
        <is>
          <t>21.89 – 26.10 %</t>
        </is>
      </c>
      <c r="Z19" s="243" t="inlineStr">
        <is>
          <t>BSS_THC24 : CBD1</t>
        </is>
      </c>
      <c r="AA19" s="243" t="inlineStr">
        <is>
          <t>QCSP_001_BSS-II_v.01</t>
        </is>
      </c>
      <c r="AB19" s="252" t="inlineStr">
        <is>
          <t>for review — replaces the issued QCSP_001_BSS-II_v.01 (was BSS_THC20 : CBD1, 18.00 – 22.00 %); now BSS_THC24 : CBD1 21.89 – 26.10 %</t>
        </is>
      </c>
      <c r="AC19" s="246" t="inlineStr"/>
    </row>
    <row r="20">
      <c r="A20" s="243">
        <f>IF(OR(C20="yes",C20="allocated"),COUNT(A$1:A19)+1,"")</f>
        <v/>
      </c>
      <c r="B20" s="244">
        <f>IF(A20&lt;&gt;"","CoQ-PP_26-"&amp;TEXT(A20,"000"),"— at issue —")</f>
        <v/>
      </c>
      <c r="C20" s="249" t="inlineStr">
        <is>
          <t>yes</t>
        </is>
      </c>
      <c r="D20" s="245">
        <f>IF(OR(A20="",C20="allocated"),"",MAX(E20,IF(ISNUMBER(I20),I20,0),IFERROR(IF(ISNUMBER(INDEX('iCoA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1"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IF(OR(C21="yes",C21="allocated"),COUNT(A$1:A20)+1,"")</f>
        <v/>
      </c>
      <c r="B21" s="244">
        <f>IF(A21&lt;&gt;"","CoQ-PP_26-"&amp;TEXT(A21,"000"),"— at issue —")</f>
        <v/>
      </c>
      <c r="C21" s="249" t="inlineStr">
        <is>
          <t>yes</t>
        </is>
      </c>
      <c r="D21" s="245">
        <f>IF(OR(A21="",C21="allocated"),"",MAX(E21,IF(ISNUMBER(I21),I21,0),IFERROR(IF(ISNUMBER(INDEX('iCoA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1" t="n">
        <v>18.98</v>
      </c>
      <c r="W21" s="243" t="inlineStr">
        <is>
          <t>ППК25279</t>
        </is>
      </c>
      <c r="X21" s="243" t="inlineStr">
        <is>
          <t>20.00 ± 2.00 (III)</t>
        </is>
      </c>
      <c r="Y21" s="243" t="inlineStr">
        <is>
          <t>18.00 – 21.99 %</t>
        </is>
      </c>
      <c r="Z21" s="243" t="inlineStr">
        <is>
          <t>GP_THC20 : CBD1</t>
        </is>
      </c>
      <c r="AA21" s="243" t="inlineStr">
        <is>
          <t>QCSP_001_GP-III_v.01</t>
        </is>
      </c>
      <c r="AB21" s="252" t="inlineStr">
        <is>
          <t>for review — replaces the issued QCSP_001_GP-III_v.01 (was GP_THC24 : CBD1, 22.61 – 25.39 %); now GP_THC20 : CBD1 18.00 – 21.99 %</t>
        </is>
      </c>
      <c r="AC21" s="246" t="inlineStr"/>
    </row>
    <row r="22">
      <c r="A22" s="243">
        <f>IF(OR(C22="yes",C22="allocated"),COUNT(A$1:A21)+1,"")</f>
        <v/>
      </c>
      <c r="B22" s="244">
        <f>IF(A22&lt;&gt;"","CoQ-PP_26-"&amp;TEXT(A22,"000"),"— at issue —")</f>
        <v/>
      </c>
      <c r="C22" s="249" t="inlineStr">
        <is>
          <t>yes</t>
        </is>
      </c>
      <c r="D22" s="245">
        <f>IF(OR(A22="",C22="allocated"),"",MAX(E22,IF(ISNUMBER(I22),I22,0),IFERROR(IF(ISNUMBER(INDEX('iCoA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2" t="inlineStr">
        <is>
          <t>no Total THC result on this certificate</t>
        </is>
      </c>
    </row>
    <row r="23">
      <c r="A23" s="243">
        <f>IF(OR(C23="yes",C23="allocated"),COUNT(A$1:A22)+1,"")</f>
        <v/>
      </c>
      <c r="B23" s="244">
        <f>IF(A23&lt;&gt;"","CoQ-PP_26-"&amp;TEXT(A23,"000"),"— at issue —")</f>
        <v/>
      </c>
      <c r="C23" s="249" t="inlineStr">
        <is>
          <t>yes</t>
        </is>
      </c>
      <c r="D23" s="245">
        <f>IF(OR(A23="",C23="allocated"),"",MAX(E23,IF(ISNUMBER(I23),I23,0),IFERROR(IF(ISNUMBER(INDEX('iCoA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1" t="n">
        <v>20.29</v>
      </c>
      <c r="W23" s="243" t="inlineStr">
        <is>
          <t>ППК25280</t>
        </is>
      </c>
      <c r="X23" s="243" t="inlineStr">
        <is>
          <t>20.00 ± 1.60 (III)</t>
        </is>
      </c>
      <c r="Y23" s="243" t="inlineStr">
        <is>
          <t>18.40 – 21.59 %</t>
        </is>
      </c>
      <c r="Z23" s="243" t="inlineStr">
        <is>
          <t>CJ_THC20 : CBD1</t>
        </is>
      </c>
      <c r="AA23" s="243" t="inlineStr">
        <is>
          <t>QCSP_001_CJ-III_v.01</t>
        </is>
      </c>
      <c r="AB23" s="252" t="inlineStr">
        <is>
          <t>for review — replaces the issued QCSP_001_CJ-III_v.01 (was CJ_THC24 : CBD1, 23.00 – 25.00 %); now CJ_THC20 : CBD1 18.40 – 21.59 %</t>
        </is>
      </c>
      <c r="AC23" s="246" t="inlineStr"/>
    </row>
    <row r="24">
      <c r="A24" s="243">
        <f>IF(OR(C24="yes",C24="allocated"),COUNT(A$1:A23)+1,"")</f>
        <v/>
      </c>
      <c r="B24" s="244">
        <f>IF(A24&lt;&gt;"","CoQ-PP_26-"&amp;TEXT(A24,"000"),"— at issue —")</f>
        <v/>
      </c>
      <c r="C24" s="249" t="inlineStr">
        <is>
          <t>yes</t>
        </is>
      </c>
      <c r="D24" s="245">
        <f>IF(OR(A24="",C24="allocated"),"",MAX(E24,IF(ISNUMBER(I24),I24,0),IFERROR(IF(ISNUMBER(INDEX('iCoA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1"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IF(OR(C25="yes",C25="allocated"),COUNT(A$1:A24)+1,"")</f>
        <v/>
      </c>
      <c r="B25" s="244">
        <f>IF(A25&lt;&gt;"","CoQ-PP_26-"&amp;TEXT(A25,"000"),"— at issue —")</f>
        <v/>
      </c>
      <c r="C25" s="249" t="inlineStr">
        <is>
          <t>yes</t>
        </is>
      </c>
      <c r="D25" s="245">
        <f>IF(OR(A25="",C25="allocated"),"",MAX(E25,IF(ISNUMBER(I25),I25,0),IFERROR(IF(ISNUMBER(INDEX('iCoA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1" t="n">
        <v>20.39</v>
      </c>
      <c r="W25" s="243" t="inlineStr">
        <is>
          <t>ППК25278</t>
        </is>
      </c>
      <c r="X25" s="243" t="inlineStr">
        <is>
          <t>22.00 ± 2.20 (I)</t>
        </is>
      </c>
      <c r="Y25" s="243" t="inlineStr">
        <is>
          <t>19.80 – 24.19 %</t>
        </is>
      </c>
      <c r="Z25" s="243" t="inlineStr">
        <is>
          <t>HPA_THC22 : CBD1</t>
        </is>
      </c>
      <c r="AA25" s="243" t="inlineStr">
        <is>
          <t>QCSP_001_HPA-I_v.01</t>
        </is>
      </c>
      <c r="AB25" s="252" t="inlineStr">
        <is>
          <t>for review — replaces the issued QCSP_001_HPA-I_v.01 (was HPA_THC22 : CBD1, 21.00 – 23.00 %); now HPA_THC22 : CBD1 19.80 – 24.19 %</t>
        </is>
      </c>
      <c r="AC25" s="246" t="inlineStr"/>
    </row>
    <row r="26">
      <c r="A26" s="243">
        <f>IF(OR(C26="yes",C26="allocated"),COUNT(A$1:A25)+1,"")</f>
        <v/>
      </c>
      <c r="B26" s="244">
        <f>IF(A26&lt;&gt;"","CoQ-PP_26-"&amp;TEXT(A26,"000"),"— at issue —")</f>
        <v/>
      </c>
      <c r="C26" s="249" t="inlineStr">
        <is>
          <t>yes</t>
        </is>
      </c>
      <c r="D26" s="245">
        <f>IF(OR(A26="",C26="allocated"),"",MAX(E26,IF(ISNUMBER(I26),I26,0),IFERROR(IF(ISNUMBER(INDEX('iCoA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1" t="n">
        <v>20.39</v>
      </c>
      <c r="W26" s="243" t="inlineStr">
        <is>
          <t>iCoA-PP_26-024</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IF(OR(C27="yes",C27="allocated"),COUNT(A$1:A26)+1,"")</f>
        <v/>
      </c>
      <c r="B27" s="244">
        <f>IF(A27&lt;&gt;"","CoQ-PP_26-"&amp;TEXT(A27,"000"),"— at issue —")</f>
        <v/>
      </c>
      <c r="C27" s="249" t="inlineStr">
        <is>
          <t>yes</t>
        </is>
      </c>
      <c r="D27" s="245">
        <f>IF(OR(A27="",C27="allocated"),"",MAX(E27,IF(ISNUMBER(I27),I27,0),IFERROR(IF(ISNUMBER(INDEX('iCoA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1" t="n">
        <v>24.89</v>
      </c>
      <c r="W27" s="243" t="inlineStr">
        <is>
          <t>iCoA-PP_26-025</t>
        </is>
      </c>
      <c r="X27" s="243" t="inlineStr">
        <is>
          <t>24.00 ± 2.00 (II)</t>
        </is>
      </c>
      <c r="Y27" s="243" t="inlineStr">
        <is>
          <t>22.00 – 25.99 %</t>
        </is>
      </c>
      <c r="Z27" s="243" t="inlineStr">
        <is>
          <t>GP_THC24 : CBD1</t>
        </is>
      </c>
      <c r="AA27" s="243" t="inlineStr">
        <is>
          <t>QCSP_001_GP-II_v.01</t>
        </is>
      </c>
      <c r="AB27" s="252" t="inlineStr">
        <is>
          <t>for review — replaces the issued QCSP_001_GP-II_v.01 (was GP_THC26 : CBD1, 25.40 – 26.60 %); now GP_THC24 : CBD1 22.00 – 25.99 %</t>
        </is>
      </c>
      <c r="AC27" s="246" t="inlineStr"/>
    </row>
    <row r="28">
      <c r="A28" s="243">
        <f>IF(OR(C28="yes",C28="allocated"),COUNT(A$1:A27)+1,"")</f>
        <v/>
      </c>
      <c r="B28" s="244">
        <f>IF(A28&lt;&gt;"","CoQ-PP_26-"&amp;TEXT(A28,"000"),"— at issue —")</f>
        <v/>
      </c>
      <c r="C28" s="249" t="inlineStr">
        <is>
          <t>yes</t>
        </is>
      </c>
      <c r="D28" s="245">
        <f>IF(OR(A28="",C28="allocated"),"",MAX(E28,IF(ISNUMBER(I28),I28,0),IFERROR(IF(ISNUMBER(INDEX('iCoA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1" t="n">
        <v>16.56</v>
      </c>
      <c r="W28" s="243" t="inlineStr">
        <is>
          <t>ППК25322</t>
        </is>
      </c>
      <c r="X28" s="243" t="inlineStr">
        <is>
          <t>17.00 ± 1.40 (IV)</t>
        </is>
      </c>
      <c r="Y28" s="243" t="inlineStr">
        <is>
          <t>15.60 – 18.39 %</t>
        </is>
      </c>
      <c r="Z28" s="243" t="inlineStr">
        <is>
          <t>CJ_THC17 : CBD1</t>
        </is>
      </c>
      <c r="AA28" s="243" t="inlineStr">
        <is>
          <t>QCSP_001_CJ-IV_v.01</t>
        </is>
      </c>
      <c r="AB28" s="252" t="inlineStr">
        <is>
          <t>for review — replaces the issued QCSP_001_CJ-IV_v.01 (was CJ_THC20 : CBD1, 18.00 – 22.00 %); now CJ_THC17 : CBD1 15.60 – 18.39 %</t>
        </is>
      </c>
      <c r="AC28" s="246" t="inlineStr"/>
    </row>
    <row r="29">
      <c r="A29" s="243">
        <f>IF(OR(C29="yes",C29="allocated"),COUNT(A$1:A28)+1,"")</f>
        <v/>
      </c>
      <c r="B29" s="244">
        <f>IF(A29&lt;&gt;"","CoQ-PP_26-"&amp;TEXT(A29,"000"),"— at issue —")</f>
        <v/>
      </c>
      <c r="C29" s="249" t="inlineStr">
        <is>
          <t>yes</t>
        </is>
      </c>
      <c r="D29" s="245">
        <f>IF(OR(A29="",C29="allocated"),"",MAX(E29,IF(ISNUMBER(I29),I29,0),IFERROR(IF(ISNUMBER(INDEX('iCoA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1" t="n">
        <v>21.51</v>
      </c>
      <c r="W29" s="243" t="inlineStr">
        <is>
          <t>ППК25321</t>
        </is>
      </c>
      <c r="X29" s="243" t="inlineStr">
        <is>
          <t>20.00 ± 1.60 (III)</t>
        </is>
      </c>
      <c r="Y29" s="243" t="inlineStr">
        <is>
          <t>18.40 – 21.59 %</t>
        </is>
      </c>
      <c r="Z29" s="243" t="inlineStr">
        <is>
          <t>CJ_THC20 : CBD1</t>
        </is>
      </c>
      <c r="AA29" s="243" t="inlineStr">
        <is>
          <t>QCSP_001_CJ-III_v.01</t>
        </is>
      </c>
      <c r="AB29" s="252" t="inlineStr">
        <is>
          <t>for review — replaces the issued QCSP_001_CJ-III_v.01 (was CJ_THC24 : CBD1, 23.00 – 25.00 %); now CJ_THC20 : CBD1 18.40 – 21.59 %</t>
        </is>
      </c>
      <c r="AC29" s="246" t="inlineStr"/>
    </row>
    <row r="30">
      <c r="A30" s="243">
        <f>IF(OR(C30="yes",C30="allocated"),COUNT(A$1:A29)+1,"")</f>
        <v/>
      </c>
      <c r="B30" s="244">
        <f>IF(A30&lt;&gt;"","CoQ-PP_26-"&amp;TEXT(A30,"000"),"— at issue —")</f>
        <v/>
      </c>
      <c r="C30" s="249" t="inlineStr">
        <is>
          <t>yes</t>
        </is>
      </c>
      <c r="D30" s="245">
        <f>IF(OR(A30="",C30="allocated"),"",MAX(E30,IF(ISNUMBER(I30),I30,0),IFERROR(IF(ISNUMBER(INDEX('iCoA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1" t="n">
        <v>23.7</v>
      </c>
      <c r="W30" s="243" t="inlineStr">
        <is>
          <t>ППК25367</t>
        </is>
      </c>
      <c r="X30" s="243" t="inlineStr">
        <is>
          <t>24.00 ± 2.40 (II)</t>
        </is>
      </c>
      <c r="Y30" s="243" t="inlineStr">
        <is>
          <t>21.60 – 26.39 %</t>
        </is>
      </c>
      <c r="Z30" s="243" t="inlineStr">
        <is>
          <t>CJ_THC24 : CBD1</t>
        </is>
      </c>
      <c r="AA30" s="243" t="inlineStr">
        <is>
          <t>QCSP_001_CJ-II_v.01</t>
        </is>
      </c>
      <c r="AB30" s="252" t="inlineStr">
        <is>
          <t>for review — replaces the issued QCSP_001_CJ-II_v.01 (was CJ_THC26 : CBD1, 25.01 – 26.99 %); now CJ_THC24 : CBD1 21.60 – 26.39 %</t>
        </is>
      </c>
      <c r="AC30" s="246" t="inlineStr"/>
    </row>
    <row r="31">
      <c r="A31" s="243">
        <f>IF(OR(C31="yes",C31="allocated"),COUNT(A$1:A30)+1,"")</f>
        <v/>
      </c>
      <c r="B31" s="244">
        <f>IF(A31&lt;&gt;"","CoQ-PP_26-"&amp;TEXT(A31,"000"),"— at issue —")</f>
        <v/>
      </c>
      <c r="C31" s="249" t="inlineStr">
        <is>
          <t>yes</t>
        </is>
      </c>
      <c r="D31" s="245">
        <f>IF(OR(A31="",C31="allocated"),"",MAX(E31,IF(ISNUMBER(I31),I31,0),IFERROR(IF(ISNUMBER(INDEX('iCoA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1"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IF(OR(C32="yes",C32="allocated"),COUNT(A$1:A31)+1,"")</f>
        <v/>
      </c>
      <c r="B32" s="244">
        <f>IF(A32&lt;&gt;"","CoQ-PP_26-"&amp;TEXT(A32,"000"),"— at issue —")</f>
        <v/>
      </c>
      <c r="C32" s="249" t="inlineStr">
        <is>
          <t>yes</t>
        </is>
      </c>
      <c r="D32" s="245">
        <f>IF(OR(A32="",C32="allocated"),"",MAX(E32,IF(ISNUMBER(I32),I32,0),IFERROR(IF(ISNUMBER(INDEX('iCoA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1"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IF(OR(C33="yes",C33="allocated"),COUNT(A$1:A32)+1,"")</f>
        <v/>
      </c>
      <c r="B33" s="244">
        <f>IF(A33&lt;&gt;"","CoQ-PP_26-"&amp;TEXT(A33,"000"),"— at issue —")</f>
        <v/>
      </c>
      <c r="C33" s="249" t="inlineStr">
        <is>
          <t>yes</t>
        </is>
      </c>
      <c r="D33" s="245">
        <f>IF(OR(A33="",C33="allocated"),"",MAX(E33,IF(ISNUMBER(I33),I33,0),IFERROR(IF(ISNUMBER(INDEX('iCoA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1" t="n">
        <v>8.02</v>
      </c>
      <c r="W33" s="243" t="inlineStr">
        <is>
          <t>ППК25370</t>
        </is>
      </c>
      <c r="X33" s="243" t="inlineStr">
        <is>
          <t>8.00 ± 0.80 (I)</t>
        </is>
      </c>
      <c r="Y33" s="243" t="inlineStr">
        <is>
          <t>7.20 – 8.79 %</t>
        </is>
      </c>
      <c r="Z33" s="243" t="inlineStr">
        <is>
          <t>CLE_THC8 : CBD1</t>
        </is>
      </c>
      <c r="AA33" s="243" t="inlineStr">
        <is>
          <t>QCSP_001_CLE-I_v.01</t>
        </is>
      </c>
      <c r="AB33" s="252" t="inlineStr">
        <is>
          <t>for review — replaces the issued QCSP_001_CLE-I_v.01 (was CLE_THC8 : CBD1, 7.20 – 8.80 %); now CLE_THC8 : CBD1 7.20 – 8.79 %</t>
        </is>
      </c>
      <c r="AC33" s="246" t="inlineStr"/>
    </row>
    <row r="34">
      <c r="A34" s="243">
        <f>IF(OR(C34="yes",C34="allocated"),COUNT(A$1:A33)+1,"")</f>
        <v/>
      </c>
      <c r="B34" s="244">
        <f>IF(A34&lt;&gt;"","CoQ-PP_26-"&amp;TEXT(A34,"000"),"— at issue —")</f>
        <v/>
      </c>
      <c r="C34" s="249" t="inlineStr">
        <is>
          <t>yes</t>
        </is>
      </c>
      <c r="D34" s="245">
        <f>IF(OR(A34="",C34="allocated"),"",MAX(E34,IF(ISNUMBER(I34),I34,0),IFERROR(IF(ISNUMBER(INDEX('iCoA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1" t="n">
        <v>21.36</v>
      </c>
      <c r="W34" s="243" t="inlineStr">
        <is>
          <t>ППК25378</t>
        </is>
      </c>
      <c r="X34" s="243" t="inlineStr">
        <is>
          <t>20.00 ± 2.00 (III)</t>
        </is>
      </c>
      <c r="Y34" s="243" t="inlineStr">
        <is>
          <t>18.00 – 21.99 %</t>
        </is>
      </c>
      <c r="Z34" s="243" t="inlineStr">
        <is>
          <t>GP_THC20 : CBD1</t>
        </is>
      </c>
      <c r="AA34" s="243" t="inlineStr">
        <is>
          <t>QCSP_001_GP-III_v.01</t>
        </is>
      </c>
      <c r="AB34" s="252" t="inlineStr">
        <is>
          <t>for review — replaces the issued QCSP_001_GP-III_v.01 (was GP_THC24 : CBD1, 22.61 – 25.39 %); now GP_THC20 : CBD1 18.00 – 21.99 %</t>
        </is>
      </c>
      <c r="AC34" s="246" t="inlineStr"/>
    </row>
    <row r="35">
      <c r="A35" s="243">
        <f>IF(OR(C35="yes",C35="allocated"),COUNT(A$1:A34)+1,"")</f>
        <v/>
      </c>
      <c r="B35" s="244">
        <f>IF(A35&lt;&gt;"","CoQ-PP_26-"&amp;TEXT(A35,"000"),"— at issue —")</f>
        <v/>
      </c>
      <c r="C35" s="249" t="inlineStr">
        <is>
          <t>yes</t>
        </is>
      </c>
      <c r="D35" s="245">
        <f>IF(OR(A35="",C35="allocated"),"",MAX(E35,IF(ISNUMBER(I35),I35,0),IFERROR(IF(ISNUMBER(INDEX('iCoA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1" t="n">
        <v>19.81</v>
      </c>
      <c r="W35" s="243" t="inlineStr">
        <is>
          <t>ППК25379</t>
        </is>
      </c>
      <c r="X35" s="243" t="inlineStr">
        <is>
          <t>20.00 ± 2.00 (III)</t>
        </is>
      </c>
      <c r="Y35" s="243" t="inlineStr">
        <is>
          <t>18.00 – 21.99 %</t>
        </is>
      </c>
      <c r="Z35" s="243" t="inlineStr">
        <is>
          <t>GP_THC20 : CBD1</t>
        </is>
      </c>
      <c r="AA35" s="243" t="inlineStr">
        <is>
          <t>QCSP_001_GP-III_v.01</t>
        </is>
      </c>
      <c r="AB35" s="252" t="inlineStr">
        <is>
          <t>for review — replaces the issued QCSP_001_GP-III_v.01 (was GP_THC24 : CBD1, 22.61 – 25.39 %); now GP_THC20 : CBD1 18.00 – 21.99 %</t>
        </is>
      </c>
      <c r="AC35" s="246" t="inlineStr"/>
    </row>
    <row r="36">
      <c r="A36" s="243">
        <f>IF(OR(C36="yes",C36="allocated"),COUNT(A$1:A35)+1,"")</f>
        <v/>
      </c>
      <c r="B36" s="244">
        <f>IF(A36&lt;&gt;"","CoQ-PP_26-"&amp;TEXT(A36,"000"),"— at issue —")</f>
        <v/>
      </c>
      <c r="C36" s="249" t="inlineStr">
        <is>
          <t>yes</t>
        </is>
      </c>
      <c r="D36" s="245">
        <f>IF(OR(A36="",C36="allocated"),"",MAX(E36,IF(ISNUMBER(I36),I36,0),IFERROR(IF(ISNUMBER(INDEX('iCoA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1" t="n">
        <v>21.29</v>
      </c>
      <c r="W36" s="243" t="inlineStr">
        <is>
          <t>ППК25380</t>
        </is>
      </c>
      <c r="X36" s="243" t="inlineStr">
        <is>
          <t>20.00 ± 2.00 (III)</t>
        </is>
      </c>
      <c r="Y36" s="243" t="inlineStr">
        <is>
          <t>18.00 – 21.99 %</t>
        </is>
      </c>
      <c r="Z36" s="243" t="inlineStr">
        <is>
          <t>GP_THC20 : CBD1</t>
        </is>
      </c>
      <c r="AA36" s="243" t="inlineStr">
        <is>
          <t>QCSP_001_GP-III_v.01</t>
        </is>
      </c>
      <c r="AB36" s="252" t="inlineStr">
        <is>
          <t>for review — replaces the issued QCSP_001_GP-III_v.01 (was GP_THC24 : CBD1, 22.61 – 25.39 %); now GP_THC20 : CBD1 18.00 – 21.99 %</t>
        </is>
      </c>
      <c r="AC36" s="246" t="inlineStr"/>
    </row>
    <row r="37">
      <c r="A37" s="243">
        <f>IF(OR(C37="yes",C37="allocated"),COUNT(A$1:A36)+1,"")</f>
        <v/>
      </c>
      <c r="B37" s="244">
        <f>IF(A37&lt;&gt;"","CoQ-PP_26-"&amp;TEXT(A37,"000"),"— at issue —")</f>
        <v/>
      </c>
      <c r="C37" s="249" t="inlineStr">
        <is>
          <t>yes</t>
        </is>
      </c>
      <c r="D37" s="245">
        <f>IF(OR(A37="",C37="allocated"),"",MAX(E37,IF(ISNUMBER(I37),I37,0),IFERROR(IF(ISNUMBER(INDEX('iCoA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1" t="n">
        <v>14.83</v>
      </c>
      <c r="W37" s="243" t="inlineStr">
        <is>
          <t>ППК25381</t>
        </is>
      </c>
      <c r="X37" s="243" t="inlineStr">
        <is>
          <t>16.00 ± 1.60 (IV)</t>
        </is>
      </c>
      <c r="Y37" s="243" t="inlineStr">
        <is>
          <t>14.40 – 17.59 %</t>
        </is>
      </c>
      <c r="Z37" s="243" t="inlineStr">
        <is>
          <t>GP_THC16 : CBD1</t>
        </is>
      </c>
      <c r="AA37" s="243" t="inlineStr">
        <is>
          <t>QCSP_001_GP-IV_v.01</t>
        </is>
      </c>
      <c r="AB37" s="252" t="inlineStr">
        <is>
          <t>for review — replaces the issued QCSP_001_GP-IV_v.01 (was GP_THC20 : CBD1, 18.00 – 22.00 %); now GP_THC16 : CBD1 14.40 – 17.59 %</t>
        </is>
      </c>
      <c r="AC37" s="246" t="inlineStr"/>
    </row>
    <row r="38">
      <c r="A38" s="243">
        <f>IF(OR(C38="yes",C38="allocated"),COUNT(A$1:A37)+1,"")</f>
        <v/>
      </c>
      <c r="B38" s="244">
        <f>IF(A38&lt;&gt;"","CoQ-PP_26-"&amp;TEXT(A38,"000"),"— at issue —")</f>
        <v/>
      </c>
      <c r="C38" s="249" t="inlineStr">
        <is>
          <t>yes</t>
        </is>
      </c>
      <c r="D38" s="245">
        <f>IF(OR(A38="",C38="allocated"),"",MAX(E38,IF(ISNUMBER(I38),I38,0),IFERROR(IF(ISNUMBER(INDEX('iCoA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1"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IF(OR(C39="yes",C39="allocated"),COUNT(A$1:A38)+1,"")</f>
        <v/>
      </c>
      <c r="B39" s="244">
        <f>IF(A39&lt;&gt;"","CoQ-PP_26-"&amp;TEXT(A39,"000"),"— at issue —")</f>
        <v/>
      </c>
      <c r="C39" s="249" t="inlineStr">
        <is>
          <t>yes</t>
        </is>
      </c>
      <c r="D39" s="245">
        <f>IF(OR(A39="",C39="allocated"),"",MAX(E39,IF(ISNUMBER(I39),I39,0),IFERROR(IF(ISNUMBER(INDEX('iCoA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1" t="n">
        <v>24.96</v>
      </c>
      <c r="W39" s="243" t="inlineStr">
        <is>
          <t>ППК26002</t>
        </is>
      </c>
      <c r="X39" s="243" t="inlineStr">
        <is>
          <t>24.00 ± 2.40 (II)</t>
        </is>
      </c>
      <c r="Y39" s="243" t="inlineStr">
        <is>
          <t>21.60 – 26.39 %</t>
        </is>
      </c>
      <c r="Z39" s="243" t="inlineStr">
        <is>
          <t>CJ_THC24 : CBD1</t>
        </is>
      </c>
      <c r="AA39" s="243" t="inlineStr">
        <is>
          <t>QCSP_001_CJ-II_v.01</t>
        </is>
      </c>
      <c r="AB39" s="252" t="inlineStr">
        <is>
          <t>for review — replaces the issued QCSP_001_CJ-II_v.01 (was CJ_THC26 : CBD1, 25.01 – 26.99 %); now CJ_THC24 : CBD1 21.60 – 26.39 %</t>
        </is>
      </c>
      <c r="AC39" s="246" t="inlineStr"/>
    </row>
    <row r="40">
      <c r="A40" s="243">
        <f>IF(OR(C40="yes",C40="allocated"),COUNT(A$1:A39)+1,"")</f>
        <v/>
      </c>
      <c r="B40" s="244">
        <f>IF(A40&lt;&gt;"","CoQ-PP_26-"&amp;TEXT(A40,"000"),"— at issue —")</f>
        <v/>
      </c>
      <c r="C40" s="249" t="inlineStr">
        <is>
          <t>yes</t>
        </is>
      </c>
      <c r="D40" s="245">
        <f>IF(OR(A40="",C40="allocated"),"",MAX(E40,IF(ISNUMBER(I40),I40,0),IFERROR(IF(ISNUMBER(INDEX('iCoA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1" t="n">
        <v>20.84</v>
      </c>
      <c r="W40" s="243" t="inlineStr">
        <is>
          <t>ППК26003</t>
        </is>
      </c>
      <c r="X40" s="243" t="inlineStr">
        <is>
          <t>20.00 ± 1.60 (III)</t>
        </is>
      </c>
      <c r="Y40" s="243" t="inlineStr">
        <is>
          <t>18.40 – 21.59 %</t>
        </is>
      </c>
      <c r="Z40" s="243" t="inlineStr">
        <is>
          <t>CJ_THC20 : CBD1</t>
        </is>
      </c>
      <c r="AA40" s="243" t="inlineStr">
        <is>
          <t>QCSP_001_CJ-III_v.01</t>
        </is>
      </c>
      <c r="AB40" s="252" t="inlineStr">
        <is>
          <t>for review — replaces the issued QCSP_001_CJ-III_v.01 (was CJ_THC24 : CBD1, 23.00 – 25.00 %); now CJ_THC20 : CBD1 18.40 – 21.59 %</t>
        </is>
      </c>
      <c r="AC40" s="246" t="inlineStr"/>
    </row>
    <row r="41">
      <c r="A41" s="243">
        <f>IF(OR(C41="yes",C41="allocated"),COUNT(A$1:A40)+1,"")</f>
        <v/>
      </c>
      <c r="B41" s="244">
        <f>IF(A41&lt;&gt;"","CoQ-PP_26-"&amp;TEXT(A41,"000"),"— at issue —")</f>
        <v/>
      </c>
      <c r="C41" s="249" t="inlineStr">
        <is>
          <t>yes</t>
        </is>
      </c>
      <c r="D41" s="245">
        <f>IF(OR(A41="",C41="allocated"),"",MAX(E41,IF(ISNUMBER(I41),I41,0),IFERROR(IF(ISNUMBER(INDEX('iCoA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1" t="n">
        <v>9.43</v>
      </c>
      <c r="W41" s="243" t="inlineStr">
        <is>
          <t>ППК26008</t>
        </is>
      </c>
      <c r="X41" s="243" t="inlineStr">
        <is>
          <t>10.00 ± 1.00 (IV)</t>
        </is>
      </c>
      <c r="Y41" s="243" t="inlineStr">
        <is>
          <t>9.00 – 10.99 %</t>
        </is>
      </c>
      <c r="Z41" s="243" t="inlineStr">
        <is>
          <t>OPM_THC10 : CBD1</t>
        </is>
      </c>
      <c r="AA41" s="243" t="inlineStr">
        <is>
          <t>QCSP_001_OPM-IV_v.01</t>
        </is>
      </c>
      <c r="AB41" s="252" t="inlineStr">
        <is>
          <t>for review — replaces the issued QCSP_001_OPM-IV_v.01 (was OPM_THC10 : CBD1, 9.00 – 11.00 %); now OPM_THC10 : CBD1 9.00 – 10.99 %</t>
        </is>
      </c>
      <c r="AC41" s="246" t="inlineStr"/>
    </row>
    <row r="42">
      <c r="A42" s="243">
        <f>IF(OR(C42="yes",C42="allocated"),COUNT(A$1:A41)+1,"")</f>
        <v/>
      </c>
      <c r="B42" s="244">
        <f>IF(A42&lt;&gt;"","CoQ-PP_26-"&amp;TEXT(A42,"000"),"— at issue —")</f>
        <v/>
      </c>
      <c r="C42" s="249" t="inlineStr">
        <is>
          <t>yes</t>
        </is>
      </c>
      <c r="D42" s="245">
        <f>IF(OR(A42="",C42="allocated"),"",MAX(E42,IF(ISNUMBER(I42),I42,0),IFERROR(IF(ISNUMBER(INDEX('iCoA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1"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IF(OR(C43="yes",C43="allocated"),COUNT(A$1:A42)+1,"")</f>
        <v/>
      </c>
      <c r="B43" s="244">
        <f>IF(A43&lt;&gt;"","CoQ-PP_26-"&amp;TEXT(A43,"000"),"— at issue —")</f>
        <v/>
      </c>
      <c r="C43" s="249" t="inlineStr">
        <is>
          <t>yes</t>
        </is>
      </c>
      <c r="D43" s="245">
        <f>IF(OR(A43="",C43="allocated"),"",MAX(E43,IF(ISNUMBER(I43),I43,0),IFERROR(IF(ISNUMBER(INDEX('iCoA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1" t="n">
        <v>14.06</v>
      </c>
      <c r="W43" s="243" t="inlineStr">
        <is>
          <t>ППК26004</t>
        </is>
      </c>
      <c r="X43" s="243" t="inlineStr">
        <is>
          <t>14.00 ± 1.00 (I)</t>
        </is>
      </c>
      <c r="Y43" s="243" t="inlineStr">
        <is>
          <t>13.00 – 14.99 %</t>
        </is>
      </c>
      <c r="Z43" s="243" t="inlineStr">
        <is>
          <t>PM_THC14 : CBD1</t>
        </is>
      </c>
      <c r="AA43" s="243" t="inlineStr">
        <is>
          <t>QCSP_001_PM-I_v.01</t>
        </is>
      </c>
      <c r="AB43" s="252" t="inlineStr">
        <is>
          <t>for review — replaces the issued QCSP_001_PM-I_v.01 (was PM_THC12 : CBD1, 11.01 – 12.99 %); now PM_THC14 : CBD1 13.00 – 14.99 %</t>
        </is>
      </c>
      <c r="AC43" s="246" t="inlineStr"/>
    </row>
    <row r="44">
      <c r="A44" s="243">
        <f>IF(OR(C44="yes",C44="allocated"),COUNT(A$1:A43)+1,"")</f>
        <v/>
      </c>
      <c r="B44" s="244">
        <f>IF(A44&lt;&gt;"","CoQ-PP_26-"&amp;TEXT(A44,"000"),"— at issue —")</f>
        <v/>
      </c>
      <c r="C44" s="249" t="inlineStr">
        <is>
          <t>yes</t>
        </is>
      </c>
      <c r="D44" s="245">
        <f>IF(OR(A44="",C44="allocated"),"",MAX(E44,IF(ISNUMBER(I44),I44,0),IFERROR(IF(ISNUMBER(INDEX('iCoA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1" t="n">
        <v>22.3</v>
      </c>
      <c r="W44" s="243" t="inlineStr">
        <is>
          <t>ППК26007</t>
        </is>
      </c>
      <c r="X44" s="243" t="inlineStr">
        <is>
          <t>24.00 ± 2.40 (II)</t>
        </is>
      </c>
      <c r="Y44" s="243" t="inlineStr">
        <is>
          <t>21.60 – 26.39 %</t>
        </is>
      </c>
      <c r="Z44" s="243" t="inlineStr">
        <is>
          <t>CJ_THC24 : CBD1</t>
        </is>
      </c>
      <c r="AA44" s="243" t="inlineStr">
        <is>
          <t>QCSP_001_CJ-II_v.01</t>
        </is>
      </c>
      <c r="AB44" s="252" t="inlineStr">
        <is>
          <t>for review — replaces the issued QCSP_001_CJ-II_v.01 (was CJ_THC26 : CBD1, 25.01 – 26.99 %); now CJ_THC24 : CBD1 21.60 – 26.39 %</t>
        </is>
      </c>
      <c r="AC44" s="246" t="inlineStr"/>
    </row>
    <row r="45">
      <c r="A45" s="243">
        <f>IF(OR(C45="yes",C45="allocated"),COUNT(A$1:A44)+1,"")</f>
        <v/>
      </c>
      <c r="B45" s="244">
        <f>IF(A45&lt;&gt;"","CoQ-PP_26-"&amp;TEXT(A45,"000"),"— at issue —")</f>
        <v/>
      </c>
      <c r="C45" s="249" t="inlineStr">
        <is>
          <t>yes</t>
        </is>
      </c>
      <c r="D45" s="245">
        <f>IF(OR(A45="",C45="allocated"),"",MAX(E45,IF(ISNUMBER(I45),I45,0),IFERROR(IF(ISNUMBER(INDEX('iCoA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1" t="n">
        <v>10.96</v>
      </c>
      <c r="W45" s="243" t="inlineStr">
        <is>
          <t>ППК26006</t>
        </is>
      </c>
      <c r="X45" s="243" t="inlineStr">
        <is>
          <t>10.00 ± 1.00 (II)</t>
        </is>
      </c>
      <c r="Y45" s="243" t="inlineStr">
        <is>
          <t>9.00 – 10.99 %</t>
        </is>
      </c>
      <c r="Z45" s="243" t="inlineStr">
        <is>
          <t>SJ_THC10 : CBD1</t>
        </is>
      </c>
      <c r="AA45" s="243" t="inlineStr">
        <is>
          <t>QCSP_001_SJ-II_v.01</t>
        </is>
      </c>
      <c r="AB45" s="252" t="inlineStr">
        <is>
          <t>for review — replaces the issued QCSP_001_SJ-II_v.01 (was SJ_THC10 : CBD1, 9.00 – 11.00 %); now SJ_THC10 : CBD1 9.00 – 10.99 %</t>
        </is>
      </c>
      <c r="AC45" s="246" t="inlineStr"/>
    </row>
    <row r="46">
      <c r="A46" s="243">
        <f>IF(OR(C46="yes",C46="allocated"),COUNT(A$1:A45)+1,"")</f>
        <v/>
      </c>
      <c r="B46" s="244">
        <f>IF(A46&lt;&gt;"","CoQ-PP_26-"&amp;TEXT(A46,"000"),"— at issue —")</f>
        <v/>
      </c>
      <c r="C46" s="249" t="inlineStr">
        <is>
          <t>yes</t>
        </is>
      </c>
      <c r="D46" s="245">
        <f>IF(OR(A46="",C46="allocated"),"",MAX(E46,IF(ISNUMBER(I46),I46,0),IFERROR(IF(ISNUMBER(INDEX('iCoA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1" t="n">
        <v>25.73</v>
      </c>
      <c r="W46" s="243" t="inlineStr">
        <is>
          <t>ППК26009</t>
        </is>
      </c>
      <c r="X46" s="243" t="inlineStr">
        <is>
          <t>24.00 ± 2.00 (II)</t>
        </is>
      </c>
      <c r="Y46" s="243" t="inlineStr">
        <is>
          <t>22.00 – 25.99 %</t>
        </is>
      </c>
      <c r="Z46" s="243" t="inlineStr">
        <is>
          <t>GP_THC24 : CBD1</t>
        </is>
      </c>
      <c r="AA46" s="243" t="inlineStr">
        <is>
          <t>QCSP_001_GP-II_v.01</t>
        </is>
      </c>
      <c r="AB46" s="252" t="inlineStr">
        <is>
          <t>for review — replaces the issued QCSP_001_GP-II_v.01 (was GP_THC26 : CBD1, 25.40 – 26.60 %); now GP_THC24 : CBD1 22.00 – 25.99 %</t>
        </is>
      </c>
      <c r="AC46" s="246" t="inlineStr"/>
    </row>
    <row r="47">
      <c r="A47" s="243">
        <f>IF(OR(C47="yes",C47="allocated"),COUNT(A$1:A46)+1,"")</f>
        <v/>
      </c>
      <c r="B47" s="244">
        <f>IF(A47&lt;&gt;"","CoQ-PP_26-"&amp;TEXT(A47,"000"),"— at issue —")</f>
        <v/>
      </c>
      <c r="C47" s="249" t="inlineStr">
        <is>
          <t>yes</t>
        </is>
      </c>
      <c r="D47" s="245">
        <f>IF(OR(A47="",C47="allocated"),"",MAX(E47,IF(ISNUMBER(I47),I47,0),IFERROR(IF(ISNUMBER(INDEX('iCoA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2" t="inlineStr">
        <is>
          <t>no Total THC result on this certificate</t>
        </is>
      </c>
    </row>
    <row r="48">
      <c r="A48" s="243">
        <f>IF(OR(C48="yes",C48="allocated"),COUNT(A$1:A47)+1,"")</f>
        <v/>
      </c>
      <c r="B48" s="244">
        <f>IF(A48&lt;&gt;"","CoQ-PP_26-"&amp;TEXT(A48,"000"),"— at issue —")</f>
        <v/>
      </c>
      <c r="C48" s="249" t="inlineStr">
        <is>
          <t>yes</t>
        </is>
      </c>
      <c r="D48" s="245">
        <f>IF(OR(A48="",C48="allocated"),"",MAX(E48,IF(ISNUMBER(I48),I48,0),IFERROR(IF(ISNUMBER(INDEX('iCoA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2" t="inlineStr">
        <is>
          <t>no Total THC result on this certificate</t>
        </is>
      </c>
    </row>
    <row r="49">
      <c r="A49" s="243">
        <f>IF(OR(C49="yes",C49="allocated"),COUNT(A$1:A48)+1,"")</f>
        <v/>
      </c>
      <c r="B49" s="244">
        <f>IF(A49&lt;&gt;"","CoQ-PP_26-"&amp;TEXT(A49,"000"),"— at issue —")</f>
        <v/>
      </c>
      <c r="C49" s="249" t="inlineStr">
        <is>
          <t>yes</t>
        </is>
      </c>
      <c r="D49" s="245">
        <f>IF(OR(A49="",C49="allocated"),"",MAX(E49,IF(ISNUMBER(I49),I49,0),IFERROR(IF(ISNUMBER(INDEX('iCoA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1" t="n">
        <v>12.91</v>
      </c>
      <c r="W49" s="243" t="inlineStr">
        <is>
          <t>031-5-К/26</t>
        </is>
      </c>
      <c r="X49" s="243" t="inlineStr">
        <is>
          <t>12.00 ± 1.20 (I)</t>
        </is>
      </c>
      <c r="Y49" s="243" t="inlineStr">
        <is>
          <t>10.80 – 13.19 %</t>
        </is>
      </c>
      <c r="Z49" s="243" t="inlineStr">
        <is>
          <t>ACC_THC12 : CBD1</t>
        </is>
      </c>
      <c r="AA49" s="243" t="inlineStr">
        <is>
          <t>QCSP_001_ACC-I_v.01</t>
        </is>
      </c>
      <c r="AB49" s="252" t="inlineStr">
        <is>
          <t>for review — replaces the issued QCSP_001_ACC-I_v.01 (was ACC_THC12 : CBD1, 10.80 – 13.20 %); now ACC_THC12 : CBD1 10.80 – 13.19 %</t>
        </is>
      </c>
      <c r="AC49" s="246" t="inlineStr"/>
    </row>
    <row r="50">
      <c r="A50" s="243">
        <f>IF(OR(C50="yes",C50="allocated"),COUNT(A$1:A49)+1,"")</f>
        <v/>
      </c>
      <c r="B50" s="244">
        <f>IF(A50&lt;&gt;"","CoQ-PP_26-"&amp;TEXT(A50,"000"),"— at issue —")</f>
        <v/>
      </c>
      <c r="C50" s="249" t="inlineStr">
        <is>
          <t>yes</t>
        </is>
      </c>
      <c r="D50" s="245">
        <f>IF(OR(A50="",C50="allocated"),"",MAX(E50,IF(ISNUMBER(I50),I50,0),IFERROR(IF(ISNUMBER(INDEX('iCoA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1" t="n">
        <v>9.83</v>
      </c>
      <c r="W50" s="243" t="inlineStr">
        <is>
          <t>031-4-К/26</t>
        </is>
      </c>
      <c r="X50" s="243" t="inlineStr">
        <is>
          <t>10.00 ± 1.00 (I)</t>
        </is>
      </c>
      <c r="Y50" s="243" t="inlineStr">
        <is>
          <t>9.00 – 10.99 %</t>
        </is>
      </c>
      <c r="Z50" s="243" t="inlineStr">
        <is>
          <t>CF_THC10 : CBD1</t>
        </is>
      </c>
      <c r="AA50" s="243" t="inlineStr">
        <is>
          <t>QCSP_001_CF-I_v.01</t>
        </is>
      </c>
      <c r="AB50" s="252" t="inlineStr">
        <is>
          <t>for review — replaces the issued QCSP_001_CF-I_v.01 (was CF_THC10 : CBD1, 9.00 – 11.00 %); now CF_THC10 : CBD1 9.00 – 10.99 %</t>
        </is>
      </c>
      <c r="AC50" s="246" t="inlineStr"/>
    </row>
    <row r="51">
      <c r="A51" s="243">
        <f>IF(OR(C51="yes",C51="allocated"),COUNT(A$1:A50)+1,"")</f>
        <v/>
      </c>
      <c r="B51" s="244">
        <f>IF(A51&lt;&gt;"","CoQ-PP_26-"&amp;TEXT(A51,"000"),"— at issue —")</f>
        <v/>
      </c>
      <c r="C51" s="249" t="inlineStr">
        <is>
          <t>yes</t>
        </is>
      </c>
      <c r="D51" s="245">
        <f>IF(OR(A51="",C51="allocated"),"",MAX(E51,IF(ISNUMBER(I51),I51,0),IFERROR(IF(ISNUMBER(INDEX('iCoA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2" t="inlineStr">
        <is>
          <t>no Total THC result on this certificate</t>
        </is>
      </c>
    </row>
    <row r="52">
      <c r="A52" s="243">
        <f>IF(OR(C52="yes",C52="allocated"),COUNT(A$1:A51)+1,"")</f>
        <v/>
      </c>
      <c r="B52" s="244">
        <f>IF(A52&lt;&gt;"","CoQ-PP_26-"&amp;TEXT(A52,"000"),"— at issue —")</f>
        <v/>
      </c>
      <c r="C52" s="249" t="inlineStr">
        <is>
          <t>yes</t>
        </is>
      </c>
      <c r="D52" s="245">
        <f>IF(OR(A52="",C52="allocated"),"",MAX(E52,IF(ISNUMBER(I52),I52,0),IFERROR(IF(ISNUMBER(INDEX('iCoA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1"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IF(OR(C53="yes",C53="allocated"),COUNT(A$1:A52)+1,"")</f>
        <v/>
      </c>
      <c r="B53" s="244">
        <f>IF(A53&lt;&gt;"","CoQ-PP_26-"&amp;TEXT(A53,"000"),"— at issue —")</f>
        <v/>
      </c>
      <c r="C53" s="249" t="inlineStr">
        <is>
          <t>yes</t>
        </is>
      </c>
      <c r="D53" s="245">
        <f>IF(OR(A53="",C53="allocated"),"",MAX(E53,IF(ISNUMBER(I53),I53,0),IFERROR(IF(ISNUMBER(INDEX('iCoA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1"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IF(OR(C54="yes",C54="allocated"),COUNT(A$1:A53)+1,"")</f>
        <v/>
      </c>
      <c r="B54" s="244">
        <f>IF(A54&lt;&gt;"","CoQ-PP_26-"&amp;TEXT(A54,"000"),"— at issue —")</f>
        <v/>
      </c>
      <c r="C54" s="249" t="inlineStr">
        <is>
          <t>yes</t>
        </is>
      </c>
      <c r="D54" s="245">
        <f>IF(OR(A54="",C54="allocated"),"",MAX(E54,IF(ISNUMBER(I54),I54,0),IFERROR(IF(ISNUMBER(INDEX('iCoA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1" t="n">
        <v>17.04</v>
      </c>
      <c r="W54" s="243" t="inlineStr">
        <is>
          <t>051-4-К/26</t>
        </is>
      </c>
      <c r="X54" s="243" t="inlineStr">
        <is>
          <t>18.00 ± 1.80 (I)</t>
        </is>
      </c>
      <c r="Y54" s="243" t="inlineStr">
        <is>
          <t>16.20 – 19.79 %</t>
        </is>
      </c>
      <c r="Z54" s="243" t="inlineStr">
        <is>
          <t>KC_THC18 : CBD1</t>
        </is>
      </c>
      <c r="AA54" s="243" t="inlineStr">
        <is>
          <t>QCSP_001_KC-I_v.01</t>
        </is>
      </c>
      <c r="AB54" s="252" t="inlineStr">
        <is>
          <t>for review — replaces the issued QCSP_001_KC-I_v.01 (was KC_THC18 : CBD1, 16.20 – 19.80 %); now KC_THC18 : CBD1 16.20 – 19.79 %</t>
        </is>
      </c>
      <c r="AC54" s="246" t="inlineStr"/>
    </row>
    <row r="55">
      <c r="A55" s="243">
        <f>IF(OR(C55="yes",C55="allocated"),COUNT(A$1:A54)+1,"")</f>
        <v/>
      </c>
      <c r="B55" s="244">
        <f>IF(A55&lt;&gt;"","CoQ-PP_26-"&amp;TEXT(A55,"000"),"— at issue —")</f>
        <v/>
      </c>
      <c r="C55" s="249" t="inlineStr">
        <is>
          <t>yes</t>
        </is>
      </c>
      <c r="D55" s="245">
        <f>IF(OR(A55="",C55="allocated"),"",MAX(E55,IF(ISNUMBER(I55),I55,0),IFERROR(IF(ISNUMBER(INDEX('iCoA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1"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IF(OR(C56="yes",C56="allocated"),COUNT(A$1:A55)+1,"")</f>
        <v/>
      </c>
      <c r="B56" s="244">
        <f>IF(A56&lt;&gt;"","CoQ-PP_26-"&amp;TEXT(A56,"000"),"— at issue —")</f>
        <v/>
      </c>
      <c r="C56" s="249" t="inlineStr">
        <is>
          <t>yes</t>
        </is>
      </c>
      <c r="D56" s="245">
        <f>IF(OR(A56="",C56="allocated"),"",MAX(E56,IF(ISNUMBER(I56),I56,0),IFERROR(IF(ISNUMBER(INDEX('iCoA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1" t="n">
        <v>9.199999999999999</v>
      </c>
      <c r="W56" s="243" t="inlineStr">
        <is>
          <t>051-2-К/26</t>
        </is>
      </c>
      <c r="X56" s="243" t="inlineStr">
        <is>
          <t>10.00 ± 1.00 (II)</t>
        </is>
      </c>
      <c r="Y56" s="243" t="inlineStr">
        <is>
          <t>9.00 – 10.99 %</t>
        </is>
      </c>
      <c r="Z56" s="243" t="inlineStr">
        <is>
          <t>SJ_THC10 : CBD1</t>
        </is>
      </c>
      <c r="AA56" s="243" t="inlineStr">
        <is>
          <t>QCSP_001_SJ-II_v.01</t>
        </is>
      </c>
      <c r="AB56" s="252" t="inlineStr">
        <is>
          <t>for review — replaces the issued QCSP_001_SJ-II_v.01 (was SJ_THC10 : CBD1, 9.00 – 11.00 %); now SJ_THC10 : CBD1 9.00 – 10.99 %</t>
        </is>
      </c>
      <c r="AC56" s="246" t="inlineStr"/>
    </row>
    <row r="57">
      <c r="A57" s="243">
        <f>IF(OR(C57="yes",C57="allocated"),COUNT(A$1:A56)+1,"")</f>
        <v/>
      </c>
      <c r="B57" s="244">
        <f>IF(A57&lt;&gt;"","CoQ-PP_26-"&amp;TEXT(A57,"000"),"— at issue —")</f>
        <v/>
      </c>
      <c r="C57" s="249" t="inlineStr">
        <is>
          <t>yes</t>
        </is>
      </c>
      <c r="D57" s="245">
        <f>IF(OR(A57="",C57="allocated"),"",MAX(E57,IF(ISNUMBER(I57),I57,0),IFERROR(IF(ISNUMBER(INDEX('iCoA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1"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IF(OR(C58="yes",C58="allocated"),COUNT(A$1:A57)+1,"")</f>
        <v/>
      </c>
      <c r="B58" s="244">
        <f>IF(A58&lt;&gt;"","CoQ-PP_26-"&amp;TEXT(A58,"000"),"— at issue —")</f>
        <v/>
      </c>
      <c r="C58" s="249" t="inlineStr">
        <is>
          <t>yes</t>
        </is>
      </c>
      <c r="D58" s="245">
        <f>IF(OR(A58="",C58="allocated"),"",MAX(E58,IF(ISNUMBER(I58),I58,0),IFERROR(IF(ISNUMBER(INDEX('iCoA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1" t="n">
        <v>19.64</v>
      </c>
      <c r="W58" s="243" t="inlineStr">
        <is>
          <t>ППК26063</t>
        </is>
      </c>
      <c r="X58" s="243" t="inlineStr">
        <is>
          <t>18.00 ± 1.80 (II)</t>
        </is>
      </c>
      <c r="Y58" s="243" t="inlineStr">
        <is>
          <t>16.20 – 19.79 %</t>
        </is>
      </c>
      <c r="Z58" s="243" t="inlineStr">
        <is>
          <t>JD_THC18 : CBD1</t>
        </is>
      </c>
      <c r="AA58" s="243" t="inlineStr">
        <is>
          <t>QCSP_001_JD-II_v.01</t>
        </is>
      </c>
      <c r="AB58" s="252" t="inlineStr">
        <is>
          <t>for review — replaces the issued QCSP_001_JD-II_v.01 (was JD_THC16 : CBD1, 14.91 – 17.09 %); now JD_THC18 : CBD1 16.20 – 19.79 %</t>
        </is>
      </c>
      <c r="AC58" s="246" t="inlineStr"/>
    </row>
    <row r="59">
      <c r="A59" s="243">
        <f>IF(OR(C59="yes",C59="allocated"),COUNT(A$1:A58)+1,"")</f>
        <v/>
      </c>
      <c r="B59" s="244">
        <f>IF(A59&lt;&gt;"","CoQ-PP_26-"&amp;TEXT(A59,"000"),"— at issue —")</f>
        <v/>
      </c>
      <c r="C59" s="249" t="inlineStr">
        <is>
          <t>yes</t>
        </is>
      </c>
      <c r="D59" s="245">
        <f>IF(OR(A59="",C59="allocated"),"",MAX(E59,IF(ISNUMBER(I59),I59,0),IFERROR(IF(ISNUMBER(INDEX('iCoA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1" t="n">
        <v>8</v>
      </c>
      <c r="W59" s="243" t="inlineStr">
        <is>
          <t>ППК26031</t>
        </is>
      </c>
      <c r="X59" s="243" t="inlineStr">
        <is>
          <t>8.00 ± 0.80 (V)</t>
        </is>
      </c>
      <c r="Y59" s="243" t="inlineStr">
        <is>
          <t>7.20 – 8.79 %</t>
        </is>
      </c>
      <c r="Z59" s="243" t="inlineStr">
        <is>
          <t>OPM_THC8 : CBD1</t>
        </is>
      </c>
      <c r="AA59" s="243" t="inlineStr">
        <is>
          <t>QCSP_001_OPM-V_v.01</t>
        </is>
      </c>
      <c r="AB59" s="252" t="inlineStr">
        <is>
          <t>for review — replaces the issued QCSP_001_OPM-V_v.01 (was OPM_THC8 : CBD1, 7.20 – 8.80 %); now OPM_THC8 : CBD1 7.20 – 8.79 %</t>
        </is>
      </c>
      <c r="AC59" s="246" t="inlineStr"/>
    </row>
    <row r="60">
      <c r="A60" s="243">
        <f>IF(OR(C60="yes",C60="allocated"),COUNT(A$1:A59)+1,"")</f>
        <v/>
      </c>
      <c r="B60" s="244">
        <f>IF(A60&lt;&gt;"","CoQ-PP_26-"&amp;TEXT(A60,"000"),"— at issue —")</f>
        <v/>
      </c>
      <c r="C60" s="249" t="inlineStr">
        <is>
          <t>yes</t>
        </is>
      </c>
      <c r="D60" s="245">
        <f>IF(OR(A60="",C60="allocated"),"",MAX(E60,IF(ISNUMBER(I60),I60,0),IFERROR(IF(ISNUMBER(INDEX('iCoA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1" t="n">
        <v>13.33</v>
      </c>
      <c r="W60" s="243" t="inlineStr">
        <is>
          <t>ППК26030</t>
        </is>
      </c>
      <c r="X60" s="243" t="inlineStr">
        <is>
          <t>14.00 ± 1.00 (I)</t>
        </is>
      </c>
      <c r="Y60" s="243" t="inlineStr">
        <is>
          <t>13.00 – 14.99 %</t>
        </is>
      </c>
      <c r="Z60" s="243" t="inlineStr">
        <is>
          <t>PM_THC14 : CBD1</t>
        </is>
      </c>
      <c r="AA60" s="243" t="inlineStr">
        <is>
          <t>QCSP_001_PM-I_v.01</t>
        </is>
      </c>
      <c r="AB60" s="252" t="inlineStr">
        <is>
          <t>for review — replaces the issued QCSP_001_PM-I_v.01 (was PM_THC12 : CBD1, 11.01 – 12.99 %); now PM_THC14 : CBD1 13.00 – 14.99 %</t>
        </is>
      </c>
      <c r="AC60" s="246" t="inlineStr"/>
    </row>
    <row r="61">
      <c r="A61" s="243">
        <f>IF(OR(C61="yes",C61="allocated"),COUNT(A$1:A60)+1,"")</f>
        <v/>
      </c>
      <c r="B61" s="244">
        <f>IF(A61&lt;&gt;"","CoQ-PP_26-"&amp;TEXT(A61,"000"),"— at issue —")</f>
        <v/>
      </c>
      <c r="C61" s="249" t="inlineStr">
        <is>
          <t>yes</t>
        </is>
      </c>
      <c r="D61" s="245">
        <f>IF(OR(A61="",C61="allocated"),"",MAX(E61,IF(ISNUMBER(I61),I61,0),IFERROR(IF(ISNUMBER(INDEX('iCoA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1" t="n">
        <v>8.09</v>
      </c>
      <c r="W61" s="243" t="inlineStr">
        <is>
          <t>100-4-К/26</t>
        </is>
      </c>
      <c r="X61" s="243" t="inlineStr">
        <is>
          <t>8.00 ± 0.80 (V)</t>
        </is>
      </c>
      <c r="Y61" s="243" t="inlineStr">
        <is>
          <t>7.20 – 8.79 %</t>
        </is>
      </c>
      <c r="Z61" s="243" t="inlineStr">
        <is>
          <t>OPM_THC8 : CBD1</t>
        </is>
      </c>
      <c r="AA61" s="243" t="inlineStr">
        <is>
          <t>QCSP_001_OPM-V_v.01</t>
        </is>
      </c>
      <c r="AB61" s="252" t="inlineStr">
        <is>
          <t>for review — replaces the issued QCSP_001_OPM-V_v.01 (was OPM_THC8 : CBD1, 7.20 – 8.80 %); now OPM_THC8 : CBD1 7.20 – 8.79 %</t>
        </is>
      </c>
      <c r="AC61" s="246" t="inlineStr"/>
    </row>
    <row r="62">
      <c r="A62" s="243">
        <f>IF(OR(C62="yes",C62="allocated"),COUNT(A$1:A61)+1,"")</f>
        <v/>
      </c>
      <c r="B62" s="244">
        <f>IF(A62&lt;&gt;"","CoQ-PP_26-"&amp;TEXT(A62,"000"),"— at issue —")</f>
        <v/>
      </c>
      <c r="C62" s="249" t="inlineStr">
        <is>
          <t>yes</t>
        </is>
      </c>
      <c r="D62" s="245">
        <f>IF(OR(A62="",C62="allocated"),"",MAX(E62,IF(ISNUMBER(I62),I62,0),IFERROR(IF(ISNUMBER(INDEX('iCoA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1" t="n">
        <v>17.94</v>
      </c>
      <c r="W62" s="243" t="inlineStr">
        <is>
          <t>ППК26061</t>
        </is>
      </c>
      <c r="X62" s="243" t="inlineStr">
        <is>
          <t>18.00 ± 1.77 (I)</t>
        </is>
      </c>
      <c r="Y62" s="243" t="inlineStr">
        <is>
          <t>16.23 – 19.76 %</t>
        </is>
      </c>
      <c r="Z62" s="243" t="inlineStr">
        <is>
          <t>GG_THC18 : CBD1</t>
        </is>
      </c>
      <c r="AA62" s="243" t="inlineStr">
        <is>
          <t>QCSP_001_GG-I_v.01</t>
        </is>
      </c>
      <c r="AB62" s="252" t="inlineStr">
        <is>
          <t>for review — replaces the issued QCSP_001_GG-I_v.01 (was GG_THC18 : CBD1, 17.01 – 18.99 %); now GG_THC18 : CBD1 16.23 – 19.76 %</t>
        </is>
      </c>
      <c r="AC62" s="246" t="inlineStr"/>
    </row>
    <row r="63">
      <c r="A63" s="243">
        <f>IF(OR(C63="yes",C63="allocated"),COUNT(A$1:A62)+1,"")</f>
        <v/>
      </c>
      <c r="B63" s="244">
        <f>IF(A63&lt;&gt;"","CoQ-PP_26-"&amp;TEXT(A63,"000"),"— at issue —")</f>
        <v/>
      </c>
      <c r="C63" s="249" t="inlineStr">
        <is>
          <t>yes</t>
        </is>
      </c>
      <c r="D63" s="245">
        <f>IF(OR(A63="",C63="allocated"),"",MAX(E63,IF(ISNUMBER(I63),I63,0),IFERROR(IF(ISNUMBER(INDEX('iCoA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1" t="n">
        <v>19.84</v>
      </c>
      <c r="W63" s="243" t="inlineStr">
        <is>
          <t>100-2-К/26</t>
        </is>
      </c>
      <c r="X63" s="243" t="inlineStr">
        <is>
          <t>22.00 ± 2.20 (II)</t>
        </is>
      </c>
      <c r="Y63" s="243" t="inlineStr">
        <is>
          <t>19.80 – 24.19 %</t>
        </is>
      </c>
      <c r="Z63" s="243" t="inlineStr">
        <is>
          <t>J31_THC22 : CBD1</t>
        </is>
      </c>
      <c r="AA63" s="243" t="inlineStr">
        <is>
          <t>QCSP_001_J31-II_v.01</t>
        </is>
      </c>
      <c r="AB63" s="252" t="inlineStr">
        <is>
          <t>for review — replaces the issued QCSP_001_J31-II_v.01 (was J31_THC18 : CBD1, 16.20 – 19.80 %); now J31_THC22 : CBD1 19.80 – 24.19 %</t>
        </is>
      </c>
      <c r="AC63" s="246" t="inlineStr"/>
    </row>
    <row r="64">
      <c r="A64" s="243">
        <f>IF(OR(C64="yes",C64="allocated"),COUNT(A$1:A63)+1,"")</f>
        <v/>
      </c>
      <c r="B64" s="244">
        <f>IF(A64&lt;&gt;"","CoQ-PP_26-"&amp;TEXT(A64,"000"),"— at issue —")</f>
        <v/>
      </c>
      <c r="C64" s="249" t="inlineStr">
        <is>
          <t>yes</t>
        </is>
      </c>
      <c r="D64" s="245">
        <f>IF(OR(A64="",C64="allocated"),"",MAX(E64,IF(ISNUMBER(I64),I64,0),IFERROR(IF(ISNUMBER(INDEX('iCoA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1" t="n">
        <v>13.35</v>
      </c>
      <c r="W64" s="243" t="inlineStr">
        <is>
          <t>ППК26068</t>
        </is>
      </c>
      <c r="X64" s="243" t="inlineStr">
        <is>
          <t>14.00 ± 1.35 (II)</t>
        </is>
      </c>
      <c r="Y64" s="243" t="inlineStr">
        <is>
          <t>12.65 – 15.34 %</t>
        </is>
      </c>
      <c r="Z64" s="243" t="inlineStr">
        <is>
          <t>CC_THC14 : CBD1</t>
        </is>
      </c>
      <c r="AA64" s="243" t="inlineStr">
        <is>
          <t>QCSP_001_CC-II_v.01</t>
        </is>
      </c>
      <c r="AB64" s="252" t="inlineStr">
        <is>
          <t>for review — replaces the issued QCSP_001_CC-II_v.01 (was CC_THC14 : CBD1, 12.60 – 15.40 %); now CC_THC14 : CBD1 12.65 – 15.34 %</t>
        </is>
      </c>
      <c r="AC64" s="246" t="inlineStr"/>
    </row>
    <row r="65">
      <c r="A65" s="243">
        <f>IF(OR(C65="yes",C65="allocated"),COUNT(A$1:A64)+1,"")</f>
        <v/>
      </c>
      <c r="B65" s="244">
        <f>IF(A65&lt;&gt;"","CoQ-PP_26-"&amp;TEXT(A65,"000"),"— at issue —")</f>
        <v/>
      </c>
      <c r="C65" s="249" t="inlineStr">
        <is>
          <t>yes</t>
        </is>
      </c>
      <c r="D65" s="245">
        <f>IF(OR(A65="",C65="allocated"),"",MAX(E65,IF(ISNUMBER(I65),I65,0),IFERROR(IF(ISNUMBER(INDEX('iCoA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1" t="n">
        <v>17.13</v>
      </c>
      <c r="W65" s="243" t="inlineStr">
        <is>
          <t>ППК26069</t>
        </is>
      </c>
      <c r="X65" s="243" t="inlineStr">
        <is>
          <t>18.00 ± 1.80 (II)</t>
        </is>
      </c>
      <c r="Y65" s="243" t="inlineStr">
        <is>
          <t>16.20 – 19.79 %</t>
        </is>
      </c>
      <c r="Z65" s="243" t="inlineStr">
        <is>
          <t>SCR_THC18 : CBD1</t>
        </is>
      </c>
      <c r="AA65" s="243" t="inlineStr">
        <is>
          <t>QCSP_001_SCR-II_v.01</t>
        </is>
      </c>
      <c r="AB65" s="252" t="inlineStr">
        <is>
          <t>for review — replaces the issued QCSP_001_SCR-II_v.01 (was SCR_THC18 : CBD1, 16.20 – 19.80 %); now SCR_THC18 : CBD1 16.20 – 19.79 %</t>
        </is>
      </c>
      <c r="AC65" s="246" t="inlineStr"/>
    </row>
    <row r="66">
      <c r="A66" s="243">
        <f>IF(OR(C66="yes",C66="allocated"),COUNT(A$1:A65)+1,"")</f>
        <v/>
      </c>
      <c r="B66" s="244">
        <f>IF(A66&lt;&gt;"","CoQ-PP_26-"&amp;TEXT(A66,"000"),"— at issue —")</f>
        <v/>
      </c>
      <c r="C66" s="249" t="inlineStr">
        <is>
          <t>yes</t>
        </is>
      </c>
      <c r="D66" s="245">
        <f>IF(OR(A66="",C66="allocated"),"",MAX(E66,IF(ISNUMBER(I66),I66,0),IFERROR(IF(ISNUMBER(INDEX('iCoA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1" t="n">
        <v>16.69</v>
      </c>
      <c r="W66" s="243" t="inlineStr">
        <is>
          <t>ППК26066</t>
        </is>
      </c>
      <c r="X66" s="243" t="inlineStr">
        <is>
          <t>18.00 ± 1.80 (II)</t>
        </is>
      </c>
      <c r="Y66" s="243" t="inlineStr">
        <is>
          <t>16.20 – 19.79 %</t>
        </is>
      </c>
      <c r="Z66" s="243" t="inlineStr">
        <is>
          <t>FB_THC18 : CBD1</t>
        </is>
      </c>
      <c r="AA66" s="243" t="inlineStr">
        <is>
          <t>QCSP_001_FB-II_v.01</t>
        </is>
      </c>
      <c r="AB66" s="252" t="inlineStr">
        <is>
          <t>for review — replaces the issued QCSP_001_FB-II_v.01 (was FB_THC18 : CBD1, 17.15 – 18.85 %); now FB_THC18 : CBD1 16.20 – 19.79 %</t>
        </is>
      </c>
      <c r="AC66" s="246" t="inlineStr"/>
    </row>
    <row r="67">
      <c r="A67" s="243">
        <f>IF(OR(C67="yes",C67="allocated"),COUNT(A$1:A66)+1,"")</f>
        <v/>
      </c>
      <c r="B67" s="244">
        <f>IF(A67&lt;&gt;"","CoQ-PP_26-"&amp;TEXT(A67,"000"),"— at issue —")</f>
        <v/>
      </c>
      <c r="C67" s="249" t="inlineStr">
        <is>
          <t>yes</t>
        </is>
      </c>
      <c r="D67" s="245">
        <f>IF(OR(A67="",C67="allocated"),"",MAX(E67,IF(ISNUMBER(I67),I67,0),IFERROR(IF(ISNUMBER(INDEX('iCoA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1" t="n">
        <v>15.35</v>
      </c>
      <c r="W67" s="243" t="inlineStr">
        <is>
          <t>ППК26062</t>
        </is>
      </c>
      <c r="X67" s="243" t="inlineStr">
        <is>
          <t>15.00 ± 1.23 (II)</t>
        </is>
      </c>
      <c r="Y67" s="243" t="inlineStr">
        <is>
          <t>13.77 – 16.22 %</t>
        </is>
      </c>
      <c r="Z67" s="243" t="inlineStr">
        <is>
          <t>GG_THC15 : CBD1</t>
        </is>
      </c>
      <c r="AA67" s="243" t="inlineStr">
        <is>
          <t>QCSP_001_GG-II_v.01</t>
        </is>
      </c>
      <c r="AB67" s="252" t="inlineStr">
        <is>
          <t>for review — replaces the issued QCSP_001_GG-II_v.01 (was GG_THC16 : CBD1, 15.00 – 17.00 %); now GG_THC15 : CBD1 13.77 – 16.22 %</t>
        </is>
      </c>
      <c r="AC67" s="246" t="inlineStr"/>
    </row>
    <row r="68">
      <c r="A68" s="243">
        <f>IF(OR(C68="yes",C68="allocated"),COUNT(A$1:A67)+1,"")</f>
        <v/>
      </c>
      <c r="B68" s="244">
        <f>IF(A68&lt;&gt;"","CoQ-PP_26-"&amp;TEXT(A68,"000"),"— at issue —")</f>
        <v/>
      </c>
      <c r="C68" s="249" t="inlineStr">
        <is>
          <t>yes</t>
        </is>
      </c>
      <c r="D68" s="245">
        <f>IF(OR(A68="",C68="allocated"),"",MAX(E68,IF(ISNUMBER(I68),I68,0),IFERROR(IF(ISNUMBER(INDEX('iCoA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1" t="n">
        <v>18.16</v>
      </c>
      <c r="W68" s="243" t="inlineStr">
        <is>
          <t>ППК26064</t>
        </is>
      </c>
      <c r="X68" s="243" t="inlineStr">
        <is>
          <t>18.00 ± 1.80 (II)</t>
        </is>
      </c>
      <c r="Y68" s="243" t="inlineStr">
        <is>
          <t>16.20 – 19.79 %</t>
        </is>
      </c>
      <c r="Z68" s="243" t="inlineStr">
        <is>
          <t>JD_THC18 : CBD1</t>
        </is>
      </c>
      <c r="AA68" s="243" t="inlineStr">
        <is>
          <t>QCSP_001_JD-II_v.01</t>
        </is>
      </c>
      <c r="AB68" s="252" t="inlineStr">
        <is>
          <t>for review — replaces the issued QCSP_001_JD-II_v.01 (was JD_THC16 : CBD1, 14.91 – 17.09 %); now JD_THC18 : CBD1 16.20 – 19.79 %</t>
        </is>
      </c>
      <c r="AC68" s="246" t="inlineStr"/>
    </row>
    <row r="69">
      <c r="A69" s="243">
        <f>IF(OR(C69="yes",C69="allocated"),COUNT(A$1:A68)+1,"")</f>
        <v/>
      </c>
      <c r="B69" s="244">
        <f>IF(A69&lt;&gt;"","CoQ-PP_26-"&amp;TEXT(A69,"000"),"— at issue —")</f>
        <v/>
      </c>
      <c r="C69" s="249" t="inlineStr">
        <is>
          <t>yes</t>
        </is>
      </c>
      <c r="D69" s="245">
        <f>IF(OR(A69="",C69="allocated"),"",MAX(E69,IF(ISNUMBER(I69),I69,0),IFERROR(IF(ISNUMBER(INDEX('iCoA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2" t="inlineStr">
        <is>
          <t>no Total THC result on this certificate</t>
        </is>
      </c>
    </row>
    <row r="70">
      <c r="A70" s="243">
        <f>IF(OR(C70="yes",C70="allocated"),COUNT(A$1:A69)+1,"")</f>
        <v/>
      </c>
      <c r="B70" s="244">
        <f>IF(A70&lt;&gt;"","CoQ-PP_26-"&amp;TEXT(A70,"000"),"— at issue —")</f>
        <v/>
      </c>
      <c r="C70" s="249" t="inlineStr">
        <is>
          <t>yes</t>
        </is>
      </c>
      <c r="D70" s="245">
        <f>IF(OR(A70="",C70="allocated"),"",MAX(E70,IF(ISNUMBER(I70),I70,0),IFERROR(IF(ISNUMBER(INDEX('iCoA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1" t="n">
        <v>14.68</v>
      </c>
      <c r="W70" s="243" t="inlineStr">
        <is>
          <t>ППК26067</t>
        </is>
      </c>
      <c r="X70" s="243" t="inlineStr">
        <is>
          <t>15.00 ± 1.20 (III)</t>
        </is>
      </c>
      <c r="Y70" s="243" t="inlineStr">
        <is>
          <t>13.80 – 16.19 %</t>
        </is>
      </c>
      <c r="Z70" s="243" t="inlineStr">
        <is>
          <t>FB_THC15 : CBD1</t>
        </is>
      </c>
      <c r="AA70" s="243" t="inlineStr">
        <is>
          <t>QCSP_001_FB-III_v.01</t>
        </is>
      </c>
      <c r="AB70" s="252" t="inlineStr">
        <is>
          <t>for review — replaces the issued QCSP_001_FB-III_v.01 (was FB_THC16 : CBD1, 14.86 – 17.14 %); now FB_THC15 : CBD1 13.80 – 16.19 %</t>
        </is>
      </c>
      <c r="AC70" s="246" t="inlineStr"/>
    </row>
    <row r="71">
      <c r="A71" s="243">
        <f>IF(OR(C71="yes",C71="allocated"),COUNT(A$1:A70)+1,"")</f>
        <v/>
      </c>
      <c r="B71" s="244">
        <f>IF(A71&lt;&gt;"","CoQ-PP_26-"&amp;TEXT(A71,"000"),"— at issue —")</f>
        <v/>
      </c>
      <c r="C71" s="249" t="inlineStr">
        <is>
          <t>yes</t>
        </is>
      </c>
      <c r="D71" s="245">
        <f>IF(OR(A71="",C71="allocated"),"",MAX(E71,IF(ISNUMBER(I71),I71,0),IFERROR(IF(ISNUMBER(INDEX('iCoA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2" t="inlineStr">
        <is>
          <t>no Total THC result on this certificate</t>
        </is>
      </c>
    </row>
    <row r="72">
      <c r="A72" s="243">
        <f>IF(OR(C72="yes",C72="allocated"),COUNT(A$1:A71)+1,"")</f>
        <v/>
      </c>
      <c r="B72" s="244">
        <f>IF(A72&lt;&gt;"","CoQ-PP_26-"&amp;TEXT(A72,"000"),"— at issue —")</f>
        <v/>
      </c>
      <c r="C72" s="249" t="inlineStr">
        <is>
          <t>yes</t>
        </is>
      </c>
      <c r="D72" s="245">
        <f>IF(OR(A72="",C72="allocated"),"",MAX(E72,IF(ISNUMBER(I72),I72,0),IFERROR(IF(ISNUMBER(INDEX('iCoA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2" t="inlineStr">
        <is>
          <t>no Total THC result on this certificate</t>
        </is>
      </c>
    </row>
    <row r="73">
      <c r="A73" s="243">
        <f>IF(OR(C73="yes",C73="allocated"),COUNT(A$1:A72)+1,"")</f>
        <v/>
      </c>
      <c r="B73" s="244">
        <f>IF(A73&lt;&gt;"","CoQ-PP_26-"&amp;TEXT(A73,"000"),"— at issue —")</f>
        <v/>
      </c>
      <c r="C73" s="249" t="inlineStr">
        <is>
          <t>yes</t>
        </is>
      </c>
      <c r="D73" s="245">
        <f>IF(OR(A73="",C73="allocated"),"",MAX(E73,IF(ISNUMBER(I73),I73,0),IFERROR(IF(ISNUMBER(INDEX('iCoA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2" t="inlineStr">
        <is>
          <t>no Total THC result on this certificate</t>
        </is>
      </c>
    </row>
    <row r="74">
      <c r="A74" s="243">
        <f>IF(OR(C74="yes",C74="allocated"),COUNT(A$1:A73)+1,"")</f>
        <v/>
      </c>
      <c r="B74" s="244">
        <f>IF(A74&lt;&gt;"","CoQ-PP_26-"&amp;TEXT(A74,"000"),"— at issue —")</f>
        <v/>
      </c>
      <c r="C74" s="249" t="inlineStr">
        <is>
          <t>yes</t>
        </is>
      </c>
      <c r="D74" s="245">
        <f>IF(OR(A74="",C74="allocated"),"",MAX(E74,IF(ISNUMBER(I74),I74,0),IFERROR(IF(ISNUMBER(INDEX('iCoA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2" t="inlineStr">
        <is>
          <t>no Total THC result on this certificate</t>
        </is>
      </c>
    </row>
    <row r="75">
      <c r="A75" s="243">
        <f>IF(OR(C75="yes",C75="allocated"),COUNT(A$1:A74)+1,"")</f>
        <v/>
      </c>
      <c r="B75" s="244">
        <f>IF(A75&lt;&gt;"","CoQ-PP_26-"&amp;TEXT(A75,"000"),"— at issue —")</f>
        <v/>
      </c>
      <c r="C75" s="249" t="inlineStr">
        <is>
          <t>yes</t>
        </is>
      </c>
      <c r="D75" s="245">
        <f>IF(OR(A75="",C75="allocated"),"",MAX(E75,IF(ISNUMBER(I75),I75,0),IFERROR(IF(ISNUMBER(INDEX('iCoA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2" t="inlineStr">
        <is>
          <t>no Total THC result on this certificate</t>
        </is>
      </c>
    </row>
    <row r="76">
      <c r="A76" s="243">
        <f>IF(OR(C76="yes",C76="allocated"),COUNT(A$1:A75)+1,"")</f>
        <v/>
      </c>
      <c r="B76" s="244">
        <f>IF(A76&lt;&gt;"","CoQ-PP_26-"&amp;TEXT(A76,"000"),"— at issue —")</f>
        <v/>
      </c>
      <c r="C76" s="249" t="inlineStr">
        <is>
          <t>yes</t>
        </is>
      </c>
      <c r="D76" s="245">
        <f>IF(OR(A76="",C76="allocated"),"",MAX(E76,IF(ISNUMBER(I76),I76,0),IFERROR(IF(ISNUMBER(INDEX('iCoA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1" t="n">
        <v>18.29</v>
      </c>
      <c r="W76" s="243" t="inlineStr">
        <is>
          <t>ППК26110</t>
        </is>
      </c>
      <c r="X76" s="243" t="inlineStr">
        <is>
          <t>18.00 ± 1.80 (II)</t>
        </is>
      </c>
      <c r="Y76" s="243" t="inlineStr">
        <is>
          <t>16.20 – 19.79 %</t>
        </is>
      </c>
      <c r="Z76" s="243" t="inlineStr">
        <is>
          <t>FB_THC18 : CBD1</t>
        </is>
      </c>
      <c r="AA76" s="243" t="inlineStr">
        <is>
          <t>QCSP_001_FB-II_v.01</t>
        </is>
      </c>
      <c r="AB76" s="252" t="inlineStr">
        <is>
          <t>for review — replaces the issued QCSP_001_FB-II_v.01 (was FB_THC18 : CBD1, 17.15 – 18.85 %); now FB_THC18 : CBD1 16.20 – 19.79 %</t>
        </is>
      </c>
      <c r="AC76" s="246" t="inlineStr"/>
    </row>
    <row r="77">
      <c r="A77" s="243">
        <f>IF(OR(C77="yes",C77="allocated"),COUNT(A$1:A76)+1,"")</f>
        <v/>
      </c>
      <c r="B77" s="244">
        <f>IF(A77&lt;&gt;"","CoQ-PP_26-"&amp;TEXT(A77,"000"),"— at issue —")</f>
        <v/>
      </c>
      <c r="C77" s="249" t="inlineStr">
        <is>
          <t>yes</t>
        </is>
      </c>
      <c r="D77" s="245">
        <f>IF(OR(A77="",C77="allocated"),"",MAX(E77,IF(ISNUMBER(I77),I77,0),IFERROR(IF(ISNUMBER(INDEX('iCoA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1"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IF(OR(C78="yes",C78="allocated"),COUNT(A$1:A77)+1,"")</f>
        <v/>
      </c>
      <c r="B78" s="244">
        <f>IF(A78&lt;&gt;"","CoQ-PP_26-"&amp;TEXT(A78,"000"),"— at issue —")</f>
        <v/>
      </c>
      <c r="C78" s="249" t="inlineStr">
        <is>
          <t>yes</t>
        </is>
      </c>
      <c r="D78" s="245">
        <f>IF(OR(A78="",C78="allocated"),"",MAX(E78,IF(ISNUMBER(I78),I78,0),IFERROR(IF(ISNUMBER(INDEX('iCoA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1" t="n">
        <v>17.59</v>
      </c>
      <c r="W78" s="243" t="inlineStr">
        <is>
          <t>ППК26114</t>
        </is>
      </c>
      <c r="X78" s="243" t="inlineStr">
        <is>
          <t>18.00 ± 1.77 (I)</t>
        </is>
      </c>
      <c r="Y78" s="243" t="inlineStr">
        <is>
          <t>16.23 – 19.76 %</t>
        </is>
      </c>
      <c r="Z78" s="243" t="inlineStr">
        <is>
          <t>GG_THC18 : CBD1</t>
        </is>
      </c>
      <c r="AA78" s="243" t="inlineStr">
        <is>
          <t>QCSP_001_GG-I_v.01</t>
        </is>
      </c>
      <c r="AB78" s="252" t="inlineStr">
        <is>
          <t>for review — replaces the issued QCSP_001_GG-I_v.01 (was GG_THC18 : CBD1, 17.01 – 18.99 %); now GG_THC18 : CBD1 16.23 – 19.76 %</t>
        </is>
      </c>
      <c r="AC78" s="246" t="inlineStr"/>
    </row>
    <row r="79">
      <c r="A79" s="243">
        <f>IF(OR(C79="yes",C79="allocated"),COUNT(A$1:A78)+1,"")</f>
        <v/>
      </c>
      <c r="B79" s="244">
        <f>IF(A79&lt;&gt;"","CoQ-PP_26-"&amp;TEXT(A79,"000"),"— at issue —")</f>
        <v/>
      </c>
      <c r="C79" s="249" t="inlineStr">
        <is>
          <t>yes</t>
        </is>
      </c>
      <c r="D79" s="245">
        <f>IF(OR(A79="",C79="allocated"),"",MAX(E79,IF(ISNUMBER(I79),I79,0),IFERROR(IF(ISNUMBER(INDEX('iCoA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1" t="n">
        <v>20.54</v>
      </c>
      <c r="W79" s="243" t="inlineStr">
        <is>
          <t>ППК26113</t>
        </is>
      </c>
      <c r="X79" s="243" t="inlineStr">
        <is>
          <t>22.00 ± 2.20 (I)</t>
        </is>
      </c>
      <c r="Y79" s="243" t="inlineStr">
        <is>
          <t>19.80 – 24.19 %</t>
        </is>
      </c>
      <c r="Z79" s="243" t="inlineStr">
        <is>
          <t>JD_THC22 : CBD1</t>
        </is>
      </c>
      <c r="AA79" s="243" t="inlineStr">
        <is>
          <t>QCSP_001_JD-I_v.01</t>
        </is>
      </c>
      <c r="AB79" s="252" t="inlineStr">
        <is>
          <t>for review — replaces the issued QCSP_001_JD-I_v.01 (was JD_THC20 : CBD1, 18.00 – 22.00 %); now JD_THC22 : CBD1 19.80 – 24.19 %</t>
        </is>
      </c>
      <c r="AC79" s="246" t="inlineStr"/>
    </row>
    <row r="80">
      <c r="A80" s="243">
        <f>IF(OR(C80="yes",C80="allocated"),COUNT(A$1:A79)+1,"")</f>
        <v/>
      </c>
      <c r="B80" s="244">
        <f>IF(A80&lt;&gt;"","CoQ-PP_26-"&amp;TEXT(A80,"000"),"— at issue —")</f>
        <v/>
      </c>
      <c r="C80" s="249" t="inlineStr">
        <is>
          <t>yes</t>
        </is>
      </c>
      <c r="D80" s="245">
        <f>IF(OR(A80="",C80="allocated"),"",MAX(E80,IF(ISNUMBER(I80),I80,0),IFERROR(IF(ISNUMBER(INDEX('iCoA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1"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IF(OR(C81="yes",C81="allocated"),COUNT(A$1:A80)+1,"")</f>
        <v/>
      </c>
      <c r="B81" s="244">
        <f>IF(A81&lt;&gt;"","CoQ-PP_26-"&amp;TEXT(A81,"000"),"— at issue —")</f>
        <v/>
      </c>
      <c r="C81" s="249" t="inlineStr">
        <is>
          <t>yes</t>
        </is>
      </c>
      <c r="D81" s="245">
        <f>IF(OR(A81="",C81="allocated"),"",MAX(E81,IF(ISNUMBER(I81),I81,0),IFERROR(IF(ISNUMBER(INDEX('iCoA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1"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IF(OR(C82="yes",C82="allocated"),COUNT(A$1:A81)+1,"")</f>
        <v/>
      </c>
      <c r="B82" s="244">
        <f>IF(A82&lt;&gt;"","CoQ-PP_26-"&amp;TEXT(A82,"000"),"— at issue —")</f>
        <v/>
      </c>
      <c r="C82" s="249" t="inlineStr">
        <is>
          <t>yes</t>
        </is>
      </c>
      <c r="D82" s="245">
        <f>IF(OR(A82="",C82="allocated"),"",MAX(E82,IF(ISNUMBER(I82),I82,0),IFERROR(IF(ISNUMBER(INDEX('iCoA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1"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IF(OR(C83="yes",C83="allocated"),COUNT(A$1:A82)+1,"")</f>
        <v/>
      </c>
      <c r="B83" s="244">
        <f>IF(A83&lt;&gt;"","CoQ-PP_26-"&amp;TEXT(A83,"000"),"— at issue —")</f>
        <v/>
      </c>
      <c r="C83" s="249" t="inlineStr">
        <is>
          <t>yes</t>
        </is>
      </c>
      <c r="D83" s="245">
        <f>IF(OR(A83="",C83="allocated"),"",MAX(E83,IF(ISNUMBER(I83),I83,0),IFERROR(IF(ISNUMBER(INDEX('iCoA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1" t="n">
        <v>18.98</v>
      </c>
      <c r="W83" s="243" t="inlineStr">
        <is>
          <t>ППК26128</t>
        </is>
      </c>
      <c r="X83" s="243" t="inlineStr">
        <is>
          <t>18.00 ± 1.77 (I)</t>
        </is>
      </c>
      <c r="Y83" s="243" t="inlineStr">
        <is>
          <t>16.23 – 19.76 %</t>
        </is>
      </c>
      <c r="Z83" s="243" t="inlineStr">
        <is>
          <t>GG_THC18 : CBD1</t>
        </is>
      </c>
      <c r="AA83" s="243" t="inlineStr">
        <is>
          <t>QCSP_001_GG-I_v.01</t>
        </is>
      </c>
      <c r="AB83" s="252" t="inlineStr">
        <is>
          <t>for review — replaces the issued QCSP_001_GG-I_v.01 (was GG_THC18 : CBD1, 17.01 – 18.99 %); now GG_THC18 : CBD1 16.23 – 19.76 %</t>
        </is>
      </c>
      <c r="AC83" s="246" t="inlineStr"/>
    </row>
    <row r="84">
      <c r="A84" s="243">
        <f>IF(OR(C84="yes",C84="allocated"),COUNT(A$1:A83)+1,"")</f>
        <v/>
      </c>
      <c r="B84" s="244">
        <f>IF(A84&lt;&gt;"","CoQ-PP_26-"&amp;TEXT(A84,"000"),"— at issue —")</f>
        <v/>
      </c>
      <c r="C84" s="249" t="inlineStr">
        <is>
          <t>yes</t>
        </is>
      </c>
      <c r="D84" s="245">
        <f>IF(OR(A84="",C84="allocated"),"",MAX(E84,IF(ISNUMBER(I84),I84,0),IFERROR(IF(ISNUMBER(INDEX('iCoA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1" t="n">
        <v>18.58</v>
      </c>
      <c r="W84" s="243" t="inlineStr">
        <is>
          <t>ППК26115</t>
        </is>
      </c>
      <c r="X84" s="243" t="inlineStr">
        <is>
          <t>18.00 ± 1.80 (II)</t>
        </is>
      </c>
      <c r="Y84" s="243" t="inlineStr">
        <is>
          <t>16.20 – 19.79 %</t>
        </is>
      </c>
      <c r="Z84" s="243" t="inlineStr">
        <is>
          <t>JD_THC18 : CBD1</t>
        </is>
      </c>
      <c r="AA84" s="243" t="inlineStr">
        <is>
          <t>QCSP_001_JD-II_v.01</t>
        </is>
      </c>
      <c r="AB84" s="252" t="inlineStr">
        <is>
          <t>for review — replaces the issued QCSP_001_JD-II_v.01 (was JD_THC16 : CBD1, 14.91 – 17.09 %); now JD_THC18 : CBD1 16.20 – 19.79 %</t>
        </is>
      </c>
      <c r="AC84" s="246" t="inlineStr"/>
    </row>
    <row r="85">
      <c r="A85" s="243">
        <f>IF(OR(C85="yes",C85="allocated"),COUNT(A$1:A84)+1,"")</f>
        <v/>
      </c>
      <c r="B85" s="244">
        <f>IF(A85&lt;&gt;"","CoQ-PP_26-"&amp;TEXT(A85,"000"),"— at issue —")</f>
        <v/>
      </c>
      <c r="C85" s="249" t="inlineStr">
        <is>
          <t>yes</t>
        </is>
      </c>
      <c r="D85" s="245">
        <f>IF(OR(A85="",C85="allocated"),"",MAX(E85,IF(ISNUMBER(I85),I85,0),IFERROR(IF(ISNUMBER(INDEX('iCoA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2" t="inlineStr">
        <is>
          <t>no Total THC result on this certificate</t>
        </is>
      </c>
    </row>
    <row r="86">
      <c r="A86" s="243">
        <f>IF(OR(C86="yes",C86="allocated"),COUNT(A$1:A85)+1,"")</f>
        <v/>
      </c>
      <c r="B86" s="244">
        <f>IF(A86&lt;&gt;"","CoQ-PP_26-"&amp;TEXT(A86,"000"),"— at issue —")</f>
        <v/>
      </c>
      <c r="C86" s="249" t="inlineStr">
        <is>
          <t>yes</t>
        </is>
      </c>
      <c r="D86" s="245">
        <f>IF(OR(A86="",C86="allocated"),"",MAX(E86,IF(ISNUMBER(I86),I86,0),IFERROR(IF(ISNUMBER(INDEX('iCoA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iCoA-PP_26-100 of 27.07.2026</t>
        </is>
      </c>
      <c r="U86" s="243">
        <f>IFERROR(INDEX('CoQ Register'!$B:$B,MATCH("BG1024|I",'CoQ Register'!$S:$S,0)),"— initial certificate not on the register —")</f>
        <v/>
      </c>
      <c r="V86" s="251" t="n">
        <v>26.14</v>
      </c>
      <c r="W86" s="243" t="inlineStr">
        <is>
          <t>197-1-К/26</t>
        </is>
      </c>
      <c r="X86" s="243" t="inlineStr">
        <is>
          <t>26.00 ± 1.80 (I)</t>
        </is>
      </c>
      <c r="Y86" s="243" t="inlineStr">
        <is>
          <t>24.20 – 27.79 %</t>
        </is>
      </c>
      <c r="Z86" s="243" t="inlineStr">
        <is>
          <t>BG_THC26 : CBD1</t>
        </is>
      </c>
      <c r="AA86" s="243" t="inlineStr">
        <is>
          <t>QCSP_001_BG-I_v.01</t>
        </is>
      </c>
      <c r="AB86" s="252" t="inlineStr">
        <is>
          <t>for review — replaces the issued QCSP_001_BG-I_v.01 (was BG_THC26 : CBD1, 23.40 – 28.60 %); now BG_THC26 : CBD1 24.20 – 27.79 %</t>
        </is>
      </c>
      <c r="AC86" s="246" t="inlineStr"/>
    </row>
    <row r="87">
      <c r="A87" s="243">
        <f>IF(OR(C87="yes",C87="allocated"),COUNT(A$1:A86)+1,"")</f>
        <v/>
      </c>
      <c r="B87" s="244">
        <f>IF(A87&lt;&gt;"","CoQ-PP_26-"&amp;TEXT(A87,"000"),"— at issue —")</f>
        <v/>
      </c>
      <c r="C87" s="249" t="inlineStr">
        <is>
          <t>yes</t>
        </is>
      </c>
      <c r="D87" s="245">
        <f>IF(OR(A87="",C87="allocated"),"",MAX(E87,IF(ISNUMBER(I87),I87,0),IFERROR(IF(ISNUMBER(INDEX('iCoA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iCoA-PP_26-101 of 27.07.2026</t>
        </is>
      </c>
      <c r="U87" s="243">
        <f>IFERROR(INDEX('CoQ Register'!$B:$B,MATCH("BSS1024|I",'CoQ Register'!$S:$S,0)),"— initial certificate not on the register —")</f>
        <v/>
      </c>
      <c r="V87" s="251" t="n">
        <v>25.01</v>
      </c>
      <c r="W87" s="243" t="inlineStr">
        <is>
          <t>197-2-К/26</t>
        </is>
      </c>
      <c r="X87" s="243" t="inlineStr">
        <is>
          <t>24.00 ± 2.11 (II)</t>
        </is>
      </c>
      <c r="Y87" s="243" t="inlineStr">
        <is>
          <t>21.89 – 26.10 %</t>
        </is>
      </c>
      <c r="Z87" s="243" t="inlineStr">
        <is>
          <t>BSS_THC24 : CBD1</t>
        </is>
      </c>
      <c r="AA87" s="243" t="inlineStr">
        <is>
          <t>QCSP_001_BSS-II_v.01</t>
        </is>
      </c>
      <c r="AB87" s="252" t="inlineStr">
        <is>
          <t>for review — replaces the issued QCSP_001_BSS-II_v.01 (was BSS_THC20 : CBD1, 18.00 – 22.00 %); now BSS_THC24 : CBD1 21.89 – 26.10 %</t>
        </is>
      </c>
      <c r="AC87" s="246" t="inlineStr"/>
    </row>
    <row r="88">
      <c r="A88" s="243">
        <f>IF(OR(C88="yes",C88="allocated"),COUNT(A$1:A87)+1,"")</f>
        <v/>
      </c>
      <c r="B88" s="244">
        <f>IF(A88&lt;&gt;"","CoQ-PP_26-"&amp;TEXT(A88,"000"),"— at issue —")</f>
        <v/>
      </c>
      <c r="C88" s="249" t="inlineStr">
        <is>
          <t>yes</t>
        </is>
      </c>
      <c r="D88" s="245">
        <f>IF(OR(A88="",C88="allocated"),"",MAX(E88,IF(ISNUMBER(I88),I88,0),IFERROR(IF(ISNUMBER(INDEX('iCoA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iCoA-PP_26-105 of 27.07.2026</t>
        </is>
      </c>
      <c r="U88" s="243">
        <f>IFERROR(INDEX('CoQ Register'!$B:$B,MATCH("P060332|I",'CoQ Register'!$S:$S,0)),"— initial certificate not on the register —")</f>
        <v/>
      </c>
      <c r="V88" s="251"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IF(OR(C89="yes",C89="allocated"),COUNT(A$1:A88)+1,"")</f>
        <v/>
      </c>
      <c r="B89" s="244">
        <f>IF(A89&lt;&gt;"","CoQ-PP_26-"&amp;TEXT(A89,"000"),"— at issue —")</f>
        <v/>
      </c>
      <c r="C89" s="249" t="inlineStr">
        <is>
          <t>yes</t>
        </is>
      </c>
      <c r="D89" s="245">
        <f>IF(OR(A89="",C89="allocated"),"",MAX(E89,IF(ISNUMBER(I89),I89,0),IFERROR(IF(ISNUMBER(INDEX('iCoA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iCoA-PP_26-102 of 27.07.2026</t>
        </is>
      </c>
      <c r="U89" s="243">
        <f>IFERROR(INDEX('CoQ Register'!$B:$B,MATCH("P050162|I",'CoQ Register'!$S:$S,0)),"— initial certificate not on the register —")</f>
        <v/>
      </c>
      <c r="V89" s="251" t="n">
        <v>24.05</v>
      </c>
      <c r="W89" s="243" t="inlineStr">
        <is>
          <t>197-3-К/26</t>
        </is>
      </c>
      <c r="X89" s="243" t="inlineStr">
        <is>
          <t>24.00 ± 2.40 (II)</t>
        </is>
      </c>
      <c r="Y89" s="243" t="inlineStr">
        <is>
          <t>21.60 – 26.39 %</t>
        </is>
      </c>
      <c r="Z89" s="243" t="inlineStr">
        <is>
          <t>CJ_THC24 : CBD1</t>
        </is>
      </c>
      <c r="AA89" s="243" t="inlineStr">
        <is>
          <t>QCSP_001_CJ-II_v.01</t>
        </is>
      </c>
      <c r="AB89" s="252" t="inlineStr">
        <is>
          <t>for review — replaces the issued QCSP_001_CJ-II_v.01 (was CJ_THC26 : CBD1, 25.01 – 26.99 %); now CJ_THC24 : CBD1 21.60 – 26.39 %</t>
        </is>
      </c>
      <c r="AC89" s="246" t="inlineStr"/>
    </row>
    <row r="90">
      <c r="A90" s="243">
        <f>IF(OR(C90="yes",C90="allocated"),COUNT(A$1:A89)+1,"")</f>
        <v/>
      </c>
      <c r="B90" s="244">
        <f>IF(A90&lt;&gt;"","CoQ-PP_26-"&amp;TEXT(A90,"000"),"— at issue —")</f>
        <v/>
      </c>
      <c r="C90" s="249" t="inlineStr">
        <is>
          <t>yes</t>
        </is>
      </c>
      <c r="D90" s="245">
        <f>IF(OR(A90="",C90="allocated"),"",MAX(E90,IF(ISNUMBER(I90),I90,0),IFERROR(IF(ISNUMBER(INDEX('iCoA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iCoA-PP_26-104 of 27.07.2026</t>
        </is>
      </c>
      <c r="U90" s="243">
        <f>IFERROR(INDEX('CoQ Register'!$B:$B,MATCH("P060032|I",'CoQ Register'!$S:$S,0)),"— initial certificate not on the register —")</f>
        <v/>
      </c>
      <c r="V90" s="251" t="n">
        <v>18.29</v>
      </c>
      <c r="W90" s="243" t="inlineStr">
        <is>
          <t>197-5-К/26</t>
        </is>
      </c>
      <c r="X90" s="243" t="inlineStr">
        <is>
          <t>17.00 ± 1.40 (IV)</t>
        </is>
      </c>
      <c r="Y90" s="243" t="inlineStr">
        <is>
          <t>15.60 – 18.39 %</t>
        </is>
      </c>
      <c r="Z90" s="243" t="inlineStr">
        <is>
          <t>CJ_THC17 : CBD1</t>
        </is>
      </c>
      <c r="AA90" s="243" t="inlineStr">
        <is>
          <t>QCSP_001_CJ-IV_v.01</t>
        </is>
      </c>
      <c r="AB90" s="252" t="inlineStr">
        <is>
          <t>for review — replaces the issued QCSP_001_CJ-IV_v.01 (was CJ_THC20 : CBD1, 18.00 – 22.00 %); now CJ_THC17 : CBD1 15.60 – 18.39 %</t>
        </is>
      </c>
      <c r="AC90" s="246" t="inlineStr"/>
    </row>
    <row r="91">
      <c r="A91" s="243">
        <f>IF(OR(C91="yes",C91="allocated"),COUNT(A$1:A90)+1,"")</f>
        <v/>
      </c>
      <c r="B91" s="244">
        <f>IF(A91&lt;&gt;"","CoQ-PP_26-"&amp;TEXT(A91,"000"),"— at issue —")</f>
        <v/>
      </c>
      <c r="C91" s="249" t="inlineStr">
        <is>
          <t>yes</t>
        </is>
      </c>
      <c r="D91" s="245">
        <f>IF(OR(A91="",C91="allocated"),"",MAX(E91,IF(ISNUMBER(I91),I91,0),IFERROR(IF(ISNUMBER(INDEX('iCoA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iCoA-PP_26-109 of 27.07.2026</t>
        </is>
      </c>
      <c r="U91" s="243">
        <f>IFERROR(INDEX('CoQ Register'!$B:$B,MATCH("P060352|I",'CoQ Register'!$S:$S,0)),"— initial certificate not on the register —")</f>
        <v/>
      </c>
      <c r="V91" s="251" t="n">
        <v>18.86</v>
      </c>
      <c r="W91" s="243" t="inlineStr">
        <is>
          <t>197-7-К/26</t>
        </is>
      </c>
      <c r="X91" s="243" t="inlineStr">
        <is>
          <t>18.00 ± 1.80 (II)</t>
        </is>
      </c>
      <c r="Y91" s="243" t="inlineStr">
        <is>
          <t>16.20 – 19.79 %</t>
        </is>
      </c>
      <c r="Z91" s="243" t="inlineStr">
        <is>
          <t>FB_THC18 : CBD1</t>
        </is>
      </c>
      <c r="AA91" s="243" t="inlineStr">
        <is>
          <t>QCSP_001_FB-II_v.01</t>
        </is>
      </c>
      <c r="AB91" s="252" t="inlineStr">
        <is>
          <t>for review — replaces the issued QCSP_001_FB-II_v.01 (was FB_THC18 : CBD1, 17.15 – 18.85 %); now FB_THC18 : CBD1 16.20 – 19.79 %</t>
        </is>
      </c>
      <c r="AC91" s="246" t="inlineStr"/>
    </row>
    <row r="92">
      <c r="A92" s="243">
        <f>IF(OR(C92="yes",C92="allocated"),COUNT(A$1:A91)+1,"")</f>
        <v/>
      </c>
      <c r="B92" s="244">
        <f>IF(A92&lt;&gt;"","CoQ-PP_26-"&amp;TEXT(A92,"000"),"— at issue —")</f>
        <v/>
      </c>
      <c r="C92" s="249" t="inlineStr">
        <is>
          <t>yes</t>
        </is>
      </c>
      <c r="D92" s="245">
        <f>IF(OR(A92="",C92="allocated"),"",MAX(E92,IF(ISNUMBER(I92),I92,0),IFERROR(IF(ISNUMBER(INDEX('iCoA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iCoA-PP_26-110 of 27.07.2026</t>
        </is>
      </c>
      <c r="U92" s="243">
        <f>IFERROR(INDEX('CoQ Register'!$B:$B,MATCH("P060402|I",'CoQ Register'!$S:$S,0)),"— initial certificate not on the register —")</f>
        <v/>
      </c>
      <c r="V92" s="251" t="n">
        <v>16.7</v>
      </c>
      <c r="W92" s="243" t="inlineStr">
        <is>
          <t>197-8-К/26</t>
        </is>
      </c>
      <c r="X92" s="243" t="inlineStr">
        <is>
          <t>18.00 ± 1.77 (I)</t>
        </is>
      </c>
      <c r="Y92" s="243" t="inlineStr">
        <is>
          <t>16.23 – 19.76 %</t>
        </is>
      </c>
      <c r="Z92" s="243" t="inlineStr">
        <is>
          <t>GG_THC18 : CBD1</t>
        </is>
      </c>
      <c r="AA92" s="243" t="inlineStr">
        <is>
          <t>QCSP_001_GG-I_v.01</t>
        </is>
      </c>
      <c r="AB92" s="252" t="inlineStr">
        <is>
          <t>for review — replaces the issued QCSP_001_GG-I_v.01 (was GG_THC18 : CBD1, 17.01 – 18.99 %); now GG_THC18 : CBD1 16.23 – 19.76 %</t>
        </is>
      </c>
      <c r="AC92" s="246" t="inlineStr"/>
    </row>
    <row r="93">
      <c r="A93" s="243">
        <f>IF(OR(C93="yes",C93="allocated"),COUNT(A$1:A92)+1,"")</f>
        <v/>
      </c>
      <c r="B93" s="244">
        <f>IF(A93&lt;&gt;"","CoQ-PP_26-"&amp;TEXT(A93,"000"),"— at issue —")</f>
        <v/>
      </c>
      <c r="C93" s="249" t="inlineStr">
        <is>
          <t>yes</t>
        </is>
      </c>
      <c r="D93" s="245">
        <f>IF(OR(A93="",C93="allocated"),"",MAX(E93,IF(ISNUMBER(I93),I93,0),IFERROR(IF(ISNUMBER(INDEX('iCoA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iCoA-PP_26-106 of 27.07.2026</t>
        </is>
      </c>
      <c r="U93" s="243">
        <f>IFERROR(INDEX('CoQ Register'!$B:$B,MATCH("P050092|I",'CoQ Register'!$S:$S,0)),"— initial certificate not on the register —")</f>
        <v/>
      </c>
      <c r="V93" s="251" t="n">
        <v>18.67</v>
      </c>
      <c r="W93" s="243" t="inlineStr">
        <is>
          <t>197-9-К/26</t>
        </is>
      </c>
      <c r="X93" s="243" t="inlineStr">
        <is>
          <t>18.00 ± 1.77 (I)</t>
        </is>
      </c>
      <c r="Y93" s="243" t="inlineStr">
        <is>
          <t>16.23 – 19.76 %</t>
        </is>
      </c>
      <c r="Z93" s="243" t="inlineStr">
        <is>
          <t>GG_THC18 : CBD1</t>
        </is>
      </c>
      <c r="AA93" s="243" t="inlineStr">
        <is>
          <t>QCSP_001_GG-I_v.01</t>
        </is>
      </c>
      <c r="AB93" s="252" t="inlineStr">
        <is>
          <t>for review — replaces the issued QCSP_001_GG-I_v.01 (was GG_THC18 : CBD1, 17.01 – 18.99 %); now GG_THC18 : CBD1 16.23 – 19.76 %</t>
        </is>
      </c>
      <c r="AC93" s="246" t="inlineStr"/>
    </row>
    <row r="94">
      <c r="A94" s="243">
        <f>IF(OR(C94="yes",C94="allocated"),COUNT(A$1:A93)+1,"")</f>
        <v/>
      </c>
      <c r="B94" s="244">
        <f>IF(A94&lt;&gt;"","CoQ-PP_26-"&amp;TEXT(A94,"000"),"— at issue —")</f>
        <v/>
      </c>
      <c r="C94" s="249" t="inlineStr">
        <is>
          <t>yes</t>
        </is>
      </c>
      <c r="D94" s="245">
        <f>IF(OR(A94="",C94="allocated"),"",MAX(E94,IF(ISNUMBER(I94),I94,0),IFERROR(IF(ISNUMBER(INDEX('iCoA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iCoA-PP_26-107 of 27.07.2026</t>
        </is>
      </c>
      <c r="U94" s="243">
        <f>IFERROR(INDEX('CoQ Register'!$B:$B,MATCH("P050152|I",'CoQ Register'!$S:$S,0)),"— initial certificate not on the register —")</f>
        <v/>
      </c>
      <c r="V94" s="251" t="n">
        <v>18.52</v>
      </c>
      <c r="W94" s="243" t="inlineStr">
        <is>
          <t>197-10-К/26</t>
        </is>
      </c>
      <c r="X94" s="243" t="inlineStr">
        <is>
          <t>20.00 ± 2.00 (III)</t>
        </is>
      </c>
      <c r="Y94" s="243" t="inlineStr">
        <is>
          <t>18.00 – 21.99 %</t>
        </is>
      </c>
      <c r="Z94" s="243" t="inlineStr">
        <is>
          <t>GP_THC20 : CBD1</t>
        </is>
      </c>
      <c r="AA94" s="243" t="inlineStr">
        <is>
          <t>QCSP_001_GP-III_v.01</t>
        </is>
      </c>
      <c r="AB94" s="252" t="inlineStr">
        <is>
          <t>for review — replaces the issued QCSP_001_GP-III_v.01 (was GP_THC24 : CBD1, 22.61 – 25.39 %); now GP_THC20 : CBD1 18.00 – 21.99 %</t>
        </is>
      </c>
      <c r="AC94" s="246" t="inlineStr"/>
    </row>
    <row r="95">
      <c r="A95" s="243">
        <f>IF(OR(C95="yes",C95="allocated"),COUNT(A$1:A94)+1,"")</f>
        <v/>
      </c>
      <c r="B95" s="244">
        <f>IF(A95&lt;&gt;"","CoQ-PP_26-"&amp;TEXT(A95,"000"),"— at issue —")</f>
        <v/>
      </c>
      <c r="C95" s="249" t="inlineStr">
        <is>
          <t>yes</t>
        </is>
      </c>
      <c r="D95" s="245">
        <f>IF(OR(A95="",C95="allocated"),"",MAX(E95,IF(ISNUMBER(I95),I95,0),IFERROR(IF(ISNUMBER(INDEX('iCoA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1" t="n">
        <v>22.61</v>
      </c>
      <c r="W95" s="243" t="inlineStr">
        <is>
          <t>197-11-К/26</t>
        </is>
      </c>
      <c r="X95" s="243" t="inlineStr">
        <is>
          <t>24.00 ± 2.00 (II)</t>
        </is>
      </c>
      <c r="Y95" s="243" t="inlineStr">
        <is>
          <t>22.00 – 25.99 %</t>
        </is>
      </c>
      <c r="Z95" s="243" t="inlineStr">
        <is>
          <t>GP_THC24 : CBD1</t>
        </is>
      </c>
      <c r="AA95" s="243" t="inlineStr">
        <is>
          <t>QCSP_001_GP-II_v.01</t>
        </is>
      </c>
      <c r="AB95" s="252" t="inlineStr">
        <is>
          <t>for review — replaces the issued QCSP_001_GP-II_v.01 (was GP_THC26 : CBD1, 25.40 – 26.60 %); now GP_THC24 : CBD1 22.00 – 25.99 %</t>
        </is>
      </c>
      <c r="AC95" s="246" t="inlineStr"/>
    </row>
    <row r="96">
      <c r="A96" s="243">
        <f>IF(OR(C96="yes",C96="allocated"),COUNT(A$1:A95)+1,"")</f>
        <v/>
      </c>
      <c r="B96" s="244">
        <f>IF(A96&lt;&gt;"","CoQ-PP_26-"&amp;TEXT(A96,"000"),"— at issue —")</f>
        <v/>
      </c>
      <c r="C96" s="249" t="inlineStr">
        <is>
          <t>yes</t>
        </is>
      </c>
      <c r="D96" s="245">
        <f>IF(OR(A96="",C96="allocated"),"",MAX(E96,IF(ISNUMBER(I96),I96,0),IFERROR(IF(ISNUMBER(INDEX('iCoA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iCoA-PP_26-111 of 27.07.2026</t>
        </is>
      </c>
      <c r="U96" s="243">
        <f>IFERROR(INDEX('CoQ Register'!$B:$B,MATCH("P050322|I",'CoQ Register'!$S:$S,0)),"— initial certificate not on the register —")</f>
        <v/>
      </c>
      <c r="V96" s="251" t="n">
        <v>15.7</v>
      </c>
      <c r="W96" s="243" t="inlineStr">
        <is>
          <t>197-12-К/26</t>
        </is>
      </c>
      <c r="X96" s="243" t="inlineStr">
        <is>
          <t>16.00 ± 1.60 (IV)</t>
        </is>
      </c>
      <c r="Y96" s="243" t="inlineStr">
        <is>
          <t>14.40 – 17.59 %</t>
        </is>
      </c>
      <c r="Z96" s="243" t="inlineStr">
        <is>
          <t>GP_THC16 : CBD1</t>
        </is>
      </c>
      <c r="AA96" s="243" t="inlineStr">
        <is>
          <t>QCSP_001_GP-IV_v.01</t>
        </is>
      </c>
      <c r="AB96" s="252" t="inlineStr">
        <is>
          <t>for review — replaces the issued QCSP_001_GP-IV_v.01 (was GP_THC20 : CBD1, 18.00 – 22.00 %); now GP_THC16 : CBD1 14.40 – 17.59 %</t>
        </is>
      </c>
      <c r="AC96" s="246" t="inlineStr"/>
    </row>
    <row r="97">
      <c r="A97" s="243">
        <f>IF(OR(C97="yes",C97="allocated"),COUNT(A$1:A96)+1,"")</f>
        <v/>
      </c>
      <c r="B97" s="244">
        <f>IF(A97&lt;&gt;"","CoQ-PP_26-"&amp;TEXT(A97,"000"),"— at issue —")</f>
        <v/>
      </c>
      <c r="C97" s="249" t="inlineStr">
        <is>
          <t>yes</t>
        </is>
      </c>
      <c r="D97" s="245">
        <f>IF(OR(A97="",C97="allocated"),"",MAX(E97,IF(ISNUMBER(I97),I97,0),IFERROR(IF(ISNUMBER(INDEX('iCoA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iCoA-PP_26-112 of 27.07.2026</t>
        </is>
      </c>
      <c r="U97" s="243">
        <f>IFERROR(INDEX('CoQ Register'!$B:$B,MATCH("HPA1024|I",'CoQ Register'!$S:$S,0)),"— initial certificate not on the register —")</f>
        <v/>
      </c>
      <c r="V97" s="251" t="n">
        <v>17.31</v>
      </c>
      <c r="W97" s="243" t="inlineStr">
        <is>
          <t>197-13-К/26</t>
        </is>
      </c>
      <c r="X97" s="243" t="inlineStr">
        <is>
          <t>18.00 ± 1.80 (II)</t>
        </is>
      </c>
      <c r="Y97" s="243" t="inlineStr">
        <is>
          <t>16.20 – 19.79 %</t>
        </is>
      </c>
      <c r="Z97" s="243" t="inlineStr">
        <is>
          <t>HPA_THC18 : CBD1</t>
        </is>
      </c>
      <c r="AA97" s="243" t="inlineStr">
        <is>
          <t>QCSP_001_HPA-II_v.01</t>
        </is>
      </c>
      <c r="AB97" s="252" t="inlineStr">
        <is>
          <t>for review — replaces the issued QCSP_001_HPA-II_v.01 (was HPA_THC20 : CBD1, 19.01 – 20.99 %); now HPA_THC18 : CBD1 16.20 – 19.79 %</t>
        </is>
      </c>
      <c r="AC97" s="246" t="inlineStr"/>
    </row>
    <row r="98">
      <c r="A98" s="243">
        <f>IF(OR(C98="yes",C98="allocated"),COUNT(A$1:A97)+1,"")</f>
        <v/>
      </c>
      <c r="B98" s="244">
        <f>IF(A98&lt;&gt;"","CoQ-PP_26-"&amp;TEXT(A98,"000"),"— at issue —")</f>
        <v/>
      </c>
      <c r="C98" s="249" t="inlineStr">
        <is>
          <t>yes</t>
        </is>
      </c>
      <c r="D98" s="245">
        <f>IF(OR(A98="",C98="allocated"),"",MAX(E98,IF(ISNUMBER(I98),I98,0),IFERROR(IF(ISNUMBER(INDEX('iCoA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iCoA-PP_26-113 of 27.07.2026</t>
        </is>
      </c>
      <c r="U98" s="243">
        <f>IFERROR(INDEX('CoQ Register'!$B:$B,MATCH("P050052|I",'CoQ Register'!$S:$S,0)),"— initial certificate not on the register —")</f>
        <v/>
      </c>
      <c r="V98" s="251" t="n">
        <v>21.61</v>
      </c>
      <c r="W98" s="243" t="inlineStr">
        <is>
          <t>197-14-К/26</t>
        </is>
      </c>
      <c r="X98" s="243" t="inlineStr">
        <is>
          <t>22.00 ± 2.20 (I)</t>
        </is>
      </c>
      <c r="Y98" s="243" t="inlineStr">
        <is>
          <t>19.80 – 24.19 %</t>
        </is>
      </c>
      <c r="Z98" s="243" t="inlineStr">
        <is>
          <t>HPA_THC22 : CBD1</t>
        </is>
      </c>
      <c r="AA98" s="243" t="inlineStr">
        <is>
          <t>QCSP_001_HPA-I_v.01</t>
        </is>
      </c>
      <c r="AB98" s="252" t="inlineStr">
        <is>
          <t>for review — replaces the issued QCSP_001_HPA-I_v.01 (was HPA_THC22 : CBD1, 21.00 – 23.00 %); now HPA_THC22 : CBD1 19.80 – 24.19 %</t>
        </is>
      </c>
      <c r="AC98" s="246" t="inlineStr"/>
    </row>
    <row r="99">
      <c r="A99" s="243">
        <f>IF(OR(C99="yes",C99="allocated"),COUNT(A$1:A98)+1,"")</f>
        <v/>
      </c>
      <c r="B99" s="244">
        <f>IF(A99&lt;&gt;"","CoQ-PP_26-"&amp;TEXT(A99,"000"),"— at issue —")</f>
        <v/>
      </c>
      <c r="C99" s="249" t="inlineStr">
        <is>
          <t>yes</t>
        </is>
      </c>
      <c r="D99" s="245">
        <f>IF(OR(A99="",C99="allocated"),"",MAX(E99,IF(ISNUMBER(I99),I99,0),IFERROR(IF(ISNUMBER(INDEX('iCoA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iCoA-PP_26-114 of 27.07.2026</t>
        </is>
      </c>
      <c r="U99" s="243">
        <f>IFERROR(INDEX('CoQ Register'!$B:$B,MATCH("P060152|I",'CoQ Register'!$S:$S,0)),"— initial certificate not on the register —")</f>
        <v/>
      </c>
      <c r="V99" s="251"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IF(OR(C100="yes",C100="allocated"),COUNT(A$1:A99)+1,"")</f>
        <v/>
      </c>
      <c r="B100" s="244">
        <f>IF(A100&lt;&gt;"","CoQ-PP_26-"&amp;TEXT(A100,"000"),"— at issue —")</f>
        <v/>
      </c>
      <c r="C100" s="249" t="inlineStr">
        <is>
          <t>yes</t>
        </is>
      </c>
      <c r="D100" s="245">
        <f>IF(OR(A100="",C100="allocated"),"",MAX(E100,IF(ISNUMBER(I100),I100,0),IFERROR(IF(ISNUMBER(INDEX('iCoA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iCoA-PP_26-115 of 27.07.2026</t>
        </is>
      </c>
      <c r="U100" s="243">
        <f>IFERROR(INDEX('CoQ Register'!$B:$B,MATCH("P060212|I",'CoQ Register'!$S:$S,0)),"— initial certificate not on the register —")</f>
        <v/>
      </c>
      <c r="V100" s="251" t="n">
        <v>20.32</v>
      </c>
      <c r="W100" s="243" t="inlineStr">
        <is>
          <t>197-15-К/26</t>
        </is>
      </c>
      <c r="X100" s="243" t="inlineStr">
        <is>
          <t>22.00 ± 2.20 (I)</t>
        </is>
      </c>
      <c r="Y100" s="243" t="inlineStr">
        <is>
          <t>19.80 – 24.19 %</t>
        </is>
      </c>
      <c r="Z100" s="243" t="inlineStr">
        <is>
          <t>JD_THC22 : CBD1</t>
        </is>
      </c>
      <c r="AA100" s="243" t="inlineStr">
        <is>
          <t>QCSP_001_JD-I_v.01</t>
        </is>
      </c>
      <c r="AB100" s="252" t="inlineStr">
        <is>
          <t>for review — replaces the issued QCSP_001_JD-I_v.01 (was JD_THC20 : CBD1, 18.00 – 22.00 %); now JD_THC22 : CBD1 19.80 – 24.19 %</t>
        </is>
      </c>
      <c r="AC100" s="246" t="inlineStr"/>
    </row>
    <row r="101">
      <c r="A101" s="243">
        <f>IF(OR(C101="yes",C101="allocated"),COUNT(A$1:A100)+1,"")</f>
        <v/>
      </c>
      <c r="B101" s="244">
        <f>IF(A101&lt;&gt;"","CoQ-PP_26-"&amp;TEXT(A101,"000"),"— at issue —")</f>
        <v/>
      </c>
      <c r="C101" s="249" t="inlineStr">
        <is>
          <t>yes</t>
        </is>
      </c>
      <c r="D101" s="245">
        <f>IF(OR(A101="",C101="allocated"),"",MAX(E101,IF(ISNUMBER(I101),I101,0),IFERROR(IF(ISNUMBER(INDEX('iCoA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iCoA-PP_26-116 of 27.07.2026</t>
        </is>
      </c>
      <c r="U101" s="243">
        <f>IFERROR(INDEX('CoQ Register'!$B:$B,MATCH("OPM1024|I",'CoQ Register'!$S:$S,0)),"— initial certificate not on the register —")</f>
        <v/>
      </c>
      <c r="V101" s="251" t="n">
        <v>20.03</v>
      </c>
      <c r="W101" s="243" t="inlineStr">
        <is>
          <t>197-17-К/26</t>
        </is>
      </c>
      <c r="X101" s="243" t="inlineStr">
        <is>
          <t>20.00 ± 1.40 (I)</t>
        </is>
      </c>
      <c r="Y101" s="243" t="inlineStr">
        <is>
          <t>18.60 – 21.39 %</t>
        </is>
      </c>
      <c r="Z101" s="243" t="inlineStr">
        <is>
          <t>OPM_THC20 : CBD1</t>
        </is>
      </c>
      <c r="AA101" s="243" t="inlineStr">
        <is>
          <t>QCSP_001_OPM-I_v.01</t>
        </is>
      </c>
      <c r="AB101" s="252" t="inlineStr">
        <is>
          <t>for review — replaces the issued QCSP_001_OPM-I_v.01 (was OPM_THC22 : CBD1, 19.81 – 24.19 %); now OPM_THC20 : CBD1 18.60 – 21.39 %</t>
        </is>
      </c>
      <c r="AC101" s="246" t="inlineStr"/>
    </row>
    <row r="102">
      <c r="A102" s="243">
        <f>IF(OR(C102="yes",C102="allocated"),COUNT(A$1:A101)+1,"")</f>
        <v/>
      </c>
      <c r="B102" s="244">
        <f>IF(A102&lt;&gt;"","CoQ-PP_26-"&amp;TEXT(A102,"000"),"— at issue —")</f>
        <v/>
      </c>
      <c r="C102" s="249" t="inlineStr">
        <is>
          <t>yes</t>
        </is>
      </c>
      <c r="D102" s="245">
        <f>IF(OR(A102="",C102="allocated"),"",MAX(E102,IF(ISNUMBER(I102),I102,0),IFERROR(IF(ISNUMBER(INDEX('iCoA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iCoA-PP_26-117 of 27.07.2026</t>
        </is>
      </c>
      <c r="U102" s="243">
        <f>IFERROR(INDEX('CoQ Register'!$B:$B,MATCH("P050062|I",'CoQ Register'!$S:$S,0)),"— initial certificate not on the register —")</f>
        <v/>
      </c>
      <c r="V102" s="251" t="n">
        <v>18.04</v>
      </c>
      <c r="W102" s="243" t="inlineStr">
        <is>
          <t>197-18-К/26</t>
        </is>
      </c>
      <c r="X102" s="243" t="inlineStr">
        <is>
          <t>17.00 ± 1.60 (II)</t>
        </is>
      </c>
      <c r="Y102" s="243" t="inlineStr">
        <is>
          <t>15.40 – 18.59 %</t>
        </is>
      </c>
      <c r="Z102" s="243" t="inlineStr">
        <is>
          <t>OPM_THC17 : CBD1</t>
        </is>
      </c>
      <c r="AA102" s="243" t="inlineStr">
        <is>
          <t>QCSP_001_OPM-II_v.01</t>
        </is>
      </c>
      <c r="AB102" s="252" t="inlineStr">
        <is>
          <t>for review — replaces the issued QCSP_001_OPM-II_v.01 (was OPM_THC18 : CBD1, 16.20 – 19.80 %); now OPM_THC17 : CBD1 15.40 – 18.59 %</t>
        </is>
      </c>
      <c r="AC102" s="246" t="inlineStr"/>
    </row>
    <row r="103">
      <c r="A103" s="243">
        <f>IF(OR(C103="yes",C103="allocated"),COUNT(A$1:A102)+1,"")</f>
        <v/>
      </c>
      <c r="B103" s="244">
        <f>IF(A103&lt;&gt;"","CoQ-PP_26-"&amp;TEXT(A103,"000"),"— at issue —")</f>
        <v/>
      </c>
      <c r="C103" s="249" t="inlineStr">
        <is>
          <t>yes</t>
        </is>
      </c>
      <c r="D103" s="245">
        <f>IF(OR(A103="",C103="allocated"),"",MAX(E103,IF(ISNUMBER(I103),I103,0),IFERROR(IF(ISNUMBER(INDEX('iCoA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iCoA-PP_26-118 of 27.07.2026</t>
        </is>
      </c>
      <c r="U103" s="243">
        <f>IFERROR(INDEX('CoQ Register'!$B:$B,MATCH("P060242|I",'CoQ Register'!$S:$S,0)),"— initial certificate not on the register —")</f>
        <v/>
      </c>
      <c r="V103" s="251" t="n">
        <v>7.91</v>
      </c>
      <c r="W103" s="243" t="inlineStr">
        <is>
          <t>197-19-К/26</t>
        </is>
      </c>
      <c r="X103" s="243" t="inlineStr">
        <is>
          <t>8.00 ± 0.80 (V)</t>
        </is>
      </c>
      <c r="Y103" s="243" t="inlineStr">
        <is>
          <t>7.20 – 8.79 %</t>
        </is>
      </c>
      <c r="Z103" s="243" t="inlineStr">
        <is>
          <t>OPM_THC8 : CBD1</t>
        </is>
      </c>
      <c r="AA103" s="243" t="inlineStr">
        <is>
          <t>QCSP_001_OPM-V_v.01</t>
        </is>
      </c>
      <c r="AB103" s="252" t="inlineStr">
        <is>
          <t>for review — replaces the issued QCSP_001_OPM-V_v.01 (was OPM_THC8 : CBD1, 7.20 – 8.80 %); now OPM_THC8 : CBD1 7.20 – 8.79 %</t>
        </is>
      </c>
      <c r="AC103" s="246" t="inlineStr"/>
    </row>
    <row r="104">
      <c r="A104" s="243">
        <f>IF(OR(C104="yes",C104="allocated"),COUNT(A$1:A103)+1,"")</f>
        <v/>
      </c>
      <c r="B104" s="244">
        <f>IF(A104&lt;&gt;"","CoQ-PP_26-"&amp;TEXT(A104,"000"),"— at issue —")</f>
        <v/>
      </c>
      <c r="C104" s="249" t="inlineStr">
        <is>
          <t>yes</t>
        </is>
      </c>
      <c r="D104" s="245">
        <f>IF(OR(A104="",C104="allocated"),"",MAX(E104,IF(ISNUMBER(I104),I104,0),IFERROR(IF(ISNUMBER(INDEX('iCoA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iCoA-PP_26-120 of 27.07.2026</t>
        </is>
      </c>
      <c r="U104" s="243">
        <f>IFERROR(INDEX('CoQ Register'!$B:$B,MATCH("P060062|I",'CoQ Register'!$S:$S,0)),"— initial certificate not on the register —")</f>
        <v/>
      </c>
      <c r="V104" s="251" t="n">
        <v>12.25</v>
      </c>
      <c r="W104" s="243" t="inlineStr">
        <is>
          <t>197-20-К/26</t>
        </is>
      </c>
      <c r="X104" s="243" t="inlineStr">
        <is>
          <t>12.00 ± 1.00 (II)</t>
        </is>
      </c>
      <c r="Y104" s="243" t="inlineStr">
        <is>
          <t>11.00 – 12.99 %</t>
        </is>
      </c>
      <c r="Z104" s="243" t="inlineStr">
        <is>
          <t>PM_THC12 : CBD1</t>
        </is>
      </c>
      <c r="AA104" s="243" t="inlineStr">
        <is>
          <t>QCSP_001_PM-II_v.01</t>
        </is>
      </c>
      <c r="AB104" s="252" t="inlineStr">
        <is>
          <t>for review — replaces the issued QCSP_001_PM-II_v.01 (was PM_THC10 : CBD1, 9.00 – 11.00 %); now PM_THC12 : CBD1 11.00 – 12.99 %</t>
        </is>
      </c>
      <c r="AC104" s="246" t="inlineStr"/>
    </row>
    <row r="105">
      <c r="A105" s="243">
        <f>IF(OR(C105="yes",C105="allocated"),COUNT(A$1:A104)+1,"")</f>
        <v/>
      </c>
      <c r="B105" s="244">
        <f>IF(A105&lt;&gt;"","CoQ-PP_26-"&amp;TEXT(A105,"000"),"— at issue —")</f>
        <v/>
      </c>
      <c r="C105" s="249" t="inlineStr">
        <is>
          <t>yes</t>
        </is>
      </c>
      <c r="D105" s="245">
        <f>IF(OR(A105="",C105="allocated"),"",MAX(E105,IF(ISNUMBER(I105),I105,0),IFERROR(IF(ISNUMBER(INDEX('iCoA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iCoA-PP_26-119 of 27.07.2026</t>
        </is>
      </c>
      <c r="U105" s="243">
        <f>IFERROR(INDEX('CoQ Register'!$B:$B,MATCH("P060382|I",'CoQ Register'!$S:$S,0)),"— initial certificate not on the register —")</f>
        <v/>
      </c>
      <c r="V105" s="251" t="n">
        <v>17.84</v>
      </c>
      <c r="W105" s="243" t="inlineStr">
        <is>
          <t>197-21-К/26</t>
        </is>
      </c>
      <c r="X105" s="243" t="inlineStr">
        <is>
          <t>18.00 ± 1.80 (II)</t>
        </is>
      </c>
      <c r="Y105" s="243" t="inlineStr">
        <is>
          <t>16.20 – 19.79 %</t>
        </is>
      </c>
      <c r="Z105" s="243" t="inlineStr">
        <is>
          <t>SCR_THC18 : CBD1</t>
        </is>
      </c>
      <c r="AA105" s="243" t="inlineStr">
        <is>
          <t>QCSP_001_SCR-II_v.01</t>
        </is>
      </c>
      <c r="AB105" s="252" t="inlineStr">
        <is>
          <t>for review — replaces the issued QCSP_001_SCR-II_v.01 (was SCR_THC18 : CBD1, 16.20 – 19.80 %); now SCR_THC18 : CBD1 16.20 – 19.79 %</t>
        </is>
      </c>
      <c r="AC105" s="246" t="inlineStr"/>
    </row>
    <row r="106">
      <c r="A106" s="243">
        <f>IF(OR(C106="yes",C106="allocated"),COUNT(A$1:A105)+1,"")</f>
        <v/>
      </c>
      <c r="B106" s="244">
        <f>IF(A106&lt;&gt;"","CoQ-PP_26-"&amp;TEXT(A106,"000"),"— at issue —")</f>
        <v/>
      </c>
      <c r="C106" s="249" t="inlineStr">
        <is>
          <t>yes</t>
        </is>
      </c>
      <c r="D106" s="245">
        <f>IF(OR(A106="",C106="allocated"),"",MAX(E106,IF(ISNUMBER(I106),I106,0),IFERROR(IF(ISNUMBER(INDEX('iCoA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1" t="n">
        <v>18.91</v>
      </c>
      <c r="W106" s="243" t="inlineStr">
        <is>
          <t>197-4-К/26</t>
        </is>
      </c>
      <c r="X106" s="243" t="inlineStr">
        <is>
          <t>20.00 ± 1.60 (III)</t>
        </is>
      </c>
      <c r="Y106" s="243" t="inlineStr">
        <is>
          <t>18.40 – 21.59 %</t>
        </is>
      </c>
      <c r="Z106" s="243" t="inlineStr">
        <is>
          <t>CJ_THC20 : CBD1</t>
        </is>
      </c>
      <c r="AA106" s="243" t="inlineStr">
        <is>
          <t>QCSP_001_CJ-III_v.01</t>
        </is>
      </c>
      <c r="AB106" s="252" t="inlineStr">
        <is>
          <t>for review — replaces the issued QCSP_001_CJ-III_v.01 (was CJ_THC24 : CBD1, 23.00 – 25.00 %); now CJ_THC20 : CBD1 18.40 – 21.59 %</t>
        </is>
      </c>
      <c r="AC106" s="246" t="inlineStr"/>
    </row>
    <row r="107">
      <c r="A107" s="243">
        <f>IF(OR(C107="yes",C107="allocated"),COUNT(A$1:A106)+1,"")</f>
        <v/>
      </c>
      <c r="B107" s="244">
        <f>IF(A107&lt;&gt;"","CoQ-PP_26-"&amp;TEXT(A107,"000"),"— at issue —")</f>
        <v/>
      </c>
      <c r="C107" s="249" t="inlineStr">
        <is>
          <t>yes</t>
        </is>
      </c>
      <c r="D107" s="245">
        <f>IF(OR(A107="",C107="allocated"),"",MAX(E107,IF(ISNUMBER(I107),I107,0),IFERROR(IF(ISNUMBER(INDEX('iCoA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iCoA-PP_26-123 of 17.08.2026</t>
        </is>
      </c>
      <c r="U107" s="243">
        <f>IFERROR(INDEX('CoQ Register'!$B:$B,MATCH("P060122|I",'CoQ Register'!$S:$S,0)),"— initial certificate not on the register —")</f>
        <v/>
      </c>
      <c r="V107" s="251" t="n">
        <v>12.09</v>
      </c>
      <c r="W107" s="243" t="inlineStr">
        <is>
          <t>220-1-К/26</t>
        </is>
      </c>
      <c r="X107" s="243" t="inlineStr">
        <is>
          <t>12.00 ± 1.20 (I)</t>
        </is>
      </c>
      <c r="Y107" s="243" t="inlineStr">
        <is>
          <t>10.80 – 13.19 %</t>
        </is>
      </c>
      <c r="Z107" s="243" t="inlineStr">
        <is>
          <t>ACC_THC12 : CBD1</t>
        </is>
      </c>
      <c r="AA107" s="243" t="inlineStr">
        <is>
          <t>QCSP_001_ACC-I_v.01</t>
        </is>
      </c>
      <c r="AB107" s="252" t="inlineStr">
        <is>
          <t>for review — replaces the issued QCSP_001_ACC-I_v.01 (was ACC_THC12 : CBD1, 10.80 – 13.20 %); now ACC_THC12 : CBD1 10.80 – 13.19 %</t>
        </is>
      </c>
      <c r="AC107" s="246" t="inlineStr"/>
    </row>
    <row r="108">
      <c r="A108" s="243">
        <f>IF(OR(C108="yes",C108="allocated"),COUNT(A$1:A107)+1,"")</f>
        <v/>
      </c>
      <c r="B108" s="244">
        <f>IF(A108&lt;&gt;"","CoQ-PP_26-"&amp;TEXT(A108,"000"),"— at issue —")</f>
        <v/>
      </c>
      <c r="C108" s="249" t="inlineStr">
        <is>
          <t>yes</t>
        </is>
      </c>
      <c r="D108" s="245">
        <f>IF(OR(A108="",C108="allocated"),"",MAX(E108,IF(ISNUMBER(I108),I108,0),IFERROR(IF(ISNUMBER(INDEX('iCoA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iCoA-PP_26-124 of 17.08.2026</t>
        </is>
      </c>
      <c r="U108" s="243">
        <f>IFERROR(INDEX('CoQ Register'!$B:$B,MATCH("P050192|I",'CoQ Register'!$S:$S,0)),"— initial certificate not on the register —")</f>
        <v/>
      </c>
      <c r="V108" s="251"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IF(OR(C109="yes",C109="allocated"),COUNT(A$1:A108)+1,"")</f>
        <v/>
      </c>
      <c r="B109" s="244">
        <f>IF(A109&lt;&gt;"","CoQ-PP_26-"&amp;TEXT(A109,"000"),"— at issue —")</f>
        <v/>
      </c>
      <c r="C109" s="249" t="inlineStr">
        <is>
          <t>yes</t>
        </is>
      </c>
      <c r="D109" s="245">
        <f>IF(OR(A109="",C109="allocated"),"",MAX(E109,IF(ISNUMBER(I109),I109,0),IFERROR(IF(ISNUMBER(INDEX('iCoA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iCoA-PP_26-145 of 17.08.2026</t>
        </is>
      </c>
      <c r="U109" s="243">
        <f>IFERROR(INDEX('CoQ Register'!$B:$B,MATCH("P060372|I",'CoQ Register'!$S:$S,0)),"— initial certificate not on the register —")</f>
        <v/>
      </c>
      <c r="V109" s="251" t="n">
        <v>14.76</v>
      </c>
      <c r="W109" s="243" t="inlineStr">
        <is>
          <t>220-29-К/26</t>
        </is>
      </c>
      <c r="X109" s="243" t="inlineStr">
        <is>
          <t>14.00 ± 1.35 (II)</t>
        </is>
      </c>
      <c r="Y109" s="243" t="inlineStr">
        <is>
          <t>12.65 – 15.34 %</t>
        </is>
      </c>
      <c r="Z109" s="243" t="inlineStr">
        <is>
          <t>CC_THC14 : CBD1</t>
        </is>
      </c>
      <c r="AA109" s="243" t="inlineStr">
        <is>
          <t>QCSP_001_CC-II_v.01</t>
        </is>
      </c>
      <c r="AB109" s="252" t="inlineStr">
        <is>
          <t>for review — replaces the issued QCSP_001_CC-II_v.01 (was CC_THC14 : CBD1, 12.60 – 15.40 %); now CC_THC14 : CBD1 12.65 – 15.34 %</t>
        </is>
      </c>
      <c r="AC109" s="246" t="inlineStr"/>
    </row>
    <row r="110">
      <c r="A110" s="243">
        <f>IF(OR(C110="yes",C110="allocated"),COUNT(A$1:A109)+1,"")</f>
        <v/>
      </c>
      <c r="B110" s="244">
        <f>IF(A110&lt;&gt;"","CoQ-PP_26-"&amp;TEXT(A110,"000"),"— at issue —")</f>
        <v/>
      </c>
      <c r="C110" s="249" t="inlineStr">
        <is>
          <t>yes</t>
        </is>
      </c>
      <c r="D110" s="245">
        <f>IF(OR(A110="",C110="allocated"),"",MAX(E110,IF(ISNUMBER(I110),I110,0),IFERROR(IF(ISNUMBER(INDEX('iCoA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iCoA-PP_26-125 of 17.08.2026</t>
        </is>
      </c>
      <c r="U110" s="243">
        <f>IFERROR(INDEX('CoQ Register'!$B:$B,MATCH("P060132|I",'CoQ Register'!$S:$S,0)),"— initial certificate not on the register —")</f>
        <v/>
      </c>
      <c r="V110" s="251" t="n">
        <v>9.550000000000001</v>
      </c>
      <c r="W110" s="243" t="inlineStr">
        <is>
          <t>220-6-К/26</t>
        </is>
      </c>
      <c r="X110" s="243" t="inlineStr">
        <is>
          <t>10.00 ± 1.00 (I)</t>
        </is>
      </c>
      <c r="Y110" s="243" t="inlineStr">
        <is>
          <t>9.00 – 10.99 %</t>
        </is>
      </c>
      <c r="Z110" s="243" t="inlineStr">
        <is>
          <t>CF_THC10 : CBD1</t>
        </is>
      </c>
      <c r="AA110" s="243" t="inlineStr">
        <is>
          <t>QCSP_001_CF-I_v.01</t>
        </is>
      </c>
      <c r="AB110" s="252" t="inlineStr">
        <is>
          <t>for review — replaces the issued QCSP_001_CF-I_v.01 (was CF_THC10 : CBD1, 9.00 – 11.00 %); now CF_THC10 : CBD1 9.00 – 10.99 %</t>
        </is>
      </c>
      <c r="AC110" s="246" t="inlineStr"/>
    </row>
    <row r="111">
      <c r="A111" s="243">
        <f>IF(OR(C111="yes",C111="allocated"),COUNT(A$1:A110)+1,"")</f>
        <v/>
      </c>
      <c r="B111" s="244">
        <f>IF(A111&lt;&gt;"","CoQ-PP_26-"&amp;TEXT(A111,"000"),"— at issue —")</f>
        <v/>
      </c>
      <c r="C111" s="249" t="inlineStr">
        <is>
          <t>yes</t>
        </is>
      </c>
      <c r="D111" s="245">
        <f>IF(OR(A111="",C111="allocated"),"",MAX(E111,IF(ISNUMBER(I111),I111,0),IFERROR(IF(ISNUMBER(INDEX('iCoA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1" t="n">
        <v>24.8</v>
      </c>
      <c r="W111" s="243" t="inlineStr">
        <is>
          <t>220-3-К/26</t>
        </is>
      </c>
      <c r="X111" s="243" t="inlineStr">
        <is>
          <t>24.00 ± 2.40 (II)</t>
        </is>
      </c>
      <c r="Y111" s="243" t="inlineStr">
        <is>
          <t>21.60 – 26.39 %</t>
        </is>
      </c>
      <c r="Z111" s="243" t="inlineStr">
        <is>
          <t>CJ_THC24 : CBD1</t>
        </is>
      </c>
      <c r="AA111" s="243" t="inlineStr">
        <is>
          <t>QCSP_001_CJ-II_v.01</t>
        </is>
      </c>
      <c r="AB111" s="252" t="inlineStr">
        <is>
          <t>for review — replaces the issued QCSP_001_CJ-II_v.01 (was CJ_THC26 : CBD1, 25.01 – 26.99 %); now CJ_THC24 : CBD1 21.60 – 26.39 %</t>
        </is>
      </c>
      <c r="AC111" s="246" t="inlineStr"/>
    </row>
    <row r="112">
      <c r="A112" s="243">
        <f>IF(OR(C112="yes",C112="allocated"),COUNT(A$1:A111)+1,"")</f>
        <v/>
      </c>
      <c r="B112" s="244">
        <f>IF(A112&lt;&gt;"","CoQ-PP_26-"&amp;TEXT(A112,"000"),"— at issue —")</f>
        <v/>
      </c>
      <c r="C112" s="249" t="inlineStr">
        <is>
          <t>yes</t>
        </is>
      </c>
      <c r="D112" s="245">
        <f>IF(OR(A112="",C112="allocated"),"",MAX(E112,IF(ISNUMBER(I112),I112,0),IFERROR(IF(ISNUMBER(INDEX('iCoA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iCoA-PP_26-127 of 17.08.2026</t>
        </is>
      </c>
      <c r="U112" s="243">
        <f>IFERROR(INDEX('CoQ Register'!$B:$B,MATCH("P060022|I",'CoQ Register'!$S:$S,0)),"— initial certificate not on the register —")</f>
        <v/>
      </c>
      <c r="V112" s="251" t="n">
        <v>28.34</v>
      </c>
      <c r="W112" s="243" t="inlineStr">
        <is>
          <t>220-4-К/26</t>
        </is>
      </c>
      <c r="X112" s="243" t="inlineStr">
        <is>
          <t>28.00 ± 1.60 (I)</t>
        </is>
      </c>
      <c r="Y112" s="243" t="inlineStr">
        <is>
          <t>26.40 – 29.59 %</t>
        </is>
      </c>
      <c r="Z112" s="243" t="inlineStr">
        <is>
          <t>CJ_THC28 : CBD1</t>
        </is>
      </c>
      <c r="AA112" s="243" t="inlineStr">
        <is>
          <t>QCSP_001_CJ-I_v.01</t>
        </is>
      </c>
      <c r="AB112" s="252" t="inlineStr">
        <is>
          <t>for review — replaces the issued QCSP_001_CJ-I_v.01 (was CJ_THC28 : CBD1, 27.00 – 29.00 %); now CJ_THC28 : CBD1 26.40 – 29.59 %</t>
        </is>
      </c>
      <c r="AC112" s="246" t="inlineStr"/>
    </row>
    <row r="113">
      <c r="A113" s="243">
        <f>IF(OR(C113="yes",C113="allocated"),COUNT(A$1:A112)+1,"")</f>
        <v/>
      </c>
      <c r="B113" s="244">
        <f>IF(A113&lt;&gt;"","CoQ-PP_26-"&amp;TEXT(A113,"000"),"— at issue —")</f>
        <v/>
      </c>
      <c r="C113" s="249" t="inlineStr">
        <is>
          <t>yes</t>
        </is>
      </c>
      <c r="D113" s="245">
        <f>IF(OR(A113="",C113="allocated"),"",MAX(E113,IF(ISNUMBER(I113),I113,0),IFERROR(IF(ISNUMBER(INDEX('iCoA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iCoA-PP_26-128 of 17.08.2026</t>
        </is>
      </c>
      <c r="U113" s="243">
        <f>IFERROR(INDEX('CoQ Register'!$B:$B,MATCH("P060072|I",'CoQ Register'!$S:$S,0)),"— initial certificate not on the register —")</f>
        <v/>
      </c>
      <c r="V113" s="251" t="n">
        <v>25.65</v>
      </c>
      <c r="W113" s="243" t="inlineStr">
        <is>
          <t>220-5-К/26</t>
        </is>
      </c>
      <c r="X113" s="243" t="inlineStr">
        <is>
          <t>24.00 ± 2.40 (II)</t>
        </is>
      </c>
      <c r="Y113" s="243" t="inlineStr">
        <is>
          <t>21.60 – 26.39 %</t>
        </is>
      </c>
      <c r="Z113" s="243" t="inlineStr">
        <is>
          <t>CJ_THC24 : CBD1</t>
        </is>
      </c>
      <c r="AA113" s="243" t="inlineStr">
        <is>
          <t>QCSP_001_CJ-II_v.01</t>
        </is>
      </c>
      <c r="AB113" s="252" t="inlineStr">
        <is>
          <t>for review — replaces the issued QCSP_001_CJ-II_v.01 (was CJ_THC26 : CBD1, 25.01 – 26.99 %); now CJ_THC24 : CBD1 21.60 – 26.39 %</t>
        </is>
      </c>
      <c r="AC113" s="246" t="inlineStr"/>
    </row>
    <row r="114">
      <c r="A114" s="243">
        <f>IF(OR(C114="yes",C114="allocated"),COUNT(A$1:A113)+1,"")</f>
        <v/>
      </c>
      <c r="B114" s="244">
        <f>IF(A114&lt;&gt;"","CoQ-PP_26-"&amp;TEXT(A114,"000"),"— at issue —")</f>
        <v/>
      </c>
      <c r="C114" s="249" t="inlineStr">
        <is>
          <t>yes</t>
        </is>
      </c>
      <c r="D114" s="245">
        <f>IF(OR(A114="",C114="allocated"),"",MAX(E114,IF(ISNUMBER(I114),I114,0),IFERROR(IF(ISNUMBER(INDEX('iCoA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iCoA-PP_26-129 of 17.08.2026</t>
        </is>
      </c>
      <c r="U114" s="243">
        <f>IFERROR(INDEX('CoQ Register'!$B:$B,MATCH("P050282|I",'CoQ Register'!$S:$S,0)),"— initial certificate not on the register —")</f>
        <v/>
      </c>
      <c r="V114" s="251" t="n">
        <v>8.65</v>
      </c>
      <c r="W114" s="243" t="inlineStr">
        <is>
          <t>220-7-К/26</t>
        </is>
      </c>
      <c r="X114" s="243" t="inlineStr">
        <is>
          <t>8.00 ± 0.80 (I)</t>
        </is>
      </c>
      <c r="Y114" s="243" t="inlineStr">
        <is>
          <t>7.20 – 8.79 %</t>
        </is>
      </c>
      <c r="Z114" s="243" t="inlineStr">
        <is>
          <t>CLE_THC8 : CBD1</t>
        </is>
      </c>
      <c r="AA114" s="243" t="inlineStr">
        <is>
          <t>QCSP_001_CLE-I_v.01</t>
        </is>
      </c>
      <c r="AB114" s="252" t="inlineStr">
        <is>
          <t>for review — replaces the issued QCSP_001_CLE-I_v.01 (was CLE_THC8 : CBD1, 7.20 – 8.80 %); now CLE_THC8 : CBD1 7.20 – 8.79 %</t>
        </is>
      </c>
      <c r="AC114" s="246" t="inlineStr"/>
    </row>
    <row r="115">
      <c r="A115" s="243">
        <f>IF(OR(C115="yes",C115="allocated"),COUNT(A$1:A114)+1,"")</f>
        <v/>
      </c>
      <c r="B115" s="244">
        <f>IF(A115&lt;&gt;"","CoQ-PP_26-"&amp;TEXT(A115,"000"),"— at issue —")</f>
        <v/>
      </c>
      <c r="C115" s="249" t="inlineStr">
        <is>
          <t>yes</t>
        </is>
      </c>
      <c r="D115" s="245">
        <f>IF(OR(A115="",C115="allocated"),"",MAX(E115,IF(ISNUMBER(I115),I115,0),IFERROR(IF(ISNUMBER(INDEX('iCoA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iCoA-PP_26-130 of 17.08.2026</t>
        </is>
      </c>
      <c r="U115" s="243">
        <f>IFERROR(INDEX('CoQ Register'!$B:$B,MATCH("P060322|I",'CoQ Register'!$S:$S,0)),"— initial certificate not on the register —")</f>
        <v/>
      </c>
      <c r="V115" s="251" t="n">
        <v>17.99</v>
      </c>
      <c r="W115" s="243" t="inlineStr">
        <is>
          <t>220-8-К/26</t>
        </is>
      </c>
      <c r="X115" s="243" t="inlineStr">
        <is>
          <t>18.00 ± 1.80 (II)</t>
        </is>
      </c>
      <c r="Y115" s="243" t="inlineStr">
        <is>
          <t>16.20 – 19.79 %</t>
        </is>
      </c>
      <c r="Z115" s="243" t="inlineStr">
        <is>
          <t>FB_THC18 : CBD1</t>
        </is>
      </c>
      <c r="AA115" s="243" t="inlineStr">
        <is>
          <t>QCSP_001_FB-II_v.01</t>
        </is>
      </c>
      <c r="AB115" s="252" t="inlineStr">
        <is>
          <t>for review — replaces the issued QCSP_001_FB-II_v.01 (was FB_THC18 : CBD1, 17.15 – 18.85 %); now FB_THC18 : CBD1 16.20 – 19.79 %</t>
        </is>
      </c>
      <c r="AC115" s="246" t="inlineStr"/>
    </row>
    <row r="116">
      <c r="A116" s="243">
        <f>IF(OR(C116="yes",C116="allocated"),COUNT(A$1:A115)+1,"")</f>
        <v/>
      </c>
      <c r="B116" s="244">
        <f>IF(A116&lt;&gt;"","CoQ-PP_26-"&amp;TEXT(A116,"000"),"— at issue —")</f>
        <v/>
      </c>
      <c r="C116" s="249" t="inlineStr">
        <is>
          <t>yes</t>
        </is>
      </c>
      <c r="D116" s="245">
        <f>IF(OR(A116="",C116="allocated"),"",MAX(E116,IF(ISNUMBER(I116),I116,0),IFERROR(IF(ISNUMBER(INDEX('iCoA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iCoA-PP_26-131 of 17.08.2026</t>
        </is>
      </c>
      <c r="U116" s="243">
        <f>IFERROR(INDEX('CoQ Register'!$B:$B,MATCH("GG1024|I",'CoQ Register'!$S:$S,0)),"— initial certificate not on the register —")</f>
        <v/>
      </c>
      <c r="V116" s="251" t="n">
        <v>15.51</v>
      </c>
      <c r="W116" s="243" t="inlineStr">
        <is>
          <t>220-9-К/26</t>
        </is>
      </c>
      <c r="X116" s="243" t="inlineStr">
        <is>
          <t>15.00 ± 1.23 (II)</t>
        </is>
      </c>
      <c r="Y116" s="243" t="inlineStr">
        <is>
          <t>13.77 – 16.22 %</t>
        </is>
      </c>
      <c r="Z116" s="243" t="inlineStr">
        <is>
          <t>GG_THC15 : CBD1</t>
        </is>
      </c>
      <c r="AA116" s="243" t="inlineStr">
        <is>
          <t>QCSP_001_GG-II_v.01</t>
        </is>
      </c>
      <c r="AB116" s="252" t="inlineStr">
        <is>
          <t>for review — replaces the issued QCSP_001_GG-II_v.01 (was GG_THC16 : CBD1, 15.00 – 17.00 %); now GG_THC15 : CBD1 13.77 – 16.22 %</t>
        </is>
      </c>
      <c r="AC116" s="246" t="inlineStr"/>
    </row>
    <row r="117">
      <c r="A117" s="243">
        <f>IF(OR(C117="yes",C117="allocated"),COUNT(A$1:A116)+1,"")</f>
        <v/>
      </c>
      <c r="B117" s="244">
        <f>IF(A117&lt;&gt;"","CoQ-PP_26-"&amp;TEXT(A117,"000"),"— at issue —")</f>
        <v/>
      </c>
      <c r="C117" s="249" t="inlineStr">
        <is>
          <t>yes</t>
        </is>
      </c>
      <c r="D117" s="245">
        <f>IF(OR(A117="",C117="allocated"),"",MAX(E117,IF(ISNUMBER(I117),I117,0),IFERROR(IF(ISNUMBER(INDEX('iCoA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iCoA-PP_26-132 of 17.08.2026</t>
        </is>
      </c>
      <c r="U117" s="243">
        <f>IFERROR(INDEX('CoQ Register'!$B:$B,MATCH("P050302|I",'CoQ Register'!$S:$S,0)),"— initial certificate not on the register —")</f>
        <v/>
      </c>
      <c r="V117" s="251" t="n">
        <v>18.29</v>
      </c>
      <c r="W117" s="243" t="inlineStr">
        <is>
          <t>220-10-К/26</t>
        </is>
      </c>
      <c r="X117" s="243" t="inlineStr">
        <is>
          <t>20.00 ± 2.00 (III)</t>
        </is>
      </c>
      <c r="Y117" s="243" t="inlineStr">
        <is>
          <t>18.00 – 21.99 %</t>
        </is>
      </c>
      <c r="Z117" s="243" t="inlineStr">
        <is>
          <t>GP_THC20 : CBD1</t>
        </is>
      </c>
      <c r="AA117" s="243" t="inlineStr">
        <is>
          <t>QCSP_001_GP-III_v.01</t>
        </is>
      </c>
      <c r="AB117" s="252" t="inlineStr">
        <is>
          <t>for review — replaces the issued QCSP_001_GP-III_v.01 (was GP_THC24 : CBD1, 22.61 – 25.39 %); now GP_THC20 : CBD1 18.00 – 21.99 %</t>
        </is>
      </c>
      <c r="AC117" s="246" t="inlineStr"/>
    </row>
    <row r="118">
      <c r="A118" s="243">
        <f>IF(OR(C118="yes",C118="allocated"),COUNT(A$1:A117)+1,"")</f>
        <v/>
      </c>
      <c r="B118" s="244">
        <f>IF(A118&lt;&gt;"","CoQ-PP_26-"&amp;TEXT(A118,"000"),"— at issue —")</f>
        <v/>
      </c>
      <c r="C118" s="249" t="inlineStr">
        <is>
          <t>yes</t>
        </is>
      </c>
      <c r="D118" s="245">
        <f>IF(OR(A118="",C118="allocated"),"",MAX(E118,IF(ISNUMBER(I118),I118,0),IFERROR(IF(ISNUMBER(INDEX('iCoA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1" t="n">
        <v>28.3</v>
      </c>
      <c r="W118" s="243" t="inlineStr">
        <is>
          <t>220-11-К/26</t>
        </is>
      </c>
      <c r="X118" s="243" t="inlineStr">
        <is>
          <t>28.00 ± 2.00 (I)</t>
        </is>
      </c>
      <c r="Y118" s="243" t="inlineStr">
        <is>
          <t>26.00 – 29.99 %</t>
        </is>
      </c>
      <c r="Z118" s="243" t="inlineStr">
        <is>
          <t>GP_THC28 : CBD1</t>
        </is>
      </c>
      <c r="AA118" s="243" t="inlineStr">
        <is>
          <t>QCSP_001_GP-I_v.01</t>
        </is>
      </c>
      <c r="AB118" s="252" t="inlineStr">
        <is>
          <t>for review — replaces the issued QCSP_001_GP-I_v.01 (was GP_THC28 : CBD1, 26.61 – 29.39 %); now GP_THC28 : CBD1 26.00 – 29.99 %</t>
        </is>
      </c>
      <c r="AC118" s="246" t="inlineStr"/>
    </row>
    <row r="119">
      <c r="A119" s="243">
        <f>IF(OR(C119="yes",C119="allocated"),COUNT(A$1:A118)+1,"")</f>
        <v/>
      </c>
      <c r="B119" s="244">
        <f>IF(A119&lt;&gt;"","CoQ-PP_26-"&amp;TEXT(A119,"000"),"— at issue —")</f>
        <v/>
      </c>
      <c r="C119" s="249" t="inlineStr">
        <is>
          <t>yes</t>
        </is>
      </c>
      <c r="D119" s="245">
        <f>IF(OR(A119="",C119="allocated"),"",MAX(E119,IF(ISNUMBER(I119),I119,0),IFERROR(IF(ISNUMBER(INDEX('iCoA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iCoA-PP_26-134 of 17.08.2026</t>
        </is>
      </c>
      <c r="U119" s="243">
        <f>IFERROR(INDEX('CoQ Register'!$B:$B,MATCH("P050312|I",'CoQ Register'!$S:$S,0)),"— initial certificate not on the register —")</f>
        <v/>
      </c>
      <c r="V119" s="251" t="n">
        <v>25.13</v>
      </c>
      <c r="W119" s="243" t="inlineStr">
        <is>
          <t>220-12-К/26</t>
        </is>
      </c>
      <c r="X119" s="243" t="inlineStr">
        <is>
          <t>24.00 ± 2.00 (II)</t>
        </is>
      </c>
      <c r="Y119" s="243" t="inlineStr">
        <is>
          <t>22.00 – 25.99 %</t>
        </is>
      </c>
      <c r="Z119" s="243" t="inlineStr">
        <is>
          <t>GP_THC24 : CBD1</t>
        </is>
      </c>
      <c r="AA119" s="243" t="inlineStr">
        <is>
          <t>QCSP_001_GP-II_v.01</t>
        </is>
      </c>
      <c r="AB119" s="252" t="inlineStr">
        <is>
          <t>for review — replaces the issued QCSP_001_GP-II_v.01 (was GP_THC26 : CBD1, 25.40 – 26.60 %); now GP_THC24 : CBD1 22.00 – 25.99 %</t>
        </is>
      </c>
      <c r="AC119" s="246" t="inlineStr"/>
    </row>
    <row r="120">
      <c r="A120" s="243">
        <f>IF(OR(C120="yes",C120="allocated"),COUNT(A$1:A119)+1,"")</f>
        <v/>
      </c>
      <c r="B120" s="244">
        <f>IF(A120&lt;&gt;"","CoQ-PP_26-"&amp;TEXT(A120,"000"),"— at issue —")</f>
        <v/>
      </c>
      <c r="C120" s="249" t="inlineStr">
        <is>
          <t>yes</t>
        </is>
      </c>
      <c r="D120" s="245">
        <f>IF(OR(A120="",C120="allocated"),"",MAX(E120,IF(ISNUMBER(I120),I120,0),IFERROR(IF(ISNUMBER(INDEX('iCoA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iCoA-PP_26-135 of 17.08.2026</t>
        </is>
      </c>
      <c r="U120" s="243">
        <f>IFERROR(INDEX('CoQ Register'!$B:$B,MATCH("P060092|I",'CoQ Register'!$S:$S,0)),"— initial certificate not on the register —")</f>
        <v/>
      </c>
      <c r="V120" s="251" t="n">
        <v>25.24</v>
      </c>
      <c r="W120" s="243" t="inlineStr">
        <is>
          <t>220-13-К/26</t>
        </is>
      </c>
      <c r="X120" s="243" t="inlineStr">
        <is>
          <t>24.00 ± 2.00 (II)</t>
        </is>
      </c>
      <c r="Y120" s="243" t="inlineStr">
        <is>
          <t>22.00 – 25.99 %</t>
        </is>
      </c>
      <c r="Z120" s="243" t="inlineStr">
        <is>
          <t>GP_THC24 : CBD1</t>
        </is>
      </c>
      <c r="AA120" s="243" t="inlineStr">
        <is>
          <t>QCSP_001_GP-II_v.01</t>
        </is>
      </c>
      <c r="AB120" s="252" t="inlineStr">
        <is>
          <t>for review — replaces the issued QCSP_001_GP-II_v.01 (was GP_THC26 : CBD1, 25.40 – 26.60 %); now GP_THC24 : CBD1 22.00 – 25.99 %</t>
        </is>
      </c>
      <c r="AC120" s="246" t="inlineStr"/>
    </row>
    <row r="121">
      <c r="A121" s="243">
        <f>IF(OR(C121="yes",C121="allocated"),COUNT(A$1:A120)+1,"")</f>
        <v/>
      </c>
      <c r="B121" s="244">
        <f>IF(A121&lt;&gt;"","CoQ-PP_26-"&amp;TEXT(A121,"000"),"— at issue —")</f>
        <v/>
      </c>
      <c r="C121" s="249" t="inlineStr">
        <is>
          <t>yes</t>
        </is>
      </c>
      <c r="D121" s="245">
        <f>IF(OR(A121="",C121="allocated"),"",MAX(E121,IF(ISNUMBER(I121),I121,0),IFERROR(IF(ISNUMBER(INDEX('iCoA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1"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IF(OR(C122="yes",C122="allocated"),COUNT(A$1:A121)+1,"")</f>
        <v/>
      </c>
      <c r="B122" s="244">
        <f>IF(A122&lt;&gt;"","CoQ-PP_26-"&amp;TEXT(A122,"000"),"— at issue —")</f>
        <v/>
      </c>
      <c r="C122" s="249" t="inlineStr">
        <is>
          <t>yes</t>
        </is>
      </c>
      <c r="D122" s="245">
        <f>IF(OR(A122="",C122="allocated"),"",MAX(E122,IF(ISNUMBER(I122),I122,0),IFERROR(IF(ISNUMBER(INDEX('iCoA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iCoA-PP_26-137 of 17.08.2026</t>
        </is>
      </c>
      <c r="U122" s="243">
        <f>IFERROR(INDEX('CoQ Register'!$B:$B,MATCH("P050182|I",'CoQ Register'!$S:$S,0)),"— initial certificate not on the register —")</f>
        <v/>
      </c>
      <c r="V122" s="251" t="n">
        <v>19.69</v>
      </c>
      <c r="W122" s="243" t="inlineStr">
        <is>
          <t>220-15-К/26</t>
        </is>
      </c>
      <c r="X122" s="243" t="inlineStr">
        <is>
          <t>18.00 ± 1.80 (II)</t>
        </is>
      </c>
      <c r="Y122" s="243" t="inlineStr">
        <is>
          <t>16.20 – 19.79 %</t>
        </is>
      </c>
      <c r="Z122" s="243" t="inlineStr">
        <is>
          <t>HPA_THC18 : CBD1</t>
        </is>
      </c>
      <c r="AA122" s="243" t="inlineStr">
        <is>
          <t>QCSP_001_HPA-II_v.01</t>
        </is>
      </c>
      <c r="AB122" s="252" t="inlineStr">
        <is>
          <t>for review — replaces the issued QCSP_001_HPA-II_v.01 (was HPA_THC20 : CBD1, 19.01 – 20.99 %); now HPA_THC18 : CBD1 16.20 – 19.79 %</t>
        </is>
      </c>
      <c r="AC122" s="246" t="inlineStr"/>
    </row>
    <row r="123">
      <c r="A123" s="243">
        <f>IF(OR(C123="yes",C123="allocated"),COUNT(A$1:A122)+1,"")</f>
        <v/>
      </c>
      <c r="B123" s="244">
        <f>IF(A123&lt;&gt;"","CoQ-PP_26-"&amp;TEXT(A123,"000"),"— at issue —")</f>
        <v/>
      </c>
      <c r="C123" s="249" t="inlineStr">
        <is>
          <t>yes</t>
        </is>
      </c>
      <c r="D123" s="245">
        <f>IF(OR(A123="",C123="allocated"),"",MAX(E123,IF(ISNUMBER(I123),I123,0),IFERROR(IF(ISNUMBER(INDEX('iCoA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iCoA-PP_26-140 of 17.08.2026</t>
        </is>
      </c>
      <c r="U123" s="243">
        <f>IFERROR(INDEX('CoQ Register'!$B:$B,MATCH("P060362|I",'CoQ Register'!$S:$S,0)),"— initial certificate not on the register —")</f>
        <v/>
      </c>
      <c r="V123" s="251" t="n">
        <v>21.01</v>
      </c>
      <c r="W123" s="243" t="inlineStr">
        <is>
          <t>220-16-К/26</t>
        </is>
      </c>
      <c r="X123" s="243" t="inlineStr">
        <is>
          <t>22.00 ± 2.20 (I)</t>
        </is>
      </c>
      <c r="Y123" s="243" t="inlineStr">
        <is>
          <t>19.80 – 24.19 %</t>
        </is>
      </c>
      <c r="Z123" s="243" t="inlineStr">
        <is>
          <t>JD_THC22 : CBD1</t>
        </is>
      </c>
      <c r="AA123" s="243" t="inlineStr">
        <is>
          <t>QCSP_001_JD-I_v.01</t>
        </is>
      </c>
      <c r="AB123" s="252" t="inlineStr">
        <is>
          <t>for review — replaces the issued QCSP_001_JD-I_v.01 (was JD_THC20 : CBD1, 18.00 – 22.00 %); now JD_THC22 : CBD1 19.80 – 24.19 %</t>
        </is>
      </c>
      <c r="AC123" s="246" t="inlineStr"/>
    </row>
    <row r="124">
      <c r="A124" s="243">
        <f>IF(OR(C124="yes",C124="allocated"),COUNT(A$1:A123)+1,"")</f>
        <v/>
      </c>
      <c r="B124" s="244">
        <f>IF(A124&lt;&gt;"","CoQ-PP_26-"&amp;TEXT(A124,"000"),"— at issue —")</f>
        <v/>
      </c>
      <c r="C124" s="249" t="inlineStr">
        <is>
          <t>yes</t>
        </is>
      </c>
      <c r="D124" s="245">
        <f>IF(OR(A124="",C124="allocated"),"",MAX(E124,IF(ISNUMBER(I124),I124,0),IFERROR(IF(ISNUMBER(INDEX('iCoA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iCoA-PP_26-138 of 17.08.2026</t>
        </is>
      </c>
      <c r="U124" s="243">
        <f>IFERROR(INDEX('CoQ Register'!$B:$B,MATCH("P060412|I",'CoQ Register'!$S:$S,0)),"— initial certificate not on the register —")</f>
        <v/>
      </c>
      <c r="V124" s="251"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IF(OR(C125="yes",C125="allocated"),COUNT(A$1:A124)+1,"")</f>
        <v/>
      </c>
      <c r="B125" s="244">
        <f>IF(A125&lt;&gt;"","CoQ-PP_26-"&amp;TEXT(A125,"000"),"— at issue —")</f>
        <v/>
      </c>
      <c r="C125" s="249" t="inlineStr">
        <is>
          <t>yes</t>
        </is>
      </c>
      <c r="D125" s="245">
        <f>IF(OR(A125="",C125="allocated"),"",MAX(E125,IF(ISNUMBER(I125),I125,0),IFERROR(IF(ISNUMBER(INDEX('iCoA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iCoA-PP_26-139 of 17.08.2026</t>
        </is>
      </c>
      <c r="U125" s="243">
        <f>IFERROR(INDEX('CoQ Register'!$B:$B,MATCH("P060422|I",'CoQ Register'!$S:$S,0)),"— initial certificate not on the register —")</f>
        <v/>
      </c>
      <c r="V125" s="251" t="n">
        <v>17.09</v>
      </c>
      <c r="W125" s="243" t="inlineStr">
        <is>
          <t>220-18-К/26</t>
        </is>
      </c>
      <c r="X125" s="243" t="inlineStr">
        <is>
          <t>18.00 ± 1.80 (II)</t>
        </is>
      </c>
      <c r="Y125" s="243" t="inlineStr">
        <is>
          <t>16.20 – 19.79 %</t>
        </is>
      </c>
      <c r="Z125" s="243" t="inlineStr">
        <is>
          <t>JD_THC18 : CBD1</t>
        </is>
      </c>
      <c r="AA125" s="243" t="inlineStr">
        <is>
          <t>QCSP_001_JD-II_v.01</t>
        </is>
      </c>
      <c r="AB125" s="252" t="inlineStr">
        <is>
          <t>for review — replaces the issued QCSP_001_JD-II_v.01 (was JD_THC16 : CBD1, 14.91 – 17.09 %); now JD_THC18 : CBD1 16.20 – 19.79 %</t>
        </is>
      </c>
      <c r="AC125" s="246" t="inlineStr"/>
    </row>
    <row r="126">
      <c r="A126" s="243">
        <f>IF(OR(C126="yes",C126="allocated"),COUNT(A$1:A125)+1,"")</f>
        <v/>
      </c>
      <c r="B126" s="244">
        <f>IF(A126&lt;&gt;"","CoQ-PP_26-"&amp;TEXT(A126,"000"),"— at issue —")</f>
        <v/>
      </c>
      <c r="C126" s="249" t="inlineStr">
        <is>
          <t>yes</t>
        </is>
      </c>
      <c r="D126" s="245">
        <f>IF(OR(A126="",C126="allocated"),"",MAX(E126,IF(ISNUMBER(I126),I126,0),IFERROR(IF(ISNUMBER(INDEX('iCoA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iCoA-PP_26-148 of 17.08.2026</t>
        </is>
      </c>
      <c r="U126" s="243">
        <f>IFERROR(INDEX('CoQ Register'!$B:$B,MATCH("P060492|I",'CoQ Register'!$S:$S,0)),"— initial certificate not on the register —")</f>
        <v/>
      </c>
      <c r="V126" s="251"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IF(OR(C127="yes",C127="allocated"),COUNT(A$1:A126)+1,"")</f>
        <v/>
      </c>
      <c r="B127" s="244">
        <f>IF(A127&lt;&gt;"","CoQ-PP_26-"&amp;TEXT(A127,"000"),"— at issue —")</f>
        <v/>
      </c>
      <c r="C127" s="249" t="inlineStr">
        <is>
          <t>yes</t>
        </is>
      </c>
      <c r="D127" s="245">
        <f>IF(OR(A127="",C127="allocated"),"",MAX(E127,IF(ISNUMBER(I127),I127,0),IFERROR(IF(ISNUMBER(INDEX('iCoA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iCoA-PP_26-141 of 17.08.2026</t>
        </is>
      </c>
      <c r="U127" s="243">
        <f>IFERROR(INDEX('CoQ Register'!$B:$B,MATCH("P060172|I",'CoQ Register'!$S:$S,0)),"— initial certificate not on the register —")</f>
        <v/>
      </c>
      <c r="V127" s="251" t="n">
        <v>17.06</v>
      </c>
      <c r="W127" s="243" t="inlineStr">
        <is>
          <t>220-19-К/26</t>
        </is>
      </c>
      <c r="X127" s="243" t="inlineStr">
        <is>
          <t>18.00 ± 1.80 (I)</t>
        </is>
      </c>
      <c r="Y127" s="243" t="inlineStr">
        <is>
          <t>16.20 – 19.79 %</t>
        </is>
      </c>
      <c r="Z127" s="243" t="inlineStr">
        <is>
          <t>KC_THC18 : CBD1</t>
        </is>
      </c>
      <c r="AA127" s="243" t="inlineStr">
        <is>
          <t>QCSP_001_KC-I_v.01</t>
        </is>
      </c>
      <c r="AB127" s="252" t="inlineStr">
        <is>
          <t>for review — replaces the issued QCSP_001_KC-I_v.01 (was KC_THC18 : CBD1, 16.20 – 19.80 %); now KC_THC18 : CBD1 16.20 – 19.79 %</t>
        </is>
      </c>
      <c r="AC127" s="246" t="inlineStr"/>
    </row>
    <row r="128">
      <c r="A128" s="243">
        <f>IF(OR(C128="yes",C128="allocated"),COUNT(A$1:A127)+1,"")</f>
        <v/>
      </c>
      <c r="B128" s="244">
        <f>IF(A128&lt;&gt;"","CoQ-PP_26-"&amp;TEXT(A128,"000"),"— at issue —")</f>
        <v/>
      </c>
      <c r="C128" s="249" t="inlineStr">
        <is>
          <t>yes</t>
        </is>
      </c>
      <c r="D128" s="245">
        <f>IF(OR(A128="",C128="allocated"),"",MAX(E128,IF(ISNUMBER(I128),I128,0),IFERROR(IF(ISNUMBER(INDEX('iCoA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iCoA-PP_26-142 of 17.08.2026</t>
        </is>
      </c>
      <c r="U128" s="243">
        <f>IFERROR(INDEX('CoQ Register'!$B:$B,MATCH("P050112|I",'CoQ Register'!$S:$S,0)),"— initial certificate not on the register —")</f>
        <v/>
      </c>
      <c r="V128" s="251" t="n">
        <v>17.93</v>
      </c>
      <c r="W128" s="243" t="inlineStr">
        <is>
          <t>220-20-К/26</t>
        </is>
      </c>
      <c r="X128" s="243" t="inlineStr">
        <is>
          <t>18.00 ± 1.80 (I)</t>
        </is>
      </c>
      <c r="Y128" s="243" t="inlineStr">
        <is>
          <t>16.20 – 19.79 %</t>
        </is>
      </c>
      <c r="Z128" s="243" t="inlineStr">
        <is>
          <t>MB_THC18 : CBD1</t>
        </is>
      </c>
      <c r="AA128" s="243" t="inlineStr">
        <is>
          <t>QCSP_001_MB-I_v.01</t>
        </is>
      </c>
      <c r="AB128" s="252" t="inlineStr">
        <is>
          <t>for review — replaces the issued QCSP_001_MB-I_v.01 (was MB_THC18 : CBD1, 16.20 – 19.80 %); now MB_THC18 : CBD1 16.20 – 19.79 %</t>
        </is>
      </c>
      <c r="AC128" s="246" t="inlineStr"/>
    </row>
    <row r="129">
      <c r="A129" s="243">
        <f>IF(OR(C129="yes",C129="allocated"),COUNT(A$1:A128)+1,"")</f>
        <v/>
      </c>
      <c r="B129" s="244">
        <f>IF(A129&lt;&gt;"","CoQ-PP_26-"&amp;TEXT(A129,"000"),"— at issue —")</f>
        <v/>
      </c>
      <c r="C129" s="249" t="inlineStr">
        <is>
          <t>yes</t>
        </is>
      </c>
      <c r="D129" s="245">
        <f>IF(OR(A129="",C129="allocated"),"",MAX(E129,IF(ISNUMBER(I129),I129,0),IFERROR(IF(ISNUMBER(INDEX('iCoA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1" t="n">
        <v>18.14</v>
      </c>
      <c r="W129" s="243" t="inlineStr">
        <is>
          <t>220-21-К/26</t>
        </is>
      </c>
      <c r="X129" s="243" t="inlineStr">
        <is>
          <t>17.00 ± 1.60 (II)</t>
        </is>
      </c>
      <c r="Y129" s="243" t="inlineStr">
        <is>
          <t>15.40 – 18.59 %</t>
        </is>
      </c>
      <c r="Z129" s="243" t="inlineStr">
        <is>
          <t>OPM_THC17 : CBD1</t>
        </is>
      </c>
      <c r="AA129" s="243" t="inlineStr">
        <is>
          <t>QCSP_001_OPM-II_v.01</t>
        </is>
      </c>
      <c r="AB129" s="252" t="inlineStr">
        <is>
          <t>for review — replaces the issued QCSP_001_OPM-II_v.01 (was OPM_THC18 : CBD1, 16.20 – 19.80 %); now OPM_THC17 : CBD1 15.40 – 18.59 %</t>
        </is>
      </c>
      <c r="AC129" s="246" t="inlineStr"/>
    </row>
    <row r="130">
      <c r="A130" s="243">
        <f>IF(OR(C130="yes",C130="allocated"),COUNT(A$1:A129)+1,"")</f>
        <v/>
      </c>
      <c r="B130" s="244">
        <f>IF(A130&lt;&gt;"","CoQ-PP_26-"&amp;TEXT(A130,"000"),"— at issue —")</f>
        <v/>
      </c>
      <c r="C130" s="249" t="inlineStr">
        <is>
          <t>yes</t>
        </is>
      </c>
      <c r="D130" s="245">
        <f>IF(OR(A130="",C130="allocated"),"",MAX(E130,IF(ISNUMBER(I130),I130,0),IFERROR(IF(ISNUMBER(INDEX('iCoA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iCoA-PP_26-143 of 17.08.2026</t>
        </is>
      </c>
      <c r="U130" s="243">
        <f>IFERROR(INDEX('CoQ Register'!$B:$B,MATCH("P060042|I",'CoQ Register'!$S:$S,0)),"— initial certificate not on the register —")</f>
        <v/>
      </c>
      <c r="V130" s="251" t="n">
        <v>10.18</v>
      </c>
      <c r="W130" s="243" t="inlineStr">
        <is>
          <t>220-22-К/26</t>
        </is>
      </c>
      <c r="X130" s="243" t="inlineStr">
        <is>
          <t>10.00 ± 1.00 (IV)</t>
        </is>
      </c>
      <c r="Y130" s="243" t="inlineStr">
        <is>
          <t>9.00 – 10.99 %</t>
        </is>
      </c>
      <c r="Z130" s="243" t="inlineStr">
        <is>
          <t>OPM_THC10 : CBD1</t>
        </is>
      </c>
      <c r="AA130" s="243" t="inlineStr">
        <is>
          <t>QCSP_001_OPM-IV_v.01</t>
        </is>
      </c>
      <c r="AB130" s="252" t="inlineStr">
        <is>
          <t>for review — replaces the issued QCSP_001_OPM-IV_v.01 (was OPM_THC10 : CBD1, 9.00 – 11.00 %); now OPM_THC10 : CBD1 9.00 – 10.99 %</t>
        </is>
      </c>
      <c r="AC130" s="246" t="inlineStr"/>
    </row>
    <row r="131">
      <c r="A131" s="243">
        <f>IF(OR(C131="yes",C131="allocated"),COUNT(A$1:A130)+1,"")</f>
        <v/>
      </c>
      <c r="B131" s="244">
        <f>IF(A131&lt;&gt;"","CoQ-PP_26-"&amp;TEXT(A131,"000"),"— at issue —")</f>
        <v/>
      </c>
      <c r="C131" s="249" t="inlineStr">
        <is>
          <t>yes</t>
        </is>
      </c>
      <c r="D131" s="245">
        <f>IF(OR(A131="",C131="allocated"),"",MAX(E131,IF(ISNUMBER(I131),I131,0),IFERROR(IF(ISNUMBER(INDEX('iCoA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iCoA-PP_26-149 of 17.08.2026</t>
        </is>
      </c>
      <c r="U131" s="243">
        <f>IFERROR(INDEX('CoQ Register'!$B:$B,MATCH("P050082|I",'CoQ Register'!$S:$S,0)),"— initial certificate not on the register —")</f>
        <v/>
      </c>
      <c r="V131" s="251" t="n">
        <v>19.3</v>
      </c>
      <c r="W131" s="243" t="inlineStr">
        <is>
          <t>220-23-К/26</t>
        </is>
      </c>
      <c r="X131" s="243" t="inlineStr">
        <is>
          <t>20.00 ± 1.40 (I)</t>
        </is>
      </c>
      <c r="Y131" s="243" t="inlineStr">
        <is>
          <t>18.60 – 21.39 %</t>
        </is>
      </c>
      <c r="Z131" s="243" t="inlineStr">
        <is>
          <t>OPM_THC20 : CBD1</t>
        </is>
      </c>
      <c r="AA131" s="243" t="inlineStr">
        <is>
          <t>QCSP_001_OPM-I_v.01</t>
        </is>
      </c>
      <c r="AB131" s="252" t="inlineStr">
        <is>
          <t>for review — replaces the issued QCSP_001_OPM-I_v.01 (was OPM_THC22 : CBD1, 19.81 – 24.19 %); now OPM_THC20 : CBD1 18.60 – 21.39 %</t>
        </is>
      </c>
      <c r="AC131" s="246" t="inlineStr"/>
    </row>
    <row r="132">
      <c r="A132" s="243">
        <f>IF(OR(C132="yes",C132="allocated"),COUNT(A$1:A131)+1,"")</f>
        <v/>
      </c>
      <c r="B132" s="244">
        <f>IF(A132&lt;&gt;"","CoQ-PP_26-"&amp;TEXT(A132,"000"),"— at issue —")</f>
        <v/>
      </c>
      <c r="C132" s="249" t="inlineStr">
        <is>
          <t>yes</t>
        </is>
      </c>
      <c r="D132" s="245">
        <f>IF(OR(A132="",C132="allocated"),"",MAX(E132,IF(ISNUMBER(I132),I132,0),IFERROR(IF(ISNUMBER(INDEX('iCoA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iCoA-PP_26-150 of 17.08.2026</t>
        </is>
      </c>
      <c r="U132" s="243">
        <f>IFERROR(INDEX('CoQ Register'!$B:$B,MATCH("P060232|I",'CoQ Register'!$S:$S,0)),"— initial certificate not on the register —")</f>
        <v/>
      </c>
      <c r="V132" s="251"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IF(OR(C133="yes",C133="allocated"),COUNT(A$1:A132)+1,"")</f>
        <v/>
      </c>
      <c r="B133" s="244">
        <f>IF(A133&lt;&gt;"","CoQ-PP_26-"&amp;TEXT(A133,"000"),"— at issue —")</f>
        <v/>
      </c>
      <c r="C133" s="249" t="inlineStr">
        <is>
          <t>yes</t>
        </is>
      </c>
      <c r="D133" s="245">
        <f>IF(OR(A133="",C133="allocated"),"",MAX(E133,IF(ISNUMBER(I133),I133,0),IFERROR(IF(ISNUMBER(INDEX('iCoA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iCoA-PP_26-151 of 17.08.2026</t>
        </is>
      </c>
      <c r="U133" s="243">
        <f>IFERROR(INDEX('CoQ Register'!$B:$B,MATCH("P060112|I",'CoQ Register'!$S:$S,0)),"— initial certificate not on the register —")</f>
        <v/>
      </c>
      <c r="V133" s="251" t="n">
        <v>13.95</v>
      </c>
      <c r="W133" s="243" t="inlineStr">
        <is>
          <t>220-25-К/26</t>
        </is>
      </c>
      <c r="X133" s="243" t="inlineStr">
        <is>
          <t>14.00 ± 1.40 (I)</t>
        </is>
      </c>
      <c r="Y133" s="243" t="inlineStr">
        <is>
          <t>12.60 – 15.39 %</t>
        </is>
      </c>
      <c r="Z133" s="243" t="inlineStr">
        <is>
          <t>PUM_THC14 : CBD1</t>
        </is>
      </c>
      <c r="AA133" s="243" t="inlineStr">
        <is>
          <t>QCSP_001_PUM-I_v.01</t>
        </is>
      </c>
      <c r="AB133" s="252" t="inlineStr">
        <is>
          <t>for review — replaces the issued QCSP_001_PUM-I_v.01 (was PUM_THC14 : CBD1, 12.60 – 15.40 %); now PUM_THC14 : CBD1 12.60 – 15.39 %</t>
        </is>
      </c>
      <c r="AC133" s="246" t="inlineStr"/>
    </row>
    <row r="134">
      <c r="A134" s="243">
        <f>IF(OR(C134="yes",C134="allocated"),COUNT(A$1:A133)+1,"")</f>
        <v/>
      </c>
      <c r="B134" s="244">
        <f>IF(A134&lt;&gt;"","CoQ-PP_26-"&amp;TEXT(A134,"000"),"— at issue —")</f>
        <v/>
      </c>
      <c r="C134" s="249" t="inlineStr">
        <is>
          <t>yes</t>
        </is>
      </c>
      <c r="D134" s="245">
        <f>IF(OR(A134="",C134="allocated"),"",MAX(E134,IF(ISNUMBER(I134),I134,0),IFERROR(IF(ISNUMBER(INDEX('iCoA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iCoA-PP_26-152 of 17.08.2026</t>
        </is>
      </c>
      <c r="U134" s="243">
        <f>IFERROR(INDEX('CoQ Register'!$B:$B,MATCH("P060282|I",'CoQ Register'!$S:$S,0)),"— initial certificate not on the register —")</f>
        <v/>
      </c>
      <c r="V134" s="251" t="n">
        <v>19.73</v>
      </c>
      <c r="W134" s="243" t="inlineStr">
        <is>
          <t>220-26-К/26</t>
        </is>
      </c>
      <c r="X134" s="243" t="inlineStr">
        <is>
          <t>18.00 ± 1.80 (II)</t>
        </is>
      </c>
      <c r="Y134" s="243" t="inlineStr">
        <is>
          <t>16.20 – 19.79 %</t>
        </is>
      </c>
      <c r="Z134" s="243" t="inlineStr">
        <is>
          <t>SCR_THC18 : CBD1</t>
        </is>
      </c>
      <c r="AA134" s="243" t="inlineStr">
        <is>
          <t>QCSP_001_SCR-II_v.01</t>
        </is>
      </c>
      <c r="AB134" s="252" t="inlineStr">
        <is>
          <t>for review — replaces the issued QCSP_001_SCR-II_v.01 (was SCR_THC18 : CBD1, 16.20 – 19.80 %); now SCR_THC18 : CBD1 16.20 – 19.79 %</t>
        </is>
      </c>
      <c r="AC134" s="246" t="inlineStr"/>
    </row>
    <row r="135">
      <c r="A135" s="243">
        <f>IF(OR(C135="yes",C135="allocated"),COUNT(A$1:A134)+1,"")</f>
        <v/>
      </c>
      <c r="B135" s="244">
        <f>IF(A135&lt;&gt;"","CoQ-PP_26-"&amp;TEXT(A135,"000"),"— at issue —")</f>
        <v/>
      </c>
      <c r="C135" s="249" t="inlineStr">
        <is>
          <t>yes</t>
        </is>
      </c>
      <c r="D135" s="245">
        <f>IF(OR(A135="",C135="allocated"),"",MAX(E135,IF(ISNUMBER(I135),I135,0),IFERROR(IF(ISNUMBER(INDEX('iCoA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iCoA-PP_26-153 of 17.08.2026</t>
        </is>
      </c>
      <c r="U135" s="243">
        <f>IFERROR(INDEX('CoQ Register'!$B:$B,MATCH("P060082|I",'CoQ Register'!$S:$S,0)),"— initial certificate not on the register —")</f>
        <v/>
      </c>
      <c r="V135" s="251" t="n">
        <v>10.39</v>
      </c>
      <c r="W135" s="243" t="inlineStr">
        <is>
          <t>220-27-К/26</t>
        </is>
      </c>
      <c r="X135" s="243" t="inlineStr">
        <is>
          <t>10.00 ± 1.00 (II)</t>
        </is>
      </c>
      <c r="Y135" s="243" t="inlineStr">
        <is>
          <t>9.00 – 10.99 %</t>
        </is>
      </c>
      <c r="Z135" s="243" t="inlineStr">
        <is>
          <t>SJ_THC10 : CBD1</t>
        </is>
      </c>
      <c r="AA135" s="243" t="inlineStr">
        <is>
          <t>QCSP_001_SJ-II_v.01</t>
        </is>
      </c>
      <c r="AB135" s="252" t="inlineStr">
        <is>
          <t>for review — replaces the issued QCSP_001_SJ-II_v.01 (was SJ_THC10 : CBD1, 9.00 – 11.00 %); now SJ_THC10 : CBD1 9.00 – 10.99 %</t>
        </is>
      </c>
      <c r="AC135" s="246" t="inlineStr"/>
    </row>
    <row r="136">
      <c r="A136" s="243">
        <f>IF(OR(C136="yes",C136="allocated"),COUNT(A$1:A135)+1,"")</f>
        <v/>
      </c>
      <c r="B136" s="244">
        <f>IF(A136&lt;&gt;"","CoQ-PP_26-"&amp;TEXT(A136,"000"),"— at issue —")</f>
        <v/>
      </c>
      <c r="C136" s="249" t="inlineStr">
        <is>
          <t>yes</t>
        </is>
      </c>
      <c r="D136" s="245">
        <f>IF(OR(A136="",C136="allocated"),"",MAX(E136,IF(ISNUMBER(I136),I136,0),IFERROR(IF(ISNUMBER(INDEX('iCoA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iCoA-PP_26-154 of 17.08.2026</t>
        </is>
      </c>
      <c r="U136" s="243">
        <f>IFERROR(INDEX('CoQ Register'!$B:$B,MATCH("P060012|I",'CoQ Register'!$S:$S,0)),"— initial certificate not on the register —")</f>
        <v/>
      </c>
      <c r="V136" s="251" t="n">
        <v>23.48</v>
      </c>
      <c r="W136" s="243" t="inlineStr">
        <is>
          <t>220-28-К/26</t>
        </is>
      </c>
      <c r="X136" s="243" t="inlineStr">
        <is>
          <t>26.00 ± 2.60 (I)</t>
        </is>
      </c>
      <c r="Y136" s="243" t="inlineStr">
        <is>
          <t>23.40 – 28.59 %</t>
        </is>
      </c>
      <c r="Z136" s="243" t="inlineStr">
        <is>
          <t>WC_THC26 : CBD1</t>
        </is>
      </c>
      <c r="AA136" s="243" t="inlineStr">
        <is>
          <t>QCSP_001_WC-I_v.01</t>
        </is>
      </c>
      <c r="AB136" s="252" t="inlineStr">
        <is>
          <t>for review — replaces the issued QCSP_001_WC-I_v.01 (was WC_THC22 : CBD1, 19.80 – 24.20 %); now WC_THC26 : CBD1 23.40 – 28.59 %</t>
        </is>
      </c>
      <c r="AC136" s="246" t="inlineStr"/>
    </row>
    <row r="137">
      <c r="A137" s="243">
        <f>IF(OR(C137="yes",C137="allocated"),COUNT(A$1:A136)+1,"")</f>
        <v/>
      </c>
      <c r="B137" s="244">
        <f>IF(A137&lt;&gt;"","CoQ-PP_26-"&amp;TEXT(A137,"000"),"— at issue —")</f>
        <v/>
      </c>
      <c r="C137" s="253" t="inlineStr">
        <is>
          <t>allocated</t>
        </is>
      </c>
      <c r="D137" s="245" t="n">
        <v>46286</v>
      </c>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3">
        <f>IFERROR(INDEX('CoQ Register'!$B:$B,MATCH("P060052|I",'CoQ Register'!$S:$S,0)),"— initial certificate not on the register —")</f>
        <v/>
      </c>
      <c r="V137" s="251"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IF(OR(C138="yes",C138="allocated"),COUNT(A$1:A137)+1,"")</f>
        <v/>
      </c>
      <c r="B138" s="244">
        <f>IF(A138&lt;&gt;"","CoQ-PP_26-"&amp;TEXT(A138,"000"),"— at issue —")</f>
        <v/>
      </c>
      <c r="C138" s="253" t="inlineStr">
        <is>
          <t>allocated</t>
        </is>
      </c>
      <c r="D138" s="245" t="n">
        <v>46286</v>
      </c>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3">
        <f>IFERROR(INDEX('CoQ Register'!$B:$B,MATCH("P050122|I",'CoQ Register'!$S:$S,0)),"— initial certificate not on the register —")</f>
        <v/>
      </c>
      <c r="V138" s="251" t="n">
        <v>26.1</v>
      </c>
      <c r="W138" s="243" t="inlineStr">
        <is>
          <t>227-29-К/26</t>
        </is>
      </c>
      <c r="X138" s="243" t="inlineStr">
        <is>
          <t>28.00 ± 1.93 (I)</t>
        </is>
      </c>
      <c r="Y138" s="243" t="inlineStr">
        <is>
          <t>26.07 – 29.92 %</t>
        </is>
      </c>
      <c r="Z138" s="243" t="inlineStr">
        <is>
          <t>BSS_THC28 : CBD1</t>
        </is>
      </c>
      <c r="AA138" s="243" t="inlineStr">
        <is>
          <t>QCSP_001_BSS-I_v.01</t>
        </is>
      </c>
      <c r="AB138" s="252" t="inlineStr">
        <is>
          <t>for review — replaces the issued QCSP_001_BSS-I_v.01 (was BSS_THC24 : CBD1, 22.01 – 25.99 %); now BSS_THC28 : CBD1 26.07 – 29.92 %</t>
        </is>
      </c>
      <c r="AC138" s="246" t="inlineStr"/>
    </row>
    <row r="139">
      <c r="A139" s="243">
        <f>IF(OR(C139="yes",C139="allocated"),COUNT(A$1:A138)+1,"")</f>
        <v/>
      </c>
      <c r="B139" s="244">
        <f>IF(A139&lt;&gt;"","CoQ-PP_26-"&amp;TEXT(A139,"000"),"— at issue —")</f>
        <v/>
      </c>
      <c r="C139" s="253" t="inlineStr">
        <is>
          <t>allocated</t>
        </is>
      </c>
      <c r="D139" s="245" t="n">
        <v>46286</v>
      </c>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3">
        <f>IFERROR(INDEX('CoQ Register'!$B:$B,MATCH("P050142|I",'CoQ Register'!$S:$S,0)),"— initial certificate not on the register —")</f>
        <v/>
      </c>
      <c r="V139" s="251" t="n">
        <v>26.69</v>
      </c>
      <c r="W139" s="243" t="inlineStr">
        <is>
          <t>227-1-К/26</t>
        </is>
      </c>
      <c r="X139" s="243" t="inlineStr">
        <is>
          <t>28.00 ± 1.93 (I)</t>
        </is>
      </c>
      <c r="Y139" s="243" t="inlineStr">
        <is>
          <t>26.07 – 29.92 %</t>
        </is>
      </c>
      <c r="Z139" s="243" t="inlineStr">
        <is>
          <t>BSS_THC28 : CBD1</t>
        </is>
      </c>
      <c r="AA139" s="243" t="inlineStr">
        <is>
          <t>QCSP_001_BSS-I_v.01</t>
        </is>
      </c>
      <c r="AB139" s="252" t="inlineStr">
        <is>
          <t>for review — replaces the issued QCSP_001_BSS-I_v.01 (was BSS_THC24 : CBD1, 22.01 – 25.99 %); now BSS_THC28 : CBD1 26.07 – 29.92 %</t>
        </is>
      </c>
      <c r="AC139" s="246" t="inlineStr"/>
    </row>
    <row r="140">
      <c r="A140" s="243">
        <f>IF(OR(C140="yes",C140="allocated"),COUNT(A$1:A139)+1,"")</f>
        <v/>
      </c>
      <c r="B140" s="244">
        <f>IF(A140&lt;&gt;"","CoQ-PP_26-"&amp;TEXT(A140,"000"),"— at issue —")</f>
        <v/>
      </c>
      <c r="C140" s="253" t="inlineStr">
        <is>
          <t>allocated</t>
        </is>
      </c>
      <c r="D140" s="245" t="n">
        <v>46286</v>
      </c>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3">
        <f>IFERROR(INDEX('CoQ Register'!$B:$B,MATCH("P060272|I",'CoQ Register'!$S:$S,0)),"— initial certificate not on the register —")</f>
        <v/>
      </c>
      <c r="V140" s="251"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IF(OR(C141="yes",C141="allocated"),COUNT(A$1:A140)+1,"")</f>
        <v/>
      </c>
      <c r="B141" s="244">
        <f>IF(A141&lt;&gt;"","CoQ-PP_26-"&amp;TEXT(A141,"000"),"— at issue —")</f>
        <v/>
      </c>
      <c r="C141" s="253" t="inlineStr">
        <is>
          <t>allocated</t>
        </is>
      </c>
      <c r="D141" s="245" t="n">
        <v>46286</v>
      </c>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3">
        <f>IFERROR(INDEX('CoQ Register'!$B:$B,MATCH("P050172|I",'CoQ Register'!$S:$S,0)),"— initial certificate not on the register —")</f>
        <v/>
      </c>
      <c r="V141" s="251" t="n">
        <v>21.3</v>
      </c>
      <c r="W141" s="243" t="inlineStr">
        <is>
          <t>227-28-К/26</t>
        </is>
      </c>
      <c r="X141" s="243" t="inlineStr">
        <is>
          <t>20.00 ± 1.60 (III)</t>
        </is>
      </c>
      <c r="Y141" s="243" t="inlineStr">
        <is>
          <t>18.40 – 21.59 %</t>
        </is>
      </c>
      <c r="Z141" s="243" t="inlineStr">
        <is>
          <t>CJ_THC20 : CBD1</t>
        </is>
      </c>
      <c r="AA141" s="243" t="inlineStr">
        <is>
          <t>QCSP_001_CJ-III_v.01</t>
        </is>
      </c>
      <c r="AB141" s="252" t="inlineStr">
        <is>
          <t>for review — replaces the issued QCSP_001_CJ-III_v.01 (was CJ_THC24 : CBD1, 23.00 – 25.00 %); now CJ_THC20 : CBD1 18.40 – 21.59 %</t>
        </is>
      </c>
      <c r="AC141" s="246" t="inlineStr"/>
    </row>
    <row r="142">
      <c r="A142" s="243">
        <f>IF(OR(C142="yes",C142="allocated"),COUNT(A$1:A141)+1,"")</f>
        <v/>
      </c>
      <c r="B142" s="244">
        <f>IF(A142&lt;&gt;"","CoQ-PP_26-"&amp;TEXT(A142,"000"),"— at issue —")</f>
        <v/>
      </c>
      <c r="C142" s="253" t="inlineStr">
        <is>
          <t>allocated</t>
        </is>
      </c>
      <c r="D142" s="245" t="n">
        <v>46286</v>
      </c>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3">
        <f>IFERROR(INDEX('CoQ Register'!$B:$B,MATCH("P050252|I",'CoQ Register'!$S:$S,0)),"— initial certificate not on the register —")</f>
        <v/>
      </c>
      <c r="V142" s="251" t="n">
        <v>28.18</v>
      </c>
      <c r="W142" s="243" t="inlineStr">
        <is>
          <t>227-27-К/26</t>
        </is>
      </c>
      <c r="X142" s="243" t="inlineStr">
        <is>
          <t>28.00 ± 1.60 (I)</t>
        </is>
      </c>
      <c r="Y142" s="243" t="inlineStr">
        <is>
          <t>26.40 – 29.59 %</t>
        </is>
      </c>
      <c r="Z142" s="243" t="inlineStr">
        <is>
          <t>CJ_THC28 : CBD1</t>
        </is>
      </c>
      <c r="AA142" s="243" t="inlineStr">
        <is>
          <t>QCSP_001_CJ-I_v.01</t>
        </is>
      </c>
      <c r="AB142" s="252" t="inlineStr">
        <is>
          <t>for review — replaces the issued QCSP_001_CJ-I_v.01 (was CJ_THC28 : CBD1, 27.00 – 29.00 %); now CJ_THC28 : CBD1 26.40 – 29.59 %</t>
        </is>
      </c>
      <c r="AC142" s="246" t="inlineStr"/>
    </row>
    <row r="143">
      <c r="A143" s="243">
        <f>IF(OR(C143="yes",C143="allocated"),COUNT(A$1:A142)+1,"")</f>
        <v/>
      </c>
      <c r="B143" s="244">
        <f>IF(A143&lt;&gt;"","CoQ-PP_26-"&amp;TEXT(A143,"000"),"— at issue —")</f>
        <v/>
      </c>
      <c r="C143" s="253" t="inlineStr">
        <is>
          <t>allocated</t>
        </is>
      </c>
      <c r="D143" s="245" t="n">
        <v>46286</v>
      </c>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3">
        <f>IFERROR(INDEX('CoQ Register'!$B:$B,MATCH("CJ1024|I",'CoQ Register'!$S:$S,0)),"— initial certificate not on the register —")</f>
        <v/>
      </c>
      <c r="V143" s="251" t="n">
        <v>28.12</v>
      </c>
      <c r="W143" s="243" t="inlineStr">
        <is>
          <t>227-26-К/26</t>
        </is>
      </c>
      <c r="X143" s="243" t="inlineStr">
        <is>
          <t>28.00 ± 1.60 (I)</t>
        </is>
      </c>
      <c r="Y143" s="243" t="inlineStr">
        <is>
          <t>26.40 – 29.59 %</t>
        </is>
      </c>
      <c r="Z143" s="243" t="inlineStr">
        <is>
          <t>CJ_THC28 : CBD1</t>
        </is>
      </c>
      <c r="AA143" s="243" t="inlineStr">
        <is>
          <t>QCSP_001_CJ-I_v.01</t>
        </is>
      </c>
      <c r="AB143" s="252" t="inlineStr">
        <is>
          <t>for review — replaces the issued QCSP_001_CJ-I_v.01 (was CJ_THC28 : CBD1, 27.00 – 29.00 %); now CJ_THC28 : CBD1 26.40 – 29.59 %</t>
        </is>
      </c>
      <c r="AC143" s="246" t="inlineStr"/>
    </row>
    <row r="144">
      <c r="A144" s="243">
        <f>IF(OR(C144="yes",C144="allocated"),COUNT(A$1:A143)+1,"")</f>
        <v/>
      </c>
      <c r="B144" s="244">
        <f>IF(A144&lt;&gt;"","CoQ-PP_26-"&amp;TEXT(A144,"000"),"— at issue —")</f>
        <v/>
      </c>
      <c r="C144" s="253" t="inlineStr">
        <is>
          <t>allocated</t>
        </is>
      </c>
      <c r="D144" s="245" t="n">
        <v>46286</v>
      </c>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3">
        <f>IFERROR(INDEX('CoQ Register'!$B:$B,MATCH("P060432|I",'CoQ Register'!$S:$S,0)),"— initial certificate not on the register —")</f>
        <v/>
      </c>
      <c r="V144" s="251"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IF(OR(C145="yes",C145="allocated"),COUNT(A$1:A144)+1,"")</f>
        <v/>
      </c>
      <c r="B145" s="244">
        <f>IF(A145&lt;&gt;"","CoQ-PP_26-"&amp;TEXT(A145,"000"),"— at issue —")</f>
        <v/>
      </c>
      <c r="C145" s="253" t="inlineStr">
        <is>
          <t>allocated</t>
        </is>
      </c>
      <c r="D145" s="245" t="n">
        <v>46286</v>
      </c>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3">
        <f>IFERROR(INDEX('CoQ Register'!$B:$B,MATCH("P060392|I",'CoQ Register'!$S:$S,0)),"— initial certificate not on the register —")</f>
        <v/>
      </c>
      <c r="V145" s="251" t="n">
        <v>19.31</v>
      </c>
      <c r="W145" s="243" t="inlineStr">
        <is>
          <t>227-23-К/26</t>
        </is>
      </c>
      <c r="X145" s="243" t="inlineStr">
        <is>
          <t>18.00 ± 1.80 (II)</t>
        </is>
      </c>
      <c r="Y145" s="243" t="inlineStr">
        <is>
          <t>16.20 – 19.79 %</t>
        </is>
      </c>
      <c r="Z145" s="243" t="inlineStr">
        <is>
          <t>FB_THC18 : CBD1</t>
        </is>
      </c>
      <c r="AA145" s="243" t="inlineStr">
        <is>
          <t>QCSP_001_FB-II_v.01</t>
        </is>
      </c>
      <c r="AB145" s="252" t="inlineStr">
        <is>
          <t>for review — replaces the issued QCSP_001_FB-II_v.01 (was FB_THC18 : CBD1, 17.15 – 18.85 %); now FB_THC18 : CBD1 16.20 – 19.79 %</t>
        </is>
      </c>
      <c r="AC145" s="246" t="inlineStr"/>
    </row>
    <row r="146">
      <c r="A146" s="243">
        <f>IF(OR(C146="yes",C146="allocated"),COUNT(A$1:A145)+1,"")</f>
        <v/>
      </c>
      <c r="B146" s="244">
        <f>IF(A146&lt;&gt;"","CoQ-PP_26-"&amp;TEXT(A146,"000"),"— at issue —")</f>
        <v/>
      </c>
      <c r="C146" s="253" t="inlineStr">
        <is>
          <t>allocated</t>
        </is>
      </c>
      <c r="D146" s="245" t="n">
        <v>46286</v>
      </c>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3">
        <f>IFERROR(INDEX('CoQ Register'!$B:$B,MATCH("P060292|I",'CoQ Register'!$S:$S,0)),"— initial certificate not on the register —")</f>
        <v/>
      </c>
      <c r="V146" s="251" t="n">
        <v>18.75</v>
      </c>
      <c r="W146" s="243" t="inlineStr">
        <is>
          <t>227-22-К/26</t>
        </is>
      </c>
      <c r="X146" s="243" t="inlineStr">
        <is>
          <t>18.00 ± 1.80 (II)</t>
        </is>
      </c>
      <c r="Y146" s="243" t="inlineStr">
        <is>
          <t>16.20 – 19.79 %</t>
        </is>
      </c>
      <c r="Z146" s="243" t="inlineStr">
        <is>
          <t>FB_THC18 : CBD1</t>
        </is>
      </c>
      <c r="AA146" s="243" t="inlineStr">
        <is>
          <t>QCSP_001_FB-II_v.01</t>
        </is>
      </c>
      <c r="AB146" s="252" t="inlineStr">
        <is>
          <t>for review — replaces the issued QCSP_001_FB-II_v.01 (was FB_THC18 : CBD1, 17.15 – 18.85 %); now FB_THC18 : CBD1 16.20 – 19.79 %</t>
        </is>
      </c>
      <c r="AC146" s="246" t="inlineStr"/>
    </row>
    <row r="147">
      <c r="A147" s="243">
        <f>IF(OR(C147="yes",C147="allocated"),COUNT(A$1:A146)+1,"")</f>
        <v/>
      </c>
      <c r="B147" s="244">
        <f>IF(A147&lt;&gt;"","CoQ-PP_26-"&amp;TEXT(A147,"000"),"— at issue —")</f>
        <v/>
      </c>
      <c r="C147" s="253" t="inlineStr">
        <is>
          <t>allocated</t>
        </is>
      </c>
      <c r="D147" s="245" t="n">
        <v>46286</v>
      </c>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3">
        <f>IFERROR(INDEX('CoQ Register'!$B:$B,MATCH("P060302|I",'CoQ Register'!$S:$S,0)),"— initial certificate not on the register —")</f>
        <v/>
      </c>
      <c r="V147" s="251" t="n">
        <v>19.16</v>
      </c>
      <c r="W147" s="243" t="inlineStr">
        <is>
          <t>227-21-К/26</t>
        </is>
      </c>
      <c r="X147" s="243" t="inlineStr">
        <is>
          <t>18.00 ± 1.77 (I)</t>
        </is>
      </c>
      <c r="Y147" s="243" t="inlineStr">
        <is>
          <t>16.23 – 19.76 %</t>
        </is>
      </c>
      <c r="Z147" s="243" t="inlineStr">
        <is>
          <t>GG_THC18 : CBD1</t>
        </is>
      </c>
      <c r="AA147" s="243" t="inlineStr">
        <is>
          <t>QCSP_001_GG-I_v.01</t>
        </is>
      </c>
      <c r="AB147" s="252" t="inlineStr">
        <is>
          <t>for review — replaces the issued QCSP_001_GG-I_v.01 (was GG_THC18 : CBD1, 17.01 – 18.99 %); now GG_THC18 : CBD1 16.23 – 19.76 %</t>
        </is>
      </c>
      <c r="AC147" s="246" t="inlineStr"/>
    </row>
    <row r="148">
      <c r="A148" s="243">
        <f>IF(OR(C148="yes",C148="allocated"),COUNT(A$1:A147)+1,"")</f>
        <v/>
      </c>
      <c r="B148" s="244">
        <f>IF(A148&lt;&gt;"","CoQ-PP_26-"&amp;TEXT(A148,"000"),"— at issue —")</f>
        <v/>
      </c>
      <c r="C148" s="253" t="inlineStr">
        <is>
          <t>allocated</t>
        </is>
      </c>
      <c r="D148" s="245" t="n">
        <v>46286</v>
      </c>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3">
        <f>IFERROR(INDEX('CoQ Register'!$B:$B,MATCH("P050012|I",'CoQ Register'!$S:$S,0)),"— initial certificate not on the register —")</f>
        <v/>
      </c>
      <c r="V148" s="251" t="n">
        <v>17.76</v>
      </c>
      <c r="W148" s="243" t="inlineStr">
        <is>
          <t>227-19-К/26</t>
        </is>
      </c>
      <c r="X148" s="243" t="inlineStr">
        <is>
          <t>18.00 ± 1.77 (I)</t>
        </is>
      </c>
      <c r="Y148" s="243" t="inlineStr">
        <is>
          <t>16.23 – 19.76 %</t>
        </is>
      </c>
      <c r="Z148" s="243" t="inlineStr">
        <is>
          <t>GG_THC18 : CBD1</t>
        </is>
      </c>
      <c r="AA148" s="243" t="inlineStr">
        <is>
          <t>QCSP_001_GG-I_v.01</t>
        </is>
      </c>
      <c r="AB148" s="252" t="inlineStr">
        <is>
          <t>for review — replaces the issued QCSP_001_GG-I_v.01 (was GG_THC18 : CBD1, 17.01 – 18.99 %); now GG_THC18 : CBD1 16.23 – 19.76 %</t>
        </is>
      </c>
      <c r="AC148" s="246" t="inlineStr"/>
    </row>
    <row r="149">
      <c r="A149" s="243">
        <f>IF(OR(C149="yes",C149="allocated"),COUNT(A$1:A148)+1,"")</f>
        <v/>
      </c>
      <c r="B149" s="244">
        <f>IF(A149&lt;&gt;"","CoQ-PP_26-"&amp;TEXT(A149,"000"),"— at issue —")</f>
        <v/>
      </c>
      <c r="C149" s="253" t="inlineStr">
        <is>
          <t>allocated</t>
        </is>
      </c>
      <c r="D149" s="245" t="n">
        <v>46286</v>
      </c>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3">
        <f>IFERROR(INDEX('CoQ Register'!$B:$B,MATCH("P060252|I",'CoQ Register'!$S:$S,0)),"— initial certificate not on the register —")</f>
        <v/>
      </c>
      <c r="V149" s="251" t="n">
        <v>18.64</v>
      </c>
      <c r="W149" s="243" t="inlineStr">
        <is>
          <t>227-20-К/26</t>
        </is>
      </c>
      <c r="X149" s="243" t="inlineStr">
        <is>
          <t>18.00 ± 1.77 (I)</t>
        </is>
      </c>
      <c r="Y149" s="243" t="inlineStr">
        <is>
          <t>16.23 – 19.76 %</t>
        </is>
      </c>
      <c r="Z149" s="243" t="inlineStr">
        <is>
          <t>GG_THC18 : CBD1</t>
        </is>
      </c>
      <c r="AA149" s="243" t="inlineStr">
        <is>
          <t>QCSP_001_GG-I_v.01</t>
        </is>
      </c>
      <c r="AB149" s="252" t="inlineStr">
        <is>
          <t>for review — replaces the issued QCSP_001_GG-I_v.01 (was GG_THC18 : CBD1, 17.01 – 18.99 %); now GG_THC18 : CBD1 16.23 – 19.76 %</t>
        </is>
      </c>
      <c r="AC149" s="246" t="inlineStr"/>
    </row>
    <row r="150">
      <c r="A150" s="243">
        <f>IF(OR(C150="yes",C150="allocated"),COUNT(A$1:A149)+1,"")</f>
        <v/>
      </c>
      <c r="B150" s="244">
        <f>IF(A150&lt;&gt;"","CoQ-PP_26-"&amp;TEXT(A150,"000"),"— at issue —")</f>
        <v/>
      </c>
      <c r="C150" s="253" t="inlineStr">
        <is>
          <t>allocated</t>
        </is>
      </c>
      <c r="D150" s="245" t="n">
        <v>46286</v>
      </c>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3">
        <f>IFERROR(INDEX('CoQ Register'!$B:$B,MATCH("P050202|I",'CoQ Register'!$S:$S,0)),"— initial certificate not on the register —")</f>
        <v/>
      </c>
      <c r="V150" s="251" t="n">
        <v>25.97</v>
      </c>
      <c r="W150" s="243" t="inlineStr">
        <is>
          <t>227-18-К/26</t>
        </is>
      </c>
      <c r="X150" s="243" t="inlineStr">
        <is>
          <t>24.00 ± 2.00 (II)</t>
        </is>
      </c>
      <c r="Y150" s="243" t="inlineStr">
        <is>
          <t>22.00 – 25.99 %</t>
        </is>
      </c>
      <c r="Z150" s="243" t="inlineStr">
        <is>
          <t>GP_THC24 : CBD1</t>
        </is>
      </c>
      <c r="AA150" s="243" t="inlineStr">
        <is>
          <t>QCSP_001_GP-II_v.01</t>
        </is>
      </c>
      <c r="AB150" s="252" t="inlineStr">
        <is>
          <t>for review — replaces the issued QCSP_001_GP-II_v.01 (was GP_THC26 : CBD1, 25.40 – 26.60 %); now GP_THC24 : CBD1 22.00 – 25.99 %</t>
        </is>
      </c>
      <c r="AC150" s="246" t="inlineStr"/>
    </row>
    <row r="151">
      <c r="A151" s="243">
        <f>IF(OR(C151="yes",C151="allocated"),COUNT(A$1:A150)+1,"")</f>
        <v/>
      </c>
      <c r="B151" s="244">
        <f>IF(A151&lt;&gt;"","CoQ-PP_26-"&amp;TEXT(A151,"000"),"— at issue —")</f>
        <v/>
      </c>
      <c r="C151" s="253" t="inlineStr">
        <is>
          <t>allocated</t>
        </is>
      </c>
      <c r="D151" s="245" t="n">
        <v>46286</v>
      </c>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3">
        <f>IFERROR(INDEX('CoQ Register'!$B:$B,MATCH("P050292|I",'CoQ Register'!$S:$S,0)),"— initial certificate not on the register —")</f>
        <v/>
      </c>
      <c r="V151" s="251" t="n">
        <v>26.54</v>
      </c>
      <c r="W151" s="243" t="inlineStr">
        <is>
          <t>227-17-К/26</t>
        </is>
      </c>
      <c r="X151" s="243" t="inlineStr">
        <is>
          <t>28.00 ± 2.00 (I)</t>
        </is>
      </c>
      <c r="Y151" s="243" t="inlineStr">
        <is>
          <t>26.00 – 29.99 %</t>
        </is>
      </c>
      <c r="Z151" s="243" t="inlineStr">
        <is>
          <t>GP_THC28 : CBD1</t>
        </is>
      </c>
      <c r="AA151" s="243" t="inlineStr">
        <is>
          <t>QCSP_001_GP-I_v.01</t>
        </is>
      </c>
      <c r="AB151" s="252" t="inlineStr">
        <is>
          <t>for review — replaces the issued QCSP_001_GP-I_v.01 (was GP_THC28 : CBD1, 26.61 – 29.39 %); now GP_THC28 : CBD1 26.00 – 29.99 %</t>
        </is>
      </c>
      <c r="AC151" s="246" t="inlineStr"/>
    </row>
    <row r="152">
      <c r="A152" s="243">
        <f>IF(OR(C152="yes",C152="allocated"),COUNT(A$1:A151)+1,"")</f>
        <v/>
      </c>
      <c r="B152" s="244">
        <f>IF(A152&lt;&gt;"","CoQ-PP_26-"&amp;TEXT(A152,"000"),"— at issue —")</f>
        <v/>
      </c>
      <c r="C152" s="253" t="inlineStr">
        <is>
          <t>allocated</t>
        </is>
      </c>
      <c r="D152" s="245" t="n">
        <v>46286</v>
      </c>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3">
        <f>IFERROR(INDEX('CoQ Register'!$B:$B,MATCH("P050102|I",'CoQ Register'!$S:$S,0)),"— initial certificate not on the register —")</f>
        <v/>
      </c>
      <c r="V152" s="251" t="n">
        <v>28.68</v>
      </c>
      <c r="W152" s="243" t="inlineStr">
        <is>
          <t>227-2-К/26</t>
        </is>
      </c>
      <c r="X152" s="243" t="inlineStr">
        <is>
          <t>28.00 ± 2.00 (I)</t>
        </is>
      </c>
      <c r="Y152" s="243" t="inlineStr">
        <is>
          <t>26.00 – 29.99 %</t>
        </is>
      </c>
      <c r="Z152" s="243" t="inlineStr">
        <is>
          <t>GP_THC28 : CBD1</t>
        </is>
      </c>
      <c r="AA152" s="243" t="inlineStr">
        <is>
          <t>QCSP_001_GP-I_v.01</t>
        </is>
      </c>
      <c r="AB152" s="252" t="inlineStr">
        <is>
          <t>for review — replaces the issued QCSP_001_GP-I_v.01 (was GP_THC28 : CBD1, 26.61 – 29.39 %); now GP_THC28 : CBD1 26.00 – 29.99 %</t>
        </is>
      </c>
      <c r="AC152" s="246" t="inlineStr"/>
    </row>
    <row r="153">
      <c r="A153" s="243">
        <f>IF(OR(C153="yes",C153="allocated"),COUNT(A$1:A152)+1,"")</f>
        <v/>
      </c>
      <c r="B153" s="244">
        <f>IF(A153&lt;&gt;"","CoQ-PP_26-"&amp;TEXT(A153,"000"),"— at issue —")</f>
        <v/>
      </c>
      <c r="C153" s="253" t="inlineStr">
        <is>
          <t>allocated</t>
        </is>
      </c>
      <c r="D153" s="245" t="n">
        <v>46286</v>
      </c>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3">
        <f>IFERROR(INDEX('CoQ Register'!$B:$B,MATCH("P060142|I",'CoQ Register'!$S:$S,0)),"— initial certificate not on the register —")</f>
        <v/>
      </c>
      <c r="V153" s="251"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IF(OR(C154="yes",C154="allocated"),COUNT(A$1:A153)+1,"")</f>
        <v/>
      </c>
      <c r="B154" s="244">
        <f>IF(A154&lt;&gt;"","CoQ-PP_26-"&amp;TEXT(A154,"000"),"— at issue —")</f>
        <v/>
      </c>
      <c r="C154" s="253" t="inlineStr">
        <is>
          <t>allocated</t>
        </is>
      </c>
      <c r="D154" s="245" t="n">
        <v>46286</v>
      </c>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3">
        <f>IFERROR(INDEX('CoQ Register'!$B:$B,MATCH("P060202|I",'CoQ Register'!$S:$S,0)),"— initial certificate not on the register —")</f>
        <v/>
      </c>
      <c r="V154" s="251" t="n">
        <v>23.85</v>
      </c>
      <c r="W154" s="243" t="inlineStr">
        <is>
          <t>227-14-К/26</t>
        </is>
      </c>
      <c r="X154" s="243" t="inlineStr">
        <is>
          <t>22.00 ± 2.20 (II)</t>
        </is>
      </c>
      <c r="Y154" s="243" t="inlineStr">
        <is>
          <t>19.80 – 24.19 %</t>
        </is>
      </c>
      <c r="Z154" s="243" t="inlineStr">
        <is>
          <t>J31_THC22 : CBD1</t>
        </is>
      </c>
      <c r="AA154" s="243" t="inlineStr">
        <is>
          <t>QCSP_001_J31-II_v.01</t>
        </is>
      </c>
      <c r="AB154" s="252" t="inlineStr">
        <is>
          <t>for review — replaces the issued QCSP_001_J31-II_v.01 (was J31_THC18 : CBD1, 16.20 – 19.80 %); now J31_THC22 : CBD1 19.80 – 24.19 %</t>
        </is>
      </c>
      <c r="AC154" s="246" t="inlineStr"/>
    </row>
    <row r="155">
      <c r="A155" s="243">
        <f>IF(OR(C155="yes",C155="allocated"),COUNT(A$1:A154)+1,"")</f>
        <v/>
      </c>
      <c r="B155" s="244">
        <f>IF(A155&lt;&gt;"","CoQ-PP_26-"&amp;TEXT(A155,"000"),"— at issue —")</f>
        <v/>
      </c>
      <c r="C155" s="253" t="inlineStr">
        <is>
          <t>allocated</t>
        </is>
      </c>
      <c r="D155" s="245" t="n">
        <v>46286</v>
      </c>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3">
        <f>IFERROR(INDEX('CoQ Register'!$B:$B,MATCH("P060262|I",'CoQ Register'!$S:$S,0)),"— initial certificate not on the register —")</f>
        <v/>
      </c>
      <c r="V155" s="251"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IF(OR(C156="yes",C156="allocated"),COUNT(A$1:A155)+1,"")</f>
        <v/>
      </c>
      <c r="B156" s="244">
        <f>IF(A156&lt;&gt;"","CoQ-PP_26-"&amp;TEXT(A156,"000"),"— at issue —")</f>
        <v/>
      </c>
      <c r="C156" s="253" t="inlineStr">
        <is>
          <t>allocated</t>
        </is>
      </c>
      <c r="D156" s="245" t="n">
        <v>46286</v>
      </c>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3">
        <f>IFERROR(INDEX('CoQ Register'!$B:$B,MATCH("P060312|I",'CoQ Register'!$S:$S,0)),"— initial certificate not on the register —")</f>
        <v/>
      </c>
      <c r="V156" s="251" t="n">
        <v>19.99</v>
      </c>
      <c r="W156" s="243" t="inlineStr">
        <is>
          <t>227-15-К/26</t>
        </is>
      </c>
      <c r="X156" s="243" t="inlineStr">
        <is>
          <t>22.00 ± 2.20 (I)</t>
        </is>
      </c>
      <c r="Y156" s="243" t="inlineStr">
        <is>
          <t>19.80 – 24.19 %</t>
        </is>
      </c>
      <c r="Z156" s="243" t="inlineStr">
        <is>
          <t>JD_THC22 : CBD1</t>
        </is>
      </c>
      <c r="AA156" s="243" t="inlineStr">
        <is>
          <t>QCSP_001_JD-I_v.01</t>
        </is>
      </c>
      <c r="AB156" s="252" t="inlineStr">
        <is>
          <t>for review — replaces the issued QCSP_001_JD-I_v.01 (was JD_THC20 : CBD1, 18.00 – 22.00 %); now JD_THC22 : CBD1 19.80 – 24.19 %</t>
        </is>
      </c>
      <c r="AC156" s="246" t="inlineStr"/>
    </row>
    <row r="157">
      <c r="A157" s="243">
        <f>IF(OR(C157="yes",C157="allocated"),COUNT(A$1:A156)+1,"")</f>
        <v/>
      </c>
      <c r="B157" s="244">
        <f>IF(A157&lt;&gt;"","CoQ-PP_26-"&amp;TEXT(A157,"000"),"— at issue —")</f>
        <v/>
      </c>
      <c r="C157" s="253" t="inlineStr">
        <is>
          <t>allocated</t>
        </is>
      </c>
      <c r="D157" s="245" t="n">
        <v>46286</v>
      </c>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3">
        <f>IFERROR(INDEX('CoQ Register'!$B:$B,MATCH("P050032|I",'CoQ Register'!$S:$S,0)),"— initial certificate not on the register —")</f>
        <v/>
      </c>
      <c r="V157" s="251" t="n">
        <v>17.57</v>
      </c>
      <c r="W157" s="243" t="inlineStr">
        <is>
          <t>227-12-К/26</t>
        </is>
      </c>
      <c r="X157" s="243" t="inlineStr">
        <is>
          <t>18.00 ± 1.80 (I)</t>
        </is>
      </c>
      <c r="Y157" s="243" t="inlineStr">
        <is>
          <t>16.20 – 19.79 %</t>
        </is>
      </c>
      <c r="Z157" s="243" t="inlineStr">
        <is>
          <t>MB_THC18 : CBD1</t>
        </is>
      </c>
      <c r="AA157" s="243" t="inlineStr">
        <is>
          <t>QCSP_001_MB-I_v.01</t>
        </is>
      </c>
      <c r="AB157" s="252" t="inlineStr">
        <is>
          <t>for review — replaces the issued QCSP_001_MB-I_v.01 (was MB_THC18 : CBD1, 16.20 – 19.80 %); now MB_THC18 : CBD1 16.20 – 19.79 %</t>
        </is>
      </c>
      <c r="AC157" s="246" t="inlineStr"/>
    </row>
    <row r="158">
      <c r="A158" s="243">
        <f>IF(OR(C158="yes",C158="allocated"),COUNT(A$1:A157)+1,"")</f>
        <v/>
      </c>
      <c r="B158" s="244">
        <f>IF(A158&lt;&gt;"","CoQ-PP_26-"&amp;TEXT(A158,"000"),"— at issue —")</f>
        <v/>
      </c>
      <c r="C158" s="253" t="inlineStr">
        <is>
          <t>allocated</t>
        </is>
      </c>
      <c r="D158" s="245" t="n">
        <v>46286</v>
      </c>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3">
        <f>IFERROR(INDEX('CoQ Register'!$B:$B,MATCH("P050132|I",'CoQ Register'!$S:$S,0)),"— initial certificate not on the register —")</f>
        <v/>
      </c>
      <c r="V158" s="251" t="n">
        <v>17.83</v>
      </c>
      <c r="W158" s="243" t="inlineStr">
        <is>
          <t>227-11-К/26</t>
        </is>
      </c>
      <c r="X158" s="243" t="inlineStr">
        <is>
          <t>17.00 ± 1.60 (II)</t>
        </is>
      </c>
      <c r="Y158" s="243" t="inlineStr">
        <is>
          <t>15.40 – 18.59 %</t>
        </is>
      </c>
      <c r="Z158" s="243" t="inlineStr">
        <is>
          <t>OPM_THC17 : CBD1</t>
        </is>
      </c>
      <c r="AA158" s="243" t="inlineStr">
        <is>
          <t>QCSP_001_OPM-II_v.01</t>
        </is>
      </c>
      <c r="AB158" s="252" t="inlineStr">
        <is>
          <t>for review — replaces the issued QCSP_001_OPM-II_v.01 (was OPM_THC18 : CBD1, 16.20 – 19.80 %); now OPM_THC17 : CBD1 15.40 – 18.59 %</t>
        </is>
      </c>
      <c r="AC158" s="246" t="inlineStr"/>
    </row>
    <row r="159">
      <c r="A159" s="243">
        <f>IF(OR(C159="yes",C159="allocated"),COUNT(A$1:A158)+1,"")</f>
        <v/>
      </c>
      <c r="B159" s="244">
        <f>IF(A159&lt;&gt;"","CoQ-PP_26-"&amp;TEXT(A159,"000"),"— at issue —")</f>
        <v/>
      </c>
      <c r="C159" s="253" t="inlineStr">
        <is>
          <t>allocated</t>
        </is>
      </c>
      <c r="D159" s="245" t="n">
        <v>46286</v>
      </c>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3">
        <f>IFERROR(INDEX('CoQ Register'!$B:$B,MATCH("P060222|I",'CoQ Register'!$S:$S,0)),"— initial certificate not on the register —")</f>
        <v/>
      </c>
      <c r="V159" s="251" t="n">
        <v>9.73</v>
      </c>
      <c r="W159" s="243" t="inlineStr">
        <is>
          <t>227-10-К/26</t>
        </is>
      </c>
      <c r="X159" s="243" t="inlineStr">
        <is>
          <t>10.00 ± 1.00 (IV)</t>
        </is>
      </c>
      <c r="Y159" s="243" t="inlineStr">
        <is>
          <t>9.00 – 10.99 %</t>
        </is>
      </c>
      <c r="Z159" s="243" t="inlineStr">
        <is>
          <t>OPM_THC10 : CBD1</t>
        </is>
      </c>
      <c r="AA159" s="243" t="inlineStr">
        <is>
          <t>QCSP_001_OPM-IV_v.01</t>
        </is>
      </c>
      <c r="AB159" s="252" t="inlineStr">
        <is>
          <t>for review — replaces the issued QCSP_001_OPM-IV_v.01 (was OPM_THC10 : CBD1, 9.00 – 11.00 %); now OPM_THC10 : CBD1 9.00 – 10.99 %</t>
        </is>
      </c>
      <c r="AC159" s="246" t="inlineStr"/>
    </row>
    <row r="160">
      <c r="A160" s="243">
        <f>IF(OR(C160="yes",C160="allocated"),COUNT(A$1:A159)+1,"")</f>
        <v/>
      </c>
      <c r="B160" s="244">
        <f>IF(A160&lt;&gt;"","CoQ-PP_26-"&amp;TEXT(A160,"000"),"— at issue —")</f>
        <v/>
      </c>
      <c r="C160" s="253" t="inlineStr">
        <is>
          <t>allocated</t>
        </is>
      </c>
      <c r="D160" s="245" t="n">
        <v>46286</v>
      </c>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3">
        <f>IFERROR(INDEX('CoQ Register'!$B:$B,MATCH("P050272|I",'CoQ Register'!$S:$S,0)),"— initial certificate not on the register —")</f>
        <v/>
      </c>
      <c r="V160" s="251" t="n">
        <v>12.77</v>
      </c>
      <c r="W160" s="243" t="inlineStr">
        <is>
          <t>227-9-К/26</t>
        </is>
      </c>
      <c r="X160" s="243" t="inlineStr">
        <is>
          <t>12.00 ± 1.00 (II)</t>
        </is>
      </c>
      <c r="Y160" s="243" t="inlineStr">
        <is>
          <t>11.00 – 12.99 %</t>
        </is>
      </c>
      <c r="Z160" s="243" t="inlineStr">
        <is>
          <t>PM_THC12 : CBD1</t>
        </is>
      </c>
      <c r="AA160" s="243" t="inlineStr">
        <is>
          <t>QCSP_001_PM-II_v.01</t>
        </is>
      </c>
      <c r="AB160" s="252" t="inlineStr">
        <is>
          <t>for review — replaces the issued QCSP_001_PM-II_v.01 (was PM_THC10 : CBD1, 9.00 – 11.00 %); now PM_THC12 : CBD1 11.00 – 12.99 %</t>
        </is>
      </c>
      <c r="AC160" s="246" t="inlineStr"/>
    </row>
    <row r="161">
      <c r="A161" s="243">
        <f>IF(OR(C161="yes",C161="allocated"),COUNT(A$1:A160)+1,"")</f>
        <v/>
      </c>
      <c r="B161" s="244">
        <f>IF(A161&lt;&gt;"","CoQ-PP_26-"&amp;TEXT(A161,"000"),"— at issue —")</f>
        <v/>
      </c>
      <c r="C161" s="253" t="inlineStr">
        <is>
          <t>allocated</t>
        </is>
      </c>
      <c r="D161" s="245" t="n">
        <v>46286</v>
      </c>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3">
        <f>IFERROR(INDEX('CoQ Register'!$B:$B,MATCH("P060342|I",'CoQ Register'!$S:$S,0)),"— initial certificate not on the register —")</f>
        <v/>
      </c>
      <c r="V161" s="251"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IF(OR(C162="yes",C162="allocated"),COUNT(A$1:A161)+1,"")</f>
        <v/>
      </c>
      <c r="B162" s="244">
        <f>IF(A162&lt;&gt;"","CoQ-PP_26-"&amp;TEXT(A162,"000"),"— at issue —")</f>
        <v/>
      </c>
      <c r="C162" s="253" t="inlineStr">
        <is>
          <t>allocated</t>
        </is>
      </c>
      <c r="D162" s="245" t="n">
        <v>46286</v>
      </c>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3">
        <f>IFERROR(INDEX('CoQ Register'!$B:$B,MATCH("P060442|I",'CoQ Register'!$S:$S,0)),"— initial certificate not on the register —")</f>
        <v/>
      </c>
      <c r="V162" s="251" t="n">
        <v>16.68</v>
      </c>
      <c r="W162" s="243" t="inlineStr">
        <is>
          <t>227-7-К/26</t>
        </is>
      </c>
      <c r="X162" s="243" t="inlineStr">
        <is>
          <t>18.00 ± 1.80 (II)</t>
        </is>
      </c>
      <c r="Y162" s="243" t="inlineStr">
        <is>
          <t>16.20 – 19.79 %</t>
        </is>
      </c>
      <c r="Z162" s="243" t="inlineStr">
        <is>
          <t>SCR_THC18 : CBD1</t>
        </is>
      </c>
      <c r="AA162" s="243" t="inlineStr">
        <is>
          <t>QCSP_001_SCR-II_v.01</t>
        </is>
      </c>
      <c r="AB162" s="252" t="inlineStr">
        <is>
          <t>for review — replaces the issued QCSP_001_SCR-II_v.01 (was SCR_THC18 : CBD1, 16.20 – 19.80 %); now SCR_THC18 : CBD1 16.20 – 19.79 %</t>
        </is>
      </c>
      <c r="AC162" s="246" t="inlineStr"/>
    </row>
    <row r="163">
      <c r="A163" s="243">
        <f>IF(OR(C163="yes",C163="allocated"),COUNT(A$1:A162)+1,"")</f>
        <v/>
      </c>
      <c r="B163" s="244">
        <f>IF(A163&lt;&gt;"","CoQ-PP_26-"&amp;TEXT(A163,"000"),"— at issue —")</f>
        <v/>
      </c>
      <c r="C163" s="253" t="inlineStr">
        <is>
          <t>allocated</t>
        </is>
      </c>
      <c r="D163" s="245" t="n">
        <v>46286</v>
      </c>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3">
        <f>IFERROR(INDEX('CoQ Register'!$B:$B,MATCH("P060162|I",'CoQ Register'!$S:$S,0)),"— initial certificate not on the register —")</f>
        <v/>
      </c>
      <c r="V163" s="251" t="n">
        <v>10.61</v>
      </c>
      <c r="W163" s="243" t="inlineStr">
        <is>
          <t>227-6-К/26</t>
        </is>
      </c>
      <c r="X163" s="243" t="inlineStr">
        <is>
          <t>10.00 ± 1.00 (II)</t>
        </is>
      </c>
      <c r="Y163" s="243" t="inlineStr">
        <is>
          <t>9.00 – 10.99 %</t>
        </is>
      </c>
      <c r="Z163" s="243" t="inlineStr">
        <is>
          <t>SJ_THC10 : CBD1</t>
        </is>
      </c>
      <c r="AA163" s="243" t="inlineStr">
        <is>
          <t>QCSP_001_SJ-II_v.01</t>
        </is>
      </c>
      <c r="AB163" s="252" t="inlineStr">
        <is>
          <t>for review — replaces the issued QCSP_001_SJ-II_v.01 (was SJ_THC10 : CBD1, 9.00 – 11.00 %); now SJ_THC10 : CBD1 9.00 – 10.99 %</t>
        </is>
      </c>
      <c r="AC163" s="246" t="inlineStr"/>
    </row>
    <row r="164">
      <c r="A164" s="243">
        <f>IF(OR(C164="yes",C164="allocated"),COUNT(A$1:A163)+1,"")</f>
        <v/>
      </c>
      <c r="B164" s="244">
        <f>IF(A164&lt;&gt;"","CoQ-PP_26-"&amp;TEXT(A164,"000"),"— at issue —")</f>
        <v/>
      </c>
      <c r="C164" s="253" t="inlineStr">
        <is>
          <t>allocated</t>
        </is>
      </c>
      <c r="D164" s="245" t="n">
        <v>46286</v>
      </c>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43">
        <f>IFERROR(INDEX('CoQ Register'!$B:$B,MATCH("P060192|I",'CoQ Register'!$S:$S,0)),"— initial certificate not on the register —")</f>
        <v/>
      </c>
      <c r="V164" s="251"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IF(OR(C165="yes",C165="allocated"),COUNT(A$1:A164)+1,"")</f>
        <v/>
      </c>
      <c r="B165" s="244">
        <f>IF(A165&lt;&gt;"","CoQ-PP_26-"&amp;TEXT(A165,"000"),"— at issue —")</f>
        <v/>
      </c>
      <c r="C165" s="253" t="inlineStr">
        <is>
          <t>allocated</t>
        </is>
      </c>
      <c r="D165" s="245" t="n">
        <v>46286</v>
      </c>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3">
        <f>IFERROR(INDEX('CoQ Register'!$B:$B,MATCH("P050262|I",'CoQ Register'!$S:$S,0)),"— initial certificate not on the register —")</f>
        <v/>
      </c>
      <c r="V165" s="251" t="n">
        <v>25.37</v>
      </c>
      <c r="W165" s="243" t="inlineStr">
        <is>
          <t>227-3-К/26</t>
        </is>
      </c>
      <c r="X165" s="243" t="inlineStr">
        <is>
          <t>26.00 ± 2.60 (I)</t>
        </is>
      </c>
      <c r="Y165" s="243" t="inlineStr">
        <is>
          <t>23.40 – 28.59 %</t>
        </is>
      </c>
      <c r="Z165" s="243" t="inlineStr">
        <is>
          <t>WC_THC26 : CBD1</t>
        </is>
      </c>
      <c r="AA165" s="243" t="inlineStr">
        <is>
          <t>QCSP_001_WC-I_v.01</t>
        </is>
      </c>
      <c r="AB165" s="252" t="inlineStr">
        <is>
          <t>for review — replaces the issued QCSP_001_WC-I_v.01 (was WC_THC22 : CBD1, 19.80 – 24.20 %); now WC_THC26 : CBD1 23.40 – 28.59 %</t>
        </is>
      </c>
      <c r="AC165" s="246" t="inlineStr"/>
    </row>
    <row r="166">
      <c r="A166" s="243">
        <f>IF(OR(C166="yes",C166="allocated"),COUNT(A$1:A165)+1,"")</f>
        <v/>
      </c>
      <c r="B166" s="244">
        <f>IF(A166&lt;&gt;"","CoQ-PP_26-"&amp;TEXT(A166,"000"),"— at issue —")</f>
        <v/>
      </c>
      <c r="C166" s="253" t="inlineStr">
        <is>
          <t>allocated</t>
        </is>
      </c>
      <c r="D166" s="245" t="n">
        <v>46286</v>
      </c>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3">
        <f>IFERROR(INDEX('CoQ Register'!$B:$B,MATCH("P060102|I",'CoQ Register'!$S:$S,0)),"— initial certificate not on the register —")</f>
        <v/>
      </c>
      <c r="V166" s="251"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IF(OR(C167="yes",C167="allocated"),COUNT(A$1:A166)+1,"")</f>
        <v/>
      </c>
      <c r="B167" s="244">
        <f>IF(A167&lt;&gt;"","CoQ-PP_26-"&amp;TEXT(A167,"000"),"— at issue —")</f>
        <v/>
      </c>
      <c r="C167" s="248" t="inlineStr">
        <is>
          <t>no</t>
        </is>
      </c>
      <c r="D167" s="245">
        <f>IF(OR(A167="",C167="allocated"),"",MAX(E167,IF(ISNUMBER(I167),I167,0),IFERROR(IF(ISNUMBER(INDEX('iCoA Register'!$F:$F,MATCH(S167,'iCoA Register'!$AA:$AA,0))),INDEX('iCoA Register'!$F:$F,MATCH(S167,'iCoA Register'!$AA:$AA,0)),0),0)))</f>
        <v/>
      </c>
      <c r="E167" s="245">
        <f>IF(ISNUMBER(F167),MAX(DATE(2026,6,6),F167+7),DATE(2026,6,6))</f>
        <v/>
      </c>
      <c r="F167" s="245" t="n">
        <v>46209</v>
      </c>
      <c r="G167" s="243" t="inlineStr">
        <is>
          <t>ППК26117</t>
        </is>
      </c>
      <c r="H167" s="243">
        <f>IFERROR(INDEX('iCoA Register'!$B:$B,MATCH("P160012|I",'iCoA Register'!$AA:$AA,0)),"—")</f>
        <v/>
      </c>
      <c r="I167" s="245">
        <f>IFERROR(INDEX('iCoA Register'!$D:$D,MATCH("P160012|I",'iCoA Register'!$AA:$AA,0)),"")</f>
        <v/>
      </c>
      <c r="J167" s="243" t="inlineStr">
        <is>
          <t>—</t>
        </is>
      </c>
      <c r="K167" s="243" t="inlineStr">
        <is>
          <t>initial release</t>
        </is>
      </c>
      <c r="L167" s="244" t="inlineStr">
        <is>
          <t>— not recorded — (P160012)</t>
        </is>
      </c>
      <c r="M167" s="243" t="inlineStr">
        <is>
          <t>P160012</t>
        </is>
      </c>
      <c r="N167" s="243" t="inlineStr"/>
      <c r="O167" s="243" t="inlineStr">
        <is>
          <t>ППК26117, (06.07.2026) [CNP]</t>
        </is>
      </c>
      <c r="P167" s="243" t="inlineStr">
        <is>
          <t>A: ППК26117 / B: ППК26117 / FM: ППК26117</t>
        </is>
      </c>
      <c r="Q167" s="243" t="inlineStr">
        <is>
          <t>—</t>
        </is>
      </c>
      <c r="R167" s="243" t="inlineStr">
        <is>
          <t>(assigned on issue)</t>
        </is>
      </c>
      <c r="S167" s="243" t="inlineStr">
        <is>
          <t>P160012|I</t>
        </is>
      </c>
      <c r="T167" s="252" t="inlineStr">
        <is>
          <t>not yet issuable — no packaging date on the list</t>
        </is>
      </c>
      <c r="U167" s="243" t="inlineStr">
        <is>
          <t>n/a — initial certificate</t>
        </is>
      </c>
      <c r="V167" s="251" t="n">
        <v>26.32</v>
      </c>
      <c r="W167" s="243" t="inlineStr">
        <is>
          <t>ППК26117</t>
        </is>
      </c>
      <c r="X167" s="243" t="inlineStr">
        <is>
          <t>—</t>
        </is>
      </c>
      <c r="Y167" s="243" t="inlineStr">
        <is>
          <t>—</t>
        </is>
      </c>
      <c r="Z167" s="243" t="inlineStr">
        <is>
          <t>—</t>
        </is>
      </c>
      <c r="AA167" s="243" t="inlineStr">
        <is>
          <t>—</t>
        </is>
      </c>
      <c r="AB167" s="246" t="inlineStr">
        <is>
          <t>—</t>
        </is>
      </c>
      <c r="AC167" s="252" t="inlineStr">
        <is>
          <t>strain not in the potency specification of 15.09.2026</t>
        </is>
      </c>
    </row>
    <row r="168">
      <c r="A168" s="243">
        <f>IF(OR(C168="yes",C168="allocated"),COUNT(A$1:A167)+1,"")</f>
        <v/>
      </c>
      <c r="B168" s="244">
        <f>IF(A168&lt;&gt;"","CoQ-PP_26-"&amp;TEXT(A168,"000"),"— at issue —")</f>
        <v/>
      </c>
      <c r="C168" s="248" t="inlineStr">
        <is>
          <t>no</t>
        </is>
      </c>
      <c r="D168" s="245">
        <f>IF(OR(A168="",C168="allocated"),"",MAX(E168,IF(ISNUMBER(I168),I168,0),IFERROR(IF(ISNUMBER(INDEX('iCoA Register'!$F:$F,MATCH(S168,'iCoA Register'!$AA:$AA,0))),INDEX('iCoA Register'!$F:$F,MATCH(S168,'iCoA Register'!$AA:$AA,0)),0),0)))</f>
        <v/>
      </c>
      <c r="E168" s="245">
        <f>IF(ISNUMBER(F168),MAX(DATE(2026,6,6),F168+7),DATE(2026,6,6))</f>
        <v/>
      </c>
      <c r="F168" s="245" t="n">
        <v>46209</v>
      </c>
      <c r="G168" s="243" t="inlineStr">
        <is>
          <t>ППК26118</t>
        </is>
      </c>
      <c r="H168" s="243">
        <f>IFERROR(INDEX('iCoA Register'!$B:$B,MATCH("P160022|I",'iCoA Register'!$AA:$AA,0)),"—")</f>
        <v/>
      </c>
      <c r="I168" s="245">
        <f>IFERROR(INDEX('iCoA Register'!$D:$D,MATCH("P160022|I",'iCoA Register'!$AA:$AA,0)),"")</f>
        <v/>
      </c>
      <c r="J168" s="243" t="inlineStr">
        <is>
          <t>—</t>
        </is>
      </c>
      <c r="K168" s="243" t="inlineStr">
        <is>
          <t>initial release</t>
        </is>
      </c>
      <c r="L168" s="244" t="inlineStr">
        <is>
          <t>— not recorded — (P160022)</t>
        </is>
      </c>
      <c r="M168" s="243" t="inlineStr">
        <is>
          <t>P160022</t>
        </is>
      </c>
      <c r="N168" s="243" t="inlineStr"/>
      <c r="O168" s="243" t="inlineStr">
        <is>
          <t>ППК26118, (06.07.2026) [CNP]</t>
        </is>
      </c>
      <c r="P168" s="243" t="inlineStr">
        <is>
          <t>A: ППК26118 / B: ППК26118 / FM: ППК26118</t>
        </is>
      </c>
      <c r="Q168" s="243" t="inlineStr">
        <is>
          <t>—</t>
        </is>
      </c>
      <c r="R168" s="243" t="inlineStr">
        <is>
          <t>(assigned on issue)</t>
        </is>
      </c>
      <c r="S168" s="243" t="inlineStr">
        <is>
          <t>P160022|I</t>
        </is>
      </c>
      <c r="T168" s="252" t="inlineStr">
        <is>
          <t>not yet issuable — no packaging date on the list</t>
        </is>
      </c>
      <c r="U168" s="243" t="inlineStr">
        <is>
          <t>n/a — initial certificate</t>
        </is>
      </c>
      <c r="V168" s="251" t="n">
        <v>25.72</v>
      </c>
      <c r="W168" s="243" t="inlineStr">
        <is>
          <t>ППК26118</t>
        </is>
      </c>
      <c r="X168" s="243" t="inlineStr">
        <is>
          <t>—</t>
        </is>
      </c>
      <c r="Y168" s="243" t="inlineStr">
        <is>
          <t>—</t>
        </is>
      </c>
      <c r="Z168" s="243" t="inlineStr">
        <is>
          <t>—</t>
        </is>
      </c>
      <c r="AA168" s="243" t="inlineStr">
        <is>
          <t>—</t>
        </is>
      </c>
      <c r="AB168" s="246" t="inlineStr">
        <is>
          <t>—</t>
        </is>
      </c>
      <c r="AC168" s="252" t="inlineStr">
        <is>
          <t>strain not in the potency specification of 15.09.2026</t>
        </is>
      </c>
    </row>
    <row r="169">
      <c r="A169" s="243">
        <f>IF(OR(C169="yes",C169="allocated"),COUNT(A$1:A168)+1,"")</f>
        <v/>
      </c>
      <c r="B169" s="244">
        <f>IF(A169&lt;&gt;"","CoQ-PP_26-"&amp;TEXT(A169,"000"),"— at issue —")</f>
        <v/>
      </c>
      <c r="C169" s="248" t="inlineStr">
        <is>
          <t>no</t>
        </is>
      </c>
      <c r="D169" s="245">
        <f>IF(OR(A169="",C169="allocated"),"",MAX(E169,IF(ISNUMBER(I169),I169,0),IFERROR(IF(ISNUMBER(INDEX('iCoA Register'!$F:$F,MATCH(S169,'iCoA Register'!$AA:$AA,0))),INDEX('iCoA Register'!$F:$F,MATCH(S169,'iCoA Register'!$AA:$AA,0)),0),0)))</f>
        <v/>
      </c>
      <c r="E169" s="245">
        <f>IF(ISNUMBER(F169),MAX(DATE(2026,6,6),F169+7),DATE(2026,6,6))</f>
        <v/>
      </c>
      <c r="F169" s="245" t="n">
        <v>46209</v>
      </c>
      <c r="G169" s="243" t="inlineStr">
        <is>
          <t>ППК26119</t>
        </is>
      </c>
      <c r="H169" s="243">
        <f>IFERROR(INDEX('iCoA Register'!$B:$B,MATCH("P160032|I",'iCoA Register'!$AA:$AA,0)),"—")</f>
        <v/>
      </c>
      <c r="I169" s="245">
        <f>IFERROR(INDEX('iCoA Register'!$D:$D,MATCH("P160032|I",'iCoA Register'!$AA:$AA,0)),"")</f>
        <v/>
      </c>
      <c r="J169" s="243" t="inlineStr">
        <is>
          <t>—</t>
        </is>
      </c>
      <c r="K169" s="243" t="inlineStr">
        <is>
          <t>initial release</t>
        </is>
      </c>
      <c r="L169" s="244" t="inlineStr">
        <is>
          <t>— not recorded — (P160032)</t>
        </is>
      </c>
      <c r="M169" s="243" t="inlineStr">
        <is>
          <t>P160032</t>
        </is>
      </c>
      <c r="N169" s="243" t="inlineStr"/>
      <c r="O169" s="243" t="inlineStr">
        <is>
          <t>ППК26119, (06.07.2026) [CNP]</t>
        </is>
      </c>
      <c r="P169" s="243" t="inlineStr">
        <is>
          <t>A: ППК26119 / B: ППК26119 / FM: ППК26119</t>
        </is>
      </c>
      <c r="Q169" s="243" t="inlineStr">
        <is>
          <t>—</t>
        </is>
      </c>
      <c r="R169" s="243" t="inlineStr">
        <is>
          <t>(assigned on issue)</t>
        </is>
      </c>
      <c r="S169" s="243" t="inlineStr">
        <is>
          <t>P160032|I</t>
        </is>
      </c>
      <c r="T169" s="252" t="inlineStr">
        <is>
          <t>not yet issuable — no packaging date on the list</t>
        </is>
      </c>
      <c r="U169" s="243" t="inlineStr">
        <is>
          <t>n/a — initial certificate</t>
        </is>
      </c>
      <c r="V169" s="251" t="n">
        <v>24.78</v>
      </c>
      <c r="W169" s="243" t="inlineStr">
        <is>
          <t>ППК26119</t>
        </is>
      </c>
      <c r="X169" s="243" t="inlineStr">
        <is>
          <t>—</t>
        </is>
      </c>
      <c r="Y169" s="243" t="inlineStr">
        <is>
          <t>—</t>
        </is>
      </c>
      <c r="Z169" s="243" t="inlineStr">
        <is>
          <t>—</t>
        </is>
      </c>
      <c r="AA169" s="243" t="inlineStr">
        <is>
          <t>—</t>
        </is>
      </c>
      <c r="AB169" s="246" t="inlineStr">
        <is>
          <t>—</t>
        </is>
      </c>
      <c r="AC169" s="252" t="inlineStr">
        <is>
          <t>strain not in the potency specification of 15.09.2026</t>
        </is>
      </c>
    </row>
    <row r="170">
      <c r="A170" s="243">
        <f>IF(OR(C170="yes",C170="allocated"),COUNT(A$1:A169)+1,"")</f>
        <v/>
      </c>
      <c r="B170" s="244">
        <f>IF(A170&lt;&gt;"","CoQ-PP_26-"&amp;TEXT(A170,"000"),"— at issue —")</f>
        <v/>
      </c>
      <c r="C170" s="248" t="inlineStr">
        <is>
          <t>no</t>
        </is>
      </c>
      <c r="D170" s="245">
        <f>IF(OR(A170="",C170="allocated"),"",MAX(E170,IF(ISNUMBER(I170),I170,0),IFERROR(IF(ISNUMBER(INDEX('iCoA Register'!$F:$F,MATCH(S170,'iCoA Register'!$AA:$AA,0))),INDEX('iCoA Register'!$F:$F,MATCH(S170,'iCoA Register'!$AA:$AA,0)),0),0)))</f>
        <v/>
      </c>
      <c r="E170" s="245">
        <f>IF(ISNUMBER(F170),MAX(DATE(2026,6,6),F170+7),DATE(2026,6,6))</f>
        <v/>
      </c>
      <c r="F170" s="245" t="inlineStr">
        <is>
          <t>—</t>
        </is>
      </c>
      <c r="G170" s="243" t="inlineStr">
        <is>
          <t>—</t>
        </is>
      </c>
      <c r="H170" s="243">
        <f>IFERROR(INDEX('iCoA Register'!$B:$B,MATCH("CC042601|I",'iCoA Register'!$AA:$AA,0)),"—")</f>
        <v/>
      </c>
      <c r="I170" s="245">
        <f>IFERROR(INDEX('iCoA Register'!$D:$D,MATCH("CC042601|I",'iCoA Register'!$AA:$AA,0)),"")</f>
        <v/>
      </c>
      <c r="J170" s="243" t="inlineStr">
        <is>
          <t>—</t>
        </is>
      </c>
      <c r="K170" s="243" t="inlineStr">
        <is>
          <t>initial release</t>
        </is>
      </c>
      <c r="L170" s="244" t="inlineStr">
        <is>
          <t>CC042601</t>
        </is>
      </c>
      <c r="M170" s="243" t="inlineStr">
        <is>
          <t>N/A — no P batch assigned</t>
        </is>
      </c>
      <c r="N170" s="243" t="inlineStr">
        <is>
          <t>Cash Cow</t>
        </is>
      </c>
      <c r="O170" s="248" t="inlineStr">
        <is>
          <t>— no cannabinoid certificate from the initial testing —</t>
        </is>
      </c>
      <c r="P170" s="248" t="inlineStr">
        <is>
          <t>—</t>
        </is>
      </c>
      <c r="Q170" s="243" t="inlineStr">
        <is>
          <t>—</t>
        </is>
      </c>
      <c r="R170" s="243" t="inlineStr">
        <is>
          <t>(assigned on issue)</t>
        </is>
      </c>
      <c r="S170" s="243" t="inlineStr">
        <is>
          <t>CC042601|I</t>
        </is>
      </c>
      <c r="T170" s="252" t="inlineStr">
        <is>
          <t>not yet issuable — no packaging date on the list</t>
        </is>
      </c>
      <c r="U170" s="243" t="inlineStr">
        <is>
          <t>n/a — initial certificate</t>
        </is>
      </c>
      <c r="V170" s="243" t="inlineStr">
        <is>
          <t>—</t>
        </is>
      </c>
      <c r="W170" s="243" t="inlineStr">
        <is>
          <t>—</t>
        </is>
      </c>
      <c r="X170" s="243" t="inlineStr">
        <is>
          <t>—</t>
        </is>
      </c>
      <c r="Y170" s="243" t="inlineStr">
        <is>
          <t>—</t>
        </is>
      </c>
      <c r="Z170" s="243" t="inlineStr">
        <is>
          <t>—</t>
        </is>
      </c>
      <c r="AA170" s="243" t="inlineStr">
        <is>
          <t>—</t>
        </is>
      </c>
      <c r="AB170" s="246" t="inlineStr">
        <is>
          <t>—</t>
        </is>
      </c>
      <c r="AC170" s="252" t="inlineStr">
        <is>
          <t>no Total THC result on this certificate</t>
        </is>
      </c>
    </row>
    <row r="171">
      <c r="A171" s="243">
        <f>IF(OR(C171="yes",C171="allocated"),COUNT(A$1:A170)+1,"")</f>
        <v/>
      </c>
      <c r="B171" s="244">
        <f>IF(A171&lt;&gt;"","CoQ-PP_26-"&amp;TEXT(A171,"000"),"— at issue —")</f>
        <v/>
      </c>
      <c r="C171" s="248" t="inlineStr">
        <is>
          <t>no</t>
        </is>
      </c>
      <c r="D171" s="245">
        <f>IF(OR(A171="",C171="allocated"),"",MAX(E171,IF(ISNUMBER(I171),I171,0),IFERROR(IF(ISNUMBER(INDEX('iCoA Register'!$F:$F,MATCH(S171,'iCoA Register'!$AA:$AA,0))),INDEX('iCoA Register'!$F:$F,MATCH(S171,'iCoA Register'!$AA:$AA,0)),0),0)))</f>
        <v/>
      </c>
      <c r="E171" s="245">
        <f>IF(ISNUMBER(F171),MAX(DATE(2026,6,6),F171+7),"— awaiting the retest certificates —")</f>
        <v/>
      </c>
      <c r="F171" s="245" t="n">
        <v>46276</v>
      </c>
      <c r="G171" s="243" t="inlineStr">
        <is>
          <t>220-32-M-26</t>
        </is>
      </c>
      <c r="H171" s="243">
        <f>IFERROR(INDEX('iCoA Register'!$B:$B,MATCH("CC042601|R",'iCoA Register'!$AA:$AA,0)),"—")</f>
        <v/>
      </c>
      <c r="I171" s="245">
        <f>IFERROR(INDEX('iCoA Register'!$D:$D,MATCH("CC042601|R",'iCoA Register'!$AA:$AA,0)),"")</f>
        <v/>
      </c>
      <c r="J171" s="243" t="inlineStr">
        <is>
          <t>—</t>
        </is>
      </c>
      <c r="K171" s="243" t="inlineStr">
        <is>
          <t>retest — Tranche 2 (sampled 12–14.08.2026)</t>
        </is>
      </c>
      <c r="L171" s="244" t="inlineStr">
        <is>
          <t>CC042601</t>
        </is>
      </c>
      <c r="M171" s="243" t="inlineStr">
        <is>
          <t>N/A — no P batch assigned</t>
        </is>
      </c>
      <c r="N171" s="243" t="inlineStr">
        <is>
          <t>Cash Cow</t>
        </is>
      </c>
      <c r="O171" s="243" t="inlineStr">
        <is>
          <t>220-32-K-26, (26.08.2026) [FHM-K]</t>
        </is>
      </c>
      <c r="P171" s="248" t="inlineStr">
        <is>
          <t>—</t>
        </is>
      </c>
      <c r="Q171" s="243" t="inlineStr">
        <is>
          <t>—</t>
        </is>
      </c>
      <c r="R171" s="243" t="inlineStr">
        <is>
          <t>CoQ reissue (assigned on issue)</t>
        </is>
      </c>
      <c r="S171" s="243" t="inlineStr">
        <is>
          <t>CC042601|R</t>
        </is>
      </c>
      <c r="T171" s="252" t="inlineStr">
        <is>
          <t>not yet issuable — initial certificate withheld — due — retest assay and mycotoxins on file; iCoA tested 14.08.2026, issued 17.08.2026 · issued 7 days after the latest retest certificate once the assay, the mycotoxins and the iCoA exist</t>
        </is>
      </c>
      <c r="U171" s="243">
        <f>IFERROR(INDEX('CoQ Register'!$B:$B,MATCH("CC042601|I",'CoQ Register'!$S:$S,0)),"— initial certificate not on the register —")</f>
        <v/>
      </c>
      <c r="V171" s="251" t="n">
        <v>14.9</v>
      </c>
      <c r="W171" s="243" t="inlineStr">
        <is>
          <t>220-32-К/26</t>
        </is>
      </c>
      <c r="X171" s="243" t="inlineStr">
        <is>
          <t>14.00 ± 1.35 (II)</t>
        </is>
      </c>
      <c r="Y171" s="243" t="inlineStr">
        <is>
          <t>12.65 – 15.34 %</t>
        </is>
      </c>
      <c r="Z171" s="243" t="inlineStr">
        <is>
          <t>CC_THC14 : CBD1</t>
        </is>
      </c>
      <c r="AA171" s="243" t="inlineStr">
        <is>
          <t>QCSP_001_CC-II_v.01</t>
        </is>
      </c>
      <c r="AB171" s="252" t="inlineStr">
        <is>
          <t>for review — replaces the issued QCSP_001_CC-II_v.01 (was CC_THC14 : CBD1, 12.60 – 15.40 %); now CC_THC14 : CBD1 12.65 – 15.34 %</t>
        </is>
      </c>
      <c r="AC171" s="246" t="inlineStr"/>
    </row>
    <row r="172">
      <c r="A172" s="243">
        <f>IF(OR(C172="yes",C172="allocated"),COUNT(A$1:A171)+1,"")</f>
        <v/>
      </c>
      <c r="B172" s="244">
        <f>IF(A172&lt;&gt;"","CoQ-PP_26-"&amp;TEXT(A172,"000"),"— at issue —")</f>
        <v/>
      </c>
      <c r="C172" s="248" t="inlineStr">
        <is>
          <t>no</t>
        </is>
      </c>
      <c r="D172" s="245">
        <f>IF(OR(A172="",C172="allocated"),"",MAX(E172,IF(ISNUMBER(I172),I172,0),IFERROR(IF(ISNUMBER(INDEX('iCoA Register'!$F:$F,MATCH(S172,'iCoA Register'!$AA:$AA,0))),INDEX('iCoA Register'!$F:$F,MATCH(S172,'iCoA Register'!$AA:$AA,0)),0),0)))</f>
        <v/>
      </c>
      <c r="E172" s="245">
        <f>IF(ISNUMBER(F172),MAX(DATE(2026,6,6),F172+7),DATE(2026,6,6))</f>
        <v/>
      </c>
      <c r="F172" s="245" t="inlineStr">
        <is>
          <t>—</t>
        </is>
      </c>
      <c r="G172" s="243" t="inlineStr">
        <is>
          <t>—</t>
        </is>
      </c>
      <c r="H172" s="243">
        <f>IFERROR(INDEX('iCoA Register'!$B:$B,MATCH("FB042601|I",'iCoA Register'!$AA:$AA,0)),"—")</f>
        <v/>
      </c>
      <c r="I172" s="245">
        <f>IFERROR(INDEX('iCoA Register'!$D:$D,MATCH("FB042601|I",'iCoA Register'!$AA:$AA,0)),"")</f>
        <v/>
      </c>
      <c r="J172" s="243" t="inlineStr">
        <is>
          <t>—</t>
        </is>
      </c>
      <c r="K172" s="243" t="inlineStr">
        <is>
          <t>initial release</t>
        </is>
      </c>
      <c r="L172" s="244" t="inlineStr">
        <is>
          <t>FB042601</t>
        </is>
      </c>
      <c r="M172" s="243" t="inlineStr">
        <is>
          <t>N/A — no P batch assigned</t>
        </is>
      </c>
      <c r="N172" s="243" t="inlineStr">
        <is>
          <t>Fat Bastard</t>
        </is>
      </c>
      <c r="O172" s="248" t="inlineStr">
        <is>
          <t>— no cannabinoid certificate from the initial testing —</t>
        </is>
      </c>
      <c r="P172" s="248" t="inlineStr">
        <is>
          <t>—</t>
        </is>
      </c>
      <c r="Q172" s="243" t="inlineStr">
        <is>
          <t>—</t>
        </is>
      </c>
      <c r="R172" s="243" t="inlineStr">
        <is>
          <t>(assigned on issue)</t>
        </is>
      </c>
      <c r="S172" s="243" t="inlineStr">
        <is>
          <t>FB042601|I</t>
        </is>
      </c>
      <c r="T172" s="252" t="inlineStr">
        <is>
          <t>not yet issuable — no packaging date on the list</t>
        </is>
      </c>
      <c r="U172" s="243" t="inlineStr">
        <is>
          <t>n/a — initial certificate</t>
        </is>
      </c>
      <c r="V172" s="243" t="inlineStr">
        <is>
          <t>—</t>
        </is>
      </c>
      <c r="W172" s="243" t="inlineStr">
        <is>
          <t>—</t>
        </is>
      </c>
      <c r="X172" s="243" t="inlineStr">
        <is>
          <t>—</t>
        </is>
      </c>
      <c r="Y172" s="243" t="inlineStr">
        <is>
          <t>—</t>
        </is>
      </c>
      <c r="Z172" s="243" t="inlineStr">
        <is>
          <t>—</t>
        </is>
      </c>
      <c r="AA172" s="243" t="inlineStr">
        <is>
          <t>—</t>
        </is>
      </c>
      <c r="AB172" s="246" t="inlineStr">
        <is>
          <t>—</t>
        </is>
      </c>
      <c r="AC172" s="252" t="inlineStr">
        <is>
          <t>no Total THC result on this certificate</t>
        </is>
      </c>
    </row>
    <row r="173">
      <c r="A173" s="243">
        <f>IF(OR(C173="yes",C173="allocated"),COUNT(A$1:A172)+1,"")</f>
        <v/>
      </c>
      <c r="B173" s="244">
        <f>IF(A173&lt;&gt;"","CoQ-PP_26-"&amp;TEXT(A173,"000"),"— at issue —")</f>
        <v/>
      </c>
      <c r="C173" s="248" t="inlineStr">
        <is>
          <t>no</t>
        </is>
      </c>
      <c r="D173" s="245">
        <f>IF(OR(A173="",C173="allocated"),"",MAX(E173,IF(ISNUMBER(I173),I173,0),IFERROR(IF(ISNUMBER(INDEX('iCoA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2" t="inlineStr">
        <is>
          <t>not yet issuable — initial certificate withheld — due — retest assay and mycotoxins on file; iCoA tested 14.08.2026, issued 17.08.2026 · issued 7 days after the latest retest certificate once the assay, the mycotoxins and the iCoA exist</t>
        </is>
      </c>
      <c r="U173" s="243">
        <f>IFERROR(INDEX('CoQ Register'!$B:$B,MATCH("FB042601|I",'CoQ Register'!$S:$S,0)),"— initial certificate not on the register —")</f>
        <v/>
      </c>
      <c r="V173" s="251" t="n">
        <v>14.99</v>
      </c>
      <c r="W173" s="243" t="inlineStr">
        <is>
          <t>220-31-К/26</t>
        </is>
      </c>
      <c r="X173" s="243" t="inlineStr">
        <is>
          <t>15.00 ± 1.20 (III)</t>
        </is>
      </c>
      <c r="Y173" s="243" t="inlineStr">
        <is>
          <t>13.80 – 16.19 %</t>
        </is>
      </c>
      <c r="Z173" s="243" t="inlineStr">
        <is>
          <t>FB_THC15 : CBD1</t>
        </is>
      </c>
      <c r="AA173" s="243" t="inlineStr">
        <is>
          <t>QCSP_001_FB-III_v.01</t>
        </is>
      </c>
      <c r="AB173" s="252"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iCoA-PP_26-008 03.06.26 PP*</t>
        </is>
      </c>
      <c r="H8" s="256" t="inlineStr">
        <is>
          <t>iCoA-PP_26-008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iCoA-PP_26-008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iCoA-PP_26-009 03.06.26 PP*</t>
        </is>
      </c>
      <c r="H9" s="256" t="inlineStr">
        <is>
          <t>iCoA-PP_26-009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iCoA-PP_26-009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iCoA-PP_26-010 03.06.26 PP*</t>
        </is>
      </c>
      <c r="H10" s="256" t="inlineStr">
        <is>
          <t>iCoA-PP_26-010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iCoA-PP_26-010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iCoA-PP_26-092 03.06.26 PP*</t>
        </is>
      </c>
      <c r="H11" s="256" t="inlineStr">
        <is>
          <t>iCoA-PP_26-092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iCoA-PP_26-092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iCoA-PP_26-011 03.06.26 PP*</t>
        </is>
      </c>
      <c r="H12" s="256" t="inlineStr">
        <is>
          <t>iCoA-PP_26-011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iCoA-PP_26-011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iCoA-PP_26-012 03.06.26 PP*</t>
        </is>
      </c>
      <c r="H13" s="256" t="inlineStr">
        <is>
          <t>iCoA-PP_26-012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iCoA-PP_26-012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iCoA-PP_26-013 03.06.26 PP*</t>
        </is>
      </c>
      <c r="H14" s="256" t="inlineStr">
        <is>
          <t>iCoA-PP_26-013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iCoA-PP_26-013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iCoA-PP_26-014 03.06.26 PP*</t>
        </is>
      </c>
      <c r="H15" s="256" t="inlineStr">
        <is>
          <t>iCoA-PP_26-014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iCoA-PP_26-014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iCoA-PP_26-015 03.06.26 PP*</t>
        </is>
      </c>
      <c r="H16" s="256" t="inlineStr">
        <is>
          <t>iCoA-PP_26-015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iCoA-PP_26-015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iCoA-PP_26-016 03.06.26 PP*</t>
        </is>
      </c>
      <c r="H17" s="256" t="inlineStr">
        <is>
          <t>iCoA-PP_26-016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iCoA-PP_26-016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iCoA-PP_26-017 03.06.26 PP*</t>
        </is>
      </c>
      <c r="H18" s="256" t="inlineStr">
        <is>
          <t>iCoA-PP_26-017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iCoA-PP_26-017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iCoA-PP_26-089 03.06.26 PP*</t>
        </is>
      </c>
      <c r="H19" s="256" t="inlineStr">
        <is>
          <t>iCoA-PP_26-089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iCoA-PP_26-089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iCoA-PP_26-018 03.06.26 PP*</t>
        </is>
      </c>
      <c r="H20" s="256" t="inlineStr">
        <is>
          <t>iCoA-PP_26-018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iCoA-PP_26-018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iCoA-PP_26-019 03.06.26 PP*</t>
        </is>
      </c>
      <c r="H21" s="256" t="inlineStr">
        <is>
          <t>iCoA-PP_26-019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iCoA-PP_26-019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iCoA-PP_26-020 03.06.26 PP*</t>
        </is>
      </c>
      <c r="H22" s="256" t="inlineStr">
        <is>
          <t>iCoA-PP_26-020 03.06.26 PP*</t>
        </is>
      </c>
      <c r="I22" s="256" t="inlineStr">
        <is>
          <t>to be performed</t>
        </is>
      </c>
      <c r="J22" s="257" t="inlineStr">
        <is>
          <t>n/t</t>
        </is>
      </c>
      <c r="K22" s="257" t="inlineStr">
        <is>
          <t>n/t</t>
        </is>
      </c>
      <c r="L22" s="257" t="inlineStr">
        <is>
          <t>n/t</t>
        </is>
      </c>
      <c r="M22" s="256" t="inlineStr">
        <is>
          <t>iCoA-PP_26-020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iCoA-PP_26-021 03.06.26 PP*</t>
        </is>
      </c>
      <c r="H23" s="256" t="inlineStr">
        <is>
          <t>iCoA-PP_26-021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iCoA-PP_26-021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iCoA-PP_26-022 03.06.26 PP*</t>
        </is>
      </c>
      <c r="H24" s="256" t="inlineStr">
        <is>
          <t>iCoA-PP_26-022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iCoA-PP_26-022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iCoA-PP_26-023 03.06.26 PP*</t>
        </is>
      </c>
      <c r="H25" s="256" t="inlineStr">
        <is>
          <t>iCoA-PP_26-023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iCoA-PP_26-023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iCoA-PP_26-024 03.06.26 PP*</t>
        </is>
      </c>
      <c r="H26" s="256" t="inlineStr">
        <is>
          <t>iCoA-PP_26-024 03.06.26 PP*</t>
        </is>
      </c>
      <c r="I26" s="257" t="inlineStr">
        <is>
          <t>n/t</t>
        </is>
      </c>
      <c r="J26" s="256" t="inlineStr">
        <is>
          <t>iCoA-PP_26-024 03.06.26 PP; also 220-2-К/26</t>
        </is>
      </c>
      <c r="K26" s="256" t="inlineStr">
        <is>
          <t>iCoA-PP_26-024 03.06.26 PP; also 220-2-К/26</t>
        </is>
      </c>
      <c r="L26" s="257" t="inlineStr">
        <is>
          <t>n/t</t>
        </is>
      </c>
      <c r="M26" s="256" t="inlineStr">
        <is>
          <t>iCoA-PP_26-024 03.06.26 PP*</t>
        </is>
      </c>
      <c r="N26" s="256" t="inlineStr">
        <is>
          <t>iCoA-PP_26-024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iCoA-PP_26-025 03.06.26 PP*</t>
        </is>
      </c>
      <c r="H27" s="256" t="inlineStr">
        <is>
          <t>iCoA-PP_26-025 03.06.26 PP*</t>
        </is>
      </c>
      <c r="I27" s="257" t="inlineStr">
        <is>
          <t>n/t</t>
        </is>
      </c>
      <c r="J27" s="256" t="inlineStr">
        <is>
          <t>iCoA-PP_26-025 03.06.26 PP; also 227-18-К/26</t>
        </is>
      </c>
      <c r="K27" s="256" t="inlineStr">
        <is>
          <t>iCoA-PP_26-025 03.06.26 PP; also 227-18-К/26</t>
        </is>
      </c>
      <c r="L27" s="257" t="inlineStr">
        <is>
          <t>n/t</t>
        </is>
      </c>
      <c r="M27" s="256" t="inlineStr">
        <is>
          <t>iCoA-PP_26-025 03.06.26 PP*</t>
        </is>
      </c>
      <c r="N27" s="256" t="inlineStr">
        <is>
          <t>iCoA-PP_26-025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iCoA-PP_26-026 03.06.26 PP*</t>
        </is>
      </c>
      <c r="H28" s="256" t="inlineStr">
        <is>
          <t>iCoA-PP_26-026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iCoA-PP_26-026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iCoA-PP_26-027 03.06.26 PP*</t>
        </is>
      </c>
      <c r="H29" s="256" t="inlineStr">
        <is>
          <t>iCoA-PP_26-027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iCoA-PP_26-027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iCoA-PP_26-028 03.06.26 PP*</t>
        </is>
      </c>
      <c r="H30" s="256" t="inlineStr">
        <is>
          <t>iCoA-PP_26-028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iCoA-PP_26-028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iCoA-PP_26-029 03.06.26 PP*</t>
        </is>
      </c>
      <c r="H31" s="256" t="inlineStr">
        <is>
          <t>iCoA-PP_26-029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iCoA-PP_26-029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iCoA-PP_26-030 03.06.26 PP</t>
        </is>
      </c>
      <c r="H32" s="256" t="inlineStr">
        <is>
          <t>iCoA-PP_26-030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iCoA-PP_26-030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iCoA-PP_26-031 03.06.26 PP*</t>
        </is>
      </c>
      <c r="H33" s="256" t="inlineStr">
        <is>
          <t>iCoA-PP_26-031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iCoA-PP_26-031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iCoA-PP_26-032 03.06.26 PP*</t>
        </is>
      </c>
      <c r="H34" s="256" t="inlineStr">
        <is>
          <t>iCoA-PP_26-032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iCoA-PP_26-032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iCoA-PP_26-033 03.06.26 PP*</t>
        </is>
      </c>
      <c r="H35" s="256" t="inlineStr">
        <is>
          <t>iCoA-PP_26-033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iCoA-PP_26-033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iCoA-PP_26-034 03.06.26 PP*</t>
        </is>
      </c>
      <c r="H36" s="256" t="inlineStr">
        <is>
          <t>iCoA-PP_26-034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iCoA-PP_26-034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iCoA-PP_26-035 03.06.26 PP*</t>
        </is>
      </c>
      <c r="H37" s="256" t="inlineStr">
        <is>
          <t>iCoA-PP_26-035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iCoA-PP_26-035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iCoA-PP_26-036 03.06.26 PP*</t>
        </is>
      </c>
      <c r="H38" s="256" t="inlineStr">
        <is>
          <t>iCoA-PP_26-036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iCoA-PP_26-036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iCoA-PP_26-037 03.06.26 PP*</t>
        </is>
      </c>
      <c r="H39" s="256" t="inlineStr">
        <is>
          <t>iCoA-PP_26-037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iCoA-PP_26-037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iCoA-PP_26-038 03.06.26 PP*</t>
        </is>
      </c>
      <c r="H40" s="256" t="inlineStr">
        <is>
          <t>iCoA-PP_26-038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iCoA-PP_26-038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iCoA-PP_26-039 03.06.26 PP*</t>
        </is>
      </c>
      <c r="H41" s="256" t="inlineStr">
        <is>
          <t>iCoA-PP_26-039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iCoA-PP_26-039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iCoA-PP_26-040 03.06.26 PP*</t>
        </is>
      </c>
      <c r="H42" s="256" t="inlineStr">
        <is>
          <t>iCoA-PP_26-040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iCoA-PP_26-040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iCoA-PP_26-041 03.06.26 PP*</t>
        </is>
      </c>
      <c r="H43" s="256" t="inlineStr">
        <is>
          <t>iCoA-PP_26-041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iCoA-PP_26-041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iCoA-PP_26-042 03.06.26 PP*</t>
        </is>
      </c>
      <c r="H44" s="256" t="inlineStr">
        <is>
          <t>iCoA-PP_26-042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iCoA-PP_26-042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iCoA-PP_26-043 03.06.26 PP*</t>
        </is>
      </c>
      <c r="H45" s="256" t="inlineStr">
        <is>
          <t>iCoA-PP_26-043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iCoA-PP_26-043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iCoA-PP_26-044 03.06.26 PP*</t>
        </is>
      </c>
      <c r="H46" s="256" t="inlineStr">
        <is>
          <t>iCoA-PP_26-044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iCoA-PP_26-044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t>
        </is>
      </c>
      <c r="G47" s="256" t="inlineStr">
        <is>
          <t>iCoA-PP_26-045 03.06.26 PP*</t>
        </is>
      </c>
      <c r="H47" s="256" t="inlineStr">
        <is>
          <t>iCoA-PP_26-045 03.06.26 PP*</t>
        </is>
      </c>
      <c r="I47" s="256" t="inlineStr">
        <is>
          <t>to be performed</t>
        </is>
      </c>
      <c r="J47" s="257" t="inlineStr">
        <is>
          <t>n/t</t>
        </is>
      </c>
      <c r="K47" s="257" t="inlineStr">
        <is>
          <t>n/t</t>
        </is>
      </c>
      <c r="L47" s="257" t="inlineStr">
        <is>
          <t>n/t</t>
        </is>
      </c>
      <c r="M47" s="256" t="inlineStr">
        <is>
          <t>iCoA-PP_26-045 03.06.26 PP*</t>
        </is>
      </c>
      <c r="N47" s="256" t="inlineStr">
        <is>
          <t>031-3-ГС/26 12.02.26 FHM</t>
        </is>
      </c>
      <c r="O47" s="257" t="inlineStr">
        <is>
          <t>n/t</t>
        </is>
      </c>
      <c r="P47" s="257" t="inlineStr">
        <is>
          <t>n/t</t>
        </is>
      </c>
      <c r="Q47" s="257" t="inlineStr">
        <is>
          <t>n/t</t>
        </is>
      </c>
      <c r="R47" s="257" t="inlineStr">
        <is>
          <t>n/t</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iCoA-PP_26-046 03.06.26 PP*</t>
        </is>
      </c>
      <c r="H48" s="256" t="inlineStr">
        <is>
          <t>iCoA-PP_26-046 03.06.26 PP*</t>
        </is>
      </c>
      <c r="I48" s="256" t="inlineStr">
        <is>
          <t>031-2-К/26 10.02.26 FHM-K</t>
        </is>
      </c>
      <c r="J48" s="257" t="inlineStr">
        <is>
          <t>n/t</t>
        </is>
      </c>
      <c r="K48" s="256" t="inlineStr">
        <is>
          <t>031-2-К/26 10.02.26 FHM-K</t>
        </is>
      </c>
      <c r="L48" s="256" t="inlineStr">
        <is>
          <t>031-2-К/26 10.02.26 FHM-K</t>
        </is>
      </c>
      <c r="M48" s="256" t="inlineStr">
        <is>
          <t>iCoA-PP_26-046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iCoA-PP_26-047 03.06.26 PP*</t>
        </is>
      </c>
      <c r="H49" s="256" t="inlineStr">
        <is>
          <t>iCoA-PP_26-047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iCoA-PP_26-047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iCoA-PP_26-048 03.06.26 PP*</t>
        </is>
      </c>
      <c r="H50" s="256" t="inlineStr">
        <is>
          <t>iCoA-PP_26-048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iCoA-PP_26-048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iCoA-PP_26-049 03.06.26 PP*</t>
        </is>
      </c>
      <c r="H51" s="256" t="inlineStr">
        <is>
          <t>iCoA-PP_26-049 03.06.26 PP*</t>
        </is>
      </c>
      <c r="I51" s="256" t="inlineStr">
        <is>
          <t>to be performed</t>
        </is>
      </c>
      <c r="J51" s="257" t="inlineStr">
        <is>
          <t>n/t</t>
        </is>
      </c>
      <c r="K51" s="257" t="inlineStr">
        <is>
          <t>n/t</t>
        </is>
      </c>
      <c r="L51" s="257" t="inlineStr">
        <is>
          <t>n/t</t>
        </is>
      </c>
      <c r="M51" s="256" t="inlineStr">
        <is>
          <t>iCoA-PP_26-049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iCoA-PP_26-053 03.06.26 PP*</t>
        </is>
      </c>
      <c r="H52" s="256" t="inlineStr">
        <is>
          <t>iCoA-PP_26-053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iCoA-PP_26-053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t>
        </is>
      </c>
      <c r="G53" s="256" t="inlineStr">
        <is>
          <t>iCoA-PP_26-055 03.06.26 PP*</t>
        </is>
      </c>
      <c r="H53" s="256" t="inlineStr">
        <is>
          <t>iCoA-PP_26-055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iCoA-PP_26-055 03.06.26 PP*</t>
        </is>
      </c>
      <c r="N53" s="256" t="inlineStr">
        <is>
          <t>051-3-ГС/26 02.03.26 FHM-K</t>
        </is>
      </c>
      <c r="O53" s="257" t="inlineStr">
        <is>
          <t>n/t</t>
        </is>
      </c>
      <c r="P53" s="257" t="inlineStr">
        <is>
          <t>n/t</t>
        </is>
      </c>
      <c r="Q53" s="257" t="inlineStr">
        <is>
          <t>n/t</t>
        </is>
      </c>
      <c r="R53" s="257" t="inlineStr">
        <is>
          <t>n/t</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iCoA-PP_26-056 03.06.26 PP*</t>
        </is>
      </c>
      <c r="H54" s="256" t="inlineStr">
        <is>
          <t>iCoA-PP_26-056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iCoA-PP_26-056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iCoA-PP_26-057 03.06.26 PP*</t>
        </is>
      </c>
      <c r="H55" s="256" t="inlineStr">
        <is>
          <t>iCoA-PP_26-057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iCoA-PP_26-057 03.06.26 PP*</t>
        </is>
      </c>
      <c r="N55" s="256" t="inlineStr">
        <is>
          <t>051-6-ГС/26 02.03.26 FHM-K</t>
        </is>
      </c>
      <c r="O55" s="256" t="inlineStr">
        <is>
          <t>136/0233/26 06.03.26 IJZ</t>
        </is>
      </c>
      <c r="P55" s="257" t="inlineStr">
        <is>
          <t>n/t</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t>
        </is>
      </c>
      <c r="G56" s="256" t="inlineStr">
        <is>
          <t>iCoA-PP_26-058 03.06.26 PP*</t>
        </is>
      </c>
      <c r="H56" s="256" t="inlineStr">
        <is>
          <t>iCoA-PP_26-058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iCoA-PP_26-058 03.06.26 PP*</t>
        </is>
      </c>
      <c r="N56" s="256" t="inlineStr">
        <is>
          <t>051-2-ГС/26 02.03.26 FHM-K</t>
        </is>
      </c>
      <c r="O56" s="257" t="inlineStr">
        <is>
          <t>n/t</t>
        </is>
      </c>
      <c r="P56" s="257" t="inlineStr">
        <is>
          <t>n/t</t>
        </is>
      </c>
      <c r="Q56" s="257" t="inlineStr">
        <is>
          <t>n/t</t>
        </is>
      </c>
      <c r="R56" s="257" t="inlineStr">
        <is>
          <t>n/t</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t>
        </is>
      </c>
      <c r="G57" s="256" t="inlineStr">
        <is>
          <t>iCoA-PP_26-059 03.06.26 PP*</t>
        </is>
      </c>
      <c r="H57" s="256" t="inlineStr">
        <is>
          <t>iCoA-PP_26-059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iCoA-PP_26-059 03.06.26 PP*</t>
        </is>
      </c>
      <c r="N57" s="256" t="inlineStr">
        <is>
          <t>051-5-ГС/26 02.03.26 FHM-K; also 100-1-GS/26</t>
        </is>
      </c>
      <c r="O57" s="257" t="inlineStr">
        <is>
          <t>n/t</t>
        </is>
      </c>
      <c r="P57" s="257" t="inlineStr">
        <is>
          <t>n/t</t>
        </is>
      </c>
      <c r="Q57" s="257" t="inlineStr">
        <is>
          <t>n/t</t>
        </is>
      </c>
      <c r="R57" s="257" t="inlineStr">
        <is>
          <t>n/t</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iCoA-PP_26-060 03.06.26 PP*</t>
        </is>
      </c>
      <c r="H58" s="256" t="inlineStr">
        <is>
          <t>iCoA-PP_26-060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iCoA-PP_26-060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t>
        </is>
      </c>
      <c r="G59" s="256" t="inlineStr">
        <is>
          <t>iCoA-PP_26-061 03.06.26 PP*</t>
        </is>
      </c>
      <c r="H59" s="256" t="inlineStr">
        <is>
          <t>iCoA-PP_26-061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iCoA-PP_26-061 03.06.26 PP*</t>
        </is>
      </c>
      <c r="N59" s="256" t="inlineStr">
        <is>
          <t>ППК26031 05.03.26 CNP DAB</t>
        </is>
      </c>
      <c r="O59" s="257" t="inlineStr">
        <is>
          <t>n/t</t>
        </is>
      </c>
      <c r="P59" s="257" t="inlineStr">
        <is>
          <t>n/t</t>
        </is>
      </c>
      <c r="Q59" s="257" t="inlineStr">
        <is>
          <t>n/t</t>
        </is>
      </c>
      <c r="R59" s="257" t="inlineStr">
        <is>
          <t>n/t</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iCoA-PP_26-062 03.06.26 PP*</t>
        </is>
      </c>
      <c r="H60" s="256" t="inlineStr">
        <is>
          <t>iCoA-PP_26-062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iCoA-PP_26-062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iCoA-PP_26-063 03.06.26 PP*</t>
        </is>
      </c>
      <c r="H61" s="256" t="inlineStr">
        <is>
          <t>iCoA-PP_26-063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iCoA-PP_26-063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iCoA-PP_26-064 03.06.26 PP*</t>
        </is>
      </c>
      <c r="H62" s="256" t="inlineStr">
        <is>
          <t>iCoA-PP_26-064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iCoA-PP_26-064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iCoA-PP_26-072 03.06.26 PP*</t>
        </is>
      </c>
      <c r="H63" s="256" t="inlineStr">
        <is>
          <t>iCoA-PP_26-072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iCoA-PP_26-072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iCoA-PP_26-073 03.06.26 PP*</t>
        </is>
      </c>
      <c r="H64" s="256" t="inlineStr">
        <is>
          <t>iCoA-PP_26-073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iCoA-PP_26-073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iCoA-PP_26-074 03.06.26 PP*</t>
        </is>
      </c>
      <c r="H65" s="256" t="inlineStr">
        <is>
          <t>iCoA-PP_26-074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iCoA-PP_26-074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iCoA-PP_26-075 03.06.26 PP*</t>
        </is>
      </c>
      <c r="H66" s="256" t="inlineStr">
        <is>
          <t>iCoA-PP_26-075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iCoA-PP_26-075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iCoA-PP_26-076 03.06.26 PP*</t>
        </is>
      </c>
      <c r="H67" s="256" t="inlineStr">
        <is>
          <t>iCoA-PP_26-076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iCoA-PP_26-076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iCoA-PP_26-077 03.06.26 PP*</t>
        </is>
      </c>
      <c r="H68" s="256" t="inlineStr">
        <is>
          <t>iCoA-PP_26-077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iCoA-PP_26-077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iCoA-PP_26-079 03.06.26 PP*</t>
        </is>
      </c>
      <c r="H69" s="256" t="inlineStr">
        <is>
          <t>iCoA-PP_26-079 03.06.26 PP*</t>
        </is>
      </c>
      <c r="I69" s="256" t="inlineStr">
        <is>
          <t>to be performed</t>
        </is>
      </c>
      <c r="J69" s="257" t="inlineStr">
        <is>
          <t>n/t</t>
        </is>
      </c>
      <c r="K69" s="257" t="inlineStr">
        <is>
          <t>n/t</t>
        </is>
      </c>
      <c r="L69" s="257" t="inlineStr">
        <is>
          <t>n/t</t>
        </is>
      </c>
      <c r="M69" s="256" t="inlineStr">
        <is>
          <t>iCoA-PP_26-079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iCoA-PP_26-078 03.06.26 PP*</t>
        </is>
      </c>
      <c r="H70" s="256" t="inlineStr">
        <is>
          <t>iCoA-PP_26-078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iCoA-PP_26-078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iCoA-PP_26-083 03.06.26 PP*</t>
        </is>
      </c>
      <c r="H71" s="256" t="inlineStr">
        <is>
          <t>iCoA-PP_26-083 03.06.26 PP*</t>
        </is>
      </c>
      <c r="I71" s="256" t="inlineStr">
        <is>
          <t>to be performed</t>
        </is>
      </c>
      <c r="J71" s="257" t="inlineStr">
        <is>
          <t>n/t</t>
        </is>
      </c>
      <c r="K71" s="257" t="inlineStr">
        <is>
          <t>n/t</t>
        </is>
      </c>
      <c r="L71" s="257" t="inlineStr">
        <is>
          <t>n/t</t>
        </is>
      </c>
      <c r="M71" s="256" t="inlineStr">
        <is>
          <t>iCoA-PP_26-083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iCoA-PP_26-082 03.06.26 PP*</t>
        </is>
      </c>
      <c r="H72" s="256" t="inlineStr">
        <is>
          <t>iCoA-PP_26-082 03.06.26 PP*</t>
        </is>
      </c>
      <c r="I72" s="256" t="inlineStr">
        <is>
          <t>to be performed</t>
        </is>
      </c>
      <c r="J72" s="257" t="inlineStr">
        <is>
          <t>n/t</t>
        </is>
      </c>
      <c r="K72" s="257" t="inlineStr">
        <is>
          <t>n/t</t>
        </is>
      </c>
      <c r="L72" s="257" t="inlineStr">
        <is>
          <t>n/t</t>
        </is>
      </c>
      <c r="M72" s="256" t="inlineStr">
        <is>
          <t>iCoA-PP_26-082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iCoA-PP_26-084 03.06.26 PP*</t>
        </is>
      </c>
      <c r="H73" s="256" t="inlineStr">
        <is>
          <t>iCoA-PP_26-084 03.06.26 PP*</t>
        </is>
      </c>
      <c r="I73" s="256" t="inlineStr">
        <is>
          <t>to be performed</t>
        </is>
      </c>
      <c r="J73" s="257" t="inlineStr">
        <is>
          <t>n/t</t>
        </is>
      </c>
      <c r="K73" s="257" t="inlineStr">
        <is>
          <t>n/t</t>
        </is>
      </c>
      <c r="L73" s="257" t="inlineStr">
        <is>
          <t>n/t</t>
        </is>
      </c>
      <c r="M73" s="256" t="inlineStr">
        <is>
          <t>iCoA-PP_26-084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iCoA-PP_26-088 03.06.26 PP*</t>
        </is>
      </c>
      <c r="H74" s="256" t="inlineStr">
        <is>
          <t>iCoA-PP_26-088 03.06.26 PP*</t>
        </is>
      </c>
      <c r="I74" s="256" t="inlineStr">
        <is>
          <t>to be performed</t>
        </is>
      </c>
      <c r="J74" s="257" t="inlineStr">
        <is>
          <t>n/t</t>
        </is>
      </c>
      <c r="K74" s="257" t="inlineStr">
        <is>
          <t>n/t</t>
        </is>
      </c>
      <c r="L74" s="257" t="inlineStr">
        <is>
          <t>n/t</t>
        </is>
      </c>
      <c r="M74" s="256" t="inlineStr">
        <is>
          <t>iCoA-PP_26-088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iCoA-PP_26-087 03.06.26 PP*</t>
        </is>
      </c>
      <c r="H75" s="256" t="inlineStr">
        <is>
          <t>iCoA-PP_26-087 03.06.26 PP*</t>
        </is>
      </c>
      <c r="I75" s="256" t="inlineStr">
        <is>
          <t>to be performed</t>
        </is>
      </c>
      <c r="J75" s="257" t="inlineStr">
        <is>
          <t>n/t</t>
        </is>
      </c>
      <c r="K75" s="257" t="inlineStr">
        <is>
          <t>n/t</t>
        </is>
      </c>
      <c r="L75" s="257" t="inlineStr">
        <is>
          <t>n/t</t>
        </is>
      </c>
      <c r="M75" s="256" t="inlineStr">
        <is>
          <t>iCoA-PP_26-087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n/t</t>
        </is>
      </c>
      <c r="Q76" s="257" t="inlineStr">
        <is>
          <t>n/t</t>
        </is>
      </c>
      <c r="R76" s="257" t="inlineStr">
        <is>
          <t>n/t</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n/t</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n/t</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n/t</t>
        </is>
      </c>
      <c r="Q80" s="257" t="inlineStr">
        <is>
          <t>n/t</t>
        </is>
      </c>
      <c r="R80" s="257" t="inlineStr">
        <is>
          <t>n/t</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n/t</t>
        </is>
      </c>
      <c r="Q81" s="257" t="inlineStr">
        <is>
          <t>n/t</t>
        </is>
      </c>
      <c r="R81" s="257" t="inlineStr">
        <is>
          <t>n/t</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n/t</t>
        </is>
      </c>
      <c r="Q82" s="257" t="inlineStr">
        <is>
          <t>n/t</t>
        </is>
      </c>
      <c r="R82" s="257" t="inlineStr">
        <is>
          <t>n/t</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n/t</t>
        </is>
      </c>
      <c r="Q83" s="257" t="inlineStr">
        <is>
          <t>n/t</t>
        </is>
      </c>
      <c r="R83" s="257" t="inlineStr">
        <is>
          <t>n/t</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n/t</t>
        </is>
      </c>
      <c r="Q84" s="257" t="inlineStr">
        <is>
          <t>n/t</t>
        </is>
      </c>
      <c r="R84" s="257" t="inlineStr">
        <is>
          <t>n/t</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iCoA-PP_26-122 13.08.26 PP*</t>
        </is>
      </c>
      <c r="H85" s="256" t="inlineStr">
        <is>
          <t>iCoA-PP_26-122 13.08.26 PP*</t>
        </is>
      </c>
      <c r="I85" s="256" t="inlineStr">
        <is>
          <t>to be performed</t>
        </is>
      </c>
      <c r="J85" s="257" t="inlineStr">
        <is>
          <t>n/t</t>
        </is>
      </c>
      <c r="K85" s="257" t="inlineStr">
        <is>
          <t>n/t</t>
        </is>
      </c>
      <c r="L85" s="257" t="inlineStr">
        <is>
          <t>n/t</t>
        </is>
      </c>
      <c r="M85" s="256" t="inlineStr">
        <is>
          <t>iCoA-PP_26-122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iCoA-PP_26-100 27.07.26 PP</t>
        </is>
      </c>
      <c r="H86" s="256" t="inlineStr">
        <is>
          <t>iCoA-PP_26-100 27.07.26 PP</t>
        </is>
      </c>
      <c r="I86" s="256" t="inlineStr">
        <is>
          <t>197-1-К/26 07.08.26 FHM-K</t>
        </is>
      </c>
      <c r="J86" s="256" t="inlineStr">
        <is>
          <t>197-1-К/26 07.08.26 FHM-K</t>
        </is>
      </c>
      <c r="K86" s="256" t="inlineStr">
        <is>
          <t>197-1-К/26 07.08.26 FHM-K</t>
        </is>
      </c>
      <c r="L86" s="256" t="inlineStr">
        <is>
          <t>197-1-К/26 07.08.26 FHM-K</t>
        </is>
      </c>
      <c r="M86" s="256" t="inlineStr">
        <is>
          <t>iCoA-PP_26-100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iCoA-PP_26-101 27.07.26 PP</t>
        </is>
      </c>
      <c r="H87" s="256" t="inlineStr">
        <is>
          <t>iCoA-PP_26-101 27.07.26 PP</t>
        </is>
      </c>
      <c r="I87" s="256" t="inlineStr">
        <is>
          <t>197-2-К/26 07.08.26 FHM-K</t>
        </is>
      </c>
      <c r="J87" s="256" t="inlineStr">
        <is>
          <t>197-2-К/26 07.08.26 FHM-K</t>
        </is>
      </c>
      <c r="K87" s="256" t="inlineStr">
        <is>
          <t>197-2-К/26 07.08.26 FHM-K</t>
        </is>
      </c>
      <c r="L87" s="256" t="inlineStr">
        <is>
          <t>197-2-К/26 07.08.26 FHM-K</t>
        </is>
      </c>
      <c r="M87" s="256" t="inlineStr">
        <is>
          <t>iCoA-PP_26-101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iCoA-PP_26-105 27.07.26 PP</t>
        </is>
      </c>
      <c r="H88" s="256" t="inlineStr">
        <is>
          <t>iCoA-PP_26-105 27.07.26 PP</t>
        </is>
      </c>
      <c r="I88" s="256" t="inlineStr">
        <is>
          <t>197-6-К/26 07.08.26 FHM-K</t>
        </is>
      </c>
      <c r="J88" s="256" t="inlineStr">
        <is>
          <t>197-6-К/26 07.08.26 FHM-K</t>
        </is>
      </c>
      <c r="K88" s="256" t="inlineStr">
        <is>
          <t>197-6-К/26 07.08.26 FHM-K</t>
        </is>
      </c>
      <c r="L88" s="256" t="inlineStr">
        <is>
          <t>197-6-К/26 07.08.26 FHM-K</t>
        </is>
      </c>
      <c r="M88" s="256" t="inlineStr">
        <is>
          <t>iCoA-PP_26-105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iCoA-PP_26-102 27.07.26 PP</t>
        </is>
      </c>
      <c r="H89" s="256" t="inlineStr">
        <is>
          <t>iCoA-PP_26-102 27.07.26 PP</t>
        </is>
      </c>
      <c r="I89" s="256" t="inlineStr">
        <is>
          <t>197-3-К/26 07.08.26 FHM-K</t>
        </is>
      </c>
      <c r="J89" s="256" t="inlineStr">
        <is>
          <t>197-3-К/26 07.08.26 FHM-K</t>
        </is>
      </c>
      <c r="K89" s="256" t="inlineStr">
        <is>
          <t>197-3-К/26 07.08.26 FHM-K</t>
        </is>
      </c>
      <c r="L89" s="256" t="inlineStr">
        <is>
          <t>197-3-К/26 07.08.26 FHM-K</t>
        </is>
      </c>
      <c r="M89" s="256" t="inlineStr">
        <is>
          <t>iCoA-PP_26-102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iCoA-PP_26-104 27.07.26 PP</t>
        </is>
      </c>
      <c r="H90" s="256" t="inlineStr">
        <is>
          <t>iCoA-PP_26-104 27.07.26 PP</t>
        </is>
      </c>
      <c r="I90" s="256" t="inlineStr">
        <is>
          <t>197-5-К/26 07.08.26 FHM-K</t>
        </is>
      </c>
      <c r="J90" s="256" t="inlineStr">
        <is>
          <t>197-5-К/26 07.08.26 FHM-K</t>
        </is>
      </c>
      <c r="K90" s="256" t="inlineStr">
        <is>
          <t>197-5-К/26 07.08.26 FHM-K</t>
        </is>
      </c>
      <c r="L90" s="256" t="inlineStr">
        <is>
          <t>197-5-К/26 07.08.26 FHM-K</t>
        </is>
      </c>
      <c r="M90" s="256" t="inlineStr">
        <is>
          <t>iCoA-PP_26-104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iCoA-PP_26-109 27.07.26 PP</t>
        </is>
      </c>
      <c r="H91" s="256" t="inlineStr">
        <is>
          <t>iCoA-PP_26-109 27.07.26 PP</t>
        </is>
      </c>
      <c r="I91" s="256" t="inlineStr">
        <is>
          <t>197-7-К/26 07.08.26 FHM-K</t>
        </is>
      </c>
      <c r="J91" s="256" t="inlineStr">
        <is>
          <t>197-7-К/26 07.08.26 FHM-K</t>
        </is>
      </c>
      <c r="K91" s="256" t="inlineStr">
        <is>
          <t>197-7-К/26 07.08.26 FHM-K</t>
        </is>
      </c>
      <c r="L91" s="256" t="inlineStr">
        <is>
          <t>197-7-К/26 07.08.26 FHM-K</t>
        </is>
      </c>
      <c r="M91" s="256" t="inlineStr">
        <is>
          <t>iCoA-PP_26-109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iCoA-PP_26-106 27.07.26 PP</t>
        </is>
      </c>
      <c r="H93" s="256" t="inlineStr">
        <is>
          <t>iCoA-PP_26-106 27.07.26 PP</t>
        </is>
      </c>
      <c r="I93" s="256" t="inlineStr">
        <is>
          <t>197-9-К/26 07.08.26 FHM-K</t>
        </is>
      </c>
      <c r="J93" s="256" t="inlineStr">
        <is>
          <t>197-9-К/26 07.08.26 FHM-K</t>
        </is>
      </c>
      <c r="K93" s="256" t="inlineStr">
        <is>
          <t>197-9-К/26 07.08.26 FHM-K</t>
        </is>
      </c>
      <c r="L93" s="256" t="inlineStr">
        <is>
          <t>197-9-К/26 07.08.26 FHM-K</t>
        </is>
      </c>
      <c r="M93" s="256" t="inlineStr">
        <is>
          <t>iCoA-PP_26-106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iCoA-PP_26-107 27.07.26 PP</t>
        </is>
      </c>
      <c r="H94" s="256" t="inlineStr">
        <is>
          <t>iCoA-PP_26-107 27.07.26 PP</t>
        </is>
      </c>
      <c r="I94" s="256" t="inlineStr">
        <is>
          <t>197-10-К/26 07.08.26 FHM-K</t>
        </is>
      </c>
      <c r="J94" s="256" t="inlineStr">
        <is>
          <t>197-10-К/26 07.08.26 FHM-K</t>
        </is>
      </c>
      <c r="K94" s="256" t="inlineStr">
        <is>
          <t>197-10-К/26 07.08.26 FHM-K</t>
        </is>
      </c>
      <c r="L94" s="256" t="inlineStr">
        <is>
          <t>197-10-К/26 07.08.26 FHM-K</t>
        </is>
      </c>
      <c r="M94" s="256" t="inlineStr">
        <is>
          <t>iCoA-PP_26-107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iCoA-PP_26-108 27.07.26 PP</t>
        </is>
      </c>
      <c r="H95" s="256" t="inlineStr">
        <is>
          <t>iCoA-PP_26-108 27.07.26 PP</t>
        </is>
      </c>
      <c r="I95" s="256" t="inlineStr">
        <is>
          <t>197-11-К/26 07.08.26 FHM-K</t>
        </is>
      </c>
      <c r="J95" s="256" t="inlineStr">
        <is>
          <t>197-11-К/26 07.08.26 FHM-K</t>
        </is>
      </c>
      <c r="K95" s="256" t="inlineStr">
        <is>
          <t>197-11-К/26 07.08.26 FHM-K</t>
        </is>
      </c>
      <c r="L95" s="256" t="inlineStr">
        <is>
          <t>197-11-К/26 07.08.26 FHM-K</t>
        </is>
      </c>
      <c r="M95" s="256" t="inlineStr">
        <is>
          <t>iCoA-PP_26-108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iCoA-PP_26-111 27.07.26 PP</t>
        </is>
      </c>
      <c r="H96" s="256" t="inlineStr">
        <is>
          <t>iCoA-PP_26-111 27.07.26 PP</t>
        </is>
      </c>
      <c r="I96" s="256" t="inlineStr">
        <is>
          <t>197-12-К/26 07.08.26 FHM-K</t>
        </is>
      </c>
      <c r="J96" s="256" t="inlineStr">
        <is>
          <t>197-12-К/26 07.08.26 FHM-K</t>
        </is>
      </c>
      <c r="K96" s="256" t="inlineStr">
        <is>
          <t>197-12-К/26 07.08.26 FHM-K</t>
        </is>
      </c>
      <c r="L96" s="256" t="inlineStr">
        <is>
          <t>197-12-К/26 07.08.26 FHM-K</t>
        </is>
      </c>
      <c r="M96" s="256" t="inlineStr">
        <is>
          <t>iCoA-PP_26-111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iCoA-PP_26-112 27.07.26 PP</t>
        </is>
      </c>
      <c r="H97" s="256" t="inlineStr">
        <is>
          <t>iCoA-PP_26-112 27.07.26 PP</t>
        </is>
      </c>
      <c r="I97" s="256" t="inlineStr">
        <is>
          <t>197-13-К/26 07.08.26 FHM-K</t>
        </is>
      </c>
      <c r="J97" s="256" t="inlineStr">
        <is>
          <t>197-13-К/26 07.08.26 FHM-K</t>
        </is>
      </c>
      <c r="K97" s="256" t="inlineStr">
        <is>
          <t>197-13-К/26 07.08.26 FHM-K</t>
        </is>
      </c>
      <c r="L97" s="256" t="inlineStr">
        <is>
          <t>197-13-К/26 07.08.26 FHM-K</t>
        </is>
      </c>
      <c r="M97" s="256" t="inlineStr">
        <is>
          <t>iCoA-PP_26-112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iCoA-PP_26-113 27.07.26 PP</t>
        </is>
      </c>
      <c r="H98" s="256" t="inlineStr">
        <is>
          <t>iCoA-PP_26-113 27.07.26 PP</t>
        </is>
      </c>
      <c r="I98" s="256" t="inlineStr">
        <is>
          <t>197-14-К/26 07.08.26 FHM-K</t>
        </is>
      </c>
      <c r="J98" s="256" t="inlineStr">
        <is>
          <t>197-14-К/26 07.08.26 FHM-K</t>
        </is>
      </c>
      <c r="K98" s="256" t="inlineStr">
        <is>
          <t>197-14-К/26 07.08.26 FHM-K</t>
        </is>
      </c>
      <c r="L98" s="256" t="inlineStr">
        <is>
          <t>197-14-К/26 07.08.26 FHM-K</t>
        </is>
      </c>
      <c r="M98" s="256" t="inlineStr">
        <is>
          <t>iCoA-PP_26-113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iCoA-PP_26-114 27.07.26 PP</t>
        </is>
      </c>
      <c r="H99" s="256" t="inlineStr">
        <is>
          <t>iCoA-PP_26-114 27.07.26 PP</t>
        </is>
      </c>
      <c r="I99" s="256" t="inlineStr">
        <is>
          <t>197-16-К/26 07.08.26 FHM-K</t>
        </is>
      </c>
      <c r="J99" s="256" t="inlineStr">
        <is>
          <t>197-16-К/26 07.08.26 FHM-K</t>
        </is>
      </c>
      <c r="K99" s="256" t="inlineStr">
        <is>
          <t>197-16-К/26 07.08.26 FHM-K</t>
        </is>
      </c>
      <c r="L99" s="256" t="inlineStr">
        <is>
          <t>197-16-К/26 07.08.26 FHM-K</t>
        </is>
      </c>
      <c r="M99" s="256" t="inlineStr">
        <is>
          <t>iCoA-PP_26-114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iCoA-PP_26-115 27.07.26 PP</t>
        </is>
      </c>
      <c r="H100" s="256" t="inlineStr">
        <is>
          <t>iCoA-PP_26-115 27.07.26 PP</t>
        </is>
      </c>
      <c r="I100" s="256" t="inlineStr">
        <is>
          <t>197-15-К/26 07.08.26 FHM-K</t>
        </is>
      </c>
      <c r="J100" s="256" t="inlineStr">
        <is>
          <t>197-15-К/26 07.08.26 FHM-K</t>
        </is>
      </c>
      <c r="K100" s="256" t="inlineStr">
        <is>
          <t>197-15-К/26 07.08.26 FHM-K</t>
        </is>
      </c>
      <c r="L100" s="256" t="inlineStr">
        <is>
          <t>197-15-К/26 07.08.26 FHM-K</t>
        </is>
      </c>
      <c r="M100" s="256" t="inlineStr">
        <is>
          <t>iCoA-PP_26-115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iCoA-PP_26-116 27.07.26 PP</t>
        </is>
      </c>
      <c r="H101" s="256" t="inlineStr">
        <is>
          <t>iCoA-PP_26-116 27.07.26 PP</t>
        </is>
      </c>
      <c r="I101" s="256" t="inlineStr">
        <is>
          <t>197-17-К/26 07.08.26 FHM-K</t>
        </is>
      </c>
      <c r="J101" s="256" t="inlineStr">
        <is>
          <t>197-17-К/26 07.08.26 FHM-K</t>
        </is>
      </c>
      <c r="K101" s="256" t="inlineStr">
        <is>
          <t>197-17-К/26 07.08.26 FHM-K</t>
        </is>
      </c>
      <c r="L101" s="256" t="inlineStr">
        <is>
          <t>197-17-К/26 07.08.26 FHM-K</t>
        </is>
      </c>
      <c r="M101" s="256" t="inlineStr">
        <is>
          <t>iCoA-PP_26-116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iCoA-PP_26-117 27.07.26 PP</t>
        </is>
      </c>
      <c r="H102" s="256" t="inlineStr">
        <is>
          <t>iCoA-PP_26-117 27.07.26 PP</t>
        </is>
      </c>
      <c r="I102" s="256" t="inlineStr">
        <is>
          <t>197-18-К/26 07.08.26 FHM-K</t>
        </is>
      </c>
      <c r="J102" s="256" t="inlineStr">
        <is>
          <t>197-18-К/26 07.08.26 FHM-K</t>
        </is>
      </c>
      <c r="K102" s="256" t="inlineStr">
        <is>
          <t>197-18-К/26 07.08.26 FHM-K</t>
        </is>
      </c>
      <c r="L102" s="256" t="inlineStr">
        <is>
          <t>197-18-К/26 07.08.26 FHM-K</t>
        </is>
      </c>
      <c r="M102" s="256" t="inlineStr">
        <is>
          <t>iCoA-PP_26-117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iCoA-PP_26-118 27.07.26 PP</t>
        </is>
      </c>
      <c r="H103" s="256" t="inlineStr">
        <is>
          <t>iCoA-PP_26-118 27.07.26 PP</t>
        </is>
      </c>
      <c r="I103" s="256" t="inlineStr">
        <is>
          <t>197-19-К/26 07.08.26 FHM-K</t>
        </is>
      </c>
      <c r="J103" s="256" t="inlineStr">
        <is>
          <t>197-19-К/26 07.08.26 FHM-K</t>
        </is>
      </c>
      <c r="K103" s="256" t="inlineStr">
        <is>
          <t>197-19-К/26 07.08.26 FHM-K</t>
        </is>
      </c>
      <c r="L103" s="256" t="inlineStr">
        <is>
          <t>197-19-К/26 07.08.26 FHM-K</t>
        </is>
      </c>
      <c r="M103" s="256" t="inlineStr">
        <is>
          <t>iCoA-PP_26-118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iCoA-PP_26-120 27.07.26 PP</t>
        </is>
      </c>
      <c r="H104" s="256" t="inlineStr">
        <is>
          <t>iCoA-PP_26-120 27.07.26 PP</t>
        </is>
      </c>
      <c r="I104" s="256" t="inlineStr">
        <is>
          <t>197-20-К/26 07.08.26 FHM-K</t>
        </is>
      </c>
      <c r="J104" s="256" t="inlineStr">
        <is>
          <t>197-20-К/26 07.08.26 FHM-K</t>
        </is>
      </c>
      <c r="K104" s="256" t="inlineStr">
        <is>
          <t>197-20-К/26 07.08.26 FHM-K</t>
        </is>
      </c>
      <c r="L104" s="256" t="inlineStr">
        <is>
          <t>197-20-К/26 07.08.26 FHM-K</t>
        </is>
      </c>
      <c r="M104" s="256" t="inlineStr">
        <is>
          <t>iCoA-PP_26-120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iCoA-PP_26-119 27.07.26 PP</t>
        </is>
      </c>
      <c r="H105" s="256" t="inlineStr">
        <is>
          <t>iCoA-PP_26-119 27.07.26 PP</t>
        </is>
      </c>
      <c r="I105" s="256" t="inlineStr">
        <is>
          <t>197-21-К/26 07.08.26 FHM-K</t>
        </is>
      </c>
      <c r="J105" s="256" t="inlineStr">
        <is>
          <t>197-21-К/26 07.08.26 FHM-K</t>
        </is>
      </c>
      <c r="K105" s="256" t="inlineStr">
        <is>
          <t>197-21-К/26 07.08.26 FHM-K</t>
        </is>
      </c>
      <c r="L105" s="256" t="inlineStr">
        <is>
          <t>197-21-К/26 07.08.26 FHM-K</t>
        </is>
      </c>
      <c r="M105" s="256" t="inlineStr">
        <is>
          <t>iCoA-PP_26-119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iCoA-PP_26-103 27.07.26 PP</t>
        </is>
      </c>
      <c r="H106" s="256" t="inlineStr">
        <is>
          <t>iCoA-PP_26-103 27.07.26 PP</t>
        </is>
      </c>
      <c r="I106" s="256" t="inlineStr">
        <is>
          <t>197-4-К/26 07.08.26 FHM-K</t>
        </is>
      </c>
      <c r="J106" s="256" t="inlineStr">
        <is>
          <t>197-4-К/26 07.08.26 FHM-K</t>
        </is>
      </c>
      <c r="K106" s="256" t="inlineStr">
        <is>
          <t>197-4-К/26 07.08.26 FHM-K</t>
        </is>
      </c>
      <c r="L106" s="256" t="inlineStr">
        <is>
          <t>197-4-К/26 07.08.26 FHM-K</t>
        </is>
      </c>
      <c r="M106" s="256" t="inlineStr">
        <is>
          <t>iCoA-PP_26-103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iCoA-PP_26-123 17.08.26 PP*</t>
        </is>
      </c>
      <c r="H107" s="256" t="inlineStr">
        <is>
          <t>iCoA-PP_26-123 17.08.26 PP*</t>
        </is>
      </c>
      <c r="I107" s="256" t="inlineStr">
        <is>
          <t>220-1-К/26 25.08.26 FHM-K</t>
        </is>
      </c>
      <c r="J107" s="256" t="inlineStr">
        <is>
          <t>220-1-К/26 25.08.26 FHM-K</t>
        </is>
      </c>
      <c r="K107" s="256" t="inlineStr">
        <is>
          <t>220-1-К/26 25.08.26 FHM-K</t>
        </is>
      </c>
      <c r="L107" s="256" t="inlineStr">
        <is>
          <t>220-1-К/26 25.08.26 FHM-K</t>
        </is>
      </c>
      <c r="M107" s="256" t="inlineStr">
        <is>
          <t>iCoA-PP_26-123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iCoA-PP_26-124 17.08.26 PP</t>
        </is>
      </c>
      <c r="H108" s="256" t="inlineStr">
        <is>
          <t>iCoA-PP_26-124 17.08.26 PP</t>
        </is>
      </c>
      <c r="I108" s="256" t="inlineStr">
        <is>
          <t>220-2-К/26 25.08.26 FHM-K</t>
        </is>
      </c>
      <c r="J108" s="256" t="inlineStr">
        <is>
          <t>220-2-К/26 25.08.26 FHM-K</t>
        </is>
      </c>
      <c r="K108" s="256" t="inlineStr">
        <is>
          <t>220-2-К/26 25.08.26 FHM-K</t>
        </is>
      </c>
      <c r="L108" s="256" t="inlineStr">
        <is>
          <t>220-2-К/26 25.08.26 FHM-K</t>
        </is>
      </c>
      <c r="M108" s="256" t="inlineStr">
        <is>
          <t>iCoA-PP_26-124 17.08.26 PP</t>
        </is>
      </c>
      <c r="N108" s="256" t="inlineStr">
        <is>
          <t>iCoA-PP_26-024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iCoA-PP_26-145 17.08.26 PP*</t>
        </is>
      </c>
      <c r="H109" s="256" t="inlineStr">
        <is>
          <t>iCoA-PP_26-145 17.08.26 PP*</t>
        </is>
      </c>
      <c r="I109" s="256" t="inlineStr">
        <is>
          <t>220-29-К/26 26.08.26 FHM-K</t>
        </is>
      </c>
      <c r="J109" s="256" t="inlineStr">
        <is>
          <t>220-29-К/26 26.08.26 FHM-K</t>
        </is>
      </c>
      <c r="K109" s="256" t="inlineStr">
        <is>
          <t>220-29-К/26 26.08.26 FHM-K</t>
        </is>
      </c>
      <c r="L109" s="256" t="inlineStr">
        <is>
          <t>220-29-К/26 26.08.26 FHM-K</t>
        </is>
      </c>
      <c r="M109" s="256" t="inlineStr">
        <is>
          <t>iCoA-PP_26-145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iCoA-PP_26-125 17.08.26 PP*</t>
        </is>
      </c>
      <c r="H110" s="256" t="inlineStr">
        <is>
          <t>iCoA-PP_26-125 17.08.26 PP*</t>
        </is>
      </c>
      <c r="I110" s="256" t="inlineStr">
        <is>
          <t>220-6-К/26 25.08.26 FHM-K</t>
        </is>
      </c>
      <c r="J110" s="256" t="inlineStr">
        <is>
          <t>220-6-К/26 25.08.26 FHM-K</t>
        </is>
      </c>
      <c r="K110" s="256" t="inlineStr">
        <is>
          <t>220-6-К/26 25.08.26 FHM-K</t>
        </is>
      </c>
      <c r="L110" s="256" t="inlineStr">
        <is>
          <t>220-6-К/26 25.08.26 FHM-K</t>
        </is>
      </c>
      <c r="M110" s="256" t="inlineStr">
        <is>
          <t>iCoA-PP_26-125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iCoA-PP_26-126 17.08.26 PP</t>
        </is>
      </c>
      <c r="H111" s="256" t="inlineStr">
        <is>
          <t>iCoA-PP_26-126 17.08.26 PP</t>
        </is>
      </c>
      <c r="I111" s="256" t="inlineStr">
        <is>
          <t>220-3-К/26 25.08.26 FHM-K</t>
        </is>
      </c>
      <c r="J111" s="256" t="inlineStr">
        <is>
          <t>220-3-К/26 25.08.26 FHM-K</t>
        </is>
      </c>
      <c r="K111" s="256" t="inlineStr">
        <is>
          <t>220-3-К/26 25.08.26 FHM-K</t>
        </is>
      </c>
      <c r="L111" s="256" t="inlineStr">
        <is>
          <t>220-3-К/26 25.08.26 FHM-K</t>
        </is>
      </c>
      <c r="M111" s="256" t="inlineStr">
        <is>
          <t>iCoA-PP_26-126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iCoA-PP_26-127 17.08.26 PP</t>
        </is>
      </c>
      <c r="H112" s="256" t="inlineStr">
        <is>
          <t>iCoA-PP_26-127 17.08.26 PP</t>
        </is>
      </c>
      <c r="I112" s="256" t="inlineStr">
        <is>
          <t>220-4-К/26 25.08.26 FHM-K</t>
        </is>
      </c>
      <c r="J112" s="256" t="inlineStr">
        <is>
          <t>220-4-К/26 25.08.26 FHM-K</t>
        </is>
      </c>
      <c r="K112" s="256" t="inlineStr">
        <is>
          <t>220-4-К/26 25.08.26 FHM-K</t>
        </is>
      </c>
      <c r="L112" s="256" t="inlineStr">
        <is>
          <t>220-4-К/26 25.08.26 FHM-K</t>
        </is>
      </c>
      <c r="M112" s="256" t="inlineStr">
        <is>
          <t>iCoA-PP_26-127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iCoA-PP_26-128 17.08.26 PP</t>
        </is>
      </c>
      <c r="H113" s="256" t="inlineStr">
        <is>
          <t>iCoA-PP_26-128 17.08.26 PP</t>
        </is>
      </c>
      <c r="I113" s="256" t="inlineStr">
        <is>
          <t>220-5-К/26 25.08.26 FHM-K</t>
        </is>
      </c>
      <c r="J113" s="256" t="inlineStr">
        <is>
          <t>220-5-К/26 25.08.26 FHM-K</t>
        </is>
      </c>
      <c r="K113" s="256" t="inlineStr">
        <is>
          <t>220-5-К/26 25.08.26 FHM-K</t>
        </is>
      </c>
      <c r="L113" s="256" t="inlineStr">
        <is>
          <t>220-5-К/26 25.08.26 FHM-K</t>
        </is>
      </c>
      <c r="M113" s="256" t="inlineStr">
        <is>
          <t>iCoA-PP_26-128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iCoA-PP_26-129 17.08.26 PP</t>
        </is>
      </c>
      <c r="H114" s="256" t="inlineStr">
        <is>
          <t>iCoA-PP_26-129 17.08.26 PP</t>
        </is>
      </c>
      <c r="I114" s="256" t="inlineStr">
        <is>
          <t>220-7-К/26 25.08.26 FHM-K</t>
        </is>
      </c>
      <c r="J114" s="256" t="inlineStr">
        <is>
          <t>220-7-К/26 25.08.26 FHM-K</t>
        </is>
      </c>
      <c r="K114" s="256" t="inlineStr">
        <is>
          <t>220-7-К/26 25.08.26 FHM-K</t>
        </is>
      </c>
      <c r="L114" s="256" t="inlineStr">
        <is>
          <t>220-7-К/26 25.08.26 FHM-K</t>
        </is>
      </c>
      <c r="M114" s="256" t="inlineStr">
        <is>
          <t>iCoA-PP_26-129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iCoA-PP_26-130 17.08.26 PP</t>
        </is>
      </c>
      <c r="H115" s="256" t="inlineStr">
        <is>
          <t>iCoA-PP_26-130 17.08.26 PP</t>
        </is>
      </c>
      <c r="I115" s="256" t="inlineStr">
        <is>
          <t>220-8-К/26 25.08.26 FHM-K</t>
        </is>
      </c>
      <c r="J115" s="256" t="inlineStr">
        <is>
          <t>220-8-К/26 25.08.26 FHM-K</t>
        </is>
      </c>
      <c r="K115" s="256" t="inlineStr">
        <is>
          <t>220-8-К/26 25.08.26 FHM-K</t>
        </is>
      </c>
      <c r="L115" s="256" t="inlineStr">
        <is>
          <t>220-8-К/26 25.08.26 FHM-K</t>
        </is>
      </c>
      <c r="M115" s="256" t="inlineStr">
        <is>
          <t>iCoA-PP_26-130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iCoA-PP_26-131 17.08.26 PP</t>
        </is>
      </c>
      <c r="H116" s="256" t="inlineStr">
        <is>
          <t>iCoA-PP_26-131 17.08.26 PP</t>
        </is>
      </c>
      <c r="I116" s="256" t="inlineStr">
        <is>
          <t>220-9-К/26 25.08.26 FHM-K</t>
        </is>
      </c>
      <c r="J116" s="256" t="inlineStr">
        <is>
          <t>220-9-К/26 25.08.26 FHM-K</t>
        </is>
      </c>
      <c r="K116" s="256" t="inlineStr">
        <is>
          <t>220-9-К/26 25.08.26 FHM-K</t>
        </is>
      </c>
      <c r="L116" s="256" t="inlineStr">
        <is>
          <t>220-9-К/26 25.08.26 FHM-K</t>
        </is>
      </c>
      <c r="M116" s="256" t="inlineStr">
        <is>
          <t>iCoA-PP_26-131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iCoA-PP_26-132 17.08.26 PP</t>
        </is>
      </c>
      <c r="H117" s="256" t="inlineStr">
        <is>
          <t>iCoA-PP_26-132 17.08.26 PP</t>
        </is>
      </c>
      <c r="I117" s="256" t="inlineStr">
        <is>
          <t>220-10-К/26 25.08.26 FHM-K</t>
        </is>
      </c>
      <c r="J117" s="256" t="inlineStr">
        <is>
          <t>220-10-К/26 25.08.26 FHM-K</t>
        </is>
      </c>
      <c r="K117" s="256" t="inlineStr">
        <is>
          <t>220-10-К/26 25.08.26 FHM-K</t>
        </is>
      </c>
      <c r="L117" s="256" t="inlineStr">
        <is>
          <t>220-10-К/26 25.08.26 FHM-K</t>
        </is>
      </c>
      <c r="M117" s="256" t="inlineStr">
        <is>
          <t>iCoA-PP_26-132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iCoA-PP_26-133 17.08.26 PP</t>
        </is>
      </c>
      <c r="H118" s="256" t="inlineStr">
        <is>
          <t>iCoA-PP_26-133 17.08.26 PP</t>
        </is>
      </c>
      <c r="I118" s="256" t="inlineStr">
        <is>
          <t>220-11-К/26 25.08.26 FHM-K</t>
        </is>
      </c>
      <c r="J118" s="256" t="inlineStr">
        <is>
          <t>220-11-К/26 25.08.26 FHM-K</t>
        </is>
      </c>
      <c r="K118" s="256" t="inlineStr">
        <is>
          <t>220-11-К/26 25.08.26 FHM-K</t>
        </is>
      </c>
      <c r="L118" s="256" t="inlineStr">
        <is>
          <t>220-11-К/26 25.08.26 FHM-K</t>
        </is>
      </c>
      <c r="M118" s="256" t="inlineStr">
        <is>
          <t>iCoA-PP_26-133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iCoA-PP_26-134 17.08.26 PP</t>
        </is>
      </c>
      <c r="H119" s="256" t="inlineStr">
        <is>
          <t>iCoA-PP_26-134 17.08.26 PP</t>
        </is>
      </c>
      <c r="I119" s="256" t="inlineStr">
        <is>
          <t>220-12-К/26 25.08.26 FHM-K</t>
        </is>
      </c>
      <c r="J119" s="256" t="inlineStr">
        <is>
          <t>220-12-К/26 25.08.26 FHM-K</t>
        </is>
      </c>
      <c r="K119" s="256" t="inlineStr">
        <is>
          <t>220-12-К/26 25.08.26 FHM-K</t>
        </is>
      </c>
      <c r="L119" s="256" t="inlineStr">
        <is>
          <t>220-12-К/26 25.08.26 FHM-K</t>
        </is>
      </c>
      <c r="M119" s="256" t="inlineStr">
        <is>
          <t>iCoA-PP_26-134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iCoA-PP_26-135 17.08.26 PP</t>
        </is>
      </c>
      <c r="H120" s="256" t="inlineStr">
        <is>
          <t>iCoA-PP_26-135 17.08.26 PP</t>
        </is>
      </c>
      <c r="I120" s="256" t="inlineStr">
        <is>
          <t>220-13-К/26 25.08.26 FHM-K</t>
        </is>
      </c>
      <c r="J120" s="256" t="inlineStr">
        <is>
          <t>220-13-К/26 25.08.26 FHM-K</t>
        </is>
      </c>
      <c r="K120" s="256" t="inlineStr">
        <is>
          <t>220-13-К/26 25.08.26 FHM-K</t>
        </is>
      </c>
      <c r="L120" s="256" t="inlineStr">
        <is>
          <t>220-13-К/26 25.08.26 FHM-K</t>
        </is>
      </c>
      <c r="M120" s="256" t="inlineStr">
        <is>
          <t>iCoA-PP_26-135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iCoA-PP_26-136 17.08.26 PP*</t>
        </is>
      </c>
      <c r="H121" s="256" t="inlineStr">
        <is>
          <t>iCoA-PP_26-136 17.08.26 PP*</t>
        </is>
      </c>
      <c r="I121" s="256" t="inlineStr">
        <is>
          <t>220-14-К/26 25.08.26 FHM-K</t>
        </is>
      </c>
      <c r="J121" s="256" t="inlineStr">
        <is>
          <t>220-14-К/26 25.08.26 FHM-K</t>
        </is>
      </c>
      <c r="K121" s="256" t="inlineStr">
        <is>
          <t>220-14-К/26 25.08.26 FHM-K</t>
        </is>
      </c>
      <c r="L121" s="256" t="inlineStr">
        <is>
          <t>220-14-К/26 25.08.26 FHM-K</t>
        </is>
      </c>
      <c r="M121" s="256" t="inlineStr">
        <is>
          <t>iCoA-PP_26-136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iCoA-PP_26-137 17.08.26 PP</t>
        </is>
      </c>
      <c r="H122" s="256" t="inlineStr">
        <is>
          <t>iCoA-PP_26-137 17.08.26 PP</t>
        </is>
      </c>
      <c r="I122" s="256" t="inlineStr">
        <is>
          <t>220-15-К/26 25.08.26 FHM-K</t>
        </is>
      </c>
      <c r="J122" s="256" t="inlineStr">
        <is>
          <t>220-15-К/26 25.08.26 FHM-K</t>
        </is>
      </c>
      <c r="K122" s="256" t="inlineStr">
        <is>
          <t>220-15-К/26 25.08.26 FHM-K</t>
        </is>
      </c>
      <c r="L122" s="256" t="inlineStr">
        <is>
          <t>220-15-К/26 25.08.26 FHM-K</t>
        </is>
      </c>
      <c r="M122" s="256" t="inlineStr">
        <is>
          <t>iCoA-PP_26-137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iCoA-PP_26-140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iCoA-PP_26-148 17.08.26 PP*</t>
        </is>
      </c>
      <c r="H126" s="256" t="inlineStr">
        <is>
          <t>iCoA-PP_26-148 17.08.26 PP*</t>
        </is>
      </c>
      <c r="I126" s="256" t="inlineStr">
        <is>
          <t>220-30-К/26 26.08.26 FHM-K</t>
        </is>
      </c>
      <c r="J126" s="256" t="inlineStr">
        <is>
          <t>220-30-К/26 26.08.26 FHM-K</t>
        </is>
      </c>
      <c r="K126" s="256" t="inlineStr">
        <is>
          <t>220-30-К/26 26.08.26 FHM-K</t>
        </is>
      </c>
      <c r="L126" s="256" t="inlineStr">
        <is>
          <t>220-30-К/26 26.08.26 FHM-K</t>
        </is>
      </c>
      <c r="M126" s="256" t="inlineStr">
        <is>
          <t>iCoA-PP_26-148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iCoA-PP_26-141 17.08.26 PP</t>
        </is>
      </c>
      <c r="H127" s="256" t="inlineStr">
        <is>
          <t>iCoA-PP_26-141 17.08.26 PP</t>
        </is>
      </c>
      <c r="I127" s="256" t="inlineStr">
        <is>
          <t>220-19-К/26 26.08.26 FHM-K</t>
        </is>
      </c>
      <c r="J127" s="256" t="inlineStr">
        <is>
          <t>220-19-К/26 26.08.26 FHM-K</t>
        </is>
      </c>
      <c r="K127" s="256" t="inlineStr">
        <is>
          <t>220-19-К/26 26.08.26 FHM-K</t>
        </is>
      </c>
      <c r="L127" s="256" t="inlineStr">
        <is>
          <t>220-19-К/26 26.08.26 FHM-K</t>
        </is>
      </c>
      <c r="M127" s="256" t="inlineStr">
        <is>
          <t>iCoA-PP_26-141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iCoA-PP_26-142 17.08.26 PP</t>
        </is>
      </c>
      <c r="H128" s="256" t="inlineStr">
        <is>
          <t>iCoA-PP_26-142 17.08.26 PP</t>
        </is>
      </c>
      <c r="I128" s="256" t="inlineStr">
        <is>
          <t>220-20-К/26 26.08.26 FHM-K</t>
        </is>
      </c>
      <c r="J128" s="256" t="inlineStr">
        <is>
          <t>220-20-К/26 26.08.26 FHM-K</t>
        </is>
      </c>
      <c r="K128" s="256" t="inlineStr">
        <is>
          <t>220-20-К/26 26.08.26 FHM-K</t>
        </is>
      </c>
      <c r="L128" s="256" t="inlineStr">
        <is>
          <t>220-20-К/26 26.08.26 FHM-K</t>
        </is>
      </c>
      <c r="M128" s="256" t="inlineStr">
        <is>
          <t>iCoA-PP_26-142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iCoA-PP_26-144 17.08.26 PP</t>
        </is>
      </c>
      <c r="H129" s="256" t="inlineStr">
        <is>
          <t>iCoA-PP_26-144 17.08.26 PP</t>
        </is>
      </c>
      <c r="I129" s="256" t="inlineStr">
        <is>
          <t>220-21-К/26 26.08.26 FHM-K</t>
        </is>
      </c>
      <c r="J129" s="256" t="inlineStr">
        <is>
          <t>220-21-К/26 26.08.26 FHM-K</t>
        </is>
      </c>
      <c r="K129" s="256" t="inlineStr">
        <is>
          <t>220-21-К/26 26.08.26 FHM-K</t>
        </is>
      </c>
      <c r="L129" s="256" t="inlineStr">
        <is>
          <t>220-21-К/26 26.08.26 FHM-K</t>
        </is>
      </c>
      <c r="M129" s="256" t="inlineStr">
        <is>
          <t>iCoA-PP_26-144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iCoA-PP_26-143 17.08.26 PP</t>
        </is>
      </c>
      <c r="H130" s="256" t="inlineStr">
        <is>
          <t>iCoA-PP_26-143 17.08.26 PP</t>
        </is>
      </c>
      <c r="I130" s="256" t="inlineStr">
        <is>
          <t>220-22-К/26 26.08.26 FHM-K</t>
        </is>
      </c>
      <c r="J130" s="256" t="inlineStr">
        <is>
          <t>220-22-К/26 26.08.26 FHM-K</t>
        </is>
      </c>
      <c r="K130" s="256" t="inlineStr">
        <is>
          <t>220-22-К/26 26.08.26 FHM-K</t>
        </is>
      </c>
      <c r="L130" s="256" t="inlineStr">
        <is>
          <t>220-22-К/26 26.08.26 FHM-K</t>
        </is>
      </c>
      <c r="M130" s="256" t="inlineStr">
        <is>
          <t>iCoA-PP_26-143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iCoA-PP_26-149 17.08.26 PP</t>
        </is>
      </c>
      <c r="H131" s="256" t="inlineStr">
        <is>
          <t>iCoA-PP_26-149 17.08.26 PP</t>
        </is>
      </c>
      <c r="I131" s="256" t="inlineStr">
        <is>
          <t>220-23-К/26 26.08.26 FHM-K</t>
        </is>
      </c>
      <c r="J131" s="256" t="inlineStr">
        <is>
          <t>220-23-К/26 26.08.26 FHM-K</t>
        </is>
      </c>
      <c r="K131" s="256" t="inlineStr">
        <is>
          <t>220-23-К/26 26.08.26 FHM-K</t>
        </is>
      </c>
      <c r="L131" s="256" t="inlineStr">
        <is>
          <t>220-23-К/26 26.08.26 FHM-K</t>
        </is>
      </c>
      <c r="M131" s="256" t="inlineStr">
        <is>
          <t>iCoA-PP_26-149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iCoA-PP_26-150 17.08.26 PP</t>
        </is>
      </c>
      <c r="H132" s="256" t="inlineStr">
        <is>
          <t>iCoA-PP_26-150 17.08.26 PP</t>
        </is>
      </c>
      <c r="I132" s="256" t="inlineStr">
        <is>
          <t>220-24-К/26 26.08.26 FHM-K</t>
        </is>
      </c>
      <c r="J132" s="256" t="inlineStr">
        <is>
          <t>220-24-К/26 26.08.26 FHM-K</t>
        </is>
      </c>
      <c r="K132" s="256" t="inlineStr">
        <is>
          <t>220-24-К/26 26.08.26 FHM-K</t>
        </is>
      </c>
      <c r="L132" s="256" t="inlineStr">
        <is>
          <t>220-24-К/26 26.08.26 FHM-K</t>
        </is>
      </c>
      <c r="M132" s="256" t="inlineStr">
        <is>
          <t>iCoA-PP_26-150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iCoA-PP_26-151 17.08.26 PP*</t>
        </is>
      </c>
      <c r="H133" s="256" t="inlineStr">
        <is>
          <t>iCoA-PP_26-151 17.08.26 PP*</t>
        </is>
      </c>
      <c r="I133" s="256" t="inlineStr">
        <is>
          <t>220-25-К/26 26.08.26 FHM-K</t>
        </is>
      </c>
      <c r="J133" s="256" t="inlineStr">
        <is>
          <t>220-25-К/26 26.08.26 FHM-K</t>
        </is>
      </c>
      <c r="K133" s="256" t="inlineStr">
        <is>
          <t>220-25-К/26 26.08.26 FHM-K</t>
        </is>
      </c>
      <c r="L133" s="256" t="inlineStr">
        <is>
          <t>220-25-К/26 26.08.26 FHM-K</t>
        </is>
      </c>
      <c r="M133" s="256" t="inlineStr">
        <is>
          <t>iCoA-PP_26-151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iCoA-PP_26-152 17.08.26 PP</t>
        </is>
      </c>
      <c r="H134" s="256" t="inlineStr">
        <is>
          <t>iCoA-PP_26-152 17.08.26 PP</t>
        </is>
      </c>
      <c r="I134" s="256" t="inlineStr">
        <is>
          <t>220-26-К/26 26.08.26 FHM-K</t>
        </is>
      </c>
      <c r="J134" s="256" t="inlineStr">
        <is>
          <t>220-26-К/26 26.08.26 FHM-K</t>
        </is>
      </c>
      <c r="K134" s="256" t="inlineStr">
        <is>
          <t>220-26-К/26 26.08.26 FHM-K</t>
        </is>
      </c>
      <c r="L134" s="256" t="inlineStr">
        <is>
          <t>220-26-К/26 26.08.26 FHM-K</t>
        </is>
      </c>
      <c r="M134" s="256" t="inlineStr">
        <is>
          <t>iCoA-PP_26-152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iCoA-PP_26-153 17.08.26 PP</t>
        </is>
      </c>
      <c r="H135" s="256" t="inlineStr">
        <is>
          <t>iCoA-PP_26-153 17.08.26 PP*</t>
        </is>
      </c>
      <c r="I135" s="256" t="inlineStr">
        <is>
          <t>220-27-К/26 26.08.26 FHM-K</t>
        </is>
      </c>
      <c r="J135" s="256" t="inlineStr">
        <is>
          <t>220-27-К/26 26.08.26 FHM-K</t>
        </is>
      </c>
      <c r="K135" s="256" t="inlineStr">
        <is>
          <t>220-27-К/26 26.08.26 FHM-K</t>
        </is>
      </c>
      <c r="L135" s="256" t="inlineStr">
        <is>
          <t>220-27-К/26 26.08.26 FHM-K</t>
        </is>
      </c>
      <c r="M135" s="256" t="inlineStr">
        <is>
          <t>iCoA-PP_26-153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iCoA-PP_26-154 17.08.26 PP</t>
        </is>
      </c>
      <c r="H136" s="256" t="inlineStr">
        <is>
          <t>iCoA-PP_26-154 17.08.26 PP</t>
        </is>
      </c>
      <c r="I136" s="256" t="inlineStr">
        <is>
          <t>220-28-К/26 26.08.26 FHM-K</t>
        </is>
      </c>
      <c r="J136" s="256" t="inlineStr">
        <is>
          <t>220-28-К/26 26.08.26 FHM-K</t>
        </is>
      </c>
      <c r="K136" s="256" t="inlineStr">
        <is>
          <t>220-28-К/26 26.08.26 FHM-K</t>
        </is>
      </c>
      <c r="L136" s="256" t="inlineStr">
        <is>
          <t>220-28-К/26 26.08.26 FHM-K</t>
        </is>
      </c>
      <c r="M136" s="256" t="inlineStr">
        <is>
          <t>iCoA-PP_26-154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iCoA-PP_26-175 24.08.26 PP</t>
        </is>
      </c>
      <c r="H137" s="256" t="inlineStr">
        <is>
          <t>iCoA-PP_26-175 24.08.26 PP*</t>
        </is>
      </c>
      <c r="I137" s="256" t="inlineStr">
        <is>
          <t>227-30-К/26 11.09.26 FHM-K</t>
        </is>
      </c>
      <c r="J137" s="256" t="inlineStr">
        <is>
          <t>227-30-К/26 11.09.26 FHM-K</t>
        </is>
      </c>
      <c r="K137" s="256" t="inlineStr">
        <is>
          <t>227-30-К/26 11.09.26 FHM-K</t>
        </is>
      </c>
      <c r="L137" s="256" t="inlineStr">
        <is>
          <t>227-30-К/26 11.09.26 FHM-K</t>
        </is>
      </c>
      <c r="M137" s="256" t="inlineStr">
        <is>
          <t>iCoA-PP_26-175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iCoA-PP_26-176 24.08.26 PP</t>
        </is>
      </c>
      <c r="H138" s="256" t="inlineStr">
        <is>
          <t>iCoA-PP_26-176 24.08.26 PP*</t>
        </is>
      </c>
      <c r="I138" s="256" t="inlineStr">
        <is>
          <t>227-29-К/26 11.09.26 FHM-K</t>
        </is>
      </c>
      <c r="J138" s="256" t="inlineStr">
        <is>
          <t>227-29-К/26 11.09.26 FHM-K</t>
        </is>
      </c>
      <c r="K138" s="256" t="inlineStr">
        <is>
          <t>227-29-К/26 11.09.26 FHM-K</t>
        </is>
      </c>
      <c r="L138" s="256" t="inlineStr">
        <is>
          <t>227-29-К/26 11.09.26 FHM-K</t>
        </is>
      </c>
      <c r="M138" s="256" t="inlineStr">
        <is>
          <t>iCoA-PP_26-176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iCoA-PP_26-155 24.08.26 PP*</t>
        </is>
      </c>
      <c r="H139" s="256" t="inlineStr">
        <is>
          <t>iCoA-PP_26-155 24.08.26 PP*</t>
        </is>
      </c>
      <c r="I139" s="256" t="inlineStr">
        <is>
          <t>227-1-К/26 11.09.26 FHM-K</t>
        </is>
      </c>
      <c r="J139" s="256" t="inlineStr">
        <is>
          <t>227-1-К/26 11.09.26 FHM-K</t>
        </is>
      </c>
      <c r="K139" s="256" t="inlineStr">
        <is>
          <t>227-1-К/26 11.09.26 FHM-K</t>
        </is>
      </c>
      <c r="L139" s="256" t="inlineStr">
        <is>
          <t>227-1-К/26 11.09.26 FHM-K</t>
        </is>
      </c>
      <c r="M139" s="256" t="inlineStr">
        <is>
          <t>iCoA-PP_26-155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iCoA-PP_26-177 24.08.26 PP*</t>
        </is>
      </c>
      <c r="H140" s="256" t="inlineStr">
        <is>
          <t>iCoA-PP_26-177 24.08.26 PP*</t>
        </is>
      </c>
      <c r="I140" s="256" t="inlineStr">
        <is>
          <t>227-25-К/26 11.09.26 FHM-K</t>
        </is>
      </c>
      <c r="J140" s="256" t="inlineStr">
        <is>
          <t>227-25-К/26 11.09.26 FHM-K</t>
        </is>
      </c>
      <c r="K140" s="256" t="inlineStr">
        <is>
          <t>227-25-К/26 11.09.26 FHM-K</t>
        </is>
      </c>
      <c r="L140" s="256" t="inlineStr">
        <is>
          <t>227-25-К/26 11.09.26 FHM-K</t>
        </is>
      </c>
      <c r="M140" s="256" t="inlineStr">
        <is>
          <t>iCoA-PP_26-177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iCoA-PP_26-178 24.08.26 PP</t>
        </is>
      </c>
      <c r="H141" s="256" t="inlineStr">
        <is>
          <t>iCoA-PP_26-178 24.08.26 PP*</t>
        </is>
      </c>
      <c r="I141" s="256" t="inlineStr">
        <is>
          <t>227-28-К/26 11.09.26 FHM-K</t>
        </is>
      </c>
      <c r="J141" s="256" t="inlineStr">
        <is>
          <t>227-28-К/26 11.09.26 FHM-K</t>
        </is>
      </c>
      <c r="K141" s="256" t="inlineStr">
        <is>
          <t>227-28-К/26 11.09.26 FHM-K</t>
        </is>
      </c>
      <c r="L141" s="256" t="inlineStr">
        <is>
          <t>227-28-К/26 11.09.26 FHM-K</t>
        </is>
      </c>
      <c r="M141" s="256" t="inlineStr">
        <is>
          <t>iCoA-PP_26-178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iCoA-PP_26-179 24.08.26 PP*</t>
        </is>
      </c>
      <c r="H142" s="256" t="inlineStr">
        <is>
          <t>iCoA-PP_26-179 24.08.26 PP*</t>
        </is>
      </c>
      <c r="I142" s="256" t="inlineStr">
        <is>
          <t>227-27-К/26 11.09.26 FHM-K</t>
        </is>
      </c>
      <c r="J142" s="256" t="inlineStr">
        <is>
          <t>227-27-К/26 11.09.26 FHM-K</t>
        </is>
      </c>
      <c r="K142" s="256" t="inlineStr">
        <is>
          <t>227-27-К/26 11.09.26 FHM-K</t>
        </is>
      </c>
      <c r="L142" s="256" t="inlineStr">
        <is>
          <t>227-27-К/26 11.09.26 FHM-K</t>
        </is>
      </c>
      <c r="M142" s="256" t="inlineStr">
        <is>
          <t>iCoA-PP_26-179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iCoA-PP_26-180 24.08.26 PP</t>
        </is>
      </c>
      <c r="H143" s="256" t="inlineStr">
        <is>
          <t>iCoA-PP_26-180 24.08.26 PP*</t>
        </is>
      </c>
      <c r="I143" s="256" t="inlineStr">
        <is>
          <t>227-26-К/26 11.09.26 FHM-K</t>
        </is>
      </c>
      <c r="J143" s="256" t="inlineStr">
        <is>
          <t>227-26-К/26 11.09.26 FHM-K</t>
        </is>
      </c>
      <c r="K143" s="256" t="inlineStr">
        <is>
          <t>227-26-К/26 11.09.26 FHM-K</t>
        </is>
      </c>
      <c r="L143" s="256" t="inlineStr">
        <is>
          <t>227-26-К/26 11.09.26 FHM-K</t>
        </is>
      </c>
      <c r="M143" s="256" t="inlineStr">
        <is>
          <t>iCoA-PP_26-180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7" t="inlineStr">
        <is>
          <t>n/t (initial)</t>
        </is>
      </c>
      <c r="R144" s="257" t="inlineStr">
        <is>
          <t>n/t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7" t="inlineStr">
        <is>
          <t>n/t (initial)</t>
        </is>
      </c>
      <c r="R145" s="257" t="inlineStr">
        <is>
          <t>n/t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iCoA-PP_26-183 24.08.26 PP*</t>
        </is>
      </c>
      <c r="H146" s="256" t="inlineStr">
        <is>
          <t>iCoA-PP_26-183 24.08.26 PP*</t>
        </is>
      </c>
      <c r="I146" s="256" t="inlineStr">
        <is>
          <t>227-22-К/26 11.09.26 FHM-K</t>
        </is>
      </c>
      <c r="J146" s="256" t="inlineStr">
        <is>
          <t>227-22-К/26 11.09.26 FHM-K</t>
        </is>
      </c>
      <c r="K146" s="256" t="inlineStr">
        <is>
          <t>227-22-К/26 11.09.26 FHM-K</t>
        </is>
      </c>
      <c r="L146" s="256" t="inlineStr">
        <is>
          <t>227-22-К/26 11.09.26 FHM-K</t>
        </is>
      </c>
      <c r="M146" s="256" t="inlineStr">
        <is>
          <t>iCoA-PP_26-183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iCoA-PP_26-184 24.08.26 PP*</t>
        </is>
      </c>
      <c r="H147" s="256" t="inlineStr">
        <is>
          <t>iCoA-PP_26-184 24.08.26 PP*</t>
        </is>
      </c>
      <c r="I147" s="256" t="inlineStr">
        <is>
          <t>227-21-К/26 11.09.26 FHM-K</t>
        </is>
      </c>
      <c r="J147" s="256" t="inlineStr">
        <is>
          <t>227-21-К/26 11.09.26 FHM-K</t>
        </is>
      </c>
      <c r="K147" s="256" t="inlineStr">
        <is>
          <t>227-21-К/26 11.09.26 FHM-K</t>
        </is>
      </c>
      <c r="L147" s="256" t="inlineStr">
        <is>
          <t>227-21-К/26 11.09.26 FHM-K</t>
        </is>
      </c>
      <c r="M147" s="256" t="inlineStr">
        <is>
          <t>iCoA-PP_26-184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iCoA-PP_26-165 24.08.26 PP</t>
        </is>
      </c>
      <c r="H148" s="256" t="inlineStr">
        <is>
          <t>iCoA-PP_26-165 24.08.26 PP*</t>
        </is>
      </c>
      <c r="I148" s="256" t="inlineStr">
        <is>
          <t>227-19-К/26 11.09.26 FHM-K</t>
        </is>
      </c>
      <c r="J148" s="256" t="inlineStr">
        <is>
          <t>227-19-К/26 11.09.26 FHM-K</t>
        </is>
      </c>
      <c r="K148" s="256" t="inlineStr">
        <is>
          <t>227-19-К/26 11.09.26 FHM-K</t>
        </is>
      </c>
      <c r="L148" s="256" t="inlineStr">
        <is>
          <t>227-19-К/26 11.09.26 FHM-K</t>
        </is>
      </c>
      <c r="M148" s="256" t="inlineStr">
        <is>
          <t>iCoA-PP_26-165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iCoA-PP_26-166 24.08.26 PP*</t>
        </is>
      </c>
      <c r="H149" s="256" t="inlineStr">
        <is>
          <t>iCoA-PP_26-166 24.08.26 PP*</t>
        </is>
      </c>
      <c r="I149" s="256" t="inlineStr">
        <is>
          <t>227-20-К/26 11.09.26 FHM-K</t>
        </is>
      </c>
      <c r="J149" s="256" t="inlineStr">
        <is>
          <t>227-20-К/26 11.09.26 FHM-K</t>
        </is>
      </c>
      <c r="K149" s="256" t="inlineStr">
        <is>
          <t>227-20-К/26 11.09.26 FHM-K</t>
        </is>
      </c>
      <c r="L149" s="256" t="inlineStr">
        <is>
          <t>227-20-К/26 11.09.26 FHM-K</t>
        </is>
      </c>
      <c r="M149" s="256" t="inlineStr">
        <is>
          <t>iCoA-PP_26-166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iCoA-PP_26-167 24.08.26 PP</t>
        </is>
      </c>
      <c r="H150" s="256" t="inlineStr">
        <is>
          <t>iCoA-PP_26-167 24.08.26 PP*</t>
        </is>
      </c>
      <c r="I150" s="256" t="inlineStr">
        <is>
          <t>227-18-К/26 11.09.26 FHM-K</t>
        </is>
      </c>
      <c r="J150" s="256" t="inlineStr">
        <is>
          <t>227-18-К/26 11.09.26 FHM-K</t>
        </is>
      </c>
      <c r="K150" s="256" t="inlineStr">
        <is>
          <t>227-18-К/26 11.09.26 FHM-K</t>
        </is>
      </c>
      <c r="L150" s="256" t="inlineStr">
        <is>
          <t>227-18-К/26 11.09.26 FHM-K</t>
        </is>
      </c>
      <c r="M150" s="256" t="inlineStr">
        <is>
          <t>iCoA-PP_26-167 24.08.26 PP</t>
        </is>
      </c>
      <c r="N150" s="256" t="inlineStr">
        <is>
          <t>iCoA-PP_26-025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iCoA-PP_26-168 24.08.26 PP</t>
        </is>
      </c>
      <c r="H151" s="256" t="inlineStr">
        <is>
          <t>iCoA-PP_26-168 24.08.26 PP*</t>
        </is>
      </c>
      <c r="I151" s="256" t="inlineStr">
        <is>
          <t>227-17-К/26 11.09.26 FHM-K</t>
        </is>
      </c>
      <c r="J151" s="256" t="inlineStr">
        <is>
          <t>227-17-К/26 11.09.26 FHM-K</t>
        </is>
      </c>
      <c r="K151" s="256" t="inlineStr">
        <is>
          <t>227-17-К/26 11.09.26 FHM-K</t>
        </is>
      </c>
      <c r="L151" s="256" t="inlineStr">
        <is>
          <t>227-17-К/26 11.09.26 FHM-K</t>
        </is>
      </c>
      <c r="M151" s="256" t="inlineStr">
        <is>
          <t>iCoA-PP_26-168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iCoA-PP_26-156 24.08.26 PP</t>
        </is>
      </c>
      <c r="H152" s="256" t="inlineStr">
        <is>
          <t>iCoA-PP_26-156 24.08.26 PP*</t>
        </is>
      </c>
      <c r="I152" s="256" t="inlineStr">
        <is>
          <t>227-2-К/26 11.09.26 FHM-K</t>
        </is>
      </c>
      <c r="J152" s="256" t="inlineStr">
        <is>
          <t>227-2-К/26 11.09.26 FHM-K</t>
        </is>
      </c>
      <c r="K152" s="256" t="inlineStr">
        <is>
          <t>227-2-К/26 11.09.26 FHM-K</t>
        </is>
      </c>
      <c r="L152" s="256" t="inlineStr">
        <is>
          <t>227-2-К/26 11.09.26 FHM-K</t>
        </is>
      </c>
      <c r="M152" s="256" t="inlineStr">
        <is>
          <t>iCoA-PP_26-156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iCoA-PP_26-169 24.08.26 PP*</t>
        </is>
      </c>
      <c r="H153" s="256" t="inlineStr">
        <is>
          <t>iCoA-PP_26-169 24.08.26 PP*</t>
        </is>
      </c>
      <c r="I153" s="256" t="inlineStr">
        <is>
          <t>227-16-К/26 11.09.26 FHM-K</t>
        </is>
      </c>
      <c r="J153" s="256" t="inlineStr">
        <is>
          <t>227-16-К/26 11.09.26 FHM-K</t>
        </is>
      </c>
      <c r="K153" s="256" t="inlineStr">
        <is>
          <t>227-16-К/26 11.09.26 FHM-K</t>
        </is>
      </c>
      <c r="L153" s="256" t="inlineStr">
        <is>
          <t>227-16-К/26 11.09.26 FHM-K</t>
        </is>
      </c>
      <c r="M153" s="256" t="inlineStr">
        <is>
          <t>iCoA-PP_26-169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t>
        </is>
      </c>
      <c r="G154" s="256" t="inlineStr">
        <is>
          <t>iCoA-PP_26-170 24.08.26 PP*</t>
        </is>
      </c>
      <c r="H154" s="256" t="inlineStr">
        <is>
          <t>iCoA-PP_26-170 24.08.26 PP*</t>
        </is>
      </c>
      <c r="I154" s="256" t="inlineStr">
        <is>
          <t>227-14-К/26 11.09.26 FHM-K</t>
        </is>
      </c>
      <c r="J154" s="256" t="inlineStr">
        <is>
          <t>227-14-К/26 11.09.26 FHM-K</t>
        </is>
      </c>
      <c r="K154" s="256" t="inlineStr">
        <is>
          <t>227-14-К/26 11.09.26 FHM-K</t>
        </is>
      </c>
      <c r="L154" s="256" t="inlineStr">
        <is>
          <t>227-14-К/26 11.09.26 FHM-K</t>
        </is>
      </c>
      <c r="M154" s="256" t="inlineStr">
        <is>
          <t>iCoA-PP_26-170 24.08.26 PP*</t>
        </is>
      </c>
      <c r="N154" s="256" t="inlineStr">
        <is>
          <t>051-5-ГС/26 02.03.26 FHM-K (initial); also 100-1-GS/26</t>
        </is>
      </c>
      <c r="O154" s="256" t="inlineStr">
        <is>
          <t>547/1078/26 31.08.26 IJZ-MB</t>
        </is>
      </c>
      <c r="P154" s="256" t="inlineStr">
        <is>
          <t>227-14-М/26 16.09.26 FHM-M</t>
        </is>
      </c>
      <c r="Q154" s="257" t="inlineStr">
        <is>
          <t>n/t (initial)</t>
        </is>
      </c>
      <c r="R154" s="257" t="inlineStr">
        <is>
          <t>n/t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iCoA-PP_26-171 24.08.26 PP*</t>
        </is>
      </c>
      <c r="H155" s="256" t="inlineStr">
        <is>
          <t>iCoA-PP_26-171 24.08.26 PP*</t>
        </is>
      </c>
      <c r="I155" s="256" t="inlineStr">
        <is>
          <t>227-13-К/26 11.09.26 FHM-K</t>
        </is>
      </c>
      <c r="J155" s="256" t="inlineStr">
        <is>
          <t>227-13-К/26 11.09.26 FHM-K</t>
        </is>
      </c>
      <c r="K155" s="256" t="inlineStr">
        <is>
          <t>227-13-К/26 11.09.26 FHM-K</t>
        </is>
      </c>
      <c r="L155" s="256" t="inlineStr">
        <is>
          <t>227-13-К/26 11.09.26 FHM-K</t>
        </is>
      </c>
      <c r="M155" s="256" t="inlineStr">
        <is>
          <t>iCoA-PP_26-171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iCoA-PP_26-172 24.08.26 PP*</t>
        </is>
      </c>
      <c r="H156" s="256" t="inlineStr">
        <is>
          <t>iCoA-PP_26-172 24.08.26 PP*</t>
        </is>
      </c>
      <c r="I156" s="256" t="inlineStr">
        <is>
          <t>227-15-К/26 11.09.26 FHM-K</t>
        </is>
      </c>
      <c r="J156" s="256" t="inlineStr">
        <is>
          <t>227-15-К/26 11.09.26 FHM-K</t>
        </is>
      </c>
      <c r="K156" s="256" t="inlineStr">
        <is>
          <t>227-15-К/26 11.09.26 FHM-K</t>
        </is>
      </c>
      <c r="L156" s="256" t="inlineStr">
        <is>
          <t>227-15-К/26 11.09.26 FHM-K</t>
        </is>
      </c>
      <c r="M156" s="256" t="inlineStr">
        <is>
          <t>iCoA-PP_26-172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iCoA-PP_26-173 24.08.26 PP</t>
        </is>
      </c>
      <c r="H157" s="256" t="inlineStr">
        <is>
          <t>iCoA-PP_26-173 24.08.26 PP*</t>
        </is>
      </c>
      <c r="I157" s="256" t="inlineStr">
        <is>
          <t>227-12-К/26 11.09.26 FHM-K</t>
        </is>
      </c>
      <c r="J157" s="256" t="inlineStr">
        <is>
          <t>227-12-К/26 11.09.26 FHM-K</t>
        </is>
      </c>
      <c r="K157" s="256" t="inlineStr">
        <is>
          <t>227-12-К/26 11.09.26 FHM-K</t>
        </is>
      </c>
      <c r="L157" s="256" t="inlineStr">
        <is>
          <t>227-12-К/26 11.09.26 FHM-K</t>
        </is>
      </c>
      <c r="M157" s="256" t="inlineStr">
        <is>
          <t>iCoA-PP_26-173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iCoA-PP_26-174 24.08.26 PP</t>
        </is>
      </c>
      <c r="H158" s="256" t="inlineStr">
        <is>
          <t>iCoA-PP_26-174 24.08.26 PP*</t>
        </is>
      </c>
      <c r="I158" s="256" t="inlineStr">
        <is>
          <t>227-11-К/26 11.09.26 FHM-K</t>
        </is>
      </c>
      <c r="J158" s="256" t="inlineStr">
        <is>
          <t>227-11-К/26 11.09.26 FHM-K</t>
        </is>
      </c>
      <c r="K158" s="256" t="inlineStr">
        <is>
          <t>227-11-К/26 11.09.26 FHM-K</t>
        </is>
      </c>
      <c r="L158" s="256" t="inlineStr">
        <is>
          <t>227-11-К/26 11.09.26 FHM-K</t>
        </is>
      </c>
      <c r="M158" s="256" t="inlineStr">
        <is>
          <t>iCoA-PP_26-174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t>
        </is>
      </c>
      <c r="G159" s="256" t="inlineStr">
        <is>
          <t>iCoA-PP_26-157 24.08.26 PP*</t>
        </is>
      </c>
      <c r="H159" s="256" t="inlineStr">
        <is>
          <t>iCoA-PP_26-157 24.08.26 PP*</t>
        </is>
      </c>
      <c r="I159" s="256" t="inlineStr">
        <is>
          <t>227-10-К/26 11.09.26 FHM-K</t>
        </is>
      </c>
      <c r="J159" s="256" t="inlineStr">
        <is>
          <t>227-10-К/26 11.09.26 FHM-K</t>
        </is>
      </c>
      <c r="K159" s="256" t="inlineStr">
        <is>
          <t>227-10-К/26 11.09.26 FHM-K</t>
        </is>
      </c>
      <c r="L159" s="256" t="inlineStr">
        <is>
          <t>227-10-К/26 11.09.26 FHM-K</t>
        </is>
      </c>
      <c r="M159" s="256" t="inlineStr">
        <is>
          <t>iCoA-PP_26-157 24.08.26 PP*</t>
        </is>
      </c>
      <c r="N159" s="256" t="inlineStr">
        <is>
          <t>ППК26031 05.03.26 CNP (initial) DAB</t>
        </is>
      </c>
      <c r="O159" s="256" t="inlineStr">
        <is>
          <t>546/1077/26 31.08.26 IJZ-MB</t>
        </is>
      </c>
      <c r="P159" s="256" t="inlineStr">
        <is>
          <t>227-10-М/26 16.09.26 FHM-M</t>
        </is>
      </c>
      <c r="Q159" s="257" t="inlineStr">
        <is>
          <t>n/t (initial)</t>
        </is>
      </c>
      <c r="R159" s="257" t="inlineStr">
        <is>
          <t>n/t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iCoA-PP_26-158 24.08.26 PP</t>
        </is>
      </c>
      <c r="H160" s="256" t="inlineStr">
        <is>
          <t>iCoA-PP_26-158 24.08.26 PP*</t>
        </is>
      </c>
      <c r="I160" s="256" t="inlineStr">
        <is>
          <t>227-9-К/26 11.09.26 FHM-K</t>
        </is>
      </c>
      <c r="J160" s="256" t="inlineStr">
        <is>
          <t>227-9-К/26 11.09.26 FHM-K</t>
        </is>
      </c>
      <c r="K160" s="256" t="inlineStr">
        <is>
          <t>227-9-К/26 11.09.26 FHM-K</t>
        </is>
      </c>
      <c r="L160" s="256" t="inlineStr">
        <is>
          <t>227-9-К/26 11.09.26 FHM-K</t>
        </is>
      </c>
      <c r="M160" s="256" t="inlineStr">
        <is>
          <t>iCoA-PP_26-158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iCoA-PP_26-159 24.08.26 PP*</t>
        </is>
      </c>
      <c r="H161" s="256" t="inlineStr">
        <is>
          <t>iCoA-PP_26-159 24.08.26 PP*</t>
        </is>
      </c>
      <c r="I161" s="256" t="inlineStr">
        <is>
          <t>227-8-К/26 11.09.26 FHM-K</t>
        </is>
      </c>
      <c r="J161" s="256" t="inlineStr">
        <is>
          <t>227-8-К/26 11.09.26 FHM-K</t>
        </is>
      </c>
      <c r="K161" s="256" t="inlineStr">
        <is>
          <t>227-8-К/26 11.09.26 FHM-K</t>
        </is>
      </c>
      <c r="L161" s="256" t="inlineStr">
        <is>
          <t>227-8-К/26 11.09.26 FHM-K</t>
        </is>
      </c>
      <c r="M161" s="256" t="inlineStr">
        <is>
          <t>iCoA-PP_26-159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7" t="inlineStr">
        <is>
          <t>n/t (initial)</t>
        </is>
      </c>
      <c r="R162" s="257" t="inlineStr">
        <is>
          <t>n/t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t>
        </is>
      </c>
      <c r="G163" s="256" t="inlineStr">
        <is>
          <t>iCoA-PP_26-161 24.08.26 PP*</t>
        </is>
      </c>
      <c r="H163" s="256" t="inlineStr">
        <is>
          <t>iCoA-PP_26-161 24.08.26 PP*</t>
        </is>
      </c>
      <c r="I163" s="256" t="inlineStr">
        <is>
          <t>227-6-К/26 11.09.26 FHM-K</t>
        </is>
      </c>
      <c r="J163" s="256" t="inlineStr">
        <is>
          <t>227-6-К/26 11.09.26 FHM-K</t>
        </is>
      </c>
      <c r="K163" s="256" t="inlineStr">
        <is>
          <t>227-6-К/26 11.09.26 FHM-K</t>
        </is>
      </c>
      <c r="L163" s="256" t="inlineStr">
        <is>
          <t>227-6-К/26 11.09.26 FHM-K</t>
        </is>
      </c>
      <c r="M163" s="256" t="inlineStr">
        <is>
          <t>iCoA-PP_26-161 24.08.26 PP*</t>
        </is>
      </c>
      <c r="N163" s="256" t="inlineStr">
        <is>
          <t>051-3-ГС/26 02.03.26 FHM-K (initial)</t>
        </is>
      </c>
      <c r="O163" s="256" t="inlineStr">
        <is>
          <t>549/1080/26 31.08.26 IJZ-MB</t>
        </is>
      </c>
      <c r="P163" s="256" t="inlineStr">
        <is>
          <t>227-6-М/26 16.09.26 FHM-M</t>
        </is>
      </c>
      <c r="Q163" s="257" t="inlineStr">
        <is>
          <t>n/t (initial)</t>
        </is>
      </c>
      <c r="R163" s="257" t="inlineStr">
        <is>
          <t>n/t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t>
        </is>
      </c>
      <c r="G164" s="256" t="inlineStr">
        <is>
          <t>iCoA-PP_26-162 24.08.26 PP*</t>
        </is>
      </c>
      <c r="H164" s="256" t="inlineStr">
        <is>
          <t>iCoA-PP_26-162 24.08.26 PP*</t>
        </is>
      </c>
      <c r="I164" s="256" t="inlineStr">
        <is>
          <t>227-5-К/26 11.09.26 FHM-K</t>
        </is>
      </c>
      <c r="J164" s="256" t="inlineStr">
        <is>
          <t>227-5-К/26 11.09.26 FHM-K</t>
        </is>
      </c>
      <c r="K164" s="256" t="inlineStr">
        <is>
          <t>227-5-К/26 11.09.26 FHM-K</t>
        </is>
      </c>
      <c r="L164" s="256" t="inlineStr">
        <is>
          <t>227-5-К/26 11.09.26 FHM-K</t>
        </is>
      </c>
      <c r="M164" s="256" t="inlineStr">
        <is>
          <t>iCoA-PP_26-162 24.08.26 PP*</t>
        </is>
      </c>
      <c r="N164" s="256" t="inlineStr">
        <is>
          <t>051-2-ГС/26 02.03.26 FHM-K (initial)</t>
        </is>
      </c>
      <c r="O164" s="257" t="inlineStr">
        <is>
          <t>n/t (initial)</t>
        </is>
      </c>
      <c r="P164" s="256" t="inlineStr">
        <is>
          <t>227-5-М/26 16.09.26 FHM-M</t>
        </is>
      </c>
      <c r="Q164" s="257" t="inlineStr">
        <is>
          <t>n/t (initial)</t>
        </is>
      </c>
      <c r="R164" s="257" t="inlineStr">
        <is>
          <t>n/t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iCoA-PP_26-163 24.08.26 PP*</t>
        </is>
      </c>
      <c r="H165" s="256" t="inlineStr">
        <is>
          <t>iCoA-PP_26-163 24.08.26 PP*</t>
        </is>
      </c>
      <c r="I165" s="256" t="inlineStr">
        <is>
          <t>227-3-К/26 11.09.26 FHM-K</t>
        </is>
      </c>
      <c r="J165" s="256" t="inlineStr">
        <is>
          <t>227-3-К/26 11.09.26 FHM-K</t>
        </is>
      </c>
      <c r="K165" s="256" t="inlineStr">
        <is>
          <t>227-3-К/26 11.09.26 FHM-K</t>
        </is>
      </c>
      <c r="L165" s="256" t="inlineStr">
        <is>
          <t>227-3-К/26 11.09.26 FHM-K</t>
        </is>
      </c>
      <c r="M165" s="256" t="inlineStr">
        <is>
          <t>iCoA-PP_26-163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t>
        </is>
      </c>
      <c r="G166" s="256" t="inlineStr">
        <is>
          <t>iCoA-PP_26-164 24.08.26 PP*</t>
        </is>
      </c>
      <c r="H166" s="256" t="inlineStr">
        <is>
          <t>iCoA-PP_26-164 24.08.26 PP*</t>
        </is>
      </c>
      <c r="I166" s="256" t="inlineStr">
        <is>
          <t>227-4-К/26 11.09.26 FHM-K</t>
        </is>
      </c>
      <c r="J166" s="256" t="inlineStr">
        <is>
          <t>227-4-К/26 11.09.26 FHM-K</t>
        </is>
      </c>
      <c r="K166" s="256" t="inlineStr">
        <is>
          <t>227-4-К/26 11.09.26 FHM-K</t>
        </is>
      </c>
      <c r="L166" s="256" t="inlineStr">
        <is>
          <t>227-4-К/26 11.09.26 FHM-K</t>
        </is>
      </c>
      <c r="M166" s="256" t="inlineStr">
        <is>
          <t>iCoA-PP_26-164 24.08.26 PP*</t>
        </is>
      </c>
      <c r="N166" s="256" t="inlineStr">
        <is>
          <t>031-3-ГС/26 12.02.26 FHM</t>
        </is>
      </c>
      <c r="O166" s="256" t="inlineStr">
        <is>
          <t>551/1082/26 01.09.26 IJZ-MB</t>
        </is>
      </c>
      <c r="P166" s="256" t="inlineStr">
        <is>
          <t>227-4-М/26 16.09.26 FHM-M</t>
        </is>
      </c>
      <c r="Q166" s="257" t="inlineStr">
        <is>
          <t>n/t (initial)</t>
        </is>
      </c>
      <c r="R166" s="257" t="inlineStr">
        <is>
          <t>n/t (initial)</t>
        </is>
      </c>
    </row>
    <row r="167">
      <c r="A167" s="256" t="inlineStr">
        <is>
          <t>— at issue —</t>
        </is>
      </c>
      <c r="B167" s="256" t="inlineStr">
        <is>
          <t>CC042601</t>
        </is>
      </c>
      <c r="C167" s="256" t="inlineStr">
        <is>
          <t>release (predicted)</t>
        </is>
      </c>
      <c r="D167" s="256" t="inlineStr">
        <is>
          <t>≥ 11.05.2026</t>
        </is>
      </c>
      <c r="E167" s="256" t="inlineStr">
        <is>
          <t>—</t>
        </is>
      </c>
      <c r="F167" s="256" t="inlineStr">
        <is>
          <t>—</t>
        </is>
      </c>
      <c r="G167" s="256" t="inlineStr">
        <is>
          <t>iCoA-PP_26-090 03.06.26 PP*</t>
        </is>
      </c>
      <c r="H167" s="256" t="inlineStr">
        <is>
          <t>iCoA-PP_26-090 03.06.26 PP*</t>
        </is>
      </c>
      <c r="I167" s="256" t="inlineStr">
        <is>
          <t>to be performed</t>
        </is>
      </c>
      <c r="J167" s="257" t="inlineStr">
        <is>
          <t>n/t</t>
        </is>
      </c>
      <c r="K167" s="257" t="inlineStr">
        <is>
          <t>n/t</t>
        </is>
      </c>
      <c r="L167" s="257" t="inlineStr">
        <is>
          <t>n/t</t>
        </is>
      </c>
      <c r="M167" s="256" t="inlineStr">
        <is>
          <t>iCoA-PP_26-090 03.06.26 PP*</t>
        </is>
      </c>
      <c r="N167" s="257" t="inlineStr">
        <is>
          <t>n/t</t>
        </is>
      </c>
      <c r="O167" s="257" t="inlineStr">
        <is>
          <t>n/t</t>
        </is>
      </c>
      <c r="P167" s="257" t="inlineStr">
        <is>
          <t>n/t</t>
        </is>
      </c>
      <c r="Q167" s="257" t="inlineStr">
        <is>
          <t>n/t</t>
        </is>
      </c>
      <c r="R167" s="257" t="inlineStr">
        <is>
          <t>n/t</t>
        </is>
      </c>
    </row>
    <row r="168">
      <c r="A168" s="256" t="inlineStr">
        <is>
          <t>— at issue —</t>
        </is>
      </c>
      <c r="B168" s="256" t="inlineStr">
        <is>
          <t>CC042601</t>
        </is>
      </c>
      <c r="C168" s="256" t="inlineStr">
        <is>
          <t>retest (predicted)</t>
        </is>
      </c>
      <c r="D168" s="256" t="inlineStr">
        <is>
          <t>18.09.26</t>
        </is>
      </c>
      <c r="E168" s="256" t="inlineStr">
        <is>
          <t>14.08.26</t>
        </is>
      </c>
      <c r="F168" s="256" t="inlineStr">
        <is>
          <t>220-32-К/26 17.08.26; 220-32-М/26 17.08.26</t>
        </is>
      </c>
      <c r="G168" s="256" t="inlineStr">
        <is>
          <t>iCoA-PP_26-146 17.08.26 PP*</t>
        </is>
      </c>
      <c r="H168" s="256" t="inlineStr">
        <is>
          <t>iCoA-PP_26-146 17.08.26 PP*</t>
        </is>
      </c>
      <c r="I168" s="256" t="inlineStr">
        <is>
          <t>220-32-К/26 26.08.26 FHM-K</t>
        </is>
      </c>
      <c r="J168" s="256" t="inlineStr">
        <is>
          <t>220-32-К/26 26.08.26 FHM-K</t>
        </is>
      </c>
      <c r="K168" s="256" t="inlineStr">
        <is>
          <t>220-32-К/26 26.08.26 FHM-K</t>
        </is>
      </c>
      <c r="L168" s="256" t="inlineStr">
        <is>
          <t>220-32-К/26 26.08.26 FHM-K</t>
        </is>
      </c>
      <c r="M168" s="256" t="inlineStr">
        <is>
          <t>iCoA-PP_26-146 17.08.26 PP*</t>
        </is>
      </c>
      <c r="N168" s="257" t="inlineStr">
        <is>
          <t>n/t (initial)</t>
        </is>
      </c>
      <c r="O168" s="257" t="inlineStr">
        <is>
          <t>n/t (initial)</t>
        </is>
      </c>
      <c r="P168" s="256" t="inlineStr">
        <is>
          <t>220-32-М/26 11.09.26 FHM-M</t>
        </is>
      </c>
      <c r="Q168" s="257" t="inlineStr">
        <is>
          <t>n/t (initial)</t>
        </is>
      </c>
      <c r="R168" s="257" t="inlineStr">
        <is>
          <t>n/t (initial)</t>
        </is>
      </c>
    </row>
    <row r="169">
      <c r="A169" s="256" t="inlineStr">
        <is>
          <t>— at issue —</t>
        </is>
      </c>
      <c r="B169" s="256" t="inlineStr">
        <is>
          <t>FB042601</t>
        </is>
      </c>
      <c r="C169" s="256" t="inlineStr">
        <is>
          <t>release (predicted)</t>
        </is>
      </c>
      <c r="D169" s="256" t="inlineStr">
        <is>
          <t>≥ 11.05.2026</t>
        </is>
      </c>
      <c r="E169" s="256" t="inlineStr">
        <is>
          <t>—</t>
        </is>
      </c>
      <c r="F169" s="256" t="inlineStr">
        <is>
          <t>—</t>
        </is>
      </c>
      <c r="G169" s="256" t="inlineStr">
        <is>
          <t>iCoA-PP_26-091 03.06.26 PP*</t>
        </is>
      </c>
      <c r="H169" s="256" t="inlineStr">
        <is>
          <t>iCoA-PP_26-091 03.06.26 PP*</t>
        </is>
      </c>
      <c r="I169" s="256" t="inlineStr">
        <is>
          <t>to be performed</t>
        </is>
      </c>
      <c r="J169" s="257" t="inlineStr">
        <is>
          <t>n/t</t>
        </is>
      </c>
      <c r="K169" s="257" t="inlineStr">
        <is>
          <t>n/t</t>
        </is>
      </c>
      <c r="L169" s="257" t="inlineStr">
        <is>
          <t>n/t</t>
        </is>
      </c>
      <c r="M169" s="256" t="inlineStr">
        <is>
          <t>iCoA-PP_26-091 03.06.26 PP*</t>
        </is>
      </c>
      <c r="N169" s="257" t="inlineStr">
        <is>
          <t>n/t</t>
        </is>
      </c>
      <c r="O169" s="257" t="inlineStr">
        <is>
          <t>n/t</t>
        </is>
      </c>
      <c r="P169" s="257" t="inlineStr">
        <is>
          <t>n/t</t>
        </is>
      </c>
      <c r="Q169" s="257" t="inlineStr">
        <is>
          <t>n/t</t>
        </is>
      </c>
      <c r="R169" s="257" t="inlineStr">
        <is>
          <t>n/t</t>
        </is>
      </c>
    </row>
    <row r="170">
      <c r="A170" s="256" t="inlineStr">
        <is>
          <t>— at issue —</t>
        </is>
      </c>
      <c r="B170" s="256" t="inlineStr">
        <is>
          <t>FB042601</t>
        </is>
      </c>
      <c r="C170" s="256" t="inlineStr">
        <is>
          <t>retest (predicted)</t>
        </is>
      </c>
      <c r="D170" s="256" t="inlineStr">
        <is>
          <t>18.09.26</t>
        </is>
      </c>
      <c r="E170" s="256" t="inlineStr">
        <is>
          <t>14.08.26</t>
        </is>
      </c>
      <c r="F170" s="256" t="inlineStr">
        <is>
          <t>220-31-К/26 17.08.26; 220-31-М/26 17.08.26</t>
        </is>
      </c>
      <c r="G170" s="256" t="inlineStr">
        <is>
          <t>iCoA-PP_26-147 17.08.26 PP*</t>
        </is>
      </c>
      <c r="H170" s="256" t="inlineStr">
        <is>
          <t>iCoA-PP_26-147 17.08.26 PP*</t>
        </is>
      </c>
      <c r="I170" s="256" t="inlineStr">
        <is>
          <t>220-31-К/26 26.08.26 FHM-K</t>
        </is>
      </c>
      <c r="J170" s="256" t="inlineStr">
        <is>
          <t>220-31-К/26 26.08.26 FHM-K</t>
        </is>
      </c>
      <c r="K170" s="256" t="inlineStr">
        <is>
          <t>220-31-К/26 26.08.26 FHM-K</t>
        </is>
      </c>
      <c r="L170" s="256" t="inlineStr">
        <is>
          <t>220-31-К/26 26.08.26 FHM-K</t>
        </is>
      </c>
      <c r="M170" s="256" t="inlineStr">
        <is>
          <t>iCoA-PP_26-147 17.08.26 PP*</t>
        </is>
      </c>
      <c r="N170" s="257" t="inlineStr">
        <is>
          <t>n/t (initial)</t>
        </is>
      </c>
      <c r="O170" s="257" t="inlineStr">
        <is>
          <t>n/t (initial)</t>
        </is>
      </c>
      <c r="P170" s="256" t="inlineStr">
        <is>
          <t>220-31-М/26 11.09.26 FHM-M</t>
        </is>
      </c>
      <c r="Q170" s="257" t="inlineStr">
        <is>
          <t>n/t (initial)</t>
        </is>
      </c>
      <c r="R170" s="257" t="inlineStr">
        <is>
          <t>n/t (initial)</t>
        </is>
      </c>
    </row>
    <row r="171">
      <c r="A171" s="256" t="inlineStr">
        <is>
          <t>— at issue —</t>
        </is>
      </c>
      <c r="B171" s="256" t="inlineStr">
        <is>
          <t>P160012</t>
        </is>
      </c>
      <c r="C171" s="256" t="inlineStr">
        <is>
          <t>release (predicted)</t>
        </is>
      </c>
      <c r="D171" s="256" t="inlineStr">
        <is>
          <t>13.07.26</t>
        </is>
      </c>
      <c r="E171" s="256" t="inlineStr">
        <is>
          <t>—</t>
        </is>
      </c>
      <c r="F171" s="256" t="inlineStr">
        <is>
          <t>ППК26117 17.06.26</t>
        </is>
      </c>
      <c r="G171" s="256" t="inlineStr">
        <is>
          <t>ППК26117 06.07.26 CNP</t>
        </is>
      </c>
      <c r="H171" s="256" t="inlineStr">
        <is>
          <t>ППК26117 06.07.26 CNP</t>
        </is>
      </c>
      <c r="I171" s="256" t="inlineStr">
        <is>
          <t>ППК26117 06.07.26 CNP</t>
        </is>
      </c>
      <c r="J171" s="256" t="inlineStr">
        <is>
          <t>ППК26117 06.07.26 CNP</t>
        </is>
      </c>
      <c r="K171" s="256" t="inlineStr">
        <is>
          <t>ППК26117 06.07.26 CNP</t>
        </is>
      </c>
      <c r="L171" s="256" t="inlineStr">
        <is>
          <t>ППК26117 06.07.26 CNP</t>
        </is>
      </c>
      <c r="M171" s="256" t="inlineStr">
        <is>
          <t>ППК26117 06.07.26 CNP</t>
        </is>
      </c>
      <c r="N171" s="256" t="inlineStr">
        <is>
          <t>ППК26117 06.07.26 CNP</t>
        </is>
      </c>
      <c r="O171" s="257" t="inlineStr">
        <is>
          <t>n/t</t>
        </is>
      </c>
      <c r="P171" s="257" t="inlineStr">
        <is>
          <t>n/t</t>
        </is>
      </c>
      <c r="Q171" s="257" t="inlineStr">
        <is>
          <t>n/t</t>
        </is>
      </c>
      <c r="R171" s="257" t="inlineStr">
        <is>
          <t>n/t</t>
        </is>
      </c>
    </row>
    <row r="172">
      <c r="A172" s="256" t="inlineStr">
        <is>
          <t>— at issue —</t>
        </is>
      </c>
      <c r="B172" s="256" t="inlineStr">
        <is>
          <t>P160022</t>
        </is>
      </c>
      <c r="C172" s="256" t="inlineStr">
        <is>
          <t>release (predicted)</t>
        </is>
      </c>
      <c r="D172" s="256" t="inlineStr">
        <is>
          <t>13.07.26</t>
        </is>
      </c>
      <c r="E172" s="256" t="inlineStr">
        <is>
          <t>—</t>
        </is>
      </c>
      <c r="F172" s="256" t="inlineStr">
        <is>
          <t>ППК26118 17.06.26</t>
        </is>
      </c>
      <c r="G172" s="256" t="inlineStr">
        <is>
          <t>ППК26118 06.07.26 CNP</t>
        </is>
      </c>
      <c r="H172" s="256" t="inlineStr">
        <is>
          <t>ППК26118 06.07.26 CNP</t>
        </is>
      </c>
      <c r="I172" s="256" t="inlineStr">
        <is>
          <t>ППК26118 06.07.26 CNP</t>
        </is>
      </c>
      <c r="J172" s="256" t="inlineStr">
        <is>
          <t>ППК26118 06.07.26 CNP</t>
        </is>
      </c>
      <c r="K172" s="256" t="inlineStr">
        <is>
          <t>ППК26118 06.07.26 CNP</t>
        </is>
      </c>
      <c r="L172" s="256" t="inlineStr">
        <is>
          <t>ППК26118 06.07.26 CNP</t>
        </is>
      </c>
      <c r="M172" s="256" t="inlineStr">
        <is>
          <t>ППК26118 06.07.26 CNP</t>
        </is>
      </c>
      <c r="N172" s="256" t="inlineStr">
        <is>
          <t>ППК26118 06.07.26 CNP</t>
        </is>
      </c>
      <c r="O172" s="257" t="inlineStr">
        <is>
          <t>n/t</t>
        </is>
      </c>
      <c r="P172" s="257" t="inlineStr">
        <is>
          <t>n/t</t>
        </is>
      </c>
      <c r="Q172" s="257" t="inlineStr">
        <is>
          <t>n/t</t>
        </is>
      </c>
      <c r="R172" s="257" t="inlineStr">
        <is>
          <t>n/t</t>
        </is>
      </c>
    </row>
    <row r="173">
      <c r="A173" s="256" t="inlineStr">
        <is>
          <t>— at issue —</t>
        </is>
      </c>
      <c r="B173" s="256" t="inlineStr">
        <is>
          <t>P160032</t>
        </is>
      </c>
      <c r="C173" s="256" t="inlineStr">
        <is>
          <t>release (predicted)</t>
        </is>
      </c>
      <c r="D173" s="256" t="inlineStr">
        <is>
          <t>13.07.26</t>
        </is>
      </c>
      <c r="E173" s="256" t="inlineStr">
        <is>
          <t>—</t>
        </is>
      </c>
      <c r="F173" s="256" t="inlineStr">
        <is>
          <t>ППК26119 17.06.26</t>
        </is>
      </c>
      <c r="G173" s="256" t="inlineStr">
        <is>
          <t>ППК26119 06.07.26 CNP</t>
        </is>
      </c>
      <c r="H173" s="256" t="inlineStr">
        <is>
          <t>ППК26119 06.07.26 CNP</t>
        </is>
      </c>
      <c r="I173" s="256" t="inlineStr">
        <is>
          <t>ППК26119 06.07.26 CNP</t>
        </is>
      </c>
      <c r="J173" s="256" t="inlineStr">
        <is>
          <t>ППК26119 06.07.26 CNP</t>
        </is>
      </c>
      <c r="K173" s="256" t="inlineStr">
        <is>
          <t>ППК26119 06.07.26 CNP</t>
        </is>
      </c>
      <c r="L173" s="256" t="inlineStr">
        <is>
          <t>ППК26119 06.07.26 CNP</t>
        </is>
      </c>
      <c r="M173" s="256" t="inlineStr">
        <is>
          <t>ППК26119 06.07.26 CNP</t>
        </is>
      </c>
      <c r="N173" s="256" t="inlineStr">
        <is>
          <t>ППК26119 06.07.26 CNP</t>
        </is>
      </c>
      <c r="O173" s="257" t="inlineStr">
        <is>
          <t>n/t</t>
        </is>
      </c>
      <c r="P173" s="257" t="inlineStr">
        <is>
          <t>n/t</t>
        </is>
      </c>
      <c r="Q173" s="257" t="inlineStr">
        <is>
          <t>n/t</t>
        </is>
      </c>
      <c r="R173" s="25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1" t="n">
        <v>12</v>
      </c>
      <c r="E2" s="251" t="n">
        <v>1.2</v>
      </c>
      <c r="F2" s="251" t="n">
        <v>10.8</v>
      </c>
      <c r="G2" s="251"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1" t="n">
        <v>18</v>
      </c>
      <c r="E3" s="251" t="n">
        <v>1.8</v>
      </c>
      <c r="F3" s="251" t="n">
        <v>16.2</v>
      </c>
      <c r="G3" s="251"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1" t="n">
        <v>22</v>
      </c>
      <c r="E4" s="251" t="n">
        <v>2.2</v>
      </c>
      <c r="F4" s="251" t="n">
        <v>19.8</v>
      </c>
      <c r="G4" s="251"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1" t="n">
        <v>22</v>
      </c>
      <c r="E5" s="251" t="n">
        <v>2.2</v>
      </c>
      <c r="F5" s="251" t="n">
        <v>19.8</v>
      </c>
      <c r="G5" s="251"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1" t="n">
        <v>26</v>
      </c>
      <c r="E6" s="251" t="n">
        <v>1.8</v>
      </c>
      <c r="F6" s="251" t="n">
        <v>24.2</v>
      </c>
      <c r="G6" s="251"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1" t="n">
        <v>20</v>
      </c>
      <c r="E7" s="251" t="n">
        <v>1.89</v>
      </c>
      <c r="F7" s="251" t="n">
        <v>18.11</v>
      </c>
      <c r="G7" s="251"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1" t="n">
        <v>24</v>
      </c>
      <c r="E8" s="251" t="n">
        <v>2.11</v>
      </c>
      <c r="F8" s="251" t="n">
        <v>21.89</v>
      </c>
      <c r="G8" s="251"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1" t="n">
        <v>28</v>
      </c>
      <c r="E9" s="251" t="n">
        <v>1.93</v>
      </c>
      <c r="F9" s="251" t="n">
        <v>26.07</v>
      </c>
      <c r="G9" s="251"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1" t="n">
        <v>14</v>
      </c>
      <c r="E10" s="251" t="n">
        <v>1.4</v>
      </c>
      <c r="F10" s="251" t="n">
        <v>12.6</v>
      </c>
      <c r="G10" s="251"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1" t="n">
        <v>17</v>
      </c>
      <c r="E11" s="251" t="n">
        <v>1.4</v>
      </c>
      <c r="F11" s="251" t="n">
        <v>15.6</v>
      </c>
      <c r="G11" s="251"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1" t="n">
        <v>20</v>
      </c>
      <c r="E12" s="251" t="n">
        <v>1.6</v>
      </c>
      <c r="F12" s="251" t="n">
        <v>18.4</v>
      </c>
      <c r="G12" s="251"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1" t="n">
        <v>24</v>
      </c>
      <c r="E13" s="251" t="n">
        <v>2.4</v>
      </c>
      <c r="F13" s="251" t="n">
        <v>21.6</v>
      </c>
      <c r="G13" s="251"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1" t="n">
        <v>28</v>
      </c>
      <c r="E14" s="251" t="n">
        <v>1.6</v>
      </c>
      <c r="F14" s="251" t="n">
        <v>26.4</v>
      </c>
      <c r="G14" s="251"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1" t="n">
        <v>14</v>
      </c>
      <c r="E15" s="251" t="n">
        <v>1.35</v>
      </c>
      <c r="F15" s="251" t="n">
        <v>12.65</v>
      </c>
      <c r="G15" s="251"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1" t="n">
        <v>17</v>
      </c>
      <c r="E16" s="251" t="n">
        <v>1.65</v>
      </c>
      <c r="F16" s="251" t="n">
        <v>15.35</v>
      </c>
      <c r="G16" s="251"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1" t="n">
        <v>10</v>
      </c>
      <c r="E17" s="251" t="n">
        <v>1</v>
      </c>
      <c r="F17" s="251" t="n">
        <v>9</v>
      </c>
      <c r="G17" s="251"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1" t="n">
        <v>8</v>
      </c>
      <c r="E18" s="251" t="n">
        <v>0.8</v>
      </c>
      <c r="F18" s="251" t="n">
        <v>7.2</v>
      </c>
      <c r="G18" s="251"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1" t="n">
        <v>12</v>
      </c>
      <c r="E19" s="251" t="n">
        <v>1.2</v>
      </c>
      <c r="F19" s="251" t="n">
        <v>10.8</v>
      </c>
      <c r="G19" s="251"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1" t="n">
        <v>15</v>
      </c>
      <c r="E20" s="251" t="n">
        <v>1.2</v>
      </c>
      <c r="F20" s="251" t="n">
        <v>13.8</v>
      </c>
      <c r="G20" s="251"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1" t="n">
        <v>18</v>
      </c>
      <c r="E21" s="251" t="n">
        <v>1.8</v>
      </c>
      <c r="F21" s="251" t="n">
        <v>16.2</v>
      </c>
      <c r="G21" s="251"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1" t="n">
        <v>22</v>
      </c>
      <c r="E22" s="251" t="n">
        <v>2.2</v>
      </c>
      <c r="F22" s="251" t="n">
        <v>19.8</v>
      </c>
      <c r="G22" s="251"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1" t="n">
        <v>15</v>
      </c>
      <c r="E23" s="251" t="n">
        <v>1.23</v>
      </c>
      <c r="F23" s="251" t="n">
        <v>13.77</v>
      </c>
      <c r="G23" s="251"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1" t="n">
        <v>18</v>
      </c>
      <c r="E24" s="251" t="n">
        <v>1.77</v>
      </c>
      <c r="F24" s="251" t="n">
        <v>16.23</v>
      </c>
      <c r="G24" s="251"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1" t="n">
        <v>16</v>
      </c>
      <c r="E25" s="251" t="n">
        <v>1.6</v>
      </c>
      <c r="F25" s="251" t="n">
        <v>14.4</v>
      </c>
      <c r="G25" s="251"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1" t="n">
        <v>20</v>
      </c>
      <c r="E26" s="251" t="n">
        <v>2</v>
      </c>
      <c r="F26" s="251" t="n">
        <v>18</v>
      </c>
      <c r="G26" s="251"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1" t="n">
        <v>24</v>
      </c>
      <c r="E27" s="251" t="n">
        <v>2</v>
      </c>
      <c r="F27" s="251" t="n">
        <v>22</v>
      </c>
      <c r="G27" s="251"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1" t="n">
        <v>28</v>
      </c>
      <c r="E28" s="251" t="n">
        <v>2</v>
      </c>
      <c r="F28" s="251" t="n">
        <v>26</v>
      </c>
      <c r="G28" s="251"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1" t="n">
        <v>8</v>
      </c>
      <c r="E29" s="251" t="n">
        <v>0.8</v>
      </c>
      <c r="F29" s="251" t="n">
        <v>7.2</v>
      </c>
      <c r="G29" s="251"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1" t="n">
        <v>10</v>
      </c>
      <c r="E30" s="251" t="n">
        <v>1</v>
      </c>
      <c r="F30" s="251" t="n">
        <v>9</v>
      </c>
      <c r="G30" s="251"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1" t="n">
        <v>12</v>
      </c>
      <c r="E31" s="251" t="n">
        <v>1</v>
      </c>
      <c r="F31" s="251" t="n">
        <v>11</v>
      </c>
      <c r="G31" s="251"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1" t="n">
        <v>15</v>
      </c>
      <c r="E32" s="251" t="n">
        <v>1.2</v>
      </c>
      <c r="F32" s="251" t="n">
        <v>13.8</v>
      </c>
      <c r="G32" s="251"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1" t="n">
        <v>18</v>
      </c>
      <c r="E33" s="251" t="n">
        <v>1.8</v>
      </c>
      <c r="F33" s="251" t="n">
        <v>16.2</v>
      </c>
      <c r="G33" s="251"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1" t="n">
        <v>22</v>
      </c>
      <c r="E34" s="251" t="n">
        <v>2.2</v>
      </c>
      <c r="F34" s="251" t="n">
        <v>19.8</v>
      </c>
      <c r="G34" s="251"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1" t="n">
        <v>15</v>
      </c>
      <c r="E35" s="251" t="n">
        <v>1.2</v>
      </c>
      <c r="F35" s="251" t="n">
        <v>13.8</v>
      </c>
      <c r="G35" s="251"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1" t="n">
        <v>18</v>
      </c>
      <c r="E36" s="251" t="n">
        <v>1.8</v>
      </c>
      <c r="F36" s="251" t="n">
        <v>16.2</v>
      </c>
      <c r="G36" s="251"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1" t="n">
        <v>22</v>
      </c>
      <c r="E37" s="251" t="n">
        <v>2.2</v>
      </c>
      <c r="F37" s="251" t="n">
        <v>19.8</v>
      </c>
      <c r="G37" s="251"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1" t="n">
        <v>18</v>
      </c>
      <c r="E38" s="251" t="n">
        <v>1.8</v>
      </c>
      <c r="F38" s="251" t="n">
        <v>16.2</v>
      </c>
      <c r="G38" s="251"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1" t="n">
        <v>22</v>
      </c>
      <c r="E39" s="251" t="n">
        <v>2.2</v>
      </c>
      <c r="F39" s="251" t="n">
        <v>19.8</v>
      </c>
      <c r="G39" s="251"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1" t="n">
        <v>26</v>
      </c>
      <c r="E40" s="251" t="n">
        <v>1.8</v>
      </c>
      <c r="F40" s="251" t="n">
        <v>24.2</v>
      </c>
      <c r="G40" s="251"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1" t="n">
        <v>18</v>
      </c>
      <c r="E41" s="251" t="n">
        <v>1.8</v>
      </c>
      <c r="F41" s="251" t="n">
        <v>16.2</v>
      </c>
      <c r="G41" s="251"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1" t="n">
        <v>18</v>
      </c>
      <c r="E42" s="251" t="n">
        <v>1.8</v>
      </c>
      <c r="F42" s="251" t="n">
        <v>16.2</v>
      </c>
      <c r="G42" s="251"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1" t="n">
        <v>8</v>
      </c>
      <c r="E43" s="251" t="n">
        <v>0.8</v>
      </c>
      <c r="F43" s="251" t="n">
        <v>7.2</v>
      </c>
      <c r="G43" s="251"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1" t="n">
        <v>10</v>
      </c>
      <c r="E44" s="251" t="n">
        <v>1</v>
      </c>
      <c r="F44" s="251" t="n">
        <v>9</v>
      </c>
      <c r="G44" s="251"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1" t="n">
        <v>14</v>
      </c>
      <c r="E45" s="251" t="n">
        <v>1.4</v>
      </c>
      <c r="F45" s="251" t="n">
        <v>12.6</v>
      </c>
      <c r="G45" s="251"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1" t="n">
        <v>17</v>
      </c>
      <c r="E46" s="251" t="n">
        <v>1.6</v>
      </c>
      <c r="F46" s="251" t="n">
        <v>15.4</v>
      </c>
      <c r="G46" s="251"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1" t="n">
        <v>20</v>
      </c>
      <c r="E47" s="251" t="n">
        <v>1.4</v>
      </c>
      <c r="F47" s="251" t="n">
        <v>18.6</v>
      </c>
      <c r="G47" s="251"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1" t="n">
        <v>10</v>
      </c>
      <c r="E48" s="251" t="n">
        <v>1</v>
      </c>
      <c r="F48" s="251" t="n">
        <v>9</v>
      </c>
      <c r="G48" s="251"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1" t="n">
        <v>12</v>
      </c>
      <c r="E49" s="251" t="n">
        <v>1</v>
      </c>
      <c r="F49" s="251" t="n">
        <v>11</v>
      </c>
      <c r="G49" s="251"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1" t="n">
        <v>14</v>
      </c>
      <c r="E50" s="251" t="n">
        <v>1</v>
      </c>
      <c r="F50" s="251" t="n">
        <v>13</v>
      </c>
      <c r="G50" s="251"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1" t="n">
        <v>14</v>
      </c>
      <c r="E51" s="251" t="n">
        <v>1.4</v>
      </c>
      <c r="F51" s="251" t="n">
        <v>12.6</v>
      </c>
      <c r="G51" s="251"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1" t="n">
        <v>18</v>
      </c>
      <c r="E52" s="251" t="n">
        <v>1.8</v>
      </c>
      <c r="F52" s="251" t="n">
        <v>16.2</v>
      </c>
      <c r="G52" s="251"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1" t="n">
        <v>22</v>
      </c>
      <c r="E53" s="251" t="n">
        <v>2.2</v>
      </c>
      <c r="F53" s="251" t="n">
        <v>19.8</v>
      </c>
      <c r="G53" s="251"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1" t="n">
        <v>10</v>
      </c>
      <c r="E54" s="251" t="n">
        <v>1</v>
      </c>
      <c r="F54" s="251" t="n">
        <v>9</v>
      </c>
      <c r="G54" s="251"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1" t="n">
        <v>12</v>
      </c>
      <c r="E55" s="251" t="n">
        <v>1</v>
      </c>
      <c r="F55" s="251" t="n">
        <v>11</v>
      </c>
      <c r="G55" s="251"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1" t="n">
        <v>22</v>
      </c>
      <c r="E56" s="251" t="n">
        <v>1.4</v>
      </c>
      <c r="F56" s="251" t="n">
        <v>20.6</v>
      </c>
      <c r="G56" s="251"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1" t="n">
        <v>26</v>
      </c>
      <c r="E57" s="251" t="n">
        <v>2.6</v>
      </c>
      <c r="F57" s="251" t="n">
        <v>23.4</v>
      </c>
      <c r="G57" s="251"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1" t="n">
        <v>26</v>
      </c>
      <c r="E58" s="251" t="n">
        <v>2.6</v>
      </c>
      <c r="F58" s="251" t="n">
        <v>23.4</v>
      </c>
      <c r="G58" s="251"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22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iCoA-PP_26-008</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iCoA-PP_26-008</t>
        </is>
      </c>
      <c r="AG8" s="256" t="inlineStr">
        <is>
          <t>03.06.2026</t>
        </is>
      </c>
      <c r="AH8" s="256" t="inlineStr">
        <is>
          <t>Purely Plant GmbH (in-house)</t>
        </is>
      </c>
      <c r="AI8" s="256" t="inlineStr">
        <is>
          <t>Conforms | Одговара</t>
        </is>
      </c>
      <c r="AJ8" s="256" t="inlineStr">
        <is>
          <t>iCoA-PP_26-008</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iCoA-PP_26-008</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iCoA-PP_26-009</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iCoA-PP_26-009</t>
        </is>
      </c>
      <c r="AG9" s="256" t="inlineStr">
        <is>
          <t>03.06.2026</t>
        </is>
      </c>
      <c r="AH9" s="256" t="inlineStr">
        <is>
          <t>Purely Plant GmbH (in-house)</t>
        </is>
      </c>
      <c r="AI9" s="256" t="inlineStr">
        <is>
          <t>Conforms | Одговара</t>
        </is>
      </c>
      <c r="AJ9" s="256" t="inlineStr">
        <is>
          <t>iCoA-PP_26-009</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iCoA-PP_26-009</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iCoA-PP_26-010</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iCoA-PP_26-010</t>
        </is>
      </c>
      <c r="AG10" s="256" t="inlineStr">
        <is>
          <t>03.06.2026</t>
        </is>
      </c>
      <c r="AH10" s="256" t="inlineStr">
        <is>
          <t>Purely Plant GmbH (in-house)</t>
        </is>
      </c>
      <c r="AI10" s="256" t="inlineStr">
        <is>
          <t>Conforms | Одговара</t>
        </is>
      </c>
      <c r="AJ10" s="256" t="inlineStr">
        <is>
          <t>iCoA-PP_26-010</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iCoA-PP_26-010</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iCoA-PP_26-092</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iCoA-PP_26-092</t>
        </is>
      </c>
      <c r="AG11" s="256" t="inlineStr">
        <is>
          <t>03.06.2026</t>
        </is>
      </c>
      <c r="AH11" s="256" t="inlineStr">
        <is>
          <t>Purely Plant GmbH (in-house)</t>
        </is>
      </c>
      <c r="AI11" s="256" t="inlineStr">
        <is>
          <t>Conforms | Одговара</t>
        </is>
      </c>
      <c r="AJ11" s="256" t="inlineStr">
        <is>
          <t>iCoA-PP_26-092</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iCoA-PP_26-092</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iCoA-PP_26-011</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iCoA-PP_26-011</t>
        </is>
      </c>
      <c r="AG12" s="256" t="inlineStr">
        <is>
          <t>03.06.2026</t>
        </is>
      </c>
      <c r="AH12" s="256" t="inlineStr">
        <is>
          <t>Purely Plant GmbH (in-house)</t>
        </is>
      </c>
      <c r="AI12" s="256" t="inlineStr">
        <is>
          <t>Conforms | Одговара</t>
        </is>
      </c>
      <c r="AJ12" s="256" t="inlineStr">
        <is>
          <t>iCoA-PP_26-011</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iCoA-PP_26-011</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iCoA-PP_26-012</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iCoA-PP_26-012</t>
        </is>
      </c>
      <c r="AG13" s="256" t="inlineStr">
        <is>
          <t>03.06.2026</t>
        </is>
      </c>
      <c r="AH13" s="256" t="inlineStr">
        <is>
          <t>Purely Plant GmbH (in-house)</t>
        </is>
      </c>
      <c r="AI13" s="256" t="inlineStr">
        <is>
          <t>Conforms | Одговара</t>
        </is>
      </c>
      <c r="AJ13" s="256" t="inlineStr">
        <is>
          <t>iCoA-PP_26-012</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iCoA-PP_26-012</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iCoA-PP_26-013</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iCoA-PP_26-013</t>
        </is>
      </c>
      <c r="AG14" s="256" t="inlineStr">
        <is>
          <t>03.06.2026</t>
        </is>
      </c>
      <c r="AH14" s="256" t="inlineStr">
        <is>
          <t>Purely Plant GmbH (in-house)</t>
        </is>
      </c>
      <c r="AI14" s="256" t="inlineStr">
        <is>
          <t>Conforms | Одговара</t>
        </is>
      </c>
      <c r="AJ14" s="256" t="inlineStr">
        <is>
          <t>iCoA-PP_26-013</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iCoA-PP_26-013</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iCoA-PP_26-014</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iCoA-PP_26-014</t>
        </is>
      </c>
      <c r="AG15" s="256" t="inlineStr">
        <is>
          <t>03.06.2026</t>
        </is>
      </c>
      <c r="AH15" s="256" t="inlineStr">
        <is>
          <t>Purely Plant GmbH (in-house)</t>
        </is>
      </c>
      <c r="AI15" s="256" t="inlineStr">
        <is>
          <t>Conforms | Одговара</t>
        </is>
      </c>
      <c r="AJ15" s="256" t="inlineStr">
        <is>
          <t>iCoA-PP_26-014</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iCoA-PP_26-014</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iCoA-PP_26-015</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iCoA-PP_26-015</t>
        </is>
      </c>
      <c r="AG16" s="256" t="inlineStr">
        <is>
          <t>03.06.2026</t>
        </is>
      </c>
      <c r="AH16" s="256" t="inlineStr">
        <is>
          <t>Purely Plant GmbH (in-house)</t>
        </is>
      </c>
      <c r="AI16" s="256" t="inlineStr">
        <is>
          <t>Conforms | Одговара</t>
        </is>
      </c>
      <c r="AJ16" s="256" t="inlineStr">
        <is>
          <t>iCoA-PP_26-015</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iCoA-PP_26-015</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iCoA-PP_26-016</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iCoA-PP_26-016</t>
        </is>
      </c>
      <c r="AG17" s="256" t="inlineStr">
        <is>
          <t>03.06.2026</t>
        </is>
      </c>
      <c r="AH17" s="256" t="inlineStr">
        <is>
          <t>Purely Plant GmbH (in-house)</t>
        </is>
      </c>
      <c r="AI17" s="256" t="inlineStr">
        <is>
          <t>Conforms | Одговара</t>
        </is>
      </c>
      <c r="AJ17" s="256" t="inlineStr">
        <is>
          <t>iCoA-PP_26-016</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iCoA-PP_26-016</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iCoA-PP_26-017</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iCoA-PP_26-017</t>
        </is>
      </c>
      <c r="AG18" s="256" t="inlineStr">
        <is>
          <t>03.06.2026</t>
        </is>
      </c>
      <c r="AH18" s="256" t="inlineStr">
        <is>
          <t>Purely Plant GmbH (in-house)</t>
        </is>
      </c>
      <c r="AI18" s="256" t="inlineStr">
        <is>
          <t>Conforms | Одговара</t>
        </is>
      </c>
      <c r="AJ18" s="256" t="inlineStr">
        <is>
          <t>iCoA-PP_26-017</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iCoA-PP_26-017</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iCoA-PP_26-089</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iCoA-PP_26-089</t>
        </is>
      </c>
      <c r="AG19" s="256" t="inlineStr">
        <is>
          <t>03.06.2026</t>
        </is>
      </c>
      <c r="AH19" s="256" t="inlineStr">
        <is>
          <t>Purely Plant GmbH (in-house)</t>
        </is>
      </c>
      <c r="AI19" s="256" t="inlineStr">
        <is>
          <t>Conforms | Одговара</t>
        </is>
      </c>
      <c r="AJ19" s="256" t="inlineStr">
        <is>
          <t>iCoA-PP_26-089</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iCoA-PP_26-089</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iCoA-PP_26-018</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iCoA-PP_26-018</t>
        </is>
      </c>
      <c r="AG20" s="256" t="inlineStr">
        <is>
          <t>03.06.2026</t>
        </is>
      </c>
      <c r="AH20" s="256" t="inlineStr">
        <is>
          <t>Purely Plant GmbH (in-house)</t>
        </is>
      </c>
      <c r="AI20" s="256" t="inlineStr">
        <is>
          <t>Conforms | Одговара</t>
        </is>
      </c>
      <c r="AJ20" s="256" t="inlineStr">
        <is>
          <t>iCoA-PP_26-018</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iCoA-PP_26-018</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iCoA-PP_26-019</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iCoA-PP_26-019</t>
        </is>
      </c>
      <c r="AG21" s="256" t="inlineStr">
        <is>
          <t>03.06.2026</t>
        </is>
      </c>
      <c r="AH21" s="256" t="inlineStr">
        <is>
          <t>Purely Plant GmbH (in-house)</t>
        </is>
      </c>
      <c r="AI21" s="256" t="inlineStr">
        <is>
          <t>Conforms | Одговара</t>
        </is>
      </c>
      <c r="AJ21" s="256" t="inlineStr">
        <is>
          <t>iCoA-PP_26-019</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iCoA-PP_26-019</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iCoA-PP_26-020</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iCoA-PP_26-020</t>
        </is>
      </c>
      <c r="AG22" s="256" t="inlineStr">
        <is>
          <t>03.06.2026</t>
        </is>
      </c>
      <c r="AH22" s="256" t="inlineStr">
        <is>
          <t>Purely Plant GmbH (in-house)</t>
        </is>
      </c>
      <c r="AI22" s="256" t="inlineStr">
        <is>
          <t>Conforms | Одговара</t>
        </is>
      </c>
      <c r="AJ22" s="256" t="inlineStr">
        <is>
          <t>iCoA-PP_26-020</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iCoA-PP_26-020</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iCoA-PP_26-021</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iCoA-PP_26-021</t>
        </is>
      </c>
      <c r="AG23" s="256" t="inlineStr">
        <is>
          <t>03.06.2026</t>
        </is>
      </c>
      <c r="AH23" s="256" t="inlineStr">
        <is>
          <t>Purely Plant GmbH (in-house)</t>
        </is>
      </c>
      <c r="AI23" s="256" t="inlineStr">
        <is>
          <t>Conforms | Одговара</t>
        </is>
      </c>
      <c r="AJ23" s="256" t="inlineStr">
        <is>
          <t>iCoA-PP_26-021</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iCoA-PP_26-021</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iCoA-PP_26-022</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iCoA-PP_26-022</t>
        </is>
      </c>
      <c r="AG24" s="256" t="inlineStr">
        <is>
          <t>03.06.2026</t>
        </is>
      </c>
      <c r="AH24" s="256" t="inlineStr">
        <is>
          <t>Purely Plant GmbH (in-house)</t>
        </is>
      </c>
      <c r="AI24" s="256" t="inlineStr">
        <is>
          <t>Conforms | Одговара</t>
        </is>
      </c>
      <c r="AJ24" s="256" t="inlineStr">
        <is>
          <t>iCoA-PP_26-022</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iCoA-PP_26-022</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iCoA-PP_26-023</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iCoA-PP_26-023</t>
        </is>
      </c>
      <c r="AG25" s="256" t="inlineStr">
        <is>
          <t>03.06.2026</t>
        </is>
      </c>
      <c r="AH25" s="256" t="inlineStr">
        <is>
          <t>Purely Plant GmbH (in-house)</t>
        </is>
      </c>
      <c r="AI25" s="256" t="inlineStr">
        <is>
          <t>Conforms | Одговара</t>
        </is>
      </c>
      <c r="AJ25" s="256" t="inlineStr">
        <is>
          <t>iCoA-PP_26-023</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iCoA-PP_26-023</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iCoA-PP_26-024</t>
        </is>
      </c>
      <c r="O26" s="256" t="inlineStr">
        <is>
          <t>03.06.2026</t>
        </is>
      </c>
      <c r="P26" s="256" t="inlineStr">
        <is>
          <t>10.10.2025</t>
        </is>
      </c>
      <c r="Q26" s="256" t="inlineStr">
        <is>
          <t>—</t>
        </is>
      </c>
      <c r="R26" s="256" t="inlineStr">
        <is>
          <t>20.39</t>
        </is>
      </c>
      <c r="S26" s="256" t="inlineStr">
        <is>
          <t>iCoA-PP_26-024</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iCoA-PP_26-024</t>
        </is>
      </c>
      <c r="AG26" s="256" t="inlineStr">
        <is>
          <t>03.06.2026</t>
        </is>
      </c>
      <c r="AH26" s="256" t="inlineStr">
        <is>
          <t>Purely Plant GmbH (in-house)</t>
        </is>
      </c>
      <c r="AI26" s="256" t="inlineStr">
        <is>
          <t>Conforms | Одговара</t>
        </is>
      </c>
      <c r="AJ26" s="256" t="inlineStr">
        <is>
          <t>iCoA-PP_26-024</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iCoA-PP_26-024</t>
        </is>
      </c>
      <c r="AS26" s="256" t="inlineStr">
        <is>
          <t>03.06.2026</t>
        </is>
      </c>
      <c r="AT26" s="256" t="inlineStr">
        <is>
          <t>Purely Plant GmbH (in-house)</t>
        </is>
      </c>
      <c r="AU26" s="256" t="inlineStr">
        <is>
          <t>0.11</t>
        </is>
      </c>
      <c r="AV26" s="256" t="inlineStr">
        <is>
          <t>iCoA-PP_26-024</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iCoA-PP_26-024</t>
        </is>
      </c>
      <c r="BE26" s="256" t="inlineStr">
        <is>
          <t>03.06.2026</t>
        </is>
      </c>
      <c r="BF26" s="256" t="inlineStr">
        <is>
          <t>Purely Plant GmbH (in-house)</t>
        </is>
      </c>
      <c r="BG26" s="256" t="inlineStr">
        <is>
          <t>8.60</t>
        </is>
      </c>
      <c r="BH26" s="256" t="inlineStr">
        <is>
          <t>iCoA-PP_26-024</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iCoA-PP_26-025</t>
        </is>
      </c>
      <c r="O27" s="256" t="inlineStr">
        <is>
          <t>03.06.2026</t>
        </is>
      </c>
      <c r="P27" s="256" t="inlineStr">
        <is>
          <t>30.10.2025</t>
        </is>
      </c>
      <c r="Q27" s="256" t="inlineStr">
        <is>
          <t>—</t>
        </is>
      </c>
      <c r="R27" s="256" t="inlineStr">
        <is>
          <t>24.89</t>
        </is>
      </c>
      <c r="S27" s="256" t="inlineStr">
        <is>
          <t>iCoA-PP_26-025</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iCoA-PP_26-025</t>
        </is>
      </c>
      <c r="AG27" s="256" t="inlineStr">
        <is>
          <t>03.06.2026</t>
        </is>
      </c>
      <c r="AH27" s="256" t="inlineStr">
        <is>
          <t>Purely Plant GmbH (in-house)</t>
        </is>
      </c>
      <c r="AI27" s="256" t="inlineStr">
        <is>
          <t>Conforms | Одговара</t>
        </is>
      </c>
      <c r="AJ27" s="256" t="inlineStr">
        <is>
          <t>iCoA-PP_26-025</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iCoA-PP_26-025</t>
        </is>
      </c>
      <c r="AS27" s="256" t="inlineStr">
        <is>
          <t>03.06.2026</t>
        </is>
      </c>
      <c r="AT27" s="256" t="inlineStr">
        <is>
          <t>Purely Plant GmbH (in-house)</t>
        </is>
      </c>
      <c r="AU27" s="256" t="inlineStr">
        <is>
          <t>0.17</t>
        </is>
      </c>
      <c r="AV27" s="256" t="inlineStr">
        <is>
          <t>iCoA-PP_26-025</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iCoA-PP_26-025</t>
        </is>
      </c>
      <c r="BE27" s="256" t="inlineStr">
        <is>
          <t>03.06.2026</t>
        </is>
      </c>
      <c r="BF27" s="256" t="inlineStr">
        <is>
          <t>Purely Plant GmbH (in-house)</t>
        </is>
      </c>
      <c r="BG27" s="256" t="inlineStr">
        <is>
          <t>8.19 (avg of 4 weighings 51-1,51-2,52-1,52-2)</t>
        </is>
      </c>
      <c r="BH27" s="256" t="inlineStr">
        <is>
          <t>iCoA-PP_26-025</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iCoA-PP_26-026</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iCoA-PP_26-026</t>
        </is>
      </c>
      <c r="AG28" s="256" t="inlineStr">
        <is>
          <t>03.06.2026</t>
        </is>
      </c>
      <c r="AH28" s="256" t="inlineStr">
        <is>
          <t>Purely Plant GmbH (in-house)</t>
        </is>
      </c>
      <c r="AI28" s="256" t="inlineStr">
        <is>
          <t>Conforms | Одговара</t>
        </is>
      </c>
      <c r="AJ28" s="256" t="inlineStr">
        <is>
          <t>iCoA-PP_26-026</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iCoA-PP_26-026</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iCoA-PP_26-027</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iCoA-PP_26-027</t>
        </is>
      </c>
      <c r="AG29" s="256" t="inlineStr">
        <is>
          <t>03.06.2026</t>
        </is>
      </c>
      <c r="AH29" s="256" t="inlineStr">
        <is>
          <t>Purely Plant GmbH (in-house)</t>
        </is>
      </c>
      <c r="AI29" s="256" t="inlineStr">
        <is>
          <t>Conforms | Одговара</t>
        </is>
      </c>
      <c r="AJ29" s="256" t="inlineStr">
        <is>
          <t>iCoA-PP_26-027</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iCoA-PP_26-027</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iCoA-PP_26-028</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iCoA-PP_26-028</t>
        </is>
      </c>
      <c r="AG30" s="256" t="inlineStr">
        <is>
          <t>03.06.2026</t>
        </is>
      </c>
      <c r="AH30" s="256" t="inlineStr">
        <is>
          <t>Purely Plant GmbH (in-house)</t>
        </is>
      </c>
      <c r="AI30" s="256" t="inlineStr">
        <is>
          <t>Conforms | Одговара</t>
        </is>
      </c>
      <c r="AJ30" s="256" t="inlineStr">
        <is>
          <t>iCoA-PP_26-028</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iCoA-PP_26-028</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iCoA-PP_26-029</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iCoA-PP_26-029</t>
        </is>
      </c>
      <c r="AG31" s="256" t="inlineStr">
        <is>
          <t>03.06.2026</t>
        </is>
      </c>
      <c r="AH31" s="256" t="inlineStr">
        <is>
          <t>Purely Plant GmbH (in-house)</t>
        </is>
      </c>
      <c r="AI31" s="256" t="inlineStr">
        <is>
          <t>Conforms | Одговара</t>
        </is>
      </c>
      <c r="AJ31" s="256" t="inlineStr">
        <is>
          <t>iCoA-PP_26-029</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iCoA-PP_26-029</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iCoA-PP_26-030</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iCoA-PP_26-030</t>
        </is>
      </c>
      <c r="AG32" s="256" t="inlineStr">
        <is>
          <t>03.06.2026</t>
        </is>
      </c>
      <c r="AH32" s="256" t="inlineStr">
        <is>
          <t>Purely Plant GmbH (in-house)</t>
        </is>
      </c>
      <c r="AI32" s="256" t="inlineStr">
        <is>
          <t>Conforms | Одговара</t>
        </is>
      </c>
      <c r="AJ32" s="256" t="inlineStr">
        <is>
          <t>iCoA-PP_26-030</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iCoA-PP_26-030</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iCoA-PP_26-031</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iCoA-PP_26-031</t>
        </is>
      </c>
      <c r="AG33" s="256" t="inlineStr">
        <is>
          <t>03.06.2026</t>
        </is>
      </c>
      <c r="AH33" s="256" t="inlineStr">
        <is>
          <t>Purely Plant GmbH (in-house)</t>
        </is>
      </c>
      <c r="AI33" s="256" t="inlineStr">
        <is>
          <t>Conforms | Одговара</t>
        </is>
      </c>
      <c r="AJ33" s="256" t="inlineStr">
        <is>
          <t>iCoA-PP_26-031</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iCoA-PP_26-031</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iCoA-PP_26-032</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iCoA-PP_26-032</t>
        </is>
      </c>
      <c r="AG34" s="256" t="inlineStr">
        <is>
          <t>03.06.2026</t>
        </is>
      </c>
      <c r="AH34" s="256" t="inlineStr">
        <is>
          <t>Purely Plant GmbH (in-house)</t>
        </is>
      </c>
      <c r="AI34" s="256" t="inlineStr">
        <is>
          <t>Conforms | Одговара</t>
        </is>
      </c>
      <c r="AJ34" s="256" t="inlineStr">
        <is>
          <t>iCoA-PP_26-032</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iCoA-PP_26-032</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iCoA-PP_26-033</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iCoA-PP_26-033</t>
        </is>
      </c>
      <c r="AG35" s="256" t="inlineStr">
        <is>
          <t>03.06.2026</t>
        </is>
      </c>
      <c r="AH35" s="256" t="inlineStr">
        <is>
          <t>Purely Plant GmbH (in-house)</t>
        </is>
      </c>
      <c r="AI35" s="256" t="inlineStr">
        <is>
          <t>Conforms | Одговара</t>
        </is>
      </c>
      <c r="AJ35" s="256" t="inlineStr">
        <is>
          <t>iCoA-PP_26-033</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iCoA-PP_26-033</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iCoA-PP_26-034</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iCoA-PP_26-034</t>
        </is>
      </c>
      <c r="AG36" s="256" t="inlineStr">
        <is>
          <t>03.06.2026</t>
        </is>
      </c>
      <c r="AH36" s="256" t="inlineStr">
        <is>
          <t>Purely Plant GmbH (in-house)</t>
        </is>
      </c>
      <c r="AI36" s="256" t="inlineStr">
        <is>
          <t>Conforms | Одговара</t>
        </is>
      </c>
      <c r="AJ36" s="256" t="inlineStr">
        <is>
          <t>iCoA-PP_26-034</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iCoA-PP_26-034</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iCoA-PP_26-035</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iCoA-PP_26-035</t>
        </is>
      </c>
      <c r="AG37" s="256" t="inlineStr">
        <is>
          <t>03.06.2026</t>
        </is>
      </c>
      <c r="AH37" s="256" t="inlineStr">
        <is>
          <t>Purely Plant GmbH (in-house)</t>
        </is>
      </c>
      <c r="AI37" s="256" t="inlineStr">
        <is>
          <t>Conforms | Одговара</t>
        </is>
      </c>
      <c r="AJ37" s="256" t="inlineStr">
        <is>
          <t>iCoA-PP_26-035</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iCoA-PP_26-035</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iCoA-PP_26-036</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iCoA-PP_26-036</t>
        </is>
      </c>
      <c r="AG38" s="256" t="inlineStr">
        <is>
          <t>03.06.2026</t>
        </is>
      </c>
      <c r="AH38" s="256" t="inlineStr">
        <is>
          <t>Purely Plant GmbH (in-house)</t>
        </is>
      </c>
      <c r="AI38" s="256" t="inlineStr">
        <is>
          <t>Conforms | Одговара</t>
        </is>
      </c>
      <c r="AJ38" s="256" t="inlineStr">
        <is>
          <t>iCoA-PP_26-036</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iCoA-PP_26-036</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iCoA-PP_26-037</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iCoA-PP_26-037</t>
        </is>
      </c>
      <c r="AG39" s="256" t="inlineStr">
        <is>
          <t>03.06.2026</t>
        </is>
      </c>
      <c r="AH39" s="256" t="inlineStr">
        <is>
          <t>Purely Plant GmbH (in-house)</t>
        </is>
      </c>
      <c r="AI39" s="256" t="inlineStr">
        <is>
          <t>Conforms | Одговара</t>
        </is>
      </c>
      <c r="AJ39" s="256" t="inlineStr">
        <is>
          <t>iCoA-PP_26-037</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iCoA-PP_26-037</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iCoA-PP_26-038</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iCoA-PP_26-038</t>
        </is>
      </c>
      <c r="AG40" s="256" t="inlineStr">
        <is>
          <t>03.06.2026</t>
        </is>
      </c>
      <c r="AH40" s="256" t="inlineStr">
        <is>
          <t>Purely Plant GmbH (in-house)</t>
        </is>
      </c>
      <c r="AI40" s="256" t="inlineStr">
        <is>
          <t>Conforms | Одговара</t>
        </is>
      </c>
      <c r="AJ40" s="256" t="inlineStr">
        <is>
          <t>iCoA-PP_26-038</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iCoA-PP_26-038</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iCoA-PP_26-039</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iCoA-PP_26-039</t>
        </is>
      </c>
      <c r="AG41" s="256" t="inlineStr">
        <is>
          <t>03.06.2026</t>
        </is>
      </c>
      <c r="AH41" s="256" t="inlineStr">
        <is>
          <t>Purely Plant GmbH (in-house)</t>
        </is>
      </c>
      <c r="AI41" s="256" t="inlineStr">
        <is>
          <t>Conforms | Одговара</t>
        </is>
      </c>
      <c r="AJ41" s="256" t="inlineStr">
        <is>
          <t>iCoA-PP_26-039</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iCoA-PP_26-039</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iCoA-PP_26-040</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iCoA-PP_26-040</t>
        </is>
      </c>
      <c r="AG42" s="256" t="inlineStr">
        <is>
          <t>03.06.2026</t>
        </is>
      </c>
      <c r="AH42" s="256" t="inlineStr">
        <is>
          <t>Purely Plant GmbH (in-house)</t>
        </is>
      </c>
      <c r="AI42" s="256" t="inlineStr">
        <is>
          <t>Conforms | Одговара</t>
        </is>
      </c>
      <c r="AJ42" s="256" t="inlineStr">
        <is>
          <t>iCoA-PP_26-040</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iCoA-PP_26-040</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iCoA-PP_26-041</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iCoA-PP_26-041</t>
        </is>
      </c>
      <c r="AG43" s="256" t="inlineStr">
        <is>
          <t>03.06.2026</t>
        </is>
      </c>
      <c r="AH43" s="256" t="inlineStr">
        <is>
          <t>Purely Plant GmbH (in-house)</t>
        </is>
      </c>
      <c r="AI43" s="256" t="inlineStr">
        <is>
          <t>Conforms | Одговара</t>
        </is>
      </c>
      <c r="AJ43" s="256" t="inlineStr">
        <is>
          <t>iCoA-PP_26-041</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iCoA-PP_26-041</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iCoA-PP_26-042</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iCoA-PP_26-042</t>
        </is>
      </c>
      <c r="AG44" s="256" t="inlineStr">
        <is>
          <t>03.06.2026</t>
        </is>
      </c>
      <c r="AH44" s="256" t="inlineStr">
        <is>
          <t>Purely Plant GmbH (in-house)</t>
        </is>
      </c>
      <c r="AI44" s="256" t="inlineStr">
        <is>
          <t>Conforms | Одговара</t>
        </is>
      </c>
      <c r="AJ44" s="256" t="inlineStr">
        <is>
          <t>iCoA-PP_26-042</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iCoA-PP_26-042</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iCoA-PP_26-043</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iCoA-PP_26-043</t>
        </is>
      </c>
      <c r="AG45" s="256" t="inlineStr">
        <is>
          <t>03.06.2026</t>
        </is>
      </c>
      <c r="AH45" s="256" t="inlineStr">
        <is>
          <t>Purely Plant GmbH (in-house)</t>
        </is>
      </c>
      <c r="AI45" s="256" t="inlineStr">
        <is>
          <t>Conforms | Одговара</t>
        </is>
      </c>
      <c r="AJ45" s="256" t="inlineStr">
        <is>
          <t>iCoA-PP_26-043</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iCoA-PP_26-043</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iCoA-PP_26-044</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iCoA-PP_26-044</t>
        </is>
      </c>
      <c r="AG46" s="256" t="inlineStr">
        <is>
          <t>03.06.2026</t>
        </is>
      </c>
      <c r="AH46" s="256" t="inlineStr">
        <is>
          <t>Purely Plant GmbH (in-house)</t>
        </is>
      </c>
      <c r="AI46" s="256" t="inlineStr">
        <is>
          <t>Conforms | Одговара</t>
        </is>
      </c>
      <c r="AJ46" s="256" t="inlineStr">
        <is>
          <t>iCoA-PP_26-044</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iCoA-PP_26-044</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iCoA-PP_26-045</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iCoA-PP_26-045</t>
        </is>
      </c>
      <c r="AG47" s="256" t="inlineStr">
        <is>
          <t>03.06.2026</t>
        </is>
      </c>
      <c r="AH47" s="256" t="inlineStr">
        <is>
          <t>Purely Plant GmbH (in-house)</t>
        </is>
      </c>
      <c r="AI47" s="256" t="inlineStr">
        <is>
          <t>Conforms | Одговара</t>
        </is>
      </c>
      <c r="AJ47" s="256" t="inlineStr">
        <is>
          <t>iCoA-PP_26-045</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iCoA-PP_26-045</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9" t="inlineStr">
        <is>
          <t>not tested</t>
        </is>
      </c>
      <c r="CR47" s="256" t="inlineStr">
        <is>
          <t>—</t>
        </is>
      </c>
      <c r="CS47" s="256" t="inlineStr">
        <is>
          <t>—</t>
        </is>
      </c>
      <c r="CT47" s="256" t="inlineStr">
        <is>
          <t>—</t>
        </is>
      </c>
      <c r="CU47" s="259" t="inlineStr">
        <is>
          <t>not tested</t>
        </is>
      </c>
      <c r="CV47" s="256" t="inlineStr">
        <is>
          <t>—</t>
        </is>
      </c>
      <c r="CW47" s="256" t="inlineStr">
        <is>
          <t>—</t>
        </is>
      </c>
      <c r="CX47" s="256" t="inlineStr">
        <is>
          <t>—</t>
        </is>
      </c>
      <c r="CY47" s="259" t="inlineStr">
        <is>
          <t>not tested</t>
        </is>
      </c>
      <c r="CZ47" s="256" t="inlineStr">
        <is>
          <t>—</t>
        </is>
      </c>
      <c r="DA47" s="256" t="inlineStr">
        <is>
          <t>—</t>
        </is>
      </c>
      <c r="DB47" s="256" t="inlineStr">
        <is>
          <t>—</t>
        </is>
      </c>
      <c r="DC47" s="259" t="inlineStr">
        <is>
          <t>not tested</t>
        </is>
      </c>
      <c r="DD47" s="256" t="inlineStr">
        <is>
          <t>—</t>
        </is>
      </c>
      <c r="DE47" s="256" t="inlineStr">
        <is>
          <t>—</t>
        </is>
      </c>
      <c r="DF47" s="256" t="inlineStr">
        <is>
          <t>—</t>
        </is>
      </c>
      <c r="DG47" s="259" t="inlineStr">
        <is>
          <t>not tested</t>
        </is>
      </c>
      <c r="DH47" s="256" t="inlineStr">
        <is>
          <t>—</t>
        </is>
      </c>
      <c r="DI47" s="256" t="inlineStr">
        <is>
          <t>—</t>
        </is>
      </c>
      <c r="DJ47" s="256" t="inlineStr">
        <is>
          <t>—</t>
        </is>
      </c>
      <c r="DK47" s="259" t="inlineStr">
        <is>
          <t>not tested</t>
        </is>
      </c>
      <c r="DL47" s="256" t="inlineStr">
        <is>
          <t>—</t>
        </is>
      </c>
      <c r="DM47" s="256" t="inlineStr">
        <is>
          <t>—</t>
        </is>
      </c>
      <c r="DN47" s="256" t="inlineStr">
        <is>
          <t>—</t>
        </is>
      </c>
      <c r="DO47" s="259" t="inlineStr">
        <is>
          <t>not tested</t>
        </is>
      </c>
      <c r="DP47" s="256" t="inlineStr">
        <is>
          <t>—</t>
        </is>
      </c>
      <c r="DQ47" s="256" t="inlineStr">
        <is>
          <t>—</t>
        </is>
      </c>
      <c r="DR47" s="256" t="inlineStr">
        <is>
          <t>—</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iCoA-PP_26-046</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iCoA-PP_26-046</t>
        </is>
      </c>
      <c r="AG48" s="256" t="inlineStr">
        <is>
          <t>03.06.2026</t>
        </is>
      </c>
      <c r="AH48" s="256" t="inlineStr">
        <is>
          <t>Purely Plant GmbH (in-house)</t>
        </is>
      </c>
      <c r="AI48" s="256" t="inlineStr">
        <is>
          <t>Conforms | Одговара</t>
        </is>
      </c>
      <c r="AJ48" s="256" t="inlineStr">
        <is>
          <t>iCoA-PP_26-046</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iCoA-PP_26-046</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25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iCoA-PP_26-047</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iCoA-PP_26-047</t>
        </is>
      </c>
      <c r="AG49" s="256" t="inlineStr">
        <is>
          <t>03.06.2026</t>
        </is>
      </c>
      <c r="AH49" s="256" t="inlineStr">
        <is>
          <t>Purely Plant GmbH (in-house)</t>
        </is>
      </c>
      <c r="AI49" s="256" t="inlineStr">
        <is>
          <t>Conforms | Одговара</t>
        </is>
      </c>
      <c r="AJ49" s="256" t="inlineStr">
        <is>
          <t>iCoA-PP_26-047</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iCoA-PP_26-047</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25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iCoA-PP_26-048</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iCoA-PP_26-048</t>
        </is>
      </c>
      <c r="AG50" s="256" t="inlineStr">
        <is>
          <t>03.06.2026</t>
        </is>
      </c>
      <c r="AH50" s="256" t="inlineStr">
        <is>
          <t>Purely Plant GmbH (in-house)</t>
        </is>
      </c>
      <c r="AI50" s="256" t="inlineStr">
        <is>
          <t>Conforms | Одговара</t>
        </is>
      </c>
      <c r="AJ50" s="256" t="inlineStr">
        <is>
          <t>iCoA-PP_26-048</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iCoA-PP_26-048</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25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iCoA-PP_26-049</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iCoA-PP_26-049</t>
        </is>
      </c>
      <c r="AG51" s="256" t="inlineStr">
        <is>
          <t>03.06.2026</t>
        </is>
      </c>
      <c r="AH51" s="256" t="inlineStr">
        <is>
          <t>Purely Plant GmbH (in-house)</t>
        </is>
      </c>
      <c r="AI51" s="256" t="inlineStr">
        <is>
          <t>Conforms | Одговара</t>
        </is>
      </c>
      <c r="AJ51" s="256" t="inlineStr">
        <is>
          <t>iCoA-PP_26-049</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iCoA-PP_26-049</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iCoA-PP_26-053</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iCoA-PP_26-053</t>
        </is>
      </c>
      <c r="AG52" s="256" t="inlineStr">
        <is>
          <t>03.06.2026</t>
        </is>
      </c>
      <c r="AH52" s="256" t="inlineStr">
        <is>
          <t>Purely Plant GmbH (in-house)</t>
        </is>
      </c>
      <c r="AI52" s="256" t="inlineStr">
        <is>
          <t>Conforms | Одговара</t>
        </is>
      </c>
      <c r="AJ52" s="256" t="inlineStr">
        <is>
          <t>iCoA-PP_26-053</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iCoA-PP_26-053</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25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iCoA-PP_26-055</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iCoA-PP_26-055</t>
        </is>
      </c>
      <c r="AG53" s="256" t="inlineStr">
        <is>
          <t>03.06.2026</t>
        </is>
      </c>
      <c r="AH53" s="256" t="inlineStr">
        <is>
          <t>Purely Plant GmbH (in-house)</t>
        </is>
      </c>
      <c r="AI53" s="256" t="inlineStr">
        <is>
          <t>Conforms | Одговара</t>
        </is>
      </c>
      <c r="AJ53" s="256" t="inlineStr">
        <is>
          <t>iCoA-PP_26-055</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iCoA-PP_26-055</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9" t="inlineStr">
        <is>
          <t>not tested</t>
        </is>
      </c>
      <c r="DP53" s="256" t="inlineStr">
        <is>
          <t>—</t>
        </is>
      </c>
      <c r="DQ53" s="256" t="inlineStr">
        <is>
          <t>—</t>
        </is>
      </c>
      <c r="DR53" s="256" t="inlineStr">
        <is>
          <t>—</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iCoA-PP_26-056</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iCoA-PP_26-056</t>
        </is>
      </c>
      <c r="AG54" s="256" t="inlineStr">
        <is>
          <t>03.06.2026</t>
        </is>
      </c>
      <c r="AH54" s="256" t="inlineStr">
        <is>
          <t>Purely Plant GmbH (in-house)</t>
        </is>
      </c>
      <c r="AI54" s="256" t="inlineStr">
        <is>
          <t>Conforms | Одговара</t>
        </is>
      </c>
      <c r="AJ54" s="256" t="inlineStr">
        <is>
          <t>iCoA-PP_26-056</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iCoA-PP_26-056</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25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iCoA-PP_26-057</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iCoA-PP_26-057</t>
        </is>
      </c>
      <c r="AG55" s="256" t="inlineStr">
        <is>
          <t>03.06.2026</t>
        </is>
      </c>
      <c r="AH55" s="256" t="inlineStr">
        <is>
          <t>Purely Plant GmbH (in-house)</t>
        </is>
      </c>
      <c r="AI55" s="256" t="inlineStr">
        <is>
          <t>Conforms | Одговара</t>
        </is>
      </c>
      <c r="AJ55" s="256" t="inlineStr">
        <is>
          <t>iCoA-PP_26-057</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iCoA-PP_26-057</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9" t="inlineStr">
        <is>
          <t>not tested</t>
        </is>
      </c>
      <c r="CR55" s="256" t="inlineStr">
        <is>
          <t>—</t>
        </is>
      </c>
      <c r="CS55" s="256" t="inlineStr">
        <is>
          <t>—</t>
        </is>
      </c>
      <c r="CT55" s="256" t="inlineStr">
        <is>
          <t>—</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25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iCoA-PP_26-058</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iCoA-PP_26-058</t>
        </is>
      </c>
      <c r="AG56" s="256" t="inlineStr">
        <is>
          <t>03.06.2026</t>
        </is>
      </c>
      <c r="AH56" s="256" t="inlineStr">
        <is>
          <t>Purely Plant GmbH (in-house)</t>
        </is>
      </c>
      <c r="AI56" s="256" t="inlineStr">
        <is>
          <t>Conforms | Одговара</t>
        </is>
      </c>
      <c r="AJ56" s="256" t="inlineStr">
        <is>
          <t>iCoA-PP_26-058</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iCoA-PP_26-058</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9" t="inlineStr">
        <is>
          <t>not tested</t>
        </is>
      </c>
      <c r="CR56" s="256" t="inlineStr">
        <is>
          <t>—</t>
        </is>
      </c>
      <c r="CS56" s="256" t="inlineStr">
        <is>
          <t>—</t>
        </is>
      </c>
      <c r="CT56" s="256" t="inlineStr">
        <is>
          <t>—</t>
        </is>
      </c>
      <c r="CU56" s="259" t="inlineStr">
        <is>
          <t>not tested</t>
        </is>
      </c>
      <c r="CV56" s="256" t="inlineStr">
        <is>
          <t>—</t>
        </is>
      </c>
      <c r="CW56" s="256" t="inlineStr">
        <is>
          <t>—</t>
        </is>
      </c>
      <c r="CX56" s="256" t="inlineStr">
        <is>
          <t>—</t>
        </is>
      </c>
      <c r="CY56" s="259" t="inlineStr">
        <is>
          <t>not tested</t>
        </is>
      </c>
      <c r="CZ56" s="256" t="inlineStr">
        <is>
          <t>—</t>
        </is>
      </c>
      <c r="DA56" s="256" t="inlineStr">
        <is>
          <t>—</t>
        </is>
      </c>
      <c r="DB56" s="256" t="inlineStr">
        <is>
          <t>—</t>
        </is>
      </c>
      <c r="DC56" s="259" t="inlineStr">
        <is>
          <t>not tested</t>
        </is>
      </c>
      <c r="DD56" s="256" t="inlineStr">
        <is>
          <t>—</t>
        </is>
      </c>
      <c r="DE56" s="256" t="inlineStr">
        <is>
          <t>—</t>
        </is>
      </c>
      <c r="DF56" s="256" t="inlineStr">
        <is>
          <t>—</t>
        </is>
      </c>
      <c r="DG56" s="259" t="inlineStr">
        <is>
          <t>not tested</t>
        </is>
      </c>
      <c r="DH56" s="256" t="inlineStr">
        <is>
          <t>—</t>
        </is>
      </c>
      <c r="DI56" s="256" t="inlineStr">
        <is>
          <t>—</t>
        </is>
      </c>
      <c r="DJ56" s="256" t="inlineStr">
        <is>
          <t>—</t>
        </is>
      </c>
      <c r="DK56" s="259" t="inlineStr">
        <is>
          <t>not tested</t>
        </is>
      </c>
      <c r="DL56" s="256" t="inlineStr">
        <is>
          <t>—</t>
        </is>
      </c>
      <c r="DM56" s="256" t="inlineStr">
        <is>
          <t>—</t>
        </is>
      </c>
      <c r="DN56" s="256" t="inlineStr">
        <is>
          <t>—</t>
        </is>
      </c>
      <c r="DO56" s="259" t="inlineStr">
        <is>
          <t>not tested</t>
        </is>
      </c>
      <c r="DP56" s="256" t="inlineStr">
        <is>
          <t>—</t>
        </is>
      </c>
      <c r="DQ56" s="256" t="inlineStr">
        <is>
          <t>—</t>
        </is>
      </c>
      <c r="DR56" s="256" t="inlineStr">
        <is>
          <t>—</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iCoA-PP_26-059</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iCoA-PP_26-059</t>
        </is>
      </c>
      <c r="AG57" s="256" t="inlineStr">
        <is>
          <t>03.06.2026</t>
        </is>
      </c>
      <c r="AH57" s="256" t="inlineStr">
        <is>
          <t>Purely Plant GmbH (in-house)</t>
        </is>
      </c>
      <c r="AI57" s="256" t="inlineStr">
        <is>
          <t>Conforms | Одговара</t>
        </is>
      </c>
      <c r="AJ57" s="256" t="inlineStr">
        <is>
          <t>iCoA-PP_26-059</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iCoA-PP_26-059</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9" t="inlineStr">
        <is>
          <t>not tested</t>
        </is>
      </c>
      <c r="CR57" s="256" t="inlineStr">
        <is>
          <t>—</t>
        </is>
      </c>
      <c r="CS57" s="256" t="inlineStr">
        <is>
          <t>—</t>
        </is>
      </c>
      <c r="CT57" s="256" t="inlineStr">
        <is>
          <t>—</t>
        </is>
      </c>
      <c r="CU57" s="259" t="inlineStr">
        <is>
          <t>not tested</t>
        </is>
      </c>
      <c r="CV57" s="256" t="inlineStr">
        <is>
          <t>—</t>
        </is>
      </c>
      <c r="CW57" s="256" t="inlineStr">
        <is>
          <t>—</t>
        </is>
      </c>
      <c r="CX57" s="256" t="inlineStr">
        <is>
          <t>—</t>
        </is>
      </c>
      <c r="CY57" s="259" t="inlineStr">
        <is>
          <t>not tested</t>
        </is>
      </c>
      <c r="CZ57" s="256" t="inlineStr">
        <is>
          <t>—</t>
        </is>
      </c>
      <c r="DA57" s="256" t="inlineStr">
        <is>
          <t>—</t>
        </is>
      </c>
      <c r="DB57" s="256" t="inlineStr">
        <is>
          <t>—</t>
        </is>
      </c>
      <c r="DC57" s="259" t="inlineStr">
        <is>
          <t>not tested</t>
        </is>
      </c>
      <c r="DD57" s="256" t="inlineStr">
        <is>
          <t>—</t>
        </is>
      </c>
      <c r="DE57" s="256" t="inlineStr">
        <is>
          <t>—</t>
        </is>
      </c>
      <c r="DF57" s="256" t="inlineStr">
        <is>
          <t>—</t>
        </is>
      </c>
      <c r="DG57" s="259" t="inlineStr">
        <is>
          <t>not tested</t>
        </is>
      </c>
      <c r="DH57" s="256" t="inlineStr">
        <is>
          <t>—</t>
        </is>
      </c>
      <c r="DI57" s="256" t="inlineStr">
        <is>
          <t>—</t>
        </is>
      </c>
      <c r="DJ57" s="256" t="inlineStr">
        <is>
          <t>—</t>
        </is>
      </c>
      <c r="DK57" s="259" t="inlineStr">
        <is>
          <t>not tested</t>
        </is>
      </c>
      <c r="DL57" s="256" t="inlineStr">
        <is>
          <t>—</t>
        </is>
      </c>
      <c r="DM57" s="256" t="inlineStr">
        <is>
          <t>—</t>
        </is>
      </c>
      <c r="DN57" s="256" t="inlineStr">
        <is>
          <t>—</t>
        </is>
      </c>
      <c r="DO57" s="259" t="inlineStr">
        <is>
          <t>not tested</t>
        </is>
      </c>
      <c r="DP57" s="256" t="inlineStr">
        <is>
          <t>—</t>
        </is>
      </c>
      <c r="DQ57" s="256" t="inlineStr">
        <is>
          <t>—</t>
        </is>
      </c>
      <c r="DR57" s="256" t="inlineStr">
        <is>
          <t>—</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iCoA-PP_26-060</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iCoA-PP_26-060</t>
        </is>
      </c>
      <c r="AG58" s="256" t="inlineStr">
        <is>
          <t>03.06.2026</t>
        </is>
      </c>
      <c r="AH58" s="256" t="inlineStr">
        <is>
          <t>Purely Plant GmbH (in-house)</t>
        </is>
      </c>
      <c r="AI58" s="256" t="inlineStr">
        <is>
          <t>Conforms | Одговара</t>
        </is>
      </c>
      <c r="AJ58" s="256" t="inlineStr">
        <is>
          <t>iCoA-PP_26-060</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iCoA-PP_26-060</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iCoA-PP_26-061</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iCoA-PP_26-061</t>
        </is>
      </c>
      <c r="AG59" s="256" t="inlineStr">
        <is>
          <t>03.06.2026</t>
        </is>
      </c>
      <c r="AH59" s="256" t="inlineStr">
        <is>
          <t>Purely Plant GmbH (in-house)</t>
        </is>
      </c>
      <c r="AI59" s="256" t="inlineStr">
        <is>
          <t>Conforms | Одговара</t>
        </is>
      </c>
      <c r="AJ59" s="256" t="inlineStr">
        <is>
          <t>iCoA-PP_26-061</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iCoA-PP_26-061</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9" t="inlineStr">
        <is>
          <t>not tested</t>
        </is>
      </c>
      <c r="CR59" s="256" t="inlineStr">
        <is>
          <t>—</t>
        </is>
      </c>
      <c r="CS59" s="256" t="inlineStr">
        <is>
          <t>—</t>
        </is>
      </c>
      <c r="CT59" s="256" t="inlineStr">
        <is>
          <t>—</t>
        </is>
      </c>
      <c r="CU59" s="259" t="inlineStr">
        <is>
          <t>not tested</t>
        </is>
      </c>
      <c r="CV59" s="256" t="inlineStr">
        <is>
          <t>—</t>
        </is>
      </c>
      <c r="CW59" s="256" t="inlineStr">
        <is>
          <t>—</t>
        </is>
      </c>
      <c r="CX59" s="256" t="inlineStr">
        <is>
          <t>—</t>
        </is>
      </c>
      <c r="CY59" s="259" t="inlineStr">
        <is>
          <t>not tested</t>
        </is>
      </c>
      <c r="CZ59" s="256" t="inlineStr">
        <is>
          <t>—</t>
        </is>
      </c>
      <c r="DA59" s="256" t="inlineStr">
        <is>
          <t>—</t>
        </is>
      </c>
      <c r="DB59" s="256" t="inlineStr">
        <is>
          <t>—</t>
        </is>
      </c>
      <c r="DC59" s="259" t="inlineStr">
        <is>
          <t>not tested</t>
        </is>
      </c>
      <c r="DD59" s="256" t="inlineStr">
        <is>
          <t>—</t>
        </is>
      </c>
      <c r="DE59" s="256" t="inlineStr">
        <is>
          <t>—</t>
        </is>
      </c>
      <c r="DF59" s="256" t="inlineStr">
        <is>
          <t>—</t>
        </is>
      </c>
      <c r="DG59" s="259" t="inlineStr">
        <is>
          <t>not tested</t>
        </is>
      </c>
      <c r="DH59" s="256" t="inlineStr">
        <is>
          <t>—</t>
        </is>
      </c>
      <c r="DI59" s="256" t="inlineStr">
        <is>
          <t>—</t>
        </is>
      </c>
      <c r="DJ59" s="256" t="inlineStr">
        <is>
          <t>—</t>
        </is>
      </c>
      <c r="DK59" s="259" t="inlineStr">
        <is>
          <t>not tested</t>
        </is>
      </c>
      <c r="DL59" s="256" t="inlineStr">
        <is>
          <t>—</t>
        </is>
      </c>
      <c r="DM59" s="256" t="inlineStr">
        <is>
          <t>—</t>
        </is>
      </c>
      <c r="DN59" s="256" t="inlineStr">
        <is>
          <t>—</t>
        </is>
      </c>
      <c r="DO59" s="259" t="inlineStr">
        <is>
          <t>not tested</t>
        </is>
      </c>
      <c r="DP59" s="256" t="inlineStr">
        <is>
          <t>—</t>
        </is>
      </c>
      <c r="DQ59" s="256" t="inlineStr">
        <is>
          <t>—</t>
        </is>
      </c>
      <c r="DR59" s="256" t="inlineStr">
        <is>
          <t>—</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iCoA-PP_26-062</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iCoA-PP_26-062</t>
        </is>
      </c>
      <c r="AG60" s="256" t="inlineStr">
        <is>
          <t>03.06.2026</t>
        </is>
      </c>
      <c r="AH60" s="256" t="inlineStr">
        <is>
          <t>Purely Plant GmbH (in-house)</t>
        </is>
      </c>
      <c r="AI60" s="256" t="inlineStr">
        <is>
          <t>Conforms | Одговара</t>
        </is>
      </c>
      <c r="AJ60" s="256" t="inlineStr">
        <is>
          <t>iCoA-PP_26-062</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iCoA-PP_26-062</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25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iCoA-PP_26-063</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iCoA-PP_26-063</t>
        </is>
      </c>
      <c r="AG61" s="256" t="inlineStr">
        <is>
          <t>03.06.2026</t>
        </is>
      </c>
      <c r="AH61" s="256" t="inlineStr">
        <is>
          <t>Purely Plant GmbH (in-house)</t>
        </is>
      </c>
      <c r="AI61" s="256" t="inlineStr">
        <is>
          <t>Conforms | Одговара</t>
        </is>
      </c>
      <c r="AJ61" s="256" t="inlineStr">
        <is>
          <t>iCoA-PP_26-063</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iCoA-PP_26-063</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iCoA-PP_26-064</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iCoA-PP_26-064</t>
        </is>
      </c>
      <c r="AG62" s="256" t="inlineStr">
        <is>
          <t>03.06.2026</t>
        </is>
      </c>
      <c r="AH62" s="256" t="inlineStr">
        <is>
          <t>Purely Plant GmbH (in-house)</t>
        </is>
      </c>
      <c r="AI62" s="256" t="inlineStr">
        <is>
          <t>Conforms | Одговара</t>
        </is>
      </c>
      <c r="AJ62" s="256" t="inlineStr">
        <is>
          <t>iCoA-PP_26-064</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iCoA-PP_26-064</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iCoA-PP_26-072</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iCoA-PP_26-072</t>
        </is>
      </c>
      <c r="AG63" s="256" t="inlineStr">
        <is>
          <t>03.06.2026</t>
        </is>
      </c>
      <c r="AH63" s="256" t="inlineStr">
        <is>
          <t>Purely Plant GmbH (in-house)</t>
        </is>
      </c>
      <c r="AI63" s="256" t="inlineStr">
        <is>
          <t>Conforms | Одговара</t>
        </is>
      </c>
      <c r="AJ63" s="256" t="inlineStr">
        <is>
          <t>iCoA-PP_26-072</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iCoA-PP_26-072</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iCoA-PP_26-073</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iCoA-PP_26-073</t>
        </is>
      </c>
      <c r="AG64" s="256" t="inlineStr">
        <is>
          <t>03.06.2026</t>
        </is>
      </c>
      <c r="AH64" s="256" t="inlineStr">
        <is>
          <t>Purely Plant GmbH (in-house)</t>
        </is>
      </c>
      <c r="AI64" s="256" t="inlineStr">
        <is>
          <t>Conforms | Одговара</t>
        </is>
      </c>
      <c r="AJ64" s="256" t="inlineStr">
        <is>
          <t>iCoA-PP_26-073</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iCoA-PP_26-073</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iCoA-PP_26-074</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iCoA-PP_26-074</t>
        </is>
      </c>
      <c r="AG65" s="256" t="inlineStr">
        <is>
          <t>03.06.2026</t>
        </is>
      </c>
      <c r="AH65" s="256" t="inlineStr">
        <is>
          <t>Purely Plant GmbH (in-house)</t>
        </is>
      </c>
      <c r="AI65" s="256" t="inlineStr">
        <is>
          <t>Conforms | Одговара</t>
        </is>
      </c>
      <c r="AJ65" s="256" t="inlineStr">
        <is>
          <t>iCoA-PP_26-074</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iCoA-PP_26-074</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iCoA-PP_26-075</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iCoA-PP_26-075</t>
        </is>
      </c>
      <c r="AG66" s="256" t="inlineStr">
        <is>
          <t>03.06.2026</t>
        </is>
      </c>
      <c r="AH66" s="256" t="inlineStr">
        <is>
          <t>Purely Plant GmbH (in-house)</t>
        </is>
      </c>
      <c r="AI66" s="256" t="inlineStr">
        <is>
          <t>Conforms | Одговара</t>
        </is>
      </c>
      <c r="AJ66" s="256" t="inlineStr">
        <is>
          <t>iCoA-PP_26-075</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iCoA-PP_26-075</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iCoA-PP_26-076</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iCoA-PP_26-076</t>
        </is>
      </c>
      <c r="AG67" s="256" t="inlineStr">
        <is>
          <t>03.06.2026</t>
        </is>
      </c>
      <c r="AH67" s="256" t="inlineStr">
        <is>
          <t>Purely Plant GmbH (in-house)</t>
        </is>
      </c>
      <c r="AI67" s="256" t="inlineStr">
        <is>
          <t>Conforms | Одговара</t>
        </is>
      </c>
      <c r="AJ67" s="256" t="inlineStr">
        <is>
          <t>iCoA-PP_26-076</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iCoA-PP_26-076</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iCoA-PP_26-077</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iCoA-PP_26-077</t>
        </is>
      </c>
      <c r="AG68" s="256" t="inlineStr">
        <is>
          <t>03.06.2026</t>
        </is>
      </c>
      <c r="AH68" s="256" t="inlineStr">
        <is>
          <t>Purely Plant GmbH (in-house)</t>
        </is>
      </c>
      <c r="AI68" s="256" t="inlineStr">
        <is>
          <t>Conforms | Одговара</t>
        </is>
      </c>
      <c r="AJ68" s="256" t="inlineStr">
        <is>
          <t>iCoA-PP_26-077</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iCoA-PP_26-077</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iCoA-PP_26-079</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iCoA-PP_26-079</t>
        </is>
      </c>
      <c r="AG69" s="256" t="inlineStr">
        <is>
          <t>03.06.2026</t>
        </is>
      </c>
      <c r="AH69" s="256" t="inlineStr">
        <is>
          <t>Purely Plant GmbH (in-house)</t>
        </is>
      </c>
      <c r="AI69" s="256" t="inlineStr">
        <is>
          <t>Conforms | Одговара</t>
        </is>
      </c>
      <c r="AJ69" s="256" t="inlineStr">
        <is>
          <t>iCoA-PP_26-079</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iCoA-PP_26-079</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iCoA-PP_26-078</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iCoA-PP_26-078</t>
        </is>
      </c>
      <c r="AG70" s="256" t="inlineStr">
        <is>
          <t>03.06.2026</t>
        </is>
      </c>
      <c r="AH70" s="256" t="inlineStr">
        <is>
          <t>Purely Plant GmbH (in-house)</t>
        </is>
      </c>
      <c r="AI70" s="256" t="inlineStr">
        <is>
          <t>Conforms | Одговара</t>
        </is>
      </c>
      <c r="AJ70" s="256" t="inlineStr">
        <is>
          <t>iCoA-PP_26-078</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iCoA-PP_26-078</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iCoA-PP_26-083</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iCoA-PP_26-083</t>
        </is>
      </c>
      <c r="AG71" s="256" t="inlineStr">
        <is>
          <t>03.06.2026</t>
        </is>
      </c>
      <c r="AH71" s="256" t="inlineStr">
        <is>
          <t>Purely Plant GmbH (in-house)</t>
        </is>
      </c>
      <c r="AI71" s="256" t="inlineStr">
        <is>
          <t>Conforms | Одговара</t>
        </is>
      </c>
      <c r="AJ71" s="256" t="inlineStr">
        <is>
          <t>iCoA-PP_26-083</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iCoA-PP_26-083</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iCoA-PP_26-082</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iCoA-PP_26-082</t>
        </is>
      </c>
      <c r="AG72" s="256" t="inlineStr">
        <is>
          <t>03.06.2026</t>
        </is>
      </c>
      <c r="AH72" s="256" t="inlineStr">
        <is>
          <t>Purely Plant GmbH (in-house)</t>
        </is>
      </c>
      <c r="AI72" s="259" t="inlineStr">
        <is>
          <t>to be performed (in house)</t>
        </is>
      </c>
      <c r="AJ72" s="256" t="inlineStr">
        <is>
          <t>iCoA-PP_26-082</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iCoA-PP_26-082</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iCoA-PP_26-084</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iCoA-PP_26-084</t>
        </is>
      </c>
      <c r="AG73" s="256" t="inlineStr">
        <is>
          <t>03.06.2026</t>
        </is>
      </c>
      <c r="AH73" s="256" t="inlineStr">
        <is>
          <t>Purely Plant GmbH (in-house)</t>
        </is>
      </c>
      <c r="AI73" s="256" t="inlineStr">
        <is>
          <t>Conforms | Одговара</t>
        </is>
      </c>
      <c r="AJ73" s="256" t="inlineStr">
        <is>
          <t>iCoA-PP_26-084</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iCoA-PP_26-084</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iCoA-PP_26-088</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iCoA-PP_26-088</t>
        </is>
      </c>
      <c r="AG74" s="256" t="inlineStr">
        <is>
          <t>03.06.2026</t>
        </is>
      </c>
      <c r="AH74" s="256" t="inlineStr">
        <is>
          <t>Purely Plant GmbH (in-house)</t>
        </is>
      </c>
      <c r="AI74" s="256" t="inlineStr">
        <is>
          <t>Conforms | Одговара</t>
        </is>
      </c>
      <c r="AJ74" s="256" t="inlineStr">
        <is>
          <t>iCoA-PP_26-088</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iCoA-PP_26-088</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iCoA-PP_26-087</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iCoA-PP_26-087</t>
        </is>
      </c>
      <c r="AG75" s="256" t="inlineStr">
        <is>
          <t>03.06.2026</t>
        </is>
      </c>
      <c r="AH75" s="256" t="inlineStr">
        <is>
          <t>Purely Plant GmbH (in-house)</t>
        </is>
      </c>
      <c r="AI75" s="256" t="inlineStr">
        <is>
          <t>Conforms | Одговара</t>
        </is>
      </c>
      <c r="AJ75" s="256" t="inlineStr">
        <is>
          <t>iCoA-PP_26-087</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iCoA-PP_26-087</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iCoA-PP_26-080</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9" t="inlineStr">
        <is>
          <t>not tested</t>
        </is>
      </c>
      <c r="CR76" s="256" t="inlineStr">
        <is>
          <t>—</t>
        </is>
      </c>
      <c r="CS76" s="256" t="inlineStr">
        <is>
          <t>—</t>
        </is>
      </c>
      <c r="CT76" s="256" t="inlineStr">
        <is>
          <t>—</t>
        </is>
      </c>
      <c r="CU76" s="259" t="inlineStr">
        <is>
          <t>not tested</t>
        </is>
      </c>
      <c r="CV76" s="256" t="inlineStr">
        <is>
          <t>—</t>
        </is>
      </c>
      <c r="CW76" s="256" t="inlineStr">
        <is>
          <t>—</t>
        </is>
      </c>
      <c r="CX76" s="256" t="inlineStr">
        <is>
          <t>—</t>
        </is>
      </c>
      <c r="CY76" s="259" t="inlineStr">
        <is>
          <t>not tested</t>
        </is>
      </c>
      <c r="CZ76" s="256" t="inlineStr">
        <is>
          <t>—</t>
        </is>
      </c>
      <c r="DA76" s="256" t="inlineStr">
        <is>
          <t>—</t>
        </is>
      </c>
      <c r="DB76" s="256" t="inlineStr">
        <is>
          <t>—</t>
        </is>
      </c>
      <c r="DC76" s="259" t="inlineStr">
        <is>
          <t>not tested</t>
        </is>
      </c>
      <c r="DD76" s="256" t="inlineStr">
        <is>
          <t>—</t>
        </is>
      </c>
      <c r="DE76" s="256" t="inlineStr">
        <is>
          <t>—</t>
        </is>
      </c>
      <c r="DF76" s="256" t="inlineStr">
        <is>
          <t>—</t>
        </is>
      </c>
      <c r="DG76" s="259" t="inlineStr">
        <is>
          <t>not tested</t>
        </is>
      </c>
      <c r="DH76" s="256" t="inlineStr">
        <is>
          <t>—</t>
        </is>
      </c>
      <c r="DI76" s="256" t="inlineStr">
        <is>
          <t>—</t>
        </is>
      </c>
      <c r="DJ76" s="256" t="inlineStr">
        <is>
          <t>—</t>
        </is>
      </c>
      <c r="DK76" s="259" t="inlineStr">
        <is>
          <t>not tested</t>
        </is>
      </c>
      <c r="DL76" s="256" t="inlineStr">
        <is>
          <t>—</t>
        </is>
      </c>
      <c r="DM76" s="256" t="inlineStr">
        <is>
          <t>—</t>
        </is>
      </c>
      <c r="DN76" s="256" t="inlineStr">
        <is>
          <t>—</t>
        </is>
      </c>
      <c r="DO76" s="259" t="inlineStr">
        <is>
          <t>not tested</t>
        </is>
      </c>
      <c r="DP76" s="256" t="inlineStr">
        <is>
          <t>—</t>
        </is>
      </c>
      <c r="DQ76" s="256" t="inlineStr">
        <is>
          <t>—</t>
        </is>
      </c>
      <c r="DR76" s="256" t="inlineStr">
        <is>
          <t>—</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iCoA-PP_26-081</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9" t="inlineStr">
        <is>
          <t>not tested</t>
        </is>
      </c>
      <c r="CR77" s="256" t="inlineStr">
        <is>
          <t>—</t>
        </is>
      </c>
      <c r="CS77" s="256" t="inlineStr">
        <is>
          <t>—</t>
        </is>
      </c>
      <c r="CT77" s="256" t="inlineStr">
        <is>
          <t>—</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22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iCoA-PP_26-085</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22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iCoA-PP_26-086</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9" t="inlineStr">
        <is>
          <t>not tested</t>
        </is>
      </c>
      <c r="CR79" s="256" t="inlineStr">
        <is>
          <t>—</t>
        </is>
      </c>
      <c r="CS79" s="256" t="inlineStr">
        <is>
          <t>—</t>
        </is>
      </c>
      <c r="CT79" s="256" t="inlineStr">
        <is>
          <t>—</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22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iCoA-PP_26-093</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9" t="inlineStr">
        <is>
          <t>not tested</t>
        </is>
      </c>
      <c r="CR80" s="256" t="inlineStr">
        <is>
          <t>—</t>
        </is>
      </c>
      <c r="CS80" s="256" t="inlineStr">
        <is>
          <t>—</t>
        </is>
      </c>
      <c r="CT80" s="256" t="inlineStr">
        <is>
          <t>—</t>
        </is>
      </c>
      <c r="CU80" s="259" t="inlineStr">
        <is>
          <t>not tested</t>
        </is>
      </c>
      <c r="CV80" s="256" t="inlineStr">
        <is>
          <t>—</t>
        </is>
      </c>
      <c r="CW80" s="256" t="inlineStr">
        <is>
          <t>—</t>
        </is>
      </c>
      <c r="CX80" s="256" t="inlineStr">
        <is>
          <t>—</t>
        </is>
      </c>
      <c r="CY80" s="259" t="inlineStr">
        <is>
          <t>not tested</t>
        </is>
      </c>
      <c r="CZ80" s="256" t="inlineStr">
        <is>
          <t>—</t>
        </is>
      </c>
      <c r="DA80" s="256" t="inlineStr">
        <is>
          <t>—</t>
        </is>
      </c>
      <c r="DB80" s="256" t="inlineStr">
        <is>
          <t>—</t>
        </is>
      </c>
      <c r="DC80" s="259" t="inlineStr">
        <is>
          <t>not tested</t>
        </is>
      </c>
      <c r="DD80" s="256" t="inlineStr">
        <is>
          <t>—</t>
        </is>
      </c>
      <c r="DE80" s="256" t="inlineStr">
        <is>
          <t>—</t>
        </is>
      </c>
      <c r="DF80" s="256" t="inlineStr">
        <is>
          <t>—</t>
        </is>
      </c>
      <c r="DG80" s="259" t="inlineStr">
        <is>
          <t>not tested</t>
        </is>
      </c>
      <c r="DH80" s="256" t="inlineStr">
        <is>
          <t>—</t>
        </is>
      </c>
      <c r="DI80" s="256" t="inlineStr">
        <is>
          <t>—</t>
        </is>
      </c>
      <c r="DJ80" s="256" t="inlineStr">
        <is>
          <t>—</t>
        </is>
      </c>
      <c r="DK80" s="259" t="inlineStr">
        <is>
          <t>not tested</t>
        </is>
      </c>
      <c r="DL80" s="256" t="inlineStr">
        <is>
          <t>—</t>
        </is>
      </c>
      <c r="DM80" s="256" t="inlineStr">
        <is>
          <t>—</t>
        </is>
      </c>
      <c r="DN80" s="256" t="inlineStr">
        <is>
          <t>—</t>
        </is>
      </c>
      <c r="DO80" s="259" t="inlineStr">
        <is>
          <t>not tested</t>
        </is>
      </c>
      <c r="DP80" s="256" t="inlineStr">
        <is>
          <t>—</t>
        </is>
      </c>
      <c r="DQ80" s="256" t="inlineStr">
        <is>
          <t>—</t>
        </is>
      </c>
      <c r="DR80" s="256" t="inlineStr">
        <is>
          <t>—</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iCoA-PP_26-094</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9" t="inlineStr">
        <is>
          <t>not tested</t>
        </is>
      </c>
      <c r="CR81" s="256" t="inlineStr">
        <is>
          <t>—</t>
        </is>
      </c>
      <c r="CS81" s="256" t="inlineStr">
        <is>
          <t>—</t>
        </is>
      </c>
      <c r="CT81" s="256" t="inlineStr">
        <is>
          <t>—</t>
        </is>
      </c>
      <c r="CU81" s="259" t="inlineStr">
        <is>
          <t>not tested</t>
        </is>
      </c>
      <c r="CV81" s="256" t="inlineStr">
        <is>
          <t>—</t>
        </is>
      </c>
      <c r="CW81" s="256" t="inlineStr">
        <is>
          <t>—</t>
        </is>
      </c>
      <c r="CX81" s="256" t="inlineStr">
        <is>
          <t>—</t>
        </is>
      </c>
      <c r="CY81" s="259" t="inlineStr">
        <is>
          <t>not tested</t>
        </is>
      </c>
      <c r="CZ81" s="256" t="inlineStr">
        <is>
          <t>—</t>
        </is>
      </c>
      <c r="DA81" s="256" t="inlineStr">
        <is>
          <t>—</t>
        </is>
      </c>
      <c r="DB81" s="256" t="inlineStr">
        <is>
          <t>—</t>
        </is>
      </c>
      <c r="DC81" s="259" t="inlineStr">
        <is>
          <t>not tested</t>
        </is>
      </c>
      <c r="DD81" s="256" t="inlineStr">
        <is>
          <t>—</t>
        </is>
      </c>
      <c r="DE81" s="256" t="inlineStr">
        <is>
          <t>—</t>
        </is>
      </c>
      <c r="DF81" s="256" t="inlineStr">
        <is>
          <t>—</t>
        </is>
      </c>
      <c r="DG81" s="259" t="inlineStr">
        <is>
          <t>not tested</t>
        </is>
      </c>
      <c r="DH81" s="256" t="inlineStr">
        <is>
          <t>—</t>
        </is>
      </c>
      <c r="DI81" s="256" t="inlineStr">
        <is>
          <t>—</t>
        </is>
      </c>
      <c r="DJ81" s="256" t="inlineStr">
        <is>
          <t>—</t>
        </is>
      </c>
      <c r="DK81" s="259" t="inlineStr">
        <is>
          <t>not tested</t>
        </is>
      </c>
      <c r="DL81" s="256" t="inlineStr">
        <is>
          <t>—</t>
        </is>
      </c>
      <c r="DM81" s="256" t="inlineStr">
        <is>
          <t>—</t>
        </is>
      </c>
      <c r="DN81" s="256" t="inlineStr">
        <is>
          <t>—</t>
        </is>
      </c>
      <c r="DO81" s="259" t="inlineStr">
        <is>
          <t>not tested</t>
        </is>
      </c>
      <c r="DP81" s="256" t="inlineStr">
        <is>
          <t>—</t>
        </is>
      </c>
      <c r="DQ81" s="256" t="inlineStr">
        <is>
          <t>—</t>
        </is>
      </c>
      <c r="DR81" s="256" t="inlineStr">
        <is>
          <t>—</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iCoA-PP_26-095</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9" t="inlineStr">
        <is>
          <t>not tested</t>
        </is>
      </c>
      <c r="CR82" s="256" t="inlineStr">
        <is>
          <t>—</t>
        </is>
      </c>
      <c r="CS82" s="256" t="inlineStr">
        <is>
          <t>—</t>
        </is>
      </c>
      <c r="CT82" s="256" t="inlineStr">
        <is>
          <t>—</t>
        </is>
      </c>
      <c r="CU82" s="259" t="inlineStr">
        <is>
          <t>not tested</t>
        </is>
      </c>
      <c r="CV82" s="256" t="inlineStr">
        <is>
          <t>—</t>
        </is>
      </c>
      <c r="CW82" s="256" t="inlineStr">
        <is>
          <t>—</t>
        </is>
      </c>
      <c r="CX82" s="256" t="inlineStr">
        <is>
          <t>—</t>
        </is>
      </c>
      <c r="CY82" s="259" t="inlineStr">
        <is>
          <t>not tested</t>
        </is>
      </c>
      <c r="CZ82" s="256" t="inlineStr">
        <is>
          <t>—</t>
        </is>
      </c>
      <c r="DA82" s="256" t="inlineStr">
        <is>
          <t>—</t>
        </is>
      </c>
      <c r="DB82" s="256" t="inlineStr">
        <is>
          <t>—</t>
        </is>
      </c>
      <c r="DC82" s="259" t="inlineStr">
        <is>
          <t>not tested</t>
        </is>
      </c>
      <c r="DD82" s="256" t="inlineStr">
        <is>
          <t>—</t>
        </is>
      </c>
      <c r="DE82" s="256" t="inlineStr">
        <is>
          <t>—</t>
        </is>
      </c>
      <c r="DF82" s="256" t="inlineStr">
        <is>
          <t>—</t>
        </is>
      </c>
      <c r="DG82" s="259" t="inlineStr">
        <is>
          <t>not tested</t>
        </is>
      </c>
      <c r="DH82" s="256" t="inlineStr">
        <is>
          <t>—</t>
        </is>
      </c>
      <c r="DI82" s="256" t="inlineStr">
        <is>
          <t>—</t>
        </is>
      </c>
      <c r="DJ82" s="256" t="inlineStr">
        <is>
          <t>—</t>
        </is>
      </c>
      <c r="DK82" s="259" t="inlineStr">
        <is>
          <t>not tested</t>
        </is>
      </c>
      <c r="DL82" s="256" t="inlineStr">
        <is>
          <t>—</t>
        </is>
      </c>
      <c r="DM82" s="256" t="inlineStr">
        <is>
          <t>—</t>
        </is>
      </c>
      <c r="DN82" s="256" t="inlineStr">
        <is>
          <t>—</t>
        </is>
      </c>
      <c r="DO82" s="259" t="inlineStr">
        <is>
          <t>not tested</t>
        </is>
      </c>
      <c r="DP82" s="256" t="inlineStr">
        <is>
          <t>—</t>
        </is>
      </c>
      <c r="DQ82" s="256" t="inlineStr">
        <is>
          <t>—</t>
        </is>
      </c>
      <c r="DR82" s="256" t="inlineStr">
        <is>
          <t>—</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iCoA-PP_26-099</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9" t="inlineStr">
        <is>
          <t>not tested</t>
        </is>
      </c>
      <c r="CR83" s="256" t="inlineStr">
        <is>
          <t>—</t>
        </is>
      </c>
      <c r="CS83" s="256" t="inlineStr">
        <is>
          <t>—</t>
        </is>
      </c>
      <c r="CT83" s="256" t="inlineStr">
        <is>
          <t>—</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9" t="inlineStr">
        <is>
          <t>not tested</t>
        </is>
      </c>
      <c r="DP83" s="256" t="inlineStr">
        <is>
          <t>—</t>
        </is>
      </c>
      <c r="DQ83" s="256" t="inlineStr">
        <is>
          <t>—</t>
        </is>
      </c>
      <c r="DR83" s="256" t="inlineStr">
        <is>
          <t>—</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iCoA-PP_26-121</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9" t="inlineStr">
        <is>
          <t>not tested</t>
        </is>
      </c>
      <c r="CR84" s="256" t="inlineStr">
        <is>
          <t>—</t>
        </is>
      </c>
      <c r="CS84" s="256" t="inlineStr">
        <is>
          <t>—</t>
        </is>
      </c>
      <c r="CT84" s="256" t="inlineStr">
        <is>
          <t>—</t>
        </is>
      </c>
      <c r="CU84" s="259" t="inlineStr">
        <is>
          <t>not tested</t>
        </is>
      </c>
      <c r="CV84" s="256" t="inlineStr">
        <is>
          <t>—</t>
        </is>
      </c>
      <c r="CW84" s="256" t="inlineStr">
        <is>
          <t>—</t>
        </is>
      </c>
      <c r="CX84" s="256" t="inlineStr">
        <is>
          <t>—</t>
        </is>
      </c>
      <c r="CY84" s="259" t="inlineStr">
        <is>
          <t>not tested</t>
        </is>
      </c>
      <c r="CZ84" s="256" t="inlineStr">
        <is>
          <t>—</t>
        </is>
      </c>
      <c r="DA84" s="256" t="inlineStr">
        <is>
          <t>—</t>
        </is>
      </c>
      <c r="DB84" s="256" t="inlineStr">
        <is>
          <t>—</t>
        </is>
      </c>
      <c r="DC84" s="259" t="inlineStr">
        <is>
          <t>not tested</t>
        </is>
      </c>
      <c r="DD84" s="256" t="inlineStr">
        <is>
          <t>—</t>
        </is>
      </c>
      <c r="DE84" s="256" t="inlineStr">
        <is>
          <t>—</t>
        </is>
      </c>
      <c r="DF84" s="256" t="inlineStr">
        <is>
          <t>—</t>
        </is>
      </c>
      <c r="DG84" s="259" t="inlineStr">
        <is>
          <t>not tested</t>
        </is>
      </c>
      <c r="DH84" s="256" t="inlineStr">
        <is>
          <t>—</t>
        </is>
      </c>
      <c r="DI84" s="256" t="inlineStr">
        <is>
          <t>—</t>
        </is>
      </c>
      <c r="DJ84" s="256" t="inlineStr">
        <is>
          <t>—</t>
        </is>
      </c>
      <c r="DK84" s="259" t="inlineStr">
        <is>
          <t>not tested</t>
        </is>
      </c>
      <c r="DL84" s="256" t="inlineStr">
        <is>
          <t>—</t>
        </is>
      </c>
      <c r="DM84" s="256" t="inlineStr">
        <is>
          <t>—</t>
        </is>
      </c>
      <c r="DN84" s="256" t="inlineStr">
        <is>
          <t>—</t>
        </is>
      </c>
      <c r="DO84" s="259" t="inlineStr">
        <is>
          <t>not tested</t>
        </is>
      </c>
      <c r="DP84" s="256" t="inlineStr">
        <is>
          <t>—</t>
        </is>
      </c>
      <c r="DQ84" s="256" t="inlineStr">
        <is>
          <t>—</t>
        </is>
      </c>
      <c r="DR84" s="256" t="inlineStr">
        <is>
          <t>—</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iCoA-PP_26-122</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iCoA-PP_26-122</t>
        </is>
      </c>
      <c r="AG85" s="256" t="inlineStr">
        <is>
          <t>13.08.2026</t>
        </is>
      </c>
      <c r="AH85" s="256" t="inlineStr">
        <is>
          <t>Purely Plant GmbH (in-house)</t>
        </is>
      </c>
      <c r="AI85" s="256" t="inlineStr">
        <is>
          <t>Conforms | Одговара</t>
        </is>
      </c>
      <c r="AJ85" s="256" t="inlineStr">
        <is>
          <t>iCoA-PP_26-122</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iCoA-PP_26-122</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iCoA-PP_26-100</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iCoA-PP_26-100</t>
        </is>
      </c>
      <c r="AG86" s="256" t="inlineStr">
        <is>
          <t>27.07.2026</t>
        </is>
      </c>
      <c r="AH86" s="256" t="inlineStr">
        <is>
          <t>Purely Plant GmbH (in-house)</t>
        </is>
      </c>
      <c r="AI86" s="256" t="inlineStr">
        <is>
          <t>Conforms | Одговара</t>
        </is>
      </c>
      <c r="AJ86" s="256" t="inlineStr">
        <is>
          <t>iCoA-PP_26-100</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iCoA-PP_26-100</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iCoA-PP_26-101</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iCoA-PP_26-101</t>
        </is>
      </c>
      <c r="AG87" s="256" t="inlineStr">
        <is>
          <t>27.07.2026</t>
        </is>
      </c>
      <c r="AH87" s="256" t="inlineStr">
        <is>
          <t>Purely Plant GmbH (in-house)</t>
        </is>
      </c>
      <c r="AI87" s="256" t="inlineStr">
        <is>
          <t>Conforms | Одговара</t>
        </is>
      </c>
      <c r="AJ87" s="256" t="inlineStr">
        <is>
          <t>iCoA-PP_26-101</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iCoA-PP_26-101</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iCoA-PP_26-105</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iCoA-PP_26-105</t>
        </is>
      </c>
      <c r="AG88" s="256" t="inlineStr">
        <is>
          <t>27.07.2026</t>
        </is>
      </c>
      <c r="AH88" s="256" t="inlineStr">
        <is>
          <t>Purely Plant GmbH (in-house)</t>
        </is>
      </c>
      <c r="AI88" s="256" t="inlineStr">
        <is>
          <t>Conforms | Одговара</t>
        </is>
      </c>
      <c r="AJ88" s="256" t="inlineStr">
        <is>
          <t>iCoA-PP_26-105</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iCoA-PP_26-105</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iCoA-PP_26-102</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iCoA-PP_26-102</t>
        </is>
      </c>
      <c r="AG89" s="256" t="inlineStr">
        <is>
          <t>27.07.2026</t>
        </is>
      </c>
      <c r="AH89" s="256" t="inlineStr">
        <is>
          <t>Purely Plant GmbH (in-house)</t>
        </is>
      </c>
      <c r="AI89" s="256" t="inlineStr">
        <is>
          <t>Conforms | Одговара</t>
        </is>
      </c>
      <c r="AJ89" s="256" t="inlineStr">
        <is>
          <t>iCoA-PP_26-102</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iCoA-PP_26-102</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iCoA-PP_26-104</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iCoA-PP_26-104</t>
        </is>
      </c>
      <c r="AG90" s="256" t="inlineStr">
        <is>
          <t>27.07.2026</t>
        </is>
      </c>
      <c r="AH90" s="256" t="inlineStr">
        <is>
          <t>Purely Plant GmbH (in-house)</t>
        </is>
      </c>
      <c r="AI90" s="256" t="inlineStr">
        <is>
          <t>Conforms | Одговара</t>
        </is>
      </c>
      <c r="AJ90" s="256" t="inlineStr">
        <is>
          <t>iCoA-PP_26-104</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iCoA-PP_26-104</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iCoA-PP_26-109</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iCoA-PP_26-109</t>
        </is>
      </c>
      <c r="AG91" s="256" t="inlineStr">
        <is>
          <t>27.07.2026</t>
        </is>
      </c>
      <c r="AH91" s="256" t="inlineStr">
        <is>
          <t>Purely Plant GmbH (in-house)</t>
        </is>
      </c>
      <c r="AI91" s="256" t="inlineStr">
        <is>
          <t>Conforms | Одговара</t>
        </is>
      </c>
      <c r="AJ91" s="256" t="inlineStr">
        <is>
          <t>iCoA-PP_26-109</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iCoA-PP_26-109</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iCoA-PP_26-110</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22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iCoA-PP_26-106</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iCoA-PP_26-106</t>
        </is>
      </c>
      <c r="AG93" s="256" t="inlineStr">
        <is>
          <t>27.07.2026</t>
        </is>
      </c>
      <c r="AH93" s="256" t="inlineStr">
        <is>
          <t>Purely Plant GmbH (in-house)</t>
        </is>
      </c>
      <c r="AI93" s="256" t="inlineStr">
        <is>
          <t>Conforms | Одговара</t>
        </is>
      </c>
      <c r="AJ93" s="256" t="inlineStr">
        <is>
          <t>iCoA-PP_26-106</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iCoA-PP_26-106</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iCoA-PP_26-107</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iCoA-PP_26-107</t>
        </is>
      </c>
      <c r="AG94" s="256" t="inlineStr">
        <is>
          <t>27.07.2026</t>
        </is>
      </c>
      <c r="AH94" s="256" t="inlineStr">
        <is>
          <t>Purely Plant GmbH (in-house)</t>
        </is>
      </c>
      <c r="AI94" s="256" t="inlineStr">
        <is>
          <t>Conforms | Одговара</t>
        </is>
      </c>
      <c r="AJ94" s="256" t="inlineStr">
        <is>
          <t>iCoA-PP_26-107</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iCoA-PP_26-107</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iCoA-PP_26-108</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iCoA-PP_26-108</t>
        </is>
      </c>
      <c r="AG95" s="256" t="inlineStr">
        <is>
          <t>27.07.2026</t>
        </is>
      </c>
      <c r="AH95" s="256" t="inlineStr">
        <is>
          <t>Purely Plant GmbH (in-house)</t>
        </is>
      </c>
      <c r="AI95" s="256" t="inlineStr">
        <is>
          <t>Conforms | Одговара</t>
        </is>
      </c>
      <c r="AJ95" s="256" t="inlineStr">
        <is>
          <t>iCoA-PP_26-108</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iCoA-PP_26-108</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iCoA-PP_26-111</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iCoA-PP_26-111</t>
        </is>
      </c>
      <c r="AG96" s="256" t="inlineStr">
        <is>
          <t>27.07.2026</t>
        </is>
      </c>
      <c r="AH96" s="256" t="inlineStr">
        <is>
          <t>Purely Plant GmbH (in-house)</t>
        </is>
      </c>
      <c r="AI96" s="256" t="inlineStr">
        <is>
          <t>Conforms | Одговара</t>
        </is>
      </c>
      <c r="AJ96" s="256" t="inlineStr">
        <is>
          <t>iCoA-PP_26-111</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iCoA-PP_26-111</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iCoA-PP_26-112</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iCoA-PP_26-112</t>
        </is>
      </c>
      <c r="AG97" s="256" t="inlineStr">
        <is>
          <t>27.07.2026</t>
        </is>
      </c>
      <c r="AH97" s="256" t="inlineStr">
        <is>
          <t>Purely Plant GmbH (in-house)</t>
        </is>
      </c>
      <c r="AI97" s="256" t="inlineStr">
        <is>
          <t>Conforms | Одговара</t>
        </is>
      </c>
      <c r="AJ97" s="256" t="inlineStr">
        <is>
          <t>iCoA-PP_26-112</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iCoA-PP_26-112</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iCoA-PP_26-113</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iCoA-PP_26-113</t>
        </is>
      </c>
      <c r="AG98" s="256" t="inlineStr">
        <is>
          <t>27.07.2026</t>
        </is>
      </c>
      <c r="AH98" s="256" t="inlineStr">
        <is>
          <t>Purely Plant GmbH (in-house)</t>
        </is>
      </c>
      <c r="AI98" s="256" t="inlineStr">
        <is>
          <t>Conforms | Одговара</t>
        </is>
      </c>
      <c r="AJ98" s="256" t="inlineStr">
        <is>
          <t>iCoA-PP_26-113</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iCoA-PP_26-113</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iCoA-PP_26-114</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iCoA-PP_26-114</t>
        </is>
      </c>
      <c r="AG99" s="256" t="inlineStr">
        <is>
          <t>27.07.2026</t>
        </is>
      </c>
      <c r="AH99" s="256" t="inlineStr">
        <is>
          <t>Purely Plant GmbH (in-house)</t>
        </is>
      </c>
      <c r="AI99" s="256" t="inlineStr">
        <is>
          <t>Conforms | Одговара</t>
        </is>
      </c>
      <c r="AJ99" s="256" t="inlineStr">
        <is>
          <t>iCoA-PP_26-114</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iCoA-PP_26-114</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25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iCoA-PP_26-115</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iCoA-PP_26-115</t>
        </is>
      </c>
      <c r="AG100" s="256" t="inlineStr">
        <is>
          <t>27.07.2026</t>
        </is>
      </c>
      <c r="AH100" s="256" t="inlineStr">
        <is>
          <t>Purely Plant GmbH (in-house)</t>
        </is>
      </c>
      <c r="AI100" s="256" t="inlineStr">
        <is>
          <t>Conforms | Одговара</t>
        </is>
      </c>
      <c r="AJ100" s="256" t="inlineStr">
        <is>
          <t>iCoA-PP_26-115</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iCoA-PP_26-115</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iCoA-PP_26-116</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iCoA-PP_26-116</t>
        </is>
      </c>
      <c r="AG101" s="256" t="inlineStr">
        <is>
          <t>27.07.2026</t>
        </is>
      </c>
      <c r="AH101" s="256" t="inlineStr">
        <is>
          <t>Purely Plant GmbH (in-house)</t>
        </is>
      </c>
      <c r="AI101" s="256" t="inlineStr">
        <is>
          <t>Conforms | Одговара</t>
        </is>
      </c>
      <c r="AJ101" s="256" t="inlineStr">
        <is>
          <t>iCoA-PP_26-116</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iCoA-PP_26-116</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iCoA-PP_26-117</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iCoA-PP_26-117</t>
        </is>
      </c>
      <c r="AG102" s="256" t="inlineStr">
        <is>
          <t>27.07.2026</t>
        </is>
      </c>
      <c r="AH102" s="256" t="inlineStr">
        <is>
          <t>Purely Plant GmbH (in-house)</t>
        </is>
      </c>
      <c r="AI102" s="256" t="inlineStr">
        <is>
          <t>Conforms | Одговара</t>
        </is>
      </c>
      <c r="AJ102" s="256" t="inlineStr">
        <is>
          <t>iCoA-PP_26-117</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iCoA-PP_26-117</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iCoA-PP_26-118</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iCoA-PP_26-118</t>
        </is>
      </c>
      <c r="AG103" s="256" t="inlineStr">
        <is>
          <t>27.07.2026</t>
        </is>
      </c>
      <c r="AH103" s="256" t="inlineStr">
        <is>
          <t>Purely Plant GmbH (in-house)</t>
        </is>
      </c>
      <c r="AI103" s="256" t="inlineStr">
        <is>
          <t>Conforms | Одговара</t>
        </is>
      </c>
      <c r="AJ103" s="256" t="inlineStr">
        <is>
          <t>iCoA-PP_26-118</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iCoA-PP_26-118</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iCoA-PP_26-120</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iCoA-PP_26-120</t>
        </is>
      </c>
      <c r="AG104" s="256" t="inlineStr">
        <is>
          <t>27.07.2026</t>
        </is>
      </c>
      <c r="AH104" s="256" t="inlineStr">
        <is>
          <t>Purely Plant GmbH (in-house)</t>
        </is>
      </c>
      <c r="AI104" s="256" t="inlineStr">
        <is>
          <t>Conforms | Одговара</t>
        </is>
      </c>
      <c r="AJ104" s="256" t="inlineStr">
        <is>
          <t>iCoA-PP_26-120</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iCoA-PP_26-120</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iCoA-PP_26-119</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iCoA-PP_26-119</t>
        </is>
      </c>
      <c r="AG105" s="256" t="inlineStr">
        <is>
          <t>27.07.2026</t>
        </is>
      </c>
      <c r="AH105" s="256" t="inlineStr">
        <is>
          <t>Purely Plant GmbH (in-house)</t>
        </is>
      </c>
      <c r="AI105" s="256" t="inlineStr">
        <is>
          <t>Conforms | Одговара</t>
        </is>
      </c>
      <c r="AJ105" s="256" t="inlineStr">
        <is>
          <t>iCoA-PP_26-119</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iCoA-PP_26-119</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iCoA-PP_26-103</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iCoA-PP_26-103</t>
        </is>
      </c>
      <c r="AG106" s="256" t="inlineStr">
        <is>
          <t>27.07.2026</t>
        </is>
      </c>
      <c r="AH106" s="256" t="inlineStr">
        <is>
          <t>Purely Plant GmbH (in-house)</t>
        </is>
      </c>
      <c r="AI106" s="256" t="inlineStr">
        <is>
          <t>Conforms | Одговара</t>
        </is>
      </c>
      <c r="AJ106" s="256" t="inlineStr">
        <is>
          <t>iCoA-PP_26-103</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iCoA-PP_26-103</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iCoA-PP_26-123</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iCoA-PP_26-123</t>
        </is>
      </c>
      <c r="AG107" s="256" t="inlineStr">
        <is>
          <t>17.08.2026</t>
        </is>
      </c>
      <c r="AH107" s="256" t="inlineStr">
        <is>
          <t>Purely Plant GmbH (in-house)</t>
        </is>
      </c>
      <c r="AI107" s="256" t="inlineStr">
        <is>
          <t>Conforms | Одговара</t>
        </is>
      </c>
      <c r="AJ107" s="256" t="inlineStr">
        <is>
          <t>iCoA-PP_26-123</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iCoA-PP_26-123</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25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iCoA-PP_26-124</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iCoA-PP_26-124</t>
        </is>
      </c>
      <c r="AG108" s="256" t="inlineStr">
        <is>
          <t>17.08.2026</t>
        </is>
      </c>
      <c r="AH108" s="256" t="inlineStr">
        <is>
          <t>Purely Plant GmbH (in-house)</t>
        </is>
      </c>
      <c r="AI108" s="256" t="inlineStr">
        <is>
          <t>Conforms | Одговара</t>
        </is>
      </c>
      <c r="AJ108" s="256" t="inlineStr">
        <is>
          <t>iCoA-PP_26-124</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iCoA-PP_26-124</t>
        </is>
      </c>
      <c r="BE108" s="256" t="inlineStr">
        <is>
          <t>17.08.2026</t>
        </is>
      </c>
      <c r="BF108" s="256" t="inlineStr">
        <is>
          <t>Purely Plant GmbH (in-house)</t>
        </is>
      </c>
      <c r="BG108" s="256" t="inlineStr">
        <is>
          <t>8.60</t>
        </is>
      </c>
      <c r="BH108" s="256" t="inlineStr">
        <is>
          <t>iCoA-PP_26-024</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iCoA-PP_26-145</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iCoA-PP_26-145</t>
        </is>
      </c>
      <c r="AG109" s="256" t="inlineStr">
        <is>
          <t>17.08.2026</t>
        </is>
      </c>
      <c r="AH109" s="256" t="inlineStr">
        <is>
          <t>Purely Plant GmbH (in-house)</t>
        </is>
      </c>
      <c r="AI109" s="256" t="inlineStr">
        <is>
          <t>Conforms | Одговара</t>
        </is>
      </c>
      <c r="AJ109" s="256" t="inlineStr">
        <is>
          <t>iCoA-PP_26-145</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iCoA-PP_26-145</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iCoA-PP_26-125</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iCoA-PP_26-125</t>
        </is>
      </c>
      <c r="AG110" s="256" t="inlineStr">
        <is>
          <t>17.08.2026</t>
        </is>
      </c>
      <c r="AH110" s="256" t="inlineStr">
        <is>
          <t>Purely Plant GmbH (in-house)</t>
        </is>
      </c>
      <c r="AI110" s="256" t="inlineStr">
        <is>
          <t>Conforms | Одговара</t>
        </is>
      </c>
      <c r="AJ110" s="256" t="inlineStr">
        <is>
          <t>iCoA-PP_26-125</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iCoA-PP_26-125</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25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iCoA-PP_26-126</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iCoA-PP_26-126</t>
        </is>
      </c>
      <c r="AG111" s="256" t="inlineStr">
        <is>
          <t>17.08.2026</t>
        </is>
      </c>
      <c r="AH111" s="256" t="inlineStr">
        <is>
          <t>Purely Plant GmbH (in-house)</t>
        </is>
      </c>
      <c r="AI111" s="256" t="inlineStr">
        <is>
          <t>Conforms | Одговара</t>
        </is>
      </c>
      <c r="AJ111" s="256" t="inlineStr">
        <is>
          <t>iCoA-PP_26-126</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iCoA-PP_26-126</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iCoA-PP_26-127</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iCoA-PP_26-127</t>
        </is>
      </c>
      <c r="AG112" s="256" t="inlineStr">
        <is>
          <t>17.08.2026</t>
        </is>
      </c>
      <c r="AH112" s="256" t="inlineStr">
        <is>
          <t>Purely Plant GmbH (in-house)</t>
        </is>
      </c>
      <c r="AI112" s="256" t="inlineStr">
        <is>
          <t>Conforms | Одговара</t>
        </is>
      </c>
      <c r="AJ112" s="256" t="inlineStr">
        <is>
          <t>iCoA-PP_26-127</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iCoA-PP_26-127</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iCoA-PP_26-128</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iCoA-PP_26-128</t>
        </is>
      </c>
      <c r="AG113" s="256" t="inlineStr">
        <is>
          <t>17.08.2026</t>
        </is>
      </c>
      <c r="AH113" s="256" t="inlineStr">
        <is>
          <t>Purely Plant GmbH (in-house)</t>
        </is>
      </c>
      <c r="AI113" s="256" t="inlineStr">
        <is>
          <t>Conforms | Одговара</t>
        </is>
      </c>
      <c r="AJ113" s="256" t="inlineStr">
        <is>
          <t>iCoA-PP_26-128</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iCoA-PP_26-128</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iCoA-PP_26-129</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iCoA-PP_26-129</t>
        </is>
      </c>
      <c r="AG114" s="256" t="inlineStr">
        <is>
          <t>17.08.2026</t>
        </is>
      </c>
      <c r="AH114" s="256" t="inlineStr">
        <is>
          <t>Purely Plant GmbH (in-house)</t>
        </is>
      </c>
      <c r="AI114" s="256" t="inlineStr">
        <is>
          <t>Conforms | Одговара</t>
        </is>
      </c>
      <c r="AJ114" s="256" t="inlineStr">
        <is>
          <t>iCoA-PP_26-129</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iCoA-PP_26-129</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iCoA-PP_26-130</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iCoA-PP_26-130</t>
        </is>
      </c>
      <c r="AG115" s="256" t="inlineStr">
        <is>
          <t>17.08.2026</t>
        </is>
      </c>
      <c r="AH115" s="256" t="inlineStr">
        <is>
          <t>Purely Plant GmbH (in-house)</t>
        </is>
      </c>
      <c r="AI115" s="256" t="inlineStr">
        <is>
          <t>Conforms | Одговара</t>
        </is>
      </c>
      <c r="AJ115" s="256" t="inlineStr">
        <is>
          <t>iCoA-PP_26-130</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iCoA-PP_26-130</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iCoA-PP_26-131</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iCoA-PP_26-131</t>
        </is>
      </c>
      <c r="AG116" s="256" t="inlineStr">
        <is>
          <t>17.08.2026</t>
        </is>
      </c>
      <c r="AH116" s="256" t="inlineStr">
        <is>
          <t>Purely Plant GmbH (in-house)</t>
        </is>
      </c>
      <c r="AI116" s="256" t="inlineStr">
        <is>
          <t>Conforms | Одговара</t>
        </is>
      </c>
      <c r="AJ116" s="256" t="inlineStr">
        <is>
          <t>iCoA-PP_26-131</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iCoA-PP_26-131</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22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iCoA-PP_26-132</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iCoA-PP_26-132</t>
        </is>
      </c>
      <c r="AG117" s="256" t="inlineStr">
        <is>
          <t>17.08.2026</t>
        </is>
      </c>
      <c r="AH117" s="256" t="inlineStr">
        <is>
          <t>Purely Plant GmbH (in-house)</t>
        </is>
      </c>
      <c r="AI117" s="256" t="inlineStr">
        <is>
          <t>Conforms | Одговара</t>
        </is>
      </c>
      <c r="AJ117" s="256" t="inlineStr">
        <is>
          <t>iCoA-PP_26-132</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iCoA-PP_26-132</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iCoA-PP_26-133</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iCoA-PP_26-133</t>
        </is>
      </c>
      <c r="AG118" s="256" t="inlineStr">
        <is>
          <t>17.08.2026</t>
        </is>
      </c>
      <c r="AH118" s="256" t="inlineStr">
        <is>
          <t>Purely Plant GmbH (in-house)</t>
        </is>
      </c>
      <c r="AI118" s="256" t="inlineStr">
        <is>
          <t>Conforms | Одговара</t>
        </is>
      </c>
      <c r="AJ118" s="256" t="inlineStr">
        <is>
          <t>iCoA-PP_26-133</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iCoA-PP_26-133</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iCoA-PP_26-134</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iCoA-PP_26-134</t>
        </is>
      </c>
      <c r="AG119" s="256" t="inlineStr">
        <is>
          <t>17.08.2026</t>
        </is>
      </c>
      <c r="AH119" s="256" t="inlineStr">
        <is>
          <t>Purely Plant GmbH (in-house)</t>
        </is>
      </c>
      <c r="AI119" s="256" t="inlineStr">
        <is>
          <t>Conforms | Одговара</t>
        </is>
      </c>
      <c r="AJ119" s="256" t="inlineStr">
        <is>
          <t>iCoA-PP_26-134</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iCoA-PP_26-134</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iCoA-PP_26-135</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iCoA-PP_26-135</t>
        </is>
      </c>
      <c r="AG120" s="256" t="inlineStr">
        <is>
          <t>17.08.2026</t>
        </is>
      </c>
      <c r="AH120" s="256" t="inlineStr">
        <is>
          <t>Purely Plant GmbH (in-house)</t>
        </is>
      </c>
      <c r="AI120" s="256" t="inlineStr">
        <is>
          <t>Conforms | Одговара</t>
        </is>
      </c>
      <c r="AJ120" s="256" t="inlineStr">
        <is>
          <t>iCoA-PP_26-135</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iCoA-PP_26-135</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iCoA-PP_26-136</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iCoA-PP_26-136</t>
        </is>
      </c>
      <c r="AG121" s="256" t="inlineStr">
        <is>
          <t>17.08.2026</t>
        </is>
      </c>
      <c r="AH121" s="256" t="inlineStr">
        <is>
          <t>Purely Plant GmbH (in-house)</t>
        </is>
      </c>
      <c r="AI121" s="256" t="inlineStr">
        <is>
          <t>Conforms | Одговара</t>
        </is>
      </c>
      <c r="AJ121" s="256" t="inlineStr">
        <is>
          <t>iCoA-PP_26-136</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iCoA-PP_26-136</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25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iCoA-PP_26-137</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iCoA-PP_26-137</t>
        </is>
      </c>
      <c r="AG122" s="256" t="inlineStr">
        <is>
          <t>17.08.2026</t>
        </is>
      </c>
      <c r="AH122" s="256" t="inlineStr">
        <is>
          <t>Purely Plant GmbH (in-house)</t>
        </is>
      </c>
      <c r="AI122" s="256" t="inlineStr">
        <is>
          <t>Conforms | Одговара</t>
        </is>
      </c>
      <c r="AJ122" s="256" t="inlineStr">
        <is>
          <t>iCoA-PP_26-137</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iCoA-PP_26-137</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iCoA-PP_26-140</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iCoA-PP_26-140</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iCoA-PP_26-138</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22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iCoA-PP_26-139</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22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iCoA-PP_26-148</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iCoA-PP_26-148</t>
        </is>
      </c>
      <c r="AG126" s="256" t="inlineStr">
        <is>
          <t>17.08.2026</t>
        </is>
      </c>
      <c r="AH126" s="256" t="inlineStr">
        <is>
          <t>Purely Plant GmbH (in-house)</t>
        </is>
      </c>
      <c r="AI126" s="256" t="inlineStr">
        <is>
          <t>Conforms | Одговара</t>
        </is>
      </c>
      <c r="AJ126" s="256" t="inlineStr">
        <is>
          <t>iCoA-PP_26-148</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iCoA-PP_26-148</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iCoA-PP_26-141</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iCoA-PP_26-141</t>
        </is>
      </c>
      <c r="AG127" s="256" t="inlineStr">
        <is>
          <t>17.08.2026</t>
        </is>
      </c>
      <c r="AH127" s="256" t="inlineStr">
        <is>
          <t>Purely Plant GmbH (in-house)</t>
        </is>
      </c>
      <c r="AI127" s="256" t="inlineStr">
        <is>
          <t>Conforms | Одговара</t>
        </is>
      </c>
      <c r="AJ127" s="256" t="inlineStr">
        <is>
          <t>iCoA-PP_26-141</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iCoA-PP_26-141</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25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iCoA-PP_26-142</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iCoA-PP_26-142</t>
        </is>
      </c>
      <c r="AG128" s="256" t="inlineStr">
        <is>
          <t>17.08.2026</t>
        </is>
      </c>
      <c r="AH128" s="256" t="inlineStr">
        <is>
          <t>Purely Plant GmbH (in-house)</t>
        </is>
      </c>
      <c r="AI128" s="256" t="inlineStr">
        <is>
          <t>Conforms | Одговара</t>
        </is>
      </c>
      <c r="AJ128" s="256" t="inlineStr">
        <is>
          <t>iCoA-PP_26-142</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iCoA-PP_26-142</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iCoA-PP_26-144</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iCoA-PP_26-144</t>
        </is>
      </c>
      <c r="AG129" s="256" t="inlineStr">
        <is>
          <t>17.08.2026</t>
        </is>
      </c>
      <c r="AH129" s="256" t="inlineStr">
        <is>
          <t>Purely Plant GmbH (in-house)</t>
        </is>
      </c>
      <c r="AI129" s="256" t="inlineStr">
        <is>
          <t>Conforms | Одговара</t>
        </is>
      </c>
      <c r="AJ129" s="256" t="inlineStr">
        <is>
          <t>iCoA-PP_26-144</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iCoA-PP_26-144</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iCoA-PP_26-143</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iCoA-PP_26-143</t>
        </is>
      </c>
      <c r="AG130" s="256" t="inlineStr">
        <is>
          <t>17.08.2026</t>
        </is>
      </c>
      <c r="AH130" s="256" t="inlineStr">
        <is>
          <t>Purely Plant GmbH (in-house)</t>
        </is>
      </c>
      <c r="AI130" s="256" t="inlineStr">
        <is>
          <t>Conforms | Одговара</t>
        </is>
      </c>
      <c r="AJ130" s="256" t="inlineStr">
        <is>
          <t>iCoA-PP_26-143</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iCoA-PP_26-143</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iCoA-PP_26-149</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iCoA-PP_26-149</t>
        </is>
      </c>
      <c r="AG131" s="256" t="inlineStr">
        <is>
          <t>17.08.2026</t>
        </is>
      </c>
      <c r="AH131" s="256" t="inlineStr">
        <is>
          <t>Purely Plant GmbH (in-house)</t>
        </is>
      </c>
      <c r="AI131" s="256" t="inlineStr">
        <is>
          <t>Conforms | Одговара</t>
        </is>
      </c>
      <c r="AJ131" s="256" t="inlineStr">
        <is>
          <t>iCoA-PP_26-149</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iCoA-PP_26-149</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iCoA-PP_26-150</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iCoA-PP_26-150</t>
        </is>
      </c>
      <c r="AG132" s="256" t="inlineStr">
        <is>
          <t>17.08.2026</t>
        </is>
      </c>
      <c r="AH132" s="256" t="inlineStr">
        <is>
          <t>Purely Plant GmbH (in-house)</t>
        </is>
      </c>
      <c r="AI132" s="256" t="inlineStr">
        <is>
          <t>Conforms | Одговара</t>
        </is>
      </c>
      <c r="AJ132" s="256" t="inlineStr">
        <is>
          <t>iCoA-PP_26-150</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iCoA-PP_26-150</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25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iCoA-PP_26-151</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iCoA-PP_26-151</t>
        </is>
      </c>
      <c r="AG133" s="256" t="inlineStr">
        <is>
          <t>17.08.2026</t>
        </is>
      </c>
      <c r="AH133" s="256" t="inlineStr">
        <is>
          <t>Purely Plant GmbH (in-house)</t>
        </is>
      </c>
      <c r="AI133" s="256" t="inlineStr">
        <is>
          <t>Conforms | Одговара</t>
        </is>
      </c>
      <c r="AJ133" s="256" t="inlineStr">
        <is>
          <t>iCoA-PP_26-151</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iCoA-PP_26-151</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25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iCoA-PP_26-152</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iCoA-PP_26-152</t>
        </is>
      </c>
      <c r="AG134" s="256" t="inlineStr">
        <is>
          <t>17.08.2026</t>
        </is>
      </c>
      <c r="AH134" s="256" t="inlineStr">
        <is>
          <t>Purely Plant GmbH (in-house)</t>
        </is>
      </c>
      <c r="AI134" s="256" t="inlineStr">
        <is>
          <t>Conforms | Одговара</t>
        </is>
      </c>
      <c r="AJ134" s="256" t="inlineStr">
        <is>
          <t>iCoA-PP_26-152</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iCoA-PP_26-152</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iCoA-PP_26-153</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iCoA-PP_26-153</t>
        </is>
      </c>
      <c r="AG135" s="256" t="inlineStr">
        <is>
          <t>17.08.2026</t>
        </is>
      </c>
      <c r="AH135" s="256" t="inlineStr">
        <is>
          <t>Purely Plant GmbH (in-house)</t>
        </is>
      </c>
      <c r="AI135" s="256" t="inlineStr">
        <is>
          <t>Conforms | Одговара</t>
        </is>
      </c>
      <c r="AJ135" s="256" t="inlineStr">
        <is>
          <t>iCoA-PP_26-153</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iCoA-PP_26-153</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iCoA-PP_26-154</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iCoA-PP_26-154</t>
        </is>
      </c>
      <c r="AG136" s="256" t="inlineStr">
        <is>
          <t>17.08.2026</t>
        </is>
      </c>
      <c r="AH136" s="256" t="inlineStr">
        <is>
          <t>Purely Plant GmbH (in-house)</t>
        </is>
      </c>
      <c r="AI136" s="256" t="inlineStr">
        <is>
          <t>Conforms | Одговара</t>
        </is>
      </c>
      <c r="AJ136" s="256" t="inlineStr">
        <is>
          <t>iCoA-PP_26-154</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iCoA-PP_26-154</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iCoA-PP_26-175</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iCoA-PP_26-175</t>
        </is>
      </c>
      <c r="AG137" s="256" t="inlineStr">
        <is>
          <t>24.08.2026</t>
        </is>
      </c>
      <c r="AH137" s="256" t="inlineStr">
        <is>
          <t>Purely Plant GmbH (in-house)</t>
        </is>
      </c>
      <c r="AI137" s="256" t="inlineStr">
        <is>
          <t>Conforms | Одговара</t>
        </is>
      </c>
      <c r="AJ137" s="256" t="inlineStr">
        <is>
          <t>iCoA-PP_26-175</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iCoA-PP_26-175</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iCoA-PP_26-176</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iCoA-PP_26-176</t>
        </is>
      </c>
      <c r="AG138" s="256" t="inlineStr">
        <is>
          <t>24.08.2026</t>
        </is>
      </c>
      <c r="AH138" s="256" t="inlineStr">
        <is>
          <t>Purely Plant GmbH (in-house)</t>
        </is>
      </c>
      <c r="AI138" s="256" t="inlineStr">
        <is>
          <t>Conforms | Одговара</t>
        </is>
      </c>
      <c r="AJ138" s="256" t="inlineStr">
        <is>
          <t>iCoA-PP_26-176</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iCoA-PP_26-176</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iCoA-PP_26-155</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iCoA-PP_26-155</t>
        </is>
      </c>
      <c r="AG139" s="256" t="inlineStr">
        <is>
          <t>24.08.2026</t>
        </is>
      </c>
      <c r="AH139" s="256" t="inlineStr">
        <is>
          <t>Purely Plant GmbH (in-house)</t>
        </is>
      </c>
      <c r="AI139" s="256" t="inlineStr">
        <is>
          <t>Conforms | Одговара</t>
        </is>
      </c>
      <c r="AJ139" s="256" t="inlineStr">
        <is>
          <t>iCoA-PP_26-155</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iCoA-PP_26-155</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iCoA-PP_26-177</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iCoA-PP_26-177</t>
        </is>
      </c>
      <c r="AG140" s="256" t="inlineStr">
        <is>
          <t>24.08.2026</t>
        </is>
      </c>
      <c r="AH140" s="256" t="inlineStr">
        <is>
          <t>Purely Plant GmbH (in-house)</t>
        </is>
      </c>
      <c r="AI140" s="256" t="inlineStr">
        <is>
          <t>Conforms | Одговара</t>
        </is>
      </c>
      <c r="AJ140" s="256" t="inlineStr">
        <is>
          <t>iCoA-PP_26-177</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iCoA-PP_26-177</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iCoA-PP_26-178</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iCoA-PP_26-178</t>
        </is>
      </c>
      <c r="AG141" s="256" t="inlineStr">
        <is>
          <t>24.08.2026</t>
        </is>
      </c>
      <c r="AH141" s="256" t="inlineStr">
        <is>
          <t>Purely Plant GmbH (in-house)</t>
        </is>
      </c>
      <c r="AI141" s="256" t="inlineStr">
        <is>
          <t>Conforms | Одговара</t>
        </is>
      </c>
      <c r="AJ141" s="256" t="inlineStr">
        <is>
          <t>iCoA-PP_26-178</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iCoA-PP_26-178</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iCoA-PP_26-179</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iCoA-PP_26-179</t>
        </is>
      </c>
      <c r="AG142" s="256" t="inlineStr">
        <is>
          <t>24.08.2026</t>
        </is>
      </c>
      <c r="AH142" s="256" t="inlineStr">
        <is>
          <t>Purely Plant GmbH (in-house)</t>
        </is>
      </c>
      <c r="AI142" s="256" t="inlineStr">
        <is>
          <t>Conforms | Одговара</t>
        </is>
      </c>
      <c r="AJ142" s="256" t="inlineStr">
        <is>
          <t>iCoA-PP_26-179</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iCoA-PP_26-179</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iCoA-PP_26-180</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iCoA-PP_26-180</t>
        </is>
      </c>
      <c r="AG143" s="256" t="inlineStr">
        <is>
          <t>24.08.2026</t>
        </is>
      </c>
      <c r="AH143" s="256" t="inlineStr">
        <is>
          <t>Purely Plant GmbH (in-house)</t>
        </is>
      </c>
      <c r="AI143" s="256" t="inlineStr">
        <is>
          <t>Conforms | Одговара</t>
        </is>
      </c>
      <c r="AJ143" s="256" t="inlineStr">
        <is>
          <t>iCoA-PP_26-180</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iCoA-PP_26-180</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iCoA-PP_26-181</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carried from the initial testing — not tested</t>
        </is>
      </c>
      <c r="CZ144" s="256" t="inlineStr">
        <is>
          <t>—</t>
        </is>
      </c>
      <c r="DA144" s="256" t="inlineStr">
        <is>
          <t>—</t>
        </is>
      </c>
      <c r="DB144" s="256" t="inlineStr">
        <is>
          <t>—</t>
        </is>
      </c>
      <c r="DC144" s="256" t="inlineStr">
        <is>
          <t>carried from the initial testing — not tested</t>
        </is>
      </c>
      <c r="DD144" s="256" t="inlineStr">
        <is>
          <t>—</t>
        </is>
      </c>
      <c r="DE144" s="256" t="inlineStr">
        <is>
          <t>—</t>
        </is>
      </c>
      <c r="DF144" s="256" t="inlineStr">
        <is>
          <t>—</t>
        </is>
      </c>
      <c r="DG144" s="256" t="inlineStr">
        <is>
          <t>carried from the initial testing — not tested</t>
        </is>
      </c>
      <c r="DH144" s="256" t="inlineStr">
        <is>
          <t>—</t>
        </is>
      </c>
      <c r="DI144" s="256" t="inlineStr">
        <is>
          <t>—</t>
        </is>
      </c>
      <c r="DJ144" s="256" t="inlineStr">
        <is>
          <t>—</t>
        </is>
      </c>
      <c r="DK144" s="256" t="inlineStr">
        <is>
          <t>carried from the initial testing — not tested</t>
        </is>
      </c>
      <c r="DL144" s="256" t="inlineStr">
        <is>
          <t>—</t>
        </is>
      </c>
      <c r="DM144" s="256" t="inlineStr">
        <is>
          <t>—</t>
        </is>
      </c>
      <c r="DN144" s="256" t="inlineStr">
        <is>
          <t>—</t>
        </is>
      </c>
      <c r="DO144" s="256" t="inlineStr">
        <is>
          <t>carried from the initial testing — not tested</t>
        </is>
      </c>
      <c r="DP144" s="256" t="inlineStr">
        <is>
          <t>—</t>
        </is>
      </c>
      <c r="DQ144" s="256" t="inlineStr">
        <is>
          <t>—</t>
        </is>
      </c>
      <c r="DR144" s="256" t="inlineStr">
        <is>
          <t>—</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iCoA-PP_26-182</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carried from the initial testing — not tested</t>
        </is>
      </c>
      <c r="CZ145" s="256" t="inlineStr">
        <is>
          <t>—</t>
        </is>
      </c>
      <c r="DA145" s="256" t="inlineStr">
        <is>
          <t>—</t>
        </is>
      </c>
      <c r="DB145" s="256" t="inlineStr">
        <is>
          <t>—</t>
        </is>
      </c>
      <c r="DC145" s="256" t="inlineStr">
        <is>
          <t>carried from the initial testing — not tested</t>
        </is>
      </c>
      <c r="DD145" s="256" t="inlineStr">
        <is>
          <t>—</t>
        </is>
      </c>
      <c r="DE145" s="256" t="inlineStr">
        <is>
          <t>—</t>
        </is>
      </c>
      <c r="DF145" s="256" t="inlineStr">
        <is>
          <t>—</t>
        </is>
      </c>
      <c r="DG145" s="256" t="inlineStr">
        <is>
          <t>carried from the initial testing — not tested</t>
        </is>
      </c>
      <c r="DH145" s="256" t="inlineStr">
        <is>
          <t>—</t>
        </is>
      </c>
      <c r="DI145" s="256" t="inlineStr">
        <is>
          <t>—</t>
        </is>
      </c>
      <c r="DJ145" s="256" t="inlineStr">
        <is>
          <t>—</t>
        </is>
      </c>
      <c r="DK145" s="256" t="inlineStr">
        <is>
          <t>carried from the initial testing — not tested</t>
        </is>
      </c>
      <c r="DL145" s="256" t="inlineStr">
        <is>
          <t>—</t>
        </is>
      </c>
      <c r="DM145" s="256" t="inlineStr">
        <is>
          <t>—</t>
        </is>
      </c>
      <c r="DN145" s="256" t="inlineStr">
        <is>
          <t>—</t>
        </is>
      </c>
      <c r="DO145" s="256" t="inlineStr">
        <is>
          <t>carried from the initial testing — not tested</t>
        </is>
      </c>
      <c r="DP145" s="256" t="inlineStr">
        <is>
          <t>—</t>
        </is>
      </c>
      <c r="DQ145" s="256" t="inlineStr">
        <is>
          <t>—</t>
        </is>
      </c>
      <c r="DR145" s="256" t="inlineStr">
        <is>
          <t>—</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iCoA-PP_26-183</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iCoA-PP_26-183</t>
        </is>
      </c>
      <c r="AG146" s="256" t="inlineStr">
        <is>
          <t>24.08.2026</t>
        </is>
      </c>
      <c r="AH146" s="256" t="inlineStr">
        <is>
          <t>Purely Plant GmbH (in-house)</t>
        </is>
      </c>
      <c r="AI146" s="256" t="inlineStr">
        <is>
          <t>Conforms | Одговара</t>
        </is>
      </c>
      <c r="AJ146" s="256" t="inlineStr">
        <is>
          <t>iCoA-PP_26-183</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iCoA-PP_26-183</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iCoA-PP_26-184</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iCoA-PP_26-184</t>
        </is>
      </c>
      <c r="AG147" s="256" t="inlineStr">
        <is>
          <t>24.08.2026</t>
        </is>
      </c>
      <c r="AH147" s="256" t="inlineStr">
        <is>
          <t>Purely Plant GmbH (in-house)</t>
        </is>
      </c>
      <c r="AI147" s="256" t="inlineStr">
        <is>
          <t>Conforms | Одговара</t>
        </is>
      </c>
      <c r="AJ147" s="256" t="inlineStr">
        <is>
          <t>iCoA-PP_26-184</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iCoA-PP_26-184</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iCoA-PP_26-165</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iCoA-PP_26-165</t>
        </is>
      </c>
      <c r="AG148" s="256" t="inlineStr">
        <is>
          <t>24.08.2026</t>
        </is>
      </c>
      <c r="AH148" s="256" t="inlineStr">
        <is>
          <t>Purely Plant GmbH (in-house)</t>
        </is>
      </c>
      <c r="AI148" s="256" t="inlineStr">
        <is>
          <t>Conforms | Одговара</t>
        </is>
      </c>
      <c r="AJ148" s="256" t="inlineStr">
        <is>
          <t>iCoA-PP_26-165</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iCoA-PP_26-165</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iCoA-PP_26-166</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iCoA-PP_26-166</t>
        </is>
      </c>
      <c r="AG149" s="256" t="inlineStr">
        <is>
          <t>24.08.2026</t>
        </is>
      </c>
      <c r="AH149" s="256" t="inlineStr">
        <is>
          <t>Purely Plant GmbH (in-house)</t>
        </is>
      </c>
      <c r="AI149" s="256" t="inlineStr">
        <is>
          <t>Conforms | Одговара</t>
        </is>
      </c>
      <c r="AJ149" s="256" t="inlineStr">
        <is>
          <t>iCoA-PP_26-166</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iCoA-PP_26-166</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iCoA-PP_26-167</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iCoA-PP_26-167</t>
        </is>
      </c>
      <c r="AG150" s="256" t="inlineStr">
        <is>
          <t>24.08.2026</t>
        </is>
      </c>
      <c r="AH150" s="256" t="inlineStr">
        <is>
          <t>Purely Plant GmbH (in-house)</t>
        </is>
      </c>
      <c r="AI150" s="256" t="inlineStr">
        <is>
          <t>Conforms | Одговара</t>
        </is>
      </c>
      <c r="AJ150" s="256" t="inlineStr">
        <is>
          <t>iCoA-PP_26-167</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iCoA-PP_26-167</t>
        </is>
      </c>
      <c r="BE150" s="256" t="inlineStr">
        <is>
          <t>24.08.2026</t>
        </is>
      </c>
      <c r="BF150" s="256" t="inlineStr">
        <is>
          <t>Purely Plant GmbH (in-house)</t>
        </is>
      </c>
      <c r="BG150" s="256" t="inlineStr">
        <is>
          <t>8.19 (avg of 4 weighings 51-1,51-2,52-1,52-2)</t>
        </is>
      </c>
      <c r="BH150" s="256" t="inlineStr">
        <is>
          <t>iCoA-PP_26-025</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iCoA-PP_26-168</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iCoA-PP_26-168</t>
        </is>
      </c>
      <c r="AG151" s="256" t="inlineStr">
        <is>
          <t>24.08.2026</t>
        </is>
      </c>
      <c r="AH151" s="256" t="inlineStr">
        <is>
          <t>Purely Plant GmbH (in-house)</t>
        </is>
      </c>
      <c r="AI151" s="256" t="inlineStr">
        <is>
          <t>Conforms | Одговара</t>
        </is>
      </c>
      <c r="AJ151" s="256" t="inlineStr">
        <is>
          <t>iCoA-PP_26-168</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iCoA-PP_26-168</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iCoA-PP_26-156</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iCoA-PP_26-156</t>
        </is>
      </c>
      <c r="AG152" s="256" t="inlineStr">
        <is>
          <t>24.08.2026</t>
        </is>
      </c>
      <c r="AH152" s="256" t="inlineStr">
        <is>
          <t>Purely Plant GmbH (in-house)</t>
        </is>
      </c>
      <c r="AI152" s="256" t="inlineStr">
        <is>
          <t>Conforms | Одговара</t>
        </is>
      </c>
      <c r="AJ152" s="256" t="inlineStr">
        <is>
          <t>iCoA-PP_26-156</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iCoA-PP_26-156</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iCoA-PP_26-169</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iCoA-PP_26-169</t>
        </is>
      </c>
      <c r="AG153" s="256" t="inlineStr">
        <is>
          <t>24.08.2026</t>
        </is>
      </c>
      <c r="AH153" s="256" t="inlineStr">
        <is>
          <t>Purely Plant GmbH (in-house)</t>
        </is>
      </c>
      <c r="AI153" s="256" t="inlineStr">
        <is>
          <t>Conforms | Одговара</t>
        </is>
      </c>
      <c r="AJ153" s="256" t="inlineStr">
        <is>
          <t>iCoA-PP_26-169</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iCoA-PP_26-169</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iCoA-PP_26-170</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iCoA-PP_26-170</t>
        </is>
      </c>
      <c r="AG154" s="256" t="inlineStr">
        <is>
          <t>24.08.2026</t>
        </is>
      </c>
      <c r="AH154" s="256" t="inlineStr">
        <is>
          <t>Purely Plant GmbH (in-house)</t>
        </is>
      </c>
      <c r="AI154" s="256" t="inlineStr">
        <is>
          <t>Conforms | Одговара</t>
        </is>
      </c>
      <c r="AJ154" s="256" t="inlineStr">
        <is>
          <t>iCoA-PP_26-170</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iCoA-PP_26-170</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carried from the initial testing — not tested</t>
        </is>
      </c>
      <c r="CZ154" s="256" t="inlineStr">
        <is>
          <t>—</t>
        </is>
      </c>
      <c r="DA154" s="256" t="inlineStr">
        <is>
          <t>—</t>
        </is>
      </c>
      <c r="DB154" s="256" t="inlineStr">
        <is>
          <t>—</t>
        </is>
      </c>
      <c r="DC154" s="256" t="inlineStr">
        <is>
          <t>carried from the initial testing — not tested</t>
        </is>
      </c>
      <c r="DD154" s="256" t="inlineStr">
        <is>
          <t>—</t>
        </is>
      </c>
      <c r="DE154" s="256" t="inlineStr">
        <is>
          <t>—</t>
        </is>
      </c>
      <c r="DF154" s="256" t="inlineStr">
        <is>
          <t>—</t>
        </is>
      </c>
      <c r="DG154" s="256" t="inlineStr">
        <is>
          <t>carried from the initial testing — not tested</t>
        </is>
      </c>
      <c r="DH154" s="256" t="inlineStr">
        <is>
          <t>—</t>
        </is>
      </c>
      <c r="DI154" s="256" t="inlineStr">
        <is>
          <t>—</t>
        </is>
      </c>
      <c r="DJ154" s="256" t="inlineStr">
        <is>
          <t>—</t>
        </is>
      </c>
      <c r="DK154" s="256" t="inlineStr">
        <is>
          <t>carried from the initial testing — not tested</t>
        </is>
      </c>
      <c r="DL154" s="256" t="inlineStr">
        <is>
          <t>—</t>
        </is>
      </c>
      <c r="DM154" s="256" t="inlineStr">
        <is>
          <t>—</t>
        </is>
      </c>
      <c r="DN154" s="256" t="inlineStr">
        <is>
          <t>—</t>
        </is>
      </c>
      <c r="DO154" s="256" t="inlineStr">
        <is>
          <t>carried from the initial testing — not tested</t>
        </is>
      </c>
      <c r="DP154" s="256" t="inlineStr">
        <is>
          <t>—</t>
        </is>
      </c>
      <c r="DQ154" s="256" t="inlineStr">
        <is>
          <t>—</t>
        </is>
      </c>
      <c r="DR154" s="256" t="inlineStr">
        <is>
          <t>—</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iCoA-PP_26-171</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iCoA-PP_26-171</t>
        </is>
      </c>
      <c r="AG155" s="256" t="inlineStr">
        <is>
          <t>24.08.2026</t>
        </is>
      </c>
      <c r="AH155" s="256" t="inlineStr">
        <is>
          <t>Purely Plant GmbH (in-house)</t>
        </is>
      </c>
      <c r="AI155" s="256" t="inlineStr">
        <is>
          <t>Conforms | Одговара</t>
        </is>
      </c>
      <c r="AJ155" s="256" t="inlineStr">
        <is>
          <t>iCoA-PP_26-171</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iCoA-PP_26-171</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iCoA-PP_26-172</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iCoA-PP_26-172</t>
        </is>
      </c>
      <c r="AG156" s="256" t="inlineStr">
        <is>
          <t>24.08.2026</t>
        </is>
      </c>
      <c r="AH156" s="256" t="inlineStr">
        <is>
          <t>Purely Plant GmbH (in-house)</t>
        </is>
      </c>
      <c r="AI156" s="256" t="inlineStr">
        <is>
          <t>Conforms | Одговара</t>
        </is>
      </c>
      <c r="AJ156" s="256" t="inlineStr">
        <is>
          <t>iCoA-PP_26-172</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iCoA-PP_26-172</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iCoA-PP_26-173</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iCoA-PP_26-173</t>
        </is>
      </c>
      <c r="AG157" s="256" t="inlineStr">
        <is>
          <t>24.08.2026</t>
        </is>
      </c>
      <c r="AH157" s="256" t="inlineStr">
        <is>
          <t>Purely Plant GmbH (in-house)</t>
        </is>
      </c>
      <c r="AI157" s="256" t="inlineStr">
        <is>
          <t>Conforms | Одговара</t>
        </is>
      </c>
      <c r="AJ157" s="256" t="inlineStr">
        <is>
          <t>iCoA-PP_26-173</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iCoA-PP_26-173</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iCoA-PP_26-174</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iCoA-PP_26-174</t>
        </is>
      </c>
      <c r="AG158" s="256" t="inlineStr">
        <is>
          <t>24.08.2026</t>
        </is>
      </c>
      <c r="AH158" s="256" t="inlineStr">
        <is>
          <t>Purely Plant GmbH (in-house)</t>
        </is>
      </c>
      <c r="AI158" s="256" t="inlineStr">
        <is>
          <t>Conforms | Одговара</t>
        </is>
      </c>
      <c r="AJ158" s="256" t="inlineStr">
        <is>
          <t>iCoA-PP_26-174</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iCoA-PP_26-174</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iCoA-PP_26-157</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iCoA-PP_26-157</t>
        </is>
      </c>
      <c r="AG159" s="256" t="inlineStr">
        <is>
          <t>24.08.2026</t>
        </is>
      </c>
      <c r="AH159" s="256" t="inlineStr">
        <is>
          <t>Purely Plant GmbH (in-house)</t>
        </is>
      </c>
      <c r="AI159" s="256" t="inlineStr">
        <is>
          <t>Conforms | Одговара</t>
        </is>
      </c>
      <c r="AJ159" s="256" t="inlineStr">
        <is>
          <t>iCoA-PP_26-157</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iCoA-PP_26-157</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carried from the initial testing — not tested</t>
        </is>
      </c>
      <c r="CZ159" s="256" t="inlineStr">
        <is>
          <t>—</t>
        </is>
      </c>
      <c r="DA159" s="256" t="inlineStr">
        <is>
          <t>—</t>
        </is>
      </c>
      <c r="DB159" s="256" t="inlineStr">
        <is>
          <t>—</t>
        </is>
      </c>
      <c r="DC159" s="256" t="inlineStr">
        <is>
          <t>carried from the initial testing — not tested</t>
        </is>
      </c>
      <c r="DD159" s="256" t="inlineStr">
        <is>
          <t>—</t>
        </is>
      </c>
      <c r="DE159" s="256" t="inlineStr">
        <is>
          <t>—</t>
        </is>
      </c>
      <c r="DF159" s="256" t="inlineStr">
        <is>
          <t>—</t>
        </is>
      </c>
      <c r="DG159" s="256" t="inlineStr">
        <is>
          <t>carried from the initial testing — not tested</t>
        </is>
      </c>
      <c r="DH159" s="256" t="inlineStr">
        <is>
          <t>—</t>
        </is>
      </c>
      <c r="DI159" s="256" t="inlineStr">
        <is>
          <t>—</t>
        </is>
      </c>
      <c r="DJ159" s="256" t="inlineStr">
        <is>
          <t>—</t>
        </is>
      </c>
      <c r="DK159" s="256" t="inlineStr">
        <is>
          <t>carried from the initial testing — not tested</t>
        </is>
      </c>
      <c r="DL159" s="256" t="inlineStr">
        <is>
          <t>—</t>
        </is>
      </c>
      <c r="DM159" s="256" t="inlineStr">
        <is>
          <t>—</t>
        </is>
      </c>
      <c r="DN159" s="256" t="inlineStr">
        <is>
          <t>—</t>
        </is>
      </c>
      <c r="DO159" s="256" t="inlineStr">
        <is>
          <t>carried from the initial testing — not tested</t>
        </is>
      </c>
      <c r="DP159" s="256" t="inlineStr">
        <is>
          <t>—</t>
        </is>
      </c>
      <c r="DQ159" s="256" t="inlineStr">
        <is>
          <t>—</t>
        </is>
      </c>
      <c r="DR159" s="256" t="inlineStr">
        <is>
          <t>—</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iCoA-PP_26-158</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iCoA-PP_26-158</t>
        </is>
      </c>
      <c r="AG160" s="256" t="inlineStr">
        <is>
          <t>24.08.2026</t>
        </is>
      </c>
      <c r="AH160" s="256" t="inlineStr">
        <is>
          <t>Purely Plant GmbH (in-house)</t>
        </is>
      </c>
      <c r="AI160" s="256" t="inlineStr">
        <is>
          <t>Conforms | Одговара</t>
        </is>
      </c>
      <c r="AJ160" s="256" t="inlineStr">
        <is>
          <t>iCoA-PP_26-158</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iCoA-PP_26-158</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iCoA-PP_26-159</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iCoA-PP_26-159</t>
        </is>
      </c>
      <c r="AG161" s="256" t="inlineStr">
        <is>
          <t>24.08.2026</t>
        </is>
      </c>
      <c r="AH161" s="256" t="inlineStr">
        <is>
          <t>Purely Plant GmbH (in-house)</t>
        </is>
      </c>
      <c r="AI161" s="256" t="inlineStr">
        <is>
          <t>Conforms | Одговара</t>
        </is>
      </c>
      <c r="AJ161" s="256" t="inlineStr">
        <is>
          <t>iCoA-PP_26-159</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iCoA-PP_26-159</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iCoA-PP_26-160</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carried from the initial testing — not tested</t>
        </is>
      </c>
      <c r="CZ162" s="256" t="inlineStr">
        <is>
          <t>—</t>
        </is>
      </c>
      <c r="DA162" s="256" t="inlineStr">
        <is>
          <t>—</t>
        </is>
      </c>
      <c r="DB162" s="256" t="inlineStr">
        <is>
          <t>—</t>
        </is>
      </c>
      <c r="DC162" s="256" t="inlineStr">
        <is>
          <t>carried from the initial testing — not tested</t>
        </is>
      </c>
      <c r="DD162" s="256" t="inlineStr">
        <is>
          <t>—</t>
        </is>
      </c>
      <c r="DE162" s="256" t="inlineStr">
        <is>
          <t>—</t>
        </is>
      </c>
      <c r="DF162" s="256" t="inlineStr">
        <is>
          <t>—</t>
        </is>
      </c>
      <c r="DG162" s="256" t="inlineStr">
        <is>
          <t>carried from the initial testing — not tested</t>
        </is>
      </c>
      <c r="DH162" s="256" t="inlineStr">
        <is>
          <t>—</t>
        </is>
      </c>
      <c r="DI162" s="256" t="inlineStr">
        <is>
          <t>—</t>
        </is>
      </c>
      <c r="DJ162" s="256" t="inlineStr">
        <is>
          <t>—</t>
        </is>
      </c>
      <c r="DK162" s="256" t="inlineStr">
        <is>
          <t>carried from the initial testing — not tested</t>
        </is>
      </c>
      <c r="DL162" s="256" t="inlineStr">
        <is>
          <t>—</t>
        </is>
      </c>
      <c r="DM162" s="256" t="inlineStr">
        <is>
          <t>—</t>
        </is>
      </c>
      <c r="DN162" s="256" t="inlineStr">
        <is>
          <t>—</t>
        </is>
      </c>
      <c r="DO162" s="256" t="inlineStr">
        <is>
          <t>carried from the initial testing — not tested</t>
        </is>
      </c>
      <c r="DP162" s="256" t="inlineStr">
        <is>
          <t>—</t>
        </is>
      </c>
      <c r="DQ162" s="256" t="inlineStr">
        <is>
          <t>—</t>
        </is>
      </c>
      <c r="DR162" s="256" t="inlineStr">
        <is>
          <t>—</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iCoA-PP_26-161</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iCoA-PP_26-161</t>
        </is>
      </c>
      <c r="AG163" s="256" t="inlineStr">
        <is>
          <t>24.08.2026</t>
        </is>
      </c>
      <c r="AH163" s="256" t="inlineStr">
        <is>
          <t>Purely Plant GmbH (in-house)</t>
        </is>
      </c>
      <c r="AI163" s="256" t="inlineStr">
        <is>
          <t>Conforms | Одговара</t>
        </is>
      </c>
      <c r="AJ163" s="256" t="inlineStr">
        <is>
          <t>iCoA-PP_26-161</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iCoA-PP_26-161</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carried from the initial testing — not tested</t>
        </is>
      </c>
      <c r="DP163" s="256" t="inlineStr">
        <is>
          <t>—</t>
        </is>
      </c>
      <c r="DQ163" s="256" t="inlineStr">
        <is>
          <t>—</t>
        </is>
      </c>
      <c r="DR163" s="256" t="inlineStr">
        <is>
          <t>—</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iCoA-PP_26-162</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iCoA-PP_26-162</t>
        </is>
      </c>
      <c r="AG164" s="256" t="inlineStr">
        <is>
          <t>24.08.2026</t>
        </is>
      </c>
      <c r="AH164" s="256" t="inlineStr">
        <is>
          <t>Purely Plant GmbH (in-house)</t>
        </is>
      </c>
      <c r="AI164" s="256" t="inlineStr">
        <is>
          <t>Conforms | Одговара</t>
        </is>
      </c>
      <c r="AJ164" s="256" t="inlineStr">
        <is>
          <t>iCoA-PP_26-162</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iCoA-PP_26-162</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carried from the initial testing — not tested</t>
        </is>
      </c>
      <c r="CZ164" s="256" t="inlineStr">
        <is>
          <t>—</t>
        </is>
      </c>
      <c r="DA164" s="256" t="inlineStr">
        <is>
          <t>—</t>
        </is>
      </c>
      <c r="DB164" s="256" t="inlineStr">
        <is>
          <t>—</t>
        </is>
      </c>
      <c r="DC164" s="256" t="inlineStr">
        <is>
          <t>carried from the initial testing — not tested</t>
        </is>
      </c>
      <c r="DD164" s="256" t="inlineStr">
        <is>
          <t>—</t>
        </is>
      </c>
      <c r="DE164" s="256" t="inlineStr">
        <is>
          <t>—</t>
        </is>
      </c>
      <c r="DF164" s="256" t="inlineStr">
        <is>
          <t>—</t>
        </is>
      </c>
      <c r="DG164" s="256" t="inlineStr">
        <is>
          <t>carried from the initial testing — not tested</t>
        </is>
      </c>
      <c r="DH164" s="256" t="inlineStr">
        <is>
          <t>—</t>
        </is>
      </c>
      <c r="DI164" s="256" t="inlineStr">
        <is>
          <t>—</t>
        </is>
      </c>
      <c r="DJ164" s="256" t="inlineStr">
        <is>
          <t>—</t>
        </is>
      </c>
      <c r="DK164" s="256" t="inlineStr">
        <is>
          <t>carried from the initial testing — not tested</t>
        </is>
      </c>
      <c r="DL164" s="256" t="inlineStr">
        <is>
          <t>—</t>
        </is>
      </c>
      <c r="DM164" s="256" t="inlineStr">
        <is>
          <t>—</t>
        </is>
      </c>
      <c r="DN164" s="256" t="inlineStr">
        <is>
          <t>—</t>
        </is>
      </c>
      <c r="DO164" s="256" t="inlineStr">
        <is>
          <t>carried from the initial testing — not tested</t>
        </is>
      </c>
      <c r="DP164" s="256" t="inlineStr">
        <is>
          <t>—</t>
        </is>
      </c>
      <c r="DQ164" s="256" t="inlineStr">
        <is>
          <t>—</t>
        </is>
      </c>
      <c r="DR164" s="256" t="inlineStr">
        <is>
          <t>—</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iCoA-PP_26-163</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iCoA-PP_26-163</t>
        </is>
      </c>
      <c r="AG165" s="256" t="inlineStr">
        <is>
          <t>24.08.2026</t>
        </is>
      </c>
      <c r="AH165" s="256" t="inlineStr">
        <is>
          <t>Purely Plant GmbH (in-house)</t>
        </is>
      </c>
      <c r="AI165" s="256" t="inlineStr">
        <is>
          <t>Conforms | Одговара</t>
        </is>
      </c>
      <c r="AJ165" s="256" t="inlineStr">
        <is>
          <t>iCoA-PP_26-163</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iCoA-PP_26-163</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iCoA-PP_26-164</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iCoA-PP_26-164</t>
        </is>
      </c>
      <c r="AG166" s="256" t="inlineStr">
        <is>
          <t>24.08.2026</t>
        </is>
      </c>
      <c r="AH166" s="256" t="inlineStr">
        <is>
          <t>Purely Plant GmbH (in-house)</t>
        </is>
      </c>
      <c r="AI166" s="256" t="inlineStr">
        <is>
          <t>Conforms | Одговара</t>
        </is>
      </c>
      <c r="AJ166" s="256" t="inlineStr">
        <is>
          <t>iCoA-PP_26-164</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iCoA-PP_26-164</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carried from the initial testing — not tested</t>
        </is>
      </c>
      <c r="CZ166" s="256" t="inlineStr">
        <is>
          <t>—</t>
        </is>
      </c>
      <c r="DA166" s="256" t="inlineStr">
        <is>
          <t>—</t>
        </is>
      </c>
      <c r="DB166" s="256" t="inlineStr">
        <is>
          <t>—</t>
        </is>
      </c>
      <c r="DC166" s="256" t="inlineStr">
        <is>
          <t>carried from the initial testing — not tested</t>
        </is>
      </c>
      <c r="DD166" s="256" t="inlineStr">
        <is>
          <t>—</t>
        </is>
      </c>
      <c r="DE166" s="256" t="inlineStr">
        <is>
          <t>—</t>
        </is>
      </c>
      <c r="DF166" s="256" t="inlineStr">
        <is>
          <t>—</t>
        </is>
      </c>
      <c r="DG166" s="256" t="inlineStr">
        <is>
          <t>carried from the initial testing — not tested</t>
        </is>
      </c>
      <c r="DH166" s="256" t="inlineStr">
        <is>
          <t>—</t>
        </is>
      </c>
      <c r="DI166" s="256" t="inlineStr">
        <is>
          <t>—</t>
        </is>
      </c>
      <c r="DJ166" s="256" t="inlineStr">
        <is>
          <t>—</t>
        </is>
      </c>
      <c r="DK166" s="256" t="inlineStr">
        <is>
          <t>carried from the initial testing — not tested</t>
        </is>
      </c>
      <c r="DL166" s="256" t="inlineStr">
        <is>
          <t>—</t>
        </is>
      </c>
      <c r="DM166" s="256" t="inlineStr">
        <is>
          <t>—</t>
        </is>
      </c>
      <c r="DN166" s="256" t="inlineStr">
        <is>
          <t>—</t>
        </is>
      </c>
      <c r="DO166" s="256" t="inlineStr">
        <is>
          <t>carried from the initial testing — not tested</t>
        </is>
      </c>
      <c r="DP166" s="256" t="inlineStr">
        <is>
          <t>—</t>
        </is>
      </c>
      <c r="DQ166" s="256" t="inlineStr">
        <is>
          <t>—</t>
        </is>
      </c>
      <c r="DR166" s="256" t="inlineStr">
        <is>
          <t>—</t>
        </is>
      </c>
    </row>
    <row r="167">
      <c r="A167" s="256" t="inlineStr">
        <is>
          <t>— at issue —</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iCoA-PP_26-090</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iCoA-PP_26-090</t>
        </is>
      </c>
      <c r="AG167" s="256" t="inlineStr">
        <is>
          <t>03.06.2026</t>
        </is>
      </c>
      <c r="AH167" s="256" t="inlineStr">
        <is>
          <t>Purely Plant GmbH (in-house)</t>
        </is>
      </c>
      <c r="AI167" s="259" t="inlineStr">
        <is>
          <t>to be performed (in house)</t>
        </is>
      </c>
      <c r="AJ167" s="256" t="inlineStr">
        <is>
          <t>iCoA-PP_26-090</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iCoA-PP_26-090</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 at issue —</t>
        </is>
      </c>
      <c r="B168" s="256" t="inlineStr">
        <is>
          <t>reissue — retest</t>
        </is>
      </c>
      <c r="C168" s="256" t="inlineStr">
        <is>
          <t>not yet issuable</t>
        </is>
      </c>
      <c r="D168" s="256" t="inlineStr">
        <is>
          <t>18.09.2026</t>
        </is>
      </c>
      <c r="E168" s="256" t="inlineStr">
        <is>
          <t>— initial certificate not yet numbered — of</t>
        </is>
      </c>
      <c r="F168" s="256" t="inlineStr">
        <is>
          <t>(assigned on issue)</t>
        </is>
      </c>
      <c r="G168" s="256" t="inlineStr">
        <is>
          <t>CC042601</t>
        </is>
      </c>
      <c r="H168" s="256" t="inlineStr">
        <is>
          <t>— no P lot assigned —</t>
        </is>
      </c>
      <c r="I168" s="256" t="inlineStr">
        <is>
          <t>Cash Cow</t>
        </is>
      </c>
      <c r="J168" s="256" t="inlineStr">
        <is>
          <t>—</t>
        </is>
      </c>
      <c r="K168" s="256" t="inlineStr">
        <is>
          <t>—</t>
        </is>
      </c>
      <c r="L168" s="256" t="inlineStr">
        <is>
          <t>—</t>
        </is>
      </c>
      <c r="M168" s="256" t="inlineStr">
        <is>
          <t>—</t>
        </is>
      </c>
      <c r="N168" s="256" t="inlineStr">
        <is>
          <t>iCoA-PP_26-146</t>
        </is>
      </c>
      <c r="O168" s="256" t="inlineStr">
        <is>
          <t>17.08.2026</t>
        </is>
      </c>
      <c r="P168" s="256" t="inlineStr">
        <is>
          <t>14.08.2026</t>
        </is>
      </c>
      <c r="Q168" s="256" t="inlineStr">
        <is>
          <t>Tranche 2</t>
        </is>
      </c>
      <c r="R168" s="256" t="inlineStr">
        <is>
          <t>14.90</t>
        </is>
      </c>
      <c r="S168" s="256" t="inlineStr">
        <is>
          <t>220-32-К/26</t>
        </is>
      </c>
      <c r="T168" s="256" t="inlineStr">
        <is>
          <t>II</t>
        </is>
      </c>
      <c r="U168" s="256" t="inlineStr">
        <is>
          <t>12.65 – 15.34 %</t>
        </is>
      </c>
      <c r="V168" s="256" t="inlineStr">
        <is>
          <t>CC_THC14 : CBD1</t>
        </is>
      </c>
      <c r="W168" s="256" t="inlineStr">
        <is>
          <t>QCSP_001_CC-II_v.01</t>
        </is>
      </c>
      <c r="X168" s="256" t="inlineStr">
        <is>
          <t>for review — replaces the issued QCSP_001_CC-II_v.01 (was CC_THC14 : CBD1, 12.60 – 15.40 %); now CC_THC14 : CBD1 12.65 – 15.34 %</t>
        </is>
      </c>
      <c r="Y168" s="256" t="inlineStr">
        <is>
          <t>HYBRID</t>
        </is>
      </c>
      <c r="Z168" s="256" t="inlineStr">
        <is>
          <t>THC</t>
        </is>
      </c>
      <c r="AA168" s="256" t="inlineStr">
        <is>
          <t>MACHINE TRIMMED</t>
        </is>
      </c>
      <c r="AB168" s="256" t="inlineStr">
        <is>
          <t>INDICA 70 : SATIVA 30</t>
        </is>
      </c>
      <c r="AC168" s="256" t="inlineStr">
        <is>
          <t>Triplex Alu Bag | Триплекс Aлу Kеса, PET 12 · ALU 7 · PE 80, 300 × 500 mm, net. 400.0 g ±3%</t>
        </is>
      </c>
      <c r="AD168" s="256" t="inlineStr">
        <is>
          <t>11.09.2026</t>
        </is>
      </c>
      <c r="AE168" s="256" t="inlineStr">
        <is>
          <t>Conforms | Одговара</t>
        </is>
      </c>
      <c r="AF168" s="256" t="inlineStr">
        <is>
          <t>iCoA-PP_26-146</t>
        </is>
      </c>
      <c r="AG168" s="256" t="inlineStr">
        <is>
          <t>17.08.2026</t>
        </is>
      </c>
      <c r="AH168" s="256" t="inlineStr">
        <is>
          <t>Purely Plant GmbH (in-house)</t>
        </is>
      </c>
      <c r="AI168" s="256" t="inlineStr">
        <is>
          <t>Conforms | Одговара</t>
        </is>
      </c>
      <c r="AJ168" s="256" t="inlineStr">
        <is>
          <t>iCoA-PP_26-146</t>
        </is>
      </c>
      <c r="AK168" s="256" t="inlineStr">
        <is>
          <t>17.08.2026</t>
        </is>
      </c>
      <c r="AL168" s="256" t="inlineStr">
        <is>
          <t>Purely Plant GmbH (in-house)</t>
        </is>
      </c>
      <c r="AM168" s="256" t="inlineStr">
        <is>
          <t>Conforms | Одговара</t>
        </is>
      </c>
      <c r="AN168" s="256" t="inlineStr">
        <is>
          <t>220-32-К/26</t>
        </is>
      </c>
      <c r="AO168" s="256" t="inlineStr">
        <is>
          <t>26.08.2026</t>
        </is>
      </c>
      <c r="AP168" s="256" t="inlineStr">
        <is>
          <t>Farmahem</t>
        </is>
      </c>
      <c r="AQ168" s="256" t="inlineStr">
        <is>
          <t>14.90</t>
        </is>
      </c>
      <c r="AR168" s="256" t="inlineStr">
        <is>
          <t>220-32-К/26</t>
        </is>
      </c>
      <c r="AS168" s="256" t="inlineStr">
        <is>
          <t>26.08.2026</t>
        </is>
      </c>
      <c r="AT168" s="256" t="inlineStr">
        <is>
          <t>Farmahem</t>
        </is>
      </c>
      <c r="AU168" s="256" t="inlineStr">
        <is>
          <t>&lt; LOQ</t>
        </is>
      </c>
      <c r="AV168" s="256" t="inlineStr">
        <is>
          <t>220-32-К/26</t>
        </is>
      </c>
      <c r="AW168" s="256" t="inlineStr">
        <is>
          <t>26.08.2026</t>
        </is>
      </c>
      <c r="AX168" s="256" t="inlineStr">
        <is>
          <t>Farmahem</t>
        </is>
      </c>
      <c r="AY168" s="256" t="inlineStr">
        <is>
          <t>&lt; LOQ</t>
        </is>
      </c>
      <c r="AZ168" s="256" t="inlineStr">
        <is>
          <t>220-32-К/26</t>
        </is>
      </c>
      <c r="BA168" s="256" t="inlineStr">
        <is>
          <t>26.08.2026</t>
        </is>
      </c>
      <c r="BB168" s="256" t="inlineStr">
        <is>
          <t>Farmahem</t>
        </is>
      </c>
      <c r="BC168" s="256" t="inlineStr">
        <is>
          <t>Conforms | Одговара</t>
        </is>
      </c>
      <c r="BD168" s="256" t="inlineStr">
        <is>
          <t>iCoA-PP_26-146</t>
        </is>
      </c>
      <c r="BE168" s="256" t="inlineStr">
        <is>
          <t>17.08.2026</t>
        </is>
      </c>
      <c r="BF168" s="256" t="inlineStr">
        <is>
          <t>Purely Plant GmbH (in-house)</t>
        </is>
      </c>
      <c r="BG168" s="256" t="inlineStr">
        <is>
          <t>carried from the initial testing — not tested</t>
        </is>
      </c>
      <c r="BH168" s="256" t="inlineStr">
        <is>
          <t>—</t>
        </is>
      </c>
      <c r="BI168" s="256" t="inlineStr">
        <is>
          <t>—</t>
        </is>
      </c>
      <c r="BJ168" s="256" t="inlineStr">
        <is>
          <t>—</t>
        </is>
      </c>
      <c r="BK168" s="256" t="inlineStr">
        <is>
          <t>carried from the initial testing — not tested</t>
        </is>
      </c>
      <c r="BL168" s="256" t="inlineStr">
        <is>
          <t>—</t>
        </is>
      </c>
      <c r="BM168" s="256" t="inlineStr">
        <is>
          <t>—</t>
        </is>
      </c>
      <c r="BN168" s="256" t="inlineStr">
        <is>
          <t>—</t>
        </is>
      </c>
      <c r="BO168" s="256" t="inlineStr">
        <is>
          <t>carried from the initial testing — not tested</t>
        </is>
      </c>
      <c r="BP168" s="256" t="inlineStr">
        <is>
          <t>—</t>
        </is>
      </c>
      <c r="BQ168" s="256" t="inlineStr">
        <is>
          <t>—</t>
        </is>
      </c>
      <c r="BR168" s="256" t="inlineStr">
        <is>
          <t>—</t>
        </is>
      </c>
      <c r="BS168" s="256" t="inlineStr">
        <is>
          <t>carried from the initial testing — not tested</t>
        </is>
      </c>
      <c r="BT168" s="256" t="inlineStr">
        <is>
          <t>—</t>
        </is>
      </c>
      <c r="BU168" s="256" t="inlineStr">
        <is>
          <t>—</t>
        </is>
      </c>
      <c r="BV168" s="256" t="inlineStr">
        <is>
          <t>—</t>
        </is>
      </c>
      <c r="BW168" s="256" t="inlineStr">
        <is>
          <t>carried from the initial testing — not tested</t>
        </is>
      </c>
      <c r="BX168" s="256" t="inlineStr">
        <is>
          <t>—</t>
        </is>
      </c>
      <c r="BY168" s="256" t="inlineStr">
        <is>
          <t>—</t>
        </is>
      </c>
      <c r="BZ168" s="256" t="inlineStr">
        <is>
          <t>—</t>
        </is>
      </c>
      <c r="CA168" s="256" t="inlineStr">
        <is>
          <t>carried from the initial testing — 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6" t="inlineStr">
        <is>
          <t>ND</t>
        </is>
      </c>
      <c r="CN168" s="256" t="inlineStr">
        <is>
          <t>220-32-М/26</t>
        </is>
      </c>
      <c r="CO168" s="256" t="inlineStr">
        <is>
          <t>11.09.2026</t>
        </is>
      </c>
      <c r="CP168" s="256" t="inlineStr">
        <is>
          <t>Farmahem</t>
        </is>
      </c>
      <c r="CQ168" s="256" t="inlineStr">
        <is>
          <t>ND</t>
        </is>
      </c>
      <c r="CR168" s="256" t="inlineStr">
        <is>
          <t>220-32-М/26</t>
        </is>
      </c>
      <c r="CS168" s="256" t="inlineStr">
        <is>
          <t>11.09.2026</t>
        </is>
      </c>
      <c r="CT168" s="256" t="inlineStr">
        <is>
          <t>Farmahem</t>
        </is>
      </c>
      <c r="CU168" s="256" t="inlineStr">
        <is>
          <t>ND</t>
        </is>
      </c>
      <c r="CV168" s="256" t="inlineStr">
        <is>
          <t>220-32-М/26</t>
        </is>
      </c>
      <c r="CW168" s="256" t="inlineStr">
        <is>
          <t>11.09.2026</t>
        </is>
      </c>
      <c r="CX168" s="256" t="inlineStr">
        <is>
          <t>Farmahem</t>
        </is>
      </c>
      <c r="CY168" s="256" t="inlineStr">
        <is>
          <t>carried from the initial testing — not tested</t>
        </is>
      </c>
      <c r="CZ168" s="256" t="inlineStr">
        <is>
          <t>—</t>
        </is>
      </c>
      <c r="DA168" s="256" t="inlineStr">
        <is>
          <t>—</t>
        </is>
      </c>
      <c r="DB168" s="256" t="inlineStr">
        <is>
          <t>—</t>
        </is>
      </c>
      <c r="DC168" s="256" t="inlineStr">
        <is>
          <t>carried from the initial testing — not tested</t>
        </is>
      </c>
      <c r="DD168" s="256" t="inlineStr">
        <is>
          <t>—</t>
        </is>
      </c>
      <c r="DE168" s="256" t="inlineStr">
        <is>
          <t>—</t>
        </is>
      </c>
      <c r="DF168" s="256" t="inlineStr">
        <is>
          <t>—</t>
        </is>
      </c>
      <c r="DG168" s="256" t="inlineStr">
        <is>
          <t>carried from the initial testing — not tested</t>
        </is>
      </c>
      <c r="DH168" s="256" t="inlineStr">
        <is>
          <t>—</t>
        </is>
      </c>
      <c r="DI168" s="256" t="inlineStr">
        <is>
          <t>—</t>
        </is>
      </c>
      <c r="DJ168" s="256" t="inlineStr">
        <is>
          <t>—</t>
        </is>
      </c>
      <c r="DK168" s="256" t="inlineStr">
        <is>
          <t>carried from the initial testing — not tested</t>
        </is>
      </c>
      <c r="DL168" s="256" t="inlineStr">
        <is>
          <t>—</t>
        </is>
      </c>
      <c r="DM168" s="256" t="inlineStr">
        <is>
          <t>—</t>
        </is>
      </c>
      <c r="DN168" s="256" t="inlineStr">
        <is>
          <t>—</t>
        </is>
      </c>
      <c r="DO168" s="256" t="inlineStr">
        <is>
          <t>carried from the initial testing — not tested</t>
        </is>
      </c>
      <c r="DP168" s="256" t="inlineStr">
        <is>
          <t>—</t>
        </is>
      </c>
      <c r="DQ168" s="256" t="inlineStr">
        <is>
          <t>—</t>
        </is>
      </c>
      <c r="DR168" s="256" t="inlineStr">
        <is>
          <t>—</t>
        </is>
      </c>
    </row>
    <row r="169">
      <c r="A169" s="256" t="inlineStr">
        <is>
          <t>— at issue —</t>
        </is>
      </c>
      <c r="B169" s="256" t="inlineStr">
        <is>
          <t>release</t>
        </is>
      </c>
      <c r="C169" s="256" t="inlineStr">
        <is>
          <t>not yet issuable</t>
        </is>
      </c>
      <c r="D169" s="256" t="inlineStr">
        <is>
          <t>≥ 11.05.2026 (floor — not yet dated)</t>
        </is>
      </c>
      <c r="E169" s="256" t="inlineStr">
        <is>
          <t>n/a — release certificate</t>
        </is>
      </c>
      <c r="F169" s="256" t="inlineStr">
        <is>
          <t>(assigned on issue)</t>
        </is>
      </c>
      <c r="G169" s="256" t="inlineStr">
        <is>
          <t>FB042601</t>
        </is>
      </c>
      <c r="H169" s="256" t="inlineStr">
        <is>
          <t>— no P lot assigned —</t>
        </is>
      </c>
      <c r="I169" s="256" t="inlineStr">
        <is>
          <t>Fat Bastard</t>
        </is>
      </c>
      <c r="J169" s="256" t="inlineStr">
        <is>
          <t>—</t>
        </is>
      </c>
      <c r="K169" s="256" t="inlineStr">
        <is>
          <t>—</t>
        </is>
      </c>
      <c r="L169" s="256" t="inlineStr">
        <is>
          <t>—</t>
        </is>
      </c>
      <c r="M169" s="256" t="inlineStr">
        <is>
          <t>—</t>
        </is>
      </c>
      <c r="N169" s="256" t="inlineStr">
        <is>
          <t>iCoA-PP_26-091</t>
        </is>
      </c>
      <c r="O169" s="256" t="inlineStr">
        <is>
          <t>03.06.2026</t>
        </is>
      </c>
      <c r="P169" s="256" t="inlineStr">
        <is>
          <t>—</t>
        </is>
      </c>
      <c r="Q169" s="256" t="inlineStr">
        <is>
          <t>—</t>
        </is>
      </c>
      <c r="R169" s="256" t="inlineStr">
        <is>
          <t>—</t>
        </is>
      </c>
      <c r="S169" s="256" t="inlineStr">
        <is>
          <t>—</t>
        </is>
      </c>
      <c r="T169" s="256" t="inlineStr">
        <is>
          <t>—</t>
        </is>
      </c>
      <c r="U169" s="256" t="inlineStr">
        <is>
          <t>Per grade of the potency specification of 15.09.2026 — no Total THC result on file</t>
        </is>
      </c>
      <c r="V169" s="256" t="inlineStr">
        <is>
          <t>—</t>
        </is>
      </c>
      <c r="W169" s="256" t="inlineStr">
        <is>
          <t>—</t>
        </is>
      </c>
      <c r="X169" s="256" t="inlineStr">
        <is>
          <t>—</t>
        </is>
      </c>
      <c r="Y169" s="256" t="inlineStr">
        <is>
          <t>—</t>
        </is>
      </c>
      <c r="Z169" s="256" t="inlineStr">
        <is>
          <t>—</t>
        </is>
      </c>
      <c r="AA169" s="256" t="inlineStr">
        <is>
          <t>—</t>
        </is>
      </c>
      <c r="AB169" s="256" t="inlineStr">
        <is>
          <t>—</t>
        </is>
      </c>
      <c r="AC169" s="256" t="inlineStr">
        <is>
          <t>—</t>
        </is>
      </c>
      <c r="AD169" s="256" t="inlineStr">
        <is>
          <t>—</t>
        </is>
      </c>
      <c r="AE169" s="259" t="inlineStr">
        <is>
          <t>to be performed (in house)</t>
        </is>
      </c>
      <c r="AF169" s="256" t="inlineStr">
        <is>
          <t>iCoA-PP_26-091</t>
        </is>
      </c>
      <c r="AG169" s="256" t="inlineStr">
        <is>
          <t>03.06.2026</t>
        </is>
      </c>
      <c r="AH169" s="256" t="inlineStr">
        <is>
          <t>Purely Plant GmbH (in-house)</t>
        </is>
      </c>
      <c r="AI169" s="259" t="inlineStr">
        <is>
          <t>to be performed (in house)</t>
        </is>
      </c>
      <c r="AJ169" s="256" t="inlineStr">
        <is>
          <t>iCoA-PP_26-091</t>
        </is>
      </c>
      <c r="AK169" s="256" t="inlineStr">
        <is>
          <t>03.06.2026</t>
        </is>
      </c>
      <c r="AL169" s="256" t="inlineStr">
        <is>
          <t>Purely Plant GmbH (in-house)</t>
        </is>
      </c>
      <c r="AM169" s="259" t="inlineStr">
        <is>
          <t>to be performed (in house)</t>
        </is>
      </c>
      <c r="AN169" s="256" t="inlineStr">
        <is>
          <t>—</t>
        </is>
      </c>
      <c r="AO169" s="256" t="inlineStr">
        <is>
          <t>—</t>
        </is>
      </c>
      <c r="AP169" s="256" t="inlineStr">
        <is>
          <t>—</t>
        </is>
      </c>
      <c r="AQ169" s="259" t="inlineStr">
        <is>
          <t>not tested</t>
        </is>
      </c>
      <c r="AR169" s="256" t="inlineStr">
        <is>
          <t>—</t>
        </is>
      </c>
      <c r="AS169" s="256" t="inlineStr">
        <is>
          <t>—</t>
        </is>
      </c>
      <c r="AT169" s="256" t="inlineStr">
        <is>
          <t>—</t>
        </is>
      </c>
      <c r="AU169" s="259" t="inlineStr">
        <is>
          <t>not tested</t>
        </is>
      </c>
      <c r="AV169" s="256" t="inlineStr">
        <is>
          <t>—</t>
        </is>
      </c>
      <c r="AW169" s="256" t="inlineStr">
        <is>
          <t>—</t>
        </is>
      </c>
      <c r="AX169" s="256" t="inlineStr">
        <is>
          <t>—</t>
        </is>
      </c>
      <c r="AY169" s="259" t="inlineStr">
        <is>
          <t>not tested</t>
        </is>
      </c>
      <c r="AZ169" s="256" t="inlineStr">
        <is>
          <t>—</t>
        </is>
      </c>
      <c r="BA169" s="256" t="inlineStr">
        <is>
          <t>—</t>
        </is>
      </c>
      <c r="BB169" s="256" t="inlineStr">
        <is>
          <t>—</t>
        </is>
      </c>
      <c r="BC169" s="259" t="inlineStr">
        <is>
          <t>to be performed (in house)</t>
        </is>
      </c>
      <c r="BD169" s="256" t="inlineStr">
        <is>
          <t>iCoA-PP_26-091</t>
        </is>
      </c>
      <c r="BE169" s="256" t="inlineStr">
        <is>
          <t>03.06.2026</t>
        </is>
      </c>
      <c r="BF169" s="256" t="inlineStr">
        <is>
          <t>Purely Plant GmbH (in-house)</t>
        </is>
      </c>
      <c r="BG169" s="259" t="inlineStr">
        <is>
          <t>not tested</t>
        </is>
      </c>
      <c r="BH169" s="256" t="inlineStr">
        <is>
          <t>—</t>
        </is>
      </c>
      <c r="BI169" s="256" t="inlineStr">
        <is>
          <t>—</t>
        </is>
      </c>
      <c r="BJ169" s="256" t="inlineStr">
        <is>
          <t>—</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9" t="inlineStr">
        <is>
          <t>not tested</t>
        </is>
      </c>
      <c r="CR169" s="256" t="inlineStr">
        <is>
          <t>—</t>
        </is>
      </c>
      <c r="CS169" s="256" t="inlineStr">
        <is>
          <t>—</t>
        </is>
      </c>
      <c r="CT169" s="256" t="inlineStr">
        <is>
          <t>—</t>
        </is>
      </c>
      <c r="CU169" s="259" t="inlineStr">
        <is>
          <t>not tested</t>
        </is>
      </c>
      <c r="CV169" s="256" t="inlineStr">
        <is>
          <t>—</t>
        </is>
      </c>
      <c r="CW169" s="256" t="inlineStr">
        <is>
          <t>—</t>
        </is>
      </c>
      <c r="CX169" s="256" t="inlineStr">
        <is>
          <t>—</t>
        </is>
      </c>
      <c r="CY169" s="259" t="inlineStr">
        <is>
          <t>not tested</t>
        </is>
      </c>
      <c r="CZ169" s="256" t="inlineStr">
        <is>
          <t>—</t>
        </is>
      </c>
      <c r="DA169" s="256" t="inlineStr">
        <is>
          <t>—</t>
        </is>
      </c>
      <c r="DB169" s="256" t="inlineStr">
        <is>
          <t>—</t>
        </is>
      </c>
      <c r="DC169" s="259" t="inlineStr">
        <is>
          <t>not tested</t>
        </is>
      </c>
      <c r="DD169" s="256" t="inlineStr">
        <is>
          <t>—</t>
        </is>
      </c>
      <c r="DE169" s="256" t="inlineStr">
        <is>
          <t>—</t>
        </is>
      </c>
      <c r="DF169" s="256" t="inlineStr">
        <is>
          <t>—</t>
        </is>
      </c>
      <c r="DG169" s="259" t="inlineStr">
        <is>
          <t>not tested</t>
        </is>
      </c>
      <c r="DH169" s="256" t="inlineStr">
        <is>
          <t>—</t>
        </is>
      </c>
      <c r="DI169" s="256" t="inlineStr">
        <is>
          <t>—</t>
        </is>
      </c>
      <c r="DJ169" s="256" t="inlineStr">
        <is>
          <t>—</t>
        </is>
      </c>
      <c r="DK169" s="259" t="inlineStr">
        <is>
          <t>not tested</t>
        </is>
      </c>
      <c r="DL169" s="256" t="inlineStr">
        <is>
          <t>—</t>
        </is>
      </c>
      <c r="DM169" s="256" t="inlineStr">
        <is>
          <t>—</t>
        </is>
      </c>
      <c r="DN169" s="256" t="inlineStr">
        <is>
          <t>—</t>
        </is>
      </c>
      <c r="DO169" s="259" t="inlineStr">
        <is>
          <t>not tested</t>
        </is>
      </c>
      <c r="DP169" s="256" t="inlineStr">
        <is>
          <t>—</t>
        </is>
      </c>
      <c r="DQ169" s="256" t="inlineStr">
        <is>
          <t>—</t>
        </is>
      </c>
      <c r="DR169" s="256" t="inlineStr">
        <is>
          <t>—</t>
        </is>
      </c>
    </row>
    <row r="170">
      <c r="A170" s="256" t="inlineStr">
        <is>
          <t>— at issue —</t>
        </is>
      </c>
      <c r="B170" s="256" t="inlineStr">
        <is>
          <t>reissue — retest</t>
        </is>
      </c>
      <c r="C170" s="256" t="inlineStr">
        <is>
          <t>not yet issuable</t>
        </is>
      </c>
      <c r="D170" s="256" t="inlineStr">
        <is>
          <t>18.09.2026</t>
        </is>
      </c>
      <c r="E170" s="256" t="inlineStr">
        <is>
          <t>— initial certificate not yet numbered — of</t>
        </is>
      </c>
      <c r="F170" s="256" t="inlineStr">
        <is>
          <t>(assigned on issue)</t>
        </is>
      </c>
      <c r="G170" s="256" t="inlineStr">
        <is>
          <t>FB042601</t>
        </is>
      </c>
      <c r="H170" s="256" t="inlineStr">
        <is>
          <t>— no P lot assigned —</t>
        </is>
      </c>
      <c r="I170" s="256" t="inlineStr">
        <is>
          <t>Fat Bastard</t>
        </is>
      </c>
      <c r="J170" s="256" t="inlineStr">
        <is>
          <t>—</t>
        </is>
      </c>
      <c r="K170" s="256" t="inlineStr">
        <is>
          <t>—</t>
        </is>
      </c>
      <c r="L170" s="256" t="inlineStr">
        <is>
          <t>—</t>
        </is>
      </c>
      <c r="M170" s="256" t="inlineStr">
        <is>
          <t>—</t>
        </is>
      </c>
      <c r="N170" s="256" t="inlineStr">
        <is>
          <t>iCoA-PP_26-147</t>
        </is>
      </c>
      <c r="O170" s="256" t="inlineStr">
        <is>
          <t>17.08.2026</t>
        </is>
      </c>
      <c r="P170" s="256" t="inlineStr">
        <is>
          <t>14.08.2026</t>
        </is>
      </c>
      <c r="Q170" s="256" t="inlineStr">
        <is>
          <t>Tranche 2</t>
        </is>
      </c>
      <c r="R170" s="256" t="inlineStr">
        <is>
          <t>14.99</t>
        </is>
      </c>
      <c r="S170" s="256" t="inlineStr">
        <is>
          <t>220-31-К/26</t>
        </is>
      </c>
      <c r="T170" s="256" t="inlineStr">
        <is>
          <t>III</t>
        </is>
      </c>
      <c r="U170" s="256" t="inlineStr">
        <is>
          <t>13.80 – 16.19 %</t>
        </is>
      </c>
      <c r="V170" s="256" t="inlineStr">
        <is>
          <t>FB_THC15 : CBD1</t>
        </is>
      </c>
      <c r="W170" s="256" t="inlineStr">
        <is>
          <t>QCSP_001_FB-III_v.01</t>
        </is>
      </c>
      <c r="X170" s="256" t="inlineStr">
        <is>
          <t>for review — replaces the issued QCSP_001_FB-III_v.01 (was FB_THC16 : CBD1, 14.86 – 17.14 %); now FB_THC15 : CBD1 13.80 – 16.19 %</t>
        </is>
      </c>
      <c r="Y170" s="256" t="inlineStr">
        <is>
          <t>HYBRID</t>
        </is>
      </c>
      <c r="Z170" s="256" t="inlineStr">
        <is>
          <t>THC</t>
        </is>
      </c>
      <c r="AA170" s="256" t="inlineStr">
        <is>
          <t>MACHINE TRIMMED</t>
        </is>
      </c>
      <c r="AB170" s="256" t="inlineStr">
        <is>
          <t>BALANCED</t>
        </is>
      </c>
      <c r="AC170" s="256" t="inlineStr">
        <is>
          <t>Triplex Alu Bag | Триплекс Aлу Kеса, PET 12 · ALU 7 · PE 80, 300 × 500 mm, net. 400.0 g ±3%</t>
        </is>
      </c>
      <c r="AD170" s="256" t="inlineStr">
        <is>
          <t>11.09.2026</t>
        </is>
      </c>
      <c r="AE170" s="256" t="inlineStr">
        <is>
          <t>Conforms | Одговара</t>
        </is>
      </c>
      <c r="AF170" s="256" t="inlineStr">
        <is>
          <t>iCoA-PP_26-147</t>
        </is>
      </c>
      <c r="AG170" s="256" t="inlineStr">
        <is>
          <t>17.08.2026</t>
        </is>
      </c>
      <c r="AH170" s="256" t="inlineStr">
        <is>
          <t>Purely Plant GmbH (in-house)</t>
        </is>
      </c>
      <c r="AI170" s="256" t="inlineStr">
        <is>
          <t>Conforms | Одговара</t>
        </is>
      </c>
      <c r="AJ170" s="256" t="inlineStr">
        <is>
          <t>iCoA-PP_26-147</t>
        </is>
      </c>
      <c r="AK170" s="256" t="inlineStr">
        <is>
          <t>17.08.2026</t>
        </is>
      </c>
      <c r="AL170" s="256" t="inlineStr">
        <is>
          <t>Purely Plant GmbH (in-house)</t>
        </is>
      </c>
      <c r="AM170" s="256" t="inlineStr">
        <is>
          <t>Conforms | Одговара</t>
        </is>
      </c>
      <c r="AN170" s="256" t="inlineStr">
        <is>
          <t>220-31-К/26</t>
        </is>
      </c>
      <c r="AO170" s="256" t="inlineStr">
        <is>
          <t>26.08.2026</t>
        </is>
      </c>
      <c r="AP170" s="256" t="inlineStr">
        <is>
          <t>Farmahem</t>
        </is>
      </c>
      <c r="AQ170" s="256" t="inlineStr">
        <is>
          <t>14.99</t>
        </is>
      </c>
      <c r="AR170" s="256" t="inlineStr">
        <is>
          <t>220-31-К/26</t>
        </is>
      </c>
      <c r="AS170" s="256" t="inlineStr">
        <is>
          <t>26.08.2026</t>
        </is>
      </c>
      <c r="AT170" s="256" t="inlineStr">
        <is>
          <t>Farmahem</t>
        </is>
      </c>
      <c r="AU170" s="256" t="inlineStr">
        <is>
          <t>&lt; LOQ</t>
        </is>
      </c>
      <c r="AV170" s="256" t="inlineStr">
        <is>
          <t>220-31-К/26</t>
        </is>
      </c>
      <c r="AW170" s="256" t="inlineStr">
        <is>
          <t>26.08.2026</t>
        </is>
      </c>
      <c r="AX170" s="256" t="inlineStr">
        <is>
          <t>Farmahem</t>
        </is>
      </c>
      <c r="AY170" s="256" t="inlineStr">
        <is>
          <t>&lt; LOQ</t>
        </is>
      </c>
      <c r="AZ170" s="256" t="inlineStr">
        <is>
          <t>220-31-К/26</t>
        </is>
      </c>
      <c r="BA170" s="256" t="inlineStr">
        <is>
          <t>26.08.2026</t>
        </is>
      </c>
      <c r="BB170" s="256" t="inlineStr">
        <is>
          <t>Farmahem</t>
        </is>
      </c>
      <c r="BC170" s="256" t="inlineStr">
        <is>
          <t>Conforms | Одговара</t>
        </is>
      </c>
      <c r="BD170" s="256" t="inlineStr">
        <is>
          <t>iCoA-PP_26-147</t>
        </is>
      </c>
      <c r="BE170" s="256" t="inlineStr">
        <is>
          <t>17.08.2026</t>
        </is>
      </c>
      <c r="BF170" s="256" t="inlineStr">
        <is>
          <t>Purely Plant GmbH (in-house)</t>
        </is>
      </c>
      <c r="BG170" s="256" t="inlineStr">
        <is>
          <t>carried from the initial testing — not tested</t>
        </is>
      </c>
      <c r="BH170" s="256" t="inlineStr">
        <is>
          <t>—</t>
        </is>
      </c>
      <c r="BI170" s="256" t="inlineStr">
        <is>
          <t>—</t>
        </is>
      </c>
      <c r="BJ170" s="256" t="inlineStr">
        <is>
          <t>—</t>
        </is>
      </c>
      <c r="BK170" s="256" t="inlineStr">
        <is>
          <t>carried from the initial testing — not tested</t>
        </is>
      </c>
      <c r="BL170" s="256" t="inlineStr">
        <is>
          <t>—</t>
        </is>
      </c>
      <c r="BM170" s="256" t="inlineStr">
        <is>
          <t>—</t>
        </is>
      </c>
      <c r="BN170" s="256" t="inlineStr">
        <is>
          <t>—</t>
        </is>
      </c>
      <c r="BO170" s="256" t="inlineStr">
        <is>
          <t>carried from the initial testing — not tested</t>
        </is>
      </c>
      <c r="BP170" s="256" t="inlineStr">
        <is>
          <t>—</t>
        </is>
      </c>
      <c r="BQ170" s="256" t="inlineStr">
        <is>
          <t>—</t>
        </is>
      </c>
      <c r="BR170" s="256" t="inlineStr">
        <is>
          <t>—</t>
        </is>
      </c>
      <c r="BS170" s="256" t="inlineStr">
        <is>
          <t>carried from the initial testing — not tested</t>
        </is>
      </c>
      <c r="BT170" s="256" t="inlineStr">
        <is>
          <t>—</t>
        </is>
      </c>
      <c r="BU170" s="256" t="inlineStr">
        <is>
          <t>—</t>
        </is>
      </c>
      <c r="BV170" s="256" t="inlineStr">
        <is>
          <t>—</t>
        </is>
      </c>
      <c r="BW170" s="256" t="inlineStr">
        <is>
          <t>carried from the initial testing — not tested</t>
        </is>
      </c>
      <c r="BX170" s="256" t="inlineStr">
        <is>
          <t>—</t>
        </is>
      </c>
      <c r="BY170" s="256" t="inlineStr">
        <is>
          <t>—</t>
        </is>
      </c>
      <c r="BZ170" s="256" t="inlineStr">
        <is>
          <t>—</t>
        </is>
      </c>
      <c r="CA170" s="256" t="inlineStr">
        <is>
          <t>carried from the initial testing — 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6" t="inlineStr">
        <is>
          <t>ND</t>
        </is>
      </c>
      <c r="CN170" s="256" t="inlineStr">
        <is>
          <t>220-31-М/26</t>
        </is>
      </c>
      <c r="CO170" s="256" t="inlineStr">
        <is>
          <t>11.09.2026</t>
        </is>
      </c>
      <c r="CP170" s="256" t="inlineStr">
        <is>
          <t>Farmahem</t>
        </is>
      </c>
      <c r="CQ170" s="256" t="inlineStr">
        <is>
          <t>ND</t>
        </is>
      </c>
      <c r="CR170" s="256" t="inlineStr">
        <is>
          <t>220-31-М/26</t>
        </is>
      </c>
      <c r="CS170" s="256" t="inlineStr">
        <is>
          <t>11.09.2026</t>
        </is>
      </c>
      <c r="CT170" s="256" t="inlineStr">
        <is>
          <t>Farmahem</t>
        </is>
      </c>
      <c r="CU170" s="256" t="inlineStr">
        <is>
          <t>ND</t>
        </is>
      </c>
      <c r="CV170" s="256" t="inlineStr">
        <is>
          <t>220-31-М/26</t>
        </is>
      </c>
      <c r="CW170" s="256" t="inlineStr">
        <is>
          <t>11.09.2026</t>
        </is>
      </c>
      <c r="CX170" s="256" t="inlineStr">
        <is>
          <t>Farmahem</t>
        </is>
      </c>
      <c r="CY170" s="256" t="inlineStr">
        <is>
          <t>carried from the initial testing — not tested</t>
        </is>
      </c>
      <c r="CZ170" s="256" t="inlineStr">
        <is>
          <t>—</t>
        </is>
      </c>
      <c r="DA170" s="256" t="inlineStr">
        <is>
          <t>—</t>
        </is>
      </c>
      <c r="DB170" s="256" t="inlineStr">
        <is>
          <t>—</t>
        </is>
      </c>
      <c r="DC170" s="256" t="inlineStr">
        <is>
          <t>carried from the initial testing — not tested</t>
        </is>
      </c>
      <c r="DD170" s="256" t="inlineStr">
        <is>
          <t>—</t>
        </is>
      </c>
      <c r="DE170" s="256" t="inlineStr">
        <is>
          <t>—</t>
        </is>
      </c>
      <c r="DF170" s="256" t="inlineStr">
        <is>
          <t>—</t>
        </is>
      </c>
      <c r="DG170" s="256" t="inlineStr">
        <is>
          <t>carried from the initial testing — not tested</t>
        </is>
      </c>
      <c r="DH170" s="256" t="inlineStr">
        <is>
          <t>—</t>
        </is>
      </c>
      <c r="DI170" s="256" t="inlineStr">
        <is>
          <t>—</t>
        </is>
      </c>
      <c r="DJ170" s="256" t="inlineStr">
        <is>
          <t>—</t>
        </is>
      </c>
      <c r="DK170" s="256" t="inlineStr">
        <is>
          <t>carried from the initial testing — not tested</t>
        </is>
      </c>
      <c r="DL170" s="256" t="inlineStr">
        <is>
          <t>—</t>
        </is>
      </c>
      <c r="DM170" s="256" t="inlineStr">
        <is>
          <t>—</t>
        </is>
      </c>
      <c r="DN170" s="256" t="inlineStr">
        <is>
          <t>—</t>
        </is>
      </c>
      <c r="DO170" s="256" t="inlineStr">
        <is>
          <t>carried from the initial testing — not tested</t>
        </is>
      </c>
      <c r="DP170" s="256" t="inlineStr">
        <is>
          <t>—</t>
        </is>
      </c>
      <c r="DQ170" s="256" t="inlineStr">
        <is>
          <t>—</t>
        </is>
      </c>
      <c r="DR170" s="256" t="inlineStr">
        <is>
          <t>—</t>
        </is>
      </c>
    </row>
    <row r="171">
      <c r="A171" s="256" t="inlineStr">
        <is>
          <t>— at issue —</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P160012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iCoA-PP_26-096</t>
        </is>
      </c>
      <c r="O171" s="256" t="inlineStr">
        <is>
          <t>06.07.2026</t>
        </is>
      </c>
      <c r="P171" s="256" t="inlineStr">
        <is>
          <t>—</t>
        </is>
      </c>
      <c r="Q171" s="256" t="inlineStr">
        <is>
          <t>—</t>
        </is>
      </c>
      <c r="R171" s="256" t="inlineStr">
        <is>
          <t>26.32</t>
        </is>
      </c>
      <c r="S171" s="256" t="inlineStr">
        <is>
          <t>ППК26117</t>
        </is>
      </c>
      <c r="T171" s="256" t="inlineStr">
        <is>
          <t>I</t>
        </is>
      </c>
      <c r="U171" s="256" t="inlineStr">
        <is>
          <t>26.00 – 29.99 %</t>
        </is>
      </c>
      <c r="V171" s="256" t="inlineStr">
        <is>
          <t>GP_THC28 : CBD1</t>
        </is>
      </c>
      <c r="W171" s="256" t="inlineStr">
        <is>
          <t>QCSP_001_GP-I_v.01</t>
        </is>
      </c>
      <c r="X171" s="256" t="inlineStr">
        <is>
          <t>for review — replaces the issued QCSP_001_GP-I_v.01 (was GP_THC28 : CBD1, 26.61 – 29.39 %); now GP_THC28 : CBD1 26.00 – 29.99 %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ППК26117</t>
        </is>
      </c>
      <c r="AG171" s="256" t="inlineStr">
        <is>
          <t>06.07.2026</t>
        </is>
      </c>
      <c r="AH171" s="256" t="inlineStr">
        <is>
          <t>UKIM Faculty of Pharmacy — Center for Natural Products</t>
        </is>
      </c>
      <c r="AI171" s="256" t="inlineStr">
        <is>
          <t>Conforms | Одговара</t>
        </is>
      </c>
      <c r="AJ171" s="256" t="inlineStr">
        <is>
          <t>ППК26117</t>
        </is>
      </c>
      <c r="AK171" s="256" t="inlineStr">
        <is>
          <t>06.07.2026</t>
        </is>
      </c>
      <c r="AL171" s="256" t="inlineStr">
        <is>
          <t>UKIM Faculty of Pharmacy — Center for Natural Products</t>
        </is>
      </c>
      <c r="AM171" s="256" t="inlineStr">
        <is>
          <t>Conforms | Одговара</t>
        </is>
      </c>
      <c r="AN171" s="256" t="inlineStr">
        <is>
          <t>ППК26117</t>
        </is>
      </c>
      <c r="AO171" s="256" t="inlineStr">
        <is>
          <t>06.07.2026</t>
        </is>
      </c>
      <c r="AP171" s="256" t="inlineStr">
        <is>
          <t>UKIM Faculty of Pharmacy — Center for Natural Products</t>
        </is>
      </c>
      <c r="AQ171" s="256" t="inlineStr">
        <is>
          <t>26.32</t>
        </is>
      </c>
      <c r="AR171" s="256" t="inlineStr">
        <is>
          <t>ППК26117</t>
        </is>
      </c>
      <c r="AS171" s="256" t="inlineStr">
        <is>
          <t>06.07.2026</t>
        </is>
      </c>
      <c r="AT171" s="256" t="inlineStr">
        <is>
          <t>UKIM Faculty of Pharmacy — Center for Natural Products</t>
        </is>
      </c>
      <c r="AU171" s="256" t="inlineStr">
        <is>
          <t>0.15</t>
        </is>
      </c>
      <c r="AV171" s="256" t="inlineStr">
        <is>
          <t>ППК26117</t>
        </is>
      </c>
      <c r="AW171" s="256" t="inlineStr">
        <is>
          <t>06.07.2026</t>
        </is>
      </c>
      <c r="AX171" s="256" t="inlineStr">
        <is>
          <t>UKIM Faculty of Pharmacy — Center for Natural Products</t>
        </is>
      </c>
      <c r="AY171" s="256" t="inlineStr">
        <is>
          <t>0.09</t>
        </is>
      </c>
      <c r="AZ171" s="256" t="inlineStr">
        <is>
          <t>ППК26117</t>
        </is>
      </c>
      <c r="BA171" s="256" t="inlineStr">
        <is>
          <t>06.07.2026</t>
        </is>
      </c>
      <c r="BB171" s="256" t="inlineStr">
        <is>
          <t>UKIM Faculty of Pharmacy — Center for Natural Products</t>
        </is>
      </c>
      <c r="BC171" s="256" t="inlineStr">
        <is>
          <t>Conforms | Одговара</t>
        </is>
      </c>
      <c r="BD171" s="256" t="inlineStr">
        <is>
          <t>ППК26117</t>
        </is>
      </c>
      <c r="BE171" s="256" t="inlineStr">
        <is>
          <t>06.07.2026</t>
        </is>
      </c>
      <c r="BF171" s="256" t="inlineStr">
        <is>
          <t>UKIM Faculty of Pharmacy — Center for Natural Products</t>
        </is>
      </c>
      <c r="BG171" s="256" t="inlineStr">
        <is>
          <t>6.31</t>
        </is>
      </c>
      <c r="BH171" s="256" t="inlineStr">
        <is>
          <t>ППК26117</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9" t="inlineStr">
        <is>
          <t>not tested</t>
        </is>
      </c>
      <c r="CR171" s="256" t="inlineStr">
        <is>
          <t>—</t>
        </is>
      </c>
      <c r="CS171" s="256" t="inlineStr">
        <is>
          <t>—</t>
        </is>
      </c>
      <c r="CT171" s="256" t="inlineStr">
        <is>
          <t>—</t>
        </is>
      </c>
      <c r="CU171" s="259" t="inlineStr">
        <is>
          <t>not tested</t>
        </is>
      </c>
      <c r="CV171" s="256" t="inlineStr">
        <is>
          <t>—</t>
        </is>
      </c>
      <c r="CW171" s="256" t="inlineStr">
        <is>
          <t>—</t>
        </is>
      </c>
      <c r="CX171" s="256" t="inlineStr">
        <is>
          <t>—</t>
        </is>
      </c>
      <c r="CY171" s="259" t="inlineStr">
        <is>
          <t>not tested</t>
        </is>
      </c>
      <c r="CZ171" s="256" t="inlineStr">
        <is>
          <t>—</t>
        </is>
      </c>
      <c r="DA171" s="256" t="inlineStr">
        <is>
          <t>—</t>
        </is>
      </c>
      <c r="DB171" s="256" t="inlineStr">
        <is>
          <t>—</t>
        </is>
      </c>
      <c r="DC171" s="259" t="inlineStr">
        <is>
          <t>not tested</t>
        </is>
      </c>
      <c r="DD171" s="256" t="inlineStr">
        <is>
          <t>—</t>
        </is>
      </c>
      <c r="DE171" s="256" t="inlineStr">
        <is>
          <t>—</t>
        </is>
      </c>
      <c r="DF171" s="256" t="inlineStr">
        <is>
          <t>—</t>
        </is>
      </c>
      <c r="DG171" s="259" t="inlineStr">
        <is>
          <t>not tested</t>
        </is>
      </c>
      <c r="DH171" s="256" t="inlineStr">
        <is>
          <t>—</t>
        </is>
      </c>
      <c r="DI171" s="256" t="inlineStr">
        <is>
          <t>—</t>
        </is>
      </c>
      <c r="DJ171" s="256" t="inlineStr">
        <is>
          <t>—</t>
        </is>
      </c>
      <c r="DK171" s="259" t="inlineStr">
        <is>
          <t>not tested</t>
        </is>
      </c>
      <c r="DL171" s="256" t="inlineStr">
        <is>
          <t>—</t>
        </is>
      </c>
      <c r="DM171" s="256" t="inlineStr">
        <is>
          <t>—</t>
        </is>
      </c>
      <c r="DN171" s="256" t="inlineStr">
        <is>
          <t>—</t>
        </is>
      </c>
      <c r="DO171" s="259" t="inlineStr">
        <is>
          <t>not tested</t>
        </is>
      </c>
      <c r="DP171" s="256" t="inlineStr">
        <is>
          <t>—</t>
        </is>
      </c>
      <c r="DQ171" s="256" t="inlineStr">
        <is>
          <t>—</t>
        </is>
      </c>
      <c r="DR171" s="256" t="inlineStr">
        <is>
          <t>—</t>
        </is>
      </c>
    </row>
    <row r="172">
      <c r="A172" s="256" t="inlineStr">
        <is>
          <t>— at issue —</t>
        </is>
      </c>
      <c r="B172" s="256" t="inlineStr">
        <is>
          <t>release</t>
        </is>
      </c>
      <c r="C172" s="256" t="inlineStr">
        <is>
          <t>not yet issuable</t>
        </is>
      </c>
      <c r="D172" s="256" t="inlineStr">
        <is>
          <t>13.07.2026</t>
        </is>
      </c>
      <c r="E172" s="256" t="inlineStr">
        <is>
          <t>n/a — release certificate</t>
        </is>
      </c>
      <c r="F172" s="256" t="inlineStr">
        <is>
          <t>(assigned on issue)</t>
        </is>
      </c>
      <c r="G172" s="256" t="inlineStr">
        <is>
          <t>P160022</t>
        </is>
      </c>
      <c r="H172" s="256" t="inlineStr">
        <is>
          <t>— no P lot assigned —</t>
        </is>
      </c>
      <c r="I172" s="256" t="inlineStr">
        <is>
          <t>Grape Pie</t>
        </is>
      </c>
      <c r="J172" s="256" t="inlineStr">
        <is>
          <t>—</t>
        </is>
      </c>
      <c r="K172" s="256" t="inlineStr">
        <is>
          <t>—</t>
        </is>
      </c>
      <c r="L172" s="256" t="inlineStr">
        <is>
          <t>—</t>
        </is>
      </c>
      <c r="M172" s="256" t="inlineStr">
        <is>
          <t>—</t>
        </is>
      </c>
      <c r="N172" s="256" t="inlineStr">
        <is>
          <t>iCoA-PP_26-097</t>
        </is>
      </c>
      <c r="O172" s="256" t="inlineStr">
        <is>
          <t>06.07.2026</t>
        </is>
      </c>
      <c r="P172" s="256" t="inlineStr">
        <is>
          <t>—</t>
        </is>
      </c>
      <c r="Q172" s="256" t="inlineStr">
        <is>
          <t>—</t>
        </is>
      </c>
      <c r="R172" s="256" t="inlineStr">
        <is>
          <t>25.72</t>
        </is>
      </c>
      <c r="S172" s="256" t="inlineStr">
        <is>
          <t>ППК26118</t>
        </is>
      </c>
      <c r="T172" s="256" t="inlineStr">
        <is>
          <t>II</t>
        </is>
      </c>
      <c r="U172" s="256" t="inlineStr">
        <is>
          <t>22.00 – 25.99 %</t>
        </is>
      </c>
      <c r="V172" s="256" t="inlineStr">
        <is>
          <t>GP_THC24 : CBD1</t>
        </is>
      </c>
      <c r="W172" s="256" t="inlineStr">
        <is>
          <t>QCSP_001_GP-II_v.01</t>
        </is>
      </c>
      <c r="X172" s="256" t="inlineStr">
        <is>
          <t>for review — replaces the issued QCSP_001_GP-II_v.01 (was GP_THC26 : CBD1, 25.40 – 26.60 %); now GP_THC24 : CBD1 22.00 – 25.99 %</t>
        </is>
      </c>
      <c r="Y172" s="256" t="inlineStr">
        <is>
          <t>HYBRID</t>
        </is>
      </c>
      <c r="Z172" s="256" t="inlineStr">
        <is>
          <t>THC</t>
        </is>
      </c>
      <c r="AA172" s="256" t="inlineStr">
        <is>
          <t>MACHINE TRIMMED</t>
        </is>
      </c>
      <c r="AB172" s="256" t="inlineStr">
        <is>
          <t>INDICA-DOMINANT</t>
        </is>
      </c>
      <c r="AC172" s="256" t="inlineStr">
        <is>
          <t>Triplex Alu Bag | Триплекс Aлу Kеса, PET 12 · ALU 7 · PE 80, 300 × 500 mm, net. 400.0 g ±3%</t>
        </is>
      </c>
      <c r="AD172" s="256" t="inlineStr">
        <is>
          <t>06.07.2026</t>
        </is>
      </c>
      <c r="AE172" s="256" t="inlineStr">
        <is>
          <t>Conforms | Одговара</t>
        </is>
      </c>
      <c r="AF172" s="256" t="inlineStr">
        <is>
          <t>ППК26118</t>
        </is>
      </c>
      <c r="AG172" s="256" t="inlineStr">
        <is>
          <t>06.07.2026</t>
        </is>
      </c>
      <c r="AH172" s="256" t="inlineStr">
        <is>
          <t>UKIM Faculty of Pharmacy — Center for Natural Products</t>
        </is>
      </c>
      <c r="AI172" s="256" t="inlineStr">
        <is>
          <t>Conforms | Одговара</t>
        </is>
      </c>
      <c r="AJ172" s="256" t="inlineStr">
        <is>
          <t>ППК26118</t>
        </is>
      </c>
      <c r="AK172" s="256" t="inlineStr">
        <is>
          <t>06.07.2026</t>
        </is>
      </c>
      <c r="AL172" s="256" t="inlineStr">
        <is>
          <t>UKIM Faculty of Pharmacy — Center for Natural Products</t>
        </is>
      </c>
      <c r="AM172" s="256" t="inlineStr">
        <is>
          <t>Conforms | Одговара</t>
        </is>
      </c>
      <c r="AN172" s="256" t="inlineStr">
        <is>
          <t>ППК26118</t>
        </is>
      </c>
      <c r="AO172" s="256" t="inlineStr">
        <is>
          <t>06.07.2026</t>
        </is>
      </c>
      <c r="AP172" s="256" t="inlineStr">
        <is>
          <t>UKIM Faculty of Pharmacy — Center for Natural Products</t>
        </is>
      </c>
      <c r="AQ172" s="256" t="inlineStr">
        <is>
          <t>25.72</t>
        </is>
      </c>
      <c r="AR172" s="256" t="inlineStr">
        <is>
          <t>ППК26118</t>
        </is>
      </c>
      <c r="AS172" s="256" t="inlineStr">
        <is>
          <t>06.07.2026</t>
        </is>
      </c>
      <c r="AT172" s="256" t="inlineStr">
        <is>
          <t>UKIM Faculty of Pharmacy — Center for Natural Products</t>
        </is>
      </c>
      <c r="AU172" s="256" t="inlineStr">
        <is>
          <t>0.15</t>
        </is>
      </c>
      <c r="AV172" s="256" t="inlineStr">
        <is>
          <t>ППК26118</t>
        </is>
      </c>
      <c r="AW172" s="256" t="inlineStr">
        <is>
          <t>06.07.2026</t>
        </is>
      </c>
      <c r="AX172" s="256" t="inlineStr">
        <is>
          <t>UKIM Faculty of Pharmacy — Center for Natural Products</t>
        </is>
      </c>
      <c r="AY172" s="256" t="inlineStr">
        <is>
          <t>0.10</t>
        </is>
      </c>
      <c r="AZ172" s="256" t="inlineStr">
        <is>
          <t>ППК26118</t>
        </is>
      </c>
      <c r="BA172" s="256" t="inlineStr">
        <is>
          <t>06.07.2026</t>
        </is>
      </c>
      <c r="BB172" s="256" t="inlineStr">
        <is>
          <t>UKIM Faculty of Pharmacy — Center for Natural Products</t>
        </is>
      </c>
      <c r="BC172" s="256" t="inlineStr">
        <is>
          <t>Conforms | Одговара</t>
        </is>
      </c>
      <c r="BD172" s="256" t="inlineStr">
        <is>
          <t>ППК26118</t>
        </is>
      </c>
      <c r="BE172" s="256" t="inlineStr">
        <is>
          <t>06.07.2026</t>
        </is>
      </c>
      <c r="BF172" s="256" t="inlineStr">
        <is>
          <t>UKIM Faculty of Pharmacy — Center for Natural Products</t>
        </is>
      </c>
      <c r="BG172" s="256" t="inlineStr">
        <is>
          <t>6.67</t>
        </is>
      </c>
      <c r="BH172" s="256" t="inlineStr">
        <is>
          <t>ППК26118</t>
        </is>
      </c>
      <c r="BI172" s="256" t="inlineStr">
        <is>
          <t>06.07.2026</t>
        </is>
      </c>
      <c r="BJ172" s="256" t="inlineStr">
        <is>
          <t>UKIM Faculty of Pharmacy — Center for Natural Products</t>
        </is>
      </c>
      <c r="BK172" s="259" t="inlineStr">
        <is>
          <t>not tested</t>
        </is>
      </c>
      <c r="BL172" s="256" t="inlineStr">
        <is>
          <t>—</t>
        </is>
      </c>
      <c r="BM172" s="256" t="inlineStr">
        <is>
          <t>—</t>
        </is>
      </c>
      <c r="BN172" s="256" t="inlineStr">
        <is>
          <t>—</t>
        </is>
      </c>
      <c r="BO172" s="259" t="inlineStr">
        <is>
          <t>not tested</t>
        </is>
      </c>
      <c r="BP172" s="256" t="inlineStr">
        <is>
          <t>—</t>
        </is>
      </c>
      <c r="BQ172" s="256" t="inlineStr">
        <is>
          <t>—</t>
        </is>
      </c>
      <c r="BR172" s="256" t="inlineStr">
        <is>
          <t>—</t>
        </is>
      </c>
      <c r="BS172" s="259" t="inlineStr">
        <is>
          <t>not tested</t>
        </is>
      </c>
      <c r="BT172" s="256" t="inlineStr">
        <is>
          <t>—</t>
        </is>
      </c>
      <c r="BU172" s="256" t="inlineStr">
        <is>
          <t>—</t>
        </is>
      </c>
      <c r="BV172" s="256" t="inlineStr">
        <is>
          <t>—</t>
        </is>
      </c>
      <c r="BW172" s="259" t="inlineStr">
        <is>
          <t>not tested</t>
        </is>
      </c>
      <c r="BX172" s="256" t="inlineStr">
        <is>
          <t>—</t>
        </is>
      </c>
      <c r="BY172" s="256" t="inlineStr">
        <is>
          <t>—</t>
        </is>
      </c>
      <c r="BZ172" s="256" t="inlineStr">
        <is>
          <t>—</t>
        </is>
      </c>
      <c r="CA172" s="259" t="inlineStr">
        <is>
          <t>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9" t="inlineStr">
        <is>
          <t>not tested</t>
        </is>
      </c>
      <c r="CN172" s="256" t="inlineStr">
        <is>
          <t>—</t>
        </is>
      </c>
      <c r="CO172" s="256" t="inlineStr">
        <is>
          <t>—</t>
        </is>
      </c>
      <c r="CP172" s="256" t="inlineStr">
        <is>
          <t>—</t>
        </is>
      </c>
      <c r="CQ172" s="259" t="inlineStr">
        <is>
          <t>not tested</t>
        </is>
      </c>
      <c r="CR172" s="256" t="inlineStr">
        <is>
          <t>—</t>
        </is>
      </c>
      <c r="CS172" s="256" t="inlineStr">
        <is>
          <t>—</t>
        </is>
      </c>
      <c r="CT172" s="256" t="inlineStr">
        <is>
          <t>—</t>
        </is>
      </c>
      <c r="CU172" s="259" t="inlineStr">
        <is>
          <t>not tested</t>
        </is>
      </c>
      <c r="CV172" s="256" t="inlineStr">
        <is>
          <t>—</t>
        </is>
      </c>
      <c r="CW172" s="256" t="inlineStr">
        <is>
          <t>—</t>
        </is>
      </c>
      <c r="CX172" s="256" t="inlineStr">
        <is>
          <t>—</t>
        </is>
      </c>
      <c r="CY172" s="259" t="inlineStr">
        <is>
          <t>not tested</t>
        </is>
      </c>
      <c r="CZ172" s="256" t="inlineStr">
        <is>
          <t>—</t>
        </is>
      </c>
      <c r="DA172" s="256" t="inlineStr">
        <is>
          <t>—</t>
        </is>
      </c>
      <c r="DB172" s="256" t="inlineStr">
        <is>
          <t>—</t>
        </is>
      </c>
      <c r="DC172" s="259" t="inlineStr">
        <is>
          <t>not tested</t>
        </is>
      </c>
      <c r="DD172" s="256" t="inlineStr">
        <is>
          <t>—</t>
        </is>
      </c>
      <c r="DE172" s="256" t="inlineStr">
        <is>
          <t>—</t>
        </is>
      </c>
      <c r="DF172" s="256" t="inlineStr">
        <is>
          <t>—</t>
        </is>
      </c>
      <c r="DG172" s="259" t="inlineStr">
        <is>
          <t>not tested</t>
        </is>
      </c>
      <c r="DH172" s="256" t="inlineStr">
        <is>
          <t>—</t>
        </is>
      </c>
      <c r="DI172" s="256" t="inlineStr">
        <is>
          <t>—</t>
        </is>
      </c>
      <c r="DJ172" s="256" t="inlineStr">
        <is>
          <t>—</t>
        </is>
      </c>
      <c r="DK172" s="259" t="inlineStr">
        <is>
          <t>not tested</t>
        </is>
      </c>
      <c r="DL172" s="256" t="inlineStr">
        <is>
          <t>—</t>
        </is>
      </c>
      <c r="DM172" s="256" t="inlineStr">
        <is>
          <t>—</t>
        </is>
      </c>
      <c r="DN172" s="256" t="inlineStr">
        <is>
          <t>—</t>
        </is>
      </c>
      <c r="DO172" s="259" t="inlineStr">
        <is>
          <t>not tested</t>
        </is>
      </c>
      <c r="DP172" s="256" t="inlineStr">
        <is>
          <t>—</t>
        </is>
      </c>
      <c r="DQ172" s="256" t="inlineStr">
        <is>
          <t>—</t>
        </is>
      </c>
      <c r="DR172" s="256" t="inlineStr">
        <is>
          <t>—</t>
        </is>
      </c>
    </row>
    <row r="173">
      <c r="A173" s="256" t="inlineStr">
        <is>
          <t>— at issue —</t>
        </is>
      </c>
      <c r="B173" s="256" t="inlineStr">
        <is>
          <t>release</t>
        </is>
      </c>
      <c r="C173" s="256" t="inlineStr">
        <is>
          <t>not yet issuable</t>
        </is>
      </c>
      <c r="D173" s="256" t="inlineStr">
        <is>
          <t>13.07.2026</t>
        </is>
      </c>
      <c r="E173" s="256" t="inlineStr">
        <is>
          <t>n/a — release certificate</t>
        </is>
      </c>
      <c r="F173" s="256" t="inlineStr">
        <is>
          <t>(assigned on issue)</t>
        </is>
      </c>
      <c r="G173" s="256" t="inlineStr">
        <is>
          <t>P160032</t>
        </is>
      </c>
      <c r="H173" s="256" t="inlineStr">
        <is>
          <t>— no P lot assigned —</t>
        </is>
      </c>
      <c r="I173" s="256" t="inlineStr">
        <is>
          <t>Grape Pie</t>
        </is>
      </c>
      <c r="J173" s="256" t="inlineStr">
        <is>
          <t>—</t>
        </is>
      </c>
      <c r="K173" s="256" t="inlineStr">
        <is>
          <t>—</t>
        </is>
      </c>
      <c r="L173" s="256" t="inlineStr">
        <is>
          <t>—</t>
        </is>
      </c>
      <c r="M173" s="256" t="inlineStr">
        <is>
          <t>—</t>
        </is>
      </c>
      <c r="N173" s="256" t="inlineStr">
        <is>
          <t>iCoA-PP_26-098</t>
        </is>
      </c>
      <c r="O173" s="256" t="inlineStr">
        <is>
          <t>06.07.2026</t>
        </is>
      </c>
      <c r="P173" s="256" t="inlineStr">
        <is>
          <t>—</t>
        </is>
      </c>
      <c r="Q173" s="256" t="inlineStr">
        <is>
          <t>—</t>
        </is>
      </c>
      <c r="R173" s="256" t="inlineStr">
        <is>
          <t>24.78</t>
        </is>
      </c>
      <c r="S173" s="256" t="inlineStr">
        <is>
          <t>ППК26119</t>
        </is>
      </c>
      <c r="T173" s="256" t="inlineStr">
        <is>
          <t>II</t>
        </is>
      </c>
      <c r="U173" s="256" t="inlineStr">
        <is>
          <t>22.00 – 25.99 %</t>
        </is>
      </c>
      <c r="V173" s="256" t="inlineStr">
        <is>
          <t>GP_THC24 : CBD1</t>
        </is>
      </c>
      <c r="W173" s="256" t="inlineStr">
        <is>
          <t>QCSP_001_GP-II_v.01</t>
        </is>
      </c>
      <c r="X173" s="256" t="inlineStr">
        <is>
          <t>for review — replaces the issued QCSP_001_GP-II_v.01 (was GP_THC26 : CBD1, 25.40 – 26.60 %); now GP_THC24 : CBD1 22.00 – 25.99 %</t>
        </is>
      </c>
      <c r="Y173" s="256" t="inlineStr">
        <is>
          <t>HYBRID</t>
        </is>
      </c>
      <c r="Z173" s="256" t="inlineStr">
        <is>
          <t>THC</t>
        </is>
      </c>
      <c r="AA173" s="256" t="inlineStr">
        <is>
          <t>MACHINE TRIMMED</t>
        </is>
      </c>
      <c r="AB173" s="256" t="inlineStr">
        <is>
          <t>INDICA-DOMINANT</t>
        </is>
      </c>
      <c r="AC173" s="256" t="inlineStr">
        <is>
          <t>Triplex Alu Bag | Триплекс Aлу Kеса, PET 12 · ALU 7 · PE 80, 300 × 500 mm, net. 400.0 g ±3%</t>
        </is>
      </c>
      <c r="AD173" s="256" t="inlineStr">
        <is>
          <t>06.07.2026</t>
        </is>
      </c>
      <c r="AE173" s="256" t="inlineStr">
        <is>
          <t>Conforms | Одговара</t>
        </is>
      </c>
      <c r="AF173" s="256" t="inlineStr">
        <is>
          <t>ППК26119</t>
        </is>
      </c>
      <c r="AG173" s="256" t="inlineStr">
        <is>
          <t>06.07.2026</t>
        </is>
      </c>
      <c r="AH173" s="256" t="inlineStr">
        <is>
          <t>UKIM Faculty of Pharmacy — Center for Natural Products</t>
        </is>
      </c>
      <c r="AI173" s="256" t="inlineStr">
        <is>
          <t>Conforms | Одговара</t>
        </is>
      </c>
      <c r="AJ173" s="256" t="inlineStr">
        <is>
          <t>ППК26119</t>
        </is>
      </c>
      <c r="AK173" s="256" t="inlineStr">
        <is>
          <t>06.07.2026</t>
        </is>
      </c>
      <c r="AL173" s="256" t="inlineStr">
        <is>
          <t>UKIM Faculty of Pharmacy — Center for Natural Products</t>
        </is>
      </c>
      <c r="AM173" s="256" t="inlineStr">
        <is>
          <t>Conforms | Одговара</t>
        </is>
      </c>
      <c r="AN173" s="256" t="inlineStr">
        <is>
          <t>ППК26119</t>
        </is>
      </c>
      <c r="AO173" s="256" t="inlineStr">
        <is>
          <t>06.07.2026</t>
        </is>
      </c>
      <c r="AP173" s="256" t="inlineStr">
        <is>
          <t>UKIM Faculty of Pharmacy — Center for Natural Products</t>
        </is>
      </c>
      <c r="AQ173" s="256" t="inlineStr">
        <is>
          <t>24.78</t>
        </is>
      </c>
      <c r="AR173" s="256" t="inlineStr">
        <is>
          <t>ППК26119</t>
        </is>
      </c>
      <c r="AS173" s="256" t="inlineStr">
        <is>
          <t>06.07.2026</t>
        </is>
      </c>
      <c r="AT173" s="256" t="inlineStr">
        <is>
          <t>UKIM Faculty of Pharmacy — Center for Natural Products</t>
        </is>
      </c>
      <c r="AU173" s="256" t="inlineStr">
        <is>
          <t>0.06</t>
        </is>
      </c>
      <c r="AV173" s="256" t="inlineStr">
        <is>
          <t>ППК26119</t>
        </is>
      </c>
      <c r="AW173" s="256" t="inlineStr">
        <is>
          <t>06.07.2026</t>
        </is>
      </c>
      <c r="AX173" s="256" t="inlineStr">
        <is>
          <t>UKIM Faculty of Pharmacy — Center for Natural Products</t>
        </is>
      </c>
      <c r="AY173" s="256" t="inlineStr">
        <is>
          <t>0.08</t>
        </is>
      </c>
      <c r="AZ173" s="256" t="inlineStr">
        <is>
          <t>ППК26119</t>
        </is>
      </c>
      <c r="BA173" s="256" t="inlineStr">
        <is>
          <t>06.07.2026</t>
        </is>
      </c>
      <c r="BB173" s="256" t="inlineStr">
        <is>
          <t>UKIM Faculty of Pharmacy — Center for Natural Products</t>
        </is>
      </c>
      <c r="BC173" s="256" t="inlineStr">
        <is>
          <t>Conforms | Одговара</t>
        </is>
      </c>
      <c r="BD173" s="256" t="inlineStr">
        <is>
          <t>ППК26119</t>
        </is>
      </c>
      <c r="BE173" s="256" t="inlineStr">
        <is>
          <t>06.07.2026</t>
        </is>
      </c>
      <c r="BF173" s="256" t="inlineStr">
        <is>
          <t>UKIM Faculty of Pharmacy — Center for Natural Products</t>
        </is>
      </c>
      <c r="BG173" s="256" t="inlineStr">
        <is>
          <t>6.78</t>
        </is>
      </c>
      <c r="BH173" s="256" t="inlineStr">
        <is>
          <t>ППК26119</t>
        </is>
      </c>
      <c r="BI173" s="256" t="inlineStr">
        <is>
          <t>06.07.2026</t>
        </is>
      </c>
      <c r="BJ173" s="256" t="inlineStr">
        <is>
          <t>UKIM Faculty of Pharmacy — Center for Natural Products</t>
        </is>
      </c>
      <c r="BK173" s="259" t="inlineStr">
        <is>
          <t>not tested</t>
        </is>
      </c>
      <c r="BL173" s="256" t="inlineStr">
        <is>
          <t>—</t>
        </is>
      </c>
      <c r="BM173" s="256" t="inlineStr">
        <is>
          <t>—</t>
        </is>
      </c>
      <c r="BN173" s="256" t="inlineStr">
        <is>
          <t>—</t>
        </is>
      </c>
      <c r="BO173" s="259" t="inlineStr">
        <is>
          <t>not tested</t>
        </is>
      </c>
      <c r="BP173" s="256" t="inlineStr">
        <is>
          <t>—</t>
        </is>
      </c>
      <c r="BQ173" s="256" t="inlineStr">
        <is>
          <t>—</t>
        </is>
      </c>
      <c r="BR173" s="256" t="inlineStr">
        <is>
          <t>—</t>
        </is>
      </c>
      <c r="BS173" s="259" t="inlineStr">
        <is>
          <t>not tested</t>
        </is>
      </c>
      <c r="BT173" s="256" t="inlineStr">
        <is>
          <t>—</t>
        </is>
      </c>
      <c r="BU173" s="256" t="inlineStr">
        <is>
          <t>—</t>
        </is>
      </c>
      <c r="BV173" s="256" t="inlineStr">
        <is>
          <t>—</t>
        </is>
      </c>
      <c r="BW173" s="259" t="inlineStr">
        <is>
          <t>not tested</t>
        </is>
      </c>
      <c r="BX173" s="256" t="inlineStr">
        <is>
          <t>—</t>
        </is>
      </c>
      <c r="BY173" s="256" t="inlineStr">
        <is>
          <t>—</t>
        </is>
      </c>
      <c r="BZ173" s="256" t="inlineStr">
        <is>
          <t>—</t>
        </is>
      </c>
      <c r="CA173" s="259" t="inlineStr">
        <is>
          <t>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9" t="inlineStr">
        <is>
          <t>not tested</t>
        </is>
      </c>
      <c r="CN173" s="256" t="inlineStr">
        <is>
          <t>—</t>
        </is>
      </c>
      <c r="CO173" s="256" t="inlineStr">
        <is>
          <t>—</t>
        </is>
      </c>
      <c r="CP173" s="256" t="inlineStr">
        <is>
          <t>—</t>
        </is>
      </c>
      <c r="CQ173" s="259" t="inlineStr">
        <is>
          <t>not tested</t>
        </is>
      </c>
      <c r="CR173" s="256" t="inlineStr">
        <is>
          <t>—</t>
        </is>
      </c>
      <c r="CS173" s="256" t="inlineStr">
        <is>
          <t>—</t>
        </is>
      </c>
      <c r="CT173" s="256" t="inlineStr">
        <is>
          <t>—</t>
        </is>
      </c>
      <c r="CU173" s="259" t="inlineStr">
        <is>
          <t>not tested</t>
        </is>
      </c>
      <c r="CV173" s="256" t="inlineStr">
        <is>
          <t>—</t>
        </is>
      </c>
      <c r="CW173" s="256" t="inlineStr">
        <is>
          <t>—</t>
        </is>
      </c>
      <c r="CX173" s="256" t="inlineStr">
        <is>
          <t>—</t>
        </is>
      </c>
      <c r="CY173" s="259" t="inlineStr">
        <is>
          <t>not tested</t>
        </is>
      </c>
      <c r="CZ173" s="256" t="inlineStr">
        <is>
          <t>—</t>
        </is>
      </c>
      <c r="DA173" s="256" t="inlineStr">
        <is>
          <t>—</t>
        </is>
      </c>
      <c r="DB173" s="256" t="inlineStr">
        <is>
          <t>—</t>
        </is>
      </c>
      <c r="DC173" s="259" t="inlineStr">
        <is>
          <t>not tested</t>
        </is>
      </c>
      <c r="DD173" s="256" t="inlineStr">
        <is>
          <t>—</t>
        </is>
      </c>
      <c r="DE173" s="256" t="inlineStr">
        <is>
          <t>—</t>
        </is>
      </c>
      <c r="DF173" s="256" t="inlineStr">
        <is>
          <t>—</t>
        </is>
      </c>
      <c r="DG173" s="259" t="inlineStr">
        <is>
          <t>not tested</t>
        </is>
      </c>
      <c r="DH173" s="256" t="inlineStr">
        <is>
          <t>—</t>
        </is>
      </c>
      <c r="DI173" s="256" t="inlineStr">
        <is>
          <t>—</t>
        </is>
      </c>
      <c r="DJ173" s="256" t="inlineStr">
        <is>
          <t>—</t>
        </is>
      </c>
      <c r="DK173" s="259" t="inlineStr">
        <is>
          <t>not tested</t>
        </is>
      </c>
      <c r="DL173" s="256" t="inlineStr">
        <is>
          <t>—</t>
        </is>
      </c>
      <c r="DM173" s="256" t="inlineStr">
        <is>
          <t>—</t>
        </is>
      </c>
      <c r="DN173" s="256" t="inlineStr">
        <is>
          <t>—</t>
        </is>
      </c>
      <c r="DO173" s="259" t="inlineStr">
        <is>
          <t>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22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iCoA-PP_26-008</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iCoA-PP_26-008</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iCoA-PP_26-008</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iCoA-PP_26-009</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iCoA-PP_26-009</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iCoA-PP_26-009</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iCoA-PP_26-010</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iCoA-PP_26-010</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iCoA-PP_26-010</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iCoA-PP_26-092</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iCoA-PP_26-092</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iCoA-PP_26-092</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iCoA-PP_26-011</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iCoA-PP_26-011</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iCoA-PP_26-011</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iCoA-PP_26-012</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iCoA-PP_26-012</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iCoA-PP_26-012</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iCoA-PP_26-013</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iCoA-PP_26-013</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iCoA-PP_26-013</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iCoA-PP_26-014</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iCoA-PP_26-014</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iCoA-PP_26-014</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iCoA-PP_26-015</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iCoA-PP_26-015</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iCoA-PP_26-015</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iCoA-PP_26-016</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iCoA-PP_26-016</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iCoA-PP_26-016</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iCoA-PP_26-017</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iCoA-PP_26-017</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iCoA-PP_26-017</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iCoA-PP_26-089</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iCoA-PP_26-089</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iCoA-PP_26-089</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iCoA-PP_26-018</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iCoA-PP_26-018</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iCoA-PP_26-018</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iCoA-PP_26-019</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iCoA-PP_26-019</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iCoA-PP_26-019</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iCoA-PP_26-020</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iCoA-PP_26-020</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iCoA-PP_26-020</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iCoA-PP_26-021</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iCoA-PP_26-021</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iCoA-PP_26-021</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iCoA-PP_26-022</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iCoA-PP_26-022</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iCoA-PP_26-022</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iCoA-PP_26-023</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iCoA-PP_26-023</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iCoA-PP_26-023</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iCoA-PP_26-024</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iCoA-PP_26-024</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iCoA-PP_26-024</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iCoA-PP_26-024</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iCoA-PP_26-024</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iCoA-PP_26-024</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iCoA-PP_26-025</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iCoA-PP_26-025</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iCoA-PP_26-025</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iCoA-PP_26-025</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iCoA-PP_26-025</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iCoA-PP_26-025</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iCoA-PP_26-026</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iCoA-PP_26-026</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iCoA-PP_26-026</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iCoA-PP_26-027</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iCoA-PP_26-027</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iCoA-PP_26-027</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iCoA-PP_26-028</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iCoA-PP_26-028</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iCoA-PP_26-028</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iCoA-PP_26-029</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iCoA-PP_26-029</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iCoA-PP_26-029</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iCoA-PP_26-030</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iCoA-PP_26-030</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iCoA-PP_26-030</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iCoA-PP_26-031</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iCoA-PP_26-031</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iCoA-PP_26-031</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iCoA-PP_26-032</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iCoA-PP_26-032</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iCoA-PP_26-032</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iCoA-PP_26-033</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iCoA-PP_26-033</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iCoA-PP_26-033</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iCoA-PP_26-034</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iCoA-PP_26-034</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iCoA-PP_26-034</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iCoA-PP_26-035</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iCoA-PP_26-035</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iCoA-PP_26-035</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iCoA-PP_26-036</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iCoA-PP_26-036</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iCoA-PP_26-036</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iCoA-PP_26-037</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iCoA-PP_26-037</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iCoA-PP_26-037</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iCoA-PP_26-038</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iCoA-PP_26-038</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iCoA-PP_26-038</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iCoA-PP_26-039</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iCoA-PP_26-039</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iCoA-PP_26-039</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iCoA-PP_26-040</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iCoA-PP_26-040</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iCoA-PP_26-040</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iCoA-PP_26-041</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iCoA-PP_26-041</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iCoA-PP_26-041</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iCoA-PP_26-042</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iCoA-PP_26-042</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iCoA-PP_26-042</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iCoA-PP_26-043</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iCoA-PP_26-043</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iCoA-PP_26-043</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iCoA-PP_26-044</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iCoA-PP_26-044</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iCoA-PP_26-044</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iCoA-PP_26-045</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iCoA-PP_26-045</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iCoA-PP_26-045</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9" t="inlineStr">
        <is>
          <t>not tested</t>
        </is>
      </c>
      <c r="L1053" s="256" t="inlineStr">
        <is>
          <t>—</t>
        </is>
      </c>
      <c r="M1053" s="256" t="inlineStr">
        <is>
          <t>—</t>
        </is>
      </c>
      <c r="N1053" s="256" t="inlineStr">
        <is>
          <t>—</t>
        </is>
      </c>
      <c r="O1053" s="256" t="inlineStr">
        <is>
          <t>—</t>
        </is>
      </c>
      <c r="P1053" s="256" t="inlineStr">
        <is>
          <t>not tested — no certificate covers it</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9" t="inlineStr">
        <is>
          <t>not tested</t>
        </is>
      </c>
      <c r="L1055" s="256" t="inlineStr">
        <is>
          <t>—</t>
        </is>
      </c>
      <c r="M1055" s="256" t="inlineStr">
        <is>
          <t>—</t>
        </is>
      </c>
      <c r="N1055" s="256" t="inlineStr">
        <is>
          <t>—</t>
        </is>
      </c>
      <c r="O1055" s="256" t="inlineStr">
        <is>
          <t>—</t>
        </is>
      </c>
      <c r="P1055" s="256" t="inlineStr">
        <is>
          <t>not tested — no certificate covers it</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9" t="inlineStr">
        <is>
          <t>not tested</t>
        </is>
      </c>
      <c r="L1056" s="256" t="inlineStr">
        <is>
          <t>—</t>
        </is>
      </c>
      <c r="M1056" s="256" t="inlineStr">
        <is>
          <t>—</t>
        </is>
      </c>
      <c r="N1056" s="256" t="inlineStr">
        <is>
          <t>—</t>
        </is>
      </c>
      <c r="O1056" s="256" t="inlineStr">
        <is>
          <t>—</t>
        </is>
      </c>
      <c r="P1056" s="256" t="inlineStr">
        <is>
          <t>not tested — no certificate covers it</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9" t="inlineStr">
        <is>
          <t>not tested</t>
        </is>
      </c>
      <c r="L1057" s="256" t="inlineStr">
        <is>
          <t>—</t>
        </is>
      </c>
      <c r="M1057" s="256" t="inlineStr">
        <is>
          <t>—</t>
        </is>
      </c>
      <c r="N1057" s="256" t="inlineStr">
        <is>
          <t>—</t>
        </is>
      </c>
      <c r="O1057" s="256" t="inlineStr">
        <is>
          <t>—</t>
        </is>
      </c>
      <c r="P1057" s="256" t="inlineStr">
        <is>
          <t>not tested — no certificate covers it</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9" t="inlineStr">
        <is>
          <t>not tested</t>
        </is>
      </c>
      <c r="L1058" s="256" t="inlineStr">
        <is>
          <t>—</t>
        </is>
      </c>
      <c r="M1058" s="256" t="inlineStr">
        <is>
          <t>—</t>
        </is>
      </c>
      <c r="N1058" s="256" t="inlineStr">
        <is>
          <t>—</t>
        </is>
      </c>
      <c r="O1058" s="256" t="inlineStr">
        <is>
          <t>—</t>
        </is>
      </c>
      <c r="P1058" s="256" t="inlineStr">
        <is>
          <t>not tested — no certificate covers it</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9" t="inlineStr">
        <is>
          <t>not tested</t>
        </is>
      </c>
      <c r="L1059" s="256" t="inlineStr">
        <is>
          <t>—</t>
        </is>
      </c>
      <c r="M1059" s="256" t="inlineStr">
        <is>
          <t>—</t>
        </is>
      </c>
      <c r="N1059" s="256" t="inlineStr">
        <is>
          <t>—</t>
        </is>
      </c>
      <c r="O1059" s="256" t="inlineStr">
        <is>
          <t>—</t>
        </is>
      </c>
      <c r="P1059" s="256" t="inlineStr">
        <is>
          <t>not tested — no certificate covers it</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iCoA-PP_26-046</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iCoA-PP_26-046</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iCoA-PP_26-046</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25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iCoA-PP_26-047</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iCoA-PP_26-047</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iCoA-PP_26-047</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25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iCoA-PP_26-048</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iCoA-PP_26-048</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iCoA-PP_26-048</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25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iCoA-PP_26-049</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iCoA-PP_26-049</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iCoA-PP_26-049</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iCoA-PP_26-053</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iCoA-PP_26-053</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iCoA-PP_26-053</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25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iCoA-PP_26-055</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iCoA-PP_26-055</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iCoA-PP_26-055</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9" t="inlineStr">
        <is>
          <t>not tested</t>
        </is>
      </c>
      <c r="L1197" s="256" t="inlineStr">
        <is>
          <t>—</t>
        </is>
      </c>
      <c r="M1197" s="256" t="inlineStr">
        <is>
          <t>—</t>
        </is>
      </c>
      <c r="N1197" s="256" t="inlineStr">
        <is>
          <t>—</t>
        </is>
      </c>
      <c r="O1197" s="256" t="inlineStr">
        <is>
          <t>—</t>
        </is>
      </c>
      <c r="P1197" s="256" t="inlineStr">
        <is>
          <t>not tested — no certificate covers it</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iCoA-PP_26-056</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iCoA-PP_26-056</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iCoA-PP_26-056</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25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iCoA-PP_26-057</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iCoA-PP_26-057</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iCoA-PP_26-057</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9" t="inlineStr">
        <is>
          <t>not tested</t>
        </is>
      </c>
      <c r="L1237" s="256" t="inlineStr">
        <is>
          <t>—</t>
        </is>
      </c>
      <c r="M1237" s="256" t="inlineStr">
        <is>
          <t>—</t>
        </is>
      </c>
      <c r="N1237" s="256" t="inlineStr">
        <is>
          <t>—</t>
        </is>
      </c>
      <c r="O1237" s="256" t="inlineStr">
        <is>
          <t>—</t>
        </is>
      </c>
      <c r="P1237" s="256" t="inlineStr">
        <is>
          <t>not tested — no certificate covers it</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25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iCoA-PP_26-058</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iCoA-PP_26-058</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iCoA-PP_26-058</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9" t="inlineStr">
        <is>
          <t>not tested</t>
        </is>
      </c>
      <c r="L1260" s="256" t="inlineStr">
        <is>
          <t>—</t>
        </is>
      </c>
      <c r="M1260" s="256" t="inlineStr">
        <is>
          <t>—</t>
        </is>
      </c>
      <c r="N1260" s="256" t="inlineStr">
        <is>
          <t>—</t>
        </is>
      </c>
      <c r="O1260" s="256" t="inlineStr">
        <is>
          <t>—</t>
        </is>
      </c>
      <c r="P1260" s="256" t="inlineStr">
        <is>
          <t>not tested — no certificate covers it</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9" t="inlineStr">
        <is>
          <t>not tested</t>
        </is>
      </c>
      <c r="L1262" s="256" t="inlineStr">
        <is>
          <t>—</t>
        </is>
      </c>
      <c r="M1262" s="256" t="inlineStr">
        <is>
          <t>—</t>
        </is>
      </c>
      <c r="N1262" s="256" t="inlineStr">
        <is>
          <t>—</t>
        </is>
      </c>
      <c r="O1262" s="256" t="inlineStr">
        <is>
          <t>—</t>
        </is>
      </c>
      <c r="P1262" s="256" t="inlineStr">
        <is>
          <t>not tested — no certificate covers it</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9" t="inlineStr">
        <is>
          <t>not tested</t>
        </is>
      </c>
      <c r="L1263" s="256" t="inlineStr">
        <is>
          <t>—</t>
        </is>
      </c>
      <c r="M1263" s="256" t="inlineStr">
        <is>
          <t>—</t>
        </is>
      </c>
      <c r="N1263" s="256" t="inlineStr">
        <is>
          <t>—</t>
        </is>
      </c>
      <c r="O1263" s="256" t="inlineStr">
        <is>
          <t>—</t>
        </is>
      </c>
      <c r="P1263" s="256" t="inlineStr">
        <is>
          <t>not tested — no certificate covers it</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9" t="inlineStr">
        <is>
          <t>not tested</t>
        </is>
      </c>
      <c r="L1264" s="256" t="inlineStr">
        <is>
          <t>—</t>
        </is>
      </c>
      <c r="M1264" s="256" t="inlineStr">
        <is>
          <t>—</t>
        </is>
      </c>
      <c r="N1264" s="256" t="inlineStr">
        <is>
          <t>—</t>
        </is>
      </c>
      <c r="O1264" s="256" t="inlineStr">
        <is>
          <t>—</t>
        </is>
      </c>
      <c r="P1264" s="256" t="inlineStr">
        <is>
          <t>not tested — no certificate covers it</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9" t="inlineStr">
        <is>
          <t>not tested</t>
        </is>
      </c>
      <c r="L1265" s="256" t="inlineStr">
        <is>
          <t>—</t>
        </is>
      </c>
      <c r="M1265" s="256" t="inlineStr">
        <is>
          <t>—</t>
        </is>
      </c>
      <c r="N1265" s="256" t="inlineStr">
        <is>
          <t>—</t>
        </is>
      </c>
      <c r="O1265" s="256" t="inlineStr">
        <is>
          <t>—</t>
        </is>
      </c>
      <c r="P1265" s="256" t="inlineStr">
        <is>
          <t>not tested — no certificate covers it</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9" t="inlineStr">
        <is>
          <t>not tested</t>
        </is>
      </c>
      <c r="L1266" s="256" t="inlineStr">
        <is>
          <t>—</t>
        </is>
      </c>
      <c r="M1266" s="256" t="inlineStr">
        <is>
          <t>—</t>
        </is>
      </c>
      <c r="N1266" s="256" t="inlineStr">
        <is>
          <t>—</t>
        </is>
      </c>
      <c r="O1266" s="256" t="inlineStr">
        <is>
          <t>—</t>
        </is>
      </c>
      <c r="P1266" s="256" t="inlineStr">
        <is>
          <t>not tested — no certificate covers it</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iCoA-PP_26-059</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iCoA-PP_26-059</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iCoA-PP_26-059</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9" t="inlineStr">
        <is>
          <t>not tested</t>
        </is>
      </c>
      <c r="L1283" s="256" t="inlineStr">
        <is>
          <t>—</t>
        </is>
      </c>
      <c r="M1283" s="256" t="inlineStr">
        <is>
          <t>—</t>
        </is>
      </c>
      <c r="N1283" s="256" t="inlineStr">
        <is>
          <t>—</t>
        </is>
      </c>
      <c r="O1283" s="256" t="inlineStr">
        <is>
          <t>—</t>
        </is>
      </c>
      <c r="P1283" s="256" t="inlineStr">
        <is>
          <t>not tested — no certificate covers it</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9" t="inlineStr">
        <is>
          <t>not tested</t>
        </is>
      </c>
      <c r="L1285" s="256" t="inlineStr">
        <is>
          <t>—</t>
        </is>
      </c>
      <c r="M1285" s="256" t="inlineStr">
        <is>
          <t>—</t>
        </is>
      </c>
      <c r="N1285" s="256" t="inlineStr">
        <is>
          <t>—</t>
        </is>
      </c>
      <c r="O1285" s="256" t="inlineStr">
        <is>
          <t>—</t>
        </is>
      </c>
      <c r="P1285" s="256" t="inlineStr">
        <is>
          <t>not tested — no certificate covers it</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9" t="inlineStr">
        <is>
          <t>not tested</t>
        </is>
      </c>
      <c r="L1286" s="256" t="inlineStr">
        <is>
          <t>—</t>
        </is>
      </c>
      <c r="M1286" s="256" t="inlineStr">
        <is>
          <t>—</t>
        </is>
      </c>
      <c r="N1286" s="256" t="inlineStr">
        <is>
          <t>—</t>
        </is>
      </c>
      <c r="O1286" s="256" t="inlineStr">
        <is>
          <t>—</t>
        </is>
      </c>
      <c r="P1286" s="256" t="inlineStr">
        <is>
          <t>not tested — no certificate covers it</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9" t="inlineStr">
        <is>
          <t>not tested</t>
        </is>
      </c>
      <c r="L1287" s="256" t="inlineStr">
        <is>
          <t>—</t>
        </is>
      </c>
      <c r="M1287" s="256" t="inlineStr">
        <is>
          <t>—</t>
        </is>
      </c>
      <c r="N1287" s="256" t="inlineStr">
        <is>
          <t>—</t>
        </is>
      </c>
      <c r="O1287" s="256" t="inlineStr">
        <is>
          <t>—</t>
        </is>
      </c>
      <c r="P1287" s="256" t="inlineStr">
        <is>
          <t>not tested — no certificate covers it</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9" t="inlineStr">
        <is>
          <t>not tested</t>
        </is>
      </c>
      <c r="L1288" s="256" t="inlineStr">
        <is>
          <t>—</t>
        </is>
      </c>
      <c r="M1288" s="256" t="inlineStr">
        <is>
          <t>—</t>
        </is>
      </c>
      <c r="N1288" s="256" t="inlineStr">
        <is>
          <t>—</t>
        </is>
      </c>
      <c r="O1288" s="256" t="inlineStr">
        <is>
          <t>—</t>
        </is>
      </c>
      <c r="P1288" s="256" t="inlineStr">
        <is>
          <t>not tested — no certificate covers it</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9" t="inlineStr">
        <is>
          <t>not tested</t>
        </is>
      </c>
      <c r="L1289" s="256" t="inlineStr">
        <is>
          <t>—</t>
        </is>
      </c>
      <c r="M1289" s="256" t="inlineStr">
        <is>
          <t>—</t>
        </is>
      </c>
      <c r="N1289" s="256" t="inlineStr">
        <is>
          <t>—</t>
        </is>
      </c>
      <c r="O1289" s="256" t="inlineStr">
        <is>
          <t>—</t>
        </is>
      </c>
      <c r="P1289" s="256" t="inlineStr">
        <is>
          <t>not tested — no certificate covers it</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iCoA-PP_26-060</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iCoA-PP_26-060</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iCoA-PP_26-060</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iCoA-PP_26-061</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iCoA-PP_26-061</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iCoA-PP_26-061</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9" t="inlineStr">
        <is>
          <t>not tested</t>
        </is>
      </c>
      <c r="L1329" s="256" t="inlineStr">
        <is>
          <t>—</t>
        </is>
      </c>
      <c r="M1329" s="256" t="inlineStr">
        <is>
          <t>—</t>
        </is>
      </c>
      <c r="N1329" s="256" t="inlineStr">
        <is>
          <t>—</t>
        </is>
      </c>
      <c r="O1329" s="256" t="inlineStr">
        <is>
          <t>—</t>
        </is>
      </c>
      <c r="P1329" s="256" t="inlineStr">
        <is>
          <t>not tested — no certificate covers it</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9" t="inlineStr">
        <is>
          <t>not tested</t>
        </is>
      </c>
      <c r="L1331" s="256" t="inlineStr">
        <is>
          <t>—</t>
        </is>
      </c>
      <c r="M1331" s="256" t="inlineStr">
        <is>
          <t>—</t>
        </is>
      </c>
      <c r="N1331" s="256" t="inlineStr">
        <is>
          <t>—</t>
        </is>
      </c>
      <c r="O1331" s="256" t="inlineStr">
        <is>
          <t>—</t>
        </is>
      </c>
      <c r="P1331" s="256" t="inlineStr">
        <is>
          <t>not tested — no certificate covers it</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9" t="inlineStr">
        <is>
          <t>not tested</t>
        </is>
      </c>
      <c r="L1332" s="256" t="inlineStr">
        <is>
          <t>—</t>
        </is>
      </c>
      <c r="M1332" s="256" t="inlineStr">
        <is>
          <t>—</t>
        </is>
      </c>
      <c r="N1332" s="256" t="inlineStr">
        <is>
          <t>—</t>
        </is>
      </c>
      <c r="O1332" s="256" t="inlineStr">
        <is>
          <t>—</t>
        </is>
      </c>
      <c r="P1332" s="256" t="inlineStr">
        <is>
          <t>not tested — no certificate covers it</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9" t="inlineStr">
        <is>
          <t>not tested</t>
        </is>
      </c>
      <c r="L1333" s="256" t="inlineStr">
        <is>
          <t>—</t>
        </is>
      </c>
      <c r="M1333" s="256" t="inlineStr">
        <is>
          <t>—</t>
        </is>
      </c>
      <c r="N1333" s="256" t="inlineStr">
        <is>
          <t>—</t>
        </is>
      </c>
      <c r="O1333" s="256" t="inlineStr">
        <is>
          <t>—</t>
        </is>
      </c>
      <c r="P1333" s="256" t="inlineStr">
        <is>
          <t>not tested — no certificate covers it</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9" t="inlineStr">
        <is>
          <t>not tested</t>
        </is>
      </c>
      <c r="L1334" s="256" t="inlineStr">
        <is>
          <t>—</t>
        </is>
      </c>
      <c r="M1334" s="256" t="inlineStr">
        <is>
          <t>—</t>
        </is>
      </c>
      <c r="N1334" s="256" t="inlineStr">
        <is>
          <t>—</t>
        </is>
      </c>
      <c r="O1334" s="256" t="inlineStr">
        <is>
          <t>—</t>
        </is>
      </c>
      <c r="P1334" s="256" t="inlineStr">
        <is>
          <t>not tested — no certificate covers it</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9" t="inlineStr">
        <is>
          <t>not tested</t>
        </is>
      </c>
      <c r="L1335" s="256" t="inlineStr">
        <is>
          <t>—</t>
        </is>
      </c>
      <c r="M1335" s="256" t="inlineStr">
        <is>
          <t>—</t>
        </is>
      </c>
      <c r="N1335" s="256" t="inlineStr">
        <is>
          <t>—</t>
        </is>
      </c>
      <c r="O1335" s="256" t="inlineStr">
        <is>
          <t>—</t>
        </is>
      </c>
      <c r="P1335" s="256" t="inlineStr">
        <is>
          <t>not tested — no certificate covers it</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iCoA-PP_26-062</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iCoA-PP_26-062</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iCoA-PP_26-062</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25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iCoA-PP_26-063</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iCoA-PP_26-063</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iCoA-PP_26-063</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iCoA-PP_26-064</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iCoA-PP_26-064</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iCoA-PP_26-064</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iCoA-PP_26-072</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iCoA-PP_26-072</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iCoA-PP_26-072</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iCoA-PP_26-073</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iCoA-PP_26-073</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iCoA-PP_26-073</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iCoA-PP_26-074</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iCoA-PP_26-074</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iCoA-PP_26-074</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iCoA-PP_26-075</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iCoA-PP_26-075</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iCoA-PP_26-075</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iCoA-PP_26-076</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iCoA-PP_26-076</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iCoA-PP_26-076</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iCoA-PP_26-077</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iCoA-PP_26-077</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iCoA-PP_26-077</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iCoA-PP_26-079</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iCoA-PP_26-079</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iCoA-PP_26-079</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iCoA-PP_26-078</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iCoA-PP_26-078</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iCoA-PP_26-078</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iCoA-PP_26-083</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iCoA-PP_26-083</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iCoA-PP_26-083</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iCoA-PP_26-082</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iCoA-PP_26-082</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iCoA-PP_26-082</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iCoA-PP_26-084</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iCoA-PP_26-084</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iCoA-PP_26-084</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iCoA-PP_26-088</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iCoA-PP_26-088</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iCoA-PP_26-088</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iCoA-PP_26-087</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iCoA-PP_26-087</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iCoA-PP_26-087</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9" t="inlineStr">
        <is>
          <t>not tested</t>
        </is>
      </c>
      <c r="L1720" s="256" t="inlineStr">
        <is>
          <t>—</t>
        </is>
      </c>
      <c r="M1720" s="256" t="inlineStr">
        <is>
          <t>—</t>
        </is>
      </c>
      <c r="N1720" s="256" t="inlineStr">
        <is>
          <t>—</t>
        </is>
      </c>
      <c r="O1720" s="256" t="inlineStr">
        <is>
          <t>—</t>
        </is>
      </c>
      <c r="P1720" s="256" t="inlineStr">
        <is>
          <t>not tested — no certificate covers it</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9" t="inlineStr">
        <is>
          <t>not tested</t>
        </is>
      </c>
      <c r="L1722" s="256" t="inlineStr">
        <is>
          <t>—</t>
        </is>
      </c>
      <c r="M1722" s="256" t="inlineStr">
        <is>
          <t>—</t>
        </is>
      </c>
      <c r="N1722" s="256" t="inlineStr">
        <is>
          <t>—</t>
        </is>
      </c>
      <c r="O1722" s="256" t="inlineStr">
        <is>
          <t>—</t>
        </is>
      </c>
      <c r="P1722" s="256" t="inlineStr">
        <is>
          <t>not tested — no certificate covers it</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9" t="inlineStr">
        <is>
          <t>not tested</t>
        </is>
      </c>
      <c r="L1723" s="256" t="inlineStr">
        <is>
          <t>—</t>
        </is>
      </c>
      <c r="M1723" s="256" t="inlineStr">
        <is>
          <t>—</t>
        </is>
      </c>
      <c r="N1723" s="256" t="inlineStr">
        <is>
          <t>—</t>
        </is>
      </c>
      <c r="O1723" s="256" t="inlineStr">
        <is>
          <t>—</t>
        </is>
      </c>
      <c r="P1723" s="256" t="inlineStr">
        <is>
          <t>not tested — no certificate covers it</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9" t="inlineStr">
        <is>
          <t>not tested</t>
        </is>
      </c>
      <c r="L1724" s="256" t="inlineStr">
        <is>
          <t>—</t>
        </is>
      </c>
      <c r="M1724" s="256" t="inlineStr">
        <is>
          <t>—</t>
        </is>
      </c>
      <c r="N1724" s="256" t="inlineStr">
        <is>
          <t>—</t>
        </is>
      </c>
      <c r="O1724" s="256" t="inlineStr">
        <is>
          <t>—</t>
        </is>
      </c>
      <c r="P1724" s="256" t="inlineStr">
        <is>
          <t>not tested — no certificate covers it</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9" t="inlineStr">
        <is>
          <t>not tested</t>
        </is>
      </c>
      <c r="L1725" s="256" t="inlineStr">
        <is>
          <t>—</t>
        </is>
      </c>
      <c r="M1725" s="256" t="inlineStr">
        <is>
          <t>—</t>
        </is>
      </c>
      <c r="N1725" s="256" t="inlineStr">
        <is>
          <t>—</t>
        </is>
      </c>
      <c r="O1725" s="256" t="inlineStr">
        <is>
          <t>—</t>
        </is>
      </c>
      <c r="P1725" s="256" t="inlineStr">
        <is>
          <t>not tested — no certificate covers it</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9" t="inlineStr">
        <is>
          <t>not tested</t>
        </is>
      </c>
      <c r="L1726" s="256" t="inlineStr">
        <is>
          <t>—</t>
        </is>
      </c>
      <c r="M1726" s="256" t="inlineStr">
        <is>
          <t>—</t>
        </is>
      </c>
      <c r="N1726" s="256" t="inlineStr">
        <is>
          <t>—</t>
        </is>
      </c>
      <c r="O1726" s="256" t="inlineStr">
        <is>
          <t>—</t>
        </is>
      </c>
      <c r="P1726" s="256" t="inlineStr">
        <is>
          <t>not tested — no certificate covers it</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9" t="inlineStr">
        <is>
          <t>not tested</t>
        </is>
      </c>
      <c r="L1743" s="256" t="inlineStr">
        <is>
          <t>—</t>
        </is>
      </c>
      <c r="M1743" s="256" t="inlineStr">
        <is>
          <t>—</t>
        </is>
      </c>
      <c r="N1743" s="256" t="inlineStr">
        <is>
          <t>—</t>
        </is>
      </c>
      <c r="O1743" s="256" t="inlineStr">
        <is>
          <t>—</t>
        </is>
      </c>
      <c r="P1743" s="256" t="inlineStr">
        <is>
          <t>not tested — no certificate covers it</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22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22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9" t="inlineStr">
        <is>
          <t>not tested</t>
        </is>
      </c>
      <c r="L1789" s="256" t="inlineStr">
        <is>
          <t>—</t>
        </is>
      </c>
      <c r="M1789" s="256" t="inlineStr">
        <is>
          <t>—</t>
        </is>
      </c>
      <c r="N1789" s="256" t="inlineStr">
        <is>
          <t>—</t>
        </is>
      </c>
      <c r="O1789" s="256" t="inlineStr">
        <is>
          <t>—</t>
        </is>
      </c>
      <c r="P1789" s="256" t="inlineStr">
        <is>
          <t>not tested — no certificate covers it</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22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9" t="inlineStr">
        <is>
          <t>not tested</t>
        </is>
      </c>
      <c r="L1812" s="256" t="inlineStr">
        <is>
          <t>—</t>
        </is>
      </c>
      <c r="M1812" s="256" t="inlineStr">
        <is>
          <t>—</t>
        </is>
      </c>
      <c r="N1812" s="256" t="inlineStr">
        <is>
          <t>—</t>
        </is>
      </c>
      <c r="O1812" s="256" t="inlineStr">
        <is>
          <t>—</t>
        </is>
      </c>
      <c r="P1812" s="256" t="inlineStr">
        <is>
          <t>not tested — no certificate covers it</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9" t="inlineStr">
        <is>
          <t>not tested</t>
        </is>
      </c>
      <c r="L1814" s="256" t="inlineStr">
        <is>
          <t>—</t>
        </is>
      </c>
      <c r="M1814" s="256" t="inlineStr">
        <is>
          <t>—</t>
        </is>
      </c>
      <c r="N1814" s="256" t="inlineStr">
        <is>
          <t>—</t>
        </is>
      </c>
      <c r="O1814" s="256" t="inlineStr">
        <is>
          <t>—</t>
        </is>
      </c>
      <c r="P1814" s="256" t="inlineStr">
        <is>
          <t>not tested — no certificate covers it</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9" t="inlineStr">
        <is>
          <t>not tested</t>
        </is>
      </c>
      <c r="L1815" s="256" t="inlineStr">
        <is>
          <t>—</t>
        </is>
      </c>
      <c r="M1815" s="256" t="inlineStr">
        <is>
          <t>—</t>
        </is>
      </c>
      <c r="N1815" s="256" t="inlineStr">
        <is>
          <t>—</t>
        </is>
      </c>
      <c r="O1815" s="256" t="inlineStr">
        <is>
          <t>—</t>
        </is>
      </c>
      <c r="P1815" s="256" t="inlineStr">
        <is>
          <t>not tested — no certificate covers it</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9" t="inlineStr">
        <is>
          <t>not tested</t>
        </is>
      </c>
      <c r="L1816" s="256" t="inlineStr">
        <is>
          <t>—</t>
        </is>
      </c>
      <c r="M1816" s="256" t="inlineStr">
        <is>
          <t>—</t>
        </is>
      </c>
      <c r="N1816" s="256" t="inlineStr">
        <is>
          <t>—</t>
        </is>
      </c>
      <c r="O1816" s="256" t="inlineStr">
        <is>
          <t>—</t>
        </is>
      </c>
      <c r="P1816" s="256" t="inlineStr">
        <is>
          <t>not tested — no certificate covers it</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9" t="inlineStr">
        <is>
          <t>not tested</t>
        </is>
      </c>
      <c r="L1817" s="256" t="inlineStr">
        <is>
          <t>—</t>
        </is>
      </c>
      <c r="M1817" s="256" t="inlineStr">
        <is>
          <t>—</t>
        </is>
      </c>
      <c r="N1817" s="256" t="inlineStr">
        <is>
          <t>—</t>
        </is>
      </c>
      <c r="O1817" s="256" t="inlineStr">
        <is>
          <t>—</t>
        </is>
      </c>
      <c r="P1817" s="256" t="inlineStr">
        <is>
          <t>not tested — no certificate covers it</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9" t="inlineStr">
        <is>
          <t>not tested</t>
        </is>
      </c>
      <c r="L1818" s="256" t="inlineStr">
        <is>
          <t>—</t>
        </is>
      </c>
      <c r="M1818" s="256" t="inlineStr">
        <is>
          <t>—</t>
        </is>
      </c>
      <c r="N1818" s="256" t="inlineStr">
        <is>
          <t>—</t>
        </is>
      </c>
      <c r="O1818" s="256" t="inlineStr">
        <is>
          <t>—</t>
        </is>
      </c>
      <c r="P1818" s="256" t="inlineStr">
        <is>
          <t>not tested — no certificate covers it</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9" t="inlineStr">
        <is>
          <t>not tested</t>
        </is>
      </c>
      <c r="L1835" s="256" t="inlineStr">
        <is>
          <t>—</t>
        </is>
      </c>
      <c r="M1835" s="256" t="inlineStr">
        <is>
          <t>—</t>
        </is>
      </c>
      <c r="N1835" s="256" t="inlineStr">
        <is>
          <t>—</t>
        </is>
      </c>
      <c r="O1835" s="256" t="inlineStr">
        <is>
          <t>—</t>
        </is>
      </c>
      <c r="P1835" s="256" t="inlineStr">
        <is>
          <t>not tested — no certificate covers it</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9" t="inlineStr">
        <is>
          <t>not tested</t>
        </is>
      </c>
      <c r="L1837" s="256" t="inlineStr">
        <is>
          <t>—</t>
        </is>
      </c>
      <c r="M1837" s="256" t="inlineStr">
        <is>
          <t>—</t>
        </is>
      </c>
      <c r="N1837" s="256" t="inlineStr">
        <is>
          <t>—</t>
        </is>
      </c>
      <c r="O1837" s="256" t="inlineStr">
        <is>
          <t>—</t>
        </is>
      </c>
      <c r="P1837" s="256" t="inlineStr">
        <is>
          <t>not tested — no certificate covers it</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9" t="inlineStr">
        <is>
          <t>not tested</t>
        </is>
      </c>
      <c r="L1838" s="256" t="inlineStr">
        <is>
          <t>—</t>
        </is>
      </c>
      <c r="M1838" s="256" t="inlineStr">
        <is>
          <t>—</t>
        </is>
      </c>
      <c r="N1838" s="256" t="inlineStr">
        <is>
          <t>—</t>
        </is>
      </c>
      <c r="O1838" s="256" t="inlineStr">
        <is>
          <t>—</t>
        </is>
      </c>
      <c r="P1838" s="256" t="inlineStr">
        <is>
          <t>not tested — no certificate covers it</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9" t="inlineStr">
        <is>
          <t>not tested</t>
        </is>
      </c>
      <c r="L1839" s="256" t="inlineStr">
        <is>
          <t>—</t>
        </is>
      </c>
      <c r="M1839" s="256" t="inlineStr">
        <is>
          <t>—</t>
        </is>
      </c>
      <c r="N1839" s="256" t="inlineStr">
        <is>
          <t>—</t>
        </is>
      </c>
      <c r="O1839" s="256" t="inlineStr">
        <is>
          <t>—</t>
        </is>
      </c>
      <c r="P1839" s="256" t="inlineStr">
        <is>
          <t>not tested — no certificate covers it</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9" t="inlineStr">
        <is>
          <t>not tested</t>
        </is>
      </c>
      <c r="L1840" s="256" t="inlineStr">
        <is>
          <t>—</t>
        </is>
      </c>
      <c r="M1840" s="256" t="inlineStr">
        <is>
          <t>—</t>
        </is>
      </c>
      <c r="N1840" s="256" t="inlineStr">
        <is>
          <t>—</t>
        </is>
      </c>
      <c r="O1840" s="256" t="inlineStr">
        <is>
          <t>—</t>
        </is>
      </c>
      <c r="P1840" s="256" t="inlineStr">
        <is>
          <t>not tested — no certificate covers it</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9" t="inlineStr">
        <is>
          <t>not tested</t>
        </is>
      </c>
      <c r="L1841" s="256" t="inlineStr">
        <is>
          <t>—</t>
        </is>
      </c>
      <c r="M1841" s="256" t="inlineStr">
        <is>
          <t>—</t>
        </is>
      </c>
      <c r="N1841" s="256" t="inlineStr">
        <is>
          <t>—</t>
        </is>
      </c>
      <c r="O1841" s="256" t="inlineStr">
        <is>
          <t>—</t>
        </is>
      </c>
      <c r="P1841" s="256" t="inlineStr">
        <is>
          <t>not tested — no certificate covers it</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9" t="inlineStr">
        <is>
          <t>not tested</t>
        </is>
      </c>
      <c r="L1858" s="256" t="inlineStr">
        <is>
          <t>—</t>
        </is>
      </c>
      <c r="M1858" s="256" t="inlineStr">
        <is>
          <t>—</t>
        </is>
      </c>
      <c r="N1858" s="256" t="inlineStr">
        <is>
          <t>—</t>
        </is>
      </c>
      <c r="O1858" s="256" t="inlineStr">
        <is>
          <t>—</t>
        </is>
      </c>
      <c r="P1858" s="256" t="inlineStr">
        <is>
          <t>not tested — no certificate covers it</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9" t="inlineStr">
        <is>
          <t>not tested</t>
        </is>
      </c>
      <c r="L1860" s="256" t="inlineStr">
        <is>
          <t>—</t>
        </is>
      </c>
      <c r="M1860" s="256" t="inlineStr">
        <is>
          <t>—</t>
        </is>
      </c>
      <c r="N1860" s="256" t="inlineStr">
        <is>
          <t>—</t>
        </is>
      </c>
      <c r="O1860" s="256" t="inlineStr">
        <is>
          <t>—</t>
        </is>
      </c>
      <c r="P1860" s="256" t="inlineStr">
        <is>
          <t>not tested — no certificate covers it</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9" t="inlineStr">
        <is>
          <t>not tested</t>
        </is>
      </c>
      <c r="L1861" s="256" t="inlineStr">
        <is>
          <t>—</t>
        </is>
      </c>
      <c r="M1861" s="256" t="inlineStr">
        <is>
          <t>—</t>
        </is>
      </c>
      <c r="N1861" s="256" t="inlineStr">
        <is>
          <t>—</t>
        </is>
      </c>
      <c r="O1861" s="256" t="inlineStr">
        <is>
          <t>—</t>
        </is>
      </c>
      <c r="P1861" s="256" t="inlineStr">
        <is>
          <t>not tested — no certificate covers it</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9" t="inlineStr">
        <is>
          <t>not tested</t>
        </is>
      </c>
      <c r="L1862" s="256" t="inlineStr">
        <is>
          <t>—</t>
        </is>
      </c>
      <c r="M1862" s="256" t="inlineStr">
        <is>
          <t>—</t>
        </is>
      </c>
      <c r="N1862" s="256" t="inlineStr">
        <is>
          <t>—</t>
        </is>
      </c>
      <c r="O1862" s="256" t="inlineStr">
        <is>
          <t>—</t>
        </is>
      </c>
      <c r="P1862" s="256" t="inlineStr">
        <is>
          <t>not tested — no certificate covers it</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9" t="inlineStr">
        <is>
          <t>not tested</t>
        </is>
      </c>
      <c r="L1863" s="256" t="inlineStr">
        <is>
          <t>—</t>
        </is>
      </c>
      <c r="M1863" s="256" t="inlineStr">
        <is>
          <t>—</t>
        </is>
      </c>
      <c r="N1863" s="256" t="inlineStr">
        <is>
          <t>—</t>
        </is>
      </c>
      <c r="O1863" s="256" t="inlineStr">
        <is>
          <t>—</t>
        </is>
      </c>
      <c r="P1863" s="256" t="inlineStr">
        <is>
          <t>not tested — no certificate covers it</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9" t="inlineStr">
        <is>
          <t>not tested</t>
        </is>
      </c>
      <c r="L1864" s="256" t="inlineStr">
        <is>
          <t>—</t>
        </is>
      </c>
      <c r="M1864" s="256" t="inlineStr">
        <is>
          <t>—</t>
        </is>
      </c>
      <c r="N1864" s="256" t="inlineStr">
        <is>
          <t>—</t>
        </is>
      </c>
      <c r="O1864" s="256" t="inlineStr">
        <is>
          <t>—</t>
        </is>
      </c>
      <c r="P1864" s="256" t="inlineStr">
        <is>
          <t>not tested — no certificate covers it</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9" t="inlineStr">
        <is>
          <t>not tested</t>
        </is>
      </c>
      <c r="L1881" s="256" t="inlineStr">
        <is>
          <t>—</t>
        </is>
      </c>
      <c r="M1881" s="256" t="inlineStr">
        <is>
          <t>—</t>
        </is>
      </c>
      <c r="N1881" s="256" t="inlineStr">
        <is>
          <t>—</t>
        </is>
      </c>
      <c r="O1881" s="256" t="inlineStr">
        <is>
          <t>—</t>
        </is>
      </c>
      <c r="P1881" s="256" t="inlineStr">
        <is>
          <t>not tested — no certificate covers it</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9" t="inlineStr">
        <is>
          <t>not tested</t>
        </is>
      </c>
      <c r="L1887" s="256" t="inlineStr">
        <is>
          <t>—</t>
        </is>
      </c>
      <c r="M1887" s="256" t="inlineStr">
        <is>
          <t>—</t>
        </is>
      </c>
      <c r="N1887" s="256" t="inlineStr">
        <is>
          <t>—</t>
        </is>
      </c>
      <c r="O1887" s="256" t="inlineStr">
        <is>
          <t>—</t>
        </is>
      </c>
      <c r="P1887" s="256" t="inlineStr">
        <is>
          <t>not tested — no certificate covers it</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9" t="inlineStr">
        <is>
          <t>not tested</t>
        </is>
      </c>
      <c r="L1904" s="256" t="inlineStr">
        <is>
          <t>—</t>
        </is>
      </c>
      <c r="M1904" s="256" t="inlineStr">
        <is>
          <t>—</t>
        </is>
      </c>
      <c r="N1904" s="256" t="inlineStr">
        <is>
          <t>—</t>
        </is>
      </c>
      <c r="O1904" s="256" t="inlineStr">
        <is>
          <t>—</t>
        </is>
      </c>
      <c r="P1904" s="256" t="inlineStr">
        <is>
          <t>not tested — no certificate covers it</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9" t="inlineStr">
        <is>
          <t>not tested</t>
        </is>
      </c>
      <c r="L1906" s="256" t="inlineStr">
        <is>
          <t>—</t>
        </is>
      </c>
      <c r="M1906" s="256" t="inlineStr">
        <is>
          <t>—</t>
        </is>
      </c>
      <c r="N1906" s="256" t="inlineStr">
        <is>
          <t>—</t>
        </is>
      </c>
      <c r="O1906" s="256" t="inlineStr">
        <is>
          <t>—</t>
        </is>
      </c>
      <c r="P1906" s="256" t="inlineStr">
        <is>
          <t>not tested — no certificate covers it</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9" t="inlineStr">
        <is>
          <t>not tested</t>
        </is>
      </c>
      <c r="L1907" s="256" t="inlineStr">
        <is>
          <t>—</t>
        </is>
      </c>
      <c r="M1907" s="256" t="inlineStr">
        <is>
          <t>—</t>
        </is>
      </c>
      <c r="N1907" s="256" t="inlineStr">
        <is>
          <t>—</t>
        </is>
      </c>
      <c r="O1907" s="256" t="inlineStr">
        <is>
          <t>—</t>
        </is>
      </c>
      <c r="P1907" s="256" t="inlineStr">
        <is>
          <t>not tested — no certificate covers it</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9" t="inlineStr">
        <is>
          <t>not tested</t>
        </is>
      </c>
      <c r="L1908" s="256" t="inlineStr">
        <is>
          <t>—</t>
        </is>
      </c>
      <c r="M1908" s="256" t="inlineStr">
        <is>
          <t>—</t>
        </is>
      </c>
      <c r="N1908" s="256" t="inlineStr">
        <is>
          <t>—</t>
        </is>
      </c>
      <c r="O1908" s="256" t="inlineStr">
        <is>
          <t>—</t>
        </is>
      </c>
      <c r="P1908" s="256" t="inlineStr">
        <is>
          <t>not tested — no certificate covers it</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9" t="inlineStr">
        <is>
          <t>not tested</t>
        </is>
      </c>
      <c r="L1909" s="256" t="inlineStr">
        <is>
          <t>—</t>
        </is>
      </c>
      <c r="M1909" s="256" t="inlineStr">
        <is>
          <t>—</t>
        </is>
      </c>
      <c r="N1909" s="256" t="inlineStr">
        <is>
          <t>—</t>
        </is>
      </c>
      <c r="O1909" s="256" t="inlineStr">
        <is>
          <t>—</t>
        </is>
      </c>
      <c r="P1909" s="256" t="inlineStr">
        <is>
          <t>not tested — no certificate covers it</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9" t="inlineStr">
        <is>
          <t>not tested</t>
        </is>
      </c>
      <c r="L1910" s="256" t="inlineStr">
        <is>
          <t>—</t>
        </is>
      </c>
      <c r="M1910" s="256" t="inlineStr">
        <is>
          <t>—</t>
        </is>
      </c>
      <c r="N1910" s="256" t="inlineStr">
        <is>
          <t>—</t>
        </is>
      </c>
      <c r="O1910" s="256" t="inlineStr">
        <is>
          <t>—</t>
        </is>
      </c>
      <c r="P1910" s="256" t="inlineStr">
        <is>
          <t>not tested — no certificate covers it</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iCoA-PP_26-122</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iCoA-PP_26-122</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iCoA-PP_26-122</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iCoA-PP_26-100</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iCoA-PP_26-100</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iCoA-PP_26-100</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iCoA-PP_26-101</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iCoA-PP_26-101</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iCoA-PP_26-101</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iCoA-PP_26-105</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iCoA-PP_26-105</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iCoA-PP_26-105</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iCoA-PP_26-102</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iCoA-PP_26-102</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iCoA-PP_26-102</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iCoA-PP_26-104</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iCoA-PP_26-104</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iCoA-PP_26-104</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iCoA-PP_26-109</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iCoA-PP_26-109</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iCoA-PP_26-109</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22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iCoA-PP_26-106</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iCoA-PP_26-106</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iCoA-PP_26-106</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iCoA-PP_26-107</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iCoA-PP_26-107</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iCoA-PP_26-107</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iCoA-PP_26-108</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iCoA-PP_26-108</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iCoA-PP_26-108</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iCoA-PP_26-111</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iCoA-PP_26-111</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iCoA-PP_26-111</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iCoA-PP_26-112</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iCoA-PP_26-112</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iCoA-PP_26-112</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iCoA-PP_26-113</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iCoA-PP_26-113</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iCoA-PP_26-113</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iCoA-PP_26-114</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iCoA-PP_26-114</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iCoA-PP_26-114</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25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iCoA-PP_26-115</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iCoA-PP_26-115</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iCoA-PP_26-115</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iCoA-PP_26-116</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iCoA-PP_26-116</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iCoA-PP_26-116</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iCoA-PP_26-117</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iCoA-PP_26-117</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iCoA-PP_26-117</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iCoA-PP_26-118</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iCoA-PP_26-118</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iCoA-PP_26-118</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iCoA-PP_26-120</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iCoA-PP_26-120</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iCoA-PP_26-120</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iCoA-PP_26-119</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iCoA-PP_26-119</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iCoA-PP_26-119</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iCoA-PP_26-103</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iCoA-PP_26-103</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iCoA-PP_26-103</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iCoA-PP_26-123</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iCoA-PP_26-123</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iCoA-PP_26-123</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25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iCoA-PP_26-124</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iCoA-PP_26-124</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iCoA-PP_26-124</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iCoA-PP_26-024</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iCoA-PP_26-145</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iCoA-PP_26-145</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iCoA-PP_26-145</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iCoA-PP_26-125</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iCoA-PP_26-125</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iCoA-PP_26-125</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25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iCoA-PP_26-126</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iCoA-PP_26-126</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iCoA-PP_26-126</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iCoA-PP_26-127</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iCoA-PP_26-127</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iCoA-PP_26-127</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iCoA-PP_26-128</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iCoA-PP_26-128</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iCoA-PP_26-128</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iCoA-PP_26-129</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iCoA-PP_26-129</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iCoA-PP_26-129</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iCoA-PP_26-130</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iCoA-PP_26-130</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iCoA-PP_26-130</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iCoA-PP_26-131</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iCoA-PP_26-131</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iCoA-PP_26-131</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22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iCoA-PP_26-132</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iCoA-PP_26-132</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iCoA-PP_26-132</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iCoA-PP_26-133</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iCoA-PP_26-133</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iCoA-PP_26-133</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iCoA-PP_26-134</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iCoA-PP_26-134</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iCoA-PP_26-134</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iCoA-PP_26-135</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iCoA-PP_26-135</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iCoA-PP_26-135</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iCoA-PP_26-136</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iCoA-PP_26-136</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iCoA-PP_26-136</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25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iCoA-PP_26-137</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iCoA-PP_26-137</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iCoA-PP_26-137</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iCoA-PP_26-140</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22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22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iCoA-PP_26-148</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iCoA-PP_26-148</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iCoA-PP_26-148</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iCoA-PP_26-141</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iCoA-PP_26-141</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iCoA-PP_26-141</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25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iCoA-PP_26-142</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iCoA-PP_26-142</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iCoA-PP_26-142</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iCoA-PP_26-144</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iCoA-PP_26-144</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iCoA-PP_26-144</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iCoA-PP_26-143</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iCoA-PP_26-143</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iCoA-PP_26-143</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iCoA-PP_26-149</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iCoA-PP_26-149</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iCoA-PP_26-149</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iCoA-PP_26-150</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iCoA-PP_26-150</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iCoA-PP_26-150</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25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iCoA-PP_26-151</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iCoA-PP_26-151</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iCoA-PP_26-151</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25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iCoA-PP_26-152</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iCoA-PP_26-152</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iCoA-PP_26-152</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iCoA-PP_26-153</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iCoA-PP_26-153</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iCoA-PP_26-153</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iCoA-PP_26-154</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iCoA-PP_26-154</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iCoA-PP_26-154</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iCoA-PP_26-175</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iCoA-PP_26-175</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iCoA-PP_26-175</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iCoA-PP_26-176</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iCoA-PP_26-176</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iCoA-PP_26-176</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iCoA-PP_26-155</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iCoA-PP_26-155</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iCoA-PP_26-155</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iCoA-PP_26-177</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iCoA-PP_26-177</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iCoA-PP_26-177</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iCoA-PP_26-178</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iCoA-PP_26-178</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iCoA-PP_26-178</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iCoA-PP_26-179</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iCoA-PP_26-179</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iCoA-PP_26-179</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iCoA-PP_26-180</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iCoA-PP_26-180</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iCoA-PP_26-180</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carried from the initial testing — not tested</t>
        </is>
      </c>
      <c r="L3286" s="256" t="inlineStr">
        <is>
          <t>—</t>
        </is>
      </c>
      <c r="M3286" s="256" t="inlineStr">
        <is>
          <t>—</t>
        </is>
      </c>
      <c r="N3286" s="256" t="inlineStr">
        <is>
          <t>—</t>
        </is>
      </c>
      <c r="O3286" s="256" t="inlineStr">
        <is>
          <t>—</t>
        </is>
      </c>
      <c r="P3286" s="256" t="inlineStr">
        <is>
          <t>carried from the initial testing (the batch's initial CoQ (number assigned on issue)) — not tested — no certificate covers it</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carried from the initial testing — not tested</t>
        </is>
      </c>
      <c r="L3287" s="256" t="inlineStr">
        <is>
          <t>—</t>
        </is>
      </c>
      <c r="M3287" s="256" t="inlineStr">
        <is>
          <t>—</t>
        </is>
      </c>
      <c r="N3287" s="256" t="inlineStr">
        <is>
          <t>—</t>
        </is>
      </c>
      <c r="O3287" s="256" t="inlineStr">
        <is>
          <t>—</t>
        </is>
      </c>
      <c r="P3287" s="256" t="inlineStr">
        <is>
          <t>carried from the initial testing (the batch's initial CoQ (number assigned on issue)) — not tested — no certificate covers it</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carried from the initial testing — not tested</t>
        </is>
      </c>
      <c r="L3288" s="256" t="inlineStr">
        <is>
          <t>—</t>
        </is>
      </c>
      <c r="M3288" s="256" t="inlineStr">
        <is>
          <t>—</t>
        </is>
      </c>
      <c r="N3288" s="256" t="inlineStr">
        <is>
          <t>—</t>
        </is>
      </c>
      <c r="O3288" s="256" t="inlineStr">
        <is>
          <t>—</t>
        </is>
      </c>
      <c r="P3288" s="256" t="inlineStr">
        <is>
          <t>carried from the initial testing (the batch's initial CoQ (number assigned on issue)) — not tested — no certificate covers it</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carried from the initial testing — not tested</t>
        </is>
      </c>
      <c r="L3289" s="256" t="inlineStr">
        <is>
          <t>—</t>
        </is>
      </c>
      <c r="M3289" s="256" t="inlineStr">
        <is>
          <t>—</t>
        </is>
      </c>
      <c r="N3289" s="256" t="inlineStr">
        <is>
          <t>—</t>
        </is>
      </c>
      <c r="O3289" s="256" t="inlineStr">
        <is>
          <t>—</t>
        </is>
      </c>
      <c r="P3289" s="256" t="inlineStr">
        <is>
          <t>carried from the initial testing (the batch's initial CoQ (number assigned on issue)) — not tested — no certificate covers it</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carried from the initial testing — not tested</t>
        </is>
      </c>
      <c r="L3290" s="256" t="inlineStr">
        <is>
          <t>—</t>
        </is>
      </c>
      <c r="M3290" s="256" t="inlineStr">
        <is>
          <t>—</t>
        </is>
      </c>
      <c r="N3290" s="256" t="inlineStr">
        <is>
          <t>—</t>
        </is>
      </c>
      <c r="O3290" s="256" t="inlineStr">
        <is>
          <t>—</t>
        </is>
      </c>
      <c r="P3290" s="256" t="inlineStr">
        <is>
          <t>carried from the initial testing (the batch's initial CoQ (number assigned on issue)) — not tested — no certificate covers it</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carried from the initial testing — not tested</t>
        </is>
      </c>
      <c r="L3309" s="256" t="inlineStr">
        <is>
          <t>—</t>
        </is>
      </c>
      <c r="M3309" s="256" t="inlineStr">
        <is>
          <t>—</t>
        </is>
      </c>
      <c r="N3309" s="256" t="inlineStr">
        <is>
          <t>—</t>
        </is>
      </c>
      <c r="O3309" s="256" t="inlineStr">
        <is>
          <t>—</t>
        </is>
      </c>
      <c r="P3309" s="256" t="inlineStr">
        <is>
          <t>carried from the initial testing (the batch's initial CoQ (number assigned on issue)) — not tested — no certificate covers it</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carried from the initial testing — not tested</t>
        </is>
      </c>
      <c r="L3310" s="256" t="inlineStr">
        <is>
          <t>—</t>
        </is>
      </c>
      <c r="M3310" s="256" t="inlineStr">
        <is>
          <t>—</t>
        </is>
      </c>
      <c r="N3310" s="256" t="inlineStr">
        <is>
          <t>—</t>
        </is>
      </c>
      <c r="O3310" s="256" t="inlineStr">
        <is>
          <t>—</t>
        </is>
      </c>
      <c r="P3310" s="256" t="inlineStr">
        <is>
          <t>carried from the initial testing (the batch's initial CoQ (number assigned on issue)) — not tested — no certificate covers it</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carried from the initial testing — not tested</t>
        </is>
      </c>
      <c r="L3311" s="256" t="inlineStr">
        <is>
          <t>—</t>
        </is>
      </c>
      <c r="M3311" s="256" t="inlineStr">
        <is>
          <t>—</t>
        </is>
      </c>
      <c r="N3311" s="256" t="inlineStr">
        <is>
          <t>—</t>
        </is>
      </c>
      <c r="O3311" s="256" t="inlineStr">
        <is>
          <t>—</t>
        </is>
      </c>
      <c r="P3311" s="256" t="inlineStr">
        <is>
          <t>carried from the initial testing (the batch's initial CoQ (number assigned on issue)) — not tested — no certificate covers it</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carried from the initial testing — not tested</t>
        </is>
      </c>
      <c r="L3312" s="256" t="inlineStr">
        <is>
          <t>—</t>
        </is>
      </c>
      <c r="M3312" s="256" t="inlineStr">
        <is>
          <t>—</t>
        </is>
      </c>
      <c r="N3312" s="256" t="inlineStr">
        <is>
          <t>—</t>
        </is>
      </c>
      <c r="O3312" s="256" t="inlineStr">
        <is>
          <t>—</t>
        </is>
      </c>
      <c r="P3312" s="256" t="inlineStr">
        <is>
          <t>carried from the initial testing (the batch's initial CoQ (number assigned on issue)) — not tested — no certificate covers it</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carried from the initial testing — not tested</t>
        </is>
      </c>
      <c r="L3313" s="256" t="inlineStr">
        <is>
          <t>—</t>
        </is>
      </c>
      <c r="M3313" s="256" t="inlineStr">
        <is>
          <t>—</t>
        </is>
      </c>
      <c r="N3313" s="256" t="inlineStr">
        <is>
          <t>—</t>
        </is>
      </c>
      <c r="O3313" s="256" t="inlineStr">
        <is>
          <t>—</t>
        </is>
      </c>
      <c r="P3313" s="256" t="inlineStr">
        <is>
          <t>carried from the initial testing (the batch's initial CoQ (number assigned on issue)) — not tested — no certificate covers it</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iCoA-PP_26-183</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iCoA-PP_26-183</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iCoA-PP_26-183</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iCoA-PP_26-184</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iCoA-PP_26-184</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iCoA-PP_26-184</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iCoA-PP_26-165</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iCoA-PP_26-165</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iCoA-PP_26-165</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iCoA-PP_26-166</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iCoA-PP_26-166</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iCoA-PP_26-166</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iCoA-PP_26-167</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iCoA-PP_26-167</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iCoA-PP_26-167</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iCoA-PP_26-025</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iCoA-PP_26-168</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iCoA-PP_26-168</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iCoA-PP_26-168</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iCoA-PP_26-156</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iCoA-PP_26-156</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iCoA-PP_26-156</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iCoA-PP_26-169</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iCoA-PP_26-169</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iCoA-PP_26-169</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iCoA-PP_26-170</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iCoA-PP_26-170</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iCoA-PP_26-170</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carried from the initial testing — not tested</t>
        </is>
      </c>
      <c r="L3516" s="256" t="inlineStr">
        <is>
          <t>—</t>
        </is>
      </c>
      <c r="M3516" s="256" t="inlineStr">
        <is>
          <t>—</t>
        </is>
      </c>
      <c r="N3516" s="256" t="inlineStr">
        <is>
          <t>—</t>
        </is>
      </c>
      <c r="O3516" s="256" t="inlineStr">
        <is>
          <t>—</t>
        </is>
      </c>
      <c r="P3516" s="256" t="inlineStr">
        <is>
          <t>carried from the initial testing (the batch's initial CoQ (number assigned on issue)) — not tested — no certificate covers it</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carried from the initial testing — not tested</t>
        </is>
      </c>
      <c r="L3517" s="256" t="inlineStr">
        <is>
          <t>—</t>
        </is>
      </c>
      <c r="M3517" s="256" t="inlineStr">
        <is>
          <t>—</t>
        </is>
      </c>
      <c r="N3517" s="256" t="inlineStr">
        <is>
          <t>—</t>
        </is>
      </c>
      <c r="O3517" s="256" t="inlineStr">
        <is>
          <t>—</t>
        </is>
      </c>
      <c r="P3517" s="256" t="inlineStr">
        <is>
          <t>carried from the initial testing (the batch's initial CoQ (number assigned on issue)) — not tested — no certificate covers it</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carried from the initial testing — not tested</t>
        </is>
      </c>
      <c r="L3518" s="256" t="inlineStr">
        <is>
          <t>—</t>
        </is>
      </c>
      <c r="M3518" s="256" t="inlineStr">
        <is>
          <t>—</t>
        </is>
      </c>
      <c r="N3518" s="256" t="inlineStr">
        <is>
          <t>—</t>
        </is>
      </c>
      <c r="O3518" s="256" t="inlineStr">
        <is>
          <t>—</t>
        </is>
      </c>
      <c r="P3518" s="256" t="inlineStr">
        <is>
          <t>carried from the initial testing (the batch's initial CoQ (number assigned on issue)) — not tested — no certificate covers it</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carried from the initial testing — not tested</t>
        </is>
      </c>
      <c r="L3519" s="256" t="inlineStr">
        <is>
          <t>—</t>
        </is>
      </c>
      <c r="M3519" s="256" t="inlineStr">
        <is>
          <t>—</t>
        </is>
      </c>
      <c r="N3519" s="256" t="inlineStr">
        <is>
          <t>—</t>
        </is>
      </c>
      <c r="O3519" s="256" t="inlineStr">
        <is>
          <t>—</t>
        </is>
      </c>
      <c r="P3519" s="256" t="inlineStr">
        <is>
          <t>carried from the initial testing (the batch's initial CoQ (number assigned on issue)) — not tested — no certificate covers it</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carried from the initial testing — not tested</t>
        </is>
      </c>
      <c r="L3520" s="256" t="inlineStr">
        <is>
          <t>—</t>
        </is>
      </c>
      <c r="M3520" s="256" t="inlineStr">
        <is>
          <t>—</t>
        </is>
      </c>
      <c r="N3520" s="256" t="inlineStr">
        <is>
          <t>—</t>
        </is>
      </c>
      <c r="O3520" s="256" t="inlineStr">
        <is>
          <t>—</t>
        </is>
      </c>
      <c r="P3520" s="256" t="inlineStr">
        <is>
          <t>carried from the initial testing (the batch's initial CoQ (number assigned on issue)) — not tested — no certificate covers it</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iCoA-PP_26-171</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iCoA-PP_26-171</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iCoA-PP_26-171</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iCoA-PP_26-172</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iCoA-PP_26-172</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iCoA-PP_26-172</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iCoA-PP_26-173</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iCoA-PP_26-173</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iCoA-PP_26-173</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iCoA-PP_26-174</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iCoA-PP_26-174</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iCoA-PP_26-174</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iCoA-PP_26-157</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iCoA-PP_26-157</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iCoA-PP_26-157</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carried from the initial testing — not tested</t>
        </is>
      </c>
      <c r="L3631" s="256" t="inlineStr">
        <is>
          <t>—</t>
        </is>
      </c>
      <c r="M3631" s="256" t="inlineStr">
        <is>
          <t>—</t>
        </is>
      </c>
      <c r="N3631" s="256" t="inlineStr">
        <is>
          <t>—</t>
        </is>
      </c>
      <c r="O3631" s="256" t="inlineStr">
        <is>
          <t>—</t>
        </is>
      </c>
      <c r="P3631" s="256" t="inlineStr">
        <is>
          <t>carried from the initial testing (the batch's initial CoQ (number assigned on issue)) — not tested — no certificate covers it</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carried from the initial testing — not tested</t>
        </is>
      </c>
      <c r="L3632" s="256" t="inlineStr">
        <is>
          <t>—</t>
        </is>
      </c>
      <c r="M3632" s="256" t="inlineStr">
        <is>
          <t>—</t>
        </is>
      </c>
      <c r="N3632" s="256" t="inlineStr">
        <is>
          <t>—</t>
        </is>
      </c>
      <c r="O3632" s="256" t="inlineStr">
        <is>
          <t>—</t>
        </is>
      </c>
      <c r="P3632" s="256" t="inlineStr">
        <is>
          <t>carried from the initial testing (the batch's initial CoQ (number assigned on issue)) — not tested — no certificate covers it</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carried from the initial testing — not tested</t>
        </is>
      </c>
      <c r="L3633" s="256" t="inlineStr">
        <is>
          <t>—</t>
        </is>
      </c>
      <c r="M3633" s="256" t="inlineStr">
        <is>
          <t>—</t>
        </is>
      </c>
      <c r="N3633" s="256" t="inlineStr">
        <is>
          <t>—</t>
        </is>
      </c>
      <c r="O3633" s="256" t="inlineStr">
        <is>
          <t>—</t>
        </is>
      </c>
      <c r="P3633" s="256" t="inlineStr">
        <is>
          <t>carried from the initial testing (the batch's initial CoQ (number assigned on issue)) — not tested — no certificate covers it</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carried from the initial testing — not tested</t>
        </is>
      </c>
      <c r="L3634" s="256" t="inlineStr">
        <is>
          <t>—</t>
        </is>
      </c>
      <c r="M3634" s="256" t="inlineStr">
        <is>
          <t>—</t>
        </is>
      </c>
      <c r="N3634" s="256" t="inlineStr">
        <is>
          <t>—</t>
        </is>
      </c>
      <c r="O3634" s="256" t="inlineStr">
        <is>
          <t>—</t>
        </is>
      </c>
      <c r="P3634" s="256" t="inlineStr">
        <is>
          <t>carried from the initial testing (the batch's initial CoQ (number assigned on issue)) — not tested — no certificate covers it</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carried from the initial testing — not tested</t>
        </is>
      </c>
      <c r="L3635" s="256" t="inlineStr">
        <is>
          <t>—</t>
        </is>
      </c>
      <c r="M3635" s="256" t="inlineStr">
        <is>
          <t>—</t>
        </is>
      </c>
      <c r="N3635" s="256" t="inlineStr">
        <is>
          <t>—</t>
        </is>
      </c>
      <c r="O3635" s="256" t="inlineStr">
        <is>
          <t>—</t>
        </is>
      </c>
      <c r="P3635" s="256" t="inlineStr">
        <is>
          <t>carried from the initial testing (the batch's initial CoQ (number assigned on issue)) — not tested — no certificate covers it</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iCoA-PP_26-158</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iCoA-PP_26-158</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iCoA-PP_26-158</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iCoA-PP_26-159</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iCoA-PP_26-159</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iCoA-PP_26-159</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carried from the initial testing — not tested</t>
        </is>
      </c>
      <c r="L3700" s="256" t="inlineStr">
        <is>
          <t>—</t>
        </is>
      </c>
      <c r="M3700" s="256" t="inlineStr">
        <is>
          <t>—</t>
        </is>
      </c>
      <c r="N3700" s="256" t="inlineStr">
        <is>
          <t>—</t>
        </is>
      </c>
      <c r="O3700" s="256" t="inlineStr">
        <is>
          <t>—</t>
        </is>
      </c>
      <c r="P3700" s="256" t="inlineStr">
        <is>
          <t>carried from the initial testing (the batch's initial CoQ (number assigned on issue)) — not tested — no certificate covers it</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carried from the initial testing — not tested</t>
        </is>
      </c>
      <c r="L3701" s="256" t="inlineStr">
        <is>
          <t>—</t>
        </is>
      </c>
      <c r="M3701" s="256" t="inlineStr">
        <is>
          <t>—</t>
        </is>
      </c>
      <c r="N3701" s="256" t="inlineStr">
        <is>
          <t>—</t>
        </is>
      </c>
      <c r="O3701" s="256" t="inlineStr">
        <is>
          <t>—</t>
        </is>
      </c>
      <c r="P3701" s="256" t="inlineStr">
        <is>
          <t>carried from the initial testing (the batch's initial CoQ (number assigned on issue)) — not tested — no certificate covers it</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carried from the initial testing — not tested</t>
        </is>
      </c>
      <c r="L3702" s="256" t="inlineStr">
        <is>
          <t>—</t>
        </is>
      </c>
      <c r="M3702" s="256" t="inlineStr">
        <is>
          <t>—</t>
        </is>
      </c>
      <c r="N3702" s="256" t="inlineStr">
        <is>
          <t>—</t>
        </is>
      </c>
      <c r="O3702" s="256" t="inlineStr">
        <is>
          <t>—</t>
        </is>
      </c>
      <c r="P3702" s="256" t="inlineStr">
        <is>
          <t>carried from the initial testing (the batch's initial CoQ (number assigned on issue)) — not tested — no certificate covers it</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carried from the initial testing — not tested</t>
        </is>
      </c>
      <c r="L3703" s="256" t="inlineStr">
        <is>
          <t>—</t>
        </is>
      </c>
      <c r="M3703" s="256" t="inlineStr">
        <is>
          <t>—</t>
        </is>
      </c>
      <c r="N3703" s="256" t="inlineStr">
        <is>
          <t>—</t>
        </is>
      </c>
      <c r="O3703" s="256" t="inlineStr">
        <is>
          <t>—</t>
        </is>
      </c>
      <c r="P3703" s="256" t="inlineStr">
        <is>
          <t>carried from the initial testing (the batch's initial CoQ (number assigned on issue)) — not tested — no certificate covers it</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carried from the initial testing — not tested</t>
        </is>
      </c>
      <c r="L3704" s="256" t="inlineStr">
        <is>
          <t>—</t>
        </is>
      </c>
      <c r="M3704" s="256" t="inlineStr">
        <is>
          <t>—</t>
        </is>
      </c>
      <c r="N3704" s="256" t="inlineStr">
        <is>
          <t>—</t>
        </is>
      </c>
      <c r="O3704" s="256" t="inlineStr">
        <is>
          <t>—</t>
        </is>
      </c>
      <c r="P3704" s="256" t="inlineStr">
        <is>
          <t>carried from the initial testing (the batch's initial CoQ (number assigned on issue)) — not tested — no certificate covers it</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iCoA-PP_26-161</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iCoA-PP_26-161</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iCoA-PP_26-161</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carried from the initial testing — not tested</t>
        </is>
      </c>
      <c r="L3727" s="256" t="inlineStr">
        <is>
          <t>—</t>
        </is>
      </c>
      <c r="M3727" s="256" t="inlineStr">
        <is>
          <t>—</t>
        </is>
      </c>
      <c r="N3727" s="256" t="inlineStr">
        <is>
          <t>—</t>
        </is>
      </c>
      <c r="O3727" s="256" t="inlineStr">
        <is>
          <t>—</t>
        </is>
      </c>
      <c r="P3727" s="256" t="inlineStr">
        <is>
          <t>carried from the initial testing (the batch's initial CoQ (number assigned on issue)) — not tested — no certificate covers it</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iCoA-PP_26-162</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iCoA-PP_26-162</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iCoA-PP_26-162</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carried from the initial testing — not tested</t>
        </is>
      </c>
      <c r="L3746" s="256" t="inlineStr">
        <is>
          <t>—</t>
        </is>
      </c>
      <c r="M3746" s="256" t="inlineStr">
        <is>
          <t>—</t>
        </is>
      </c>
      <c r="N3746" s="256" t="inlineStr">
        <is>
          <t>—</t>
        </is>
      </c>
      <c r="O3746" s="256" t="inlineStr">
        <is>
          <t>—</t>
        </is>
      </c>
      <c r="P3746" s="256" t="inlineStr">
        <is>
          <t>carried from the initial testing (the batch's initial CoQ (number assigned on issue)) — not tested — no certificate covers it</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carried from the initial testing — not tested</t>
        </is>
      </c>
      <c r="L3747" s="256" t="inlineStr">
        <is>
          <t>—</t>
        </is>
      </c>
      <c r="M3747" s="256" t="inlineStr">
        <is>
          <t>—</t>
        </is>
      </c>
      <c r="N3747" s="256" t="inlineStr">
        <is>
          <t>—</t>
        </is>
      </c>
      <c r="O3747" s="256" t="inlineStr">
        <is>
          <t>—</t>
        </is>
      </c>
      <c r="P3747" s="256" t="inlineStr">
        <is>
          <t>carried from the initial testing (the batch's initial CoQ (number assigned on issue)) — not tested — no certificate covers it</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carried from the initial testing — not tested</t>
        </is>
      </c>
      <c r="L3748" s="256" t="inlineStr">
        <is>
          <t>—</t>
        </is>
      </c>
      <c r="M3748" s="256" t="inlineStr">
        <is>
          <t>—</t>
        </is>
      </c>
      <c r="N3748" s="256" t="inlineStr">
        <is>
          <t>—</t>
        </is>
      </c>
      <c r="O3748" s="256" t="inlineStr">
        <is>
          <t>—</t>
        </is>
      </c>
      <c r="P3748" s="256" t="inlineStr">
        <is>
          <t>carried from the initial testing (the batch's initial CoQ (number assigned on issue)) — not tested — no certificate covers it</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carried from the initial testing — not tested</t>
        </is>
      </c>
      <c r="L3749" s="256" t="inlineStr">
        <is>
          <t>—</t>
        </is>
      </c>
      <c r="M3749" s="256" t="inlineStr">
        <is>
          <t>—</t>
        </is>
      </c>
      <c r="N3749" s="256" t="inlineStr">
        <is>
          <t>—</t>
        </is>
      </c>
      <c r="O3749" s="256" t="inlineStr">
        <is>
          <t>—</t>
        </is>
      </c>
      <c r="P3749" s="256" t="inlineStr">
        <is>
          <t>carried from the initial testing (the batch's initial CoQ (number assigned on issue)) — not tested — no certificate covers it</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carried from the initial testing — not tested</t>
        </is>
      </c>
      <c r="L3750" s="256" t="inlineStr">
        <is>
          <t>—</t>
        </is>
      </c>
      <c r="M3750" s="256" t="inlineStr">
        <is>
          <t>—</t>
        </is>
      </c>
      <c r="N3750" s="256" t="inlineStr">
        <is>
          <t>—</t>
        </is>
      </c>
      <c r="O3750" s="256" t="inlineStr">
        <is>
          <t>—</t>
        </is>
      </c>
      <c r="P3750" s="256" t="inlineStr">
        <is>
          <t>carried from the initial testing (the batch's initial CoQ (number assigned on issue)) — not tested — no certificate covers it</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iCoA-PP_26-163</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iCoA-PP_26-163</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iCoA-PP_26-163</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iCoA-PP_26-164</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iCoA-PP_26-164</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iCoA-PP_26-164</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carried from the initial testing — not tested</t>
        </is>
      </c>
      <c r="L3792" s="256" t="inlineStr">
        <is>
          <t>—</t>
        </is>
      </c>
      <c r="M3792" s="256" t="inlineStr">
        <is>
          <t>—</t>
        </is>
      </c>
      <c r="N3792" s="256" t="inlineStr">
        <is>
          <t>—</t>
        </is>
      </c>
      <c r="O3792" s="256" t="inlineStr">
        <is>
          <t>—</t>
        </is>
      </c>
      <c r="P3792" s="256" t="inlineStr">
        <is>
          <t>carried from the initial testing (the batch's initial CoQ (number assigned on issue)) — not tested — no certificate covers it</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carried from the initial testing — not tested</t>
        </is>
      </c>
      <c r="L3793" s="256" t="inlineStr">
        <is>
          <t>—</t>
        </is>
      </c>
      <c r="M3793" s="256" t="inlineStr">
        <is>
          <t>—</t>
        </is>
      </c>
      <c r="N3793" s="256" t="inlineStr">
        <is>
          <t>—</t>
        </is>
      </c>
      <c r="O3793" s="256" t="inlineStr">
        <is>
          <t>—</t>
        </is>
      </c>
      <c r="P3793" s="256" t="inlineStr">
        <is>
          <t>carried from the initial testing (the batch's initial CoQ (number assigned on issue)) — not tested — no certificate covers it</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carried from the initial testing — not tested</t>
        </is>
      </c>
      <c r="L3794" s="256" t="inlineStr">
        <is>
          <t>—</t>
        </is>
      </c>
      <c r="M3794" s="256" t="inlineStr">
        <is>
          <t>—</t>
        </is>
      </c>
      <c r="N3794" s="256" t="inlineStr">
        <is>
          <t>—</t>
        </is>
      </c>
      <c r="O3794" s="256" t="inlineStr">
        <is>
          <t>—</t>
        </is>
      </c>
      <c r="P3794" s="256" t="inlineStr">
        <is>
          <t>carried from the initial testing (the batch's initial CoQ (number assigned on issue)) — not tested — no certificate covers it</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carried from the initial testing — not tested</t>
        </is>
      </c>
      <c r="L3795" s="256" t="inlineStr">
        <is>
          <t>—</t>
        </is>
      </c>
      <c r="M3795" s="256" t="inlineStr">
        <is>
          <t>—</t>
        </is>
      </c>
      <c r="N3795" s="256" t="inlineStr">
        <is>
          <t>—</t>
        </is>
      </c>
      <c r="O3795" s="256" t="inlineStr">
        <is>
          <t>—</t>
        </is>
      </c>
      <c r="P3795" s="256" t="inlineStr">
        <is>
          <t>carried from the initial testing (the batch's initial CoQ (number assigned on issue)) — not tested — no certificate covers it</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carried from the initial testing — not tested</t>
        </is>
      </c>
      <c r="L3796" s="256" t="inlineStr">
        <is>
          <t>—</t>
        </is>
      </c>
      <c r="M3796" s="256" t="inlineStr">
        <is>
          <t>—</t>
        </is>
      </c>
      <c r="N3796" s="256" t="inlineStr">
        <is>
          <t>—</t>
        </is>
      </c>
      <c r="O3796" s="256" t="inlineStr">
        <is>
          <t>—</t>
        </is>
      </c>
      <c r="P3796" s="256" t="inlineStr">
        <is>
          <t>carried from the initial testing (the batch's initial CoQ (number assigned on issue)) — not tested — no certificate covers it</t>
        </is>
      </c>
      <c r="Q3796" s="256" t="inlineStr"/>
      <c r="R3796" s="256" t="inlineStr"/>
    </row>
    <row r="3797">
      <c r="A3797" s="256" t="inlineStr">
        <is>
          <t>— at issue —</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iCoA-PP_26-090</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 at issue —</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iCoA-PP_26-090</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 at issue —</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 at issue —</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 at issue —</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 at issue —</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 at issue —</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iCoA-PP_26-090</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 at issue —</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 at issue —</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 at issue —</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 at issue —</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 at issue —</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 at issue —</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 at issue —</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 at issue —</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 at issue —</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 at issue —</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 at issue —</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 at issue —</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 at issue —</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 at issue —</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 at issue —</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 at issue —</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 at issue —</t>
        </is>
      </c>
      <c r="B3820" s="256" t="inlineStr">
        <is>
          <t>reissue — retest</t>
        </is>
      </c>
      <c r="C3820" s="256" t="inlineStr">
        <is>
          <t>CC042601</t>
        </is>
      </c>
      <c r="D3820" s="256" t="inlineStr">
        <is>
          <t>— no P lot assigned —</t>
        </is>
      </c>
      <c r="E3820" s="256" t="inlineStr">
        <is>
          <t>Cash Cow</t>
        </is>
      </c>
      <c r="F3820" s="256" t="inlineStr">
        <is>
          <t>18.09.2026</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6" t="inlineStr">
        <is>
          <t>Conforms | Одговара</t>
        </is>
      </c>
      <c r="L3820" s="256" t="inlineStr">
        <is>
          <t>iCoA-PP_26-146</t>
        </is>
      </c>
      <c r="M3820" s="256" t="inlineStr">
        <is>
          <t>17.08.2026</t>
        </is>
      </c>
      <c r="N3820" s="256" t="inlineStr">
        <is>
          <t>Purely Plant GmbH (in-house)</t>
        </is>
      </c>
      <c r="O3820" s="256" t="inlineStr">
        <is>
          <t>—</t>
        </is>
      </c>
      <c r="P3820" s="256" t="inlineStr">
        <is>
          <t>to be performed — see route</t>
        </is>
      </c>
      <c r="Q3820" s="256" t="inlineStr">
        <is>
          <t>Farmahem — Ident A + B + C with the Assay, at retest</t>
        </is>
      </c>
      <c r="R3820" s="256" t="inlineStr"/>
    </row>
    <row r="3821">
      <c r="A3821" s="256" t="inlineStr">
        <is>
          <t>— at issue —</t>
        </is>
      </c>
      <c r="B3821" s="256" t="inlineStr">
        <is>
          <t>reissue — retest</t>
        </is>
      </c>
      <c r="C3821" s="256" t="inlineStr">
        <is>
          <t>CC042601</t>
        </is>
      </c>
      <c r="D3821" s="256" t="inlineStr">
        <is>
          <t>— no P lot assigned —</t>
        </is>
      </c>
      <c r="E3821" s="256" t="inlineStr">
        <is>
          <t>Cash Cow</t>
        </is>
      </c>
      <c r="F3821" s="256" t="inlineStr">
        <is>
          <t>18.09.2026</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6" t="inlineStr">
        <is>
          <t>Conforms | Одговара</t>
        </is>
      </c>
      <c r="L3821" s="256" t="inlineStr">
        <is>
          <t>iCoA-PP_26-146</t>
        </is>
      </c>
      <c r="M3821" s="256" t="inlineStr">
        <is>
          <t>17.08.2026</t>
        </is>
      </c>
      <c r="N3821" s="256" t="inlineStr">
        <is>
          <t>Purely Plant GmbH (in-house)</t>
        </is>
      </c>
      <c r="O3821" s="256" t="inlineStr">
        <is>
          <t>—</t>
        </is>
      </c>
      <c r="P3821" s="256" t="inlineStr">
        <is>
          <t>to be performed — see route</t>
        </is>
      </c>
      <c r="Q3821" s="256" t="inlineStr">
        <is>
          <t>Farmahem — Ident A + B + C with the Assay, at retest</t>
        </is>
      </c>
      <c r="R3821" s="256" t="inlineStr"/>
    </row>
    <row r="3822">
      <c r="A3822" s="256" t="inlineStr">
        <is>
          <t>— at issue —</t>
        </is>
      </c>
      <c r="B3822" s="256" t="inlineStr">
        <is>
          <t>reissue — retest</t>
        </is>
      </c>
      <c r="C3822" s="256" t="inlineStr">
        <is>
          <t>CC042601</t>
        </is>
      </c>
      <c r="D3822" s="256" t="inlineStr">
        <is>
          <t>— no P lot assigned —</t>
        </is>
      </c>
      <c r="E3822" s="256" t="inlineStr">
        <is>
          <t>Cash Cow</t>
        </is>
      </c>
      <c r="F3822" s="256" t="inlineStr">
        <is>
          <t>18.09.2026</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6" t="inlineStr">
        <is>
          <t>Conforms | Одговара</t>
        </is>
      </c>
      <c r="L3822" s="256" t="inlineStr">
        <is>
          <t>220-32-К/26</t>
        </is>
      </c>
      <c r="M3822" s="256" t="inlineStr">
        <is>
          <t>26.08.2026</t>
        </is>
      </c>
      <c r="N3822" s="256" t="inlineStr">
        <is>
          <t>Farmahem</t>
        </is>
      </c>
      <c r="O3822" s="256" t="inlineStr">
        <is>
          <t>17.08.2026</t>
        </is>
      </c>
      <c r="P3822" s="256" t="inlineStr">
        <is>
          <t>covered</t>
        </is>
      </c>
      <c r="Q3822" s="256" t="inlineStr"/>
      <c r="R3822" s="256" t="inlineStr"/>
    </row>
    <row r="3823">
      <c r="A3823" s="256" t="inlineStr">
        <is>
          <t>— at issue —</t>
        </is>
      </c>
      <c r="B3823" s="256" t="inlineStr">
        <is>
          <t>reissue — retest</t>
        </is>
      </c>
      <c r="C3823" s="256" t="inlineStr">
        <is>
          <t>CC042601</t>
        </is>
      </c>
      <c r="D3823" s="256" t="inlineStr">
        <is>
          <t>— no P lot assigned —</t>
        </is>
      </c>
      <c r="E3823" s="256" t="inlineStr">
        <is>
          <t>Cash Cow</t>
        </is>
      </c>
      <c r="F3823" s="256" t="inlineStr">
        <is>
          <t>18.09.2026</t>
        </is>
      </c>
      <c r="G3823" s="256" t="inlineStr">
        <is>
          <t>4</t>
        </is>
      </c>
      <c r="H3823" s="256" t="inlineStr">
        <is>
          <t>Assay — Total Δ⁹-THC</t>
        </is>
      </c>
      <c r="I3823" s="256" t="inlineStr">
        <is>
          <t>Ph. Eur. 2.2.29 (HPLC)</t>
        </is>
      </c>
      <c r="J3823" s="256" t="inlineStr">
        <is>
          <t>12.65 – 15.34 %  (grade II, nominal 14.00 ± 1.35)</t>
        </is>
      </c>
      <c r="K3823" s="256" t="inlineStr">
        <is>
          <t>14.90</t>
        </is>
      </c>
      <c r="L3823" s="256" t="inlineStr">
        <is>
          <t>220-32-К/26</t>
        </is>
      </c>
      <c r="M3823" s="256" t="inlineStr">
        <is>
          <t>26.08.2026</t>
        </is>
      </c>
      <c r="N3823" s="256" t="inlineStr">
        <is>
          <t>Farmahem</t>
        </is>
      </c>
      <c r="O3823" s="256" t="inlineStr">
        <is>
          <t>17.08.2026</t>
        </is>
      </c>
      <c r="P3823" s="256" t="inlineStr">
        <is>
          <t>covered</t>
        </is>
      </c>
      <c r="Q3823" s="256" t="inlineStr"/>
      <c r="R3823" s="256" t="inlineStr"/>
    </row>
    <row r="3824">
      <c r="A3824" s="256" t="inlineStr">
        <is>
          <t>— at issue —</t>
        </is>
      </c>
      <c r="B3824" s="256" t="inlineStr">
        <is>
          <t>reissue — retest</t>
        </is>
      </c>
      <c r="C3824" s="256" t="inlineStr">
        <is>
          <t>CC042601</t>
        </is>
      </c>
      <c r="D3824" s="256" t="inlineStr">
        <is>
          <t>— no P lot assigned —</t>
        </is>
      </c>
      <c r="E3824" s="256" t="inlineStr">
        <is>
          <t>Cash Cow</t>
        </is>
      </c>
      <c r="F3824" s="256" t="inlineStr">
        <is>
          <t>18.09.2026</t>
        </is>
      </c>
      <c r="G3824" s="256" t="inlineStr">
        <is>
          <t>5</t>
        </is>
      </c>
      <c r="H3824" s="256" t="inlineStr">
        <is>
          <t>Assay — Total CBD</t>
        </is>
      </c>
      <c r="I3824" s="256" t="inlineStr">
        <is>
          <t>Ph. Eur. 2.2.29 (HPLC) · CBD + CBDA x 0.877</t>
        </is>
      </c>
      <c r="J3824" s="256" t="inlineStr">
        <is>
          <t>≤ 1.0%, w/w</t>
        </is>
      </c>
      <c r="K3824" s="256" t="inlineStr">
        <is>
          <t>&lt; LOQ</t>
        </is>
      </c>
      <c r="L3824" s="256" t="inlineStr">
        <is>
          <t>220-32-К/26</t>
        </is>
      </c>
      <c r="M3824" s="256" t="inlineStr">
        <is>
          <t>26.08.2026</t>
        </is>
      </c>
      <c r="N3824" s="256" t="inlineStr">
        <is>
          <t>Farmahem</t>
        </is>
      </c>
      <c r="O3824" s="256" t="inlineStr">
        <is>
          <t>17.08.2026</t>
        </is>
      </c>
      <c r="P3824" s="256" t="inlineStr">
        <is>
          <t>covered</t>
        </is>
      </c>
      <c r="Q3824" s="256" t="inlineStr"/>
      <c r="R3824" s="256" t="inlineStr"/>
    </row>
    <row r="3825">
      <c r="A3825" s="256" t="inlineStr">
        <is>
          <t>— at issue —</t>
        </is>
      </c>
      <c r="B3825" s="256" t="inlineStr">
        <is>
          <t>reissue — retest</t>
        </is>
      </c>
      <c r="C3825" s="256" t="inlineStr">
        <is>
          <t>CC042601</t>
        </is>
      </c>
      <c r="D3825" s="256" t="inlineStr">
        <is>
          <t>— no P lot assigned —</t>
        </is>
      </c>
      <c r="E3825" s="256" t="inlineStr">
        <is>
          <t>Cash Cow</t>
        </is>
      </c>
      <c r="F3825" s="256" t="inlineStr">
        <is>
          <t>18.09.2026</t>
        </is>
      </c>
      <c r="G3825" s="256" t="inlineStr">
        <is>
          <t>6</t>
        </is>
      </c>
      <c r="H3825" s="256" t="inlineStr">
        <is>
          <t>Total CBN</t>
        </is>
      </c>
      <c r="I3825" s="256" t="inlineStr">
        <is>
          <t>Ph. Eur. 2.2.29 (HPLC) · CBN + CBNA x 0.876</t>
        </is>
      </c>
      <c r="J3825" s="256" t="inlineStr">
        <is>
          <t>≤ 1.0%, w/w</t>
        </is>
      </c>
      <c r="K3825" s="256" t="inlineStr">
        <is>
          <t>&lt; LOQ</t>
        </is>
      </c>
      <c r="L3825" s="256" t="inlineStr">
        <is>
          <t>220-32-К/26</t>
        </is>
      </c>
      <c r="M3825" s="256" t="inlineStr">
        <is>
          <t>26.08.2026</t>
        </is>
      </c>
      <c r="N3825" s="256" t="inlineStr">
        <is>
          <t>Farmahem</t>
        </is>
      </c>
      <c r="O3825" s="256" t="inlineStr">
        <is>
          <t>17.08.2026</t>
        </is>
      </c>
      <c r="P3825" s="256" t="inlineStr">
        <is>
          <t>covered</t>
        </is>
      </c>
      <c r="Q3825" s="256" t="inlineStr"/>
      <c r="R3825" s="256" t="inlineStr"/>
    </row>
    <row r="3826">
      <c r="A3826" s="256" t="inlineStr">
        <is>
          <t>— at issue —</t>
        </is>
      </c>
      <c r="B3826" s="256" t="inlineStr">
        <is>
          <t>reissue — retest</t>
        </is>
      </c>
      <c r="C3826" s="256" t="inlineStr">
        <is>
          <t>CC042601</t>
        </is>
      </c>
      <c r="D3826" s="256" t="inlineStr">
        <is>
          <t>— no P lot assigned —</t>
        </is>
      </c>
      <c r="E3826" s="256" t="inlineStr">
        <is>
          <t>Cash Cow</t>
        </is>
      </c>
      <c r="F3826" s="256" t="inlineStr">
        <is>
          <t>18.09.2026</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6" t="inlineStr">
        <is>
          <t>Conforms | Одговара</t>
        </is>
      </c>
      <c r="L3826" s="256" t="inlineStr">
        <is>
          <t>iCoA-PP_26-146</t>
        </is>
      </c>
      <c r="M3826" s="256" t="inlineStr">
        <is>
          <t>17.08.2026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 at issue —</t>
        </is>
      </c>
      <c r="B3827" s="256" t="inlineStr">
        <is>
          <t>reissue — retest</t>
        </is>
      </c>
      <c r="C3827" s="256" t="inlineStr">
        <is>
          <t>CC042601</t>
        </is>
      </c>
      <c r="D3827" s="256" t="inlineStr">
        <is>
          <t>— no P lot assigned —</t>
        </is>
      </c>
      <c r="E3827" s="256" t="inlineStr">
        <is>
          <t>Cash Cow</t>
        </is>
      </c>
      <c r="F3827" s="256" t="inlineStr">
        <is>
          <t>18.09.2026</t>
        </is>
      </c>
      <c r="G3827" s="256" t="inlineStr">
        <is>
          <t>8</t>
        </is>
      </c>
      <c r="H3827" s="256" t="inlineStr">
        <is>
          <t>Loss on Drying</t>
        </is>
      </c>
      <c r="I3827" s="256" t="inlineStr">
        <is>
          <t>Ph. Eur. 2.2.32 (3028) · at 40 °C, 24 h, 15–25 mbar</t>
        </is>
      </c>
      <c r="J3827" s="256" t="inlineStr">
        <is>
          <t>≤ 12.0%</t>
        </is>
      </c>
      <c r="K3827" s="256" t="inlineStr">
        <is>
          <t>carried from the initial testing — not tested</t>
        </is>
      </c>
      <c r="L3827" s="256" t="inlineStr">
        <is>
          <t>—</t>
        </is>
      </c>
      <c r="M3827" s="256" t="inlineStr">
        <is>
          <t>—</t>
        </is>
      </c>
      <c r="N3827" s="256" t="inlineStr">
        <is>
          <t>—</t>
        </is>
      </c>
      <c r="O3827" s="256" t="inlineStr">
        <is>
          <t>—</t>
        </is>
      </c>
      <c r="P3827" s="256" t="inlineStr">
        <is>
          <t>carried from the initial testing (the batch's initial CoQ (number assigned on issue)) — not tested — no certificate covers it</t>
        </is>
      </c>
      <c r="Q3827" s="256" t="inlineStr"/>
      <c r="R3827" s="256" t="inlineStr"/>
    </row>
    <row r="3828">
      <c r="A3828" s="256" t="inlineStr">
        <is>
          <t>— at issue —</t>
        </is>
      </c>
      <c r="B3828" s="256" t="inlineStr">
        <is>
          <t>reissue — retest</t>
        </is>
      </c>
      <c r="C3828" s="256" t="inlineStr">
        <is>
          <t>CC042601</t>
        </is>
      </c>
      <c r="D3828" s="256" t="inlineStr">
        <is>
          <t>— no P lot assigned —</t>
        </is>
      </c>
      <c r="E3828" s="256" t="inlineStr">
        <is>
          <t>Cash Cow</t>
        </is>
      </c>
      <c r="F3828" s="256" t="inlineStr">
        <is>
          <t>18.09.2026</t>
        </is>
      </c>
      <c r="G3828" s="256" t="inlineStr">
        <is>
          <t>9.1</t>
        </is>
      </c>
      <c r="H3828" s="256" t="inlineStr">
        <is>
          <t>TAMC</t>
        </is>
      </c>
      <c r="I3828" s="256" t="inlineStr">
        <is>
          <t>Ph. Eur. 2.6.12 cat. C</t>
        </is>
      </c>
      <c r="J3828" s="256" t="inlineStr">
        <is>
          <t>≤ 10⁵ CFU/g</t>
        </is>
      </c>
      <c r="K3828" s="256" t="inlineStr">
        <is>
          <t>carried from the initial testing — not tested</t>
        </is>
      </c>
      <c r="L3828" s="256" t="inlineStr">
        <is>
          <t>—</t>
        </is>
      </c>
      <c r="M3828" s="256" t="inlineStr">
        <is>
          <t>—</t>
        </is>
      </c>
      <c r="N3828" s="256" t="inlineStr">
        <is>
          <t>—</t>
        </is>
      </c>
      <c r="O3828" s="256" t="inlineStr">
        <is>
          <t>—</t>
        </is>
      </c>
      <c r="P3828" s="256" t="inlineStr">
        <is>
          <t>carried from the initial testing (the batch's initial CoQ (number assigned on issue)) — not tested — no certificate covers it</t>
        </is>
      </c>
      <c r="Q3828" s="256" t="inlineStr"/>
      <c r="R3828" s="256" t="inlineStr"/>
    </row>
    <row r="3829">
      <c r="A3829" s="256" t="inlineStr">
        <is>
          <t>— at issue —</t>
        </is>
      </c>
      <c r="B3829" s="256" t="inlineStr">
        <is>
          <t>reissue — retest</t>
        </is>
      </c>
      <c r="C3829" s="256" t="inlineStr">
        <is>
          <t>CC042601</t>
        </is>
      </c>
      <c r="D3829" s="256" t="inlineStr">
        <is>
          <t>— no P lot assigned —</t>
        </is>
      </c>
      <c r="E3829" s="256" t="inlineStr">
        <is>
          <t>Cash Cow</t>
        </is>
      </c>
      <c r="F3829" s="256" t="inlineStr">
        <is>
          <t>18.09.2026</t>
        </is>
      </c>
      <c r="G3829" s="256" t="inlineStr">
        <is>
          <t>9.2</t>
        </is>
      </c>
      <c r="H3829" s="256" t="inlineStr">
        <is>
          <t>TYMC</t>
        </is>
      </c>
      <c r="I3829" s="256" t="inlineStr">
        <is>
          <t>Ph. Eur. 2.6.12 cat. C</t>
        </is>
      </c>
      <c r="J3829" s="256" t="inlineStr">
        <is>
          <t>≤ 10⁴ CFU/g</t>
        </is>
      </c>
      <c r="K3829" s="256" t="inlineStr">
        <is>
          <t>carried from the initial testing — not tested</t>
        </is>
      </c>
      <c r="L3829" s="256" t="inlineStr">
        <is>
          <t>—</t>
        </is>
      </c>
      <c r="M3829" s="256" t="inlineStr">
        <is>
          <t>—</t>
        </is>
      </c>
      <c r="N3829" s="256" t="inlineStr">
        <is>
          <t>—</t>
        </is>
      </c>
      <c r="O3829" s="256" t="inlineStr">
        <is>
          <t>—</t>
        </is>
      </c>
      <c r="P3829" s="256" t="inlineStr">
        <is>
          <t>carried from the initial testing (the batch's initial CoQ (number assigned on issue)) — not tested — no certificate covers it</t>
        </is>
      </c>
      <c r="Q3829" s="256" t="inlineStr"/>
      <c r="R3829" s="256" t="inlineStr"/>
    </row>
    <row r="3830">
      <c r="A3830" s="256" t="inlineStr">
        <is>
          <t>— at issue —</t>
        </is>
      </c>
      <c r="B3830" s="256" t="inlineStr">
        <is>
          <t>reissue — retest</t>
        </is>
      </c>
      <c r="C3830" s="256" t="inlineStr">
        <is>
          <t>CC042601</t>
        </is>
      </c>
      <c r="D3830" s="256" t="inlineStr">
        <is>
          <t>— no P lot assigned —</t>
        </is>
      </c>
      <c r="E3830" s="256" t="inlineStr">
        <is>
          <t>Cash Cow</t>
        </is>
      </c>
      <c r="F3830" s="256" t="inlineStr">
        <is>
          <t>18.09.2026</t>
        </is>
      </c>
      <c r="G3830" s="256" t="inlineStr">
        <is>
          <t>9.3</t>
        </is>
      </c>
      <c r="H3830" s="256" t="inlineStr">
        <is>
          <t>Bile-tolerant gram-neg.</t>
        </is>
      </c>
      <c r="I3830" s="256" t="inlineStr">
        <is>
          <t>Ph. Eur. 2.6.31 cat. C</t>
        </is>
      </c>
      <c r="J3830" s="256" t="inlineStr">
        <is>
          <t>≤ 10⁴ CFU/g</t>
        </is>
      </c>
      <c r="K3830" s="256" t="inlineStr">
        <is>
          <t>carried from the initial testing — not tested</t>
        </is>
      </c>
      <c r="L3830" s="256" t="inlineStr">
        <is>
          <t>—</t>
        </is>
      </c>
      <c r="M3830" s="256" t="inlineStr">
        <is>
          <t>—</t>
        </is>
      </c>
      <c r="N3830" s="256" t="inlineStr">
        <is>
          <t>—</t>
        </is>
      </c>
      <c r="O3830" s="256" t="inlineStr">
        <is>
          <t>—</t>
        </is>
      </c>
      <c r="P3830" s="256" t="inlineStr">
        <is>
          <t>carried from the initial testing (the batch's initial CoQ (number assigned on issue)) — not tested — no certificate covers it</t>
        </is>
      </c>
      <c r="Q3830" s="256" t="inlineStr"/>
      <c r="R3830" s="256" t="inlineStr"/>
    </row>
    <row r="3831">
      <c r="A3831" s="256" t="inlineStr">
        <is>
          <t>— at issue —</t>
        </is>
      </c>
      <c r="B3831" s="256" t="inlineStr">
        <is>
          <t>reissue — retest</t>
        </is>
      </c>
      <c r="C3831" s="256" t="inlineStr">
        <is>
          <t>CC042601</t>
        </is>
      </c>
      <c r="D3831" s="256" t="inlineStr">
        <is>
          <t>— no P lot assigned —</t>
        </is>
      </c>
      <c r="E3831" s="256" t="inlineStr">
        <is>
          <t>Cash Cow</t>
        </is>
      </c>
      <c r="F3831" s="256" t="inlineStr">
        <is>
          <t>18.09.2026</t>
        </is>
      </c>
      <c r="G3831" s="256" t="inlineStr">
        <is>
          <t>9.4</t>
        </is>
      </c>
      <c r="H3831" s="256" t="inlineStr">
        <is>
          <t>Salmonella</t>
        </is>
      </c>
      <c r="I3831" s="256" t="inlineStr">
        <is>
          <t>Ph. Eur. 2.6.31 cat. C</t>
        </is>
      </c>
      <c r="J3831" s="256" t="inlineStr">
        <is>
          <t>Absence | Отсуство / 25 g</t>
        </is>
      </c>
      <c r="K3831" s="256" t="inlineStr">
        <is>
          <t>carried from the initial testing — not tested</t>
        </is>
      </c>
      <c r="L3831" s="256" t="inlineStr">
        <is>
          <t>—</t>
        </is>
      </c>
      <c r="M3831" s="256" t="inlineStr">
        <is>
          <t>—</t>
        </is>
      </c>
      <c r="N3831" s="256" t="inlineStr">
        <is>
          <t>—</t>
        </is>
      </c>
      <c r="O3831" s="256" t="inlineStr">
        <is>
          <t>—</t>
        </is>
      </c>
      <c r="P3831" s="256" t="inlineStr">
        <is>
          <t>carried from the initial testing (the batch's initial CoQ (number assigned on issue)) — not tested — no certificate covers it</t>
        </is>
      </c>
      <c r="Q3831" s="256" t="inlineStr"/>
      <c r="R3831" s="256" t="inlineStr"/>
    </row>
    <row r="3832">
      <c r="A3832" s="256" t="inlineStr">
        <is>
          <t>— at issue —</t>
        </is>
      </c>
      <c r="B3832" s="256" t="inlineStr">
        <is>
          <t>reissue — retest</t>
        </is>
      </c>
      <c r="C3832" s="256" t="inlineStr">
        <is>
          <t>CC042601</t>
        </is>
      </c>
      <c r="D3832" s="256" t="inlineStr">
        <is>
          <t>— no P lot assigned —</t>
        </is>
      </c>
      <c r="E3832" s="256" t="inlineStr">
        <is>
          <t>Cash Cow</t>
        </is>
      </c>
      <c r="F3832" s="256" t="inlineStr">
        <is>
          <t>18.09.2026</t>
        </is>
      </c>
      <c r="G3832" s="256" t="inlineStr">
        <is>
          <t>9.5</t>
        </is>
      </c>
      <c r="H3832" s="256" t="inlineStr">
        <is>
          <t>Escherichia coli</t>
        </is>
      </c>
      <c r="I3832" s="256" t="inlineStr">
        <is>
          <t>Ph. Eur. 2.6.13 cat. C</t>
        </is>
      </c>
      <c r="J3832" s="256" t="inlineStr">
        <is>
          <t>Absence | Отсуство / 1 g</t>
        </is>
      </c>
      <c r="K3832" s="256" t="inlineStr">
        <is>
          <t>carried from the initial testing — not tested</t>
        </is>
      </c>
      <c r="L3832" s="256" t="inlineStr">
        <is>
          <t>—</t>
        </is>
      </c>
      <c r="M3832" s="256" t="inlineStr">
        <is>
          <t>—</t>
        </is>
      </c>
      <c r="N3832" s="256" t="inlineStr">
        <is>
          <t>—</t>
        </is>
      </c>
      <c r="O3832" s="256" t="inlineStr">
        <is>
          <t>—</t>
        </is>
      </c>
      <c r="P3832" s="256" t="inlineStr">
        <is>
          <t>carried from the initial testing (the batch's initial CoQ (number assigned on issue)) — not tested — no certificate covers it</t>
        </is>
      </c>
      <c r="Q3832" s="256" t="inlineStr"/>
      <c r="R3832" s="256" t="inlineStr"/>
    </row>
    <row r="3833">
      <c r="A3833" s="256" t="inlineStr">
        <is>
          <t>— at issue —</t>
        </is>
      </c>
      <c r="B3833" s="256" t="inlineStr">
        <is>
          <t>reissue — retest</t>
        </is>
      </c>
      <c r="C3833" s="256" t="inlineStr">
        <is>
          <t>CC042601</t>
        </is>
      </c>
      <c r="D3833" s="256" t="inlineStr">
        <is>
          <t>— no P lot assigned —</t>
        </is>
      </c>
      <c r="E3833" s="256" t="inlineStr">
        <is>
          <t>Cash Cow</t>
        </is>
      </c>
      <c r="F3833" s="256" t="inlineStr">
        <is>
          <t>18.09.2026</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 at issue —</t>
        </is>
      </c>
      <c r="B3834" s="256" t="inlineStr">
        <is>
          <t>reissue — retest</t>
        </is>
      </c>
      <c r="C3834" s="256" t="inlineStr">
        <is>
          <t>CC042601</t>
        </is>
      </c>
      <c r="D3834" s="256" t="inlineStr">
        <is>
          <t>— no P lot assigned —</t>
        </is>
      </c>
      <c r="E3834" s="256" t="inlineStr">
        <is>
          <t>Cash Cow</t>
        </is>
      </c>
      <c r="F3834" s="256" t="inlineStr">
        <is>
          <t>18.09.2026</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 at issue —</t>
        </is>
      </c>
      <c r="B3835" s="256" t="inlineStr">
        <is>
          <t>reissue — retest</t>
        </is>
      </c>
      <c r="C3835" s="256" t="inlineStr">
        <is>
          <t>CC042601</t>
        </is>
      </c>
      <c r="D3835" s="256" t="inlineStr">
        <is>
          <t>— no P lot assigned —</t>
        </is>
      </c>
      <c r="E3835" s="256" t="inlineStr">
        <is>
          <t>Cash Cow</t>
        </is>
      </c>
      <c r="F3835" s="256" t="inlineStr">
        <is>
          <t>18.09.2026</t>
        </is>
      </c>
      <c r="G3835" s="256" t="inlineStr">
        <is>
          <t>10.1</t>
        </is>
      </c>
      <c r="H3835" s="256" t="inlineStr">
        <is>
          <t>Aflatoxin B₁</t>
        </is>
      </c>
      <c r="I3835" s="256" t="inlineStr">
        <is>
          <t>Ph. Eur. 2.8.18 (HPLC-FLD)</t>
        </is>
      </c>
      <c r="J3835" s="256" t="inlineStr">
        <is>
          <t>≤ 2 µg/kg</t>
        </is>
      </c>
      <c r="K3835" s="256" t="inlineStr">
        <is>
          <t>ND</t>
        </is>
      </c>
      <c r="L3835" s="256" t="inlineStr">
        <is>
          <t>220-32-М/26</t>
        </is>
      </c>
      <c r="M3835" s="256" t="inlineStr">
        <is>
          <t>11.09.2026</t>
        </is>
      </c>
      <c r="N3835" s="256" t="inlineStr">
        <is>
          <t>Farmahem</t>
        </is>
      </c>
      <c r="O3835" s="256" t="inlineStr">
        <is>
          <t>17.08.2026</t>
        </is>
      </c>
      <c r="P3835" s="256" t="inlineStr">
        <is>
          <t>covered</t>
        </is>
      </c>
      <c r="Q3835" s="256" t="inlineStr"/>
      <c r="R3835" s="256" t="inlineStr"/>
    </row>
    <row r="3836">
      <c r="A3836" s="256" t="inlineStr">
        <is>
          <t>— at issue —</t>
        </is>
      </c>
      <c r="B3836" s="256" t="inlineStr">
        <is>
          <t>reissue — retest</t>
        </is>
      </c>
      <c r="C3836" s="256" t="inlineStr">
        <is>
          <t>CC042601</t>
        </is>
      </c>
      <c r="D3836" s="256" t="inlineStr">
        <is>
          <t>— no P lot assigned —</t>
        </is>
      </c>
      <c r="E3836" s="256" t="inlineStr">
        <is>
          <t>Cash Cow</t>
        </is>
      </c>
      <c r="F3836" s="256" t="inlineStr">
        <is>
          <t>18.09.2026</t>
        </is>
      </c>
      <c r="G3836" s="256" t="inlineStr">
        <is>
          <t>10.2</t>
        </is>
      </c>
      <c r="H3836" s="256" t="inlineStr">
        <is>
          <t>Aflatoxins ∑</t>
        </is>
      </c>
      <c r="I3836" s="256" t="inlineStr">
        <is>
          <t>Ph. Eur. 2.8.18 (HPLC-FLD)</t>
        </is>
      </c>
      <c r="J3836" s="256" t="inlineStr">
        <is>
          <t>≤ 4 µg/kg</t>
        </is>
      </c>
      <c r="K3836" s="256" t="inlineStr">
        <is>
          <t>ND</t>
        </is>
      </c>
      <c r="L3836" s="256" t="inlineStr">
        <is>
          <t>220-32-М/26</t>
        </is>
      </c>
      <c r="M3836" s="256" t="inlineStr">
        <is>
          <t>11.09.2026</t>
        </is>
      </c>
      <c r="N3836" s="256" t="inlineStr">
        <is>
          <t>Farmahem</t>
        </is>
      </c>
      <c r="O3836" s="256" t="inlineStr">
        <is>
          <t>17.08.2026</t>
        </is>
      </c>
      <c r="P3836" s="256" t="inlineStr">
        <is>
          <t>covered</t>
        </is>
      </c>
      <c r="Q3836" s="256" t="inlineStr"/>
      <c r="R3836" s="256" t="inlineStr"/>
    </row>
    <row r="3837">
      <c r="A3837" s="256" t="inlineStr">
        <is>
          <t>— at issue —</t>
        </is>
      </c>
      <c r="B3837" s="256" t="inlineStr">
        <is>
          <t>reissue — retest</t>
        </is>
      </c>
      <c r="C3837" s="256" t="inlineStr">
        <is>
          <t>CC042601</t>
        </is>
      </c>
      <c r="D3837" s="256" t="inlineStr">
        <is>
          <t>— no P lot assigned —</t>
        </is>
      </c>
      <c r="E3837" s="256" t="inlineStr">
        <is>
          <t>Cash Cow</t>
        </is>
      </c>
      <c r="F3837" s="256" t="inlineStr">
        <is>
          <t>18.09.2026</t>
        </is>
      </c>
      <c r="G3837" s="256" t="inlineStr">
        <is>
          <t>10.3</t>
        </is>
      </c>
      <c r="H3837" s="256" t="inlineStr">
        <is>
          <t>Ochratoxin A</t>
        </is>
      </c>
      <c r="I3837" s="256" t="inlineStr">
        <is>
          <t>Ph. Eur. 2.8.22 (HPLC-FLD)</t>
        </is>
      </c>
      <c r="J3837" s="256" t="inlineStr">
        <is>
          <t>≤ 20 µg/kg</t>
        </is>
      </c>
      <c r="K3837" s="256" t="inlineStr">
        <is>
          <t>ND</t>
        </is>
      </c>
      <c r="L3837" s="256" t="inlineStr">
        <is>
          <t>220-32-М/26</t>
        </is>
      </c>
      <c r="M3837" s="256" t="inlineStr">
        <is>
          <t>11.09.2026</t>
        </is>
      </c>
      <c r="N3837" s="256" t="inlineStr">
        <is>
          <t>Farmahem</t>
        </is>
      </c>
      <c r="O3837" s="256" t="inlineStr">
        <is>
          <t>17.08.2026</t>
        </is>
      </c>
      <c r="P3837" s="256" t="inlineStr">
        <is>
          <t>covered</t>
        </is>
      </c>
      <c r="Q3837" s="256" t="inlineStr"/>
      <c r="R3837" s="256" t="inlineStr"/>
    </row>
    <row r="3838">
      <c r="A3838" s="256" t="inlineStr">
        <is>
          <t>— at issue —</t>
        </is>
      </c>
      <c r="B3838" s="256" t="inlineStr">
        <is>
          <t>reissue — retest</t>
        </is>
      </c>
      <c r="C3838" s="256" t="inlineStr">
        <is>
          <t>CC042601</t>
        </is>
      </c>
      <c r="D3838" s="256" t="inlineStr">
        <is>
          <t>— no P lot assigned —</t>
        </is>
      </c>
      <c r="E3838" s="256" t="inlineStr">
        <is>
          <t>Cash Cow</t>
        </is>
      </c>
      <c r="F3838" s="256" t="inlineStr">
        <is>
          <t>18.09.2026</t>
        </is>
      </c>
      <c r="G3838" s="256" t="inlineStr">
        <is>
          <t>11.1</t>
        </is>
      </c>
      <c r="H3838" s="256" t="inlineStr">
        <is>
          <t>Lead (Pb)</t>
        </is>
      </c>
      <c r="I3838" s="256" t="inlineStr">
        <is>
          <t>Ph. Eur. 2.4.27 (ICP-MS)</t>
        </is>
      </c>
      <c r="J3838" s="256" t="inlineStr">
        <is>
          <t>≤ 0.5 mg/kg</t>
        </is>
      </c>
      <c r="K3838" s="256" t="inlineStr">
        <is>
          <t>carried from the initial testing — not tested</t>
        </is>
      </c>
      <c r="L3838" s="256" t="inlineStr">
        <is>
          <t>—</t>
        </is>
      </c>
      <c r="M3838" s="256" t="inlineStr">
        <is>
          <t>—</t>
        </is>
      </c>
      <c r="N3838" s="256" t="inlineStr">
        <is>
          <t>—</t>
        </is>
      </c>
      <c r="O3838" s="256" t="inlineStr">
        <is>
          <t>—</t>
        </is>
      </c>
      <c r="P3838" s="256" t="inlineStr">
        <is>
          <t>carried from the initial testing (the batch's initial CoQ (number assigned on issue)) — not tested — no certificate covers it</t>
        </is>
      </c>
      <c r="Q3838" s="256" t="inlineStr"/>
      <c r="R3838" s="256" t="inlineStr"/>
    </row>
    <row r="3839">
      <c r="A3839" s="256" t="inlineStr">
        <is>
          <t>— at issue —</t>
        </is>
      </c>
      <c r="B3839" s="256" t="inlineStr">
        <is>
          <t>reissue — retest</t>
        </is>
      </c>
      <c r="C3839" s="256" t="inlineStr">
        <is>
          <t>CC042601</t>
        </is>
      </c>
      <c r="D3839" s="256" t="inlineStr">
        <is>
          <t>— no P lot assigned —</t>
        </is>
      </c>
      <c r="E3839" s="256" t="inlineStr">
        <is>
          <t>Cash Cow</t>
        </is>
      </c>
      <c r="F3839" s="256" t="inlineStr">
        <is>
          <t>18.09.2026</t>
        </is>
      </c>
      <c r="G3839" s="256" t="inlineStr">
        <is>
          <t>11.2</t>
        </is>
      </c>
      <c r="H3839" s="256" t="inlineStr">
        <is>
          <t>Cadmium (Cd)</t>
        </is>
      </c>
      <c r="I3839" s="256" t="inlineStr">
        <is>
          <t>Ph. Eur. 2.4.27 (ICP-MS)</t>
        </is>
      </c>
      <c r="J3839" s="256" t="inlineStr">
        <is>
          <t>≤ 0.3 mg/kg</t>
        </is>
      </c>
      <c r="K3839" s="256" t="inlineStr">
        <is>
          <t>carried from the initial testing — not tested</t>
        </is>
      </c>
      <c r="L3839" s="256" t="inlineStr">
        <is>
          <t>—</t>
        </is>
      </c>
      <c r="M3839" s="256" t="inlineStr">
        <is>
          <t>—</t>
        </is>
      </c>
      <c r="N3839" s="256" t="inlineStr">
        <is>
          <t>—</t>
        </is>
      </c>
      <c r="O3839" s="256" t="inlineStr">
        <is>
          <t>—</t>
        </is>
      </c>
      <c r="P3839" s="256" t="inlineStr">
        <is>
          <t>carried from the initial testing (the batch's initial CoQ (number assigned on issue)) — not tested — no certificate covers it</t>
        </is>
      </c>
      <c r="Q3839" s="256" t="inlineStr"/>
      <c r="R3839" s="256" t="inlineStr"/>
    </row>
    <row r="3840">
      <c r="A3840" s="256" t="inlineStr">
        <is>
          <t>— at issue —</t>
        </is>
      </c>
      <c r="B3840" s="256" t="inlineStr">
        <is>
          <t>reissue — retest</t>
        </is>
      </c>
      <c r="C3840" s="256" t="inlineStr">
        <is>
          <t>CC042601</t>
        </is>
      </c>
      <c r="D3840" s="256" t="inlineStr">
        <is>
          <t>— no P lot assigned —</t>
        </is>
      </c>
      <c r="E3840" s="256" t="inlineStr">
        <is>
          <t>Cash Cow</t>
        </is>
      </c>
      <c r="F3840" s="256" t="inlineStr">
        <is>
          <t>18.09.2026</t>
        </is>
      </c>
      <c r="G3840" s="256" t="inlineStr">
        <is>
          <t>11.3</t>
        </is>
      </c>
      <c r="H3840" s="256" t="inlineStr">
        <is>
          <t>Arsenic (As)</t>
        </is>
      </c>
      <c r="I3840" s="256" t="inlineStr">
        <is>
          <t>Ph. Eur. 2.4.27 (ICP-MS)</t>
        </is>
      </c>
      <c r="J3840" s="256" t="inlineStr">
        <is>
          <t>≤ 0.2 mg/kg</t>
        </is>
      </c>
      <c r="K3840" s="256" t="inlineStr">
        <is>
          <t>carried from the initial testing — not tested</t>
        </is>
      </c>
      <c r="L3840" s="256" t="inlineStr">
        <is>
          <t>—</t>
        </is>
      </c>
      <c r="M3840" s="256" t="inlineStr">
        <is>
          <t>—</t>
        </is>
      </c>
      <c r="N3840" s="256" t="inlineStr">
        <is>
          <t>—</t>
        </is>
      </c>
      <c r="O3840" s="256" t="inlineStr">
        <is>
          <t>—</t>
        </is>
      </c>
      <c r="P3840" s="256" t="inlineStr">
        <is>
          <t>carried from the initial testing (the batch's initial CoQ (number assigned on issue)) — not tested — no certificate covers it</t>
        </is>
      </c>
      <c r="Q3840" s="256" t="inlineStr"/>
      <c r="R3840" s="256" t="inlineStr"/>
    </row>
    <row r="3841">
      <c r="A3841" s="256" t="inlineStr">
        <is>
          <t>— at issue —</t>
        </is>
      </c>
      <c r="B3841" s="256" t="inlineStr">
        <is>
          <t>reissue — retest</t>
        </is>
      </c>
      <c r="C3841" s="256" t="inlineStr">
        <is>
          <t>CC042601</t>
        </is>
      </c>
      <c r="D3841" s="256" t="inlineStr">
        <is>
          <t>— no P lot assigned —</t>
        </is>
      </c>
      <c r="E3841" s="256" t="inlineStr">
        <is>
          <t>Cash Cow</t>
        </is>
      </c>
      <c r="F3841" s="256" t="inlineStr">
        <is>
          <t>18.09.2026</t>
        </is>
      </c>
      <c r="G3841" s="256" t="inlineStr">
        <is>
          <t>11.4</t>
        </is>
      </c>
      <c r="H3841" s="256" t="inlineStr">
        <is>
          <t>Mercury (Hg)</t>
        </is>
      </c>
      <c r="I3841" s="256" t="inlineStr">
        <is>
          <t>Ph. Eur. 2.4.27 (ICP-MS)</t>
        </is>
      </c>
      <c r="J3841" s="256" t="inlineStr">
        <is>
          <t>≤ 0.1 mg/kg</t>
        </is>
      </c>
      <c r="K3841" s="256" t="inlineStr">
        <is>
          <t>carried from the initial testing — not tested</t>
        </is>
      </c>
      <c r="L3841" s="256" t="inlineStr">
        <is>
          <t>—</t>
        </is>
      </c>
      <c r="M3841" s="256" t="inlineStr">
        <is>
          <t>—</t>
        </is>
      </c>
      <c r="N3841" s="256" t="inlineStr">
        <is>
          <t>—</t>
        </is>
      </c>
      <c r="O3841" s="256" t="inlineStr">
        <is>
          <t>—</t>
        </is>
      </c>
      <c r="P3841" s="256" t="inlineStr">
        <is>
          <t>carried from the initial testing (the batch's initial CoQ (number assigned on issue)) — not tested — no certificate covers it</t>
        </is>
      </c>
      <c r="Q3841" s="256" t="inlineStr"/>
      <c r="R3841" s="256" t="inlineStr"/>
    </row>
    <row r="3842">
      <c r="A3842" s="256" t="inlineStr">
        <is>
          <t>— at issue —</t>
        </is>
      </c>
      <c r="B3842" s="256" t="inlineStr">
        <is>
          <t>reissue — retest</t>
        </is>
      </c>
      <c r="C3842" s="256" t="inlineStr">
        <is>
          <t>CC042601</t>
        </is>
      </c>
      <c r="D3842" s="256" t="inlineStr">
        <is>
          <t>— no P lot assigned —</t>
        </is>
      </c>
      <c r="E3842" s="256" t="inlineStr">
        <is>
          <t>Cash Cow</t>
        </is>
      </c>
      <c r="F3842" s="256" t="inlineStr">
        <is>
          <t>18.09.2026</t>
        </is>
      </c>
      <c r="G3842" s="256" t="inlineStr">
        <is>
          <t>12</t>
        </is>
      </c>
      <c r="H3842" s="256" t="inlineStr">
        <is>
          <t>Pesticide Residues</t>
        </is>
      </c>
      <c r="I3842" s="256" t="inlineStr">
        <is>
          <t>Ph. Eur. 2.8.13 (LC-MS/MS) · CUMCS Equivalency</t>
        </is>
      </c>
      <c r="J3842" s="256" t="inlineStr">
        <is>
          <t>≤ LOQ as per Ph. Eur. 2.8.13 · ≤ LOQ as per CUMCS Equivalency</t>
        </is>
      </c>
      <c r="K3842" s="256" t="inlineStr">
        <is>
          <t>carried from the initial testing — not tested</t>
        </is>
      </c>
      <c r="L3842" s="256" t="inlineStr">
        <is>
          <t>—</t>
        </is>
      </c>
      <c r="M3842" s="256" t="inlineStr">
        <is>
          <t>—</t>
        </is>
      </c>
      <c r="N3842" s="256" t="inlineStr">
        <is>
          <t>—</t>
        </is>
      </c>
      <c r="O3842" s="256" t="inlineStr">
        <is>
          <t>—</t>
        </is>
      </c>
      <c r="P3842" s="256" t="inlineStr">
        <is>
          <t>carried from the initial testing (the batch's initial CoQ (number assigned on issue)) — not tested — no certificate covers it</t>
        </is>
      </c>
      <c r="Q3842" s="256" t="inlineStr"/>
      <c r="R3842" s="256" t="inlineStr"/>
    </row>
    <row r="3843">
      <c r="A3843" s="256" t="inlineStr">
        <is>
          <t>— at issue —</t>
        </is>
      </c>
      <c r="B3843" s="256" t="inlineStr">
        <is>
          <t>release</t>
        </is>
      </c>
      <c r="C3843" s="256" t="inlineStr">
        <is>
          <t>FB042601</t>
        </is>
      </c>
      <c r="D3843" s="256" t="inlineStr">
        <is>
          <t>— no P lot assigned —</t>
        </is>
      </c>
      <c r="E3843" s="256" t="inlineStr">
        <is>
          <t>Fat Bastard</t>
        </is>
      </c>
      <c r="F3843" s="256" t="inlineStr">
        <is>
          <t>≥ 11.05.2026 (floor — not yet dated)</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9" t="inlineStr">
        <is>
          <t>to be performed (in house)</t>
        </is>
      </c>
      <c r="L3843" s="256" t="inlineStr">
        <is>
          <t>iCoA-PP_26-091</t>
        </is>
      </c>
      <c r="M3843" s="256" t="inlineStr">
        <is>
          <t>03.06.2026</t>
        </is>
      </c>
      <c r="N3843" s="256" t="inlineStr">
        <is>
          <t>Purely Plant GmbH (in-house)</t>
        </is>
      </c>
      <c r="O3843" s="256" t="inlineStr">
        <is>
          <t>—</t>
        </is>
      </c>
      <c r="P3843" s="256" t="inlineStr">
        <is>
          <t>to be performed — see route</t>
        </is>
      </c>
      <c r="Q3843" s="256" t="inlineStr">
        <is>
          <t>Purely Plant laboratory — iCoA covering Ident A + B</t>
        </is>
      </c>
      <c r="R3843" s="256" t="inlineStr"/>
    </row>
    <row r="3844">
      <c r="A3844" s="256" t="inlineStr">
        <is>
          <t>— at issue —</t>
        </is>
      </c>
      <c r="B3844" s="256" t="inlineStr">
        <is>
          <t>release</t>
        </is>
      </c>
      <c r="C3844" s="256" t="inlineStr">
        <is>
          <t>FB042601</t>
        </is>
      </c>
      <c r="D3844" s="256" t="inlineStr">
        <is>
          <t>— no P lot assigned —</t>
        </is>
      </c>
      <c r="E3844" s="256" t="inlineStr">
        <is>
          <t>Fat Bastard</t>
        </is>
      </c>
      <c r="F3844" s="256" t="inlineStr">
        <is>
          <t>≥ 11.05.2026 (floor — not yet dated)</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9" t="inlineStr">
        <is>
          <t>to be performed (in house)</t>
        </is>
      </c>
      <c r="L3844" s="256" t="inlineStr">
        <is>
          <t>iCoA-PP_26-091</t>
        </is>
      </c>
      <c r="M3844" s="256" t="inlineStr">
        <is>
          <t>03.06.2026</t>
        </is>
      </c>
      <c r="N3844" s="256" t="inlineStr">
        <is>
          <t>Purely Plant GmbH (in-house)</t>
        </is>
      </c>
      <c r="O3844" s="256" t="inlineStr">
        <is>
          <t>—</t>
        </is>
      </c>
      <c r="P3844" s="256" t="inlineStr">
        <is>
          <t>to be performed — see route</t>
        </is>
      </c>
      <c r="Q3844" s="256" t="inlineStr">
        <is>
          <t>Purely Plant laboratory — iCoA covering Ident A + B</t>
        </is>
      </c>
      <c r="R3844" s="256" t="inlineStr"/>
    </row>
    <row r="3845">
      <c r="A3845" s="256" t="inlineStr">
        <is>
          <t>— at issue —</t>
        </is>
      </c>
      <c r="B3845" s="256" t="inlineStr">
        <is>
          <t>release</t>
        </is>
      </c>
      <c r="C3845" s="256" t="inlineStr">
        <is>
          <t>FB042601</t>
        </is>
      </c>
      <c r="D3845" s="256" t="inlineStr">
        <is>
          <t>— no P lot assigned —</t>
        </is>
      </c>
      <c r="E3845" s="256" t="inlineStr">
        <is>
          <t>Fat Bastard</t>
        </is>
      </c>
      <c r="F3845" s="256" t="inlineStr">
        <is>
          <t>≥ 11.05.2026 (floor — not yet dated)</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9" t="inlineStr">
        <is>
          <t>to be performed (in house)</t>
        </is>
      </c>
      <c r="L3845" s="256" t="inlineStr">
        <is>
          <t>—</t>
        </is>
      </c>
      <c r="M3845" s="256" t="inlineStr">
        <is>
          <t>—</t>
        </is>
      </c>
      <c r="N3845" s="256" t="inlineStr">
        <is>
          <t>—</t>
        </is>
      </c>
      <c r="O3845" s="256" t="inlineStr">
        <is>
          <t>—</t>
        </is>
      </c>
      <c r="P3845" s="256" t="inlineStr">
        <is>
          <t>to be performed — see route</t>
        </is>
      </c>
      <c r="Q3845" s="256" t="inlineStr">
        <is>
          <t>outside laboratory — the HPLC cannabinoid certificate discharges Ident C (Farmahem -K- or CNP); in-house iCoA P03 only where none exists</t>
        </is>
      </c>
      <c r="R3845" s="256" t="inlineStr"/>
    </row>
    <row r="3846">
      <c r="A3846" s="256" t="inlineStr">
        <is>
          <t>— at issue —</t>
        </is>
      </c>
      <c r="B3846" s="256" t="inlineStr">
        <is>
          <t>release</t>
        </is>
      </c>
      <c r="C3846" s="256" t="inlineStr">
        <is>
          <t>FB042601</t>
        </is>
      </c>
      <c r="D3846" s="256" t="inlineStr">
        <is>
          <t>— no P lot assigned —</t>
        </is>
      </c>
      <c r="E3846" s="256" t="inlineStr">
        <is>
          <t>Fat Bastard</t>
        </is>
      </c>
      <c r="F3846" s="256" t="inlineStr">
        <is>
          <t>≥ 11.05.2026 (floor — not yet dated)</t>
        </is>
      </c>
      <c r="G3846" s="256" t="inlineStr">
        <is>
          <t>4</t>
        </is>
      </c>
      <c r="H3846" s="256" t="inlineStr">
        <is>
          <t>Assay — Total Δ⁹-THC</t>
        </is>
      </c>
      <c r="I3846" s="256" t="inlineStr">
        <is>
          <t>Ph. Eur. 2.2.29 (HPLC)</t>
        </is>
      </c>
      <c r="J3846" s="256" t="inlineStr">
        <is>
          <t>Per grade of the potency specification of 15.09.2026 — no Total THC result on file</t>
        </is>
      </c>
      <c r="K3846" s="259" t="inlineStr">
        <is>
          <t>not tested</t>
        </is>
      </c>
      <c r="L3846" s="256" t="inlineStr">
        <is>
          <t>—</t>
        </is>
      </c>
      <c r="M3846" s="256" t="inlineStr">
        <is>
          <t>—</t>
        </is>
      </c>
      <c r="N3846" s="256" t="inlineStr">
        <is>
          <t>—</t>
        </is>
      </c>
      <c r="O3846" s="256" t="inlineStr">
        <is>
          <t>—</t>
        </is>
      </c>
      <c r="P3846" s="256" t="inlineStr">
        <is>
          <t>not tested — no certificate covers it</t>
        </is>
      </c>
      <c r="Q3846" s="256" t="inlineStr"/>
      <c r="R3846" s="256" t="inlineStr">
        <is>
          <t>14.99 (220-31-К/26)</t>
        </is>
      </c>
    </row>
    <row r="3847">
      <c r="A3847" s="256" t="inlineStr">
        <is>
          <t>— at issue —</t>
        </is>
      </c>
      <c r="B3847" s="256" t="inlineStr">
        <is>
          <t>release</t>
        </is>
      </c>
      <c r="C3847" s="256" t="inlineStr">
        <is>
          <t>FB042601</t>
        </is>
      </c>
      <c r="D3847" s="256" t="inlineStr">
        <is>
          <t>— no P lot assigned —</t>
        </is>
      </c>
      <c r="E3847" s="256" t="inlineStr">
        <is>
          <t>Fat Bastard</t>
        </is>
      </c>
      <c r="F3847" s="256" t="inlineStr">
        <is>
          <t>≥ 11.05.2026 (floor — not yet dated)</t>
        </is>
      </c>
      <c r="G3847" s="256" t="inlineStr">
        <is>
          <t>5</t>
        </is>
      </c>
      <c r="H3847" s="256" t="inlineStr">
        <is>
          <t>Assay — Total CBD</t>
        </is>
      </c>
      <c r="I3847" s="256" t="inlineStr">
        <is>
          <t>Ph. Eur. 2.2.29 (HPLC) · CBD + CBDA x 0.877</t>
        </is>
      </c>
      <c r="J3847" s="256" t="inlineStr">
        <is>
          <t>≤ 1.0%, w/w</t>
        </is>
      </c>
      <c r="K3847" s="259" t="inlineStr">
        <is>
          <t>not tested</t>
        </is>
      </c>
      <c r="L3847" s="256" t="inlineStr">
        <is>
          <t>—</t>
        </is>
      </c>
      <c r="M3847" s="256" t="inlineStr">
        <is>
          <t>—</t>
        </is>
      </c>
      <c r="N3847" s="256" t="inlineStr">
        <is>
          <t>—</t>
        </is>
      </c>
      <c r="O3847" s="256" t="inlineStr">
        <is>
          <t>—</t>
        </is>
      </c>
      <c r="P3847" s="256" t="inlineStr">
        <is>
          <t>not tested — no certificate covers it</t>
        </is>
      </c>
      <c r="Q3847" s="256" t="inlineStr"/>
      <c r="R3847" s="256" t="inlineStr">
        <is>
          <t>&lt;LOQ (220-31-К/26)</t>
        </is>
      </c>
    </row>
    <row r="3848">
      <c r="A3848" s="256" t="inlineStr">
        <is>
          <t>— at issue —</t>
        </is>
      </c>
      <c r="B3848" s="256" t="inlineStr">
        <is>
          <t>release</t>
        </is>
      </c>
      <c r="C3848" s="256" t="inlineStr">
        <is>
          <t>FB042601</t>
        </is>
      </c>
      <c r="D3848" s="256" t="inlineStr">
        <is>
          <t>— no P lot assigned —</t>
        </is>
      </c>
      <c r="E3848" s="256" t="inlineStr">
        <is>
          <t>Fat Bastard</t>
        </is>
      </c>
      <c r="F3848" s="256" t="inlineStr">
        <is>
          <t>≥ 11.05.2026 (floor — not yet dated)</t>
        </is>
      </c>
      <c r="G3848" s="256" t="inlineStr">
        <is>
          <t>6</t>
        </is>
      </c>
      <c r="H3848" s="256" t="inlineStr">
        <is>
          <t>Total CBN</t>
        </is>
      </c>
      <c r="I3848" s="256" t="inlineStr">
        <is>
          <t>Ph. Eur. 2.2.29 (HPLC) · CBN + CBNA x 0.876</t>
        </is>
      </c>
      <c r="J3848" s="256" t="inlineStr">
        <is>
          <t>≤ 1.0%, w/w</t>
        </is>
      </c>
      <c r="K3848" s="259" t="inlineStr">
        <is>
          <t>not tested</t>
        </is>
      </c>
      <c r="L3848" s="256" t="inlineStr">
        <is>
          <t>—</t>
        </is>
      </c>
      <c r="M3848" s="256" t="inlineStr">
        <is>
          <t>—</t>
        </is>
      </c>
      <c r="N3848" s="256" t="inlineStr">
        <is>
          <t>—</t>
        </is>
      </c>
      <c r="O3848" s="256" t="inlineStr">
        <is>
          <t>—</t>
        </is>
      </c>
      <c r="P3848" s="256" t="inlineStr">
        <is>
          <t>not tested — no certificate covers it</t>
        </is>
      </c>
      <c r="Q3848" s="256" t="inlineStr"/>
      <c r="R3848" s="256" t="inlineStr">
        <is>
          <t>&lt;LOQ (220-31-К/26)</t>
        </is>
      </c>
    </row>
    <row r="3849">
      <c r="A3849" s="256" t="inlineStr">
        <is>
          <t>— at issue —</t>
        </is>
      </c>
      <c r="B3849" s="256" t="inlineStr">
        <is>
          <t>release</t>
        </is>
      </c>
      <c r="C3849" s="256" t="inlineStr">
        <is>
          <t>FB042601</t>
        </is>
      </c>
      <c r="D3849" s="256" t="inlineStr">
        <is>
          <t>— no P lot assigned —</t>
        </is>
      </c>
      <c r="E3849" s="256" t="inlineStr">
        <is>
          <t>Fat Bastard</t>
        </is>
      </c>
      <c r="F3849" s="256" t="inlineStr">
        <is>
          <t>≥ 11.05.2026 (floor — not yet dated)</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9" t="inlineStr">
        <is>
          <t>to be performed (in house)</t>
        </is>
      </c>
      <c r="L3849" s="256" t="inlineStr">
        <is>
          <t>iCoA-PP_26-091</t>
        </is>
      </c>
      <c r="M3849" s="256" t="inlineStr">
        <is>
          <t>03.06.2026</t>
        </is>
      </c>
      <c r="N3849" s="256" t="inlineStr">
        <is>
          <t>Purely Plant GmbH (in-house)</t>
        </is>
      </c>
      <c r="O3849" s="256" t="inlineStr">
        <is>
          <t>—</t>
        </is>
      </c>
      <c r="P3849" s="256" t="inlineStr">
        <is>
          <t>to be performed — see route</t>
        </is>
      </c>
      <c r="Q3849" s="256" t="inlineStr">
        <is>
          <t>Purely Plant laboratory — iCoA covering Foreign matter</t>
        </is>
      </c>
      <c r="R3849" s="256" t="inlineStr"/>
    </row>
    <row r="3850">
      <c r="A3850" s="256" t="inlineStr">
        <is>
          <t>— at issue —</t>
        </is>
      </c>
      <c r="B3850" s="256" t="inlineStr">
        <is>
          <t>release</t>
        </is>
      </c>
      <c r="C3850" s="256" t="inlineStr">
        <is>
          <t>FB042601</t>
        </is>
      </c>
      <c r="D3850" s="256" t="inlineStr">
        <is>
          <t>— no P lot assigned —</t>
        </is>
      </c>
      <c r="E3850" s="256" t="inlineStr">
        <is>
          <t>Fat Bastard</t>
        </is>
      </c>
      <c r="F3850" s="256" t="inlineStr">
        <is>
          <t>≥ 11.05.2026 (floor — not yet dated)</t>
        </is>
      </c>
      <c r="G3850" s="256" t="inlineStr">
        <is>
          <t>8</t>
        </is>
      </c>
      <c r="H3850" s="256" t="inlineStr">
        <is>
          <t>Loss on Drying</t>
        </is>
      </c>
      <c r="I3850" s="256" t="inlineStr">
        <is>
          <t>Ph. Eur. 2.2.32 (3028) · at 40 °C, 24 h, 15–25 mbar</t>
        </is>
      </c>
      <c r="J3850" s="256" t="inlineStr">
        <is>
          <t>≤ 12.0%</t>
        </is>
      </c>
      <c r="K3850" s="259" t="inlineStr">
        <is>
          <t>not tested</t>
        </is>
      </c>
      <c r="L3850" s="256" t="inlineStr">
        <is>
          <t>—</t>
        </is>
      </c>
      <c r="M3850" s="256" t="inlineStr">
        <is>
          <t>—</t>
        </is>
      </c>
      <c r="N3850" s="256" t="inlineStr">
        <is>
          <t>—</t>
        </is>
      </c>
      <c r="O3850" s="256" t="inlineStr">
        <is>
          <t>—</t>
        </is>
      </c>
      <c r="P3850" s="256" t="inlineStr">
        <is>
          <t>not tested — no certificate covers it</t>
        </is>
      </c>
      <c r="Q3850" s="256" t="inlineStr"/>
      <c r="R3850" s="256" t="inlineStr"/>
    </row>
    <row r="3851">
      <c r="A3851" s="256" t="inlineStr">
        <is>
          <t>— at issue —</t>
        </is>
      </c>
      <c r="B3851" s="256" t="inlineStr">
        <is>
          <t>release</t>
        </is>
      </c>
      <c r="C3851" s="256" t="inlineStr">
        <is>
          <t>FB042601</t>
        </is>
      </c>
      <c r="D3851" s="256" t="inlineStr">
        <is>
          <t>— no P lot assigned —</t>
        </is>
      </c>
      <c r="E3851" s="256" t="inlineStr">
        <is>
          <t>Fat Bastard</t>
        </is>
      </c>
      <c r="F3851" s="256" t="inlineStr">
        <is>
          <t>≥ 11.05.2026 (floor — not yet dated)</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 at issue —</t>
        </is>
      </c>
      <c r="B3852" s="256" t="inlineStr">
        <is>
          <t>release</t>
        </is>
      </c>
      <c r="C3852" s="256" t="inlineStr">
        <is>
          <t>FB042601</t>
        </is>
      </c>
      <c r="D3852" s="256" t="inlineStr">
        <is>
          <t>— no P lot assigned —</t>
        </is>
      </c>
      <c r="E3852" s="256" t="inlineStr">
        <is>
          <t>Fat Bastard</t>
        </is>
      </c>
      <c r="F3852" s="256" t="inlineStr">
        <is>
          <t>≥ 11.05.2026 (floor — not yet dated)</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 at issue —</t>
        </is>
      </c>
      <c r="B3853" s="256" t="inlineStr">
        <is>
          <t>release</t>
        </is>
      </c>
      <c r="C3853" s="256" t="inlineStr">
        <is>
          <t>FB042601</t>
        </is>
      </c>
      <c r="D3853" s="256" t="inlineStr">
        <is>
          <t>— no P lot assigned —</t>
        </is>
      </c>
      <c r="E3853" s="256" t="inlineStr">
        <is>
          <t>Fat Bastard</t>
        </is>
      </c>
      <c r="F3853" s="256" t="inlineStr">
        <is>
          <t>≥ 11.05.2026 (floor — not yet dated)</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 at issue —</t>
        </is>
      </c>
      <c r="B3854" s="256" t="inlineStr">
        <is>
          <t>release</t>
        </is>
      </c>
      <c r="C3854" s="256" t="inlineStr">
        <is>
          <t>FB042601</t>
        </is>
      </c>
      <c r="D3854" s="256" t="inlineStr">
        <is>
          <t>— no P lot assigned —</t>
        </is>
      </c>
      <c r="E3854" s="256" t="inlineStr">
        <is>
          <t>Fat Bastard</t>
        </is>
      </c>
      <c r="F3854" s="256" t="inlineStr">
        <is>
          <t>≥ 11.05.2026 (floor — not yet dated)</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 at issue —</t>
        </is>
      </c>
      <c r="B3855" s="256" t="inlineStr">
        <is>
          <t>release</t>
        </is>
      </c>
      <c r="C3855" s="256" t="inlineStr">
        <is>
          <t>FB042601</t>
        </is>
      </c>
      <c r="D3855" s="256" t="inlineStr">
        <is>
          <t>— no P lot assigned —</t>
        </is>
      </c>
      <c r="E3855" s="256" t="inlineStr">
        <is>
          <t>Fat Bastard</t>
        </is>
      </c>
      <c r="F3855" s="256" t="inlineStr">
        <is>
          <t>≥ 11.05.2026 (floor — not yet dated)</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 at issue —</t>
        </is>
      </c>
      <c r="B3856" s="256" t="inlineStr">
        <is>
          <t>release</t>
        </is>
      </c>
      <c r="C3856" s="256" t="inlineStr">
        <is>
          <t>FB042601</t>
        </is>
      </c>
      <c r="D3856" s="256" t="inlineStr">
        <is>
          <t>— no P lot assigned —</t>
        </is>
      </c>
      <c r="E3856" s="256" t="inlineStr">
        <is>
          <t>Fat Bastard</t>
        </is>
      </c>
      <c r="F3856" s="256" t="inlineStr">
        <is>
          <t>≥ 11.05.2026 (floor — not yet dated)</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 at issue —</t>
        </is>
      </c>
      <c r="B3857" s="256" t="inlineStr">
        <is>
          <t>release</t>
        </is>
      </c>
      <c r="C3857" s="256" t="inlineStr">
        <is>
          <t>FB042601</t>
        </is>
      </c>
      <c r="D3857" s="256" t="inlineStr">
        <is>
          <t>— no P lot assigned —</t>
        </is>
      </c>
      <c r="E3857" s="256" t="inlineStr">
        <is>
          <t>Fat Bastard</t>
        </is>
      </c>
      <c r="F3857" s="256" t="inlineStr">
        <is>
          <t>≥ 11.05.2026 (floor — not yet dated)</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 at issue —</t>
        </is>
      </c>
      <c r="B3858" s="256" t="inlineStr">
        <is>
          <t>release</t>
        </is>
      </c>
      <c r="C3858" s="256" t="inlineStr">
        <is>
          <t>FB042601</t>
        </is>
      </c>
      <c r="D3858" s="256" t="inlineStr">
        <is>
          <t>— no P lot assigned —</t>
        </is>
      </c>
      <c r="E3858" s="256" t="inlineStr">
        <is>
          <t>Fat Bastard</t>
        </is>
      </c>
      <c r="F3858" s="256" t="inlineStr">
        <is>
          <t>≥ 11.05.2026 (floor — not yet dated)</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is>
          <t>ND (220-31-М/26)</t>
        </is>
      </c>
    </row>
    <row r="3859">
      <c r="A3859" s="256" t="inlineStr">
        <is>
          <t>— at issue —</t>
        </is>
      </c>
      <c r="B3859" s="256" t="inlineStr">
        <is>
          <t>release</t>
        </is>
      </c>
      <c r="C3859" s="256" t="inlineStr">
        <is>
          <t>FB042601</t>
        </is>
      </c>
      <c r="D3859" s="256" t="inlineStr">
        <is>
          <t>— no P lot assigned —</t>
        </is>
      </c>
      <c r="E3859" s="256" t="inlineStr">
        <is>
          <t>Fat Bastard</t>
        </is>
      </c>
      <c r="F3859" s="256" t="inlineStr">
        <is>
          <t>≥ 11.05.2026 (floor — not yet dated)</t>
        </is>
      </c>
      <c r="G3859" s="256" t="inlineStr">
        <is>
          <t>10.2</t>
        </is>
      </c>
      <c r="H3859" s="256" t="inlineStr">
        <is>
          <t>Aflatoxins ∑</t>
        </is>
      </c>
      <c r="I3859" s="256" t="inlineStr">
        <is>
          <t>Ph. Eur. 2.8.18 (HPLC-FLD)</t>
        </is>
      </c>
      <c r="J3859" s="256" t="inlineStr">
        <is>
          <t>≤ 4 µg/kg</t>
        </is>
      </c>
      <c r="K3859" s="259" t="inlineStr">
        <is>
          <t>not tested</t>
        </is>
      </c>
      <c r="L3859" s="256" t="inlineStr">
        <is>
          <t>—</t>
        </is>
      </c>
      <c r="M3859" s="256" t="inlineStr">
        <is>
          <t>—</t>
        </is>
      </c>
      <c r="N3859" s="256" t="inlineStr">
        <is>
          <t>—</t>
        </is>
      </c>
      <c r="O3859" s="256" t="inlineStr">
        <is>
          <t>—</t>
        </is>
      </c>
      <c r="P3859" s="256" t="inlineStr">
        <is>
          <t>not tested — no certificate covers it</t>
        </is>
      </c>
      <c r="Q3859" s="256" t="inlineStr"/>
      <c r="R3859" s="256" t="inlineStr">
        <is>
          <t>ND (220-31-М/26)</t>
        </is>
      </c>
    </row>
    <row r="3860">
      <c r="A3860" s="256" t="inlineStr">
        <is>
          <t>— at issue —</t>
        </is>
      </c>
      <c r="B3860" s="256" t="inlineStr">
        <is>
          <t>release</t>
        </is>
      </c>
      <c r="C3860" s="256" t="inlineStr">
        <is>
          <t>FB042601</t>
        </is>
      </c>
      <c r="D3860" s="256" t="inlineStr">
        <is>
          <t>— no P lot assigned —</t>
        </is>
      </c>
      <c r="E3860" s="256" t="inlineStr">
        <is>
          <t>Fat Bastard</t>
        </is>
      </c>
      <c r="F3860" s="256" t="inlineStr">
        <is>
          <t>≥ 11.05.2026 (floor — not yet dated)</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is>
          <t>ND (220-31-М/26)</t>
        </is>
      </c>
    </row>
    <row r="3861">
      <c r="A3861" s="256" t="inlineStr">
        <is>
          <t>— at issue —</t>
        </is>
      </c>
      <c r="B3861" s="256" t="inlineStr">
        <is>
          <t>release</t>
        </is>
      </c>
      <c r="C3861" s="256" t="inlineStr">
        <is>
          <t>FB042601</t>
        </is>
      </c>
      <c r="D3861" s="256" t="inlineStr">
        <is>
          <t>— no P lot assigned —</t>
        </is>
      </c>
      <c r="E3861" s="256" t="inlineStr">
        <is>
          <t>Fat Bastard</t>
        </is>
      </c>
      <c r="F3861" s="256" t="inlineStr">
        <is>
          <t>≥ 11.05.2026 (floor — not yet dated)</t>
        </is>
      </c>
      <c r="G3861" s="256" t="inlineStr">
        <is>
          <t>11.1</t>
        </is>
      </c>
      <c r="H3861" s="256" t="inlineStr">
        <is>
          <t>Lead (Pb)</t>
        </is>
      </c>
      <c r="I3861" s="256" t="inlineStr">
        <is>
          <t>Ph. Eur. 2.4.27 (ICP-MS)</t>
        </is>
      </c>
      <c r="J3861" s="256" t="inlineStr">
        <is>
          <t>≤ 0.5 mg/kg</t>
        </is>
      </c>
      <c r="K3861" s="259" t="inlineStr">
        <is>
          <t>not tested</t>
        </is>
      </c>
      <c r="L3861" s="256" t="inlineStr">
        <is>
          <t>—</t>
        </is>
      </c>
      <c r="M3861" s="256" t="inlineStr">
        <is>
          <t>—</t>
        </is>
      </c>
      <c r="N3861" s="256" t="inlineStr">
        <is>
          <t>—</t>
        </is>
      </c>
      <c r="O3861" s="256" t="inlineStr">
        <is>
          <t>—</t>
        </is>
      </c>
      <c r="P3861" s="256" t="inlineStr">
        <is>
          <t>not tested — no certificate covers it</t>
        </is>
      </c>
      <c r="Q3861" s="256" t="inlineStr"/>
      <c r="R3861" s="256" t="inlineStr"/>
    </row>
    <row r="3862">
      <c r="A3862" s="256" t="inlineStr">
        <is>
          <t>— at issue —</t>
        </is>
      </c>
      <c r="B3862" s="256" t="inlineStr">
        <is>
          <t>release</t>
        </is>
      </c>
      <c r="C3862" s="256" t="inlineStr">
        <is>
          <t>FB042601</t>
        </is>
      </c>
      <c r="D3862" s="256" t="inlineStr">
        <is>
          <t>— no P lot assigned —</t>
        </is>
      </c>
      <c r="E3862" s="256" t="inlineStr">
        <is>
          <t>Fat Bastard</t>
        </is>
      </c>
      <c r="F3862" s="256" t="inlineStr">
        <is>
          <t>≥ 11.05.2026 (floor — not yet dated)</t>
        </is>
      </c>
      <c r="G3862" s="256" t="inlineStr">
        <is>
          <t>11.2</t>
        </is>
      </c>
      <c r="H3862" s="256" t="inlineStr">
        <is>
          <t>Cadmium (Cd)</t>
        </is>
      </c>
      <c r="I3862" s="256" t="inlineStr">
        <is>
          <t>Ph. Eur. 2.4.27 (ICP-MS)</t>
        </is>
      </c>
      <c r="J3862" s="256" t="inlineStr">
        <is>
          <t>≤ 0.3 mg/kg</t>
        </is>
      </c>
      <c r="K3862" s="259" t="inlineStr">
        <is>
          <t>not tested</t>
        </is>
      </c>
      <c r="L3862" s="256" t="inlineStr">
        <is>
          <t>—</t>
        </is>
      </c>
      <c r="M3862" s="256" t="inlineStr">
        <is>
          <t>—</t>
        </is>
      </c>
      <c r="N3862" s="256" t="inlineStr">
        <is>
          <t>—</t>
        </is>
      </c>
      <c r="O3862" s="256" t="inlineStr">
        <is>
          <t>—</t>
        </is>
      </c>
      <c r="P3862" s="256" t="inlineStr">
        <is>
          <t>not tested — no certificate covers it</t>
        </is>
      </c>
      <c r="Q3862" s="256" t="inlineStr"/>
      <c r="R3862" s="256" t="inlineStr"/>
    </row>
    <row r="3863">
      <c r="A3863" s="256" t="inlineStr">
        <is>
          <t>— at issue —</t>
        </is>
      </c>
      <c r="B3863" s="256" t="inlineStr">
        <is>
          <t>release</t>
        </is>
      </c>
      <c r="C3863" s="256" t="inlineStr">
        <is>
          <t>FB042601</t>
        </is>
      </c>
      <c r="D3863" s="256" t="inlineStr">
        <is>
          <t>— no P lot assigned —</t>
        </is>
      </c>
      <c r="E3863" s="256" t="inlineStr">
        <is>
          <t>Fat Bastard</t>
        </is>
      </c>
      <c r="F3863" s="256" t="inlineStr">
        <is>
          <t>≥ 11.05.2026 (floor — not yet dated)</t>
        </is>
      </c>
      <c r="G3863" s="256" t="inlineStr">
        <is>
          <t>11.3</t>
        </is>
      </c>
      <c r="H3863" s="256" t="inlineStr">
        <is>
          <t>Arsenic (As)</t>
        </is>
      </c>
      <c r="I3863" s="256" t="inlineStr">
        <is>
          <t>Ph. Eur. 2.4.27 (ICP-MS)</t>
        </is>
      </c>
      <c r="J3863" s="256" t="inlineStr">
        <is>
          <t>≤ 0.2 mg/kg</t>
        </is>
      </c>
      <c r="K3863" s="259" t="inlineStr">
        <is>
          <t>not tested</t>
        </is>
      </c>
      <c r="L3863" s="256" t="inlineStr">
        <is>
          <t>—</t>
        </is>
      </c>
      <c r="M3863" s="256" t="inlineStr">
        <is>
          <t>—</t>
        </is>
      </c>
      <c r="N3863" s="256" t="inlineStr">
        <is>
          <t>—</t>
        </is>
      </c>
      <c r="O3863" s="256" t="inlineStr">
        <is>
          <t>—</t>
        </is>
      </c>
      <c r="P3863" s="256" t="inlineStr">
        <is>
          <t>not tested — no certificate covers it</t>
        </is>
      </c>
      <c r="Q3863" s="256" t="inlineStr"/>
      <c r="R3863" s="256" t="inlineStr"/>
    </row>
    <row r="3864">
      <c r="A3864" s="256" t="inlineStr">
        <is>
          <t>— at issue —</t>
        </is>
      </c>
      <c r="B3864" s="256" t="inlineStr">
        <is>
          <t>release</t>
        </is>
      </c>
      <c r="C3864" s="256" t="inlineStr">
        <is>
          <t>FB042601</t>
        </is>
      </c>
      <c r="D3864" s="256" t="inlineStr">
        <is>
          <t>— no P lot assigned —</t>
        </is>
      </c>
      <c r="E3864" s="256" t="inlineStr">
        <is>
          <t>Fat Bastard</t>
        </is>
      </c>
      <c r="F3864" s="256" t="inlineStr">
        <is>
          <t>≥ 11.05.2026 (floor — not yet dated)</t>
        </is>
      </c>
      <c r="G3864" s="256" t="inlineStr">
        <is>
          <t>11.4</t>
        </is>
      </c>
      <c r="H3864" s="256" t="inlineStr">
        <is>
          <t>Mercury (Hg)</t>
        </is>
      </c>
      <c r="I3864" s="256" t="inlineStr">
        <is>
          <t>Ph. Eur. 2.4.27 (ICP-MS)</t>
        </is>
      </c>
      <c r="J3864" s="256" t="inlineStr">
        <is>
          <t>≤ 0.1 mg/kg</t>
        </is>
      </c>
      <c r="K3864" s="259" t="inlineStr">
        <is>
          <t>not tested</t>
        </is>
      </c>
      <c r="L3864" s="256" t="inlineStr">
        <is>
          <t>—</t>
        </is>
      </c>
      <c r="M3864" s="256" t="inlineStr">
        <is>
          <t>—</t>
        </is>
      </c>
      <c r="N3864" s="256" t="inlineStr">
        <is>
          <t>—</t>
        </is>
      </c>
      <c r="O3864" s="256" t="inlineStr">
        <is>
          <t>—</t>
        </is>
      </c>
      <c r="P3864" s="256" t="inlineStr">
        <is>
          <t>not tested — no certificate covers it</t>
        </is>
      </c>
      <c r="Q3864" s="256" t="inlineStr"/>
      <c r="R3864" s="256" t="inlineStr"/>
    </row>
    <row r="3865">
      <c r="A3865" s="256" t="inlineStr">
        <is>
          <t>— at issue —</t>
        </is>
      </c>
      <c r="B3865" s="256" t="inlineStr">
        <is>
          <t>release</t>
        </is>
      </c>
      <c r="C3865" s="256" t="inlineStr">
        <is>
          <t>FB042601</t>
        </is>
      </c>
      <c r="D3865" s="256" t="inlineStr">
        <is>
          <t>— no P lot assigned —</t>
        </is>
      </c>
      <c r="E3865" s="256" t="inlineStr">
        <is>
          <t>Fat Bastard</t>
        </is>
      </c>
      <c r="F3865" s="256" t="inlineStr">
        <is>
          <t>≥ 11.05.2026 (floor — not yet dated)</t>
        </is>
      </c>
      <c r="G3865" s="256" t="inlineStr">
        <is>
          <t>12</t>
        </is>
      </c>
      <c r="H3865" s="256" t="inlineStr">
        <is>
          <t>Pesticide Residues</t>
        </is>
      </c>
      <c r="I3865" s="256" t="inlineStr">
        <is>
          <t>Ph. Eur. 2.8.13 (LC-MS/MS) · CUMCS Equivalency</t>
        </is>
      </c>
      <c r="J3865" s="256" t="inlineStr">
        <is>
          <t>≤ LOQ as per Ph. Eur. 2.8.13 · ≤ LOQ as per CUMCS Equivalency</t>
        </is>
      </c>
      <c r="K3865" s="259" t="inlineStr">
        <is>
          <t>not tested</t>
        </is>
      </c>
      <c r="L3865" s="256" t="inlineStr">
        <is>
          <t>—</t>
        </is>
      </c>
      <c r="M3865" s="256" t="inlineStr">
        <is>
          <t>—</t>
        </is>
      </c>
      <c r="N3865" s="256" t="inlineStr">
        <is>
          <t>—</t>
        </is>
      </c>
      <c r="O3865" s="256" t="inlineStr">
        <is>
          <t>—</t>
        </is>
      </c>
      <c r="P3865" s="256" t="inlineStr">
        <is>
          <t>not tested — no certificate covers it</t>
        </is>
      </c>
      <c r="Q3865" s="256" t="inlineStr"/>
      <c r="R3865" s="256" t="inlineStr"/>
    </row>
    <row r="3866">
      <c r="A3866" s="256" t="inlineStr">
        <is>
          <t>— at issue —</t>
        </is>
      </c>
      <c r="B3866" s="256" t="inlineStr">
        <is>
          <t>reissue — retest</t>
        </is>
      </c>
      <c r="C3866" s="256" t="inlineStr">
        <is>
          <t>FB042601</t>
        </is>
      </c>
      <c r="D3866" s="256" t="inlineStr">
        <is>
          <t>— no P lot assigned —</t>
        </is>
      </c>
      <c r="E3866" s="256" t="inlineStr">
        <is>
          <t>Fat Bastard</t>
        </is>
      </c>
      <c r="F3866" s="256" t="inlineStr">
        <is>
          <t>18.09.2026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iCoA-PP_26-147</t>
        </is>
      </c>
      <c r="M3866" s="256" t="inlineStr">
        <is>
          <t>17.08.2026</t>
        </is>
      </c>
      <c r="N3866" s="256" t="inlineStr">
        <is>
          <t>Purely Plant GmbH (in-house)</t>
        </is>
      </c>
      <c r="O3866" s="256" t="inlineStr">
        <is>
          <t>—</t>
        </is>
      </c>
      <c r="P3866" s="256" t="inlineStr">
        <is>
          <t>to be performed — see route</t>
        </is>
      </c>
      <c r="Q3866" s="256" t="inlineStr">
        <is>
          <t>Farmahem — Ident A + B + C with the Assay, at retest</t>
        </is>
      </c>
      <c r="R3866" s="256" t="inlineStr"/>
    </row>
    <row r="3867">
      <c r="A3867" s="256" t="inlineStr">
        <is>
          <t>— at issue —</t>
        </is>
      </c>
      <c r="B3867" s="256" t="inlineStr">
        <is>
          <t>reissue — retest</t>
        </is>
      </c>
      <c r="C3867" s="256" t="inlineStr">
        <is>
          <t>FB042601</t>
        </is>
      </c>
      <c r="D3867" s="256" t="inlineStr">
        <is>
          <t>— no P lot assigned —</t>
        </is>
      </c>
      <c r="E3867" s="256" t="inlineStr">
        <is>
          <t>Fat Bastard</t>
        </is>
      </c>
      <c r="F3867" s="256" t="inlineStr">
        <is>
          <t>18.09.2026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iCoA-PP_26-147</t>
        </is>
      </c>
      <c r="M3867" s="256" t="inlineStr">
        <is>
          <t>17.08.2026</t>
        </is>
      </c>
      <c r="N3867" s="256" t="inlineStr">
        <is>
          <t>Purely Plant GmbH (in-house)</t>
        </is>
      </c>
      <c r="O3867" s="256" t="inlineStr">
        <is>
          <t>—</t>
        </is>
      </c>
      <c r="P3867" s="256" t="inlineStr">
        <is>
          <t>to be performed — see route</t>
        </is>
      </c>
      <c r="Q3867" s="256" t="inlineStr">
        <is>
          <t>Farmahem — Ident A + B + C with the Assay, at retest</t>
        </is>
      </c>
      <c r="R3867" s="256" t="inlineStr"/>
    </row>
    <row r="3868">
      <c r="A3868" s="256" t="inlineStr">
        <is>
          <t>— at issue —</t>
        </is>
      </c>
      <c r="B3868" s="256" t="inlineStr">
        <is>
          <t>reissue — retest</t>
        </is>
      </c>
      <c r="C3868" s="256" t="inlineStr">
        <is>
          <t>FB042601</t>
        </is>
      </c>
      <c r="D3868" s="256" t="inlineStr">
        <is>
          <t>— no P lot assigned —</t>
        </is>
      </c>
      <c r="E3868" s="256" t="inlineStr">
        <is>
          <t>Fat Bastard</t>
        </is>
      </c>
      <c r="F3868" s="256" t="inlineStr">
        <is>
          <t>18.09.2026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220-31-К/26</t>
        </is>
      </c>
      <c r="M3868" s="256" t="inlineStr">
        <is>
          <t>26.08.2026</t>
        </is>
      </c>
      <c r="N3868" s="256" t="inlineStr">
        <is>
          <t>Farmahem</t>
        </is>
      </c>
      <c r="O3868" s="256" t="inlineStr">
        <is>
          <t>17.08.2026</t>
        </is>
      </c>
      <c r="P3868" s="256" t="inlineStr">
        <is>
          <t>covered</t>
        </is>
      </c>
      <c r="Q3868" s="256" t="inlineStr"/>
      <c r="R3868" s="256" t="inlineStr"/>
    </row>
    <row r="3869">
      <c r="A3869" s="256" t="inlineStr">
        <is>
          <t>— at issue —</t>
        </is>
      </c>
      <c r="B3869" s="256" t="inlineStr">
        <is>
          <t>reissue — retest</t>
        </is>
      </c>
      <c r="C3869" s="256" t="inlineStr">
        <is>
          <t>FB042601</t>
        </is>
      </c>
      <c r="D3869" s="256" t="inlineStr">
        <is>
          <t>— no P lot assigned —</t>
        </is>
      </c>
      <c r="E3869" s="256" t="inlineStr">
        <is>
          <t>Fat Bastard</t>
        </is>
      </c>
      <c r="F3869" s="256" t="inlineStr">
        <is>
          <t>18.09.2026</t>
        </is>
      </c>
      <c r="G3869" s="256" t="inlineStr">
        <is>
          <t>4</t>
        </is>
      </c>
      <c r="H3869" s="256" t="inlineStr">
        <is>
          <t>Assay — Total Δ⁹-THC</t>
        </is>
      </c>
      <c r="I3869" s="256" t="inlineStr">
        <is>
          <t>Ph. Eur. 2.2.29 (HPLC)</t>
        </is>
      </c>
      <c r="J3869" s="256" t="inlineStr">
        <is>
          <t>13.80 – 16.19 %  (grade III, nominal 15.00 ± 1.20)</t>
        </is>
      </c>
      <c r="K3869" s="256" t="inlineStr">
        <is>
          <t>14.99</t>
        </is>
      </c>
      <c r="L3869" s="256" t="inlineStr">
        <is>
          <t>220-31-К/26</t>
        </is>
      </c>
      <c r="M3869" s="256" t="inlineStr">
        <is>
          <t>26.08.2026</t>
        </is>
      </c>
      <c r="N3869" s="256" t="inlineStr">
        <is>
          <t>Farmahem</t>
        </is>
      </c>
      <c r="O3869" s="256" t="inlineStr">
        <is>
          <t>17.08.2026</t>
        </is>
      </c>
      <c r="P3869" s="256" t="inlineStr">
        <is>
          <t>covered</t>
        </is>
      </c>
      <c r="Q3869" s="256" t="inlineStr"/>
      <c r="R3869" s="256" t="inlineStr"/>
    </row>
    <row r="3870">
      <c r="A3870" s="256" t="inlineStr">
        <is>
          <t>— at issue —</t>
        </is>
      </c>
      <c r="B3870" s="256" t="inlineStr">
        <is>
          <t>reissue — retest</t>
        </is>
      </c>
      <c r="C3870" s="256" t="inlineStr">
        <is>
          <t>FB042601</t>
        </is>
      </c>
      <c r="D3870" s="256" t="inlineStr">
        <is>
          <t>— no P lot assigned —</t>
        </is>
      </c>
      <c r="E3870" s="256" t="inlineStr">
        <is>
          <t>Fat Bastard</t>
        </is>
      </c>
      <c r="F3870" s="256" t="inlineStr">
        <is>
          <t>18.09.2026</t>
        </is>
      </c>
      <c r="G3870" s="256" t="inlineStr">
        <is>
          <t>5</t>
        </is>
      </c>
      <c r="H3870" s="256" t="inlineStr">
        <is>
          <t>Assay — Total CBD</t>
        </is>
      </c>
      <c r="I3870" s="256" t="inlineStr">
        <is>
          <t>Ph. Eur. 2.2.29 (HPLC) · CBD + CBDA x 0.877</t>
        </is>
      </c>
      <c r="J3870" s="256" t="inlineStr">
        <is>
          <t>≤ 1.0%, w/w</t>
        </is>
      </c>
      <c r="K3870" s="256" t="inlineStr">
        <is>
          <t>&lt; LOQ</t>
        </is>
      </c>
      <c r="L3870" s="256" t="inlineStr">
        <is>
          <t>220-31-К/26</t>
        </is>
      </c>
      <c r="M3870" s="256" t="inlineStr">
        <is>
          <t>26.08.2026</t>
        </is>
      </c>
      <c r="N3870" s="256" t="inlineStr">
        <is>
          <t>Farmahem</t>
        </is>
      </c>
      <c r="O3870" s="256" t="inlineStr">
        <is>
          <t>17.08.2026</t>
        </is>
      </c>
      <c r="P3870" s="256" t="inlineStr">
        <is>
          <t>covered</t>
        </is>
      </c>
      <c r="Q3870" s="256" t="inlineStr"/>
      <c r="R3870" s="256" t="inlineStr"/>
    </row>
    <row r="3871">
      <c r="A3871" s="256" t="inlineStr">
        <is>
          <t>— at issue —</t>
        </is>
      </c>
      <c r="B3871" s="256" t="inlineStr">
        <is>
          <t>reissue — retest</t>
        </is>
      </c>
      <c r="C3871" s="256" t="inlineStr">
        <is>
          <t>FB042601</t>
        </is>
      </c>
      <c r="D3871" s="256" t="inlineStr">
        <is>
          <t>— no P lot assigned —</t>
        </is>
      </c>
      <c r="E3871" s="256" t="inlineStr">
        <is>
          <t>Fat Bastard</t>
        </is>
      </c>
      <c r="F3871" s="256" t="inlineStr">
        <is>
          <t>18.09.2026</t>
        </is>
      </c>
      <c r="G3871" s="256" t="inlineStr">
        <is>
          <t>6</t>
        </is>
      </c>
      <c r="H3871" s="256" t="inlineStr">
        <is>
          <t>Total CBN</t>
        </is>
      </c>
      <c r="I3871" s="256" t="inlineStr">
        <is>
          <t>Ph. Eur. 2.2.29 (HPLC) · CBN + CBNA x 0.876</t>
        </is>
      </c>
      <c r="J3871" s="256" t="inlineStr">
        <is>
          <t>≤ 1.0%, w/w</t>
        </is>
      </c>
      <c r="K3871" s="256" t="inlineStr">
        <is>
          <t>&lt; LOQ</t>
        </is>
      </c>
      <c r="L3871" s="256" t="inlineStr">
        <is>
          <t>220-31-К/26</t>
        </is>
      </c>
      <c r="M3871" s="256" t="inlineStr">
        <is>
          <t>26.08.2026</t>
        </is>
      </c>
      <c r="N3871" s="256" t="inlineStr">
        <is>
          <t>Farmahem</t>
        </is>
      </c>
      <c r="O3871" s="256" t="inlineStr">
        <is>
          <t>17.08.2026</t>
        </is>
      </c>
      <c r="P3871" s="256" t="inlineStr">
        <is>
          <t>covered</t>
        </is>
      </c>
      <c r="Q3871" s="256" t="inlineStr"/>
      <c r="R3871" s="256" t="inlineStr"/>
    </row>
    <row r="3872">
      <c r="A3872" s="256" t="inlineStr">
        <is>
          <t>— at issue —</t>
        </is>
      </c>
      <c r="B3872" s="256" t="inlineStr">
        <is>
          <t>reissue — retest</t>
        </is>
      </c>
      <c r="C3872" s="256" t="inlineStr">
        <is>
          <t>FB042601</t>
        </is>
      </c>
      <c r="D3872" s="256" t="inlineStr">
        <is>
          <t>— no P lot assigned —</t>
        </is>
      </c>
      <c r="E3872" s="256" t="inlineStr">
        <is>
          <t>Fat Bastard</t>
        </is>
      </c>
      <c r="F3872" s="256" t="inlineStr">
        <is>
          <t>18.09.2026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iCoA-PP_26-147</t>
        </is>
      </c>
      <c r="M3872" s="256" t="inlineStr">
        <is>
          <t>17.08.2026</t>
        </is>
      </c>
      <c r="N3872" s="256" t="inlineStr">
        <is>
          <t>Purely Plant GmbH (in-house)</t>
        </is>
      </c>
      <c r="O3872" s="256" t="inlineStr">
        <is>
          <t>—</t>
        </is>
      </c>
      <c r="P3872" s="256" t="inlineStr">
        <is>
          <t>to be performed — see route</t>
        </is>
      </c>
      <c r="Q3872" s="256" t="inlineStr">
        <is>
          <t>Purely Plant laboratory — iCoA covering Foreign matter</t>
        </is>
      </c>
      <c r="R3872" s="256" t="inlineStr"/>
    </row>
    <row r="3873">
      <c r="A3873" s="256" t="inlineStr">
        <is>
          <t>— at issue —</t>
        </is>
      </c>
      <c r="B3873" s="256" t="inlineStr">
        <is>
          <t>reissue — retest</t>
        </is>
      </c>
      <c r="C3873" s="256" t="inlineStr">
        <is>
          <t>FB042601</t>
        </is>
      </c>
      <c r="D3873" s="256" t="inlineStr">
        <is>
          <t>— no P lot assigned —</t>
        </is>
      </c>
      <c r="E3873" s="256" t="inlineStr">
        <is>
          <t>Fat Bastard</t>
        </is>
      </c>
      <c r="F3873" s="256" t="inlineStr">
        <is>
          <t>18.09.2026</t>
        </is>
      </c>
      <c r="G3873" s="256" t="inlineStr">
        <is>
          <t>8</t>
        </is>
      </c>
      <c r="H3873" s="256" t="inlineStr">
        <is>
          <t>Loss on Drying</t>
        </is>
      </c>
      <c r="I3873" s="256" t="inlineStr">
        <is>
          <t>Ph. Eur. 2.2.32 (3028) · at 40 °C, 24 h, 15–25 mbar</t>
        </is>
      </c>
      <c r="J3873" s="256" t="inlineStr">
        <is>
          <t>≤ 12.0%</t>
        </is>
      </c>
      <c r="K3873" s="256" t="inlineStr">
        <is>
          <t>carried from the initial testing — not tested</t>
        </is>
      </c>
      <c r="L3873" s="256" t="inlineStr">
        <is>
          <t>—</t>
        </is>
      </c>
      <c r="M3873" s="256" t="inlineStr">
        <is>
          <t>—</t>
        </is>
      </c>
      <c r="N3873" s="256" t="inlineStr">
        <is>
          <t>—</t>
        </is>
      </c>
      <c r="O3873" s="256" t="inlineStr">
        <is>
          <t>—</t>
        </is>
      </c>
      <c r="P3873" s="256" t="inlineStr">
        <is>
          <t>carried from the initial testing (the batch's initial CoQ (number assigned on issue)) — not tested — no certificate covers it</t>
        </is>
      </c>
      <c r="Q3873" s="256" t="inlineStr"/>
      <c r="R3873" s="256" t="inlineStr"/>
    </row>
    <row r="3874">
      <c r="A3874" s="256" t="inlineStr">
        <is>
          <t>— at issue —</t>
        </is>
      </c>
      <c r="B3874" s="256" t="inlineStr">
        <is>
          <t>reissue — retest</t>
        </is>
      </c>
      <c r="C3874" s="256" t="inlineStr">
        <is>
          <t>FB042601</t>
        </is>
      </c>
      <c r="D3874" s="256" t="inlineStr">
        <is>
          <t>— no P lot assigned —</t>
        </is>
      </c>
      <c r="E3874" s="256" t="inlineStr">
        <is>
          <t>Fat Bastard</t>
        </is>
      </c>
      <c r="F3874" s="256" t="inlineStr">
        <is>
          <t>18.09.2026</t>
        </is>
      </c>
      <c r="G3874" s="256" t="inlineStr">
        <is>
          <t>9.1</t>
        </is>
      </c>
      <c r="H3874" s="256" t="inlineStr">
        <is>
          <t>TAMC</t>
        </is>
      </c>
      <c r="I3874" s="256" t="inlineStr">
        <is>
          <t>Ph. Eur. 2.6.12 cat. C</t>
        </is>
      </c>
      <c r="J3874" s="256" t="inlineStr">
        <is>
          <t>≤ 10⁵ CFU/g</t>
        </is>
      </c>
      <c r="K3874" s="256" t="inlineStr">
        <is>
          <t>carried from the initial testing — not tested</t>
        </is>
      </c>
      <c r="L3874" s="256" t="inlineStr">
        <is>
          <t>—</t>
        </is>
      </c>
      <c r="M3874" s="256" t="inlineStr">
        <is>
          <t>—</t>
        </is>
      </c>
      <c r="N3874" s="256" t="inlineStr">
        <is>
          <t>—</t>
        </is>
      </c>
      <c r="O3874" s="256" t="inlineStr">
        <is>
          <t>—</t>
        </is>
      </c>
      <c r="P3874" s="256" t="inlineStr">
        <is>
          <t>carried from the initial testing (the batch's initial CoQ (number assigned on issue)) — not tested — no certificate covers it</t>
        </is>
      </c>
      <c r="Q3874" s="256" t="inlineStr"/>
      <c r="R3874" s="256" t="inlineStr"/>
    </row>
    <row r="3875">
      <c r="A3875" s="256" t="inlineStr">
        <is>
          <t>— at issue —</t>
        </is>
      </c>
      <c r="B3875" s="256" t="inlineStr">
        <is>
          <t>reissue — retest</t>
        </is>
      </c>
      <c r="C3875" s="256" t="inlineStr">
        <is>
          <t>FB042601</t>
        </is>
      </c>
      <c r="D3875" s="256" t="inlineStr">
        <is>
          <t>— no P lot assigned —</t>
        </is>
      </c>
      <c r="E3875" s="256" t="inlineStr">
        <is>
          <t>Fat Bastard</t>
        </is>
      </c>
      <c r="F3875" s="256" t="inlineStr">
        <is>
          <t>18.09.2026</t>
        </is>
      </c>
      <c r="G3875" s="256" t="inlineStr">
        <is>
          <t>9.2</t>
        </is>
      </c>
      <c r="H3875" s="256" t="inlineStr">
        <is>
          <t>TYMC</t>
        </is>
      </c>
      <c r="I3875" s="256" t="inlineStr">
        <is>
          <t>Ph. Eur. 2.6.12 cat. C</t>
        </is>
      </c>
      <c r="J3875" s="256" t="inlineStr">
        <is>
          <t>≤ 10⁴ CFU/g</t>
        </is>
      </c>
      <c r="K3875" s="256" t="inlineStr">
        <is>
          <t>carried from the initial testing — not tested</t>
        </is>
      </c>
      <c r="L3875" s="256" t="inlineStr">
        <is>
          <t>—</t>
        </is>
      </c>
      <c r="M3875" s="256" t="inlineStr">
        <is>
          <t>—</t>
        </is>
      </c>
      <c r="N3875" s="256" t="inlineStr">
        <is>
          <t>—</t>
        </is>
      </c>
      <c r="O3875" s="256" t="inlineStr">
        <is>
          <t>—</t>
        </is>
      </c>
      <c r="P3875" s="256" t="inlineStr">
        <is>
          <t>carried from the initial testing (the batch's initial CoQ (number assigned on issue)) — not tested — no certificate covers it</t>
        </is>
      </c>
      <c r="Q3875" s="256" t="inlineStr"/>
      <c r="R3875" s="256" t="inlineStr"/>
    </row>
    <row r="3876">
      <c r="A3876" s="256" t="inlineStr">
        <is>
          <t>— at issue —</t>
        </is>
      </c>
      <c r="B3876" s="256" t="inlineStr">
        <is>
          <t>reissue — retest</t>
        </is>
      </c>
      <c r="C3876" s="256" t="inlineStr">
        <is>
          <t>FB042601</t>
        </is>
      </c>
      <c r="D3876" s="256" t="inlineStr">
        <is>
          <t>— no P lot assigned —</t>
        </is>
      </c>
      <c r="E3876" s="256" t="inlineStr">
        <is>
          <t>Fat Bastard</t>
        </is>
      </c>
      <c r="F3876" s="256" t="inlineStr">
        <is>
          <t>18.09.2026</t>
        </is>
      </c>
      <c r="G3876" s="256" t="inlineStr">
        <is>
          <t>9.3</t>
        </is>
      </c>
      <c r="H3876" s="256" t="inlineStr">
        <is>
          <t>Bile-tolerant gram-neg.</t>
        </is>
      </c>
      <c r="I3876" s="256" t="inlineStr">
        <is>
          <t>Ph. Eur. 2.6.31 cat. C</t>
        </is>
      </c>
      <c r="J3876" s="256" t="inlineStr">
        <is>
          <t>≤ 10⁴ CFU/g</t>
        </is>
      </c>
      <c r="K3876" s="256" t="inlineStr">
        <is>
          <t>carried from the initial testing — not tested</t>
        </is>
      </c>
      <c r="L3876" s="256" t="inlineStr">
        <is>
          <t>—</t>
        </is>
      </c>
      <c r="M3876" s="256" t="inlineStr">
        <is>
          <t>—</t>
        </is>
      </c>
      <c r="N3876" s="256" t="inlineStr">
        <is>
          <t>—</t>
        </is>
      </c>
      <c r="O3876" s="256" t="inlineStr">
        <is>
          <t>—</t>
        </is>
      </c>
      <c r="P3876" s="256" t="inlineStr">
        <is>
          <t>carried from the initial testing (the batch's initial CoQ (number assigned on issue)) — not tested — no certificate covers it</t>
        </is>
      </c>
      <c r="Q3876" s="256" t="inlineStr"/>
      <c r="R3876" s="256" t="inlineStr"/>
    </row>
    <row r="3877">
      <c r="A3877" s="256" t="inlineStr">
        <is>
          <t>— at issue —</t>
        </is>
      </c>
      <c r="B3877" s="256" t="inlineStr">
        <is>
          <t>reissue — retest</t>
        </is>
      </c>
      <c r="C3877" s="256" t="inlineStr">
        <is>
          <t>FB042601</t>
        </is>
      </c>
      <c r="D3877" s="256" t="inlineStr">
        <is>
          <t>— no P lot assigned —</t>
        </is>
      </c>
      <c r="E3877" s="256" t="inlineStr">
        <is>
          <t>Fat Bastard</t>
        </is>
      </c>
      <c r="F3877" s="256" t="inlineStr">
        <is>
          <t>18.09.2026</t>
        </is>
      </c>
      <c r="G3877" s="256" t="inlineStr">
        <is>
          <t>9.4</t>
        </is>
      </c>
      <c r="H3877" s="256" t="inlineStr">
        <is>
          <t>Salmonella</t>
        </is>
      </c>
      <c r="I3877" s="256" t="inlineStr">
        <is>
          <t>Ph. Eur. 2.6.31 cat. C</t>
        </is>
      </c>
      <c r="J3877" s="256" t="inlineStr">
        <is>
          <t>Absence | Отсуство / 25 g</t>
        </is>
      </c>
      <c r="K3877" s="256" t="inlineStr">
        <is>
          <t>carried from the initial testing — not tested</t>
        </is>
      </c>
      <c r="L3877" s="256" t="inlineStr">
        <is>
          <t>—</t>
        </is>
      </c>
      <c r="M3877" s="256" t="inlineStr">
        <is>
          <t>—</t>
        </is>
      </c>
      <c r="N3877" s="256" t="inlineStr">
        <is>
          <t>—</t>
        </is>
      </c>
      <c r="O3877" s="256" t="inlineStr">
        <is>
          <t>—</t>
        </is>
      </c>
      <c r="P3877" s="256" t="inlineStr">
        <is>
          <t>carried from the initial testing (the batch's initial CoQ (number assigned on issue)) — not tested — no certificate covers it</t>
        </is>
      </c>
      <c r="Q3877" s="256" t="inlineStr"/>
      <c r="R3877" s="256" t="inlineStr"/>
    </row>
    <row r="3878">
      <c r="A3878" s="256" t="inlineStr">
        <is>
          <t>— at issue —</t>
        </is>
      </c>
      <c r="B3878" s="256" t="inlineStr">
        <is>
          <t>reissue — retest</t>
        </is>
      </c>
      <c r="C3878" s="256" t="inlineStr">
        <is>
          <t>FB042601</t>
        </is>
      </c>
      <c r="D3878" s="256" t="inlineStr">
        <is>
          <t>— no P lot assigned —</t>
        </is>
      </c>
      <c r="E3878" s="256" t="inlineStr">
        <is>
          <t>Fat Bastard</t>
        </is>
      </c>
      <c r="F3878" s="256" t="inlineStr">
        <is>
          <t>18.09.2026</t>
        </is>
      </c>
      <c r="G3878" s="256" t="inlineStr">
        <is>
          <t>9.5</t>
        </is>
      </c>
      <c r="H3878" s="256" t="inlineStr">
        <is>
          <t>Escherichia coli</t>
        </is>
      </c>
      <c r="I3878" s="256" t="inlineStr">
        <is>
          <t>Ph. Eur. 2.6.13 cat. C</t>
        </is>
      </c>
      <c r="J3878" s="256" t="inlineStr">
        <is>
          <t>Absence | Отсуство / 1 g</t>
        </is>
      </c>
      <c r="K3878" s="256" t="inlineStr">
        <is>
          <t>carried from the initial testing — not tested</t>
        </is>
      </c>
      <c r="L3878" s="256" t="inlineStr">
        <is>
          <t>—</t>
        </is>
      </c>
      <c r="M3878" s="256" t="inlineStr">
        <is>
          <t>—</t>
        </is>
      </c>
      <c r="N3878" s="256" t="inlineStr">
        <is>
          <t>—</t>
        </is>
      </c>
      <c r="O3878" s="256" t="inlineStr">
        <is>
          <t>—</t>
        </is>
      </c>
      <c r="P3878" s="256" t="inlineStr">
        <is>
          <t>carried from the initial testing (the batch's initial CoQ (number assigned on issue)) — not tested — no certificate covers it</t>
        </is>
      </c>
      <c r="Q3878" s="256" t="inlineStr"/>
      <c r="R3878" s="256" t="inlineStr"/>
    </row>
    <row r="3879">
      <c r="A3879" s="256" t="inlineStr">
        <is>
          <t>— at issue —</t>
        </is>
      </c>
      <c r="B3879" s="256" t="inlineStr">
        <is>
          <t>reissue — retest</t>
        </is>
      </c>
      <c r="C3879" s="256" t="inlineStr">
        <is>
          <t>FB042601</t>
        </is>
      </c>
      <c r="D3879" s="256" t="inlineStr">
        <is>
          <t>— no P lot assigned —</t>
        </is>
      </c>
      <c r="E3879" s="256" t="inlineStr">
        <is>
          <t>Fat Bastard</t>
        </is>
      </c>
      <c r="F3879" s="256" t="inlineStr">
        <is>
          <t>18.09.2026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 at issue —</t>
        </is>
      </c>
      <c r="B3880" s="256" t="inlineStr">
        <is>
          <t>reissue — retest</t>
        </is>
      </c>
      <c r="C3880" s="256" t="inlineStr">
        <is>
          <t>FB042601</t>
        </is>
      </c>
      <c r="D3880" s="256" t="inlineStr">
        <is>
          <t>— no P lot assigned —</t>
        </is>
      </c>
      <c r="E3880" s="256" t="inlineStr">
        <is>
          <t>Fat Bastard</t>
        </is>
      </c>
      <c r="F3880" s="256" t="inlineStr">
        <is>
          <t>18.09.2026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 at issue —</t>
        </is>
      </c>
      <c r="B3881" s="256" t="inlineStr">
        <is>
          <t>reissue — retest</t>
        </is>
      </c>
      <c r="C3881" s="256" t="inlineStr">
        <is>
          <t>FB042601</t>
        </is>
      </c>
      <c r="D3881" s="256" t="inlineStr">
        <is>
          <t>— no P lot assigned —</t>
        </is>
      </c>
      <c r="E3881" s="256" t="inlineStr">
        <is>
          <t>Fat Bastard</t>
        </is>
      </c>
      <c r="F3881" s="256" t="inlineStr">
        <is>
          <t>18.09.2026</t>
        </is>
      </c>
      <c r="G3881" s="256" t="inlineStr">
        <is>
          <t>10.1</t>
        </is>
      </c>
      <c r="H3881" s="256" t="inlineStr">
        <is>
          <t>Aflatoxin B₁</t>
        </is>
      </c>
      <c r="I3881" s="256" t="inlineStr">
        <is>
          <t>Ph. Eur. 2.8.18 (HPLC-FLD)</t>
        </is>
      </c>
      <c r="J3881" s="256" t="inlineStr">
        <is>
          <t>≤ 2 µg/kg</t>
        </is>
      </c>
      <c r="K3881" s="256" t="inlineStr">
        <is>
          <t>ND</t>
        </is>
      </c>
      <c r="L3881" s="256" t="inlineStr">
        <is>
          <t>220-31-М/26</t>
        </is>
      </c>
      <c r="M3881" s="256" t="inlineStr">
        <is>
          <t>11.09.2026</t>
        </is>
      </c>
      <c r="N3881" s="256" t="inlineStr">
        <is>
          <t>Farmahem</t>
        </is>
      </c>
      <c r="O3881" s="256" t="inlineStr">
        <is>
          <t>17.08.2026</t>
        </is>
      </c>
      <c r="P3881" s="256" t="inlineStr">
        <is>
          <t>covered</t>
        </is>
      </c>
      <c r="Q3881" s="256" t="inlineStr"/>
      <c r="R3881" s="256" t="inlineStr"/>
    </row>
    <row r="3882">
      <c r="A3882" s="256" t="inlineStr">
        <is>
          <t>— at issue —</t>
        </is>
      </c>
      <c r="B3882" s="256" t="inlineStr">
        <is>
          <t>reissue — retest</t>
        </is>
      </c>
      <c r="C3882" s="256" t="inlineStr">
        <is>
          <t>FB042601</t>
        </is>
      </c>
      <c r="D3882" s="256" t="inlineStr">
        <is>
          <t>— no P lot assigned —</t>
        </is>
      </c>
      <c r="E3882" s="256" t="inlineStr">
        <is>
          <t>Fat Bastard</t>
        </is>
      </c>
      <c r="F3882" s="256" t="inlineStr">
        <is>
          <t>18.09.2026</t>
        </is>
      </c>
      <c r="G3882" s="256" t="inlineStr">
        <is>
          <t>10.2</t>
        </is>
      </c>
      <c r="H3882" s="256" t="inlineStr">
        <is>
          <t>Aflatoxins ∑</t>
        </is>
      </c>
      <c r="I3882" s="256" t="inlineStr">
        <is>
          <t>Ph. Eur. 2.8.18 (HPLC-FLD)</t>
        </is>
      </c>
      <c r="J3882" s="256" t="inlineStr">
        <is>
          <t>≤ 4 µg/kg</t>
        </is>
      </c>
      <c r="K3882" s="256" t="inlineStr">
        <is>
          <t>ND</t>
        </is>
      </c>
      <c r="L3882" s="256" t="inlineStr">
        <is>
          <t>220-31-М/26</t>
        </is>
      </c>
      <c r="M3882" s="256" t="inlineStr">
        <is>
          <t>11.09.2026</t>
        </is>
      </c>
      <c r="N3882" s="256" t="inlineStr">
        <is>
          <t>Farmahem</t>
        </is>
      </c>
      <c r="O3882" s="256" t="inlineStr">
        <is>
          <t>17.08.2026</t>
        </is>
      </c>
      <c r="P3882" s="256" t="inlineStr">
        <is>
          <t>covered</t>
        </is>
      </c>
      <c r="Q3882" s="256" t="inlineStr"/>
      <c r="R3882" s="256" t="inlineStr"/>
    </row>
    <row r="3883">
      <c r="A3883" s="256" t="inlineStr">
        <is>
          <t>— at issue —</t>
        </is>
      </c>
      <c r="B3883" s="256" t="inlineStr">
        <is>
          <t>reissue — retest</t>
        </is>
      </c>
      <c r="C3883" s="256" t="inlineStr">
        <is>
          <t>FB042601</t>
        </is>
      </c>
      <c r="D3883" s="256" t="inlineStr">
        <is>
          <t>— no P lot assigned —</t>
        </is>
      </c>
      <c r="E3883" s="256" t="inlineStr">
        <is>
          <t>Fat Bastard</t>
        </is>
      </c>
      <c r="F3883" s="256" t="inlineStr">
        <is>
          <t>18.09.2026</t>
        </is>
      </c>
      <c r="G3883" s="256" t="inlineStr">
        <is>
          <t>10.3</t>
        </is>
      </c>
      <c r="H3883" s="256" t="inlineStr">
        <is>
          <t>Ochratoxin A</t>
        </is>
      </c>
      <c r="I3883" s="256" t="inlineStr">
        <is>
          <t>Ph. Eur. 2.8.22 (HPLC-FLD)</t>
        </is>
      </c>
      <c r="J3883" s="256" t="inlineStr">
        <is>
          <t>≤ 20 µg/kg</t>
        </is>
      </c>
      <c r="K3883" s="256" t="inlineStr">
        <is>
          <t>ND</t>
        </is>
      </c>
      <c r="L3883" s="256" t="inlineStr">
        <is>
          <t>220-31-М/26</t>
        </is>
      </c>
      <c r="M3883" s="256" t="inlineStr">
        <is>
          <t>11.09.2026</t>
        </is>
      </c>
      <c r="N3883" s="256" t="inlineStr">
        <is>
          <t>Farmahem</t>
        </is>
      </c>
      <c r="O3883" s="256" t="inlineStr">
        <is>
          <t>17.08.2026</t>
        </is>
      </c>
      <c r="P3883" s="256" t="inlineStr">
        <is>
          <t>covered</t>
        </is>
      </c>
      <c r="Q3883" s="256" t="inlineStr"/>
      <c r="R3883" s="256" t="inlineStr"/>
    </row>
    <row r="3884">
      <c r="A3884" s="256" t="inlineStr">
        <is>
          <t>— at issue —</t>
        </is>
      </c>
      <c r="B3884" s="256" t="inlineStr">
        <is>
          <t>reissue — retest</t>
        </is>
      </c>
      <c r="C3884" s="256" t="inlineStr">
        <is>
          <t>FB042601</t>
        </is>
      </c>
      <c r="D3884" s="256" t="inlineStr">
        <is>
          <t>— no P lot assigned —</t>
        </is>
      </c>
      <c r="E3884" s="256" t="inlineStr">
        <is>
          <t>Fat Bastard</t>
        </is>
      </c>
      <c r="F3884" s="256" t="inlineStr">
        <is>
          <t>18.09.2026</t>
        </is>
      </c>
      <c r="G3884" s="256" t="inlineStr">
        <is>
          <t>11.1</t>
        </is>
      </c>
      <c r="H3884" s="256" t="inlineStr">
        <is>
          <t>Lead (Pb)</t>
        </is>
      </c>
      <c r="I3884" s="256" t="inlineStr">
        <is>
          <t>Ph. Eur. 2.4.27 (ICP-MS)</t>
        </is>
      </c>
      <c r="J3884" s="256" t="inlineStr">
        <is>
          <t>≤ 0.5 mg/kg</t>
        </is>
      </c>
      <c r="K3884" s="256" t="inlineStr">
        <is>
          <t>carried from the initial testing — not tested</t>
        </is>
      </c>
      <c r="L3884" s="256" t="inlineStr">
        <is>
          <t>—</t>
        </is>
      </c>
      <c r="M3884" s="256" t="inlineStr">
        <is>
          <t>—</t>
        </is>
      </c>
      <c r="N3884" s="256" t="inlineStr">
        <is>
          <t>—</t>
        </is>
      </c>
      <c r="O3884" s="256" t="inlineStr">
        <is>
          <t>—</t>
        </is>
      </c>
      <c r="P3884" s="256" t="inlineStr">
        <is>
          <t>carried from the initial testing (the batch's initial CoQ (number assigned on issue)) — not tested — no certificate covers it</t>
        </is>
      </c>
      <c r="Q3884" s="256" t="inlineStr"/>
      <c r="R3884" s="256" t="inlineStr"/>
    </row>
    <row r="3885">
      <c r="A3885" s="256" t="inlineStr">
        <is>
          <t>— at issue —</t>
        </is>
      </c>
      <c r="B3885" s="256" t="inlineStr">
        <is>
          <t>reissue — retest</t>
        </is>
      </c>
      <c r="C3885" s="256" t="inlineStr">
        <is>
          <t>FB042601</t>
        </is>
      </c>
      <c r="D3885" s="256" t="inlineStr">
        <is>
          <t>— no P lot assigned —</t>
        </is>
      </c>
      <c r="E3885" s="256" t="inlineStr">
        <is>
          <t>Fat Bastard</t>
        </is>
      </c>
      <c r="F3885" s="256" t="inlineStr">
        <is>
          <t>18.09.2026</t>
        </is>
      </c>
      <c r="G3885" s="256" t="inlineStr">
        <is>
          <t>11.2</t>
        </is>
      </c>
      <c r="H3885" s="256" t="inlineStr">
        <is>
          <t>Cadmium (Cd)</t>
        </is>
      </c>
      <c r="I3885" s="256" t="inlineStr">
        <is>
          <t>Ph. Eur. 2.4.27 (ICP-MS)</t>
        </is>
      </c>
      <c r="J3885" s="256" t="inlineStr">
        <is>
          <t>≤ 0.3 mg/kg</t>
        </is>
      </c>
      <c r="K3885" s="256" t="inlineStr">
        <is>
          <t>carried from the initial testing — not tested</t>
        </is>
      </c>
      <c r="L3885" s="256" t="inlineStr">
        <is>
          <t>—</t>
        </is>
      </c>
      <c r="M3885" s="256" t="inlineStr">
        <is>
          <t>—</t>
        </is>
      </c>
      <c r="N3885" s="256" t="inlineStr">
        <is>
          <t>—</t>
        </is>
      </c>
      <c r="O3885" s="256" t="inlineStr">
        <is>
          <t>—</t>
        </is>
      </c>
      <c r="P3885" s="256" t="inlineStr">
        <is>
          <t>carried from the initial testing (the batch's initial CoQ (number assigned on issue)) — not tested — no certificate covers it</t>
        </is>
      </c>
      <c r="Q3885" s="256" t="inlineStr"/>
      <c r="R3885" s="256" t="inlineStr"/>
    </row>
    <row r="3886">
      <c r="A3886" s="256" t="inlineStr">
        <is>
          <t>— at issue —</t>
        </is>
      </c>
      <c r="B3886" s="256" t="inlineStr">
        <is>
          <t>reissue — retest</t>
        </is>
      </c>
      <c r="C3886" s="256" t="inlineStr">
        <is>
          <t>FB042601</t>
        </is>
      </c>
      <c r="D3886" s="256" t="inlineStr">
        <is>
          <t>— no P lot assigned —</t>
        </is>
      </c>
      <c r="E3886" s="256" t="inlineStr">
        <is>
          <t>Fat Bastard</t>
        </is>
      </c>
      <c r="F3886" s="256" t="inlineStr">
        <is>
          <t>18.09.2026</t>
        </is>
      </c>
      <c r="G3886" s="256" t="inlineStr">
        <is>
          <t>11.3</t>
        </is>
      </c>
      <c r="H3886" s="256" t="inlineStr">
        <is>
          <t>Arsenic (As)</t>
        </is>
      </c>
      <c r="I3886" s="256" t="inlineStr">
        <is>
          <t>Ph. Eur. 2.4.27 (ICP-MS)</t>
        </is>
      </c>
      <c r="J3886" s="256" t="inlineStr">
        <is>
          <t>≤ 0.2 mg/kg</t>
        </is>
      </c>
      <c r="K3886" s="256" t="inlineStr">
        <is>
          <t>carried from the initial testing — not tested</t>
        </is>
      </c>
      <c r="L3886" s="256" t="inlineStr">
        <is>
          <t>—</t>
        </is>
      </c>
      <c r="M3886" s="256" t="inlineStr">
        <is>
          <t>—</t>
        </is>
      </c>
      <c r="N3886" s="256" t="inlineStr">
        <is>
          <t>—</t>
        </is>
      </c>
      <c r="O3886" s="256" t="inlineStr">
        <is>
          <t>—</t>
        </is>
      </c>
      <c r="P3886" s="256" t="inlineStr">
        <is>
          <t>carried from the initial testing (the batch's initial CoQ (number assigned on issue)) — not tested — no certificate covers it</t>
        </is>
      </c>
      <c r="Q3886" s="256" t="inlineStr"/>
      <c r="R3886" s="256" t="inlineStr"/>
    </row>
    <row r="3887">
      <c r="A3887" s="256" t="inlineStr">
        <is>
          <t>— at issue —</t>
        </is>
      </c>
      <c r="B3887" s="256" t="inlineStr">
        <is>
          <t>reissue — retest</t>
        </is>
      </c>
      <c r="C3887" s="256" t="inlineStr">
        <is>
          <t>FB042601</t>
        </is>
      </c>
      <c r="D3887" s="256" t="inlineStr">
        <is>
          <t>— no P lot assigned —</t>
        </is>
      </c>
      <c r="E3887" s="256" t="inlineStr">
        <is>
          <t>Fat Bastard</t>
        </is>
      </c>
      <c r="F3887" s="256" t="inlineStr">
        <is>
          <t>18.09.2026</t>
        </is>
      </c>
      <c r="G3887" s="256" t="inlineStr">
        <is>
          <t>11.4</t>
        </is>
      </c>
      <c r="H3887" s="256" t="inlineStr">
        <is>
          <t>Mercury (Hg)</t>
        </is>
      </c>
      <c r="I3887" s="256" t="inlineStr">
        <is>
          <t>Ph. Eur. 2.4.27 (ICP-MS)</t>
        </is>
      </c>
      <c r="J3887" s="256" t="inlineStr">
        <is>
          <t>≤ 0.1 mg/kg</t>
        </is>
      </c>
      <c r="K3887" s="256" t="inlineStr">
        <is>
          <t>carried from the initial testing — not tested</t>
        </is>
      </c>
      <c r="L3887" s="256" t="inlineStr">
        <is>
          <t>—</t>
        </is>
      </c>
      <c r="M3887" s="256" t="inlineStr">
        <is>
          <t>—</t>
        </is>
      </c>
      <c r="N3887" s="256" t="inlineStr">
        <is>
          <t>—</t>
        </is>
      </c>
      <c r="O3887" s="256" t="inlineStr">
        <is>
          <t>—</t>
        </is>
      </c>
      <c r="P3887" s="256" t="inlineStr">
        <is>
          <t>carried from the initial testing (the batch's initial CoQ (number assigned on issue)) — not tested — no certificate covers it</t>
        </is>
      </c>
      <c r="Q3887" s="256" t="inlineStr"/>
      <c r="R3887" s="256" t="inlineStr"/>
    </row>
    <row r="3888">
      <c r="A3888" s="256" t="inlineStr">
        <is>
          <t>— at issue —</t>
        </is>
      </c>
      <c r="B3888" s="256" t="inlineStr">
        <is>
          <t>reissue — retest</t>
        </is>
      </c>
      <c r="C3888" s="256" t="inlineStr">
        <is>
          <t>FB042601</t>
        </is>
      </c>
      <c r="D3888" s="256" t="inlineStr">
        <is>
          <t>— no P lot assigned —</t>
        </is>
      </c>
      <c r="E3888" s="256" t="inlineStr">
        <is>
          <t>Fat Bastard</t>
        </is>
      </c>
      <c r="F3888" s="256" t="inlineStr">
        <is>
          <t>18.09.2026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carried from the initial testing — not tested</t>
        </is>
      </c>
      <c r="L3888" s="256" t="inlineStr">
        <is>
          <t>—</t>
        </is>
      </c>
      <c r="M3888" s="256" t="inlineStr">
        <is>
          <t>—</t>
        </is>
      </c>
      <c r="N3888" s="256" t="inlineStr">
        <is>
          <t>—</t>
        </is>
      </c>
      <c r="O3888" s="256" t="inlineStr">
        <is>
          <t>—</t>
        </is>
      </c>
      <c r="P3888" s="256" t="inlineStr">
        <is>
          <t>carried from the initial testing (the batch's initial CoQ (number assigned on issue)) — not tested — no certificate covers it</t>
        </is>
      </c>
      <c r="Q3888" s="256" t="inlineStr"/>
      <c r="R3888" s="256" t="inlineStr"/>
    </row>
    <row r="3889">
      <c r="A3889" s="256" t="inlineStr">
        <is>
          <t>— at issue —</t>
        </is>
      </c>
      <c r="B3889" s="256" t="inlineStr">
        <is>
          <t>release</t>
        </is>
      </c>
      <c r="C3889" s="256" t="inlineStr">
        <is>
          <t>P160012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ППК26117</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 at issue —</t>
        </is>
      </c>
      <c r="B3890" s="256" t="inlineStr">
        <is>
          <t>release</t>
        </is>
      </c>
      <c r="C3890" s="256" t="inlineStr">
        <is>
          <t>P160012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ППК26117</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 at issue —</t>
        </is>
      </c>
      <c r="B3891" s="256" t="inlineStr">
        <is>
          <t>release</t>
        </is>
      </c>
      <c r="C3891" s="256" t="inlineStr">
        <is>
          <t>P160012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ППК26117</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 at issue —</t>
        </is>
      </c>
      <c r="B3892" s="256" t="inlineStr">
        <is>
          <t>release</t>
        </is>
      </c>
      <c r="C3892" s="256" t="inlineStr">
        <is>
          <t>P160012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26.00 – 29.99 %  (grade I, nominal 28.00 ± 2.00)</t>
        </is>
      </c>
      <c r="K3892" s="256" t="inlineStr">
        <is>
          <t>26.32</t>
        </is>
      </c>
      <c r="L3892" s="256" t="inlineStr">
        <is>
          <t>ППК26117</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 at issue —</t>
        </is>
      </c>
      <c r="B3893" s="256" t="inlineStr">
        <is>
          <t>release</t>
        </is>
      </c>
      <c r="C3893" s="256" t="inlineStr">
        <is>
          <t>P160012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0.15</t>
        </is>
      </c>
      <c r="L3893" s="256" t="inlineStr">
        <is>
          <t>ППК26117</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 at issue —</t>
        </is>
      </c>
      <c r="B3894" s="256" t="inlineStr">
        <is>
          <t>release</t>
        </is>
      </c>
      <c r="C3894" s="256" t="inlineStr">
        <is>
          <t>P160012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0.09</t>
        </is>
      </c>
      <c r="L3894" s="256" t="inlineStr">
        <is>
          <t>ППК26117</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 at issue —</t>
        </is>
      </c>
      <c r="B3895" s="256" t="inlineStr">
        <is>
          <t>release</t>
        </is>
      </c>
      <c r="C3895" s="256" t="inlineStr">
        <is>
          <t>P160012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ППК26117</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 at issue —</t>
        </is>
      </c>
      <c r="B3896" s="256" t="inlineStr">
        <is>
          <t>release</t>
        </is>
      </c>
      <c r="C3896" s="256" t="inlineStr">
        <is>
          <t>P160012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6.31</t>
        </is>
      </c>
      <c r="L3896" s="256" t="inlineStr">
        <is>
          <t>ППК26117</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 at issue —</t>
        </is>
      </c>
      <c r="B3897" s="256" t="inlineStr">
        <is>
          <t>release</t>
        </is>
      </c>
      <c r="C3897" s="256" t="inlineStr">
        <is>
          <t>P160012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 at issue —</t>
        </is>
      </c>
      <c r="B3898" s="256" t="inlineStr">
        <is>
          <t>release</t>
        </is>
      </c>
      <c r="C3898" s="256" t="inlineStr">
        <is>
          <t>P160012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 at issue —</t>
        </is>
      </c>
      <c r="B3899" s="256" t="inlineStr">
        <is>
          <t>release</t>
        </is>
      </c>
      <c r="C3899" s="256" t="inlineStr">
        <is>
          <t>P160012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 at issue —</t>
        </is>
      </c>
      <c r="B3900" s="256" t="inlineStr">
        <is>
          <t>release</t>
        </is>
      </c>
      <c r="C3900" s="256" t="inlineStr">
        <is>
          <t>P160012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 at issue —</t>
        </is>
      </c>
      <c r="B3901" s="256" t="inlineStr">
        <is>
          <t>release</t>
        </is>
      </c>
      <c r="C3901" s="256" t="inlineStr">
        <is>
          <t>P160012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 at issue —</t>
        </is>
      </c>
      <c r="B3902" s="256" t="inlineStr">
        <is>
          <t>release</t>
        </is>
      </c>
      <c r="C3902" s="256" t="inlineStr">
        <is>
          <t>P160012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 at issue —</t>
        </is>
      </c>
      <c r="B3903" s="256" t="inlineStr">
        <is>
          <t>release</t>
        </is>
      </c>
      <c r="C3903" s="256" t="inlineStr">
        <is>
          <t>P160012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 at issue —</t>
        </is>
      </c>
      <c r="B3904" s="256" t="inlineStr">
        <is>
          <t>release</t>
        </is>
      </c>
      <c r="C3904" s="256" t="inlineStr">
        <is>
          <t>P160012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 at issue —</t>
        </is>
      </c>
      <c r="B3905" s="256" t="inlineStr">
        <is>
          <t>release</t>
        </is>
      </c>
      <c r="C3905" s="256" t="inlineStr">
        <is>
          <t>P160012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9" t="inlineStr">
        <is>
          <t>not tested</t>
        </is>
      </c>
      <c r="L3905" s="256" t="inlineStr">
        <is>
          <t>—</t>
        </is>
      </c>
      <c r="M3905" s="256" t="inlineStr">
        <is>
          <t>—</t>
        </is>
      </c>
      <c r="N3905" s="256" t="inlineStr">
        <is>
          <t>—</t>
        </is>
      </c>
      <c r="O3905" s="256" t="inlineStr">
        <is>
          <t>—</t>
        </is>
      </c>
      <c r="P3905" s="256" t="inlineStr">
        <is>
          <t>not tested — no certificate covers it</t>
        </is>
      </c>
      <c r="Q3905" s="256" t="inlineStr"/>
      <c r="R3905" s="256" t="inlineStr"/>
    </row>
    <row r="3906">
      <c r="A3906" s="256" t="inlineStr">
        <is>
          <t>— at issue —</t>
        </is>
      </c>
      <c r="B3906" s="256" t="inlineStr">
        <is>
          <t>release</t>
        </is>
      </c>
      <c r="C3906" s="256" t="inlineStr">
        <is>
          <t>P160012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 at issue —</t>
        </is>
      </c>
      <c r="B3907" s="256" t="inlineStr">
        <is>
          <t>release</t>
        </is>
      </c>
      <c r="C3907" s="256" t="inlineStr">
        <is>
          <t>P160012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9" t="inlineStr">
        <is>
          <t>not tested</t>
        </is>
      </c>
      <c r="L3907" s="256" t="inlineStr">
        <is>
          <t>—</t>
        </is>
      </c>
      <c r="M3907" s="256" t="inlineStr">
        <is>
          <t>—</t>
        </is>
      </c>
      <c r="N3907" s="256" t="inlineStr">
        <is>
          <t>—</t>
        </is>
      </c>
      <c r="O3907" s="256" t="inlineStr">
        <is>
          <t>—</t>
        </is>
      </c>
      <c r="P3907" s="256" t="inlineStr">
        <is>
          <t>not tested — no certificate covers it</t>
        </is>
      </c>
      <c r="Q3907" s="256" t="inlineStr"/>
      <c r="R3907" s="256" t="inlineStr"/>
    </row>
    <row r="3908">
      <c r="A3908" s="256" t="inlineStr">
        <is>
          <t>— at issue —</t>
        </is>
      </c>
      <c r="B3908" s="256" t="inlineStr">
        <is>
          <t>release</t>
        </is>
      </c>
      <c r="C3908" s="256" t="inlineStr">
        <is>
          <t>P160012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9" t="inlineStr">
        <is>
          <t>not tested</t>
        </is>
      </c>
      <c r="L3908" s="256" t="inlineStr">
        <is>
          <t>—</t>
        </is>
      </c>
      <c r="M3908" s="256" t="inlineStr">
        <is>
          <t>—</t>
        </is>
      </c>
      <c r="N3908" s="256" t="inlineStr">
        <is>
          <t>—</t>
        </is>
      </c>
      <c r="O3908" s="256" t="inlineStr">
        <is>
          <t>—</t>
        </is>
      </c>
      <c r="P3908" s="256" t="inlineStr">
        <is>
          <t>not tested — no certificate covers it</t>
        </is>
      </c>
      <c r="Q3908" s="256" t="inlineStr"/>
      <c r="R3908" s="256" t="inlineStr"/>
    </row>
    <row r="3909">
      <c r="A3909" s="256" t="inlineStr">
        <is>
          <t>— at issue —</t>
        </is>
      </c>
      <c r="B3909" s="256" t="inlineStr">
        <is>
          <t>release</t>
        </is>
      </c>
      <c r="C3909" s="256" t="inlineStr">
        <is>
          <t>P160012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9" t="inlineStr">
        <is>
          <t>not tested</t>
        </is>
      </c>
      <c r="L3909" s="256" t="inlineStr">
        <is>
          <t>—</t>
        </is>
      </c>
      <c r="M3909" s="256" t="inlineStr">
        <is>
          <t>—</t>
        </is>
      </c>
      <c r="N3909" s="256" t="inlineStr">
        <is>
          <t>—</t>
        </is>
      </c>
      <c r="O3909" s="256" t="inlineStr">
        <is>
          <t>—</t>
        </is>
      </c>
      <c r="P3909" s="256" t="inlineStr">
        <is>
          <t>not tested — no certificate covers it</t>
        </is>
      </c>
      <c r="Q3909" s="256" t="inlineStr"/>
      <c r="R3909" s="256" t="inlineStr"/>
    </row>
    <row r="3910">
      <c r="A3910" s="256" t="inlineStr">
        <is>
          <t>— at issue —</t>
        </is>
      </c>
      <c r="B3910" s="256" t="inlineStr">
        <is>
          <t>release</t>
        </is>
      </c>
      <c r="C3910" s="256" t="inlineStr">
        <is>
          <t>P160012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9" t="inlineStr">
        <is>
          <t>not tested</t>
        </is>
      </c>
      <c r="L3910" s="256" t="inlineStr">
        <is>
          <t>—</t>
        </is>
      </c>
      <c r="M3910" s="256" t="inlineStr">
        <is>
          <t>—</t>
        </is>
      </c>
      <c r="N3910" s="256" t="inlineStr">
        <is>
          <t>—</t>
        </is>
      </c>
      <c r="O3910" s="256" t="inlineStr">
        <is>
          <t>—</t>
        </is>
      </c>
      <c r="P3910" s="256" t="inlineStr">
        <is>
          <t>not tested — no certificate covers it</t>
        </is>
      </c>
      <c r="Q3910" s="256" t="inlineStr"/>
      <c r="R3910" s="256" t="inlineStr"/>
    </row>
    <row r="3911">
      <c r="A3911" s="256" t="inlineStr">
        <is>
          <t>— at issue —</t>
        </is>
      </c>
      <c r="B3911" s="256" t="inlineStr">
        <is>
          <t>release</t>
        </is>
      </c>
      <c r="C3911" s="256" t="inlineStr">
        <is>
          <t>P160012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9" t="inlineStr">
        <is>
          <t>not tested</t>
        </is>
      </c>
      <c r="L3911" s="256" t="inlineStr">
        <is>
          <t>—</t>
        </is>
      </c>
      <c r="M3911" s="256" t="inlineStr">
        <is>
          <t>—</t>
        </is>
      </c>
      <c r="N3911" s="256" t="inlineStr">
        <is>
          <t>—</t>
        </is>
      </c>
      <c r="O3911" s="256" t="inlineStr">
        <is>
          <t>—</t>
        </is>
      </c>
      <c r="P3911" s="256" t="inlineStr">
        <is>
          <t>not tested — no certificate covers it</t>
        </is>
      </c>
      <c r="Q3911" s="256" t="inlineStr"/>
      <c r="R3911" s="256" t="inlineStr"/>
    </row>
    <row r="3912">
      <c r="A3912" s="256" t="inlineStr">
        <is>
          <t>— at issue —</t>
        </is>
      </c>
      <c r="B3912" s="256" t="inlineStr">
        <is>
          <t>release</t>
        </is>
      </c>
      <c r="C3912" s="256" t="inlineStr">
        <is>
          <t>P160022</t>
        </is>
      </c>
      <c r="D3912" s="256" t="inlineStr">
        <is>
          <t>— no P lot assigned —</t>
        </is>
      </c>
      <c r="E3912" s="256" t="inlineStr">
        <is>
          <t>Grape Pie</t>
        </is>
      </c>
      <c r="F3912" s="256" t="inlineStr">
        <is>
          <t>13.07.2026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ППК26118</t>
        </is>
      </c>
      <c r="M3912" s="256" t="inlineStr">
        <is>
          <t>06.07.2026</t>
        </is>
      </c>
      <c r="N3912" s="256" t="inlineStr">
        <is>
          <t>UKIM Faculty of Pharmacy — Center for Natural Products</t>
        </is>
      </c>
      <c r="O3912" s="256" t="inlineStr">
        <is>
          <t>17.06.2026</t>
        </is>
      </c>
      <c r="P3912" s="256" t="inlineStr">
        <is>
          <t>covered</t>
        </is>
      </c>
      <c r="Q3912" s="256" t="inlineStr"/>
      <c r="R3912" s="256" t="inlineStr"/>
    </row>
    <row r="3913">
      <c r="A3913" s="256" t="inlineStr">
        <is>
          <t>— at issue —</t>
        </is>
      </c>
      <c r="B3913" s="256" t="inlineStr">
        <is>
          <t>release</t>
        </is>
      </c>
      <c r="C3913" s="256" t="inlineStr">
        <is>
          <t>P160022</t>
        </is>
      </c>
      <c r="D3913" s="256" t="inlineStr">
        <is>
          <t>— no P lot assigned —</t>
        </is>
      </c>
      <c r="E3913" s="256" t="inlineStr">
        <is>
          <t>Grape Pie</t>
        </is>
      </c>
      <c r="F3913" s="256" t="inlineStr">
        <is>
          <t>13.07.2026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ППК26118</t>
        </is>
      </c>
      <c r="M3913" s="256" t="inlineStr">
        <is>
          <t>06.07.2026</t>
        </is>
      </c>
      <c r="N3913" s="256" t="inlineStr">
        <is>
          <t>UKIM Faculty of Pharmacy — Center for Natural Products</t>
        </is>
      </c>
      <c r="O3913" s="256" t="inlineStr">
        <is>
          <t>17.06.2026</t>
        </is>
      </c>
      <c r="P3913" s="256" t="inlineStr">
        <is>
          <t>covered</t>
        </is>
      </c>
      <c r="Q3913" s="256" t="inlineStr"/>
      <c r="R3913" s="256" t="inlineStr"/>
    </row>
    <row r="3914">
      <c r="A3914" s="256" t="inlineStr">
        <is>
          <t>— at issue —</t>
        </is>
      </c>
      <c r="B3914" s="256" t="inlineStr">
        <is>
          <t>release</t>
        </is>
      </c>
      <c r="C3914" s="256" t="inlineStr">
        <is>
          <t>P160022</t>
        </is>
      </c>
      <c r="D3914" s="256" t="inlineStr">
        <is>
          <t>— no P lot assigned —</t>
        </is>
      </c>
      <c r="E3914" s="256" t="inlineStr">
        <is>
          <t>Grape Pie</t>
        </is>
      </c>
      <c r="F3914" s="256" t="inlineStr">
        <is>
          <t>13.07.2026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ППК26118</t>
        </is>
      </c>
      <c r="M3914" s="256" t="inlineStr">
        <is>
          <t>06.07.2026</t>
        </is>
      </c>
      <c r="N3914" s="256" t="inlineStr">
        <is>
          <t>UKIM Faculty of Pharmacy — Center for Natural Products</t>
        </is>
      </c>
      <c r="O3914" s="256" t="inlineStr">
        <is>
          <t>17.06.2026</t>
        </is>
      </c>
      <c r="P3914" s="256" t="inlineStr">
        <is>
          <t>covered</t>
        </is>
      </c>
      <c r="Q3914" s="256" t="inlineStr"/>
      <c r="R3914" s="256" t="inlineStr"/>
    </row>
    <row r="3915">
      <c r="A3915" s="256" t="inlineStr">
        <is>
          <t>— at issue —</t>
        </is>
      </c>
      <c r="B3915" s="256" t="inlineStr">
        <is>
          <t>release</t>
        </is>
      </c>
      <c r="C3915" s="256" t="inlineStr">
        <is>
          <t>P160022</t>
        </is>
      </c>
      <c r="D3915" s="256" t="inlineStr">
        <is>
          <t>— no P lot assigned —</t>
        </is>
      </c>
      <c r="E3915" s="256" t="inlineStr">
        <is>
          <t>Grape Pie</t>
        </is>
      </c>
      <c r="F3915" s="256" t="inlineStr">
        <is>
          <t>13.07.2026</t>
        </is>
      </c>
      <c r="G3915" s="256" t="inlineStr">
        <is>
          <t>4</t>
        </is>
      </c>
      <c r="H3915" s="256" t="inlineStr">
        <is>
          <t>Assay — Total Δ⁹-THC</t>
        </is>
      </c>
      <c r="I3915" s="256" t="inlineStr">
        <is>
          <t>Ph. Eur. 2.2.29 (HPLC)</t>
        </is>
      </c>
      <c r="J3915" s="256" t="inlineStr">
        <is>
          <t>22.00 – 25.99 %  (grade II, nominal 24.00 ± 2.00)</t>
        </is>
      </c>
      <c r="K3915" s="256" t="inlineStr">
        <is>
          <t>25.72</t>
        </is>
      </c>
      <c r="L3915" s="256" t="inlineStr">
        <is>
          <t>ППК26118</t>
        </is>
      </c>
      <c r="M3915" s="256" t="inlineStr">
        <is>
          <t>06.07.2026</t>
        </is>
      </c>
      <c r="N3915" s="256" t="inlineStr">
        <is>
          <t>UKIM Faculty of Pharmacy — Center for Natural Products</t>
        </is>
      </c>
      <c r="O3915" s="256" t="inlineStr">
        <is>
          <t>17.06.2026</t>
        </is>
      </c>
      <c r="P3915" s="256" t="inlineStr">
        <is>
          <t>covered</t>
        </is>
      </c>
      <c r="Q3915" s="256" t="inlineStr"/>
      <c r="R3915" s="256" t="inlineStr"/>
    </row>
    <row r="3916">
      <c r="A3916" s="256" t="inlineStr">
        <is>
          <t>— at issue —</t>
        </is>
      </c>
      <c r="B3916" s="256" t="inlineStr">
        <is>
          <t>release</t>
        </is>
      </c>
      <c r="C3916" s="256" t="inlineStr">
        <is>
          <t>P160022</t>
        </is>
      </c>
      <c r="D3916" s="256" t="inlineStr">
        <is>
          <t>— no P lot assigned —</t>
        </is>
      </c>
      <c r="E3916" s="256" t="inlineStr">
        <is>
          <t>Grape Pie</t>
        </is>
      </c>
      <c r="F3916" s="256" t="inlineStr">
        <is>
          <t>13.07.2026</t>
        </is>
      </c>
      <c r="G3916" s="256" t="inlineStr">
        <is>
          <t>5</t>
        </is>
      </c>
      <c r="H3916" s="256" t="inlineStr">
        <is>
          <t>Assay — Total CBD</t>
        </is>
      </c>
      <c r="I3916" s="256" t="inlineStr">
        <is>
          <t>Ph. Eur. 2.2.29 (HPLC) · CBD + CBDA x 0.877</t>
        </is>
      </c>
      <c r="J3916" s="256" t="inlineStr">
        <is>
          <t>≤ 1.0%, w/w</t>
        </is>
      </c>
      <c r="K3916" s="256" t="inlineStr">
        <is>
          <t>0.15</t>
        </is>
      </c>
      <c r="L3916" s="256" t="inlineStr">
        <is>
          <t>ППК26118</t>
        </is>
      </c>
      <c r="M3916" s="256" t="inlineStr">
        <is>
          <t>06.07.2026</t>
        </is>
      </c>
      <c r="N3916" s="256" t="inlineStr">
        <is>
          <t>UKIM Faculty of Pharmacy — Center for Natural Products</t>
        </is>
      </c>
      <c r="O3916" s="256" t="inlineStr">
        <is>
          <t>17.06.2026</t>
        </is>
      </c>
      <c r="P3916" s="256" t="inlineStr">
        <is>
          <t>covered</t>
        </is>
      </c>
      <c r="Q3916" s="256" t="inlineStr"/>
      <c r="R3916" s="256" t="inlineStr"/>
    </row>
    <row r="3917">
      <c r="A3917" s="256" t="inlineStr">
        <is>
          <t>— at issue —</t>
        </is>
      </c>
      <c r="B3917" s="256" t="inlineStr">
        <is>
          <t>release</t>
        </is>
      </c>
      <c r="C3917" s="256" t="inlineStr">
        <is>
          <t>P160022</t>
        </is>
      </c>
      <c r="D3917" s="256" t="inlineStr">
        <is>
          <t>— no P lot assigned —</t>
        </is>
      </c>
      <c r="E3917" s="256" t="inlineStr">
        <is>
          <t>Grape Pie</t>
        </is>
      </c>
      <c r="F3917" s="256" t="inlineStr">
        <is>
          <t>13.07.2026</t>
        </is>
      </c>
      <c r="G3917" s="256" t="inlineStr">
        <is>
          <t>6</t>
        </is>
      </c>
      <c r="H3917" s="256" t="inlineStr">
        <is>
          <t>Total CBN</t>
        </is>
      </c>
      <c r="I3917" s="256" t="inlineStr">
        <is>
          <t>Ph. Eur. 2.2.29 (HPLC) · CBN + CBNA x 0.876</t>
        </is>
      </c>
      <c r="J3917" s="256" t="inlineStr">
        <is>
          <t>≤ 1.0%, w/w</t>
        </is>
      </c>
      <c r="K3917" s="256" t="inlineStr">
        <is>
          <t>0.10</t>
        </is>
      </c>
      <c r="L3917" s="256" t="inlineStr">
        <is>
          <t>ППК26118</t>
        </is>
      </c>
      <c r="M3917" s="256" t="inlineStr">
        <is>
          <t>06.07.2026</t>
        </is>
      </c>
      <c r="N3917" s="256" t="inlineStr">
        <is>
          <t>UKIM Faculty of Pharmacy — Center for Natural Products</t>
        </is>
      </c>
      <c r="O3917" s="256" t="inlineStr">
        <is>
          <t>17.06.2026</t>
        </is>
      </c>
      <c r="P3917" s="256" t="inlineStr">
        <is>
          <t>covered</t>
        </is>
      </c>
      <c r="Q3917" s="256" t="inlineStr"/>
      <c r="R3917" s="256" t="inlineStr"/>
    </row>
    <row r="3918">
      <c r="A3918" s="256" t="inlineStr">
        <is>
          <t>— at issue —</t>
        </is>
      </c>
      <c r="B3918" s="256" t="inlineStr">
        <is>
          <t>release</t>
        </is>
      </c>
      <c r="C3918" s="256" t="inlineStr">
        <is>
          <t>P160022</t>
        </is>
      </c>
      <c r="D3918" s="256" t="inlineStr">
        <is>
          <t>— no P lot assigned —</t>
        </is>
      </c>
      <c r="E3918" s="256" t="inlineStr">
        <is>
          <t>Grape Pie</t>
        </is>
      </c>
      <c r="F3918" s="256" t="inlineStr">
        <is>
          <t>13.07.2026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ППК26118</t>
        </is>
      </c>
      <c r="M3918" s="256" t="inlineStr">
        <is>
          <t>06.07.2026</t>
        </is>
      </c>
      <c r="N3918" s="256" t="inlineStr">
        <is>
          <t>UKIM Faculty of Pharmacy — Center for Natural Products</t>
        </is>
      </c>
      <c r="O3918" s="256" t="inlineStr">
        <is>
          <t>17.06.2026</t>
        </is>
      </c>
      <c r="P3918" s="256" t="inlineStr">
        <is>
          <t>covered</t>
        </is>
      </c>
      <c r="Q3918" s="256" t="inlineStr"/>
      <c r="R3918" s="256" t="inlineStr"/>
    </row>
    <row r="3919">
      <c r="A3919" s="256" t="inlineStr">
        <is>
          <t>— at issue —</t>
        </is>
      </c>
      <c r="B3919" s="256" t="inlineStr">
        <is>
          <t>release</t>
        </is>
      </c>
      <c r="C3919" s="256" t="inlineStr">
        <is>
          <t>P160022</t>
        </is>
      </c>
      <c r="D3919" s="256" t="inlineStr">
        <is>
          <t>— no P lot assigned —</t>
        </is>
      </c>
      <c r="E3919" s="256" t="inlineStr">
        <is>
          <t>Grape Pie</t>
        </is>
      </c>
      <c r="F3919" s="256" t="inlineStr">
        <is>
          <t>13.07.2026</t>
        </is>
      </c>
      <c r="G3919" s="256" t="inlineStr">
        <is>
          <t>8</t>
        </is>
      </c>
      <c r="H3919" s="256" t="inlineStr">
        <is>
          <t>Loss on Drying</t>
        </is>
      </c>
      <c r="I3919" s="256" t="inlineStr">
        <is>
          <t>Ph. Eur. 2.2.32 (3028) · at 40 °C, 24 h, 15–25 mbar</t>
        </is>
      </c>
      <c r="J3919" s="256" t="inlineStr">
        <is>
          <t>≤ 12.0%</t>
        </is>
      </c>
      <c r="K3919" s="256" t="inlineStr">
        <is>
          <t>6.67</t>
        </is>
      </c>
      <c r="L3919" s="256" t="inlineStr">
        <is>
          <t>ППК26118</t>
        </is>
      </c>
      <c r="M3919" s="256" t="inlineStr">
        <is>
          <t>06.07.2026</t>
        </is>
      </c>
      <c r="N3919" s="256" t="inlineStr">
        <is>
          <t>UKIM Faculty of Pharmacy — Center for Natural Products</t>
        </is>
      </c>
      <c r="O3919" s="256" t="inlineStr">
        <is>
          <t>17.06.2026</t>
        </is>
      </c>
      <c r="P3919" s="256" t="inlineStr">
        <is>
          <t>covered</t>
        </is>
      </c>
      <c r="Q3919" s="256" t="inlineStr"/>
      <c r="R3919" s="256" t="inlineStr"/>
    </row>
    <row r="3920">
      <c r="A3920" s="256" t="inlineStr">
        <is>
          <t>— at issue —</t>
        </is>
      </c>
      <c r="B3920" s="256" t="inlineStr">
        <is>
          <t>release</t>
        </is>
      </c>
      <c r="C3920" s="256" t="inlineStr">
        <is>
          <t>P160022</t>
        </is>
      </c>
      <c r="D3920" s="256" t="inlineStr">
        <is>
          <t>— no P lot assigned —</t>
        </is>
      </c>
      <c r="E3920" s="256" t="inlineStr">
        <is>
          <t>Grape Pie</t>
        </is>
      </c>
      <c r="F3920" s="256" t="inlineStr">
        <is>
          <t>13.07.2026</t>
        </is>
      </c>
      <c r="G3920" s="256" t="inlineStr">
        <is>
          <t>9.1</t>
        </is>
      </c>
      <c r="H3920" s="256" t="inlineStr">
        <is>
          <t>TAMC</t>
        </is>
      </c>
      <c r="I3920" s="256" t="inlineStr">
        <is>
          <t>Ph. Eur. 2.6.12 cat. C</t>
        </is>
      </c>
      <c r="J3920" s="256" t="inlineStr">
        <is>
          <t>≤ 10⁵ CFU/g</t>
        </is>
      </c>
      <c r="K3920" s="259" t="inlineStr">
        <is>
          <t>not tested</t>
        </is>
      </c>
      <c r="L3920" s="256" t="inlineStr">
        <is>
          <t>—</t>
        </is>
      </c>
      <c r="M3920" s="256" t="inlineStr">
        <is>
          <t>—</t>
        </is>
      </c>
      <c r="N3920" s="256" t="inlineStr">
        <is>
          <t>—</t>
        </is>
      </c>
      <c r="O3920" s="256" t="inlineStr">
        <is>
          <t>—</t>
        </is>
      </c>
      <c r="P3920" s="256" t="inlineStr">
        <is>
          <t>not tested — no certificate covers it</t>
        </is>
      </c>
      <c r="Q3920" s="256" t="inlineStr"/>
      <c r="R3920" s="256" t="inlineStr"/>
    </row>
    <row r="3921">
      <c r="A3921" s="256" t="inlineStr">
        <is>
          <t>— at issue —</t>
        </is>
      </c>
      <c r="B3921" s="256" t="inlineStr">
        <is>
          <t>release</t>
        </is>
      </c>
      <c r="C3921" s="256" t="inlineStr">
        <is>
          <t>P160022</t>
        </is>
      </c>
      <c r="D3921" s="256" t="inlineStr">
        <is>
          <t>— no P lot assigned —</t>
        </is>
      </c>
      <c r="E3921" s="256" t="inlineStr">
        <is>
          <t>Grape Pie</t>
        </is>
      </c>
      <c r="F3921" s="256" t="inlineStr">
        <is>
          <t>13.07.2026</t>
        </is>
      </c>
      <c r="G3921" s="256" t="inlineStr">
        <is>
          <t>9.2</t>
        </is>
      </c>
      <c r="H3921" s="256" t="inlineStr">
        <is>
          <t>TYMC</t>
        </is>
      </c>
      <c r="I3921" s="256" t="inlineStr">
        <is>
          <t>Ph. Eur. 2.6.12 cat. C</t>
        </is>
      </c>
      <c r="J3921" s="256" t="inlineStr">
        <is>
          <t>≤ 10⁴ CFU/g</t>
        </is>
      </c>
      <c r="K3921" s="259" t="inlineStr">
        <is>
          <t>not tested</t>
        </is>
      </c>
      <c r="L3921" s="256" t="inlineStr">
        <is>
          <t>—</t>
        </is>
      </c>
      <c r="M3921" s="256" t="inlineStr">
        <is>
          <t>—</t>
        </is>
      </c>
      <c r="N3921" s="256" t="inlineStr">
        <is>
          <t>—</t>
        </is>
      </c>
      <c r="O3921" s="256" t="inlineStr">
        <is>
          <t>—</t>
        </is>
      </c>
      <c r="P3921" s="256" t="inlineStr">
        <is>
          <t>not tested — no certificate covers it</t>
        </is>
      </c>
      <c r="Q3921" s="256" t="inlineStr"/>
      <c r="R3921" s="256" t="inlineStr"/>
    </row>
    <row r="3922">
      <c r="A3922" s="256" t="inlineStr">
        <is>
          <t>— at issue —</t>
        </is>
      </c>
      <c r="B3922" s="256" t="inlineStr">
        <is>
          <t>release</t>
        </is>
      </c>
      <c r="C3922" s="256" t="inlineStr">
        <is>
          <t>P160022</t>
        </is>
      </c>
      <c r="D3922" s="256" t="inlineStr">
        <is>
          <t>— no P lot assigned —</t>
        </is>
      </c>
      <c r="E3922" s="256" t="inlineStr">
        <is>
          <t>Grape Pie</t>
        </is>
      </c>
      <c r="F3922" s="256" t="inlineStr">
        <is>
          <t>13.07.2026</t>
        </is>
      </c>
      <c r="G3922" s="256" t="inlineStr">
        <is>
          <t>9.3</t>
        </is>
      </c>
      <c r="H3922" s="256" t="inlineStr">
        <is>
          <t>Bile-tolerant gram-neg.</t>
        </is>
      </c>
      <c r="I3922" s="256" t="inlineStr">
        <is>
          <t>Ph. Eur. 2.6.31 cat. C</t>
        </is>
      </c>
      <c r="J3922" s="256" t="inlineStr">
        <is>
          <t>≤ 10⁴ CFU/g</t>
        </is>
      </c>
      <c r="K3922" s="259" t="inlineStr">
        <is>
          <t>not tested</t>
        </is>
      </c>
      <c r="L3922" s="256" t="inlineStr">
        <is>
          <t>—</t>
        </is>
      </c>
      <c r="M3922" s="256" t="inlineStr">
        <is>
          <t>—</t>
        </is>
      </c>
      <c r="N3922" s="256" t="inlineStr">
        <is>
          <t>—</t>
        </is>
      </c>
      <c r="O3922" s="256" t="inlineStr">
        <is>
          <t>—</t>
        </is>
      </c>
      <c r="P3922" s="256" t="inlineStr">
        <is>
          <t>not tested — no certificate covers it</t>
        </is>
      </c>
      <c r="Q3922" s="256" t="inlineStr"/>
      <c r="R3922" s="256" t="inlineStr"/>
    </row>
    <row r="3923">
      <c r="A3923" s="256" t="inlineStr">
        <is>
          <t>— at issue —</t>
        </is>
      </c>
      <c r="B3923" s="256" t="inlineStr">
        <is>
          <t>release</t>
        </is>
      </c>
      <c r="C3923" s="256" t="inlineStr">
        <is>
          <t>P160022</t>
        </is>
      </c>
      <c r="D3923" s="256" t="inlineStr">
        <is>
          <t>— no P lot assigned —</t>
        </is>
      </c>
      <c r="E3923" s="256" t="inlineStr">
        <is>
          <t>Grape Pie</t>
        </is>
      </c>
      <c r="F3923" s="256" t="inlineStr">
        <is>
          <t>13.07.2026</t>
        </is>
      </c>
      <c r="G3923" s="256" t="inlineStr">
        <is>
          <t>9.4</t>
        </is>
      </c>
      <c r="H3923" s="256" t="inlineStr">
        <is>
          <t>Salmonella</t>
        </is>
      </c>
      <c r="I3923" s="256" t="inlineStr">
        <is>
          <t>Ph. Eur. 2.6.31 cat. C</t>
        </is>
      </c>
      <c r="J3923" s="256" t="inlineStr">
        <is>
          <t>Absence | Отсуство / 25 g</t>
        </is>
      </c>
      <c r="K3923" s="259" t="inlineStr">
        <is>
          <t>not tested</t>
        </is>
      </c>
      <c r="L3923" s="256" t="inlineStr">
        <is>
          <t>—</t>
        </is>
      </c>
      <c r="M3923" s="256" t="inlineStr">
        <is>
          <t>—</t>
        </is>
      </c>
      <c r="N3923" s="256" t="inlineStr">
        <is>
          <t>—</t>
        </is>
      </c>
      <c r="O3923" s="256" t="inlineStr">
        <is>
          <t>—</t>
        </is>
      </c>
      <c r="P3923" s="256" t="inlineStr">
        <is>
          <t>not tested — no certificate covers it</t>
        </is>
      </c>
      <c r="Q3923" s="256" t="inlineStr"/>
      <c r="R3923" s="256" t="inlineStr"/>
    </row>
    <row r="3924">
      <c r="A3924" s="256" t="inlineStr">
        <is>
          <t>— at issue —</t>
        </is>
      </c>
      <c r="B3924" s="256" t="inlineStr">
        <is>
          <t>release</t>
        </is>
      </c>
      <c r="C3924" s="256" t="inlineStr">
        <is>
          <t>P160022</t>
        </is>
      </c>
      <c r="D3924" s="256" t="inlineStr">
        <is>
          <t>— no P lot assigned —</t>
        </is>
      </c>
      <c r="E3924" s="256" t="inlineStr">
        <is>
          <t>Grape Pie</t>
        </is>
      </c>
      <c r="F3924" s="256" t="inlineStr">
        <is>
          <t>13.07.2026</t>
        </is>
      </c>
      <c r="G3924" s="256" t="inlineStr">
        <is>
          <t>9.5</t>
        </is>
      </c>
      <c r="H3924" s="256" t="inlineStr">
        <is>
          <t>Escherichia coli</t>
        </is>
      </c>
      <c r="I3924" s="256" t="inlineStr">
        <is>
          <t>Ph. Eur. 2.6.13 cat. C</t>
        </is>
      </c>
      <c r="J3924" s="256" t="inlineStr">
        <is>
          <t>Absence | Отсуство / 1 g</t>
        </is>
      </c>
      <c r="K3924" s="259" t="inlineStr">
        <is>
          <t>not tested</t>
        </is>
      </c>
      <c r="L3924" s="256" t="inlineStr">
        <is>
          <t>—</t>
        </is>
      </c>
      <c r="M3924" s="256" t="inlineStr">
        <is>
          <t>—</t>
        </is>
      </c>
      <c r="N3924" s="256" t="inlineStr">
        <is>
          <t>—</t>
        </is>
      </c>
      <c r="O3924" s="256" t="inlineStr">
        <is>
          <t>—</t>
        </is>
      </c>
      <c r="P3924" s="256" t="inlineStr">
        <is>
          <t>not tested — no certificate covers it</t>
        </is>
      </c>
      <c r="Q3924" s="256" t="inlineStr"/>
      <c r="R3924" s="256" t="inlineStr"/>
    </row>
    <row r="3925">
      <c r="A3925" s="256" t="inlineStr">
        <is>
          <t>— at issue —</t>
        </is>
      </c>
      <c r="B3925" s="256" t="inlineStr">
        <is>
          <t>release</t>
        </is>
      </c>
      <c r="C3925" s="256" t="inlineStr">
        <is>
          <t>P160022</t>
        </is>
      </c>
      <c r="D3925" s="256" t="inlineStr">
        <is>
          <t>— no P lot assigned —</t>
        </is>
      </c>
      <c r="E3925" s="256" t="inlineStr">
        <is>
          <t>Grape Pie</t>
        </is>
      </c>
      <c r="F3925" s="256" t="inlineStr">
        <is>
          <t>13.07.2026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 at issue —</t>
        </is>
      </c>
      <c r="B3926" s="256" t="inlineStr">
        <is>
          <t>release</t>
        </is>
      </c>
      <c r="C3926" s="256" t="inlineStr">
        <is>
          <t>P160022</t>
        </is>
      </c>
      <c r="D3926" s="256" t="inlineStr">
        <is>
          <t>— no P lot assigned —</t>
        </is>
      </c>
      <c r="E3926" s="256" t="inlineStr">
        <is>
          <t>Grape Pie</t>
        </is>
      </c>
      <c r="F3926" s="256" t="inlineStr">
        <is>
          <t>13.07.2026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 at issue —</t>
        </is>
      </c>
      <c r="B3927" s="256" t="inlineStr">
        <is>
          <t>release</t>
        </is>
      </c>
      <c r="C3927" s="256" t="inlineStr">
        <is>
          <t>P160022</t>
        </is>
      </c>
      <c r="D3927" s="256" t="inlineStr">
        <is>
          <t>— no P lot assigned —</t>
        </is>
      </c>
      <c r="E3927" s="256" t="inlineStr">
        <is>
          <t>Grape Pie</t>
        </is>
      </c>
      <c r="F3927" s="256" t="inlineStr">
        <is>
          <t>13.07.2026</t>
        </is>
      </c>
      <c r="G3927" s="256" t="inlineStr">
        <is>
          <t>10.1</t>
        </is>
      </c>
      <c r="H3927" s="256" t="inlineStr">
        <is>
          <t>Aflatoxin B₁</t>
        </is>
      </c>
      <c r="I3927" s="256" t="inlineStr">
        <is>
          <t>Ph. Eur. 2.8.18 (HPLC-FLD)</t>
        </is>
      </c>
      <c r="J3927" s="256" t="inlineStr">
        <is>
          <t>≤ 2 µg/kg</t>
        </is>
      </c>
      <c r="K3927" s="259" t="inlineStr">
        <is>
          <t>not tested</t>
        </is>
      </c>
      <c r="L3927" s="256" t="inlineStr">
        <is>
          <t>—</t>
        </is>
      </c>
      <c r="M3927" s="256" t="inlineStr">
        <is>
          <t>—</t>
        </is>
      </c>
      <c r="N3927" s="256" t="inlineStr">
        <is>
          <t>—</t>
        </is>
      </c>
      <c r="O3927" s="256" t="inlineStr">
        <is>
          <t>—</t>
        </is>
      </c>
      <c r="P3927" s="256" t="inlineStr">
        <is>
          <t>not tested — no certificate covers it</t>
        </is>
      </c>
      <c r="Q3927" s="256" t="inlineStr"/>
      <c r="R3927" s="256" t="inlineStr"/>
    </row>
    <row r="3928">
      <c r="A3928" s="256" t="inlineStr">
        <is>
          <t>— at issue —</t>
        </is>
      </c>
      <c r="B3928" s="256" t="inlineStr">
        <is>
          <t>release</t>
        </is>
      </c>
      <c r="C3928" s="256" t="inlineStr">
        <is>
          <t>P160022</t>
        </is>
      </c>
      <c r="D3928" s="256" t="inlineStr">
        <is>
          <t>— no P lot assigned —</t>
        </is>
      </c>
      <c r="E3928" s="256" t="inlineStr">
        <is>
          <t>Grape Pie</t>
        </is>
      </c>
      <c r="F3928" s="256" t="inlineStr">
        <is>
          <t>13.07.2026</t>
        </is>
      </c>
      <c r="G3928" s="256" t="inlineStr">
        <is>
          <t>10.2</t>
        </is>
      </c>
      <c r="H3928" s="256" t="inlineStr">
        <is>
          <t>Aflatoxins ∑</t>
        </is>
      </c>
      <c r="I3928" s="256" t="inlineStr">
        <is>
          <t>Ph. Eur. 2.8.18 (HPLC-FLD)</t>
        </is>
      </c>
      <c r="J3928" s="256" t="inlineStr">
        <is>
          <t>≤ 4 µg/kg</t>
        </is>
      </c>
      <c r="K3928" s="259" t="inlineStr">
        <is>
          <t>not tested</t>
        </is>
      </c>
      <c r="L3928" s="256" t="inlineStr">
        <is>
          <t>—</t>
        </is>
      </c>
      <c r="M3928" s="256" t="inlineStr">
        <is>
          <t>—</t>
        </is>
      </c>
      <c r="N3928" s="256" t="inlineStr">
        <is>
          <t>—</t>
        </is>
      </c>
      <c r="O3928" s="256" t="inlineStr">
        <is>
          <t>—</t>
        </is>
      </c>
      <c r="P3928" s="256" t="inlineStr">
        <is>
          <t>not tested — no certificate covers it</t>
        </is>
      </c>
      <c r="Q3928" s="256" t="inlineStr"/>
      <c r="R3928" s="256" t="inlineStr"/>
    </row>
    <row r="3929">
      <c r="A3929" s="256" t="inlineStr">
        <is>
          <t>— at issue —</t>
        </is>
      </c>
      <c r="B3929" s="256" t="inlineStr">
        <is>
          <t>release</t>
        </is>
      </c>
      <c r="C3929" s="256" t="inlineStr">
        <is>
          <t>P160022</t>
        </is>
      </c>
      <c r="D3929" s="256" t="inlineStr">
        <is>
          <t>— no P lot assigned —</t>
        </is>
      </c>
      <c r="E3929" s="256" t="inlineStr">
        <is>
          <t>Grape Pie</t>
        </is>
      </c>
      <c r="F3929" s="256" t="inlineStr">
        <is>
          <t>13.07.2026</t>
        </is>
      </c>
      <c r="G3929" s="256" t="inlineStr">
        <is>
          <t>10.3</t>
        </is>
      </c>
      <c r="H3929" s="256" t="inlineStr">
        <is>
          <t>Ochratoxin A</t>
        </is>
      </c>
      <c r="I3929" s="256" t="inlineStr">
        <is>
          <t>Ph. Eur. 2.8.22 (HPLC-FLD)</t>
        </is>
      </c>
      <c r="J3929" s="256" t="inlineStr">
        <is>
          <t>≤ 20 µg/kg</t>
        </is>
      </c>
      <c r="K3929" s="259" t="inlineStr">
        <is>
          <t>not tested</t>
        </is>
      </c>
      <c r="L3929" s="256" t="inlineStr">
        <is>
          <t>—</t>
        </is>
      </c>
      <c r="M3929" s="256" t="inlineStr">
        <is>
          <t>—</t>
        </is>
      </c>
      <c r="N3929" s="256" t="inlineStr">
        <is>
          <t>—</t>
        </is>
      </c>
      <c r="O3929" s="256" t="inlineStr">
        <is>
          <t>—</t>
        </is>
      </c>
      <c r="P3929" s="256" t="inlineStr">
        <is>
          <t>not tested — no certificate covers it</t>
        </is>
      </c>
      <c r="Q3929" s="256" t="inlineStr"/>
      <c r="R3929" s="256" t="inlineStr"/>
    </row>
    <row r="3930">
      <c r="A3930" s="256" t="inlineStr">
        <is>
          <t>— at issue —</t>
        </is>
      </c>
      <c r="B3930" s="256" t="inlineStr">
        <is>
          <t>release</t>
        </is>
      </c>
      <c r="C3930" s="256" t="inlineStr">
        <is>
          <t>P160022</t>
        </is>
      </c>
      <c r="D3930" s="256" t="inlineStr">
        <is>
          <t>— no P lot assigned —</t>
        </is>
      </c>
      <c r="E3930" s="256" t="inlineStr">
        <is>
          <t>Grape Pie</t>
        </is>
      </c>
      <c r="F3930" s="256" t="inlineStr">
        <is>
          <t>13.07.2026</t>
        </is>
      </c>
      <c r="G3930" s="256" t="inlineStr">
        <is>
          <t>11.1</t>
        </is>
      </c>
      <c r="H3930" s="256" t="inlineStr">
        <is>
          <t>Lead (Pb)</t>
        </is>
      </c>
      <c r="I3930" s="256" t="inlineStr">
        <is>
          <t>Ph. Eur. 2.4.27 (ICP-MS)</t>
        </is>
      </c>
      <c r="J3930" s="256" t="inlineStr">
        <is>
          <t>≤ 0.5 mg/kg</t>
        </is>
      </c>
      <c r="K3930" s="259" t="inlineStr">
        <is>
          <t>not tested</t>
        </is>
      </c>
      <c r="L3930" s="256" t="inlineStr">
        <is>
          <t>—</t>
        </is>
      </c>
      <c r="M3930" s="256" t="inlineStr">
        <is>
          <t>—</t>
        </is>
      </c>
      <c r="N3930" s="256" t="inlineStr">
        <is>
          <t>—</t>
        </is>
      </c>
      <c r="O3930" s="256" t="inlineStr">
        <is>
          <t>—</t>
        </is>
      </c>
      <c r="P3930" s="256" t="inlineStr">
        <is>
          <t>not tested — no certificate covers it</t>
        </is>
      </c>
      <c r="Q3930" s="256" t="inlineStr"/>
      <c r="R3930" s="256" t="inlineStr"/>
    </row>
    <row r="3931">
      <c r="A3931" s="256" t="inlineStr">
        <is>
          <t>— at issue —</t>
        </is>
      </c>
      <c r="B3931" s="256" t="inlineStr">
        <is>
          <t>release</t>
        </is>
      </c>
      <c r="C3931" s="256" t="inlineStr">
        <is>
          <t>P160022</t>
        </is>
      </c>
      <c r="D3931" s="256" t="inlineStr">
        <is>
          <t>— no P lot assigned —</t>
        </is>
      </c>
      <c r="E3931" s="256" t="inlineStr">
        <is>
          <t>Grape Pie</t>
        </is>
      </c>
      <c r="F3931" s="256" t="inlineStr">
        <is>
          <t>13.07.2026</t>
        </is>
      </c>
      <c r="G3931" s="256" t="inlineStr">
        <is>
          <t>11.2</t>
        </is>
      </c>
      <c r="H3931" s="256" t="inlineStr">
        <is>
          <t>Cadmium (Cd)</t>
        </is>
      </c>
      <c r="I3931" s="256" t="inlineStr">
        <is>
          <t>Ph. Eur. 2.4.27 (ICP-MS)</t>
        </is>
      </c>
      <c r="J3931" s="256" t="inlineStr">
        <is>
          <t>≤ 0.3 mg/kg</t>
        </is>
      </c>
      <c r="K3931" s="259" t="inlineStr">
        <is>
          <t>not tested</t>
        </is>
      </c>
      <c r="L3931" s="256" t="inlineStr">
        <is>
          <t>—</t>
        </is>
      </c>
      <c r="M3931" s="256" t="inlineStr">
        <is>
          <t>—</t>
        </is>
      </c>
      <c r="N3931" s="256" t="inlineStr">
        <is>
          <t>—</t>
        </is>
      </c>
      <c r="O3931" s="256" t="inlineStr">
        <is>
          <t>—</t>
        </is>
      </c>
      <c r="P3931" s="256" t="inlineStr">
        <is>
          <t>not tested — no certificate covers it</t>
        </is>
      </c>
      <c r="Q3931" s="256" t="inlineStr"/>
      <c r="R3931" s="256" t="inlineStr"/>
    </row>
    <row r="3932">
      <c r="A3932" s="256" t="inlineStr">
        <is>
          <t>— at issue —</t>
        </is>
      </c>
      <c r="B3932" s="256" t="inlineStr">
        <is>
          <t>release</t>
        </is>
      </c>
      <c r="C3932" s="256" t="inlineStr">
        <is>
          <t>P160022</t>
        </is>
      </c>
      <c r="D3932" s="256" t="inlineStr">
        <is>
          <t>— no P lot assigned —</t>
        </is>
      </c>
      <c r="E3932" s="256" t="inlineStr">
        <is>
          <t>Grape Pie</t>
        </is>
      </c>
      <c r="F3932" s="256" t="inlineStr">
        <is>
          <t>13.07.2026</t>
        </is>
      </c>
      <c r="G3932" s="256" t="inlineStr">
        <is>
          <t>11.3</t>
        </is>
      </c>
      <c r="H3932" s="256" t="inlineStr">
        <is>
          <t>Arsenic (As)</t>
        </is>
      </c>
      <c r="I3932" s="256" t="inlineStr">
        <is>
          <t>Ph. Eur. 2.4.27 (ICP-MS)</t>
        </is>
      </c>
      <c r="J3932" s="256" t="inlineStr">
        <is>
          <t>≤ 0.2 mg/kg</t>
        </is>
      </c>
      <c r="K3932" s="259" t="inlineStr">
        <is>
          <t>not tested</t>
        </is>
      </c>
      <c r="L3932" s="256" t="inlineStr">
        <is>
          <t>—</t>
        </is>
      </c>
      <c r="M3932" s="256" t="inlineStr">
        <is>
          <t>—</t>
        </is>
      </c>
      <c r="N3932" s="256" t="inlineStr">
        <is>
          <t>—</t>
        </is>
      </c>
      <c r="O3932" s="256" t="inlineStr">
        <is>
          <t>—</t>
        </is>
      </c>
      <c r="P3932" s="256" t="inlineStr">
        <is>
          <t>not tested — no certificate covers it</t>
        </is>
      </c>
      <c r="Q3932" s="256" t="inlineStr"/>
      <c r="R3932" s="256" t="inlineStr"/>
    </row>
    <row r="3933">
      <c r="A3933" s="256" t="inlineStr">
        <is>
          <t>— at issue —</t>
        </is>
      </c>
      <c r="B3933" s="256" t="inlineStr">
        <is>
          <t>release</t>
        </is>
      </c>
      <c r="C3933" s="256" t="inlineStr">
        <is>
          <t>P160022</t>
        </is>
      </c>
      <c r="D3933" s="256" t="inlineStr">
        <is>
          <t>— no P lot assigned —</t>
        </is>
      </c>
      <c r="E3933" s="256" t="inlineStr">
        <is>
          <t>Grape Pie</t>
        </is>
      </c>
      <c r="F3933" s="256" t="inlineStr">
        <is>
          <t>13.07.2026</t>
        </is>
      </c>
      <c r="G3933" s="256" t="inlineStr">
        <is>
          <t>11.4</t>
        </is>
      </c>
      <c r="H3933" s="256" t="inlineStr">
        <is>
          <t>Mercury (Hg)</t>
        </is>
      </c>
      <c r="I3933" s="256" t="inlineStr">
        <is>
          <t>Ph. Eur. 2.4.27 (ICP-MS)</t>
        </is>
      </c>
      <c r="J3933" s="256" t="inlineStr">
        <is>
          <t>≤ 0.1 mg/kg</t>
        </is>
      </c>
      <c r="K3933" s="259" t="inlineStr">
        <is>
          <t>not tested</t>
        </is>
      </c>
      <c r="L3933" s="256" t="inlineStr">
        <is>
          <t>—</t>
        </is>
      </c>
      <c r="M3933" s="256" t="inlineStr">
        <is>
          <t>—</t>
        </is>
      </c>
      <c r="N3933" s="256" t="inlineStr">
        <is>
          <t>—</t>
        </is>
      </c>
      <c r="O3933" s="256" t="inlineStr">
        <is>
          <t>—</t>
        </is>
      </c>
      <c r="P3933" s="256" t="inlineStr">
        <is>
          <t>not tested — no certificate covers it</t>
        </is>
      </c>
      <c r="Q3933" s="256" t="inlineStr"/>
      <c r="R3933" s="256" t="inlineStr"/>
    </row>
    <row r="3934">
      <c r="A3934" s="256" t="inlineStr">
        <is>
          <t>— at issue —</t>
        </is>
      </c>
      <c r="B3934" s="256" t="inlineStr">
        <is>
          <t>release</t>
        </is>
      </c>
      <c r="C3934" s="256" t="inlineStr">
        <is>
          <t>P160022</t>
        </is>
      </c>
      <c r="D3934" s="256" t="inlineStr">
        <is>
          <t>— no P lot assigned —</t>
        </is>
      </c>
      <c r="E3934" s="256" t="inlineStr">
        <is>
          <t>Grape Pie</t>
        </is>
      </c>
      <c r="F3934" s="256" t="inlineStr">
        <is>
          <t>13.07.2026</t>
        </is>
      </c>
      <c r="G3934" s="256" t="inlineStr">
        <is>
          <t>12</t>
        </is>
      </c>
      <c r="H3934" s="256" t="inlineStr">
        <is>
          <t>Pesticide Residues</t>
        </is>
      </c>
      <c r="I3934" s="256" t="inlineStr">
        <is>
          <t>Ph. Eur. 2.8.13 (LC-MS/MS) · CUMCS Equivalency</t>
        </is>
      </c>
      <c r="J3934" s="256" t="inlineStr">
        <is>
          <t>≤ LOQ as per Ph. Eur. 2.8.13 · ≤ LOQ as per CUMCS Equivalency</t>
        </is>
      </c>
      <c r="K3934" s="259" t="inlineStr">
        <is>
          <t>not tested</t>
        </is>
      </c>
      <c r="L3934" s="256" t="inlineStr">
        <is>
          <t>—</t>
        </is>
      </c>
      <c r="M3934" s="256" t="inlineStr">
        <is>
          <t>—</t>
        </is>
      </c>
      <c r="N3934" s="256" t="inlineStr">
        <is>
          <t>—</t>
        </is>
      </c>
      <c r="O3934" s="256" t="inlineStr">
        <is>
          <t>—</t>
        </is>
      </c>
      <c r="P3934" s="256" t="inlineStr">
        <is>
          <t>not tested — no certificate covers it</t>
        </is>
      </c>
      <c r="Q3934" s="256" t="inlineStr"/>
      <c r="R3934" s="256" t="inlineStr"/>
    </row>
    <row r="3935">
      <c r="A3935" s="256" t="inlineStr">
        <is>
          <t>— at issue —</t>
        </is>
      </c>
      <c r="B3935" s="256" t="inlineStr">
        <is>
          <t>release</t>
        </is>
      </c>
      <c r="C3935" s="256" t="inlineStr">
        <is>
          <t>P160032</t>
        </is>
      </c>
      <c r="D3935" s="256" t="inlineStr">
        <is>
          <t>— no P lot assigned —</t>
        </is>
      </c>
      <c r="E3935" s="256" t="inlineStr">
        <is>
          <t>Grape Pie</t>
        </is>
      </c>
      <c r="F3935" s="256" t="inlineStr">
        <is>
          <t>13.07.2026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ППК26119</t>
        </is>
      </c>
      <c r="M3935" s="256" t="inlineStr">
        <is>
          <t>06.07.2026</t>
        </is>
      </c>
      <c r="N3935" s="256" t="inlineStr">
        <is>
          <t>UKIM Faculty of Pharmacy — Center for Natural Products</t>
        </is>
      </c>
      <c r="O3935" s="256" t="inlineStr">
        <is>
          <t>17.06.2026</t>
        </is>
      </c>
      <c r="P3935" s="256" t="inlineStr">
        <is>
          <t>covered</t>
        </is>
      </c>
      <c r="Q3935" s="256" t="inlineStr"/>
      <c r="R3935" s="256" t="inlineStr"/>
    </row>
    <row r="3936">
      <c r="A3936" s="256" t="inlineStr">
        <is>
          <t>— at issue —</t>
        </is>
      </c>
      <c r="B3936" s="256" t="inlineStr">
        <is>
          <t>release</t>
        </is>
      </c>
      <c r="C3936" s="256" t="inlineStr">
        <is>
          <t>P160032</t>
        </is>
      </c>
      <c r="D3936" s="256" t="inlineStr">
        <is>
          <t>— no P lot assigned —</t>
        </is>
      </c>
      <c r="E3936" s="256" t="inlineStr">
        <is>
          <t>Grape Pie</t>
        </is>
      </c>
      <c r="F3936" s="256" t="inlineStr">
        <is>
          <t>13.07.2026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ППК26119</t>
        </is>
      </c>
      <c r="M3936" s="256" t="inlineStr">
        <is>
          <t>06.07.2026</t>
        </is>
      </c>
      <c r="N3936" s="256" t="inlineStr">
        <is>
          <t>UKIM Faculty of Pharmacy — Center for Natural Products</t>
        </is>
      </c>
      <c r="O3936" s="256" t="inlineStr">
        <is>
          <t>17.06.2026</t>
        </is>
      </c>
      <c r="P3936" s="256" t="inlineStr">
        <is>
          <t>covered</t>
        </is>
      </c>
      <c r="Q3936" s="256" t="inlineStr"/>
      <c r="R3936" s="256" t="inlineStr"/>
    </row>
    <row r="3937">
      <c r="A3937" s="256" t="inlineStr">
        <is>
          <t>— at issue —</t>
        </is>
      </c>
      <c r="B3937" s="256" t="inlineStr">
        <is>
          <t>release</t>
        </is>
      </c>
      <c r="C3937" s="256" t="inlineStr">
        <is>
          <t>P160032</t>
        </is>
      </c>
      <c r="D3937" s="256" t="inlineStr">
        <is>
          <t>— no P lot assigned —</t>
        </is>
      </c>
      <c r="E3937" s="256" t="inlineStr">
        <is>
          <t>Grape Pie</t>
        </is>
      </c>
      <c r="F3937" s="256" t="inlineStr">
        <is>
          <t>13.07.2026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ППК26119</t>
        </is>
      </c>
      <c r="M3937" s="256" t="inlineStr">
        <is>
          <t>06.07.2026</t>
        </is>
      </c>
      <c r="N3937" s="256" t="inlineStr">
        <is>
          <t>UKIM Faculty of Pharmacy — Center for Natural Products</t>
        </is>
      </c>
      <c r="O3937" s="256" t="inlineStr">
        <is>
          <t>17.06.2026</t>
        </is>
      </c>
      <c r="P3937" s="256" t="inlineStr">
        <is>
          <t>covered</t>
        </is>
      </c>
      <c r="Q3937" s="256" t="inlineStr"/>
      <c r="R3937" s="256" t="inlineStr"/>
    </row>
    <row r="3938">
      <c r="A3938" s="256" t="inlineStr">
        <is>
          <t>— at issue —</t>
        </is>
      </c>
      <c r="B3938" s="256" t="inlineStr">
        <is>
          <t>release</t>
        </is>
      </c>
      <c r="C3938" s="256" t="inlineStr">
        <is>
          <t>P160032</t>
        </is>
      </c>
      <c r="D3938" s="256" t="inlineStr">
        <is>
          <t>— no P lot assigned —</t>
        </is>
      </c>
      <c r="E3938" s="256" t="inlineStr">
        <is>
          <t>Grape Pie</t>
        </is>
      </c>
      <c r="F3938" s="256" t="inlineStr">
        <is>
          <t>13.07.2026</t>
        </is>
      </c>
      <c r="G3938" s="256" t="inlineStr">
        <is>
          <t>4</t>
        </is>
      </c>
      <c r="H3938" s="256" t="inlineStr">
        <is>
          <t>Assay — Total Δ⁹-THC</t>
        </is>
      </c>
      <c r="I3938" s="256" t="inlineStr">
        <is>
          <t>Ph. Eur. 2.2.29 (HPLC)</t>
        </is>
      </c>
      <c r="J3938" s="256" t="inlineStr">
        <is>
          <t>22.00 – 25.99 %  (grade II, nominal 24.00 ± 2.00)</t>
        </is>
      </c>
      <c r="K3938" s="256" t="inlineStr">
        <is>
          <t>24.78</t>
        </is>
      </c>
      <c r="L3938" s="256" t="inlineStr">
        <is>
          <t>ППК26119</t>
        </is>
      </c>
      <c r="M3938" s="256" t="inlineStr">
        <is>
          <t>06.07.2026</t>
        </is>
      </c>
      <c r="N3938" s="256" t="inlineStr">
        <is>
          <t>UKIM Faculty of Pharmacy — Center for Natural Products</t>
        </is>
      </c>
      <c r="O3938" s="256" t="inlineStr">
        <is>
          <t>17.06.2026</t>
        </is>
      </c>
      <c r="P3938" s="256" t="inlineStr">
        <is>
          <t>covered</t>
        </is>
      </c>
      <c r="Q3938" s="256" t="inlineStr"/>
      <c r="R3938" s="256" t="inlineStr"/>
    </row>
    <row r="3939">
      <c r="A3939" s="256" t="inlineStr">
        <is>
          <t>— at issue —</t>
        </is>
      </c>
      <c r="B3939" s="256" t="inlineStr">
        <is>
          <t>release</t>
        </is>
      </c>
      <c r="C3939" s="256" t="inlineStr">
        <is>
          <t>P160032</t>
        </is>
      </c>
      <c r="D3939" s="256" t="inlineStr">
        <is>
          <t>— no P lot assigned —</t>
        </is>
      </c>
      <c r="E3939" s="256" t="inlineStr">
        <is>
          <t>Grape Pie</t>
        </is>
      </c>
      <c r="F3939" s="256" t="inlineStr">
        <is>
          <t>13.07.2026</t>
        </is>
      </c>
      <c r="G3939" s="256" t="inlineStr">
        <is>
          <t>5</t>
        </is>
      </c>
      <c r="H3939" s="256" t="inlineStr">
        <is>
          <t>Assay — Total CBD</t>
        </is>
      </c>
      <c r="I3939" s="256" t="inlineStr">
        <is>
          <t>Ph. Eur. 2.2.29 (HPLC) · CBD + CBDA x 0.877</t>
        </is>
      </c>
      <c r="J3939" s="256" t="inlineStr">
        <is>
          <t>≤ 1.0%, w/w</t>
        </is>
      </c>
      <c r="K3939" s="256" t="inlineStr">
        <is>
          <t>0.06</t>
        </is>
      </c>
      <c r="L3939" s="256" t="inlineStr">
        <is>
          <t>ППК26119</t>
        </is>
      </c>
      <c r="M3939" s="256" t="inlineStr">
        <is>
          <t>06.07.2026</t>
        </is>
      </c>
      <c r="N3939" s="256" t="inlineStr">
        <is>
          <t>UKIM Faculty of Pharmacy — Center for Natural Products</t>
        </is>
      </c>
      <c r="O3939" s="256" t="inlineStr">
        <is>
          <t>17.06.2026</t>
        </is>
      </c>
      <c r="P3939" s="256" t="inlineStr">
        <is>
          <t>covered</t>
        </is>
      </c>
      <c r="Q3939" s="256" t="inlineStr"/>
      <c r="R3939" s="256" t="inlineStr"/>
    </row>
    <row r="3940">
      <c r="A3940" s="256" t="inlineStr">
        <is>
          <t>— at issue —</t>
        </is>
      </c>
      <c r="B3940" s="256" t="inlineStr">
        <is>
          <t>release</t>
        </is>
      </c>
      <c r="C3940" s="256" t="inlineStr">
        <is>
          <t>P160032</t>
        </is>
      </c>
      <c r="D3940" s="256" t="inlineStr">
        <is>
          <t>— no P lot assigned —</t>
        </is>
      </c>
      <c r="E3940" s="256" t="inlineStr">
        <is>
          <t>Grape Pie</t>
        </is>
      </c>
      <c r="F3940" s="256" t="inlineStr">
        <is>
          <t>13.07.2026</t>
        </is>
      </c>
      <c r="G3940" s="256" t="inlineStr">
        <is>
          <t>6</t>
        </is>
      </c>
      <c r="H3940" s="256" t="inlineStr">
        <is>
          <t>Total CBN</t>
        </is>
      </c>
      <c r="I3940" s="256" t="inlineStr">
        <is>
          <t>Ph. Eur. 2.2.29 (HPLC) · CBN + CBNA x 0.876</t>
        </is>
      </c>
      <c r="J3940" s="256" t="inlineStr">
        <is>
          <t>≤ 1.0%, w/w</t>
        </is>
      </c>
      <c r="K3940" s="256" t="inlineStr">
        <is>
          <t>0.08</t>
        </is>
      </c>
      <c r="L3940" s="256" t="inlineStr">
        <is>
          <t>ППК26119</t>
        </is>
      </c>
      <c r="M3940" s="256" t="inlineStr">
        <is>
          <t>06.07.2026</t>
        </is>
      </c>
      <c r="N3940" s="256" t="inlineStr">
        <is>
          <t>UKIM Faculty of Pharmacy — Center for Natural Products</t>
        </is>
      </c>
      <c r="O3940" s="256" t="inlineStr">
        <is>
          <t>17.06.2026</t>
        </is>
      </c>
      <c r="P3940" s="256" t="inlineStr">
        <is>
          <t>covered</t>
        </is>
      </c>
      <c r="Q3940" s="256" t="inlineStr"/>
      <c r="R3940" s="256" t="inlineStr"/>
    </row>
    <row r="3941">
      <c r="A3941" s="256" t="inlineStr">
        <is>
          <t>— at issue —</t>
        </is>
      </c>
      <c r="B3941" s="256" t="inlineStr">
        <is>
          <t>release</t>
        </is>
      </c>
      <c r="C3941" s="256" t="inlineStr">
        <is>
          <t>P160032</t>
        </is>
      </c>
      <c r="D3941" s="256" t="inlineStr">
        <is>
          <t>— no P lot assigned —</t>
        </is>
      </c>
      <c r="E3941" s="256" t="inlineStr">
        <is>
          <t>Grape Pie</t>
        </is>
      </c>
      <c r="F3941" s="256" t="inlineStr">
        <is>
          <t>13.07.2026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ППК26119</t>
        </is>
      </c>
      <c r="M3941" s="256" t="inlineStr">
        <is>
          <t>06.07.2026</t>
        </is>
      </c>
      <c r="N3941" s="256" t="inlineStr">
        <is>
          <t>UKIM Faculty of Pharmacy — Center for Natural Products</t>
        </is>
      </c>
      <c r="O3941" s="256" t="inlineStr">
        <is>
          <t>17.06.2026</t>
        </is>
      </c>
      <c r="P3941" s="256" t="inlineStr">
        <is>
          <t>covered</t>
        </is>
      </c>
      <c r="Q3941" s="256" t="inlineStr"/>
      <c r="R3941" s="256" t="inlineStr"/>
    </row>
    <row r="3942">
      <c r="A3942" s="256" t="inlineStr">
        <is>
          <t>— at issue —</t>
        </is>
      </c>
      <c r="B3942" s="256" t="inlineStr">
        <is>
          <t>release</t>
        </is>
      </c>
      <c r="C3942" s="256" t="inlineStr">
        <is>
          <t>P160032</t>
        </is>
      </c>
      <c r="D3942" s="256" t="inlineStr">
        <is>
          <t>— no P lot assigned —</t>
        </is>
      </c>
      <c r="E3942" s="256" t="inlineStr">
        <is>
          <t>Grape Pie</t>
        </is>
      </c>
      <c r="F3942" s="256" t="inlineStr">
        <is>
          <t>13.07.2026</t>
        </is>
      </c>
      <c r="G3942" s="256" t="inlineStr">
        <is>
          <t>8</t>
        </is>
      </c>
      <c r="H3942" s="256" t="inlineStr">
        <is>
          <t>Loss on Drying</t>
        </is>
      </c>
      <c r="I3942" s="256" t="inlineStr">
        <is>
          <t>Ph. Eur. 2.2.32 (3028) · at 40 °C, 24 h, 15–25 mbar</t>
        </is>
      </c>
      <c r="J3942" s="256" t="inlineStr">
        <is>
          <t>≤ 12.0%</t>
        </is>
      </c>
      <c r="K3942" s="256" t="inlineStr">
        <is>
          <t>6.78</t>
        </is>
      </c>
      <c r="L3942" s="256" t="inlineStr">
        <is>
          <t>ППК26119</t>
        </is>
      </c>
      <c r="M3942" s="256" t="inlineStr">
        <is>
          <t>06.07.2026</t>
        </is>
      </c>
      <c r="N3942" s="256" t="inlineStr">
        <is>
          <t>UKIM Faculty of Pharmacy — Center for Natural Products</t>
        </is>
      </c>
      <c r="O3942" s="256" t="inlineStr">
        <is>
          <t>17.06.2026</t>
        </is>
      </c>
      <c r="P3942" s="256" t="inlineStr">
        <is>
          <t>covered</t>
        </is>
      </c>
      <c r="Q3942" s="256" t="inlineStr"/>
      <c r="R3942" s="256" t="inlineStr"/>
    </row>
    <row r="3943">
      <c r="A3943" s="256" t="inlineStr">
        <is>
          <t>— at issue —</t>
        </is>
      </c>
      <c r="B3943" s="256" t="inlineStr">
        <is>
          <t>release</t>
        </is>
      </c>
      <c r="C3943" s="256" t="inlineStr">
        <is>
          <t>P160032</t>
        </is>
      </c>
      <c r="D3943" s="256" t="inlineStr">
        <is>
          <t>— no P lot assigned —</t>
        </is>
      </c>
      <c r="E3943" s="256" t="inlineStr">
        <is>
          <t>Grape Pie</t>
        </is>
      </c>
      <c r="F3943" s="256" t="inlineStr">
        <is>
          <t>13.07.2026</t>
        </is>
      </c>
      <c r="G3943" s="256" t="inlineStr">
        <is>
          <t>9.1</t>
        </is>
      </c>
      <c r="H3943" s="256" t="inlineStr">
        <is>
          <t>TAMC</t>
        </is>
      </c>
      <c r="I3943" s="256" t="inlineStr">
        <is>
          <t>Ph. Eur. 2.6.12 cat. C</t>
        </is>
      </c>
      <c r="J3943" s="256" t="inlineStr">
        <is>
          <t>≤ 10⁵ CFU/g</t>
        </is>
      </c>
      <c r="K3943" s="259" t="inlineStr">
        <is>
          <t>not tested</t>
        </is>
      </c>
      <c r="L3943" s="256" t="inlineStr">
        <is>
          <t>—</t>
        </is>
      </c>
      <c r="M3943" s="256" t="inlineStr">
        <is>
          <t>—</t>
        </is>
      </c>
      <c r="N3943" s="256" t="inlineStr">
        <is>
          <t>—</t>
        </is>
      </c>
      <c r="O3943" s="256" t="inlineStr">
        <is>
          <t>—</t>
        </is>
      </c>
      <c r="P3943" s="256" t="inlineStr">
        <is>
          <t>not tested — no certificate covers it</t>
        </is>
      </c>
      <c r="Q3943" s="256" t="inlineStr"/>
      <c r="R3943" s="256" t="inlineStr"/>
    </row>
    <row r="3944">
      <c r="A3944" s="256" t="inlineStr">
        <is>
          <t>— at issue —</t>
        </is>
      </c>
      <c r="B3944" s="256" t="inlineStr">
        <is>
          <t>release</t>
        </is>
      </c>
      <c r="C3944" s="256" t="inlineStr">
        <is>
          <t>P160032</t>
        </is>
      </c>
      <c r="D3944" s="256" t="inlineStr">
        <is>
          <t>— no P lot assigned —</t>
        </is>
      </c>
      <c r="E3944" s="256" t="inlineStr">
        <is>
          <t>Grape Pie</t>
        </is>
      </c>
      <c r="F3944" s="256" t="inlineStr">
        <is>
          <t>13.07.2026</t>
        </is>
      </c>
      <c r="G3944" s="256" t="inlineStr">
        <is>
          <t>9.2</t>
        </is>
      </c>
      <c r="H3944" s="256" t="inlineStr">
        <is>
          <t>TYMC</t>
        </is>
      </c>
      <c r="I3944" s="256" t="inlineStr">
        <is>
          <t>Ph. Eur. 2.6.12 cat. C</t>
        </is>
      </c>
      <c r="J3944" s="256" t="inlineStr">
        <is>
          <t>≤ 10⁴ CFU/g</t>
        </is>
      </c>
      <c r="K3944" s="259" t="inlineStr">
        <is>
          <t>not tested</t>
        </is>
      </c>
      <c r="L3944" s="256" t="inlineStr">
        <is>
          <t>—</t>
        </is>
      </c>
      <c r="M3944" s="256" t="inlineStr">
        <is>
          <t>—</t>
        </is>
      </c>
      <c r="N3944" s="256" t="inlineStr">
        <is>
          <t>—</t>
        </is>
      </c>
      <c r="O3944" s="256" t="inlineStr">
        <is>
          <t>—</t>
        </is>
      </c>
      <c r="P3944" s="256" t="inlineStr">
        <is>
          <t>not tested — no certificate covers it</t>
        </is>
      </c>
      <c r="Q3944" s="256" t="inlineStr"/>
      <c r="R3944" s="256" t="inlineStr"/>
    </row>
    <row r="3945">
      <c r="A3945" s="256" t="inlineStr">
        <is>
          <t>— at issue —</t>
        </is>
      </c>
      <c r="B3945" s="256" t="inlineStr">
        <is>
          <t>release</t>
        </is>
      </c>
      <c r="C3945" s="256" t="inlineStr">
        <is>
          <t>P160032</t>
        </is>
      </c>
      <c r="D3945" s="256" t="inlineStr">
        <is>
          <t>— no P lot assigned —</t>
        </is>
      </c>
      <c r="E3945" s="256" t="inlineStr">
        <is>
          <t>Grape Pie</t>
        </is>
      </c>
      <c r="F3945" s="256" t="inlineStr">
        <is>
          <t>13.07.2026</t>
        </is>
      </c>
      <c r="G3945" s="256" t="inlineStr">
        <is>
          <t>9.3</t>
        </is>
      </c>
      <c r="H3945" s="256" t="inlineStr">
        <is>
          <t>Bile-tolerant gram-neg.</t>
        </is>
      </c>
      <c r="I3945" s="256" t="inlineStr">
        <is>
          <t>Ph. Eur. 2.6.31 cat. C</t>
        </is>
      </c>
      <c r="J3945" s="256" t="inlineStr">
        <is>
          <t>≤ 10⁴ CFU/g</t>
        </is>
      </c>
      <c r="K3945" s="259" t="inlineStr">
        <is>
          <t>not tested</t>
        </is>
      </c>
      <c r="L3945" s="256" t="inlineStr">
        <is>
          <t>—</t>
        </is>
      </c>
      <c r="M3945" s="256" t="inlineStr">
        <is>
          <t>—</t>
        </is>
      </c>
      <c r="N3945" s="256" t="inlineStr">
        <is>
          <t>—</t>
        </is>
      </c>
      <c r="O3945" s="256" t="inlineStr">
        <is>
          <t>—</t>
        </is>
      </c>
      <c r="P3945" s="256" t="inlineStr">
        <is>
          <t>not tested — no certificate covers it</t>
        </is>
      </c>
      <c r="Q3945" s="256" t="inlineStr"/>
      <c r="R3945" s="256" t="inlineStr"/>
    </row>
    <row r="3946">
      <c r="A3946" s="256" t="inlineStr">
        <is>
          <t>— at issue —</t>
        </is>
      </c>
      <c r="B3946" s="256" t="inlineStr">
        <is>
          <t>release</t>
        </is>
      </c>
      <c r="C3946" s="256" t="inlineStr">
        <is>
          <t>P160032</t>
        </is>
      </c>
      <c r="D3946" s="256" t="inlineStr">
        <is>
          <t>— no P lot assigned —</t>
        </is>
      </c>
      <c r="E3946" s="256" t="inlineStr">
        <is>
          <t>Grape Pie</t>
        </is>
      </c>
      <c r="F3946" s="256" t="inlineStr">
        <is>
          <t>13.07.2026</t>
        </is>
      </c>
      <c r="G3946" s="256" t="inlineStr">
        <is>
          <t>9.4</t>
        </is>
      </c>
      <c r="H3946" s="256" t="inlineStr">
        <is>
          <t>Salmonella</t>
        </is>
      </c>
      <c r="I3946" s="256" t="inlineStr">
        <is>
          <t>Ph. Eur. 2.6.31 cat. C</t>
        </is>
      </c>
      <c r="J3946" s="256" t="inlineStr">
        <is>
          <t>Absence | Отсуство / 25 g</t>
        </is>
      </c>
      <c r="K3946" s="259" t="inlineStr">
        <is>
          <t>not tested</t>
        </is>
      </c>
      <c r="L3946" s="256" t="inlineStr">
        <is>
          <t>—</t>
        </is>
      </c>
      <c r="M3946" s="256" t="inlineStr">
        <is>
          <t>—</t>
        </is>
      </c>
      <c r="N3946" s="256" t="inlineStr">
        <is>
          <t>—</t>
        </is>
      </c>
      <c r="O3946" s="256" t="inlineStr">
        <is>
          <t>—</t>
        </is>
      </c>
      <c r="P3946" s="256" t="inlineStr">
        <is>
          <t>not tested — no certificate covers it</t>
        </is>
      </c>
      <c r="Q3946" s="256" t="inlineStr"/>
      <c r="R3946" s="256" t="inlineStr"/>
    </row>
    <row r="3947">
      <c r="A3947" s="256" t="inlineStr">
        <is>
          <t>— at issue —</t>
        </is>
      </c>
      <c r="B3947" s="256" t="inlineStr">
        <is>
          <t>release</t>
        </is>
      </c>
      <c r="C3947" s="256" t="inlineStr">
        <is>
          <t>P160032</t>
        </is>
      </c>
      <c r="D3947" s="256" t="inlineStr">
        <is>
          <t>— no P lot assigned —</t>
        </is>
      </c>
      <c r="E3947" s="256" t="inlineStr">
        <is>
          <t>Grape Pie</t>
        </is>
      </c>
      <c r="F3947" s="256" t="inlineStr">
        <is>
          <t>13.07.2026</t>
        </is>
      </c>
      <c r="G3947" s="256" t="inlineStr">
        <is>
          <t>9.5</t>
        </is>
      </c>
      <c r="H3947" s="256" t="inlineStr">
        <is>
          <t>Escherichia coli</t>
        </is>
      </c>
      <c r="I3947" s="256" t="inlineStr">
        <is>
          <t>Ph. Eur. 2.6.13 cat. C</t>
        </is>
      </c>
      <c r="J3947" s="256" t="inlineStr">
        <is>
          <t>Absence | Отсуство / 1 g</t>
        </is>
      </c>
      <c r="K3947" s="259" t="inlineStr">
        <is>
          <t>not tested</t>
        </is>
      </c>
      <c r="L3947" s="256" t="inlineStr">
        <is>
          <t>—</t>
        </is>
      </c>
      <c r="M3947" s="256" t="inlineStr">
        <is>
          <t>—</t>
        </is>
      </c>
      <c r="N3947" s="256" t="inlineStr">
        <is>
          <t>—</t>
        </is>
      </c>
      <c r="O3947" s="256" t="inlineStr">
        <is>
          <t>—</t>
        </is>
      </c>
      <c r="P3947" s="256" t="inlineStr">
        <is>
          <t>not tested — no certificate covers it</t>
        </is>
      </c>
      <c r="Q3947" s="256" t="inlineStr"/>
      <c r="R3947" s="256" t="inlineStr"/>
    </row>
    <row r="3948">
      <c r="A3948" s="256" t="inlineStr">
        <is>
          <t>— at issue —</t>
        </is>
      </c>
      <c r="B3948" s="256" t="inlineStr">
        <is>
          <t>release</t>
        </is>
      </c>
      <c r="C3948" s="256" t="inlineStr">
        <is>
          <t>P160032</t>
        </is>
      </c>
      <c r="D3948" s="256" t="inlineStr">
        <is>
          <t>— no P lot assigned —</t>
        </is>
      </c>
      <c r="E3948" s="256" t="inlineStr">
        <is>
          <t>Grape Pie</t>
        </is>
      </c>
      <c r="F3948" s="256" t="inlineStr">
        <is>
          <t>13.07.2026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 at issue —</t>
        </is>
      </c>
      <c r="B3949" s="256" t="inlineStr">
        <is>
          <t>release</t>
        </is>
      </c>
      <c r="C3949" s="256" t="inlineStr">
        <is>
          <t>P160032</t>
        </is>
      </c>
      <c r="D3949" s="256" t="inlineStr">
        <is>
          <t>— no P lot assigned —</t>
        </is>
      </c>
      <c r="E3949" s="256" t="inlineStr">
        <is>
          <t>Grape Pie</t>
        </is>
      </c>
      <c r="F3949" s="256" t="inlineStr">
        <is>
          <t>13.07.2026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 at issue —</t>
        </is>
      </c>
      <c r="B3950" s="256" t="inlineStr">
        <is>
          <t>release</t>
        </is>
      </c>
      <c r="C3950" s="256" t="inlineStr">
        <is>
          <t>P160032</t>
        </is>
      </c>
      <c r="D3950" s="256" t="inlineStr">
        <is>
          <t>— no P lot assigned —</t>
        </is>
      </c>
      <c r="E3950" s="256" t="inlineStr">
        <is>
          <t>Grape Pie</t>
        </is>
      </c>
      <c r="F3950" s="256" t="inlineStr">
        <is>
          <t>13.07.2026</t>
        </is>
      </c>
      <c r="G3950" s="256" t="inlineStr">
        <is>
          <t>10.1</t>
        </is>
      </c>
      <c r="H3950" s="256" t="inlineStr">
        <is>
          <t>Aflatoxin B₁</t>
        </is>
      </c>
      <c r="I3950" s="256" t="inlineStr">
        <is>
          <t>Ph. Eur. 2.8.18 (HPLC-FLD)</t>
        </is>
      </c>
      <c r="J3950" s="256" t="inlineStr">
        <is>
          <t>≤ 2 µg/kg</t>
        </is>
      </c>
      <c r="K3950" s="259" t="inlineStr">
        <is>
          <t>not tested</t>
        </is>
      </c>
      <c r="L3950" s="256" t="inlineStr">
        <is>
          <t>—</t>
        </is>
      </c>
      <c r="M3950" s="256" t="inlineStr">
        <is>
          <t>—</t>
        </is>
      </c>
      <c r="N3950" s="256" t="inlineStr">
        <is>
          <t>—</t>
        </is>
      </c>
      <c r="O3950" s="256" t="inlineStr">
        <is>
          <t>—</t>
        </is>
      </c>
      <c r="P3950" s="256" t="inlineStr">
        <is>
          <t>not tested — no certificate covers it</t>
        </is>
      </c>
      <c r="Q3950" s="256" t="inlineStr"/>
      <c r="R3950" s="256" t="inlineStr"/>
    </row>
    <row r="3951">
      <c r="A3951" s="256" t="inlineStr">
        <is>
          <t>— at issue —</t>
        </is>
      </c>
      <c r="B3951" s="256" t="inlineStr">
        <is>
          <t>release</t>
        </is>
      </c>
      <c r="C3951" s="256" t="inlineStr">
        <is>
          <t>P160032</t>
        </is>
      </c>
      <c r="D3951" s="256" t="inlineStr">
        <is>
          <t>— no P lot assigned —</t>
        </is>
      </c>
      <c r="E3951" s="256" t="inlineStr">
        <is>
          <t>Grape Pie</t>
        </is>
      </c>
      <c r="F3951" s="256" t="inlineStr">
        <is>
          <t>13.07.2026</t>
        </is>
      </c>
      <c r="G3951" s="256" t="inlineStr">
        <is>
          <t>10.2</t>
        </is>
      </c>
      <c r="H3951" s="256" t="inlineStr">
        <is>
          <t>Aflatoxins ∑</t>
        </is>
      </c>
      <c r="I3951" s="256" t="inlineStr">
        <is>
          <t>Ph. Eur. 2.8.18 (HPLC-FLD)</t>
        </is>
      </c>
      <c r="J3951" s="256" t="inlineStr">
        <is>
          <t>≤ 4 µg/kg</t>
        </is>
      </c>
      <c r="K3951" s="259" t="inlineStr">
        <is>
          <t>not tested</t>
        </is>
      </c>
      <c r="L3951" s="256" t="inlineStr">
        <is>
          <t>—</t>
        </is>
      </c>
      <c r="M3951" s="256" t="inlineStr">
        <is>
          <t>—</t>
        </is>
      </c>
      <c r="N3951" s="256" t="inlineStr">
        <is>
          <t>—</t>
        </is>
      </c>
      <c r="O3951" s="256" t="inlineStr">
        <is>
          <t>—</t>
        </is>
      </c>
      <c r="P3951" s="256" t="inlineStr">
        <is>
          <t>not tested — no certificate covers it</t>
        </is>
      </c>
      <c r="Q3951" s="256" t="inlineStr"/>
      <c r="R3951" s="256" t="inlineStr"/>
    </row>
    <row r="3952">
      <c r="A3952" s="256" t="inlineStr">
        <is>
          <t>— at issue —</t>
        </is>
      </c>
      <c r="B3952" s="256" t="inlineStr">
        <is>
          <t>release</t>
        </is>
      </c>
      <c r="C3952" s="256" t="inlineStr">
        <is>
          <t>P160032</t>
        </is>
      </c>
      <c r="D3952" s="256" t="inlineStr">
        <is>
          <t>— no P lot assigned —</t>
        </is>
      </c>
      <c r="E3952" s="256" t="inlineStr">
        <is>
          <t>Grape Pie</t>
        </is>
      </c>
      <c r="F3952" s="256" t="inlineStr">
        <is>
          <t>13.07.2026</t>
        </is>
      </c>
      <c r="G3952" s="256" t="inlineStr">
        <is>
          <t>10.3</t>
        </is>
      </c>
      <c r="H3952" s="256" t="inlineStr">
        <is>
          <t>Ochratoxin A</t>
        </is>
      </c>
      <c r="I3952" s="256" t="inlineStr">
        <is>
          <t>Ph. Eur. 2.8.22 (HPLC-FLD)</t>
        </is>
      </c>
      <c r="J3952" s="256" t="inlineStr">
        <is>
          <t>≤ 20 µg/kg</t>
        </is>
      </c>
      <c r="K3952" s="259" t="inlineStr">
        <is>
          <t>not tested</t>
        </is>
      </c>
      <c r="L3952" s="256" t="inlineStr">
        <is>
          <t>—</t>
        </is>
      </c>
      <c r="M3952" s="256" t="inlineStr">
        <is>
          <t>—</t>
        </is>
      </c>
      <c r="N3952" s="256" t="inlineStr">
        <is>
          <t>—</t>
        </is>
      </c>
      <c r="O3952" s="256" t="inlineStr">
        <is>
          <t>—</t>
        </is>
      </c>
      <c r="P3952" s="256" t="inlineStr">
        <is>
          <t>not tested — no certificate covers it</t>
        </is>
      </c>
      <c r="Q3952" s="256" t="inlineStr"/>
      <c r="R3952" s="256" t="inlineStr"/>
    </row>
    <row r="3953">
      <c r="A3953" s="256" t="inlineStr">
        <is>
          <t>— at issue —</t>
        </is>
      </c>
      <c r="B3953" s="256" t="inlineStr">
        <is>
          <t>release</t>
        </is>
      </c>
      <c r="C3953" s="256" t="inlineStr">
        <is>
          <t>P160032</t>
        </is>
      </c>
      <c r="D3953" s="256" t="inlineStr">
        <is>
          <t>— no P lot assigned —</t>
        </is>
      </c>
      <c r="E3953" s="256" t="inlineStr">
        <is>
          <t>Grape Pie</t>
        </is>
      </c>
      <c r="F3953" s="256" t="inlineStr">
        <is>
          <t>13.07.2026</t>
        </is>
      </c>
      <c r="G3953" s="256" t="inlineStr">
        <is>
          <t>11.1</t>
        </is>
      </c>
      <c r="H3953" s="256" t="inlineStr">
        <is>
          <t>Lead (Pb)</t>
        </is>
      </c>
      <c r="I3953" s="256" t="inlineStr">
        <is>
          <t>Ph. Eur. 2.4.27 (ICP-MS)</t>
        </is>
      </c>
      <c r="J3953" s="256" t="inlineStr">
        <is>
          <t>≤ 0.5 mg/kg</t>
        </is>
      </c>
      <c r="K3953" s="259" t="inlineStr">
        <is>
          <t>not tested</t>
        </is>
      </c>
      <c r="L3953" s="256" t="inlineStr">
        <is>
          <t>—</t>
        </is>
      </c>
      <c r="M3953" s="256" t="inlineStr">
        <is>
          <t>—</t>
        </is>
      </c>
      <c r="N3953" s="256" t="inlineStr">
        <is>
          <t>—</t>
        </is>
      </c>
      <c r="O3953" s="256" t="inlineStr">
        <is>
          <t>—</t>
        </is>
      </c>
      <c r="P3953" s="256" t="inlineStr">
        <is>
          <t>not tested — no certificate covers it</t>
        </is>
      </c>
      <c r="Q3953" s="256" t="inlineStr"/>
      <c r="R3953" s="256" t="inlineStr"/>
    </row>
    <row r="3954">
      <c r="A3954" s="256" t="inlineStr">
        <is>
          <t>— at issue —</t>
        </is>
      </c>
      <c r="B3954" s="256" t="inlineStr">
        <is>
          <t>release</t>
        </is>
      </c>
      <c r="C3954" s="256" t="inlineStr">
        <is>
          <t>P160032</t>
        </is>
      </c>
      <c r="D3954" s="256" t="inlineStr">
        <is>
          <t>— no P lot assigned —</t>
        </is>
      </c>
      <c r="E3954" s="256" t="inlineStr">
        <is>
          <t>Grape Pie</t>
        </is>
      </c>
      <c r="F3954" s="256" t="inlineStr">
        <is>
          <t>13.07.2026</t>
        </is>
      </c>
      <c r="G3954" s="256" t="inlineStr">
        <is>
          <t>11.2</t>
        </is>
      </c>
      <c r="H3954" s="256" t="inlineStr">
        <is>
          <t>Cadmium (Cd)</t>
        </is>
      </c>
      <c r="I3954" s="256" t="inlineStr">
        <is>
          <t>Ph. Eur. 2.4.27 (ICP-MS)</t>
        </is>
      </c>
      <c r="J3954" s="256" t="inlineStr">
        <is>
          <t>≤ 0.3 mg/kg</t>
        </is>
      </c>
      <c r="K3954" s="259" t="inlineStr">
        <is>
          <t>not tested</t>
        </is>
      </c>
      <c r="L3954" s="256" t="inlineStr">
        <is>
          <t>—</t>
        </is>
      </c>
      <c r="M3954" s="256" t="inlineStr">
        <is>
          <t>—</t>
        </is>
      </c>
      <c r="N3954" s="256" t="inlineStr">
        <is>
          <t>—</t>
        </is>
      </c>
      <c r="O3954" s="256" t="inlineStr">
        <is>
          <t>—</t>
        </is>
      </c>
      <c r="P3954" s="256" t="inlineStr">
        <is>
          <t>not tested — no certificate covers it</t>
        </is>
      </c>
      <c r="Q3954" s="256" t="inlineStr"/>
      <c r="R3954" s="256" t="inlineStr"/>
    </row>
    <row r="3955">
      <c r="A3955" s="256" t="inlineStr">
        <is>
          <t>— at issue —</t>
        </is>
      </c>
      <c r="B3955" s="256" t="inlineStr">
        <is>
          <t>release</t>
        </is>
      </c>
      <c r="C3955" s="256" t="inlineStr">
        <is>
          <t>P160032</t>
        </is>
      </c>
      <c r="D3955" s="256" t="inlineStr">
        <is>
          <t>— no P lot assigned —</t>
        </is>
      </c>
      <c r="E3955" s="256" t="inlineStr">
        <is>
          <t>Grape Pie</t>
        </is>
      </c>
      <c r="F3955" s="256" t="inlineStr">
        <is>
          <t>13.07.2026</t>
        </is>
      </c>
      <c r="G3955" s="256" t="inlineStr">
        <is>
          <t>11.3</t>
        </is>
      </c>
      <c r="H3955" s="256" t="inlineStr">
        <is>
          <t>Arsenic (As)</t>
        </is>
      </c>
      <c r="I3955" s="256" t="inlineStr">
        <is>
          <t>Ph. Eur. 2.4.27 (ICP-MS)</t>
        </is>
      </c>
      <c r="J3955" s="256" t="inlineStr">
        <is>
          <t>≤ 0.2 mg/kg</t>
        </is>
      </c>
      <c r="K3955" s="259" t="inlineStr">
        <is>
          <t>not tested</t>
        </is>
      </c>
      <c r="L3955" s="256" t="inlineStr">
        <is>
          <t>—</t>
        </is>
      </c>
      <c r="M3955" s="256" t="inlineStr">
        <is>
          <t>—</t>
        </is>
      </c>
      <c r="N3955" s="256" t="inlineStr">
        <is>
          <t>—</t>
        </is>
      </c>
      <c r="O3955" s="256" t="inlineStr">
        <is>
          <t>—</t>
        </is>
      </c>
      <c r="P3955" s="256" t="inlineStr">
        <is>
          <t>not tested — no certificate covers it</t>
        </is>
      </c>
      <c r="Q3955" s="256" t="inlineStr"/>
      <c r="R3955" s="256" t="inlineStr"/>
    </row>
    <row r="3956">
      <c r="A3956" s="256" t="inlineStr">
        <is>
          <t>— at issue —</t>
        </is>
      </c>
      <c r="B3956" s="256" t="inlineStr">
        <is>
          <t>release</t>
        </is>
      </c>
      <c r="C3956" s="256" t="inlineStr">
        <is>
          <t>P160032</t>
        </is>
      </c>
      <c r="D3956" s="256" t="inlineStr">
        <is>
          <t>— no P lot assigned —</t>
        </is>
      </c>
      <c r="E3956" s="256" t="inlineStr">
        <is>
          <t>Grape Pie</t>
        </is>
      </c>
      <c r="F3956" s="256" t="inlineStr">
        <is>
          <t>13.07.2026</t>
        </is>
      </c>
      <c r="G3956" s="256" t="inlineStr">
        <is>
          <t>11.4</t>
        </is>
      </c>
      <c r="H3956" s="256" t="inlineStr">
        <is>
          <t>Mercury (Hg)</t>
        </is>
      </c>
      <c r="I3956" s="256" t="inlineStr">
        <is>
          <t>Ph. Eur. 2.4.27 (ICP-MS)</t>
        </is>
      </c>
      <c r="J3956" s="256" t="inlineStr">
        <is>
          <t>≤ 0.1 mg/kg</t>
        </is>
      </c>
      <c r="K3956" s="259" t="inlineStr">
        <is>
          <t>not tested</t>
        </is>
      </c>
      <c r="L3956" s="256" t="inlineStr">
        <is>
          <t>—</t>
        </is>
      </c>
      <c r="M3956" s="256" t="inlineStr">
        <is>
          <t>—</t>
        </is>
      </c>
      <c r="N3956" s="256" t="inlineStr">
        <is>
          <t>—</t>
        </is>
      </c>
      <c r="O3956" s="256" t="inlineStr">
        <is>
          <t>—</t>
        </is>
      </c>
      <c r="P3956" s="256" t="inlineStr">
        <is>
          <t>not tested — no certificate covers it</t>
        </is>
      </c>
      <c r="Q3956" s="256" t="inlineStr"/>
      <c r="R3956" s="256" t="inlineStr"/>
    </row>
    <row r="3957">
      <c r="A3957" s="256" t="inlineStr">
        <is>
          <t>— at issue —</t>
        </is>
      </c>
      <c r="B3957" s="256" t="inlineStr">
        <is>
          <t>release</t>
        </is>
      </c>
      <c r="C3957" s="256" t="inlineStr">
        <is>
          <t>P160032</t>
        </is>
      </c>
      <c r="D3957" s="256" t="inlineStr">
        <is>
          <t>— no P lot assigned —</t>
        </is>
      </c>
      <c r="E3957" s="256" t="inlineStr">
        <is>
          <t>Grape Pie</t>
        </is>
      </c>
      <c r="F3957" s="256" t="inlineStr">
        <is>
          <t>13.07.2026</t>
        </is>
      </c>
      <c r="G3957" s="256" t="inlineStr">
        <is>
          <t>12</t>
        </is>
      </c>
      <c r="H3957" s="256" t="inlineStr">
        <is>
          <t>Pesticide Residues</t>
        </is>
      </c>
      <c r="I3957" s="256" t="inlineStr">
        <is>
          <t>Ph. Eur. 2.8.13 (LC-MS/MS) · CUMCS Equivalency</t>
        </is>
      </c>
      <c r="J3957" s="256" t="inlineStr">
        <is>
          <t>≤ LOQ as per Ph. Eur. 2.8.13 · ≤ LOQ as per CUMCS Equivalency</t>
        </is>
      </c>
      <c r="K3957" s="259" t="inlineStr">
        <is>
          <t>not tested</t>
        </is>
      </c>
      <c r="L3957" s="256" t="inlineStr">
        <is>
          <t>—</t>
        </is>
      </c>
      <c r="M3957" s="256" t="inlineStr">
        <is>
          <t>—</t>
        </is>
      </c>
      <c r="N3957" s="256" t="inlineStr">
        <is>
          <t>—</t>
        </is>
      </c>
      <c r="O3957" s="256" t="inlineStr">
        <is>
          <t>—</t>
        </is>
      </c>
      <c r="P3957" s="256" t="inlineStr">
        <is>
          <t>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GRC102501-2</t>
        </is>
      </c>
      <c r="C58" s="256" t="inlineStr"/>
      <c r="D58" s="256" t="inlineStr"/>
      <c r="E58" s="256" t="inlineStr">
        <is>
          <t>IPH mycotoxins, metals, pesticides</t>
        </is>
      </c>
      <c r="F58" s="256" t="inlineStr"/>
      <c r="G58" s="256" t="inlineStr">
        <is>
          <t>10.2</t>
        </is>
      </c>
      <c r="H58" s="256" t="inlineStr">
        <is>
          <t>Aflatoxins Σ</t>
        </is>
      </c>
      <c r="I58" s="256" t="inlineStr"/>
      <c r="J58" s="256" t="inlineStr"/>
      <c r="K58" s="256" t="inlineStr"/>
      <c r="L58" s="256" t="inlineStr">
        <is>
          <t>&lt;2</t>
        </is>
      </c>
      <c r="M58" s="256" t="inlineStr">
        <is>
          <t>1060/2026</t>
        </is>
      </c>
      <c r="N58" s="256" t="inlineStr">
        <is>
          <t>09.03.2026</t>
        </is>
      </c>
      <c r="O58" s="256" t="inlineStr">
        <is>
          <t>IPH — Institute of Public Health</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10.2</t>
        </is>
      </c>
      <c r="H59" s="256" t="inlineStr">
        <is>
          <t>Aflatoxins Σ</t>
        </is>
      </c>
      <c r="I59" s="256" t="inlineStr"/>
      <c r="J59" s="256" t="inlineStr"/>
      <c r="K59" s="256" t="inlineStr"/>
      <c r="L59" s="256" t="inlineStr">
        <is>
          <t>&lt; 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11.1</t>
        </is>
      </c>
      <c r="H60" s="256" t="inlineStr">
        <is>
          <t>Pb</t>
        </is>
      </c>
      <c r="I60" s="256" t="inlineStr"/>
      <c r="J60" s="256" t="inlineStr"/>
      <c r="K60" s="256" t="inlineStr"/>
      <c r="L60" s="256" t="inlineStr">
        <is>
          <t>0.02</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11.2</t>
        </is>
      </c>
      <c r="H61" s="256" t="inlineStr">
        <is>
          <t>Cd</t>
        </is>
      </c>
      <c r="I61" s="256" t="inlineStr"/>
      <c r="J61" s="256" t="inlineStr"/>
      <c r="K61" s="256" t="inlineStr"/>
      <c r="L61" s="256" t="inlineStr">
        <is>
          <t>0.013</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11.3</t>
        </is>
      </c>
      <c r="H62" s="256" t="inlineStr">
        <is>
          <t>As</t>
        </is>
      </c>
      <c r="I62" s="256" t="inlineStr"/>
      <c r="J62" s="256" t="inlineStr"/>
      <c r="K62" s="256" t="inlineStr"/>
      <c r="L62" s="256" t="inlineStr">
        <is>
          <t>0.017</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11.4</t>
        </is>
      </c>
      <c r="H63" s="256" t="inlineStr">
        <is>
          <t>Hg</t>
        </is>
      </c>
      <c r="I63" s="256" t="inlineStr"/>
      <c r="J63" s="256" t="inlineStr"/>
      <c r="K63" s="256" t="inlineStr"/>
      <c r="L63" s="256" t="inlineStr">
        <is>
          <t>0.0026</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12</t>
        </is>
      </c>
      <c r="H64" s="256" t="inlineStr">
        <is>
          <t>Pesticides</t>
        </is>
      </c>
      <c r="I64" s="256" t="inlineStr"/>
      <c r="J64" s="256" t="inlineStr"/>
      <c r="K64" s="256" t="inlineStr"/>
      <c r="L64" s="256" t="inlineStr">
        <is>
          <t>N.D.</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4</t>
        </is>
      </c>
      <c r="H65" s="256" t="inlineStr">
        <is>
          <t>Total Δ9-THC</t>
        </is>
      </c>
      <c r="I65" s="256" t="inlineStr"/>
      <c r="J65" s="256" t="inlineStr"/>
      <c r="K65" s="256" t="inlineStr"/>
      <c r="L65" s="256" t="inlineStr">
        <is>
          <t>14.97</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5</t>
        </is>
      </c>
      <c r="H66" s="256" t="inlineStr">
        <is>
          <t>Total CBD</t>
        </is>
      </c>
      <c r="I66" s="256" t="inlineStr"/>
      <c r="J66" s="256" t="inlineStr"/>
      <c r="K66" s="256" t="inlineStr"/>
      <c r="L66" s="256" t="inlineStr">
        <is>
          <t>0.04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9.1</t>
        </is>
      </c>
      <c r="H67" s="256" t="inlineStr">
        <is>
          <t>TAMC</t>
        </is>
      </c>
      <c r="I67" s="256" t="inlineStr"/>
      <c r="J67" s="256" t="inlineStr"/>
      <c r="K67" s="256" t="inlineStr"/>
      <c r="L67" s="256" t="inlineStr">
        <is>
          <t>5.2·10^4</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9.2</t>
        </is>
      </c>
      <c r="H68" s="256" t="inlineStr">
        <is>
          <t>TYMC</t>
        </is>
      </c>
      <c r="I68" s="256" t="inlineStr"/>
      <c r="J68" s="256" t="inlineStr"/>
      <c r="K68" s="256" t="inlineStr"/>
      <c r="L68" s="256" t="inlineStr">
        <is>
          <t>7·10^2</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9.3</t>
        </is>
      </c>
      <c r="H69" s="256" t="inlineStr">
        <is>
          <t>Bile-tolerant GNB</t>
        </is>
      </c>
      <c r="I69" s="256" t="inlineStr"/>
      <c r="J69" s="256" t="inlineStr"/>
      <c r="K69" s="256" t="inlineStr"/>
      <c r="L69" s="256" t="inlineStr">
        <is>
          <t>&lt;10</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9.4</t>
        </is>
      </c>
      <c r="H70" s="256" t="inlineStr">
        <is>
          <t>Salmonella</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HPA1024</t>
        </is>
      </c>
      <c r="C71" s="256" t="inlineStr"/>
      <c r="D71" s="256" t="inlineStr"/>
      <c r="E71" s="256" t="inlineStr">
        <is>
          <t>Purely Plant in-house</t>
        </is>
      </c>
      <c r="F71" s="256" t="inlineStr"/>
      <c r="G71" s="256" t="inlineStr">
        <is>
          <t>9.5</t>
        </is>
      </c>
      <c r="H71" s="256" t="inlineStr">
        <is>
          <t>E. coli</t>
        </is>
      </c>
      <c r="I71" s="256" t="inlineStr"/>
      <c r="J71" s="256" t="inlineStr"/>
      <c r="K71" s="256" t="inlineStr"/>
      <c r="L71" s="256" t="inlineStr">
        <is>
          <t>Absent</t>
        </is>
      </c>
      <c r="M71" s="256" t="inlineStr">
        <is>
          <t>n/a — Purely Plant in-house CoA (Batch HPA1024, no certificate/report number printed)</t>
        </is>
      </c>
      <c r="N71" s="256" t="inlineStr">
        <is>
          <t>23.01.2025</t>
        </is>
      </c>
      <c r="O71" s="256" t="inlineStr">
        <is>
          <t>Purely Plant GmbH (in-house)</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4</t>
        </is>
      </c>
      <c r="H72" s="256" t="inlineStr">
        <is>
          <t>Total Δ9-THC</t>
        </is>
      </c>
      <c r="I72" s="256" t="inlineStr"/>
      <c r="J72" s="256" t="inlineStr"/>
      <c r="K72" s="256" t="inlineStr"/>
      <c r="L72" s="256" t="inlineStr">
        <is>
          <t>20.21</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5</t>
        </is>
      </c>
      <c r="H73" s="256" t="inlineStr">
        <is>
          <t>Total CBD</t>
        </is>
      </c>
      <c r="I73" s="256" t="inlineStr"/>
      <c r="J73" s="256" t="inlineStr"/>
      <c r="K73" s="256" t="inlineStr"/>
      <c r="L73" s="256" t="inlineStr">
        <is>
          <t>&lt; LOQ (&lt;0.20)</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cannabinoids</t>
        </is>
      </c>
      <c r="F74" s="256" t="inlineStr"/>
      <c r="G74" s="256" t="inlineStr">
        <is>
          <t>6</t>
        </is>
      </c>
      <c r="H74" s="256" t="inlineStr">
        <is>
          <t>Total CBN</t>
        </is>
      </c>
      <c r="I74" s="256" t="inlineStr"/>
      <c r="J74" s="256" t="inlineStr"/>
      <c r="K74" s="256" t="inlineStr"/>
      <c r="L74" s="256" t="inlineStr">
        <is>
          <t>&lt; LOQ</t>
        </is>
      </c>
      <c r="M74" s="256" t="inlineStr">
        <is>
          <t>100-1-К/26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J31112501</t>
        </is>
      </c>
      <c r="C75" s="256" t="inlineStr"/>
      <c r="D75" s="256" t="inlineStr"/>
      <c r="E75" s="256" t="inlineStr">
        <is>
          <t>Farmahem — loss on drying</t>
        </is>
      </c>
      <c r="F75" s="256" t="inlineStr"/>
      <c r="G75" s="256" t="inlineStr">
        <is>
          <t>8</t>
        </is>
      </c>
      <c r="H75" s="256" t="inlineStr">
        <is>
          <t>Loss on drying</t>
        </is>
      </c>
      <c r="I75" s="256" t="inlineStr"/>
      <c r="J75" s="256" t="inlineStr"/>
      <c r="K75" s="256" t="inlineStr"/>
      <c r="L75" s="256" t="inlineStr">
        <is>
          <t>7.6</t>
        </is>
      </c>
      <c r="M75" s="256" t="inlineStr">
        <is>
          <t>100-1-ГС/26</t>
        </is>
      </c>
      <c r="N75" s="256" t="inlineStr">
        <is>
          <t>09.04.2026</t>
        </is>
      </c>
      <c r="O75" s="256" t="inlineStr">
        <is>
          <t>Farmahem</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9.1</t>
        </is>
      </c>
      <c r="H76" s="256" t="inlineStr">
        <is>
          <t>TAMC</t>
        </is>
      </c>
      <c r="I76" s="256" t="inlineStr"/>
      <c r="J76" s="256" t="inlineStr"/>
      <c r="K76" s="256" t="inlineStr"/>
      <c r="L76" s="256" t="inlineStr">
        <is>
          <t>1900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9.2</t>
        </is>
      </c>
      <c r="H77" s="256" t="inlineStr">
        <is>
          <t>TYMC</t>
        </is>
      </c>
      <c r="I77" s="256" t="inlineStr"/>
      <c r="J77" s="256" t="inlineStr"/>
      <c r="K77" s="256" t="inlineStr"/>
      <c r="L77" s="256" t="inlineStr">
        <is>
          <t>840</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9.3</t>
        </is>
      </c>
      <c r="H78" s="256" t="inlineStr">
        <is>
          <t>Bile-tolerant GNB</t>
        </is>
      </c>
      <c r="I78" s="256" t="inlineStr"/>
      <c r="J78" s="256" t="inlineStr"/>
      <c r="K78" s="256" t="inlineStr"/>
      <c r="L78" s="256" t="inlineStr">
        <is>
          <t>&lt; 10^3 and &gt; 10^2</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9.4</t>
        </is>
      </c>
      <c r="H79" s="256" t="inlineStr">
        <is>
          <t>Salmonella</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IPH microbiology</t>
        </is>
      </c>
      <c r="F80" s="256" t="inlineStr"/>
      <c r="G80" s="256" t="inlineStr">
        <is>
          <t>9.5</t>
        </is>
      </c>
      <c r="H80" s="256" t="inlineStr">
        <is>
          <t>E. coli</t>
        </is>
      </c>
      <c r="I80" s="256" t="inlineStr"/>
      <c r="J80" s="256" t="inlineStr"/>
      <c r="K80" s="256" t="inlineStr"/>
      <c r="L80" s="256" t="inlineStr">
        <is>
          <t>Одговара (Complies/Absent)</t>
        </is>
      </c>
      <c r="M80" s="256" t="inlineStr">
        <is>
          <t>230/0393/26 (Trimiran cvet)</t>
        </is>
      </c>
      <c r="N80" s="256" t="inlineStr">
        <is>
          <t>07.04.2026</t>
        </is>
      </c>
      <c r="O80" s="256" t="inlineStr">
        <is>
          <t>IPH — Institute of Public Health</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4</t>
        </is>
      </c>
      <c r="H81" s="256" t="inlineStr">
        <is>
          <t>Total Δ9-THC</t>
        </is>
      </c>
      <c r="I81" s="256" t="inlineStr"/>
      <c r="J81" s="256" t="inlineStr"/>
      <c r="K81" s="256" t="inlineStr"/>
      <c r="L81" s="256" t="inlineStr">
        <is>
          <t>21.84</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5</t>
        </is>
      </c>
      <c r="H82" s="256" t="inlineStr">
        <is>
          <t>Total CBD</t>
        </is>
      </c>
      <c r="I82" s="256" t="inlineStr"/>
      <c r="J82" s="256" t="inlineStr"/>
      <c r="K82" s="256" t="inlineStr"/>
      <c r="L82" s="256" t="inlineStr">
        <is>
          <t>&lt; LOQ (&lt;0.20)</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cannabinoids</t>
        </is>
      </c>
      <c r="F83" s="256" t="inlineStr"/>
      <c r="G83" s="256" t="inlineStr">
        <is>
          <t>6</t>
        </is>
      </c>
      <c r="H83" s="256" t="inlineStr">
        <is>
          <t>Total CBN</t>
        </is>
      </c>
      <c r="I83" s="256" t="inlineStr"/>
      <c r="J83" s="256" t="inlineStr"/>
      <c r="K83" s="256" t="inlineStr"/>
      <c r="L83" s="256" t="inlineStr">
        <is>
          <t>&lt; LOQ</t>
        </is>
      </c>
      <c r="M83" s="256" t="inlineStr">
        <is>
          <t>100-3-К/26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Farmahem — loss on drying</t>
        </is>
      </c>
      <c r="F84" s="256" t="inlineStr"/>
      <c r="G84" s="256" t="inlineStr">
        <is>
          <t>8</t>
        </is>
      </c>
      <c r="H84" s="256" t="inlineStr">
        <is>
          <t>Loss on drying</t>
        </is>
      </c>
      <c r="I84" s="256" t="inlineStr"/>
      <c r="J84" s="256" t="inlineStr"/>
      <c r="K84" s="256" t="inlineStr"/>
      <c r="L84" s="256" t="inlineStr">
        <is>
          <t>10.3</t>
        </is>
      </c>
      <c r="M84" s="256" t="inlineStr">
        <is>
          <t>100-3-ГС/26</t>
        </is>
      </c>
      <c r="N84" s="256" t="inlineStr">
        <is>
          <t>09.04.2026</t>
        </is>
      </c>
      <c r="O84" s="256" t="inlineStr">
        <is>
          <t>Farmahem</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10.2</t>
        </is>
      </c>
      <c r="H85" s="256" t="inlineStr">
        <is>
          <t>Aflatoxins Σ</t>
        </is>
      </c>
      <c r="I85" s="256" t="inlineStr"/>
      <c r="J85" s="256" t="inlineStr"/>
      <c r="K85" s="256" t="inlineStr"/>
      <c r="L85" s="256" t="inlineStr">
        <is>
          <t>COMPLIES (numeric value not present in captured source excerpt for report 1625/2026 — see Bundle cross-reference)</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J31122501</t>
        </is>
      </c>
      <c r="C86" s="256" t="inlineStr"/>
      <c r="D86" s="256" t="inlineStr"/>
      <c r="E86" s="256" t="inlineStr">
        <is>
          <t>IPH mycotoxins, metals, pesticides</t>
        </is>
      </c>
      <c r="F86" s="256" t="inlineStr"/>
      <c r="G86" s="256" t="inlineStr">
        <is>
          <t>12</t>
        </is>
      </c>
      <c r="H86" s="256" t="inlineStr">
        <is>
          <t>Pesticides</t>
        </is>
      </c>
      <c r="I86" s="256" t="inlineStr"/>
      <c r="J86" s="256" t="inlineStr"/>
      <c r="K86" s="256" t="inlineStr"/>
      <c r="L86" s="256" t="inlineStr">
        <is>
          <t>н.д.</t>
        </is>
      </c>
      <c r="M86" s="256" t="inlineStr">
        <is>
          <t>1625/2026</t>
        </is>
      </c>
      <c r="N86" s="256" t="inlineStr">
        <is>
          <t>23.04.2026</t>
        </is>
      </c>
      <c r="O86" s="256" t="inlineStr">
        <is>
          <t>IPH — Institute of Public Health</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JD012603-02</t>
        </is>
      </c>
      <c r="C87" s="256" t="inlineStr"/>
      <c r="D87" s="256" t="inlineStr"/>
      <c r="E87" s="256" t="inlineStr">
        <is>
          <t>IPH mycotoxins, metals, pesticides</t>
        </is>
      </c>
      <c r="F87" s="256" t="inlineStr"/>
      <c r="G87" s="256" t="inlineStr">
        <is>
          <t>10.2</t>
        </is>
      </c>
      <c r="H87" s="256" t="inlineStr">
        <is>
          <t>Aflatoxins Σ</t>
        </is>
      </c>
      <c r="I87" s="256" t="inlineStr"/>
      <c r="J87" s="256" t="inlineStr"/>
      <c r="K87" s="256" t="inlineStr"/>
      <c r="L87" s="256" t="inlineStr">
        <is>
          <t>&lt;2</t>
        </is>
      </c>
      <c r="M87" s="256" t="inlineStr">
        <is>
          <t>3660/2026</t>
        </is>
      </c>
      <c r="N87" s="256" t="inlineStr">
        <is>
          <t>22.06.2026</t>
        </is>
      </c>
      <c r="O87" s="256" t="inlineStr">
        <is>
          <t>IPH — Institute of Public Health</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JD012603-02V</t>
        </is>
      </c>
      <c r="C88" s="256" t="inlineStr"/>
      <c r="D88" s="256" t="inlineStr"/>
      <c r="E88" s="256" t="inlineStr">
        <is>
          <t>IPH mycotoxins, metals, pesticides</t>
        </is>
      </c>
      <c r="F88" s="256" t="inlineStr"/>
      <c r="G88" s="256" t="inlineStr">
        <is>
          <t>10.2</t>
        </is>
      </c>
      <c r="H88" s="256" t="inlineStr">
        <is>
          <t>Aflatoxins Σ</t>
        </is>
      </c>
      <c r="I88" s="256" t="inlineStr"/>
      <c r="J88" s="256" t="inlineStr"/>
      <c r="K88" s="256" t="inlineStr"/>
      <c r="L88" s="256" t="inlineStr">
        <is>
          <t>&lt;2</t>
        </is>
      </c>
      <c r="M88" s="256" t="inlineStr">
        <is>
          <t>3662/2026</t>
        </is>
      </c>
      <c r="N88" s="256" t="inlineStr">
        <is>
          <t>22.06.2026</t>
        </is>
      </c>
      <c r="O88" s="256" t="inlineStr">
        <is>
          <t>IPH — Institute of Public Health</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UKIM CNP potency</t>
        </is>
      </c>
      <c r="F89" s="256" t="inlineStr"/>
      <c r="G89" s="256" t="inlineStr">
        <is>
          <t>4</t>
        </is>
      </c>
      <c r="H89" s="256" t="inlineStr">
        <is>
          <t>Total Δ9-THC</t>
        </is>
      </c>
      <c r="I89" s="256" t="inlineStr"/>
      <c r="J89" s="256" t="inlineStr"/>
      <c r="K89" s="256" t="inlineStr"/>
      <c r="L89" s="256" t="inlineStr">
        <is>
          <t>13.93</t>
        </is>
      </c>
      <c r="M89" s="256" t="inlineStr">
        <is>
          <t>ППК26065</t>
        </is>
      </c>
      <c r="N89" s="256" t="inlineStr">
        <is>
          <t>11.05.2026</t>
        </is>
      </c>
      <c r="O89" s="256" t="inlineStr">
        <is>
          <t>UKIM Faculty of Pharmacy — Center for Natural Products</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UKIM CNP potency</t>
        </is>
      </c>
      <c r="F90" s="256" t="inlineStr"/>
      <c r="G90" s="256" t="inlineStr">
        <is>
          <t>5</t>
        </is>
      </c>
      <c r="H90" s="256" t="inlineStr">
        <is>
          <t>Total CBD</t>
        </is>
      </c>
      <c r="I90" s="256" t="inlineStr"/>
      <c r="J90" s="256" t="inlineStr"/>
      <c r="K90" s="256" t="inlineStr"/>
      <c r="L90" s="256" t="inlineStr">
        <is>
          <t>0.04</t>
        </is>
      </c>
      <c r="M90" s="256" t="inlineStr">
        <is>
          <t>ППК26065</t>
        </is>
      </c>
      <c r="N90" s="256" t="inlineStr">
        <is>
          <t>11.05.2026</t>
        </is>
      </c>
      <c r="O90" s="256" t="inlineStr">
        <is>
          <t>UKIM Faculty of Pharmacy — Center for Natural Products</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UKIM CNP potency</t>
        </is>
      </c>
      <c r="F91" s="256" t="inlineStr"/>
      <c r="G91" s="256" t="inlineStr">
        <is>
          <t>8</t>
        </is>
      </c>
      <c r="H91" s="256" t="inlineStr">
        <is>
          <t>Loss on drying</t>
        </is>
      </c>
      <c r="I91" s="256" t="inlineStr"/>
      <c r="J91" s="256" t="inlineStr"/>
      <c r="K91" s="256" t="inlineStr"/>
      <c r="L91" s="256" t="inlineStr">
        <is>
          <t>6.38</t>
        </is>
      </c>
      <c r="M91" s="256" t="inlineStr">
        <is>
          <t>ППК26065</t>
        </is>
      </c>
      <c r="N91" s="256" t="inlineStr">
        <is>
          <t>11.05.2026</t>
        </is>
      </c>
      <c r="O91" s="256" t="inlineStr">
        <is>
          <t>UKIM Faculty of Pharmacy — Center for Natural Products</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9.1</t>
        </is>
      </c>
      <c r="H92" s="256" t="inlineStr">
        <is>
          <t>TAMC</t>
        </is>
      </c>
      <c r="I92" s="256" t="inlineStr"/>
      <c r="J92" s="256" t="inlineStr"/>
      <c r="K92" s="256" t="inlineStr"/>
      <c r="L92" s="256" t="inlineStr">
        <is>
          <t>1×10⁴</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9.2</t>
        </is>
      </c>
      <c r="H93" s="256" t="inlineStr">
        <is>
          <t>TYMC</t>
        </is>
      </c>
      <c r="I93" s="256" t="inlineStr"/>
      <c r="J93" s="256" t="inlineStr"/>
      <c r="K93" s="256" t="inlineStr"/>
      <c r="L93" s="256" t="inlineStr">
        <is>
          <t>6,7×10³</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microbiology</t>
        </is>
      </c>
      <c r="F94" s="256" t="inlineStr"/>
      <c r="G94" s="256" t="inlineStr">
        <is>
          <t>9.3</t>
        </is>
      </c>
      <c r="H94" s="256" t="inlineStr">
        <is>
          <t>Bile-tolerant GNB</t>
        </is>
      </c>
      <c r="I94" s="256" t="inlineStr"/>
      <c r="J94" s="256" t="inlineStr"/>
      <c r="K94" s="256" t="inlineStr"/>
      <c r="L94" s="256" t="inlineStr">
        <is>
          <t>&lt; 10³ и &gt; 10²</t>
        </is>
      </c>
      <c r="M94" s="256" t="inlineStr">
        <is>
          <t>306/0550/26</t>
        </is>
      </c>
      <c r="N94" s="256" t="inlineStr">
        <is>
          <t>28.04.2026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microbiology</t>
        </is>
      </c>
      <c r="F95" s="256" t="inlineStr"/>
      <c r="G95" s="256" t="inlineStr">
        <is>
          <t>9.4</t>
        </is>
      </c>
      <c r="H95" s="256" t="inlineStr">
        <is>
          <t>Salmonella</t>
        </is>
      </c>
      <c r="I95" s="256" t="inlineStr"/>
      <c r="J95" s="256" t="inlineStr"/>
      <c r="K95" s="256" t="inlineStr"/>
      <c r="L95" s="256" t="inlineStr">
        <is>
          <t>Одговара (absent)</t>
        </is>
      </c>
      <c r="M95" s="256" t="inlineStr">
        <is>
          <t>306/0550/26</t>
        </is>
      </c>
      <c r="N95" s="256" t="inlineStr">
        <is>
          <t>28.04.2026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microbiology</t>
        </is>
      </c>
      <c r="F96" s="256" t="inlineStr"/>
      <c r="G96" s="256" t="inlineStr">
        <is>
          <t>9.5</t>
        </is>
      </c>
      <c r="H96" s="256" t="inlineStr">
        <is>
          <t>E. coli</t>
        </is>
      </c>
      <c r="I96" s="256" t="inlineStr"/>
      <c r="J96" s="256" t="inlineStr"/>
      <c r="K96" s="256" t="inlineStr"/>
      <c r="L96" s="256" t="inlineStr">
        <is>
          <t>Одговара (absent)</t>
        </is>
      </c>
      <c r="M96" s="256" t="inlineStr">
        <is>
          <t>306/0550/26</t>
        </is>
      </c>
      <c r="N96" s="256" t="inlineStr">
        <is>
          <t>28.04.2026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10.2</t>
        </is>
      </c>
      <c r="H97" s="256" t="inlineStr">
        <is>
          <t>Aflatoxins Σ</t>
        </is>
      </c>
      <c r="I97" s="256" t="inlineStr"/>
      <c r="J97" s="256" t="inlineStr"/>
      <c r="K97" s="256" t="inlineStr"/>
      <c r="L97" s="256" t="inlineStr">
        <is>
          <t>&lt;2</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11.1</t>
        </is>
      </c>
      <c r="H98" s="256" t="inlineStr">
        <is>
          <t>Pb</t>
        </is>
      </c>
      <c r="I98" s="256" t="inlineStr"/>
      <c r="J98" s="256" t="inlineStr"/>
      <c r="K98" s="256" t="inlineStr"/>
      <c r="L98" s="256" t="inlineStr">
        <is>
          <t>0.0109</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11.2</t>
        </is>
      </c>
      <c r="H99" s="256" t="inlineStr">
        <is>
          <t>Cd</t>
        </is>
      </c>
      <c r="I99" s="256" t="inlineStr"/>
      <c r="J99" s="256" t="inlineStr"/>
      <c r="K99" s="256" t="inlineStr"/>
      <c r="L99" s="256" t="inlineStr">
        <is>
          <t>0.01287</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JD112501</t>
        </is>
      </c>
      <c r="C100" s="256" t="inlineStr"/>
      <c r="D100" s="256" t="inlineStr"/>
      <c r="E100" s="256" t="inlineStr">
        <is>
          <t>IPH mycotoxins, metals, pesticides</t>
        </is>
      </c>
      <c r="F100" s="256" t="inlineStr"/>
      <c r="G100" s="256" t="inlineStr">
        <is>
          <t>11.3</t>
        </is>
      </c>
      <c r="H100" s="256" t="inlineStr">
        <is>
          <t>As</t>
        </is>
      </c>
      <c r="I100" s="256" t="inlineStr"/>
      <c r="J100" s="256" t="inlineStr"/>
      <c r="K100" s="256" t="inlineStr"/>
      <c r="L100" s="256" t="inlineStr">
        <is>
          <t>0.0175</t>
        </is>
      </c>
      <c r="M100" s="256" t="inlineStr">
        <is>
          <t>2365/2026</t>
        </is>
      </c>
      <c r="N100" s="256" t="inlineStr">
        <is>
          <t>30.04.2026</t>
        </is>
      </c>
      <c r="O100" s="256" t="inlineStr">
        <is>
          <t>IPH — Institute of Public Health</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JD112501</t>
        </is>
      </c>
      <c r="C101" s="256" t="inlineStr"/>
      <c r="D101" s="256" t="inlineStr"/>
      <c r="E101" s="256" t="inlineStr">
        <is>
          <t>IPH mycotoxins, metals, pesticides</t>
        </is>
      </c>
      <c r="F101" s="256" t="inlineStr"/>
      <c r="G101" s="256" t="inlineStr">
        <is>
          <t>11.4</t>
        </is>
      </c>
      <c r="H101" s="256" t="inlineStr">
        <is>
          <t>Hg</t>
        </is>
      </c>
      <c r="I101" s="256" t="inlineStr"/>
      <c r="J101" s="256" t="inlineStr"/>
      <c r="K101" s="256" t="inlineStr"/>
      <c r="L101" s="256" t="inlineStr">
        <is>
          <t>0.0165</t>
        </is>
      </c>
      <c r="M101" s="256" t="inlineStr">
        <is>
          <t>2365/2026</t>
        </is>
      </c>
      <c r="N101" s="256" t="inlineStr">
        <is>
          <t>30.04.2026</t>
        </is>
      </c>
      <c r="O101" s="256" t="inlineStr">
        <is>
          <t>IPH — Institute of Public Health</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JD112501</t>
        </is>
      </c>
      <c r="C102" s="256" t="inlineStr"/>
      <c r="D102" s="256" t="inlineStr"/>
      <c r="E102" s="256" t="inlineStr">
        <is>
          <t>IPH mycotoxins, metals, pesticides</t>
        </is>
      </c>
      <c r="F102" s="256" t="inlineStr"/>
      <c r="G102" s="256" t="inlineStr">
        <is>
          <t>12</t>
        </is>
      </c>
      <c r="H102" s="256" t="inlineStr">
        <is>
          <t>Pesticides</t>
        </is>
      </c>
      <c r="I102" s="256" t="inlineStr"/>
      <c r="J102" s="256" t="inlineStr"/>
      <c r="K102" s="256" t="inlineStr"/>
      <c r="L102" s="256" t="inlineStr">
        <is>
          <t>N.D.</t>
        </is>
      </c>
      <c r="M102" s="256" t="inlineStr">
        <is>
          <t>2365/2026</t>
        </is>
      </c>
      <c r="N102" s="256" t="inlineStr">
        <is>
          <t>30.04.2026</t>
        </is>
      </c>
      <c r="O102" s="256" t="inlineStr">
        <is>
          <t>IPH — Institute of Public Health</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10.2</t>
        </is>
      </c>
      <c r="H103" s="256" t="inlineStr">
        <is>
          <t>Aflatoxins Σ</t>
        </is>
      </c>
      <c r="I103" s="256" t="inlineStr"/>
      <c r="J103" s="256" t="inlineStr"/>
      <c r="K103" s="256" t="inlineStr"/>
      <c r="L103" s="256" t="inlineStr">
        <is>
          <t>&lt; 2</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11.1</t>
        </is>
      </c>
      <c r="H104" s="256" t="inlineStr">
        <is>
          <t>Pb</t>
        </is>
      </c>
      <c r="I104" s="256" t="inlineStr"/>
      <c r="J104" s="256" t="inlineStr"/>
      <c r="K104" s="256" t="inlineStr"/>
      <c r="L104" s="256" t="inlineStr">
        <is>
          <t>0.031</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11.2</t>
        </is>
      </c>
      <c r="H105" s="256" t="inlineStr">
        <is>
          <t>Cd</t>
        </is>
      </c>
      <c r="I105" s="256" t="inlineStr"/>
      <c r="J105" s="256" t="inlineStr"/>
      <c r="K105" s="256" t="inlineStr"/>
      <c r="L105" s="256" t="inlineStr">
        <is>
          <t>0.017</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11.3</t>
        </is>
      </c>
      <c r="H106" s="256" t="inlineStr">
        <is>
          <t>As</t>
        </is>
      </c>
      <c r="I106" s="256" t="inlineStr"/>
      <c r="J106" s="256" t="inlineStr"/>
      <c r="K106" s="256" t="inlineStr"/>
      <c r="L106" s="256" t="inlineStr">
        <is>
          <t>0.045</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11.4</t>
        </is>
      </c>
      <c r="H107" s="256" t="inlineStr">
        <is>
          <t>Hg</t>
        </is>
      </c>
      <c r="I107" s="256" t="inlineStr"/>
      <c r="J107" s="256" t="inlineStr"/>
      <c r="K107" s="256" t="inlineStr"/>
      <c r="L107" s="256" t="inlineStr">
        <is>
          <t>0.005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12</t>
        </is>
      </c>
      <c r="H108" s="256" t="inlineStr">
        <is>
          <t>Pesticides</t>
        </is>
      </c>
      <c r="I108" s="256" t="inlineStr"/>
      <c r="J108" s="256" t="inlineStr"/>
      <c r="K108" s="256" t="inlineStr"/>
      <c r="L108" s="256" t="inlineStr">
        <is>
          <t>N.D.</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4</t>
        </is>
      </c>
      <c r="H109" s="256" t="inlineStr">
        <is>
          <t>Total Δ9-THC</t>
        </is>
      </c>
      <c r="I109" s="256" t="inlineStr"/>
      <c r="J109" s="256" t="inlineStr"/>
      <c r="K109" s="256" t="inlineStr"/>
      <c r="L109" s="256" t="inlineStr">
        <is>
          <t>19.96</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5</t>
        </is>
      </c>
      <c r="H110" s="256" t="inlineStr">
        <is>
          <t>Total CBD</t>
        </is>
      </c>
      <c r="I110" s="256" t="inlineStr"/>
      <c r="J110" s="256" t="inlineStr"/>
      <c r="K110" s="256" t="inlineStr"/>
      <c r="L110" s="256" t="inlineStr">
        <is>
          <t>0.05</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9.1</t>
        </is>
      </c>
      <c r="H111" s="256" t="inlineStr">
        <is>
          <t>TAMC</t>
        </is>
      </c>
      <c r="I111" s="256" t="inlineStr"/>
      <c r="J111" s="256" t="inlineStr"/>
      <c r="K111" s="256" t="inlineStr"/>
      <c r="L111" s="256" t="inlineStr">
        <is>
          <t>1.3·10^4</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9.2</t>
        </is>
      </c>
      <c r="H112" s="256" t="inlineStr">
        <is>
          <t>TYMC</t>
        </is>
      </c>
      <c r="I112" s="256" t="inlineStr"/>
      <c r="J112" s="256" t="inlineStr"/>
      <c r="K112" s="256" t="inlineStr"/>
      <c r="L112" s="256" t="inlineStr">
        <is>
          <t>7·10^2</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OPM1024</t>
        </is>
      </c>
      <c r="C113" s="256" t="inlineStr"/>
      <c r="D113" s="256" t="inlineStr"/>
      <c r="E113" s="256" t="inlineStr">
        <is>
          <t>Purely Plant in-house</t>
        </is>
      </c>
      <c r="F113" s="256" t="inlineStr"/>
      <c r="G113" s="256" t="inlineStr">
        <is>
          <t>9.3</t>
        </is>
      </c>
      <c r="H113" s="256" t="inlineStr">
        <is>
          <t>Bile-tolerant GNB</t>
        </is>
      </c>
      <c r="I113" s="256" t="inlineStr"/>
      <c r="J113" s="256" t="inlineStr"/>
      <c r="K113" s="256" t="inlineStr"/>
      <c r="L113" s="256" t="inlineStr">
        <is>
          <t>&lt;10²&gt;10³</t>
        </is>
      </c>
      <c r="M113" s="256" t="inlineStr">
        <is>
          <t>n/a — Purely Plant in-house CoA (Batch OPM1024, no certificate/report number printed)</t>
        </is>
      </c>
      <c r="N113" s="256" t="inlineStr">
        <is>
          <t>23.04.2025</t>
        </is>
      </c>
      <c r="O113" s="256" t="inlineStr">
        <is>
          <t>Purely Plant GmbH (in-house)</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OPM1024</t>
        </is>
      </c>
      <c r="C114" s="256" t="inlineStr"/>
      <c r="D114" s="256" t="inlineStr"/>
      <c r="E114" s="256" t="inlineStr">
        <is>
          <t>Purely Plant in-house</t>
        </is>
      </c>
      <c r="F114" s="256" t="inlineStr"/>
      <c r="G114" s="256" t="inlineStr">
        <is>
          <t>9.4</t>
        </is>
      </c>
      <c r="H114" s="256" t="inlineStr">
        <is>
          <t>Salmonella</t>
        </is>
      </c>
      <c r="I114" s="256" t="inlineStr"/>
      <c r="J114" s="256" t="inlineStr"/>
      <c r="K114" s="256" t="inlineStr"/>
      <c r="L114" s="256" t="inlineStr">
        <is>
          <t>Absent</t>
        </is>
      </c>
      <c r="M114" s="256" t="inlineStr">
        <is>
          <t>n/a — Purely Plant in-house CoA (Batch OPM1024, no certificate/report number printed)</t>
        </is>
      </c>
      <c r="N114" s="256" t="inlineStr">
        <is>
          <t>23.04.2025</t>
        </is>
      </c>
      <c r="O114" s="256" t="inlineStr">
        <is>
          <t>Purely Plant GmbH (in-house)</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OPM1024</t>
        </is>
      </c>
      <c r="C115" s="256" t="inlineStr"/>
      <c r="D115" s="256" t="inlineStr"/>
      <c r="E115" s="256" t="inlineStr">
        <is>
          <t>Purely Plant in-house</t>
        </is>
      </c>
      <c r="F115" s="256" t="inlineStr"/>
      <c r="G115" s="256" t="inlineStr">
        <is>
          <t>9.5</t>
        </is>
      </c>
      <c r="H115" s="256" t="inlineStr">
        <is>
          <t>E. coli</t>
        </is>
      </c>
      <c r="I115" s="256" t="inlineStr"/>
      <c r="J115" s="256" t="inlineStr"/>
      <c r="K115" s="256" t="inlineStr"/>
      <c r="L115" s="256" t="inlineStr">
        <is>
          <t>Absent</t>
        </is>
      </c>
      <c r="M115" s="256" t="inlineStr">
        <is>
          <t>n/a — Purely Plant in-house CoA (Batch OPM1024, no certificate/report number printed)</t>
        </is>
      </c>
      <c r="N115" s="256" t="inlineStr">
        <is>
          <t>23.04.2025</t>
        </is>
      </c>
      <c r="O115" s="256" t="inlineStr">
        <is>
          <t>Purely Plant GmbH (in-house)</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9.1</t>
        </is>
      </c>
      <c r="H116" s="256" t="inlineStr">
        <is>
          <t>TAMC</t>
        </is>
      </c>
      <c r="I116" s="256" t="inlineStr"/>
      <c r="J116" s="256" t="inlineStr"/>
      <c r="K116" s="256" t="inlineStr"/>
      <c r="L116" s="256" t="inlineStr">
        <is>
          <t>1×10⁴</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9.2</t>
        </is>
      </c>
      <c r="H117" s="256" t="inlineStr">
        <is>
          <t>TYMC</t>
        </is>
      </c>
      <c r="I117" s="256" t="inlineStr"/>
      <c r="J117" s="256" t="inlineStr"/>
      <c r="K117" s="256" t="inlineStr"/>
      <c r="L117" s="256" t="inlineStr">
        <is>
          <t>6.7×10³</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row r="118">
      <c r="A118" s="261" t="inlineStr">
        <is>
          <t>on file, on no certificate</t>
        </is>
      </c>
      <c r="B118" s="256" t="inlineStr">
        <is>
          <t>P060212</t>
        </is>
      </c>
      <c r="C118" s="256" t="inlineStr">
        <is>
          <t>P060212</t>
        </is>
      </c>
      <c r="D118" s="256" t="inlineStr"/>
      <c r="E118" s="256" t="inlineStr">
        <is>
          <t>IPH microbiology</t>
        </is>
      </c>
      <c r="F118" s="256" t="inlineStr"/>
      <c r="G118" s="256" t="inlineStr">
        <is>
          <t>9.3</t>
        </is>
      </c>
      <c r="H118" s="256" t="inlineStr">
        <is>
          <t>Bile-tolerant GNB</t>
        </is>
      </c>
      <c r="I118" s="256" t="inlineStr"/>
      <c r="J118" s="256" t="inlineStr"/>
      <c r="K118" s="256" t="inlineStr"/>
      <c r="L118" s="256" t="inlineStr">
        <is>
          <t>&lt; 10³ и &gt;10²</t>
        </is>
      </c>
      <c r="M118" s="256" t="inlineStr">
        <is>
          <t>306-0550-26</t>
        </is>
      </c>
      <c r="N118" s="256" t="inlineStr">
        <is>
          <t>28.04.2026</t>
        </is>
      </c>
      <c r="O118" s="256" t="inlineStr">
        <is>
          <t>IPH — Institute of Public Health</t>
        </is>
      </c>
      <c r="P118" s="261" t="inlineStr">
        <is>
          <t>For information. This result is in the release register and on the tracker; no certificate of quality for the lot cites it. Where the lot appears in the two checks above, that is why.</t>
        </is>
      </c>
    </row>
    <row r="119">
      <c r="A119" s="261" t="inlineStr">
        <is>
          <t>on file, on no certificate</t>
        </is>
      </c>
      <c r="B119" s="256" t="inlineStr">
        <is>
          <t>P060212</t>
        </is>
      </c>
      <c r="C119" s="256" t="inlineStr">
        <is>
          <t>P060212</t>
        </is>
      </c>
      <c r="D119" s="256" t="inlineStr"/>
      <c r="E119" s="256" t="inlineStr">
        <is>
          <t>IPH microbiology</t>
        </is>
      </c>
      <c r="F119" s="256" t="inlineStr"/>
      <c r="G119" s="256" t="inlineStr">
        <is>
          <t>9.4</t>
        </is>
      </c>
      <c r="H119" s="256" t="inlineStr">
        <is>
          <t>Salmonella</t>
        </is>
      </c>
      <c r="I119" s="256" t="inlineStr"/>
      <c r="J119" s="256" t="inlineStr"/>
      <c r="K119" s="256" t="inlineStr"/>
      <c r="L119" s="256" t="inlineStr">
        <is>
          <t>Отсутна/g</t>
        </is>
      </c>
      <c r="M119" s="256" t="inlineStr">
        <is>
          <t>306-0550-26</t>
        </is>
      </c>
      <c r="N119" s="256" t="inlineStr">
        <is>
          <t>28.04.2026</t>
        </is>
      </c>
      <c r="O119" s="256" t="inlineStr">
        <is>
          <t>IPH — Institute of Public Health</t>
        </is>
      </c>
      <c r="P119" s="261" t="inlineStr">
        <is>
          <t>For information. This result is in the release register and on the tracker; no certificate of quality for the lot cites it. Where the lot appears in the two checks above, that is why.</t>
        </is>
      </c>
    </row>
    <row r="120">
      <c r="A120" s="261" t="inlineStr">
        <is>
          <t>on file, on no certificate</t>
        </is>
      </c>
      <c r="B120" s="256" t="inlineStr">
        <is>
          <t>P060212</t>
        </is>
      </c>
      <c r="C120" s="256" t="inlineStr">
        <is>
          <t>P060212</t>
        </is>
      </c>
      <c r="D120" s="256" t="inlineStr"/>
      <c r="E120" s="256" t="inlineStr">
        <is>
          <t>IPH microbiology</t>
        </is>
      </c>
      <c r="F120" s="256" t="inlineStr"/>
      <c r="G120" s="256" t="inlineStr">
        <is>
          <t>9.5</t>
        </is>
      </c>
      <c r="H120" s="256" t="inlineStr">
        <is>
          <t>E. coli</t>
        </is>
      </c>
      <c r="I120" s="256" t="inlineStr"/>
      <c r="J120" s="256" t="inlineStr"/>
      <c r="K120" s="256" t="inlineStr"/>
      <c r="L120" s="256" t="inlineStr">
        <is>
          <t>Отсутна/25 g</t>
        </is>
      </c>
      <c r="M120" s="256" t="inlineStr">
        <is>
          <t>306-0550-26</t>
        </is>
      </c>
      <c r="N120" s="256" t="inlineStr">
        <is>
          <t>28.04.2026</t>
        </is>
      </c>
      <c r="O120" s="256" t="inlineStr">
        <is>
          <t>IPH — Institute of Public Health</t>
        </is>
      </c>
      <c r="P120" s="261" t="inlineStr">
        <is>
          <t>For information. This result is in the release register and on the tracker; no certificate of quality for the lot cites it. Where the lot appears in the two checks above, that is why.</t>
        </is>
      </c>
    </row>
  </sheetData>
  <autoFilter ref="A1:P120"/>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26"/>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v46</t>
        </is>
      </c>
    </row>
    <row r="3" ht="39" customHeight="1" s="70">
      <c r="A3" s="266" t="inlineStr">
        <is>
          <t>What it is</t>
        </is>
      </c>
      <c r="B3" s="267" t="inlineStr">
        <is>
          <t>Built 18.09.2026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v46</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26" customHeight="1" s="70">
      <c r="A57" s="266" t="inlineStr">
        <is>
          <t>v7</t>
        </is>
      </c>
      <c r="B57" s="267" t="inlineStr">
        <is>
          <t>The two-row block tracker: one lot per block, certificates stacked in date order, sub-determinations in their own columns, acceptance criteria in row 3 and enforced, out-of-specification results in red and named in STATUS.</t>
        </is>
      </c>
    </row>
    <row r="58" ht="26" customHeight="1" s="70">
      <c r="A58" s="266" t="inlineStr">
        <is>
          <t>v9</t>
        </is>
      </c>
      <c r="B58" s="267"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66" t="inlineStr">
        <is>
          <t>v10</t>
        </is>
      </c>
      <c r="B59" s="267" t="inlineStr">
        <is>
          <t>The 30 IJZ-MB certificates of 31.08 and 01.09.2026 as testing instances credited to #9; the iCoA rule; the Head of QC's harvest and packaging dates (Batch Dates); one iCoA per P lot; the iCoA Issuance sheet.</t>
        </is>
      </c>
    </row>
    <row r="60" ht="26" customHeight="1" s="70">
      <c r="A60" s="266" t="inlineStr">
        <is>
          <t>v11</t>
        </is>
      </c>
      <c r="B60"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66" t="inlineStr">
        <is>
          <t>v12</t>
        </is>
      </c>
      <c r="B61" s="267" t="inlineStr">
        <is>
          <t>The Delivery T1–T3 sheet: the 78 cultivation batches delivered in the three tranches of 31.07, 14.08 and 28.08.2026, each against its row on Batch Coverage.</t>
        </is>
      </c>
    </row>
    <row r="62" ht="26" customHeight="1" s="70">
      <c r="A62" s="266" t="inlineStr">
        <is>
          <t>v13</t>
        </is>
      </c>
      <c r="B62" s="267" t="inlineStr">
        <is>
          <t>The strain ruling (Cap Junky, Head of QC 07.09.2026) and the ImB Register: the customer's own certificate register, scanned 04.09.2026, 43 entries against their desk lots.</t>
        </is>
      </c>
    </row>
    <row r="63" ht="13" customHeight="1" s="70">
      <c r="A63" s="266" t="inlineStr">
        <is>
          <t>v20</t>
        </is>
      </c>
      <c r="B63" s="267" t="inlineStr">
        <is>
          <t>The owner's own workbook, built outside this pipeline and vendored in as the base for everything after it — not a version this desk produced.</t>
        </is>
      </c>
    </row>
    <row r="64" ht="26" customHeight="1" s="70">
      <c r="A64" s="266" t="inlineStr">
        <is>
          <t>v21</t>
        </is>
      </c>
      <c r="B64" s="267" t="inlineStr">
        <is>
          <t>The owner's v20 pass reconciled in: 387 certificates, all 600 determinations of Tranches 1 and 2 resolved through cell_resolution.py; 69 cells filled, 0 non-blank cells overwritten.</t>
        </is>
      </c>
    </row>
    <row r="65" ht="26" customHeight="1" s="70">
      <c r="A65" s="266" t="inlineStr">
        <is>
          <t>v22</t>
        </is>
      </c>
      <c r="B65" s="267" t="inlineStr">
        <is>
          <t>The rulings of 10.09.2026 written into the workbook's own live Excel formulas: release-versus-retest by position, the issuance dates, the internal-CoA register.</t>
        </is>
      </c>
    </row>
    <row r="66" ht="39" customHeight="1" s="70">
      <c r="A66" s="266" t="inlineStr">
        <is>
          <t>v23</t>
        </is>
      </c>
      <c r="B66"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66" t="inlineStr">
        <is>
          <t>v24</t>
        </is>
      </c>
      <c r="B67"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66" t="inlineStr">
        <is>
          <t>v25</t>
        </is>
      </c>
      <c r="B68"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66" t="inlineStr">
        <is>
          <t>v42</t>
        </is>
      </c>
      <c r="B69"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66" t="inlineStr">
        <is>
          <t>v26</t>
        </is>
      </c>
      <c r="B70"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66" t="inlineStr">
        <is>
          <t>v34</t>
        </is>
      </c>
      <c r="B71"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66" t="inlineStr">
        <is>
          <t>v35</t>
        </is>
      </c>
      <c r="B72"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66" t="inlineStr">
        <is>
          <t>v37</t>
        </is>
      </c>
      <c r="B73"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66" t="inlineStr">
        <is>
          <t>v40</t>
        </is>
      </c>
      <c r="B74"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66" t="inlineStr">
        <is>
          <t>v36</t>
        </is>
      </c>
      <c r="B75"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66" t="inlineStr">
        <is>
          <t>v33</t>
        </is>
      </c>
      <c r="B76"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66" t="inlineStr">
        <is>
          <t>v32</t>
        </is>
      </c>
      <c r="B77"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66" t="inlineStr">
        <is>
          <t>v31</t>
        </is>
      </c>
      <c r="B78"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66" t="inlineStr">
        <is>
          <t>v30</t>
        </is>
      </c>
      <c r="B79"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66" t="inlineStr">
        <is>
          <t>v29 · 15.09.2026, later the same day</t>
        </is>
      </c>
      <c r="B80"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66" t="inlineStr">
        <is>
          <t>v29</t>
        </is>
      </c>
      <c r="B81"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66" t="inlineStr">
        <is>
          <t>v28</t>
        </is>
      </c>
      <c r="B82"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66" t="inlineStr">
        <is>
          <t>v27</t>
        </is>
      </c>
      <c r="B83"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64"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43" t="n">
        <v>1</v>
      </c>
      <c r="B88" s="243" t="inlineStr">
        <is>
          <t>31.07.2026</t>
        </is>
      </c>
      <c r="C88" s="244" t="inlineStr">
        <is>
          <t>BG1024</t>
        </is>
      </c>
      <c r="D88" s="243" t="inlineStr">
        <is>
          <t>Blue Gelato</t>
        </is>
      </c>
      <c r="E88" s="274" t="n">
        <v>43.87</v>
      </c>
      <c r="F88" s="243" t="inlineStr">
        <is>
          <t>19–22%</t>
        </is>
      </c>
      <c r="G88" s="275" t="n">
        <v>0.218</v>
      </c>
      <c r="H88" s="243" t="inlineStr">
        <is>
          <t>—</t>
        </is>
      </c>
      <c r="I88" s="243" t="inlineStr">
        <is>
          <t>BG1024</t>
        </is>
      </c>
      <c r="J88" s="243" t="inlineStr">
        <is>
          <t>✓ COMPLETE</t>
        </is>
      </c>
      <c r="K88" s="246" t="inlineStr">
        <is>
          <t>—</t>
        </is>
      </c>
      <c r="L88" s="275" t="n">
        <v>0.218</v>
      </c>
      <c r="M88" s="243" t="inlineStr">
        <is>
          <t>ППК25050</t>
        </is>
      </c>
      <c r="N88" s="275" t="n">
        <v>0</v>
      </c>
      <c r="O88" s="250" t="inlineStr">
        <is>
          <t>yes — all 12 determinations covered</t>
        </is>
      </c>
    </row>
    <row r="89">
      <c r="A89" s="243" t="n">
        <v>1</v>
      </c>
      <c r="B89" s="243" t="inlineStr">
        <is>
          <t>31.07.2026</t>
        </is>
      </c>
      <c r="C89" s="244" t="inlineStr">
        <is>
          <t>BSS1024</t>
        </is>
      </c>
      <c r="D89" s="243" t="inlineStr">
        <is>
          <t>Blue Sunset Sherbet</t>
        </is>
      </c>
      <c r="E89" s="274" t="n">
        <v>50.2</v>
      </c>
      <c r="F89" s="243" t="inlineStr">
        <is>
          <t>19–22%</t>
        </is>
      </c>
      <c r="G89" s="275" t="n">
        <v>0.21</v>
      </c>
      <c r="H89" s="243" t="inlineStr">
        <is>
          <t>—</t>
        </is>
      </c>
      <c r="I89" s="243" t="inlineStr">
        <is>
          <t>BSS1024</t>
        </is>
      </c>
      <c r="J89" s="243" t="inlineStr">
        <is>
          <t>✓ COMPLETE</t>
        </is>
      </c>
      <c r="K89" s="246" t="inlineStr">
        <is>
          <t>—</t>
        </is>
      </c>
      <c r="L89" s="275" t="n">
        <v>0.2103</v>
      </c>
      <c r="M89" s="243" t="inlineStr">
        <is>
          <t>ППК25051</t>
        </is>
      </c>
      <c r="N89" s="275" t="n">
        <v>0.0003000000000000114</v>
      </c>
      <c r="O89" s="250" t="inlineStr">
        <is>
          <t>yes — all 12 determinations covered</t>
        </is>
      </c>
    </row>
    <row r="90">
      <c r="A90" s="243" t="n">
        <v>1</v>
      </c>
      <c r="B90" s="243" t="inlineStr">
        <is>
          <t>31.07.2026</t>
        </is>
      </c>
      <c r="C90" s="244" t="inlineStr">
        <is>
          <t>CC012601/1</t>
        </is>
      </c>
      <c r="D90" s="243" t="inlineStr">
        <is>
          <t>Cash Cow</t>
        </is>
      </c>
      <c r="E90" s="274" t="n">
        <v>9.15</v>
      </c>
      <c r="F90" s="243" t="inlineStr">
        <is>
          <t>13–16%</t>
        </is>
      </c>
      <c r="G90" s="275" t="n">
        <v>0.1563</v>
      </c>
      <c r="H90" s="243" t="inlineStr">
        <is>
          <t>P060332</t>
        </is>
      </c>
      <c r="I90" s="243" t="inlineStr">
        <is>
          <t>CC012601/1</t>
        </is>
      </c>
      <c r="J90" s="243" t="inlineStr">
        <is>
          <t>❌ 4 MISSING</t>
        </is>
      </c>
      <c r="K90" s="246" t="inlineStr">
        <is>
          <t>#8 LoD; #9 Microbiology (on file 09.09, not recorded); #11 Heavy metals; #12 Pesticides</t>
        </is>
      </c>
      <c r="L90" s="275" t="inlineStr">
        <is>
          <t>— none on the desk —</t>
        </is>
      </c>
      <c r="M90" s="243" t="inlineStr">
        <is>
          <t>—</t>
        </is>
      </c>
      <c r="N90" s="275" t="inlineStr">
        <is>
          <t>—</t>
        </is>
      </c>
      <c r="O90" s="252" t="inlineStr">
        <is>
          <t>no — 4 missing</t>
        </is>
      </c>
    </row>
    <row r="91">
      <c r="A91" s="243" t="n">
        <v>1</v>
      </c>
      <c r="B91" s="243" t="inlineStr">
        <is>
          <t>31.07.2026</t>
        </is>
      </c>
      <c r="C91" s="244" t="inlineStr">
        <is>
          <t>CJ052501/01</t>
        </is>
      </c>
      <c r="D91" s="243" t="inlineStr">
        <is>
          <t>Cap Junky</t>
        </is>
      </c>
      <c r="E91" s="274" t="n">
        <v>64.53</v>
      </c>
      <c r="F91" s="243" t="inlineStr">
        <is>
          <t>19–22%</t>
        </is>
      </c>
      <c r="G91" s="275" t="n">
        <v>0.2029</v>
      </c>
      <c r="H91" s="243" t="inlineStr">
        <is>
          <t>P050162</t>
        </is>
      </c>
      <c r="I91" s="243" t="inlineStr">
        <is>
          <t>CJ052501/01</t>
        </is>
      </c>
      <c r="J91" s="243" t="inlineStr">
        <is>
          <t>✓ COMPLETE</t>
        </is>
      </c>
      <c r="K91" s="246" t="inlineStr">
        <is>
          <t>—</t>
        </is>
      </c>
      <c r="L91" s="275" t="n">
        <v>0.2029</v>
      </c>
      <c r="M91" s="243" t="inlineStr">
        <is>
          <t>None</t>
        </is>
      </c>
      <c r="N91" s="275" t="n">
        <v>0</v>
      </c>
      <c r="O91" s="250" t="inlineStr">
        <is>
          <t>yes — all 12 determinations covered</t>
        </is>
      </c>
    </row>
    <row r="92">
      <c r="A92" s="243" t="n">
        <v>1</v>
      </c>
      <c r="B92" s="243" t="inlineStr">
        <is>
          <t>31.07.2026</t>
        </is>
      </c>
      <c r="C92" s="244" t="inlineStr">
        <is>
          <t>CJ062501/2</t>
        </is>
      </c>
      <c r="D92" s="243" t="inlineStr">
        <is>
          <t>Cap Junky</t>
        </is>
      </c>
      <c r="E92" s="274" t="n">
        <v>146.52</v>
      </c>
      <c r="F92" s="243" t="inlineStr">
        <is>
          <t>16–19%</t>
        </is>
      </c>
      <c r="G92" s="275" t="n">
        <v>0.1656</v>
      </c>
      <c r="H92" s="243" t="inlineStr">
        <is>
          <t>P050212</t>
        </is>
      </c>
      <c r="I92" s="243" t="inlineStr">
        <is>
          <t>CJ062501/2</t>
        </is>
      </c>
      <c r="J92" s="243" t="inlineStr">
        <is>
          <t>✓ COMPLETE</t>
        </is>
      </c>
      <c r="K92" s="246" t="inlineStr">
        <is>
          <t>—</t>
        </is>
      </c>
      <c r="L92" s="275" t="n">
        <v>0.1656</v>
      </c>
      <c r="M92" s="243" t="inlineStr">
        <is>
          <t>ППК25322</t>
        </is>
      </c>
      <c r="N92" s="275" t="n">
        <v>0</v>
      </c>
      <c r="O92" s="250" t="inlineStr">
        <is>
          <t>yes — all 12 determinations covered</t>
        </is>
      </c>
    </row>
    <row r="93">
      <c r="A93" s="243" t="n">
        <v>1</v>
      </c>
      <c r="B93" s="243" t="inlineStr">
        <is>
          <t>31.07.2026</t>
        </is>
      </c>
      <c r="C93" s="244" t="inlineStr">
        <is>
          <t>CJ082501/2</t>
        </is>
      </c>
      <c r="D93" s="243" t="inlineStr">
        <is>
          <t>Cap Junky</t>
        </is>
      </c>
      <c r="E93" s="274" t="n">
        <v>14.75</v>
      </c>
      <c r="F93" s="243" t="inlineStr">
        <is>
          <t>19–22%</t>
        </is>
      </c>
      <c r="G93" s="275" t="n">
        <v>0.2084</v>
      </c>
      <c r="H93" s="243" t="inlineStr">
        <is>
          <t>P060032</t>
        </is>
      </c>
      <c r="I93" s="243" t="inlineStr">
        <is>
          <t>CJ082501/2</t>
        </is>
      </c>
      <c r="J93" s="243" t="inlineStr">
        <is>
          <t>✓ COMPLETE</t>
        </is>
      </c>
      <c r="K93" s="246" t="inlineStr">
        <is>
          <t>—</t>
        </is>
      </c>
      <c r="L93" s="275" t="n">
        <v>0.2084</v>
      </c>
      <c r="M93" s="243" t="inlineStr">
        <is>
          <t>ППК26003</t>
        </is>
      </c>
      <c r="N93" s="275" t="n">
        <v>0</v>
      </c>
      <c r="O93" s="250" t="inlineStr">
        <is>
          <t>yes — all 12 determinations covered</t>
        </is>
      </c>
    </row>
    <row r="94">
      <c r="A94" s="243" t="n">
        <v>1</v>
      </c>
      <c r="B94" s="243" t="inlineStr">
        <is>
          <t>31.07.2026</t>
        </is>
      </c>
      <c r="C94" s="244" t="inlineStr">
        <is>
          <t>FB012602</t>
        </is>
      </c>
      <c r="D94" s="243" t="inlineStr">
        <is>
          <t>Fat Bastard</t>
        </is>
      </c>
      <c r="E94" s="274" t="n">
        <v>75.92</v>
      </c>
      <c r="F94" s="243" t="inlineStr">
        <is>
          <t>19–22%</t>
        </is>
      </c>
      <c r="G94" s="275" t="n">
        <v>0.1977</v>
      </c>
      <c r="H94" s="243" t="inlineStr">
        <is>
          <t>P060352</t>
        </is>
      </c>
      <c r="I94" s="243" t="inlineStr">
        <is>
          <t>FB012602*</t>
        </is>
      </c>
      <c r="J94" s="243" t="inlineStr">
        <is>
          <t>❌ 4 MISSING</t>
        </is>
      </c>
      <c r="K94" s="246" t="inlineStr">
        <is>
          <t>#8 LoD; #9 Microbiology (on file 09.09, not recorded); #11 Heavy metals; #12 Pesticides</t>
        </is>
      </c>
      <c r="L94" s="275" t="inlineStr">
        <is>
          <t>— none on the desk —</t>
        </is>
      </c>
      <c r="M94" s="243" t="inlineStr">
        <is>
          <t>—</t>
        </is>
      </c>
      <c r="N94" s="275" t="inlineStr">
        <is>
          <t>—</t>
        </is>
      </c>
      <c r="O94" s="252" t="inlineStr">
        <is>
          <t>no — 4 missing</t>
        </is>
      </c>
    </row>
    <row r="95">
      <c r="A95" s="243" t="n">
        <v>1</v>
      </c>
      <c r="B95" s="243" t="inlineStr">
        <is>
          <t>31.07.2026</t>
        </is>
      </c>
      <c r="C95" s="244" t="inlineStr">
        <is>
          <t>GG012603</t>
        </is>
      </c>
      <c r="D95" s="243" t="inlineStr">
        <is>
          <t>GG4</t>
        </is>
      </c>
      <c r="E95" s="274" t="n">
        <v>40</v>
      </c>
      <c r="F95" s="243" t="inlineStr">
        <is>
          <t>13–16%</t>
        </is>
      </c>
      <c r="G95" s="275" t="n">
        <v>0.1559</v>
      </c>
      <c r="H95" s="243" t="inlineStr">
        <is>
          <t>P060402</t>
        </is>
      </c>
      <c r="I95" s="243" t="inlineStr">
        <is>
          <t>GG012603</t>
        </is>
      </c>
      <c r="J95" s="243" t="inlineStr">
        <is>
          <t>○ 3 ON FILE, NOT RECORDED</t>
        </is>
      </c>
      <c r="K95" s="246" t="inlineStr">
        <is>
          <t>#9 Microbiology (on file 09.09, not recorded); #11 Heavy metals (on file 09.09, not recorded); #12 Pesticides (on file 09.09, not recorded)</t>
        </is>
      </c>
      <c r="L95" s="276" t="n">
        <v>0.1759</v>
      </c>
      <c r="M95" s="277" t="inlineStr">
        <is>
          <t>ППК26114</t>
        </is>
      </c>
      <c r="N95" s="276" t="n">
        <v>0.02</v>
      </c>
      <c r="O95" s="278" t="inlineStr">
        <is>
          <t>no — 3 on file, not recorded  |  POTENCY: the certificate reads 17.59 %, outside the 13–16% it was delivered under</t>
        </is>
      </c>
    </row>
    <row r="96">
      <c r="A96" s="243" t="n">
        <v>1</v>
      </c>
      <c r="B96" s="243" t="inlineStr">
        <is>
          <t>31.07.2026</t>
        </is>
      </c>
      <c r="C96" s="244" t="inlineStr">
        <is>
          <t>GG1024_01</t>
        </is>
      </c>
      <c r="D96" s="243" t="inlineStr">
        <is>
          <t>Gorilla Glue</t>
        </is>
      </c>
      <c r="E96" s="274" t="n">
        <v>0.87</v>
      </c>
      <c r="F96" s="243" t="inlineStr">
        <is>
          <t>16–19%</t>
        </is>
      </c>
      <c r="G96" s="275" t="n">
        <v>0.17</v>
      </c>
      <c r="H96" s="243" t="inlineStr">
        <is>
          <t>P050092</t>
        </is>
      </c>
      <c r="I96" s="243" t="inlineStr">
        <is>
          <t>GG1024_01</t>
        </is>
      </c>
      <c r="J96" s="243" t="inlineStr">
        <is>
          <t>✓ COMPLETE</t>
        </is>
      </c>
      <c r="K96" s="246" t="inlineStr">
        <is>
          <t>—</t>
        </is>
      </c>
      <c r="L96" s="275" t="n">
        <v>0.1722</v>
      </c>
      <c r="M96" s="243" t="inlineStr">
        <is>
          <t>ППК25104</t>
        </is>
      </c>
      <c r="N96" s="275" t="n">
        <v>0.002199999999999988</v>
      </c>
      <c r="O96" s="250" t="inlineStr">
        <is>
          <t>yes — all 12 determinations covered</t>
        </is>
      </c>
    </row>
    <row r="97">
      <c r="A97" s="243" t="n">
        <v>1</v>
      </c>
      <c r="B97" s="243" t="inlineStr">
        <is>
          <t>31.07.2026</t>
        </is>
      </c>
      <c r="C97" s="244" t="inlineStr">
        <is>
          <t>GP052501</t>
        </is>
      </c>
      <c r="D97" s="243" t="inlineStr">
        <is>
          <t>Grape Pie</t>
        </is>
      </c>
      <c r="E97" s="274" t="n">
        <v>151.14</v>
      </c>
      <c r="F97" s="243" t="inlineStr">
        <is>
          <t>16–19%</t>
        </is>
      </c>
      <c r="G97" s="275" t="n">
        <v>0.1898</v>
      </c>
      <c r="H97" s="243" t="inlineStr">
        <is>
          <t>P050152</t>
        </is>
      </c>
      <c r="I97" s="243" t="inlineStr">
        <is>
          <t>GP052501</t>
        </is>
      </c>
      <c r="J97" s="243" t="inlineStr">
        <is>
          <t>✓ COMPLETE</t>
        </is>
      </c>
      <c r="K97" s="246" t="inlineStr">
        <is>
          <t>—</t>
        </is>
      </c>
      <c r="L97" s="275" t="n">
        <v>0.1898</v>
      </c>
      <c r="M97" s="243" t="inlineStr">
        <is>
          <t>ППК25279</t>
        </is>
      </c>
      <c r="N97" s="275" t="n">
        <v>0</v>
      </c>
      <c r="O97" s="250" t="inlineStr">
        <is>
          <t>yes — all 12 determinations covered</t>
        </is>
      </c>
    </row>
    <row r="98">
      <c r="A98" s="243" t="n">
        <v>1</v>
      </c>
      <c r="B98" s="243" t="inlineStr">
        <is>
          <t>31.07.2026</t>
        </is>
      </c>
      <c r="C98" s="244" t="inlineStr">
        <is>
          <t>GP0824_02</t>
        </is>
      </c>
      <c r="D98" s="243" t="inlineStr">
        <is>
          <t>Grape Pie</t>
        </is>
      </c>
      <c r="E98" s="274" t="n">
        <v>208.46</v>
      </c>
      <c r="F98" s="243" t="inlineStr">
        <is>
          <t>22–25%</t>
        </is>
      </c>
      <c r="G98" s="275" t="n">
        <v>0.2379</v>
      </c>
      <c r="H98" s="243" t="inlineStr">
        <is>
          <t>P050022</t>
        </is>
      </c>
      <c r="I98" s="243" t="inlineStr">
        <is>
          <t>GP0824_02</t>
        </is>
      </c>
      <c r="J98" s="243" t="inlineStr">
        <is>
          <t>✓ COMPLETE</t>
        </is>
      </c>
      <c r="K98" s="246" t="inlineStr">
        <is>
          <t>—</t>
        </is>
      </c>
      <c r="L98" s="275" t="n">
        <v>0.2379</v>
      </c>
      <c r="M98" s="243" t="inlineStr">
        <is>
          <t>ППК25139</t>
        </is>
      </c>
      <c r="N98" s="275" t="n">
        <v>0</v>
      </c>
      <c r="O98" s="250" t="inlineStr">
        <is>
          <t>yes — all 12 determinations covered</t>
        </is>
      </c>
    </row>
    <row r="99">
      <c r="A99" s="243" t="n">
        <v>1</v>
      </c>
      <c r="B99" s="243" t="inlineStr">
        <is>
          <t>31.07.2026</t>
        </is>
      </c>
      <c r="C99" s="244" t="inlineStr">
        <is>
          <t>GP082501/2</t>
        </is>
      </c>
      <c r="D99" s="243" t="inlineStr">
        <is>
          <t>Grape Pie</t>
        </is>
      </c>
      <c r="E99" s="274" t="n">
        <v>22.84</v>
      </c>
      <c r="F99" s="243" t="inlineStr">
        <is>
          <t>13–16%</t>
        </is>
      </c>
      <c r="G99" s="275" t="n">
        <v>0.1483</v>
      </c>
      <c r="H99" s="243" t="inlineStr">
        <is>
          <t>P050322</t>
        </is>
      </c>
      <c r="I99" s="243" t="inlineStr">
        <is>
          <t>GP082501/2</t>
        </is>
      </c>
      <c r="J99" s="243" t="inlineStr">
        <is>
          <t>✓ COMPLETE</t>
        </is>
      </c>
      <c r="K99" s="246" t="inlineStr">
        <is>
          <t>—</t>
        </is>
      </c>
      <c r="L99" s="275" t="n">
        <v>0.1483</v>
      </c>
      <c r="M99" s="243" t="inlineStr">
        <is>
          <t>ППК25381</t>
        </is>
      </c>
      <c r="N99" s="275" t="n">
        <v>0</v>
      </c>
      <c r="O99" s="250" t="inlineStr">
        <is>
          <t>yes — all 12 determinations covered</t>
        </is>
      </c>
    </row>
    <row r="100">
      <c r="A100" s="243" t="n">
        <v>1</v>
      </c>
      <c r="B100" s="243" t="inlineStr">
        <is>
          <t>31.07.2026</t>
        </is>
      </c>
      <c r="C100" s="244" t="inlineStr">
        <is>
          <t>HPA1024</t>
        </is>
      </c>
      <c r="D100" s="243" t="inlineStr">
        <is>
          <t>High Pro Amnesia</t>
        </is>
      </c>
      <c r="E100" s="274" t="n">
        <v>40.83</v>
      </c>
      <c r="F100" s="243" t="inlineStr">
        <is>
          <t>13–16%</t>
        </is>
      </c>
      <c r="G100" s="275" t="n">
        <v>0.1497</v>
      </c>
      <c r="H100" s="243" t="inlineStr">
        <is>
          <t>—</t>
        </is>
      </c>
      <c r="I100" s="243" t="inlineStr">
        <is>
          <t>HPA1024</t>
        </is>
      </c>
      <c r="J100" s="243" t="inlineStr">
        <is>
          <t>❌ 4 MISSING</t>
        </is>
      </c>
      <c r="K100" s="246" t="inlineStr">
        <is>
          <t>#8 LoD; #9 Microbiology; #11 Heavy metals; #12 Pesticides</t>
        </is>
      </c>
      <c r="L100" s="275" t="n">
        <v>0.1497</v>
      </c>
      <c r="M100" s="243" t="inlineStr">
        <is>
          <t>None</t>
        </is>
      </c>
      <c r="N100" s="275" t="n">
        <v>0</v>
      </c>
      <c r="O100" s="252" t="inlineStr">
        <is>
          <t>no — 4 missing</t>
        </is>
      </c>
    </row>
    <row r="101">
      <c r="A101" s="243" t="n">
        <v>1</v>
      </c>
      <c r="B101" s="243" t="inlineStr">
        <is>
          <t>31.07.2026</t>
        </is>
      </c>
      <c r="C101" s="244" t="inlineStr">
        <is>
          <t>HPA1024_01</t>
        </is>
      </c>
      <c r="D101" s="243" t="inlineStr">
        <is>
          <t>High Pro Amnesia</t>
        </is>
      </c>
      <c r="E101" s="274" t="n">
        <v>140.5</v>
      </c>
      <c r="F101" s="243" t="inlineStr">
        <is>
          <t>22–25%</t>
        </is>
      </c>
      <c r="G101" s="275" t="n">
        <v>0.2243</v>
      </c>
      <c r="H101" s="243" t="inlineStr">
        <is>
          <t>P050052</t>
        </is>
      </c>
      <c r="I101" s="243" t="inlineStr">
        <is>
          <t>HPA1024_01</t>
        </is>
      </c>
      <c r="J101" s="243" t="inlineStr">
        <is>
          <t>✓ COMPLETE</t>
        </is>
      </c>
      <c r="K101" s="246" t="inlineStr">
        <is>
          <t>—</t>
        </is>
      </c>
      <c r="L101" s="275" t="n">
        <v>0.2243</v>
      </c>
      <c r="M101" s="243" t="inlineStr">
        <is>
          <t>None</t>
        </is>
      </c>
      <c r="N101" s="275" t="n">
        <v>0</v>
      </c>
      <c r="O101" s="250" t="inlineStr">
        <is>
          <t>yes — all 12 determinations covered</t>
        </is>
      </c>
    </row>
    <row r="102">
      <c r="A102" s="243" t="n">
        <v>1</v>
      </c>
      <c r="B102" s="243" t="inlineStr">
        <is>
          <t>31.07.2026</t>
        </is>
      </c>
      <c r="C102" s="244" t="inlineStr">
        <is>
          <t>J31102501</t>
        </is>
      </c>
      <c r="D102" s="243" t="inlineStr">
        <is>
          <t>Jokerz 31</t>
        </is>
      </c>
      <c r="E102" s="274" t="n">
        <v>23.64</v>
      </c>
      <c r="F102" s="243" t="inlineStr">
        <is>
          <t>19–22%</t>
        </is>
      </c>
      <c r="G102" s="275" t="n">
        <v>0.1914</v>
      </c>
      <c r="H102" s="243" t="inlineStr">
        <is>
          <t>P060152</t>
        </is>
      </c>
      <c r="I102" s="243" t="inlineStr">
        <is>
          <t>J31102501</t>
        </is>
      </c>
      <c r="J102" s="243" t="inlineStr">
        <is>
          <t>○ 3 ON FILE, NOT RECORDED</t>
        </is>
      </c>
      <c r="K102" s="246" t="inlineStr">
        <is>
          <t>#9 Microbiology (on file 09.09, not recorded); #11 Heavy metals (on file 09.09, not recorded); #12 Pesticides (on file 09.09, not recorded)</t>
        </is>
      </c>
      <c r="L102" s="275" t="n">
        <v>0.1914</v>
      </c>
      <c r="M102" s="243" t="inlineStr">
        <is>
          <t>051-1-К/26</t>
        </is>
      </c>
      <c r="N102" s="275" t="n">
        <v>0</v>
      </c>
      <c r="O102" s="252" t="inlineStr">
        <is>
          <t>no — 3 on file, not recorded</t>
        </is>
      </c>
    </row>
    <row r="103">
      <c r="A103" s="243" t="n">
        <v>1</v>
      </c>
      <c r="B103" s="243" t="inlineStr">
        <is>
          <t>31.07.2026</t>
        </is>
      </c>
      <c r="C103" s="244" t="inlineStr">
        <is>
          <t>JD112501</t>
        </is>
      </c>
      <c r="D103" s="243" t="inlineStr">
        <is>
          <t>Jelly Donuts</t>
        </is>
      </c>
      <c r="E103" s="274" t="n">
        <v>41.54</v>
      </c>
      <c r="F103" s="243" t="inlineStr">
        <is>
          <t>19–22%</t>
        </is>
      </c>
      <c r="G103" s="275" t="n">
        <v>0.1964</v>
      </c>
      <c r="H103" s="243" t="inlineStr">
        <is>
          <t>P060212</t>
        </is>
      </c>
      <c r="I103" s="243" t="inlineStr">
        <is>
          <t>JD112501</t>
        </is>
      </c>
      <c r="J103" s="243" t="inlineStr">
        <is>
          <t>✓ COMPLETE</t>
        </is>
      </c>
      <c r="K103" s="246" t="inlineStr">
        <is>
          <t>—</t>
        </is>
      </c>
      <c r="L103" s="275" t="n">
        <v>0.1964</v>
      </c>
      <c r="M103" s="243" t="inlineStr">
        <is>
          <t>ППК26063</t>
        </is>
      </c>
      <c r="N103" s="275" t="n">
        <v>0</v>
      </c>
      <c r="O103" s="250" t="inlineStr">
        <is>
          <t>yes — all 12 determinations covered</t>
        </is>
      </c>
    </row>
    <row r="104">
      <c r="A104" s="243" t="n">
        <v>1</v>
      </c>
      <c r="B104" s="243" t="inlineStr">
        <is>
          <t>31.07.2026</t>
        </is>
      </c>
      <c r="C104" s="244" t="inlineStr">
        <is>
          <t>OPM1024</t>
        </is>
      </c>
      <c r="D104" s="243" t="inlineStr">
        <is>
          <t>Orange Punch Mimosa</t>
        </is>
      </c>
      <c r="E104" s="274" t="n">
        <v>45.46</v>
      </c>
      <c r="F104" s="243" t="inlineStr">
        <is>
          <t>19–22%</t>
        </is>
      </c>
      <c r="G104" s="275" t="n">
        <v>0.1996</v>
      </c>
      <c r="H104" s="243" t="inlineStr">
        <is>
          <t>—</t>
        </is>
      </c>
      <c r="I104" s="243" t="inlineStr">
        <is>
          <t>OPM1024</t>
        </is>
      </c>
      <c r="J104" s="243" t="inlineStr">
        <is>
          <t>❌ 4 MISSING</t>
        </is>
      </c>
      <c r="K104" s="246" t="inlineStr">
        <is>
          <t>#8 LoD; #9 Microbiology; #11 Heavy metals; #12 Pesticides</t>
        </is>
      </c>
      <c r="L104" s="275" t="n">
        <v>0.1996</v>
      </c>
      <c r="M104" s="243" t="inlineStr">
        <is>
          <t>None</t>
        </is>
      </c>
      <c r="N104" s="275" t="n">
        <v>0</v>
      </c>
      <c r="O104" s="252" t="inlineStr">
        <is>
          <t>no — 4 missing</t>
        </is>
      </c>
    </row>
    <row r="105">
      <c r="A105" s="243" t="n">
        <v>1</v>
      </c>
      <c r="B105" s="243" t="inlineStr">
        <is>
          <t>31.07.2026</t>
        </is>
      </c>
      <c r="C105" s="244" t="inlineStr">
        <is>
          <t>OPM1024_02</t>
        </is>
      </c>
      <c r="D105" s="243" t="inlineStr">
        <is>
          <t>Orange Punch Mimosa</t>
        </is>
      </c>
      <c r="E105" s="274" t="n">
        <v>156.14</v>
      </c>
      <c r="F105" s="243" t="inlineStr">
        <is>
          <t>16–19%</t>
        </is>
      </c>
      <c r="G105" s="275" t="n">
        <v>0.1827</v>
      </c>
      <c r="H105" s="243" t="inlineStr">
        <is>
          <t>P050062</t>
        </is>
      </c>
      <c r="I105" s="243" t="inlineStr">
        <is>
          <t>OPM1024_02</t>
        </is>
      </c>
      <c r="J105" s="243" t="inlineStr">
        <is>
          <t>✓ COMPLETE</t>
        </is>
      </c>
      <c r="K105" s="246" t="inlineStr">
        <is>
          <t>—</t>
        </is>
      </c>
      <c r="L105" s="275" t="n">
        <v>0.1827</v>
      </c>
      <c r="M105" s="243" t="inlineStr">
        <is>
          <t>ППК25154</t>
        </is>
      </c>
      <c r="N105" s="275" t="n">
        <v>0</v>
      </c>
      <c r="O105" s="250" t="inlineStr">
        <is>
          <t>yes — all 12 determinations covered</t>
        </is>
      </c>
    </row>
    <row r="106">
      <c r="A106" s="243" t="n">
        <v>1</v>
      </c>
      <c r="B106" s="243" t="inlineStr">
        <is>
          <t>31.07.2026</t>
        </is>
      </c>
      <c r="C106" s="244" t="inlineStr">
        <is>
          <t>OPM122501</t>
        </is>
      </c>
      <c r="D106" s="243" t="inlineStr">
        <is>
          <t>Orange Punch Mimosa</t>
        </is>
      </c>
      <c r="E106" s="274" t="n">
        <v>104.26</v>
      </c>
      <c r="F106" s="243" t="inlineStr">
        <is>
          <t>10–13%</t>
        </is>
      </c>
      <c r="G106" s="275" t="n">
        <v>0.11</v>
      </c>
      <c r="H106" s="243" t="inlineStr">
        <is>
          <t>P060242</t>
        </is>
      </c>
      <c r="I106" s="243" t="inlineStr">
        <is>
          <t>OPM122501</t>
        </is>
      </c>
      <c r="J106" s="243" t="inlineStr">
        <is>
          <t>✓ COMPLETE</t>
        </is>
      </c>
      <c r="K106" s="246" t="inlineStr">
        <is>
          <t>—</t>
        </is>
      </c>
      <c r="L106" s="276" t="n">
        <v>0.0809</v>
      </c>
      <c r="M106" s="277" t="inlineStr">
        <is>
          <t>100-4-К/26</t>
        </is>
      </c>
      <c r="N106" s="276" t="n">
        <v>-0.0291</v>
      </c>
      <c r="O106" s="278" t="inlineStr">
        <is>
          <t>yes — all 12 determinations covered  |  POTENCY: the certificate reads 8.09 %, outside the 10–13% it was delivered under</t>
        </is>
      </c>
    </row>
    <row r="107">
      <c r="A107" s="243" t="n">
        <v>1</v>
      </c>
      <c r="B107" s="243" t="inlineStr">
        <is>
          <t>31.07.2026</t>
        </is>
      </c>
      <c r="C107" s="244" t="inlineStr">
        <is>
          <t>PM092501</t>
        </is>
      </c>
      <c r="D107" s="243" t="inlineStr">
        <is>
          <t>Permanent Marker</t>
        </is>
      </c>
      <c r="E107" s="274" t="n">
        <v>20.23</v>
      </c>
      <c r="F107" s="243" t="inlineStr">
        <is>
          <t>13–16%</t>
        </is>
      </c>
      <c r="G107" s="275" t="n">
        <v>0.1406</v>
      </c>
      <c r="H107" s="243" t="inlineStr">
        <is>
          <t>P060062</t>
        </is>
      </c>
      <c r="I107" s="243" t="inlineStr">
        <is>
          <t>PM092501</t>
        </is>
      </c>
      <c r="J107" s="243" t="inlineStr">
        <is>
          <t>✓ COMPLETE</t>
        </is>
      </c>
      <c r="K107" s="246" t="inlineStr">
        <is>
          <t>—</t>
        </is>
      </c>
      <c r="L107" s="275" t="inlineStr">
        <is>
          <t>— none on the desk —</t>
        </is>
      </c>
      <c r="M107" s="243" t="inlineStr">
        <is>
          <t>—</t>
        </is>
      </c>
      <c r="N107" s="275" t="inlineStr">
        <is>
          <t>—</t>
        </is>
      </c>
      <c r="O107" s="250" t="inlineStr">
        <is>
          <t>yes — all 12 determinations covered</t>
        </is>
      </c>
    </row>
    <row r="108">
      <c r="A108" s="243" t="n">
        <v>1</v>
      </c>
      <c r="B108" s="243" t="inlineStr">
        <is>
          <t>31.07.2026</t>
        </is>
      </c>
      <c r="C108" s="244" t="inlineStr">
        <is>
          <t>SCR012603</t>
        </is>
      </c>
      <c r="D108" s="243" t="inlineStr">
        <is>
          <t>Scrambler</t>
        </is>
      </c>
      <c r="E108" s="274" t="n">
        <v>79.81</v>
      </c>
      <c r="F108" s="243" t="inlineStr">
        <is>
          <t>16–19%</t>
        </is>
      </c>
      <c r="G108" s="275" t="n">
        <v>0.17</v>
      </c>
      <c r="H108" s="243" t="inlineStr">
        <is>
          <t>P060382</t>
        </is>
      </c>
      <c r="I108" s="243" t="inlineStr">
        <is>
          <t>SCR012603</t>
        </is>
      </c>
      <c r="J108" s="243" t="inlineStr">
        <is>
          <t>❌ 4 MISSING</t>
        </is>
      </c>
      <c r="K108" s="246" t="inlineStr">
        <is>
          <t>#8 LoD; #9 Microbiology (on file 09.09, not recorded); #11 Heavy metals; #12 Pesticides</t>
        </is>
      </c>
      <c r="L108" s="275" t="inlineStr">
        <is>
          <t>— none on the desk —</t>
        </is>
      </c>
      <c r="M108" s="243" t="inlineStr">
        <is>
          <t>—</t>
        </is>
      </c>
      <c r="N108" s="275" t="inlineStr">
        <is>
          <t>—</t>
        </is>
      </c>
      <c r="O108" s="252" t="inlineStr">
        <is>
          <t>no — 4 missing</t>
        </is>
      </c>
    </row>
    <row r="109">
      <c r="A109" s="243" t="n">
        <v>2</v>
      </c>
      <c r="B109" s="243" t="inlineStr">
        <is>
          <t>14.08.2026</t>
        </is>
      </c>
      <c r="C109" s="244" t="inlineStr">
        <is>
          <t>ACC102501</t>
        </is>
      </c>
      <c r="D109" s="243" t="inlineStr">
        <is>
          <t>Amnesia Core Cut</t>
        </is>
      </c>
      <c r="E109" s="274" t="n">
        <v>38.88</v>
      </c>
      <c r="F109" s="243" t="inlineStr">
        <is>
          <t>10–13%</t>
        </is>
      </c>
      <c r="G109" s="275" t="n">
        <v>0.1291</v>
      </c>
      <c r="H109" s="243" t="inlineStr">
        <is>
          <t>P060122</t>
        </is>
      </c>
      <c r="I109" s="243" t="inlineStr">
        <is>
          <t>ACC102501</t>
        </is>
      </c>
      <c r="J109" s="243" t="inlineStr">
        <is>
          <t>○ 4 ON FILE, NOT RECORDED</t>
        </is>
      </c>
      <c r="K109" s="246" t="inlineStr">
        <is>
          <t>#8 LoD (on file 09.09, not recorded); #9 Microbiology (on file 09.09, not recorded); #11 Heavy metals (on file 09.09, not recorded); #12 Pesticides (on file 09.09, not recorded)</t>
        </is>
      </c>
      <c r="L109" s="275" t="inlineStr">
        <is>
          <t>— none on the desk —</t>
        </is>
      </c>
      <c r="M109" s="243" t="inlineStr">
        <is>
          <t>—</t>
        </is>
      </c>
      <c r="N109" s="275" t="inlineStr">
        <is>
          <t>—</t>
        </is>
      </c>
      <c r="O109" s="252" t="inlineStr">
        <is>
          <t>no — 4 on file, not recorded</t>
        </is>
      </c>
    </row>
    <row r="110">
      <c r="A110" s="243" t="n">
        <v>2</v>
      </c>
      <c r="B110" s="243" t="inlineStr">
        <is>
          <t>14.08.2026</t>
        </is>
      </c>
      <c r="C110" s="244" t="inlineStr">
        <is>
          <t>BSS052501</t>
        </is>
      </c>
      <c r="D110" s="243" t="inlineStr">
        <is>
          <t>Blue Sunset Sherbet</t>
        </is>
      </c>
      <c r="E110" s="274" t="n">
        <v>345.71</v>
      </c>
      <c r="F110" s="243" t="inlineStr">
        <is>
          <t>19–22%</t>
        </is>
      </c>
      <c r="G110" s="275" t="n">
        <v>0.2047</v>
      </c>
      <c r="H110" s="243" t="inlineStr">
        <is>
          <t>P050192</t>
        </is>
      </c>
      <c r="I110" s="243" t="inlineStr">
        <is>
          <t>BSS052501</t>
        </is>
      </c>
      <c r="J110" s="243" t="inlineStr">
        <is>
          <t>⚠ 1 MISSING</t>
        </is>
      </c>
      <c r="K110" s="246" t="inlineStr">
        <is>
          <t>#8 LoD</t>
        </is>
      </c>
      <c r="L110" s="275" t="n">
        <v>0.2039</v>
      </c>
      <c r="M110" s="243" t="inlineStr">
        <is>
          <t>2025/</t>
        </is>
      </c>
      <c r="N110" s="275" t="n">
        <v>-0.0007999999999999829</v>
      </c>
      <c r="O110" s="252" t="inlineStr">
        <is>
          <t>no — 1 missing</t>
        </is>
      </c>
    </row>
    <row r="111">
      <c r="A111" s="243" t="n">
        <v>2</v>
      </c>
      <c r="B111" s="243" t="inlineStr">
        <is>
          <t>14.08.2026</t>
        </is>
      </c>
      <c r="C111" s="244" t="inlineStr">
        <is>
          <t>CC012603</t>
        </is>
      </c>
      <c r="D111" s="243" t="inlineStr">
        <is>
          <t>Cash Cow</t>
        </is>
      </c>
      <c r="E111" s="274" t="n">
        <v>56.18</v>
      </c>
      <c r="F111" s="243" t="inlineStr">
        <is>
          <t>10–13%</t>
        </is>
      </c>
      <c r="G111" s="275" t="n">
        <v>0.1232</v>
      </c>
      <c r="H111" s="243" t="inlineStr">
        <is>
          <t>P060372</t>
        </is>
      </c>
      <c r="I111" s="243" t="inlineStr">
        <is>
          <t>CC012603</t>
        </is>
      </c>
      <c r="J111" s="243" t="inlineStr">
        <is>
          <t>❌ 4 MISSING</t>
        </is>
      </c>
      <c r="K111" s="246" t="inlineStr">
        <is>
          <t>#8 LoD; #9 Microbiology (on file 09.09, not recorded); #11 Heavy metals; #12 Pesticides</t>
        </is>
      </c>
      <c r="L111" s="275" t="inlineStr">
        <is>
          <t>— none on the desk —</t>
        </is>
      </c>
      <c r="M111" s="243" t="inlineStr">
        <is>
          <t>—</t>
        </is>
      </c>
      <c r="N111" s="275" t="inlineStr">
        <is>
          <t>—</t>
        </is>
      </c>
      <c r="O111" s="252" t="inlineStr">
        <is>
          <t>no — 4 missing</t>
        </is>
      </c>
    </row>
    <row r="112">
      <c r="A112" s="243" t="n">
        <v>2</v>
      </c>
      <c r="B112" s="243" t="inlineStr">
        <is>
          <t>14.08.2026</t>
        </is>
      </c>
      <c r="C112" s="244" t="inlineStr">
        <is>
          <t>CF102501</t>
        </is>
      </c>
      <c r="D112" s="243" t="inlineStr">
        <is>
          <t>Chem Flyer</t>
        </is>
      </c>
      <c r="E112" s="274" t="n">
        <v>48.35</v>
      </c>
      <c r="F112" s="243" t="inlineStr">
        <is>
          <t>7–10%</t>
        </is>
      </c>
      <c r="G112" s="275" t="n">
        <v>0.0983</v>
      </c>
      <c r="H112" s="243" t="inlineStr">
        <is>
          <t>P060132</t>
        </is>
      </c>
      <c r="I112" s="243" t="inlineStr">
        <is>
          <t>CF102501</t>
        </is>
      </c>
      <c r="J112" s="243" t="inlineStr">
        <is>
          <t>○ 4 ON FILE, NOT RECORDED</t>
        </is>
      </c>
      <c r="K112" s="246" t="inlineStr">
        <is>
          <t>#8 LoD (on file 09.09, not recorded); #9 Microbiology (on file 09.09, not recorded); #11 Heavy metals (on file 09.09, not recorded); #12 Pesticides (on file 09.09, not recorded)</t>
        </is>
      </c>
      <c r="L112" s="275" t="inlineStr">
        <is>
          <t>— none on the desk —</t>
        </is>
      </c>
      <c r="M112" s="243" t="inlineStr">
        <is>
          <t>—</t>
        </is>
      </c>
      <c r="N112" s="275" t="inlineStr">
        <is>
          <t>—</t>
        </is>
      </c>
      <c r="O112" s="252" t="inlineStr">
        <is>
          <t>no — 4 on file, not recorded</t>
        </is>
      </c>
    </row>
    <row r="113">
      <c r="A113" s="243" t="n">
        <v>2</v>
      </c>
      <c r="B113" s="243" t="inlineStr">
        <is>
          <t>14.08.2026</t>
        </is>
      </c>
      <c r="C113" s="244" t="inlineStr">
        <is>
          <t>CJ062501/1</t>
        </is>
      </c>
      <c r="D113" s="243" t="inlineStr">
        <is>
          <t>Cap Junky</t>
        </is>
      </c>
      <c r="E113" s="274" t="n">
        <v>77.72</v>
      </c>
      <c r="F113" s="243" t="inlineStr">
        <is>
          <t>19–22%</t>
        </is>
      </c>
      <c r="G113" s="275" t="n">
        <v>0.2151</v>
      </c>
      <c r="H113" s="243" t="inlineStr">
        <is>
          <t>P050222</t>
        </is>
      </c>
      <c r="I113" s="243" t="inlineStr">
        <is>
          <t>CJ062501/1</t>
        </is>
      </c>
      <c r="J113" s="243" t="inlineStr">
        <is>
          <t>✓ COMPLETE</t>
        </is>
      </c>
      <c r="K113" s="246" t="inlineStr">
        <is>
          <t>—</t>
        </is>
      </c>
      <c r="L113" s="275" t="n">
        <v>0.2151</v>
      </c>
      <c r="M113" s="243" t="inlineStr">
        <is>
          <t>ППК25321</t>
        </is>
      </c>
      <c r="N113" s="275" t="n">
        <v>0</v>
      </c>
      <c r="O113" s="250" t="inlineStr">
        <is>
          <t>yes — all 12 determinations covered</t>
        </is>
      </c>
    </row>
    <row r="114">
      <c r="A114" s="243" t="n">
        <v>2</v>
      </c>
      <c r="B114" s="243" t="inlineStr">
        <is>
          <t>14.08.2026</t>
        </is>
      </c>
      <c r="C114" s="244" t="inlineStr">
        <is>
          <t>CJ082501/1</t>
        </is>
      </c>
      <c r="D114" s="243" t="inlineStr">
        <is>
          <t>Cap Junky</t>
        </is>
      </c>
      <c r="E114" s="274" t="n">
        <v>115.6</v>
      </c>
      <c r="F114" s="243" t="inlineStr">
        <is>
          <t>22–25%</t>
        </is>
      </c>
      <c r="G114" s="275" t="n">
        <v>0.2496</v>
      </c>
      <c r="H114" s="243" t="inlineStr">
        <is>
          <t>P060022</t>
        </is>
      </c>
      <c r="I114" s="243" t="inlineStr">
        <is>
          <t>CJ082501/1</t>
        </is>
      </c>
      <c r="J114" s="243" t="inlineStr">
        <is>
          <t>✓ COMPLETE</t>
        </is>
      </c>
      <c r="K114" s="246" t="inlineStr">
        <is>
          <t>—</t>
        </is>
      </c>
      <c r="L114" s="275" t="n">
        <v>0.2496</v>
      </c>
      <c r="M114" s="243" t="inlineStr">
        <is>
          <t>ППК26002</t>
        </is>
      </c>
      <c r="N114" s="275" t="n">
        <v>0</v>
      </c>
      <c r="O114" s="250" t="inlineStr">
        <is>
          <t>yes — all 12 determinations covered</t>
        </is>
      </c>
    </row>
    <row r="115">
      <c r="A115" s="243" t="n">
        <v>2</v>
      </c>
      <c r="B115" s="243" t="inlineStr">
        <is>
          <t>14.08.2026</t>
        </is>
      </c>
      <c r="C115" s="244" t="inlineStr">
        <is>
          <t>CJ092501</t>
        </is>
      </c>
      <c r="D115" s="243" t="inlineStr">
        <is>
          <t>Cap Junky</t>
        </is>
      </c>
      <c r="E115" s="274" t="n">
        <v>28.38</v>
      </c>
      <c r="F115" s="243" t="inlineStr">
        <is>
          <t>22–25%</t>
        </is>
      </c>
      <c r="G115" s="275" t="n">
        <v>0.223</v>
      </c>
      <c r="H115" s="243" t="inlineStr">
        <is>
          <t>P060072</t>
        </is>
      </c>
      <c r="I115" s="243" t="inlineStr">
        <is>
          <t>CJ092501</t>
        </is>
      </c>
      <c r="J115" s="243" t="inlineStr">
        <is>
          <t>✓ COMPLETE</t>
        </is>
      </c>
      <c r="K115" s="246" t="inlineStr">
        <is>
          <t>—</t>
        </is>
      </c>
      <c r="L115" s="275" t="n">
        <v>0.223</v>
      </c>
      <c r="M115" s="243" t="inlineStr">
        <is>
          <t>ППК26007</t>
        </is>
      </c>
      <c r="N115" s="275" t="n">
        <v>0</v>
      </c>
      <c r="O115" s="250" t="inlineStr">
        <is>
          <t>yes — all 12 determinations covered</t>
        </is>
      </c>
    </row>
    <row r="116">
      <c r="A116" s="243" t="n">
        <v>2</v>
      </c>
      <c r="B116" s="243" t="inlineStr">
        <is>
          <t>14.08.2026</t>
        </is>
      </c>
      <c r="C116" s="244" t="inlineStr">
        <is>
          <t>CLE072501</t>
        </is>
      </c>
      <c r="D116" s="243" t="inlineStr">
        <is>
          <t>Clemosa A Bud</t>
        </is>
      </c>
      <c r="E116" s="274" t="n">
        <v>27.07</v>
      </c>
      <c r="F116" s="243" t="inlineStr">
        <is>
          <t>7–10%</t>
        </is>
      </c>
      <c r="G116" s="275" t="n">
        <v>0.08019999999999999</v>
      </c>
      <c r="H116" s="243" t="inlineStr">
        <is>
          <t>P050282</t>
        </is>
      </c>
      <c r="I116" s="243" t="inlineStr">
        <is>
          <t>CLE072501</t>
        </is>
      </c>
      <c r="J116" s="243" t="inlineStr">
        <is>
          <t>✓ COMPLETE</t>
        </is>
      </c>
      <c r="K116" s="246" t="inlineStr">
        <is>
          <t>—</t>
        </is>
      </c>
      <c r="L116" s="275" t="n">
        <v>0.08019999999999999</v>
      </c>
      <c r="M116" s="243" t="inlineStr">
        <is>
          <t>ППК25370</t>
        </is>
      </c>
      <c r="N116" s="275" t="n">
        <v>0</v>
      </c>
      <c r="O116" s="250" t="inlineStr">
        <is>
          <t>yes — all 12 determinations covered</t>
        </is>
      </c>
    </row>
    <row r="117">
      <c r="A117" s="243" t="n">
        <v>2</v>
      </c>
      <c r="B117" s="243" t="inlineStr">
        <is>
          <t>14.08.2026</t>
        </is>
      </c>
      <c r="C117" s="244" t="inlineStr">
        <is>
          <t>FB012601/1</t>
        </is>
      </c>
      <c r="D117" s="243" t="inlineStr">
        <is>
          <t>Fat Bastard</t>
        </is>
      </c>
      <c r="E117" s="274" t="n">
        <v>8.85</v>
      </c>
      <c r="F117" s="243" t="inlineStr">
        <is>
          <t>13–16%</t>
        </is>
      </c>
      <c r="G117" s="275" t="n">
        <v>0.1468</v>
      </c>
      <c r="H117" s="243" t="inlineStr">
        <is>
          <t>P060322</t>
        </is>
      </c>
      <c r="I117" s="243" t="inlineStr">
        <is>
          <t>FB012601_1</t>
        </is>
      </c>
      <c r="J117" s="243" t="inlineStr">
        <is>
          <t>✓ COMPLETE</t>
        </is>
      </c>
      <c r="K117" s="246" t="inlineStr">
        <is>
          <t>—</t>
        </is>
      </c>
      <c r="L117" s="275" t="n">
        <v>0.1468</v>
      </c>
      <c r="M117" s="243" t="inlineStr">
        <is>
          <t>ППК26067</t>
        </is>
      </c>
      <c r="N117" s="275" t="n">
        <v>0</v>
      </c>
      <c r="O117" s="250" t="inlineStr">
        <is>
          <t>yes — all 12 determinations covered</t>
        </is>
      </c>
    </row>
    <row r="118">
      <c r="A118" s="243" t="n">
        <v>2</v>
      </c>
      <c r="B118" s="243" t="inlineStr">
        <is>
          <t>14.08.2026</t>
        </is>
      </c>
      <c r="C118" s="244" t="inlineStr">
        <is>
          <t>GG1024</t>
        </is>
      </c>
      <c r="D118" s="243" t="inlineStr">
        <is>
          <t>Gorilla Glue</t>
        </is>
      </c>
      <c r="E118" s="274" t="n">
        <v>44.84</v>
      </c>
      <c r="F118" s="243" t="inlineStr">
        <is>
          <t>13–16%</t>
        </is>
      </c>
      <c r="G118" s="275" t="n">
        <v>0.1334</v>
      </c>
      <c r="H118" s="243" t="inlineStr">
        <is>
          <t>—</t>
        </is>
      </c>
      <c r="I118" s="243" t="inlineStr">
        <is>
          <t>GG1024</t>
        </is>
      </c>
      <c r="J118" s="243" t="inlineStr">
        <is>
          <t>○ 4 ON FILE, NOT RECORDED</t>
        </is>
      </c>
      <c r="K118" s="246" t="inlineStr">
        <is>
          <t>#8 LoD (on file 09.09, not recorded); #9 Microbiology (on file 09.09, not recorded); #11 Heavy metals (on file 09.09, not recorded); #12 Pesticides (on file 09.09, not recorded)</t>
        </is>
      </c>
      <c r="L118" s="275" t="n">
        <v>0.1334</v>
      </c>
      <c r="M118" s="243" t="inlineStr">
        <is>
          <t>None</t>
        </is>
      </c>
      <c r="N118" s="275" t="n">
        <v>0</v>
      </c>
      <c r="O118" s="252" t="inlineStr">
        <is>
          <t>no — 4 on file, not recorded</t>
        </is>
      </c>
    </row>
    <row r="119">
      <c r="A119" s="243" t="n">
        <v>2</v>
      </c>
      <c r="B119" s="243" t="inlineStr">
        <is>
          <t>14.08.2026</t>
        </is>
      </c>
      <c r="C119" s="244" t="inlineStr">
        <is>
          <t>GP072501/2</t>
        </is>
      </c>
      <c r="D119" s="243" t="inlineStr">
        <is>
          <t>Grape Pie</t>
        </is>
      </c>
      <c r="E119" s="274" t="n">
        <v>13.63</v>
      </c>
      <c r="F119" s="243" t="inlineStr">
        <is>
          <t>19–22%</t>
        </is>
      </c>
      <c r="G119" s="275" t="n">
        <v>0.1981</v>
      </c>
      <c r="H119" s="243" t="inlineStr">
        <is>
          <t>P050302</t>
        </is>
      </c>
      <c r="I119" s="243" t="inlineStr">
        <is>
          <t>GP072501/2</t>
        </is>
      </c>
      <c r="J119" s="243" t="inlineStr">
        <is>
          <t>✓ COMPLETE</t>
        </is>
      </c>
      <c r="K119" s="246" t="inlineStr">
        <is>
          <t>—</t>
        </is>
      </c>
      <c r="L119" s="275" t="n">
        <v>0.1981</v>
      </c>
      <c r="M119" s="243" t="inlineStr">
        <is>
          <t>ППК25379</t>
        </is>
      </c>
      <c r="N119" s="275" t="n">
        <v>0</v>
      </c>
      <c r="O119" s="250" t="inlineStr">
        <is>
          <t>yes — all 12 determinations covered</t>
        </is>
      </c>
    </row>
    <row r="120">
      <c r="A120" s="243" t="n">
        <v>2</v>
      </c>
      <c r="B120" s="243" t="inlineStr">
        <is>
          <t>14.08.2026</t>
        </is>
      </c>
      <c r="C120" s="244" t="inlineStr">
        <is>
          <t>GP0824_03</t>
        </is>
      </c>
      <c r="D120" s="243" t="inlineStr">
        <is>
          <t>Grape Pie</t>
        </is>
      </c>
      <c r="E120" s="274" t="n">
        <v>237.67</v>
      </c>
      <c r="F120" s="243" t="inlineStr">
        <is>
          <t>≥ 25%</t>
        </is>
      </c>
      <c r="G120" s="275" t="n">
        <v>0.2545</v>
      </c>
      <c r="H120" s="243" t="inlineStr">
        <is>
          <t>P050072</t>
        </is>
      </c>
      <c r="I120" s="243" t="inlineStr">
        <is>
          <t>GP0824_03</t>
        </is>
      </c>
      <c r="J120" s="243" t="inlineStr">
        <is>
          <t>✓ COMPLETE</t>
        </is>
      </c>
      <c r="K120" s="246" t="inlineStr">
        <is>
          <t>—</t>
        </is>
      </c>
      <c r="L120" s="275" t="n">
        <v>0.2545</v>
      </c>
      <c r="M120" s="243" t="inlineStr">
        <is>
          <t>ППК25175</t>
        </is>
      </c>
      <c r="N120" s="275" t="n">
        <v>0</v>
      </c>
      <c r="O120" s="250" t="inlineStr">
        <is>
          <t>yes — all 12 determinations covered</t>
        </is>
      </c>
    </row>
    <row r="121">
      <c r="A121" s="243" t="n">
        <v>2</v>
      </c>
      <c r="B121" s="243" t="inlineStr">
        <is>
          <t>14.08.2026</t>
        </is>
      </c>
      <c r="C121" s="244" t="inlineStr">
        <is>
          <t>GP082501/1</t>
        </is>
      </c>
      <c r="D121" s="243" t="inlineStr">
        <is>
          <t>Grape Pie</t>
        </is>
      </c>
      <c r="E121" s="274" t="n">
        <v>200.42</v>
      </c>
      <c r="F121" s="243" t="inlineStr">
        <is>
          <t>19–22%</t>
        </is>
      </c>
      <c r="G121" s="275" t="n">
        <v>0.2129</v>
      </c>
      <c r="H121" s="243" t="inlineStr">
        <is>
          <t>P050312</t>
        </is>
      </c>
      <c r="I121" s="243" t="inlineStr">
        <is>
          <t>GP082501/1</t>
        </is>
      </c>
      <c r="J121" s="243" t="inlineStr">
        <is>
          <t>✓ COMPLETE</t>
        </is>
      </c>
      <c r="K121" s="246" t="inlineStr">
        <is>
          <t>—</t>
        </is>
      </c>
      <c r="L121" s="275" t="n">
        <v>0.2129</v>
      </c>
      <c r="M121" s="243" t="inlineStr">
        <is>
          <t>ППК25380</t>
        </is>
      </c>
      <c r="N121" s="275" t="n">
        <v>0</v>
      </c>
      <c r="O121" s="250" t="inlineStr">
        <is>
          <t>yes — all 12 determinations covered</t>
        </is>
      </c>
    </row>
    <row r="122">
      <c r="A122" s="243" t="n">
        <v>2</v>
      </c>
      <c r="B122" s="243" t="inlineStr">
        <is>
          <t>14.08.2026</t>
        </is>
      </c>
      <c r="C122" s="244" t="inlineStr">
        <is>
          <t>GP092501</t>
        </is>
      </c>
      <c r="D122" s="243" t="inlineStr">
        <is>
          <t>Grape Pie</t>
        </is>
      </c>
      <c r="E122" s="274" t="n">
        <v>171.03</v>
      </c>
      <c r="F122" s="243" t="inlineStr">
        <is>
          <t>≥ 25%</t>
        </is>
      </c>
      <c r="G122" s="275" t="n">
        <v>0.2573</v>
      </c>
      <c r="H122" s="243" t="inlineStr">
        <is>
          <t>P060092</t>
        </is>
      </c>
      <c r="I122" s="243" t="inlineStr">
        <is>
          <t>GP092501</t>
        </is>
      </c>
      <c r="J122" s="243" t="inlineStr">
        <is>
          <t>✓ COMPLETE</t>
        </is>
      </c>
      <c r="K122" s="246" t="inlineStr">
        <is>
          <t>—</t>
        </is>
      </c>
      <c r="L122" s="275" t="n">
        <v>0.2573</v>
      </c>
      <c r="M122" s="243" t="inlineStr">
        <is>
          <t>ППК26009</t>
        </is>
      </c>
      <c r="N122" s="275" t="n">
        <v>0</v>
      </c>
      <c r="O122" s="250" t="inlineStr">
        <is>
          <t>yes — all 12 determinations covered</t>
        </is>
      </c>
    </row>
    <row r="123">
      <c r="A123" s="243" t="n">
        <v>2</v>
      </c>
      <c r="B123" s="243" t="inlineStr">
        <is>
          <t>14.08.2026</t>
        </is>
      </c>
      <c r="C123" s="244" t="inlineStr">
        <is>
          <t>GRC102501/2</t>
        </is>
      </c>
      <c r="D123" s="243" t="inlineStr">
        <is>
          <t>Grapes And Cream</t>
        </is>
      </c>
      <c r="E123" s="274" t="n">
        <v>20.17</v>
      </c>
      <c r="F123" s="243" t="inlineStr">
        <is>
          <t>10–13%</t>
        </is>
      </c>
      <c r="G123" s="275" t="n">
        <v>0.1153</v>
      </c>
      <c r="H123" s="243" t="inlineStr">
        <is>
          <t>P060182</t>
        </is>
      </c>
      <c r="I123" s="243" t="inlineStr">
        <is>
          <t>GRC102501 (through its P lot; the desk row is the roll-up GRC102501)</t>
        </is>
      </c>
      <c r="J123" s="243" t="inlineStr">
        <is>
          <t>○ 2 ON FILE, NOT RECORDED</t>
        </is>
      </c>
      <c r="K123" s="246" t="inlineStr">
        <is>
          <t>#11 Heavy metals (on file 09.09, not recorded); #12 Pesticides (on file 09.09, not recorded)</t>
        </is>
      </c>
      <c r="L123" s="275" t="n">
        <v>0.1153</v>
      </c>
      <c r="M123" s="243" t="inlineStr">
        <is>
          <t>None</t>
        </is>
      </c>
      <c r="N123" s="275" t="n">
        <v>0</v>
      </c>
      <c r="O123" s="252" t="inlineStr">
        <is>
          <t>no — 2 on file, not recorded</t>
        </is>
      </c>
    </row>
    <row r="124">
      <c r="A124" s="243" t="n">
        <v>2</v>
      </c>
      <c r="B124" s="243" t="inlineStr">
        <is>
          <t>14.08.2026</t>
        </is>
      </c>
      <c r="C124" s="244" t="inlineStr">
        <is>
          <t>HPA052501</t>
        </is>
      </c>
      <c r="D124" s="243" t="inlineStr">
        <is>
          <t>High Pro Amnesia</t>
        </is>
      </c>
      <c r="E124" s="274" t="n">
        <v>249.95</v>
      </c>
      <c r="F124" s="243" t="inlineStr">
        <is>
          <t>19–22%</t>
        </is>
      </c>
      <c r="G124" s="275" t="n">
        <v>0.2039</v>
      </c>
      <c r="H124" s="243" t="inlineStr">
        <is>
          <t>P050182</t>
        </is>
      </c>
      <c r="I124" s="243" t="inlineStr">
        <is>
          <t>HPA052501</t>
        </is>
      </c>
      <c r="J124" s="243" t="inlineStr">
        <is>
          <t>✓ COMPLETE</t>
        </is>
      </c>
      <c r="K124" s="246" t="inlineStr">
        <is>
          <t>—</t>
        </is>
      </c>
      <c r="L124" s="275" t="n">
        <v>0.2039</v>
      </c>
      <c r="M124" s="243" t="inlineStr">
        <is>
          <t>ППК25278</t>
        </is>
      </c>
      <c r="N124" s="275" t="n">
        <v>0</v>
      </c>
      <c r="O124" s="250" t="inlineStr">
        <is>
          <t>yes — all 12 determinations covered</t>
        </is>
      </c>
    </row>
    <row r="125">
      <c r="A125" s="243" t="n">
        <v>2</v>
      </c>
      <c r="B125" s="243" t="inlineStr">
        <is>
          <t>14.08.2026</t>
        </is>
      </c>
      <c r="C125" s="244" t="inlineStr">
        <is>
          <t>JD012603/01</t>
        </is>
      </c>
      <c r="D125" s="243" t="inlineStr">
        <is>
          <t>Jelly Donuts</t>
        </is>
      </c>
      <c r="E125" s="274" t="n">
        <v>12</v>
      </c>
      <c r="F125" s="243" t="inlineStr">
        <is>
          <t>16–19%</t>
        </is>
      </c>
      <c r="G125" s="275" t="n">
        <v>0.1671</v>
      </c>
      <c r="H125" s="243" t="inlineStr">
        <is>
          <t>P060362</t>
        </is>
      </c>
      <c r="I125" s="243" t="inlineStr">
        <is>
          <t>JD012603 (through its P lot; the desk row is the roll-up JD012603)</t>
        </is>
      </c>
      <c r="J125" s="243" t="inlineStr">
        <is>
          <t>○ 3 ON FILE, NOT RECORDED</t>
        </is>
      </c>
      <c r="K125" s="246" t="inlineStr">
        <is>
          <t>#9 Microbiology (on file 09.09, not recorded); #11 Heavy metals (on file 09.09, not recorded); #12 Pesticides (on file 09.09, not recorded)</t>
        </is>
      </c>
      <c r="L125" s="275" t="inlineStr">
        <is>
          <t>— none on the desk —</t>
        </is>
      </c>
      <c r="M125" s="243" t="inlineStr">
        <is>
          <t>—</t>
        </is>
      </c>
      <c r="N125" s="275" t="inlineStr">
        <is>
          <t>—</t>
        </is>
      </c>
      <c r="O125" s="252" t="inlineStr">
        <is>
          <t>no — 3 on file, not recorded</t>
        </is>
      </c>
    </row>
    <row r="126">
      <c r="A126" s="243" t="n">
        <v>2</v>
      </c>
      <c r="B126" s="243" t="inlineStr">
        <is>
          <t>14.08.2026</t>
        </is>
      </c>
      <c r="C126" s="244" t="inlineStr">
        <is>
          <t>JD012603/02</t>
        </is>
      </c>
      <c r="D126" s="243" t="inlineStr">
        <is>
          <t>Jelly Donuts</t>
        </is>
      </c>
      <c r="E126" s="274" t="n">
        <v>46</v>
      </c>
      <c r="F126" s="243" t="inlineStr">
        <is>
          <t>13–16%</t>
        </is>
      </c>
      <c r="G126" s="275" t="n">
        <v>0.133</v>
      </c>
      <c r="H126" s="243" t="inlineStr">
        <is>
          <t>P060412</t>
        </is>
      </c>
      <c r="I126" s="243" t="inlineStr">
        <is>
          <t>JD012603 (through its P lot; the desk row is the roll-up JD012603)</t>
        </is>
      </c>
      <c r="J126" s="243" t="inlineStr">
        <is>
          <t>○ 3 ON FILE, NOT RECORDED</t>
        </is>
      </c>
      <c r="K126" s="246" t="inlineStr">
        <is>
          <t>#9 Microbiology (on file 09.09, not recorded); #11 Heavy metals (on file 09.09, not recorded); #12 Pesticides (on file 09.09, not recorded)</t>
        </is>
      </c>
      <c r="L126" s="276" t="n">
        <v>0.2054</v>
      </c>
      <c r="M126" s="277" t="inlineStr">
        <is>
          <t>ППК26113</t>
        </is>
      </c>
      <c r="N126" s="276" t="n">
        <v>0.07239999999999998</v>
      </c>
      <c r="O126" s="278" t="inlineStr">
        <is>
          <t>no — 3 on file, not recorded  |  POTENCY: the certificate reads 20.54 %, outside the 13–16% it was delivered under</t>
        </is>
      </c>
    </row>
    <row r="127">
      <c r="A127" s="243" t="n">
        <v>2</v>
      </c>
      <c r="B127" s="243" t="inlineStr">
        <is>
          <t>14.08.2026</t>
        </is>
      </c>
      <c r="C127" s="244" t="inlineStr">
        <is>
          <t>JD012603/02V</t>
        </is>
      </c>
      <c r="D127" s="243" t="inlineStr">
        <is>
          <t>Jelly Donuts</t>
        </is>
      </c>
      <c r="E127" s="274" t="n">
        <v>11</v>
      </c>
      <c r="F127" s="243" t="inlineStr">
        <is>
          <t>13–16%</t>
        </is>
      </c>
      <c r="G127" s="275" t="n">
        <v>0.1497</v>
      </c>
      <c r="H127" s="243" t="inlineStr">
        <is>
          <t>P060422</t>
        </is>
      </c>
      <c r="I127" s="243" t="inlineStr">
        <is>
          <t>JD012603 (through its P lot; the desk row is the roll-up JD012603)</t>
        </is>
      </c>
      <c r="J127" s="243" t="inlineStr">
        <is>
          <t>○ 3 ON FILE, NOT RECORDED</t>
        </is>
      </c>
      <c r="K127" s="246" t="inlineStr">
        <is>
          <t>#9 Microbiology (on file 09.09, not recorded); #11 Heavy metals (on file 09.09, not recorded); #12 Pesticides (on file 09.09, not recorded)</t>
        </is>
      </c>
      <c r="L127" s="275" t="n">
        <v>0.1516</v>
      </c>
      <c r="M127" s="243" t="inlineStr">
        <is>
          <t>ППК26111</t>
        </is>
      </c>
      <c r="N127" s="275" t="n">
        <v>0.001899999999999995</v>
      </c>
      <c r="O127" s="252" t="inlineStr">
        <is>
          <t>no — 3 on file, not recorded</t>
        </is>
      </c>
    </row>
    <row r="128">
      <c r="A128" s="243" t="n">
        <v>2</v>
      </c>
      <c r="B128" s="243" t="inlineStr">
        <is>
          <t>14.08.2026</t>
        </is>
      </c>
      <c r="C128" s="244" t="inlineStr">
        <is>
          <t>KC102501</t>
        </is>
      </c>
      <c r="D128" s="243" t="inlineStr">
        <is>
          <t>Kush Crasher</t>
        </is>
      </c>
      <c r="E128" s="274" t="n">
        <v>21.67</v>
      </c>
      <c r="F128" s="243" t="inlineStr">
        <is>
          <t>16–19%</t>
        </is>
      </c>
      <c r="G128" s="275" t="n">
        <v>0.174</v>
      </c>
      <c r="H128" s="243" t="inlineStr">
        <is>
          <t>P060172</t>
        </is>
      </c>
      <c r="I128" s="243" t="inlineStr">
        <is>
          <t>KC102501</t>
        </is>
      </c>
      <c r="J128" s="243" t="inlineStr">
        <is>
          <t>○ 3 ON FILE, NOT RECORDED</t>
        </is>
      </c>
      <c r="K128" s="246" t="inlineStr">
        <is>
          <t>#9 Microbiology (on file 09.09, not recorded); #11 Heavy metals (on file 09.09, not recorded); #12 Pesticides (on file 09.09, not recorded)</t>
        </is>
      </c>
      <c r="L128" s="275" t="n">
        <v>0.1704</v>
      </c>
      <c r="M128" s="243" t="inlineStr">
        <is>
          <t>051-4-К/26</t>
        </is>
      </c>
      <c r="N128" s="275" t="n">
        <v>-0.003599999999999994</v>
      </c>
      <c r="O128" s="252" t="inlineStr">
        <is>
          <t>no — 3 on file, not recorded</t>
        </is>
      </c>
    </row>
    <row r="129">
      <c r="A129" s="243" t="n">
        <v>2</v>
      </c>
      <c r="B129" s="243" t="inlineStr">
        <is>
          <t>14.08.2026</t>
        </is>
      </c>
      <c r="C129" s="244" t="inlineStr">
        <is>
          <t>MB0824_05</t>
        </is>
      </c>
      <c r="D129" s="243" t="inlineStr">
        <is>
          <t>Motor Breath</t>
        </is>
      </c>
      <c r="E129" s="274" t="n">
        <v>244.06</v>
      </c>
      <c r="F129" s="243" t="inlineStr">
        <is>
          <t>16–19%</t>
        </is>
      </c>
      <c r="G129" s="275" t="n">
        <v>0.1682</v>
      </c>
      <c r="H129" s="243" t="inlineStr">
        <is>
          <t>P050112</t>
        </is>
      </c>
      <c r="I129" s="243" t="inlineStr">
        <is>
          <t>MB0824_05</t>
        </is>
      </c>
      <c r="J129" s="243" t="inlineStr">
        <is>
          <t>✓ COMPLETE</t>
        </is>
      </c>
      <c r="K129" s="246" t="inlineStr">
        <is>
          <t>—</t>
        </is>
      </c>
      <c r="L129" s="275" t="n">
        <v>0.1682</v>
      </c>
      <c r="M129" s="243" t="inlineStr">
        <is>
          <t>None</t>
        </is>
      </c>
      <c r="N129" s="275" t="n">
        <v>0</v>
      </c>
      <c r="O129" s="250" t="inlineStr">
        <is>
          <t>yes — all 12 determinations covered</t>
        </is>
      </c>
    </row>
    <row r="130">
      <c r="A130" s="243" t="n">
        <v>2</v>
      </c>
      <c r="B130" s="243" t="inlineStr">
        <is>
          <t>14.08.2026</t>
        </is>
      </c>
      <c r="C130" s="244" t="inlineStr">
        <is>
          <t>OMP1024_01</t>
        </is>
      </c>
      <c r="D130" s="243" t="inlineStr">
        <is>
          <t>Orange Punch Mimosa</t>
        </is>
      </c>
      <c r="E130" s="274" t="n">
        <v>213.59</v>
      </c>
      <c r="F130" s="243" t="inlineStr">
        <is>
          <t>13–16%</t>
        </is>
      </c>
      <c r="G130" s="275" t="n">
        <v>0.1538</v>
      </c>
      <c r="H130" s="243" t="inlineStr">
        <is>
          <t>P050042</t>
        </is>
      </c>
      <c r="I130" s="243" t="inlineStr">
        <is>
          <t>OMP1024_01</t>
        </is>
      </c>
      <c r="J130" s="243" t="inlineStr">
        <is>
          <t>✓ COMPLETE</t>
        </is>
      </c>
      <c r="K130" s="246" t="inlineStr">
        <is>
          <t>—</t>
        </is>
      </c>
      <c r="L130" s="275" t="inlineStr">
        <is>
          <t>— none on the desk —</t>
        </is>
      </c>
      <c r="M130" s="243" t="inlineStr">
        <is>
          <t>—</t>
        </is>
      </c>
      <c r="N130" s="275" t="inlineStr">
        <is>
          <t>—</t>
        </is>
      </c>
      <c r="O130" s="250" t="inlineStr">
        <is>
          <t>yes — all 12 determinations covered</t>
        </is>
      </c>
    </row>
    <row r="131">
      <c r="A131" s="243" t="n">
        <v>2</v>
      </c>
      <c r="B131" s="243" t="inlineStr">
        <is>
          <t>14.08.2026</t>
        </is>
      </c>
      <c r="C131" s="244" t="inlineStr">
        <is>
          <t>OPM092501</t>
        </is>
      </c>
      <c r="D131" s="243" t="inlineStr">
        <is>
          <t>Orange Punch Mimosa</t>
        </is>
      </c>
      <c r="E131" s="274" t="n">
        <v>14.76</v>
      </c>
      <c r="F131" s="243" t="inlineStr">
        <is>
          <t>7–10%</t>
        </is>
      </c>
      <c r="G131" s="275" t="n">
        <v>0.09429999999999999</v>
      </c>
      <c r="H131" s="243" t="inlineStr">
        <is>
          <t>P060042</t>
        </is>
      </c>
      <c r="I131" s="243" t="inlineStr">
        <is>
          <t>OPM092501</t>
        </is>
      </c>
      <c r="J131" s="243" t="inlineStr">
        <is>
          <t>✓ COMPLETE</t>
        </is>
      </c>
      <c r="K131" s="246" t="inlineStr">
        <is>
          <t>—</t>
        </is>
      </c>
      <c r="L131" s="275" t="n">
        <v>0.09429999999999999</v>
      </c>
      <c r="M131" s="243" t="inlineStr">
        <is>
          <t>ППК26008</t>
        </is>
      </c>
      <c r="N131" s="275" t="n">
        <v>0</v>
      </c>
      <c r="O131" s="250" t="inlineStr">
        <is>
          <t>yes — all 12 determinations covered</t>
        </is>
      </c>
    </row>
    <row r="132">
      <c r="A132" s="243" t="n">
        <v>2</v>
      </c>
      <c r="B132" s="243" t="inlineStr">
        <is>
          <t>14.08.2026</t>
        </is>
      </c>
      <c r="C132" s="244" t="inlineStr">
        <is>
          <t>OPM1024_03</t>
        </is>
      </c>
      <c r="D132" s="243" t="inlineStr">
        <is>
          <t>Orange Punch Mimosa</t>
        </is>
      </c>
      <c r="E132" s="274" t="n">
        <v>267.59</v>
      </c>
      <c r="F132" s="243" t="inlineStr">
        <is>
          <t>16–19%</t>
        </is>
      </c>
      <c r="G132" s="275" t="n">
        <v>0.1655</v>
      </c>
      <c r="H132" s="243" t="inlineStr">
        <is>
          <t>P050082</t>
        </is>
      </c>
      <c r="I132" s="243" t="inlineStr">
        <is>
          <t>OPM1024_03</t>
        </is>
      </c>
      <c r="J132" s="243" t="inlineStr">
        <is>
          <t>✓ COMPLETE</t>
        </is>
      </c>
      <c r="K132" s="246" t="inlineStr">
        <is>
          <t>—</t>
        </is>
      </c>
      <c r="L132" s="275" t="n">
        <v>0.1655</v>
      </c>
      <c r="M132" s="243" t="inlineStr">
        <is>
          <t>ППК25210</t>
        </is>
      </c>
      <c r="N132" s="275" t="n">
        <v>0</v>
      </c>
      <c r="O132" s="250" t="inlineStr">
        <is>
          <t>yes — all 12 determinations covered</t>
        </is>
      </c>
    </row>
    <row r="133">
      <c r="A133" s="243" t="n">
        <v>2</v>
      </c>
      <c r="B133" s="243" t="inlineStr">
        <is>
          <t>14.08.2026</t>
        </is>
      </c>
      <c r="C133" s="244" t="inlineStr">
        <is>
          <t>PM112501</t>
        </is>
      </c>
      <c r="D133" s="243" t="inlineStr">
        <is>
          <t>Permanent Marker</t>
        </is>
      </c>
      <c r="E133" s="274" t="n">
        <v>48.09</v>
      </c>
      <c r="F133" s="243" t="inlineStr">
        <is>
          <t>13–16%</t>
        </is>
      </c>
      <c r="G133" s="275" t="n">
        <v>0.13</v>
      </c>
      <c r="H133" s="243" t="inlineStr">
        <is>
          <t>P060232</t>
        </is>
      </c>
      <c r="I133" s="243" t="inlineStr">
        <is>
          <t>PM112501</t>
        </is>
      </c>
      <c r="J133" s="243" t="inlineStr">
        <is>
          <t>○ 3 ON FILE, NOT RECORDED</t>
        </is>
      </c>
      <c r="K133" s="246" t="inlineStr">
        <is>
          <t>#9 Microbiology (on file 09.09, not recorded); #11 Heavy metals (on file 09.09, not recorded); #12 Pesticides (on file 09.09, not recorded)</t>
        </is>
      </c>
      <c r="L133" s="275" t="n">
        <v>0.1333</v>
      </c>
      <c r="M133" s="243" t="inlineStr">
        <is>
          <t>ППК26030</t>
        </is>
      </c>
      <c r="N133" s="275" t="n">
        <v>0.003300000000000001</v>
      </c>
      <c r="O133" s="252" t="inlineStr">
        <is>
          <t>no — 3 on file, not recorded</t>
        </is>
      </c>
    </row>
    <row r="134">
      <c r="A134" s="243" t="n">
        <v>2</v>
      </c>
      <c r="B134" s="243" t="inlineStr">
        <is>
          <t>14.08.2026</t>
        </is>
      </c>
      <c r="C134" s="244" t="inlineStr">
        <is>
          <t>PUM102501</t>
        </is>
      </c>
      <c r="D134" s="243" t="inlineStr">
        <is>
          <t>Pure Michigen</t>
        </is>
      </c>
      <c r="E134" s="274" t="n">
        <v>49.91</v>
      </c>
      <c r="F134" s="243" t="inlineStr">
        <is>
          <t>13–16%</t>
        </is>
      </c>
      <c r="G134" s="275" t="n">
        <v>0.1563</v>
      </c>
      <c r="H134" s="243" t="inlineStr">
        <is>
          <t>P060112</t>
        </is>
      </c>
      <c r="I134" s="243" t="inlineStr">
        <is>
          <t>PUM102501</t>
        </is>
      </c>
      <c r="J134" s="243" t="inlineStr">
        <is>
          <t>○ 4 ON FILE, NOT RECORDED</t>
        </is>
      </c>
      <c r="K134" s="246" t="inlineStr">
        <is>
          <t>#8 LoD (on file 09.09, not recorded); #9 Microbiology (on file 09.09, not recorded); #11 Heavy metals (on file 09.09, not recorded); #12 Pesticides (on file 09.09, not recorded)</t>
        </is>
      </c>
      <c r="L134" s="275" t="inlineStr">
        <is>
          <t>— none on the desk —</t>
        </is>
      </c>
      <c r="M134" s="243" t="inlineStr">
        <is>
          <t>—</t>
        </is>
      </c>
      <c r="N134" s="275" t="inlineStr">
        <is>
          <t>—</t>
        </is>
      </c>
      <c r="O134" s="252" t="inlineStr">
        <is>
          <t>no — 4 on file, not recorded</t>
        </is>
      </c>
    </row>
    <row r="135">
      <c r="A135" s="243" t="n">
        <v>2</v>
      </c>
      <c r="B135" s="243" t="inlineStr">
        <is>
          <t>14.08.2026</t>
        </is>
      </c>
      <c r="C135" s="244" t="inlineStr">
        <is>
          <t>SCR112501</t>
        </is>
      </c>
      <c r="D135" s="243" t="inlineStr">
        <is>
          <t>Scrambler</t>
        </is>
      </c>
      <c r="E135" s="274" t="n">
        <v>23.44</v>
      </c>
      <c r="F135" s="243" t="inlineStr">
        <is>
          <t>16–19%</t>
        </is>
      </c>
      <c r="G135" s="275" t="n">
        <v>0.1713</v>
      </c>
      <c r="H135" s="243" t="inlineStr">
        <is>
          <t>P060282</t>
        </is>
      </c>
      <c r="I135" s="243" t="inlineStr">
        <is>
          <t>SCR112501</t>
        </is>
      </c>
      <c r="J135" s="243" t="inlineStr">
        <is>
          <t>✓ COMPLETE</t>
        </is>
      </c>
      <c r="K135" s="246" t="inlineStr">
        <is>
          <t>—</t>
        </is>
      </c>
      <c r="L135" s="275" t="n">
        <v>0.1713</v>
      </c>
      <c r="M135" s="243" t="inlineStr">
        <is>
          <t>ППК26069</t>
        </is>
      </c>
      <c r="N135" s="275" t="n">
        <v>0</v>
      </c>
      <c r="O135" s="250" t="inlineStr">
        <is>
          <t>yes — all 12 determinations covered</t>
        </is>
      </c>
    </row>
    <row r="136">
      <c r="A136" s="243" t="n">
        <v>2</v>
      </c>
      <c r="B136" s="243" t="inlineStr">
        <is>
          <t>14.08.2026</t>
        </is>
      </c>
      <c r="C136" s="244" t="inlineStr">
        <is>
          <t>SJ092501</t>
        </is>
      </c>
      <c r="D136" s="243" t="inlineStr">
        <is>
          <t>Sleepy Joe</t>
        </is>
      </c>
      <c r="E136" s="274" t="n">
        <v>28.68</v>
      </c>
      <c r="F136" s="243" t="inlineStr">
        <is>
          <t>10–13%</t>
        </is>
      </c>
      <c r="G136" s="275" t="n">
        <v>0.1096</v>
      </c>
      <c r="H136" s="243" t="inlineStr">
        <is>
          <t>—</t>
        </is>
      </c>
      <c r="I136" s="243" t="inlineStr">
        <is>
          <t>SJ0925021 (through the certificates that print this batch (85/2026, 9/0012/26, ППК26006); the desk names the lot SJ0925021)</t>
        </is>
      </c>
      <c r="J136" s="243" t="inlineStr">
        <is>
          <t>✓ COMPLETE</t>
        </is>
      </c>
      <c r="K136" s="246" t="inlineStr">
        <is>
          <t>—</t>
        </is>
      </c>
      <c r="L136" s="275" t="n">
        <v>0.1096</v>
      </c>
      <c r="M136" s="243" t="inlineStr">
        <is>
          <t>ППК26006</t>
        </is>
      </c>
      <c r="N136" s="275" t="n">
        <v>0</v>
      </c>
      <c r="O136" s="250" t="inlineStr">
        <is>
          <t>yes — all 12 determinations covered</t>
        </is>
      </c>
    </row>
    <row r="137">
      <c r="A137" s="243" t="n">
        <v>2</v>
      </c>
      <c r="B137" s="243" t="inlineStr">
        <is>
          <t>14.08.2026</t>
        </is>
      </c>
      <c r="C137" s="244" t="inlineStr">
        <is>
          <t>WC082501</t>
        </is>
      </c>
      <c r="D137" s="243" t="inlineStr">
        <is>
          <t>Wedding Crusher</t>
        </is>
      </c>
      <c r="E137" s="274" t="n">
        <v>82.63</v>
      </c>
      <c r="F137" s="243" t="inlineStr">
        <is>
          <t>19–22%</t>
        </is>
      </c>
      <c r="G137" s="275" t="n">
        <v>0.2167</v>
      </c>
      <c r="H137" s="243" t="inlineStr">
        <is>
          <t>P060012</t>
        </is>
      </c>
      <c r="I137" s="243" t="inlineStr">
        <is>
          <t>WC082501</t>
        </is>
      </c>
      <c r="J137" s="243" t="inlineStr">
        <is>
          <t>✓ COMPLETE</t>
        </is>
      </c>
      <c r="K137" s="246" t="inlineStr">
        <is>
          <t>—</t>
        </is>
      </c>
      <c r="L137" s="275" t="n">
        <v>0.2167</v>
      </c>
      <c r="M137" s="243" t="inlineStr">
        <is>
          <t>ППК26001</t>
        </is>
      </c>
      <c r="N137" s="275" t="n">
        <v>0</v>
      </c>
      <c r="O137" s="250" t="inlineStr">
        <is>
          <t>yes — all 12 determinations covered</t>
        </is>
      </c>
    </row>
    <row r="138">
      <c r="A138" s="243" t="n">
        <v>3</v>
      </c>
      <c r="B138" s="243" t="inlineStr">
        <is>
          <t>28.08.2026</t>
        </is>
      </c>
      <c r="C138" s="244" t="inlineStr">
        <is>
          <t>AB092501</t>
        </is>
      </c>
      <c r="D138" s="243" t="inlineStr">
        <is>
          <t>Apple and Banana</t>
        </is>
      </c>
      <c r="E138" s="274" t="n">
        <v>24.37</v>
      </c>
      <c r="F138" s="243" t="inlineStr">
        <is>
          <t>16–19%</t>
        </is>
      </c>
      <c r="G138" s="275" t="n">
        <v>0.1693</v>
      </c>
      <c r="H138" s="243" t="inlineStr">
        <is>
          <t>P060052</t>
        </is>
      </c>
      <c r="I138" s="243" t="inlineStr">
        <is>
          <t>AB092501</t>
        </is>
      </c>
      <c r="J138" s="243" t="inlineStr">
        <is>
          <t>✓ COMPLETE</t>
        </is>
      </c>
      <c r="K138" s="246" t="inlineStr">
        <is>
          <t>—</t>
        </is>
      </c>
      <c r="L138" s="275" t="n">
        <v>0.1693</v>
      </c>
      <c r="M138" s="243" t="inlineStr">
        <is>
          <t>ППК26005</t>
        </is>
      </c>
      <c r="N138" s="275" t="n">
        <v>0</v>
      </c>
      <c r="O138" s="250" t="inlineStr">
        <is>
          <t>yes — all 12 determinations covered</t>
        </is>
      </c>
    </row>
    <row r="139">
      <c r="A139" s="243" t="n">
        <v>3</v>
      </c>
      <c r="B139" s="243" t="inlineStr">
        <is>
          <t>28.08.2026</t>
        </is>
      </c>
      <c r="C139" s="244" t="inlineStr">
        <is>
          <t>BSS1024_01/1</t>
        </is>
      </c>
      <c r="D139" s="243" t="inlineStr">
        <is>
          <t>Blue Sunset Sherbet</t>
        </is>
      </c>
      <c r="E139" s="274" t="n">
        <v>251.02</v>
      </c>
      <c r="F139" s="243" t="inlineStr">
        <is>
          <t>22–25%</t>
        </is>
      </c>
      <c r="G139" s="275" t="n">
        <v>0.2342</v>
      </c>
      <c r="H139" s="243" t="inlineStr">
        <is>
          <t>P050122</t>
        </is>
      </c>
      <c r="I139" s="243" t="inlineStr">
        <is>
          <t>BSS1024_01/1</t>
        </is>
      </c>
      <c r="J139" s="243" t="inlineStr">
        <is>
          <t>✓ COMPLETE</t>
        </is>
      </c>
      <c r="K139" s="246" t="inlineStr">
        <is>
          <t>—</t>
        </is>
      </c>
      <c r="L139" s="275" t="inlineStr">
        <is>
          <t>— none on the desk —</t>
        </is>
      </c>
      <c r="M139" s="243" t="inlineStr">
        <is>
          <t>—</t>
        </is>
      </c>
      <c r="N139" s="275" t="inlineStr">
        <is>
          <t>—</t>
        </is>
      </c>
      <c r="O139" s="250" t="inlineStr">
        <is>
          <t>yes — all 12 determinations covered</t>
        </is>
      </c>
    </row>
    <row r="140">
      <c r="A140" s="243" t="n">
        <v>3</v>
      </c>
      <c r="B140" s="243" t="inlineStr">
        <is>
          <t>28.08.2026</t>
        </is>
      </c>
      <c r="C140" s="244" t="inlineStr">
        <is>
          <t>CC112501</t>
        </is>
      </c>
      <c r="D140" s="243" t="inlineStr">
        <is>
          <t>Cash Cow</t>
        </is>
      </c>
      <c r="E140" s="274" t="n">
        <v>13.94</v>
      </c>
      <c r="F140" s="243" t="inlineStr">
        <is>
          <t>13–16%</t>
        </is>
      </c>
      <c r="G140" s="275" t="n">
        <v>0.1335</v>
      </c>
      <c r="H140" s="243" t="inlineStr">
        <is>
          <t>P060272</t>
        </is>
      </c>
      <c r="I140" s="243" t="inlineStr">
        <is>
          <t>CC112501</t>
        </is>
      </c>
      <c r="J140" s="243" t="inlineStr">
        <is>
          <t>✓ COMPLETE</t>
        </is>
      </c>
      <c r="K140" s="246" t="inlineStr">
        <is>
          <t>—</t>
        </is>
      </c>
      <c r="L140" s="275" t="n">
        <v>0.1335</v>
      </c>
      <c r="M140" s="243" t="inlineStr">
        <is>
          <t>ППК26068</t>
        </is>
      </c>
      <c r="N140" s="275" t="n">
        <v>0</v>
      </c>
      <c r="O140" s="250" t="inlineStr">
        <is>
          <t>yes — all 12 determinations covered</t>
        </is>
      </c>
    </row>
    <row r="141">
      <c r="A141" s="243" t="n">
        <v>3</v>
      </c>
      <c r="B141" s="243" t="inlineStr">
        <is>
          <t>28.08.2026</t>
        </is>
      </c>
      <c r="C141" s="244" t="inlineStr">
        <is>
          <t>CJ052501/02</t>
        </is>
      </c>
      <c r="D141" s="243" t="inlineStr">
        <is>
          <t>Cap Junky</t>
        </is>
      </c>
      <c r="E141" s="274" t="n">
        <v>43.95</v>
      </c>
      <c r="F141" s="243" t="inlineStr">
        <is>
          <t>13–16%</t>
        </is>
      </c>
      <c r="G141" s="275" t="n">
        <v>0.1449</v>
      </c>
      <c r="H141" s="243" t="inlineStr">
        <is>
          <t>P050172</t>
        </is>
      </c>
      <c r="I141" s="243" t="inlineStr">
        <is>
          <t>CJ052501/02</t>
        </is>
      </c>
      <c r="J141" s="243" t="inlineStr">
        <is>
          <t>✓ COMPLETE</t>
        </is>
      </c>
      <c r="K141" s="246" t="inlineStr">
        <is>
          <t>—</t>
        </is>
      </c>
      <c r="L141" s="275" t="n">
        <v>0.1493</v>
      </c>
      <c r="M141" s="243" t="inlineStr">
        <is>
          <t>ППК25281</t>
        </is>
      </c>
      <c r="N141" s="275" t="n">
        <v>0.004399999999999995</v>
      </c>
      <c r="O141" s="250" t="inlineStr">
        <is>
          <t>yes — all 12 determinations covered</t>
        </is>
      </c>
    </row>
    <row r="142">
      <c r="A142" s="243" t="n">
        <v>3</v>
      </c>
      <c r="B142" s="243" t="inlineStr">
        <is>
          <t>28.08.2026</t>
        </is>
      </c>
      <c r="C142" s="244" t="inlineStr">
        <is>
          <t>CJ072501</t>
        </is>
      </c>
      <c r="D142" s="243" t="inlineStr">
        <is>
          <t>Cap Junky</t>
        </is>
      </c>
      <c r="E142" s="274" t="n">
        <v>39.72</v>
      </c>
      <c r="F142" s="243" t="inlineStr">
        <is>
          <t>22–25%</t>
        </is>
      </c>
      <c r="G142" s="275" t="n">
        <v>0.237</v>
      </c>
      <c r="H142" s="243" t="inlineStr">
        <is>
          <t>P050252</t>
        </is>
      </c>
      <c r="I142" s="243" t="inlineStr">
        <is>
          <t>CJ072501</t>
        </is>
      </c>
      <c r="J142" s="243" t="inlineStr">
        <is>
          <t>✓ COMPLETE</t>
        </is>
      </c>
      <c r="K142" s="246" t="inlineStr">
        <is>
          <t>—</t>
        </is>
      </c>
      <c r="L142" s="275" t="n">
        <v>0.237</v>
      </c>
      <c r="M142" s="243" t="inlineStr">
        <is>
          <t>ППК25367</t>
        </is>
      </c>
      <c r="N142" s="275" t="n">
        <v>0</v>
      </c>
      <c r="O142" s="250" t="inlineStr">
        <is>
          <t>yes — all 12 determinations covered</t>
        </is>
      </c>
    </row>
    <row r="143">
      <c r="A143" s="243" t="n">
        <v>3</v>
      </c>
      <c r="B143" s="243" t="inlineStr">
        <is>
          <t>28.08.2026</t>
        </is>
      </c>
      <c r="C143" s="244" t="inlineStr">
        <is>
          <t>CJ1024</t>
        </is>
      </c>
      <c r="D143" s="243" t="inlineStr">
        <is>
          <t>Cap Junky</t>
        </is>
      </c>
      <c r="E143" s="274" t="n">
        <v>21.21</v>
      </c>
      <c r="F143" s="243" t="inlineStr">
        <is>
          <t>22–25%</t>
        </is>
      </c>
      <c r="G143" s="275" t="n">
        <v>0.23</v>
      </c>
      <c r="H143" s="243" t="inlineStr">
        <is>
          <t>—</t>
        </is>
      </c>
      <c r="I143" s="243" t="inlineStr">
        <is>
          <t>CJ1024</t>
        </is>
      </c>
      <c r="J143" s="243" t="inlineStr">
        <is>
          <t>✓ COMPLETE</t>
        </is>
      </c>
      <c r="K143" s="246" t="inlineStr">
        <is>
          <t>—</t>
        </is>
      </c>
      <c r="L143" s="275" t="n">
        <v>0.23</v>
      </c>
      <c r="M143" s="243" t="inlineStr">
        <is>
          <t>ППК25052</t>
        </is>
      </c>
      <c r="N143" s="275" t="n">
        <v>0</v>
      </c>
      <c r="O143" s="250" t="inlineStr">
        <is>
          <t>yes — all 12 determinations covered</t>
        </is>
      </c>
    </row>
    <row r="144">
      <c r="A144" s="243" t="n">
        <v>3</v>
      </c>
      <c r="B144" s="243" t="inlineStr">
        <is>
          <t>28.08.2026</t>
        </is>
      </c>
      <c r="C144" s="244" t="inlineStr">
        <is>
          <t>FB012603</t>
        </is>
      </c>
      <c r="D144" s="243" t="inlineStr">
        <is>
          <t>Fat Bastard</t>
        </is>
      </c>
      <c r="E144" s="274" t="n">
        <v>75</v>
      </c>
      <c r="F144" s="243" t="inlineStr">
        <is>
          <t>13–16%</t>
        </is>
      </c>
      <c r="G144" s="275" t="n">
        <v>0.1465</v>
      </c>
      <c r="H144" s="243" t="inlineStr">
        <is>
          <t>P060432</t>
        </is>
      </c>
      <c r="I144" s="243" t="inlineStr">
        <is>
          <t>FB012603</t>
        </is>
      </c>
      <c r="J144" s="243" t="inlineStr">
        <is>
          <t>○ 3 ON FILE, NOT RECORDED</t>
        </is>
      </c>
      <c r="K144" s="246" t="inlineStr">
        <is>
          <t>#10 Mycotoxins (on file 09.09, not recorded); #11 Heavy metals (on file 09.09, not recorded); #12 Pesticides (on file 09.09, not recorded)</t>
        </is>
      </c>
      <c r="L144" s="276" t="n">
        <v>0.2083</v>
      </c>
      <c r="M144" s="277" t="inlineStr">
        <is>
          <t>ППК26112</t>
        </is>
      </c>
      <c r="N144" s="276" t="n">
        <v>0.06179999999999998</v>
      </c>
      <c r="O144" s="278" t="inlineStr">
        <is>
          <t>no — 3 on file, not recorded  |  POTENCY: the certificate reads 20.83 %, outside the 13–16% it was delivered under</t>
        </is>
      </c>
    </row>
    <row r="145">
      <c r="A145" s="243" t="n">
        <v>3</v>
      </c>
      <c r="B145" s="243" t="inlineStr">
        <is>
          <t>28.08.2026</t>
        </is>
      </c>
      <c r="C145" s="244" t="inlineStr">
        <is>
          <t>FB012603V</t>
        </is>
      </c>
      <c r="D145" s="243" t="inlineStr">
        <is>
          <t>Fat Bastard</t>
        </is>
      </c>
      <c r="E145" s="274" t="n">
        <v>16</v>
      </c>
      <c r="F145" s="243" t="inlineStr">
        <is>
          <t>13–16%</t>
        </is>
      </c>
      <c r="G145" s="275" t="n">
        <v>0.156</v>
      </c>
      <c r="H145" s="243" t="inlineStr">
        <is>
          <t>P060392</t>
        </is>
      </c>
      <c r="I145" s="243" t="inlineStr">
        <is>
          <t>FB012603V</t>
        </is>
      </c>
      <c r="J145" s="243" t="inlineStr">
        <is>
          <t>○ 3 ON FILE, NOT RECORDED</t>
        </is>
      </c>
      <c r="K145" s="246" t="inlineStr">
        <is>
          <t>#10 Mycotoxins (on file 09.09, not recorded); #11 Heavy metals (on file 09.09, not recorded); #12 Pesticides (on file 09.09, not recorded)</t>
        </is>
      </c>
      <c r="L145" s="276" t="n">
        <v>0.1829</v>
      </c>
      <c r="M145" s="277" t="inlineStr">
        <is>
          <t>ППК26110</t>
        </is>
      </c>
      <c r="N145" s="276" t="n">
        <v>0.02689999999999999</v>
      </c>
      <c r="O145" s="278" t="inlineStr">
        <is>
          <t>no — 3 on file, not recorded  |  POTENCY: the certificate reads 18.29 %, outside the 13–16% it was delivered under</t>
        </is>
      </c>
    </row>
    <row r="146">
      <c r="A146" s="243" t="n">
        <v>3</v>
      </c>
      <c r="B146" s="243" t="inlineStr">
        <is>
          <t>28.08.2026</t>
        </is>
      </c>
      <c r="C146" s="244" t="inlineStr">
        <is>
          <t>FB112501</t>
        </is>
      </c>
      <c r="D146" s="243" t="inlineStr">
        <is>
          <t>Fat Bastard</t>
        </is>
      </c>
      <c r="E146" s="274" t="n">
        <v>42.1</v>
      </c>
      <c r="F146" s="243" t="inlineStr">
        <is>
          <t>16–19%</t>
        </is>
      </c>
      <c r="G146" s="275" t="n">
        <v>0.1669</v>
      </c>
      <c r="H146" s="243" t="inlineStr">
        <is>
          <t>P060292</t>
        </is>
      </c>
      <c r="I146" s="243" t="inlineStr">
        <is>
          <t>FB112501</t>
        </is>
      </c>
      <c r="J146" s="243" t="inlineStr">
        <is>
          <t>✓ COMPLETE</t>
        </is>
      </c>
      <c r="K146" s="246" t="inlineStr">
        <is>
          <t>—</t>
        </is>
      </c>
      <c r="L146" s="275" t="n">
        <v>0.1669</v>
      </c>
      <c r="M146" s="243" t="inlineStr">
        <is>
          <t>ППК26066</t>
        </is>
      </c>
      <c r="N146" s="275" t="n">
        <v>0</v>
      </c>
      <c r="O146" s="250" t="inlineStr">
        <is>
          <t>yes — all 12 determinations covered</t>
        </is>
      </c>
    </row>
    <row r="147">
      <c r="A147" s="243" t="n">
        <v>3</v>
      </c>
      <c r="B147" s="243" t="inlineStr">
        <is>
          <t>28.08.2026</t>
        </is>
      </c>
      <c r="C147" s="244" t="inlineStr">
        <is>
          <t>GG012601</t>
        </is>
      </c>
      <c r="D147" s="243" t="inlineStr">
        <is>
          <t>GG4</t>
        </is>
      </c>
      <c r="E147" s="274" t="n">
        <v>77.84999999999999</v>
      </c>
      <c r="F147" s="243" t="inlineStr">
        <is>
          <t>13–16%</t>
        </is>
      </c>
      <c r="G147" s="275" t="n">
        <v>0.1535</v>
      </c>
      <c r="H147" s="243" t="inlineStr">
        <is>
          <t>P060302</t>
        </is>
      </c>
      <c r="I147" s="243" t="inlineStr">
        <is>
          <t>GG012601＊</t>
        </is>
      </c>
      <c r="J147" s="243" t="inlineStr">
        <is>
          <t>✓ COMPLETE</t>
        </is>
      </c>
      <c r="K147" s="246" t="inlineStr">
        <is>
          <t>—</t>
        </is>
      </c>
      <c r="L147" s="275" t="n">
        <v>0.1535</v>
      </c>
      <c r="M147" s="243" t="inlineStr">
        <is>
          <t>ППК26062</t>
        </is>
      </c>
      <c r="N147" s="275" t="n">
        <v>0</v>
      </c>
      <c r="O147" s="250" t="inlineStr">
        <is>
          <t>yes — all 12 determinations covered</t>
        </is>
      </c>
    </row>
    <row r="148">
      <c r="A148" s="243" t="n">
        <v>3</v>
      </c>
      <c r="B148" s="243" t="inlineStr">
        <is>
          <t>28.08.2026</t>
        </is>
      </c>
      <c r="C148" s="244" t="inlineStr">
        <is>
          <t>GG1024_02</t>
        </is>
      </c>
      <c r="D148" s="243" t="inlineStr">
        <is>
          <t>Gorilla Glue</t>
        </is>
      </c>
      <c r="E148" s="274" t="n">
        <v>184.89</v>
      </c>
      <c r="F148" s="243" t="inlineStr">
        <is>
          <t>13–16%</t>
        </is>
      </c>
      <c r="G148" s="275" t="n">
        <v>0.1595</v>
      </c>
      <c r="H148" s="243" t="inlineStr">
        <is>
          <t>P050012</t>
        </is>
      </c>
      <c r="I148" s="243" t="inlineStr">
        <is>
          <t>GG1024_02</t>
        </is>
      </c>
      <c r="J148" s="243" t="inlineStr">
        <is>
          <t>✓ COMPLETE</t>
        </is>
      </c>
      <c r="K148" s="246" t="inlineStr">
        <is>
          <t>—</t>
        </is>
      </c>
      <c r="L148" s="275" t="n">
        <v>0.1595</v>
      </c>
      <c r="M148" s="243" t="inlineStr">
        <is>
          <t>ППК25140</t>
        </is>
      </c>
      <c r="N148" s="275" t="n">
        <v>0</v>
      </c>
      <c r="O148" s="250" t="inlineStr">
        <is>
          <t>yes — all 12 determinations covered</t>
        </is>
      </c>
    </row>
    <row r="149">
      <c r="A149" s="243" t="n">
        <v>3</v>
      </c>
      <c r="B149" s="243" t="inlineStr">
        <is>
          <t>28.08.2026</t>
        </is>
      </c>
      <c r="C149" s="244" t="inlineStr">
        <is>
          <t>GG112501</t>
        </is>
      </c>
      <c r="D149" s="243" t="inlineStr">
        <is>
          <t>GG4</t>
        </is>
      </c>
      <c r="E149" s="274" t="n">
        <v>56.19</v>
      </c>
      <c r="F149" s="243" t="inlineStr">
        <is>
          <t>16–19%</t>
        </is>
      </c>
      <c r="G149" s="275" t="n">
        <v>0.1794</v>
      </c>
      <c r="H149" s="243" t="inlineStr">
        <is>
          <t>P060252</t>
        </is>
      </c>
      <c r="I149" s="243" t="inlineStr">
        <is>
          <t>GG112501</t>
        </is>
      </c>
      <c r="J149" s="243" t="inlineStr">
        <is>
          <t>✓ COMPLETE</t>
        </is>
      </c>
      <c r="K149" s="246" t="inlineStr">
        <is>
          <t>—</t>
        </is>
      </c>
      <c r="L149" s="275" t="n">
        <v>0.1794</v>
      </c>
      <c r="M149" s="243" t="inlineStr">
        <is>
          <t>ППК26061</t>
        </is>
      </c>
      <c r="N149" s="275" t="n">
        <v>0</v>
      </c>
      <c r="O149" s="250" t="inlineStr">
        <is>
          <t>yes — all 12 determinations covered</t>
        </is>
      </c>
    </row>
    <row r="150">
      <c r="A150" s="243" t="n">
        <v>3</v>
      </c>
      <c r="B150" s="243" t="inlineStr">
        <is>
          <t>28.08.2026</t>
        </is>
      </c>
      <c r="C150" s="244" t="inlineStr">
        <is>
          <t>GP062501</t>
        </is>
      </c>
      <c r="D150" s="243" t="inlineStr">
        <is>
          <t>Grape Pie</t>
        </is>
      </c>
      <c r="E150" s="274" t="n">
        <v>303.41</v>
      </c>
      <c r="F150" s="243" t="inlineStr">
        <is>
          <t>22–25%</t>
        </is>
      </c>
      <c r="G150" s="275" t="n">
        <v>0.2289</v>
      </c>
      <c r="H150" s="243" t="inlineStr">
        <is>
          <t>P050202</t>
        </is>
      </c>
      <c r="I150" s="243" t="inlineStr">
        <is>
          <t>GP062501</t>
        </is>
      </c>
      <c r="J150" s="243" t="inlineStr">
        <is>
          <t>✓ COMPLETE</t>
        </is>
      </c>
      <c r="K150" s="246" t="inlineStr">
        <is>
          <t>—</t>
        </is>
      </c>
      <c r="L150" s="275" t="n">
        <v>0.2489</v>
      </c>
      <c r="M150" s="243" t="inlineStr">
        <is>
          <t>NGP/QCG/SOP-024-Ver02 F3-Ver.02</t>
        </is>
      </c>
      <c r="N150" s="275" t="n">
        <v>0.02</v>
      </c>
      <c r="O150" s="250" t="inlineStr">
        <is>
          <t>yes — all 12 determinations covered</t>
        </is>
      </c>
    </row>
    <row r="151">
      <c r="A151" s="243" t="n">
        <v>3</v>
      </c>
      <c r="B151" s="243" t="inlineStr">
        <is>
          <t>28.08.2026</t>
        </is>
      </c>
      <c r="C151" s="244" t="inlineStr">
        <is>
          <t>GP072501/1</t>
        </is>
      </c>
      <c r="D151" s="243" t="inlineStr">
        <is>
          <t>Grape Pie</t>
        </is>
      </c>
      <c r="E151" s="274" t="n">
        <v>229.79</v>
      </c>
      <c r="F151" s="243" t="inlineStr">
        <is>
          <t>19–22%</t>
        </is>
      </c>
      <c r="G151" s="275" t="n">
        <v>0.2136</v>
      </c>
      <c r="H151" s="243" t="inlineStr">
        <is>
          <t>P050292</t>
        </is>
      </c>
      <c r="I151" s="243" t="inlineStr">
        <is>
          <t>GP072501/1</t>
        </is>
      </c>
      <c r="J151" s="243" t="inlineStr">
        <is>
          <t>✓ COMPLETE</t>
        </is>
      </c>
      <c r="K151" s="246" t="inlineStr">
        <is>
          <t>—</t>
        </is>
      </c>
      <c r="L151" s="275" t="n">
        <v>0.2136</v>
      </c>
      <c r="M151" s="243" t="inlineStr">
        <is>
          <t>ППК25378</t>
        </is>
      </c>
      <c r="N151" s="275" t="n">
        <v>0</v>
      </c>
      <c r="O151" s="250" t="inlineStr">
        <is>
          <t>yes — all 12 determinations covered</t>
        </is>
      </c>
    </row>
    <row r="152">
      <c r="A152" s="243" t="n">
        <v>3</v>
      </c>
      <c r="B152" s="243" t="inlineStr">
        <is>
          <t>28.08.2026</t>
        </is>
      </c>
      <c r="C152" s="244" t="inlineStr">
        <is>
          <t>GRC102501/1</t>
        </is>
      </c>
      <c r="D152" s="243" t="inlineStr">
        <is>
          <t>Grapes And Cream</t>
        </is>
      </c>
      <c r="E152" s="274" t="n">
        <v>10.69</v>
      </c>
      <c r="F152" s="243" t="inlineStr">
        <is>
          <t>7–10%</t>
        </is>
      </c>
      <c r="G152" s="275" t="n">
        <v>0.07049999999999999</v>
      </c>
      <c r="H152" s="243" t="inlineStr">
        <is>
          <t>P060142</t>
        </is>
      </c>
      <c r="I152" s="243" t="inlineStr">
        <is>
          <t>GRC102501 (through its P lot; the desk row is the roll-up GRC102501)</t>
        </is>
      </c>
      <c r="J152" s="243" t="inlineStr">
        <is>
          <t>○ 2 ON FILE, NOT RECORDED</t>
        </is>
      </c>
      <c r="K152" s="246" t="inlineStr">
        <is>
          <t>#11 Heavy metals (on file 09.09, not recorded); #12 Pesticides (on file 09.09, not recorded)</t>
        </is>
      </c>
      <c r="L152" s="275" t="inlineStr">
        <is>
          <t>— none on the desk —</t>
        </is>
      </c>
      <c r="M152" s="243" t="inlineStr">
        <is>
          <t>—</t>
        </is>
      </c>
      <c r="N152" s="275" t="inlineStr">
        <is>
          <t>—</t>
        </is>
      </c>
      <c r="O152" s="252" t="inlineStr">
        <is>
          <t>no — 2 on file, not recorded</t>
        </is>
      </c>
    </row>
    <row r="153">
      <c r="A153" s="243" t="n">
        <v>3</v>
      </c>
      <c r="B153" s="243" t="inlineStr">
        <is>
          <t>28.08.2026</t>
        </is>
      </c>
      <c r="C153" s="244" t="inlineStr">
        <is>
          <t>J31112501</t>
        </is>
      </c>
      <c r="D153" s="243" t="inlineStr">
        <is>
          <t>Jokerz 31</t>
        </is>
      </c>
      <c r="E153" s="274" t="n">
        <v>86.38</v>
      </c>
      <c r="F153" s="243" t="inlineStr">
        <is>
          <t>≥ 25%</t>
        </is>
      </c>
      <c r="G153" s="275" t="n">
        <v>0.25</v>
      </c>
      <c r="H153" s="243" t="inlineStr">
        <is>
          <t>P060202</t>
        </is>
      </c>
      <c r="I153" s="243" t="inlineStr">
        <is>
          <t>J31112501</t>
        </is>
      </c>
      <c r="J153" s="243" t="inlineStr">
        <is>
          <t>○ 3 ON FILE, NOT RECORDED</t>
        </is>
      </c>
      <c r="K153" s="246" t="inlineStr">
        <is>
          <t>#10 Mycotoxins (on file 09.09, not recorded); #11 Heavy metals (on file 09.09, not recorded); #12 Pesticides (on file 09.09, not recorded)</t>
        </is>
      </c>
      <c r="L153" s="275" t="n">
        <v>0.2527</v>
      </c>
      <c r="M153" s="243" t="inlineStr">
        <is>
          <t>None</t>
        </is>
      </c>
      <c r="N153" s="275" t="n">
        <v>0.002699999999999996</v>
      </c>
      <c r="O153" s="252" t="inlineStr">
        <is>
          <t>no — 3 on file, not recorded</t>
        </is>
      </c>
    </row>
    <row r="154">
      <c r="A154" s="243" t="n">
        <v>3</v>
      </c>
      <c r="B154" s="243" t="inlineStr">
        <is>
          <t>28.08.2026</t>
        </is>
      </c>
      <c r="C154" s="244" t="inlineStr">
        <is>
          <t>J31122501</t>
        </is>
      </c>
      <c r="D154" s="243" t="inlineStr">
        <is>
          <t>Jokerz 31</t>
        </is>
      </c>
      <c r="E154" s="274" t="n">
        <v>136.64</v>
      </c>
      <c r="F154" s="243" t="inlineStr">
        <is>
          <t>19–22%</t>
        </is>
      </c>
      <c r="G154" s="275" t="n">
        <v>0.2177</v>
      </c>
      <c r="H154" s="243" t="inlineStr">
        <is>
          <t>P060262</t>
        </is>
      </c>
      <c r="I154" s="243" t="inlineStr">
        <is>
          <t>J31122501</t>
        </is>
      </c>
      <c r="J154" s="243" t="inlineStr">
        <is>
          <t>⚠ 1 MISSING</t>
        </is>
      </c>
      <c r="K154" s="246" t="inlineStr">
        <is>
          <t>#8 LoD</t>
        </is>
      </c>
      <c r="L154" s="275" t="inlineStr">
        <is>
          <t>— none on the desk —</t>
        </is>
      </c>
      <c r="M154" s="243" t="inlineStr">
        <is>
          <t>—</t>
        </is>
      </c>
      <c r="N154" s="275" t="inlineStr">
        <is>
          <t>—</t>
        </is>
      </c>
      <c r="O154" s="252" t="inlineStr">
        <is>
          <t>no — 1 missing</t>
        </is>
      </c>
    </row>
    <row r="155">
      <c r="A155" s="243" t="n">
        <v>3</v>
      </c>
      <c r="B155" s="243" t="inlineStr">
        <is>
          <t>28.08.2026</t>
        </is>
      </c>
      <c r="C155" s="244" t="inlineStr">
        <is>
          <t>JD012601</t>
        </is>
      </c>
      <c r="D155" s="243" t="inlineStr">
        <is>
          <t>Jelly Donuts</t>
        </is>
      </c>
      <c r="E155" s="274" t="n">
        <v>78.93000000000001</v>
      </c>
      <c r="F155" s="243" t="inlineStr">
        <is>
          <t>16–19%</t>
        </is>
      </c>
      <c r="G155" s="275" t="n">
        <v>0.1816</v>
      </c>
      <c r="H155" s="243" t="inlineStr">
        <is>
          <t>P060312</t>
        </is>
      </c>
      <c r="I155" s="243" t="inlineStr">
        <is>
          <t>JD012601＊</t>
        </is>
      </c>
      <c r="J155" s="243" t="inlineStr">
        <is>
          <t>✓ COMPLETE</t>
        </is>
      </c>
      <c r="K155" s="246" t="inlineStr">
        <is>
          <t>—</t>
        </is>
      </c>
      <c r="L155" s="275" t="n">
        <v>0.1816</v>
      </c>
      <c r="M155" s="243" t="inlineStr">
        <is>
          <t>ППК26064</t>
        </is>
      </c>
      <c r="N155" s="275" t="n">
        <v>0</v>
      </c>
      <c r="O155" s="250" t="inlineStr">
        <is>
          <t>yes — all 12 determinations covered</t>
        </is>
      </c>
    </row>
    <row r="156">
      <c r="A156" s="243" t="n">
        <v>3</v>
      </c>
      <c r="B156" s="243" t="inlineStr">
        <is>
          <t>28.08.2026</t>
        </is>
      </c>
      <c r="C156" s="244" t="inlineStr">
        <is>
          <t>MB0824_04</t>
        </is>
      </c>
      <c r="D156" s="243" t="inlineStr">
        <is>
          <t>Motor Breath</t>
        </is>
      </c>
      <c r="E156" s="274" t="n">
        <v>175.22</v>
      </c>
      <c r="F156" s="243" t="inlineStr">
        <is>
          <t>16–19%</t>
        </is>
      </c>
      <c r="G156" s="275" t="n">
        <v>0.1867</v>
      </c>
      <c r="H156" s="243" t="inlineStr">
        <is>
          <t>P050032</t>
        </is>
      </c>
      <c r="I156" s="243" t="inlineStr">
        <is>
          <t>MB0824_04</t>
        </is>
      </c>
      <c r="J156" s="243" t="inlineStr">
        <is>
          <t>✓ COMPLETE</t>
        </is>
      </c>
      <c r="K156" s="246" t="inlineStr">
        <is>
          <t>—</t>
        </is>
      </c>
      <c r="L156" s="275" t="inlineStr">
        <is>
          <t>— none on the desk —</t>
        </is>
      </c>
      <c r="M156" s="243" t="inlineStr">
        <is>
          <t>—</t>
        </is>
      </c>
      <c r="N156" s="275" t="inlineStr">
        <is>
          <t>—</t>
        </is>
      </c>
      <c r="O156" s="250" t="inlineStr">
        <is>
          <t>yes — all 12 determinations covered</t>
        </is>
      </c>
    </row>
    <row r="157">
      <c r="A157" s="243" t="n">
        <v>3</v>
      </c>
      <c r="B157" s="243" t="inlineStr">
        <is>
          <t>28.08.2026</t>
        </is>
      </c>
      <c r="C157" s="244" t="inlineStr">
        <is>
          <t>OPM052501</t>
        </is>
      </c>
      <c r="D157" s="243" t="inlineStr">
        <is>
          <t>Orange Punch Mimosa</t>
        </is>
      </c>
      <c r="E157" s="274" t="n">
        <v>292.95</v>
      </c>
      <c r="F157" s="243" t="inlineStr">
        <is>
          <t>13–16%</t>
        </is>
      </c>
      <c r="G157" s="275" t="n">
        <v>0.1416</v>
      </c>
      <c r="H157" s="243" t="inlineStr">
        <is>
          <t>P050132</t>
        </is>
      </c>
      <c r="I157" s="243" t="inlineStr">
        <is>
          <t>OPM052501</t>
        </is>
      </c>
      <c r="J157" s="243" t="inlineStr">
        <is>
          <t>✓ COMPLETE</t>
        </is>
      </c>
      <c r="K157" s="246" t="inlineStr">
        <is>
          <t>—</t>
        </is>
      </c>
      <c r="L157" s="275" t="inlineStr">
        <is>
          <t>— none on the desk —</t>
        </is>
      </c>
      <c r="M157" s="243" t="inlineStr">
        <is>
          <t>—</t>
        </is>
      </c>
      <c r="N157" s="275" t="inlineStr">
        <is>
          <t>—</t>
        </is>
      </c>
      <c r="O157" s="250" t="inlineStr">
        <is>
          <t>yes — all 12 determinations covered</t>
        </is>
      </c>
    </row>
    <row r="158">
      <c r="A158" s="243" t="n">
        <v>3</v>
      </c>
      <c r="B158" s="243" t="inlineStr">
        <is>
          <t>28.08.2026</t>
        </is>
      </c>
      <c r="C158" s="244" t="inlineStr">
        <is>
          <t>OPM112501</t>
        </is>
      </c>
      <c r="D158" s="243" t="inlineStr">
        <is>
          <t>Orange Punch Mimosa</t>
        </is>
      </c>
      <c r="E158" s="274" t="n">
        <v>39.37</v>
      </c>
      <c r="F158" s="243" t="inlineStr">
        <is>
          <t>7–10%</t>
        </is>
      </c>
      <c r="G158" s="275" t="n">
        <v>0.08</v>
      </c>
      <c r="H158" s="243" t="inlineStr">
        <is>
          <t>P060222</t>
        </is>
      </c>
      <c r="I158" s="243" t="inlineStr">
        <is>
          <t>OPM112501</t>
        </is>
      </c>
      <c r="J158" s="243" t="inlineStr">
        <is>
          <t>⚠ 3 MISSING</t>
        </is>
      </c>
      <c r="K158" s="246" t="inlineStr">
        <is>
          <t>#10 Mycotoxins; #11 Heavy metals (on file 09.09, not recorded); #12 Pesticides (on file 09.09, not recorded)</t>
        </is>
      </c>
      <c r="L158" s="275" t="inlineStr">
        <is>
          <t>— none on the desk —</t>
        </is>
      </c>
      <c r="M158" s="243" t="inlineStr">
        <is>
          <t>—</t>
        </is>
      </c>
      <c r="N158" s="275" t="inlineStr">
        <is>
          <t>—</t>
        </is>
      </c>
      <c r="O158" s="252" t="inlineStr">
        <is>
          <t>no — 3 missing</t>
        </is>
      </c>
    </row>
    <row r="159">
      <c r="A159" s="243" t="n">
        <v>3</v>
      </c>
      <c r="B159" s="243" t="inlineStr">
        <is>
          <t>28.08.2026</t>
        </is>
      </c>
      <c r="C159" s="244" t="inlineStr">
        <is>
          <t>PM072501</t>
        </is>
      </c>
      <c r="D159" s="243" t="inlineStr">
        <is>
          <t>Permanent Marker</t>
        </is>
      </c>
      <c r="E159" s="274" t="n">
        <v>26.78</v>
      </c>
      <c r="F159" s="243" t="inlineStr">
        <is>
          <t>10–13%</t>
        </is>
      </c>
      <c r="G159" s="275" t="n">
        <v>0.1001</v>
      </c>
      <c r="H159" s="243" t="inlineStr">
        <is>
          <t>P050272</t>
        </is>
      </c>
      <c r="I159" s="243" t="inlineStr">
        <is>
          <t>PM072501</t>
        </is>
      </c>
      <c r="J159" s="243" t="inlineStr">
        <is>
          <t>✓ COMPLETE</t>
        </is>
      </c>
      <c r="K159" s="246" t="inlineStr">
        <is>
          <t>—</t>
        </is>
      </c>
      <c r="L159" s="275" t="inlineStr">
        <is>
          <t>— none on the desk —</t>
        </is>
      </c>
      <c r="M159" s="243" t="inlineStr">
        <is>
          <t>—</t>
        </is>
      </c>
      <c r="N159" s="275" t="inlineStr">
        <is>
          <t>—</t>
        </is>
      </c>
      <c r="O159" s="250" t="inlineStr">
        <is>
          <t>yes — all 12 determinations covered</t>
        </is>
      </c>
    </row>
    <row r="160">
      <c r="A160" s="243" t="n">
        <v>3</v>
      </c>
      <c r="B160" s="243" t="inlineStr">
        <is>
          <t>28.08.2026</t>
        </is>
      </c>
      <c r="C160" s="244" t="inlineStr">
        <is>
          <t>SCR012601</t>
        </is>
      </c>
      <c r="D160" s="243" t="inlineStr">
        <is>
          <t>Scrambler</t>
        </is>
      </c>
      <c r="E160" s="274" t="n">
        <v>90</v>
      </c>
      <c r="F160" s="243" t="inlineStr">
        <is>
          <t>16–19%</t>
        </is>
      </c>
      <c r="G160" s="275" t="n">
        <v>0.1807</v>
      </c>
      <c r="H160" s="243" t="inlineStr">
        <is>
          <t>P060342</t>
        </is>
      </c>
      <c r="I160" s="243" t="inlineStr">
        <is>
          <t>SCR012601*</t>
        </is>
      </c>
      <c r="J160" s="243" t="inlineStr">
        <is>
          <t>❌ 4 MISSING</t>
        </is>
      </c>
      <c r="K160" s="246" t="inlineStr">
        <is>
          <t>#8 LoD; #10 Mycotoxins; #11 Heavy metals; #12 Pesticides</t>
        </is>
      </c>
      <c r="L160" s="275" t="inlineStr">
        <is>
          <t>— none on the desk —</t>
        </is>
      </c>
      <c r="M160" s="243" t="inlineStr">
        <is>
          <t>—</t>
        </is>
      </c>
      <c r="N160" s="275" t="inlineStr">
        <is>
          <t>—</t>
        </is>
      </c>
      <c r="O160" s="252" t="inlineStr">
        <is>
          <t>no — 4 missing</t>
        </is>
      </c>
    </row>
    <row r="161">
      <c r="A161" s="243" t="n">
        <v>3</v>
      </c>
      <c r="B161" s="243" t="inlineStr">
        <is>
          <t>28.08.2026</t>
        </is>
      </c>
      <c r="C161" s="244" t="inlineStr">
        <is>
          <t>SCR022601</t>
        </is>
      </c>
      <c r="D161" s="243" t="inlineStr">
        <is>
          <t>Scrambler</t>
        </is>
      </c>
      <c r="E161" s="274" t="n">
        <v>210</v>
      </c>
      <c r="F161" s="243" t="inlineStr">
        <is>
          <t>16–19%</t>
        </is>
      </c>
      <c r="G161" s="275" t="n">
        <v>0.16</v>
      </c>
      <c r="H161" s="243" t="inlineStr">
        <is>
          <t>P060442</t>
        </is>
      </c>
      <c r="I161" s="243" t="inlineStr">
        <is>
          <t>SCR022601</t>
        </is>
      </c>
      <c r="J161" s="243" t="inlineStr">
        <is>
          <t>○ 3 ON FILE, NOT RECORDED</t>
        </is>
      </c>
      <c r="K161" s="246" t="inlineStr">
        <is>
          <t>#10 Mycotoxins (on file 09.09, not recorded); #11 Heavy metals (on file 09.09, not recorded); #12 Pesticides (on file 09.09, not recorded)</t>
        </is>
      </c>
      <c r="L161" s="275" t="inlineStr">
        <is>
          <t>— none on the desk —</t>
        </is>
      </c>
      <c r="M161" s="243" t="inlineStr">
        <is>
          <t>—</t>
        </is>
      </c>
      <c r="N161" s="275" t="inlineStr">
        <is>
          <t>—</t>
        </is>
      </c>
      <c r="O161" s="252" t="inlineStr">
        <is>
          <t>no — 3 on file, not recorded</t>
        </is>
      </c>
    </row>
    <row r="162">
      <c r="A162" s="243" t="n">
        <v>3</v>
      </c>
      <c r="B162" s="243" t="inlineStr">
        <is>
          <t>28.08.2026</t>
        </is>
      </c>
      <c r="C162" s="244" t="inlineStr">
        <is>
          <t>SJ102501</t>
        </is>
      </c>
      <c r="D162" s="243" t="inlineStr">
        <is>
          <t>Sleepy Joe</t>
        </is>
      </c>
      <c r="E162" s="274" t="n">
        <v>66.37</v>
      </c>
      <c r="F162" s="243" t="inlineStr">
        <is>
          <t>10–13%</t>
        </is>
      </c>
      <c r="G162" s="275" t="n">
        <v>0.112</v>
      </c>
      <c r="H162" s="243" t="inlineStr">
        <is>
          <t>P060162</t>
        </is>
      </c>
      <c r="I162" s="243" t="inlineStr">
        <is>
          <t>SJ102501</t>
        </is>
      </c>
      <c r="J162" s="243" t="inlineStr">
        <is>
          <t>⚠ 3 MISSING</t>
        </is>
      </c>
      <c r="K162" s="246" t="inlineStr">
        <is>
          <t>#10 Mycotoxins; #11 Heavy metals; #12 Pesticides (on file 09.09, not recorded)</t>
        </is>
      </c>
      <c r="L162" s="275" t="n">
        <v>0.112</v>
      </c>
      <c r="M162" s="243" t="inlineStr">
        <is>
          <t>051-3-К/26</t>
        </is>
      </c>
      <c r="N162" s="275" t="n">
        <v>0</v>
      </c>
      <c r="O162" s="252" t="inlineStr">
        <is>
          <t>no — 3 missing</t>
        </is>
      </c>
    </row>
    <row r="163">
      <c r="A163" s="243" t="n">
        <v>3</v>
      </c>
      <c r="B163" s="243" t="inlineStr">
        <is>
          <t>28.08.2026</t>
        </is>
      </c>
      <c r="C163" s="244" t="inlineStr">
        <is>
          <t>SJ112501</t>
        </is>
      </c>
      <c r="D163" s="243" t="inlineStr">
        <is>
          <t>Sleepy Joe</t>
        </is>
      </c>
      <c r="E163" s="274" t="n">
        <v>48.6</v>
      </c>
      <c r="F163" s="243" t="inlineStr">
        <is>
          <t>7–10%</t>
        </is>
      </c>
      <c r="G163" s="275" t="n">
        <v>0.09</v>
      </c>
      <c r="H163" s="243" t="inlineStr">
        <is>
          <t>P060192</t>
        </is>
      </c>
      <c r="I163" s="243" t="inlineStr">
        <is>
          <t>SJ112501</t>
        </is>
      </c>
      <c r="J163" s="243" t="inlineStr">
        <is>
          <t>○ 4 ON FILE, NOT RECORDED</t>
        </is>
      </c>
      <c r="K163" s="246" t="inlineStr">
        <is>
          <t>#9 Microbiology (on file 09.09, not recorded); #10 Mycotoxins (on file 09.09, not recorded); #11 Heavy metals (on file 09.09, not recorded); #12 Pesticides (on file 09.09, not recorded)</t>
        </is>
      </c>
      <c r="L163" s="275" t="inlineStr">
        <is>
          <t>— none on the desk —</t>
        </is>
      </c>
      <c r="M163" s="243" t="inlineStr">
        <is>
          <t>—</t>
        </is>
      </c>
      <c r="N163" s="275" t="inlineStr">
        <is>
          <t>—</t>
        </is>
      </c>
      <c r="O163" s="252" t="inlineStr">
        <is>
          <t>no — 4 on file, not recorded</t>
        </is>
      </c>
    </row>
    <row r="164">
      <c r="A164" s="243" t="n">
        <v>3</v>
      </c>
      <c r="B164" s="243" t="inlineStr">
        <is>
          <t>28.08.2026</t>
        </is>
      </c>
      <c r="C164" s="244" t="inlineStr">
        <is>
          <t>WC072501</t>
        </is>
      </c>
      <c r="D164" s="243" t="inlineStr">
        <is>
          <t>Wedding Crusher</t>
        </is>
      </c>
      <c r="E164" s="274" t="n">
        <v>29.95</v>
      </c>
      <c r="F164" s="243" t="inlineStr">
        <is>
          <t>22–25%</t>
        </is>
      </c>
      <c r="G164" s="275" t="n">
        <v>0.2211</v>
      </c>
      <c r="H164" s="243" t="inlineStr">
        <is>
          <t>P050262</t>
        </is>
      </c>
      <c r="I164" s="243" t="inlineStr">
        <is>
          <t>WC072501</t>
        </is>
      </c>
      <c r="J164" s="243" t="inlineStr">
        <is>
          <t>✓ COMPLETE</t>
        </is>
      </c>
      <c r="K164" s="246" t="inlineStr">
        <is>
          <t>—</t>
        </is>
      </c>
      <c r="L164" s="275" t="n">
        <v>0.2211</v>
      </c>
      <c r="M164" s="243" t="inlineStr">
        <is>
          <t>ППК25369</t>
        </is>
      </c>
      <c r="N164" s="275" t="n">
        <v>0</v>
      </c>
      <c r="O164" s="250" t="inlineStr">
        <is>
          <t>yes — all 12 determinations covered</t>
        </is>
      </c>
    </row>
    <row r="165">
      <c r="A165" s="243" t="n">
        <v>3</v>
      </c>
      <c r="B165" s="243" t="inlineStr">
        <is>
          <t>28.08.2026</t>
        </is>
      </c>
      <c r="C165" s="244" t="inlineStr">
        <is>
          <t>WED102501</t>
        </is>
      </c>
      <c r="D165" s="243" t="inlineStr">
        <is>
          <t>Wedding Cake</t>
        </is>
      </c>
      <c r="E165" s="274" t="n">
        <v>34.41</v>
      </c>
      <c r="F165" s="243" t="inlineStr">
        <is>
          <t>22–25%</t>
        </is>
      </c>
      <c r="G165" s="275" t="n">
        <v>0.2205</v>
      </c>
      <c r="H165" s="243" t="inlineStr">
        <is>
          <t>P060102</t>
        </is>
      </c>
      <c r="I165" s="243" t="inlineStr">
        <is>
          <t>WED102501</t>
        </is>
      </c>
      <c r="J165" s="243" t="inlineStr">
        <is>
          <t>○ 3 ON FILE, NOT RECORDED</t>
        </is>
      </c>
      <c r="K165" s="246" t="inlineStr">
        <is>
          <t>#10 Mycotoxins (on file 09.09, not recorded); #11 Heavy metals (on file 09.09, not recorded); #12 Pesticides (on file 09.09, not recorded)</t>
        </is>
      </c>
      <c r="L165" s="275" t="inlineStr">
        <is>
          <t>— none on the desk —</t>
        </is>
      </c>
      <c r="M165" s="243" t="inlineStr">
        <is>
          <t>—</t>
        </is>
      </c>
      <c r="N165" s="275" t="inlineStr">
        <is>
          <t>—</t>
        </is>
      </c>
      <c r="O165" s="252" t="inlineStr">
        <is>
          <t>no — 3 on file, not recorded</t>
        </is>
      </c>
    </row>
    <row r="167" ht="62" customHeight="1" s="70">
      <c r="A167"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64"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43" t="inlineStr">
        <is>
          <t>041</t>
        </is>
      </c>
      <c r="B172" s="243" t="inlineStr">
        <is>
          <t>Cap Junky</t>
        </is>
      </c>
      <c r="C172" s="243" t="inlineStr">
        <is>
          <t>Cap Junky</t>
        </is>
      </c>
      <c r="D172" s="244" t="inlineStr">
        <is>
          <t>P060022</t>
        </is>
      </c>
      <c r="E172" s="243" t="inlineStr">
        <is>
          <t>December 2025</t>
        </is>
      </c>
      <c r="F172" s="243" t="inlineStr">
        <is>
          <t>July 2026</t>
        </is>
      </c>
      <c r="G172" s="243" t="inlineStr">
        <is>
          <t>CJ082501/1</t>
        </is>
      </c>
      <c r="H172" s="243" t="inlineStr">
        <is>
          <t>✓ COMPLETE</t>
        </is>
      </c>
      <c r="I172" s="246" t="inlineStr"/>
    </row>
    <row r="173">
      <c r="A173" s="243" t="inlineStr">
        <is>
          <t>040</t>
        </is>
      </c>
      <c r="B173" s="243" t="inlineStr">
        <is>
          <t>Orange Punch Mimosa</t>
        </is>
      </c>
      <c r="C173" s="243" t="inlineStr">
        <is>
          <t>Orange Punch Mimosa</t>
        </is>
      </c>
      <c r="D173" s="244" t="inlineStr">
        <is>
          <t>P060042</t>
        </is>
      </c>
      <c r="E173" s="243" t="inlineStr">
        <is>
          <t>December 2026</t>
        </is>
      </c>
      <c r="F173" s="243" t="inlineStr">
        <is>
          <t>July 2026</t>
        </is>
      </c>
      <c r="G173" s="243" t="inlineStr">
        <is>
          <t>OPM092501</t>
        </is>
      </c>
      <c r="H173" s="243" t="inlineStr">
        <is>
          <t>✓ COMPLETE</t>
        </is>
      </c>
      <c r="I173" s="246" t="inlineStr"/>
    </row>
    <row r="174">
      <c r="A174" s="243" t="inlineStr">
        <is>
          <t>039</t>
        </is>
      </c>
      <c r="B174" s="243" t="inlineStr">
        <is>
          <t>Cap Junky</t>
        </is>
      </c>
      <c r="C174" s="243" t="inlineStr">
        <is>
          <t>Cap Junky</t>
        </is>
      </c>
      <c r="D174" s="244" t="inlineStr">
        <is>
          <t>P060072</t>
        </is>
      </c>
      <c r="E174" s="243" t="inlineStr">
        <is>
          <t>December 2026</t>
        </is>
      </c>
      <c r="F174" s="243" t="inlineStr">
        <is>
          <t>July 2026</t>
        </is>
      </c>
      <c r="G174" s="243" t="inlineStr">
        <is>
          <t>CJ092501</t>
        </is>
      </c>
      <c r="H174" s="243" t="inlineStr">
        <is>
          <t>✓ COMPLETE</t>
        </is>
      </c>
      <c r="I174" s="246" t="inlineStr"/>
    </row>
    <row r="175">
      <c r="A175" s="243" t="inlineStr">
        <is>
          <t>038</t>
        </is>
      </c>
      <c r="B175" s="243" t="inlineStr">
        <is>
          <t>Sleepy Joy</t>
        </is>
      </c>
      <c r="C175" s="249" t="inlineStr">
        <is>
          <t>Sleepy Joe</t>
        </is>
      </c>
      <c r="D175" s="244" t="inlineStr">
        <is>
          <t>P060082</t>
        </is>
      </c>
      <c r="E175" s="243" t="inlineStr">
        <is>
          <t>December 2025</t>
        </is>
      </c>
      <c r="F175" s="243" t="inlineStr">
        <is>
          <t>July 2026</t>
        </is>
      </c>
      <c r="G175" s="243" t="inlineStr">
        <is>
          <t>SJ0925021</t>
        </is>
      </c>
      <c r="H175" s="243" t="inlineStr">
        <is>
          <t>✓ COMPLETE</t>
        </is>
      </c>
      <c r="I175" s="246" t="inlineStr">
        <is>
          <t>strain ruled Sleepy Joe (18.09.2026); the register prints Sleepy Joy</t>
        </is>
      </c>
    </row>
    <row r="176">
      <c r="A176" s="243" t="inlineStr">
        <is>
          <t>037</t>
        </is>
      </c>
      <c r="B176" s="243" t="inlineStr">
        <is>
          <t>Apple and Banana</t>
        </is>
      </c>
      <c r="C176" s="243" t="inlineStr">
        <is>
          <t>Apple and Banana</t>
        </is>
      </c>
      <c r="D176" s="244" t="inlineStr">
        <is>
          <t>P060052</t>
        </is>
      </c>
      <c r="E176" s="243" t="inlineStr">
        <is>
          <t>December 2025</t>
        </is>
      </c>
      <c r="F176" s="243" t="inlineStr">
        <is>
          <t>July 2026</t>
        </is>
      </c>
      <c r="G176" s="243" t="inlineStr">
        <is>
          <t>AB092501</t>
        </is>
      </c>
      <c r="H176" s="243" t="inlineStr">
        <is>
          <t>✓ COMPLETE</t>
        </is>
      </c>
      <c r="I176" s="246" t="inlineStr"/>
    </row>
    <row r="177">
      <c r="A177" s="243" t="inlineStr">
        <is>
          <t>036</t>
        </is>
      </c>
      <c r="B177" s="243" t="inlineStr">
        <is>
          <t>Permanent Market</t>
        </is>
      </c>
      <c r="C177" s="249" t="inlineStr">
        <is>
          <t>Permanent Marker</t>
        </is>
      </c>
      <c r="D177" s="244" t="inlineStr">
        <is>
          <t>P060062</t>
        </is>
      </c>
      <c r="E177" s="243" t="inlineStr">
        <is>
          <t>December 2026</t>
        </is>
      </c>
      <c r="F177" s="243" t="inlineStr">
        <is>
          <t>July 2026</t>
        </is>
      </c>
      <c r="G177" s="243" t="inlineStr">
        <is>
          <t>PM092501</t>
        </is>
      </c>
      <c r="H177" s="243" t="inlineStr">
        <is>
          <t>✓ COMPLETE</t>
        </is>
      </c>
      <c r="I177" s="246" t="inlineStr">
        <is>
          <t>strain ruled Permanent Marker (18.09.2026); the register prints Permanent Market</t>
        </is>
      </c>
    </row>
    <row r="178">
      <c r="A178" s="243" t="inlineStr">
        <is>
          <t>035</t>
        </is>
      </c>
      <c r="B178" s="243" t="inlineStr">
        <is>
          <t>Wedding Crasher</t>
        </is>
      </c>
      <c r="C178" s="249" t="inlineStr">
        <is>
          <t>Wedding Crusher</t>
        </is>
      </c>
      <c r="D178" s="244" t="inlineStr">
        <is>
          <t>P060012</t>
        </is>
      </c>
      <c r="E178" s="243" t="inlineStr">
        <is>
          <t>December 2026</t>
        </is>
      </c>
      <c r="F178" s="243" t="inlineStr">
        <is>
          <t>July 2026</t>
        </is>
      </c>
      <c r="G178" s="243" t="inlineStr">
        <is>
          <t>WC082501</t>
        </is>
      </c>
      <c r="H178" s="243" t="inlineStr">
        <is>
          <t>✓ COMPLETE</t>
        </is>
      </c>
      <c r="I178" s="246" t="inlineStr">
        <is>
          <t>strain ruled Wedding Crusher (18.09.2026); the register prints Wedding Crasher</t>
        </is>
      </c>
    </row>
    <row r="179">
      <c r="A179" s="243" t="inlineStr">
        <is>
          <t>034</t>
        </is>
      </c>
      <c r="B179" s="243" t="inlineStr">
        <is>
          <t>Cap Junky</t>
        </is>
      </c>
      <c r="C179" s="243" t="inlineStr">
        <is>
          <t>Cap Junky</t>
        </is>
      </c>
      <c r="D179" s="244" t="inlineStr">
        <is>
          <t>P060032</t>
        </is>
      </c>
      <c r="E179" s="243" t="inlineStr">
        <is>
          <t>December 2025</t>
        </is>
      </c>
      <c r="F179" s="243" t="inlineStr">
        <is>
          <t>July 2026</t>
        </is>
      </c>
      <c r="G179" s="243" t="inlineStr">
        <is>
          <t>CJ082501/2</t>
        </is>
      </c>
      <c r="H179" s="243" t="inlineStr">
        <is>
          <t>✓ COMPLETE</t>
        </is>
      </c>
      <c r="I179" s="246" t="inlineStr"/>
    </row>
    <row r="180">
      <c r="A180" s="243" t="inlineStr">
        <is>
          <t>033</t>
        </is>
      </c>
      <c r="B180" s="243" t="inlineStr">
        <is>
          <t>Grape Pie</t>
        </is>
      </c>
      <c r="C180" s="243" t="inlineStr">
        <is>
          <t>Grape Pie</t>
        </is>
      </c>
      <c r="D180" s="244" t="inlineStr">
        <is>
          <t>P060092</t>
        </is>
      </c>
      <c r="E180" s="243" t="inlineStr">
        <is>
          <t>December 2025</t>
        </is>
      </c>
      <c r="F180" s="243" t="inlineStr">
        <is>
          <t>July 2026</t>
        </is>
      </c>
      <c r="G180" s="243" t="inlineStr">
        <is>
          <t>GP092501</t>
        </is>
      </c>
      <c r="H180" s="243" t="inlineStr">
        <is>
          <t>✓ COMPLETE</t>
        </is>
      </c>
      <c r="I180" s="246" t="inlineStr"/>
    </row>
    <row r="181">
      <c r="A181" s="243" t="inlineStr">
        <is>
          <t>032</t>
        </is>
      </c>
      <c r="B181" s="243" t="inlineStr">
        <is>
          <t>Cap Junky</t>
        </is>
      </c>
      <c r="C181" s="243" t="inlineStr">
        <is>
          <t>Cap Junky</t>
        </is>
      </c>
      <c r="D181" s="244" t="inlineStr">
        <is>
          <t>P050222</t>
        </is>
      </c>
      <c r="E181" s="243" t="inlineStr">
        <is>
          <t>September 2025</t>
        </is>
      </c>
      <c r="F181" s="243" t="inlineStr">
        <is>
          <t>April 2026</t>
        </is>
      </c>
      <c r="G181" s="243" t="inlineStr">
        <is>
          <t>CJ062501/1</t>
        </is>
      </c>
      <c r="H181" s="243" t="inlineStr">
        <is>
          <t>✓ COMPLETE</t>
        </is>
      </c>
      <c r="I181" s="246" t="inlineStr"/>
    </row>
    <row r="182">
      <c r="A182" s="243" t="inlineStr">
        <is>
          <t>031</t>
        </is>
      </c>
      <c r="B182" s="243" t="inlineStr">
        <is>
          <t>Cap Junky</t>
        </is>
      </c>
      <c r="C182" s="243" t="inlineStr">
        <is>
          <t>Cap Junky</t>
        </is>
      </c>
      <c r="D182" s="244" t="inlineStr">
        <is>
          <t>P050252</t>
        </is>
      </c>
      <c r="E182" s="243" t="inlineStr">
        <is>
          <t>October 2025</t>
        </is>
      </c>
      <c r="F182" s="243" t="inlineStr">
        <is>
          <t>May 2026</t>
        </is>
      </c>
      <c r="G182" s="243" t="inlineStr">
        <is>
          <t>CJ072501</t>
        </is>
      </c>
      <c r="H182" s="243" t="inlineStr">
        <is>
          <t>✓ COMPLETE</t>
        </is>
      </c>
      <c r="I182" s="246" t="inlineStr"/>
    </row>
    <row r="183">
      <c r="A183" s="243" t="inlineStr">
        <is>
          <t>030</t>
        </is>
      </c>
      <c r="B183" s="243" t="inlineStr">
        <is>
          <t>Wedding Crasher</t>
        </is>
      </c>
      <c r="C183" s="249" t="inlineStr">
        <is>
          <t>Wedding Crusher</t>
        </is>
      </c>
      <c r="D183" s="244" t="inlineStr">
        <is>
          <t>P050262</t>
        </is>
      </c>
      <c r="E183" s="243" t="inlineStr">
        <is>
          <t>October 2025</t>
        </is>
      </c>
      <c r="F183" s="243" t="inlineStr">
        <is>
          <t>May 2026</t>
        </is>
      </c>
      <c r="G183" s="243" t="inlineStr">
        <is>
          <t>WC072501</t>
        </is>
      </c>
      <c r="H183" s="243" t="inlineStr">
        <is>
          <t>✓ COMPLETE</t>
        </is>
      </c>
      <c r="I183" s="246" t="inlineStr">
        <is>
          <t>strain ruled Wedding Crusher (18.09.2026); the register prints Wedding Crasher</t>
        </is>
      </c>
    </row>
    <row r="184">
      <c r="A184" s="243" t="inlineStr">
        <is>
          <t>029</t>
        </is>
      </c>
      <c r="B184" s="243" t="inlineStr">
        <is>
          <t>Grape Pie</t>
        </is>
      </c>
      <c r="C184" s="243" t="inlineStr">
        <is>
          <t>Grape Pie</t>
        </is>
      </c>
      <c r="D184" s="244" t="inlineStr">
        <is>
          <t>P050152</t>
        </is>
      </c>
      <c r="E184" s="243" t="inlineStr">
        <is>
          <t>August 2025</t>
        </is>
      </c>
      <c r="F184" s="243" t="inlineStr">
        <is>
          <t>March 2026</t>
        </is>
      </c>
      <c r="G184" s="243" t="inlineStr">
        <is>
          <t>GP052501</t>
        </is>
      </c>
      <c r="H184" s="243" t="inlineStr">
        <is>
          <t>✓ COMPLETE</t>
        </is>
      </c>
      <c r="I184" s="246" t="inlineStr"/>
    </row>
    <row r="185">
      <c r="A185" s="243" t="inlineStr">
        <is>
          <t>028</t>
        </is>
      </c>
      <c r="B185" s="243" t="inlineStr">
        <is>
          <t>Cap Junkie</t>
        </is>
      </c>
      <c r="C185" s="249" t="inlineStr">
        <is>
          <t>Cap Junky</t>
        </is>
      </c>
      <c r="D185" s="244" t="inlineStr">
        <is>
          <t>P050212</t>
        </is>
      </c>
      <c r="E185" s="243" t="inlineStr">
        <is>
          <t>September 2025</t>
        </is>
      </c>
      <c r="F185" s="243" t="inlineStr">
        <is>
          <t>April 2026</t>
        </is>
      </c>
      <c r="G185" s="243" t="inlineStr">
        <is>
          <t>CJ062501/2</t>
        </is>
      </c>
      <c r="H185" s="243" t="inlineStr">
        <is>
          <t>✓ COMPLETE</t>
        </is>
      </c>
      <c r="I185" s="246" t="inlineStr">
        <is>
          <t>strain ruled Cap Junky (07.09.2026); the register prints Cap Junkie</t>
        </is>
      </c>
    </row>
    <row r="186">
      <c r="A186" s="243" t="inlineStr">
        <is>
          <t>027</t>
        </is>
      </c>
      <c r="B186" s="243" t="inlineStr">
        <is>
          <t>Clemosa a Bud</t>
        </is>
      </c>
      <c r="C186" s="249" t="inlineStr">
        <is>
          <t>Clemosa A Bud</t>
        </is>
      </c>
      <c r="D186" s="244" t="inlineStr">
        <is>
          <t>P050282</t>
        </is>
      </c>
      <c r="E186" s="243" t="inlineStr">
        <is>
          <t>October 2025</t>
        </is>
      </c>
      <c r="F186" s="243" t="inlineStr">
        <is>
          <t>May 2026</t>
        </is>
      </c>
      <c r="G186" s="243" t="inlineStr">
        <is>
          <t>CLE072501</t>
        </is>
      </c>
      <c r="H186" s="243" t="inlineStr">
        <is>
          <t>✓ COMPLETE</t>
        </is>
      </c>
      <c r="I186" s="246" t="inlineStr">
        <is>
          <t>strain ruled Clemosa A Bud (18.09.2026); the register prints Clemosa a Bud</t>
        </is>
      </c>
    </row>
    <row r="187">
      <c r="A187" s="243" t="inlineStr">
        <is>
          <t>026</t>
        </is>
      </c>
      <c r="B187" s="243" t="inlineStr">
        <is>
          <t>Permanent Market</t>
        </is>
      </c>
      <c r="C187" s="249" t="inlineStr">
        <is>
          <t>Permanent Marker</t>
        </is>
      </c>
      <c r="D187" s="244" t="inlineStr">
        <is>
          <t>P050272</t>
        </is>
      </c>
      <c r="E187" s="243" t="inlineStr">
        <is>
          <t>October 2025</t>
        </is>
      </c>
      <c r="F187" s="243" t="inlineStr">
        <is>
          <t>May 2026</t>
        </is>
      </c>
      <c r="G187" s="243" t="inlineStr">
        <is>
          <t>PM072501</t>
        </is>
      </c>
      <c r="H187" s="243" t="inlineStr">
        <is>
          <t>✓ COMPLETE</t>
        </is>
      </c>
      <c r="I187" s="246" t="inlineStr">
        <is>
          <t>strain ruled Permanent Marker (18.09.2026); the register prints Permanent Market</t>
        </is>
      </c>
    </row>
    <row r="188">
      <c r="A188" s="243" t="inlineStr">
        <is>
          <t>025</t>
        </is>
      </c>
      <c r="B188" s="243" t="inlineStr">
        <is>
          <t>Motor Breath</t>
        </is>
      </c>
      <c r="C188" s="243" t="inlineStr">
        <is>
          <t>Motor Breath</t>
        </is>
      </c>
      <c r="D188" s="244" t="inlineStr">
        <is>
          <t>P050112</t>
        </is>
      </c>
      <c r="E188" s="243" t="inlineStr">
        <is>
          <t>July 2025</t>
        </is>
      </c>
      <c r="F188" s="243" t="inlineStr">
        <is>
          <t>February 2025</t>
        </is>
      </c>
      <c r="G188" s="243" t="inlineStr">
        <is>
          <t>MB0824_05</t>
        </is>
      </c>
      <c r="H188" s="243" t="inlineStr">
        <is>
          <t>✓ COMPLETE</t>
        </is>
      </c>
      <c r="I188" s="246" t="inlineStr"/>
    </row>
    <row r="189">
      <c r="A189" s="243" t="inlineStr">
        <is>
          <t>024</t>
        </is>
      </c>
      <c r="B189" s="243" t="inlineStr">
        <is>
          <t>Orange Punch Mimosa</t>
        </is>
      </c>
      <c r="C189" s="243" t="inlineStr">
        <is>
          <t>Orange Punch Mimosa</t>
        </is>
      </c>
      <c r="D189" s="244" t="inlineStr">
        <is>
          <t>P050132</t>
        </is>
      </c>
      <c r="E189" s="243" t="inlineStr">
        <is>
          <t>August 2025</t>
        </is>
      </c>
      <c r="F189" s="243" t="inlineStr">
        <is>
          <t>March 2026</t>
        </is>
      </c>
      <c r="G189" s="243" t="inlineStr">
        <is>
          <t>OPM052501</t>
        </is>
      </c>
      <c r="H189" s="243" t="inlineStr">
        <is>
          <t>✓ COMPLETE</t>
        </is>
      </c>
      <c r="I189" s="246" t="inlineStr"/>
    </row>
    <row r="190">
      <c r="A190" s="243" t="inlineStr">
        <is>
          <t>023</t>
        </is>
      </c>
      <c r="B190" s="243" t="inlineStr">
        <is>
          <t>Orange Punch Mimosa</t>
        </is>
      </c>
      <c r="C190" s="243" t="inlineStr">
        <is>
          <t>Orange Punch Mimosa</t>
        </is>
      </c>
      <c r="D190" s="244" t="inlineStr">
        <is>
          <t>P050082</t>
        </is>
      </c>
      <c r="E190" s="243" t="inlineStr">
        <is>
          <t>June 2025</t>
        </is>
      </c>
      <c r="F190" s="243" t="inlineStr">
        <is>
          <t>January 2026</t>
        </is>
      </c>
      <c r="G190" s="243" t="inlineStr">
        <is>
          <t>OPM1024_03</t>
        </is>
      </c>
      <c r="H190" s="243" t="inlineStr">
        <is>
          <t>✓ COMPLETE</t>
        </is>
      </c>
      <c r="I190" s="246" t="inlineStr"/>
    </row>
    <row r="191">
      <c r="A191" s="243" t="inlineStr">
        <is>
          <t>022</t>
        </is>
      </c>
      <c r="B191" s="243" t="inlineStr">
        <is>
          <t>Cap Junky</t>
        </is>
      </c>
      <c r="C191" s="243" t="inlineStr">
        <is>
          <t>Cap Junky</t>
        </is>
      </c>
      <c r="D191" s="244" t="inlineStr">
        <is>
          <t>P050172</t>
        </is>
      </c>
      <c r="E191" s="243" t="inlineStr">
        <is>
          <t>August 2025</t>
        </is>
      </c>
      <c r="F191" s="243" t="inlineStr">
        <is>
          <t>March 2026</t>
        </is>
      </c>
      <c r="G191" s="243" t="inlineStr">
        <is>
          <t>CJ052501/02</t>
        </is>
      </c>
      <c r="H191" s="243" t="inlineStr">
        <is>
          <t>✓ COMPLETE</t>
        </is>
      </c>
      <c r="I191" s="246" t="inlineStr"/>
    </row>
    <row r="192">
      <c r="A192" s="243" t="inlineStr">
        <is>
          <t>020</t>
        </is>
      </c>
      <c r="B192" s="243" t="inlineStr">
        <is>
          <t>Grape Pie</t>
        </is>
      </c>
      <c r="C192" s="243" t="inlineStr">
        <is>
          <t>Grape Pie</t>
        </is>
      </c>
      <c r="D192" s="244" t="inlineStr">
        <is>
          <t>P050312</t>
        </is>
      </c>
      <c r="E192" s="243" t="inlineStr">
        <is>
          <t>November 2025</t>
        </is>
      </c>
      <c r="F192" s="243" t="inlineStr">
        <is>
          <t>June 2026</t>
        </is>
      </c>
      <c r="G192" s="243" t="inlineStr">
        <is>
          <t>GP082501/1</t>
        </is>
      </c>
      <c r="H192" s="243" t="inlineStr">
        <is>
          <t>✓ COMPLETE</t>
        </is>
      </c>
      <c r="I192" s="246" t="inlineStr"/>
    </row>
    <row r="193">
      <c r="A193" s="243" t="inlineStr">
        <is>
          <t>021</t>
        </is>
      </c>
      <c r="B193" s="243" t="inlineStr">
        <is>
          <t>Grape Pie</t>
        </is>
      </c>
      <c r="C193" s="243" t="inlineStr">
        <is>
          <t>Grape Pie</t>
        </is>
      </c>
      <c r="D193" s="244" t="inlineStr">
        <is>
          <t>P050322</t>
        </is>
      </c>
      <c r="E193" s="243" t="inlineStr">
        <is>
          <t>November 2025</t>
        </is>
      </c>
      <c r="F193" s="243" t="inlineStr">
        <is>
          <t>June 2026</t>
        </is>
      </c>
      <c r="G193" s="243" t="inlineStr">
        <is>
          <t>GP082501/2</t>
        </is>
      </c>
      <c r="H193" s="243" t="inlineStr">
        <is>
          <t>✓ COMPLETE</t>
        </is>
      </c>
      <c r="I193" s="246" t="inlineStr"/>
    </row>
    <row r="194">
      <c r="A194" s="243" t="inlineStr">
        <is>
          <t>019</t>
        </is>
      </c>
      <c r="B194" s="243" t="inlineStr">
        <is>
          <t>Grape Pie</t>
        </is>
      </c>
      <c r="C194" s="243" t="inlineStr">
        <is>
          <t>Grape Pie</t>
        </is>
      </c>
      <c r="D194" s="244" t="inlineStr">
        <is>
          <t>P050302</t>
        </is>
      </c>
      <c r="E194" s="243" t="inlineStr">
        <is>
          <t>November 2025</t>
        </is>
      </c>
      <c r="F194" s="243" t="inlineStr">
        <is>
          <t>June 2026</t>
        </is>
      </c>
      <c r="G194" s="243" t="inlineStr">
        <is>
          <t>GP072501/2</t>
        </is>
      </c>
      <c r="H194" s="243" t="inlineStr">
        <is>
          <t>✓ COMPLETE</t>
        </is>
      </c>
      <c r="I194" s="246" t="inlineStr"/>
    </row>
    <row r="195">
      <c r="A195" s="243" t="inlineStr">
        <is>
          <t>018</t>
        </is>
      </c>
      <c r="B195" s="243" t="inlineStr">
        <is>
          <t>Grape Pie</t>
        </is>
      </c>
      <c r="C195" s="243" t="inlineStr">
        <is>
          <t>Grape Pie</t>
        </is>
      </c>
      <c r="D195" s="244" t="inlineStr">
        <is>
          <t>P050292</t>
        </is>
      </c>
      <c r="E195" s="243" t="inlineStr">
        <is>
          <t>November 2025</t>
        </is>
      </c>
      <c r="F195" s="243" t="inlineStr">
        <is>
          <t>June 2026</t>
        </is>
      </c>
      <c r="G195" s="243" t="inlineStr">
        <is>
          <t>GP072501/1</t>
        </is>
      </c>
      <c r="H195" s="243" t="inlineStr">
        <is>
          <t>✓ COMPLETE</t>
        </is>
      </c>
      <c r="I195" s="246" t="inlineStr"/>
    </row>
    <row r="196">
      <c r="A196" s="243" t="inlineStr">
        <is>
          <t>017</t>
        </is>
      </c>
      <c r="B196" s="243" t="inlineStr">
        <is>
          <t>Blue Sunset Sherbet</t>
        </is>
      </c>
      <c r="C196" s="243" t="inlineStr">
        <is>
          <t>Blue Sunset Sherbet</t>
        </is>
      </c>
      <c r="D196" s="244" t="inlineStr">
        <is>
          <t>P050192</t>
        </is>
      </c>
      <c r="E196" s="243" t="inlineStr">
        <is>
          <t>August 2025</t>
        </is>
      </c>
      <c r="F196" s="243" t="inlineStr">
        <is>
          <t>— none printed —</t>
        </is>
      </c>
      <c r="G196" s="243" t="inlineStr">
        <is>
          <t>BSS052501</t>
        </is>
      </c>
      <c r="H196" s="243" t="inlineStr">
        <is>
          <t>⚠ 1 MISSING</t>
        </is>
      </c>
      <c r="I196" s="246" t="inlineStr"/>
    </row>
    <row r="197">
      <c r="A197" s="248" t="inlineStr">
        <is>
          <t>— not read —</t>
        </is>
      </c>
      <c r="B197" s="243" t="inlineStr">
        <is>
          <t>Cup Junkie</t>
        </is>
      </c>
      <c r="C197" s="249" t="inlineStr">
        <is>
          <t>Cap Junky</t>
        </is>
      </c>
      <c r="D197" s="244" t="inlineStr">
        <is>
          <t>P050162</t>
        </is>
      </c>
      <c r="E197" s="243" t="inlineStr">
        <is>
          <t>August 2025</t>
        </is>
      </c>
      <c r="F197" s="243" t="inlineStr">
        <is>
          <t>— none printed —</t>
        </is>
      </c>
      <c r="G197" s="243" t="inlineStr">
        <is>
          <t>CJ052501/01</t>
        </is>
      </c>
      <c r="H197" s="243" t="inlineStr">
        <is>
          <t>✓ COMPLETE</t>
        </is>
      </c>
      <c r="I197" s="246" t="inlineStr">
        <is>
          <t>strain ruled Cap Junky (07.09.2026); the register prints Cup Junkie</t>
        </is>
      </c>
    </row>
    <row r="198">
      <c r="A198" s="248" t="inlineStr">
        <is>
          <t>— not read —</t>
        </is>
      </c>
      <c r="B198" s="243" t="inlineStr">
        <is>
          <t>High Pro Amnesia</t>
        </is>
      </c>
      <c r="C198" s="243" t="inlineStr">
        <is>
          <t>High Pro Amnesia</t>
        </is>
      </c>
      <c r="D198" s="244" t="inlineStr">
        <is>
          <t>P050182</t>
        </is>
      </c>
      <c r="E198" s="243" t="inlineStr">
        <is>
          <t>August 2025</t>
        </is>
      </c>
      <c r="F198" s="243" t="inlineStr">
        <is>
          <t>— none printed —</t>
        </is>
      </c>
      <c r="G198" s="243" t="inlineStr">
        <is>
          <t>HPA052501</t>
        </is>
      </c>
      <c r="H198" s="243" t="inlineStr">
        <is>
          <t>✓ COMPLETE</t>
        </is>
      </c>
      <c r="I198" s="246" t="inlineStr"/>
    </row>
    <row r="199">
      <c r="A199" s="248" t="inlineStr">
        <is>
          <t>— not read —</t>
        </is>
      </c>
      <c r="B199" s="243" t="inlineStr">
        <is>
          <t>Blue Sunset Sherbet</t>
        </is>
      </c>
      <c r="C199" s="243" t="inlineStr">
        <is>
          <t>Blue Sunset Sherbet</t>
        </is>
      </c>
      <c r="D199" s="244" t="inlineStr">
        <is>
          <t>P050122</t>
        </is>
      </c>
      <c r="E199" s="243" t="inlineStr">
        <is>
          <t>June 2025</t>
        </is>
      </c>
      <c r="F199" s="243" t="inlineStr">
        <is>
          <t>— none printed —</t>
        </is>
      </c>
      <c r="G199" s="243" t="inlineStr">
        <is>
          <t>BSS1024_01/1</t>
        </is>
      </c>
      <c r="H199" s="243" t="inlineStr">
        <is>
          <t>✓ COMPLETE</t>
        </is>
      </c>
      <c r="I199" s="246" t="inlineStr"/>
    </row>
    <row r="200">
      <c r="A200" s="248" t="inlineStr">
        <is>
          <t>— not read —</t>
        </is>
      </c>
      <c r="B200" s="243" t="inlineStr">
        <is>
          <t>Gorilla Glue</t>
        </is>
      </c>
      <c r="C200" s="243" t="inlineStr">
        <is>
          <t>Gorilla Glue</t>
        </is>
      </c>
      <c r="D200" s="244" t="inlineStr">
        <is>
          <t>P050092</t>
        </is>
      </c>
      <c r="E200" s="243" t="inlineStr">
        <is>
          <t>March 2025</t>
        </is>
      </c>
      <c r="F200" s="243" t="inlineStr">
        <is>
          <t>— none printed —</t>
        </is>
      </c>
      <c r="G200" s="243" t="inlineStr">
        <is>
          <t>GG1024_01</t>
        </is>
      </c>
      <c r="H200" s="243" t="inlineStr">
        <is>
          <t>✓ COMPLETE</t>
        </is>
      </c>
      <c r="I200" s="246" t="inlineStr"/>
    </row>
    <row r="201">
      <c r="A201" s="248" t="inlineStr">
        <is>
          <t>— not read —</t>
        </is>
      </c>
      <c r="B201" s="243" t="inlineStr">
        <is>
          <t>Grape Pie</t>
        </is>
      </c>
      <c r="C201" s="243" t="inlineStr">
        <is>
          <t>Grape Pie</t>
        </is>
      </c>
      <c r="D201" s="244" t="inlineStr">
        <is>
          <t>P050102</t>
        </is>
      </c>
      <c r="E201" s="243" t="inlineStr">
        <is>
          <t>March 2025</t>
        </is>
      </c>
      <c r="F201" s="243" t="inlineStr">
        <is>
          <t>October 2025</t>
        </is>
      </c>
      <c r="G201" s="243" t="inlineStr">
        <is>
          <t>GP0824_01</t>
        </is>
      </c>
      <c r="H201" s="243" t="inlineStr">
        <is>
          <t>✓ COMPLETE</t>
        </is>
      </c>
      <c r="I201" s="246" t="inlineStr"/>
    </row>
    <row r="202">
      <c r="A202" s="248" t="inlineStr">
        <is>
          <t>— not read —</t>
        </is>
      </c>
      <c r="B202" s="243" t="inlineStr">
        <is>
          <t>Grape Pie</t>
        </is>
      </c>
      <c r="C202" s="243" t="inlineStr">
        <is>
          <t>Grape Pie</t>
        </is>
      </c>
      <c r="D202" s="244" t="inlineStr">
        <is>
          <t>P050072</t>
        </is>
      </c>
      <c r="E202" s="243" t="inlineStr">
        <is>
          <t>June 2025</t>
        </is>
      </c>
      <c r="F202" s="243" t="inlineStr">
        <is>
          <t>January 2026</t>
        </is>
      </c>
      <c r="G202" s="243" t="inlineStr">
        <is>
          <t>GP0824_03</t>
        </is>
      </c>
      <c r="H202" s="243" t="inlineStr">
        <is>
          <t>✓ COMPLETE</t>
        </is>
      </c>
      <c r="I202" s="246" t="inlineStr"/>
    </row>
    <row r="203">
      <c r="A203" s="248" t="inlineStr">
        <is>
          <t>— not read —</t>
        </is>
      </c>
      <c r="B203" s="243" t="inlineStr">
        <is>
          <t>Orange Punch Mimosa</t>
        </is>
      </c>
      <c r="C203" s="243" t="inlineStr">
        <is>
          <t>Orange Punch Mimosa</t>
        </is>
      </c>
      <c r="D203" s="244" t="inlineStr">
        <is>
          <t>P050062</t>
        </is>
      </c>
      <c r="E203" s="243" t="inlineStr">
        <is>
          <t>May 2025</t>
        </is>
      </c>
      <c r="F203" s="243" t="inlineStr">
        <is>
          <t>December 2025</t>
        </is>
      </c>
      <c r="G203" s="243" t="inlineStr">
        <is>
          <t>OPM1024_02</t>
        </is>
      </c>
      <c r="H203" s="243" t="inlineStr">
        <is>
          <t>✓ COMPLETE</t>
        </is>
      </c>
      <c r="I203" s="246" t="inlineStr"/>
    </row>
    <row r="204">
      <c r="A204" s="248" t="inlineStr">
        <is>
          <t>— not read —</t>
        </is>
      </c>
      <c r="B204" s="243" t="inlineStr">
        <is>
          <t>High Pro Amnesia</t>
        </is>
      </c>
      <c r="C204" s="243" t="inlineStr">
        <is>
          <t>High Pro Amnesia</t>
        </is>
      </c>
      <c r="D204" s="244" t="inlineStr">
        <is>
          <t>P050052</t>
        </is>
      </c>
      <c r="E204" s="243" t="inlineStr">
        <is>
          <t>May 2025</t>
        </is>
      </c>
      <c r="F204" s="243" t="inlineStr">
        <is>
          <t>December 2025</t>
        </is>
      </c>
      <c r="G204" s="243" t="inlineStr">
        <is>
          <t>HPA1024_01</t>
        </is>
      </c>
      <c r="H204" s="243" t="inlineStr">
        <is>
          <t>✓ COMPLETE</t>
        </is>
      </c>
      <c r="I204" s="246" t="inlineStr"/>
    </row>
    <row r="205">
      <c r="A205" s="248" t="inlineStr">
        <is>
          <t>— not read —</t>
        </is>
      </c>
      <c r="B205" s="243" t="inlineStr">
        <is>
          <t>Grape Pie</t>
        </is>
      </c>
      <c r="C205" s="243" t="inlineStr">
        <is>
          <t>Grape Pie</t>
        </is>
      </c>
      <c r="D205" s="244" t="inlineStr">
        <is>
          <t>P050022</t>
        </is>
      </c>
      <c r="E205" s="243" t="inlineStr">
        <is>
          <t>May 2025</t>
        </is>
      </c>
      <c r="F205" s="243" t="inlineStr">
        <is>
          <t>December 2025</t>
        </is>
      </c>
      <c r="G205" s="243" t="inlineStr">
        <is>
          <t>GP0824_02</t>
        </is>
      </c>
      <c r="H205" s="243" t="inlineStr">
        <is>
          <t>✓ COMPLETE</t>
        </is>
      </c>
      <c r="I205" s="246" t="inlineStr"/>
    </row>
    <row r="206">
      <c r="A206" s="248" t="inlineStr">
        <is>
          <t>— not read —</t>
        </is>
      </c>
      <c r="B206" s="243" t="inlineStr">
        <is>
          <t>Orange Punch Mimosa</t>
        </is>
      </c>
      <c r="C206" s="243" t="inlineStr">
        <is>
          <t>Orange Punch Mimosa</t>
        </is>
      </c>
      <c r="D206" s="244" t="inlineStr">
        <is>
          <t>P050042</t>
        </is>
      </c>
      <c r="E206" s="243" t="inlineStr">
        <is>
          <t>March 2025</t>
        </is>
      </c>
      <c r="F206" s="243" t="inlineStr">
        <is>
          <t>November 2025</t>
        </is>
      </c>
      <c r="G206" s="243" t="inlineStr">
        <is>
          <t>OMP1024_01</t>
        </is>
      </c>
      <c r="H206" s="243" t="inlineStr">
        <is>
          <t>✓ COMPLETE</t>
        </is>
      </c>
      <c r="I206" s="246" t="inlineStr"/>
    </row>
    <row r="207">
      <c r="A207" s="248" t="inlineStr">
        <is>
          <t>— not read —</t>
        </is>
      </c>
      <c r="B207" s="243" t="inlineStr">
        <is>
          <t>Motor Breath</t>
        </is>
      </c>
      <c r="C207" s="243" t="inlineStr">
        <is>
          <t>Motor Breath</t>
        </is>
      </c>
      <c r="D207" s="244" t="inlineStr">
        <is>
          <t>P050032</t>
        </is>
      </c>
      <c r="E207" s="243" t="inlineStr">
        <is>
          <t>April 2025</t>
        </is>
      </c>
      <c r="F207" s="243" t="inlineStr">
        <is>
          <t>November 2025</t>
        </is>
      </c>
      <c r="G207" s="243" t="inlineStr">
        <is>
          <t>MB0824_04</t>
        </is>
      </c>
      <c r="H207" s="243" t="inlineStr">
        <is>
          <t>✓ COMPLETE</t>
        </is>
      </c>
      <c r="I207" s="246" t="inlineStr"/>
    </row>
    <row r="208">
      <c r="A208" s="248" t="inlineStr">
        <is>
          <t>— not read —</t>
        </is>
      </c>
      <c r="B208" s="243" t="inlineStr">
        <is>
          <t>Gorilla Glue</t>
        </is>
      </c>
      <c r="C208" s="243" t="inlineStr">
        <is>
          <t>Gorilla Glue</t>
        </is>
      </c>
      <c r="D208" s="244" t="inlineStr">
        <is>
          <t>P050012</t>
        </is>
      </c>
      <c r="E208" s="243" t="inlineStr">
        <is>
          <t>April 2025</t>
        </is>
      </c>
      <c r="F208" s="243" t="inlineStr">
        <is>
          <t>November 2025</t>
        </is>
      </c>
      <c r="G208" s="243" t="inlineStr">
        <is>
          <t>GG1024_02</t>
        </is>
      </c>
      <c r="H208" s="243" t="inlineStr">
        <is>
          <t>✓ COMPLETE</t>
        </is>
      </c>
      <c r="I208" s="246" t="inlineStr"/>
    </row>
    <row r="209">
      <c r="A209" s="248" t="inlineStr">
        <is>
          <t>— not read —</t>
        </is>
      </c>
      <c r="B209" s="243" t="inlineStr">
        <is>
          <t>Blue Gelato</t>
        </is>
      </c>
      <c r="C209" s="243" t="inlineStr">
        <is>
          <t>Blue Gelato</t>
        </is>
      </c>
      <c r="D209" s="244" t="inlineStr">
        <is>
          <t>BG1024</t>
        </is>
      </c>
      <c r="E209" s="243" t="inlineStr">
        <is>
          <t>January 2025</t>
        </is>
      </c>
      <c r="F209" s="243" t="inlineStr">
        <is>
          <t>June 2025</t>
        </is>
      </c>
      <c r="G209" s="243" t="inlineStr">
        <is>
          <t>BG1024</t>
        </is>
      </c>
      <c r="H209" s="243" t="inlineStr">
        <is>
          <t>✓ COMPLETE</t>
        </is>
      </c>
      <c r="I209" s="246" t="inlineStr"/>
    </row>
    <row r="210">
      <c r="A210" s="248" t="inlineStr">
        <is>
          <t>— not read —</t>
        </is>
      </c>
      <c r="B210" s="243" t="inlineStr">
        <is>
          <t>Blue Sunset Sherbet</t>
        </is>
      </c>
      <c r="C210" s="243" t="inlineStr">
        <is>
          <t>Blue Sunset Sherbet</t>
        </is>
      </c>
      <c r="D210" s="244" t="inlineStr">
        <is>
          <t>BSS1024</t>
        </is>
      </c>
      <c r="E210" s="243" t="inlineStr">
        <is>
          <t>January 2025</t>
        </is>
      </c>
      <c r="F210" s="243" t="inlineStr">
        <is>
          <t>June 2025</t>
        </is>
      </c>
      <c r="G210" s="243" t="inlineStr">
        <is>
          <t>BSS1024</t>
        </is>
      </c>
      <c r="H210" s="243" t="inlineStr">
        <is>
          <t>✓ COMPLETE</t>
        </is>
      </c>
      <c r="I210" s="246" t="inlineStr"/>
    </row>
    <row r="211">
      <c r="A211" s="248" t="inlineStr">
        <is>
          <t>— not read —</t>
        </is>
      </c>
      <c r="B211" s="243" t="inlineStr">
        <is>
          <t>Cap Junky</t>
        </is>
      </c>
      <c r="C211" s="243" t="inlineStr">
        <is>
          <t>Cap Junky</t>
        </is>
      </c>
      <c r="D211" s="244" t="inlineStr">
        <is>
          <t>CJ1024</t>
        </is>
      </c>
      <c r="E211" s="243" t="inlineStr">
        <is>
          <t>January 2025</t>
        </is>
      </c>
      <c r="F211" s="243" t="inlineStr">
        <is>
          <t>June 2025</t>
        </is>
      </c>
      <c r="G211" s="243" t="inlineStr">
        <is>
          <t>CJ1024</t>
        </is>
      </c>
      <c r="H211" s="243" t="inlineStr">
        <is>
          <t>✓ COMPLETE</t>
        </is>
      </c>
      <c r="I211" s="246" t="inlineStr"/>
    </row>
    <row r="212">
      <c r="A212" s="248" t="inlineStr">
        <is>
          <t>— not read —</t>
        </is>
      </c>
      <c r="B212" s="243" t="inlineStr">
        <is>
          <t>Gorilla Glue</t>
        </is>
      </c>
      <c r="C212" s="243" t="inlineStr">
        <is>
          <t>Gorilla Glue</t>
        </is>
      </c>
      <c r="D212" s="244" t="inlineStr">
        <is>
          <t>GG1024</t>
        </is>
      </c>
      <c r="E212" s="243" t="inlineStr">
        <is>
          <t>January 2025</t>
        </is>
      </c>
      <c r="F212" s="243" t="inlineStr">
        <is>
          <t>— none printed —</t>
        </is>
      </c>
      <c r="G212" s="243" t="inlineStr">
        <is>
          <t>GG1024</t>
        </is>
      </c>
      <c r="H212" s="243" t="inlineStr">
        <is>
          <t>○ 4 ON FILE, NOT RECORDED</t>
        </is>
      </c>
      <c r="I212" s="246" t="inlineStr"/>
    </row>
    <row r="213">
      <c r="A213" s="248" t="inlineStr">
        <is>
          <t>— not read —</t>
        </is>
      </c>
      <c r="B213" s="243" t="inlineStr">
        <is>
          <t>Orange Punch Mimosa</t>
        </is>
      </c>
      <c r="C213" s="243" t="inlineStr">
        <is>
          <t>Orange Punch Mimosa</t>
        </is>
      </c>
      <c r="D213" s="244" t="inlineStr">
        <is>
          <t>OPM1024</t>
        </is>
      </c>
      <c r="E213" s="243" t="inlineStr">
        <is>
          <t>January 2025</t>
        </is>
      </c>
      <c r="F213" s="243" t="inlineStr">
        <is>
          <t>June 2025</t>
        </is>
      </c>
      <c r="G213" s="243" t="inlineStr">
        <is>
          <t>OPM1024</t>
        </is>
      </c>
      <c r="H213" s="243" t="inlineStr">
        <is>
          <t>❌ 4 MISSING</t>
        </is>
      </c>
      <c r="I213" s="246" t="inlineStr"/>
    </row>
    <row r="214">
      <c r="A214" s="248" t="inlineStr">
        <is>
          <t>— not read —</t>
        </is>
      </c>
      <c r="B214" s="243" t="inlineStr">
        <is>
          <t>High Pro Amnesia</t>
        </is>
      </c>
      <c r="C214" s="243" t="inlineStr">
        <is>
          <t>High Pro Amnesia</t>
        </is>
      </c>
      <c r="D214" s="244" t="inlineStr">
        <is>
          <t>HPA1024</t>
        </is>
      </c>
      <c r="E214" s="243" t="inlineStr">
        <is>
          <t>January 2025</t>
        </is>
      </c>
      <c r="F214" s="243" t="inlineStr">
        <is>
          <t>— none printed —</t>
        </is>
      </c>
      <c r="G214" s="243" t="inlineStr">
        <is>
          <t>HPA1024</t>
        </is>
      </c>
      <c r="H214" s="243" t="inlineStr">
        <is>
          <t>❌ 4 MISSING</t>
        </is>
      </c>
      <c r="I214" s="246" t="inlineStr"/>
    </row>
    <row r="216" ht="58" customHeight="1" s="70">
      <c r="A216"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64"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79" t="n"/>
      <c r="B222" s="279" t="n"/>
      <c r="C222" s="279"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80" t="n"/>
      <c r="B223" s="280" t="n"/>
      <c r="C223" s="280"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70" t="inlineStr">
        <is>
          <t>⚠ 3 NO RESULT
(3 no cert / 0 cert w/o result)
2 testing instances</t>
        </is>
      </c>
      <c r="D224" s="131" t="inlineStr">
        <is>
          <t>Conforms (no value printed)</t>
        </is>
      </c>
      <c r="E224" s="132" t="inlineStr">
        <is>
          <t>ППК26112, (30.06.2026) [CNP]</t>
        </is>
      </c>
      <c r="F224" s="133" t="inlineStr">
        <is>
          <t>✓</t>
        </is>
      </c>
      <c r="G224" s="131" t="inlineStr">
        <is>
          <t>7.04</t>
        </is>
      </c>
      <c r="H224" s="132" t="inlineStr">
        <is>
          <t>ППК26112, (30.06.2026) [CNP]</t>
        </is>
      </c>
      <c r="I224" s="133" t="inlineStr">
        <is>
          <t>✓</t>
        </is>
      </c>
      <c r="J224" s="131" t="inlineStr">
        <is>
          <t>9.8 × 10³</t>
        </is>
      </c>
      <c r="K224" s="139" t="inlineStr">
        <is>
          <t>2.5 × 10³</t>
        </is>
      </c>
      <c r="L224" s="139" t="inlineStr">
        <is>
          <t>&lt; 10² and &gt; 10</t>
        </is>
      </c>
      <c r="M224" s="139" t="inlineStr">
        <is>
          <t>Absent</t>
        </is>
      </c>
      <c r="N224" s="139" t="inlineStr">
        <is>
          <t>Absent</t>
        </is>
      </c>
      <c r="O224" s="133" t="inlineStr">
        <is>
          <t>✓</t>
        </is>
      </c>
      <c r="P224" s="171" t="inlineStr">
        <is>
          <t>— MISSING —</t>
        </is>
      </c>
      <c r="Q224" s="172" t="inlineStr">
        <is>
          <t>— MISSING —</t>
        </is>
      </c>
      <c r="R224" s="172" t="inlineStr">
        <is>
          <t>— MISSING —</t>
        </is>
      </c>
      <c r="S224" s="173" t="inlineStr">
        <is>
          <t>✗</t>
        </is>
      </c>
      <c r="T224" s="171" t="inlineStr">
        <is>
          <t>— MISSING —</t>
        </is>
      </c>
      <c r="U224" s="172" t="inlineStr">
        <is>
          <t>— MISSING —</t>
        </is>
      </c>
      <c r="V224" s="172" t="inlineStr">
        <is>
          <t>— MISSING —</t>
        </is>
      </c>
      <c r="W224" s="172" t="inlineStr">
        <is>
          <t>— MISSING —</t>
        </is>
      </c>
      <c r="X224" s="173" t="inlineStr">
        <is>
          <t>✗</t>
        </is>
      </c>
      <c r="Y224" s="171" t="inlineStr">
        <is>
          <t>— MISSING —</t>
        </is>
      </c>
      <c r="Z224" s="174" t="inlineStr">
        <is>
          <t>— no certificate —</t>
        </is>
      </c>
      <c r="AA224" s="175" t="inlineStr">
        <is>
          <t>✗</t>
        </is>
      </c>
    </row>
    <row r="225" ht="39" customHeight="1" s="70">
      <c r="A225" s="281" t="n"/>
      <c r="B225" s="279" t="n"/>
      <c r="C225" s="279" t="n"/>
      <c r="D225" s="282" t="n"/>
      <c r="E225" s="280" t="n"/>
      <c r="F225" s="283" t="n"/>
      <c r="G225" s="282" t="n"/>
      <c r="H225" s="280" t="n"/>
      <c r="I225" s="283" t="n"/>
      <c r="J225" s="144" t="inlineStr">
        <is>
          <t>537-1068-26, (31.08.2026) [IJZ-MB]</t>
        </is>
      </c>
      <c r="K225" s="120" t="n"/>
      <c r="L225" s="120" t="n"/>
      <c r="M225" s="120" t="n"/>
      <c r="N225" s="121" t="n"/>
      <c r="O225" s="283" t="n"/>
      <c r="P225" s="176" t="inlineStr">
        <is>
          <t>— no certificate —</t>
        </is>
      </c>
      <c r="Q225" s="120" t="n"/>
      <c r="R225" s="121" t="n"/>
      <c r="S225" s="283" t="n"/>
      <c r="T225" s="176" t="inlineStr">
        <is>
          <t>— no certificate —</t>
        </is>
      </c>
      <c r="U225" s="120" t="n"/>
      <c r="V225" s="120" t="n"/>
      <c r="W225" s="121" t="n"/>
      <c r="X225" s="283" t="n"/>
      <c r="Y225" s="282" t="n"/>
      <c r="Z225" s="280" t="n"/>
      <c r="AA225" s="284" t="n"/>
    </row>
    <row r="226" ht="17.625" customHeight="1" s="70">
      <c r="A226" s="281" t="n"/>
      <c r="B226" s="279" t="n"/>
      <c r="C226" s="279" t="n"/>
      <c r="D226" s="151" t="n"/>
      <c r="E226" s="147" t="n"/>
      <c r="F226" s="152" t="n"/>
      <c r="G226" s="151" t="n"/>
      <c r="H226" s="147" t="n"/>
      <c r="I226" s="152" t="n"/>
      <c r="J226" s="151" t="n"/>
      <c r="K226" s="147" t="n"/>
      <c r="L226" s="147" t="n"/>
      <c r="M226" s="147" t="n"/>
      <c r="N226" s="147" t="n"/>
      <c r="O226" s="152" t="n"/>
      <c r="P226" s="151" t="n"/>
      <c r="Q226" s="147" t="n"/>
      <c r="R226" s="147" t="n"/>
      <c r="S226" s="152" t="n"/>
      <c r="T226" s="151" t="n"/>
      <c r="U226" s="147" t="n"/>
      <c r="V226" s="147" t="n"/>
      <c r="W226" s="147" t="n"/>
      <c r="X226" s="152" t="n"/>
      <c r="Y226" s="151" t="n"/>
      <c r="Z226" s="147" t="n"/>
      <c r="AA226" s="163" t="n"/>
    </row>
    <row r="227" ht="13" customHeight="1" s="70">
      <c r="A227" s="285" t="n"/>
      <c r="B227" s="286" t="n"/>
      <c r="C227" s="286" t="n"/>
      <c r="D227" s="166" t="n"/>
      <c r="E227" s="165" t="n"/>
      <c r="F227" s="167" t="n"/>
      <c r="G227" s="166" t="n"/>
      <c r="H227" s="165" t="n"/>
      <c r="I227" s="167" t="n"/>
      <c r="J227" s="166" t="n"/>
      <c r="K227" s="165" t="n"/>
      <c r="L227" s="165" t="n"/>
      <c r="M227" s="165" t="n"/>
      <c r="N227" s="165" t="n"/>
      <c r="O227" s="167" t="n"/>
      <c r="P227" s="166" t="n"/>
      <c r="Q227" s="165" t="n"/>
      <c r="R227" s="165" t="n"/>
      <c r="S227" s="167" t="n"/>
      <c r="T227" s="166" t="n"/>
      <c r="U227" s="165" t="n"/>
      <c r="V227" s="165" t="n"/>
      <c r="W227" s="165" t="n"/>
      <c r="X227" s="167" t="n"/>
      <c r="Y227" s="166" t="n"/>
      <c r="Z227" s="165" t="n"/>
      <c r="AA227" s="169" t="n"/>
    </row>
    <row r="228" ht="21" customHeight="1" s="70">
      <c r="A228" s="125" t="inlineStr">
        <is>
          <t>FB012603V</t>
        </is>
      </c>
      <c r="B228" s="126" t="inlineStr">
        <is>
          <t>P060392</t>
        </is>
      </c>
      <c r="C228" s="170" t="inlineStr">
        <is>
          <t>⚠ 3 NO RESULT
(3 no cert / 0 cert w/o result)
2 testing instances</t>
        </is>
      </c>
      <c r="D228" s="131" t="inlineStr">
        <is>
          <t>Conforms (no value printed)</t>
        </is>
      </c>
      <c r="E228" s="132" t="inlineStr">
        <is>
          <t>ППК26110, (30.06.2026) [CNP]</t>
        </is>
      </c>
      <c r="F228" s="133" t="inlineStr">
        <is>
          <t>✓</t>
        </is>
      </c>
      <c r="G228" s="131" t="inlineStr">
        <is>
          <t>6.36</t>
        </is>
      </c>
      <c r="H228" s="132" t="inlineStr">
        <is>
          <t>ППК26110, (30.06.2026) [CNP]</t>
        </is>
      </c>
      <c r="I228" s="133" t="inlineStr">
        <is>
          <t>✓</t>
        </is>
      </c>
      <c r="J228" s="131" t="inlineStr">
        <is>
          <t>2.9 × 10³</t>
        </is>
      </c>
      <c r="K228" s="139" t="inlineStr">
        <is>
          <t>2.5 × 10³</t>
        </is>
      </c>
      <c r="L228" s="139" t="inlineStr">
        <is>
          <t>&lt; 10</t>
        </is>
      </c>
      <c r="M228" s="139" t="inlineStr">
        <is>
          <t>Absent</t>
        </is>
      </c>
      <c r="N228" s="139" t="inlineStr">
        <is>
          <t>Absent</t>
        </is>
      </c>
      <c r="O228" s="133" t="inlineStr">
        <is>
          <t>✓</t>
        </is>
      </c>
      <c r="P228" s="171" t="inlineStr">
        <is>
          <t>— MISSING —</t>
        </is>
      </c>
      <c r="Q228" s="172" t="inlineStr">
        <is>
          <t>— MISSING —</t>
        </is>
      </c>
      <c r="R228" s="172" t="inlineStr">
        <is>
          <t>— MISSING —</t>
        </is>
      </c>
      <c r="S228" s="173" t="inlineStr">
        <is>
          <t>✗</t>
        </is>
      </c>
      <c r="T228" s="171" t="inlineStr">
        <is>
          <t>— MISSING —</t>
        </is>
      </c>
      <c r="U228" s="172" t="inlineStr">
        <is>
          <t>— MISSING —</t>
        </is>
      </c>
      <c r="V228" s="172" t="inlineStr">
        <is>
          <t>— MISSING —</t>
        </is>
      </c>
      <c r="W228" s="172" t="inlineStr">
        <is>
          <t>— MISSING —</t>
        </is>
      </c>
      <c r="X228" s="173" t="inlineStr">
        <is>
          <t>✗</t>
        </is>
      </c>
      <c r="Y228" s="171" t="inlineStr">
        <is>
          <t>— MISSING —</t>
        </is>
      </c>
      <c r="Z228" s="174" t="inlineStr">
        <is>
          <t>— no certificate —</t>
        </is>
      </c>
      <c r="AA228" s="175" t="inlineStr">
        <is>
          <t>✗</t>
        </is>
      </c>
    </row>
    <row r="229" ht="39" customHeight="1" s="70">
      <c r="A229" s="281" t="n"/>
      <c r="B229" s="279" t="n"/>
      <c r="C229" s="279" t="n"/>
      <c r="D229" s="282" t="n"/>
      <c r="E229" s="280" t="n"/>
      <c r="F229" s="283" t="n"/>
      <c r="G229" s="282" t="n"/>
      <c r="H229" s="280" t="n"/>
      <c r="I229" s="283" t="n"/>
      <c r="J229" s="144" t="inlineStr">
        <is>
          <t>538-1069-26, (31.08.2026) [IJZ-MB]</t>
        </is>
      </c>
      <c r="K229" s="120" t="n"/>
      <c r="L229" s="120" t="n"/>
      <c r="M229" s="120" t="n"/>
      <c r="N229" s="121" t="n"/>
      <c r="O229" s="283" t="n"/>
      <c r="P229" s="176" t="inlineStr">
        <is>
          <t>— no certificate —</t>
        </is>
      </c>
      <c r="Q229" s="120" t="n"/>
      <c r="R229" s="121" t="n"/>
      <c r="S229" s="283" t="n"/>
      <c r="T229" s="176" t="inlineStr">
        <is>
          <t>— no certificate —</t>
        </is>
      </c>
      <c r="U229" s="120" t="n"/>
      <c r="V229" s="120" t="n"/>
      <c r="W229" s="121" t="n"/>
      <c r="X229" s="283" t="n"/>
      <c r="Y229" s="282" t="n"/>
      <c r="Z229" s="280" t="n"/>
      <c r="AA229" s="284" t="n"/>
    </row>
    <row r="230" ht="17.625" customHeight="1" s="70">
      <c r="A230" s="281" t="n"/>
      <c r="B230" s="279" t="n"/>
      <c r="C230" s="279" t="n"/>
      <c r="D230" s="151" t="n"/>
      <c r="E230" s="147" t="n"/>
      <c r="F230" s="152" t="n"/>
      <c r="G230" s="151" t="n"/>
      <c r="H230" s="147" t="n"/>
      <c r="I230" s="152" t="n"/>
      <c r="J230" s="151" t="n"/>
      <c r="K230" s="147" t="n"/>
      <c r="L230" s="147" t="n"/>
      <c r="M230" s="147" t="n"/>
      <c r="N230" s="147" t="n"/>
      <c r="O230" s="152" t="n"/>
      <c r="P230" s="151" t="n"/>
      <c r="Q230" s="147" t="n"/>
      <c r="R230" s="147" t="n"/>
      <c r="S230" s="152" t="n"/>
      <c r="T230" s="151" t="n"/>
      <c r="U230" s="147" t="n"/>
      <c r="V230" s="147" t="n"/>
      <c r="W230" s="147" t="n"/>
      <c r="X230" s="152" t="n"/>
      <c r="Y230" s="151" t="n"/>
      <c r="Z230" s="147" t="n"/>
      <c r="AA230" s="163" t="n"/>
    </row>
    <row r="231" ht="13" customHeight="1" s="70">
      <c r="A231" s="285" t="n"/>
      <c r="B231" s="286" t="n"/>
      <c r="C231" s="286" t="n"/>
      <c r="D231" s="166" t="n"/>
      <c r="E231" s="165" t="n"/>
      <c r="F231" s="167" t="n"/>
      <c r="G231" s="166" t="n"/>
      <c r="H231" s="165" t="n"/>
      <c r="I231" s="167" t="n"/>
      <c r="J231" s="166" t="n"/>
      <c r="K231" s="165" t="n"/>
      <c r="L231" s="165" t="n"/>
      <c r="M231" s="165" t="n"/>
      <c r="N231" s="165" t="n"/>
      <c r="O231" s="167" t="n"/>
      <c r="P231" s="166" t="n"/>
      <c r="Q231" s="165" t="n"/>
      <c r="R231" s="165" t="n"/>
      <c r="S231" s="167" t="n"/>
      <c r="T231" s="166" t="n"/>
      <c r="U231" s="165" t="n"/>
      <c r="V231" s="165" t="n"/>
      <c r="W231" s="165" t="n"/>
      <c r="X231" s="167" t="n"/>
      <c r="Y231" s="166" t="n"/>
      <c r="Z231" s="165" t="n"/>
      <c r="AA231" s="169" t="n"/>
    </row>
    <row r="232" ht="21" customHeight="1" s="70">
      <c r="A232" s="125" t="inlineStr">
        <is>
          <t>FB032601</t>
        </is>
      </c>
      <c r="B232" s="126" t="inlineStr">
        <is>
          <t>P060452</t>
        </is>
      </c>
      <c r="C232" s="177" t="inlineStr">
        <is>
          <t>✗ 4 NO RESULT
(4 no cert / 0 cert w/o result)
✗ OUT OF SPECIFICATION: #7</t>
        </is>
      </c>
      <c r="D232" s="185" t="inlineStr">
        <is>
          <t>0.08 % (Does not conform)</t>
        </is>
      </c>
      <c r="E232" s="181" t="inlineStr">
        <is>
          <t>ППК26127, (21.07.2026) [CNP]</t>
        </is>
      </c>
      <c r="F232" s="182" t="inlineStr">
        <is>
          <t>✓</t>
        </is>
      </c>
      <c r="G232" s="180" t="inlineStr">
        <is>
          <t>7.77</t>
        </is>
      </c>
      <c r="H232" s="181" t="inlineStr">
        <is>
          <t>ППК26127, (21.07.2026) [CNP]</t>
        </is>
      </c>
      <c r="I232" s="182" t="inlineStr">
        <is>
          <t>✓</t>
        </is>
      </c>
      <c r="J232" s="171" t="inlineStr">
        <is>
          <t>— MISSING —</t>
        </is>
      </c>
      <c r="K232" s="172" t="inlineStr">
        <is>
          <t>— MISSING —</t>
        </is>
      </c>
      <c r="L232" s="172" t="inlineStr">
        <is>
          <t>— MISSING —</t>
        </is>
      </c>
      <c r="M232" s="172" t="inlineStr">
        <is>
          <t>— MISSING —</t>
        </is>
      </c>
      <c r="N232" s="172" t="inlineStr">
        <is>
          <t>— MISSING —</t>
        </is>
      </c>
      <c r="O232" s="186" t="inlineStr">
        <is>
          <t>✗</t>
        </is>
      </c>
      <c r="P232" s="171" t="inlineStr">
        <is>
          <t>— MISSING —</t>
        </is>
      </c>
      <c r="Q232" s="172" t="inlineStr">
        <is>
          <t>— MISSING —</t>
        </is>
      </c>
      <c r="R232" s="172" t="inlineStr">
        <is>
          <t>— MISSING —</t>
        </is>
      </c>
      <c r="S232" s="186" t="inlineStr">
        <is>
          <t>✗</t>
        </is>
      </c>
      <c r="T232" s="171" t="inlineStr">
        <is>
          <t>— MISSING —</t>
        </is>
      </c>
      <c r="U232" s="172" t="inlineStr">
        <is>
          <t>— MISSING —</t>
        </is>
      </c>
      <c r="V232" s="172" t="inlineStr">
        <is>
          <t>— MISSING —</t>
        </is>
      </c>
      <c r="W232" s="172" t="inlineStr">
        <is>
          <t>— MISSING —</t>
        </is>
      </c>
      <c r="X232" s="186" t="inlineStr">
        <is>
          <t>✗</t>
        </is>
      </c>
      <c r="Y232" s="187" t="inlineStr">
        <is>
          <t>— MISSING —</t>
        </is>
      </c>
      <c r="Z232" s="188" t="inlineStr">
        <is>
          <t>— no certificate —</t>
        </is>
      </c>
      <c r="AA232" s="189" t="inlineStr">
        <is>
          <t>✗</t>
        </is>
      </c>
    </row>
    <row r="233" ht="21" customHeight="1" s="70">
      <c r="A233" s="285" t="n"/>
      <c r="B233" s="286" t="n"/>
      <c r="C233" s="286" t="n"/>
      <c r="D233" s="287" t="n"/>
      <c r="E233" s="286" t="n"/>
      <c r="F233" s="288" t="n"/>
      <c r="G233" s="287" t="n"/>
      <c r="H233" s="286" t="n"/>
      <c r="I233" s="288" t="n"/>
      <c r="J233" s="190" t="inlineStr">
        <is>
          <t>— no certificate —</t>
        </is>
      </c>
      <c r="K233" s="289" t="n"/>
      <c r="L233" s="289" t="n"/>
      <c r="M233" s="289" t="n"/>
      <c r="N233" s="290" t="n"/>
      <c r="O233" s="288" t="n"/>
      <c r="P233" s="190" t="inlineStr">
        <is>
          <t>— no certificate —</t>
        </is>
      </c>
      <c r="Q233" s="289" t="n"/>
      <c r="R233" s="290" t="n"/>
      <c r="S233" s="288" t="n"/>
      <c r="T233" s="190" t="inlineStr">
        <is>
          <t>— no certificate —</t>
        </is>
      </c>
      <c r="U233" s="289" t="n"/>
      <c r="V233" s="289" t="n"/>
      <c r="W233" s="290" t="n"/>
      <c r="X233" s="288" t="n"/>
      <c r="Y233" s="287" t="n"/>
      <c r="Z233" s="286" t="n"/>
      <c r="AA233" s="291" t="n"/>
    </row>
    <row r="234" ht="21" customHeight="1" s="70">
      <c r="A234" s="125" t="inlineStr">
        <is>
          <t>GG012603</t>
        </is>
      </c>
      <c r="B234" s="126" t="inlineStr">
        <is>
          <t>P060402</t>
        </is>
      </c>
      <c r="C234" s="170" t="inlineStr">
        <is>
          <t>⚠ 3 NO RESULT
(3 no cert / 0 cert w/o result)
2 testing instances
• 1 document(s) on file, not credited</t>
        </is>
      </c>
      <c r="D234" s="131" t="inlineStr">
        <is>
          <t>0.09 % (Conforms)</t>
        </is>
      </c>
      <c r="E234" s="132" t="inlineStr">
        <is>
          <t>ППК26114, (30.06.2026) [CNP]</t>
        </is>
      </c>
      <c r="F234" s="133" t="inlineStr">
        <is>
          <t>✓</t>
        </is>
      </c>
      <c r="G234" s="131" t="inlineStr">
        <is>
          <t>6.48</t>
        </is>
      </c>
      <c r="H234" s="132" t="inlineStr">
        <is>
          <t>ППК26114, (30.06.2026) [CNP]</t>
        </is>
      </c>
      <c r="I234" s="133" t="inlineStr">
        <is>
          <t>✓</t>
        </is>
      </c>
      <c r="J234" s="171" t="inlineStr">
        <is>
          <t>— MISSING —</t>
        </is>
      </c>
      <c r="K234" s="172" t="inlineStr">
        <is>
          <t>— MISSING —</t>
        </is>
      </c>
      <c r="L234" s="172" t="inlineStr">
        <is>
          <t>— MISSING —</t>
        </is>
      </c>
      <c r="M234" s="172" t="inlineStr">
        <is>
          <t>— MISSING —</t>
        </is>
      </c>
      <c r="N234" s="172" t="inlineStr">
        <is>
          <t>— MISSING —</t>
        </is>
      </c>
      <c r="O234" s="173" t="inlineStr">
        <is>
          <t>✗</t>
        </is>
      </c>
      <c r="P234" s="131" t="inlineStr">
        <is>
          <t>ND</t>
        </is>
      </c>
      <c r="Q234" s="139" t="inlineStr">
        <is>
          <t>ND</t>
        </is>
      </c>
      <c r="R234" s="139" t="inlineStr">
        <is>
          <t>ND</t>
        </is>
      </c>
      <c r="S234" s="133" t="inlineStr">
        <is>
          <t>✓</t>
        </is>
      </c>
      <c r="T234" s="171" t="inlineStr">
        <is>
          <t>— MISSING —</t>
        </is>
      </c>
      <c r="U234" s="172" t="inlineStr">
        <is>
          <t>— MISSING —</t>
        </is>
      </c>
      <c r="V234" s="172" t="inlineStr">
        <is>
          <t>— MISSING —</t>
        </is>
      </c>
      <c r="W234" s="172" t="inlineStr">
        <is>
          <t>— MISSING —</t>
        </is>
      </c>
      <c r="X234" s="173" t="inlineStr">
        <is>
          <t>✗</t>
        </is>
      </c>
      <c r="Y234" s="171" t="inlineStr">
        <is>
          <t>— MISSING —</t>
        </is>
      </c>
      <c r="Z234" s="174" t="inlineStr">
        <is>
          <t>— no certificate —</t>
        </is>
      </c>
      <c r="AA234" s="175" t="inlineStr">
        <is>
          <t>✗</t>
        </is>
      </c>
    </row>
    <row r="235" ht="39" customHeight="1" s="70">
      <c r="A235" s="281" t="n"/>
      <c r="B235" s="279" t="n"/>
      <c r="C235" s="279" t="n"/>
      <c r="D235" s="282" t="n"/>
      <c r="E235" s="280" t="n"/>
      <c r="F235" s="283" t="n"/>
      <c r="G235" s="282" t="n"/>
      <c r="H235" s="280" t="n"/>
      <c r="I235" s="283" t="n"/>
      <c r="J235" s="176" t="inlineStr">
        <is>
          <t>— no certificate —</t>
        </is>
      </c>
      <c r="K235" s="120" t="n"/>
      <c r="L235" s="120" t="n"/>
      <c r="M235" s="120" t="n"/>
      <c r="N235" s="121" t="n"/>
      <c r="O235" s="283" t="n"/>
      <c r="P235" s="144" t="inlineStr">
        <is>
          <t>197-8-М-26, (10.08.2026) [FHM-M]</t>
        </is>
      </c>
      <c r="Q235" s="120" t="n"/>
      <c r="R235" s="121" t="n"/>
      <c r="S235" s="283" t="n"/>
      <c r="T235" s="176" t="inlineStr">
        <is>
          <t>— no certificate —</t>
        </is>
      </c>
      <c r="U235" s="120" t="n"/>
      <c r="V235" s="120" t="n"/>
      <c r="W235" s="121" t="n"/>
      <c r="X235" s="283" t="n"/>
      <c r="Y235" s="282" t="n"/>
      <c r="Z235" s="280" t="n"/>
      <c r="AA235" s="284" t="n"/>
    </row>
    <row r="236" ht="17.625" customHeight="1" s="70">
      <c r="A236" s="281" t="n"/>
      <c r="B236" s="279" t="n"/>
      <c r="C236" s="279" t="n"/>
      <c r="D236" s="151" t="n"/>
      <c r="E236" s="147" t="n"/>
      <c r="F236" s="152" t="n"/>
      <c r="G236" s="158" t="inlineStr">
        <is>
          <t>not on this certificate</t>
        </is>
      </c>
      <c r="H236" s="159" t="inlineStr">
        <is>
          <t>197-8-К-26, (07.08.2026) [FHM-K] · on file, not credited</t>
        </is>
      </c>
      <c r="I236" s="160" t="inlineStr">
        <is>
          <t>•</t>
        </is>
      </c>
      <c r="J236" s="151" t="n"/>
      <c r="K236" s="147" t="n"/>
      <c r="L236" s="147" t="n"/>
      <c r="M236" s="147" t="n"/>
      <c r="N236" s="147" t="n"/>
      <c r="O236" s="152" t="n"/>
      <c r="P236" s="151" t="n"/>
      <c r="Q236" s="147" t="n"/>
      <c r="R236" s="147" t="n"/>
      <c r="S236" s="152" t="n"/>
      <c r="T236" s="151" t="n"/>
      <c r="U236" s="147" t="n"/>
      <c r="V236" s="147" t="n"/>
      <c r="W236" s="147" t="n"/>
      <c r="X236" s="152" t="n"/>
      <c r="Y236" s="151" t="n"/>
      <c r="Z236" s="147" t="n"/>
      <c r="AA236" s="163" t="n"/>
    </row>
    <row r="237" ht="15.375" customHeight="1" s="70">
      <c r="A237" s="285" t="n"/>
      <c r="B237" s="286" t="n"/>
      <c r="C237" s="286" t="n"/>
      <c r="D237" s="166" t="n"/>
      <c r="E237" s="165" t="n"/>
      <c r="F237" s="167" t="n"/>
      <c r="G237" s="287" t="n"/>
      <c r="H237" s="286" t="n"/>
      <c r="I237" s="288" t="n"/>
      <c r="J237" s="166" t="n"/>
      <c r="K237" s="165" t="n"/>
      <c r="L237" s="165" t="n"/>
      <c r="M237" s="165" t="n"/>
      <c r="N237" s="165" t="n"/>
      <c r="O237" s="167" t="n"/>
      <c r="P237" s="166" t="n"/>
      <c r="Q237" s="165" t="n"/>
      <c r="R237" s="165" t="n"/>
      <c r="S237" s="167" t="n"/>
      <c r="T237" s="166" t="n"/>
      <c r="U237" s="165" t="n"/>
      <c r="V237" s="165" t="n"/>
      <c r="W237" s="165" t="n"/>
      <c r="X237" s="167" t="n"/>
      <c r="Y237" s="166" t="n"/>
      <c r="Z237" s="165" t="n"/>
      <c r="AA237" s="169" t="n"/>
    </row>
    <row r="238" ht="21" customHeight="1" s="70">
      <c r="A238" s="125" t="inlineStr">
        <is>
          <t>GG032601</t>
        </is>
      </c>
      <c r="B238" s="126" t="inlineStr">
        <is>
          <t>P060462</t>
        </is>
      </c>
      <c r="C238" s="177" t="inlineStr">
        <is>
          <t>✗ 4 NO RESULT
(4 no cert / 0 cert w/o result)</t>
        </is>
      </c>
      <c r="D238" s="180" t="inlineStr">
        <is>
          <t>Conforms (no value printed)</t>
        </is>
      </c>
      <c r="E238" s="181" t="inlineStr">
        <is>
          <t>ППК26128, (21.07.2026) [CNP]</t>
        </is>
      </c>
      <c r="F238" s="182" t="inlineStr">
        <is>
          <t>✓</t>
        </is>
      </c>
      <c r="G238" s="180" t="inlineStr">
        <is>
          <t>7.88</t>
        </is>
      </c>
      <c r="H238" s="181" t="inlineStr">
        <is>
          <t>ППК26128, (21.07.2026) [CNP]</t>
        </is>
      </c>
      <c r="I238" s="182" t="inlineStr">
        <is>
          <t>✓</t>
        </is>
      </c>
      <c r="J238" s="171" t="inlineStr">
        <is>
          <t>— MISSING —</t>
        </is>
      </c>
      <c r="K238" s="172" t="inlineStr">
        <is>
          <t>— MISSING —</t>
        </is>
      </c>
      <c r="L238" s="172" t="inlineStr">
        <is>
          <t>— MISSING —</t>
        </is>
      </c>
      <c r="M238" s="172" t="inlineStr">
        <is>
          <t>— MISSING —</t>
        </is>
      </c>
      <c r="N238" s="172" t="inlineStr">
        <is>
          <t>— MISSING —</t>
        </is>
      </c>
      <c r="O238" s="186" t="inlineStr">
        <is>
          <t>✗</t>
        </is>
      </c>
      <c r="P238" s="171" t="inlineStr">
        <is>
          <t>— MISSING —</t>
        </is>
      </c>
      <c r="Q238" s="172" t="inlineStr">
        <is>
          <t>— MISSING —</t>
        </is>
      </c>
      <c r="R238" s="172" t="inlineStr">
        <is>
          <t>— MISSING —</t>
        </is>
      </c>
      <c r="S238" s="186" t="inlineStr">
        <is>
          <t>✗</t>
        </is>
      </c>
      <c r="T238" s="171" t="inlineStr">
        <is>
          <t>— MISSING —</t>
        </is>
      </c>
      <c r="U238" s="172" t="inlineStr">
        <is>
          <t>— MISSING —</t>
        </is>
      </c>
      <c r="V238" s="172" t="inlineStr">
        <is>
          <t>— MISSING —</t>
        </is>
      </c>
      <c r="W238" s="172" t="inlineStr">
        <is>
          <t>— MISSING —</t>
        </is>
      </c>
      <c r="X238" s="186" t="inlineStr">
        <is>
          <t>✗</t>
        </is>
      </c>
      <c r="Y238" s="187" t="inlineStr">
        <is>
          <t>— MISSING —</t>
        </is>
      </c>
      <c r="Z238" s="188" t="inlineStr">
        <is>
          <t>— no certificate —</t>
        </is>
      </c>
      <c r="AA238" s="189" t="inlineStr">
        <is>
          <t>✗</t>
        </is>
      </c>
    </row>
    <row r="239" ht="21" customHeight="1" s="70">
      <c r="A239" s="285" t="n"/>
      <c r="B239" s="286" t="n"/>
      <c r="C239" s="286" t="n"/>
      <c r="D239" s="287" t="n"/>
      <c r="E239" s="286" t="n"/>
      <c r="F239" s="288" t="n"/>
      <c r="G239" s="287" t="n"/>
      <c r="H239" s="286" t="n"/>
      <c r="I239" s="288" t="n"/>
      <c r="J239" s="190" t="inlineStr">
        <is>
          <t>— no certificate —</t>
        </is>
      </c>
      <c r="K239" s="289" t="n"/>
      <c r="L239" s="289" t="n"/>
      <c r="M239" s="289" t="n"/>
      <c r="N239" s="290" t="n"/>
      <c r="O239" s="288" t="n"/>
      <c r="P239" s="190" t="inlineStr">
        <is>
          <t>— no certificate —</t>
        </is>
      </c>
      <c r="Q239" s="289" t="n"/>
      <c r="R239" s="290" t="n"/>
      <c r="S239" s="288" t="n"/>
      <c r="T239" s="190" t="inlineStr">
        <is>
          <t>— no certificate —</t>
        </is>
      </c>
      <c r="U239" s="289" t="n"/>
      <c r="V239" s="289" t="n"/>
      <c r="W239" s="290" t="n"/>
      <c r="X239" s="288" t="n"/>
      <c r="Y239" s="287" t="n"/>
      <c r="Z239" s="286" t="n"/>
      <c r="AA239" s="291" t="n"/>
    </row>
    <row r="240" ht="21" customHeight="1" s="70">
      <c r="A240" s="125" t="inlineStr">
        <is>
          <t>GG1024</t>
        </is>
      </c>
      <c r="B240" s="126" t="inlineStr">
        <is>
          <t>N/A — no P batch assigned</t>
        </is>
      </c>
      <c r="C240" s="177" t="inlineStr">
        <is>
          <t>✗ 4 NO RESULT
(4 no cert / 0 cert w/o result)
2 testing instances</t>
        </is>
      </c>
      <c r="D240" s="131" t="inlineStr">
        <is>
          <t>Conforms</t>
        </is>
      </c>
      <c r="E240" s="132">
        <f>IFERROR(INDEX('iCoA Register'!$B:$B,MATCH("GG1024|I",'iCoA Register'!$AA:$AA,0)),"iCoA — at issue")&amp;", (11.03.2025) [PP]"</f>
        <v/>
      </c>
      <c r="F240" s="133" t="inlineStr">
        <is>
          <t>✓</t>
        </is>
      </c>
      <c r="G240" s="171" t="inlineStr">
        <is>
          <t>— MISSING —</t>
        </is>
      </c>
      <c r="H240" s="174" t="inlineStr">
        <is>
          <t>— no certificate —</t>
        </is>
      </c>
      <c r="I240" s="173" t="inlineStr">
        <is>
          <t>✗</t>
        </is>
      </c>
      <c r="J240" s="171" t="inlineStr">
        <is>
          <t>— MISSING —</t>
        </is>
      </c>
      <c r="K240" s="172" t="inlineStr">
        <is>
          <t>— MISSING —</t>
        </is>
      </c>
      <c r="L240" s="172" t="inlineStr">
        <is>
          <t>— MISSING —</t>
        </is>
      </c>
      <c r="M240" s="172" t="inlineStr">
        <is>
          <t>— MISSING —</t>
        </is>
      </c>
      <c r="N240" s="172" t="inlineStr">
        <is>
          <t>— MISSING —</t>
        </is>
      </c>
      <c r="O240" s="173" t="inlineStr">
        <is>
          <t>✗</t>
        </is>
      </c>
      <c r="P240" s="131" t="inlineStr">
        <is>
          <t>ND</t>
        </is>
      </c>
      <c r="Q240" s="139" t="inlineStr">
        <is>
          <t>ND</t>
        </is>
      </c>
      <c r="R240" s="139" t="inlineStr">
        <is>
          <t>ND</t>
        </is>
      </c>
      <c r="S240" s="133" t="inlineStr">
        <is>
          <t>✓</t>
        </is>
      </c>
      <c r="T240" s="171" t="inlineStr">
        <is>
          <t>— MISSING —</t>
        </is>
      </c>
      <c r="U240" s="172" t="inlineStr">
        <is>
          <t>— MISSING —</t>
        </is>
      </c>
      <c r="V240" s="172" t="inlineStr">
        <is>
          <t>— MISSING —</t>
        </is>
      </c>
      <c r="W240" s="172" t="inlineStr">
        <is>
          <t>— MISSING —</t>
        </is>
      </c>
      <c r="X240" s="173" t="inlineStr">
        <is>
          <t>✗</t>
        </is>
      </c>
      <c r="Y240" s="171" t="inlineStr">
        <is>
          <t>— MISSING —</t>
        </is>
      </c>
      <c r="Z240" s="174" t="inlineStr">
        <is>
          <t>— no certificate —</t>
        </is>
      </c>
      <c r="AA240" s="175" t="inlineStr">
        <is>
          <t>✗</t>
        </is>
      </c>
    </row>
    <row r="241" ht="39" customHeight="1" s="70">
      <c r="A241" s="281" t="n"/>
      <c r="B241" s="279" t="n"/>
      <c r="C241" s="279" t="n"/>
      <c r="D241" s="282" t="n"/>
      <c r="E241" s="280" t="n"/>
      <c r="F241" s="283" t="n"/>
      <c r="G241" s="282" t="n"/>
      <c r="H241" s="280" t="n"/>
      <c r="I241" s="283" t="n"/>
      <c r="J241" s="176" t="inlineStr">
        <is>
          <t>— no certificate —</t>
        </is>
      </c>
      <c r="K241" s="120" t="n"/>
      <c r="L241" s="120" t="n"/>
      <c r="M241" s="120" t="n"/>
      <c r="N241" s="121" t="n"/>
      <c r="O241" s="283" t="n"/>
      <c r="P241" s="144" t="inlineStr">
        <is>
          <t>220-9-М-26, (11.09.2026) [FHM-M]</t>
        </is>
      </c>
      <c r="Q241" s="120" t="n"/>
      <c r="R241" s="121" t="n"/>
      <c r="S241" s="283" t="n"/>
      <c r="T241" s="176" t="inlineStr">
        <is>
          <t>— no certificate —</t>
        </is>
      </c>
      <c r="U241" s="120" t="n"/>
      <c r="V241" s="120" t="n"/>
      <c r="W241" s="121" t="n"/>
      <c r="X241" s="283" t="n"/>
      <c r="Y241" s="282" t="n"/>
      <c r="Z241" s="280" t="n"/>
      <c r="AA241" s="284" t="n"/>
    </row>
    <row r="242" ht="14" customHeight="1" s="70">
      <c r="A242" s="281" t="n"/>
      <c r="B242" s="279" t="n"/>
      <c r="C242" s="279" t="n"/>
      <c r="D242" s="153" t="inlineStr">
        <is>
          <t>Conforms</t>
        </is>
      </c>
      <c r="E242" s="154" t="inlineStr">
        <is>
          <t>iCoA — at issue (GG1024), (23.04.2025) [PP]</t>
        </is>
      </c>
      <c r="F242" s="155" t="inlineStr">
        <is>
          <t>✓</t>
        </is>
      </c>
      <c r="G242" s="151" t="n"/>
      <c r="H242" s="147" t="n"/>
      <c r="I242" s="152" t="n"/>
      <c r="J242" s="151" t="n"/>
      <c r="K242" s="147" t="n"/>
      <c r="L242" s="147" t="n"/>
      <c r="M242" s="147" t="n"/>
      <c r="N242" s="147" t="n"/>
      <c r="O242" s="152" t="n"/>
      <c r="P242" s="151" t="n"/>
      <c r="Q242" s="147" t="n"/>
      <c r="R242" s="147" t="n"/>
      <c r="S242" s="152" t="n"/>
      <c r="T242" s="151" t="n"/>
      <c r="U242" s="147" t="n"/>
      <c r="V242" s="147" t="n"/>
      <c r="W242" s="147" t="n"/>
      <c r="X242" s="152" t="n"/>
      <c r="Y242" s="151" t="n"/>
      <c r="Z242" s="147" t="n"/>
      <c r="AA242" s="163" t="n"/>
    </row>
    <row r="243" ht="13" customHeight="1" s="70">
      <c r="A243" s="285" t="n"/>
      <c r="B243" s="286" t="n"/>
      <c r="C243" s="286" t="n"/>
      <c r="D243" s="287" t="n"/>
      <c r="E243" s="286" t="n"/>
      <c r="F243" s="288" t="n"/>
      <c r="G243" s="166" t="n"/>
      <c r="H243" s="165" t="n"/>
      <c r="I243" s="167" t="n"/>
      <c r="J243" s="166" t="n"/>
      <c r="K243" s="165" t="n"/>
      <c r="L243" s="165" t="n"/>
      <c r="M243" s="165" t="n"/>
      <c r="N243" s="165" t="n"/>
      <c r="O243" s="167" t="n"/>
      <c r="P243" s="166" t="n"/>
      <c r="Q243" s="165" t="n"/>
      <c r="R243" s="165" t="n"/>
      <c r="S243" s="167" t="n"/>
      <c r="T243" s="166" t="n"/>
      <c r="U243" s="165" t="n"/>
      <c r="V243" s="165" t="n"/>
      <c r="W243" s="165" t="n"/>
      <c r="X243" s="167" t="n"/>
      <c r="Y243" s="166" t="n"/>
      <c r="Z243" s="165" t="n"/>
      <c r="AA243" s="169" t="n"/>
    </row>
    <row r="244" ht="21" customHeight="1" s="70">
      <c r="A244" s="125" t="inlineStr">
        <is>
          <t>GRC102501</t>
        </is>
      </c>
      <c r="B244" s="126" t="inlineStr">
        <is>
          <t>P060142 / P060182</t>
        </is>
      </c>
      <c r="C244" s="170" t="inlineStr">
        <is>
          <t>⚠ 2 NO RESULT
(2 no cert / 0 cert w/o result)
4 testing instances
• 2 document(s) on file, not credited</t>
        </is>
      </c>
      <c r="D244" s="131" t="inlineStr">
        <is>
          <t>Conforms</t>
        </is>
      </c>
      <c r="E244" s="132">
        <f>IFERROR(INDEX('iCoA Register'!$B:$B,MATCH("P060142|I",'iCoA Register'!$AA:$AA,0)),"iCoA — at issue")&amp;", (23.02.2026) [PP]"</f>
        <v/>
      </c>
      <c r="F244" s="133" t="inlineStr">
        <is>
          <t>✓</t>
        </is>
      </c>
      <c r="G244" s="131" t="inlineStr">
        <is>
          <t>7.7</t>
        </is>
      </c>
      <c r="H244" s="132" t="inlineStr">
        <is>
          <t>051-6-ГС-26, (02.03.2026) [FHM-K]</t>
        </is>
      </c>
      <c r="I244" s="133" t="inlineStr">
        <is>
          <t>✓</t>
        </is>
      </c>
      <c r="J244" s="131" t="inlineStr">
        <is>
          <t>10</t>
        </is>
      </c>
      <c r="K244" s="139" t="inlineStr">
        <is>
          <t>&lt; 10</t>
        </is>
      </c>
      <c r="L244" s="139" t="inlineStr">
        <is>
          <t>&lt; 10</t>
        </is>
      </c>
      <c r="M244" s="139" t="inlineStr">
        <is>
          <t>Absent</t>
        </is>
      </c>
      <c r="N244" s="139" t="inlineStr">
        <is>
          <t>Absent</t>
        </is>
      </c>
      <c r="O244" s="133" t="inlineStr">
        <is>
          <t>✓</t>
        </is>
      </c>
      <c r="P244" s="131" t="inlineStr">
        <is>
          <t>ND</t>
        </is>
      </c>
      <c r="Q244" s="139" t="inlineStr">
        <is>
          <t>ND</t>
        </is>
      </c>
      <c r="R244" s="139" t="inlineStr">
        <is>
          <t>ND</t>
        </is>
      </c>
      <c r="S244" s="133" t="inlineStr">
        <is>
          <t>✓</t>
        </is>
      </c>
      <c r="T244" s="171" t="inlineStr">
        <is>
          <t>— MISSING —</t>
        </is>
      </c>
      <c r="U244" s="172" t="inlineStr">
        <is>
          <t>— MISSING —</t>
        </is>
      </c>
      <c r="V244" s="172" t="inlineStr">
        <is>
          <t>— MISSING —</t>
        </is>
      </c>
      <c r="W244" s="172" t="inlineStr">
        <is>
          <t>— MISSING —</t>
        </is>
      </c>
      <c r="X244" s="173" t="inlineStr">
        <is>
          <t>✗</t>
        </is>
      </c>
      <c r="Y244" s="171" t="inlineStr">
        <is>
          <t>— MISSING —</t>
        </is>
      </c>
      <c r="Z244" s="174" t="inlineStr">
        <is>
          <t>— no certificate —</t>
        </is>
      </c>
      <c r="AA244" s="175" t="inlineStr">
        <is>
          <t>✗</t>
        </is>
      </c>
    </row>
    <row r="245" ht="21" customHeight="1" s="70">
      <c r="A245" s="281" t="n"/>
      <c r="B245" s="279" t="n"/>
      <c r="C245" s="279" t="n"/>
      <c r="D245" s="282" t="n"/>
      <c r="E245" s="280" t="n"/>
      <c r="F245" s="283" t="n"/>
      <c r="G245" s="282" t="n"/>
      <c r="H245" s="280" t="n"/>
      <c r="I245" s="283" t="n"/>
      <c r="J245" s="144" t="inlineStr">
        <is>
          <t>550-1081-26, (01.09.2026) [IJZ-MB]</t>
        </is>
      </c>
      <c r="K245" s="120" t="n"/>
      <c r="L245" s="120" t="n"/>
      <c r="M245" s="120" t="n"/>
      <c r="N245" s="121" t="n"/>
      <c r="O245" s="283" t="n"/>
      <c r="P245" s="144" t="inlineStr">
        <is>
          <t>220-14-М-26, (11.09.2026) [FHM-M]</t>
        </is>
      </c>
      <c r="Q245" s="120" t="n"/>
      <c r="R245" s="121" t="n"/>
      <c r="S245" s="283" t="n"/>
      <c r="T245" s="176" t="inlineStr">
        <is>
          <t>— no certificate —</t>
        </is>
      </c>
      <c r="U245" s="120" t="n"/>
      <c r="V245" s="120" t="n"/>
      <c r="W245" s="121" t="n"/>
      <c r="X245" s="283" t="n"/>
      <c r="Y245" s="282" t="n"/>
      <c r="Z245" s="280" t="n"/>
      <c r="AA245" s="284" t="n"/>
    </row>
    <row r="246" ht="17.625" customHeight="1" s="70">
      <c r="A246" s="281" t="n"/>
      <c r="B246" s="279" t="n"/>
      <c r="C246" s="279" t="n"/>
      <c r="D246" s="161" t="inlineStr">
        <is>
          <t>Conforms</t>
        </is>
      </c>
      <c r="E246" s="196">
        <f>IFERROR(INDEX('iCoA Register'!$B:$B,MATCH("P060182|I",'iCoA Register'!$AA:$AA,0)),"iCoA — at issue")&amp;", (14.03.2026) [PP]"</f>
        <v/>
      </c>
      <c r="F246" s="197" t="inlineStr">
        <is>
          <t>✓</t>
        </is>
      </c>
      <c r="G246" s="200" t="inlineStr">
        <is>
          <t>not on this certificate</t>
        </is>
      </c>
      <c r="H246" s="201" t="inlineStr">
        <is>
          <t>051-6-К-26, (04.03.2026) [FHM-K] · on file, not credited</t>
        </is>
      </c>
      <c r="I246" s="202" t="inlineStr">
        <is>
          <t>•</t>
        </is>
      </c>
      <c r="J246" s="151" t="n"/>
      <c r="K246" s="147" t="n"/>
      <c r="L246" s="147" t="n"/>
      <c r="M246" s="147" t="n"/>
      <c r="N246" s="147" t="n"/>
      <c r="O246" s="152" t="n"/>
      <c r="P246" s="151" t="n"/>
      <c r="Q246" s="147" t="n"/>
      <c r="R246" s="147" t="n"/>
      <c r="S246" s="152" t="n"/>
      <c r="T246" s="151" t="n"/>
      <c r="U246" s="147" t="n"/>
      <c r="V246" s="147" t="n"/>
      <c r="W246" s="147" t="n"/>
      <c r="X246" s="152" t="n"/>
      <c r="Y246" s="151" t="n"/>
      <c r="Z246" s="147" t="n"/>
      <c r="AA246" s="163" t="n"/>
    </row>
    <row r="247" ht="15.375" customHeight="1" s="70">
      <c r="A247" s="281" t="n"/>
      <c r="B247" s="279" t="n"/>
      <c r="C247" s="279" t="n"/>
      <c r="D247" s="282" t="n"/>
      <c r="E247" s="280" t="n"/>
      <c r="F247" s="283" t="n"/>
      <c r="G247" s="282" t="n"/>
      <c r="H247" s="280" t="n"/>
      <c r="I247" s="283" t="n"/>
      <c r="J247" s="205" t="n"/>
      <c r="K247" s="204" t="n"/>
      <c r="L247" s="204" t="n"/>
      <c r="M247" s="204" t="n"/>
      <c r="N247" s="204" t="n"/>
      <c r="O247" s="206" t="n"/>
      <c r="P247" s="205" t="n"/>
      <c r="Q247" s="204" t="n"/>
      <c r="R247" s="204" t="n"/>
      <c r="S247" s="206" t="n"/>
      <c r="T247" s="205" t="n"/>
      <c r="U247" s="204" t="n"/>
      <c r="V247" s="204" t="n"/>
      <c r="W247" s="204" t="n"/>
      <c r="X247" s="206" t="n"/>
      <c r="Y247" s="205" t="n"/>
      <c r="Z247" s="204" t="n"/>
      <c r="AA247" s="207" t="n"/>
    </row>
    <row r="248" ht="17.625" customHeight="1" s="70">
      <c r="A248" s="281" t="n"/>
      <c r="B248" s="279" t="n"/>
      <c r="C248" s="279" t="n"/>
      <c r="D248" s="151" t="n"/>
      <c r="E248" s="147" t="n"/>
      <c r="F248" s="152" t="n"/>
      <c r="G248" s="151" t="n"/>
      <c r="H248" s="147" t="n"/>
      <c r="I248" s="152" t="n"/>
      <c r="J248" s="151" t="n"/>
      <c r="K248" s="147" t="n"/>
      <c r="L248" s="147" t="n"/>
      <c r="M248" s="147" t="n"/>
      <c r="N248" s="147" t="n"/>
      <c r="O248" s="152" t="n"/>
      <c r="P248" s="151" t="n"/>
      <c r="Q248" s="147" t="n"/>
      <c r="R248" s="147" t="n"/>
      <c r="S248" s="152" t="n"/>
      <c r="T248" s="151" t="n"/>
      <c r="U248" s="147" t="n"/>
      <c r="V248" s="147" t="n"/>
      <c r="W248" s="147" t="n"/>
      <c r="X248" s="152" t="n"/>
      <c r="Y248" s="151" t="n"/>
      <c r="Z248" s="147" t="n"/>
      <c r="AA248" s="163" t="n"/>
    </row>
    <row r="249" ht="13" customHeight="1" s="70">
      <c r="A249" s="281" t="n"/>
      <c r="B249" s="279" t="n"/>
      <c r="C249" s="279" t="n"/>
      <c r="D249" s="205" t="n"/>
      <c r="E249" s="204" t="n"/>
      <c r="F249" s="206" t="n"/>
      <c r="G249" s="205" t="n"/>
      <c r="H249" s="204" t="n"/>
      <c r="I249" s="206" t="n"/>
      <c r="J249" s="205" t="n"/>
      <c r="K249" s="204" t="n"/>
      <c r="L249" s="204" t="n"/>
      <c r="M249" s="204" t="n"/>
      <c r="N249" s="204" t="n"/>
      <c r="O249" s="206" t="n"/>
      <c r="P249" s="205" t="n"/>
      <c r="Q249" s="204" t="n"/>
      <c r="R249" s="204" t="n"/>
      <c r="S249" s="206" t="n"/>
      <c r="T249" s="205" t="n"/>
      <c r="U249" s="204" t="n"/>
      <c r="V249" s="204" t="n"/>
      <c r="W249" s="204" t="n"/>
      <c r="X249" s="206" t="n"/>
      <c r="Y249" s="205" t="n"/>
      <c r="Z249" s="204" t="n"/>
      <c r="AA249" s="207" t="n"/>
    </row>
    <row r="250" ht="17.625" customHeight="1" s="70">
      <c r="A250" s="281" t="n"/>
      <c r="B250" s="279" t="n"/>
      <c r="C250" s="279" t="n"/>
      <c r="D250" s="151" t="n"/>
      <c r="E250" s="147" t="n"/>
      <c r="F250" s="152" t="n"/>
      <c r="G250" s="151" t="n"/>
      <c r="H250" s="147" t="n"/>
      <c r="I250" s="152" t="n"/>
      <c r="J250" s="151" t="n"/>
      <c r="K250" s="147" t="n"/>
      <c r="L250" s="147" t="n"/>
      <c r="M250" s="147" t="n"/>
      <c r="N250" s="147" t="n"/>
      <c r="O250" s="152" t="n"/>
      <c r="P250" s="151" t="n"/>
      <c r="Q250" s="147" t="n"/>
      <c r="R250" s="147" t="n"/>
      <c r="S250" s="152" t="n"/>
      <c r="T250" s="151" t="n"/>
      <c r="U250" s="147" t="n"/>
      <c r="V250" s="147" t="n"/>
      <c r="W250" s="147" t="n"/>
      <c r="X250" s="152" t="n"/>
      <c r="Y250" s="151" t="n"/>
      <c r="Z250" s="147" t="n"/>
      <c r="AA250" s="163" t="n"/>
    </row>
    <row r="251" ht="13" customHeight="1" s="70">
      <c r="A251" s="285" t="n"/>
      <c r="B251" s="286" t="n"/>
      <c r="C251" s="286" t="n"/>
      <c r="D251" s="166" t="n"/>
      <c r="E251" s="165" t="n"/>
      <c r="F251" s="167" t="n"/>
      <c r="G251" s="166" t="n"/>
      <c r="H251" s="165" t="n"/>
      <c r="I251" s="167" t="n"/>
      <c r="J251" s="166" t="n"/>
      <c r="K251" s="165" t="n"/>
      <c r="L251" s="165" t="n"/>
      <c r="M251" s="165" t="n"/>
      <c r="N251" s="165" t="n"/>
      <c r="O251" s="167" t="n"/>
      <c r="P251" s="166" t="n"/>
      <c r="Q251" s="165" t="n"/>
      <c r="R251" s="165" t="n"/>
      <c r="S251" s="167" t="n"/>
      <c r="T251" s="166" t="n"/>
      <c r="U251" s="165" t="n"/>
      <c r="V251" s="165" t="n"/>
      <c r="W251" s="165" t="n"/>
      <c r="X251" s="167" t="n"/>
      <c r="Y251" s="166" t="n"/>
      <c r="Z251" s="165" t="n"/>
      <c r="AA251" s="169" t="n"/>
    </row>
    <row r="252" ht="21" customHeight="1" s="70">
      <c r="A252" s="125" t="inlineStr">
        <is>
          <t>HPA1024</t>
        </is>
      </c>
      <c r="B252" s="126" t="inlineStr">
        <is>
          <t>N/A — no P batch assigned</t>
        </is>
      </c>
      <c r="C252" s="177" t="inlineStr">
        <is>
          <t>✗ 4 NO RESULT
(4 no cert / 0 cert w/o result)
2 testing instances
• 2 document(s) on file, not credited</t>
        </is>
      </c>
      <c r="D252" s="131" t="inlineStr">
        <is>
          <t>Conforms</t>
        </is>
      </c>
      <c r="E252" s="132">
        <f>IFERROR(INDEX('iCoA Register'!$B:$B,MATCH("HPA1024|I",'iCoA Register'!$AA:$AA,0)),"iCoA — at issue")&amp;", (11.04.2025) [PP]"</f>
        <v/>
      </c>
      <c r="F252" s="133" t="inlineStr">
        <is>
          <t>✓</t>
        </is>
      </c>
      <c r="G252" s="134" t="inlineStr">
        <is>
          <t>not on this certificate</t>
        </is>
      </c>
      <c r="H252" s="135" t="inlineStr">
        <is>
          <t>197-13-К-26, (07.08.2026) [FHM-K] · on file, not credited</t>
        </is>
      </c>
      <c r="I252" s="136" t="inlineStr">
        <is>
          <t>•</t>
        </is>
      </c>
      <c r="J252" s="134" t="inlineStr">
        <is>
          <t>5.2 × 10⁴ ᴿ</t>
        </is>
      </c>
      <c r="K252" s="208" t="inlineStr">
        <is>
          <t>7 × 10² ᴿ</t>
        </is>
      </c>
      <c r="L252" s="208" t="inlineStr">
        <is>
          <t>&lt; 10 ᴿ</t>
        </is>
      </c>
      <c r="M252" s="208" t="inlineStr">
        <is>
          <t>Absent ᴿ</t>
        </is>
      </c>
      <c r="N252" s="208" t="inlineStr">
        <is>
          <t>Absent ᴿ</t>
        </is>
      </c>
      <c r="O252" s="136" t="inlineStr">
        <is>
          <t>•</t>
        </is>
      </c>
      <c r="P252" s="134" t="inlineStr">
        <is>
          <t>not reported</t>
        </is>
      </c>
      <c r="Q252" s="208" t="inlineStr">
        <is>
          <t>&lt; 2 ᴿ</t>
        </is>
      </c>
      <c r="R252" s="208" t="inlineStr">
        <is>
          <t>not reported</t>
        </is>
      </c>
      <c r="S252" s="136" t="inlineStr">
        <is>
          <t>•</t>
        </is>
      </c>
      <c r="T252" s="134" t="inlineStr">
        <is>
          <t>0.02 ᴿ</t>
        </is>
      </c>
      <c r="U252" s="208" t="inlineStr">
        <is>
          <t>0.013 ᴿ</t>
        </is>
      </c>
      <c r="V252" s="208" t="inlineStr">
        <is>
          <t>0.017 ᴿ</t>
        </is>
      </c>
      <c r="W252" s="208" t="inlineStr">
        <is>
          <t>0.0026 ᴿ</t>
        </is>
      </c>
      <c r="X252" s="136" t="inlineStr">
        <is>
          <t>•</t>
        </is>
      </c>
      <c r="Y252" s="134" t="inlineStr">
        <is>
          <t>ND ᴿ</t>
        </is>
      </c>
      <c r="Z252" s="135">
        <f>IFERROR(INDEX('iCoA Register'!$B:$B,MATCH("HPA1024|I",'iCoA Register'!$AA:$AA,0)),"iCoA — at issue")&amp;", (11.04.2025) [PP] · on file, not credited"</f>
        <v/>
      </c>
      <c r="AA252" s="209" t="inlineStr">
        <is>
          <t>•</t>
        </is>
      </c>
    </row>
    <row r="253" ht="39" customHeight="1" s="70">
      <c r="A253" s="281" t="n"/>
      <c r="B253" s="279" t="n"/>
      <c r="C253" s="279" t="n"/>
      <c r="D253" s="282" t="n"/>
      <c r="E253" s="280" t="n"/>
      <c r="F253" s="283" t="n"/>
      <c r="G253" s="282" t="n"/>
      <c r="H253" s="280" t="n"/>
      <c r="I253" s="283" t="n"/>
      <c r="J253" s="210">
        <f>IFERROR(INDEX('iCoA Register'!$B:$B,MATCH("HPA1024|I",'iCoA Register'!$AA:$AA,0)),"iCoA — at issue")&amp;", (11.04.2025) [PP] · on file, not credited"</f>
        <v/>
      </c>
      <c r="K253" s="120" t="n"/>
      <c r="L253" s="120" t="n"/>
      <c r="M253" s="120" t="n"/>
      <c r="N253" s="121" t="n"/>
      <c r="O253" s="283" t="n"/>
      <c r="P253" s="210">
        <f>IFERROR(INDEX('iCoA Register'!$B:$B,MATCH("HPA1024|I",'iCoA Register'!$AA:$AA,0)),"iCoA — at issue")&amp;", (11.04.2025) [PP] · on file, not credited"</f>
        <v/>
      </c>
      <c r="Q253" s="120" t="n"/>
      <c r="R253" s="121" t="n"/>
      <c r="S253" s="283" t="n"/>
      <c r="T253" s="210">
        <f>IFERROR(INDEX('iCoA Register'!$B:$B,MATCH("HPA1024|I",'iCoA Register'!$AA:$AA,0)),"iCoA — at issue")&amp;", (11.04.2025) [PP] · on file, not credited"</f>
        <v/>
      </c>
      <c r="U253" s="120" t="n"/>
      <c r="V253" s="120" t="n"/>
      <c r="W253" s="121" t="n"/>
      <c r="X253" s="283" t="n"/>
      <c r="Y253" s="282" t="n"/>
      <c r="Z253" s="280" t="n"/>
      <c r="AA253" s="284" t="n"/>
    </row>
    <row r="254" ht="17.625" customHeight="1" s="70">
      <c r="A254" s="281" t="n"/>
      <c r="B254" s="279" t="n"/>
      <c r="C254" s="279" t="n"/>
      <c r="D254" s="153" t="inlineStr">
        <is>
          <t>Conforms</t>
        </is>
      </c>
      <c r="E254" s="154" t="inlineStr">
        <is>
          <t>iCoA — at issue (HPA1024), (23.04.2025) [PP]</t>
        </is>
      </c>
      <c r="F254" s="155" t="inlineStr">
        <is>
          <t>✓</t>
        </is>
      </c>
      <c r="G254" s="151" t="n"/>
      <c r="H254" s="147" t="n"/>
      <c r="I254" s="152" t="n"/>
      <c r="J254" s="151" t="n"/>
      <c r="K254" s="147" t="n"/>
      <c r="L254" s="147" t="n"/>
      <c r="M254" s="147" t="n"/>
      <c r="N254" s="147" t="n"/>
      <c r="O254" s="152" t="n"/>
      <c r="P254" s="161" t="inlineStr">
        <is>
          <t>ND</t>
        </is>
      </c>
      <c r="Q254" s="162" t="inlineStr">
        <is>
          <t>ND</t>
        </is>
      </c>
      <c r="R254" s="162" t="inlineStr">
        <is>
          <t>&lt; LOQ</t>
        </is>
      </c>
      <c r="S254" s="155" t="inlineStr">
        <is>
          <t>✓</t>
        </is>
      </c>
      <c r="T254" s="151" t="n"/>
      <c r="U254" s="147" t="n"/>
      <c r="V254" s="147" t="n"/>
      <c r="W254" s="147" t="n"/>
      <c r="X254" s="152" t="n"/>
      <c r="Y254" s="151" t="n"/>
      <c r="Z254" s="147" t="n"/>
      <c r="AA254" s="163" t="n"/>
    </row>
    <row r="255" ht="13" customHeight="1" s="70">
      <c r="A255" s="285" t="n"/>
      <c r="B255" s="286" t="n"/>
      <c r="C255" s="286" t="n"/>
      <c r="D255" s="287" t="n"/>
      <c r="E255" s="286" t="n"/>
      <c r="F255" s="288" t="n"/>
      <c r="G255" s="166" t="n"/>
      <c r="H255" s="165" t="n"/>
      <c r="I255" s="167" t="n"/>
      <c r="J255" s="166" t="n"/>
      <c r="K255" s="165" t="n"/>
      <c r="L255" s="165" t="n"/>
      <c r="M255" s="165" t="n"/>
      <c r="N255" s="165" t="n"/>
      <c r="O255" s="167" t="n"/>
      <c r="P255" s="168" t="inlineStr">
        <is>
          <t>197-13-М-26, (10.08.2026) [FHM-M]</t>
        </is>
      </c>
      <c r="Q255" s="289" t="n"/>
      <c r="R255" s="290" t="n"/>
      <c r="S255" s="288" t="n"/>
      <c r="T255" s="166" t="n"/>
      <c r="U255" s="165" t="n"/>
      <c r="V255" s="165" t="n"/>
      <c r="W255" s="165" t="n"/>
      <c r="X255" s="167" t="n"/>
      <c r="Y255" s="166" t="n"/>
      <c r="Z255" s="165" t="n"/>
      <c r="AA255" s="169" t="n"/>
    </row>
    <row r="256" ht="21" customHeight="1" s="70">
      <c r="A256" s="125" t="inlineStr">
        <is>
          <t>J31102501</t>
        </is>
      </c>
      <c r="B256" s="126" t="inlineStr">
        <is>
          <t>P060152</t>
        </is>
      </c>
      <c r="C256" s="170" t="inlineStr">
        <is>
          <t>⚠ 3 NO RESULT
(3 no cert / 0 cert w/o result)
3 testing instances
• 3 document(s) on file, not credited</t>
        </is>
      </c>
      <c r="D256" s="131" t="inlineStr">
        <is>
          <t>Conforms</t>
        </is>
      </c>
      <c r="E256" s="132">
        <f>IFERROR(INDEX('iCoA Register'!$B:$B,MATCH("P060152|I",'iCoA Register'!$AA:$AA,0)),"iCoA — at issue")&amp;", (05.03.2026) [PP]"</f>
        <v/>
      </c>
      <c r="F256" s="133" t="inlineStr">
        <is>
          <t>✓</t>
        </is>
      </c>
      <c r="G256" s="131" t="inlineStr">
        <is>
          <t>6.3</t>
        </is>
      </c>
      <c r="H256" s="132" t="inlineStr">
        <is>
          <t>051-1-ГС-26, (02.03.2026) [FHM-K]</t>
        </is>
      </c>
      <c r="I256" s="133" t="inlineStr">
        <is>
          <t>✓</t>
        </is>
      </c>
      <c r="J256" s="171" t="inlineStr">
        <is>
          <t>— MISSING —</t>
        </is>
      </c>
      <c r="K256" s="172" t="inlineStr">
        <is>
          <t>— MISSING —</t>
        </is>
      </c>
      <c r="L256" s="172" t="inlineStr">
        <is>
          <t>— MISSING —</t>
        </is>
      </c>
      <c r="M256" s="172" t="inlineStr">
        <is>
          <t>— MISSING —</t>
        </is>
      </c>
      <c r="N256" s="172" t="inlineStr">
        <is>
          <t>— MISSING —</t>
        </is>
      </c>
      <c r="O256" s="173" t="inlineStr">
        <is>
          <t>✗</t>
        </is>
      </c>
      <c r="P256" s="131" t="inlineStr">
        <is>
          <t>ND</t>
        </is>
      </c>
      <c r="Q256" s="139" t="inlineStr">
        <is>
          <t>ND</t>
        </is>
      </c>
      <c r="R256" s="139" t="inlineStr">
        <is>
          <t>ND</t>
        </is>
      </c>
      <c r="S256" s="133" t="inlineStr">
        <is>
          <t>✓</t>
        </is>
      </c>
      <c r="T256" s="171" t="inlineStr">
        <is>
          <t>— MISSING —</t>
        </is>
      </c>
      <c r="U256" s="172" t="inlineStr">
        <is>
          <t>— MISSING —</t>
        </is>
      </c>
      <c r="V256" s="172" t="inlineStr">
        <is>
          <t>— MISSING —</t>
        </is>
      </c>
      <c r="W256" s="172" t="inlineStr">
        <is>
          <t>— MISSING —</t>
        </is>
      </c>
      <c r="X256" s="173" t="inlineStr">
        <is>
          <t>✗</t>
        </is>
      </c>
      <c r="Y256" s="171" t="inlineStr">
        <is>
          <t>— MISSING —</t>
        </is>
      </c>
      <c r="Z256" s="174" t="inlineStr">
        <is>
          <t>— no certificate —</t>
        </is>
      </c>
      <c r="AA256" s="175" t="inlineStr">
        <is>
          <t>✗</t>
        </is>
      </c>
    </row>
    <row r="257" ht="39" customHeight="1" s="70">
      <c r="A257" s="281" t="n"/>
      <c r="B257" s="279" t="n"/>
      <c r="C257" s="279" t="n"/>
      <c r="D257" s="282" t="n"/>
      <c r="E257" s="280" t="n"/>
      <c r="F257" s="283" t="n"/>
      <c r="G257" s="282" t="n"/>
      <c r="H257" s="280" t="n"/>
      <c r="I257" s="283" t="n"/>
      <c r="J257" s="176" t="inlineStr">
        <is>
          <t>— no certificate —</t>
        </is>
      </c>
      <c r="K257" s="120" t="n"/>
      <c r="L257" s="120" t="n"/>
      <c r="M257" s="120" t="n"/>
      <c r="N257" s="121" t="n"/>
      <c r="O257" s="283" t="n"/>
      <c r="P257" s="144" t="inlineStr">
        <is>
          <t>197-16-М-26, (10.08.2026) [FHM-M]</t>
        </is>
      </c>
      <c r="Q257" s="120" t="n"/>
      <c r="R257" s="121" t="n"/>
      <c r="S257" s="283" t="n"/>
      <c r="T257" s="176" t="inlineStr">
        <is>
          <t>— no certificate —</t>
        </is>
      </c>
      <c r="U257" s="120" t="n"/>
      <c r="V257" s="120" t="n"/>
      <c r="W257" s="121" t="n"/>
      <c r="X257" s="283" t="n"/>
      <c r="Y257" s="282" t="n"/>
      <c r="Z257" s="280" t="n"/>
      <c r="AA257" s="284" t="n"/>
    </row>
    <row r="258" ht="17.625" customHeight="1" s="70">
      <c r="A258" s="281" t="n"/>
      <c r="B258" s="279" t="n"/>
      <c r="C258" s="279" t="n"/>
      <c r="D258" s="151" t="n"/>
      <c r="E258" s="147" t="n"/>
      <c r="F258" s="152" t="n"/>
      <c r="G258" s="200" t="inlineStr">
        <is>
          <t>not on this certificate</t>
        </is>
      </c>
      <c r="H258" s="201" t="inlineStr">
        <is>
          <t>051-1-К-26, (04.03.2026) [FHM-K] · on file, not credited</t>
        </is>
      </c>
      <c r="I258" s="202" t="inlineStr">
        <is>
          <t>•</t>
        </is>
      </c>
      <c r="J258" s="151" t="n"/>
      <c r="K258" s="147" t="n"/>
      <c r="L258" s="147" t="n"/>
      <c r="M258" s="147" t="n"/>
      <c r="N258" s="147" t="n"/>
      <c r="O258" s="152" t="n"/>
      <c r="P258" s="151" t="n"/>
      <c r="Q258" s="147" t="n"/>
      <c r="R258" s="147" t="n"/>
      <c r="S258" s="152" t="n"/>
      <c r="T258" s="151" t="n"/>
      <c r="U258" s="147" t="n"/>
      <c r="V258" s="147" t="n"/>
      <c r="W258" s="147" t="n"/>
      <c r="X258" s="152" t="n"/>
      <c r="Y258" s="151" t="n"/>
      <c r="Z258" s="147" t="n"/>
      <c r="AA258" s="163" t="n"/>
    </row>
    <row r="259" ht="21" customHeight="1" s="70">
      <c r="A259" s="281" t="n"/>
      <c r="B259" s="279" t="n"/>
      <c r="C259" s="279" t="n"/>
      <c r="D259" s="205" t="n"/>
      <c r="E259" s="204" t="n"/>
      <c r="F259" s="206" t="n"/>
      <c r="G259" s="282" t="n"/>
      <c r="H259" s="280" t="n"/>
      <c r="I259" s="283" t="n"/>
      <c r="J259" s="205" t="n"/>
      <c r="K259" s="204" t="n"/>
      <c r="L259" s="204" t="n"/>
      <c r="M259" s="204" t="n"/>
      <c r="N259" s="204" t="n"/>
      <c r="O259" s="206" t="n"/>
      <c r="P259" s="205" t="n"/>
      <c r="Q259" s="204" t="n"/>
      <c r="R259" s="204" t="n"/>
      <c r="S259" s="206" t="n"/>
      <c r="T259" s="205" t="n"/>
      <c r="U259" s="204" t="n"/>
      <c r="V259" s="204" t="n"/>
      <c r="W259" s="204" t="n"/>
      <c r="X259" s="206" t="n"/>
      <c r="Y259" s="205" t="n"/>
      <c r="Z259" s="204" t="n"/>
      <c r="AA259" s="207" t="n"/>
    </row>
    <row r="260" ht="17.625" customHeight="1" s="70">
      <c r="A260" s="281" t="n"/>
      <c r="B260" s="279" t="n"/>
      <c r="C260" s="279" t="n"/>
      <c r="D260" s="151" t="n"/>
      <c r="E260" s="147" t="n"/>
      <c r="F260" s="152" t="n"/>
      <c r="G260" s="158" t="inlineStr">
        <is>
          <t>not on this certificate</t>
        </is>
      </c>
      <c r="H260" s="159" t="inlineStr">
        <is>
          <t>197-16-К-26, (07.08.2026) [FHM-K] · on file, not credited</t>
        </is>
      </c>
      <c r="I260" s="160" t="inlineStr">
        <is>
          <t>•</t>
        </is>
      </c>
      <c r="J260" s="151" t="n"/>
      <c r="K260" s="147" t="n"/>
      <c r="L260" s="147" t="n"/>
      <c r="M260" s="147" t="n"/>
      <c r="N260" s="147" t="n"/>
      <c r="O260" s="152" t="n"/>
      <c r="P260" s="151" t="n"/>
      <c r="Q260" s="147" t="n"/>
      <c r="R260" s="147" t="n"/>
      <c r="S260" s="152" t="n"/>
      <c r="T260" s="151" t="n"/>
      <c r="U260" s="147" t="n"/>
      <c r="V260" s="147" t="n"/>
      <c r="W260" s="147" t="n"/>
      <c r="X260" s="152" t="n"/>
      <c r="Y260" s="151" t="n"/>
      <c r="Z260" s="147" t="n"/>
      <c r="AA260" s="163" t="n"/>
    </row>
    <row r="261" ht="15.375" customHeight="1" s="70">
      <c r="A261" s="285" t="n"/>
      <c r="B261" s="286" t="n"/>
      <c r="C261" s="286" t="n"/>
      <c r="D261" s="166" t="n"/>
      <c r="E261" s="165" t="n"/>
      <c r="F261" s="167" t="n"/>
      <c r="G261" s="287" t="n"/>
      <c r="H261" s="286" t="n"/>
      <c r="I261" s="288" t="n"/>
      <c r="J261" s="166" t="n"/>
      <c r="K261" s="165" t="n"/>
      <c r="L261" s="165" t="n"/>
      <c r="M261" s="165" t="n"/>
      <c r="N261" s="165" t="n"/>
      <c r="O261" s="167" t="n"/>
      <c r="P261" s="166" t="n"/>
      <c r="Q261" s="165" t="n"/>
      <c r="R261" s="165" t="n"/>
      <c r="S261" s="167" t="n"/>
      <c r="T261" s="166" t="n"/>
      <c r="U261" s="165" t="n"/>
      <c r="V261" s="165" t="n"/>
      <c r="W261" s="165" t="n"/>
      <c r="X261" s="167" t="n"/>
      <c r="Y261" s="166" t="n"/>
      <c r="Z261" s="165" t="n"/>
      <c r="AA261" s="169" t="n"/>
    </row>
    <row r="262" ht="21" customHeight="1" s="70">
      <c r="A262" s="125" t="inlineStr">
        <is>
          <t>J31112501</t>
        </is>
      </c>
      <c r="B262" s="126" t="inlineStr">
        <is>
          <t>P060202</t>
        </is>
      </c>
      <c r="C262" s="170" t="inlineStr">
        <is>
          <t>⚠ 3 NO RESULT
(3 no cert / 0 cert w/o result)
7 testing instances
• 6 document(s) on file, not credited</t>
        </is>
      </c>
      <c r="D262" s="131" t="inlineStr">
        <is>
          <t>Conforms</t>
        </is>
      </c>
      <c r="E262" s="132">
        <f>IFERROR(INDEX('iCoA Register'!$B:$B,MATCH("P060202|I",'iCoA Register'!$AA:$AA,0)),"iCoA — at issue")&amp;", (17.04.2026) [PP]"</f>
        <v/>
      </c>
      <c r="F262" s="133" t="inlineStr">
        <is>
          <t>✓</t>
        </is>
      </c>
      <c r="G262" s="131" t="inlineStr">
        <is>
          <t>8.4</t>
        </is>
      </c>
      <c r="H262" s="132" t="inlineStr">
        <is>
          <t>051-5-ГС-26, (02.03.2026) [FHM-K]</t>
        </is>
      </c>
      <c r="I262" s="133" t="inlineStr">
        <is>
          <t>✓</t>
        </is>
      </c>
      <c r="J262" s="131" t="inlineStr">
        <is>
          <t>4.4 × 10²</t>
        </is>
      </c>
      <c r="K262" s="139" t="inlineStr">
        <is>
          <t>8.6 × 10²</t>
        </is>
      </c>
      <c r="L262" s="139" t="inlineStr">
        <is>
          <t>&lt; 10² and &gt; 10</t>
        </is>
      </c>
      <c r="M262" s="139" t="inlineStr">
        <is>
          <t>Absent</t>
        </is>
      </c>
      <c r="N262" s="139" t="inlineStr">
        <is>
          <t>Absent</t>
        </is>
      </c>
      <c r="O262" s="133" t="inlineStr">
        <is>
          <t>✓</t>
        </is>
      </c>
      <c r="P262" s="171" t="inlineStr">
        <is>
          <t>— MISSING —</t>
        </is>
      </c>
      <c r="Q262" s="172" t="inlineStr">
        <is>
          <t>— MISSING —</t>
        </is>
      </c>
      <c r="R262" s="172" t="inlineStr">
        <is>
          <t>— MISSING —</t>
        </is>
      </c>
      <c r="S262" s="173" t="inlineStr">
        <is>
          <t>✗</t>
        </is>
      </c>
      <c r="T262" s="171" t="inlineStr">
        <is>
          <t>— MISSING —</t>
        </is>
      </c>
      <c r="U262" s="172" t="inlineStr">
        <is>
          <t>— MISSING —</t>
        </is>
      </c>
      <c r="V262" s="172" t="inlineStr">
        <is>
          <t>— MISSING —</t>
        </is>
      </c>
      <c r="W262" s="172" t="inlineStr">
        <is>
          <t>— MISSING —</t>
        </is>
      </c>
      <c r="X262" s="173" t="inlineStr">
        <is>
          <t>✗</t>
        </is>
      </c>
      <c r="Y262" s="171" t="inlineStr">
        <is>
          <t>— MISSING —</t>
        </is>
      </c>
      <c r="Z262" s="174" t="inlineStr">
        <is>
          <t>— no certificate —</t>
        </is>
      </c>
      <c r="AA262" s="175" t="inlineStr">
        <is>
          <t>✗</t>
        </is>
      </c>
    </row>
    <row r="263" ht="39" customHeight="1" s="70">
      <c r="A263" s="281" t="n"/>
      <c r="B263" s="279" t="n"/>
      <c r="C263" s="279" t="n"/>
      <c r="D263" s="282" t="n"/>
      <c r="E263" s="280" t="n"/>
      <c r="F263" s="283" t="n"/>
      <c r="G263" s="282" t="n"/>
      <c r="H263" s="280" t="n"/>
      <c r="I263" s="283" t="n"/>
      <c r="J263" s="144" t="inlineStr">
        <is>
          <t>547-1078-26, (31.08.2026) [IJZ-MB]</t>
        </is>
      </c>
      <c r="K263" s="120" t="n"/>
      <c r="L263" s="120" t="n"/>
      <c r="M263" s="120" t="n"/>
      <c r="N263" s="121" t="n"/>
      <c r="O263" s="283" t="n"/>
      <c r="P263" s="176" t="inlineStr">
        <is>
          <t>— no certificate —</t>
        </is>
      </c>
      <c r="Q263" s="120" t="n"/>
      <c r="R263" s="121" t="n"/>
      <c r="S263" s="283" t="n"/>
      <c r="T263" s="176" t="inlineStr">
        <is>
          <t>— no certificate —</t>
        </is>
      </c>
      <c r="U263" s="120" t="n"/>
      <c r="V263" s="120" t="n"/>
      <c r="W263" s="121" t="n"/>
      <c r="X263" s="283" t="n"/>
      <c r="Y263" s="282" t="n"/>
      <c r="Z263" s="280" t="n"/>
      <c r="AA263" s="284" t="n"/>
    </row>
    <row r="264" ht="17.625" customHeight="1" s="70">
      <c r="A264" s="281" t="n"/>
      <c r="B264" s="279" t="n"/>
      <c r="C264" s="279" t="n"/>
      <c r="D264" s="151" t="n"/>
      <c r="E264" s="147" t="n"/>
      <c r="F264" s="152" t="n"/>
      <c r="G264" s="200" t="inlineStr">
        <is>
          <t>not on this certificate</t>
        </is>
      </c>
      <c r="H264" s="201" t="inlineStr">
        <is>
          <t>051-5-К-26, (04.03.2026) [FHM-K] · on file, not credited</t>
        </is>
      </c>
      <c r="I264" s="202" t="inlineStr">
        <is>
          <t>•</t>
        </is>
      </c>
      <c r="J264" s="151" t="n"/>
      <c r="K264" s="147" t="n"/>
      <c r="L264" s="147" t="n"/>
      <c r="M264" s="147" t="n"/>
      <c r="N264" s="147" t="n"/>
      <c r="O264" s="152" t="n"/>
      <c r="P264" s="151" t="n"/>
      <c r="Q264" s="147" t="n"/>
      <c r="R264" s="147" t="n"/>
      <c r="S264" s="152" t="n"/>
      <c r="T264" s="151" t="n"/>
      <c r="U264" s="147" t="n"/>
      <c r="V264" s="147" t="n"/>
      <c r="W264" s="147" t="n"/>
      <c r="X264" s="152" t="n"/>
      <c r="Y264" s="151" t="n"/>
      <c r="Z264" s="147" t="n"/>
      <c r="AA264" s="163" t="n"/>
    </row>
    <row r="265" ht="21" customHeight="1" s="70">
      <c r="A265" s="281" t="n"/>
      <c r="B265" s="279" t="n"/>
      <c r="C265" s="279" t="n"/>
      <c r="D265" s="205" t="n"/>
      <c r="E265" s="204" t="n"/>
      <c r="F265" s="206" t="n"/>
      <c r="G265" s="282" t="n"/>
      <c r="H265" s="280" t="n"/>
      <c r="I265" s="283" t="n"/>
      <c r="J265" s="205" t="n"/>
      <c r="K265" s="204" t="n"/>
      <c r="L265" s="204" t="n"/>
      <c r="M265" s="204" t="n"/>
      <c r="N265" s="204" t="n"/>
      <c r="O265" s="206" t="n"/>
      <c r="P265" s="205" t="n"/>
      <c r="Q265" s="204" t="n"/>
      <c r="R265" s="204" t="n"/>
      <c r="S265" s="206" t="n"/>
      <c r="T265" s="205" t="n"/>
      <c r="U265" s="204" t="n"/>
      <c r="V265" s="204" t="n"/>
      <c r="W265" s="204" t="n"/>
      <c r="X265" s="206" t="n"/>
      <c r="Y265" s="205" t="n"/>
      <c r="Z265" s="204" t="n"/>
      <c r="AA265" s="207" t="n"/>
    </row>
    <row r="266" ht="17.625" customHeight="1" s="70">
      <c r="A266" s="281" t="n"/>
      <c r="B266" s="279" t="n"/>
      <c r="C266" s="279" t="n"/>
      <c r="D266" s="151" t="n"/>
      <c r="E266" s="147" t="n"/>
      <c r="F266" s="152" t="n"/>
      <c r="G266" s="200" t="inlineStr">
        <is>
          <t>not on this certificate</t>
        </is>
      </c>
      <c r="H266" s="201" t="inlineStr">
        <is>
          <t>100-1-К-26, (09.04.2026) [FHM-K] · on file, not credited</t>
        </is>
      </c>
      <c r="I266" s="202" t="inlineStr">
        <is>
          <t>•</t>
        </is>
      </c>
      <c r="J266" s="151" t="n"/>
      <c r="K266" s="147" t="n"/>
      <c r="L266" s="147" t="n"/>
      <c r="M266" s="147" t="n"/>
      <c r="N266" s="147" t="n"/>
      <c r="O266" s="152" t="n"/>
      <c r="P266" s="151" t="n"/>
      <c r="Q266" s="147" t="n"/>
      <c r="R266" s="147" t="n"/>
      <c r="S266" s="152" t="n"/>
      <c r="T266" s="151" t="n"/>
      <c r="U266" s="147" t="n"/>
      <c r="V266" s="147" t="n"/>
      <c r="W266" s="147" t="n"/>
      <c r="X266" s="152" t="n"/>
      <c r="Y266" s="151" t="n"/>
      <c r="Z266" s="147" t="n"/>
      <c r="AA266" s="163" t="n"/>
    </row>
    <row r="267" ht="15.375" customHeight="1" s="70">
      <c r="A267" s="281" t="n"/>
      <c r="B267" s="279" t="n"/>
      <c r="C267" s="279" t="n"/>
      <c r="D267" s="205" t="n"/>
      <c r="E267" s="204" t="n"/>
      <c r="F267" s="206" t="n"/>
      <c r="G267" s="282" t="n"/>
      <c r="H267" s="280" t="n"/>
      <c r="I267" s="283" t="n"/>
      <c r="J267" s="205" t="n"/>
      <c r="K267" s="204" t="n"/>
      <c r="L267" s="204" t="n"/>
      <c r="M267" s="204" t="n"/>
      <c r="N267" s="204" t="n"/>
      <c r="O267" s="206" t="n"/>
      <c r="P267" s="205" t="n"/>
      <c r="Q267" s="204" t="n"/>
      <c r="R267" s="204" t="n"/>
      <c r="S267" s="206" t="n"/>
      <c r="T267" s="205" t="n"/>
      <c r="U267" s="204" t="n"/>
      <c r="V267" s="204" t="n"/>
      <c r="W267" s="204" t="n"/>
      <c r="X267" s="206" t="n"/>
      <c r="Y267" s="205" t="n"/>
      <c r="Z267" s="204" t="n"/>
      <c r="AA267" s="207" t="n"/>
    </row>
    <row r="268" ht="17.625" customHeight="1" s="70">
      <c r="A268" s="281" t="n"/>
      <c r="B268" s="279" t="n"/>
      <c r="C268" s="279" t="n"/>
      <c r="D268" s="151" t="n"/>
      <c r="E268" s="147" t="n"/>
      <c r="F268" s="152" t="n"/>
      <c r="G268" s="161" t="inlineStr">
        <is>
          <t>7.6</t>
        </is>
      </c>
      <c r="H268" s="196" t="inlineStr">
        <is>
          <t>100-1-ГС-26, (09.04.2026) [FHM-K]</t>
        </is>
      </c>
      <c r="I268" s="197" t="inlineStr">
        <is>
          <t>✓</t>
        </is>
      </c>
      <c r="J268" s="151" t="n"/>
      <c r="K268" s="147" t="n"/>
      <c r="L268" s="147" t="n"/>
      <c r="M268" s="147" t="n"/>
      <c r="N268" s="147" t="n"/>
      <c r="O268" s="152" t="n"/>
      <c r="P268" s="151" t="n"/>
      <c r="Q268" s="147" t="n"/>
      <c r="R268" s="147" t="n"/>
      <c r="S268" s="152" t="n"/>
      <c r="T268" s="151" t="n"/>
      <c r="U268" s="147" t="n"/>
      <c r="V268" s="147" t="n"/>
      <c r="W268" s="147" t="n"/>
      <c r="X268" s="152" t="n"/>
      <c r="Y268" s="151" t="n"/>
      <c r="Z268" s="147" t="n"/>
      <c r="AA268" s="163" t="n"/>
    </row>
    <row r="269" ht="21" customHeight="1" s="70">
      <c r="A269" s="281" t="n"/>
      <c r="B269" s="279" t="n"/>
      <c r="C269" s="279" t="n"/>
      <c r="D269" s="205" t="n"/>
      <c r="E269" s="204" t="n"/>
      <c r="F269" s="206" t="n"/>
      <c r="G269" s="282" t="n"/>
      <c r="H269" s="280" t="n"/>
      <c r="I269" s="283" t="n"/>
      <c r="J269" s="205" t="n"/>
      <c r="K269" s="204" t="n"/>
      <c r="L269" s="204" t="n"/>
      <c r="M269" s="204" t="n"/>
      <c r="N269" s="204" t="n"/>
      <c r="O269" s="206" t="n"/>
      <c r="P269" s="205" t="n"/>
      <c r="Q269" s="204" t="n"/>
      <c r="R269" s="204" t="n"/>
      <c r="S269" s="206" t="n"/>
      <c r="T269" s="205" t="n"/>
      <c r="U269" s="204" t="n"/>
      <c r="V269" s="204" t="n"/>
      <c r="W269" s="204" t="n"/>
      <c r="X269" s="206" t="n"/>
      <c r="Y269" s="205" t="n"/>
      <c r="Z269" s="204" t="n"/>
      <c r="AA269" s="207" t="n"/>
    </row>
    <row r="270" ht="17.625" customHeight="1" s="70">
      <c r="A270" s="281" t="n"/>
      <c r="B270" s="279" t="n"/>
      <c r="C270" s="279" t="n"/>
      <c r="D270" s="151" t="n"/>
      <c r="E270" s="147" t="n"/>
      <c r="F270" s="152" t="n"/>
      <c r="G270" s="161" t="inlineStr">
        <is>
          <t>10.3 ± 0.2</t>
        </is>
      </c>
      <c r="H270" s="196" t="inlineStr">
        <is>
          <t>100-2-ГС-26, (09.04.2026) [FHM-K]</t>
        </is>
      </c>
      <c r="I270" s="197" t="inlineStr">
        <is>
          <t>✓</t>
        </is>
      </c>
      <c r="J270" s="151" t="n"/>
      <c r="K270" s="147" t="n"/>
      <c r="L270" s="147" t="n"/>
      <c r="M270" s="147" t="n"/>
      <c r="N270" s="147" t="n"/>
      <c r="O270" s="152" t="n"/>
      <c r="P270" s="151" t="n"/>
      <c r="Q270" s="147" t="n"/>
      <c r="R270" s="147" t="n"/>
      <c r="S270" s="152" t="n"/>
      <c r="T270" s="151" t="n"/>
      <c r="U270" s="147" t="n"/>
      <c r="V270" s="147" t="n"/>
      <c r="W270" s="147" t="n"/>
      <c r="X270" s="152" t="n"/>
      <c r="Y270" s="151" t="n"/>
      <c r="Z270" s="147" t="n"/>
      <c r="AA270" s="163" t="n"/>
    </row>
    <row r="271" ht="21" customHeight="1" s="70">
      <c r="A271" s="281" t="n"/>
      <c r="B271" s="279" t="n"/>
      <c r="C271" s="279" t="n"/>
      <c r="D271" s="205" t="n"/>
      <c r="E271" s="204" t="n"/>
      <c r="F271" s="206" t="n"/>
      <c r="G271" s="282" t="n"/>
      <c r="H271" s="280" t="n"/>
      <c r="I271" s="283" t="n"/>
      <c r="J271" s="205" t="n"/>
      <c r="K271" s="204" t="n"/>
      <c r="L271" s="204" t="n"/>
      <c r="M271" s="204" t="n"/>
      <c r="N271" s="204" t="n"/>
      <c r="O271" s="206" t="n"/>
      <c r="P271" s="205" t="n"/>
      <c r="Q271" s="204" t="n"/>
      <c r="R271" s="204" t="n"/>
      <c r="S271" s="206" t="n"/>
      <c r="T271" s="205" t="n"/>
      <c r="U271" s="204" t="n"/>
      <c r="V271" s="204" t="n"/>
      <c r="W271" s="204" t="n"/>
      <c r="X271" s="206" t="n"/>
      <c r="Y271" s="205" t="n"/>
      <c r="Z271" s="204" t="n"/>
      <c r="AA271" s="207" t="n"/>
    </row>
    <row r="272" ht="17.625" customHeight="1" s="70">
      <c r="A272" s="281" t="n"/>
      <c r="B272" s="279" t="n"/>
      <c r="C272" s="279" t="n"/>
      <c r="D272" s="151" t="n"/>
      <c r="E272" s="147" t="n"/>
      <c r="F272" s="152" t="n"/>
      <c r="G272" s="161" t="inlineStr">
        <is>
          <t>10.3</t>
        </is>
      </c>
      <c r="H272" s="196" t="inlineStr">
        <is>
          <t>100-3-ГС-26, (09.04.2026) [FHM-K]</t>
        </is>
      </c>
      <c r="I272" s="197" t="inlineStr">
        <is>
          <t>✓</t>
        </is>
      </c>
      <c r="J272" s="151" t="n"/>
      <c r="K272" s="147" t="n"/>
      <c r="L272" s="147" t="n"/>
      <c r="M272" s="147" t="n"/>
      <c r="N272" s="147" t="n"/>
      <c r="O272" s="152" t="n"/>
      <c r="P272" s="151" t="n"/>
      <c r="Q272" s="147" t="n"/>
      <c r="R272" s="147" t="n"/>
      <c r="S272" s="152" t="n"/>
      <c r="T272" s="151" t="n"/>
      <c r="U272" s="147" t="n"/>
      <c r="V272" s="147" t="n"/>
      <c r="W272" s="147" t="n"/>
      <c r="X272" s="152" t="n"/>
      <c r="Y272" s="151" t="n"/>
      <c r="Z272" s="147" t="n"/>
      <c r="AA272" s="163" t="n"/>
    </row>
    <row r="273" ht="21" customHeight="1" s="70">
      <c r="A273" s="281" t="n"/>
      <c r="B273" s="279" t="n"/>
      <c r="C273" s="279" t="n"/>
      <c r="D273" s="205" t="n"/>
      <c r="E273" s="204" t="n"/>
      <c r="F273" s="206" t="n"/>
      <c r="G273" s="282" t="n"/>
      <c r="H273" s="280" t="n"/>
      <c r="I273" s="283" t="n"/>
      <c r="J273" s="205" t="n"/>
      <c r="K273" s="204" t="n"/>
      <c r="L273" s="204" t="n"/>
      <c r="M273" s="204" t="n"/>
      <c r="N273" s="204" t="n"/>
      <c r="O273" s="206" t="n"/>
      <c r="P273" s="205" t="n"/>
      <c r="Q273" s="204" t="n"/>
      <c r="R273" s="204" t="n"/>
      <c r="S273" s="206" t="n"/>
      <c r="T273" s="205" t="n"/>
      <c r="U273" s="204" t="n"/>
      <c r="V273" s="204" t="n"/>
      <c r="W273" s="204" t="n"/>
      <c r="X273" s="206" t="n"/>
      <c r="Y273" s="205" t="n"/>
      <c r="Z273" s="204" t="n"/>
      <c r="AA273" s="207" t="n"/>
    </row>
    <row r="274" ht="17.625" customHeight="1" s="70">
      <c r="A274" s="281" t="n"/>
      <c r="B274" s="279" t="n"/>
      <c r="C274" s="279" t="n"/>
      <c r="D274" s="151" t="n"/>
      <c r="E274" s="147" t="n"/>
      <c r="F274" s="152" t="n"/>
      <c r="G274" s="151" t="n"/>
      <c r="H274" s="147" t="n"/>
      <c r="I274" s="152" t="n"/>
      <c r="J274" s="151" t="n"/>
      <c r="K274" s="147" t="n"/>
      <c r="L274" s="147" t="n"/>
      <c r="M274" s="147" t="n"/>
      <c r="N274" s="147" t="n"/>
      <c r="O274" s="152" t="n"/>
      <c r="P274" s="151" t="n"/>
      <c r="Q274" s="147" t="n"/>
      <c r="R274" s="147" t="n"/>
      <c r="S274" s="152" t="n"/>
      <c r="T274" s="151" t="n"/>
      <c r="U274" s="147" t="n"/>
      <c r="V274" s="147" t="n"/>
      <c r="W274" s="147" t="n"/>
      <c r="X274" s="152" t="n"/>
      <c r="Y274" s="151" t="n"/>
      <c r="Z274" s="147" t="n"/>
      <c r="AA274" s="163" t="n"/>
    </row>
    <row r="275" ht="13" customHeight="1" s="70">
      <c r="A275" s="285" t="n"/>
      <c r="B275" s="286" t="n"/>
      <c r="C275" s="286" t="n"/>
      <c r="D275" s="166" t="n"/>
      <c r="E275" s="165" t="n"/>
      <c r="F275" s="167" t="n"/>
      <c r="G275" s="166" t="n"/>
      <c r="H275" s="165" t="n"/>
      <c r="I275" s="167" t="n"/>
      <c r="J275" s="166" t="n"/>
      <c r="K275" s="165" t="n"/>
      <c r="L275" s="165" t="n"/>
      <c r="M275" s="165" t="n"/>
      <c r="N275" s="165" t="n"/>
      <c r="O275" s="167" t="n"/>
      <c r="P275" s="166" t="n"/>
      <c r="Q275" s="165" t="n"/>
      <c r="R275" s="165" t="n"/>
      <c r="S275" s="167" t="n"/>
      <c r="T275" s="166" t="n"/>
      <c r="U275" s="165" t="n"/>
      <c r="V275" s="165" t="n"/>
      <c r="W275" s="165" t="n"/>
      <c r="X275" s="167" t="n"/>
      <c r="Y275" s="166" t="n"/>
      <c r="Z275" s="165" t="n"/>
      <c r="AA275" s="169" t="n"/>
    </row>
    <row r="276" ht="21" customHeight="1" s="70">
      <c r="A276" s="125" t="inlineStr">
        <is>
          <t>J31122501</t>
        </is>
      </c>
      <c r="B276" s="126" t="inlineStr">
        <is>
          <t>P060262</t>
        </is>
      </c>
      <c r="C276" s="170" t="inlineStr">
        <is>
          <t>⚠ 1 NO RESULT
(1 no cert / 0 cert w/o result)
3 testing instances
• 2 document(s) on file, not credited</t>
        </is>
      </c>
      <c r="D276" s="131" t="inlineStr">
        <is>
          <t>Conforms</t>
        </is>
      </c>
      <c r="E276" s="132">
        <f>IFERROR(INDEX('iCoA Register'!$B:$B,MATCH("P060262|I",'iCoA Register'!$AA:$AA,0)),"iCoA — at issue")&amp;", (14.05.2026) [PP]"</f>
        <v/>
      </c>
      <c r="F276" s="133" t="inlineStr">
        <is>
          <t>✓</t>
        </is>
      </c>
      <c r="G276" s="134" t="inlineStr">
        <is>
          <t>not ingested</t>
        </is>
      </c>
      <c r="H276" s="135" t="inlineStr">
        <is>
          <t>100-2-К-26, (09.04.2026) [FHM-K] · on file, not credited</t>
        </is>
      </c>
      <c r="I276" s="136" t="inlineStr">
        <is>
          <t>•</t>
        </is>
      </c>
      <c r="J276" s="131" t="inlineStr">
        <is>
          <t>1900 ᴿ</t>
        </is>
      </c>
      <c r="K276" s="139" t="inlineStr">
        <is>
          <t>840 ᴿ</t>
        </is>
      </c>
      <c r="L276" s="139" t="inlineStr">
        <is>
          <t>&lt; 10³ and &gt; 10² ᴿ</t>
        </is>
      </c>
      <c r="M276" s="139" t="inlineStr">
        <is>
          <t>Absent ᴿ</t>
        </is>
      </c>
      <c r="N276" s="139" t="inlineStr">
        <is>
          <t>Absent ᴿ</t>
        </is>
      </c>
      <c r="O276" s="133" t="inlineStr">
        <is>
          <t>✓</t>
        </is>
      </c>
      <c r="P276" s="131" t="inlineStr">
        <is>
          <t>not reported</t>
        </is>
      </c>
      <c r="Q276" s="139" t="inlineStr">
        <is>
          <t>Complies ᴿ</t>
        </is>
      </c>
      <c r="R276" s="139" t="inlineStr">
        <is>
          <t>not reported</t>
        </is>
      </c>
      <c r="S276" s="133" t="inlineStr">
        <is>
          <t>✓</t>
        </is>
      </c>
      <c r="T276" s="216" t="inlineStr">
        <is>
          <t>not ingested</t>
        </is>
      </c>
      <c r="U276" s="217" t="inlineStr"/>
      <c r="V276" s="217" t="inlineStr"/>
      <c r="W276" s="217" t="inlineStr"/>
      <c r="X276" s="218" t="inlineStr">
        <is>
          <t>✗</t>
        </is>
      </c>
      <c r="Y276" s="131" t="inlineStr">
        <is>
          <t>ND ᴿ</t>
        </is>
      </c>
      <c r="Z276" s="132" t="inlineStr">
        <is>
          <t>1625-2026, (23.04.2026) [IJZ]</t>
        </is>
      </c>
      <c r="AA276" s="140" t="inlineStr">
        <is>
          <t>✓</t>
        </is>
      </c>
    </row>
    <row r="277" ht="21" customHeight="1" s="70">
      <c r="A277" s="281" t="n"/>
      <c r="B277" s="279" t="n"/>
      <c r="C277" s="279" t="n"/>
      <c r="D277" s="282" t="n"/>
      <c r="E277" s="280" t="n"/>
      <c r="F277" s="283" t="n"/>
      <c r="G277" s="282" t="n"/>
      <c r="H277" s="280" t="n"/>
      <c r="I277" s="283" t="n"/>
      <c r="J277" s="144" t="inlineStr">
        <is>
          <t>230-0393-26, (07.04.2026) [IJZ-MB]</t>
        </is>
      </c>
      <c r="K277" s="120" t="n"/>
      <c r="L277" s="120" t="n"/>
      <c r="M277" s="120" t="n"/>
      <c r="N277" s="121" t="n"/>
      <c r="O277" s="283" t="n"/>
      <c r="P277" s="144" t="inlineStr">
        <is>
          <t>1625-2026, (23.04.2026) [IJZ]</t>
        </is>
      </c>
      <c r="Q277" s="120" t="n"/>
      <c r="R277" s="121" t="n"/>
      <c r="S277" s="283" t="n"/>
      <c r="T277" s="219" t="inlineStr">
        <is>
          <t>1625-2026, (23.04.2026) [IJZ]</t>
        </is>
      </c>
      <c r="U277" s="120" t="n"/>
      <c r="V277" s="120" t="n"/>
      <c r="W277" s="121" t="n"/>
      <c r="X277" s="283" t="n"/>
      <c r="Y277" s="282" t="n"/>
      <c r="Z277" s="280" t="n"/>
      <c r="AA277" s="284" t="n"/>
    </row>
    <row r="278" ht="21" customHeight="1" s="70">
      <c r="A278" s="281" t="n"/>
      <c r="B278" s="279" t="n"/>
      <c r="C278" s="279" t="n"/>
      <c r="D278" s="151" t="n"/>
      <c r="E278" s="147" t="n"/>
      <c r="F278" s="152" t="n"/>
      <c r="G278" s="200" t="inlineStr">
        <is>
          <t>not ingested</t>
        </is>
      </c>
      <c r="H278" s="201" t="inlineStr">
        <is>
          <t>100-3-К-26, (09.04.2026) [FHM-K] · on file, not credited</t>
        </is>
      </c>
      <c r="I278" s="202" t="inlineStr">
        <is>
          <t>•</t>
        </is>
      </c>
      <c r="J278" s="161" t="inlineStr">
        <is>
          <t>850 ᴿ</t>
        </is>
      </c>
      <c r="K278" s="162" t="inlineStr">
        <is>
          <t>370 ᴿ</t>
        </is>
      </c>
      <c r="L278" s="162" t="inlineStr">
        <is>
          <t>&lt; 10² and &gt; 10 ᴿ</t>
        </is>
      </c>
      <c r="M278" s="162" t="inlineStr">
        <is>
          <t>Absent ᴿ</t>
        </is>
      </c>
      <c r="N278" s="162" t="inlineStr">
        <is>
          <t>Absent ᴿ</t>
        </is>
      </c>
      <c r="O278" s="197" t="inlineStr">
        <is>
          <t>✓</t>
        </is>
      </c>
      <c r="P278" s="161" t="inlineStr">
        <is>
          <t>not reported</t>
        </is>
      </c>
      <c r="Q278" s="162" t="inlineStr">
        <is>
          <t>2.5 ᴿ</t>
        </is>
      </c>
      <c r="R278" s="162" t="inlineStr">
        <is>
          <t>not reported</t>
        </is>
      </c>
      <c r="S278" s="197" t="inlineStr">
        <is>
          <t>✓</t>
        </is>
      </c>
      <c r="T278" s="161" t="inlineStr">
        <is>
          <t>ND ᴿ</t>
        </is>
      </c>
      <c r="U278" s="162" t="inlineStr">
        <is>
          <t>ND ᴿ</t>
        </is>
      </c>
      <c r="V278" s="162" t="inlineStr">
        <is>
          <t>ND ᴿ</t>
        </is>
      </c>
      <c r="W278" s="162" t="inlineStr">
        <is>
          <t>ND ᴿ</t>
        </is>
      </c>
      <c r="X278" s="197" t="inlineStr">
        <is>
          <t>✓</t>
        </is>
      </c>
      <c r="Y278" s="161" t="inlineStr">
        <is>
          <t>ND ᴿ</t>
        </is>
      </c>
      <c r="Z278" s="196" t="inlineStr">
        <is>
          <t>1628-2026, (23.04.2026) [IJZ]</t>
        </is>
      </c>
      <c r="AA278" s="220" t="inlineStr">
        <is>
          <t>✓</t>
        </is>
      </c>
    </row>
    <row r="279" ht="21" customHeight="1" s="70">
      <c r="A279" s="281" t="n"/>
      <c r="B279" s="279" t="n"/>
      <c r="C279" s="279" t="n"/>
      <c r="D279" s="205" t="n"/>
      <c r="E279" s="204" t="n"/>
      <c r="F279" s="206" t="n"/>
      <c r="G279" s="282" t="n"/>
      <c r="H279" s="280" t="n"/>
      <c r="I279" s="283" t="n"/>
      <c r="J279" s="221" t="inlineStr">
        <is>
          <t>231-0394-26, (07.04.2026) [IJZ-MB]</t>
        </is>
      </c>
      <c r="K279" s="292" t="n"/>
      <c r="L279" s="292" t="n"/>
      <c r="M279" s="292" t="n"/>
      <c r="N279" s="293" t="n"/>
      <c r="O279" s="283" t="n"/>
      <c r="P279" s="221" t="inlineStr">
        <is>
          <t>1628-2026, (23.04.2026) [IJZ]</t>
        </is>
      </c>
      <c r="Q279" s="292" t="n"/>
      <c r="R279" s="293" t="n"/>
      <c r="S279" s="283" t="n"/>
      <c r="T279" s="221" t="inlineStr">
        <is>
          <t>1628-2026, (23.04.2026) [IJZ]</t>
        </is>
      </c>
      <c r="U279" s="292" t="n"/>
      <c r="V279" s="292" t="n"/>
      <c r="W279" s="293" t="n"/>
      <c r="X279" s="283" t="n"/>
      <c r="Y279" s="282" t="n"/>
      <c r="Z279" s="280" t="n"/>
      <c r="AA279" s="284" t="n"/>
    </row>
    <row r="280" ht="21" customHeight="1" s="70">
      <c r="A280" s="281" t="n"/>
      <c r="B280" s="279" t="n"/>
      <c r="C280" s="279" t="n"/>
      <c r="D280" s="151" t="n"/>
      <c r="E280" s="147" t="n"/>
      <c r="F280" s="152" t="n"/>
      <c r="G280" s="151" t="n"/>
      <c r="H280" s="147" t="n"/>
      <c r="I280" s="152" t="n"/>
      <c r="J280" s="161" t="inlineStr">
        <is>
          <t>1 × 10³</t>
        </is>
      </c>
      <c r="K280" s="162" t="inlineStr">
        <is>
          <t>1.7 × 10²</t>
        </is>
      </c>
      <c r="L280" s="162" t="inlineStr">
        <is>
          <t>&lt; 10³ and &gt; 10²</t>
        </is>
      </c>
      <c r="M280" s="162" t="inlineStr">
        <is>
          <t>Absent</t>
        </is>
      </c>
      <c r="N280" s="162" t="inlineStr">
        <is>
          <t>Absent</t>
        </is>
      </c>
      <c r="O280" s="155" t="inlineStr">
        <is>
          <t>✓</t>
        </is>
      </c>
      <c r="P280" s="151" t="n"/>
      <c r="Q280" s="147" t="n"/>
      <c r="R280" s="147" t="n"/>
      <c r="S280" s="152" t="n"/>
      <c r="T280" s="151" t="n"/>
      <c r="U280" s="147" t="n"/>
      <c r="V280" s="147" t="n"/>
      <c r="W280" s="147" t="n"/>
      <c r="X280" s="152" t="n"/>
      <c r="Y280" s="151" t="n"/>
      <c r="Z280" s="147" t="n"/>
      <c r="AA280" s="163" t="n"/>
    </row>
    <row r="281" ht="13" customHeight="1" s="70">
      <c r="A281" s="285" t="n"/>
      <c r="B281" s="286" t="n"/>
      <c r="C281" s="286" t="n"/>
      <c r="D281" s="166" t="n"/>
      <c r="E281" s="165" t="n"/>
      <c r="F281" s="167" t="n"/>
      <c r="G281" s="166" t="n"/>
      <c r="H281" s="165" t="n"/>
      <c r="I281" s="167" t="n"/>
      <c r="J281" s="168" t="inlineStr">
        <is>
          <t>544-1075-26, (31.08.2026) [IJZ-MB]</t>
        </is>
      </c>
      <c r="K281" s="289" t="n"/>
      <c r="L281" s="289" t="n"/>
      <c r="M281" s="289" t="n"/>
      <c r="N281" s="290" t="n"/>
      <c r="O281" s="288" t="n"/>
      <c r="P281" s="166" t="n"/>
      <c r="Q281" s="165" t="n"/>
      <c r="R281" s="165" t="n"/>
      <c r="S281" s="167" t="n"/>
      <c r="T281" s="166" t="n"/>
      <c r="U281" s="165" t="n"/>
      <c r="V281" s="165" t="n"/>
      <c r="W281" s="165" t="n"/>
      <c r="X281" s="167" t="n"/>
      <c r="Y281" s="166" t="n"/>
      <c r="Z281" s="165" t="n"/>
      <c r="AA281" s="169" t="n"/>
    </row>
    <row r="282" ht="21" customHeight="1" s="70">
      <c r="A282" s="125" t="inlineStr">
        <is>
          <t>JD012603</t>
        </is>
      </c>
      <c r="B282" s="126" t="inlineStr">
        <is>
          <t>P060362 / P060412 / P060422</t>
        </is>
      </c>
      <c r="C282" s="170" t="inlineStr">
        <is>
          <t>⚠ 3 NO RESULT
(3 no cert / 0 cert w/o result)
5 testing instances
• 1 document(s) on file, not credited</t>
        </is>
      </c>
      <c r="D282" s="131" t="inlineStr">
        <is>
          <t>Conforms (no value printed)</t>
        </is>
      </c>
      <c r="E282" s="132" t="inlineStr">
        <is>
          <t>ППК26111, (30.06.2026) [CNP]</t>
        </is>
      </c>
      <c r="F282" s="133" t="inlineStr">
        <is>
          <t>✓</t>
        </is>
      </c>
      <c r="G282" s="131" t="inlineStr">
        <is>
          <t>7.04</t>
        </is>
      </c>
      <c r="H282" s="132" t="inlineStr">
        <is>
          <t>ППК26111, (30.06.2026) [CNP]</t>
        </is>
      </c>
      <c r="I282" s="133" t="inlineStr">
        <is>
          <t>✓</t>
        </is>
      </c>
      <c r="J282" s="171" t="inlineStr">
        <is>
          <t>— MISSING —</t>
        </is>
      </c>
      <c r="K282" s="172" t="inlineStr">
        <is>
          <t>— MISSING —</t>
        </is>
      </c>
      <c r="L282" s="172" t="inlineStr">
        <is>
          <t>— MISSING —</t>
        </is>
      </c>
      <c r="M282" s="172" t="inlineStr">
        <is>
          <t>— MISSING —</t>
        </is>
      </c>
      <c r="N282" s="172" t="inlineStr">
        <is>
          <t>— MISSING —</t>
        </is>
      </c>
      <c r="O282" s="173" t="inlineStr">
        <is>
          <t>✗</t>
        </is>
      </c>
      <c r="P282" s="131" t="inlineStr">
        <is>
          <t>ND</t>
        </is>
      </c>
      <c r="Q282" s="139" t="inlineStr">
        <is>
          <t>ND</t>
        </is>
      </c>
      <c r="R282" s="139" t="inlineStr">
        <is>
          <t>ND</t>
        </is>
      </c>
      <c r="S282" s="133" t="inlineStr">
        <is>
          <t>✓</t>
        </is>
      </c>
      <c r="T282" s="171" t="inlineStr">
        <is>
          <t>— MISSING —</t>
        </is>
      </c>
      <c r="U282" s="172" t="inlineStr">
        <is>
          <t>— MISSING —</t>
        </is>
      </c>
      <c r="V282" s="172" t="inlineStr">
        <is>
          <t>— MISSING —</t>
        </is>
      </c>
      <c r="W282" s="172" t="inlineStr">
        <is>
          <t>— MISSING —</t>
        </is>
      </c>
      <c r="X282" s="173" t="inlineStr">
        <is>
          <t>✗</t>
        </is>
      </c>
      <c r="Y282" s="171" t="inlineStr">
        <is>
          <t>— MISSING —</t>
        </is>
      </c>
      <c r="Z282" s="174" t="inlineStr">
        <is>
          <t>— no certificate —</t>
        </is>
      </c>
      <c r="AA282" s="175" t="inlineStr">
        <is>
          <t>✗</t>
        </is>
      </c>
    </row>
    <row r="283" ht="15.375" customHeight="1" s="70">
      <c r="A283" s="281" t="n"/>
      <c r="B283" s="279" t="n"/>
      <c r="C283" s="279" t="n"/>
      <c r="D283" s="282" t="n"/>
      <c r="E283" s="280" t="n"/>
      <c r="F283" s="283" t="n"/>
      <c r="G283" s="282" t="n"/>
      <c r="H283" s="280" t="n"/>
      <c r="I283" s="283" t="n"/>
      <c r="J283" s="176" t="inlineStr">
        <is>
          <t>— no certificate —</t>
        </is>
      </c>
      <c r="K283" s="120" t="n"/>
      <c r="L283" s="120" t="n"/>
      <c r="M283" s="120" t="n"/>
      <c r="N283" s="121" t="n"/>
      <c r="O283" s="283" t="n"/>
      <c r="P283" s="144" t="inlineStr">
        <is>
          <t>220-16-М-26, (11.09.2026) [FHM-M]</t>
        </is>
      </c>
      <c r="Q283" s="120" t="n"/>
      <c r="R283" s="121" t="n"/>
      <c r="S283" s="283" t="n"/>
      <c r="T283" s="176" t="inlineStr">
        <is>
          <t>— no certificate —</t>
        </is>
      </c>
      <c r="U283" s="120" t="n"/>
      <c r="V283" s="120" t="n"/>
      <c r="W283" s="121" t="n"/>
      <c r="X283" s="283" t="n"/>
      <c r="Y283" s="282" t="n"/>
      <c r="Z283" s="280" t="n"/>
      <c r="AA283" s="284" t="n"/>
    </row>
    <row r="284" ht="17.625" customHeight="1" s="70">
      <c r="A284" s="281" t="n"/>
      <c r="B284" s="279" t="n"/>
      <c r="C284" s="279" t="n"/>
      <c r="D284" s="200" t="inlineStr">
        <is>
          <t>Conforms (no value printed)</t>
        </is>
      </c>
      <c r="E284" s="201" t="inlineStr">
        <is>
          <t>ППК26113, (30.06.2026) [CNP] · on file, not credited</t>
        </is>
      </c>
      <c r="F284" s="202" t="inlineStr">
        <is>
          <t>•</t>
        </is>
      </c>
      <c r="G284" s="161" t="inlineStr">
        <is>
          <t>7.52</t>
        </is>
      </c>
      <c r="H284" s="196" t="inlineStr">
        <is>
          <t>ППК26113, (30.06.2026) [CNP]</t>
        </is>
      </c>
      <c r="I284" s="197" t="inlineStr">
        <is>
          <t>✓</t>
        </is>
      </c>
      <c r="J284" s="151" t="n"/>
      <c r="K284" s="147" t="n"/>
      <c r="L284" s="147" t="n"/>
      <c r="M284" s="147" t="n"/>
      <c r="N284" s="147" t="n"/>
      <c r="O284" s="152" t="n"/>
      <c r="P284" s="161" t="inlineStr">
        <is>
          <t>ND</t>
        </is>
      </c>
      <c r="Q284" s="162" t="inlineStr">
        <is>
          <t>ND</t>
        </is>
      </c>
      <c r="R284" s="162" t="inlineStr">
        <is>
          <t>ND</t>
        </is>
      </c>
      <c r="S284" s="197" t="inlineStr">
        <is>
          <t>✓</t>
        </is>
      </c>
      <c r="T284" s="151" t="n"/>
      <c r="U284" s="147" t="n"/>
      <c r="V284" s="147" t="n"/>
      <c r="W284" s="147" t="n"/>
      <c r="X284" s="152" t="n"/>
      <c r="Y284" s="151" t="n"/>
      <c r="Z284" s="147" t="n"/>
      <c r="AA284" s="163" t="n"/>
    </row>
    <row r="285" ht="15.375" customHeight="1" s="70">
      <c r="A285" s="281" t="n"/>
      <c r="B285" s="279" t="n"/>
      <c r="C285" s="279" t="n"/>
      <c r="D285" s="282" t="n"/>
      <c r="E285" s="280" t="n"/>
      <c r="F285" s="283" t="n"/>
      <c r="G285" s="282" t="n"/>
      <c r="H285" s="280" t="n"/>
      <c r="I285" s="283" t="n"/>
      <c r="J285" s="205" t="n"/>
      <c r="K285" s="204" t="n"/>
      <c r="L285" s="204" t="n"/>
      <c r="M285" s="204" t="n"/>
      <c r="N285" s="204" t="n"/>
      <c r="O285" s="206" t="n"/>
      <c r="P285" s="221" t="inlineStr">
        <is>
          <t>220-17-М-26, (11.09.2026) [FHM-M]</t>
        </is>
      </c>
      <c r="Q285" s="292" t="n"/>
      <c r="R285" s="293" t="n"/>
      <c r="S285" s="283" t="n"/>
      <c r="T285" s="205" t="n"/>
      <c r="U285" s="204" t="n"/>
      <c r="V285" s="204" t="n"/>
      <c r="W285" s="204" t="n"/>
      <c r="X285" s="206" t="n"/>
      <c r="Y285" s="205" t="n"/>
      <c r="Z285" s="204" t="n"/>
      <c r="AA285" s="207" t="n"/>
    </row>
    <row r="286" ht="17.625" customHeight="1" s="70">
      <c r="A286" s="281" t="n"/>
      <c r="B286" s="279" t="n"/>
      <c r="C286" s="279" t="n"/>
      <c r="D286" s="151" t="n"/>
      <c r="E286" s="147" t="n"/>
      <c r="F286" s="152" t="n"/>
      <c r="G286" s="151" t="n"/>
      <c r="H286" s="147" t="n"/>
      <c r="I286" s="152" t="n"/>
      <c r="J286" s="151" t="n"/>
      <c r="K286" s="147" t="n"/>
      <c r="L286" s="147" t="n"/>
      <c r="M286" s="147" t="n"/>
      <c r="N286" s="147" t="n"/>
      <c r="O286" s="152" t="n"/>
      <c r="P286" s="161" t="inlineStr">
        <is>
          <t>ND</t>
        </is>
      </c>
      <c r="Q286" s="162" t="inlineStr">
        <is>
          <t>ND</t>
        </is>
      </c>
      <c r="R286" s="162" t="inlineStr">
        <is>
          <t>ND</t>
        </is>
      </c>
      <c r="S286" s="197" t="inlineStr">
        <is>
          <t>✓</t>
        </is>
      </c>
      <c r="T286" s="151" t="n"/>
      <c r="U286" s="147" t="n"/>
      <c r="V286" s="147" t="n"/>
      <c r="W286" s="147" t="n"/>
      <c r="X286" s="152" t="n"/>
      <c r="Y286" s="151" t="n"/>
      <c r="Z286" s="147" t="n"/>
      <c r="AA286" s="163" t="n"/>
    </row>
    <row r="287" ht="13" customHeight="1" s="70">
      <c r="A287" s="281" t="n"/>
      <c r="B287" s="279" t="n"/>
      <c r="C287" s="279" t="n"/>
      <c r="D287" s="205" t="n"/>
      <c r="E287" s="204" t="n"/>
      <c r="F287" s="206" t="n"/>
      <c r="G287" s="205" t="n"/>
      <c r="H287" s="204" t="n"/>
      <c r="I287" s="206" t="n"/>
      <c r="J287" s="205" t="n"/>
      <c r="K287" s="204" t="n"/>
      <c r="L287" s="204" t="n"/>
      <c r="M287" s="204" t="n"/>
      <c r="N287" s="204" t="n"/>
      <c r="O287" s="206" t="n"/>
      <c r="P287" s="221" t="inlineStr">
        <is>
          <t>220-18-М-26, (11.09.2026) [FHM-M]</t>
        </is>
      </c>
      <c r="Q287" s="292" t="n"/>
      <c r="R287" s="293" t="n"/>
      <c r="S287" s="283" t="n"/>
      <c r="T287" s="205" t="n"/>
      <c r="U287" s="204" t="n"/>
      <c r="V287" s="204" t="n"/>
      <c r="W287" s="204" t="n"/>
      <c r="X287" s="206" t="n"/>
      <c r="Y287" s="205" t="n"/>
      <c r="Z287" s="204" t="n"/>
      <c r="AA287" s="207" t="n"/>
    </row>
    <row r="288" ht="17.625" customHeight="1" s="70">
      <c r="A288" s="281" t="n"/>
      <c r="B288" s="279" t="n"/>
      <c r="C288" s="279" t="n"/>
      <c r="D288" s="151" t="n"/>
      <c r="E288" s="147" t="n"/>
      <c r="F288" s="152" t="n"/>
      <c r="G288" s="151" t="n"/>
      <c r="H288" s="147" t="n"/>
      <c r="I288" s="152" t="n"/>
      <c r="J288" s="151" t="n"/>
      <c r="K288" s="147" t="n"/>
      <c r="L288" s="147" t="n"/>
      <c r="M288" s="147" t="n"/>
      <c r="N288" s="147" t="n"/>
      <c r="O288" s="152" t="n"/>
      <c r="P288" s="151" t="n"/>
      <c r="Q288" s="147" t="n"/>
      <c r="R288" s="147" t="n"/>
      <c r="S288" s="152" t="n"/>
      <c r="T288" s="151" t="n"/>
      <c r="U288" s="147" t="n"/>
      <c r="V288" s="147" t="n"/>
      <c r="W288" s="147" t="n"/>
      <c r="X288" s="152" t="n"/>
      <c r="Y288" s="151" t="n"/>
      <c r="Z288" s="147" t="n"/>
      <c r="AA288" s="163" t="n"/>
    </row>
    <row r="289" ht="13" customHeight="1" s="70">
      <c r="A289" s="281" t="n"/>
      <c r="B289" s="279" t="n"/>
      <c r="C289" s="279" t="n"/>
      <c r="D289" s="205" t="n"/>
      <c r="E289" s="204" t="n"/>
      <c r="F289" s="206" t="n"/>
      <c r="G289" s="205" t="n"/>
      <c r="H289" s="204" t="n"/>
      <c r="I289" s="206" t="n"/>
      <c r="J289" s="205" t="n"/>
      <c r="K289" s="204" t="n"/>
      <c r="L289" s="204" t="n"/>
      <c r="M289" s="204" t="n"/>
      <c r="N289" s="204" t="n"/>
      <c r="O289" s="206" t="n"/>
      <c r="P289" s="205" t="n"/>
      <c r="Q289" s="204" t="n"/>
      <c r="R289" s="204" t="n"/>
      <c r="S289" s="206" t="n"/>
      <c r="T289" s="205" t="n"/>
      <c r="U289" s="204" t="n"/>
      <c r="V289" s="204" t="n"/>
      <c r="W289" s="204" t="n"/>
      <c r="X289" s="206" t="n"/>
      <c r="Y289" s="205" t="n"/>
      <c r="Z289" s="204" t="n"/>
      <c r="AA289" s="207" t="n"/>
    </row>
    <row r="290" ht="17.625" customHeight="1" s="70">
      <c r="A290" s="281" t="n"/>
      <c r="B290" s="279" t="n"/>
      <c r="C290" s="279" t="n"/>
      <c r="D290" s="151" t="n"/>
      <c r="E290" s="147" t="n"/>
      <c r="F290" s="152" t="n"/>
      <c r="G290" s="151" t="n"/>
      <c r="H290" s="147" t="n"/>
      <c r="I290" s="152" t="n"/>
      <c r="J290" s="151" t="n"/>
      <c r="K290" s="147" t="n"/>
      <c r="L290" s="147" t="n"/>
      <c r="M290" s="147" t="n"/>
      <c r="N290" s="147" t="n"/>
      <c r="O290" s="152" t="n"/>
      <c r="P290" s="151" t="n"/>
      <c r="Q290" s="147" t="n"/>
      <c r="R290" s="147" t="n"/>
      <c r="S290" s="152" t="n"/>
      <c r="T290" s="151" t="n"/>
      <c r="U290" s="147" t="n"/>
      <c r="V290" s="147" t="n"/>
      <c r="W290" s="147" t="n"/>
      <c r="X290" s="152" t="n"/>
      <c r="Y290" s="151" t="n"/>
      <c r="Z290" s="147" t="n"/>
      <c r="AA290" s="163" t="n"/>
    </row>
    <row r="291" ht="13" customHeight="1" s="70">
      <c r="A291" s="285" t="n"/>
      <c r="B291" s="286" t="n"/>
      <c r="C291" s="286" t="n"/>
      <c r="D291" s="166" t="n"/>
      <c r="E291" s="165" t="n"/>
      <c r="F291" s="167" t="n"/>
      <c r="G291" s="166" t="n"/>
      <c r="H291" s="165" t="n"/>
      <c r="I291" s="167" t="n"/>
      <c r="J291" s="166" t="n"/>
      <c r="K291" s="165" t="n"/>
      <c r="L291" s="165" t="n"/>
      <c r="M291" s="165" t="n"/>
      <c r="N291" s="165" t="n"/>
      <c r="O291" s="167" t="n"/>
      <c r="P291" s="166" t="n"/>
      <c r="Q291" s="165" t="n"/>
      <c r="R291" s="165" t="n"/>
      <c r="S291" s="167" t="n"/>
      <c r="T291" s="166" t="n"/>
      <c r="U291" s="165" t="n"/>
      <c r="V291" s="165" t="n"/>
      <c r="W291" s="165" t="n"/>
      <c r="X291" s="167" t="n"/>
      <c r="Y291" s="166" t="n"/>
      <c r="Z291" s="165" t="n"/>
      <c r="AA291" s="169" t="n"/>
    </row>
    <row r="292" ht="21" customHeight="1" s="70">
      <c r="A292" s="125" t="inlineStr">
        <is>
          <t>JD022601</t>
        </is>
      </c>
      <c r="B292" s="126" t="inlineStr">
        <is>
          <t>P060482</t>
        </is>
      </c>
      <c r="C292" s="177" t="inlineStr">
        <is>
          <t>✗ 4 NO RESULT
(4 no cert / 0 cert w/o result)</t>
        </is>
      </c>
      <c r="D292" s="180" t="inlineStr">
        <is>
          <t>Conforms (no value printed)</t>
        </is>
      </c>
      <c r="E292" s="181" t="inlineStr">
        <is>
          <t>ППК26115, (30.06.2026) [CNP]</t>
        </is>
      </c>
      <c r="F292" s="182" t="inlineStr">
        <is>
          <t>✓</t>
        </is>
      </c>
      <c r="G292" s="180" t="inlineStr">
        <is>
          <t>7.73</t>
        </is>
      </c>
      <c r="H292" s="181" t="inlineStr">
        <is>
          <t>ППК26115, (30.06.2026) [CNP]</t>
        </is>
      </c>
      <c r="I292" s="182" t="inlineStr">
        <is>
          <t>✓</t>
        </is>
      </c>
      <c r="J292" s="171" t="inlineStr">
        <is>
          <t>— MISSING —</t>
        </is>
      </c>
      <c r="K292" s="172" t="inlineStr">
        <is>
          <t>— MISSING —</t>
        </is>
      </c>
      <c r="L292" s="172" t="inlineStr">
        <is>
          <t>— MISSING —</t>
        </is>
      </c>
      <c r="M292" s="172" t="inlineStr">
        <is>
          <t>— MISSING —</t>
        </is>
      </c>
      <c r="N292" s="172" t="inlineStr">
        <is>
          <t>— MISSING —</t>
        </is>
      </c>
      <c r="O292" s="186" t="inlineStr">
        <is>
          <t>✗</t>
        </is>
      </c>
      <c r="P292" s="171" t="inlineStr">
        <is>
          <t>— MISSING —</t>
        </is>
      </c>
      <c r="Q292" s="172" t="inlineStr">
        <is>
          <t>— MISSING —</t>
        </is>
      </c>
      <c r="R292" s="172" t="inlineStr">
        <is>
          <t>— MISSING —</t>
        </is>
      </c>
      <c r="S292" s="186" t="inlineStr">
        <is>
          <t>✗</t>
        </is>
      </c>
      <c r="T292" s="171" t="inlineStr">
        <is>
          <t>— MISSING —</t>
        </is>
      </c>
      <c r="U292" s="172" t="inlineStr">
        <is>
          <t>— MISSING —</t>
        </is>
      </c>
      <c r="V292" s="172" t="inlineStr">
        <is>
          <t>— MISSING —</t>
        </is>
      </c>
      <c r="W292" s="172" t="inlineStr">
        <is>
          <t>— MISSING —</t>
        </is>
      </c>
      <c r="X292" s="186" t="inlineStr">
        <is>
          <t>✗</t>
        </is>
      </c>
      <c r="Y292" s="187" t="inlineStr">
        <is>
          <t>— MISSING —</t>
        </is>
      </c>
      <c r="Z292" s="188" t="inlineStr">
        <is>
          <t>— no certificate —</t>
        </is>
      </c>
      <c r="AA292" s="189" t="inlineStr">
        <is>
          <t>✗</t>
        </is>
      </c>
    </row>
    <row r="293" ht="21" customHeight="1" s="70">
      <c r="A293" s="285" t="n"/>
      <c r="B293" s="286" t="n"/>
      <c r="C293" s="286" t="n"/>
      <c r="D293" s="287" t="n"/>
      <c r="E293" s="286" t="n"/>
      <c r="F293" s="288" t="n"/>
      <c r="G293" s="287" t="n"/>
      <c r="H293" s="286" t="n"/>
      <c r="I293" s="288" t="n"/>
      <c r="J293" s="190" t="inlineStr">
        <is>
          <t>— no certificate —</t>
        </is>
      </c>
      <c r="K293" s="289" t="n"/>
      <c r="L293" s="289" t="n"/>
      <c r="M293" s="289" t="n"/>
      <c r="N293" s="290" t="n"/>
      <c r="O293" s="288" t="n"/>
      <c r="P293" s="190" t="inlineStr">
        <is>
          <t>— no certificate —</t>
        </is>
      </c>
      <c r="Q293" s="289" t="n"/>
      <c r="R293" s="290" t="n"/>
      <c r="S293" s="288" t="n"/>
      <c r="T293" s="190" t="inlineStr">
        <is>
          <t>— no certificate —</t>
        </is>
      </c>
      <c r="U293" s="289" t="n"/>
      <c r="V293" s="289" t="n"/>
      <c r="W293" s="290" t="n"/>
      <c r="X293" s="288" t="n"/>
      <c r="Y293" s="287" t="n"/>
      <c r="Z293" s="286" t="n"/>
      <c r="AA293" s="291" t="n"/>
    </row>
    <row r="294" ht="21" customHeight="1" s="70">
      <c r="A294" s="125" t="inlineStr">
        <is>
          <t>JD112501</t>
        </is>
      </c>
      <c r="B294" s="126" t="inlineStr">
        <is>
          <t>P060212</t>
        </is>
      </c>
      <c r="C294" s="127" t="inlineStr">
        <is>
          <t>✓ COMPLETE
3 testing instances
• 5 document(s) on file, not credited</t>
        </is>
      </c>
      <c r="D294" s="131" t="inlineStr">
        <is>
          <t>Conforms</t>
        </is>
      </c>
      <c r="E294" s="132">
        <f>IFERROR(INDEX('iCoA Register'!$B:$B,MATCH("P060212|I",'iCoA Register'!$AA:$AA,0)),"iCoA — at issue")&amp;", (21.04.2026) [PP]"</f>
        <v/>
      </c>
      <c r="F294" s="133" t="inlineStr">
        <is>
          <t>✓</t>
        </is>
      </c>
      <c r="G294" s="131" t="inlineStr">
        <is>
          <t>6.69</t>
        </is>
      </c>
      <c r="H294" s="132" t="inlineStr">
        <is>
          <t>ППК26063, (11.05.2026) [CNP]</t>
        </is>
      </c>
      <c r="I294" s="133" t="inlineStr">
        <is>
          <t>✓</t>
        </is>
      </c>
      <c r="J294" s="134" t="inlineStr">
        <is>
          <t>1 × 10⁴</t>
        </is>
      </c>
      <c r="K294" s="208" t="inlineStr">
        <is>
          <t>6.7 × 10³</t>
        </is>
      </c>
      <c r="L294" s="208" t="inlineStr">
        <is>
          <t>&lt; 10³ and &gt; 10²</t>
        </is>
      </c>
      <c r="M294" s="208" t="inlineStr">
        <is>
          <t>Absent</t>
        </is>
      </c>
      <c r="N294" s="208" t="inlineStr">
        <is>
          <t>Absent</t>
        </is>
      </c>
      <c r="O294" s="136" t="inlineStr">
        <is>
          <t>•</t>
        </is>
      </c>
      <c r="P294" s="131" t="inlineStr">
        <is>
          <t>not reported</t>
        </is>
      </c>
      <c r="Q294" s="139" t="inlineStr">
        <is>
          <t>&lt; 2</t>
        </is>
      </c>
      <c r="R294" s="139" t="inlineStr">
        <is>
          <t>not reported</t>
        </is>
      </c>
      <c r="S294" s="133" t="inlineStr">
        <is>
          <t>✓</t>
        </is>
      </c>
      <c r="T294" s="131" t="inlineStr">
        <is>
          <t>0.022</t>
        </is>
      </c>
      <c r="U294" s="139" t="inlineStr">
        <is>
          <t>0.0149</t>
        </is>
      </c>
      <c r="V294" s="139" t="inlineStr">
        <is>
          <t>0.02</t>
        </is>
      </c>
      <c r="W294" s="139" t="inlineStr">
        <is>
          <t>0.0166</t>
        </is>
      </c>
      <c r="X294" s="133" t="inlineStr">
        <is>
          <t>✓</t>
        </is>
      </c>
      <c r="Y294" s="131" t="inlineStr">
        <is>
          <t>≤ LOQ (all 26 compounds)</t>
        </is>
      </c>
      <c r="Z294" s="132" t="inlineStr">
        <is>
          <t>2361-2026, (30.04.2026) [IJZ]</t>
        </is>
      </c>
      <c r="AA294" s="140" t="inlineStr">
        <is>
          <t>✓</t>
        </is>
      </c>
    </row>
    <row r="295" ht="21" customHeight="1" s="70">
      <c r="A295" s="281" t="n"/>
      <c r="B295" s="279" t="n"/>
      <c r="C295" s="279" t="n"/>
      <c r="D295" s="282" t="n"/>
      <c r="E295" s="280" t="n"/>
      <c r="F295" s="283" t="n"/>
      <c r="G295" s="282" t="n"/>
      <c r="H295" s="280" t="n"/>
      <c r="I295" s="283" t="n"/>
      <c r="J295" s="210" t="inlineStr">
        <is>
          <t>306-0550-26, (28.04.2026) [IJZ-MB] · experimental — starred sample, not certifying</t>
        </is>
      </c>
      <c r="K295" s="120" t="n"/>
      <c r="L295" s="120" t="n"/>
      <c r="M295" s="120" t="n"/>
      <c r="N295" s="121" t="n"/>
      <c r="O295" s="283" t="n"/>
      <c r="P295" s="144" t="inlineStr">
        <is>
          <t>2361-2026, (30.04.2026) [IJZ]</t>
        </is>
      </c>
      <c r="Q295" s="120" t="n"/>
      <c r="R295" s="121" t="n"/>
      <c r="S295" s="283" t="n"/>
      <c r="T295" s="144" t="inlineStr">
        <is>
          <t>2361-2026, (30.04.2026) [IJZ]</t>
        </is>
      </c>
      <c r="U295" s="120" t="n"/>
      <c r="V295" s="120" t="n"/>
      <c r="W295" s="121" t="n"/>
      <c r="X295" s="283" t="n"/>
      <c r="Y295" s="282" t="n"/>
      <c r="Z295" s="280" t="n"/>
      <c r="AA295" s="284" t="n"/>
    </row>
    <row r="296" ht="21" customHeight="1" s="70">
      <c r="A296" s="281" t="n"/>
      <c r="B296" s="279" t="n"/>
      <c r="C296" s="279" t="n"/>
      <c r="D296" s="151" t="n"/>
      <c r="E296" s="147" t="n"/>
      <c r="F296" s="152" t="n"/>
      <c r="G296" s="200" t="inlineStr">
        <is>
          <t>6.38</t>
        </is>
      </c>
      <c r="H296" s="201" t="inlineStr">
        <is>
          <t>ППК26065, (11.05.2026) [CNP] · experimental — starred sample, not certifying</t>
        </is>
      </c>
      <c r="I296" s="202" t="inlineStr">
        <is>
          <t>•</t>
        </is>
      </c>
      <c r="J296" s="161" t="inlineStr">
        <is>
          <t>2.6 × 10³</t>
        </is>
      </c>
      <c r="K296" s="162" t="inlineStr">
        <is>
          <t>3.3 × 10³</t>
        </is>
      </c>
      <c r="L296" s="162" t="inlineStr">
        <is>
          <t>&lt; 10³ and &gt; 10² ᴿ</t>
        </is>
      </c>
      <c r="M296" s="162" t="inlineStr">
        <is>
          <t>Absent</t>
        </is>
      </c>
      <c r="N296" s="162" t="inlineStr">
        <is>
          <t>Absent</t>
        </is>
      </c>
      <c r="O296" s="197" t="inlineStr">
        <is>
          <t>✓</t>
        </is>
      </c>
      <c r="P296" s="200" t="inlineStr">
        <is>
          <t>not reported</t>
        </is>
      </c>
      <c r="Q296" s="222" t="inlineStr">
        <is>
          <t>&lt; 2</t>
        </is>
      </c>
      <c r="R296" s="222" t="inlineStr">
        <is>
          <t>not reported</t>
        </is>
      </c>
      <c r="S296" s="202" t="inlineStr">
        <is>
          <t>•</t>
        </is>
      </c>
      <c r="T296" s="200" t="inlineStr">
        <is>
          <t>0.0109</t>
        </is>
      </c>
      <c r="U296" s="222" t="inlineStr">
        <is>
          <t>0.01287</t>
        </is>
      </c>
      <c r="V296" s="222" t="inlineStr">
        <is>
          <t>0.0175</t>
        </is>
      </c>
      <c r="W296" s="222" t="inlineStr">
        <is>
          <t>0.0165</t>
        </is>
      </c>
      <c r="X296" s="202" t="inlineStr">
        <is>
          <t>•</t>
        </is>
      </c>
      <c r="Y296" s="200" t="inlineStr">
        <is>
          <t>≤ LOQ (all 27 compounds)</t>
        </is>
      </c>
      <c r="Z296" s="201" t="inlineStr">
        <is>
          <t>2365-2026, (30.04.2026) [IJZ] · experimental — starred sample, not certifying</t>
        </is>
      </c>
      <c r="AA296" s="223" t="inlineStr">
        <is>
          <t>•</t>
        </is>
      </c>
    </row>
    <row r="297" ht="21" customHeight="1" s="70">
      <c r="A297" s="281" t="n"/>
      <c r="B297" s="279" t="n"/>
      <c r="C297" s="279" t="n"/>
      <c r="D297" s="205" t="n"/>
      <c r="E297" s="204" t="n"/>
      <c r="F297" s="206" t="n"/>
      <c r="G297" s="282" t="n"/>
      <c r="H297" s="280" t="n"/>
      <c r="I297" s="283" t="n"/>
      <c r="J297" s="221" t="inlineStr">
        <is>
          <t>307-0551-26, (28.04.2026) [IJZ-MB]</t>
        </is>
      </c>
      <c r="K297" s="292" t="n"/>
      <c r="L297" s="292" t="n"/>
      <c r="M297" s="292" t="n"/>
      <c r="N297" s="293" t="n"/>
      <c r="O297" s="283" t="n"/>
      <c r="P297" s="224" t="inlineStr">
        <is>
          <t>2365-2026, (30.04.2026) [IJZ] · experimental — starred sample, not certifying</t>
        </is>
      </c>
      <c r="Q297" s="292" t="n"/>
      <c r="R297" s="293" t="n"/>
      <c r="S297" s="283" t="n"/>
      <c r="T297" s="224" t="inlineStr">
        <is>
          <t>2365-2026, (30.04.2026) [IJZ] · experimental — starred sample, not certifying</t>
        </is>
      </c>
      <c r="U297" s="292" t="n"/>
      <c r="V297" s="292" t="n"/>
      <c r="W297" s="293" t="n"/>
      <c r="X297" s="283" t="n"/>
      <c r="Y297" s="282" t="n"/>
      <c r="Z297" s="280" t="n"/>
      <c r="AA297" s="284" t="n"/>
    </row>
    <row r="298" ht="17.625" customHeight="1" s="70">
      <c r="A298" s="281" t="n"/>
      <c r="B298" s="279" t="n"/>
      <c r="C298" s="279" t="n"/>
      <c r="D298" s="151" t="n"/>
      <c r="E298" s="147" t="n"/>
      <c r="F298" s="152" t="n"/>
      <c r="G298" s="158" t="inlineStr">
        <is>
          <t>not on this certificate</t>
        </is>
      </c>
      <c r="H298" s="159" t="inlineStr">
        <is>
          <t>197-15-К-26, (07.08.2026) [FHM-K] · on file, not credited</t>
        </is>
      </c>
      <c r="I298" s="160" t="inlineStr">
        <is>
          <t>•</t>
        </is>
      </c>
      <c r="J298" s="151" t="n"/>
      <c r="K298" s="147" t="n"/>
      <c r="L298" s="147" t="n"/>
      <c r="M298" s="147" t="n"/>
      <c r="N298" s="147" t="n"/>
      <c r="O298" s="152" t="n"/>
      <c r="P298" s="161" t="inlineStr">
        <is>
          <t>ND</t>
        </is>
      </c>
      <c r="Q298" s="162" t="inlineStr">
        <is>
          <t>ND</t>
        </is>
      </c>
      <c r="R298" s="162" t="inlineStr">
        <is>
          <t>ND</t>
        </is>
      </c>
      <c r="S298" s="155" t="inlineStr">
        <is>
          <t>✓</t>
        </is>
      </c>
      <c r="T298" s="151" t="n"/>
      <c r="U298" s="147" t="n"/>
      <c r="V298" s="147" t="n"/>
      <c r="W298" s="147" t="n"/>
      <c r="X298" s="152" t="n"/>
      <c r="Y298" s="151" t="n"/>
      <c r="Z298" s="147" t="n"/>
      <c r="AA298" s="163" t="n"/>
    </row>
    <row r="299" ht="21" customHeight="1" s="70">
      <c r="A299" s="285" t="n"/>
      <c r="B299" s="286" t="n"/>
      <c r="C299" s="286" t="n"/>
      <c r="D299" s="166" t="n"/>
      <c r="E299" s="165" t="n"/>
      <c r="F299" s="167" t="n"/>
      <c r="G299" s="287" t="n"/>
      <c r="H299" s="286" t="n"/>
      <c r="I299" s="288" t="n"/>
      <c r="J299" s="166" t="n"/>
      <c r="K299" s="165" t="n"/>
      <c r="L299" s="165" t="n"/>
      <c r="M299" s="165" t="n"/>
      <c r="N299" s="165" t="n"/>
      <c r="O299" s="167" t="n"/>
      <c r="P299" s="168" t="inlineStr">
        <is>
          <t>197-15-М-26, (10.08.2026) [FHM-M]</t>
        </is>
      </c>
      <c r="Q299" s="289" t="n"/>
      <c r="R299" s="290" t="n"/>
      <c r="S299" s="288" t="n"/>
      <c r="T299" s="166" t="n"/>
      <c r="U299" s="165" t="n"/>
      <c r="V299" s="165" t="n"/>
      <c r="W299" s="165" t="n"/>
      <c r="X299" s="167" t="n"/>
      <c r="Y299" s="166" t="n"/>
      <c r="Z299" s="165" t="n"/>
      <c r="AA299" s="169" t="n"/>
    </row>
    <row r="300" ht="21" customHeight="1" s="70">
      <c r="A300" s="125" t="inlineStr">
        <is>
          <t>KC102501</t>
        </is>
      </c>
      <c r="B300" s="126" t="inlineStr">
        <is>
          <t>P060172</t>
        </is>
      </c>
      <c r="C300" s="170" t="inlineStr">
        <is>
          <t>⚠ 3 NO RESULT
(3 no cert / 0 cert w/o result)
3 testing instances
• 2 document(s) on file, not credited</t>
        </is>
      </c>
      <c r="D300" s="131" t="inlineStr">
        <is>
          <t>Conforms</t>
        </is>
      </c>
      <c r="E300" s="132">
        <f>IFERROR(INDEX('iCoA Register'!$B:$B,MATCH("P060172|I",'iCoA Register'!$AA:$AA,0)),"iCoA — at issue")&amp;", (12.03.2026) [PP]"</f>
        <v/>
      </c>
      <c r="F300" s="133" t="inlineStr">
        <is>
          <t>✓</t>
        </is>
      </c>
      <c r="G300" s="131" t="inlineStr">
        <is>
          <t>8.6</t>
        </is>
      </c>
      <c r="H300" s="132" t="inlineStr">
        <is>
          <t>051-4-ГС-26, (02.03.2026) [FHM-K]</t>
        </is>
      </c>
      <c r="I300" s="133" t="inlineStr">
        <is>
          <t>✓</t>
        </is>
      </c>
      <c r="J300" s="171" t="inlineStr">
        <is>
          <t>— MISSING —</t>
        </is>
      </c>
      <c r="K300" s="172" t="inlineStr">
        <is>
          <t>— MISSING —</t>
        </is>
      </c>
      <c r="L300" s="172" t="inlineStr">
        <is>
          <t>— MISSING —</t>
        </is>
      </c>
      <c r="M300" s="172" t="inlineStr">
        <is>
          <t>— MISSING —</t>
        </is>
      </c>
      <c r="N300" s="172" t="inlineStr">
        <is>
          <t>— MISSING —</t>
        </is>
      </c>
      <c r="O300" s="173" t="inlineStr">
        <is>
          <t>✗</t>
        </is>
      </c>
      <c r="P300" s="131" t="inlineStr">
        <is>
          <t>ND</t>
        </is>
      </c>
      <c r="Q300" s="139" t="inlineStr">
        <is>
          <t>ND</t>
        </is>
      </c>
      <c r="R300" s="139" t="inlineStr">
        <is>
          <t>ND</t>
        </is>
      </c>
      <c r="S300" s="133" t="inlineStr">
        <is>
          <t>✓</t>
        </is>
      </c>
      <c r="T300" s="171" t="inlineStr">
        <is>
          <t>— MISSING —</t>
        </is>
      </c>
      <c r="U300" s="172" t="inlineStr">
        <is>
          <t>— MISSING —</t>
        </is>
      </c>
      <c r="V300" s="172" t="inlineStr">
        <is>
          <t>— MISSING —</t>
        </is>
      </c>
      <c r="W300" s="172" t="inlineStr">
        <is>
          <t>— MISSING —</t>
        </is>
      </c>
      <c r="X300" s="173" t="inlineStr">
        <is>
          <t>✗</t>
        </is>
      </c>
      <c r="Y300" s="171" t="inlineStr">
        <is>
          <t>— MISSING —</t>
        </is>
      </c>
      <c r="Z300" s="174" t="inlineStr">
        <is>
          <t>— no certificate —</t>
        </is>
      </c>
      <c r="AA300" s="175" t="inlineStr">
        <is>
          <t>✗</t>
        </is>
      </c>
    </row>
    <row r="301" ht="39" customHeight="1" s="70">
      <c r="A301" s="281" t="n"/>
      <c r="B301" s="279" t="n"/>
      <c r="C301" s="279" t="n"/>
      <c r="D301" s="282" t="n"/>
      <c r="E301" s="280" t="n"/>
      <c r="F301" s="283" t="n"/>
      <c r="G301" s="282" t="n"/>
      <c r="H301" s="280" t="n"/>
      <c r="I301" s="283" t="n"/>
      <c r="J301" s="176" t="inlineStr">
        <is>
          <t>— no certificate —</t>
        </is>
      </c>
      <c r="K301" s="120" t="n"/>
      <c r="L301" s="120" t="n"/>
      <c r="M301" s="120" t="n"/>
      <c r="N301" s="121" t="n"/>
      <c r="O301" s="283" t="n"/>
      <c r="P301" s="144" t="inlineStr">
        <is>
          <t>220-19-М-26, (11.09.2026) [FHM-M]</t>
        </is>
      </c>
      <c r="Q301" s="120" t="n"/>
      <c r="R301" s="121" t="n"/>
      <c r="S301" s="283" t="n"/>
      <c r="T301" s="176" t="inlineStr">
        <is>
          <t>— no certificate —</t>
        </is>
      </c>
      <c r="U301" s="120" t="n"/>
      <c r="V301" s="120" t="n"/>
      <c r="W301" s="121" t="n"/>
      <c r="X301" s="283" t="n"/>
      <c r="Y301" s="282" t="n"/>
      <c r="Z301" s="280" t="n"/>
      <c r="AA301" s="284" t="n"/>
    </row>
    <row r="302" ht="17.625" customHeight="1" s="70">
      <c r="A302" s="281" t="n"/>
      <c r="B302" s="279" t="n"/>
      <c r="C302" s="279" t="n"/>
      <c r="D302" s="151" t="n"/>
      <c r="E302" s="147" t="n"/>
      <c r="F302" s="152" t="n"/>
      <c r="G302" s="200" t="inlineStr">
        <is>
          <t>not on this certificate</t>
        </is>
      </c>
      <c r="H302" s="201" t="inlineStr">
        <is>
          <t>051-4-К-26, (04.03.2026) [FHM-K] · on file, not credited</t>
        </is>
      </c>
      <c r="I302" s="202" t="inlineStr">
        <is>
          <t>•</t>
        </is>
      </c>
      <c r="J302" s="151" t="n"/>
      <c r="K302" s="147" t="n"/>
      <c r="L302" s="147" t="n"/>
      <c r="M302" s="147" t="n"/>
      <c r="N302" s="147" t="n"/>
      <c r="O302" s="152" t="n"/>
      <c r="P302" s="151" t="n"/>
      <c r="Q302" s="147" t="n"/>
      <c r="R302" s="147" t="n"/>
      <c r="S302" s="152" t="n"/>
      <c r="T302" s="151" t="n"/>
      <c r="U302" s="147" t="n"/>
      <c r="V302" s="147" t="n"/>
      <c r="W302" s="147" t="n"/>
      <c r="X302" s="152" t="n"/>
      <c r="Y302" s="151" t="n"/>
      <c r="Z302" s="147" t="n"/>
      <c r="AA302" s="163" t="n"/>
    </row>
    <row r="303" ht="21" customHeight="1" s="70">
      <c r="A303" s="281" t="n"/>
      <c r="B303" s="279" t="n"/>
      <c r="C303" s="279" t="n"/>
      <c r="D303" s="205" t="n"/>
      <c r="E303" s="204" t="n"/>
      <c r="F303" s="206" t="n"/>
      <c r="G303" s="282" t="n"/>
      <c r="H303" s="280" t="n"/>
      <c r="I303" s="283" t="n"/>
      <c r="J303" s="205" t="n"/>
      <c r="K303" s="204" t="n"/>
      <c r="L303" s="204" t="n"/>
      <c r="M303" s="204" t="n"/>
      <c r="N303" s="204" t="n"/>
      <c r="O303" s="206" t="n"/>
      <c r="P303" s="205" t="n"/>
      <c r="Q303" s="204" t="n"/>
      <c r="R303" s="204" t="n"/>
      <c r="S303" s="206" t="n"/>
      <c r="T303" s="205" t="n"/>
      <c r="U303" s="204" t="n"/>
      <c r="V303" s="204" t="n"/>
      <c r="W303" s="204" t="n"/>
      <c r="X303" s="206" t="n"/>
      <c r="Y303" s="205" t="n"/>
      <c r="Z303" s="204" t="n"/>
      <c r="AA303" s="207" t="n"/>
    </row>
    <row r="304" ht="17.625" customHeight="1" s="70">
      <c r="A304" s="281" t="n"/>
      <c r="B304" s="279" t="n"/>
      <c r="C304" s="279" t="n"/>
      <c r="D304" s="151" t="n"/>
      <c r="E304" s="147" t="n"/>
      <c r="F304" s="152" t="n"/>
      <c r="G304" s="151" t="n"/>
      <c r="H304" s="147" t="n"/>
      <c r="I304" s="152" t="n"/>
      <c r="J304" s="151" t="n"/>
      <c r="K304" s="147" t="n"/>
      <c r="L304" s="147" t="n"/>
      <c r="M304" s="147" t="n"/>
      <c r="N304" s="147" t="n"/>
      <c r="O304" s="152" t="n"/>
      <c r="P304" s="151" t="n"/>
      <c r="Q304" s="147" t="n"/>
      <c r="R304" s="147" t="n"/>
      <c r="S304" s="152" t="n"/>
      <c r="T304" s="151" t="n"/>
      <c r="U304" s="147" t="n"/>
      <c r="V304" s="147" t="n"/>
      <c r="W304" s="147" t="n"/>
      <c r="X304" s="152" t="n"/>
      <c r="Y304" s="151" t="n"/>
      <c r="Z304" s="147" t="n"/>
      <c r="AA304" s="163" t="n"/>
    </row>
    <row r="305" ht="13" customHeight="1" s="70">
      <c r="A305" s="285" t="n"/>
      <c r="B305" s="286" t="n"/>
      <c r="C305" s="286" t="n"/>
      <c r="D305" s="166" t="n"/>
      <c r="E305" s="165" t="n"/>
      <c r="F305" s="167" t="n"/>
      <c r="G305" s="166" t="n"/>
      <c r="H305" s="165" t="n"/>
      <c r="I305" s="167" t="n"/>
      <c r="J305" s="166" t="n"/>
      <c r="K305" s="165" t="n"/>
      <c r="L305" s="165" t="n"/>
      <c r="M305" s="165" t="n"/>
      <c r="N305" s="165" t="n"/>
      <c r="O305" s="167" t="n"/>
      <c r="P305" s="166" t="n"/>
      <c r="Q305" s="165" t="n"/>
      <c r="R305" s="165" t="n"/>
      <c r="S305" s="167" t="n"/>
      <c r="T305" s="166" t="n"/>
      <c r="U305" s="165" t="n"/>
      <c r="V305" s="165" t="n"/>
      <c r="W305" s="165" t="n"/>
      <c r="X305" s="167" t="n"/>
      <c r="Y305" s="166" t="n"/>
      <c r="Z305" s="165" t="n"/>
      <c r="AA305" s="169" t="n"/>
    </row>
    <row r="306" ht="21" customHeight="1" s="70">
      <c r="A306" s="125" t="inlineStr">
        <is>
          <t>OPM1024</t>
        </is>
      </c>
      <c r="B306" s="126" t="inlineStr">
        <is>
          <t>N/A — no P batch assigned</t>
        </is>
      </c>
      <c r="C306" s="177" t="inlineStr">
        <is>
          <t>✗ 4 NO RESULT
(4 no cert / 0 cert w/o result)
2 testing instances
• 2 document(s) on file, not credited</t>
        </is>
      </c>
      <c r="D306" s="131" t="inlineStr">
        <is>
          <t>Conforms</t>
        </is>
      </c>
      <c r="E306" s="132" t="inlineStr">
        <is>
          <t>iCoA — at issue (OPM1024), (23.04.2025) [PP]</t>
        </is>
      </c>
      <c r="F306" s="133" t="inlineStr">
        <is>
          <t>✓</t>
        </is>
      </c>
      <c r="G306" s="134" t="inlineStr">
        <is>
          <t>not on this certificate</t>
        </is>
      </c>
      <c r="H306" s="135" t="inlineStr">
        <is>
          <t>197-17-К-26, (07.08.2026) [FHM-K] · on file, not credited</t>
        </is>
      </c>
      <c r="I306" s="136" t="inlineStr">
        <is>
          <t>•</t>
        </is>
      </c>
      <c r="J306" s="134" t="inlineStr">
        <is>
          <t>1.3 × 10⁴ ᴿ</t>
        </is>
      </c>
      <c r="K306" s="208" t="inlineStr">
        <is>
          <t>7 × 10² ᴿ</t>
        </is>
      </c>
      <c r="L306" s="208" t="inlineStr">
        <is>
          <t>&lt; 10² &gt; 10³ ᴿ</t>
        </is>
      </c>
      <c r="M306" s="208" t="inlineStr">
        <is>
          <t>Absent ᴿ</t>
        </is>
      </c>
      <c r="N306" s="208" t="inlineStr">
        <is>
          <t>Absent ᴿ</t>
        </is>
      </c>
      <c r="O306" s="136" t="inlineStr">
        <is>
          <t>•</t>
        </is>
      </c>
      <c r="P306" s="134" t="inlineStr">
        <is>
          <t>not reported</t>
        </is>
      </c>
      <c r="Q306" s="208" t="inlineStr">
        <is>
          <t>&lt; 2 ᴿ</t>
        </is>
      </c>
      <c r="R306" s="208" t="inlineStr">
        <is>
          <t>not reported</t>
        </is>
      </c>
      <c r="S306" s="136" t="inlineStr">
        <is>
          <t>•</t>
        </is>
      </c>
      <c r="T306" s="134" t="inlineStr">
        <is>
          <t>0.031 ᴿ</t>
        </is>
      </c>
      <c r="U306" s="208" t="inlineStr">
        <is>
          <t>0.017 ᴿ</t>
        </is>
      </c>
      <c r="V306" s="208" t="inlineStr">
        <is>
          <t>0.045 ᴿ</t>
        </is>
      </c>
      <c r="W306" s="208" t="inlineStr">
        <is>
          <t>0.005 ᴿ</t>
        </is>
      </c>
      <c r="X306" s="136" t="inlineStr">
        <is>
          <t>•</t>
        </is>
      </c>
      <c r="Y306" s="134" t="inlineStr">
        <is>
          <t>ND ᴿ</t>
        </is>
      </c>
      <c r="Z306" s="135">
        <f>IFERROR(INDEX('iCoA Register'!$B:$B,MATCH("OPM1024|I",'iCoA Register'!$AA:$AA,0)),"iCoA — at issue")&amp;", (24.04.2025) [PP] · on file, not credited"</f>
        <v/>
      </c>
      <c r="AA306" s="209" t="inlineStr">
        <is>
          <t>•</t>
        </is>
      </c>
    </row>
    <row r="307" ht="39" customHeight="1" s="70">
      <c r="A307" s="281" t="n"/>
      <c r="B307" s="279" t="n"/>
      <c r="C307" s="279" t="n"/>
      <c r="D307" s="282" t="n"/>
      <c r="E307" s="280" t="n"/>
      <c r="F307" s="283" t="n"/>
      <c r="G307" s="282" t="n"/>
      <c r="H307" s="280" t="n"/>
      <c r="I307" s="283" t="n"/>
      <c r="J307" s="210">
        <f>IFERROR(INDEX('iCoA Register'!$B:$B,MATCH("OPM1024|I",'iCoA Register'!$AA:$AA,0)),"iCoA — at issue")&amp;", (24.04.2025) [PP] · on file, not credited"</f>
        <v/>
      </c>
      <c r="K307" s="120" t="n"/>
      <c r="L307" s="120" t="n"/>
      <c r="M307" s="120" t="n"/>
      <c r="N307" s="121" t="n"/>
      <c r="O307" s="283" t="n"/>
      <c r="P307" s="210">
        <f>IFERROR(INDEX('iCoA Register'!$B:$B,MATCH("OPM1024|I",'iCoA Register'!$AA:$AA,0)),"iCoA — at issue")&amp;", (24.04.2025) [PP] · on file, not credited"</f>
        <v/>
      </c>
      <c r="Q307" s="120" t="n"/>
      <c r="R307" s="121" t="n"/>
      <c r="S307" s="283" t="n"/>
      <c r="T307" s="210">
        <f>IFERROR(INDEX('iCoA Register'!$B:$B,MATCH("OPM1024|I",'iCoA Register'!$AA:$AA,0)),"iCoA — at issue")&amp;", (24.04.2025) [PP] · on file, not credited"</f>
        <v/>
      </c>
      <c r="U307" s="120" t="n"/>
      <c r="V307" s="120" t="n"/>
      <c r="W307" s="121" t="n"/>
      <c r="X307" s="283" t="n"/>
      <c r="Y307" s="282" t="n"/>
      <c r="Z307" s="280" t="n"/>
      <c r="AA307" s="284" t="n"/>
    </row>
    <row r="308" ht="17.625" customHeight="1" s="70">
      <c r="A308" s="281" t="n"/>
      <c r="B308" s="279" t="n"/>
      <c r="C308" s="279" t="n"/>
      <c r="D308" s="153" t="inlineStr">
        <is>
          <t>Conforms</t>
        </is>
      </c>
      <c r="E308" s="154">
        <f>IFERROR(INDEX('iCoA Register'!$B:$B,MATCH("OPM1024|I",'iCoA Register'!$AA:$AA,0)),"iCoA — at issue")&amp;", (24.04.2025) [PP]"</f>
        <v/>
      </c>
      <c r="F308" s="155" t="inlineStr">
        <is>
          <t>✓</t>
        </is>
      </c>
      <c r="G308" s="151" t="n"/>
      <c r="H308" s="147" t="n"/>
      <c r="I308" s="152" t="n"/>
      <c r="J308" s="151" t="n"/>
      <c r="K308" s="147" t="n"/>
      <c r="L308" s="147" t="n"/>
      <c r="M308" s="147" t="n"/>
      <c r="N308" s="147" t="n"/>
      <c r="O308" s="152" t="n"/>
      <c r="P308" s="161" t="inlineStr">
        <is>
          <t>ND</t>
        </is>
      </c>
      <c r="Q308" s="162" t="inlineStr">
        <is>
          <t>ND</t>
        </is>
      </c>
      <c r="R308" s="162" t="inlineStr">
        <is>
          <t>ND</t>
        </is>
      </c>
      <c r="S308" s="155" t="inlineStr">
        <is>
          <t>✓</t>
        </is>
      </c>
      <c r="T308" s="151" t="n"/>
      <c r="U308" s="147" t="n"/>
      <c r="V308" s="147" t="n"/>
      <c r="W308" s="147" t="n"/>
      <c r="X308" s="152" t="n"/>
      <c r="Y308" s="151" t="n"/>
      <c r="Z308" s="147" t="n"/>
      <c r="AA308" s="163" t="n"/>
    </row>
    <row r="309" ht="39" customHeight="1" s="70">
      <c r="A309" s="285" t="n"/>
      <c r="B309" s="286" t="n"/>
      <c r="C309" s="286" t="n"/>
      <c r="D309" s="287" t="n"/>
      <c r="E309" s="286" t="n"/>
      <c r="F309" s="288" t="n"/>
      <c r="G309" s="166" t="n"/>
      <c r="H309" s="165" t="n"/>
      <c r="I309" s="167" t="n"/>
      <c r="J309" s="166" t="n"/>
      <c r="K309" s="165" t="n"/>
      <c r="L309" s="165" t="n"/>
      <c r="M309" s="165" t="n"/>
      <c r="N309" s="165" t="n"/>
      <c r="O309" s="167" t="n"/>
      <c r="P309" s="168" t="inlineStr">
        <is>
          <t>197-17-М-26, (10.08.2026) [FHM-M]</t>
        </is>
      </c>
      <c r="Q309" s="289" t="n"/>
      <c r="R309" s="290" t="n"/>
      <c r="S309" s="288" t="n"/>
      <c r="T309" s="166" t="n"/>
      <c r="U309" s="165" t="n"/>
      <c r="V309" s="165" t="n"/>
      <c r="W309" s="165" t="n"/>
      <c r="X309" s="167" t="n"/>
      <c r="Y309" s="166" t="n"/>
      <c r="Z309" s="165" t="n"/>
      <c r="AA309" s="169" t="n"/>
    </row>
    <row r="310" ht="21" customHeight="1" s="70">
      <c r="A310" s="125" t="inlineStr">
        <is>
          <t>OPM112501</t>
        </is>
      </c>
      <c r="B310" s="126" t="inlineStr">
        <is>
          <t>P060222</t>
        </is>
      </c>
      <c r="C310" s="170" t="inlineStr">
        <is>
          <t>⚠ 3 NO RESULT
(3 no cert / 0 cert w/o result)
2 testing instances
• 1 document(s) on file, not credited</t>
        </is>
      </c>
      <c r="D310" s="131" t="inlineStr">
        <is>
          <t>Conforms</t>
        </is>
      </c>
      <c r="E310" s="132">
        <f>IFERROR(INDEX('iCoA Register'!$B:$B,MATCH("P060222|I",'iCoA Register'!$AA:$AA,0)),"iCoA — at issue")&amp;", (24.04.2026) [PP]"</f>
        <v/>
      </c>
      <c r="F310" s="133" t="inlineStr">
        <is>
          <t>✓</t>
        </is>
      </c>
      <c r="G310" s="131" t="inlineStr">
        <is>
          <t>8.06 ᴿ</t>
        </is>
      </c>
      <c r="H310" s="132" t="inlineStr">
        <is>
          <t>ППК26031, (05.03.2026) [CNP]</t>
        </is>
      </c>
      <c r="I310" s="133" t="inlineStr">
        <is>
          <t>✓</t>
        </is>
      </c>
      <c r="J310" s="131" t="inlineStr">
        <is>
          <t>&lt; 10</t>
        </is>
      </c>
      <c r="K310" s="139" t="inlineStr">
        <is>
          <t>10</t>
        </is>
      </c>
      <c r="L310" s="139" t="inlineStr">
        <is>
          <t>&lt; 10</t>
        </is>
      </c>
      <c r="M310" s="139" t="inlineStr">
        <is>
          <t>Absent</t>
        </is>
      </c>
      <c r="N310" s="139" t="inlineStr">
        <is>
          <t>Absent</t>
        </is>
      </c>
      <c r="O310" s="133" t="inlineStr">
        <is>
          <t>✓</t>
        </is>
      </c>
      <c r="P310" s="171" t="inlineStr">
        <is>
          <t>— MISSING —</t>
        </is>
      </c>
      <c r="Q310" s="172" t="inlineStr">
        <is>
          <t>— MISSING —</t>
        </is>
      </c>
      <c r="R310" s="172" t="inlineStr">
        <is>
          <t>— MISSING —</t>
        </is>
      </c>
      <c r="S310" s="173" t="inlineStr">
        <is>
          <t>✗</t>
        </is>
      </c>
      <c r="T310" s="171" t="inlineStr">
        <is>
          <t>— MISSING —</t>
        </is>
      </c>
      <c r="U310" s="172" t="inlineStr">
        <is>
          <t>— MISSING —</t>
        </is>
      </c>
      <c r="V310" s="172" t="inlineStr">
        <is>
          <t>— MISSING —</t>
        </is>
      </c>
      <c r="W310" s="172" t="inlineStr">
        <is>
          <t>— MISSING —</t>
        </is>
      </c>
      <c r="X310" s="173" t="inlineStr">
        <is>
          <t>✗</t>
        </is>
      </c>
      <c r="Y310" s="171" t="inlineStr">
        <is>
          <t>— MISSING —</t>
        </is>
      </c>
      <c r="Z310" s="174" t="inlineStr">
        <is>
          <t>— no certificate —</t>
        </is>
      </c>
      <c r="AA310" s="175" t="inlineStr">
        <is>
          <t>✗</t>
        </is>
      </c>
    </row>
    <row r="311" ht="39" customHeight="1" s="70">
      <c r="A311" s="281" t="n"/>
      <c r="B311" s="279" t="n"/>
      <c r="C311" s="279" t="n"/>
      <c r="D311" s="282" t="n"/>
      <c r="E311" s="280" t="n"/>
      <c r="F311" s="283" t="n"/>
      <c r="G311" s="282" t="n"/>
      <c r="H311" s="280" t="n"/>
      <c r="I311" s="283" t="n"/>
      <c r="J311" s="144" t="inlineStr">
        <is>
          <t>546-1077-26, (31.08.2026) [IJZ-MB]</t>
        </is>
      </c>
      <c r="K311" s="120" t="n"/>
      <c r="L311" s="120" t="n"/>
      <c r="M311" s="120" t="n"/>
      <c r="N311" s="121" t="n"/>
      <c r="O311" s="283" t="n"/>
      <c r="P311" s="176" t="inlineStr">
        <is>
          <t>— no certificate —</t>
        </is>
      </c>
      <c r="Q311" s="120" t="n"/>
      <c r="R311" s="121" t="n"/>
      <c r="S311" s="283" t="n"/>
      <c r="T311" s="176" t="inlineStr">
        <is>
          <t>— no certificate —</t>
        </is>
      </c>
      <c r="U311" s="120" t="n"/>
      <c r="V311" s="120" t="n"/>
      <c r="W311" s="121" t="n"/>
      <c r="X311" s="283" t="n"/>
      <c r="Y311" s="282" t="n"/>
      <c r="Z311" s="280" t="n"/>
      <c r="AA311" s="284" t="n"/>
    </row>
    <row r="312" ht="17.625" customHeight="1" s="70">
      <c r="A312" s="281" t="n"/>
      <c r="B312" s="279" t="n"/>
      <c r="C312" s="279" t="n"/>
      <c r="D312" s="151" t="n"/>
      <c r="E312" s="147" t="n"/>
      <c r="F312" s="152" t="n"/>
      <c r="G312" s="151" t="n"/>
      <c r="H312" s="147" t="n"/>
      <c r="I312" s="152" t="n"/>
      <c r="J312" s="151" t="n"/>
      <c r="K312" s="147" t="n"/>
      <c r="L312" s="147" t="n"/>
      <c r="M312" s="147" t="n"/>
      <c r="N312" s="147" t="n"/>
      <c r="O312" s="152" t="n"/>
      <c r="P312" s="151" t="n"/>
      <c r="Q312" s="147" t="n"/>
      <c r="R312" s="147" t="n"/>
      <c r="S312" s="152" t="n"/>
      <c r="T312" s="151" t="n"/>
      <c r="U312" s="147" t="n"/>
      <c r="V312" s="147" t="n"/>
      <c r="W312" s="147" t="n"/>
      <c r="X312" s="152" t="n"/>
      <c r="Y312" s="151" t="n"/>
      <c r="Z312" s="147" t="n"/>
      <c r="AA312" s="163" t="n"/>
    </row>
    <row r="313" ht="39" customHeight="1" s="70">
      <c r="A313" s="285" t="n"/>
      <c r="B313" s="286" t="n"/>
      <c r="C313" s="286" t="n"/>
      <c r="D313" s="166" t="n"/>
      <c r="E313" s="165" t="n"/>
      <c r="F313" s="167" t="n"/>
      <c r="G313" s="166" t="n"/>
      <c r="H313" s="165" t="n"/>
      <c r="I313" s="167" t="n"/>
      <c r="J313" s="166" t="n"/>
      <c r="K313" s="165" t="n"/>
      <c r="L313" s="165" t="n"/>
      <c r="M313" s="165" t="n"/>
      <c r="N313" s="165" t="n"/>
      <c r="O313" s="167" t="n"/>
      <c r="P313" s="166" t="n"/>
      <c r="Q313" s="165" t="n"/>
      <c r="R313" s="165" t="n"/>
      <c r="S313" s="167" t="n"/>
      <c r="T313" s="166" t="n"/>
      <c r="U313" s="165" t="n"/>
      <c r="V313" s="165" t="n"/>
      <c r="W313" s="165" t="n"/>
      <c r="X313" s="167" t="n"/>
      <c r="Y313" s="166" t="n"/>
      <c r="Z313" s="165" t="n"/>
      <c r="AA313" s="169" t="n"/>
    </row>
    <row r="314" ht="30" customHeight="1" s="70">
      <c r="A314" s="125" t="inlineStr">
        <is>
          <t>BSS052501</t>
        </is>
      </c>
      <c r="B314" s="126" t="inlineStr">
        <is>
          <t>P050192</t>
        </is>
      </c>
      <c r="C314" s="170" t="inlineStr">
        <is>
          <t>⚠ 1 NO RESULT
(0 no cert / 1 cert w/o result)
3 testing instances
• 1 document(s) on file, not credited</t>
        </is>
      </c>
      <c r="D314" s="131" t="inlineStr">
        <is>
          <t>Conforms</t>
        </is>
      </c>
      <c r="E314" s="132">
        <f>IFERROR(INDEX('iCoA Register'!$B:$B,MATCH("P050192|I",'iCoA Register'!$AA:$AA,0)),"iCoA — at issue")&amp;", (10.10.2025) [PP]"</f>
        <v/>
      </c>
      <c r="F314" s="133" t="inlineStr">
        <is>
          <t>✓</t>
        </is>
      </c>
      <c r="G314" s="134" t="inlineStr">
        <is>
          <t>8.60 ᴿ</t>
        </is>
      </c>
      <c r="H314" s="135">
        <f>IFERROR(INDEX('iCoA Register'!$B:$B,MATCH("P050192|I",'iCoA Register'!$AA:$AA,0)),"iCoA — at issue")&amp;", (10.10.2025) [PP] · on file, not credited"</f>
        <v/>
      </c>
      <c r="I314" s="136" t="inlineStr">
        <is>
          <t>•</t>
        </is>
      </c>
      <c r="J314" s="131" t="inlineStr">
        <is>
          <t>200</t>
        </is>
      </c>
      <c r="K314" s="139" t="inlineStr">
        <is>
          <t>200</t>
        </is>
      </c>
      <c r="L314" s="139" t="inlineStr">
        <is>
          <t>&lt; 10² &gt; 10</t>
        </is>
      </c>
      <c r="M314" s="139" t="inlineStr">
        <is>
          <t>Absent</t>
        </is>
      </c>
      <c r="N314" s="139" t="inlineStr">
        <is>
          <t>Absent</t>
        </is>
      </c>
      <c r="O314" s="133" t="inlineStr">
        <is>
          <t>✓</t>
        </is>
      </c>
      <c r="P314" s="216" t="inlineStr">
        <is>
          <t>not on this certificate</t>
        </is>
      </c>
      <c r="Q314" s="217" t="inlineStr"/>
      <c r="R314" s="217" t="inlineStr"/>
      <c r="S314" s="218" t="inlineStr">
        <is>
          <t>✗</t>
        </is>
      </c>
      <c r="T314" s="131" t="inlineStr">
        <is>
          <t>0.024</t>
        </is>
      </c>
      <c r="U314" s="139" t="inlineStr">
        <is>
          <t>0.004</t>
        </is>
      </c>
      <c r="V314" s="139" t="inlineStr">
        <is>
          <t>0.025</t>
        </is>
      </c>
      <c r="W314" s="139" t="inlineStr">
        <is>
          <t>0.0036</t>
        </is>
      </c>
      <c r="X314" s="133" t="inlineStr">
        <is>
          <t>✓</t>
        </is>
      </c>
      <c r="Y314" s="131" t="inlineStr">
        <is>
          <t>&lt; LOQ</t>
        </is>
      </c>
      <c r="Z314" s="132" t="inlineStr">
        <is>
          <t>10802_2845-2 EN, (17.11.2025) [DFL]</t>
        </is>
      </c>
      <c r="AA314" s="140" t="inlineStr">
        <is>
          <t>✓</t>
        </is>
      </c>
    </row>
    <row r="315" ht="21" customHeight="1" s="70">
      <c r="A315" s="281" t="n"/>
      <c r="B315" s="279" t="n"/>
      <c r="C315" s="279" t="n"/>
      <c r="D315" s="282" t="n"/>
      <c r="E315" s="280" t="n"/>
      <c r="F315" s="283" t="n"/>
      <c r="G315" s="282" t="n"/>
      <c r="H315" s="280" t="n"/>
      <c r="I315" s="283" t="n"/>
      <c r="J315" s="144" t="inlineStr">
        <is>
          <t>1157-2058-25, (24.11.2025) [IJZ-MB]</t>
        </is>
      </c>
      <c r="K315" s="120" t="n"/>
      <c r="L315" s="120" t="n"/>
      <c r="M315" s="120" t="n"/>
      <c r="N315" s="121" t="n"/>
      <c r="O315" s="283" t="n"/>
      <c r="P315" s="219" t="inlineStr">
        <is>
          <t>5661-2025, (01.12.2025) [IJZ]</t>
        </is>
      </c>
      <c r="Q315" s="120" t="n"/>
      <c r="R315" s="121" t="n"/>
      <c r="S315" s="283" t="n"/>
      <c r="T315" s="144" t="inlineStr">
        <is>
          <t>5661-2025, (01.12.2025) [IJZ]</t>
        </is>
      </c>
      <c r="U315" s="120" t="n"/>
      <c r="V315" s="120" t="n"/>
      <c r="W315" s="121" t="n"/>
      <c r="X315" s="283" t="n"/>
      <c r="Y315" s="282" t="n"/>
      <c r="Z315" s="280" t="n"/>
      <c r="AA315" s="284" t="n"/>
    </row>
    <row r="316" ht="21" customHeight="1" s="70">
      <c r="A316" s="281" t="n"/>
      <c r="B316" s="279" t="n"/>
      <c r="C316" s="279" t="n"/>
      <c r="D316" s="151" t="n"/>
      <c r="E316" s="147" t="n"/>
      <c r="F316" s="152" t="n"/>
      <c r="G316" s="211" t="inlineStr">
        <is>
          <t>not on this certificate</t>
        </is>
      </c>
      <c r="H316" s="212" t="inlineStr">
        <is>
          <t>NGP-QCG-SOP-024 F3, (28.11.2025) [NGP]</t>
        </is>
      </c>
      <c r="I316" s="213" t="inlineStr">
        <is>
          <t>✗</t>
        </is>
      </c>
      <c r="J316" s="161" t="inlineStr">
        <is>
          <t>5.4 × 10²</t>
        </is>
      </c>
      <c r="K316" s="162" t="inlineStr">
        <is>
          <t>3.7 × 10²</t>
        </is>
      </c>
      <c r="L316" s="162" t="inlineStr">
        <is>
          <t>&lt; 10</t>
        </is>
      </c>
      <c r="M316" s="162" t="inlineStr">
        <is>
          <t>Absent</t>
        </is>
      </c>
      <c r="N316" s="162" t="inlineStr">
        <is>
          <t>Absent</t>
        </is>
      </c>
      <c r="O316" s="197" t="inlineStr">
        <is>
          <t>✓</t>
        </is>
      </c>
      <c r="P316" s="161" t="inlineStr">
        <is>
          <t>ND *</t>
        </is>
      </c>
      <c r="Q316" s="162" t="inlineStr">
        <is>
          <t>not reported</t>
        </is>
      </c>
      <c r="R316" s="162" t="inlineStr">
        <is>
          <t>&lt; LOQ **</t>
        </is>
      </c>
      <c r="S316" s="197" t="inlineStr">
        <is>
          <t>✓</t>
        </is>
      </c>
      <c r="T316" s="151" t="n"/>
      <c r="U316" s="147" t="n"/>
      <c r="V316" s="147" t="n"/>
      <c r="W316" s="147" t="n"/>
      <c r="X316" s="152" t="n"/>
      <c r="Y316" s="161" t="inlineStr">
        <is>
          <t>&lt; LOQ</t>
        </is>
      </c>
      <c r="Z316" s="196" t="inlineStr">
        <is>
          <t>10802_2845-2 MK, (17.11.2025) [DFL]</t>
        </is>
      </c>
      <c r="AA316" s="220" t="inlineStr">
        <is>
          <t>✓</t>
        </is>
      </c>
    </row>
    <row r="317" ht="39" customHeight="1" s="70">
      <c r="A317" s="281" t="n"/>
      <c r="B317" s="279" t="n"/>
      <c r="C317" s="279" t="n"/>
      <c r="D317" s="205" t="n"/>
      <c r="E317" s="204" t="n"/>
      <c r="F317" s="206" t="n"/>
      <c r="G317" s="282" t="n"/>
      <c r="H317" s="280" t="n"/>
      <c r="I317" s="283" t="n"/>
      <c r="J317" s="221" t="inlineStr">
        <is>
          <t>548-1079-26, (31.08.2026) [IJZ-MB]</t>
        </is>
      </c>
      <c r="K317" s="292" t="n"/>
      <c r="L317" s="292" t="n"/>
      <c r="M317" s="292" t="n"/>
      <c r="N317" s="293" t="n"/>
      <c r="O317" s="283" t="n"/>
      <c r="P317" s="221" t="inlineStr">
        <is>
          <t>276-31-М-25, (04.12.2025) [FHM-M]</t>
        </is>
      </c>
      <c r="Q317" s="292" t="n"/>
      <c r="R317" s="293" t="n"/>
      <c r="S317" s="283" t="n"/>
      <c r="T317" s="205" t="n"/>
      <c r="U317" s="204" t="n"/>
      <c r="V317" s="204" t="n"/>
      <c r="W317" s="204" t="n"/>
      <c r="X317" s="206" t="n"/>
      <c r="Y317" s="282" t="n"/>
      <c r="Z317" s="280" t="n"/>
      <c r="AA317" s="284" t="n"/>
    </row>
    <row r="318" ht="17.625" customHeight="1" s="70">
      <c r="A318" s="281" t="n"/>
      <c r="B318" s="279" t="n"/>
      <c r="C318" s="279" t="n"/>
      <c r="D318" s="151" t="n"/>
      <c r="E318" s="147" t="n"/>
      <c r="F318" s="152" t="n"/>
      <c r="G318" s="151" t="n"/>
      <c r="H318" s="147" t="n"/>
      <c r="I318" s="152" t="n"/>
      <c r="J318" s="151" t="n"/>
      <c r="K318" s="147" t="n"/>
      <c r="L318" s="147" t="n"/>
      <c r="M318" s="147" t="n"/>
      <c r="N318" s="147" t="n"/>
      <c r="O318" s="152" t="n"/>
      <c r="P318" s="161" t="inlineStr">
        <is>
          <t>ND</t>
        </is>
      </c>
      <c r="Q318" s="162" t="inlineStr">
        <is>
          <t>ND</t>
        </is>
      </c>
      <c r="R318" s="162" t="inlineStr">
        <is>
          <t>ND</t>
        </is>
      </c>
      <c r="S318" s="155" t="inlineStr">
        <is>
          <t>✓</t>
        </is>
      </c>
      <c r="T318" s="151" t="n"/>
      <c r="U318" s="147" t="n"/>
      <c r="V318" s="147" t="n"/>
      <c r="W318" s="147" t="n"/>
      <c r="X318" s="152" t="n"/>
      <c r="Y318" s="236" t="inlineStr">
        <is>
          <t>not on this certificate</t>
        </is>
      </c>
      <c r="Z318" s="237" t="inlineStr">
        <is>
          <t>5661-2025, (01.12.2025) [IJZ]</t>
        </is>
      </c>
      <c r="AA318" s="238" t="inlineStr">
        <is>
          <t>✗</t>
        </is>
      </c>
    </row>
    <row r="319" ht="39" customHeight="1" s="70">
      <c r="A319" s="285" t="n"/>
      <c r="B319" s="286" t="n"/>
      <c r="C319" s="286" t="n"/>
      <c r="D319" s="166" t="n"/>
      <c r="E319" s="165" t="n"/>
      <c r="F319" s="167" t="n"/>
      <c r="G319" s="166" t="n"/>
      <c r="H319" s="165" t="n"/>
      <c r="I319" s="167" t="n"/>
      <c r="J319" s="166" t="n"/>
      <c r="K319" s="165" t="n"/>
      <c r="L319" s="165" t="n"/>
      <c r="M319" s="165" t="n"/>
      <c r="N319" s="165" t="n"/>
      <c r="O319" s="167" t="n"/>
      <c r="P319" s="168" t="inlineStr">
        <is>
          <t>220-2-М-26, (11.09.2026) [FHM-M]</t>
        </is>
      </c>
      <c r="Q319" s="289" t="n"/>
      <c r="R319" s="290" t="n"/>
      <c r="S319" s="288" t="n"/>
      <c r="T319" s="166" t="n"/>
      <c r="U319" s="165" t="n"/>
      <c r="V319" s="165" t="n"/>
      <c r="W319" s="165" t="n"/>
      <c r="X319" s="167" t="n"/>
      <c r="Y319" s="287" t="n"/>
      <c r="Z319" s="286" t="n"/>
      <c r="AA319" s="291" t="n"/>
    </row>
    <row r="320" ht="21" customHeight="1" s="70">
      <c r="A320" s="125" t="inlineStr">
        <is>
          <t>GP062501</t>
        </is>
      </c>
      <c r="B320" s="126" t="inlineStr">
        <is>
          <t>P050202</t>
        </is>
      </c>
      <c r="C320" s="127" t="inlineStr">
        <is>
          <t>✓ COMPLETE
7 testing instances
• 5 document(s) on file, not credited
· stability above A.C.: #6</t>
        </is>
      </c>
      <c r="D320" s="131" t="inlineStr">
        <is>
          <t>Conforms</t>
        </is>
      </c>
      <c r="E320" s="132">
        <f>IFERROR(INDEX('iCoA Register'!$B:$B,MATCH("P050202|I",'iCoA Register'!$AA:$AA,0)),"iCoA — at issue")&amp;", (30.10.2025) [PP]"</f>
        <v/>
      </c>
      <c r="F320" s="133" t="inlineStr">
        <is>
          <t>✓</t>
        </is>
      </c>
      <c r="G320" s="134" t="inlineStr">
        <is>
          <t>8.19 (avg of 4 weighings 51-1,51-2,52-1,52-2) ᴿ</t>
        </is>
      </c>
      <c r="H320" s="135">
        <f>IFERROR(INDEX('iCoA Register'!$B:$B,MATCH("P050202|I",'iCoA Register'!$AA:$AA,0)),"iCoA — at issue")&amp;", (30.10.2025) [PP] · on file, not credited"</f>
        <v/>
      </c>
      <c r="I320" s="136" t="inlineStr">
        <is>
          <t>•</t>
        </is>
      </c>
      <c r="J320" s="131" t="inlineStr">
        <is>
          <t>1.3 × 10⁴</t>
        </is>
      </c>
      <c r="K320" s="139" t="inlineStr">
        <is>
          <t>4.2 × 10³</t>
        </is>
      </c>
      <c r="L320" s="139" t="inlineStr">
        <is>
          <t>&lt; 10³ and &gt; 10² ᴿ</t>
        </is>
      </c>
      <c r="M320" s="139" t="inlineStr">
        <is>
          <t>Absent</t>
        </is>
      </c>
      <c r="N320" s="139" t="inlineStr">
        <is>
          <t>Absent</t>
        </is>
      </c>
      <c r="O320" s="133" t="inlineStr">
        <is>
          <t>✓</t>
        </is>
      </c>
      <c r="P320" s="131" t="inlineStr">
        <is>
          <t>not reported</t>
        </is>
      </c>
      <c r="Q320" s="139" t="inlineStr">
        <is>
          <t>&lt; 2</t>
        </is>
      </c>
      <c r="R320" s="139" t="inlineStr">
        <is>
          <t>not reported</t>
        </is>
      </c>
      <c r="S320" s="133" t="inlineStr">
        <is>
          <t>✓</t>
        </is>
      </c>
      <c r="T320" s="131" t="inlineStr">
        <is>
          <t>0.077</t>
        </is>
      </c>
      <c r="U320" s="139" t="inlineStr">
        <is>
          <t>0.014</t>
        </is>
      </c>
      <c r="V320" s="139" t="inlineStr">
        <is>
          <t>0.024</t>
        </is>
      </c>
      <c r="W320" s="139" t="inlineStr">
        <is>
          <t>0.011</t>
        </is>
      </c>
      <c r="X320" s="133" t="inlineStr">
        <is>
          <t>✓</t>
        </is>
      </c>
      <c r="Y320" s="131" t="inlineStr">
        <is>
          <t>≤ LOQ (all 28 compounds)</t>
        </is>
      </c>
      <c r="Z320" s="132" t="inlineStr">
        <is>
          <t>4762-2025, (08.10.2025) [IJZ]</t>
        </is>
      </c>
      <c r="AA320" s="140" t="inlineStr">
        <is>
          <t>✓</t>
        </is>
      </c>
    </row>
    <row r="321" ht="24.375" customHeight="1" s="70">
      <c r="A321" s="281" t="n"/>
      <c r="B321" s="279" t="n"/>
      <c r="C321" s="279" t="n"/>
      <c r="D321" s="282" t="n"/>
      <c r="E321" s="280" t="n"/>
      <c r="F321" s="283" t="n"/>
      <c r="G321" s="282" t="n"/>
      <c r="H321" s="280" t="n"/>
      <c r="I321" s="283" t="n"/>
      <c r="J321" s="144" t="inlineStr">
        <is>
          <t>1009-1813-25, (08.10.2025) [IJZ-MB]</t>
        </is>
      </c>
      <c r="K321" s="120" t="n"/>
      <c r="L321" s="120" t="n"/>
      <c r="M321" s="120" t="n"/>
      <c r="N321" s="121" t="n"/>
      <c r="O321" s="283" t="n"/>
      <c r="P321" s="144" t="inlineStr">
        <is>
          <t>4762-2025, (08.10.2025) [IJZ]</t>
        </is>
      </c>
      <c r="Q321" s="120" t="n"/>
      <c r="R321" s="121" t="n"/>
      <c r="S321" s="283" t="n"/>
      <c r="T321" s="144" t="inlineStr">
        <is>
          <t>4762-2025, (08.10.2025) [IJZ]</t>
        </is>
      </c>
      <c r="U321" s="120" t="n"/>
      <c r="V321" s="120" t="n"/>
      <c r="W321" s="121" t="n"/>
      <c r="X321" s="283" t="n"/>
      <c r="Y321" s="282" t="n"/>
      <c r="Z321" s="280" t="n"/>
      <c r="AA321" s="284" t="n"/>
    </row>
    <row r="322" ht="17.625" customHeight="1" s="70">
      <c r="A322" s="281" t="n"/>
      <c r="B322" s="279" t="n"/>
      <c r="C322" s="279" t="n"/>
      <c r="D322" s="151" t="n"/>
      <c r="E322" s="147" t="n"/>
      <c r="F322" s="152" t="n"/>
      <c r="G322" s="161" t="inlineStr">
        <is>
          <t>8.19</t>
        </is>
      </c>
      <c r="H322" s="196" t="inlineStr">
        <is>
          <t>NGP-QCG-SOP-024 F3, (28.11.2025) [NGP]</t>
        </is>
      </c>
      <c r="I322" s="197" t="inlineStr">
        <is>
          <t>✓</t>
        </is>
      </c>
      <c r="J322" s="161" t="inlineStr">
        <is>
          <t>600</t>
        </is>
      </c>
      <c r="K322" s="162" t="inlineStr">
        <is>
          <t>400</t>
        </is>
      </c>
      <c r="L322" s="162" t="inlineStr">
        <is>
          <t>&lt; 10</t>
        </is>
      </c>
      <c r="M322" s="162" t="inlineStr">
        <is>
          <t>Absent</t>
        </is>
      </c>
      <c r="N322" s="162" t="inlineStr">
        <is>
          <t>Absent</t>
        </is>
      </c>
      <c r="O322" s="197" t="inlineStr">
        <is>
          <t>✓</t>
        </is>
      </c>
      <c r="P322" s="151" t="n"/>
      <c r="Q322" s="147" t="n"/>
      <c r="R322" s="147" t="n"/>
      <c r="S322" s="152" t="n"/>
      <c r="T322" s="151" t="n"/>
      <c r="U322" s="147" t="n"/>
      <c r="V322" s="147" t="n"/>
      <c r="W322" s="147" t="n"/>
      <c r="X322" s="152" t="n"/>
      <c r="Y322" s="151" t="n"/>
      <c r="Z322" s="147" t="n"/>
      <c r="AA322" s="163" t="n"/>
    </row>
    <row r="323" ht="13" customHeight="1" s="70">
      <c r="A323" s="281" t="n"/>
      <c r="B323" s="279" t="n"/>
      <c r="C323" s="279" t="n"/>
      <c r="D323" s="205" t="n"/>
      <c r="E323" s="204" t="n"/>
      <c r="F323" s="206" t="n"/>
      <c r="G323" s="282" t="n"/>
      <c r="H323" s="280" t="n"/>
      <c r="I323" s="283" t="n"/>
      <c r="J323" s="221" t="inlineStr">
        <is>
          <t>1155-2056-25, (24.11.2025) [IJZ-MB]</t>
        </is>
      </c>
      <c r="K323" s="292" t="n"/>
      <c r="L323" s="292" t="n"/>
      <c r="M323" s="292" t="n"/>
      <c r="N323" s="293" t="n"/>
      <c r="O323" s="283" t="n"/>
      <c r="P323" s="205" t="n"/>
      <c r="Q323" s="204" t="n"/>
      <c r="R323" s="204" t="n"/>
      <c r="S323" s="206" t="n"/>
      <c r="T323" s="205" t="n"/>
      <c r="U323" s="204" t="n"/>
      <c r="V323" s="204" t="n"/>
      <c r="W323" s="204" t="n"/>
      <c r="X323" s="206" t="n"/>
      <c r="Y323" s="205" t="n"/>
      <c r="Z323" s="204" t="n"/>
      <c r="AA323" s="207" t="n"/>
    </row>
    <row r="324" ht="17.625" customHeight="1" s="70">
      <c r="A324" s="281" t="n"/>
      <c r="B324" s="279" t="n"/>
      <c r="C324" s="279" t="n"/>
      <c r="D324" s="151" t="n"/>
      <c r="E324" s="147" t="n"/>
      <c r="F324" s="152" t="n"/>
      <c r="G324" s="228" t="inlineStr">
        <is>
          <t>5.83</t>
        </is>
      </c>
      <c r="H324" s="229" t="inlineStr">
        <is>
          <t>ППК26036, (05.03.2026) [CNP]</t>
        </is>
      </c>
      <c r="I324" s="230" t="inlineStr">
        <is>
          <t>✓</t>
        </is>
      </c>
      <c r="J324" s="161" t="inlineStr">
        <is>
          <t>&lt; 10</t>
        </is>
      </c>
      <c r="K324" s="162" t="inlineStr">
        <is>
          <t>&lt; 10</t>
        </is>
      </c>
      <c r="L324" s="162" t="inlineStr">
        <is>
          <t>&lt; 10</t>
        </is>
      </c>
      <c r="M324" s="162" t="inlineStr">
        <is>
          <t>Absent</t>
        </is>
      </c>
      <c r="N324" s="162" t="inlineStr">
        <is>
          <t>Absent</t>
        </is>
      </c>
      <c r="O324" s="197" t="inlineStr">
        <is>
          <t>✓</t>
        </is>
      </c>
      <c r="P324" s="151" t="n"/>
      <c r="Q324" s="147" t="n"/>
      <c r="R324" s="147" t="n"/>
      <c r="S324" s="152" t="n"/>
      <c r="T324" s="151" t="n"/>
      <c r="U324" s="147" t="n"/>
      <c r="V324" s="147" t="n"/>
      <c r="W324" s="147" t="n"/>
      <c r="X324" s="152" t="n"/>
      <c r="Y324" s="151" t="n"/>
      <c r="Z324" s="147" t="n"/>
      <c r="AA324" s="163" t="n"/>
    </row>
    <row r="325" ht="13" customHeight="1" s="70">
      <c r="A325" s="281" t="n"/>
      <c r="B325" s="279" t="n"/>
      <c r="C325" s="279" t="n"/>
      <c r="D325" s="205" t="n"/>
      <c r="E325" s="204" t="n"/>
      <c r="F325" s="206" t="n"/>
      <c r="G325" s="282" t="n"/>
      <c r="H325" s="280" t="n"/>
      <c r="I325" s="283" t="n"/>
      <c r="J325" s="221" t="inlineStr">
        <is>
          <t>557-1088-26, (01.09.2026) [IJZ-MB]</t>
        </is>
      </c>
      <c r="K325" s="292" t="n"/>
      <c r="L325" s="292" t="n"/>
      <c r="M325" s="292" t="n"/>
      <c r="N325" s="293" t="n"/>
      <c r="O325" s="283" t="n"/>
      <c r="P325" s="205" t="n"/>
      <c r="Q325" s="204" t="n"/>
      <c r="R325" s="204" t="n"/>
      <c r="S325" s="206" t="n"/>
      <c r="T325" s="205" t="n"/>
      <c r="U325" s="204" t="n"/>
      <c r="V325" s="204" t="n"/>
      <c r="W325" s="204" t="n"/>
      <c r="X325" s="206" t="n"/>
      <c r="Y325" s="205" t="n"/>
      <c r="Z325" s="204" t="n"/>
      <c r="AA325" s="207" t="n"/>
    </row>
    <row r="326" ht="17.625" customHeight="1" s="70">
      <c r="A326" s="281" t="n"/>
      <c r="B326" s="279" t="n"/>
      <c r="C326" s="279" t="n"/>
      <c r="D326" s="151" t="n"/>
      <c r="E326" s="147" t="n"/>
      <c r="F326" s="152" t="n"/>
      <c r="G326" s="228" t="inlineStr">
        <is>
          <t>5.38</t>
        </is>
      </c>
      <c r="H326" s="229" t="inlineStr">
        <is>
          <t>ППК26037, (05.03.2026) [CNP]</t>
        </is>
      </c>
      <c r="I326" s="230" t="inlineStr">
        <is>
          <t>✓</t>
        </is>
      </c>
      <c r="J326" s="151" t="n"/>
      <c r="K326" s="147" t="n"/>
      <c r="L326" s="147" t="n"/>
      <c r="M326" s="147" t="n"/>
      <c r="N326" s="147" t="n"/>
      <c r="O326" s="152" t="n"/>
      <c r="P326" s="151" t="n"/>
      <c r="Q326" s="147" t="n"/>
      <c r="R326" s="147" t="n"/>
      <c r="S326" s="152" t="n"/>
      <c r="T326" s="151" t="n"/>
      <c r="U326" s="147" t="n"/>
      <c r="V326" s="147" t="n"/>
      <c r="W326" s="147" t="n"/>
      <c r="X326" s="152" t="n"/>
      <c r="Y326" s="151" t="n"/>
      <c r="Z326" s="147" t="n"/>
      <c r="AA326" s="163" t="n"/>
    </row>
    <row r="327" ht="13" customHeight="1" s="70">
      <c r="A327" s="281" t="n"/>
      <c r="B327" s="279" t="n"/>
      <c r="C327" s="279" t="n"/>
      <c r="D327" s="205" t="n"/>
      <c r="E327" s="204" t="n"/>
      <c r="F327" s="206" t="n"/>
      <c r="G327" s="282" t="n"/>
      <c r="H327" s="280" t="n"/>
      <c r="I327" s="283" t="n"/>
      <c r="J327" s="205" t="n"/>
      <c r="K327" s="204" t="n"/>
      <c r="L327" s="204" t="n"/>
      <c r="M327" s="204" t="n"/>
      <c r="N327" s="204" t="n"/>
      <c r="O327" s="206" t="n"/>
      <c r="P327" s="205" t="n"/>
      <c r="Q327" s="204" t="n"/>
      <c r="R327" s="204" t="n"/>
      <c r="S327" s="206" t="n"/>
      <c r="T327" s="205" t="n"/>
      <c r="U327" s="204" t="n"/>
      <c r="V327" s="204" t="n"/>
      <c r="W327" s="204" t="n"/>
      <c r="X327" s="206" t="n"/>
      <c r="Y327" s="205" t="n"/>
      <c r="Z327" s="204" t="n"/>
      <c r="AA327" s="207" t="n"/>
    </row>
    <row r="328" ht="17.625" customHeight="1" s="70">
      <c r="A328" s="281" t="n"/>
      <c r="B328" s="279" t="n"/>
      <c r="C328" s="279" t="n"/>
      <c r="D328" s="151" t="n"/>
      <c r="E328" s="147" t="n"/>
      <c r="F328" s="152" t="n"/>
      <c r="G328" s="228" t="inlineStr">
        <is>
          <t>6.85</t>
        </is>
      </c>
      <c r="H328" s="229" t="inlineStr">
        <is>
          <t>ППК26057, (11.05.2026) [CNP]</t>
        </is>
      </c>
      <c r="I328" s="230" t="inlineStr">
        <is>
          <t>✓</t>
        </is>
      </c>
      <c r="J328" s="151" t="n"/>
      <c r="K328" s="147" t="n"/>
      <c r="L328" s="147" t="n"/>
      <c r="M328" s="147" t="n"/>
      <c r="N328" s="147" t="n"/>
      <c r="O328" s="152" t="n"/>
      <c r="P328" s="151" t="n"/>
      <c r="Q328" s="147" t="n"/>
      <c r="R328" s="147" t="n"/>
      <c r="S328" s="152" t="n"/>
      <c r="T328" s="151" t="n"/>
      <c r="U328" s="147" t="n"/>
      <c r="V328" s="147" t="n"/>
      <c r="W328" s="147" t="n"/>
      <c r="X328" s="152" t="n"/>
      <c r="Y328" s="151" t="n"/>
      <c r="Z328" s="147" t="n"/>
      <c r="AA328" s="163" t="n"/>
    </row>
    <row r="329" ht="13" customHeight="1" s="70">
      <c r="A329" s="281" t="n"/>
      <c r="B329" s="279" t="n"/>
      <c r="C329" s="279" t="n"/>
      <c r="D329" s="205" t="n"/>
      <c r="E329" s="204" t="n"/>
      <c r="F329" s="206" t="n"/>
      <c r="G329" s="282" t="n"/>
      <c r="H329" s="280" t="n"/>
      <c r="I329" s="283" t="n"/>
      <c r="J329" s="205" t="n"/>
      <c r="K329" s="204" t="n"/>
      <c r="L329" s="204" t="n"/>
      <c r="M329" s="204" t="n"/>
      <c r="N329" s="204" t="n"/>
      <c r="O329" s="206" t="n"/>
      <c r="P329" s="205" t="n"/>
      <c r="Q329" s="204" t="n"/>
      <c r="R329" s="204" t="n"/>
      <c r="S329" s="206" t="n"/>
      <c r="T329" s="205" t="n"/>
      <c r="U329" s="204" t="n"/>
      <c r="V329" s="204" t="n"/>
      <c r="W329" s="204" t="n"/>
      <c r="X329" s="206" t="n"/>
      <c r="Y329" s="205" t="n"/>
      <c r="Z329" s="204" t="n"/>
      <c r="AA329" s="207" t="n"/>
    </row>
    <row r="330" ht="17.625" customHeight="1" s="70">
      <c r="A330" s="281" t="n"/>
      <c r="B330" s="279" t="n"/>
      <c r="C330" s="279" t="n"/>
      <c r="D330" s="151" t="n"/>
      <c r="E330" s="147" t="n"/>
      <c r="F330" s="152" t="n"/>
      <c r="G330" s="228" t="inlineStr">
        <is>
          <t>6.60</t>
        </is>
      </c>
      <c r="H330" s="229" t="inlineStr">
        <is>
          <t>ППК26058, (11.05.2026) [CNP]</t>
        </is>
      </c>
      <c r="I330" s="230" t="inlineStr">
        <is>
          <t>✓</t>
        </is>
      </c>
      <c r="J330" s="151" t="n"/>
      <c r="K330" s="147" t="n"/>
      <c r="L330" s="147" t="n"/>
      <c r="M330" s="147" t="n"/>
      <c r="N330" s="147" t="n"/>
      <c r="O330" s="152" t="n"/>
      <c r="P330" s="151" t="n"/>
      <c r="Q330" s="147" t="n"/>
      <c r="R330" s="147" t="n"/>
      <c r="S330" s="152" t="n"/>
      <c r="T330" s="151" t="n"/>
      <c r="U330" s="147" t="n"/>
      <c r="V330" s="147" t="n"/>
      <c r="W330" s="147" t="n"/>
      <c r="X330" s="152" t="n"/>
      <c r="Y330" s="151" t="n"/>
      <c r="Z330" s="147" t="n"/>
      <c r="AA330" s="163" t="n"/>
    </row>
    <row r="331" ht="13" customHeight="1" s="70">
      <c r="A331" s="281" t="n"/>
      <c r="B331" s="279" t="n"/>
      <c r="C331" s="279" t="n"/>
      <c r="D331" s="205" t="n"/>
      <c r="E331" s="204" t="n"/>
      <c r="F331" s="206" t="n"/>
      <c r="G331" s="282" t="n"/>
      <c r="H331" s="280" t="n"/>
      <c r="I331" s="283" t="n"/>
      <c r="J331" s="205" t="n"/>
      <c r="K331" s="204" t="n"/>
      <c r="L331" s="204" t="n"/>
      <c r="M331" s="204" t="n"/>
      <c r="N331" s="204" t="n"/>
      <c r="O331" s="206" t="n"/>
      <c r="P331" s="205" t="n"/>
      <c r="Q331" s="204" t="n"/>
      <c r="R331" s="204" t="n"/>
      <c r="S331" s="206" t="n"/>
      <c r="T331" s="205" t="n"/>
      <c r="U331" s="204" t="n"/>
      <c r="V331" s="204" t="n"/>
      <c r="W331" s="204" t="n"/>
      <c r="X331" s="206" t="n"/>
      <c r="Y331" s="205" t="n"/>
      <c r="Z331" s="204" t="n"/>
      <c r="AA331" s="207" t="n"/>
    </row>
    <row r="332" ht="17.625" customHeight="1" s="70">
      <c r="A332" s="281" t="n"/>
      <c r="B332" s="279" t="n"/>
      <c r="C332" s="279" t="n"/>
      <c r="D332" s="151" t="n"/>
      <c r="E332" s="147" t="n"/>
      <c r="F332" s="152" t="n"/>
      <c r="G332" s="151" t="n"/>
      <c r="H332" s="147" t="n"/>
      <c r="I332" s="152" t="n"/>
      <c r="J332" s="151" t="n"/>
      <c r="K332" s="147" t="n"/>
      <c r="L332" s="147" t="n"/>
      <c r="M332" s="147" t="n"/>
      <c r="N332" s="147" t="n"/>
      <c r="O332" s="152" t="n"/>
      <c r="P332" s="151" t="n"/>
      <c r="Q332" s="147" t="n"/>
      <c r="R332" s="147" t="n"/>
      <c r="S332" s="152" t="n"/>
      <c r="T332" s="151" t="n"/>
      <c r="U332" s="147" t="n"/>
      <c r="V332" s="147" t="n"/>
      <c r="W332" s="147" t="n"/>
      <c r="X332" s="152" t="n"/>
      <c r="Y332" s="151" t="n"/>
      <c r="Z332" s="147" t="n"/>
      <c r="AA332" s="163" t="n"/>
    </row>
    <row r="333" ht="13" customHeight="1" s="70">
      <c r="A333" s="285" t="n"/>
      <c r="B333" s="286" t="n"/>
      <c r="C333" s="286" t="n"/>
      <c r="D333" s="166" t="n"/>
      <c r="E333" s="165" t="n"/>
      <c r="F333" s="167" t="n"/>
      <c r="G333" s="166" t="n"/>
      <c r="H333" s="165" t="n"/>
      <c r="I333" s="167" t="n"/>
      <c r="J333" s="166" t="n"/>
      <c r="K333" s="165" t="n"/>
      <c r="L333" s="165" t="n"/>
      <c r="M333" s="165" t="n"/>
      <c r="N333" s="165" t="n"/>
      <c r="O333" s="167" t="n"/>
      <c r="P333" s="166" t="n"/>
      <c r="Q333" s="165" t="n"/>
      <c r="R333" s="165" t="n"/>
      <c r="S333" s="167" t="n"/>
      <c r="T333" s="166" t="n"/>
      <c r="U333" s="165" t="n"/>
      <c r="V333" s="165" t="n"/>
      <c r="W333" s="165" t="n"/>
      <c r="X333" s="167" t="n"/>
      <c r="Y333" s="166" t="n"/>
      <c r="Z333" s="165" t="n"/>
      <c r="AA333" s="169" t="n"/>
    </row>
    <row r="334" ht="21" customHeight="1" s="70">
      <c r="A334" s="125" t="inlineStr">
        <is>
          <t>CC012601/1</t>
        </is>
      </c>
      <c r="B334" s="126" t="inlineStr">
        <is>
          <t>P060332</t>
        </is>
      </c>
      <c r="C334" s="177" t="inlineStr">
        <is>
          <t>✗ 4 NO RESULT
(4 no cert / 0 cert w/o result)
• 1 document(s) on file, not credited</t>
        </is>
      </c>
      <c r="D334" s="180" t="inlineStr">
        <is>
          <t>Conforms</t>
        </is>
      </c>
      <c r="E334" s="181">
        <f>IFERROR(INDEX('iCoA Register'!$B:$B,MATCH("P060332|I",'iCoA Register'!$AA:$AA,0)),"iCoA — at issue")&amp;", (22.05.2026) [PP]"</f>
        <v/>
      </c>
      <c r="F334" s="182" t="inlineStr">
        <is>
          <t>✓</t>
        </is>
      </c>
      <c r="G334" s="239" t="inlineStr">
        <is>
          <t>not on this certificate</t>
        </is>
      </c>
      <c r="H334" s="240" t="inlineStr">
        <is>
          <t>197-6-К-26, (07.08.2026) [FHM-K] · on file, not credited</t>
        </is>
      </c>
      <c r="I334" s="241" t="inlineStr">
        <is>
          <t>•</t>
        </is>
      </c>
      <c r="J334" s="171" t="inlineStr">
        <is>
          <t>— MISSING —</t>
        </is>
      </c>
      <c r="K334" s="172" t="inlineStr">
        <is>
          <t>— MISSING —</t>
        </is>
      </c>
      <c r="L334" s="172" t="inlineStr">
        <is>
          <t>— MISSING —</t>
        </is>
      </c>
      <c r="M334" s="172" t="inlineStr">
        <is>
          <t>— MISSING —</t>
        </is>
      </c>
      <c r="N334" s="172" t="inlineStr">
        <is>
          <t>— MISSING —</t>
        </is>
      </c>
      <c r="O334" s="186" t="inlineStr">
        <is>
          <t>✗</t>
        </is>
      </c>
      <c r="P334" s="131" t="inlineStr">
        <is>
          <t>ND</t>
        </is>
      </c>
      <c r="Q334" s="139" t="inlineStr">
        <is>
          <t>ND</t>
        </is>
      </c>
      <c r="R334" s="139" t="inlineStr">
        <is>
          <t>ND</t>
        </is>
      </c>
      <c r="S334" s="182" t="inlineStr">
        <is>
          <t>✓</t>
        </is>
      </c>
      <c r="T334" s="171" t="inlineStr">
        <is>
          <t>— MISSING —</t>
        </is>
      </c>
      <c r="U334" s="172" t="inlineStr">
        <is>
          <t>— MISSING —</t>
        </is>
      </c>
      <c r="V334" s="172" t="inlineStr">
        <is>
          <t>— MISSING —</t>
        </is>
      </c>
      <c r="W334" s="172" t="inlineStr">
        <is>
          <t>— MISSING —</t>
        </is>
      </c>
      <c r="X334" s="186" t="inlineStr">
        <is>
          <t>✗</t>
        </is>
      </c>
      <c r="Y334" s="187" t="inlineStr">
        <is>
          <t>— MISSING —</t>
        </is>
      </c>
      <c r="Z334" s="188" t="inlineStr">
        <is>
          <t>— no certificate —</t>
        </is>
      </c>
      <c r="AA334" s="189" t="inlineStr">
        <is>
          <t>✗</t>
        </is>
      </c>
    </row>
    <row r="335" ht="39" customHeight="1" s="70">
      <c r="A335" s="285" t="n"/>
      <c r="B335" s="286" t="n"/>
      <c r="C335" s="286" t="n"/>
      <c r="D335" s="287" t="n"/>
      <c r="E335" s="286" t="n"/>
      <c r="F335" s="288" t="n"/>
      <c r="G335" s="287" t="n"/>
      <c r="H335" s="286" t="n"/>
      <c r="I335" s="288" t="n"/>
      <c r="J335" s="190" t="inlineStr">
        <is>
          <t>— no certificate —</t>
        </is>
      </c>
      <c r="K335" s="289" t="n"/>
      <c r="L335" s="289" t="n"/>
      <c r="M335" s="289" t="n"/>
      <c r="N335" s="290" t="n"/>
      <c r="O335" s="288" t="n"/>
      <c r="P335" s="168" t="inlineStr">
        <is>
          <t>197-6-М-26, (10.08.2026) [FHM-M]</t>
        </is>
      </c>
      <c r="Q335" s="289" t="n"/>
      <c r="R335" s="290" t="n"/>
      <c r="S335" s="288" t="n"/>
      <c r="T335" s="190" t="inlineStr">
        <is>
          <t>— no certificate —</t>
        </is>
      </c>
      <c r="U335" s="289" t="n"/>
      <c r="V335" s="289" t="n"/>
      <c r="W335" s="290" t="n"/>
      <c r="X335" s="288" t="n"/>
      <c r="Y335" s="287" t="n"/>
      <c r="Z335" s="286" t="n"/>
      <c r="AA335" s="291" t="n"/>
    </row>
    <row r="336" ht="21" customHeight="1" s="70">
      <c r="A336" s="125" t="inlineStr">
        <is>
          <t>FB012602*</t>
        </is>
      </c>
      <c r="B336" s="126" t="inlineStr">
        <is>
          <t>P060352</t>
        </is>
      </c>
      <c r="C336" s="177" t="inlineStr">
        <is>
          <t>✗ 4 NO RESULT
(4 no cert / 0 cert w/o result)
• 1 document(s) on file, not credited</t>
        </is>
      </c>
      <c r="D336" s="180" t="inlineStr">
        <is>
          <t>Conforms</t>
        </is>
      </c>
      <c r="E336" s="181">
        <f>IFERROR(INDEX('iCoA Register'!$B:$B,MATCH("P060352|I",'iCoA Register'!$AA:$AA,0)),"iCoA — at issue")&amp;", (23.05.2026) [PP]"</f>
        <v/>
      </c>
      <c r="F336" s="182" t="inlineStr">
        <is>
          <t>✓</t>
        </is>
      </c>
      <c r="G336" s="239" t="inlineStr">
        <is>
          <t>not on this certificate</t>
        </is>
      </c>
      <c r="H336" s="240" t="inlineStr">
        <is>
          <t>197-7-К-26, (07.08.2026) [FHM-K] · on file, not credited</t>
        </is>
      </c>
      <c r="I336" s="241" t="inlineStr">
        <is>
          <t>•</t>
        </is>
      </c>
      <c r="J336" s="171" t="inlineStr">
        <is>
          <t>— MISSING —</t>
        </is>
      </c>
      <c r="K336" s="172" t="inlineStr">
        <is>
          <t>— MISSING —</t>
        </is>
      </c>
      <c r="L336" s="172" t="inlineStr">
        <is>
          <t>— MISSING —</t>
        </is>
      </c>
      <c r="M336" s="172" t="inlineStr">
        <is>
          <t>— MISSING —</t>
        </is>
      </c>
      <c r="N336" s="172" t="inlineStr">
        <is>
          <t>— MISSING —</t>
        </is>
      </c>
      <c r="O336" s="186" t="inlineStr">
        <is>
          <t>✗</t>
        </is>
      </c>
      <c r="P336" s="131" t="inlineStr">
        <is>
          <t>ND</t>
        </is>
      </c>
      <c r="Q336" s="139" t="inlineStr">
        <is>
          <t>ND</t>
        </is>
      </c>
      <c r="R336" s="139" t="inlineStr">
        <is>
          <t>ND</t>
        </is>
      </c>
      <c r="S336" s="182" t="inlineStr">
        <is>
          <t>✓</t>
        </is>
      </c>
      <c r="T336" s="171" t="inlineStr">
        <is>
          <t>— MISSING —</t>
        </is>
      </c>
      <c r="U336" s="172" t="inlineStr">
        <is>
          <t>— MISSING —</t>
        </is>
      </c>
      <c r="V336" s="172" t="inlineStr">
        <is>
          <t>— MISSING —</t>
        </is>
      </c>
      <c r="W336" s="172" t="inlineStr">
        <is>
          <t>— MISSING —</t>
        </is>
      </c>
      <c r="X336" s="186" t="inlineStr">
        <is>
          <t>✗</t>
        </is>
      </c>
      <c r="Y336" s="187" t="inlineStr">
        <is>
          <t>— MISSING —</t>
        </is>
      </c>
      <c r="Z336" s="188" t="inlineStr">
        <is>
          <t>— no certificate —</t>
        </is>
      </c>
      <c r="AA336" s="189" t="inlineStr">
        <is>
          <t>✗</t>
        </is>
      </c>
    </row>
    <row r="337" ht="39" customHeight="1" s="70">
      <c r="A337" s="285" t="n"/>
      <c r="B337" s="286" t="n"/>
      <c r="C337" s="286" t="n"/>
      <c r="D337" s="287" t="n"/>
      <c r="E337" s="286" t="n"/>
      <c r="F337" s="288" t="n"/>
      <c r="G337" s="287" t="n"/>
      <c r="H337" s="286" t="n"/>
      <c r="I337" s="288" t="n"/>
      <c r="J337" s="190" t="inlineStr">
        <is>
          <t>— no certificate —</t>
        </is>
      </c>
      <c r="K337" s="289" t="n"/>
      <c r="L337" s="289" t="n"/>
      <c r="M337" s="289" t="n"/>
      <c r="N337" s="290" t="n"/>
      <c r="O337" s="288" t="n"/>
      <c r="P337" s="168" t="inlineStr">
        <is>
          <t>197-7-М-26, (10.08.2026) [FHM-M]</t>
        </is>
      </c>
      <c r="Q337" s="289" t="n"/>
      <c r="R337" s="290" t="n"/>
      <c r="S337" s="288" t="n"/>
      <c r="T337" s="190" t="inlineStr">
        <is>
          <t>— no certificate —</t>
        </is>
      </c>
      <c r="U337" s="289" t="n"/>
      <c r="V337" s="289" t="n"/>
      <c r="W337" s="290" t="n"/>
      <c r="X337" s="288" t="n"/>
      <c r="Y337" s="287" t="n"/>
      <c r="Z337" s="286" t="n"/>
      <c r="AA337" s="291" t="n"/>
    </row>
    <row r="338" ht="21" customHeight="1" s="70">
      <c r="A338" s="125" t="inlineStr">
        <is>
          <t>SCR012603</t>
        </is>
      </c>
      <c r="B338" s="126" t="inlineStr">
        <is>
          <t>P060382</t>
        </is>
      </c>
      <c r="C338" s="177" t="inlineStr">
        <is>
          <t>✗ 4 NO RESULT
(4 no cert / 0 cert w/o result)
• 1 document(s) on file, not credited</t>
        </is>
      </c>
      <c r="D338" s="180" t="inlineStr">
        <is>
          <t>Conforms</t>
        </is>
      </c>
      <c r="E338" s="181">
        <f>IFERROR(INDEX('iCoA Register'!$B:$B,MATCH("P060382|I",'iCoA Register'!$AA:$AA,0)),"iCoA — at issue")&amp;", (25.05.2026) [PP]"</f>
        <v/>
      </c>
      <c r="F338" s="182" t="inlineStr">
        <is>
          <t>✓</t>
        </is>
      </c>
      <c r="G338" s="239" t="inlineStr">
        <is>
          <t>not on this certificate</t>
        </is>
      </c>
      <c r="H338" s="240" t="inlineStr">
        <is>
          <t>197-21-К-26, (07.08.2026) [FHM-K] · on file, not credited</t>
        </is>
      </c>
      <c r="I338" s="241" t="inlineStr">
        <is>
          <t>•</t>
        </is>
      </c>
      <c r="J338" s="171" t="inlineStr">
        <is>
          <t>— MISSING —</t>
        </is>
      </c>
      <c r="K338" s="172" t="inlineStr">
        <is>
          <t>— MISSING —</t>
        </is>
      </c>
      <c r="L338" s="172" t="inlineStr">
        <is>
          <t>— MISSING —</t>
        </is>
      </c>
      <c r="M338" s="172" t="inlineStr">
        <is>
          <t>— MISSING —</t>
        </is>
      </c>
      <c r="N338" s="172" t="inlineStr">
        <is>
          <t>— MISSING —</t>
        </is>
      </c>
      <c r="O338" s="186" t="inlineStr">
        <is>
          <t>✗</t>
        </is>
      </c>
      <c r="P338" s="131" t="inlineStr">
        <is>
          <t>ND</t>
        </is>
      </c>
      <c r="Q338" s="139" t="inlineStr">
        <is>
          <t>ND</t>
        </is>
      </c>
      <c r="R338" s="139" t="inlineStr">
        <is>
          <t>ND</t>
        </is>
      </c>
      <c r="S338" s="182" t="inlineStr">
        <is>
          <t>✓</t>
        </is>
      </c>
      <c r="T338" s="171" t="inlineStr">
        <is>
          <t>— MISSING —</t>
        </is>
      </c>
      <c r="U338" s="172" t="inlineStr">
        <is>
          <t>— MISSING —</t>
        </is>
      </c>
      <c r="V338" s="172" t="inlineStr">
        <is>
          <t>— MISSING —</t>
        </is>
      </c>
      <c r="W338" s="172" t="inlineStr">
        <is>
          <t>— MISSING —</t>
        </is>
      </c>
      <c r="X338" s="186" t="inlineStr">
        <is>
          <t>✗</t>
        </is>
      </c>
      <c r="Y338" s="187" t="inlineStr">
        <is>
          <t>— MISSING —</t>
        </is>
      </c>
      <c r="Z338" s="188" t="inlineStr">
        <is>
          <t>— no certificate —</t>
        </is>
      </c>
      <c r="AA338" s="189" t="inlineStr">
        <is>
          <t>✗</t>
        </is>
      </c>
    </row>
    <row r="339" ht="39" customHeight="1" s="70">
      <c r="A339" s="285" t="n"/>
      <c r="B339" s="286" t="n"/>
      <c r="C339" s="286" t="n"/>
      <c r="D339" s="287" t="n"/>
      <c r="E339" s="286" t="n"/>
      <c r="F339" s="288" t="n"/>
      <c r="G339" s="287" t="n"/>
      <c r="H339" s="286" t="n"/>
      <c r="I339" s="288" t="n"/>
      <c r="J339" s="190" t="inlineStr">
        <is>
          <t>— no certificate —</t>
        </is>
      </c>
      <c r="K339" s="289" t="n"/>
      <c r="L339" s="289" t="n"/>
      <c r="M339" s="289" t="n"/>
      <c r="N339" s="290" t="n"/>
      <c r="O339" s="288" t="n"/>
      <c r="P339" s="168" t="inlineStr">
        <is>
          <t>197-21-М-26, (10.08.2026) [FHM-M]</t>
        </is>
      </c>
      <c r="Q339" s="289" t="n"/>
      <c r="R339" s="290" t="n"/>
      <c r="S339" s="288" t="n"/>
      <c r="T339" s="190" t="inlineStr">
        <is>
          <t>— no certificate —</t>
        </is>
      </c>
      <c r="U339" s="289" t="n"/>
      <c r="V339" s="289" t="n"/>
      <c r="W339" s="290" t="n"/>
      <c r="X339" s="288" t="n"/>
      <c r="Y339" s="287" t="n"/>
      <c r="Z339" s="286" t="n"/>
      <c r="AA339" s="291" t="n"/>
    </row>
    <row r="340" ht="21" customHeight="1" s="70">
      <c r="A340" s="125" t="inlineStr">
        <is>
          <t>— not recorded — (P160012)</t>
        </is>
      </c>
      <c r="B340" s="126" t="inlineStr">
        <is>
          <t>P160012</t>
        </is>
      </c>
      <c r="C340" s="177" t="inlineStr">
        <is>
          <t>✗ 4 NO RESULT
(4 no cert / 0 cert w/o result)</t>
        </is>
      </c>
      <c r="D340" s="180" t="inlineStr">
        <is>
          <t>0.42 % (Conforms)</t>
        </is>
      </c>
      <c r="E340" s="181" t="inlineStr">
        <is>
          <t>ППК26117, (06.07.2026) [CNP]</t>
        </is>
      </c>
      <c r="F340" s="182" t="inlineStr">
        <is>
          <t>✓</t>
        </is>
      </c>
      <c r="G340" s="180" t="inlineStr">
        <is>
          <t>6.31</t>
        </is>
      </c>
      <c r="H340" s="181" t="inlineStr">
        <is>
          <t>ППК26117, (06.07.2026) [CNP]</t>
        </is>
      </c>
      <c r="I340" s="182" t="inlineStr">
        <is>
          <t>✓</t>
        </is>
      </c>
      <c r="J340" s="171" t="inlineStr">
        <is>
          <t>— MISSING —</t>
        </is>
      </c>
      <c r="K340" s="172" t="inlineStr">
        <is>
          <t>— MISSING —</t>
        </is>
      </c>
      <c r="L340" s="172" t="inlineStr">
        <is>
          <t>— MISSING —</t>
        </is>
      </c>
      <c r="M340" s="172" t="inlineStr">
        <is>
          <t>— MISSING —</t>
        </is>
      </c>
      <c r="N340" s="172" t="inlineStr">
        <is>
          <t>— MISSING —</t>
        </is>
      </c>
      <c r="O340" s="186" t="inlineStr">
        <is>
          <t>✗</t>
        </is>
      </c>
      <c r="P340" s="171" t="inlineStr">
        <is>
          <t>— MISSING —</t>
        </is>
      </c>
      <c r="Q340" s="172" t="inlineStr">
        <is>
          <t>— MISSING —</t>
        </is>
      </c>
      <c r="R340" s="172" t="inlineStr">
        <is>
          <t>— MISSING —</t>
        </is>
      </c>
      <c r="S340" s="186" t="inlineStr">
        <is>
          <t>✗</t>
        </is>
      </c>
      <c r="T340" s="171" t="inlineStr">
        <is>
          <t>— MISSING —</t>
        </is>
      </c>
      <c r="U340" s="172" t="inlineStr">
        <is>
          <t>— MISSING —</t>
        </is>
      </c>
      <c r="V340" s="172" t="inlineStr">
        <is>
          <t>— MISSING —</t>
        </is>
      </c>
      <c r="W340" s="172" t="inlineStr">
        <is>
          <t>— MISSING —</t>
        </is>
      </c>
      <c r="X340" s="186" t="inlineStr">
        <is>
          <t>✗</t>
        </is>
      </c>
      <c r="Y340" s="187" t="inlineStr">
        <is>
          <t>— MISSING —</t>
        </is>
      </c>
      <c r="Z340" s="188" t="inlineStr">
        <is>
          <t>— no certificate —</t>
        </is>
      </c>
      <c r="AA340" s="189" t="inlineStr">
        <is>
          <t>✗</t>
        </is>
      </c>
    </row>
    <row r="341" ht="13" customHeight="1" s="70">
      <c r="A341" s="285" t="n"/>
      <c r="B341" s="286" t="n"/>
      <c r="C341" s="286" t="n"/>
      <c r="D341" s="287" t="n"/>
      <c r="E341" s="286" t="n"/>
      <c r="F341" s="288" t="n"/>
      <c r="G341" s="287" t="n"/>
      <c r="H341" s="286" t="n"/>
      <c r="I341" s="288" t="n"/>
      <c r="J341" s="190" t="inlineStr">
        <is>
          <t>— no certificate —</t>
        </is>
      </c>
      <c r="K341" s="289" t="n"/>
      <c r="L341" s="289" t="n"/>
      <c r="M341" s="289" t="n"/>
      <c r="N341" s="290" t="n"/>
      <c r="O341" s="288" t="n"/>
      <c r="P341" s="190" t="inlineStr">
        <is>
          <t>— no certificate —</t>
        </is>
      </c>
      <c r="Q341" s="289" t="n"/>
      <c r="R341" s="290" t="n"/>
      <c r="S341" s="288" t="n"/>
      <c r="T341" s="190" t="inlineStr">
        <is>
          <t>— no certificate —</t>
        </is>
      </c>
      <c r="U341" s="289" t="n"/>
      <c r="V341" s="289" t="n"/>
      <c r="W341" s="290" t="n"/>
      <c r="X341" s="288" t="n"/>
      <c r="Y341" s="287" t="n"/>
      <c r="Z341" s="286" t="n"/>
      <c r="AA341" s="291" t="n"/>
    </row>
    <row r="342" ht="21" customHeight="1" s="70">
      <c r="A342" s="125" t="inlineStr">
        <is>
          <t>— not recorded — (P160022)</t>
        </is>
      </c>
      <c r="B342" s="126" t="inlineStr">
        <is>
          <t>P160022</t>
        </is>
      </c>
      <c r="C342" s="177" t="inlineStr">
        <is>
          <t>✗ 4 NO RESULT
(4 no cert / 0 cert w/o result)</t>
        </is>
      </c>
      <c r="D342" s="180" t="inlineStr">
        <is>
          <t>Conforms (no value printed)</t>
        </is>
      </c>
      <c r="E342" s="181" t="inlineStr">
        <is>
          <t>ППК26118, (06.07.2026) [CNP]</t>
        </is>
      </c>
      <c r="F342" s="182" t="inlineStr">
        <is>
          <t>✓</t>
        </is>
      </c>
      <c r="G342" s="180" t="inlineStr">
        <is>
          <t>6.67</t>
        </is>
      </c>
      <c r="H342" s="181" t="inlineStr">
        <is>
          <t>ППК26118, (06.07.2026) [CNP]</t>
        </is>
      </c>
      <c r="I342" s="182" t="inlineStr">
        <is>
          <t>✓</t>
        </is>
      </c>
      <c r="J342" s="171" t="inlineStr">
        <is>
          <t>— MISSING —</t>
        </is>
      </c>
      <c r="K342" s="172" t="inlineStr">
        <is>
          <t>— MISSING —</t>
        </is>
      </c>
      <c r="L342" s="172" t="inlineStr">
        <is>
          <t>— MISSING —</t>
        </is>
      </c>
      <c r="M342" s="172" t="inlineStr">
        <is>
          <t>— MISSING —</t>
        </is>
      </c>
      <c r="N342" s="172" t="inlineStr">
        <is>
          <t>— MISSING —</t>
        </is>
      </c>
      <c r="O342" s="186" t="inlineStr">
        <is>
          <t>✗</t>
        </is>
      </c>
      <c r="P342" s="171" t="inlineStr">
        <is>
          <t>— MISSING —</t>
        </is>
      </c>
      <c r="Q342" s="172" t="inlineStr">
        <is>
          <t>— MISSING —</t>
        </is>
      </c>
      <c r="R342" s="172" t="inlineStr">
        <is>
          <t>— MISSING —</t>
        </is>
      </c>
      <c r="S342" s="186" t="inlineStr">
        <is>
          <t>✗</t>
        </is>
      </c>
      <c r="T342" s="171" t="inlineStr">
        <is>
          <t>— MISSING —</t>
        </is>
      </c>
      <c r="U342" s="172" t="inlineStr">
        <is>
          <t>— MISSING —</t>
        </is>
      </c>
      <c r="V342" s="172" t="inlineStr">
        <is>
          <t>— MISSING —</t>
        </is>
      </c>
      <c r="W342" s="172" t="inlineStr">
        <is>
          <t>— MISSING —</t>
        </is>
      </c>
      <c r="X342" s="186" t="inlineStr">
        <is>
          <t>✗</t>
        </is>
      </c>
      <c r="Y342" s="187" t="inlineStr">
        <is>
          <t>— MISSING —</t>
        </is>
      </c>
      <c r="Z342" s="188" t="inlineStr">
        <is>
          <t>— no certificate —</t>
        </is>
      </c>
      <c r="AA342" s="189" t="inlineStr">
        <is>
          <t>✗</t>
        </is>
      </c>
    </row>
    <row r="343" ht="15.375" customHeight="1" s="70">
      <c r="A343" s="285" t="n"/>
      <c r="B343" s="286" t="n"/>
      <c r="C343" s="286" t="n"/>
      <c r="D343" s="287" t="n"/>
      <c r="E343" s="286" t="n"/>
      <c r="F343" s="288" t="n"/>
      <c r="G343" s="287" t="n"/>
      <c r="H343" s="286" t="n"/>
      <c r="I343" s="288" t="n"/>
      <c r="J343" s="190" t="inlineStr">
        <is>
          <t>— no certificate —</t>
        </is>
      </c>
      <c r="K343" s="289" t="n"/>
      <c r="L343" s="289" t="n"/>
      <c r="M343" s="289" t="n"/>
      <c r="N343" s="290" t="n"/>
      <c r="O343" s="288" t="n"/>
      <c r="P343" s="190" t="inlineStr">
        <is>
          <t>— no certificate —</t>
        </is>
      </c>
      <c r="Q343" s="289" t="n"/>
      <c r="R343" s="290" t="n"/>
      <c r="S343" s="288" t="n"/>
      <c r="T343" s="190" t="inlineStr">
        <is>
          <t>— no certificate —</t>
        </is>
      </c>
      <c r="U343" s="289" t="n"/>
      <c r="V343" s="289" t="n"/>
      <c r="W343" s="290" t="n"/>
      <c r="X343" s="288" t="n"/>
      <c r="Y343" s="287" t="n"/>
      <c r="Z343" s="286" t="n"/>
      <c r="AA343" s="291" t="n"/>
    </row>
    <row r="344" ht="21" customHeight="1" s="70">
      <c r="A344" s="125" t="inlineStr">
        <is>
          <t>— not recorded — (P160032)</t>
        </is>
      </c>
      <c r="B344" s="126" t="inlineStr">
        <is>
          <t>P160032</t>
        </is>
      </c>
      <c r="C344" s="177" t="inlineStr">
        <is>
          <t>✗ 4 NO RESULT
(4 no cert / 0 cert w/o result)</t>
        </is>
      </c>
      <c r="D344" s="180" t="inlineStr">
        <is>
          <t>Conforms (no value printed)</t>
        </is>
      </c>
      <c r="E344" s="181" t="inlineStr">
        <is>
          <t>ППК26119, (06.07.2026) [CNP]</t>
        </is>
      </c>
      <c r="F344" s="182" t="inlineStr">
        <is>
          <t>✓</t>
        </is>
      </c>
      <c r="G344" s="180" t="inlineStr">
        <is>
          <t>6.78</t>
        </is>
      </c>
      <c r="H344" s="181" t="inlineStr">
        <is>
          <t>ППК26119, (06.07.2026) [CNP]</t>
        </is>
      </c>
      <c r="I344" s="182" t="inlineStr">
        <is>
          <t>✓</t>
        </is>
      </c>
      <c r="J344" s="171" t="inlineStr">
        <is>
          <t>— MISSING —</t>
        </is>
      </c>
      <c r="K344" s="172" t="inlineStr">
        <is>
          <t>— MISSING —</t>
        </is>
      </c>
      <c r="L344" s="172" t="inlineStr">
        <is>
          <t>— MISSING —</t>
        </is>
      </c>
      <c r="M344" s="172" t="inlineStr">
        <is>
          <t>— MISSING —</t>
        </is>
      </c>
      <c r="N344" s="172" t="inlineStr">
        <is>
          <t>— MISSING —</t>
        </is>
      </c>
      <c r="O344" s="186" t="inlineStr">
        <is>
          <t>✗</t>
        </is>
      </c>
      <c r="P344" s="171" t="inlineStr">
        <is>
          <t>— MISSING —</t>
        </is>
      </c>
      <c r="Q344" s="172" t="inlineStr">
        <is>
          <t>— MISSING —</t>
        </is>
      </c>
      <c r="R344" s="172" t="inlineStr">
        <is>
          <t>— MISSING —</t>
        </is>
      </c>
      <c r="S344" s="186" t="inlineStr">
        <is>
          <t>✗</t>
        </is>
      </c>
      <c r="T344" s="171" t="inlineStr">
        <is>
          <t>— MISSING —</t>
        </is>
      </c>
      <c r="U344" s="172" t="inlineStr">
        <is>
          <t>— MISSING —</t>
        </is>
      </c>
      <c r="V344" s="172" t="inlineStr">
        <is>
          <t>— MISSING —</t>
        </is>
      </c>
      <c r="W344" s="172" t="inlineStr">
        <is>
          <t>— MISSING —</t>
        </is>
      </c>
      <c r="X344" s="186" t="inlineStr">
        <is>
          <t>✗</t>
        </is>
      </c>
      <c r="Y344" s="187" t="inlineStr">
        <is>
          <t>— MISSING —</t>
        </is>
      </c>
      <c r="Z344" s="188" t="inlineStr">
        <is>
          <t>— no certificate —</t>
        </is>
      </c>
      <c r="AA344" s="189" t="inlineStr">
        <is>
          <t>✗</t>
        </is>
      </c>
    </row>
    <row r="345" ht="15.375" customHeight="1" s="70">
      <c r="A345" s="285" t="n"/>
      <c r="B345" s="286" t="n"/>
      <c r="C345" s="286" t="n"/>
      <c r="D345" s="287" t="n"/>
      <c r="E345" s="286" t="n"/>
      <c r="F345" s="288" t="n"/>
      <c r="G345" s="287" t="n"/>
      <c r="H345" s="286" t="n"/>
      <c r="I345" s="288" t="n"/>
      <c r="J345" s="190" t="inlineStr">
        <is>
          <t>— no certificate —</t>
        </is>
      </c>
      <c r="K345" s="289" t="n"/>
      <c r="L345" s="289" t="n"/>
      <c r="M345" s="289" t="n"/>
      <c r="N345" s="290" t="n"/>
      <c r="O345" s="288" t="n"/>
      <c r="P345" s="190" t="inlineStr">
        <is>
          <t>— no certificate —</t>
        </is>
      </c>
      <c r="Q345" s="289" t="n"/>
      <c r="R345" s="290" t="n"/>
      <c r="S345" s="288" t="n"/>
      <c r="T345" s="190" t="inlineStr">
        <is>
          <t>— no certificate —</t>
        </is>
      </c>
      <c r="U345" s="289" t="n"/>
      <c r="V345" s="289" t="n"/>
      <c r="W345" s="290" t="n"/>
      <c r="X345" s="288" t="n"/>
      <c r="Y345" s="287" t="n"/>
      <c r="Z345" s="286" t="n"/>
      <c r="AA345" s="291" t="n"/>
    </row>
    <row r="346" ht="21" customHeight="1" s="70">
      <c r="A346" s="125" t="inlineStr">
        <is>
          <t>PM112501</t>
        </is>
      </c>
      <c r="B346" s="126" t="inlineStr">
        <is>
          <t>P060232</t>
        </is>
      </c>
      <c r="C346" s="170" t="inlineStr">
        <is>
          <t>⚠ 3 NO RESULT
(3 no cert / 0 cert w/o result)
2 testing instances
• 1 document(s) on file, not credited</t>
        </is>
      </c>
      <c r="D346" s="131" t="inlineStr">
        <is>
          <t>Conforms</t>
        </is>
      </c>
      <c r="E346" s="132">
        <f>IFERROR(INDEX('iCoA Register'!$B:$B,MATCH("P060232|I",'iCoA Register'!$AA:$AA,0)),"iCoA — at issue")&amp;", (27.04.2026) [PP]"</f>
        <v/>
      </c>
      <c r="F346" s="133" t="inlineStr">
        <is>
          <t>✓</t>
        </is>
      </c>
      <c r="G346" s="131" t="inlineStr">
        <is>
          <t>8.61</t>
        </is>
      </c>
      <c r="H346" s="132" t="inlineStr">
        <is>
          <t>ППК26030, (05.03.2026) [CNP]</t>
        </is>
      </c>
      <c r="I346" s="133" t="inlineStr">
        <is>
          <t>✓</t>
        </is>
      </c>
      <c r="J346" s="171" t="inlineStr">
        <is>
          <t>— MISSING —</t>
        </is>
      </c>
      <c r="K346" s="172" t="inlineStr">
        <is>
          <t>— MISSING —</t>
        </is>
      </c>
      <c r="L346" s="172" t="inlineStr">
        <is>
          <t>— MISSING —</t>
        </is>
      </c>
      <c r="M346" s="172" t="inlineStr">
        <is>
          <t>— MISSING —</t>
        </is>
      </c>
      <c r="N346" s="172" t="inlineStr">
        <is>
          <t>— MISSING —</t>
        </is>
      </c>
      <c r="O346" s="173" t="inlineStr">
        <is>
          <t>✗</t>
        </is>
      </c>
      <c r="P346" s="131" t="inlineStr">
        <is>
          <t>ND</t>
        </is>
      </c>
      <c r="Q346" s="139" t="inlineStr">
        <is>
          <t>ND</t>
        </is>
      </c>
      <c r="R346" s="139" t="inlineStr">
        <is>
          <t>ND</t>
        </is>
      </c>
      <c r="S346" s="133" t="inlineStr">
        <is>
          <t>✓</t>
        </is>
      </c>
      <c r="T346" s="171" t="inlineStr">
        <is>
          <t>— MISSING —</t>
        </is>
      </c>
      <c r="U346" s="172" t="inlineStr">
        <is>
          <t>— MISSING —</t>
        </is>
      </c>
      <c r="V346" s="172" t="inlineStr">
        <is>
          <t>— MISSING —</t>
        </is>
      </c>
      <c r="W346" s="172" t="inlineStr">
        <is>
          <t>— MISSING —</t>
        </is>
      </c>
      <c r="X346" s="173" t="inlineStr">
        <is>
          <t>✗</t>
        </is>
      </c>
      <c r="Y346" s="171" t="inlineStr">
        <is>
          <t>— MISSING —</t>
        </is>
      </c>
      <c r="Z346" s="174" t="inlineStr">
        <is>
          <t>— no certificate —</t>
        </is>
      </c>
      <c r="AA346" s="175" t="inlineStr">
        <is>
          <t>✗</t>
        </is>
      </c>
    </row>
    <row r="347" ht="39" customHeight="1" s="70">
      <c r="A347" s="281" t="n"/>
      <c r="B347" s="279" t="n"/>
      <c r="C347" s="279" t="n"/>
      <c r="D347" s="282" t="n"/>
      <c r="E347" s="280" t="n"/>
      <c r="F347" s="283" t="n"/>
      <c r="G347" s="282" t="n"/>
      <c r="H347" s="280" t="n"/>
      <c r="I347" s="283" t="n"/>
      <c r="J347" s="176" t="inlineStr">
        <is>
          <t>— no certificate —</t>
        </is>
      </c>
      <c r="K347" s="120" t="n"/>
      <c r="L347" s="120" t="n"/>
      <c r="M347" s="120" t="n"/>
      <c r="N347" s="121" t="n"/>
      <c r="O347" s="283" t="n"/>
      <c r="P347" s="144" t="inlineStr">
        <is>
          <t>220-24-М-26, (11.09.2026) [FHM-M]</t>
        </is>
      </c>
      <c r="Q347" s="120" t="n"/>
      <c r="R347" s="121" t="n"/>
      <c r="S347" s="283" t="n"/>
      <c r="T347" s="176" t="inlineStr">
        <is>
          <t>— no certificate —</t>
        </is>
      </c>
      <c r="U347" s="120" t="n"/>
      <c r="V347" s="120" t="n"/>
      <c r="W347" s="121" t="n"/>
      <c r="X347" s="283" t="n"/>
      <c r="Y347" s="282" t="n"/>
      <c r="Z347" s="280" t="n"/>
      <c r="AA347" s="284" t="n"/>
    </row>
    <row r="348" ht="17.625" customHeight="1" s="70">
      <c r="A348" s="281" t="n"/>
      <c r="B348" s="279" t="n"/>
      <c r="C348" s="279" t="n"/>
      <c r="D348" s="151" t="n"/>
      <c r="E348" s="147" t="n"/>
      <c r="F348" s="152" t="n"/>
      <c r="G348" s="151" t="n"/>
      <c r="H348" s="147" t="n"/>
      <c r="I348" s="152" t="n"/>
      <c r="J348" s="151" t="n"/>
      <c r="K348" s="147" t="n"/>
      <c r="L348" s="147" t="n"/>
      <c r="M348" s="147" t="n"/>
      <c r="N348" s="147" t="n"/>
      <c r="O348" s="152" t="n"/>
      <c r="P348" s="151" t="n"/>
      <c r="Q348" s="147" t="n"/>
      <c r="R348" s="147" t="n"/>
      <c r="S348" s="152" t="n"/>
      <c r="T348" s="151" t="n"/>
      <c r="U348" s="147" t="n"/>
      <c r="V348" s="147" t="n"/>
      <c r="W348" s="147" t="n"/>
      <c r="X348" s="152" t="n"/>
      <c r="Y348" s="151" t="n"/>
      <c r="Z348" s="147" t="n"/>
      <c r="AA348" s="163" t="n"/>
    </row>
    <row r="349" ht="39" customHeight="1" s="70">
      <c r="A349" s="285" t="n"/>
      <c r="B349" s="286" t="n"/>
      <c r="C349" s="286" t="n"/>
      <c r="D349" s="166" t="n"/>
      <c r="E349" s="165" t="n"/>
      <c r="F349" s="167" t="n"/>
      <c r="G349" s="166" t="n"/>
      <c r="H349" s="165" t="n"/>
      <c r="I349" s="167" t="n"/>
      <c r="J349" s="166" t="n"/>
      <c r="K349" s="165" t="n"/>
      <c r="L349" s="165" t="n"/>
      <c r="M349" s="165" t="n"/>
      <c r="N349" s="165" t="n"/>
      <c r="O349" s="167" t="n"/>
      <c r="P349" s="166" t="n"/>
      <c r="Q349" s="165" t="n"/>
      <c r="R349" s="165" t="n"/>
      <c r="S349" s="167" t="n"/>
      <c r="T349" s="166" t="n"/>
      <c r="U349" s="165" t="n"/>
      <c r="V349" s="165" t="n"/>
      <c r="W349" s="165" t="n"/>
      <c r="X349" s="167" t="n"/>
      <c r="Y349" s="166" t="n"/>
      <c r="Z349" s="165" t="n"/>
      <c r="AA349" s="169" t="n"/>
    </row>
    <row r="350" ht="21" customHeight="1" s="70">
      <c r="A350" s="125" t="inlineStr">
        <is>
          <t>SCR022601</t>
        </is>
      </c>
      <c r="B350" s="126" t="inlineStr">
        <is>
          <t>P060442</t>
        </is>
      </c>
      <c r="C350" s="170" t="inlineStr">
        <is>
          <t>⚠ 3 NO RESULT
(3 no cert / 0 cert w/o result)
2 testing instances</t>
        </is>
      </c>
      <c r="D350" s="131" t="inlineStr">
        <is>
          <t>Conforms ᴿ</t>
        </is>
      </c>
      <c r="E350" s="132" t="inlineStr">
        <is>
          <t>ППК26116, (06.07.2026) [CNP]</t>
        </is>
      </c>
      <c r="F350" s="133" t="inlineStr">
        <is>
          <t>✓</t>
        </is>
      </c>
      <c r="G350" s="131" t="inlineStr">
        <is>
          <t>7.06 ᴿ</t>
        </is>
      </c>
      <c r="H350" s="132" t="inlineStr">
        <is>
          <t>ППК26116, (06.07.2026) [CNP]</t>
        </is>
      </c>
      <c r="I350" s="133" t="inlineStr">
        <is>
          <t>✓</t>
        </is>
      </c>
      <c r="J350" s="131" t="inlineStr">
        <is>
          <t>1.7 × 10³</t>
        </is>
      </c>
      <c r="K350" s="139" t="inlineStr">
        <is>
          <t>5.6 × 10²</t>
        </is>
      </c>
      <c r="L350" s="139" t="inlineStr">
        <is>
          <t>&lt; 10</t>
        </is>
      </c>
      <c r="M350" s="139" t="inlineStr">
        <is>
          <t>Absent</t>
        </is>
      </c>
      <c r="N350" s="139" t="inlineStr">
        <is>
          <t>Absent</t>
        </is>
      </c>
      <c r="O350" s="133" t="inlineStr">
        <is>
          <t>✓</t>
        </is>
      </c>
      <c r="P350" s="171" t="inlineStr">
        <is>
          <t>— MISSING —</t>
        </is>
      </c>
      <c r="Q350" s="172" t="inlineStr">
        <is>
          <t>— MISSING —</t>
        </is>
      </c>
      <c r="R350" s="172" t="inlineStr">
        <is>
          <t>— MISSING —</t>
        </is>
      </c>
      <c r="S350" s="173" t="inlineStr">
        <is>
          <t>✗</t>
        </is>
      </c>
      <c r="T350" s="171" t="inlineStr">
        <is>
          <t>— MISSING —</t>
        </is>
      </c>
      <c r="U350" s="172" t="inlineStr">
        <is>
          <t>— MISSING —</t>
        </is>
      </c>
      <c r="V350" s="172" t="inlineStr">
        <is>
          <t>— MISSING —</t>
        </is>
      </c>
      <c r="W350" s="172" t="inlineStr">
        <is>
          <t>— MISSING —</t>
        </is>
      </c>
      <c r="X350" s="173" t="inlineStr">
        <is>
          <t>✗</t>
        </is>
      </c>
      <c r="Y350" s="171" t="inlineStr">
        <is>
          <t>— MISSING —</t>
        </is>
      </c>
      <c r="Z350" s="174" t="inlineStr">
        <is>
          <t>— no certificate —</t>
        </is>
      </c>
      <c r="AA350" s="175" t="inlineStr">
        <is>
          <t>✗</t>
        </is>
      </c>
    </row>
    <row r="351" ht="39" customHeight="1" s="70">
      <c r="A351" s="281" t="n"/>
      <c r="B351" s="279" t="n"/>
      <c r="C351" s="279" t="n"/>
      <c r="D351" s="282" t="n"/>
      <c r="E351" s="280" t="n"/>
      <c r="F351" s="283" t="n"/>
      <c r="G351" s="282" t="n"/>
      <c r="H351" s="280" t="n"/>
      <c r="I351" s="283" t="n"/>
      <c r="J351" s="144" t="inlineStr">
        <is>
          <t>536-1067-26, (31.08.2026) [IJZ-MB]</t>
        </is>
      </c>
      <c r="K351" s="120" t="n"/>
      <c r="L351" s="120" t="n"/>
      <c r="M351" s="120" t="n"/>
      <c r="N351" s="121" t="n"/>
      <c r="O351" s="283" t="n"/>
      <c r="P351" s="176" t="inlineStr">
        <is>
          <t>— no certificate —</t>
        </is>
      </c>
      <c r="Q351" s="120" t="n"/>
      <c r="R351" s="121" t="n"/>
      <c r="S351" s="283" t="n"/>
      <c r="T351" s="176" t="inlineStr">
        <is>
          <t>— no certificate —</t>
        </is>
      </c>
      <c r="U351" s="120" t="n"/>
      <c r="V351" s="120" t="n"/>
      <c r="W351" s="121" t="n"/>
      <c r="X351" s="283" t="n"/>
      <c r="Y351" s="282" t="n"/>
      <c r="Z351" s="280" t="n"/>
      <c r="AA351" s="284" t="n"/>
    </row>
    <row r="352" ht="17.625" customHeight="1" s="70">
      <c r="A352" s="281" t="n"/>
      <c r="B352" s="279" t="n"/>
      <c r="C352" s="279" t="n"/>
      <c r="D352" s="151" t="n"/>
      <c r="E352" s="147" t="n"/>
      <c r="F352" s="152" t="n"/>
      <c r="G352" s="151" t="n"/>
      <c r="H352" s="147" t="n"/>
      <c r="I352" s="152" t="n"/>
      <c r="J352" s="151" t="n"/>
      <c r="K352" s="147" t="n"/>
      <c r="L352" s="147" t="n"/>
      <c r="M352" s="147" t="n"/>
      <c r="N352" s="147" t="n"/>
      <c r="O352" s="152" t="n"/>
      <c r="P352" s="151" t="n"/>
      <c r="Q352" s="147" t="n"/>
      <c r="R352" s="147" t="n"/>
      <c r="S352" s="152" t="n"/>
      <c r="T352" s="151" t="n"/>
      <c r="U352" s="147" t="n"/>
      <c r="V352" s="147" t="n"/>
      <c r="W352" s="147" t="n"/>
      <c r="X352" s="152" t="n"/>
      <c r="Y352" s="151" t="n"/>
      <c r="Z352" s="147" t="n"/>
      <c r="AA352" s="163" t="n"/>
    </row>
    <row r="353" ht="13" customHeight="1" s="70">
      <c r="A353" s="285" t="n"/>
      <c r="B353" s="286" t="n"/>
      <c r="C353" s="286" t="n"/>
      <c r="D353" s="166" t="n"/>
      <c r="E353" s="165" t="n"/>
      <c r="F353" s="167" t="n"/>
      <c r="G353" s="166" t="n"/>
      <c r="H353" s="165" t="n"/>
      <c r="I353" s="167" t="n"/>
      <c r="J353" s="166" t="n"/>
      <c r="K353" s="165" t="n"/>
      <c r="L353" s="165" t="n"/>
      <c r="M353" s="165" t="n"/>
      <c r="N353" s="165" t="n"/>
      <c r="O353" s="167" t="n"/>
      <c r="P353" s="166" t="n"/>
      <c r="Q353" s="165" t="n"/>
      <c r="R353" s="165" t="n"/>
      <c r="S353" s="167" t="n"/>
      <c r="T353" s="166" t="n"/>
      <c r="U353" s="165" t="n"/>
      <c r="V353" s="165" t="n"/>
      <c r="W353" s="165" t="n"/>
      <c r="X353" s="167" t="n"/>
      <c r="Y353" s="166" t="n"/>
      <c r="Z353" s="165" t="n"/>
      <c r="AA353" s="169" t="n"/>
    </row>
    <row r="354" ht="21" customHeight="1" s="70">
      <c r="A354" s="125" t="inlineStr">
        <is>
          <t>SJ102501</t>
        </is>
      </c>
      <c r="B354" s="126" t="inlineStr">
        <is>
          <t>P060162</t>
        </is>
      </c>
      <c r="C354" s="170" t="inlineStr">
        <is>
          <t>⚠ 3 NO RESULT
(3 no cert / 0 cert w/o result)
3 testing instances
• 2 document(s) on file, not credited</t>
        </is>
      </c>
      <c r="D354" s="131" t="inlineStr">
        <is>
          <t>Conforms</t>
        </is>
      </c>
      <c r="E354" s="132">
        <f>IFERROR(INDEX('iCoA Register'!$B:$B,MATCH("P060162|I",'iCoA Register'!$AA:$AA,0)),"iCoA — at issue")&amp;", (09.03.2026) [PP]"</f>
        <v/>
      </c>
      <c r="F354" s="133" t="inlineStr">
        <is>
          <t>✓</t>
        </is>
      </c>
      <c r="G354" s="131" t="inlineStr">
        <is>
          <t>7.8</t>
        </is>
      </c>
      <c r="H354" s="132" t="inlineStr">
        <is>
          <t>051-3-ГС-26, (02.03.2026) [FHM-K]</t>
        </is>
      </c>
      <c r="I354" s="133" t="inlineStr">
        <is>
          <t>✓</t>
        </is>
      </c>
      <c r="J354" s="131" t="inlineStr">
        <is>
          <t>5.2 × 10²</t>
        </is>
      </c>
      <c r="K354" s="139" t="inlineStr">
        <is>
          <t>4.3 × 10²</t>
        </is>
      </c>
      <c r="L354" s="139" t="inlineStr">
        <is>
          <t>&lt; 10</t>
        </is>
      </c>
      <c r="M354" s="139" t="inlineStr">
        <is>
          <t>Absent</t>
        </is>
      </c>
      <c r="N354" s="139" t="inlineStr">
        <is>
          <t>Absent</t>
        </is>
      </c>
      <c r="O354" s="133" t="inlineStr">
        <is>
          <t>✓</t>
        </is>
      </c>
      <c r="P354" s="171" t="inlineStr">
        <is>
          <t>— MISSING —</t>
        </is>
      </c>
      <c r="Q354" s="172" t="inlineStr">
        <is>
          <t>— MISSING —</t>
        </is>
      </c>
      <c r="R354" s="172" t="inlineStr">
        <is>
          <t>— MISSING —</t>
        </is>
      </c>
      <c r="S354" s="173" t="inlineStr">
        <is>
          <t>✗</t>
        </is>
      </c>
      <c r="T354" s="171" t="inlineStr">
        <is>
          <t>— MISSING —</t>
        </is>
      </c>
      <c r="U354" s="172" t="inlineStr">
        <is>
          <t>— MISSING —</t>
        </is>
      </c>
      <c r="V354" s="172" t="inlineStr">
        <is>
          <t>— MISSING —</t>
        </is>
      </c>
      <c r="W354" s="172" t="inlineStr">
        <is>
          <t>— MISSING —</t>
        </is>
      </c>
      <c r="X354" s="173" t="inlineStr">
        <is>
          <t>✗</t>
        </is>
      </c>
      <c r="Y354" s="171" t="inlineStr">
        <is>
          <t>— MISSING —</t>
        </is>
      </c>
      <c r="Z354" s="174" t="inlineStr">
        <is>
          <t>— no certificate —</t>
        </is>
      </c>
      <c r="AA354" s="175" t="inlineStr">
        <is>
          <t>✗</t>
        </is>
      </c>
    </row>
    <row r="355" ht="39" customHeight="1" s="70">
      <c r="A355" s="281" t="n"/>
      <c r="B355" s="279" t="n"/>
      <c r="C355" s="279" t="n"/>
      <c r="D355" s="282" t="n"/>
      <c r="E355" s="280" t="n"/>
      <c r="F355" s="283" t="n"/>
      <c r="G355" s="282" t="n"/>
      <c r="H355" s="280" t="n"/>
      <c r="I355" s="283" t="n"/>
      <c r="J355" s="144" t="inlineStr">
        <is>
          <t>549-1080-26, (31.08.2026) [IJZ-MB]</t>
        </is>
      </c>
      <c r="K355" s="120" t="n"/>
      <c r="L355" s="120" t="n"/>
      <c r="M355" s="120" t="n"/>
      <c r="N355" s="121" t="n"/>
      <c r="O355" s="283" t="n"/>
      <c r="P355" s="176" t="inlineStr">
        <is>
          <t>— no certificate —</t>
        </is>
      </c>
      <c r="Q355" s="120" t="n"/>
      <c r="R355" s="121" t="n"/>
      <c r="S355" s="283" t="n"/>
      <c r="T355" s="176" t="inlineStr">
        <is>
          <t>— no certificate —</t>
        </is>
      </c>
      <c r="U355" s="120" t="n"/>
      <c r="V355" s="120" t="n"/>
      <c r="W355" s="121" t="n"/>
      <c r="X355" s="283" t="n"/>
      <c r="Y355" s="282" t="n"/>
      <c r="Z355" s="280" t="n"/>
      <c r="AA355" s="284" t="n"/>
    </row>
    <row r="356" ht="17.625" customHeight="1" s="70">
      <c r="A356" s="281" t="n"/>
      <c r="B356" s="279" t="n"/>
      <c r="C356" s="279" t="n"/>
      <c r="D356" s="151" t="n"/>
      <c r="E356" s="147" t="n"/>
      <c r="F356" s="152" t="n"/>
      <c r="G356" s="200" t="inlineStr">
        <is>
          <t>not on this certificate</t>
        </is>
      </c>
      <c r="H356" s="201" t="inlineStr">
        <is>
          <t>051-3-К-26, (04.03.2026) [FHM-K] · on file, not credited</t>
        </is>
      </c>
      <c r="I356" s="202" t="inlineStr">
        <is>
          <t>•</t>
        </is>
      </c>
      <c r="J356" s="151" t="n"/>
      <c r="K356" s="147" t="n"/>
      <c r="L356" s="147" t="n"/>
      <c r="M356" s="147" t="n"/>
      <c r="N356" s="147" t="n"/>
      <c r="O356" s="152" t="n"/>
      <c r="P356" s="151" t="n"/>
      <c r="Q356" s="147" t="n"/>
      <c r="R356" s="147" t="n"/>
      <c r="S356" s="152" t="n"/>
      <c r="T356" s="151" t="n"/>
      <c r="U356" s="147" t="n"/>
      <c r="V356" s="147" t="n"/>
      <c r="W356" s="147" t="n"/>
      <c r="X356" s="152" t="n"/>
      <c r="Y356" s="151" t="n"/>
      <c r="Z356" s="147" t="n"/>
      <c r="AA356" s="163" t="n"/>
    </row>
    <row r="357" ht="21" customHeight="1" s="70">
      <c r="A357" s="281" t="n"/>
      <c r="B357" s="279" t="n"/>
      <c r="C357" s="279" t="n"/>
      <c r="D357" s="205" t="n"/>
      <c r="E357" s="204" t="n"/>
      <c r="F357" s="206" t="n"/>
      <c r="G357" s="282" t="n"/>
      <c r="H357" s="280" t="n"/>
      <c r="I357" s="283" t="n"/>
      <c r="J357" s="205" t="n"/>
      <c r="K357" s="204" t="n"/>
      <c r="L357" s="204" t="n"/>
      <c r="M357" s="204" t="n"/>
      <c r="N357" s="204" t="n"/>
      <c r="O357" s="206" t="n"/>
      <c r="P357" s="205" t="n"/>
      <c r="Q357" s="204" t="n"/>
      <c r="R357" s="204" t="n"/>
      <c r="S357" s="206" t="n"/>
      <c r="T357" s="205" t="n"/>
      <c r="U357" s="204" t="n"/>
      <c r="V357" s="204" t="n"/>
      <c r="W357" s="204" t="n"/>
      <c r="X357" s="206" t="n"/>
      <c r="Y357" s="205" t="n"/>
      <c r="Z357" s="204" t="n"/>
      <c r="AA357" s="207" t="n"/>
    </row>
    <row r="358" ht="17.625" customHeight="1" s="70">
      <c r="A358" s="281" t="n"/>
      <c r="B358" s="279" t="n"/>
      <c r="C358" s="279" t="n"/>
      <c r="D358" s="151" t="n"/>
      <c r="E358" s="147" t="n"/>
      <c r="F358" s="152" t="n"/>
      <c r="G358" s="151" t="n"/>
      <c r="H358" s="147" t="n"/>
      <c r="I358" s="152" t="n"/>
      <c r="J358" s="151" t="n"/>
      <c r="K358" s="147" t="n"/>
      <c r="L358" s="147" t="n"/>
      <c r="M358" s="147" t="n"/>
      <c r="N358" s="147" t="n"/>
      <c r="O358" s="152" t="n"/>
      <c r="P358" s="151" t="n"/>
      <c r="Q358" s="147" t="n"/>
      <c r="R358" s="147" t="n"/>
      <c r="S358" s="152" t="n"/>
      <c r="T358" s="151" t="n"/>
      <c r="U358" s="147" t="n"/>
      <c r="V358" s="147" t="n"/>
      <c r="W358" s="147" t="n"/>
      <c r="X358" s="152" t="n"/>
      <c r="Y358" s="151" t="n"/>
      <c r="Z358" s="147" t="n"/>
      <c r="AA358" s="163" t="n"/>
    </row>
    <row r="359" ht="13" customHeight="1" s="70">
      <c r="A359" s="285" t="n"/>
      <c r="B359" s="286" t="n"/>
      <c r="C359" s="286" t="n"/>
      <c r="D359" s="166" t="n"/>
      <c r="E359" s="165" t="n"/>
      <c r="F359" s="167" t="n"/>
      <c r="G359" s="166" t="n"/>
      <c r="H359" s="165" t="n"/>
      <c r="I359" s="167" t="n"/>
      <c r="J359" s="166" t="n"/>
      <c r="K359" s="165" t="n"/>
      <c r="L359" s="165" t="n"/>
      <c r="M359" s="165" t="n"/>
      <c r="N359" s="165" t="n"/>
      <c r="O359" s="167" t="n"/>
      <c r="P359" s="166" t="n"/>
      <c r="Q359" s="165" t="n"/>
      <c r="R359" s="165" t="n"/>
      <c r="S359" s="167" t="n"/>
      <c r="T359" s="166" t="n"/>
      <c r="U359" s="165" t="n"/>
      <c r="V359" s="165" t="n"/>
      <c r="W359" s="165" t="n"/>
      <c r="X359" s="167" t="n"/>
      <c r="Y359" s="166" t="n"/>
      <c r="Z359" s="165" t="n"/>
      <c r="AA359" s="169" t="n"/>
    </row>
    <row r="360" ht="21" customHeight="1" s="70">
      <c r="A360" s="125" t="inlineStr">
        <is>
          <t>SJ112501</t>
        </is>
      </c>
      <c r="B360" s="126" t="inlineStr">
        <is>
          <t>P060192</t>
        </is>
      </c>
      <c r="C360" s="177" t="inlineStr">
        <is>
          <t>✗ 4 NO RESULT
(4 no cert / 0 cert w/o result)
3 testing instances
• 2 document(s) on file, not credited</t>
        </is>
      </c>
      <c r="D360" s="131" t="inlineStr">
        <is>
          <t>Conforms</t>
        </is>
      </c>
      <c r="E360" s="132">
        <f>IFERROR(INDEX('iCoA Register'!$B:$B,MATCH("P060192|I",'iCoA Register'!$AA:$AA,0)),"iCoA — at issue")&amp;", (31.03.2026) [PP]"</f>
        <v/>
      </c>
      <c r="F360" s="133" t="inlineStr">
        <is>
          <t>✓</t>
        </is>
      </c>
      <c r="G360" s="131" t="inlineStr">
        <is>
          <t>6.7</t>
        </is>
      </c>
      <c r="H360" s="132" t="inlineStr">
        <is>
          <t>051-2-ГС-26, (02.03.2026) [FHM-K]</t>
        </is>
      </c>
      <c r="I360" s="133" t="inlineStr">
        <is>
          <t>✓</t>
        </is>
      </c>
      <c r="J360" s="171" t="inlineStr">
        <is>
          <t>— MISSING —</t>
        </is>
      </c>
      <c r="K360" s="172" t="inlineStr">
        <is>
          <t>— MISSING —</t>
        </is>
      </c>
      <c r="L360" s="172" t="inlineStr">
        <is>
          <t>— MISSING —</t>
        </is>
      </c>
      <c r="M360" s="172" t="inlineStr">
        <is>
          <t>— MISSING —</t>
        </is>
      </c>
      <c r="N360" s="172" t="inlineStr">
        <is>
          <t>— MISSING —</t>
        </is>
      </c>
      <c r="O360" s="173" t="inlineStr">
        <is>
          <t>✗</t>
        </is>
      </c>
      <c r="P360" s="171" t="inlineStr">
        <is>
          <t>— MISSING —</t>
        </is>
      </c>
      <c r="Q360" s="172" t="inlineStr">
        <is>
          <t>— MISSING —</t>
        </is>
      </c>
      <c r="R360" s="172" t="inlineStr">
        <is>
          <t>— MISSING —</t>
        </is>
      </c>
      <c r="S360" s="173" t="inlineStr">
        <is>
          <t>✗</t>
        </is>
      </c>
      <c r="T360" s="171" t="inlineStr">
        <is>
          <t>— MISSING —</t>
        </is>
      </c>
      <c r="U360" s="172" t="inlineStr">
        <is>
          <t>— MISSING —</t>
        </is>
      </c>
      <c r="V360" s="172" t="inlineStr">
        <is>
          <t>— MISSING —</t>
        </is>
      </c>
      <c r="W360" s="172" t="inlineStr">
        <is>
          <t>— MISSING —</t>
        </is>
      </c>
      <c r="X360" s="173" t="inlineStr">
        <is>
          <t>✗</t>
        </is>
      </c>
      <c r="Y360" s="171" t="inlineStr">
        <is>
          <t>— MISSING —</t>
        </is>
      </c>
      <c r="Z360" s="174" t="inlineStr">
        <is>
          <t>— no certificate —</t>
        </is>
      </c>
      <c r="AA360" s="175" t="inlineStr">
        <is>
          <t>✗</t>
        </is>
      </c>
    </row>
    <row r="361" ht="21" customHeight="1" s="70">
      <c r="A361" s="281" t="n"/>
      <c r="B361" s="279" t="n"/>
      <c r="C361" s="279" t="n"/>
      <c r="D361" s="282" t="n"/>
      <c r="E361" s="280" t="n"/>
      <c r="F361" s="283" t="n"/>
      <c r="G361" s="282" t="n"/>
      <c r="H361" s="280" t="n"/>
      <c r="I361" s="283" t="n"/>
      <c r="J361" s="176" t="inlineStr">
        <is>
          <t>— no certificate —</t>
        </is>
      </c>
      <c r="K361" s="120" t="n"/>
      <c r="L361" s="120" t="n"/>
      <c r="M361" s="120" t="n"/>
      <c r="N361" s="121" t="n"/>
      <c r="O361" s="283" t="n"/>
      <c r="P361" s="176" t="inlineStr">
        <is>
          <t>— no certificate —</t>
        </is>
      </c>
      <c r="Q361" s="120" t="n"/>
      <c r="R361" s="121" t="n"/>
      <c r="S361" s="283" t="n"/>
      <c r="T361" s="176" t="inlineStr">
        <is>
          <t>— no certificate —</t>
        </is>
      </c>
      <c r="U361" s="120" t="n"/>
      <c r="V361" s="120" t="n"/>
      <c r="W361" s="121" t="n"/>
      <c r="X361" s="283" t="n"/>
      <c r="Y361" s="282" t="n"/>
      <c r="Z361" s="280" t="n"/>
      <c r="AA361" s="284" t="n"/>
    </row>
    <row r="362" ht="17.625" customHeight="1" s="70">
      <c r="A362" s="281" t="n"/>
      <c r="B362" s="279" t="n"/>
      <c r="C362" s="279" t="n"/>
      <c r="D362" s="151" t="n"/>
      <c r="E362" s="147" t="n"/>
      <c r="F362" s="152" t="n"/>
      <c r="G362" s="200" t="inlineStr">
        <is>
          <t>not on this certificate</t>
        </is>
      </c>
      <c r="H362" s="201" t="inlineStr">
        <is>
          <t>051-2-К-26, (04.03.2026) [FHM-K] · on file, not credited</t>
        </is>
      </c>
      <c r="I362" s="202" t="inlineStr">
        <is>
          <t>•</t>
        </is>
      </c>
      <c r="J362" s="151" t="n"/>
      <c r="K362" s="147" t="n"/>
      <c r="L362" s="147" t="n"/>
      <c r="M362" s="147" t="n"/>
      <c r="N362" s="147" t="n"/>
      <c r="O362" s="152" t="n"/>
      <c r="P362" s="151" t="n"/>
      <c r="Q362" s="147" t="n"/>
      <c r="R362" s="147" t="n"/>
      <c r="S362" s="152" t="n"/>
      <c r="T362" s="151" t="n"/>
      <c r="U362" s="147" t="n"/>
      <c r="V362" s="147" t="n"/>
      <c r="W362" s="147" t="n"/>
      <c r="X362" s="152" t="n"/>
      <c r="Y362" s="151" t="n"/>
      <c r="Z362" s="147" t="n"/>
      <c r="AA362" s="163" t="n"/>
    </row>
    <row r="363" ht="21" customHeight="1" s="70">
      <c r="A363" s="281" t="n"/>
      <c r="B363" s="279" t="n"/>
      <c r="C363" s="279" t="n"/>
      <c r="D363" s="205" t="n"/>
      <c r="E363" s="204" t="n"/>
      <c r="F363" s="206" t="n"/>
      <c r="G363" s="282" t="n"/>
      <c r="H363" s="280" t="n"/>
      <c r="I363" s="283" t="n"/>
      <c r="J363" s="205" t="n"/>
      <c r="K363" s="204" t="n"/>
      <c r="L363" s="204" t="n"/>
      <c r="M363" s="204" t="n"/>
      <c r="N363" s="204" t="n"/>
      <c r="O363" s="206" t="n"/>
      <c r="P363" s="205" t="n"/>
      <c r="Q363" s="204" t="n"/>
      <c r="R363" s="204" t="n"/>
      <c r="S363" s="206" t="n"/>
      <c r="T363" s="205" t="n"/>
      <c r="U363" s="204" t="n"/>
      <c r="V363" s="204" t="n"/>
      <c r="W363" s="204" t="n"/>
      <c r="X363" s="206" t="n"/>
      <c r="Y363" s="205" t="n"/>
      <c r="Z363" s="204" t="n"/>
      <c r="AA363" s="207" t="n"/>
    </row>
    <row r="364" ht="17.625" customHeight="1" s="70">
      <c r="A364" s="281" t="n"/>
      <c r="B364" s="279" t="n"/>
      <c r="C364" s="279" t="n"/>
      <c r="D364" s="151" t="n"/>
      <c r="E364" s="147" t="n"/>
      <c r="F364" s="152" t="n"/>
      <c r="G364" s="151" t="n"/>
      <c r="H364" s="147" t="n"/>
      <c r="I364" s="152" t="n"/>
      <c r="J364" s="151" t="n"/>
      <c r="K364" s="147" t="n"/>
      <c r="L364" s="147" t="n"/>
      <c r="M364" s="147" t="n"/>
      <c r="N364" s="147" t="n"/>
      <c r="O364" s="152" t="n"/>
      <c r="P364" s="151" t="n"/>
      <c r="Q364" s="147" t="n"/>
      <c r="R364" s="147" t="n"/>
      <c r="S364" s="152" t="n"/>
      <c r="T364" s="151" t="n"/>
      <c r="U364" s="147" t="n"/>
      <c r="V364" s="147" t="n"/>
      <c r="W364" s="147" t="n"/>
      <c r="X364" s="152" t="n"/>
      <c r="Y364" s="151" t="n"/>
      <c r="Z364" s="147" t="n"/>
      <c r="AA364" s="163" t="n"/>
    </row>
    <row r="365" ht="13" customHeight="1" s="70">
      <c r="A365" s="285" t="n"/>
      <c r="B365" s="286" t="n"/>
      <c r="C365" s="286" t="n"/>
      <c r="D365" s="166" t="n"/>
      <c r="E365" s="165" t="n"/>
      <c r="F365" s="167" t="n"/>
      <c r="G365" s="166" t="n"/>
      <c r="H365" s="165" t="n"/>
      <c r="I365" s="167" t="n"/>
      <c r="J365" s="166" t="n"/>
      <c r="K365" s="165" t="n"/>
      <c r="L365" s="165" t="n"/>
      <c r="M365" s="165" t="n"/>
      <c r="N365" s="165" t="n"/>
      <c r="O365" s="167" t="n"/>
      <c r="P365" s="166" t="n"/>
      <c r="Q365" s="165" t="n"/>
      <c r="R365" s="165" t="n"/>
      <c r="S365" s="167" t="n"/>
      <c r="T365" s="166" t="n"/>
      <c r="U365" s="165" t="n"/>
      <c r="V365" s="165" t="n"/>
      <c r="W365" s="165" t="n"/>
      <c r="X365" s="167" t="n"/>
      <c r="Y365" s="166" t="n"/>
      <c r="Z365" s="165" t="n"/>
      <c r="AA365" s="169" t="n"/>
    </row>
    <row r="366" ht="62" customHeight="1" s="70">
      <c r="A366"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1" t="n"/>
    </row>
    <row r="369" ht="20" customHeight="1" s="70">
      <c r="A369" s="264" t="inlineStr">
        <is>
          <t>RECONCILIATION 09.09</t>
        </is>
      </c>
    </row>
    <row r="370">
      <c r="A370" s="294" t="inlineStr">
        <is>
          <t>THE PASS THIS BUILD READ</t>
        </is>
      </c>
      <c r="B370" s="294" t="inlineStr"/>
      <c r="C370" s="294" t="inlineStr"/>
      <c r="D370" s="294" t="inlineStr"/>
      <c r="E370" s="294" t="inlineStr"/>
    </row>
    <row r="372">
      <c r="A372" s="295" t="inlineStr">
        <is>
          <t>Source</t>
        </is>
      </c>
      <c r="B372" s="296" t="inlineStr">
        <is>
          <t>CoQ_Analysis_Master_v20_owner.xlsx</t>
        </is>
      </c>
      <c r="D372" s="297" t="inlineStr">
        <is>
          <t>the owner's workbook of 09.09.2026, vendored beside this one; the three sheets it was read from are Cell Resolution 09.09, Coverage Update 09.09 and Identity Problem 09.09</t>
        </is>
      </c>
    </row>
    <row r="373">
      <c r="A373" s="295" t="inlineStr">
        <is>
          <t>Certificates it read</t>
        </is>
      </c>
      <c r="B373" s="296" t="inlineStr">
        <is>
          <t>387</t>
        </is>
      </c>
      <c r="D373" s="297" t="inlineStr">
        <is>
          <t>eCoA_DATABASE, name for name</t>
        </is>
      </c>
    </row>
    <row r="374">
      <c r="A374" s="295" t="inlineStr">
        <is>
          <t>Determinations it resolved</t>
        </is>
      </c>
      <c r="B374" s="296" t="inlineStr">
        <is>
          <t>600</t>
        </is>
      </c>
      <c r="D374" s="297" t="inlineStr">
        <is>
          <t>50 lots of Tranches 1 and 2 x 12</t>
        </is>
      </c>
    </row>
    <row r="376">
      <c r="A376" s="294" t="inlineStr">
        <is>
          <t>WHAT IT CLOSED ON BATCH COVERAGE</t>
        </is>
      </c>
      <c r="B376" s="294" t="inlineStr"/>
      <c r="C376" s="294" t="inlineStr"/>
      <c r="D376" s="294" t="inlineStr"/>
      <c r="E376" s="294" t="inlineStr"/>
    </row>
    <row r="378">
      <c r="A378" s="295" t="inlineStr">
        <is>
          <t>Parameters closed</t>
        </is>
      </c>
      <c r="B378" s="296" t="inlineStr">
        <is>
          <t>85</t>
        </is>
      </c>
      <c r="D378" s="297" t="inlineStr">
        <is>
          <t>a certificate on file that this sheet still marked missing</t>
        </is>
      </c>
    </row>
    <row r="379">
      <c r="A379" s="295" t="inlineStr">
        <is>
          <t>Lots affected</t>
        </is>
      </c>
      <c r="B379" s="296" t="inlineStr">
        <is>
          <t>28</t>
        </is>
      </c>
    </row>
    <row r="380">
      <c r="A380" s="295" t="inlineStr">
        <is>
          <t>Closures not applied</t>
        </is>
      </c>
      <c r="B380" s="296" t="inlineStr">
        <is>
          <t>36</t>
        </is>
      </c>
      <c r="D380" s="297" t="inlineStr">
        <is>
          <t>already covered, or the lot has no row on Batch Coverage — listed below</t>
        </is>
      </c>
    </row>
    <row r="382">
      <c r="A382" s="294" t="inlineStr">
        <is>
          <t>WHAT THE TWO RECORDS SAY ABOUT THE SAME 600 CELLS</t>
        </is>
      </c>
      <c r="B382" s="294" t="inlineStr"/>
      <c r="C382" s="294" t="inlineStr"/>
      <c r="D382" s="294" t="inlineStr"/>
      <c r="E382" s="294" t="inlineStr"/>
    </row>
    <row r="384">
      <c r="A384" s="295" t="inlineStr">
        <is>
          <t>agree</t>
        </is>
      </c>
      <c r="B384" s="296" t="inlineStr">
        <is>
          <t>160</t>
        </is>
      </c>
      <c r="D384" s="297" t="inlineStr">
        <is>
          <t>both hold a value and it is the same value</t>
        </is>
      </c>
    </row>
    <row r="385">
      <c r="A385" s="295" t="inlineStr">
        <is>
          <t>values</t>
        </is>
      </c>
      <c r="B385" s="296" t="inlineStr">
        <is>
          <t>224</t>
        </is>
      </c>
      <c r="D385" s="297" t="inlineStr">
        <is>
          <t>both hold a value and the values differ — a finding</t>
        </is>
      </c>
    </row>
    <row r="386">
      <c r="A386" s="295" t="inlineStr">
        <is>
          <t>order</t>
        </is>
      </c>
      <c r="B386" s="296" t="inlineStr">
        <is>
          <t>4</t>
        </is>
      </c>
      <c r="D386" s="297" t="inlineStr">
        <is>
          <t>the same values against different analytes — a finding</t>
        </is>
      </c>
    </row>
    <row r="387">
      <c r="A387" s="295" t="inlineStr">
        <is>
          <t>fill</t>
        </is>
      </c>
      <c r="B387" s="296" t="inlineStr">
        <is>
          <t>17</t>
        </is>
      </c>
      <c r="D387" s="297" t="inlineStr">
        <is>
          <t>the desk held nothing and the pass holds a printable result</t>
        </is>
      </c>
    </row>
    <row r="388">
      <c r="A388" s="295" t="inlineStr">
        <is>
          <t>ambiguous</t>
        </is>
      </c>
      <c r="B388" s="296" t="inlineStr">
        <is>
          <t>6</t>
        </is>
      </c>
      <c r="D388" s="297" t="inlineStr">
        <is>
          <t>the pass holds a list of values it does not label</t>
        </is>
      </c>
    </row>
    <row r="389">
      <c r="A389" s="295" t="inlineStr">
        <is>
          <t>basis note</t>
        </is>
      </c>
      <c r="B389" s="296" t="inlineStr">
        <is>
          <t>25</t>
        </is>
      </c>
      <c r="D389" s="297" t="inlineStr">
        <is>
          <t>the pass names where identity comes from, not a result</t>
        </is>
      </c>
    </row>
    <row r="390">
      <c r="A390" s="295" t="inlineStr">
        <is>
          <t>none</t>
        </is>
      </c>
      <c r="B390" s="296" t="inlineStr">
        <is>
          <t>20</t>
        </is>
      </c>
      <c r="D390" s="297" t="inlineStr">
        <is>
          <t>neither record holds anything</t>
        </is>
      </c>
    </row>
    <row r="391">
      <c r="A391" s="295" t="inlineStr">
        <is>
          <t>not comparable</t>
        </is>
      </c>
      <c r="B391" s="296" t="inlineStr">
        <is>
          <t>121</t>
        </is>
      </c>
      <c r="D391" s="297" t="inlineStr">
        <is>
          <t>the two records hold different numbers of lines</t>
        </is>
      </c>
    </row>
    <row r="392">
      <c r="A392" s="295" t="inlineStr">
        <is>
          <t>no desk lot</t>
        </is>
      </c>
      <c r="B392" s="296" t="inlineStr">
        <is>
          <t>23</t>
        </is>
      </c>
      <c r="D392" s="297" t="inlineStr">
        <is>
          <t>the desk carries no initial-release CoQ for the batch</t>
        </is>
      </c>
    </row>
    <row r="394">
      <c r="A394" s="294" t="inlineStr">
        <is>
          <t>THE DISAGREEMENTS</t>
        </is>
      </c>
      <c r="B394" s="294" t="inlineStr"/>
      <c r="C394" s="294" t="inlineStr"/>
      <c r="D394" s="294" t="inlineStr"/>
      <c r="E394" s="294" t="inlineStr"/>
    </row>
    <row r="396">
      <c r="A396" s="294" t="inlineStr">
        <is>
          <t>Batch</t>
        </is>
      </c>
      <c r="B396" s="294" t="inlineStr">
        <is>
          <t>Determination</t>
        </is>
      </c>
      <c r="C396" s="294" t="inlineStr">
        <is>
          <t>Kind</t>
        </is>
      </c>
      <c r="D396" s="294" t="inlineStr">
        <is>
          <t>The desk holds</t>
        </is>
      </c>
      <c r="E396" s="294" t="inlineStr">
        <is>
          <t>The 09.09 pass reads</t>
        </is>
      </c>
    </row>
    <row r="397">
      <c r="A397" s="296" t="inlineStr">
        <is>
          <t>BG1024</t>
        </is>
      </c>
      <c r="B397" s="296" t="inlineStr">
        <is>
          <t>#1</t>
        </is>
      </c>
      <c r="C397" s="298" t="inlineStr">
        <is>
          <t>different values</t>
        </is>
      </c>
      <c r="D397" s="296" t="inlineStr">
        <is>
          <t>Conforms | Одговара</t>
        </is>
      </c>
      <c r="E397" s="296" t="inlineStr">
        <is>
          <t>Conforms</t>
        </is>
      </c>
    </row>
    <row r="398">
      <c r="A398" s="296" t="inlineStr">
        <is>
          <t>BG1024</t>
        </is>
      </c>
      <c r="B398" s="296" t="inlineStr">
        <is>
          <t>#2</t>
        </is>
      </c>
      <c r="C398" s="298" t="inlineStr">
        <is>
          <t>different values</t>
        </is>
      </c>
      <c r="D398" s="296" t="inlineStr">
        <is>
          <t>Conforms | Одговара</t>
        </is>
      </c>
      <c r="E398" s="296" t="inlineStr">
        <is>
          <t>Conforms</t>
        </is>
      </c>
    </row>
    <row r="399">
      <c r="A399" s="296" t="inlineStr">
        <is>
          <t>BG1024</t>
        </is>
      </c>
      <c r="B399" s="296" t="inlineStr">
        <is>
          <t>#7</t>
        </is>
      </c>
      <c r="C399" s="298" t="inlineStr">
        <is>
          <t>different values</t>
        </is>
      </c>
      <c r="D399" s="296" t="inlineStr">
        <is>
          <t>Conforms | Одговара</t>
        </is>
      </c>
      <c r="E399" s="296" t="inlineStr">
        <is>
          <t>Conforms</t>
        </is>
      </c>
    </row>
    <row r="400">
      <c r="A400" s="296" t="inlineStr">
        <is>
          <t>BG1024</t>
        </is>
      </c>
      <c r="B400" s="296" t="inlineStr">
        <is>
          <t>#9</t>
        </is>
      </c>
      <c r="C400" s="298" t="inlineStr">
        <is>
          <t>different values</t>
        </is>
      </c>
      <c r="D400" s="296" t="inlineStr">
        <is>
          <t>1.6 × 10⁴; 1 × 10⁴; &lt; 10² and &gt; 10; Absent | Отсутна; Absent | Отсутна</t>
        </is>
      </c>
      <c r="E400" s="296" t="inlineStr">
        <is>
          <t>1,6 x 10⁴ CFU/g; 1 x 10⁴ CFU/g; &lt; 10² и &gt; 10 CFU/g; Одговара; Одговара</t>
        </is>
      </c>
    </row>
    <row r="401">
      <c r="A401" s="296" t="inlineStr">
        <is>
          <t>BSS1024</t>
        </is>
      </c>
      <c r="B401" s="296" t="inlineStr">
        <is>
          <t>#1</t>
        </is>
      </c>
      <c r="C401" s="298" t="inlineStr">
        <is>
          <t>different values</t>
        </is>
      </c>
      <c r="D401" s="296" t="inlineStr">
        <is>
          <t>Conforms | Одговара</t>
        </is>
      </c>
      <c r="E401" s="296" t="inlineStr">
        <is>
          <t>Conforms</t>
        </is>
      </c>
    </row>
    <row r="402">
      <c r="A402" s="296" t="inlineStr">
        <is>
          <t>BSS1024</t>
        </is>
      </c>
      <c r="B402" s="296" t="inlineStr">
        <is>
          <t>#2</t>
        </is>
      </c>
      <c r="C402" s="298" t="inlineStr">
        <is>
          <t>different values</t>
        </is>
      </c>
      <c r="D402" s="296" t="inlineStr">
        <is>
          <t>Conforms | Одговара</t>
        </is>
      </c>
      <c r="E402" s="296" t="inlineStr">
        <is>
          <t>Conforms</t>
        </is>
      </c>
    </row>
    <row r="403">
      <c r="A403" s="296" t="inlineStr">
        <is>
          <t>BSS1024</t>
        </is>
      </c>
      <c r="B403" s="296" t="inlineStr">
        <is>
          <t>#7</t>
        </is>
      </c>
      <c r="C403" s="298" t="inlineStr">
        <is>
          <t>different values</t>
        </is>
      </c>
      <c r="D403" s="296" t="inlineStr">
        <is>
          <t>Conforms | Одговара</t>
        </is>
      </c>
      <c r="E403" s="296" t="inlineStr">
        <is>
          <t>Conforms</t>
        </is>
      </c>
    </row>
    <row r="404">
      <c r="A404" s="296" t="inlineStr">
        <is>
          <t>BSS1024</t>
        </is>
      </c>
      <c r="B404" s="296" t="inlineStr">
        <is>
          <t>#9</t>
        </is>
      </c>
      <c r="C404" s="298" t="inlineStr">
        <is>
          <t>different values</t>
        </is>
      </c>
      <c r="D404" s="296" t="inlineStr">
        <is>
          <t>1.5 × 10⁴; 2.2 × 10³; &lt; 10² and &gt; 10; Absent | Отсутна; Absent | Отсутна</t>
        </is>
      </c>
      <c r="E404" s="296" t="inlineStr">
        <is>
          <t>1,5 x 10⁴ CFU/g; 2,2 x 10³ CFU/g; &lt; 10² и &gt; 10 CFU/g; Одговара; Одговара</t>
        </is>
      </c>
    </row>
    <row r="405">
      <c r="A405" s="296" t="inlineStr">
        <is>
          <t>BSS1024</t>
        </is>
      </c>
      <c r="B405" s="296" t="inlineStr">
        <is>
          <t>#11</t>
        </is>
      </c>
      <c r="C405" s="299" t="inlineStr">
        <is>
          <t>same values,
other order</t>
        </is>
      </c>
      <c r="D405" s="296" t="inlineStr">
        <is>
          <t>0.071; 0.014; 0.081; 0.014</t>
        </is>
      </c>
      <c r="E405" s="296" t="inlineStr">
        <is>
          <t>0,081 mg/kg(l); 0,071 mg/kg(l); 0,014 mg/kg(l); 0,014 mg/kg(l)</t>
        </is>
      </c>
    </row>
    <row r="406">
      <c r="A406" s="296" t="inlineStr">
        <is>
          <t>CJ052501/01</t>
        </is>
      </c>
      <c r="B406" s="296" t="inlineStr">
        <is>
          <t>#1</t>
        </is>
      </c>
      <c r="C406" s="298" t="inlineStr">
        <is>
          <t>different values</t>
        </is>
      </c>
      <c r="D406" s="296" t="inlineStr">
        <is>
          <t>Conforms | Одговара</t>
        </is>
      </c>
      <c r="E406" s="296" t="inlineStr">
        <is>
          <t>Conforms</t>
        </is>
      </c>
    </row>
    <row r="407">
      <c r="A407" s="296" t="inlineStr">
        <is>
          <t>CJ052501/01</t>
        </is>
      </c>
      <c r="B407" s="296" t="inlineStr">
        <is>
          <t>#2</t>
        </is>
      </c>
      <c r="C407" s="298" t="inlineStr">
        <is>
          <t>different values</t>
        </is>
      </c>
      <c r="D407" s="296" t="inlineStr">
        <is>
          <t>Conforms | Одговара</t>
        </is>
      </c>
      <c r="E407" s="296" t="inlineStr">
        <is>
          <t>Conforms</t>
        </is>
      </c>
    </row>
    <row r="408">
      <c r="A408" s="296" t="inlineStr">
        <is>
          <t>CJ052501/01</t>
        </is>
      </c>
      <c r="B408" s="296" t="inlineStr">
        <is>
          <t>#3</t>
        </is>
      </c>
      <c r="C408" s="298" t="inlineStr">
        <is>
          <t>different values</t>
        </is>
      </c>
      <c r="D408" s="296" t="inlineStr">
        <is>
          <t>Conforms | Одговара</t>
        </is>
      </c>
      <c r="E408" s="296" t="inlineStr">
        <is>
          <t>Conforms (ImB spec.)</t>
        </is>
      </c>
    </row>
    <row r="409">
      <c r="A409" s="296" t="inlineStr">
        <is>
          <t>CJ052501/01</t>
        </is>
      </c>
      <c r="B409" s="296" t="inlineStr">
        <is>
          <t>#7</t>
        </is>
      </c>
      <c r="C409" s="298" t="inlineStr">
        <is>
          <t>different values</t>
        </is>
      </c>
      <c r="D409" s="296" t="inlineStr">
        <is>
          <t>Conforms | Одговара</t>
        </is>
      </c>
      <c r="E409" s="296" t="inlineStr">
        <is>
          <t>Conforms</t>
        </is>
      </c>
    </row>
    <row r="410">
      <c r="A410" s="296" t="inlineStr">
        <is>
          <t>CJ052501/01</t>
        </is>
      </c>
      <c r="B410" s="296" t="inlineStr">
        <is>
          <t>#9</t>
        </is>
      </c>
      <c r="C410" s="298" t="inlineStr">
        <is>
          <t>different values</t>
        </is>
      </c>
      <c r="D410" s="296" t="inlineStr">
        <is>
          <t>2.8 × 10⁴; 1.7 × 10⁴; &lt; 10³ and &gt; 10²; Absent | Отсутна; Absent | Отсутна</t>
        </is>
      </c>
      <c r="E410" s="296" t="inlineStr">
        <is>
          <t>2.8×10⁴; 1.7×10⁴; &lt;10³ and &gt;10² ᴿ; Одговара; Одговара</t>
        </is>
      </c>
    </row>
    <row r="411">
      <c r="A411" s="296" t="inlineStr">
        <is>
          <t>CJ052501/01</t>
        </is>
      </c>
      <c r="B411" s="296" t="inlineStr">
        <is>
          <t>#12</t>
        </is>
      </c>
      <c r="C411" s="298" t="inlineStr">
        <is>
          <t>different values</t>
        </is>
      </c>
      <c r="D411" s="296" t="inlineStr">
        <is>
          <t>ND</t>
        </is>
      </c>
      <c r="E411" s="296" t="inlineStr">
        <is>
          <t>≤ LOQ (all 24 compounds)</t>
        </is>
      </c>
    </row>
    <row r="412">
      <c r="A412" s="296" t="inlineStr">
        <is>
          <t>CJ082501/2</t>
        </is>
      </c>
      <c r="B412" s="296" t="inlineStr">
        <is>
          <t>#1</t>
        </is>
      </c>
      <c r="C412" s="298" t="inlineStr">
        <is>
          <t>different values</t>
        </is>
      </c>
      <c r="D412" s="296" t="inlineStr">
        <is>
          <t>Conforms | Одговара</t>
        </is>
      </c>
      <c r="E412" s="296" t="inlineStr">
        <is>
          <t>Conforms</t>
        </is>
      </c>
    </row>
    <row r="413">
      <c r="A413" s="296" t="inlineStr">
        <is>
          <t>CJ082501/2</t>
        </is>
      </c>
      <c r="B413" s="296" t="inlineStr">
        <is>
          <t>#2</t>
        </is>
      </c>
      <c r="C413" s="298" t="inlineStr">
        <is>
          <t>different values</t>
        </is>
      </c>
      <c r="D413" s="296" t="inlineStr">
        <is>
          <t>Conforms | Одговара</t>
        </is>
      </c>
      <c r="E413" s="296" t="inlineStr">
        <is>
          <t>Conforms</t>
        </is>
      </c>
    </row>
    <row r="414">
      <c r="A414" s="296" t="inlineStr">
        <is>
          <t>CJ082501/2</t>
        </is>
      </c>
      <c r="B414" s="296" t="inlineStr">
        <is>
          <t>#3</t>
        </is>
      </c>
      <c r="C414" s="298" t="inlineStr">
        <is>
          <t>different values</t>
        </is>
      </c>
      <c r="D414" s="296" t="inlineStr">
        <is>
          <t>Conforms | Одговара</t>
        </is>
      </c>
      <c r="E414" s="296" t="inlineStr">
        <is>
          <t>Conforms (ImB spec.)</t>
        </is>
      </c>
    </row>
    <row r="415">
      <c r="A415" s="296" t="inlineStr">
        <is>
          <t>CJ082501/2</t>
        </is>
      </c>
      <c r="B415" s="296" t="inlineStr">
        <is>
          <t>#7</t>
        </is>
      </c>
      <c r="C415" s="298" t="inlineStr">
        <is>
          <t>different values</t>
        </is>
      </c>
      <c r="D415" s="296" t="inlineStr">
        <is>
          <t>Conforms | Одговара</t>
        </is>
      </c>
      <c r="E415" s="296" t="inlineStr">
        <is>
          <t>Conforms</t>
        </is>
      </c>
    </row>
    <row r="416">
      <c r="A416" s="296" t="inlineStr">
        <is>
          <t>CJ082501/2</t>
        </is>
      </c>
      <c r="B416" s="296" t="inlineStr">
        <is>
          <t>#9</t>
        </is>
      </c>
      <c r="C416" s="298" t="inlineStr">
        <is>
          <t>different values</t>
        </is>
      </c>
      <c r="D416" s="296" t="inlineStr">
        <is>
          <t>9.5 × 10²; 1.2 × 10³; &lt; 10; Absent | Отсутна; Absent | Отсутна</t>
        </is>
      </c>
      <c r="E416" s="296" t="inlineStr">
        <is>
          <t>9.5×10²; 1.2×10³; &lt;10; Одговара; Одговара</t>
        </is>
      </c>
    </row>
    <row r="417">
      <c r="A417" s="296" t="inlineStr">
        <is>
          <t>CJ082501/2</t>
        </is>
      </c>
      <c r="B417" s="296" t="inlineStr">
        <is>
          <t>#12</t>
        </is>
      </c>
      <c r="C417" s="298" t="inlineStr">
        <is>
          <t>different values</t>
        </is>
      </c>
      <c r="D417" s="296" t="inlineStr">
        <is>
          <t>ND</t>
        </is>
      </c>
      <c r="E417" s="296" t="inlineStr">
        <is>
          <t>≤ LOQ (all 29 compounds)</t>
        </is>
      </c>
    </row>
    <row r="418">
      <c r="A418" s="296" t="inlineStr">
        <is>
          <t>FB012602</t>
        </is>
      </c>
      <c r="B418" s="296" t="inlineStr">
        <is>
          <t>#1</t>
        </is>
      </c>
      <c r="C418" s="298" t="inlineStr">
        <is>
          <t>different values</t>
        </is>
      </c>
      <c r="D418" s="296" t="inlineStr">
        <is>
          <t>Conforms | Одговара</t>
        </is>
      </c>
      <c r="E418" s="296" t="inlineStr">
        <is>
          <t>Conforms</t>
        </is>
      </c>
    </row>
    <row r="419">
      <c r="A419" s="296" t="inlineStr">
        <is>
          <t>FB012602</t>
        </is>
      </c>
      <c r="B419" s="296" t="inlineStr">
        <is>
          <t>#2</t>
        </is>
      </c>
      <c r="C419" s="298" t="inlineStr">
        <is>
          <t>different values</t>
        </is>
      </c>
      <c r="D419" s="296" t="inlineStr">
        <is>
          <t>Conforms | Одговара</t>
        </is>
      </c>
      <c r="E419" s="296" t="inlineStr">
        <is>
          <t>Conforms</t>
        </is>
      </c>
    </row>
    <row r="420">
      <c r="A420" s="296" t="inlineStr">
        <is>
          <t>FB012602</t>
        </is>
      </c>
      <c r="B420" s="296" t="inlineStr">
        <is>
          <t>#7</t>
        </is>
      </c>
      <c r="C420" s="298" t="inlineStr">
        <is>
          <t>different values</t>
        </is>
      </c>
      <c r="D420" s="296" t="inlineStr">
        <is>
          <t>Conforms | Одговара</t>
        </is>
      </c>
      <c r="E420" s="296" t="inlineStr">
        <is>
          <t>Conforms</t>
        </is>
      </c>
    </row>
    <row r="421">
      <c r="A421" s="296" t="inlineStr">
        <is>
          <t>FB012602</t>
        </is>
      </c>
      <c r="B421" s="296" t="inlineStr">
        <is>
          <t>#9</t>
        </is>
      </c>
      <c r="C421" s="298" t="inlineStr">
        <is>
          <t>different values</t>
        </is>
      </c>
      <c r="D421" s="296" t="inlineStr">
        <is>
          <t>6.3 × 10⁴; 2.2 × 10⁴; &lt; 10; Absent | Отсутна; Absent | Отсутна</t>
        </is>
      </c>
      <c r="E421" s="296" t="inlineStr">
        <is>
          <t>6,3 x 10⁴ CFU/g CFU/g; 2,2 x 10⁴ CFU/g CFU/g; &lt; 10 CFU/g CFU/g; Отсутна /g; Отсутна /25 g</t>
        </is>
      </c>
    </row>
    <row r="422">
      <c r="A422" s="296" t="inlineStr">
        <is>
          <t>GG012603</t>
        </is>
      </c>
      <c r="B422" s="296" t="inlineStr">
        <is>
          <t>#9</t>
        </is>
      </c>
      <c r="C422" s="298" t="inlineStr">
        <is>
          <t>different values</t>
        </is>
      </c>
      <c r="D422" s="296" t="inlineStr">
        <is>
          <t>5 × 10³; 4.1 × 10³; &lt; 10; Absent | Отсутна; Absent | Отсутна</t>
        </is>
      </c>
      <c r="E422" s="296" t="inlineStr">
        <is>
          <t>5 x 10³ CFU/g CFU/g; 4,1 x 10³ CFU/g CFU/g; &lt; 10 CFU/g CFU/g; Отсутна /g; Отсутна /25 g</t>
        </is>
      </c>
    </row>
    <row r="423">
      <c r="A423" s="296" t="inlineStr">
        <is>
          <t>GG1024_01</t>
        </is>
      </c>
      <c r="B423" s="296" t="inlineStr">
        <is>
          <t>#1</t>
        </is>
      </c>
      <c r="C423" s="298" t="inlineStr">
        <is>
          <t>different values</t>
        </is>
      </c>
      <c r="D423" s="296" t="inlineStr">
        <is>
          <t>Conforms | Одговара</t>
        </is>
      </c>
      <c r="E423" s="296" t="inlineStr">
        <is>
          <t>Conforms</t>
        </is>
      </c>
    </row>
    <row r="424">
      <c r="A424" s="296" t="inlineStr">
        <is>
          <t>GG1024_01</t>
        </is>
      </c>
      <c r="B424" s="296" t="inlineStr">
        <is>
          <t>#2</t>
        </is>
      </c>
      <c r="C424" s="298" t="inlineStr">
        <is>
          <t>different values</t>
        </is>
      </c>
      <c r="D424" s="296" t="inlineStr">
        <is>
          <t>Conforms | Одговара</t>
        </is>
      </c>
      <c r="E424" s="296" t="inlineStr">
        <is>
          <t>Conforms</t>
        </is>
      </c>
    </row>
    <row r="425">
      <c r="A425" s="296" t="inlineStr">
        <is>
          <t>GG1024_01</t>
        </is>
      </c>
      <c r="B425" s="296" t="inlineStr">
        <is>
          <t>#3</t>
        </is>
      </c>
      <c r="C425" s="298" t="inlineStr">
        <is>
          <t>different values</t>
        </is>
      </c>
      <c r="D425" s="296" t="inlineStr">
        <is>
          <t>Conforms | Одговара</t>
        </is>
      </c>
      <c r="E425" s="296" t="inlineStr">
        <is>
          <t>Conforms (ImB spec.)</t>
        </is>
      </c>
    </row>
    <row r="426">
      <c r="A426" s="296" t="inlineStr">
        <is>
          <t>GG1024_01</t>
        </is>
      </c>
      <c r="B426" s="296" t="inlineStr">
        <is>
          <t>#7</t>
        </is>
      </c>
      <c r="C426" s="298" t="inlineStr">
        <is>
          <t>different values</t>
        </is>
      </c>
      <c r="D426" s="296" t="inlineStr">
        <is>
          <t>Conforms | Одговара</t>
        </is>
      </c>
      <c r="E426" s="296" t="inlineStr">
        <is>
          <t>Conforms</t>
        </is>
      </c>
    </row>
    <row r="427">
      <c r="A427" s="296" t="inlineStr">
        <is>
          <t>GG1024_01</t>
        </is>
      </c>
      <c r="B427" s="296" t="inlineStr">
        <is>
          <t>#9</t>
        </is>
      </c>
      <c r="C427" s="298" t="inlineStr">
        <is>
          <t>different values</t>
        </is>
      </c>
      <c r="D427" s="296" t="inlineStr">
        <is>
          <t>5.1 × 10⁴; 4.2 × 10⁴; &lt; 10; Absent | Отсутна; Absent | Отсутна</t>
        </is>
      </c>
      <c r="E427" s="296" t="inlineStr">
        <is>
          <t>5.1 x 10⁴; 4.2 x 10⁴; &lt;10; Одговара; Одговара</t>
        </is>
      </c>
    </row>
    <row r="428">
      <c r="A428" s="296" t="inlineStr">
        <is>
          <t>GG1024_01</t>
        </is>
      </c>
      <c r="B428" s="296" t="inlineStr">
        <is>
          <t>#12</t>
        </is>
      </c>
      <c r="C428" s="298" t="inlineStr">
        <is>
          <t>different values</t>
        </is>
      </c>
      <c r="D428" s="296" t="inlineStr">
        <is>
          <t>ND</t>
        </is>
      </c>
      <c r="E428" s="296" t="inlineStr">
        <is>
          <t>≤ LOQ (all 27 compounds)</t>
        </is>
      </c>
    </row>
    <row r="429">
      <c r="A429" s="296" t="inlineStr">
        <is>
          <t>GP052501</t>
        </is>
      </c>
      <c r="B429" s="296" t="inlineStr">
        <is>
          <t>#1</t>
        </is>
      </c>
      <c r="C429" s="298" t="inlineStr">
        <is>
          <t>different values</t>
        </is>
      </c>
      <c r="D429" s="296" t="inlineStr">
        <is>
          <t>Conforms | Одговара</t>
        </is>
      </c>
      <c r="E429" s="296" t="inlineStr">
        <is>
          <t>Conforms</t>
        </is>
      </c>
    </row>
    <row r="430">
      <c r="A430" s="296" t="inlineStr">
        <is>
          <t>GP052501</t>
        </is>
      </c>
      <c r="B430" s="296" t="inlineStr">
        <is>
          <t>#2</t>
        </is>
      </c>
      <c r="C430" s="298" t="inlineStr">
        <is>
          <t>different values</t>
        </is>
      </c>
      <c r="D430" s="296" t="inlineStr">
        <is>
          <t>Conforms | Одговара</t>
        </is>
      </c>
      <c r="E430" s="296" t="inlineStr">
        <is>
          <t>Conforms</t>
        </is>
      </c>
    </row>
    <row r="431">
      <c r="A431" s="296" t="inlineStr">
        <is>
          <t>GP052501</t>
        </is>
      </c>
      <c r="B431" s="296" t="inlineStr">
        <is>
          <t>#3</t>
        </is>
      </c>
      <c r="C431" s="298" t="inlineStr">
        <is>
          <t>different values</t>
        </is>
      </c>
      <c r="D431" s="296" t="inlineStr">
        <is>
          <t>Conforms | Одговара</t>
        </is>
      </c>
      <c r="E431" s="296" t="inlineStr">
        <is>
          <t>Conforms (ImB spec.)</t>
        </is>
      </c>
    </row>
    <row r="432">
      <c r="A432" s="296" t="inlineStr">
        <is>
          <t>GP052501</t>
        </is>
      </c>
      <c r="B432" s="296" t="inlineStr">
        <is>
          <t>#7</t>
        </is>
      </c>
      <c r="C432" s="298" t="inlineStr">
        <is>
          <t>different values</t>
        </is>
      </c>
      <c r="D432" s="296" t="inlineStr">
        <is>
          <t>Conforms | Одговара</t>
        </is>
      </c>
      <c r="E432" s="296" t="inlineStr">
        <is>
          <t>Conforms</t>
        </is>
      </c>
    </row>
    <row r="433">
      <c r="A433" s="296" t="inlineStr">
        <is>
          <t>GP052501</t>
        </is>
      </c>
      <c r="B433" s="296" t="inlineStr">
        <is>
          <t>#9</t>
        </is>
      </c>
      <c r="C433" s="298" t="inlineStr">
        <is>
          <t>different values</t>
        </is>
      </c>
      <c r="D433" s="296" t="inlineStr">
        <is>
          <t>2.1 × 10⁴; 3.6 × 10⁴; &lt; 10² and &gt; 10¹; Absent | Отсутна; Absent | Отсутна</t>
        </is>
      </c>
      <c r="E433" s="296" t="inlineStr">
        <is>
          <t>2.1×10⁴ ᴿ; 3.6 x 10⁴; &lt;10² и &gt;10¹; Одговара; Одговара</t>
        </is>
      </c>
    </row>
    <row r="434">
      <c r="A434" s="296" t="inlineStr">
        <is>
          <t>GP052501</t>
        </is>
      </c>
      <c r="B434" s="296" t="inlineStr">
        <is>
          <t>#12</t>
        </is>
      </c>
      <c r="C434" s="298" t="inlineStr">
        <is>
          <t>different values</t>
        </is>
      </c>
      <c r="D434" s="296" t="inlineStr">
        <is>
          <t>ND</t>
        </is>
      </c>
      <c r="E434" s="296" t="inlineStr">
        <is>
          <t>≤ LOQ (all 29 compounds)</t>
        </is>
      </c>
    </row>
    <row r="435">
      <c r="A435" s="296" t="inlineStr">
        <is>
          <t>GP0824_02</t>
        </is>
      </c>
      <c r="B435" s="296" t="inlineStr">
        <is>
          <t>#1</t>
        </is>
      </c>
      <c r="C435" s="298" t="inlineStr">
        <is>
          <t>different values</t>
        </is>
      </c>
      <c r="D435" s="296" t="inlineStr">
        <is>
          <t>Conforms | Одговара</t>
        </is>
      </c>
      <c r="E435" s="296" t="inlineStr">
        <is>
          <t>Conforms</t>
        </is>
      </c>
    </row>
    <row r="436">
      <c r="A436" s="296" t="inlineStr">
        <is>
          <t>GP0824_02</t>
        </is>
      </c>
      <c r="B436" s="296" t="inlineStr">
        <is>
          <t>#2</t>
        </is>
      </c>
      <c r="C436" s="298" t="inlineStr">
        <is>
          <t>different values</t>
        </is>
      </c>
      <c r="D436" s="296" t="inlineStr">
        <is>
          <t>Conforms | Одговара</t>
        </is>
      </c>
      <c r="E436" s="296" t="inlineStr">
        <is>
          <t>Conforms</t>
        </is>
      </c>
    </row>
    <row r="437">
      <c r="A437" s="296" t="inlineStr">
        <is>
          <t>GP0824_02</t>
        </is>
      </c>
      <c r="B437" s="296" t="inlineStr">
        <is>
          <t>#3</t>
        </is>
      </c>
      <c r="C437" s="298" t="inlineStr">
        <is>
          <t>different values</t>
        </is>
      </c>
      <c r="D437" s="296" t="inlineStr">
        <is>
          <t>Conforms | Одговара</t>
        </is>
      </c>
      <c r="E437" s="296" t="inlineStr">
        <is>
          <t>Conforms (ImB spec.)</t>
        </is>
      </c>
    </row>
    <row r="438">
      <c r="A438" s="296" t="inlineStr">
        <is>
          <t>GP0824_02</t>
        </is>
      </c>
      <c r="B438" s="296" t="inlineStr">
        <is>
          <t>#7</t>
        </is>
      </c>
      <c r="C438" s="298" t="inlineStr">
        <is>
          <t>different values</t>
        </is>
      </c>
      <c r="D438" s="296" t="inlineStr">
        <is>
          <t>Conforms | Одговара</t>
        </is>
      </c>
      <c r="E438" s="296" t="inlineStr">
        <is>
          <t>Conforms</t>
        </is>
      </c>
    </row>
    <row r="439">
      <c r="A439" s="296" t="inlineStr">
        <is>
          <t>GP0824_02</t>
        </is>
      </c>
      <c r="B439" s="296" t="inlineStr">
        <is>
          <t>#9</t>
        </is>
      </c>
      <c r="C439" s="298" t="inlineStr">
        <is>
          <t>different values</t>
        </is>
      </c>
      <c r="D439" s="296" t="inlineStr">
        <is>
          <t>700; &lt; 10; &lt; 10² and &gt; 10; Absent | Отсутна; Absent | Отсутна</t>
        </is>
      </c>
      <c r="E439" s="296" t="inlineStr">
        <is>
          <t>700; 10; &lt;10^2 и &gt;10; Одговара; Одговара</t>
        </is>
      </c>
    </row>
    <row r="440">
      <c r="A440" s="296" t="inlineStr">
        <is>
          <t>GP0824_02</t>
        </is>
      </c>
      <c r="B440" s="296" t="inlineStr">
        <is>
          <t>#12</t>
        </is>
      </c>
      <c r="C440" s="298" t="inlineStr">
        <is>
          <t>different values</t>
        </is>
      </c>
      <c r="D440" s="296" t="inlineStr">
        <is>
          <t>ND</t>
        </is>
      </c>
      <c r="E440" s="296" t="inlineStr">
        <is>
          <t>≤ LOQ (all 29 compounds)</t>
        </is>
      </c>
    </row>
    <row r="441">
      <c r="A441" s="296" t="inlineStr">
        <is>
          <t>GP082501/2</t>
        </is>
      </c>
      <c r="B441" s="296" t="inlineStr">
        <is>
          <t>#1</t>
        </is>
      </c>
      <c r="C441" s="298" t="inlineStr">
        <is>
          <t>different values</t>
        </is>
      </c>
      <c r="D441" s="296" t="inlineStr">
        <is>
          <t>Conforms | Одговара</t>
        </is>
      </c>
      <c r="E441" s="296" t="inlineStr">
        <is>
          <t>Conforms</t>
        </is>
      </c>
    </row>
    <row r="442">
      <c r="A442" s="296" t="inlineStr">
        <is>
          <t>GP082501/2</t>
        </is>
      </c>
      <c r="B442" s="296" t="inlineStr">
        <is>
          <t>#2</t>
        </is>
      </c>
      <c r="C442" s="298" t="inlineStr">
        <is>
          <t>different values</t>
        </is>
      </c>
      <c r="D442" s="296" t="inlineStr">
        <is>
          <t>Conforms | Одговара</t>
        </is>
      </c>
      <c r="E442" s="296" t="inlineStr">
        <is>
          <t>Conforms</t>
        </is>
      </c>
    </row>
    <row r="443">
      <c r="A443" s="296" t="inlineStr">
        <is>
          <t>GP082501/2</t>
        </is>
      </c>
      <c r="B443" s="296" t="inlineStr">
        <is>
          <t>#3</t>
        </is>
      </c>
      <c r="C443" s="298" t="inlineStr">
        <is>
          <t>different values</t>
        </is>
      </c>
      <c r="D443" s="296" t="inlineStr">
        <is>
          <t>Conforms | Одговара</t>
        </is>
      </c>
      <c r="E443" s="296" t="inlineStr">
        <is>
          <t>Conforms (ImB spec.)</t>
        </is>
      </c>
    </row>
    <row r="444">
      <c r="A444" s="296" t="inlineStr">
        <is>
          <t>GP082501/2</t>
        </is>
      </c>
      <c r="B444" s="296" t="inlineStr">
        <is>
          <t>#7</t>
        </is>
      </c>
      <c r="C444" s="298" t="inlineStr">
        <is>
          <t>different values</t>
        </is>
      </c>
      <c r="D444" s="296" t="inlineStr">
        <is>
          <t>Conforms | Одговара</t>
        </is>
      </c>
      <c r="E444" s="296" t="inlineStr">
        <is>
          <t>Conforms</t>
        </is>
      </c>
    </row>
    <row r="445">
      <c r="A445" s="296" t="inlineStr">
        <is>
          <t>GP082501/2</t>
        </is>
      </c>
      <c r="B445" s="296" t="inlineStr">
        <is>
          <t>#9</t>
        </is>
      </c>
      <c r="C445" s="298" t="inlineStr">
        <is>
          <t>different values</t>
        </is>
      </c>
      <c r="D445" s="296" t="inlineStr">
        <is>
          <t>3.2 × 10³; 5.8 × 10³; &lt; 10⁴ and &gt; 10³; Absent | Отсутна; Absent | Отсутна</t>
        </is>
      </c>
      <c r="E445" s="296" t="inlineStr">
        <is>
          <t>3.2 x 10³; 5.8 x 10³; &lt;10^4 и &gt;10^3; Одговара; Одговара</t>
        </is>
      </c>
    </row>
    <row r="446">
      <c r="A446" s="296" t="inlineStr">
        <is>
          <t>GP082501/2</t>
        </is>
      </c>
      <c r="B446" s="296" t="inlineStr">
        <is>
          <t>#12</t>
        </is>
      </c>
      <c r="C446" s="298" t="inlineStr">
        <is>
          <t>different values</t>
        </is>
      </c>
      <c r="D446" s="296" t="inlineStr">
        <is>
          <t>ND</t>
        </is>
      </c>
      <c r="E446" s="296" t="inlineStr">
        <is>
          <t>≤ LOQ (all 29 compounds)</t>
        </is>
      </c>
    </row>
    <row r="447">
      <c r="A447" s="296" t="inlineStr">
        <is>
          <t>HPA1024</t>
        </is>
      </c>
      <c r="B447" s="296" t="inlineStr">
        <is>
          <t>#1</t>
        </is>
      </c>
      <c r="C447" s="298" t="inlineStr">
        <is>
          <t>different values</t>
        </is>
      </c>
      <c r="D447" s="296" t="inlineStr">
        <is>
          <t>Conforms | Одговара</t>
        </is>
      </c>
      <c r="E447" s="296" t="inlineStr">
        <is>
          <t>Conforms</t>
        </is>
      </c>
    </row>
    <row r="448">
      <c r="A448" s="296" t="inlineStr">
        <is>
          <t>HPA1024</t>
        </is>
      </c>
      <c r="B448" s="296" t="inlineStr">
        <is>
          <t>#2</t>
        </is>
      </c>
      <c r="C448" s="298" t="inlineStr">
        <is>
          <t>different values</t>
        </is>
      </c>
      <c r="D448" s="296" t="inlineStr">
        <is>
          <t>Conforms | Одговара</t>
        </is>
      </c>
      <c r="E448" s="296" t="inlineStr">
        <is>
          <t>Conforms</t>
        </is>
      </c>
    </row>
    <row r="449">
      <c r="A449" s="296" t="inlineStr">
        <is>
          <t>HPA1024</t>
        </is>
      </c>
      <c r="B449" s="296" t="inlineStr">
        <is>
          <t>#4</t>
        </is>
      </c>
      <c r="C449" s="298" t="inlineStr">
        <is>
          <t>different values</t>
        </is>
      </c>
      <c r="D449" s="296" t="inlineStr">
        <is>
          <t>14.97</t>
        </is>
      </c>
      <c r="E449" s="296" t="inlineStr">
        <is>
          <t>19.68 %w/w</t>
        </is>
      </c>
    </row>
    <row r="450">
      <c r="A450" s="296" t="inlineStr">
        <is>
          <t>HPA1024</t>
        </is>
      </c>
      <c r="B450" s="296" t="inlineStr">
        <is>
          <t>#5</t>
        </is>
      </c>
      <c r="C450" s="298" t="inlineStr">
        <is>
          <t>different values</t>
        </is>
      </c>
      <c r="D450" s="296" t="inlineStr">
        <is>
          <t>0.04</t>
        </is>
      </c>
      <c r="E450" s="296" t="inlineStr">
        <is>
          <t>&lt; LOQ %w/w</t>
        </is>
      </c>
    </row>
    <row r="451">
      <c r="A451" s="296" t="inlineStr">
        <is>
          <t>HPA1024</t>
        </is>
      </c>
      <c r="B451" s="296" t="inlineStr">
        <is>
          <t>#7</t>
        </is>
      </c>
      <c r="C451" s="298" t="inlineStr">
        <is>
          <t>different values</t>
        </is>
      </c>
      <c r="D451" s="296" t="inlineStr">
        <is>
          <t>Conforms | Одговара</t>
        </is>
      </c>
      <c r="E451" s="296" t="inlineStr">
        <is>
          <t>Conforms</t>
        </is>
      </c>
    </row>
    <row r="452">
      <c r="A452" s="296" t="inlineStr">
        <is>
          <t>HPA1024</t>
        </is>
      </c>
      <c r="B452" s="296" t="inlineStr">
        <is>
          <t>#9</t>
        </is>
      </c>
      <c r="C452" s="298" t="inlineStr">
        <is>
          <t>different values</t>
        </is>
      </c>
      <c r="D452" s="296" t="inlineStr">
        <is>
          <t>5.2 × 10⁴; 7 × 10²; &lt; 10; Absent | Отсутна; Absent | Отсутна</t>
        </is>
      </c>
      <c r="E452" s="296" t="inlineStr">
        <is>
          <t>5.2·10⁴ CFU/g CFU/g; 7·10² CFU/g CFU/g; &lt;10 CFU/g CFU/g; Absent; Absent</t>
        </is>
      </c>
    </row>
    <row r="453">
      <c r="A453" s="296" t="inlineStr">
        <is>
          <t>HPA1024</t>
        </is>
      </c>
      <c r="B453" s="296" t="inlineStr">
        <is>
          <t>#11</t>
        </is>
      </c>
      <c r="C453" s="299" t="inlineStr">
        <is>
          <t>same values,
other order</t>
        </is>
      </c>
      <c r="D453" s="296" t="inlineStr">
        <is>
          <t>0.02; 0.013; 0.017; 0.0026</t>
        </is>
      </c>
      <c r="E453" s="296" t="inlineStr">
        <is>
          <t>0.013 mg/kg mg/kg; 0.02 mg/kg mg/kg; 0.0026 mg/kg mg/kg; 0.017 mg/kg mg/kg</t>
        </is>
      </c>
    </row>
    <row r="454">
      <c r="A454" s="296" t="inlineStr">
        <is>
          <t>HPA1024_01</t>
        </is>
      </c>
      <c r="B454" s="296" t="inlineStr">
        <is>
          <t>#1</t>
        </is>
      </c>
      <c r="C454" s="298" t="inlineStr">
        <is>
          <t>different values</t>
        </is>
      </c>
      <c r="D454" s="296" t="inlineStr">
        <is>
          <t>Conforms | Одговара</t>
        </is>
      </c>
      <c r="E454" s="296" t="inlineStr">
        <is>
          <t>Conforms</t>
        </is>
      </c>
    </row>
    <row r="455">
      <c r="A455" s="296" t="inlineStr">
        <is>
          <t>HPA1024_01</t>
        </is>
      </c>
      <c r="B455" s="296" t="inlineStr">
        <is>
          <t>#2</t>
        </is>
      </c>
      <c r="C455" s="298" t="inlineStr">
        <is>
          <t>different values</t>
        </is>
      </c>
      <c r="D455" s="296" t="inlineStr">
        <is>
          <t>Conforms | Одговара</t>
        </is>
      </c>
      <c r="E455" s="296" t="inlineStr">
        <is>
          <t>Conforms</t>
        </is>
      </c>
    </row>
    <row r="456">
      <c r="A456" s="296" t="inlineStr">
        <is>
          <t>HPA1024_01</t>
        </is>
      </c>
      <c r="B456" s="296" t="inlineStr">
        <is>
          <t>#3</t>
        </is>
      </c>
      <c r="C456" s="298" t="inlineStr">
        <is>
          <t>different values</t>
        </is>
      </c>
      <c r="D456" s="296" t="inlineStr">
        <is>
          <t>Conforms | Одговара</t>
        </is>
      </c>
      <c r="E456" s="296" t="inlineStr">
        <is>
          <t>Conforms (ImB spec.)</t>
        </is>
      </c>
    </row>
    <row r="457">
      <c r="A457" s="296" t="inlineStr">
        <is>
          <t>HPA1024_01</t>
        </is>
      </c>
      <c r="B457" s="296" t="inlineStr">
        <is>
          <t>#7</t>
        </is>
      </c>
      <c r="C457" s="298" t="inlineStr">
        <is>
          <t>different values</t>
        </is>
      </c>
      <c r="D457" s="296" t="inlineStr">
        <is>
          <t>Conforms | Одговара</t>
        </is>
      </c>
      <c r="E457" s="296" t="inlineStr">
        <is>
          <t>Conforms</t>
        </is>
      </c>
    </row>
    <row r="458">
      <c r="A458" s="296" t="inlineStr">
        <is>
          <t>HPA1024_01</t>
        </is>
      </c>
      <c r="B458" s="296" t="inlineStr">
        <is>
          <t>#9</t>
        </is>
      </c>
      <c r="C458" s="298" t="inlineStr">
        <is>
          <t>different values</t>
        </is>
      </c>
      <c r="D458" s="296" t="inlineStr">
        <is>
          <t>9.6 × 10³; 1.5 × 10⁴; &lt; 10; Absent | Отсутна; Absent | Отсутна</t>
        </is>
      </c>
      <c r="E458" s="296" t="inlineStr">
        <is>
          <t>9.6 x 10³; 1.5 x 10⁴; &lt;10; Одговара; Одговара</t>
        </is>
      </c>
    </row>
    <row r="459">
      <c r="A459" s="296" t="inlineStr">
        <is>
          <t>HPA1024_01</t>
        </is>
      </c>
      <c r="B459" s="296" t="inlineStr">
        <is>
          <t>#12</t>
        </is>
      </c>
      <c r="C459" s="298" t="inlineStr">
        <is>
          <t>different values</t>
        </is>
      </c>
      <c r="D459" s="296" t="inlineStr">
        <is>
          <t>ND</t>
        </is>
      </c>
      <c r="E459" s="296" t="inlineStr">
        <is>
          <t>≤ LOQ (all 23 compounds)</t>
        </is>
      </c>
    </row>
    <row r="460">
      <c r="A460" s="296" t="inlineStr">
        <is>
          <t>J31102501</t>
        </is>
      </c>
      <c r="B460" s="296" t="inlineStr">
        <is>
          <t>#1</t>
        </is>
      </c>
      <c r="C460" s="298" t="inlineStr">
        <is>
          <t>different values</t>
        </is>
      </c>
      <c r="D460" s="296" t="inlineStr">
        <is>
          <t>Conforms | Одговара</t>
        </is>
      </c>
      <c r="E460" s="296" t="inlineStr">
        <is>
          <t>Conforms</t>
        </is>
      </c>
    </row>
    <row r="461">
      <c r="A461" s="296" t="inlineStr">
        <is>
          <t>J31102501</t>
        </is>
      </c>
      <c r="B461" s="296" t="inlineStr">
        <is>
          <t>#2</t>
        </is>
      </c>
      <c r="C461" s="298" t="inlineStr">
        <is>
          <t>different values</t>
        </is>
      </c>
      <c r="D461" s="296" t="inlineStr">
        <is>
          <t>Conforms | Одговара</t>
        </is>
      </c>
      <c r="E461" s="296" t="inlineStr">
        <is>
          <t>Conforms</t>
        </is>
      </c>
    </row>
    <row r="462">
      <c r="A462" s="296" t="inlineStr">
        <is>
          <t>J31102501</t>
        </is>
      </c>
      <c r="B462" s="296" t="inlineStr">
        <is>
          <t>#3</t>
        </is>
      </c>
      <c r="C462" s="298" t="inlineStr">
        <is>
          <t>different values</t>
        </is>
      </c>
      <c r="D462" s="296" t="inlineStr">
        <is>
          <t>Conforms | Одговара</t>
        </is>
      </c>
      <c r="E462" s="296" t="inlineStr">
        <is>
          <t>Conforms (ImB spec.) ᴿ</t>
        </is>
      </c>
    </row>
    <row r="463">
      <c r="A463" s="296" t="inlineStr">
        <is>
          <t>J31102501</t>
        </is>
      </c>
      <c r="B463" s="296" t="inlineStr">
        <is>
          <t>#7</t>
        </is>
      </c>
      <c r="C463" s="298" t="inlineStr">
        <is>
          <t>different values</t>
        </is>
      </c>
      <c r="D463" s="296" t="inlineStr">
        <is>
          <t>Conforms | Одговара</t>
        </is>
      </c>
      <c r="E463" s="296" t="inlineStr">
        <is>
          <t>Conforms</t>
        </is>
      </c>
    </row>
    <row r="464">
      <c r="A464" s="296" t="inlineStr">
        <is>
          <t>J31102501</t>
        </is>
      </c>
      <c r="B464" s="296" t="inlineStr">
        <is>
          <t>#9</t>
        </is>
      </c>
      <c r="C464" s="298" t="inlineStr">
        <is>
          <t>different values</t>
        </is>
      </c>
      <c r="D464" s="296" t="inlineStr">
        <is>
          <t>1.6 × 10²; 1.9 × 10²; &lt; 10; Absent | Отсутна; Absent | Отсутна</t>
        </is>
      </c>
      <c r="E464" s="296" t="inlineStr">
        <is>
          <t>1,6 x 10² CFU/g CFU/g; 1,9 x 10² CFU/g CFU/g; &lt; 10 CFU/g CFU/g; Одговара; Одговара</t>
        </is>
      </c>
    </row>
    <row r="465">
      <c r="A465" s="296" t="inlineStr">
        <is>
          <t>JD112501</t>
        </is>
      </c>
      <c r="B465" s="296" t="inlineStr">
        <is>
          <t>#1</t>
        </is>
      </c>
      <c r="C465" s="298" t="inlineStr">
        <is>
          <t>different values</t>
        </is>
      </c>
      <c r="D465" s="296" t="inlineStr">
        <is>
          <t>Conforms | Одговара</t>
        </is>
      </c>
      <c r="E465" s="296" t="inlineStr">
        <is>
          <t>Conforms</t>
        </is>
      </c>
    </row>
    <row r="466">
      <c r="A466" s="296" t="inlineStr">
        <is>
          <t>JD112501</t>
        </is>
      </c>
      <c r="B466" s="296" t="inlineStr">
        <is>
          <t>#2</t>
        </is>
      </c>
      <c r="C466" s="298" t="inlineStr">
        <is>
          <t>different values</t>
        </is>
      </c>
      <c r="D466" s="296" t="inlineStr">
        <is>
          <t>Conforms | Одговара</t>
        </is>
      </c>
      <c r="E466" s="296" t="inlineStr">
        <is>
          <t>Conforms</t>
        </is>
      </c>
    </row>
    <row r="467">
      <c r="A467" s="296" t="inlineStr">
        <is>
          <t>JD112501</t>
        </is>
      </c>
      <c r="B467" s="296" t="inlineStr">
        <is>
          <t>#6</t>
        </is>
      </c>
      <c r="C467" s="298" t="inlineStr">
        <is>
          <t>different values</t>
        </is>
      </c>
      <c r="D467" s="296" t="inlineStr">
        <is>
          <t>&lt; LOQ %</t>
        </is>
      </c>
      <c r="E467" s="296" t="inlineStr">
        <is>
          <t>BLQ %</t>
        </is>
      </c>
    </row>
    <row r="468">
      <c r="A468" s="296" t="inlineStr">
        <is>
          <t>JD112501</t>
        </is>
      </c>
      <c r="B468" s="296" t="inlineStr">
        <is>
          <t>#7</t>
        </is>
      </c>
      <c r="C468" s="298" t="inlineStr">
        <is>
          <t>different values</t>
        </is>
      </c>
      <c r="D468" s="296" t="inlineStr">
        <is>
          <t>Conforms | Одговара</t>
        </is>
      </c>
      <c r="E468" s="296" t="inlineStr">
        <is>
          <t>Conforms</t>
        </is>
      </c>
    </row>
    <row r="469">
      <c r="A469" s="296" t="inlineStr">
        <is>
          <t>JD112501</t>
        </is>
      </c>
      <c r="B469" s="296" t="inlineStr">
        <is>
          <t>#9</t>
        </is>
      </c>
      <c r="C469" s="298" t="inlineStr">
        <is>
          <t>different values</t>
        </is>
      </c>
      <c r="D469" s="296" t="inlineStr">
        <is>
          <t>2,6 × 10³; 3,3 × 10³; &lt; 10³ and &gt; 10²; Absent | Отсутна; Absent | Отсутна</t>
        </is>
      </c>
      <c r="E469" s="296" t="inlineStr">
        <is>
          <t>1 x 10⁴ CFU/g CFU/g; 6,7 x 10³ CFU/g CFU/g; &lt; 10³ и &gt;10² CFU/g CFU/g; Отсутна/g; Отсутна/25 g</t>
        </is>
      </c>
    </row>
    <row r="470">
      <c r="A470" s="296" t="inlineStr">
        <is>
          <t>OPM1024</t>
        </is>
      </c>
      <c r="B470" s="296" t="inlineStr">
        <is>
          <t>#1</t>
        </is>
      </c>
      <c r="C470" s="298" t="inlineStr">
        <is>
          <t>different values</t>
        </is>
      </c>
      <c r="D470" s="296" t="inlineStr">
        <is>
          <t>Conforms | Одговара</t>
        </is>
      </c>
      <c r="E470" s="296" t="inlineStr">
        <is>
          <t>Confirms</t>
        </is>
      </c>
    </row>
    <row r="471">
      <c r="A471" s="296" t="inlineStr">
        <is>
          <t>OPM1024</t>
        </is>
      </c>
      <c r="B471" s="296" t="inlineStr">
        <is>
          <t>#2</t>
        </is>
      </c>
      <c r="C471" s="298" t="inlineStr">
        <is>
          <t>different values</t>
        </is>
      </c>
      <c r="D471" s="296" t="inlineStr">
        <is>
          <t>Conforms | Одговара</t>
        </is>
      </c>
      <c r="E471" s="296" t="inlineStr">
        <is>
          <t>Conforms</t>
        </is>
      </c>
    </row>
    <row r="472">
      <c r="A472" s="296" t="inlineStr">
        <is>
          <t>OPM1024</t>
        </is>
      </c>
      <c r="B472" s="296" t="inlineStr">
        <is>
          <t>#4</t>
        </is>
      </c>
      <c r="C472" s="298" t="inlineStr">
        <is>
          <t>different values</t>
        </is>
      </c>
      <c r="D472" s="296" t="inlineStr">
        <is>
          <t>19.96</t>
        </is>
      </c>
      <c r="E472" s="296" t="inlineStr">
        <is>
          <t>20.03 %w/w</t>
        </is>
      </c>
    </row>
    <row r="473">
      <c r="A473" s="296" t="inlineStr">
        <is>
          <t>OPM1024</t>
        </is>
      </c>
      <c r="B473" s="296" t="inlineStr">
        <is>
          <t>#5</t>
        </is>
      </c>
      <c r="C473" s="298" t="inlineStr">
        <is>
          <t>different values</t>
        </is>
      </c>
      <c r="D473" s="296" t="inlineStr">
        <is>
          <t>0.05</t>
        </is>
      </c>
      <c r="E473" s="296" t="inlineStr">
        <is>
          <t>&lt; LOQ %w/w</t>
        </is>
      </c>
    </row>
    <row r="474">
      <c r="A474" s="296" t="inlineStr">
        <is>
          <t>OPM1024</t>
        </is>
      </c>
      <c r="B474" s="296" t="inlineStr">
        <is>
          <t>#7</t>
        </is>
      </c>
      <c r="C474" s="298" t="inlineStr">
        <is>
          <t>different values</t>
        </is>
      </c>
      <c r="D474" s="296" t="inlineStr">
        <is>
          <t>Conforms | Одговара</t>
        </is>
      </c>
      <c r="E474" s="296" t="inlineStr">
        <is>
          <t>Confirms</t>
        </is>
      </c>
    </row>
    <row r="475">
      <c r="A475" s="296" t="inlineStr">
        <is>
          <t>OPM1024</t>
        </is>
      </c>
      <c r="B475" s="296" t="inlineStr">
        <is>
          <t>#9</t>
        </is>
      </c>
      <c r="C475" s="298" t="inlineStr">
        <is>
          <t>different values</t>
        </is>
      </c>
      <c r="D475" s="296" t="inlineStr">
        <is>
          <t>1.3 × 10⁴; 7 × 10²; &lt; 10² &gt; 10³; Absent | Отсутна; Absent | Отсутна</t>
        </is>
      </c>
      <c r="E475" s="296" t="inlineStr">
        <is>
          <t>1.3·10⁴ CFU/g CFU/g; 7·10² CFU/g CFU/g; &lt;10²&gt;10³CFU/g CFU/g; Absent; Absent</t>
        </is>
      </c>
    </row>
    <row r="476">
      <c r="A476" s="296" t="inlineStr">
        <is>
          <t>OPM1024</t>
        </is>
      </c>
      <c r="B476" s="296" t="inlineStr">
        <is>
          <t>#11</t>
        </is>
      </c>
      <c r="C476" s="299" t="inlineStr">
        <is>
          <t>same values,
other order</t>
        </is>
      </c>
      <c r="D476" s="296" t="inlineStr">
        <is>
          <t>0.031; 0.017; 0.045; 0.005</t>
        </is>
      </c>
      <c r="E476" s="296" t="inlineStr">
        <is>
          <t>0.017 mg/kg mg/kg; 0.031 mg/kg mg/kg; 0.005 mg/kg mg/kg; 0.045 mg/kg mg/kg</t>
        </is>
      </c>
    </row>
    <row r="477">
      <c r="A477" s="296" t="inlineStr">
        <is>
          <t>OPM1024_02</t>
        </is>
      </c>
      <c r="B477" s="296" t="inlineStr">
        <is>
          <t>#1</t>
        </is>
      </c>
      <c r="C477" s="298" t="inlineStr">
        <is>
          <t>different values</t>
        </is>
      </c>
      <c r="D477" s="296" t="inlineStr">
        <is>
          <t>Conforms | Одговара</t>
        </is>
      </c>
      <c r="E477" s="296" t="inlineStr">
        <is>
          <t>Conforms</t>
        </is>
      </c>
    </row>
    <row r="478">
      <c r="A478" s="296" t="inlineStr">
        <is>
          <t>OPM1024_02</t>
        </is>
      </c>
      <c r="B478" s="296" t="inlineStr">
        <is>
          <t>#2</t>
        </is>
      </c>
      <c r="C478" s="298" t="inlineStr">
        <is>
          <t>different values</t>
        </is>
      </c>
      <c r="D478" s="296" t="inlineStr">
        <is>
          <t>Conforms | Одговара</t>
        </is>
      </c>
      <c r="E478" s="296" t="inlineStr">
        <is>
          <t>Conforms</t>
        </is>
      </c>
    </row>
    <row r="479">
      <c r="A479" s="296" t="inlineStr">
        <is>
          <t>OPM1024_02</t>
        </is>
      </c>
      <c r="B479" s="296" t="inlineStr">
        <is>
          <t>#3</t>
        </is>
      </c>
      <c r="C479" s="298" t="inlineStr">
        <is>
          <t>different values</t>
        </is>
      </c>
      <c r="D479" s="296" t="inlineStr">
        <is>
          <t>Conforms | Одговара</t>
        </is>
      </c>
      <c r="E479" s="296" t="inlineStr">
        <is>
          <t>Conforms (ImB spec.)</t>
        </is>
      </c>
    </row>
    <row r="480">
      <c r="A480" s="296" t="inlineStr">
        <is>
          <t>OPM1024_02</t>
        </is>
      </c>
      <c r="B480" s="296" t="inlineStr">
        <is>
          <t>#7</t>
        </is>
      </c>
      <c r="C480" s="298" t="inlineStr">
        <is>
          <t>different values</t>
        </is>
      </c>
      <c r="D480" s="296" t="inlineStr">
        <is>
          <t>Conforms | Одговара</t>
        </is>
      </c>
      <c r="E480" s="296" t="inlineStr">
        <is>
          <t>Conforms</t>
        </is>
      </c>
    </row>
    <row r="481">
      <c r="A481" s="296" t="inlineStr">
        <is>
          <t>OPM1024_02</t>
        </is>
      </c>
      <c r="B481" s="296" t="inlineStr">
        <is>
          <t>#9</t>
        </is>
      </c>
      <c r="C481" s="298" t="inlineStr">
        <is>
          <t>different values</t>
        </is>
      </c>
      <c r="D481" s="296" t="inlineStr">
        <is>
          <t>3.4 × 10³; 3.6 × 10³; &lt; 10; Absent | Отсутна; Absent | Отсутна</t>
        </is>
      </c>
      <c r="E481" s="296" t="inlineStr">
        <is>
          <t>3.4 x 10³; 3.6 x 10³; &lt;10; Одговара; Одговара</t>
        </is>
      </c>
    </row>
    <row r="482">
      <c r="A482" s="296" t="inlineStr">
        <is>
          <t>OPM1024_02</t>
        </is>
      </c>
      <c r="B482" s="296" t="inlineStr">
        <is>
          <t>#12</t>
        </is>
      </c>
      <c r="C482" s="298" t="inlineStr">
        <is>
          <t>different values</t>
        </is>
      </c>
      <c r="D482" s="296" t="inlineStr">
        <is>
          <t>ND</t>
        </is>
      </c>
      <c r="E482" s="296" t="inlineStr">
        <is>
          <t>FINDS: delta HCH &lt;0.01</t>
        </is>
      </c>
    </row>
    <row r="483">
      <c r="A483" s="296" t="inlineStr">
        <is>
          <t>OPM122501</t>
        </is>
      </c>
      <c r="B483" s="296" t="inlineStr">
        <is>
          <t>#1</t>
        </is>
      </c>
      <c r="C483" s="298" t="inlineStr">
        <is>
          <t>different values</t>
        </is>
      </c>
      <c r="D483" s="296" t="inlineStr">
        <is>
          <t>Conforms | Одговара</t>
        </is>
      </c>
      <c r="E483" s="296" t="inlineStr">
        <is>
          <t>Conforms</t>
        </is>
      </c>
    </row>
    <row r="484">
      <c r="A484" s="296" t="inlineStr">
        <is>
          <t>OPM122501</t>
        </is>
      </c>
      <c r="B484" s="296" t="inlineStr">
        <is>
          <t>#2</t>
        </is>
      </c>
      <c r="C484" s="298" t="inlineStr">
        <is>
          <t>different values</t>
        </is>
      </c>
      <c r="D484" s="296" t="inlineStr">
        <is>
          <t>Conforms | Одговара</t>
        </is>
      </c>
      <c r="E484" s="296" t="inlineStr">
        <is>
          <t>Conforms</t>
        </is>
      </c>
    </row>
    <row r="485">
      <c r="A485" s="296" t="inlineStr">
        <is>
          <t>OPM122501</t>
        </is>
      </c>
      <c r="B485" s="296" t="inlineStr">
        <is>
          <t>#3</t>
        </is>
      </c>
      <c r="C485" s="298" t="inlineStr">
        <is>
          <t>different values</t>
        </is>
      </c>
      <c r="D485" s="296" t="inlineStr">
        <is>
          <t>Conforms | Одговара</t>
        </is>
      </c>
      <c r="E485" s="296" t="inlineStr">
        <is>
          <t>Conforms (ImB spec.) ᴿ</t>
        </is>
      </c>
    </row>
    <row r="486">
      <c r="A486" s="296" t="inlineStr">
        <is>
          <t>OPM122501</t>
        </is>
      </c>
      <c r="B486" s="296" t="inlineStr">
        <is>
          <t>#7</t>
        </is>
      </c>
      <c r="C486" s="298" t="inlineStr">
        <is>
          <t>different values</t>
        </is>
      </c>
      <c r="D486" s="296" t="inlineStr">
        <is>
          <t>Conforms | Одговара</t>
        </is>
      </c>
      <c r="E486" s="296" t="inlineStr">
        <is>
          <t>Conforms</t>
        </is>
      </c>
    </row>
    <row r="487">
      <c r="A487" s="296" t="inlineStr">
        <is>
          <t>OPM122501</t>
        </is>
      </c>
      <c r="B487" s="296" t="inlineStr">
        <is>
          <t>#9</t>
        </is>
      </c>
      <c r="C487" s="298" t="inlineStr">
        <is>
          <t>different values</t>
        </is>
      </c>
      <c r="D487" s="296" t="inlineStr">
        <is>
          <t>120; 100; &lt; 10; Absent | Отсутна; Absent | Отсутна</t>
        </is>
      </c>
      <c r="E487" s="296" t="inlineStr">
        <is>
          <t>120; 100; &lt;10; Одговара; Одговара</t>
        </is>
      </c>
    </row>
    <row r="488">
      <c r="A488" s="296" t="inlineStr">
        <is>
          <t>OPM122501</t>
        </is>
      </c>
      <c r="B488" s="296" t="inlineStr">
        <is>
          <t>#12</t>
        </is>
      </c>
      <c r="C488" s="298" t="inlineStr">
        <is>
          <t>different values</t>
        </is>
      </c>
      <c r="D488" s="296" t="inlineStr">
        <is>
          <t>ND</t>
        </is>
      </c>
      <c r="E488" s="296" t="inlineStr">
        <is>
          <t>≤ LOQ (all 25 compounds)</t>
        </is>
      </c>
    </row>
    <row r="489">
      <c r="A489" s="296" t="inlineStr">
        <is>
          <t>PM092501</t>
        </is>
      </c>
      <c r="B489" s="296" t="inlineStr">
        <is>
          <t>#1</t>
        </is>
      </c>
      <c r="C489" s="298" t="inlineStr">
        <is>
          <t>different values</t>
        </is>
      </c>
      <c r="D489" s="296" t="inlineStr">
        <is>
          <t>Conforms | Одговара</t>
        </is>
      </c>
      <c r="E489" s="296" t="inlineStr">
        <is>
          <t>Conforms</t>
        </is>
      </c>
    </row>
    <row r="490">
      <c r="A490" s="296" t="inlineStr">
        <is>
          <t>PM092501</t>
        </is>
      </c>
      <c r="B490" s="296" t="inlineStr">
        <is>
          <t>#2</t>
        </is>
      </c>
      <c r="C490" s="298" t="inlineStr">
        <is>
          <t>different values</t>
        </is>
      </c>
      <c r="D490" s="296" t="inlineStr">
        <is>
          <t>Conforms | Одговара</t>
        </is>
      </c>
      <c r="E490" s="296" t="inlineStr">
        <is>
          <t>Conforms</t>
        </is>
      </c>
    </row>
    <row r="491">
      <c r="A491" s="296" t="inlineStr">
        <is>
          <t>PM092501</t>
        </is>
      </c>
      <c r="B491" s="296" t="inlineStr">
        <is>
          <t>#3</t>
        </is>
      </c>
      <c r="C491" s="298" t="inlineStr">
        <is>
          <t>different values</t>
        </is>
      </c>
      <c r="D491" s="296" t="inlineStr">
        <is>
          <t>Conforms | Одговара</t>
        </is>
      </c>
      <c r="E491" s="296" t="inlineStr">
        <is>
          <t>Conforms (ImB spec.) ᴿ</t>
        </is>
      </c>
    </row>
    <row r="492">
      <c r="A492" s="296" t="inlineStr">
        <is>
          <t>PM092501</t>
        </is>
      </c>
      <c r="B492" s="296" t="inlineStr">
        <is>
          <t>#6</t>
        </is>
      </c>
      <c r="C492" s="298" t="inlineStr">
        <is>
          <t>different values</t>
        </is>
      </c>
      <c r="D492" s="296" t="inlineStr">
        <is>
          <t>&lt; LOQ ᴰ</t>
        </is>
      </c>
      <c r="E492" s="296" t="inlineStr">
        <is>
          <t>BLQ ᴰ</t>
        </is>
      </c>
    </row>
    <row r="493">
      <c r="A493" s="296" t="inlineStr">
        <is>
          <t>PM092501</t>
        </is>
      </c>
      <c r="B493" s="296" t="inlineStr">
        <is>
          <t>#7</t>
        </is>
      </c>
      <c r="C493" s="298" t="inlineStr">
        <is>
          <t>different values</t>
        </is>
      </c>
      <c r="D493" s="296" t="inlineStr">
        <is>
          <t>Conforms | Одговара</t>
        </is>
      </c>
      <c r="E493" s="296" t="inlineStr">
        <is>
          <t>Conforms</t>
        </is>
      </c>
    </row>
    <row r="494">
      <c r="A494" s="296" t="inlineStr">
        <is>
          <t>PM092501</t>
        </is>
      </c>
      <c r="B494" s="296" t="inlineStr">
        <is>
          <t>#9</t>
        </is>
      </c>
      <c r="C494" s="298" t="inlineStr">
        <is>
          <t>different values</t>
        </is>
      </c>
      <c r="D494" s="296" t="inlineStr">
        <is>
          <t>2 × 10³; 2.2 × 10³; &lt; 10; Absent | Отсутна; Absent | Отсутна</t>
        </is>
      </c>
      <c r="E494" s="296" t="inlineStr">
        <is>
          <t>2×10³; 2.2×10³; &lt;10; Одговара; Одговара</t>
        </is>
      </c>
    </row>
    <row r="495">
      <c r="A495" s="296" t="inlineStr">
        <is>
          <t>PM092501</t>
        </is>
      </c>
      <c r="B495" s="296" t="inlineStr">
        <is>
          <t>#12</t>
        </is>
      </c>
      <c r="C495" s="298" t="inlineStr">
        <is>
          <t>different values</t>
        </is>
      </c>
      <c r="D495" s="296" t="inlineStr">
        <is>
          <t>ND</t>
        </is>
      </c>
      <c r="E495" s="296" t="inlineStr">
        <is>
          <t>≤ LOQ (all 28 compounds)</t>
        </is>
      </c>
    </row>
    <row r="496">
      <c r="A496" s="296" t="inlineStr">
        <is>
          <t>SCR012603</t>
        </is>
      </c>
      <c r="B496" s="296" t="inlineStr">
        <is>
          <t>#1</t>
        </is>
      </c>
      <c r="C496" s="298" t="inlineStr">
        <is>
          <t>different values</t>
        </is>
      </c>
      <c r="D496" s="296" t="inlineStr">
        <is>
          <t>Conforms | Одговара</t>
        </is>
      </c>
      <c r="E496" s="296" t="inlineStr">
        <is>
          <t>Conforms</t>
        </is>
      </c>
    </row>
    <row r="497">
      <c r="A497" s="296" t="inlineStr">
        <is>
          <t>SCR012603</t>
        </is>
      </c>
      <c r="B497" s="296" t="inlineStr">
        <is>
          <t>#2</t>
        </is>
      </c>
      <c r="C497" s="298" t="inlineStr">
        <is>
          <t>different values</t>
        </is>
      </c>
      <c r="D497" s="296" t="inlineStr">
        <is>
          <t>Conforms | Одговара</t>
        </is>
      </c>
      <c r="E497" s="296" t="inlineStr">
        <is>
          <t>Conforms</t>
        </is>
      </c>
    </row>
    <row r="498">
      <c r="A498" s="296" t="inlineStr">
        <is>
          <t>SCR012603</t>
        </is>
      </c>
      <c r="B498" s="296" t="inlineStr">
        <is>
          <t>#7</t>
        </is>
      </c>
      <c r="C498" s="298" t="inlineStr">
        <is>
          <t>different values</t>
        </is>
      </c>
      <c r="D498" s="296" t="inlineStr">
        <is>
          <t>Conforms | Одговара</t>
        </is>
      </c>
      <c r="E498" s="296" t="inlineStr">
        <is>
          <t>Conforms</t>
        </is>
      </c>
    </row>
    <row r="499">
      <c r="A499" s="296" t="inlineStr">
        <is>
          <t>SCR012603</t>
        </is>
      </c>
      <c r="B499" s="296" t="inlineStr">
        <is>
          <t>#9</t>
        </is>
      </c>
      <c r="C499" s="298" t="inlineStr">
        <is>
          <t>different values</t>
        </is>
      </c>
      <c r="D499" s="296" t="inlineStr">
        <is>
          <t>5.4 × 10⁴; 1.8 × 10⁴; &lt; 10; Absent | Отсутна; Absent | Отсутна</t>
        </is>
      </c>
      <c r="E499" s="296" t="inlineStr">
        <is>
          <t>5,4 x 10⁴ CFU/g CFU/g; 1,8 x 10⁴ CFU/g CFU/g; &lt; 10 CFU/g CFU/g; Отсутна /g; Отсутна /25 g</t>
        </is>
      </c>
    </row>
    <row r="500">
      <c r="A500" s="296" t="inlineStr">
        <is>
          <t>ACC102501</t>
        </is>
      </c>
      <c r="B500" s="296" t="inlineStr">
        <is>
          <t>#9</t>
        </is>
      </c>
      <c r="C500" s="298" t="inlineStr">
        <is>
          <t>different values</t>
        </is>
      </c>
      <c r="D500" s="296" t="inlineStr">
        <is>
          <t>1 × 10³; 1.6 × 10³; &lt; 10; Absent | Отсутна; Absent | Отсутна</t>
        </is>
      </c>
      <c r="E500" s="296" t="inlineStr">
        <is>
          <t>1 x 10³ CFU/g CFU/g; 1,6 x 10³ CFU/g CFU/g; &lt; 10 CFU/g CFU/g; Одговара; Одговара</t>
        </is>
      </c>
    </row>
    <row r="501">
      <c r="A501" s="296" t="inlineStr">
        <is>
          <t>BSS052501</t>
        </is>
      </c>
      <c r="B501" s="296" t="inlineStr">
        <is>
          <t>#1</t>
        </is>
      </c>
      <c r="C501" s="298" t="inlineStr">
        <is>
          <t>different values</t>
        </is>
      </c>
      <c r="D501" s="296" t="inlineStr">
        <is>
          <t>Conforms | Одговара</t>
        </is>
      </c>
      <c r="E501" s="296" t="inlineStr">
        <is>
          <t>Conforms</t>
        </is>
      </c>
    </row>
    <row r="502">
      <c r="A502" s="296" t="inlineStr">
        <is>
          <t>BSS052501</t>
        </is>
      </c>
      <c r="B502" s="296" t="inlineStr">
        <is>
          <t>#2</t>
        </is>
      </c>
      <c r="C502" s="298" t="inlineStr">
        <is>
          <t>different values</t>
        </is>
      </c>
      <c r="D502" s="296" t="inlineStr">
        <is>
          <t>Conforms | Одговара</t>
        </is>
      </c>
      <c r="E502" s="296" t="inlineStr">
        <is>
          <t>Conforms</t>
        </is>
      </c>
    </row>
    <row r="503">
      <c r="A503" s="296" t="inlineStr">
        <is>
          <t>BSS052501</t>
        </is>
      </c>
      <c r="B503" s="296" t="inlineStr">
        <is>
          <t>#7</t>
        </is>
      </c>
      <c r="C503" s="298" t="inlineStr">
        <is>
          <t>different values</t>
        </is>
      </c>
      <c r="D503" s="296" t="inlineStr">
        <is>
          <t>Conforms | Одговара</t>
        </is>
      </c>
      <c r="E503" s="296" t="inlineStr">
        <is>
          <t>Conforms</t>
        </is>
      </c>
    </row>
    <row r="504">
      <c r="A504" s="296" t="inlineStr">
        <is>
          <t>BSS052501</t>
        </is>
      </c>
      <c r="B504" s="296" t="inlineStr">
        <is>
          <t>#9</t>
        </is>
      </c>
      <c r="C504" s="298" t="inlineStr">
        <is>
          <t>different values</t>
        </is>
      </c>
      <c r="D504" s="296" t="inlineStr">
        <is>
          <t>200; 200; &lt; 10² and &gt; 10; Absent | Отсутна; Absent | Отсутна</t>
        </is>
      </c>
      <c r="E504" s="296" t="inlineStr">
        <is>
          <t>200 CFU/g CFU/g; 200 CFU/g CFU/g; &lt; 10² и &gt;10 CFU/g CFU/g; Одговара /g; Одговара /25 g</t>
        </is>
      </c>
    </row>
    <row r="505">
      <c r="A505" s="296" t="inlineStr">
        <is>
          <t>BSS052501</t>
        </is>
      </c>
      <c r="B505" s="296" t="inlineStr">
        <is>
          <t>#12</t>
        </is>
      </c>
      <c r="C505" s="298" t="inlineStr">
        <is>
          <t>different values</t>
        </is>
      </c>
      <c r="D505" s="296" t="inlineStr">
        <is>
          <t>Not found any pesticide above LOQ (≤LOQ) — COMPLIES with Ph. Eur.</t>
        </is>
      </c>
      <c r="E505" s="296" t="inlineStr">
        <is>
          <t>≤ LOQ (0.01 mg/kg) mg/kg</t>
        </is>
      </c>
    </row>
    <row r="506">
      <c r="A506" s="296" t="inlineStr">
        <is>
          <t>CC012603</t>
        </is>
      </c>
      <c r="B506" s="296" t="inlineStr">
        <is>
          <t>#9</t>
        </is>
      </c>
      <c r="C506" s="298" t="inlineStr">
        <is>
          <t>different values</t>
        </is>
      </c>
      <c r="D506" s="296" t="inlineStr">
        <is>
          <t>2.7 × 10³; 1.6 × 10¹; &lt; 10; Absent | Отсутна; Absent | Отсутна</t>
        </is>
      </c>
      <c r="E506" s="296" t="inlineStr">
        <is>
          <t>2,7 x 10³ CFU/g CFU/g; 1,6 x 10⁴ CFU/g CFU/g; &lt; 10 CFU/g CFU/g; Отсутна /g; Отсутна /25 g</t>
        </is>
      </c>
    </row>
    <row r="507">
      <c r="A507" s="296" t="inlineStr">
        <is>
          <t>CF102501</t>
        </is>
      </c>
      <c r="B507" s="296" t="inlineStr">
        <is>
          <t>#9</t>
        </is>
      </c>
      <c r="C507" s="298" t="inlineStr">
        <is>
          <t>different values</t>
        </is>
      </c>
      <c r="D507" s="296" t="inlineStr">
        <is>
          <t>3.1 × 10⁴; 3.9 × 10⁴; &lt; 10³ and &gt; 10²; Absent | Отсутна; Absent | Отсутна</t>
        </is>
      </c>
      <c r="E507" s="296" t="inlineStr">
        <is>
          <t>3,1 x 10⁴ CFU/g CFU/g; 3,9 x 10⁴ CFU/g CFU/g; &lt; 10³ и 10² CFU/g CFU/g; Одговара; Одговара</t>
        </is>
      </c>
    </row>
    <row r="508">
      <c r="A508" s="296" t="inlineStr">
        <is>
          <t>CF102501</t>
        </is>
      </c>
      <c r="B508" s="296" t="inlineStr">
        <is>
          <t>#11</t>
        </is>
      </c>
      <c r="C508" s="299" t="inlineStr">
        <is>
          <t>same values,
other order</t>
        </is>
      </c>
      <c r="D508" s="296" t="inlineStr">
        <is>
          <t>0.07; ND; 0.0942; ND</t>
        </is>
      </c>
      <c r="E508" s="296" t="inlineStr">
        <is>
          <t>0,07 mg/kg(l); 0,0942 mg/kg(l); н.д. mg/kg(l); н.д. mg/kg(l)</t>
        </is>
      </c>
    </row>
    <row r="509">
      <c r="A509" s="296" t="inlineStr">
        <is>
          <t>CJ062501/1</t>
        </is>
      </c>
      <c r="B509" s="296" t="inlineStr">
        <is>
          <t>#1</t>
        </is>
      </c>
      <c r="C509" s="298" t="inlineStr">
        <is>
          <t>different values</t>
        </is>
      </c>
      <c r="D509" s="296" t="inlineStr">
        <is>
          <t>Conforms | Одговара</t>
        </is>
      </c>
      <c r="E509" s="296" t="inlineStr">
        <is>
          <t>Conforms</t>
        </is>
      </c>
    </row>
    <row r="510">
      <c r="A510" s="296" t="inlineStr">
        <is>
          <t>CJ062501/1</t>
        </is>
      </c>
      <c r="B510" s="296" t="inlineStr">
        <is>
          <t>#2</t>
        </is>
      </c>
      <c r="C510" s="298" t="inlineStr">
        <is>
          <t>different values</t>
        </is>
      </c>
      <c r="D510" s="296" t="inlineStr">
        <is>
          <t>Conforms | Одговара</t>
        </is>
      </c>
      <c r="E510" s="296" t="inlineStr">
        <is>
          <t>Conforms</t>
        </is>
      </c>
    </row>
    <row r="511">
      <c r="A511" s="296" t="inlineStr">
        <is>
          <t>CJ062501/1</t>
        </is>
      </c>
      <c r="B511" s="296" t="inlineStr">
        <is>
          <t>#3</t>
        </is>
      </c>
      <c r="C511" s="298" t="inlineStr">
        <is>
          <t>different values</t>
        </is>
      </c>
      <c r="D511" s="296" t="inlineStr">
        <is>
          <t>Conforms | Одговара</t>
        </is>
      </c>
      <c r="E511" s="296" t="inlineStr">
        <is>
          <t>Conforms (ImB spec.)</t>
        </is>
      </c>
    </row>
    <row r="512">
      <c r="A512" s="296" t="inlineStr">
        <is>
          <t>CJ062501/1</t>
        </is>
      </c>
      <c r="B512" s="296" t="inlineStr">
        <is>
          <t>#7</t>
        </is>
      </c>
      <c r="C512" s="298" t="inlineStr">
        <is>
          <t>different values</t>
        </is>
      </c>
      <c r="D512" s="296" t="inlineStr">
        <is>
          <t>Conforms | Одговара</t>
        </is>
      </c>
      <c r="E512" s="296" t="inlineStr">
        <is>
          <t>Conforms</t>
        </is>
      </c>
    </row>
    <row r="513">
      <c r="A513" s="296" t="inlineStr">
        <is>
          <t>CJ062501/1</t>
        </is>
      </c>
      <c r="B513" s="296" t="inlineStr">
        <is>
          <t>#9</t>
        </is>
      </c>
      <c r="C513" s="298" t="inlineStr">
        <is>
          <t>different values</t>
        </is>
      </c>
      <c r="D513" s="296" t="inlineStr">
        <is>
          <t>&lt; 10; 20; &lt; 10; Absent | Отсутна; Absent | Отсутна</t>
        </is>
      </c>
      <c r="E513" s="296" t="inlineStr">
        <is>
          <t>&lt;10; 20; &lt;10; Одговара; Одговара</t>
        </is>
      </c>
    </row>
    <row r="514">
      <c r="A514" s="296" t="inlineStr">
        <is>
          <t>CJ062501/1</t>
        </is>
      </c>
      <c r="B514" s="296" t="inlineStr">
        <is>
          <t>#12</t>
        </is>
      </c>
      <c r="C514" s="298" t="inlineStr">
        <is>
          <t>different values</t>
        </is>
      </c>
      <c r="D514" s="296" t="inlineStr">
        <is>
          <t>ND</t>
        </is>
      </c>
      <c r="E514" s="296" t="inlineStr">
        <is>
          <t>≤ LOQ (all 29 compounds)</t>
        </is>
      </c>
    </row>
    <row r="515">
      <c r="A515" s="296" t="inlineStr">
        <is>
          <t>CJ082501/1</t>
        </is>
      </c>
      <c r="B515" s="296" t="inlineStr">
        <is>
          <t>#1</t>
        </is>
      </c>
      <c r="C515" s="298" t="inlineStr">
        <is>
          <t>different values</t>
        </is>
      </c>
      <c r="D515" s="296" t="inlineStr">
        <is>
          <t>Conforms | Одговара</t>
        </is>
      </c>
      <c r="E515" s="296" t="inlineStr">
        <is>
          <t>Conforms</t>
        </is>
      </c>
    </row>
    <row r="516">
      <c r="A516" s="296" t="inlineStr">
        <is>
          <t>CJ082501/1</t>
        </is>
      </c>
      <c r="B516" s="296" t="inlineStr">
        <is>
          <t>#2</t>
        </is>
      </c>
      <c r="C516" s="298" t="inlineStr">
        <is>
          <t>different values</t>
        </is>
      </c>
      <c r="D516" s="296" t="inlineStr">
        <is>
          <t>Conforms | Одговара</t>
        </is>
      </c>
      <c r="E516" s="296" t="inlineStr">
        <is>
          <t>Conforms</t>
        </is>
      </c>
    </row>
    <row r="517">
      <c r="A517" s="296" t="inlineStr">
        <is>
          <t>CJ082501/1</t>
        </is>
      </c>
      <c r="B517" s="296" t="inlineStr">
        <is>
          <t>#3</t>
        </is>
      </c>
      <c r="C517" s="298" t="inlineStr">
        <is>
          <t>different values</t>
        </is>
      </c>
      <c r="D517" s="296" t="inlineStr">
        <is>
          <t>Conforms | Одговара</t>
        </is>
      </c>
      <c r="E517" s="296" t="inlineStr">
        <is>
          <t>Conforms (ImB spec.)</t>
        </is>
      </c>
    </row>
    <row r="518">
      <c r="A518" s="296" t="inlineStr">
        <is>
          <t>CJ082501/1</t>
        </is>
      </c>
      <c r="B518" s="296" t="inlineStr">
        <is>
          <t>#7</t>
        </is>
      </c>
      <c r="C518" s="298" t="inlineStr">
        <is>
          <t>different values</t>
        </is>
      </c>
      <c r="D518" s="296" t="inlineStr">
        <is>
          <t>Conforms | Одговара</t>
        </is>
      </c>
      <c r="E518" s="296" t="inlineStr">
        <is>
          <t>Conforms</t>
        </is>
      </c>
    </row>
    <row r="519">
      <c r="A519" s="296" t="inlineStr">
        <is>
          <t>CJ082501/1</t>
        </is>
      </c>
      <c r="B519" s="296" t="inlineStr">
        <is>
          <t>#9</t>
        </is>
      </c>
      <c r="C519" s="298" t="inlineStr">
        <is>
          <t>different values</t>
        </is>
      </c>
      <c r="D519" s="296" t="inlineStr">
        <is>
          <t>1.5 × 10²; 1.3 × 10²; &lt; 10; Absent | Отсутна; Absent | Отсутна</t>
        </is>
      </c>
      <c r="E519" s="296" t="inlineStr">
        <is>
          <t>1,5 x 10² CFU/g CFU/g; 1,3 x 10² CFU/g CFU/g; &lt; 10 CFU/g CFU/g; Одговара /g; Одговара /25 g</t>
        </is>
      </c>
    </row>
    <row r="520">
      <c r="A520" s="296" t="inlineStr">
        <is>
          <t>CJ082501/1</t>
        </is>
      </c>
      <c r="B520" s="296" t="inlineStr">
        <is>
          <t>#12</t>
        </is>
      </c>
      <c r="C520" s="298" t="inlineStr">
        <is>
          <t>different values</t>
        </is>
      </c>
      <c r="D520" s="296" t="inlineStr">
        <is>
          <t>ND</t>
        </is>
      </c>
      <c r="E520" s="296" t="inlineStr">
        <is>
          <t>≤ LOQ (all 26 compounds)</t>
        </is>
      </c>
    </row>
    <row r="521">
      <c r="A521" s="296" t="inlineStr">
        <is>
          <t>CJ092501</t>
        </is>
      </c>
      <c r="B521" s="296" t="inlineStr">
        <is>
          <t>#1</t>
        </is>
      </c>
      <c r="C521" s="298" t="inlineStr">
        <is>
          <t>different values</t>
        </is>
      </c>
      <c r="D521" s="296" t="inlineStr">
        <is>
          <t>Conforms | Одговара</t>
        </is>
      </c>
      <c r="E521" s="296" t="inlineStr">
        <is>
          <t>Conforms</t>
        </is>
      </c>
    </row>
    <row r="522">
      <c r="A522" s="296" t="inlineStr">
        <is>
          <t>CJ092501</t>
        </is>
      </c>
      <c r="B522" s="296" t="inlineStr">
        <is>
          <t>#2</t>
        </is>
      </c>
      <c r="C522" s="298" t="inlineStr">
        <is>
          <t>different values</t>
        </is>
      </c>
      <c r="D522" s="296" t="inlineStr">
        <is>
          <t>Conforms | Одговара</t>
        </is>
      </c>
      <c r="E522" s="296" t="inlineStr">
        <is>
          <t>Conforms</t>
        </is>
      </c>
    </row>
    <row r="523">
      <c r="A523" s="296" t="inlineStr">
        <is>
          <t>CJ092501</t>
        </is>
      </c>
      <c r="B523" s="296" t="inlineStr">
        <is>
          <t>#3</t>
        </is>
      </c>
      <c r="C523" s="298" t="inlineStr">
        <is>
          <t>different values</t>
        </is>
      </c>
      <c r="D523" s="296" t="inlineStr">
        <is>
          <t>Conforms | Одговара</t>
        </is>
      </c>
      <c r="E523" s="296" t="inlineStr">
        <is>
          <t>Conforms (ImB spec.)</t>
        </is>
      </c>
    </row>
    <row r="524">
      <c r="A524" s="296" t="inlineStr">
        <is>
          <t>CJ092501</t>
        </is>
      </c>
      <c r="B524" s="296" t="inlineStr">
        <is>
          <t>#7</t>
        </is>
      </c>
      <c r="C524" s="298" t="inlineStr">
        <is>
          <t>different values</t>
        </is>
      </c>
      <c r="D524" s="296" t="inlineStr">
        <is>
          <t>Conforms | Одговара</t>
        </is>
      </c>
      <c r="E524" s="296" t="inlineStr">
        <is>
          <t>Conforms</t>
        </is>
      </c>
    </row>
    <row r="525">
      <c r="A525" s="296" t="inlineStr">
        <is>
          <t>CJ092501</t>
        </is>
      </c>
      <c r="B525" s="296" t="inlineStr">
        <is>
          <t>#9</t>
        </is>
      </c>
      <c r="C525" s="298" t="inlineStr">
        <is>
          <t>different values</t>
        </is>
      </c>
      <c r="D525" s="296" t="inlineStr">
        <is>
          <t>&lt; 10; &lt; 10; &lt; 10; Absent | Отсутна; Absent | Отсутна</t>
        </is>
      </c>
      <c r="E525" s="296" t="inlineStr">
        <is>
          <t>&lt;10; &lt;10; &lt;10; Одговара; Одговара</t>
        </is>
      </c>
    </row>
    <row r="526">
      <c r="A526" s="296" t="inlineStr">
        <is>
          <t>CJ092501</t>
        </is>
      </c>
      <c r="B526" s="296" t="inlineStr">
        <is>
          <t>#12</t>
        </is>
      </c>
      <c r="C526" s="298" t="inlineStr">
        <is>
          <t>different values</t>
        </is>
      </c>
      <c r="D526" s="296" t="inlineStr">
        <is>
          <t>ND</t>
        </is>
      </c>
      <c r="E526" s="296" t="inlineStr">
        <is>
          <t>≤ LOQ (all 29 compounds)</t>
        </is>
      </c>
    </row>
    <row r="527">
      <c r="A527" s="296" t="inlineStr">
        <is>
          <t>CLE072501</t>
        </is>
      </c>
      <c r="B527" s="296" t="inlineStr">
        <is>
          <t>#1</t>
        </is>
      </c>
      <c r="C527" s="298" t="inlineStr">
        <is>
          <t>different values</t>
        </is>
      </c>
      <c r="D527" s="296" t="inlineStr">
        <is>
          <t>Conforms | Одговара</t>
        </is>
      </c>
      <c r="E527" s="296" t="inlineStr">
        <is>
          <t>Conforms</t>
        </is>
      </c>
    </row>
    <row r="528">
      <c r="A528" s="296" t="inlineStr">
        <is>
          <t>CLE072501</t>
        </is>
      </c>
      <c r="B528" s="296" t="inlineStr">
        <is>
          <t>#2</t>
        </is>
      </c>
      <c r="C528" s="298" t="inlineStr">
        <is>
          <t>different values</t>
        </is>
      </c>
      <c r="D528" s="296" t="inlineStr">
        <is>
          <t>Conforms | Одговара</t>
        </is>
      </c>
      <c r="E528" s="296" t="inlineStr">
        <is>
          <t>Conforms</t>
        </is>
      </c>
    </row>
    <row r="529">
      <c r="A529" s="296" t="inlineStr">
        <is>
          <t>CLE072501</t>
        </is>
      </c>
      <c r="B529" s="296" t="inlineStr">
        <is>
          <t>#3</t>
        </is>
      </c>
      <c r="C529" s="298" t="inlineStr">
        <is>
          <t>different values</t>
        </is>
      </c>
      <c r="D529" s="296" t="inlineStr">
        <is>
          <t>Conforms | Одговара</t>
        </is>
      </c>
      <c r="E529" s="296" t="inlineStr">
        <is>
          <t>Conforms (ImB spec.)</t>
        </is>
      </c>
    </row>
    <row r="530">
      <c r="A530" s="296" t="inlineStr">
        <is>
          <t>CLE072501</t>
        </is>
      </c>
      <c r="B530" s="296" t="inlineStr">
        <is>
          <t>#6</t>
        </is>
      </c>
      <c r="C530" s="298" t="inlineStr">
        <is>
          <t>different values</t>
        </is>
      </c>
      <c r="D530" s="296" t="inlineStr">
        <is>
          <t>&lt; LOQ ᴰ</t>
        </is>
      </c>
      <c r="E530" s="296" t="inlineStr">
        <is>
          <t>BLQ ᴰ</t>
        </is>
      </c>
    </row>
    <row r="531">
      <c r="A531" s="296" t="inlineStr">
        <is>
          <t>CLE072501</t>
        </is>
      </c>
      <c r="B531" s="296" t="inlineStr">
        <is>
          <t>#7</t>
        </is>
      </c>
      <c r="C531" s="298" t="inlineStr">
        <is>
          <t>different values</t>
        </is>
      </c>
      <c r="D531" s="296" t="inlineStr">
        <is>
          <t>Conforms | Одговара</t>
        </is>
      </c>
      <c r="E531" s="296" t="inlineStr">
        <is>
          <t>Conforms</t>
        </is>
      </c>
    </row>
    <row r="532">
      <c r="A532" s="296" t="inlineStr">
        <is>
          <t>CLE072501</t>
        </is>
      </c>
      <c r="B532" s="296" t="inlineStr">
        <is>
          <t>#9</t>
        </is>
      </c>
      <c r="C532" s="298" t="inlineStr">
        <is>
          <t>different values</t>
        </is>
      </c>
      <c r="D532" s="296" t="inlineStr">
        <is>
          <t>&lt; 10; &lt; 10; &lt; 10; Absent | Отсутна; Absent | Отсутна</t>
        </is>
      </c>
      <c r="E532" s="296" t="inlineStr">
        <is>
          <t>&lt;10; &lt;10; &lt;10; Одговара; Одговара</t>
        </is>
      </c>
    </row>
    <row r="533">
      <c r="A533" s="296" t="inlineStr">
        <is>
          <t>CLE072501</t>
        </is>
      </c>
      <c r="B533" s="296" t="inlineStr">
        <is>
          <t>#12</t>
        </is>
      </c>
      <c r="C533" s="298" t="inlineStr">
        <is>
          <t>different values</t>
        </is>
      </c>
      <c r="D533" s="296" t="inlineStr">
        <is>
          <t>ND</t>
        </is>
      </c>
      <c r="E533" s="296" t="inlineStr">
        <is>
          <t>≤ LOQ (all 27 compounds)</t>
        </is>
      </c>
    </row>
    <row r="534">
      <c r="A534" s="296" t="inlineStr">
        <is>
          <t>FB012601/1</t>
        </is>
      </c>
      <c r="B534" s="296" t="inlineStr">
        <is>
          <t>#1</t>
        </is>
      </c>
      <c r="C534" s="298" t="inlineStr">
        <is>
          <t>different values</t>
        </is>
      </c>
      <c r="D534" s="296" t="inlineStr">
        <is>
          <t>Conforms | Одговара</t>
        </is>
      </c>
      <c r="E534" s="296" t="inlineStr">
        <is>
          <t>Conforms</t>
        </is>
      </c>
    </row>
    <row r="535">
      <c r="A535" s="296" t="inlineStr">
        <is>
          <t>FB012601/1</t>
        </is>
      </c>
      <c r="B535" s="296" t="inlineStr">
        <is>
          <t>#2</t>
        </is>
      </c>
      <c r="C535" s="298" t="inlineStr">
        <is>
          <t>different values</t>
        </is>
      </c>
      <c r="D535" s="296" t="inlineStr">
        <is>
          <t>Conforms | Одговара</t>
        </is>
      </c>
      <c r="E535" s="296" t="inlineStr">
        <is>
          <t>Conforms</t>
        </is>
      </c>
    </row>
    <row r="536">
      <c r="A536" s="296" t="inlineStr">
        <is>
          <t>FB012601/1</t>
        </is>
      </c>
      <c r="B536" s="296" t="inlineStr">
        <is>
          <t>#6</t>
        </is>
      </c>
      <c r="C536" s="298" t="inlineStr">
        <is>
          <t>different values</t>
        </is>
      </c>
      <c r="D536" s="296" t="inlineStr">
        <is>
          <t>&lt; LOQ %</t>
        </is>
      </c>
      <c r="E536" s="296" t="inlineStr">
        <is>
          <t>BLQ %</t>
        </is>
      </c>
    </row>
    <row r="537">
      <c r="A537" s="296" t="inlineStr">
        <is>
          <t>FB012601/1</t>
        </is>
      </c>
      <c r="B537" s="296" t="inlineStr">
        <is>
          <t>#7</t>
        </is>
      </c>
      <c r="C537" s="298" t="inlineStr">
        <is>
          <t>different values</t>
        </is>
      </c>
      <c r="D537" s="296" t="inlineStr">
        <is>
          <t>Conforms | Одговара</t>
        </is>
      </c>
      <c r="E537" s="296" t="inlineStr">
        <is>
          <t>Conforms</t>
        </is>
      </c>
    </row>
    <row r="538">
      <c r="A538" s="296" t="inlineStr">
        <is>
          <t>FB012601/1</t>
        </is>
      </c>
      <c r="B538" s="296" t="inlineStr">
        <is>
          <t>#9</t>
        </is>
      </c>
      <c r="C538" s="298" t="inlineStr">
        <is>
          <t>different values</t>
        </is>
      </c>
      <c r="D538" s="296" t="inlineStr">
        <is>
          <t>2 × 10³; 2,1 × 10³; &lt; 10; Absent | Отсутна; Absent | Отсутна</t>
        </is>
      </c>
      <c r="E538" s="296" t="inlineStr">
        <is>
          <t>2 x 10³ CFU/g CFU/g; 2,1 x 10³ CFU/g CFU/g; &lt; 10 CFU/g CFU/g; Отсутна/g; Отсутна/25 g</t>
        </is>
      </c>
    </row>
    <row r="539">
      <c r="A539" s="296" t="inlineStr">
        <is>
          <t>GG1024</t>
        </is>
      </c>
      <c r="B539" s="296" t="inlineStr">
        <is>
          <t>#1</t>
        </is>
      </c>
      <c r="C539" s="298" t="inlineStr">
        <is>
          <t>different values</t>
        </is>
      </c>
      <c r="D539" s="296" t="inlineStr">
        <is>
          <t>Conforms | Одговара</t>
        </is>
      </c>
      <c r="E539" s="296" t="inlineStr">
        <is>
          <t>Conforms</t>
        </is>
      </c>
    </row>
    <row r="540">
      <c r="A540" s="296" t="inlineStr">
        <is>
          <t>GG1024</t>
        </is>
      </c>
      <c r="B540" s="296" t="inlineStr">
        <is>
          <t>#2</t>
        </is>
      </c>
      <c r="C540" s="298" t="inlineStr">
        <is>
          <t>different values</t>
        </is>
      </c>
      <c r="D540" s="296" t="inlineStr">
        <is>
          <t>Conforms | Одговара</t>
        </is>
      </c>
      <c r="E540" s="296" t="inlineStr">
        <is>
          <t>Conforms</t>
        </is>
      </c>
    </row>
    <row r="541">
      <c r="A541" s="296" t="inlineStr">
        <is>
          <t>GG1024</t>
        </is>
      </c>
      <c r="B541" s="296" t="inlineStr">
        <is>
          <t>#7</t>
        </is>
      </c>
      <c r="C541" s="298" t="inlineStr">
        <is>
          <t>different values</t>
        </is>
      </c>
      <c r="D541" s="296" t="inlineStr">
        <is>
          <t>Conforms | Одговара</t>
        </is>
      </c>
      <c r="E541" s="296" t="inlineStr">
        <is>
          <t>Confirms</t>
        </is>
      </c>
    </row>
    <row r="542">
      <c r="A542" s="296" t="inlineStr">
        <is>
          <t>GG1024</t>
        </is>
      </c>
      <c r="B542" s="296" t="inlineStr">
        <is>
          <t>#9</t>
        </is>
      </c>
      <c r="C542" s="298" t="inlineStr">
        <is>
          <t>different values</t>
        </is>
      </c>
      <c r="D542" s="296" t="inlineStr">
        <is>
          <t>1.1 × 10⁴ CFU/g; &lt; 10; &lt; 10² and &gt; 10 CFU/g; Absent | Отсутна; Absent | Отсутна</t>
        </is>
      </c>
      <c r="E542" s="296" t="inlineStr">
        <is>
          <t>1,1 x 10⁴ CFU/g; &lt; 10 CFU/g; &lt; 10² и &gt; 10 CFU/g; Одговара; Одговара</t>
        </is>
      </c>
    </row>
    <row r="543">
      <c r="A543" s="296" t="inlineStr">
        <is>
          <t>GP072501/2</t>
        </is>
      </c>
      <c r="B543" s="296" t="inlineStr">
        <is>
          <t>#1</t>
        </is>
      </c>
      <c r="C543" s="298" t="inlineStr">
        <is>
          <t>different values</t>
        </is>
      </c>
      <c r="D543" s="296" t="inlineStr">
        <is>
          <t>Conforms | Одговара</t>
        </is>
      </c>
      <c r="E543" s="296" t="inlineStr">
        <is>
          <t>Conforms</t>
        </is>
      </c>
    </row>
    <row r="544">
      <c r="A544" s="296" t="inlineStr">
        <is>
          <t>GP072501/2</t>
        </is>
      </c>
      <c r="B544" s="296" t="inlineStr">
        <is>
          <t>#2</t>
        </is>
      </c>
      <c r="C544" s="298" t="inlineStr">
        <is>
          <t>different values</t>
        </is>
      </c>
      <c r="D544" s="296" t="inlineStr">
        <is>
          <t>Conforms | Одговара</t>
        </is>
      </c>
      <c r="E544" s="296" t="inlineStr">
        <is>
          <t>Conforms</t>
        </is>
      </c>
    </row>
    <row r="545">
      <c r="A545" s="296" t="inlineStr">
        <is>
          <t>GP072501/2</t>
        </is>
      </c>
      <c r="B545" s="296" t="inlineStr">
        <is>
          <t>#3</t>
        </is>
      </c>
      <c r="C545" s="298" t="inlineStr">
        <is>
          <t>different values</t>
        </is>
      </c>
      <c r="D545" s="296" t="inlineStr">
        <is>
          <t>Conforms | Одговара</t>
        </is>
      </c>
      <c r="E545" s="296" t="inlineStr">
        <is>
          <t>Conforms (ImB spec.)</t>
        </is>
      </c>
    </row>
    <row r="546">
      <c r="A546" s="296" t="inlineStr">
        <is>
          <t>GP072501/2</t>
        </is>
      </c>
      <c r="B546" s="296" t="inlineStr">
        <is>
          <t>#7</t>
        </is>
      </c>
      <c r="C546" s="298" t="inlineStr">
        <is>
          <t>different values</t>
        </is>
      </c>
      <c r="D546" s="296" t="inlineStr">
        <is>
          <t>Conforms | Одговара</t>
        </is>
      </c>
      <c r="E546" s="296" t="inlineStr">
        <is>
          <t>Conforms</t>
        </is>
      </c>
    </row>
    <row r="547">
      <c r="A547" s="296" t="inlineStr">
        <is>
          <t>GP072501/2</t>
        </is>
      </c>
      <c r="B547" s="296" t="inlineStr">
        <is>
          <t>#9</t>
        </is>
      </c>
      <c r="C547" s="298" t="inlineStr">
        <is>
          <t>different values</t>
        </is>
      </c>
      <c r="D547" s="296" t="inlineStr">
        <is>
          <t>2 × 10²; 3 × 10²; &lt; 10; Absent | Отсутна; Absent | Отсутна</t>
        </is>
      </c>
      <c r="E547" s="296" t="inlineStr">
        <is>
          <t>2 x 10² CFU/g CFU/g; 3 x 10² CFU/g CFU/g; &lt; 10 CFU/g CFU/g; Одговара /g; Одговара /25 g</t>
        </is>
      </c>
    </row>
    <row r="548">
      <c r="A548" s="296" t="inlineStr">
        <is>
          <t>GP072501/2</t>
        </is>
      </c>
      <c r="B548" s="296" t="inlineStr">
        <is>
          <t>#12</t>
        </is>
      </c>
      <c r="C548" s="298" t="inlineStr">
        <is>
          <t>different values</t>
        </is>
      </c>
      <c r="D548" s="296" t="inlineStr">
        <is>
          <t>ND</t>
        </is>
      </c>
      <c r="E548" s="296" t="inlineStr">
        <is>
          <t>≤ LOQ (all 29 compounds)</t>
        </is>
      </c>
    </row>
    <row r="549">
      <c r="A549" s="296" t="inlineStr">
        <is>
          <t>GP0824_03</t>
        </is>
      </c>
      <c r="B549" s="296" t="inlineStr">
        <is>
          <t>#1</t>
        </is>
      </c>
      <c r="C549" s="298" t="inlineStr">
        <is>
          <t>different values</t>
        </is>
      </c>
      <c r="D549" s="296" t="inlineStr">
        <is>
          <t>Conforms | Одговара</t>
        </is>
      </c>
      <c r="E549" s="296" t="inlineStr">
        <is>
          <t>Conforms</t>
        </is>
      </c>
    </row>
    <row r="550">
      <c r="A550" s="296" t="inlineStr">
        <is>
          <t>GP0824_03</t>
        </is>
      </c>
      <c r="B550" s="296" t="inlineStr">
        <is>
          <t>#2</t>
        </is>
      </c>
      <c r="C550" s="298" t="inlineStr">
        <is>
          <t>different values</t>
        </is>
      </c>
      <c r="D550" s="296" t="inlineStr">
        <is>
          <t>Conforms | Одговара</t>
        </is>
      </c>
      <c r="E550" s="296" t="inlineStr">
        <is>
          <t>Conforms</t>
        </is>
      </c>
    </row>
    <row r="551">
      <c r="A551" s="296" t="inlineStr">
        <is>
          <t>GP0824_03</t>
        </is>
      </c>
      <c r="B551" s="296" t="inlineStr">
        <is>
          <t>#3</t>
        </is>
      </c>
      <c r="C551" s="298" t="inlineStr">
        <is>
          <t>different values</t>
        </is>
      </c>
      <c r="D551" s="296" t="inlineStr">
        <is>
          <t>Conforms | Одговара</t>
        </is>
      </c>
      <c r="E551" s="296" t="inlineStr">
        <is>
          <t>Conforms (ImB spec.)</t>
        </is>
      </c>
    </row>
    <row r="552">
      <c r="A552" s="296" t="inlineStr">
        <is>
          <t>GP0824_03</t>
        </is>
      </c>
      <c r="B552" s="296" t="inlineStr">
        <is>
          <t>#6</t>
        </is>
      </c>
      <c r="C552" s="298" t="inlineStr">
        <is>
          <t>different values</t>
        </is>
      </c>
      <c r="D552" s="296" t="inlineStr">
        <is>
          <t>&lt; LOQ ᴰ</t>
        </is>
      </c>
      <c r="E552" s="296" t="inlineStr">
        <is>
          <t>BLQ ᴰ</t>
        </is>
      </c>
    </row>
    <row r="553">
      <c r="A553" s="296" t="inlineStr">
        <is>
          <t>GP0824_03</t>
        </is>
      </c>
      <c r="B553" s="296" t="inlineStr">
        <is>
          <t>#7</t>
        </is>
      </c>
      <c r="C553" s="298" t="inlineStr">
        <is>
          <t>different values</t>
        </is>
      </c>
      <c r="D553" s="296" t="inlineStr">
        <is>
          <t>Conforms | Одговара</t>
        </is>
      </c>
      <c r="E553" s="296" t="inlineStr">
        <is>
          <t>Conforms</t>
        </is>
      </c>
    </row>
    <row r="554">
      <c r="A554" s="296" t="inlineStr">
        <is>
          <t>GP0824_03</t>
        </is>
      </c>
      <c r="B554" s="296" t="inlineStr">
        <is>
          <t>#9</t>
        </is>
      </c>
      <c r="C554" s="298" t="inlineStr">
        <is>
          <t>different values</t>
        </is>
      </c>
      <c r="D554" s="296" t="inlineStr">
        <is>
          <t>1.1 × 10⁴; 1.2 × 10⁴; &lt; 10⁴ and &gt; 10³; Absent | Отсутна; Absent | Отсутна</t>
        </is>
      </c>
      <c r="E554" s="296" t="inlineStr">
        <is>
          <t>1.1 x 10⁴; 1.2 x 10⁴; &lt;10⁴ и &gt;10³; Одговара; Одговара</t>
        </is>
      </c>
    </row>
    <row r="555">
      <c r="A555" s="296" t="inlineStr">
        <is>
          <t>GP0824_03</t>
        </is>
      </c>
      <c r="B555" s="296" t="inlineStr">
        <is>
          <t>#12</t>
        </is>
      </c>
      <c r="C555" s="298" t="inlineStr">
        <is>
          <t>different values</t>
        </is>
      </c>
      <c r="D555" s="296" t="inlineStr">
        <is>
          <t>ND</t>
        </is>
      </c>
      <c r="E555" s="296" t="inlineStr">
        <is>
          <t>≤ LOQ (all 29 compounds)</t>
        </is>
      </c>
    </row>
    <row r="556">
      <c r="A556" s="296" t="inlineStr">
        <is>
          <t>GP082501/1</t>
        </is>
      </c>
      <c r="B556" s="296" t="inlineStr">
        <is>
          <t>#1</t>
        </is>
      </c>
      <c r="C556" s="298" t="inlineStr">
        <is>
          <t>different values</t>
        </is>
      </c>
      <c r="D556" s="296" t="inlineStr">
        <is>
          <t>Conforms | Одговара</t>
        </is>
      </c>
      <c r="E556" s="296" t="inlineStr">
        <is>
          <t>Conforms</t>
        </is>
      </c>
    </row>
    <row r="557">
      <c r="A557" s="296" t="inlineStr">
        <is>
          <t>GP082501/1</t>
        </is>
      </c>
      <c r="B557" s="296" t="inlineStr">
        <is>
          <t>#2</t>
        </is>
      </c>
      <c r="C557" s="298" t="inlineStr">
        <is>
          <t>different values</t>
        </is>
      </c>
      <c r="D557" s="296" t="inlineStr">
        <is>
          <t>Conforms | Одговара</t>
        </is>
      </c>
      <c r="E557" s="296" t="inlineStr">
        <is>
          <t>Conforms</t>
        </is>
      </c>
    </row>
    <row r="558">
      <c r="A558" s="296" t="inlineStr">
        <is>
          <t>GP082501/1</t>
        </is>
      </c>
      <c r="B558" s="296" t="inlineStr">
        <is>
          <t>#3</t>
        </is>
      </c>
      <c r="C558" s="298" t="inlineStr">
        <is>
          <t>different values</t>
        </is>
      </c>
      <c r="D558" s="296" t="inlineStr">
        <is>
          <t>Conforms | Одговара</t>
        </is>
      </c>
      <c r="E558" s="296" t="inlineStr">
        <is>
          <t>Conforms (ImB spec.)</t>
        </is>
      </c>
    </row>
    <row r="559">
      <c r="A559" s="296" t="inlineStr">
        <is>
          <t>GP082501/1</t>
        </is>
      </c>
      <c r="B559" s="296" t="inlineStr">
        <is>
          <t>#7</t>
        </is>
      </c>
      <c r="C559" s="298" t="inlineStr">
        <is>
          <t>different values</t>
        </is>
      </c>
      <c r="D559" s="296" t="inlineStr">
        <is>
          <t>Conforms | Одговара</t>
        </is>
      </c>
      <c r="E559" s="296" t="inlineStr">
        <is>
          <t>Conforms</t>
        </is>
      </c>
    </row>
    <row r="560">
      <c r="A560" s="296" t="inlineStr">
        <is>
          <t>GP082501/1</t>
        </is>
      </c>
      <c r="B560" s="296" t="inlineStr">
        <is>
          <t>#9</t>
        </is>
      </c>
      <c r="C560" s="298" t="inlineStr">
        <is>
          <t>different values</t>
        </is>
      </c>
      <c r="D560" s="296" t="inlineStr">
        <is>
          <t>4.3 × 10²; 1 × 10³; &lt; 10³ and &gt; 10²; Absent | Отсутна; Absent | Отсутна</t>
        </is>
      </c>
      <c r="E560" s="296" t="inlineStr">
        <is>
          <t>4,3 x 10² CFU/g CFU/g; 1 x 10³ CFU/g CFU/g; &lt; 10³ и &gt; 10² CFU/g CFU/g; Одговара /g; Одговара /25 g</t>
        </is>
      </c>
    </row>
    <row r="561">
      <c r="A561" s="296" t="inlineStr">
        <is>
          <t>GP082501/1</t>
        </is>
      </c>
      <c r="B561" s="296" t="inlineStr">
        <is>
          <t>#12</t>
        </is>
      </c>
      <c r="C561" s="298" t="inlineStr">
        <is>
          <t>different values</t>
        </is>
      </c>
      <c r="D561" s="296" t="inlineStr">
        <is>
          <t>ND</t>
        </is>
      </c>
      <c r="E561" s="296" t="inlineStr">
        <is>
          <t>≤ LOQ (all 28 compounds)</t>
        </is>
      </c>
    </row>
    <row r="562">
      <c r="A562" s="296" t="inlineStr">
        <is>
          <t>GP092501</t>
        </is>
      </c>
      <c r="B562" s="296" t="inlineStr">
        <is>
          <t>#1</t>
        </is>
      </c>
      <c r="C562" s="298" t="inlineStr">
        <is>
          <t>different values</t>
        </is>
      </c>
      <c r="D562" s="296" t="inlineStr">
        <is>
          <t>Conforms | Одговара</t>
        </is>
      </c>
      <c r="E562" s="296" t="inlineStr">
        <is>
          <t>Conforms</t>
        </is>
      </c>
    </row>
    <row r="563">
      <c r="A563" s="296" t="inlineStr">
        <is>
          <t>GP092501</t>
        </is>
      </c>
      <c r="B563" s="296" t="inlineStr">
        <is>
          <t>#2</t>
        </is>
      </c>
      <c r="C563" s="298" t="inlineStr">
        <is>
          <t>different values</t>
        </is>
      </c>
      <c r="D563" s="296" t="inlineStr">
        <is>
          <t>Conforms | Одговара</t>
        </is>
      </c>
      <c r="E563" s="296" t="inlineStr">
        <is>
          <t>Conforms</t>
        </is>
      </c>
    </row>
    <row r="564">
      <c r="A564" s="296" t="inlineStr">
        <is>
          <t>GP092501</t>
        </is>
      </c>
      <c r="B564" s="296" t="inlineStr">
        <is>
          <t>#3</t>
        </is>
      </c>
      <c r="C564" s="298" t="inlineStr">
        <is>
          <t>different values</t>
        </is>
      </c>
      <c r="D564" s="296" t="inlineStr">
        <is>
          <t>Conforms | Одговара</t>
        </is>
      </c>
      <c r="E564" s="296" t="inlineStr">
        <is>
          <t>Conforms (ImB spec.)</t>
        </is>
      </c>
    </row>
    <row r="565">
      <c r="A565" s="296" t="inlineStr">
        <is>
          <t>GP092501</t>
        </is>
      </c>
      <c r="B565" s="296" t="inlineStr">
        <is>
          <t>#7</t>
        </is>
      </c>
      <c r="C565" s="298" t="inlineStr">
        <is>
          <t>different values</t>
        </is>
      </c>
      <c r="D565" s="296" t="inlineStr">
        <is>
          <t>Conforms | Одговара</t>
        </is>
      </c>
      <c r="E565" s="296" t="inlineStr">
        <is>
          <t>Conforms</t>
        </is>
      </c>
    </row>
    <row r="566">
      <c r="A566" s="296" t="inlineStr">
        <is>
          <t>GP092501</t>
        </is>
      </c>
      <c r="B566" s="296" t="inlineStr">
        <is>
          <t>#9</t>
        </is>
      </c>
      <c r="C566" s="298" t="inlineStr">
        <is>
          <t>different values</t>
        </is>
      </c>
      <c r="D566" s="296" t="inlineStr">
        <is>
          <t>1 × 10²; &lt; 10; &lt; 10² and &gt; 10; Absent | Отсутна; Absent | Отсутна</t>
        </is>
      </c>
      <c r="E566" s="296" t="inlineStr">
        <is>
          <t>1 x 10² CFU/g CFU/g; &lt; 10 CFU/g CFU/g; &lt; 10² и &gt; 10 CFU/g CFU/g; Одговара /g; Одговара /25 g</t>
        </is>
      </c>
    </row>
    <row r="567">
      <c r="A567" s="296" t="inlineStr">
        <is>
          <t>GP092501</t>
        </is>
      </c>
      <c r="B567" s="296" t="inlineStr">
        <is>
          <t>#12</t>
        </is>
      </c>
      <c r="C567" s="298" t="inlineStr">
        <is>
          <t>different values</t>
        </is>
      </c>
      <c r="D567" s="296" t="inlineStr">
        <is>
          <t>ND</t>
        </is>
      </c>
      <c r="E567" s="296" t="inlineStr">
        <is>
          <t>≤ LOQ (all 29 compounds)</t>
        </is>
      </c>
    </row>
    <row r="568">
      <c r="A568" s="296" t="inlineStr">
        <is>
          <t>GRC102501/2</t>
        </is>
      </c>
      <c r="B568" s="296" t="inlineStr">
        <is>
          <t>#9</t>
        </is>
      </c>
      <c r="C568" s="298" t="inlineStr">
        <is>
          <t>different values</t>
        </is>
      </c>
      <c r="D568" s="296" t="inlineStr">
        <is>
          <t>2.3 × 10²; 1.3 × 10²; &lt; 10; Absent | Отсутна; Absent | Отсутна</t>
        </is>
      </c>
      <c r="E568" s="296" t="inlineStr">
        <is>
          <t>2,3 x 10² CFU/g CFU/g; 1,3 x 10² CFU/g CFU/g; &lt; 10 CFU/g CFU/g; Одговара; Одговара</t>
        </is>
      </c>
    </row>
    <row r="569">
      <c r="A569" s="296" t="inlineStr">
        <is>
          <t>HPA052501</t>
        </is>
      </c>
      <c r="B569" s="296" t="inlineStr">
        <is>
          <t>#1</t>
        </is>
      </c>
      <c r="C569" s="298" t="inlineStr">
        <is>
          <t>different values</t>
        </is>
      </c>
      <c r="D569" s="296" t="inlineStr">
        <is>
          <t>Conforms | Одговара</t>
        </is>
      </c>
      <c r="E569" s="296" t="inlineStr">
        <is>
          <t>Conforms</t>
        </is>
      </c>
    </row>
    <row r="570">
      <c r="A570" s="296" t="inlineStr">
        <is>
          <t>HPA052501</t>
        </is>
      </c>
      <c r="B570" s="296" t="inlineStr">
        <is>
          <t>#2</t>
        </is>
      </c>
      <c r="C570" s="298" t="inlineStr">
        <is>
          <t>different values</t>
        </is>
      </c>
      <c r="D570" s="296" t="inlineStr">
        <is>
          <t>Conforms | Одговара</t>
        </is>
      </c>
      <c r="E570" s="296" t="inlineStr">
        <is>
          <t>Conforms</t>
        </is>
      </c>
    </row>
    <row r="571">
      <c r="A571" s="296" t="inlineStr">
        <is>
          <t>HPA052501</t>
        </is>
      </c>
      <c r="B571" s="296" t="inlineStr">
        <is>
          <t>#3</t>
        </is>
      </c>
      <c r="C571" s="298" t="inlineStr">
        <is>
          <t>different values</t>
        </is>
      </c>
      <c r="D571" s="296" t="inlineStr">
        <is>
          <t>Conforms | Одговара</t>
        </is>
      </c>
      <c r="E571" s="296" t="inlineStr">
        <is>
          <t>Conforms (ImB spec.)</t>
        </is>
      </c>
    </row>
    <row r="572">
      <c r="A572" s="296" t="inlineStr">
        <is>
          <t>HPA052501</t>
        </is>
      </c>
      <c r="B572" s="296" t="inlineStr">
        <is>
          <t>#7</t>
        </is>
      </c>
      <c r="C572" s="298" t="inlineStr">
        <is>
          <t>different values</t>
        </is>
      </c>
      <c r="D572" s="296" t="inlineStr">
        <is>
          <t>Conforms | Одговара</t>
        </is>
      </c>
      <c r="E572" s="296" t="inlineStr">
        <is>
          <t>Conforms</t>
        </is>
      </c>
    </row>
    <row r="573">
      <c r="A573" s="296" t="inlineStr">
        <is>
          <t>HPA052501</t>
        </is>
      </c>
      <c r="B573" s="296" t="inlineStr">
        <is>
          <t>#9</t>
        </is>
      </c>
      <c r="C573" s="298" t="inlineStr">
        <is>
          <t>different values</t>
        </is>
      </c>
      <c r="D573" s="296" t="inlineStr">
        <is>
          <t>2.7 × 10⁴; 2.6 × 10⁴; &lt; 10; Absent | Отсутна; Absent | Отсутна</t>
        </is>
      </c>
      <c r="E573" s="296" t="inlineStr">
        <is>
          <t>2,7 x 10⁴ CFU/g CFU/g; 2,6 x 10⁴ CFU/g CFU/g; &lt; 10 CFU/g CFU/g; Одговара /g; Одговара /25 g</t>
        </is>
      </c>
    </row>
    <row r="574">
      <c r="A574" s="296" t="inlineStr">
        <is>
          <t>HPA052501</t>
        </is>
      </c>
      <c r="B574" s="296" t="inlineStr">
        <is>
          <t>#12</t>
        </is>
      </c>
      <c r="C574" s="298" t="inlineStr">
        <is>
          <t>different values</t>
        </is>
      </c>
      <c r="D574" s="296" t="inlineStr">
        <is>
          <t>ND</t>
        </is>
      </c>
      <c r="E574" s="296" t="inlineStr">
        <is>
          <t>≤ LOQ (all 24 compounds)</t>
        </is>
      </c>
    </row>
    <row r="575">
      <c r="A575" s="296" t="inlineStr">
        <is>
          <t>JD012603/01</t>
        </is>
      </c>
      <c r="B575" s="296" t="inlineStr">
        <is>
          <t>#9</t>
        </is>
      </c>
      <c r="C575" s="298" t="inlineStr">
        <is>
          <t>different values</t>
        </is>
      </c>
      <c r="D575" s="296" t="inlineStr">
        <is>
          <t>2 × 10²; 1 × 10²; &lt; 10; Absent | Отсутна; Absent | Отсутна</t>
        </is>
      </c>
      <c r="E575" s="296" t="inlineStr">
        <is>
          <t>2 x 10² CFU/g CFU/g; 1 x 10² CFU/g CFU/g; &lt; 10 CFU/g CFU/g; Отсутна /g; Отсутна /25 g</t>
        </is>
      </c>
    </row>
    <row r="576">
      <c r="A576" s="296" t="inlineStr">
        <is>
          <t>JD012603/02</t>
        </is>
      </c>
      <c r="B576" s="296" t="inlineStr">
        <is>
          <t>#4</t>
        </is>
      </c>
      <c r="C576" s="298" t="inlineStr">
        <is>
          <t>different values</t>
        </is>
      </c>
      <c r="D576" s="296" t="inlineStr">
        <is>
          <t>20.54</t>
        </is>
      </c>
      <c r="E576" s="296" t="inlineStr">
        <is>
          <t>14.43 % w/w</t>
        </is>
      </c>
    </row>
    <row r="577">
      <c r="A577" s="296" t="inlineStr">
        <is>
          <t>JD012603/02</t>
        </is>
      </c>
      <c r="B577" s="296" t="inlineStr">
        <is>
          <t>#5</t>
        </is>
      </c>
      <c r="C577" s="298" t="inlineStr">
        <is>
          <t>different values</t>
        </is>
      </c>
      <c r="D577" s="296" t="inlineStr">
        <is>
          <t>0.05</t>
        </is>
      </c>
      <c r="E577" s="296" t="inlineStr">
        <is>
          <t>&lt; LOQ % w/w</t>
        </is>
      </c>
    </row>
    <row r="578">
      <c r="A578" s="296" t="inlineStr">
        <is>
          <t>JD012603/02</t>
        </is>
      </c>
      <c r="B578" s="296" t="inlineStr">
        <is>
          <t>#6</t>
        </is>
      </c>
      <c r="C578" s="298" t="inlineStr">
        <is>
          <t>different values</t>
        </is>
      </c>
      <c r="D578" s="296" t="inlineStr">
        <is>
          <t>0.05</t>
        </is>
      </c>
      <c r="E578" s="296" t="inlineStr">
        <is>
          <t>&lt; LOQ % w/w</t>
        </is>
      </c>
    </row>
    <row r="579">
      <c r="A579" s="296" t="inlineStr">
        <is>
          <t>JD012603/02</t>
        </is>
      </c>
      <c r="B579" s="296" t="inlineStr">
        <is>
          <t>#9</t>
        </is>
      </c>
      <c r="C579" s="298" t="inlineStr">
        <is>
          <t>different values</t>
        </is>
      </c>
      <c r="D579" s="296" t="inlineStr">
        <is>
          <t>6.3 × 10³; 4.4 × 10³; &lt; 10; Absent | Отсутна; Absent | Отсутна</t>
        </is>
      </c>
      <c r="E579" s="296" t="inlineStr">
        <is>
          <t>6,3 x 10³ CFU/g CFU/g; 4,4 x 10³ CFU/g CFU/g; &lt; 10 CFU/g CFU/g; Отсутна /g; Отсутна /25 g</t>
        </is>
      </c>
    </row>
    <row r="580">
      <c r="A580" s="296" t="inlineStr">
        <is>
          <t>JD012603/02V</t>
        </is>
      </c>
      <c r="B580" s="296" t="inlineStr">
        <is>
          <t>#4</t>
        </is>
      </c>
      <c r="C580" s="298" t="inlineStr">
        <is>
          <t>different values</t>
        </is>
      </c>
      <c r="D580" s="296" t="inlineStr">
        <is>
          <t>15.16</t>
        </is>
      </c>
      <c r="E580" s="296" t="inlineStr">
        <is>
          <t>17.09 % w/w</t>
        </is>
      </c>
    </row>
    <row r="581">
      <c r="A581" s="296" t="inlineStr">
        <is>
          <t>JD012603/02V</t>
        </is>
      </c>
      <c r="B581" s="296" t="inlineStr">
        <is>
          <t>#6</t>
        </is>
      </c>
      <c r="C581" s="298" t="inlineStr">
        <is>
          <t>different values</t>
        </is>
      </c>
      <c r="D581" s="296" t="inlineStr">
        <is>
          <t>0.04</t>
        </is>
      </c>
      <c r="E581" s="296" t="inlineStr">
        <is>
          <t>&lt; LOQ % w/w</t>
        </is>
      </c>
    </row>
    <row r="582">
      <c r="A582" s="296" t="inlineStr">
        <is>
          <t>JD012603/02V</t>
        </is>
      </c>
      <c r="B582" s="296" t="inlineStr">
        <is>
          <t>#9</t>
        </is>
      </c>
      <c r="C582" s="298" t="inlineStr">
        <is>
          <t>different values</t>
        </is>
      </c>
      <c r="D582" s="296" t="inlineStr">
        <is>
          <t>5.1 × 10³; 4.7 × 10³; &lt; 10; Absent | Отсутна; Absent | Отсутна</t>
        </is>
      </c>
      <c r="E582" s="296" t="inlineStr">
        <is>
          <t>5,1 x 10³ CFU/g CFU/g; 4,7 x 10³ CFU/g CFU/g; &lt; 10 CFU/g CFU/g; Отсутна /g; Отсутна /25 g</t>
        </is>
      </c>
    </row>
    <row r="583">
      <c r="A583" s="296" t="inlineStr">
        <is>
          <t>KC102501</t>
        </is>
      </c>
      <c r="B583" s="296" t="inlineStr">
        <is>
          <t>#1</t>
        </is>
      </c>
      <c r="C583" s="298" t="inlineStr">
        <is>
          <t>different values</t>
        </is>
      </c>
      <c r="D583" s="296" t="inlineStr">
        <is>
          <t>Conforms | Одговара</t>
        </is>
      </c>
      <c r="E583" s="296" t="inlineStr">
        <is>
          <t>Conforms</t>
        </is>
      </c>
    </row>
    <row r="584">
      <c r="A584" s="296" t="inlineStr">
        <is>
          <t>KC102501</t>
        </is>
      </c>
      <c r="B584" s="296" t="inlineStr">
        <is>
          <t>#2</t>
        </is>
      </c>
      <c r="C584" s="298" t="inlineStr">
        <is>
          <t>different values</t>
        </is>
      </c>
      <c r="D584" s="296" t="inlineStr">
        <is>
          <t>Conforms | Одговара</t>
        </is>
      </c>
      <c r="E584" s="296" t="inlineStr">
        <is>
          <t>Conforms</t>
        </is>
      </c>
    </row>
    <row r="585">
      <c r="A585" s="296" t="inlineStr">
        <is>
          <t>KC102501</t>
        </is>
      </c>
      <c r="B585" s="296" t="inlineStr">
        <is>
          <t>#7</t>
        </is>
      </c>
      <c r="C585" s="298" t="inlineStr">
        <is>
          <t>different values</t>
        </is>
      </c>
      <c r="D585" s="296" t="inlineStr">
        <is>
          <t>Conforms | Одговара</t>
        </is>
      </c>
      <c r="E585" s="296" t="inlineStr">
        <is>
          <t>Conforms</t>
        </is>
      </c>
    </row>
    <row r="586">
      <c r="A586" s="296" t="inlineStr">
        <is>
          <t>KC102501</t>
        </is>
      </c>
      <c r="B586" s="296" t="inlineStr">
        <is>
          <t>#9</t>
        </is>
      </c>
      <c r="C586" s="298" t="inlineStr">
        <is>
          <t>different values</t>
        </is>
      </c>
      <c r="D586" s="296" t="inlineStr">
        <is>
          <t>3.8 × 10³; 6.8 × 10³; &lt; 10³ and &gt; 10²; Absent | Отсутна; Absent | Отсутна</t>
        </is>
      </c>
      <c r="E586" s="296" t="inlineStr">
        <is>
          <t>3,8 x 10³ CFU/g CFU/g; 6,8 x 10³ CFU/g CFU/g; &lt; 10³ и &gt;10² CFU/g CFU/g; Одговара; Одговара</t>
        </is>
      </c>
    </row>
    <row r="587">
      <c r="A587" s="296" t="inlineStr">
        <is>
          <t>MB0824_05</t>
        </is>
      </c>
      <c r="B587" s="296" t="inlineStr">
        <is>
          <t>#1</t>
        </is>
      </c>
      <c r="C587" s="298" t="inlineStr">
        <is>
          <t>different values</t>
        </is>
      </c>
      <c r="D587" s="296" t="inlineStr">
        <is>
          <t>Conforms | Одговара</t>
        </is>
      </c>
      <c r="E587" s="296" t="inlineStr">
        <is>
          <t>Conforms</t>
        </is>
      </c>
    </row>
    <row r="588">
      <c r="A588" s="296" t="inlineStr">
        <is>
          <t>MB0824_05</t>
        </is>
      </c>
      <c r="B588" s="296" t="inlineStr">
        <is>
          <t>#2</t>
        </is>
      </c>
      <c r="C588" s="298" t="inlineStr">
        <is>
          <t>different values</t>
        </is>
      </c>
      <c r="D588" s="296" t="inlineStr">
        <is>
          <t>Conforms | Одговара</t>
        </is>
      </c>
      <c r="E588" s="296" t="inlineStr">
        <is>
          <t>Conforms</t>
        </is>
      </c>
    </row>
    <row r="589">
      <c r="A589" s="296" t="inlineStr">
        <is>
          <t>MB0824_05</t>
        </is>
      </c>
      <c r="B589" s="296" t="inlineStr">
        <is>
          <t>#3</t>
        </is>
      </c>
      <c r="C589" s="298" t="inlineStr">
        <is>
          <t>different values</t>
        </is>
      </c>
      <c r="D589" s="296" t="inlineStr">
        <is>
          <t>Conforms | Одговара</t>
        </is>
      </c>
      <c r="E589" s="296" t="inlineStr">
        <is>
          <t>Conforms (ImB spec.)</t>
        </is>
      </c>
    </row>
    <row r="590">
      <c r="A590" s="296" t="inlineStr">
        <is>
          <t>MB0824_05</t>
        </is>
      </c>
      <c r="B590" s="296" t="inlineStr">
        <is>
          <t>#7</t>
        </is>
      </c>
      <c r="C590" s="298" t="inlineStr">
        <is>
          <t>different values</t>
        </is>
      </c>
      <c r="D590" s="296" t="inlineStr">
        <is>
          <t>Conforms | Одговара</t>
        </is>
      </c>
      <c r="E590" s="296" t="inlineStr">
        <is>
          <t>Conforms</t>
        </is>
      </c>
    </row>
    <row r="591">
      <c r="A591" s="296" t="inlineStr">
        <is>
          <t>MB0824_05</t>
        </is>
      </c>
      <c r="B591" s="296" t="inlineStr">
        <is>
          <t>#9</t>
        </is>
      </c>
      <c r="C591" s="298" t="inlineStr">
        <is>
          <t>different values</t>
        </is>
      </c>
      <c r="D591" s="296" t="inlineStr">
        <is>
          <t>3.5 × 10³; 1 × 10³; &lt; 10; Absent | Отсутна; Absent | Отсутна</t>
        </is>
      </c>
      <c r="E591" s="296" t="inlineStr">
        <is>
          <t>3,5 x 10³ CFU/g CFU/g; 1 x 10³ CFU/g CFU/g; &lt; 10 CFU/g CFU/g; Одговара /g; Одговара /25 g</t>
        </is>
      </c>
    </row>
    <row r="592">
      <c r="A592" s="296" t="inlineStr">
        <is>
          <t>OMP1024_01</t>
        </is>
      </c>
      <c r="B592" s="296" t="inlineStr">
        <is>
          <t>#1</t>
        </is>
      </c>
      <c r="C592" s="298" t="inlineStr">
        <is>
          <t>different values</t>
        </is>
      </c>
      <c r="D592" s="296" t="inlineStr">
        <is>
          <t>Conforms | Одговара</t>
        </is>
      </c>
      <c r="E592" s="296" t="inlineStr">
        <is>
          <t>Conforms</t>
        </is>
      </c>
    </row>
    <row r="593">
      <c r="A593" s="296" t="inlineStr">
        <is>
          <t>OMP1024_01</t>
        </is>
      </c>
      <c r="B593" s="296" t="inlineStr">
        <is>
          <t>#2</t>
        </is>
      </c>
      <c r="C593" s="298" t="inlineStr">
        <is>
          <t>different values</t>
        </is>
      </c>
      <c r="D593" s="296" t="inlineStr">
        <is>
          <t>Conforms | Одговара</t>
        </is>
      </c>
      <c r="E593" s="296" t="inlineStr">
        <is>
          <t>Conforms</t>
        </is>
      </c>
    </row>
    <row r="594">
      <c r="A594" s="296" t="inlineStr">
        <is>
          <t>OMP1024_01</t>
        </is>
      </c>
      <c r="B594" s="296" t="inlineStr">
        <is>
          <t>#7</t>
        </is>
      </c>
      <c r="C594" s="298" t="inlineStr">
        <is>
          <t>different values</t>
        </is>
      </c>
      <c r="D594" s="296" t="inlineStr">
        <is>
          <t>Conforms | Одговара</t>
        </is>
      </c>
      <c r="E594" s="296" t="inlineStr">
        <is>
          <t>Conforms</t>
        </is>
      </c>
    </row>
    <row r="595">
      <c r="A595" s="296" t="inlineStr">
        <is>
          <t>OMP1024_01</t>
        </is>
      </c>
      <c r="B595" s="296" t="inlineStr">
        <is>
          <t>#9</t>
        </is>
      </c>
      <c r="C595" s="298" t="inlineStr">
        <is>
          <t>different values</t>
        </is>
      </c>
      <c r="D595" s="296" t="inlineStr">
        <is>
          <t>10; &lt; 10; &lt; 10² and &gt; 10; Absent | Отсутна; Absent | Отсутна</t>
        </is>
      </c>
      <c r="E595" s="296" t="inlineStr">
        <is>
          <t>10 CFU/g; &lt; 10 CFU/g; &lt; 10² и &gt; 10 CFU/g; Одговара; Одговара</t>
        </is>
      </c>
    </row>
    <row r="596">
      <c r="A596" s="296" t="inlineStr">
        <is>
          <t>OPM092501</t>
        </is>
      </c>
      <c r="B596" s="296" t="inlineStr">
        <is>
          <t>#1</t>
        </is>
      </c>
      <c r="C596" s="298" t="inlineStr">
        <is>
          <t>different values</t>
        </is>
      </c>
      <c r="D596" s="296" t="inlineStr">
        <is>
          <t>Conforms | Одговара</t>
        </is>
      </c>
      <c r="E596" s="296" t="inlineStr">
        <is>
          <t>Conforms</t>
        </is>
      </c>
    </row>
    <row r="597">
      <c r="A597" s="296" t="inlineStr">
        <is>
          <t>OPM092501</t>
        </is>
      </c>
      <c r="B597" s="296" t="inlineStr">
        <is>
          <t>#2</t>
        </is>
      </c>
      <c r="C597" s="298" t="inlineStr">
        <is>
          <t>different values</t>
        </is>
      </c>
      <c r="D597" s="296" t="inlineStr">
        <is>
          <t>Conforms | Одговара</t>
        </is>
      </c>
      <c r="E597" s="296" t="inlineStr">
        <is>
          <t>Conforms</t>
        </is>
      </c>
    </row>
    <row r="598">
      <c r="A598" s="296" t="inlineStr">
        <is>
          <t>OPM092501</t>
        </is>
      </c>
      <c r="B598" s="296" t="inlineStr">
        <is>
          <t>#3</t>
        </is>
      </c>
      <c r="C598" s="298" t="inlineStr">
        <is>
          <t>different values</t>
        </is>
      </c>
      <c r="D598" s="296" t="inlineStr">
        <is>
          <t>Conforms | Одговара</t>
        </is>
      </c>
      <c r="E598" s="296" t="inlineStr">
        <is>
          <t>Conforms (ImB spec.)</t>
        </is>
      </c>
    </row>
    <row r="599">
      <c r="A599" s="296" t="inlineStr">
        <is>
          <t>OPM092501</t>
        </is>
      </c>
      <c r="B599" s="296" t="inlineStr">
        <is>
          <t>#7</t>
        </is>
      </c>
      <c r="C599" s="298" t="inlineStr">
        <is>
          <t>different values</t>
        </is>
      </c>
      <c r="D599" s="296" t="inlineStr">
        <is>
          <t>Conforms | Одговара</t>
        </is>
      </c>
      <c r="E599" s="296" t="inlineStr">
        <is>
          <t>Conforms</t>
        </is>
      </c>
    </row>
    <row r="600">
      <c r="A600" s="296" t="inlineStr">
        <is>
          <t>OPM092501</t>
        </is>
      </c>
      <c r="B600" s="296" t="inlineStr">
        <is>
          <t>#9</t>
        </is>
      </c>
      <c r="C600" s="298" t="inlineStr">
        <is>
          <t>different values</t>
        </is>
      </c>
      <c r="D600" s="296" t="inlineStr">
        <is>
          <t>10; 10; &lt; 10² and &gt; 10; Absent | Отсутна; Absent | Отсутна</t>
        </is>
      </c>
      <c r="E600" s="296" t="inlineStr">
        <is>
          <t>10 CFU/g CFU/g; 10 CFU/g CFU/g; &lt; 10² и &gt; 10 CFU/g CFU/g; Одговара /g; Одговара /25 g</t>
        </is>
      </c>
    </row>
    <row r="601">
      <c r="A601" s="296" t="inlineStr">
        <is>
          <t>OPM092501</t>
        </is>
      </c>
      <c r="B601" s="296" t="inlineStr">
        <is>
          <t>#12</t>
        </is>
      </c>
      <c r="C601" s="298" t="inlineStr">
        <is>
          <t>different values</t>
        </is>
      </c>
      <c r="D601" s="296" t="inlineStr">
        <is>
          <t>ND</t>
        </is>
      </c>
      <c r="E601" s="296" t="inlineStr">
        <is>
          <t>≤ LOQ (all 29 compounds)</t>
        </is>
      </c>
    </row>
    <row r="602">
      <c r="A602" s="296" t="inlineStr">
        <is>
          <t>OPM1024_03</t>
        </is>
      </c>
      <c r="B602" s="296" t="inlineStr">
        <is>
          <t>#1</t>
        </is>
      </c>
      <c r="C602" s="298" t="inlineStr">
        <is>
          <t>different values</t>
        </is>
      </c>
      <c r="D602" s="296" t="inlineStr">
        <is>
          <t>Conforms | Одговара</t>
        </is>
      </c>
      <c r="E602" s="296" t="inlineStr">
        <is>
          <t>Conforms</t>
        </is>
      </c>
    </row>
    <row r="603">
      <c r="A603" s="296" t="inlineStr">
        <is>
          <t>OPM1024_03</t>
        </is>
      </c>
      <c r="B603" s="296" t="inlineStr">
        <is>
          <t>#2</t>
        </is>
      </c>
      <c r="C603" s="298" t="inlineStr">
        <is>
          <t>different values</t>
        </is>
      </c>
      <c r="D603" s="296" t="inlineStr">
        <is>
          <t>Conforms | Одговара</t>
        </is>
      </c>
      <c r="E603" s="296" t="inlineStr">
        <is>
          <t>Conforms</t>
        </is>
      </c>
    </row>
    <row r="604">
      <c r="A604" s="296" t="inlineStr">
        <is>
          <t>OPM1024_03</t>
        </is>
      </c>
      <c r="B604" s="296" t="inlineStr">
        <is>
          <t>#3</t>
        </is>
      </c>
      <c r="C604" s="298" t="inlineStr">
        <is>
          <t>different values</t>
        </is>
      </c>
      <c r="D604" s="296" t="inlineStr">
        <is>
          <t>Conforms | Одговара</t>
        </is>
      </c>
      <c r="E604" s="296" t="inlineStr">
        <is>
          <t>Conforms (ImB spec.)</t>
        </is>
      </c>
    </row>
    <row r="605">
      <c r="A605" s="296" t="inlineStr">
        <is>
          <t>OPM1024_03</t>
        </is>
      </c>
      <c r="B605" s="296" t="inlineStr">
        <is>
          <t>#7</t>
        </is>
      </c>
      <c r="C605" s="298" t="inlineStr">
        <is>
          <t>different values</t>
        </is>
      </c>
      <c r="D605" s="296" t="inlineStr">
        <is>
          <t>Conforms | Одговара</t>
        </is>
      </c>
      <c r="E605" s="296" t="inlineStr">
        <is>
          <t>Conforms</t>
        </is>
      </c>
    </row>
    <row r="606">
      <c r="A606" s="296" t="inlineStr">
        <is>
          <t>OPM1024_03</t>
        </is>
      </c>
      <c r="B606" s="296" t="inlineStr">
        <is>
          <t>#9</t>
        </is>
      </c>
      <c r="C606" s="298" t="inlineStr">
        <is>
          <t>different values</t>
        </is>
      </c>
      <c r="D606" s="296" t="inlineStr">
        <is>
          <t>2 × 10²; 3 × 10²; &lt; 10; Absent | Отсутна; Absent | Отсутна</t>
        </is>
      </c>
      <c r="E606" s="296" t="inlineStr">
        <is>
          <t>2 x 10² CFU/g CFU/g; 3 x 10² CFU/g CFU/g; &lt; 10 CFU/g CFU/g; Одговара /g; Одговара /25 g</t>
        </is>
      </c>
    </row>
    <row r="607">
      <c r="A607" s="296" t="inlineStr">
        <is>
          <t>OPM1024_03</t>
        </is>
      </c>
      <c r="B607" s="296" t="inlineStr">
        <is>
          <t>#12</t>
        </is>
      </c>
      <c r="C607" s="298" t="inlineStr">
        <is>
          <t>different values</t>
        </is>
      </c>
      <c r="D607" s="296" t="inlineStr">
        <is>
          <t>ND</t>
        </is>
      </c>
      <c r="E607" s="296" t="inlineStr">
        <is>
          <t>≤ LOQ (all 26 compounds)</t>
        </is>
      </c>
    </row>
    <row r="608">
      <c r="A608" s="296" t="inlineStr">
        <is>
          <t>PM112501</t>
        </is>
      </c>
      <c r="B608" s="296" t="inlineStr">
        <is>
          <t>#1</t>
        </is>
      </c>
      <c r="C608" s="298" t="inlineStr">
        <is>
          <t>different values</t>
        </is>
      </c>
      <c r="D608" s="296" t="inlineStr">
        <is>
          <t>Conforms | Одговара</t>
        </is>
      </c>
      <c r="E608" s="296" t="inlineStr">
        <is>
          <t>Conforms</t>
        </is>
      </c>
    </row>
    <row r="609">
      <c r="A609" s="296" t="inlineStr">
        <is>
          <t>PM112501</t>
        </is>
      </c>
      <c r="B609" s="296" t="inlineStr">
        <is>
          <t>#2</t>
        </is>
      </c>
      <c r="C609" s="298" t="inlineStr">
        <is>
          <t>different values</t>
        </is>
      </c>
      <c r="D609" s="296" t="inlineStr">
        <is>
          <t>Conforms | Одговара</t>
        </is>
      </c>
      <c r="E609" s="296" t="inlineStr">
        <is>
          <t>Conforms</t>
        </is>
      </c>
    </row>
    <row r="610">
      <c r="A610" s="296" t="inlineStr">
        <is>
          <t>PM112501</t>
        </is>
      </c>
      <c r="B610" s="296" t="inlineStr">
        <is>
          <t>#7</t>
        </is>
      </c>
      <c r="C610" s="298" t="inlineStr">
        <is>
          <t>different values</t>
        </is>
      </c>
      <c r="D610" s="296" t="inlineStr">
        <is>
          <t>Conforms | Одговара</t>
        </is>
      </c>
      <c r="E610" s="296" t="inlineStr">
        <is>
          <t>Conforms</t>
        </is>
      </c>
    </row>
    <row r="611">
      <c r="A611" s="296" t="inlineStr">
        <is>
          <t>PM112501</t>
        </is>
      </c>
      <c r="B611" s="296" t="inlineStr">
        <is>
          <t>#9</t>
        </is>
      </c>
      <c r="C611" s="298" t="inlineStr">
        <is>
          <t>different values</t>
        </is>
      </c>
      <c r="D611" s="296" t="inlineStr">
        <is>
          <t>10; &lt; 10; &lt; 10; Absent | Отсутна; Absent | Отсутна</t>
        </is>
      </c>
      <c r="E611" s="296" t="inlineStr">
        <is>
          <t>10 CFU/g CFU/g; &lt; 10 CFU/g CFU/g; &lt; 10 CFU/g CFU/g; Одговара; Одговара</t>
        </is>
      </c>
    </row>
    <row r="612">
      <c r="A612" s="296" t="inlineStr">
        <is>
          <t>PUM102501</t>
        </is>
      </c>
      <c r="B612" s="296" t="inlineStr">
        <is>
          <t>#9</t>
        </is>
      </c>
      <c r="C612" s="298" t="inlineStr">
        <is>
          <t>different values</t>
        </is>
      </c>
      <c r="D612" s="296" t="inlineStr">
        <is>
          <t>5 × 10¹; 5 × 10¹; &lt; 10; Absent | Отсутна; Absent | Отсутна</t>
        </is>
      </c>
      <c r="E612" s="296" t="inlineStr">
        <is>
          <t>5 x 10¹ CFU/g CFU/g; 5 x 10¹ CFU/g CFU/g; &lt; 10 CFU/g CFU/g; Одговара; Одговара</t>
        </is>
      </c>
    </row>
    <row r="613">
      <c r="A613" s="296" t="inlineStr">
        <is>
          <t>SCR112501</t>
        </is>
      </c>
      <c r="B613" s="296" t="inlineStr">
        <is>
          <t>#1</t>
        </is>
      </c>
      <c r="C613" s="298" t="inlineStr">
        <is>
          <t>different values</t>
        </is>
      </c>
      <c r="D613" s="296" t="inlineStr">
        <is>
          <t>Conforms | Одговара</t>
        </is>
      </c>
      <c r="E613" s="296" t="inlineStr">
        <is>
          <t>Conforms</t>
        </is>
      </c>
    </row>
    <row r="614">
      <c r="A614" s="296" t="inlineStr">
        <is>
          <t>SCR112501</t>
        </is>
      </c>
      <c r="B614" s="296" t="inlineStr">
        <is>
          <t>#2</t>
        </is>
      </c>
      <c r="C614" s="298" t="inlineStr">
        <is>
          <t>different values</t>
        </is>
      </c>
      <c r="D614" s="296" t="inlineStr">
        <is>
          <t>Conforms | Одговара</t>
        </is>
      </c>
      <c r="E614" s="296" t="inlineStr">
        <is>
          <t>Conforms</t>
        </is>
      </c>
    </row>
    <row r="615">
      <c r="A615" s="296" t="inlineStr">
        <is>
          <t>SCR112501</t>
        </is>
      </c>
      <c r="B615" s="296" t="inlineStr">
        <is>
          <t>#6</t>
        </is>
      </c>
      <c r="C615" s="298" t="inlineStr">
        <is>
          <t>different values</t>
        </is>
      </c>
      <c r="D615" s="296" t="inlineStr">
        <is>
          <t>&lt; LOQ %</t>
        </is>
      </c>
      <c r="E615" s="296" t="inlineStr">
        <is>
          <t>BLQ %</t>
        </is>
      </c>
    </row>
    <row r="616">
      <c r="A616" s="296" t="inlineStr">
        <is>
          <t>SCR112501</t>
        </is>
      </c>
      <c r="B616" s="296" t="inlineStr">
        <is>
          <t>#7</t>
        </is>
      </c>
      <c r="C616" s="298" t="inlineStr">
        <is>
          <t>different values</t>
        </is>
      </c>
      <c r="D616" s="296" t="inlineStr">
        <is>
          <t>Conforms | Одговара</t>
        </is>
      </c>
      <c r="E616" s="296" t="inlineStr">
        <is>
          <t>Conforms</t>
        </is>
      </c>
    </row>
    <row r="617">
      <c r="A617" s="296" t="inlineStr">
        <is>
          <t>SJ092501</t>
        </is>
      </c>
      <c r="B617" s="296" t="inlineStr">
        <is>
          <t>#6</t>
        </is>
      </c>
      <c r="C617" s="298" t="inlineStr">
        <is>
          <t>different values</t>
        </is>
      </c>
      <c r="D617" s="296" t="inlineStr">
        <is>
          <t>&lt; LOQ</t>
        </is>
      </c>
      <c r="E617" s="296" t="inlineStr">
        <is>
          <t>BLQ</t>
        </is>
      </c>
    </row>
    <row r="618">
      <c r="A618" s="296" t="inlineStr">
        <is>
          <t>SJ092501</t>
        </is>
      </c>
      <c r="B618" s="296" t="inlineStr">
        <is>
          <t>#9</t>
        </is>
      </c>
      <c r="C618" s="298" t="inlineStr">
        <is>
          <t>different values</t>
        </is>
      </c>
      <c r="D618" s="296" t="inlineStr">
        <is>
          <t>&lt; 10; &lt; 10; &lt; 10; Absent | Отсутна; Absent | Отсутна</t>
        </is>
      </c>
      <c r="E618" s="296" t="inlineStr">
        <is>
          <t>&lt; 10 CFU/g CFU/g; &lt; 10 CFU/g CFU/g; &lt; 10 CFU/g CFU/g; Одговара /g; Одговара /25 g</t>
        </is>
      </c>
    </row>
    <row r="619">
      <c r="A619" s="296" t="inlineStr">
        <is>
          <t>WC082501</t>
        </is>
      </c>
      <c r="B619" s="296" t="inlineStr">
        <is>
          <t>#1</t>
        </is>
      </c>
      <c r="C619" s="298" t="inlineStr">
        <is>
          <t>different values</t>
        </is>
      </c>
      <c r="D619" s="296" t="inlineStr">
        <is>
          <t>Conforms | Одговара</t>
        </is>
      </c>
      <c r="E619" s="296" t="inlineStr">
        <is>
          <t>Conforms</t>
        </is>
      </c>
    </row>
    <row r="620">
      <c r="A620" s="296" t="inlineStr">
        <is>
          <t>WC082501</t>
        </is>
      </c>
      <c r="B620" s="296" t="inlineStr">
        <is>
          <t>#2</t>
        </is>
      </c>
      <c r="C620" s="298" t="inlineStr">
        <is>
          <t>different values</t>
        </is>
      </c>
      <c r="D620" s="296" t="inlineStr">
        <is>
          <t>Conforms | Одговара</t>
        </is>
      </c>
      <c r="E620" s="296" t="inlineStr">
        <is>
          <t>Conforms</t>
        </is>
      </c>
    </row>
    <row r="621">
      <c r="A621" s="296" t="inlineStr">
        <is>
          <t>WC082501</t>
        </is>
      </c>
      <c r="B621" s="296" t="inlineStr">
        <is>
          <t>#3</t>
        </is>
      </c>
      <c r="C621" s="298" t="inlineStr">
        <is>
          <t>different values</t>
        </is>
      </c>
      <c r="D621" s="296" t="inlineStr">
        <is>
          <t>Conforms | Одговара</t>
        </is>
      </c>
      <c r="E621" s="296" t="inlineStr">
        <is>
          <t>Conforms (ImB spec.)</t>
        </is>
      </c>
    </row>
    <row r="622">
      <c r="A622" s="296" t="inlineStr">
        <is>
          <t>WC082501</t>
        </is>
      </c>
      <c r="B622" s="296" t="inlineStr">
        <is>
          <t>#7</t>
        </is>
      </c>
      <c r="C622" s="298" t="inlineStr">
        <is>
          <t>different values</t>
        </is>
      </c>
      <c r="D622" s="296" t="inlineStr">
        <is>
          <t>Conforms | Одговара</t>
        </is>
      </c>
      <c r="E622" s="296" t="inlineStr">
        <is>
          <t>Conforms</t>
        </is>
      </c>
    </row>
    <row r="623">
      <c r="A623" s="296" t="inlineStr">
        <is>
          <t>WC082501</t>
        </is>
      </c>
      <c r="B623" s="296" t="inlineStr">
        <is>
          <t>#9</t>
        </is>
      </c>
      <c r="C623" s="298" t="inlineStr">
        <is>
          <t>different values</t>
        </is>
      </c>
      <c r="D623" s="296" t="inlineStr">
        <is>
          <t>10; 30; &lt; 10; Absent | Отсутна; Absent | Отсутна</t>
        </is>
      </c>
      <c r="E623" s="296" t="inlineStr">
        <is>
          <t>10 CFU/g CFU/g; 30 CFU/g CFU/g; &lt; 10 CFU/g CFU/g; Одговара /g; Одговара /25 g</t>
        </is>
      </c>
    </row>
    <row r="624">
      <c r="A624" s="296" t="inlineStr">
        <is>
          <t>WC082501</t>
        </is>
      </c>
      <c r="B624" s="296" t="inlineStr">
        <is>
          <t>#12</t>
        </is>
      </c>
      <c r="C624" s="298" t="inlineStr">
        <is>
          <t>different values</t>
        </is>
      </c>
      <c r="D624" s="296" t="inlineStr">
        <is>
          <t>ND</t>
        </is>
      </c>
      <c r="E624" s="296" t="inlineStr">
        <is>
          <t>≤ LOQ (all 29 compounds)</t>
        </is>
      </c>
    </row>
    <row r="626">
      <c r="A626" s="294" t="inlineStr">
        <is>
          <t>THE IDENTITY DETERMINATIONS ARE NOT A TRANSCRIPTION PROBLEM</t>
        </is>
      </c>
      <c r="B626" s="294" t="inlineStr"/>
      <c r="C626" s="294" t="inlineStr"/>
      <c r="D626" s="294" t="inlineStr"/>
      <c r="E626" s="294" t="inlineStr"/>
    </row>
    <row r="628">
      <c r="A628"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8" s="300" t="n"/>
      <c r="C628" s="300" t="n"/>
      <c r="D628" s="300" t="n"/>
      <c r="E628" s="301" t="n"/>
    </row>
    <row r="629">
      <c r="A629" s="302" t="n"/>
      <c r="E629" s="303" t="n"/>
    </row>
    <row r="630">
      <c r="A630" s="302" t="n"/>
      <c r="E630" s="303" t="n"/>
    </row>
    <row r="631">
      <c r="A631" s="302" t="n"/>
      <c r="E631" s="303" t="n"/>
    </row>
    <row r="632">
      <c r="A632" s="302" t="n"/>
      <c r="E632" s="303" t="n"/>
    </row>
    <row r="633">
      <c r="A633" s="302" t="n"/>
      <c r="E633" s="303" t="n"/>
    </row>
    <row r="634">
      <c r="A634" s="304" t="n"/>
      <c r="B634" s="305" t="n"/>
      <c r="C634" s="305" t="n"/>
      <c r="D634" s="305" t="n"/>
      <c r="E634" s="306" t="n"/>
    </row>
    <row r="636">
      <c r="A636" s="294" t="inlineStr">
        <is>
          <t>CLOSURES THAT FOUND NO ROW</t>
        </is>
      </c>
      <c r="B636" s="294" t="inlineStr"/>
      <c r="C636" s="294" t="inlineStr"/>
      <c r="D636" s="294" t="inlineStr"/>
      <c r="E636" s="294" t="inlineStr"/>
    </row>
    <row r="638">
      <c r="A638" s="294" t="inlineStr">
        <is>
          <t>CU batch</t>
        </is>
      </c>
      <c r="B638" s="294" t="inlineStr">
        <is>
          <t>P batch</t>
        </is>
      </c>
      <c r="C638" s="294" t="inlineStr"/>
      <c r="D638" s="294" t="inlineStr">
        <is>
          <t>Parameters now covered</t>
        </is>
      </c>
      <c r="E638" s="294" t="inlineStr">
        <is>
          <t>From</t>
        </is>
      </c>
    </row>
    <row r="639">
      <c r="A639" s="296" t="inlineStr">
        <is>
          <t>JD032601</t>
        </is>
      </c>
      <c r="B639" s="296" t="inlineStr">
        <is>
          <t>— not assigned —</t>
        </is>
      </c>
      <c r="D639" s="296" t="inlineStr">
        <is>
          <t>#9 Microbiological purity; #10 Mycotoxins; #11 Heavy metals; #12 Pesticide residues</t>
        </is>
      </c>
      <c r="E639" s="296" t="inlineStr">
        <is>
          <t>4374/2026 (11.08.2026) [IJZ]; 477/0929/26 (04.08.2026) [IJZ-MB]</t>
        </is>
      </c>
    </row>
    <row r="640">
      <c r="A640"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40" s="300" t="n"/>
      <c r="C640" s="300" t="n"/>
      <c r="D640" s="300" t="n"/>
      <c r="E640" s="301" t="n"/>
    </row>
    <row r="641">
      <c r="A641" s="302" t="n"/>
      <c r="E641" s="303" t="n"/>
    </row>
    <row r="642">
      <c r="A642" s="302" t="n"/>
      <c r="E642" s="303" t="n"/>
    </row>
    <row r="643">
      <c r="A643" s="304" t="n"/>
      <c r="B643" s="305" t="n"/>
      <c r="C643" s="305" t="n"/>
      <c r="D643" s="305" t="n"/>
      <c r="E643" s="306" t="n"/>
    </row>
    <row r="646" ht="20" customHeight="1" s="70">
      <c r="A646" s="264" t="inlineStr">
        <is>
          <t>CREDIT AUDIT</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Finding</t>
        </is>
      </c>
      <c r="I647" s="119" t="inlineStr">
        <is>
          <t>Action</t>
        </is>
      </c>
    </row>
    <row r="648">
      <c r="A648" s="244" t="inlineStr">
        <is>
          <t>BSS052501</t>
        </is>
      </c>
      <c r="B648" s="243" t="inlineStr">
        <is>
          <t>P050192</t>
        </is>
      </c>
      <c r="C648" s="243" t="inlineStr">
        <is>
          <t>NGP-QCG-SOP-024 F3</t>
        </is>
      </c>
      <c r="D648" s="245" t="n">
        <v>45989</v>
      </c>
      <c r="E648" s="243" t="inlineStr">
        <is>
          <t>NGP</t>
        </is>
      </c>
      <c r="F648" s="243" t="inlineStr">
        <is>
          <t>#6</t>
        </is>
      </c>
      <c r="G648" s="246" t="inlineStr">
        <is>
          <t>#6 Total CBN</t>
        </is>
      </c>
      <c r="H648" s="307" t="inlineStr">
        <is>
          <t>held for review</t>
        </is>
      </c>
      <c r="I648" s="308" t="inlineStr">
        <is>
          <t>The two independent reads disagreed. A person must confirm the figure from the page.</t>
        </is>
      </c>
    </row>
    <row r="649">
      <c r="A649" s="244" t="inlineStr">
        <is>
          <t>GP062501</t>
        </is>
      </c>
      <c r="B649" s="243" t="inlineStr">
        <is>
          <t>P050202</t>
        </is>
      </c>
      <c r="C649" s="243" t="inlineStr">
        <is>
          <t>NGP-QCG-SOP-024 F3</t>
        </is>
      </c>
      <c r="D649" s="245" t="n">
        <v>45989</v>
      </c>
      <c r="E649" s="243" t="inlineStr">
        <is>
          <t>NGP</t>
        </is>
      </c>
      <c r="F649" s="243" t="inlineStr">
        <is>
          <t>#6</t>
        </is>
      </c>
      <c r="G649" s="246" t="inlineStr">
        <is>
          <t>#6 Total CBN</t>
        </is>
      </c>
      <c r="H649" s="307" t="inlineStr">
        <is>
          <t>held for review</t>
        </is>
      </c>
      <c r="I649" s="308" t="inlineStr">
        <is>
          <t>The two independent reads disagreed. A person must confirm the figure from the page.</t>
        </is>
      </c>
    </row>
    <row r="650">
      <c r="A650" s="244" t="inlineStr">
        <is>
          <t>J31112501</t>
        </is>
      </c>
      <c r="B650" s="243" t="inlineStr">
        <is>
          <t>P060202</t>
        </is>
      </c>
      <c r="C650" s="243" t="inlineStr">
        <is>
          <t>100-1-K-26</t>
        </is>
      </c>
      <c r="D650" s="245" t="n">
        <v>46121</v>
      </c>
      <c r="E650" s="243" t="inlineStr">
        <is>
          <t>FHM-K</t>
        </is>
      </c>
      <c r="F650" s="243" t="inlineStr">
        <is>
          <t>#3</t>
        </is>
      </c>
      <c r="G650" s="246" t="inlineStr">
        <is>
          <t>#3 Identification C</t>
        </is>
      </c>
      <c r="H650" s="307" t="inlineStr">
        <is>
          <t>held for review</t>
        </is>
      </c>
      <c r="I650" s="308" t="inlineStr">
        <is>
          <t>The two independent reads disagreed. A person must confirm the figure from the page.</t>
        </is>
      </c>
    </row>
    <row r="651">
      <c r="A651" s="244" t="inlineStr">
        <is>
          <t>FB032601</t>
        </is>
      </c>
      <c r="B651" s="243" t="inlineStr">
        <is>
          <t>P060452</t>
        </is>
      </c>
      <c r="C651" s="243" t="inlineStr">
        <is>
          <t>ППК26127</t>
        </is>
      </c>
      <c r="D651" s="245" t="n">
        <v>46224</v>
      </c>
      <c r="E651" s="243" t="inlineStr">
        <is>
          <t>CNP</t>
        </is>
      </c>
      <c r="F651" s="243" t="inlineStr">
        <is>
          <t>#7</t>
        </is>
      </c>
      <c r="G651" s="246" t="inlineStr">
        <is>
          <t>#7 Foreign Matter</t>
        </is>
      </c>
      <c r="H651" s="307" t="inlineStr">
        <is>
          <t>non-conformance reported</t>
        </is>
      </c>
      <c r="I651" s="308" t="inlineStr">
        <is>
          <t>The certificate reports a result that does not conform. Open an investigation record; the Head of QC rules on the lot, and the iCoA for this parameter is held until then.</t>
        </is>
      </c>
    </row>
    <row r="652">
      <c r="A652" s="244" t="inlineStr">
        <is>
          <t>J31122501</t>
        </is>
      </c>
      <c r="B652" s="243" t="inlineStr">
        <is>
          <t>P060262</t>
        </is>
      </c>
      <c r="C652" s="243" t="inlineStr">
        <is>
          <t>100-3-K-26</t>
        </is>
      </c>
      <c r="D652" s="245" t="n">
        <v>46121</v>
      </c>
      <c r="E652" s="243" t="inlineStr">
        <is>
          <t>FHM-K</t>
        </is>
      </c>
      <c r="F652" s="243" t="inlineStr">
        <is>
          <t>#3</t>
        </is>
      </c>
      <c r="G652" s="246" t="inlineStr">
        <is>
          <t>#3 Identification C</t>
        </is>
      </c>
      <c r="H652" s="307" t="inlineStr">
        <is>
          <t>not ingested</t>
        </is>
      </c>
      <c r="I652" s="308" t="inlineStr">
        <is>
          <t>Re-extract the document into the corpus; the batch cannot reach a CoQ on this parameter until then.</t>
        </is>
      </c>
    </row>
    <row r="653">
      <c r="A653" s="244" t="inlineStr">
        <is>
          <t>J31122501</t>
        </is>
      </c>
      <c r="B653" s="243" t="inlineStr">
        <is>
          <t>P060262</t>
        </is>
      </c>
      <c r="C653" s="243" t="inlineStr">
        <is>
          <t>1625-2026</t>
        </is>
      </c>
      <c r="D653" s="245" t="n">
        <v>46135</v>
      </c>
      <c r="E653" s="243" t="inlineStr">
        <is>
          <t>IJZ</t>
        </is>
      </c>
      <c r="F653" s="243" t="inlineStr">
        <is>
          <t>#11</t>
        </is>
      </c>
      <c r="G653" s="246" t="inlineStr">
        <is>
          <t>#11 Heavy Metals</t>
        </is>
      </c>
      <c r="H653" s="307" t="inlineStr">
        <is>
          <t>not ingested</t>
        </is>
      </c>
      <c r="I653" s="308" t="inlineStr">
        <is>
          <t>Re-extract the document into the corpus; the batch cannot reach a CoQ on this parameter until then.</t>
        </is>
      </c>
    </row>
    <row r="654">
      <c r="A654" s="244" t="inlineStr">
        <is>
          <t>MB0824_04</t>
        </is>
      </c>
      <c r="B654" s="243" t="inlineStr">
        <is>
          <t>P050032</t>
        </is>
      </c>
      <c r="C654" s="243" t="inlineStr">
        <is>
          <t>ППК25118</t>
        </is>
      </c>
      <c r="D654" s="245" t="n">
        <v>45783</v>
      </c>
      <c r="E654" s="243" t="inlineStr">
        <is>
          <t>CNP</t>
        </is>
      </c>
      <c r="F654" s="243" t="inlineStr">
        <is>
          <t>#6</t>
        </is>
      </c>
      <c r="G654" s="246" t="inlineStr">
        <is>
          <t>#6 Total CBN</t>
        </is>
      </c>
      <c r="H654" s="307" t="inlineStr">
        <is>
          <t>not ingested</t>
        </is>
      </c>
      <c r="I654" s="308" t="inlineStr">
        <is>
          <t>Re-extract the document into the corpus; the batch cannot reach a CoQ on this parameter until then.</t>
        </is>
      </c>
    </row>
    <row r="655">
      <c r="A655" s="244" t="inlineStr">
        <is>
          <t>OPM052501</t>
        </is>
      </c>
      <c r="B655" s="243" t="inlineStr">
        <is>
          <t>P050132</t>
        </is>
      </c>
      <c r="C655" s="243" t="inlineStr">
        <is>
          <t>ППК25257</t>
        </is>
      </c>
      <c r="D655" s="245" t="n">
        <v>45905</v>
      </c>
      <c r="E655" s="243" t="inlineStr">
        <is>
          <t>CNP</t>
        </is>
      </c>
      <c r="F655" s="243" t="inlineStr">
        <is>
          <t>#6</t>
        </is>
      </c>
      <c r="G655" s="246" t="inlineStr">
        <is>
          <t>#6 Total CBN</t>
        </is>
      </c>
      <c r="H655" s="307" t="inlineStr">
        <is>
          <t>not ingested</t>
        </is>
      </c>
      <c r="I655" s="308" t="inlineStr">
        <is>
          <t>Re-extract the document into the corpus; the batch cannot reach a CoQ on this parameter until then.</t>
        </is>
      </c>
    </row>
    <row r="656">
      <c r="A656" s="244" t="inlineStr">
        <is>
          <t>OPM112501</t>
        </is>
      </c>
      <c r="B656" s="243" t="inlineStr">
        <is>
          <t>P060222</t>
        </is>
      </c>
      <c r="C656" s="243" t="inlineStr">
        <is>
          <t>ППК26031</t>
        </is>
      </c>
      <c r="D656" s="245" t="n">
        <v>46086</v>
      </c>
      <c r="E656" s="243" t="inlineStr">
        <is>
          <t>CNP</t>
        </is>
      </c>
      <c r="F656" s="243" t="inlineStr">
        <is>
          <t>#6</t>
        </is>
      </c>
      <c r="G656" s="246" t="inlineStr">
        <is>
          <t>#6 Total CBN</t>
        </is>
      </c>
      <c r="H656" s="307" t="inlineStr">
        <is>
          <t>not ingested</t>
        </is>
      </c>
      <c r="I656" s="308" t="inlineStr">
        <is>
          <t>Re-extract the document into the corpus; the batch cannot reach a CoQ on this parameter until then.</t>
        </is>
      </c>
    </row>
    <row r="657">
      <c r="A657" s="244" t="inlineStr">
        <is>
          <t>PM072501</t>
        </is>
      </c>
      <c r="B657" s="243" t="inlineStr">
        <is>
          <t>P050272</t>
        </is>
      </c>
      <c r="C657" s="243" t="inlineStr">
        <is>
          <t>ППК25368</t>
        </is>
      </c>
      <c r="D657" s="245" t="n">
        <v>45989</v>
      </c>
      <c r="E657" s="243" t="inlineStr">
        <is>
          <t>CNP</t>
        </is>
      </c>
      <c r="F657" s="243" t="inlineStr">
        <is>
          <t>#6</t>
        </is>
      </c>
      <c r="G657" s="246" t="inlineStr">
        <is>
          <t>#6 Total CBN</t>
        </is>
      </c>
      <c r="H657" s="307" t="inlineStr">
        <is>
          <t>not ingested</t>
        </is>
      </c>
      <c r="I657" s="308" t="inlineStr">
        <is>
          <t>Re-extract the document into the corpus; the batch cannot reach a CoQ on this parameter until then.</t>
        </is>
      </c>
    </row>
    <row r="658">
      <c r="A658" s="244" t="inlineStr">
        <is>
          <t>BSS052501</t>
        </is>
      </c>
      <c r="B658" s="243" t="inlineStr">
        <is>
          <t>P050192</t>
        </is>
      </c>
      <c r="C658" s="243" t="inlineStr">
        <is>
          <t>NGP-QCG-SOP-024 F3</t>
        </is>
      </c>
      <c r="D658" s="245" t="n">
        <v>45989</v>
      </c>
      <c r="E658" s="243" t="inlineStr">
        <is>
          <t>NGP</t>
        </is>
      </c>
      <c r="F658" s="243" t="inlineStr">
        <is>
          <t>#8</t>
        </is>
      </c>
      <c r="G658" s="246" t="inlineStr">
        <is>
          <t>#8 Loss on Drying</t>
        </is>
      </c>
      <c r="H658" s="309" t="inlineStr">
        <is>
          <t>not on this certificate</t>
        </is>
      </c>
      <c r="I658" s="308" t="inlineStr">
        <is>
          <t>Move the credit to the certificate that reports this parameter, or record why it stands.</t>
        </is>
      </c>
    </row>
    <row r="659">
      <c r="A659" s="244" t="inlineStr">
        <is>
          <t>BSS052501</t>
        </is>
      </c>
      <c r="B659" s="243" t="inlineStr">
        <is>
          <t>P050192</t>
        </is>
      </c>
      <c r="C659" s="243" t="inlineStr">
        <is>
          <t>5661-2025</t>
        </is>
      </c>
      <c r="D659" s="245" t="n">
        <v>45992</v>
      </c>
      <c r="E659" s="243" t="inlineStr">
        <is>
          <t>IJZ</t>
        </is>
      </c>
      <c r="F659" s="243" t="inlineStr">
        <is>
          <t>#10</t>
        </is>
      </c>
      <c r="G659" s="246" t="inlineStr">
        <is>
          <t>#10 Mycotoxins</t>
        </is>
      </c>
      <c r="H659" s="309" t="inlineStr">
        <is>
          <t>not on this certificate</t>
        </is>
      </c>
      <c r="I659" s="308" t="inlineStr">
        <is>
          <t>Move the credit to the certificate that reports this parameter, or record why it stands.</t>
        </is>
      </c>
    </row>
    <row r="660">
      <c r="A660" s="244" t="inlineStr">
        <is>
          <t>BSS052501</t>
        </is>
      </c>
      <c r="B660" s="243" t="inlineStr">
        <is>
          <t>P050192</t>
        </is>
      </c>
      <c r="C660" s="243" t="inlineStr">
        <is>
          <t>5661-2025</t>
        </is>
      </c>
      <c r="D660" s="245" t="n">
        <v>45992</v>
      </c>
      <c r="E660" s="243" t="inlineStr">
        <is>
          <t>IJZ</t>
        </is>
      </c>
      <c r="F660" s="243" t="inlineStr">
        <is>
          <t>#12</t>
        </is>
      </c>
      <c r="G660" s="246" t="inlineStr">
        <is>
          <t>#12 Pesticide Residues</t>
        </is>
      </c>
      <c r="H660" s="309" t="inlineStr">
        <is>
          <t>not on this certificate</t>
        </is>
      </c>
      <c r="I660" s="308" t="inlineStr">
        <is>
          <t>Move the credit to the certificate that reports this parameter, or record why it stands.</t>
        </is>
      </c>
    </row>
    <row r="663" ht="20" customHeight="1" s="70">
      <c r="A663" s="264" t="inlineStr">
        <is>
          <t>CREDIT CORRECTIONS</t>
        </is>
      </c>
    </row>
    <row r="664" ht="22" customHeight="1" s="70">
      <c r="A664" s="119" t="inlineStr">
        <is>
          <t>CU Batch</t>
        </is>
      </c>
      <c r="B664" s="119" t="inlineStr">
        <is>
          <t>P Batch</t>
        </is>
      </c>
      <c r="C664" s="119" t="inlineStr">
        <is>
          <t>Certificate</t>
        </is>
      </c>
      <c r="D664" s="119" t="inlineStr">
        <is>
          <t>Date</t>
        </is>
      </c>
      <c r="E664" s="119" t="inlineStr">
        <is>
          <t>Lab</t>
        </is>
      </c>
      <c r="F664" s="119" t="inlineStr">
        <is>
          <t>#</t>
        </is>
      </c>
      <c r="G664" s="119" t="inlineStr">
        <is>
          <t>Parameter</t>
        </is>
      </c>
      <c r="H664" s="119" t="inlineStr">
        <is>
          <t>Correction</t>
        </is>
      </c>
      <c r="I664" s="119" t="inlineStr">
        <is>
          <t>Evidence</t>
        </is>
      </c>
    </row>
    <row r="665">
      <c r="A665" s="244" t="inlineStr">
        <is>
          <t>BG1024</t>
        </is>
      </c>
      <c r="B665" s="243" t="inlineStr">
        <is>
          <t>N/A — no P batch assigned</t>
        </is>
      </c>
      <c r="C665" s="243" t="inlineStr">
        <is>
          <t>197-1-K-26</t>
        </is>
      </c>
      <c r="D665" s="245" t="n">
        <v>46241</v>
      </c>
      <c r="E665" s="243" t="inlineStr">
        <is>
          <t>FHM-K</t>
        </is>
      </c>
      <c r="F665" s="243" t="inlineStr">
        <is>
          <t>#8</t>
        </is>
      </c>
      <c r="G665" s="246" t="inlineStr">
        <is>
          <t>#8 Loss on Drying</t>
        </is>
      </c>
      <c r="H665" s="309" t="inlineStr">
        <is>
          <t>credit removed</t>
        </is>
      </c>
      <c r="I665" s="308" t="inlineStr">
        <is>
          <t>R1 Farmahem pair — cannabinoid certificate; loss on drying is on the LoD certificate</t>
        </is>
      </c>
    </row>
    <row r="666">
      <c r="A666" s="244" t="inlineStr">
        <is>
          <t>BSS1024</t>
        </is>
      </c>
      <c r="B666" s="243" t="inlineStr">
        <is>
          <t>N/A — no P batch assigned</t>
        </is>
      </c>
      <c r="C666" s="243" t="inlineStr">
        <is>
          <t>197-2-K-26</t>
        </is>
      </c>
      <c r="D666" s="245" t="n">
        <v>46241</v>
      </c>
      <c r="E666" s="243" t="inlineStr">
        <is>
          <t>FHM-K</t>
        </is>
      </c>
      <c r="F666" s="243" t="inlineStr">
        <is>
          <t>#8</t>
        </is>
      </c>
      <c r="G666" s="246" t="inlineStr">
        <is>
          <t>#8 Loss on Drying</t>
        </is>
      </c>
      <c r="H666" s="309" t="inlineStr">
        <is>
          <t>credit removed</t>
        </is>
      </c>
      <c r="I666" s="308" t="inlineStr">
        <is>
          <t>R1 Farmahem pair — cannabinoid certificate; loss on drying is on the LoD certificate</t>
        </is>
      </c>
    </row>
    <row r="667">
      <c r="A667" s="244" t="inlineStr">
        <is>
          <t>CC012601/1</t>
        </is>
      </c>
      <c r="B667" s="243" t="inlineStr">
        <is>
          <t>P060332</t>
        </is>
      </c>
      <c r="C667" s="243" t="inlineStr">
        <is>
          <t>197-6-K-26</t>
        </is>
      </c>
      <c r="D667" s="245" t="n">
        <v>46241</v>
      </c>
      <c r="E667" s="243" t="inlineStr">
        <is>
          <t>FHM-K</t>
        </is>
      </c>
      <c r="F667" s="243" t="inlineStr">
        <is>
          <t>#8</t>
        </is>
      </c>
      <c r="G667" s="246" t="inlineStr">
        <is>
          <t>#8 Loss on Drying</t>
        </is>
      </c>
      <c r="H667" s="309" t="inlineStr">
        <is>
          <t>credit removed</t>
        </is>
      </c>
      <c r="I667" s="308" t="inlineStr">
        <is>
          <t>R1 Farmahem pair — cannabinoid certificate; loss on drying is on the LoD certificate</t>
        </is>
      </c>
    </row>
    <row r="668">
      <c r="A668" s="244" t="inlineStr">
        <is>
          <t>CJ052501/01</t>
        </is>
      </c>
      <c r="B668" s="243" t="inlineStr">
        <is>
          <t>P050162</t>
        </is>
      </c>
      <c r="C668" s="243" t="inlineStr">
        <is>
          <t>197-3-K-26</t>
        </is>
      </c>
      <c r="D668" s="245" t="n">
        <v>46241</v>
      </c>
      <c r="E668" s="243" t="inlineStr">
        <is>
          <t>FHM-K</t>
        </is>
      </c>
      <c r="F668" s="243" t="inlineStr">
        <is>
          <t>#8</t>
        </is>
      </c>
      <c r="G668" s="246" t="inlineStr">
        <is>
          <t>#8 Loss on Drying</t>
        </is>
      </c>
      <c r="H668" s="309" t="inlineStr">
        <is>
          <t>credit removed</t>
        </is>
      </c>
      <c r="I668" s="308" t="inlineStr">
        <is>
          <t>R1 Farmahem pair — cannabinoid certificate; loss on drying is on the LoD certificate</t>
        </is>
      </c>
    </row>
    <row r="669">
      <c r="A669" s="244" t="inlineStr">
        <is>
          <t>CJ062501/2</t>
        </is>
      </c>
      <c r="B669" s="243" t="inlineStr">
        <is>
          <t>P050212</t>
        </is>
      </c>
      <c r="C669" s="243" t="inlineStr">
        <is>
          <t>197-4-K-26</t>
        </is>
      </c>
      <c r="D669" s="245" t="n">
        <v>46241</v>
      </c>
      <c r="E669" s="243" t="inlineStr">
        <is>
          <t>FHM-K</t>
        </is>
      </c>
      <c r="F669" s="243" t="inlineStr">
        <is>
          <t>#8</t>
        </is>
      </c>
      <c r="G669" s="246" t="inlineStr">
        <is>
          <t>#8 Loss on Drying</t>
        </is>
      </c>
      <c r="H669" s="309" t="inlineStr">
        <is>
          <t>credit removed</t>
        </is>
      </c>
      <c r="I669" s="308" t="inlineStr">
        <is>
          <t>R1 Farmahem pair — cannabinoid certificate; loss on drying is on the LoD certificate</t>
        </is>
      </c>
    </row>
    <row r="670">
      <c r="A670" s="244" t="inlineStr">
        <is>
          <t>CJ082501/2</t>
        </is>
      </c>
      <c r="B670" s="243" t="inlineStr">
        <is>
          <t>P060032</t>
        </is>
      </c>
      <c r="C670" s="243" t="inlineStr">
        <is>
          <t>197-5-K-26</t>
        </is>
      </c>
      <c r="D670" s="245" t="n">
        <v>46241</v>
      </c>
      <c r="E670" s="243" t="inlineStr">
        <is>
          <t>FHM-K</t>
        </is>
      </c>
      <c r="F670" s="243" t="inlineStr">
        <is>
          <t>#8</t>
        </is>
      </c>
      <c r="G670" s="246" t="inlineStr">
        <is>
          <t>#8 Loss on Drying</t>
        </is>
      </c>
      <c r="H670" s="309" t="inlineStr">
        <is>
          <t>credit removed</t>
        </is>
      </c>
      <c r="I670" s="308" t="inlineStr">
        <is>
          <t>R1 Farmahem pair — cannabinoid certificate; loss on drying is on the LoD certificate</t>
        </is>
      </c>
    </row>
    <row r="671">
      <c r="A671" s="244" t="inlineStr">
        <is>
          <t>FB012602*</t>
        </is>
      </c>
      <c r="B671" s="243" t="inlineStr">
        <is>
          <t>P060352</t>
        </is>
      </c>
      <c r="C671" s="243" t="inlineStr">
        <is>
          <t>197-7-K-26</t>
        </is>
      </c>
      <c r="D671" s="245" t="n">
        <v>46241</v>
      </c>
      <c r="E671" s="243" t="inlineStr">
        <is>
          <t>FHM-K</t>
        </is>
      </c>
      <c r="F671" s="243" t="inlineStr">
        <is>
          <t>#8</t>
        </is>
      </c>
      <c r="G671" s="246" t="inlineStr">
        <is>
          <t>#8 Loss on Drying</t>
        </is>
      </c>
      <c r="H671" s="309" t="inlineStr">
        <is>
          <t>credit removed</t>
        </is>
      </c>
      <c r="I671" s="308" t="inlineStr">
        <is>
          <t>R1 Farmahem pair — cannabinoid certificate; loss on drying is on the LoD certificate</t>
        </is>
      </c>
    </row>
    <row r="672">
      <c r="A672" s="244" t="inlineStr">
        <is>
          <t>GG012603</t>
        </is>
      </c>
      <c r="B672" s="243" t="inlineStr">
        <is>
          <t>P060402</t>
        </is>
      </c>
      <c r="C672" s="243" t="inlineStr">
        <is>
          <t>197-8-K-26</t>
        </is>
      </c>
      <c r="D672" s="245" t="n">
        <v>46241</v>
      </c>
      <c r="E672" s="243" t="inlineStr">
        <is>
          <t>FHM-K</t>
        </is>
      </c>
      <c r="F672" s="243" t="inlineStr">
        <is>
          <t>#8</t>
        </is>
      </c>
      <c r="G672" s="246" t="inlineStr">
        <is>
          <t>#8 Loss on Drying</t>
        </is>
      </c>
      <c r="H672" s="309" t="inlineStr">
        <is>
          <t>credit removed</t>
        </is>
      </c>
      <c r="I672" s="308" t="inlineStr">
        <is>
          <t>R1 Farmahem pair — cannabinoid certificate; loss on drying is on the LoD certificate</t>
        </is>
      </c>
    </row>
    <row r="673">
      <c r="A673" s="244" t="inlineStr">
        <is>
          <t>GG1024_01</t>
        </is>
      </c>
      <c r="B673" s="243" t="inlineStr">
        <is>
          <t>P050092</t>
        </is>
      </c>
      <c r="C673" s="243" t="inlineStr">
        <is>
          <t>197-9-K-26</t>
        </is>
      </c>
      <c r="D673" s="245" t="n">
        <v>46241</v>
      </c>
      <c r="E673" s="243" t="inlineStr">
        <is>
          <t>FHM-K</t>
        </is>
      </c>
      <c r="F673" s="243" t="inlineStr">
        <is>
          <t>#8</t>
        </is>
      </c>
      <c r="G673" s="246" t="inlineStr">
        <is>
          <t>#8 Loss on Drying</t>
        </is>
      </c>
      <c r="H673" s="309" t="inlineStr">
        <is>
          <t>credit removed</t>
        </is>
      </c>
      <c r="I673" s="308" t="inlineStr">
        <is>
          <t>R1 Farmahem pair — cannabinoid certificate; loss on drying is on the LoD certificate</t>
        </is>
      </c>
    </row>
    <row r="674">
      <c r="A674" s="244" t="inlineStr">
        <is>
          <t>GP052501</t>
        </is>
      </c>
      <c r="B674" s="243" t="inlineStr">
        <is>
          <t>P050152</t>
        </is>
      </c>
      <c r="C674" s="243" t="inlineStr">
        <is>
          <t>197-10-K-26</t>
        </is>
      </c>
      <c r="D674" s="245" t="n">
        <v>46241</v>
      </c>
      <c r="E674" s="243" t="inlineStr">
        <is>
          <t>FHM-K</t>
        </is>
      </c>
      <c r="F674" s="243" t="inlineStr">
        <is>
          <t>#8</t>
        </is>
      </c>
      <c r="G674" s="246" t="inlineStr">
        <is>
          <t>#8 Loss on Drying</t>
        </is>
      </c>
      <c r="H674" s="309" t="inlineStr">
        <is>
          <t>credit removed</t>
        </is>
      </c>
      <c r="I674" s="308" t="inlineStr">
        <is>
          <t>R1 Farmahem pair — cannabinoid certificate; loss on drying is on the LoD certificate</t>
        </is>
      </c>
    </row>
    <row r="675">
      <c r="A675" s="244" t="inlineStr">
        <is>
          <t>GP0824_02</t>
        </is>
      </c>
      <c r="B675" s="243" t="inlineStr">
        <is>
          <t>P050022</t>
        </is>
      </c>
      <c r="C675" s="243" t="inlineStr">
        <is>
          <t>197-11-K-26</t>
        </is>
      </c>
      <c r="D675" s="245" t="n">
        <v>46241</v>
      </c>
      <c r="E675" s="243" t="inlineStr">
        <is>
          <t>FHM-K</t>
        </is>
      </c>
      <c r="F675" s="243" t="inlineStr">
        <is>
          <t>#8</t>
        </is>
      </c>
      <c r="G675" s="246" t="inlineStr">
        <is>
          <t>#8 Loss on Drying</t>
        </is>
      </c>
      <c r="H675" s="309" t="inlineStr">
        <is>
          <t>credit removed</t>
        </is>
      </c>
      <c r="I675" s="308" t="inlineStr">
        <is>
          <t>R1 Farmahem pair — cannabinoid certificate; loss on drying is on the LoD certificate</t>
        </is>
      </c>
    </row>
    <row r="676">
      <c r="A676" s="244" t="inlineStr">
        <is>
          <t>GP082501/2</t>
        </is>
      </c>
      <c r="B676" s="243" t="inlineStr">
        <is>
          <t>P050322</t>
        </is>
      </c>
      <c r="C676" s="243" t="inlineStr">
        <is>
          <t>197-12-K-26</t>
        </is>
      </c>
      <c r="D676" s="245" t="n">
        <v>46241</v>
      </c>
      <c r="E676" s="243" t="inlineStr">
        <is>
          <t>FHM-K</t>
        </is>
      </c>
      <c r="F676" s="243" t="inlineStr">
        <is>
          <t>#8</t>
        </is>
      </c>
      <c r="G676" s="246" t="inlineStr">
        <is>
          <t>#8 Loss on Drying</t>
        </is>
      </c>
      <c r="H676" s="309" t="inlineStr">
        <is>
          <t>credit removed</t>
        </is>
      </c>
      <c r="I676" s="308" t="inlineStr">
        <is>
          <t>R1 Farmahem pair — cannabinoid certificate; loss on drying is on the LoD certificate</t>
        </is>
      </c>
    </row>
    <row r="677">
      <c r="A677" s="244" t="inlineStr">
        <is>
          <t>GRC102501</t>
        </is>
      </c>
      <c r="B677" s="243" t="inlineStr">
        <is>
          <t>P060142 / P060182</t>
        </is>
      </c>
      <c r="C677" s="243" t="inlineStr">
        <is>
          <t>051-6-LoD-26</t>
        </is>
      </c>
      <c r="D677" s="245" t="n">
        <v>46083</v>
      </c>
      <c r="E677" s="243" t="inlineStr">
        <is>
          <t>FHM-K</t>
        </is>
      </c>
      <c r="F677" s="243" t="inlineStr">
        <is>
          <t>#3</t>
        </is>
      </c>
      <c r="G677" s="246" t="inlineStr">
        <is>
          <t>#3 Identification C</t>
        </is>
      </c>
      <c r="H677" s="309" t="inlineStr">
        <is>
          <t>credit removed</t>
        </is>
      </c>
      <c r="I677" s="308" t="inlineStr">
        <is>
          <t>R1 Farmahem pair — loss-on-drying certificate; reports no such determination</t>
        </is>
      </c>
    </row>
    <row r="678">
      <c r="A678" s="244" t="inlineStr">
        <is>
          <t>GRC102501</t>
        </is>
      </c>
      <c r="B678" s="243" t="inlineStr">
        <is>
          <t>P060142 / P060182</t>
        </is>
      </c>
      <c r="C678" s="243" t="inlineStr">
        <is>
          <t>051-6-LoD-26</t>
        </is>
      </c>
      <c r="D678" s="245" t="n">
        <v>46083</v>
      </c>
      <c r="E678" s="243" t="inlineStr">
        <is>
          <t>FHM-K</t>
        </is>
      </c>
      <c r="F678" s="243" t="inlineStr">
        <is>
          <t>#4</t>
        </is>
      </c>
      <c r="G678" s="246" t="inlineStr">
        <is>
          <t>#4 Assay — Total Δ⁹-THC*</t>
        </is>
      </c>
      <c r="H678" s="309" t="inlineStr">
        <is>
          <t>credit removed</t>
        </is>
      </c>
      <c r="I678" s="308" t="inlineStr">
        <is>
          <t>R1 Farmahem pair — loss-on-drying certificate; reports no such determination</t>
        </is>
      </c>
    </row>
    <row r="679">
      <c r="A679" s="244" t="inlineStr">
        <is>
          <t>GRC102501</t>
        </is>
      </c>
      <c r="B679" s="243" t="inlineStr">
        <is>
          <t>P060142 / P060182</t>
        </is>
      </c>
      <c r="C679" s="243" t="inlineStr">
        <is>
          <t>051-6-LoD-26</t>
        </is>
      </c>
      <c r="D679" s="245" t="n">
        <v>46083</v>
      </c>
      <c r="E679" s="243" t="inlineStr">
        <is>
          <t>FHM-K</t>
        </is>
      </c>
      <c r="F679" s="243" t="inlineStr">
        <is>
          <t>#5</t>
        </is>
      </c>
      <c r="G679" s="246" t="inlineStr">
        <is>
          <t>#5 Assay — Total CBD</t>
        </is>
      </c>
      <c r="H679" s="309" t="inlineStr">
        <is>
          <t>credit removed</t>
        </is>
      </c>
      <c r="I679" s="308" t="inlineStr">
        <is>
          <t>R1 Farmahem pair — loss-on-drying certificate; reports no such determination</t>
        </is>
      </c>
    </row>
    <row r="680">
      <c r="A680" s="244" t="inlineStr">
        <is>
          <t>GRC102501</t>
        </is>
      </c>
      <c r="B680" s="243" t="inlineStr">
        <is>
          <t>P060142 / P060182</t>
        </is>
      </c>
      <c r="C680" s="243" t="inlineStr">
        <is>
          <t>051-6-LoD-26</t>
        </is>
      </c>
      <c r="D680" s="245" t="n">
        <v>46083</v>
      </c>
      <c r="E680" s="243" t="inlineStr">
        <is>
          <t>FHM-K</t>
        </is>
      </c>
      <c r="F680" s="243" t="inlineStr">
        <is>
          <t>#6</t>
        </is>
      </c>
      <c r="G680" s="246" t="inlineStr">
        <is>
          <t>#6 Total CBN</t>
        </is>
      </c>
      <c r="H680" s="309" t="inlineStr">
        <is>
          <t>credit removed</t>
        </is>
      </c>
      <c r="I680" s="308" t="inlineStr">
        <is>
          <t>R1 Farmahem pair — loss-on-drying certificate; reports no such determination</t>
        </is>
      </c>
    </row>
    <row r="681">
      <c r="A681" s="244" t="inlineStr">
        <is>
          <t>GRC102501</t>
        </is>
      </c>
      <c r="B681" s="243" t="inlineStr">
        <is>
          <t>P060142 / P060182</t>
        </is>
      </c>
      <c r="C681" s="243" t="inlineStr">
        <is>
          <t>051-6-K-26</t>
        </is>
      </c>
      <c r="D681" s="245" t="n">
        <v>46085</v>
      </c>
      <c r="E681" s="243" t="inlineStr">
        <is>
          <t>FHM-K</t>
        </is>
      </c>
      <c r="F681" s="243" t="inlineStr">
        <is>
          <t>#8</t>
        </is>
      </c>
      <c r="G681" s="246" t="inlineStr">
        <is>
          <t>#8 Loss on Drying</t>
        </is>
      </c>
      <c r="H681" s="309" t="inlineStr">
        <is>
          <t>credit removed</t>
        </is>
      </c>
      <c r="I681" s="308" t="inlineStr">
        <is>
          <t>R1 Farmahem pair — cannabinoid certificate; loss on drying is on the LoD certificate</t>
        </is>
      </c>
    </row>
    <row r="682">
      <c r="A682" s="244" t="inlineStr">
        <is>
          <t>HPA1024</t>
        </is>
      </c>
      <c r="B682" s="243" t="inlineStr">
        <is>
          <t>N/A — no P batch assigned</t>
        </is>
      </c>
      <c r="C682" s="243" t="inlineStr">
        <is>
          <t>197-13-K-26</t>
        </is>
      </c>
      <c r="D682" s="245" t="n">
        <v>46241</v>
      </c>
      <c r="E682" s="243" t="inlineStr">
        <is>
          <t>FHM-K</t>
        </is>
      </c>
      <c r="F682" s="243" t="inlineStr">
        <is>
          <t>#8</t>
        </is>
      </c>
      <c r="G682" s="246" t="inlineStr">
        <is>
          <t>#8 Loss on Drying</t>
        </is>
      </c>
      <c r="H682" s="309" t="inlineStr">
        <is>
          <t>credit removed</t>
        </is>
      </c>
      <c r="I682" s="308" t="inlineStr">
        <is>
          <t>R1 Farmahem pair — cannabinoid certificate; loss on drying is on the LoD certificate</t>
        </is>
      </c>
    </row>
    <row r="683">
      <c r="A683" s="244" t="inlineStr">
        <is>
          <t>HPA1024_01</t>
        </is>
      </c>
      <c r="B683" s="243" t="inlineStr">
        <is>
          <t>P050052</t>
        </is>
      </c>
      <c r="C683" s="243" t="inlineStr">
        <is>
          <t>197-14-K-26</t>
        </is>
      </c>
      <c r="D683" s="245" t="n">
        <v>46241</v>
      </c>
      <c r="E683" s="243" t="inlineStr">
        <is>
          <t>FHM-K</t>
        </is>
      </c>
      <c r="F683" s="243" t="inlineStr">
        <is>
          <t>#8</t>
        </is>
      </c>
      <c r="G683" s="246" t="inlineStr">
        <is>
          <t>#8 Loss on Drying</t>
        </is>
      </c>
      <c r="H683" s="309" t="inlineStr">
        <is>
          <t>credit removed</t>
        </is>
      </c>
      <c r="I683" s="308" t="inlineStr">
        <is>
          <t>R1 Farmahem pair — cannabinoid certificate; loss on drying is on the LoD certificate</t>
        </is>
      </c>
    </row>
    <row r="684">
      <c r="A684" s="244" t="inlineStr">
        <is>
          <t>J31102501</t>
        </is>
      </c>
      <c r="B684" s="243" t="inlineStr">
        <is>
          <t>P060152</t>
        </is>
      </c>
      <c r="C684" s="243" t="inlineStr">
        <is>
          <t>051-1-LoD-26</t>
        </is>
      </c>
      <c r="D684" s="245" t="n">
        <v>46083</v>
      </c>
      <c r="E684" s="243" t="inlineStr">
        <is>
          <t>FHM-K</t>
        </is>
      </c>
      <c r="F684" s="243" t="inlineStr">
        <is>
          <t>#3</t>
        </is>
      </c>
      <c r="G684" s="246" t="inlineStr">
        <is>
          <t>#3 Identification C</t>
        </is>
      </c>
      <c r="H684" s="309" t="inlineStr">
        <is>
          <t>credit removed</t>
        </is>
      </c>
      <c r="I684" s="308" t="inlineStr">
        <is>
          <t>R1 Farmahem pair — loss-on-drying certificate; reports no such determination</t>
        </is>
      </c>
    </row>
    <row r="685">
      <c r="A685" s="244" t="inlineStr">
        <is>
          <t>J31102501</t>
        </is>
      </c>
      <c r="B685" s="243" t="inlineStr">
        <is>
          <t>P060152</t>
        </is>
      </c>
      <c r="C685" s="243" t="inlineStr">
        <is>
          <t>051-1-LoD-26</t>
        </is>
      </c>
      <c r="D685" s="245" t="n">
        <v>46083</v>
      </c>
      <c r="E685" s="243" t="inlineStr">
        <is>
          <t>FHM-K</t>
        </is>
      </c>
      <c r="F685" s="243" t="inlineStr">
        <is>
          <t>#4</t>
        </is>
      </c>
      <c r="G685" s="246" t="inlineStr">
        <is>
          <t>#4 Assay — Total Δ⁹-THC*</t>
        </is>
      </c>
      <c r="H685" s="309" t="inlineStr">
        <is>
          <t>credit removed</t>
        </is>
      </c>
      <c r="I685" s="308" t="inlineStr">
        <is>
          <t>R1 Farmahem pair — loss-on-drying certificate; reports no such determination</t>
        </is>
      </c>
    </row>
    <row r="686">
      <c r="A686" s="244" t="inlineStr">
        <is>
          <t>J31102501</t>
        </is>
      </c>
      <c r="B686" s="243" t="inlineStr">
        <is>
          <t>P060152</t>
        </is>
      </c>
      <c r="C686" s="243" t="inlineStr">
        <is>
          <t>051-1-LoD-26</t>
        </is>
      </c>
      <c r="D686" s="245" t="n">
        <v>46083</v>
      </c>
      <c r="E686" s="243" t="inlineStr">
        <is>
          <t>FHM-K</t>
        </is>
      </c>
      <c r="F686" s="243" t="inlineStr">
        <is>
          <t>#5</t>
        </is>
      </c>
      <c r="G686" s="246" t="inlineStr">
        <is>
          <t>#5 Assay — Total CBD</t>
        </is>
      </c>
      <c r="H686" s="309" t="inlineStr">
        <is>
          <t>credit removed</t>
        </is>
      </c>
      <c r="I686" s="308" t="inlineStr">
        <is>
          <t>R1 Farmahem pair — loss-on-drying certificate; reports no such determination</t>
        </is>
      </c>
    </row>
    <row r="687">
      <c r="A687" s="244" t="inlineStr">
        <is>
          <t>J31102501</t>
        </is>
      </c>
      <c r="B687" s="243" t="inlineStr">
        <is>
          <t>P060152</t>
        </is>
      </c>
      <c r="C687" s="243" t="inlineStr">
        <is>
          <t>051-1-LoD-26</t>
        </is>
      </c>
      <c r="D687" s="245" t="n">
        <v>46083</v>
      </c>
      <c r="E687" s="243" t="inlineStr">
        <is>
          <t>FHM-K</t>
        </is>
      </c>
      <c r="F687" s="243" t="inlineStr">
        <is>
          <t>#6</t>
        </is>
      </c>
      <c r="G687" s="246" t="inlineStr">
        <is>
          <t>#6 Total CBN</t>
        </is>
      </c>
      <c r="H687" s="309" t="inlineStr">
        <is>
          <t>credit removed</t>
        </is>
      </c>
      <c r="I687" s="308" t="inlineStr">
        <is>
          <t>R1 Farmahem pair — loss-on-drying certificate; reports no such determination</t>
        </is>
      </c>
    </row>
    <row r="688">
      <c r="A688" s="244" t="inlineStr">
        <is>
          <t>J31102501</t>
        </is>
      </c>
      <c r="B688" s="243" t="inlineStr">
        <is>
          <t>P060152</t>
        </is>
      </c>
      <c r="C688" s="243" t="inlineStr">
        <is>
          <t>051-1-K-26</t>
        </is>
      </c>
      <c r="D688" s="245" t="n">
        <v>46085</v>
      </c>
      <c r="E688" s="243" t="inlineStr">
        <is>
          <t>FHM-K</t>
        </is>
      </c>
      <c r="F688" s="243" t="inlineStr">
        <is>
          <t>#8</t>
        </is>
      </c>
      <c r="G688" s="246" t="inlineStr">
        <is>
          <t>#8 Loss on Drying</t>
        </is>
      </c>
      <c r="H688" s="309" t="inlineStr">
        <is>
          <t>credit removed</t>
        </is>
      </c>
      <c r="I688" s="308" t="inlineStr">
        <is>
          <t>R1 Farmahem pair — cannabinoid certificate; loss on drying is on the LoD certificate</t>
        </is>
      </c>
    </row>
    <row r="689">
      <c r="A689" s="244" t="inlineStr">
        <is>
          <t>J31102501</t>
        </is>
      </c>
      <c r="B689" s="243" t="inlineStr">
        <is>
          <t>P060152</t>
        </is>
      </c>
      <c r="C689" s="243" t="inlineStr">
        <is>
          <t>197-16-K-26</t>
        </is>
      </c>
      <c r="D689" s="245" t="n">
        <v>46241</v>
      </c>
      <c r="E689" s="243" t="inlineStr">
        <is>
          <t>FHM-K</t>
        </is>
      </c>
      <c r="F689" s="243" t="inlineStr">
        <is>
          <t>#8</t>
        </is>
      </c>
      <c r="G689" s="246" t="inlineStr">
        <is>
          <t>#8 Loss on Drying</t>
        </is>
      </c>
      <c r="H689" s="309" t="inlineStr">
        <is>
          <t>credit removed</t>
        </is>
      </c>
      <c r="I689" s="308" t="inlineStr">
        <is>
          <t>R1 Farmahem pair — cannabinoid certificate; loss on drying is on the LoD certificate</t>
        </is>
      </c>
    </row>
    <row r="690">
      <c r="A690" s="244" t="inlineStr">
        <is>
          <t>J31112501</t>
        </is>
      </c>
      <c r="B690" s="243" t="inlineStr">
        <is>
          <t>P060202</t>
        </is>
      </c>
      <c r="C690" s="243" t="inlineStr">
        <is>
          <t>051-5-LoD-26</t>
        </is>
      </c>
      <c r="D690" s="245" t="n">
        <v>46083</v>
      </c>
      <c r="E690" s="243" t="inlineStr">
        <is>
          <t>FHM-K</t>
        </is>
      </c>
      <c r="F690" s="243" t="inlineStr">
        <is>
          <t>#3</t>
        </is>
      </c>
      <c r="G690" s="246" t="inlineStr">
        <is>
          <t>#3 Identification C</t>
        </is>
      </c>
      <c r="H690" s="309" t="inlineStr">
        <is>
          <t>credit removed</t>
        </is>
      </c>
      <c r="I690" s="308" t="inlineStr">
        <is>
          <t>R1 Farmahem pair — loss-on-drying certificate; reports no such determination</t>
        </is>
      </c>
    </row>
    <row r="691">
      <c r="A691" s="244" t="inlineStr">
        <is>
          <t>J31112501</t>
        </is>
      </c>
      <c r="B691" s="243" t="inlineStr">
        <is>
          <t>P060202</t>
        </is>
      </c>
      <c r="C691" s="243" t="inlineStr">
        <is>
          <t>100-1-LoD-26</t>
        </is>
      </c>
      <c r="D691" s="245" t="n">
        <v>46121</v>
      </c>
      <c r="E691" s="243" t="inlineStr">
        <is>
          <t>FHM-K</t>
        </is>
      </c>
      <c r="F691" s="243" t="inlineStr">
        <is>
          <t>#3</t>
        </is>
      </c>
      <c r="G691" s="246" t="inlineStr">
        <is>
          <t>#3 Identification C</t>
        </is>
      </c>
      <c r="H691" s="309" t="inlineStr">
        <is>
          <t>credit removed</t>
        </is>
      </c>
      <c r="I691" s="308" t="inlineStr">
        <is>
          <t>R1 Farmahem pair — loss-on-drying certificate; reports no such determination</t>
        </is>
      </c>
    </row>
    <row r="692">
      <c r="A692" s="244" t="inlineStr">
        <is>
          <t>J31112501</t>
        </is>
      </c>
      <c r="B692" s="243" t="inlineStr">
        <is>
          <t>P060202</t>
        </is>
      </c>
      <c r="C692" s="243" t="inlineStr">
        <is>
          <t>100-2-LoD-26</t>
        </is>
      </c>
      <c r="D692" s="245" t="n">
        <v>46121</v>
      </c>
      <c r="E692" s="243" t="inlineStr">
        <is>
          <t>FHM-K</t>
        </is>
      </c>
      <c r="F692" s="243" t="inlineStr">
        <is>
          <t>#3</t>
        </is>
      </c>
      <c r="G692" s="246" t="inlineStr">
        <is>
          <t>#3 Identification C</t>
        </is>
      </c>
      <c r="H692" s="309" t="inlineStr">
        <is>
          <t>credit removed</t>
        </is>
      </c>
      <c r="I692" s="308" t="inlineStr">
        <is>
          <t>R1 Farmahem pair — loss-on-drying certificate; reports no such determination</t>
        </is>
      </c>
    </row>
    <row r="693">
      <c r="A693" s="244" t="inlineStr">
        <is>
          <t>J31112501</t>
        </is>
      </c>
      <c r="B693" s="243" t="inlineStr">
        <is>
          <t>P060202</t>
        </is>
      </c>
      <c r="C693" s="243" t="inlineStr">
        <is>
          <t>100-3-LoD-26</t>
        </is>
      </c>
      <c r="D693" s="245" t="n">
        <v>46121</v>
      </c>
      <c r="E693" s="243" t="inlineStr">
        <is>
          <t>FHM-K</t>
        </is>
      </c>
      <c r="F693" s="243" t="inlineStr">
        <is>
          <t>#3</t>
        </is>
      </c>
      <c r="G693" s="246" t="inlineStr">
        <is>
          <t>#3 Identification C</t>
        </is>
      </c>
      <c r="H693" s="309" t="inlineStr">
        <is>
          <t>credit removed</t>
        </is>
      </c>
      <c r="I693" s="308" t="inlineStr">
        <is>
          <t>R1 Farmahem pair — loss-on-drying certificate; reports no such determination</t>
        </is>
      </c>
    </row>
    <row r="694">
      <c r="A694" s="244" t="inlineStr">
        <is>
          <t>J31112501</t>
        </is>
      </c>
      <c r="B694" s="243" t="inlineStr">
        <is>
          <t>P060202</t>
        </is>
      </c>
      <c r="C694" s="243" t="inlineStr">
        <is>
          <t>051-5-LoD-26</t>
        </is>
      </c>
      <c r="D694" s="245" t="n">
        <v>46083</v>
      </c>
      <c r="E694" s="243" t="inlineStr">
        <is>
          <t>FHM-K</t>
        </is>
      </c>
      <c r="F694" s="243" t="inlineStr">
        <is>
          <t>#4</t>
        </is>
      </c>
      <c r="G694" s="246" t="inlineStr">
        <is>
          <t>#4 Assay — Total Δ⁹-THC*</t>
        </is>
      </c>
      <c r="H694" s="309" t="inlineStr">
        <is>
          <t>credit removed</t>
        </is>
      </c>
      <c r="I694" s="308" t="inlineStr">
        <is>
          <t>R1 Farmahem pair — loss-on-drying certificate; reports no such determination</t>
        </is>
      </c>
    </row>
    <row r="695">
      <c r="A695" s="244" t="inlineStr">
        <is>
          <t>J31112501</t>
        </is>
      </c>
      <c r="B695" s="243" t="inlineStr">
        <is>
          <t>P060202</t>
        </is>
      </c>
      <c r="C695" s="243" t="inlineStr">
        <is>
          <t>100-1-LoD-26</t>
        </is>
      </c>
      <c r="D695" s="245" t="n">
        <v>46121</v>
      </c>
      <c r="E695" s="243" t="inlineStr">
        <is>
          <t>FHM-K</t>
        </is>
      </c>
      <c r="F695" s="243" t="inlineStr">
        <is>
          <t>#4</t>
        </is>
      </c>
      <c r="G695" s="246" t="inlineStr">
        <is>
          <t>#4 Assay — Total Δ⁹-THC*</t>
        </is>
      </c>
      <c r="H695" s="309" t="inlineStr">
        <is>
          <t>credit removed</t>
        </is>
      </c>
      <c r="I695" s="308" t="inlineStr">
        <is>
          <t>R1 Farmahem pair — loss-on-drying certificate; reports no such determination</t>
        </is>
      </c>
    </row>
    <row r="696">
      <c r="A696" s="244" t="inlineStr">
        <is>
          <t>J31112501</t>
        </is>
      </c>
      <c r="B696" s="243" t="inlineStr">
        <is>
          <t>P060202</t>
        </is>
      </c>
      <c r="C696" s="243" t="inlineStr">
        <is>
          <t>100-2-LoD-26</t>
        </is>
      </c>
      <c r="D696" s="245" t="n">
        <v>46121</v>
      </c>
      <c r="E696" s="243" t="inlineStr">
        <is>
          <t>FHM-K</t>
        </is>
      </c>
      <c r="F696" s="243" t="inlineStr">
        <is>
          <t>#4</t>
        </is>
      </c>
      <c r="G696" s="246" t="inlineStr">
        <is>
          <t>#4 Assay — Total Δ⁹-THC*</t>
        </is>
      </c>
      <c r="H696" s="309" t="inlineStr">
        <is>
          <t>credit removed</t>
        </is>
      </c>
      <c r="I696" s="308" t="inlineStr">
        <is>
          <t>R1 Farmahem pair — loss-on-drying certificate; reports no such determination</t>
        </is>
      </c>
    </row>
    <row r="697">
      <c r="A697" s="244" t="inlineStr">
        <is>
          <t>J31112501</t>
        </is>
      </c>
      <c r="B697" s="243" t="inlineStr">
        <is>
          <t>P060202</t>
        </is>
      </c>
      <c r="C697" s="243" t="inlineStr">
        <is>
          <t>100-3-LoD-26</t>
        </is>
      </c>
      <c r="D697" s="245" t="n">
        <v>46121</v>
      </c>
      <c r="E697" s="243" t="inlineStr">
        <is>
          <t>FHM-K</t>
        </is>
      </c>
      <c r="F697" s="243" t="inlineStr">
        <is>
          <t>#4</t>
        </is>
      </c>
      <c r="G697" s="246" t="inlineStr">
        <is>
          <t>#4 Assay — Total Δ⁹-THC*</t>
        </is>
      </c>
      <c r="H697" s="309" t="inlineStr">
        <is>
          <t>credit removed</t>
        </is>
      </c>
      <c r="I697" s="308" t="inlineStr">
        <is>
          <t>R1 Farmahem pair — loss-on-drying certificate; reports no such determination</t>
        </is>
      </c>
    </row>
    <row r="698">
      <c r="A698" s="244" t="inlineStr">
        <is>
          <t>J31112501</t>
        </is>
      </c>
      <c r="B698" s="243" t="inlineStr">
        <is>
          <t>P060202</t>
        </is>
      </c>
      <c r="C698" s="243" t="inlineStr">
        <is>
          <t>051-5-LoD-26</t>
        </is>
      </c>
      <c r="D698" s="245" t="n">
        <v>46083</v>
      </c>
      <c r="E698" s="243" t="inlineStr">
        <is>
          <t>FHM-K</t>
        </is>
      </c>
      <c r="F698" s="243" t="inlineStr">
        <is>
          <t>#5</t>
        </is>
      </c>
      <c r="G698" s="246" t="inlineStr">
        <is>
          <t>#5 Assay — Total CBD</t>
        </is>
      </c>
      <c r="H698" s="309" t="inlineStr">
        <is>
          <t>credit removed</t>
        </is>
      </c>
      <c r="I698" s="308" t="inlineStr">
        <is>
          <t>R1 Farmahem pair — loss-on-drying certificate; reports no such determination</t>
        </is>
      </c>
    </row>
    <row r="699">
      <c r="A699" s="244" t="inlineStr">
        <is>
          <t>J31112501</t>
        </is>
      </c>
      <c r="B699" s="243" t="inlineStr">
        <is>
          <t>P060202</t>
        </is>
      </c>
      <c r="C699" s="243" t="inlineStr">
        <is>
          <t>100-1-LoD-26</t>
        </is>
      </c>
      <c r="D699" s="245" t="n">
        <v>46121</v>
      </c>
      <c r="E699" s="243" t="inlineStr">
        <is>
          <t>FHM-K</t>
        </is>
      </c>
      <c r="F699" s="243" t="inlineStr">
        <is>
          <t>#5</t>
        </is>
      </c>
      <c r="G699" s="246" t="inlineStr">
        <is>
          <t>#5 Assay — Total CBD</t>
        </is>
      </c>
      <c r="H699" s="309" t="inlineStr">
        <is>
          <t>credit removed</t>
        </is>
      </c>
      <c r="I699" s="308" t="inlineStr">
        <is>
          <t>R1 Farmahem pair — loss-on-drying certificate; reports no such determination</t>
        </is>
      </c>
    </row>
    <row r="700">
      <c r="A700" s="244" t="inlineStr">
        <is>
          <t>J31112501</t>
        </is>
      </c>
      <c r="B700" s="243" t="inlineStr">
        <is>
          <t>P060202</t>
        </is>
      </c>
      <c r="C700" s="243" t="inlineStr">
        <is>
          <t>100-2-LoD-26</t>
        </is>
      </c>
      <c r="D700" s="245" t="n">
        <v>46121</v>
      </c>
      <c r="E700" s="243" t="inlineStr">
        <is>
          <t>FHM-K</t>
        </is>
      </c>
      <c r="F700" s="243" t="inlineStr">
        <is>
          <t>#5</t>
        </is>
      </c>
      <c r="G700" s="246" t="inlineStr">
        <is>
          <t>#5 Assay — Total CBD</t>
        </is>
      </c>
      <c r="H700" s="309" t="inlineStr">
        <is>
          <t>credit removed</t>
        </is>
      </c>
      <c r="I700" s="308" t="inlineStr">
        <is>
          <t>R1 Farmahem pair — loss-on-drying certificate; reports no such determination</t>
        </is>
      </c>
    </row>
    <row r="701">
      <c r="A701" s="244" t="inlineStr">
        <is>
          <t>J31112501</t>
        </is>
      </c>
      <c r="B701" s="243" t="inlineStr">
        <is>
          <t>P060202</t>
        </is>
      </c>
      <c r="C701" s="243" t="inlineStr">
        <is>
          <t>100-3-LoD-26</t>
        </is>
      </c>
      <c r="D701" s="245" t="n">
        <v>46121</v>
      </c>
      <c r="E701" s="243" t="inlineStr">
        <is>
          <t>FHM-K</t>
        </is>
      </c>
      <c r="F701" s="243" t="inlineStr">
        <is>
          <t>#5</t>
        </is>
      </c>
      <c r="G701" s="246" t="inlineStr">
        <is>
          <t>#5 Assay — Total CBD</t>
        </is>
      </c>
      <c r="H701" s="309" t="inlineStr">
        <is>
          <t>credit removed</t>
        </is>
      </c>
      <c r="I701" s="308" t="inlineStr">
        <is>
          <t>R1 Farmahem pair — loss-on-drying certificate; reports no such determination</t>
        </is>
      </c>
    </row>
    <row r="702">
      <c r="A702" s="244" t="inlineStr">
        <is>
          <t>J31112501</t>
        </is>
      </c>
      <c r="B702" s="243" t="inlineStr">
        <is>
          <t>P060202</t>
        </is>
      </c>
      <c r="C702" s="243" t="inlineStr">
        <is>
          <t>051-5-LoD-26</t>
        </is>
      </c>
      <c r="D702" s="245" t="n">
        <v>46083</v>
      </c>
      <c r="E702" s="243" t="inlineStr">
        <is>
          <t>FHM-K</t>
        </is>
      </c>
      <c r="F702" s="243" t="inlineStr">
        <is>
          <t>#6</t>
        </is>
      </c>
      <c r="G702" s="246" t="inlineStr">
        <is>
          <t>#6 Total CBN</t>
        </is>
      </c>
      <c r="H702" s="309" t="inlineStr">
        <is>
          <t>credit removed</t>
        </is>
      </c>
      <c r="I702" s="308" t="inlineStr">
        <is>
          <t>R1 Farmahem pair — loss-on-drying certificate; reports no such determination</t>
        </is>
      </c>
    </row>
    <row r="703">
      <c r="A703" s="244" t="inlineStr">
        <is>
          <t>J31112501</t>
        </is>
      </c>
      <c r="B703" s="243" t="inlineStr">
        <is>
          <t>P060202</t>
        </is>
      </c>
      <c r="C703" s="243" t="inlineStr">
        <is>
          <t>100-1-LoD-26</t>
        </is>
      </c>
      <c r="D703" s="245" t="n">
        <v>46121</v>
      </c>
      <c r="E703" s="243" t="inlineStr">
        <is>
          <t>FHM-K</t>
        </is>
      </c>
      <c r="F703" s="243" t="inlineStr">
        <is>
          <t>#6</t>
        </is>
      </c>
      <c r="G703" s="246" t="inlineStr">
        <is>
          <t>#6 Total CBN</t>
        </is>
      </c>
      <c r="H703" s="309" t="inlineStr">
        <is>
          <t>credit removed</t>
        </is>
      </c>
      <c r="I703" s="308" t="inlineStr">
        <is>
          <t>R1 Farmahem pair — loss-on-drying certificate; reports no such determination</t>
        </is>
      </c>
    </row>
    <row r="704">
      <c r="A704" s="244" t="inlineStr">
        <is>
          <t>J31112501</t>
        </is>
      </c>
      <c r="B704" s="243" t="inlineStr">
        <is>
          <t>P060202</t>
        </is>
      </c>
      <c r="C704" s="243" t="inlineStr">
        <is>
          <t>100-2-LoD-26</t>
        </is>
      </c>
      <c r="D704" s="245" t="n">
        <v>46121</v>
      </c>
      <c r="E704" s="243" t="inlineStr">
        <is>
          <t>FHM-K</t>
        </is>
      </c>
      <c r="F704" s="243" t="inlineStr">
        <is>
          <t>#6</t>
        </is>
      </c>
      <c r="G704" s="246" t="inlineStr">
        <is>
          <t>#6 Total CBN</t>
        </is>
      </c>
      <c r="H704" s="309" t="inlineStr">
        <is>
          <t>credit removed</t>
        </is>
      </c>
      <c r="I704" s="308" t="inlineStr">
        <is>
          <t>R1 Farmahem pair — loss-on-drying certificate; reports no such determination</t>
        </is>
      </c>
    </row>
    <row r="705">
      <c r="A705" s="244" t="inlineStr">
        <is>
          <t>J31112501</t>
        </is>
      </c>
      <c r="B705" s="243" t="inlineStr">
        <is>
          <t>P060202</t>
        </is>
      </c>
      <c r="C705" s="243" t="inlineStr">
        <is>
          <t>100-3-LoD-26</t>
        </is>
      </c>
      <c r="D705" s="245" t="n">
        <v>46121</v>
      </c>
      <c r="E705" s="243" t="inlineStr">
        <is>
          <t>FHM-K</t>
        </is>
      </c>
      <c r="F705" s="243" t="inlineStr">
        <is>
          <t>#6</t>
        </is>
      </c>
      <c r="G705" s="246" t="inlineStr">
        <is>
          <t>#6 Total CBN</t>
        </is>
      </c>
      <c r="H705" s="309" t="inlineStr">
        <is>
          <t>credit removed</t>
        </is>
      </c>
      <c r="I705" s="308" t="inlineStr">
        <is>
          <t>R1 Farmahem pair — loss-on-drying certificate; reports no such determination</t>
        </is>
      </c>
    </row>
    <row r="706">
      <c r="A706" s="244" t="inlineStr">
        <is>
          <t>J31112501</t>
        </is>
      </c>
      <c r="B706" s="243" t="inlineStr">
        <is>
          <t>P060202</t>
        </is>
      </c>
      <c r="C706" s="243" t="inlineStr">
        <is>
          <t>051-5-K-26</t>
        </is>
      </c>
      <c r="D706" s="245" t="n">
        <v>46085</v>
      </c>
      <c r="E706" s="243" t="inlineStr">
        <is>
          <t>FHM-K</t>
        </is>
      </c>
      <c r="F706" s="243" t="inlineStr">
        <is>
          <t>#8</t>
        </is>
      </c>
      <c r="G706" s="246" t="inlineStr">
        <is>
          <t>#8 Loss on Drying</t>
        </is>
      </c>
      <c r="H706" s="309" t="inlineStr">
        <is>
          <t>credit removed</t>
        </is>
      </c>
      <c r="I706" s="308" t="inlineStr">
        <is>
          <t>R1 Farmahem pair — cannabinoid certificate; loss on drying is on the LoD certificate</t>
        </is>
      </c>
    </row>
    <row r="707">
      <c r="A707" s="244" t="inlineStr">
        <is>
          <t>J31112501</t>
        </is>
      </c>
      <c r="B707" s="243" t="inlineStr">
        <is>
          <t>P060202</t>
        </is>
      </c>
      <c r="C707" s="243" t="inlineStr">
        <is>
          <t>100-1-K-26</t>
        </is>
      </c>
      <c r="D707" s="245" t="n">
        <v>46121</v>
      </c>
      <c r="E707" s="243" t="inlineStr">
        <is>
          <t>FHM-K</t>
        </is>
      </c>
      <c r="F707" s="243" t="inlineStr">
        <is>
          <t>#8</t>
        </is>
      </c>
      <c r="G707" s="246" t="inlineStr">
        <is>
          <t>#8 Loss on Drying</t>
        </is>
      </c>
      <c r="H707" s="309" t="inlineStr">
        <is>
          <t>credit removed</t>
        </is>
      </c>
      <c r="I707" s="308" t="inlineStr">
        <is>
          <t>R1 Farmahem pair — cannabinoid certificate; loss on drying is on the LoD certificate</t>
        </is>
      </c>
    </row>
    <row r="708">
      <c r="A708" s="244" t="inlineStr">
        <is>
          <t>J31122501</t>
        </is>
      </c>
      <c r="B708" s="243" t="inlineStr">
        <is>
          <t>P060262</t>
        </is>
      </c>
      <c r="C708" s="243" t="inlineStr">
        <is>
          <t>100-2-K-26</t>
        </is>
      </c>
      <c r="D708" s="245" t="n">
        <v>46121</v>
      </c>
      <c r="E708" s="243" t="inlineStr">
        <is>
          <t>FHM-K</t>
        </is>
      </c>
      <c r="F708" s="243" t="inlineStr">
        <is>
          <t>#8</t>
        </is>
      </c>
      <c r="G708" s="246" t="inlineStr">
        <is>
          <t>#8 Loss on Drying</t>
        </is>
      </c>
      <c r="H708" s="309" t="inlineStr">
        <is>
          <t>credit removed</t>
        </is>
      </c>
      <c r="I708" s="308" t="inlineStr">
        <is>
          <t>R1 Farmahem pair — cannabinoid certificate; loss on drying is on the LoD certificate</t>
        </is>
      </c>
    </row>
    <row r="709">
      <c r="A709" s="244" t="inlineStr">
        <is>
          <t>J31122501</t>
        </is>
      </c>
      <c r="B709" s="243" t="inlineStr">
        <is>
          <t>P060262</t>
        </is>
      </c>
      <c r="C709" s="243" t="inlineStr">
        <is>
          <t>100-3-K-26</t>
        </is>
      </c>
      <c r="D709" s="245" t="n">
        <v>46121</v>
      </c>
      <c r="E709" s="243" t="inlineStr">
        <is>
          <t>FHM-K</t>
        </is>
      </c>
      <c r="F709" s="243" t="inlineStr">
        <is>
          <t>#8</t>
        </is>
      </c>
      <c r="G709" s="246" t="inlineStr">
        <is>
          <t>#8 Loss on Drying</t>
        </is>
      </c>
      <c r="H709" s="309" t="inlineStr">
        <is>
          <t>credit removed</t>
        </is>
      </c>
      <c r="I709" s="308" t="inlineStr">
        <is>
          <t>R1 Farmahem pair — cannabinoid certificate; loss on drying is on the LoD certificate</t>
        </is>
      </c>
    </row>
    <row r="710">
      <c r="A710" s="244" t="inlineStr">
        <is>
          <t>JD112501</t>
        </is>
      </c>
      <c r="B710" s="243" t="inlineStr">
        <is>
          <t>P060212</t>
        </is>
      </c>
      <c r="C710" s="243" t="inlineStr">
        <is>
          <t>197-15-K-26</t>
        </is>
      </c>
      <c r="D710" s="245" t="n">
        <v>46241</v>
      </c>
      <c r="E710" s="243" t="inlineStr">
        <is>
          <t>FHM-K</t>
        </is>
      </c>
      <c r="F710" s="243" t="inlineStr">
        <is>
          <t>#8</t>
        </is>
      </c>
      <c r="G710" s="246" t="inlineStr">
        <is>
          <t>#8 Loss on Drying</t>
        </is>
      </c>
      <c r="H710" s="309" t="inlineStr">
        <is>
          <t>credit removed</t>
        </is>
      </c>
      <c r="I710" s="308" t="inlineStr">
        <is>
          <t>R1 Farmahem pair — cannabinoid certificate; loss on drying is on the LoD certificate</t>
        </is>
      </c>
    </row>
    <row r="711">
      <c r="A711" s="244" t="inlineStr">
        <is>
          <t>KC102501</t>
        </is>
      </c>
      <c r="B711" s="243" t="inlineStr">
        <is>
          <t>P060172</t>
        </is>
      </c>
      <c r="C711" s="243" t="inlineStr">
        <is>
          <t>051-4-LoD-26</t>
        </is>
      </c>
      <c r="D711" s="245" t="n">
        <v>46083</v>
      </c>
      <c r="E711" s="243" t="inlineStr">
        <is>
          <t>FHM-K</t>
        </is>
      </c>
      <c r="F711" s="243" t="inlineStr">
        <is>
          <t>#3</t>
        </is>
      </c>
      <c r="G711" s="246" t="inlineStr">
        <is>
          <t>#3 Identification C</t>
        </is>
      </c>
      <c r="H711" s="309" t="inlineStr">
        <is>
          <t>credit removed</t>
        </is>
      </c>
      <c r="I711" s="308" t="inlineStr">
        <is>
          <t>R1 Farmahem pair — loss-on-drying certificate; reports no such determination</t>
        </is>
      </c>
    </row>
    <row r="712">
      <c r="A712" s="244" t="inlineStr">
        <is>
          <t>KC102501</t>
        </is>
      </c>
      <c r="B712" s="243" t="inlineStr">
        <is>
          <t>P060172</t>
        </is>
      </c>
      <c r="C712" s="243" t="inlineStr">
        <is>
          <t>051-4-LoD-26</t>
        </is>
      </c>
      <c r="D712" s="245" t="n">
        <v>46083</v>
      </c>
      <c r="E712" s="243" t="inlineStr">
        <is>
          <t>FHM-K</t>
        </is>
      </c>
      <c r="F712" s="243" t="inlineStr">
        <is>
          <t>#4</t>
        </is>
      </c>
      <c r="G712" s="246" t="inlineStr">
        <is>
          <t>#4 Assay — Total Δ⁹-THC*</t>
        </is>
      </c>
      <c r="H712" s="309" t="inlineStr">
        <is>
          <t>credit removed</t>
        </is>
      </c>
      <c r="I712" s="308" t="inlineStr">
        <is>
          <t>R1 Farmahem pair — loss-on-drying certificate; reports no such determination</t>
        </is>
      </c>
    </row>
    <row r="713">
      <c r="A713" s="244" t="inlineStr">
        <is>
          <t>KC102501</t>
        </is>
      </c>
      <c r="B713" s="243" t="inlineStr">
        <is>
          <t>P060172</t>
        </is>
      </c>
      <c r="C713" s="243" t="inlineStr">
        <is>
          <t>051-4-LoD-26</t>
        </is>
      </c>
      <c r="D713" s="245" t="n">
        <v>46083</v>
      </c>
      <c r="E713" s="243" t="inlineStr">
        <is>
          <t>FHM-K</t>
        </is>
      </c>
      <c r="F713" s="243" t="inlineStr">
        <is>
          <t>#5</t>
        </is>
      </c>
      <c r="G713" s="246" t="inlineStr">
        <is>
          <t>#5 Assay — Total CBD</t>
        </is>
      </c>
      <c r="H713" s="309" t="inlineStr">
        <is>
          <t>credit removed</t>
        </is>
      </c>
      <c r="I713" s="308" t="inlineStr">
        <is>
          <t>R1 Farmahem pair — loss-on-drying certificate; reports no such determination</t>
        </is>
      </c>
    </row>
    <row r="714">
      <c r="A714" s="244" t="inlineStr">
        <is>
          <t>KC102501</t>
        </is>
      </c>
      <c r="B714" s="243" t="inlineStr">
        <is>
          <t>P060172</t>
        </is>
      </c>
      <c r="C714" s="243" t="inlineStr">
        <is>
          <t>051-4-LoD-26</t>
        </is>
      </c>
      <c r="D714" s="245" t="n">
        <v>46083</v>
      </c>
      <c r="E714" s="243" t="inlineStr">
        <is>
          <t>FHM-K</t>
        </is>
      </c>
      <c r="F714" s="243" t="inlineStr">
        <is>
          <t>#6</t>
        </is>
      </c>
      <c r="G714" s="246" t="inlineStr">
        <is>
          <t>#6 Total CBN</t>
        </is>
      </c>
      <c r="H714" s="309" t="inlineStr">
        <is>
          <t>credit removed</t>
        </is>
      </c>
      <c r="I714" s="308" t="inlineStr">
        <is>
          <t>R1 Farmahem pair — loss-on-drying certificate; reports no such determination</t>
        </is>
      </c>
    </row>
    <row r="715">
      <c r="A715" s="244" t="inlineStr">
        <is>
          <t>KC102501</t>
        </is>
      </c>
      <c r="B715" s="243" t="inlineStr">
        <is>
          <t>P060172</t>
        </is>
      </c>
      <c r="C715" s="243" t="inlineStr">
        <is>
          <t>051-4-K-26</t>
        </is>
      </c>
      <c r="D715" s="245" t="n">
        <v>46085</v>
      </c>
      <c r="E715" s="243" t="inlineStr">
        <is>
          <t>FHM-K</t>
        </is>
      </c>
      <c r="F715" s="243" t="inlineStr">
        <is>
          <t>#8</t>
        </is>
      </c>
      <c r="G715" s="246" t="inlineStr">
        <is>
          <t>#8 Loss on Drying</t>
        </is>
      </c>
      <c r="H715" s="309" t="inlineStr">
        <is>
          <t>credit removed</t>
        </is>
      </c>
      <c r="I715" s="308" t="inlineStr">
        <is>
          <t>R1 Farmahem pair — cannabinoid certificate; loss on drying is on the LoD certificate</t>
        </is>
      </c>
    </row>
    <row r="716">
      <c r="A716" s="244" t="inlineStr">
        <is>
          <t>OPM1024</t>
        </is>
      </c>
      <c r="B716" s="243" t="inlineStr">
        <is>
          <t>N/A — no P batch assigned</t>
        </is>
      </c>
      <c r="C716" s="243" t="inlineStr">
        <is>
          <t>197-17-K-26</t>
        </is>
      </c>
      <c r="D716" s="245" t="n">
        <v>46241</v>
      </c>
      <c r="E716" s="243" t="inlineStr">
        <is>
          <t>FHM-K</t>
        </is>
      </c>
      <c r="F716" s="243" t="inlineStr">
        <is>
          <t>#8</t>
        </is>
      </c>
      <c r="G716" s="246" t="inlineStr">
        <is>
          <t>#8 Loss on Drying</t>
        </is>
      </c>
      <c r="H716" s="309" t="inlineStr">
        <is>
          <t>credit removed</t>
        </is>
      </c>
      <c r="I716" s="308" t="inlineStr">
        <is>
          <t>R1 Farmahem pair — cannabinoid certificate; loss on drying is on the LoD certificate</t>
        </is>
      </c>
    </row>
    <row r="717">
      <c r="A717" s="244" t="inlineStr">
        <is>
          <t>OPM1024_02</t>
        </is>
      </c>
      <c r="B717" s="243" t="inlineStr">
        <is>
          <t>P050062</t>
        </is>
      </c>
      <c r="C717" s="243" t="inlineStr">
        <is>
          <t>197-18-K-26</t>
        </is>
      </c>
      <c r="D717" s="245" t="n">
        <v>46241</v>
      </c>
      <c r="E717" s="243" t="inlineStr">
        <is>
          <t>FHM-K</t>
        </is>
      </c>
      <c r="F717" s="243" t="inlineStr">
        <is>
          <t>#8</t>
        </is>
      </c>
      <c r="G717" s="246" t="inlineStr">
        <is>
          <t>#8 Loss on Drying</t>
        </is>
      </c>
      <c r="H717" s="309" t="inlineStr">
        <is>
          <t>credit removed</t>
        </is>
      </c>
      <c r="I717" s="308" t="inlineStr">
        <is>
          <t>R1 Farmahem pair — cannabinoid certificate; loss on drying is on the LoD certificate</t>
        </is>
      </c>
    </row>
    <row r="718">
      <c r="A718" s="244" t="inlineStr">
        <is>
          <t>OPM122501</t>
        </is>
      </c>
      <c r="B718" s="243" t="inlineStr">
        <is>
          <t>P060242</t>
        </is>
      </c>
      <c r="C718" s="243" t="inlineStr">
        <is>
          <t>100-4-LoD-26</t>
        </is>
      </c>
      <c r="D718" s="245" t="n">
        <v>46121</v>
      </c>
      <c r="E718" s="243" t="inlineStr">
        <is>
          <t>FHM-K</t>
        </is>
      </c>
      <c r="F718" s="243" t="inlineStr">
        <is>
          <t>#3</t>
        </is>
      </c>
      <c r="G718" s="246" t="inlineStr">
        <is>
          <t>#3 Identification C</t>
        </is>
      </c>
      <c r="H718" s="309" t="inlineStr">
        <is>
          <t>credit removed</t>
        </is>
      </c>
      <c r="I718" s="308" t="inlineStr">
        <is>
          <t>R1 Farmahem pair — loss-on-drying certificate; reports no such determination</t>
        </is>
      </c>
    </row>
    <row r="719">
      <c r="A719" s="244" t="inlineStr">
        <is>
          <t>OPM122501</t>
        </is>
      </c>
      <c r="B719" s="243" t="inlineStr">
        <is>
          <t>P060242</t>
        </is>
      </c>
      <c r="C719" s="243" t="inlineStr">
        <is>
          <t>100-4-LoD-26</t>
        </is>
      </c>
      <c r="D719" s="245" t="n">
        <v>46121</v>
      </c>
      <c r="E719" s="243" t="inlineStr">
        <is>
          <t>FHM-K</t>
        </is>
      </c>
      <c r="F719" s="243" t="inlineStr">
        <is>
          <t>#4</t>
        </is>
      </c>
      <c r="G719" s="246" t="inlineStr">
        <is>
          <t>#4 Assay — Total Δ⁹-THC*</t>
        </is>
      </c>
      <c r="H719" s="309" t="inlineStr">
        <is>
          <t>credit removed</t>
        </is>
      </c>
      <c r="I719" s="308" t="inlineStr">
        <is>
          <t>R1 Farmahem pair — loss-on-drying certificate; reports no such determination</t>
        </is>
      </c>
    </row>
    <row r="720">
      <c r="A720" s="244" t="inlineStr">
        <is>
          <t>OPM122501</t>
        </is>
      </c>
      <c r="B720" s="243" t="inlineStr">
        <is>
          <t>P060242</t>
        </is>
      </c>
      <c r="C720" s="243" t="inlineStr">
        <is>
          <t>100-4-LoD-26</t>
        </is>
      </c>
      <c r="D720" s="245" t="n">
        <v>46121</v>
      </c>
      <c r="E720" s="243" t="inlineStr">
        <is>
          <t>FHM-K</t>
        </is>
      </c>
      <c r="F720" s="243" t="inlineStr">
        <is>
          <t>#5</t>
        </is>
      </c>
      <c r="G720" s="246" t="inlineStr">
        <is>
          <t>#5 Assay — Total CBD</t>
        </is>
      </c>
      <c r="H720" s="309" t="inlineStr">
        <is>
          <t>credit removed</t>
        </is>
      </c>
      <c r="I720" s="308" t="inlineStr">
        <is>
          <t>R1 Farmahem pair — loss-on-drying certificate; reports no such determination</t>
        </is>
      </c>
    </row>
    <row r="721">
      <c r="A721" s="244" t="inlineStr">
        <is>
          <t>OPM122501</t>
        </is>
      </c>
      <c r="B721" s="243" t="inlineStr">
        <is>
          <t>P060242</t>
        </is>
      </c>
      <c r="C721" s="243" t="inlineStr">
        <is>
          <t>100-4-LoD-26</t>
        </is>
      </c>
      <c r="D721" s="245" t="n">
        <v>46121</v>
      </c>
      <c r="E721" s="243" t="inlineStr">
        <is>
          <t>FHM-K</t>
        </is>
      </c>
      <c r="F721" s="243" t="inlineStr">
        <is>
          <t>#6</t>
        </is>
      </c>
      <c r="G721" s="246" t="inlineStr">
        <is>
          <t>#6 Total CBN</t>
        </is>
      </c>
      <c r="H721" s="309" t="inlineStr">
        <is>
          <t>credit removed</t>
        </is>
      </c>
      <c r="I721" s="308" t="inlineStr">
        <is>
          <t>R1 Farmahem pair — loss-on-drying certificate; reports no such determination</t>
        </is>
      </c>
    </row>
    <row r="722">
      <c r="A722" s="244" t="inlineStr">
        <is>
          <t>OPM122501</t>
        </is>
      </c>
      <c r="B722" s="243" t="inlineStr">
        <is>
          <t>P060242</t>
        </is>
      </c>
      <c r="C722" s="243" t="inlineStr">
        <is>
          <t>100-4-K-26</t>
        </is>
      </c>
      <c r="D722" s="245" t="n">
        <v>46121</v>
      </c>
      <c r="E722" s="243" t="inlineStr">
        <is>
          <t>FHM-K</t>
        </is>
      </c>
      <c r="F722" s="243" t="inlineStr">
        <is>
          <t>#8</t>
        </is>
      </c>
      <c r="G722" s="246" t="inlineStr">
        <is>
          <t>#8 Loss on Drying</t>
        </is>
      </c>
      <c r="H722" s="309" t="inlineStr">
        <is>
          <t>credit removed</t>
        </is>
      </c>
      <c r="I722" s="308" t="inlineStr">
        <is>
          <t>R1 Farmahem pair — cannabinoid certificate; loss on drying is on the LoD certificate</t>
        </is>
      </c>
    </row>
    <row r="723">
      <c r="A723" s="244" t="inlineStr">
        <is>
          <t>OPM122501</t>
        </is>
      </c>
      <c r="B723" s="243" t="inlineStr">
        <is>
          <t>P060242</t>
        </is>
      </c>
      <c r="C723" s="243" t="inlineStr">
        <is>
          <t>197-19-K-26</t>
        </is>
      </c>
      <c r="D723" s="245" t="n">
        <v>46241</v>
      </c>
      <c r="E723" s="243" t="inlineStr">
        <is>
          <t>FHM-K</t>
        </is>
      </c>
      <c r="F723" s="243" t="inlineStr">
        <is>
          <t>#8</t>
        </is>
      </c>
      <c r="G723" s="246" t="inlineStr">
        <is>
          <t>#8 Loss on Drying</t>
        </is>
      </c>
      <c r="H723" s="309" t="inlineStr">
        <is>
          <t>credit removed</t>
        </is>
      </c>
      <c r="I723" s="308" t="inlineStr">
        <is>
          <t>R1 Farmahem pair — cannabinoid certificate; loss on drying is on the LoD certificate</t>
        </is>
      </c>
    </row>
    <row r="724">
      <c r="A724" s="244" t="inlineStr">
        <is>
          <t>PM092501</t>
        </is>
      </c>
      <c r="B724" s="243" t="inlineStr">
        <is>
          <t>P060062</t>
        </is>
      </c>
      <c r="C724" s="243" t="inlineStr">
        <is>
          <t>197-20-K-26</t>
        </is>
      </c>
      <c r="D724" s="245" t="n">
        <v>46241</v>
      </c>
      <c r="E724" s="243" t="inlineStr">
        <is>
          <t>FHM-K</t>
        </is>
      </c>
      <c r="F724" s="243" t="inlineStr">
        <is>
          <t>#8</t>
        </is>
      </c>
      <c r="G724" s="246" t="inlineStr">
        <is>
          <t>#8 Loss on Drying</t>
        </is>
      </c>
      <c r="H724" s="309" t="inlineStr">
        <is>
          <t>credit removed</t>
        </is>
      </c>
      <c r="I724" s="308" t="inlineStr">
        <is>
          <t>R1 Farmahem pair — cannabinoid certificate; loss on drying is on the LoD certificate</t>
        </is>
      </c>
    </row>
    <row r="725">
      <c r="A725" s="244" t="inlineStr">
        <is>
          <t>SCR012603</t>
        </is>
      </c>
      <c r="B725" s="243" t="inlineStr">
        <is>
          <t>P060382</t>
        </is>
      </c>
      <c r="C725" s="243" t="inlineStr">
        <is>
          <t>197-21-K-26</t>
        </is>
      </c>
      <c r="D725" s="245" t="n">
        <v>46241</v>
      </c>
      <c r="E725" s="243" t="inlineStr">
        <is>
          <t>FHM-K</t>
        </is>
      </c>
      <c r="F725" s="243" t="inlineStr">
        <is>
          <t>#8</t>
        </is>
      </c>
      <c r="G725" s="246" t="inlineStr">
        <is>
          <t>#8 Loss on Drying</t>
        </is>
      </c>
      <c r="H725" s="309" t="inlineStr">
        <is>
          <t>credit removed</t>
        </is>
      </c>
      <c r="I725" s="308" t="inlineStr">
        <is>
          <t>R1 Farmahem pair — cannabinoid certificate; loss on drying is on the LoD certificate</t>
        </is>
      </c>
    </row>
    <row r="726">
      <c r="A726" s="244" t="inlineStr">
        <is>
          <t>SJ102501</t>
        </is>
      </c>
      <c r="B726" s="243" t="inlineStr">
        <is>
          <t>P060162</t>
        </is>
      </c>
      <c r="C726" s="243" t="inlineStr">
        <is>
          <t>051-3-LoD-26</t>
        </is>
      </c>
      <c r="D726" s="245" t="n">
        <v>46083</v>
      </c>
      <c r="E726" s="243" t="inlineStr">
        <is>
          <t>FHM-K</t>
        </is>
      </c>
      <c r="F726" s="243" t="inlineStr">
        <is>
          <t>#3</t>
        </is>
      </c>
      <c r="G726" s="246" t="inlineStr">
        <is>
          <t>#3 Identification C</t>
        </is>
      </c>
      <c r="H726" s="309" t="inlineStr">
        <is>
          <t>credit removed</t>
        </is>
      </c>
      <c r="I726" s="308" t="inlineStr">
        <is>
          <t>R1 Farmahem pair — loss-on-drying certificate; reports no such determination</t>
        </is>
      </c>
    </row>
    <row r="727">
      <c r="A727" s="244" t="inlineStr">
        <is>
          <t>SJ102501</t>
        </is>
      </c>
      <c r="B727" s="243" t="inlineStr">
        <is>
          <t>P060162</t>
        </is>
      </c>
      <c r="C727" s="243" t="inlineStr">
        <is>
          <t>051-3-LoD-26</t>
        </is>
      </c>
      <c r="D727" s="245" t="n">
        <v>46083</v>
      </c>
      <c r="E727" s="243" t="inlineStr">
        <is>
          <t>FHM-K</t>
        </is>
      </c>
      <c r="F727" s="243" t="inlineStr">
        <is>
          <t>#4</t>
        </is>
      </c>
      <c r="G727" s="246" t="inlineStr">
        <is>
          <t>#4 Assay — Total Δ⁹-THC*</t>
        </is>
      </c>
      <c r="H727" s="309" t="inlineStr">
        <is>
          <t>credit removed</t>
        </is>
      </c>
      <c r="I727" s="308" t="inlineStr">
        <is>
          <t>R1 Farmahem pair — loss-on-drying certificate; reports no such determination</t>
        </is>
      </c>
    </row>
    <row r="728">
      <c r="A728" s="244" t="inlineStr">
        <is>
          <t>SJ102501</t>
        </is>
      </c>
      <c r="B728" s="243" t="inlineStr">
        <is>
          <t>P060162</t>
        </is>
      </c>
      <c r="C728" s="243" t="inlineStr">
        <is>
          <t>051-3-LoD-26</t>
        </is>
      </c>
      <c r="D728" s="245" t="n">
        <v>46083</v>
      </c>
      <c r="E728" s="243" t="inlineStr">
        <is>
          <t>FHM-K</t>
        </is>
      </c>
      <c r="F728" s="243" t="inlineStr">
        <is>
          <t>#5</t>
        </is>
      </c>
      <c r="G728" s="246" t="inlineStr">
        <is>
          <t>#5 Assay — Total CBD</t>
        </is>
      </c>
      <c r="H728" s="309" t="inlineStr">
        <is>
          <t>credit removed</t>
        </is>
      </c>
      <c r="I728" s="308" t="inlineStr">
        <is>
          <t>R1 Farmahem pair — loss-on-drying certificate; reports no such determination</t>
        </is>
      </c>
    </row>
    <row r="729">
      <c r="A729" s="244" t="inlineStr">
        <is>
          <t>SJ102501</t>
        </is>
      </c>
      <c r="B729" s="243" t="inlineStr">
        <is>
          <t>P060162</t>
        </is>
      </c>
      <c r="C729" s="243" t="inlineStr">
        <is>
          <t>051-3-LoD-26</t>
        </is>
      </c>
      <c r="D729" s="245" t="n">
        <v>46083</v>
      </c>
      <c r="E729" s="243" t="inlineStr">
        <is>
          <t>FHM-K</t>
        </is>
      </c>
      <c r="F729" s="243" t="inlineStr">
        <is>
          <t>#6</t>
        </is>
      </c>
      <c r="G729" s="246" t="inlineStr">
        <is>
          <t>#6 Total CBN</t>
        </is>
      </c>
      <c r="H729" s="309" t="inlineStr">
        <is>
          <t>credit removed</t>
        </is>
      </c>
      <c r="I729" s="308" t="inlineStr">
        <is>
          <t>R1 Farmahem pair — loss-on-drying certificate; reports no such determination</t>
        </is>
      </c>
    </row>
    <row r="730">
      <c r="A730" s="244" t="inlineStr">
        <is>
          <t>SJ102501</t>
        </is>
      </c>
      <c r="B730" s="243" t="inlineStr">
        <is>
          <t>P060162</t>
        </is>
      </c>
      <c r="C730" s="243" t="inlineStr">
        <is>
          <t>051-3-K-26</t>
        </is>
      </c>
      <c r="D730" s="245" t="n">
        <v>46085</v>
      </c>
      <c r="E730" s="243" t="inlineStr">
        <is>
          <t>FHM-K</t>
        </is>
      </c>
      <c r="F730" s="243" t="inlineStr">
        <is>
          <t>#8</t>
        </is>
      </c>
      <c r="G730" s="246" t="inlineStr">
        <is>
          <t>#8 Loss on Drying</t>
        </is>
      </c>
      <c r="H730" s="309" t="inlineStr">
        <is>
          <t>credit removed</t>
        </is>
      </c>
      <c r="I730" s="308" t="inlineStr">
        <is>
          <t>R1 Farmahem pair — cannabinoid certificate; loss on drying is on the LoD certificate</t>
        </is>
      </c>
    </row>
    <row r="731">
      <c r="A731" s="244" t="inlineStr">
        <is>
          <t>SJ112501</t>
        </is>
      </c>
      <c r="B731" s="243" t="inlineStr">
        <is>
          <t>P060192</t>
        </is>
      </c>
      <c r="C731" s="243" t="inlineStr">
        <is>
          <t>051-2-LoD-26</t>
        </is>
      </c>
      <c r="D731" s="245" t="n">
        <v>46083</v>
      </c>
      <c r="E731" s="243" t="inlineStr">
        <is>
          <t>FHM-K</t>
        </is>
      </c>
      <c r="F731" s="243" t="inlineStr">
        <is>
          <t>#3</t>
        </is>
      </c>
      <c r="G731" s="246" t="inlineStr">
        <is>
          <t>#3 Identification C</t>
        </is>
      </c>
      <c r="H731" s="309" t="inlineStr">
        <is>
          <t>credit removed</t>
        </is>
      </c>
      <c r="I731" s="308" t="inlineStr">
        <is>
          <t>R1 Farmahem pair — loss-on-drying certificate; reports no such determination</t>
        </is>
      </c>
    </row>
    <row r="732">
      <c r="A732" s="244" t="inlineStr">
        <is>
          <t>SJ112501</t>
        </is>
      </c>
      <c r="B732" s="243" t="inlineStr">
        <is>
          <t>P060192</t>
        </is>
      </c>
      <c r="C732" s="243" t="inlineStr">
        <is>
          <t>051-2-LoD-26</t>
        </is>
      </c>
      <c r="D732" s="245" t="n">
        <v>46083</v>
      </c>
      <c r="E732" s="243" t="inlineStr">
        <is>
          <t>FHM-K</t>
        </is>
      </c>
      <c r="F732" s="243" t="inlineStr">
        <is>
          <t>#4</t>
        </is>
      </c>
      <c r="G732" s="246" t="inlineStr">
        <is>
          <t>#4 Assay — Total Δ⁹-THC*</t>
        </is>
      </c>
      <c r="H732" s="309" t="inlineStr">
        <is>
          <t>credit removed</t>
        </is>
      </c>
      <c r="I732" s="308" t="inlineStr">
        <is>
          <t>R1 Farmahem pair — loss-on-drying certificate; reports no such determination</t>
        </is>
      </c>
    </row>
    <row r="733">
      <c r="A733" s="244" t="inlineStr">
        <is>
          <t>SJ112501</t>
        </is>
      </c>
      <c r="B733" s="243" t="inlineStr">
        <is>
          <t>P060192</t>
        </is>
      </c>
      <c r="C733" s="243" t="inlineStr">
        <is>
          <t>051-2-LoD-26</t>
        </is>
      </c>
      <c r="D733" s="245" t="n">
        <v>46083</v>
      </c>
      <c r="E733" s="243" t="inlineStr">
        <is>
          <t>FHM-K</t>
        </is>
      </c>
      <c r="F733" s="243" t="inlineStr">
        <is>
          <t>#5</t>
        </is>
      </c>
      <c r="G733" s="246" t="inlineStr">
        <is>
          <t>#5 Assay — Total CBD</t>
        </is>
      </c>
      <c r="H733" s="309" t="inlineStr">
        <is>
          <t>credit removed</t>
        </is>
      </c>
      <c r="I733" s="308" t="inlineStr">
        <is>
          <t>R1 Farmahem pair — loss-on-drying certificate; reports no such determination</t>
        </is>
      </c>
    </row>
    <row r="734">
      <c r="A734" s="244" t="inlineStr">
        <is>
          <t>SJ112501</t>
        </is>
      </c>
      <c r="B734" s="243" t="inlineStr">
        <is>
          <t>P060192</t>
        </is>
      </c>
      <c r="C734" s="243" t="inlineStr">
        <is>
          <t>051-2-LoD-26</t>
        </is>
      </c>
      <c r="D734" s="245" t="n">
        <v>46083</v>
      </c>
      <c r="E734" s="243" t="inlineStr">
        <is>
          <t>FHM-K</t>
        </is>
      </c>
      <c r="F734" s="243" t="inlineStr">
        <is>
          <t>#6</t>
        </is>
      </c>
      <c r="G734" s="246" t="inlineStr">
        <is>
          <t>#6 Total CBN</t>
        </is>
      </c>
      <c r="H734" s="309" t="inlineStr">
        <is>
          <t>credit removed</t>
        </is>
      </c>
      <c r="I734" s="308" t="inlineStr">
        <is>
          <t>R1 Farmahem pair — loss-on-drying certificate; reports no such determination</t>
        </is>
      </c>
    </row>
    <row r="735">
      <c r="A735" s="244" t="inlineStr">
        <is>
          <t>SJ112501</t>
        </is>
      </c>
      <c r="B735" s="243" t="inlineStr">
        <is>
          <t>P060192</t>
        </is>
      </c>
      <c r="C735" s="243" t="inlineStr">
        <is>
          <t>051-2-K-26</t>
        </is>
      </c>
      <c r="D735" s="245" t="n">
        <v>46085</v>
      </c>
      <c r="E735" s="243" t="inlineStr">
        <is>
          <t>FHM-K</t>
        </is>
      </c>
      <c r="F735" s="243" t="inlineStr">
        <is>
          <t>#8</t>
        </is>
      </c>
      <c r="G735" s="246" t="inlineStr">
        <is>
          <t>#8 Loss on Drying</t>
        </is>
      </c>
      <c r="H735" s="309" t="inlineStr">
        <is>
          <t>credit removed</t>
        </is>
      </c>
      <c r="I735" s="308" t="inlineStr">
        <is>
          <t>R1 Farmahem pair — cannabinoid certificate; loss on drying is on the LoD certificate</t>
        </is>
      </c>
    </row>
    <row r="736">
      <c r="A736" s="244" t="inlineStr">
        <is>
          <t>AB092501</t>
        </is>
      </c>
      <c r="B736" s="243" t="inlineStr">
        <is>
          <t>P060052</t>
        </is>
      </c>
      <c r="C736" s="243" t="inlineStr">
        <is>
          <t>ППК26005</t>
        </is>
      </c>
      <c r="D736" s="245" t="n">
        <v>46043</v>
      </c>
      <c r="E736" s="243" t="inlineStr">
        <is>
          <t>CNP</t>
        </is>
      </c>
      <c r="F736" s="243" t="inlineStr">
        <is>
          <t>#2</t>
        </is>
      </c>
      <c r="G736" s="246" t="inlineStr">
        <is>
          <t>#2 Identification B</t>
        </is>
      </c>
      <c r="H736" s="309" t="inlineStr">
        <is>
          <t>credit removed</t>
        </is>
      </c>
      <c r="I736" s="308" t="inlineStr">
        <is>
          <t>R2 CNP identification B — no microscopy row on this certificate</t>
        </is>
      </c>
    </row>
    <row r="737">
      <c r="A737" s="244" t="inlineStr">
        <is>
          <t>BG1024</t>
        </is>
      </c>
      <c r="B737" s="243" t="inlineStr">
        <is>
          <t>N/A — no P batch assigned</t>
        </is>
      </c>
      <c r="C737" s="243" t="inlineStr">
        <is>
          <t>ППК25050</t>
        </is>
      </c>
      <c r="D737" s="245" t="n">
        <v>45714</v>
      </c>
      <c r="E737" s="243" t="inlineStr">
        <is>
          <t>CNP</t>
        </is>
      </c>
      <c r="F737" s="243" t="inlineStr">
        <is>
          <t>#2</t>
        </is>
      </c>
      <c r="G737" s="246" t="inlineStr">
        <is>
          <t>#2 Identification B</t>
        </is>
      </c>
      <c r="H737" s="309" t="inlineStr">
        <is>
          <t>credit removed</t>
        </is>
      </c>
      <c r="I737" s="308" t="inlineStr">
        <is>
          <t>R2 CNP identification B — no microscopy row on this certificate</t>
        </is>
      </c>
    </row>
    <row r="738">
      <c r="A738" s="244" t="inlineStr">
        <is>
          <t>BSS1024</t>
        </is>
      </c>
      <c r="B738" s="243" t="inlineStr">
        <is>
          <t>N/A — no P batch assigned</t>
        </is>
      </c>
      <c r="C738" s="243" t="inlineStr">
        <is>
          <t>ППК25051</t>
        </is>
      </c>
      <c r="D738" s="245" t="n">
        <v>45714</v>
      </c>
      <c r="E738" s="243" t="inlineStr">
        <is>
          <t>CNP</t>
        </is>
      </c>
      <c r="F738" s="243" t="inlineStr">
        <is>
          <t>#2</t>
        </is>
      </c>
      <c r="G738" s="246" t="inlineStr">
        <is>
          <t>#2 Identification B</t>
        </is>
      </c>
      <c r="H738" s="309" t="inlineStr">
        <is>
          <t>credit removed</t>
        </is>
      </c>
      <c r="I738" s="308" t="inlineStr">
        <is>
          <t>R2 CNP identification B — no microscopy row on this certificate</t>
        </is>
      </c>
    </row>
    <row r="739">
      <c r="A739" s="244" t="inlineStr">
        <is>
          <t>BSS1024_01/1</t>
        </is>
      </c>
      <c r="B739" s="243" t="inlineStr">
        <is>
          <t>P050122</t>
        </is>
      </c>
      <c r="C739" s="243" t="inlineStr">
        <is>
          <t>ППК25176</t>
        </is>
      </c>
      <c r="D739" s="245" t="n">
        <v>45848</v>
      </c>
      <c r="E739" s="243" t="inlineStr">
        <is>
          <t>CNP</t>
        </is>
      </c>
      <c r="F739" s="243" t="inlineStr">
        <is>
          <t>#2</t>
        </is>
      </c>
      <c r="G739" s="246" t="inlineStr">
        <is>
          <t>#2 Identification B</t>
        </is>
      </c>
      <c r="H739" s="309" t="inlineStr">
        <is>
          <t>credit removed</t>
        </is>
      </c>
      <c r="I739" s="308" t="inlineStr">
        <is>
          <t>R2 CNP identification B — no microscopy row on this certificate</t>
        </is>
      </c>
    </row>
    <row r="740">
      <c r="A740" s="244" t="inlineStr">
        <is>
          <t>CC112501</t>
        </is>
      </c>
      <c r="B740" s="243" t="inlineStr">
        <is>
          <t>P060272</t>
        </is>
      </c>
      <c r="C740" s="243" t="inlineStr">
        <is>
          <t>ППК26068</t>
        </is>
      </c>
      <c r="D740" s="245" t="n">
        <v>46153</v>
      </c>
      <c r="E740" s="243" t="inlineStr">
        <is>
          <t>CNP</t>
        </is>
      </c>
      <c r="F740" s="243" t="inlineStr">
        <is>
          <t>#2</t>
        </is>
      </c>
      <c r="G740" s="246" t="inlineStr">
        <is>
          <t>#2 Identification B</t>
        </is>
      </c>
      <c r="H740" s="309" t="inlineStr">
        <is>
          <t>credit removed</t>
        </is>
      </c>
      <c r="I740" s="308" t="inlineStr">
        <is>
          <t>R2 CNP identification B — no microscopy row on this certificate</t>
        </is>
      </c>
    </row>
    <row r="741">
      <c r="A741" s="244" t="inlineStr">
        <is>
          <t>CJ052501/01</t>
        </is>
      </c>
      <c r="B741" s="243" t="inlineStr">
        <is>
          <t>P050162</t>
        </is>
      </c>
      <c r="C741" s="243" t="inlineStr">
        <is>
          <t>ППК25280</t>
        </is>
      </c>
      <c r="D741" s="245" t="n">
        <v>45917</v>
      </c>
      <c r="E741" s="243" t="inlineStr">
        <is>
          <t>CNP</t>
        </is>
      </c>
      <c r="F741" s="243" t="inlineStr">
        <is>
          <t>#2</t>
        </is>
      </c>
      <c r="G741" s="246" t="inlineStr">
        <is>
          <t>#2 Identification B</t>
        </is>
      </c>
      <c r="H741" s="309" t="inlineStr">
        <is>
          <t>credit removed</t>
        </is>
      </c>
      <c r="I741" s="308" t="inlineStr">
        <is>
          <t>R2 CNP identification B — no microscopy row on this certificate</t>
        </is>
      </c>
    </row>
    <row r="742">
      <c r="A742" s="244" t="inlineStr">
        <is>
          <t>CJ052501/02</t>
        </is>
      </c>
      <c r="B742" s="243" t="inlineStr">
        <is>
          <t>P050172</t>
        </is>
      </c>
      <c r="C742" s="243" t="inlineStr">
        <is>
          <t>ППК25281</t>
        </is>
      </c>
      <c r="D742" s="245" t="n">
        <v>45917</v>
      </c>
      <c r="E742" s="243" t="inlineStr">
        <is>
          <t>CNP</t>
        </is>
      </c>
      <c r="F742" s="243" t="inlineStr">
        <is>
          <t>#2</t>
        </is>
      </c>
      <c r="G742" s="246" t="inlineStr">
        <is>
          <t>#2 Identification B</t>
        </is>
      </c>
      <c r="H742" s="309" t="inlineStr">
        <is>
          <t>credit removed</t>
        </is>
      </c>
      <c r="I742" s="308" t="inlineStr">
        <is>
          <t>R2 CNP identification B — no microscopy row on this certificate</t>
        </is>
      </c>
    </row>
    <row r="743">
      <c r="A743" s="244" t="inlineStr">
        <is>
          <t>CJ062501/1</t>
        </is>
      </c>
      <c r="B743" s="243" t="inlineStr">
        <is>
          <t>P050222</t>
        </is>
      </c>
      <c r="C743" s="243" t="inlineStr">
        <is>
          <t>ППК25321</t>
        </is>
      </c>
      <c r="D743" s="245" t="n">
        <v>45953</v>
      </c>
      <c r="E743" s="243" t="inlineStr">
        <is>
          <t>CNP</t>
        </is>
      </c>
      <c r="F743" s="243" t="inlineStr">
        <is>
          <t>#2</t>
        </is>
      </c>
      <c r="G743" s="246" t="inlineStr">
        <is>
          <t>#2 Identification B</t>
        </is>
      </c>
      <c r="H743" s="309" t="inlineStr">
        <is>
          <t>credit removed</t>
        </is>
      </c>
      <c r="I743" s="308" t="inlineStr">
        <is>
          <t>R2 CNP identification B — no microscopy row on this certificate</t>
        </is>
      </c>
    </row>
    <row r="744">
      <c r="A744" s="244" t="inlineStr">
        <is>
          <t>CJ062501/2</t>
        </is>
      </c>
      <c r="B744" s="243" t="inlineStr">
        <is>
          <t>P050212</t>
        </is>
      </c>
      <c r="C744" s="243" t="inlineStr">
        <is>
          <t>ППК25322</t>
        </is>
      </c>
      <c r="D744" s="245" t="n">
        <v>45953</v>
      </c>
      <c r="E744" s="243" t="inlineStr">
        <is>
          <t>CNP</t>
        </is>
      </c>
      <c r="F744" s="243" t="inlineStr">
        <is>
          <t>#2</t>
        </is>
      </c>
      <c r="G744" s="246" t="inlineStr">
        <is>
          <t>#2 Identification B</t>
        </is>
      </c>
      <c r="H744" s="309" t="inlineStr">
        <is>
          <t>credit removed</t>
        </is>
      </c>
      <c r="I744" s="308" t="inlineStr">
        <is>
          <t>R2 CNP identification B — no microscopy row on this certificate</t>
        </is>
      </c>
    </row>
    <row r="745">
      <c r="A745" s="244" t="inlineStr">
        <is>
          <t>CJ072501</t>
        </is>
      </c>
      <c r="B745" s="243" t="inlineStr">
        <is>
          <t>P050252</t>
        </is>
      </c>
      <c r="C745" s="243" t="inlineStr">
        <is>
          <t>ППК25367</t>
        </is>
      </c>
      <c r="D745" s="245" t="n">
        <v>45989</v>
      </c>
      <c r="E745" s="243" t="inlineStr">
        <is>
          <t>CNP</t>
        </is>
      </c>
      <c r="F745" s="243" t="inlineStr">
        <is>
          <t>#2</t>
        </is>
      </c>
      <c r="G745" s="246" t="inlineStr">
        <is>
          <t>#2 Identification B</t>
        </is>
      </c>
      <c r="H745" s="309" t="inlineStr">
        <is>
          <t>credit removed</t>
        </is>
      </c>
      <c r="I745" s="308" t="inlineStr">
        <is>
          <t>R2 CNP identification B — no microscopy row on this certificate</t>
        </is>
      </c>
    </row>
    <row r="746">
      <c r="A746" s="244" t="inlineStr">
        <is>
          <t>CJ082501/1</t>
        </is>
      </c>
      <c r="B746" s="243" t="inlineStr">
        <is>
          <t>P060022</t>
        </is>
      </c>
      <c r="C746" s="243" t="inlineStr">
        <is>
          <t>ППК26002</t>
        </is>
      </c>
      <c r="D746" s="245" t="n">
        <v>46043</v>
      </c>
      <c r="E746" s="243" t="inlineStr">
        <is>
          <t>CNP</t>
        </is>
      </c>
      <c r="F746" s="243" t="inlineStr">
        <is>
          <t>#2</t>
        </is>
      </c>
      <c r="G746" s="246" t="inlineStr">
        <is>
          <t>#2 Identification B</t>
        </is>
      </c>
      <c r="H746" s="309" t="inlineStr">
        <is>
          <t>credit removed</t>
        </is>
      </c>
      <c r="I746" s="308" t="inlineStr">
        <is>
          <t>R2 CNP identification B — no microscopy row on this certificate</t>
        </is>
      </c>
    </row>
    <row r="747">
      <c r="A747" s="244" t="inlineStr">
        <is>
          <t>CJ082501/2</t>
        </is>
      </c>
      <c r="B747" s="243" t="inlineStr">
        <is>
          <t>P060032</t>
        </is>
      </c>
      <c r="C747" s="243" t="inlineStr">
        <is>
          <t>ППК26003</t>
        </is>
      </c>
      <c r="D747" s="245" t="n">
        <v>46043</v>
      </c>
      <c r="E747" s="243" t="inlineStr">
        <is>
          <t>CNP</t>
        </is>
      </c>
      <c r="F747" s="243" t="inlineStr">
        <is>
          <t>#2</t>
        </is>
      </c>
      <c r="G747" s="246" t="inlineStr">
        <is>
          <t>#2 Identification B</t>
        </is>
      </c>
      <c r="H747" s="309" t="inlineStr">
        <is>
          <t>credit removed</t>
        </is>
      </c>
      <c r="I747" s="308" t="inlineStr">
        <is>
          <t>R2 CNP identification B — no microscopy row on this certificate</t>
        </is>
      </c>
    </row>
    <row r="748">
      <c r="A748" s="244" t="inlineStr">
        <is>
          <t>CJ092501</t>
        </is>
      </c>
      <c r="B748" s="243" t="inlineStr">
        <is>
          <t>P060072</t>
        </is>
      </c>
      <c r="C748" s="243" t="inlineStr">
        <is>
          <t>ППК26007</t>
        </is>
      </c>
      <c r="D748" s="245" t="n">
        <v>46043</v>
      </c>
      <c r="E748" s="243" t="inlineStr">
        <is>
          <t>CNP</t>
        </is>
      </c>
      <c r="F748" s="243" t="inlineStr">
        <is>
          <t>#2</t>
        </is>
      </c>
      <c r="G748" s="246" t="inlineStr">
        <is>
          <t>#2 Identification B</t>
        </is>
      </c>
      <c r="H748" s="309" t="inlineStr">
        <is>
          <t>credit removed</t>
        </is>
      </c>
      <c r="I748" s="308" t="inlineStr">
        <is>
          <t>R2 CNP identification B — no microscopy row on this certificate</t>
        </is>
      </c>
    </row>
    <row r="749">
      <c r="A749" s="244" t="inlineStr">
        <is>
          <t>CJ1024</t>
        </is>
      </c>
      <c r="B749" s="243" t="inlineStr">
        <is>
          <t>N/A — no P batch assigned</t>
        </is>
      </c>
      <c r="C749" s="243" t="inlineStr">
        <is>
          <t>ППК25052</t>
        </is>
      </c>
      <c r="D749" s="245" t="n">
        <v>45714</v>
      </c>
      <c r="E749" s="243" t="inlineStr">
        <is>
          <t>CNP</t>
        </is>
      </c>
      <c r="F749" s="243" t="inlineStr">
        <is>
          <t>#2</t>
        </is>
      </c>
      <c r="G749" s="246" t="inlineStr">
        <is>
          <t>#2 Identification B</t>
        </is>
      </c>
      <c r="H749" s="309" t="inlineStr">
        <is>
          <t>credit removed</t>
        </is>
      </c>
      <c r="I749" s="308" t="inlineStr">
        <is>
          <t>R2 CNP identification B — no microscopy row on this certificate</t>
        </is>
      </c>
    </row>
    <row r="750">
      <c r="A750" s="244" t="inlineStr">
        <is>
          <t>CLE072501</t>
        </is>
      </c>
      <c r="B750" s="243" t="inlineStr">
        <is>
          <t>P050282</t>
        </is>
      </c>
      <c r="C750" s="243" t="inlineStr">
        <is>
          <t>ППК25370</t>
        </is>
      </c>
      <c r="D750" s="245" t="n">
        <v>45989</v>
      </c>
      <c r="E750" s="243" t="inlineStr">
        <is>
          <t>CNP</t>
        </is>
      </c>
      <c r="F750" s="243" t="inlineStr">
        <is>
          <t>#2</t>
        </is>
      </c>
      <c r="G750" s="246" t="inlineStr">
        <is>
          <t>#2 Identification B</t>
        </is>
      </c>
      <c r="H750" s="309" t="inlineStr">
        <is>
          <t>credit removed</t>
        </is>
      </c>
      <c r="I750" s="308" t="inlineStr">
        <is>
          <t>R2 CNP identification B — no microscopy row on this certificate</t>
        </is>
      </c>
    </row>
    <row r="751">
      <c r="A751" s="244" t="inlineStr">
        <is>
          <t>FB012601_1</t>
        </is>
      </c>
      <c r="B751" s="243" t="inlineStr">
        <is>
          <t>P060322</t>
        </is>
      </c>
      <c r="C751" s="243" t="inlineStr">
        <is>
          <t>ППК26067</t>
        </is>
      </c>
      <c r="D751" s="245" t="n">
        <v>46153</v>
      </c>
      <c r="E751" s="243" t="inlineStr">
        <is>
          <t>CNP</t>
        </is>
      </c>
      <c r="F751" s="243" t="inlineStr">
        <is>
          <t>#2</t>
        </is>
      </c>
      <c r="G751" s="246" t="inlineStr">
        <is>
          <t>#2 Identification B</t>
        </is>
      </c>
      <c r="H751" s="309" t="inlineStr">
        <is>
          <t>credit removed</t>
        </is>
      </c>
      <c r="I751" s="308" t="inlineStr">
        <is>
          <t>R2 CNP identification B — no microscopy row on this certificate</t>
        </is>
      </c>
    </row>
    <row r="752">
      <c r="A752" s="244" t="inlineStr">
        <is>
          <t>FB112501</t>
        </is>
      </c>
      <c r="B752" s="243" t="inlineStr">
        <is>
          <t>P060292</t>
        </is>
      </c>
      <c r="C752" s="243" t="inlineStr">
        <is>
          <t>ППК26066</t>
        </is>
      </c>
      <c r="D752" s="245" t="n">
        <v>46153</v>
      </c>
      <c r="E752" s="243" t="inlineStr">
        <is>
          <t>CNP</t>
        </is>
      </c>
      <c r="F752" s="243" t="inlineStr">
        <is>
          <t>#2</t>
        </is>
      </c>
      <c r="G752" s="246" t="inlineStr">
        <is>
          <t>#2 Identification B</t>
        </is>
      </c>
      <c r="H752" s="309" t="inlineStr">
        <is>
          <t>credit removed</t>
        </is>
      </c>
      <c r="I752" s="308" t="inlineStr">
        <is>
          <t>R2 CNP identification B — no microscopy row on this certificate</t>
        </is>
      </c>
    </row>
    <row r="753">
      <c r="A753" s="244" t="inlineStr">
        <is>
          <t>GG012601＊</t>
        </is>
      </c>
      <c r="B753" s="243" t="inlineStr">
        <is>
          <t>P060302</t>
        </is>
      </c>
      <c r="C753" s="243" t="inlineStr">
        <is>
          <t>ППК26062</t>
        </is>
      </c>
      <c r="D753" s="245" t="n">
        <v>46153</v>
      </c>
      <c r="E753" s="243" t="inlineStr">
        <is>
          <t>CNP</t>
        </is>
      </c>
      <c r="F753" s="243" t="inlineStr">
        <is>
          <t>#2</t>
        </is>
      </c>
      <c r="G753" s="246" t="inlineStr">
        <is>
          <t>#2 Identification B</t>
        </is>
      </c>
      <c r="H753" s="309" t="inlineStr">
        <is>
          <t>credit removed</t>
        </is>
      </c>
      <c r="I753" s="308" t="inlineStr">
        <is>
          <t>R2 CNP identification B — no microscopy row on this certificate</t>
        </is>
      </c>
    </row>
    <row r="754">
      <c r="A754" s="244" t="inlineStr">
        <is>
          <t>GG1024_01</t>
        </is>
      </c>
      <c r="B754" s="243" t="inlineStr">
        <is>
          <t>P050092</t>
        </is>
      </c>
      <c r="C754" s="243" t="inlineStr">
        <is>
          <t>ППК25104</t>
        </is>
      </c>
      <c r="D754" s="245" t="n">
        <v>45764</v>
      </c>
      <c r="E754" s="243" t="inlineStr">
        <is>
          <t>CNP</t>
        </is>
      </c>
      <c r="F754" s="243" t="inlineStr">
        <is>
          <t>#2</t>
        </is>
      </c>
      <c r="G754" s="246" t="inlineStr">
        <is>
          <t>#2 Identification B</t>
        </is>
      </c>
      <c r="H754" s="309" t="inlineStr">
        <is>
          <t>credit removed</t>
        </is>
      </c>
      <c r="I754" s="308" t="inlineStr">
        <is>
          <t>R2 CNP identification B — no microscopy row on this certificate</t>
        </is>
      </c>
    </row>
    <row r="755">
      <c r="A755" s="244" t="inlineStr">
        <is>
          <t>GG1024_02</t>
        </is>
      </c>
      <c r="B755" s="243" t="inlineStr">
        <is>
          <t>P050012</t>
        </is>
      </c>
      <c r="C755" s="243" t="inlineStr">
        <is>
          <t>ППК25140</t>
        </is>
      </c>
      <c r="D755" s="245" t="n">
        <v>45799</v>
      </c>
      <c r="E755" s="243" t="inlineStr">
        <is>
          <t>CNP</t>
        </is>
      </c>
      <c r="F755" s="243" t="inlineStr">
        <is>
          <t>#2</t>
        </is>
      </c>
      <c r="G755" s="246" t="inlineStr">
        <is>
          <t>#2 Identification B</t>
        </is>
      </c>
      <c r="H755" s="309" t="inlineStr">
        <is>
          <t>credit removed</t>
        </is>
      </c>
      <c r="I755" s="308" t="inlineStr">
        <is>
          <t>R2 CNP identification B — no microscopy row on this certificate</t>
        </is>
      </c>
    </row>
    <row r="756">
      <c r="A756" s="244" t="inlineStr">
        <is>
          <t>GG112501</t>
        </is>
      </c>
      <c r="B756" s="243" t="inlineStr">
        <is>
          <t>P060252</t>
        </is>
      </c>
      <c r="C756" s="243" t="inlineStr">
        <is>
          <t>ППК26061</t>
        </is>
      </c>
      <c r="D756" s="245" t="n">
        <v>46153</v>
      </c>
      <c r="E756" s="243" t="inlineStr">
        <is>
          <t>CNP</t>
        </is>
      </c>
      <c r="F756" s="243" t="inlineStr">
        <is>
          <t>#2</t>
        </is>
      </c>
      <c r="G756" s="246" t="inlineStr">
        <is>
          <t>#2 Identification B</t>
        </is>
      </c>
      <c r="H756" s="309" t="inlineStr">
        <is>
          <t>credit removed</t>
        </is>
      </c>
      <c r="I756" s="308" t="inlineStr">
        <is>
          <t>R2 CNP identification B — no microscopy row on this certificate</t>
        </is>
      </c>
    </row>
    <row r="757">
      <c r="A757" s="244" t="inlineStr">
        <is>
          <t>GP052501</t>
        </is>
      </c>
      <c r="B757" s="243" t="inlineStr">
        <is>
          <t>P050152</t>
        </is>
      </c>
      <c r="C757" s="243" t="inlineStr">
        <is>
          <t>ППК25279</t>
        </is>
      </c>
      <c r="D757" s="245" t="n">
        <v>45919</v>
      </c>
      <c r="E757" s="243" t="inlineStr">
        <is>
          <t>CNP</t>
        </is>
      </c>
      <c r="F757" s="243" t="inlineStr">
        <is>
          <t>#2</t>
        </is>
      </c>
      <c r="G757" s="246" t="inlineStr">
        <is>
          <t>#2 Identification B</t>
        </is>
      </c>
      <c r="H757" s="309" t="inlineStr">
        <is>
          <t>credit removed</t>
        </is>
      </c>
      <c r="I757" s="308" t="inlineStr">
        <is>
          <t>R2 CNP identification B — no microscopy row on this certificate</t>
        </is>
      </c>
    </row>
    <row r="758">
      <c r="A758" s="244" t="inlineStr">
        <is>
          <t>GP062501</t>
        </is>
      </c>
      <c r="B758" s="243" t="inlineStr">
        <is>
          <t>P050202</t>
        </is>
      </c>
      <c r="C758" s="243" t="inlineStr">
        <is>
          <t>ППК26036</t>
        </is>
      </c>
      <c r="D758" s="245" t="n">
        <v>46086</v>
      </c>
      <c r="E758" s="243" t="inlineStr">
        <is>
          <t>CNP</t>
        </is>
      </c>
      <c r="F758" s="243" t="inlineStr">
        <is>
          <t>#2</t>
        </is>
      </c>
      <c r="G758" s="246" t="inlineStr">
        <is>
          <t>#2 Identification B</t>
        </is>
      </c>
      <c r="H758" s="309" t="inlineStr">
        <is>
          <t>credit removed</t>
        </is>
      </c>
      <c r="I758" s="308" t="inlineStr">
        <is>
          <t>R2 CNP identification B — no microscopy row on this certificate</t>
        </is>
      </c>
    </row>
    <row r="759">
      <c r="A759" s="244" t="inlineStr">
        <is>
          <t>GP062501</t>
        </is>
      </c>
      <c r="B759" s="243" t="inlineStr">
        <is>
          <t>P050202</t>
        </is>
      </c>
      <c r="C759" s="243" t="inlineStr">
        <is>
          <t>ППК26037</t>
        </is>
      </c>
      <c r="D759" s="245" t="n">
        <v>46086</v>
      </c>
      <c r="E759" s="243" t="inlineStr">
        <is>
          <t>CNP</t>
        </is>
      </c>
      <c r="F759" s="243" t="inlineStr">
        <is>
          <t>#2</t>
        </is>
      </c>
      <c r="G759" s="246" t="inlineStr">
        <is>
          <t>#2 Identification B</t>
        </is>
      </c>
      <c r="H759" s="309" t="inlineStr">
        <is>
          <t>credit removed</t>
        </is>
      </c>
      <c r="I759" s="308" t="inlineStr">
        <is>
          <t>R2 CNP identification B — no microscopy row on this certificate</t>
        </is>
      </c>
    </row>
    <row r="760">
      <c r="A760" s="244" t="inlineStr">
        <is>
          <t>GP062501</t>
        </is>
      </c>
      <c r="B760" s="243" t="inlineStr">
        <is>
          <t>P050202</t>
        </is>
      </c>
      <c r="C760" s="243" t="inlineStr">
        <is>
          <t>ППК26057</t>
        </is>
      </c>
      <c r="D760" s="245" t="n">
        <v>46153</v>
      </c>
      <c r="E760" s="243" t="inlineStr">
        <is>
          <t>CNP</t>
        </is>
      </c>
      <c r="F760" s="243" t="inlineStr">
        <is>
          <t>#2</t>
        </is>
      </c>
      <c r="G760" s="246" t="inlineStr">
        <is>
          <t>#2 Identification B</t>
        </is>
      </c>
      <c r="H760" s="309" t="inlineStr">
        <is>
          <t>credit removed</t>
        </is>
      </c>
      <c r="I760" s="308" t="inlineStr">
        <is>
          <t>R2 CNP identification B — no microscopy row on this certificate</t>
        </is>
      </c>
    </row>
    <row r="761">
      <c r="A761" s="244" t="inlineStr">
        <is>
          <t>GP062501</t>
        </is>
      </c>
      <c r="B761" s="243" t="inlineStr">
        <is>
          <t>P050202</t>
        </is>
      </c>
      <c r="C761" s="243" t="inlineStr">
        <is>
          <t>ППК26058</t>
        </is>
      </c>
      <c r="D761" s="245" t="n">
        <v>46153</v>
      </c>
      <c r="E761" s="243" t="inlineStr">
        <is>
          <t>CNP</t>
        </is>
      </c>
      <c r="F761" s="243" t="inlineStr">
        <is>
          <t>#2</t>
        </is>
      </c>
      <c r="G761" s="246" t="inlineStr">
        <is>
          <t>#2 Identification B</t>
        </is>
      </c>
      <c r="H761" s="309" t="inlineStr">
        <is>
          <t>credit removed</t>
        </is>
      </c>
      <c r="I761" s="308" t="inlineStr">
        <is>
          <t>R2 CNP identification B — no microscopy row on this certificate</t>
        </is>
      </c>
    </row>
    <row r="762">
      <c r="A762" s="244" t="inlineStr">
        <is>
          <t>GP072501/1</t>
        </is>
      </c>
      <c r="B762" s="243" t="inlineStr">
        <is>
          <t>P050292</t>
        </is>
      </c>
      <c r="C762" s="243" t="inlineStr">
        <is>
          <t>ППК25378</t>
        </is>
      </c>
      <c r="D762" s="245" t="n">
        <v>46003</v>
      </c>
      <c r="E762" s="243" t="inlineStr">
        <is>
          <t>CNP</t>
        </is>
      </c>
      <c r="F762" s="243" t="inlineStr">
        <is>
          <t>#2</t>
        </is>
      </c>
      <c r="G762" s="246" t="inlineStr">
        <is>
          <t>#2 Identification B</t>
        </is>
      </c>
      <c r="H762" s="309" t="inlineStr">
        <is>
          <t>credit removed</t>
        </is>
      </c>
      <c r="I762" s="308" t="inlineStr">
        <is>
          <t>R2 CNP identification B — no microscopy row on this certificate</t>
        </is>
      </c>
    </row>
    <row r="763">
      <c r="A763" s="244" t="inlineStr">
        <is>
          <t>GP072501/2</t>
        </is>
      </c>
      <c r="B763" s="243" t="inlineStr">
        <is>
          <t>P050302</t>
        </is>
      </c>
      <c r="C763" s="243" t="inlineStr">
        <is>
          <t>ППК25379</t>
        </is>
      </c>
      <c r="D763" s="245" t="n">
        <v>46003</v>
      </c>
      <c r="E763" s="243" t="inlineStr">
        <is>
          <t>CNP</t>
        </is>
      </c>
      <c r="F763" s="243" t="inlineStr">
        <is>
          <t>#2</t>
        </is>
      </c>
      <c r="G763" s="246" t="inlineStr">
        <is>
          <t>#2 Identification B</t>
        </is>
      </c>
      <c r="H763" s="309" t="inlineStr">
        <is>
          <t>credit removed</t>
        </is>
      </c>
      <c r="I763" s="308" t="inlineStr">
        <is>
          <t>R2 CNP identification B — no microscopy row on this certificate</t>
        </is>
      </c>
    </row>
    <row r="764">
      <c r="A764" s="244" t="inlineStr">
        <is>
          <t>GP0824_01</t>
        </is>
      </c>
      <c r="B764" s="243" t="inlineStr">
        <is>
          <t>P050102</t>
        </is>
      </c>
      <c r="C764" s="243" t="inlineStr">
        <is>
          <t>ППК25105</t>
        </is>
      </c>
      <c r="D764" s="245" t="n">
        <v>45764</v>
      </c>
      <c r="E764" s="243" t="inlineStr">
        <is>
          <t>CNP</t>
        </is>
      </c>
      <c r="F764" s="243" t="inlineStr">
        <is>
          <t>#2</t>
        </is>
      </c>
      <c r="G764" s="246" t="inlineStr">
        <is>
          <t>#2 Identification B</t>
        </is>
      </c>
      <c r="H764" s="309" t="inlineStr">
        <is>
          <t>credit removed</t>
        </is>
      </c>
      <c r="I764" s="308" t="inlineStr">
        <is>
          <t>R2 CNP identification B — no microscopy row on this certificate</t>
        </is>
      </c>
    </row>
    <row r="765">
      <c r="A765" s="244" t="inlineStr">
        <is>
          <t>GP0824_02</t>
        </is>
      </c>
      <c r="B765" s="243" t="inlineStr">
        <is>
          <t>P050022</t>
        </is>
      </c>
      <c r="C765" s="243" t="inlineStr">
        <is>
          <t>ППК25139</t>
        </is>
      </c>
      <c r="D765" s="245" t="n">
        <v>45799</v>
      </c>
      <c r="E765" s="243" t="inlineStr">
        <is>
          <t>CNP</t>
        </is>
      </c>
      <c r="F765" s="243" t="inlineStr">
        <is>
          <t>#2</t>
        </is>
      </c>
      <c r="G765" s="246" t="inlineStr">
        <is>
          <t>#2 Identification B</t>
        </is>
      </c>
      <c r="H765" s="309" t="inlineStr">
        <is>
          <t>credit removed</t>
        </is>
      </c>
      <c r="I765" s="308" t="inlineStr">
        <is>
          <t>R2 CNP identification B — no microscopy row on this certificate</t>
        </is>
      </c>
    </row>
    <row r="766">
      <c r="A766" s="244" t="inlineStr">
        <is>
          <t>GP0824_02</t>
        </is>
      </c>
      <c r="B766" s="243" t="inlineStr">
        <is>
          <t>P050022</t>
        </is>
      </c>
      <c r="C766" s="243" t="inlineStr">
        <is>
          <t>ППК25174</t>
        </is>
      </c>
      <c r="D766" s="245" t="n">
        <v>45848</v>
      </c>
      <c r="E766" s="243" t="inlineStr">
        <is>
          <t>CNP</t>
        </is>
      </c>
      <c r="F766" s="243" t="inlineStr">
        <is>
          <t>#2</t>
        </is>
      </c>
      <c r="G766" s="246" t="inlineStr">
        <is>
          <t>#2 Identification B</t>
        </is>
      </c>
      <c r="H766" s="309" t="inlineStr">
        <is>
          <t>credit removed</t>
        </is>
      </c>
      <c r="I766" s="308" t="inlineStr">
        <is>
          <t>R2 CNP identification B — no microscopy row on this certificate</t>
        </is>
      </c>
    </row>
    <row r="767">
      <c r="A767" s="244" t="inlineStr">
        <is>
          <t>GP0824_02</t>
        </is>
      </c>
      <c r="B767" s="243" t="inlineStr">
        <is>
          <t>P050022</t>
        </is>
      </c>
      <c r="C767" s="243" t="inlineStr">
        <is>
          <t>ППК26032</t>
        </is>
      </c>
      <c r="D767" s="245" t="n">
        <v>46086</v>
      </c>
      <c r="E767" s="243" t="inlineStr">
        <is>
          <t>CNP</t>
        </is>
      </c>
      <c r="F767" s="243" t="inlineStr">
        <is>
          <t>#2</t>
        </is>
      </c>
      <c r="G767" s="246" t="inlineStr">
        <is>
          <t>#2 Identification B</t>
        </is>
      </c>
      <c r="H767" s="309" t="inlineStr">
        <is>
          <t>credit removed</t>
        </is>
      </c>
      <c r="I767" s="308" t="inlineStr">
        <is>
          <t>R2 CNP identification B — no microscopy row on this certificate</t>
        </is>
      </c>
    </row>
    <row r="768">
      <c r="A768" s="244" t="inlineStr">
        <is>
          <t>GP0824_02</t>
        </is>
      </c>
      <c r="B768" s="243" t="inlineStr">
        <is>
          <t>P050022</t>
        </is>
      </c>
      <c r="C768" s="243" t="inlineStr">
        <is>
          <t>ППК26033</t>
        </is>
      </c>
      <c r="D768" s="245" t="n">
        <v>46086</v>
      </c>
      <c r="E768" s="243" t="inlineStr">
        <is>
          <t>CNP</t>
        </is>
      </c>
      <c r="F768" s="243" t="inlineStr">
        <is>
          <t>#2</t>
        </is>
      </c>
      <c r="G768" s="246" t="inlineStr">
        <is>
          <t>#2 Identification B</t>
        </is>
      </c>
      <c r="H768" s="309" t="inlineStr">
        <is>
          <t>credit removed</t>
        </is>
      </c>
      <c r="I768" s="308" t="inlineStr">
        <is>
          <t>R2 CNP identification B — no microscopy row on this certificate</t>
        </is>
      </c>
    </row>
    <row r="769">
      <c r="A769" s="244" t="inlineStr">
        <is>
          <t>GP0824_02</t>
        </is>
      </c>
      <c r="B769" s="243" t="inlineStr">
        <is>
          <t>P050022</t>
        </is>
      </c>
      <c r="C769" s="243" t="inlineStr">
        <is>
          <t>ППК26059</t>
        </is>
      </c>
      <c r="D769" s="245" t="n">
        <v>46153</v>
      </c>
      <c r="E769" s="243" t="inlineStr">
        <is>
          <t>CNP</t>
        </is>
      </c>
      <c r="F769" s="243" t="inlineStr">
        <is>
          <t>#2</t>
        </is>
      </c>
      <c r="G769" s="246" t="inlineStr">
        <is>
          <t>#2 Identification B</t>
        </is>
      </c>
      <c r="H769" s="309" t="inlineStr">
        <is>
          <t>credit removed</t>
        </is>
      </c>
      <c r="I769" s="308" t="inlineStr">
        <is>
          <t>R2 CNP identification B — no microscopy row on this certificate</t>
        </is>
      </c>
    </row>
    <row r="770">
      <c r="A770" s="244" t="inlineStr">
        <is>
          <t>GP0824_03</t>
        </is>
      </c>
      <c r="B770" s="243" t="inlineStr">
        <is>
          <t>P050072</t>
        </is>
      </c>
      <c r="C770" s="243" t="inlineStr">
        <is>
          <t>ППК25175</t>
        </is>
      </c>
      <c r="D770" s="245" t="n">
        <v>45848</v>
      </c>
      <c r="E770" s="243" t="inlineStr">
        <is>
          <t>CNP</t>
        </is>
      </c>
      <c r="F770" s="243" t="inlineStr">
        <is>
          <t>#2</t>
        </is>
      </c>
      <c r="G770" s="246" t="inlineStr">
        <is>
          <t>#2 Identification B</t>
        </is>
      </c>
      <c r="H770" s="309" t="inlineStr">
        <is>
          <t>credit removed</t>
        </is>
      </c>
      <c r="I770" s="308" t="inlineStr">
        <is>
          <t>R2 CNP identification B — no microscopy row on this certificate</t>
        </is>
      </c>
    </row>
    <row r="771">
      <c r="A771" s="244" t="inlineStr">
        <is>
          <t>GP0824_03</t>
        </is>
      </c>
      <c r="B771" s="243" t="inlineStr">
        <is>
          <t>P050072</t>
        </is>
      </c>
      <c r="C771" s="243" t="inlineStr">
        <is>
          <t>ППК26034</t>
        </is>
      </c>
      <c r="D771" s="245" t="n">
        <v>46086</v>
      </c>
      <c r="E771" s="243" t="inlineStr">
        <is>
          <t>CNP</t>
        </is>
      </c>
      <c r="F771" s="243" t="inlineStr">
        <is>
          <t>#2</t>
        </is>
      </c>
      <c r="G771" s="246" t="inlineStr">
        <is>
          <t>#2 Identification B</t>
        </is>
      </c>
      <c r="H771" s="309" t="inlineStr">
        <is>
          <t>credit removed</t>
        </is>
      </c>
      <c r="I771" s="308" t="inlineStr">
        <is>
          <t>R2 CNP identification B — no microscopy row on this certificate</t>
        </is>
      </c>
    </row>
    <row r="772">
      <c r="A772" s="244" t="inlineStr">
        <is>
          <t>GP0824_03</t>
        </is>
      </c>
      <c r="B772" s="243" t="inlineStr">
        <is>
          <t>P050072</t>
        </is>
      </c>
      <c r="C772" s="243" t="inlineStr">
        <is>
          <t>ППК26035</t>
        </is>
      </c>
      <c r="D772" s="245" t="n">
        <v>46086</v>
      </c>
      <c r="E772" s="243" t="inlineStr">
        <is>
          <t>CNP</t>
        </is>
      </c>
      <c r="F772" s="243" t="inlineStr">
        <is>
          <t>#2</t>
        </is>
      </c>
      <c r="G772" s="246" t="inlineStr">
        <is>
          <t>#2 Identification B</t>
        </is>
      </c>
      <c r="H772" s="309" t="inlineStr">
        <is>
          <t>credit removed</t>
        </is>
      </c>
      <c r="I772" s="308" t="inlineStr">
        <is>
          <t>R2 CNP identification B — no microscopy row on this certificate</t>
        </is>
      </c>
    </row>
    <row r="773">
      <c r="A773" s="244" t="inlineStr">
        <is>
          <t>GP0824_03</t>
        </is>
      </c>
      <c r="B773" s="243" t="inlineStr">
        <is>
          <t>P050072</t>
        </is>
      </c>
      <c r="C773" s="243" t="inlineStr">
        <is>
          <t>ППК26060</t>
        </is>
      </c>
      <c r="D773" s="245" t="n">
        <v>46153</v>
      </c>
      <c r="E773" s="243" t="inlineStr">
        <is>
          <t>CNP</t>
        </is>
      </c>
      <c r="F773" s="243" t="inlineStr">
        <is>
          <t>#2</t>
        </is>
      </c>
      <c r="G773" s="246" t="inlineStr">
        <is>
          <t>#2 Identification B</t>
        </is>
      </c>
      <c r="H773" s="309" t="inlineStr">
        <is>
          <t>credit removed</t>
        </is>
      </c>
      <c r="I773" s="308" t="inlineStr">
        <is>
          <t>R2 CNP identification B — no microscopy row on this certificate</t>
        </is>
      </c>
    </row>
    <row r="774">
      <c r="A774" s="244" t="inlineStr">
        <is>
          <t>GP082501/1</t>
        </is>
      </c>
      <c r="B774" s="243" t="inlineStr">
        <is>
          <t>P050312</t>
        </is>
      </c>
      <c r="C774" s="243" t="inlineStr">
        <is>
          <t>ППК25380</t>
        </is>
      </c>
      <c r="D774" s="245" t="n">
        <v>46003</v>
      </c>
      <c r="E774" s="243" t="inlineStr">
        <is>
          <t>CNP</t>
        </is>
      </c>
      <c r="F774" s="243" t="inlineStr">
        <is>
          <t>#2</t>
        </is>
      </c>
      <c r="G774" s="246" t="inlineStr">
        <is>
          <t>#2 Identification B</t>
        </is>
      </c>
      <c r="H774" s="309" t="inlineStr">
        <is>
          <t>credit removed</t>
        </is>
      </c>
      <c r="I774" s="308" t="inlineStr">
        <is>
          <t>R2 CNP identification B — no microscopy row on this certificate</t>
        </is>
      </c>
    </row>
    <row r="775">
      <c r="A775" s="244" t="inlineStr">
        <is>
          <t>GP082501/2</t>
        </is>
      </c>
      <c r="B775" s="243" t="inlineStr">
        <is>
          <t>P050322</t>
        </is>
      </c>
      <c r="C775" s="243" t="inlineStr">
        <is>
          <t>ППК25381</t>
        </is>
      </c>
      <c r="D775" s="245" t="n">
        <v>46003</v>
      </c>
      <c r="E775" s="243" t="inlineStr">
        <is>
          <t>CNP</t>
        </is>
      </c>
      <c r="F775" s="243" t="inlineStr">
        <is>
          <t>#2</t>
        </is>
      </c>
      <c r="G775" s="246" t="inlineStr">
        <is>
          <t>#2 Identification B</t>
        </is>
      </c>
      <c r="H775" s="309" t="inlineStr">
        <is>
          <t>credit removed</t>
        </is>
      </c>
      <c r="I775" s="308" t="inlineStr">
        <is>
          <t>R2 CNP identification B — no microscopy row on this certificate</t>
        </is>
      </c>
    </row>
    <row r="776">
      <c r="A776" s="244" t="inlineStr">
        <is>
          <t>GP092501</t>
        </is>
      </c>
      <c r="B776" s="243" t="inlineStr">
        <is>
          <t>P060092</t>
        </is>
      </c>
      <c r="C776" s="243" t="inlineStr">
        <is>
          <t>ППК26009</t>
        </is>
      </c>
      <c r="D776" s="245" t="n">
        <v>46043</v>
      </c>
      <c r="E776" s="243" t="inlineStr">
        <is>
          <t>CNP</t>
        </is>
      </c>
      <c r="F776" s="243" t="inlineStr">
        <is>
          <t>#2</t>
        </is>
      </c>
      <c r="G776" s="246" t="inlineStr">
        <is>
          <t>#2 Identification B</t>
        </is>
      </c>
      <c r="H776" s="309" t="inlineStr">
        <is>
          <t>credit removed</t>
        </is>
      </c>
      <c r="I776" s="308" t="inlineStr">
        <is>
          <t>R2 CNP identification B — no microscopy row on this certificate</t>
        </is>
      </c>
    </row>
    <row r="777">
      <c r="A777" s="244" t="inlineStr">
        <is>
          <t>HPA052501</t>
        </is>
      </c>
      <c r="B777" s="243" t="inlineStr">
        <is>
          <t>P050182</t>
        </is>
      </c>
      <c r="C777" s="243" t="inlineStr">
        <is>
          <t>ППК25278</t>
        </is>
      </c>
      <c r="D777" s="245" t="n">
        <v>45919</v>
      </c>
      <c r="E777" s="243" t="inlineStr">
        <is>
          <t>CNP</t>
        </is>
      </c>
      <c r="F777" s="243" t="inlineStr">
        <is>
          <t>#2</t>
        </is>
      </c>
      <c r="G777" s="246" t="inlineStr">
        <is>
          <t>#2 Identification B</t>
        </is>
      </c>
      <c r="H777" s="309" t="inlineStr">
        <is>
          <t>credit removed</t>
        </is>
      </c>
      <c r="I777" s="308" t="inlineStr">
        <is>
          <t>R2 CNP identification B — no microscopy row on this certificate</t>
        </is>
      </c>
    </row>
    <row r="778">
      <c r="A778" s="244" t="inlineStr">
        <is>
          <t>HPA1024_01</t>
        </is>
      </c>
      <c r="B778" s="243" t="inlineStr">
        <is>
          <t>P050052</t>
        </is>
      </c>
      <c r="C778" s="243" t="inlineStr">
        <is>
          <t>ППК25155</t>
        </is>
      </c>
      <c r="D778" s="245" t="n">
        <v>45832</v>
      </c>
      <c r="E778" s="243" t="inlineStr">
        <is>
          <t>CNP</t>
        </is>
      </c>
      <c r="F778" s="243" t="inlineStr">
        <is>
          <t>#2</t>
        </is>
      </c>
      <c r="G778" s="246" t="inlineStr">
        <is>
          <t>#2 Identification B</t>
        </is>
      </c>
      <c r="H778" s="309" t="inlineStr">
        <is>
          <t>credit removed</t>
        </is>
      </c>
      <c r="I778" s="308" t="inlineStr">
        <is>
          <t>R2 CNP identification B — no microscopy row on this certificate</t>
        </is>
      </c>
    </row>
    <row r="779">
      <c r="A779" s="244" t="inlineStr">
        <is>
          <t>JD012601＊</t>
        </is>
      </c>
      <c r="B779" s="243" t="inlineStr">
        <is>
          <t>P060312</t>
        </is>
      </c>
      <c r="C779" s="243" t="inlineStr">
        <is>
          <t>ППК26064</t>
        </is>
      </c>
      <c r="D779" s="245" t="n">
        <v>46153</v>
      </c>
      <c r="E779" s="243" t="inlineStr">
        <is>
          <t>CNP</t>
        </is>
      </c>
      <c r="F779" s="243" t="inlineStr">
        <is>
          <t>#2</t>
        </is>
      </c>
      <c r="G779" s="246" t="inlineStr">
        <is>
          <t>#2 Identification B</t>
        </is>
      </c>
      <c r="H779" s="309" t="inlineStr">
        <is>
          <t>credit removed</t>
        </is>
      </c>
      <c r="I779" s="308" t="inlineStr">
        <is>
          <t>R2 CNP identification B — no microscopy row on this certificate</t>
        </is>
      </c>
    </row>
    <row r="780">
      <c r="A780" s="244" t="inlineStr">
        <is>
          <t>JD112501</t>
        </is>
      </c>
      <c r="B780" s="243" t="inlineStr">
        <is>
          <t>P060212</t>
        </is>
      </c>
      <c r="C780" s="243" t="inlineStr">
        <is>
          <t>ППК26063</t>
        </is>
      </c>
      <c r="D780" s="245" t="n">
        <v>46153</v>
      </c>
      <c r="E780" s="243" t="inlineStr">
        <is>
          <t>CNP</t>
        </is>
      </c>
      <c r="F780" s="243" t="inlineStr">
        <is>
          <t>#2</t>
        </is>
      </c>
      <c r="G780" s="246" t="inlineStr">
        <is>
          <t>#2 Identification B</t>
        </is>
      </c>
      <c r="H780" s="309" t="inlineStr">
        <is>
          <t>credit removed</t>
        </is>
      </c>
      <c r="I780" s="308" t="inlineStr">
        <is>
          <t>R2 CNP identification B — no microscopy row on this certificate</t>
        </is>
      </c>
    </row>
    <row r="781">
      <c r="A781" s="244" t="inlineStr">
        <is>
          <t>MB0824_04</t>
        </is>
      </c>
      <c r="B781" s="243" t="inlineStr">
        <is>
          <t>P050032</t>
        </is>
      </c>
      <c r="C781" s="243" t="inlineStr">
        <is>
          <t>ППК25118</t>
        </is>
      </c>
      <c r="D781" s="245" t="n">
        <v>45783</v>
      </c>
      <c r="E781" s="243" t="inlineStr">
        <is>
          <t>CNP</t>
        </is>
      </c>
      <c r="F781" s="243" t="inlineStr">
        <is>
          <t>#2</t>
        </is>
      </c>
      <c r="G781" s="246" t="inlineStr">
        <is>
          <t>#2 Identification B</t>
        </is>
      </c>
      <c r="H781" s="309" t="inlineStr">
        <is>
          <t>credit removed</t>
        </is>
      </c>
      <c r="I781" s="308" t="inlineStr">
        <is>
          <t>R2 CNP identification B — no microscopy row on this certificate</t>
        </is>
      </c>
    </row>
    <row r="782">
      <c r="A782" s="244" t="inlineStr">
        <is>
          <t>MB0824_05</t>
        </is>
      </c>
      <c r="B782" s="243" t="inlineStr">
        <is>
          <t>P050112</t>
        </is>
      </c>
      <c r="C782" s="243" t="inlineStr">
        <is>
          <t>ППК25211</t>
        </is>
      </c>
      <c r="D782" s="245" t="n">
        <v>45866</v>
      </c>
      <c r="E782" s="243" t="inlineStr">
        <is>
          <t>CNP</t>
        </is>
      </c>
      <c r="F782" s="243" t="inlineStr">
        <is>
          <t>#2</t>
        </is>
      </c>
      <c r="G782" s="246" t="inlineStr">
        <is>
          <t>#2 Identification B</t>
        </is>
      </c>
      <c r="H782" s="309" t="inlineStr">
        <is>
          <t>credit removed</t>
        </is>
      </c>
      <c r="I782" s="308" t="inlineStr">
        <is>
          <t>R2 CNP identification B — no microscopy row on this certificate</t>
        </is>
      </c>
    </row>
    <row r="783">
      <c r="A783" s="244" t="inlineStr">
        <is>
          <t>OMP1024_01</t>
        </is>
      </c>
      <c r="B783" s="243" t="inlineStr">
        <is>
          <t>P050042</t>
        </is>
      </c>
      <c r="C783" s="243" t="inlineStr">
        <is>
          <t>ППК25117</t>
        </is>
      </c>
      <c r="D783" s="245" t="n">
        <v>45783</v>
      </c>
      <c r="E783" s="243" t="inlineStr">
        <is>
          <t>CNP</t>
        </is>
      </c>
      <c r="F783" s="243" t="inlineStr">
        <is>
          <t>#2</t>
        </is>
      </c>
      <c r="G783" s="246" t="inlineStr">
        <is>
          <t>#2 Identification B</t>
        </is>
      </c>
      <c r="H783" s="309" t="inlineStr">
        <is>
          <t>credit removed</t>
        </is>
      </c>
      <c r="I783" s="308" t="inlineStr">
        <is>
          <t>R2 CNP identification B — no microscopy row on this certificate</t>
        </is>
      </c>
    </row>
    <row r="784">
      <c r="A784" s="244" t="inlineStr">
        <is>
          <t>OPM052501</t>
        </is>
      </c>
      <c r="B784" s="243" t="inlineStr">
        <is>
          <t>P050132</t>
        </is>
      </c>
      <c r="C784" s="243" t="inlineStr">
        <is>
          <t>ППК25257</t>
        </is>
      </c>
      <c r="D784" s="245" t="n">
        <v>45905</v>
      </c>
      <c r="E784" s="243" t="inlineStr">
        <is>
          <t>CNP</t>
        </is>
      </c>
      <c r="F784" s="243" t="inlineStr">
        <is>
          <t>#2</t>
        </is>
      </c>
      <c r="G784" s="246" t="inlineStr">
        <is>
          <t>#2 Identification B</t>
        </is>
      </c>
      <c r="H784" s="309" t="inlineStr">
        <is>
          <t>credit removed</t>
        </is>
      </c>
      <c r="I784" s="308" t="inlineStr">
        <is>
          <t>R2 CNP identification B — no microscopy row on this certificate</t>
        </is>
      </c>
    </row>
    <row r="785">
      <c r="A785" s="244" t="inlineStr">
        <is>
          <t>OPM092501</t>
        </is>
      </c>
      <c r="B785" s="243" t="inlineStr">
        <is>
          <t>P060042</t>
        </is>
      </c>
      <c r="C785" s="243" t="inlineStr">
        <is>
          <t>ППК26008</t>
        </is>
      </c>
      <c r="D785" s="245" t="n">
        <v>46043</v>
      </c>
      <c r="E785" s="243" t="inlineStr">
        <is>
          <t>CNP</t>
        </is>
      </c>
      <c r="F785" s="243" t="inlineStr">
        <is>
          <t>#2</t>
        </is>
      </c>
      <c r="G785" s="246" t="inlineStr">
        <is>
          <t>#2 Identification B</t>
        </is>
      </c>
      <c r="H785" s="309" t="inlineStr">
        <is>
          <t>credit removed</t>
        </is>
      </c>
      <c r="I785" s="308" t="inlineStr">
        <is>
          <t>R2 CNP identification B — no microscopy row on this certificate</t>
        </is>
      </c>
    </row>
    <row r="786">
      <c r="A786" s="244" t="inlineStr">
        <is>
          <t>OPM1024_02</t>
        </is>
      </c>
      <c r="B786" s="243" t="inlineStr">
        <is>
          <t>P050062</t>
        </is>
      </c>
      <c r="C786" s="243" t="inlineStr">
        <is>
          <t>ППК25154</t>
        </is>
      </c>
      <c r="D786" s="245" t="n">
        <v>45832</v>
      </c>
      <c r="E786" s="243" t="inlineStr">
        <is>
          <t>CNP</t>
        </is>
      </c>
      <c r="F786" s="243" t="inlineStr">
        <is>
          <t>#2</t>
        </is>
      </c>
      <c r="G786" s="246" t="inlineStr">
        <is>
          <t>#2 Identification B</t>
        </is>
      </c>
      <c r="H786" s="309" t="inlineStr">
        <is>
          <t>credit removed</t>
        </is>
      </c>
      <c r="I786" s="308" t="inlineStr">
        <is>
          <t>R2 CNP identification B — no microscopy row on this certificate</t>
        </is>
      </c>
    </row>
    <row r="787">
      <c r="A787" s="244" t="inlineStr">
        <is>
          <t>OPM1024_03</t>
        </is>
      </c>
      <c r="B787" s="243" t="inlineStr">
        <is>
          <t>P050082</t>
        </is>
      </c>
      <c r="C787" s="243" t="inlineStr">
        <is>
          <t>ППК25210</t>
        </is>
      </c>
      <c r="D787" s="245" t="n">
        <v>45866</v>
      </c>
      <c r="E787" s="243" t="inlineStr">
        <is>
          <t>CNP</t>
        </is>
      </c>
      <c r="F787" s="243" t="inlineStr">
        <is>
          <t>#2</t>
        </is>
      </c>
      <c r="G787" s="246" t="inlineStr">
        <is>
          <t>#2 Identification B</t>
        </is>
      </c>
      <c r="H787" s="309" t="inlineStr">
        <is>
          <t>credit removed</t>
        </is>
      </c>
      <c r="I787" s="308" t="inlineStr">
        <is>
          <t>R2 CNP identification B — no microscopy row on this certificate</t>
        </is>
      </c>
    </row>
    <row r="788">
      <c r="A788" s="244" t="inlineStr">
        <is>
          <t>OPM112501</t>
        </is>
      </c>
      <c r="B788" s="243" t="inlineStr">
        <is>
          <t>P060222</t>
        </is>
      </c>
      <c r="C788" s="243" t="inlineStr">
        <is>
          <t>ППК26031</t>
        </is>
      </c>
      <c r="D788" s="245" t="n">
        <v>46086</v>
      </c>
      <c r="E788" s="243" t="inlineStr">
        <is>
          <t>CNP</t>
        </is>
      </c>
      <c r="F788" s="243" t="inlineStr">
        <is>
          <t>#2</t>
        </is>
      </c>
      <c r="G788" s="246" t="inlineStr">
        <is>
          <t>#2 Identification B</t>
        </is>
      </c>
      <c r="H788" s="309" t="inlineStr">
        <is>
          <t>credit removed</t>
        </is>
      </c>
      <c r="I788" s="308" t="inlineStr">
        <is>
          <t>R2 CNP identification B — no microscopy row on this certificate</t>
        </is>
      </c>
    </row>
    <row r="789">
      <c r="A789" s="244" t="inlineStr">
        <is>
          <t>PM072501</t>
        </is>
      </c>
      <c r="B789" s="243" t="inlineStr">
        <is>
          <t>P050272</t>
        </is>
      </c>
      <c r="C789" s="243" t="inlineStr">
        <is>
          <t>ППК25368</t>
        </is>
      </c>
      <c r="D789" s="245" t="n">
        <v>45989</v>
      </c>
      <c r="E789" s="243" t="inlineStr">
        <is>
          <t>CNP</t>
        </is>
      </c>
      <c r="F789" s="243" t="inlineStr">
        <is>
          <t>#2</t>
        </is>
      </c>
      <c r="G789" s="246" t="inlineStr">
        <is>
          <t>#2 Identification B</t>
        </is>
      </c>
      <c r="H789" s="309" t="inlineStr">
        <is>
          <t>credit removed</t>
        </is>
      </c>
      <c r="I789" s="308" t="inlineStr">
        <is>
          <t>R2 CNP identification B — no microscopy row on this certificate</t>
        </is>
      </c>
    </row>
    <row r="790">
      <c r="A790" s="244" t="inlineStr">
        <is>
          <t>PM092501</t>
        </is>
      </c>
      <c r="B790" s="243" t="inlineStr">
        <is>
          <t>P060062</t>
        </is>
      </c>
      <c r="C790" s="243" t="inlineStr">
        <is>
          <t>ППК26004</t>
        </is>
      </c>
      <c r="D790" s="245" t="n">
        <v>46043</v>
      </c>
      <c r="E790" s="243" t="inlineStr">
        <is>
          <t>CNP</t>
        </is>
      </c>
      <c r="F790" s="243" t="inlineStr">
        <is>
          <t>#2</t>
        </is>
      </c>
      <c r="G790" s="246" t="inlineStr">
        <is>
          <t>#2 Identification B</t>
        </is>
      </c>
      <c r="H790" s="309" t="inlineStr">
        <is>
          <t>credit removed</t>
        </is>
      </c>
      <c r="I790" s="308" t="inlineStr">
        <is>
          <t>R2 CNP identification B — no microscopy row on this certificate</t>
        </is>
      </c>
    </row>
    <row r="791">
      <c r="A791" s="244" t="inlineStr">
        <is>
          <t>PM112501</t>
        </is>
      </c>
      <c r="B791" s="243" t="inlineStr">
        <is>
          <t>P060232</t>
        </is>
      </c>
      <c r="C791" s="243" t="inlineStr">
        <is>
          <t>ППК26030</t>
        </is>
      </c>
      <c r="D791" s="245" t="n">
        <v>46086</v>
      </c>
      <c r="E791" s="243" t="inlineStr">
        <is>
          <t>CNP</t>
        </is>
      </c>
      <c r="F791" s="243" t="inlineStr">
        <is>
          <t>#2</t>
        </is>
      </c>
      <c r="G791" s="246" t="inlineStr">
        <is>
          <t>#2 Identification B</t>
        </is>
      </c>
      <c r="H791" s="309" t="inlineStr">
        <is>
          <t>credit removed</t>
        </is>
      </c>
      <c r="I791" s="308" t="inlineStr">
        <is>
          <t>R2 CNP identification B — no microscopy row on this certificate</t>
        </is>
      </c>
    </row>
    <row r="792">
      <c r="A792" s="244" t="inlineStr">
        <is>
          <t>SCR112501</t>
        </is>
      </c>
      <c r="B792" s="243" t="inlineStr">
        <is>
          <t>P060282</t>
        </is>
      </c>
      <c r="C792" s="243" t="inlineStr">
        <is>
          <t>ППК26069</t>
        </is>
      </c>
      <c r="D792" s="245" t="n">
        <v>46153</v>
      </c>
      <c r="E792" s="243" t="inlineStr">
        <is>
          <t>CNP</t>
        </is>
      </c>
      <c r="F792" s="243" t="inlineStr">
        <is>
          <t>#2</t>
        </is>
      </c>
      <c r="G792" s="246" t="inlineStr">
        <is>
          <t>#2 Identification B</t>
        </is>
      </c>
      <c r="H792" s="309" t="inlineStr">
        <is>
          <t>credit removed</t>
        </is>
      </c>
      <c r="I792" s="308" t="inlineStr">
        <is>
          <t>R2 CNP identification B — no microscopy row on this certificate</t>
        </is>
      </c>
    </row>
    <row r="793">
      <c r="A793" s="244" t="inlineStr">
        <is>
          <t>SJ0925021</t>
        </is>
      </c>
      <c r="B793" s="243" t="inlineStr">
        <is>
          <t>P060082</t>
        </is>
      </c>
      <c r="C793" s="243" t="inlineStr">
        <is>
          <t>ППК26006</t>
        </is>
      </c>
      <c r="D793" s="245" t="n">
        <v>46043</v>
      </c>
      <c r="E793" s="243" t="inlineStr">
        <is>
          <t>CNP</t>
        </is>
      </c>
      <c r="F793" s="243" t="inlineStr">
        <is>
          <t>#2</t>
        </is>
      </c>
      <c r="G793" s="246" t="inlineStr">
        <is>
          <t>#2 Identification B</t>
        </is>
      </c>
      <c r="H793" s="309" t="inlineStr">
        <is>
          <t>credit removed</t>
        </is>
      </c>
      <c r="I793" s="308" t="inlineStr">
        <is>
          <t>R2 CNP identification B — no microscopy row on this certificate</t>
        </is>
      </c>
    </row>
    <row r="794">
      <c r="A794" s="244" t="inlineStr">
        <is>
          <t>WC072501</t>
        </is>
      </c>
      <c r="B794" s="243" t="inlineStr">
        <is>
          <t>P050262</t>
        </is>
      </c>
      <c r="C794" s="243" t="inlineStr">
        <is>
          <t>ППК25369</t>
        </is>
      </c>
      <c r="D794" s="245" t="n">
        <v>45989</v>
      </c>
      <c r="E794" s="243" t="inlineStr">
        <is>
          <t>CNP</t>
        </is>
      </c>
      <c r="F794" s="243" t="inlineStr">
        <is>
          <t>#2</t>
        </is>
      </c>
      <c r="G794" s="246" t="inlineStr">
        <is>
          <t>#2 Identification B</t>
        </is>
      </c>
      <c r="H794" s="309" t="inlineStr">
        <is>
          <t>credit removed</t>
        </is>
      </c>
      <c r="I794" s="308" t="inlineStr">
        <is>
          <t>R2 CNP identification B — no microscopy row on this certificate</t>
        </is>
      </c>
    </row>
    <row r="795">
      <c r="A795" s="244" t="inlineStr">
        <is>
          <t>WC082501</t>
        </is>
      </c>
      <c r="B795" s="243" t="inlineStr">
        <is>
          <t>P060012</t>
        </is>
      </c>
      <c r="C795" s="243" t="inlineStr">
        <is>
          <t>ППК26001</t>
        </is>
      </c>
      <c r="D795" s="245" t="n">
        <v>46043</v>
      </c>
      <c r="E795" s="243" t="inlineStr">
        <is>
          <t>CNP</t>
        </is>
      </c>
      <c r="F795" s="243" t="inlineStr">
        <is>
          <t>#2</t>
        </is>
      </c>
      <c r="G795" s="246" t="inlineStr">
        <is>
          <t>#2 Identification B</t>
        </is>
      </c>
      <c r="H795" s="309" t="inlineStr">
        <is>
          <t>credit removed</t>
        </is>
      </c>
      <c r="I795" s="308" t="inlineStr">
        <is>
          <t>R2 CNP identification B — no microscopy row on this certificate</t>
        </is>
      </c>
    </row>
    <row r="797" ht="58" customHeight="1" s="70">
      <c r="A797"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7" s="120" t="n"/>
      <c r="C797" s="120" t="n"/>
      <c r="D797" s="120" t="n"/>
      <c r="E797" s="120" t="n"/>
      <c r="F797" s="120" t="n"/>
      <c r="G797" s="120" t="n"/>
      <c r="H797" s="120" t="n"/>
      <c r="I797" s="121" t="n"/>
    </row>
    <row r="800" ht="20" customHeight="1" s="70">
      <c r="A800" s="264" t="inlineStr">
        <is>
          <t>WORK ORDER</t>
        </is>
      </c>
    </row>
    <row r="801" ht="22" customHeight="1" s="70">
      <c r="A801" s="119" t="inlineStr">
        <is>
          <t>Task</t>
        </is>
      </c>
      <c r="B801" s="119" t="inlineStr">
        <is>
          <t>CU Batch</t>
        </is>
      </c>
      <c r="C801" s="119" t="inlineStr">
        <is>
          <t>P Batch</t>
        </is>
      </c>
      <c r="D801" s="119" t="inlineStr">
        <is>
          <t>Certificate</t>
        </is>
      </c>
      <c r="E801" s="119" t="inlineStr">
        <is>
          <t>Date</t>
        </is>
      </c>
      <c r="F801" s="119" t="inlineStr">
        <is>
          <t>Lab</t>
        </is>
      </c>
      <c r="G801" s="119" t="inlineStr">
        <is>
          <t>Parameters affected</t>
        </is>
      </c>
      <c r="H801" s="119" t="inlineStr">
        <is>
          <t>What is needed</t>
        </is>
      </c>
    </row>
    <row r="802">
      <c r="A802" s="309" t="inlineStr">
        <is>
          <t>held for review</t>
        </is>
      </c>
      <c r="B802" s="244" t="inlineStr">
        <is>
          <t>BSS052501</t>
        </is>
      </c>
      <c r="C802" s="243" t="inlineStr">
        <is>
          <t>P050192</t>
        </is>
      </c>
      <c r="D802" s="243" t="inlineStr">
        <is>
          <t>NGP-QCG-SOP-024 F3</t>
        </is>
      </c>
      <c r="E802" s="245" t="n">
        <v>45989</v>
      </c>
      <c r="F802" s="243" t="inlineStr">
        <is>
          <t>NGP</t>
        </is>
      </c>
      <c r="G802" s="243" t="inlineStr">
        <is>
          <t>#6</t>
        </is>
      </c>
      <c r="H802" s="308" t="inlineStr">
        <is>
          <t>The two independent reads disagreed. A person must read the figure from the page and confirm it.</t>
        </is>
      </c>
    </row>
    <row r="803">
      <c r="A803" s="309" t="inlineStr">
        <is>
          <t>held for review</t>
        </is>
      </c>
      <c r="B803" s="244" t="inlineStr">
        <is>
          <t>GP062501</t>
        </is>
      </c>
      <c r="C803" s="243" t="inlineStr">
        <is>
          <t>P050202</t>
        </is>
      </c>
      <c r="D803" s="243" t="inlineStr">
        <is>
          <t>NGP-QCG-SOP-024 F3</t>
        </is>
      </c>
      <c r="E803" s="245" t="n">
        <v>45989</v>
      </c>
      <c r="F803" s="243" t="inlineStr">
        <is>
          <t>NGP</t>
        </is>
      </c>
      <c r="G803" s="243" t="inlineStr">
        <is>
          <t>#6</t>
        </is>
      </c>
      <c r="H803" s="308" t="inlineStr">
        <is>
          <t>The two independent reads disagreed. A person must read the figure from the page and confirm it.</t>
        </is>
      </c>
    </row>
    <row r="804">
      <c r="A804" s="309" t="inlineStr">
        <is>
          <t>held for review</t>
        </is>
      </c>
      <c r="B804" s="244" t="inlineStr">
        <is>
          <t>J31112501</t>
        </is>
      </c>
      <c r="C804" s="243" t="inlineStr">
        <is>
          <t>P060202</t>
        </is>
      </c>
      <c r="D804" s="243" t="inlineStr">
        <is>
          <t>100-1-K-26</t>
        </is>
      </c>
      <c r="E804" s="245" t="n">
        <v>46121</v>
      </c>
      <c r="F804" s="243" t="inlineStr">
        <is>
          <t>FHM-K</t>
        </is>
      </c>
      <c r="G804" s="243" t="inlineStr">
        <is>
          <t>#3</t>
        </is>
      </c>
      <c r="H804" s="308" t="inlineStr">
        <is>
          <t>The two independent reads disagreed. A person must read the figure from the page and confirm it.</t>
        </is>
      </c>
    </row>
    <row r="805">
      <c r="A805" s="309" t="inlineStr">
        <is>
          <t>lot not on tracker</t>
        </is>
      </c>
      <c r="B805" s="244" t="inlineStr">
        <is>
          <t>N/A — no P batch assigned</t>
        </is>
      </c>
      <c r="C805" s="243" t="inlineStr">
        <is>
          <t>N/A — no P batch assigned</t>
        </is>
      </c>
      <c r="D805" s="243" t="inlineStr">
        <is>
          <t>iCoA — at issue (FB042601)</t>
        </is>
      </c>
      <c r="E805" s="245" t="inlineStr">
        <is>
          <t>packaging date — to record</t>
        </is>
      </c>
      <c r="F805" s="243" t="inlineStr">
        <is>
          <t>PP</t>
        </is>
      </c>
      <c r="G805" s="243" t="inlineStr">
        <is>
          <t>#1, #2, #7</t>
        </is>
      </c>
      <c r="H805" s="308" t="inlineStr">
        <is>
          <t>The certificate names a P batch the owner's tracker does not carry. Record the lot (cultivation batch code, strain) on the tracker so the certificate is credited under its batch.</t>
        </is>
      </c>
    </row>
    <row r="806">
      <c r="A806" s="309" t="inlineStr">
        <is>
          <t>lot not on tracker</t>
        </is>
      </c>
      <c r="B806" s="244" t="inlineStr">
        <is>
          <t>N/A — no P batch assigned</t>
        </is>
      </c>
      <c r="C806" s="243" t="inlineStr">
        <is>
          <t>N/A — no P batch assigned</t>
        </is>
      </c>
      <c r="D806" s="243" t="inlineStr">
        <is>
          <t>220-31-K-26</t>
        </is>
      </c>
      <c r="E806" s="245" t="n">
        <v>46260</v>
      </c>
      <c r="F806" s="243" t="inlineStr">
        <is>
          <t>FHM-K</t>
        </is>
      </c>
      <c r="G806" s="243" t="inlineStr">
        <is>
          <t>#3, #4, #5, #6</t>
        </is>
      </c>
      <c r="H806" s="308" t="inlineStr">
        <is>
          <t>The certificate names a P batch the owner's tracker does not carry. Record the lot (cultivation batch code, strain) on the tracker so the certificate is credited under its batch.</t>
        </is>
      </c>
    </row>
    <row r="807">
      <c r="A807" s="309" t="inlineStr">
        <is>
          <t>lot not on tracker</t>
        </is>
      </c>
      <c r="B807" s="244" t="inlineStr">
        <is>
          <t>N/A — no P batch assigned</t>
        </is>
      </c>
      <c r="C807" s="243" t="inlineStr">
        <is>
          <t>N/A — no P batch assigned</t>
        </is>
      </c>
      <c r="D807" s="243" t="inlineStr">
        <is>
          <t>220-31-M-26</t>
        </is>
      </c>
      <c r="E807" s="245" t="n">
        <v>46276</v>
      </c>
      <c r="F807" s="243" t="inlineStr">
        <is>
          <t>FHM-M</t>
        </is>
      </c>
      <c r="G807" s="243" t="inlineStr">
        <is>
          <t>#10</t>
        </is>
      </c>
      <c r="H807" s="308" t="inlineStr">
        <is>
          <t>The certificate names a P batch the owner's tracker does not carry. Record the lot (cultivation batch code, strain) on the tracker so the certificate is credited under its batch.</t>
        </is>
      </c>
    </row>
    <row r="808">
      <c r="A808" s="309" t="inlineStr">
        <is>
          <t>lot not on tracker</t>
        </is>
      </c>
      <c r="B808" s="244" t="inlineStr">
        <is>
          <t>N/A — no P batch assigned</t>
        </is>
      </c>
      <c r="C808" s="243" t="inlineStr">
        <is>
          <t>N/A — no P batch assigned</t>
        </is>
      </c>
      <c r="D808" s="243" t="inlineStr">
        <is>
          <t>iCoA — at issue (CC042601)</t>
        </is>
      </c>
      <c r="E808" s="245" t="inlineStr">
        <is>
          <t>packaging date — to record</t>
        </is>
      </c>
      <c r="F808" s="243" t="inlineStr">
        <is>
          <t>PP</t>
        </is>
      </c>
      <c r="G808" s="243" t="inlineStr">
        <is>
          <t>#1, #2, #7</t>
        </is>
      </c>
      <c r="H808" s="308" t="inlineStr">
        <is>
          <t>The certificate names a P batch the owner's tracker does not carry. Record the lot (cultivation batch code, strain) on the tracker so the certificate is credited under its batch.</t>
        </is>
      </c>
    </row>
    <row r="809">
      <c r="A809" s="309" t="inlineStr">
        <is>
          <t>lot not on tracker</t>
        </is>
      </c>
      <c r="B809" s="244" t="inlineStr">
        <is>
          <t>N/A — no P batch assigned</t>
        </is>
      </c>
      <c r="C809" s="243" t="inlineStr">
        <is>
          <t>N/A — no P batch assigned</t>
        </is>
      </c>
      <c r="D809" s="243" t="inlineStr">
        <is>
          <t>220-32-K-26</t>
        </is>
      </c>
      <c r="E809" s="245" t="n">
        <v>46260</v>
      </c>
      <c r="F809" s="243" t="inlineStr">
        <is>
          <t>FHM-K</t>
        </is>
      </c>
      <c r="G809" s="243" t="inlineStr">
        <is>
          <t>#3, #4, #5, #6</t>
        </is>
      </c>
      <c r="H809" s="308" t="inlineStr">
        <is>
          <t>The certificate names a P batch the owner's tracker does not carry. Record the lot (cultivation batch code, strain) on the tracker so the certificate is credited under its batch.</t>
        </is>
      </c>
    </row>
    <row r="810">
      <c r="A810" s="309" t="inlineStr">
        <is>
          <t>lot not on tracker</t>
        </is>
      </c>
      <c r="B810" s="244" t="inlineStr">
        <is>
          <t>N/A — no P batch assigned</t>
        </is>
      </c>
      <c r="C810" s="243" t="inlineStr">
        <is>
          <t>N/A — no P batch assigned</t>
        </is>
      </c>
      <c r="D810" s="243" t="inlineStr">
        <is>
          <t>220-32-M-26</t>
        </is>
      </c>
      <c r="E810" s="245" t="n">
        <v>46276</v>
      </c>
      <c r="F810" s="243" t="inlineStr">
        <is>
          <t>FHM-M</t>
        </is>
      </c>
      <c r="G810" s="243" t="inlineStr">
        <is>
          <t>#10</t>
        </is>
      </c>
      <c r="H810" s="308" t="inlineStr">
        <is>
          <t>The certificate names a P batch the owner's tracker does not carry. Record the lot (cultivation batch code, strain) on the tracker so the certificate is credited under its batch.</t>
        </is>
      </c>
    </row>
    <row r="811">
      <c r="A811" s="309" t="inlineStr">
        <is>
          <t>lot not on tracker</t>
        </is>
      </c>
      <c r="B811" s="244" t="inlineStr">
        <is>
          <t>P050142</t>
        </is>
      </c>
      <c r="C811" s="243" t="inlineStr">
        <is>
          <t>P050142</t>
        </is>
      </c>
      <c r="D811" s="243" t="inlineStr">
        <is>
          <t>iCoA-PP_26-020</t>
        </is>
      </c>
      <c r="E811" s="245" t="n">
        <v>45930</v>
      </c>
      <c r="F811" s="243" t="inlineStr">
        <is>
          <t>PP</t>
        </is>
      </c>
      <c r="G811" s="243" t="inlineStr">
        <is>
          <t>#1, #2, #7</t>
        </is>
      </c>
      <c r="H811" s="308" t="inlineStr">
        <is>
          <t>The certificate names a P batch the owner's tracker does not carry. Record the lot (cultivation batch code, strain) on the tracker so the certificate is credited under its batch.</t>
        </is>
      </c>
    </row>
    <row r="812">
      <c r="A812" s="309" t="inlineStr">
        <is>
          <t>lot not on tracker</t>
        </is>
      </c>
      <c r="B812" s="244" t="inlineStr">
        <is>
          <t>P050142</t>
        </is>
      </c>
      <c r="C812" s="243" t="inlineStr">
        <is>
          <t>P050142</t>
        </is>
      </c>
      <c r="D812" s="243" t="inlineStr">
        <is>
          <t>227-1-K-26</t>
        </is>
      </c>
      <c r="E812" s="245" t="n">
        <v>46276</v>
      </c>
      <c r="F812" s="243" t="inlineStr">
        <is>
          <t>FHM-K</t>
        </is>
      </c>
      <c r="G812" s="243" t="inlineStr">
        <is>
          <t>#3, #4, #5, #6</t>
        </is>
      </c>
      <c r="H812" s="308" t="inlineStr">
        <is>
          <t>The certificate names a P batch the owner's tracker does not carry. Record the lot (cultivation batch code, strain) on the tracker so the certificate is credited under its batch.</t>
        </is>
      </c>
    </row>
    <row r="813">
      <c r="A813" s="309" t="inlineStr">
        <is>
          <t>lot not on tracker</t>
        </is>
      </c>
      <c r="B813" s="244" t="inlineStr">
        <is>
          <t>P050142</t>
        </is>
      </c>
      <c r="C813" s="243" t="inlineStr">
        <is>
          <t>P050142</t>
        </is>
      </c>
      <c r="D813" s="243" t="inlineStr">
        <is>
          <t>559-1090-26</t>
        </is>
      </c>
      <c r="E813" s="245" t="n">
        <v>46266</v>
      </c>
      <c r="F813" s="243" t="inlineStr">
        <is>
          <t>IJZ-MB</t>
        </is>
      </c>
      <c r="G813" s="243" t="inlineStr">
        <is>
          <t>#9</t>
        </is>
      </c>
      <c r="H813" s="308" t="inlineStr">
        <is>
          <t>The certificate names a P batch the owner's tracker does not carry. Record the lot (cultivation batch code, strain) on the tracker so the certificate is credited under its batch.</t>
        </is>
      </c>
    </row>
    <row r="814">
      <c r="A814" s="309" t="inlineStr">
        <is>
          <t>lot not on tracker</t>
        </is>
      </c>
      <c r="B814" s="244" t="inlineStr">
        <is>
          <t>P060102</t>
        </is>
      </c>
      <c r="C814" s="243" t="inlineStr">
        <is>
          <t>P060102</t>
        </is>
      </c>
      <c r="D814" s="243" t="inlineStr">
        <is>
          <t>iCoA-PP_26-045</t>
        </is>
      </c>
      <c r="E814" s="245" t="n">
        <v>46069</v>
      </c>
      <c r="F814" s="243" t="inlineStr">
        <is>
          <t>PP</t>
        </is>
      </c>
      <c r="G814" s="243" t="inlineStr">
        <is>
          <t>#1, #2, #7</t>
        </is>
      </c>
      <c r="H814" s="308" t="inlineStr">
        <is>
          <t>The certificate names a P batch the owner's tracker does not carry. Record the lot (cultivation batch code, strain) on the tracker so the certificate is credited under its batch.</t>
        </is>
      </c>
    </row>
    <row r="815">
      <c r="A815" s="309" t="inlineStr">
        <is>
          <t>lot not on tracker</t>
        </is>
      </c>
      <c r="B815" s="244" t="inlineStr">
        <is>
          <t>P060102</t>
        </is>
      </c>
      <c r="C815" s="243" t="inlineStr">
        <is>
          <t>P060102</t>
        </is>
      </c>
      <c r="D815" s="243" t="inlineStr">
        <is>
          <t>227-4-K-26</t>
        </is>
      </c>
      <c r="E815" s="245" t="n">
        <v>46276</v>
      </c>
      <c r="F815" s="243" t="inlineStr">
        <is>
          <t>FHM-K</t>
        </is>
      </c>
      <c r="G815" s="243" t="inlineStr">
        <is>
          <t>#3, #4, #5, #6</t>
        </is>
      </c>
      <c r="H815" s="308" t="inlineStr">
        <is>
          <t>The certificate names a P batch the owner's tracker does not carry. Record the lot (cultivation batch code, strain) on the tracker so the certificate is credited under its batch.</t>
        </is>
      </c>
    </row>
    <row r="816">
      <c r="A816" s="309" t="inlineStr">
        <is>
          <t>lot not on tracker</t>
        </is>
      </c>
      <c r="B816" s="244" t="inlineStr">
        <is>
          <t>P060102</t>
        </is>
      </c>
      <c r="C816" s="243" t="inlineStr">
        <is>
          <t>P060102</t>
        </is>
      </c>
      <c r="D816" s="243" t="inlineStr">
        <is>
          <t>031-3-ГС-26</t>
        </is>
      </c>
      <c r="E816" s="245" t="n">
        <v>46065</v>
      </c>
      <c r="F816" s="243" t="inlineStr">
        <is>
          <t>FHM</t>
        </is>
      </c>
      <c r="G816" s="243" t="inlineStr">
        <is>
          <t>#8</t>
        </is>
      </c>
      <c r="H816" s="308" t="inlineStr">
        <is>
          <t>The certificate names a P batch the owner's tracker does not carry. Record the lot (cultivation batch code, strain) on the tracker so the certificate is credited under its batch.</t>
        </is>
      </c>
    </row>
    <row r="817">
      <c r="A817" s="309" t="inlineStr">
        <is>
          <t>lot not on tracker</t>
        </is>
      </c>
      <c r="B817" s="244" t="inlineStr">
        <is>
          <t>P060102</t>
        </is>
      </c>
      <c r="C817" s="243" t="inlineStr">
        <is>
          <t>P060102</t>
        </is>
      </c>
      <c r="D817" s="243" t="inlineStr">
        <is>
          <t>551-1082-26</t>
        </is>
      </c>
      <c r="E817" s="245" t="n">
        <v>46266</v>
      </c>
      <c r="F817" s="243" t="inlineStr">
        <is>
          <t>IJZ-MB</t>
        </is>
      </c>
      <c r="G817" s="243" t="inlineStr">
        <is>
          <t>#9</t>
        </is>
      </c>
      <c r="H817" s="308" t="inlineStr">
        <is>
          <t>The certificate names a P batch the owner's tracker does not carry. Record the lot (cultivation batch code, strain) on the tracker so the certificate is credited under its batch.</t>
        </is>
      </c>
    </row>
    <row r="818">
      <c r="A818" s="309" t="inlineStr">
        <is>
          <t>lot not on tracker</t>
        </is>
      </c>
      <c r="B818" s="244" t="inlineStr">
        <is>
          <t>P060112</t>
        </is>
      </c>
      <c r="C818" s="243" t="inlineStr">
        <is>
          <t>P060112</t>
        </is>
      </c>
      <c r="D818" s="243" t="inlineStr">
        <is>
          <t>iCoA-PP_26-046</t>
        </is>
      </c>
      <c r="E818" s="245" t="n">
        <v>46070</v>
      </c>
      <c r="F818" s="243" t="inlineStr">
        <is>
          <t>PP</t>
        </is>
      </c>
      <c r="G818" s="243" t="inlineStr">
        <is>
          <t>#1, #2, #7</t>
        </is>
      </c>
      <c r="H818" s="308" t="inlineStr">
        <is>
          <t>The certificate names a P batch the owner's tracker does not carry. Record the lot (cultivation batch code, strain) on the tracker so the certificate is credited under its batch.</t>
        </is>
      </c>
    </row>
    <row r="819">
      <c r="A819" s="309" t="inlineStr">
        <is>
          <t>lot not on tracker</t>
        </is>
      </c>
      <c r="B819" s="244" t="inlineStr">
        <is>
          <t>P060112</t>
        </is>
      </c>
      <c r="C819" s="243" t="inlineStr">
        <is>
          <t>P060112</t>
        </is>
      </c>
      <c r="D819" s="243" t="inlineStr">
        <is>
          <t>220-25-K-26</t>
        </is>
      </c>
      <c r="E819" s="245" t="n">
        <v>46260</v>
      </c>
      <c r="F819" s="243" t="inlineStr">
        <is>
          <t>FHM-K</t>
        </is>
      </c>
      <c r="G819" s="243" t="inlineStr">
        <is>
          <t>#3, #4, #5, #6</t>
        </is>
      </c>
      <c r="H819" s="308" t="inlineStr">
        <is>
          <t>The certificate names a P batch the owner's tracker does not carry. Record the lot (cultivation batch code, strain) on the tracker so the certificate is credited under its batch.</t>
        </is>
      </c>
    </row>
    <row r="820">
      <c r="A820" s="309" t="inlineStr">
        <is>
          <t>lot not on tracker</t>
        </is>
      </c>
      <c r="B820" s="244" t="inlineStr">
        <is>
          <t>P060112</t>
        </is>
      </c>
      <c r="C820" s="243" t="inlineStr">
        <is>
          <t>P060112</t>
        </is>
      </c>
      <c r="D820" s="243" t="inlineStr">
        <is>
          <t>220-25-M-26</t>
        </is>
      </c>
      <c r="E820" s="245" t="n">
        <v>46276</v>
      </c>
      <c r="F820" s="243" t="inlineStr">
        <is>
          <t>FHM-M</t>
        </is>
      </c>
      <c r="G820" s="243" t="inlineStr">
        <is>
          <t>#10</t>
        </is>
      </c>
      <c r="H820" s="308" t="inlineStr">
        <is>
          <t>The certificate names a P batch the owner's tracker does not carry. Record the lot (cultivation batch code, strain) on the tracker so the certificate is credited under its batch.</t>
        </is>
      </c>
    </row>
    <row r="821">
      <c r="A821" s="309" t="inlineStr">
        <is>
          <t>lot not on tracker</t>
        </is>
      </c>
      <c r="B821" s="244" t="inlineStr">
        <is>
          <t>P060122</t>
        </is>
      </c>
      <c r="C821" s="243" t="inlineStr">
        <is>
          <t>P060122</t>
        </is>
      </c>
      <c r="D821" s="243" t="inlineStr">
        <is>
          <t>iCoA-PP_26-047</t>
        </is>
      </c>
      <c r="E821" s="245" t="n">
        <v>46071</v>
      </c>
      <c r="F821" s="243" t="inlineStr">
        <is>
          <t>PP</t>
        </is>
      </c>
      <c r="G821" s="243" t="inlineStr">
        <is>
          <t>#1, #2, #7</t>
        </is>
      </c>
      <c r="H821" s="308" t="inlineStr">
        <is>
          <t>The certificate names a P batch the owner's tracker does not carry. Record the lot (cultivation batch code, strain) on the tracker so the certificate is credited under its batch.</t>
        </is>
      </c>
    </row>
    <row r="822">
      <c r="A822" s="309" t="inlineStr">
        <is>
          <t>lot not on tracker</t>
        </is>
      </c>
      <c r="B822" s="244" t="inlineStr">
        <is>
          <t>P060122</t>
        </is>
      </c>
      <c r="C822" s="243" t="inlineStr">
        <is>
          <t>P060122</t>
        </is>
      </c>
      <c r="D822" s="243" t="inlineStr">
        <is>
          <t>220-1-K-26</t>
        </is>
      </c>
      <c r="E822" s="245" t="n">
        <v>46259</v>
      </c>
      <c r="F822" s="243" t="inlineStr">
        <is>
          <t>FHM-K</t>
        </is>
      </c>
      <c r="G822" s="243" t="inlineStr">
        <is>
          <t>#3, #4, #5, #6</t>
        </is>
      </c>
      <c r="H822" s="308" t="inlineStr">
        <is>
          <t>The certificate names a P batch the owner's tracker does not carry. Record the lot (cultivation batch code, strain) on the tracker so the certificate is credited under its batch.</t>
        </is>
      </c>
    </row>
    <row r="823">
      <c r="A823" s="309" t="inlineStr">
        <is>
          <t>lot not on tracker</t>
        </is>
      </c>
      <c r="B823" s="244" t="inlineStr">
        <is>
          <t>P060122</t>
        </is>
      </c>
      <c r="C823" s="243" t="inlineStr">
        <is>
          <t>P060122</t>
        </is>
      </c>
      <c r="D823" s="243" t="inlineStr">
        <is>
          <t>220-1-M-26</t>
        </is>
      </c>
      <c r="E823" s="245" t="n">
        <v>46276</v>
      </c>
      <c r="F823" s="243" t="inlineStr">
        <is>
          <t>FHM-M</t>
        </is>
      </c>
      <c r="G823" s="243" t="inlineStr">
        <is>
          <t>#10</t>
        </is>
      </c>
      <c r="H823" s="308" t="inlineStr">
        <is>
          <t>The certificate names a P batch the owner's tracker does not carry. Record the lot (cultivation batch code, strain) on the tracker so the certificate is credited under its batch.</t>
        </is>
      </c>
    </row>
    <row r="824">
      <c r="A824" s="309" t="inlineStr">
        <is>
          <t>lot not on tracker</t>
        </is>
      </c>
      <c r="B824" s="244" t="inlineStr">
        <is>
          <t>P060132</t>
        </is>
      </c>
      <c r="C824" s="243" t="inlineStr">
        <is>
          <t>P060132</t>
        </is>
      </c>
      <c r="D824" s="243" t="inlineStr">
        <is>
          <t>iCoA-PP_26-048</t>
        </is>
      </c>
      <c r="E824" s="245" t="n">
        <v>46072</v>
      </c>
      <c r="F824" s="243" t="inlineStr">
        <is>
          <t>PP</t>
        </is>
      </c>
      <c r="G824" s="243" t="inlineStr">
        <is>
          <t>#1, #2, #7</t>
        </is>
      </c>
      <c r="H824" s="308" t="inlineStr">
        <is>
          <t>The certificate names a P batch the owner's tracker does not carry. Record the lot (cultivation batch code, strain) on the tracker so the certificate is credited under its batch.</t>
        </is>
      </c>
    </row>
    <row r="825">
      <c r="A825" s="309" t="inlineStr">
        <is>
          <t>lot not on tracker</t>
        </is>
      </c>
      <c r="B825" s="244" t="inlineStr">
        <is>
          <t>P060132</t>
        </is>
      </c>
      <c r="C825" s="243" t="inlineStr">
        <is>
          <t>P060132</t>
        </is>
      </c>
      <c r="D825" s="243" t="inlineStr">
        <is>
          <t>220-6-K-26</t>
        </is>
      </c>
      <c r="E825" s="245" t="n">
        <v>46259</v>
      </c>
      <c r="F825" s="243" t="inlineStr">
        <is>
          <t>FHM-K</t>
        </is>
      </c>
      <c r="G825" s="243" t="inlineStr">
        <is>
          <t>#3, #4, #5, #6</t>
        </is>
      </c>
      <c r="H825" s="308" t="inlineStr">
        <is>
          <t>The certificate names a P batch the owner's tracker does not carry. Record the lot (cultivation batch code, strain) on the tracker so the certificate is credited under its batch.</t>
        </is>
      </c>
    </row>
    <row r="826">
      <c r="A826" s="309" t="inlineStr">
        <is>
          <t>lot not on tracker</t>
        </is>
      </c>
      <c r="B826" s="244" t="inlineStr">
        <is>
          <t>P060132</t>
        </is>
      </c>
      <c r="C826" s="243" t="inlineStr">
        <is>
          <t>P060132</t>
        </is>
      </c>
      <c r="D826" s="243" t="inlineStr">
        <is>
          <t>220-6-M-26</t>
        </is>
      </c>
      <c r="E826" s="245" t="n">
        <v>46276</v>
      </c>
      <c r="F826" s="243" t="inlineStr">
        <is>
          <t>FHM-M</t>
        </is>
      </c>
      <c r="G826" s="243" t="inlineStr">
        <is>
          <t>#10</t>
        </is>
      </c>
      <c r="H826" s="308" t="inlineStr">
        <is>
          <t>The certificate names a P batch the owner's tracker does not carry. Record the lot (cultivation batch code, strain) on the tracker so the certificate is credited under its batch.</t>
        </is>
      </c>
    </row>
    <row r="827">
      <c r="A827" s="309" t="inlineStr">
        <is>
          <t>lot not on tracker</t>
        </is>
      </c>
      <c r="B827" s="244" t="inlineStr">
        <is>
          <t>P060342</t>
        </is>
      </c>
      <c r="C827" s="243" t="inlineStr">
        <is>
          <t>P060342</t>
        </is>
      </c>
      <c r="D827" s="243" t="inlineStr">
        <is>
          <t>iCoA-PP_26-088</t>
        </is>
      </c>
      <c r="E827" s="245" t="n">
        <v>46167</v>
      </c>
      <c r="F827" s="243" t="inlineStr">
        <is>
          <t>PP</t>
        </is>
      </c>
      <c r="G827" s="243" t="inlineStr">
        <is>
          <t>#1, #2, #7</t>
        </is>
      </c>
      <c r="H827" s="308" t="inlineStr">
        <is>
          <t>The certificate names a P batch the owner's tracker does not carry. Record the lot (cultivation batch code, strain) on the tracker so the certificate is credited under its batch.</t>
        </is>
      </c>
    </row>
    <row r="828">
      <c r="A828" s="309" t="inlineStr">
        <is>
          <t>lot not on tracker</t>
        </is>
      </c>
      <c r="B828" s="244" t="inlineStr">
        <is>
          <t>P060342</t>
        </is>
      </c>
      <c r="C828" s="243" t="inlineStr">
        <is>
          <t>P060342</t>
        </is>
      </c>
      <c r="D828" s="243" t="inlineStr">
        <is>
          <t>227-8-K-26</t>
        </is>
      </c>
      <c r="E828" s="245" t="n">
        <v>46276</v>
      </c>
      <c r="F828" s="243" t="inlineStr">
        <is>
          <t>FHM-K</t>
        </is>
      </c>
      <c r="G828" s="243" t="inlineStr">
        <is>
          <t>#3, #4, #5, #6</t>
        </is>
      </c>
      <c r="H828" s="308" t="inlineStr">
        <is>
          <t>The certificate names a P batch the owner's tracker does not carry. Record the lot (cultivation batch code, strain) on the tracker so the certificate is credited under its batch.</t>
        </is>
      </c>
    </row>
    <row r="829">
      <c r="A829" s="309" t="inlineStr">
        <is>
          <t>lot not on tracker</t>
        </is>
      </c>
      <c r="B829" s="244" t="inlineStr">
        <is>
          <t>P060342</t>
        </is>
      </c>
      <c r="C829" s="243" t="inlineStr">
        <is>
          <t>P060342</t>
        </is>
      </c>
      <c r="D829" s="243" t="inlineStr">
        <is>
          <t>539-1070-26</t>
        </is>
      </c>
      <c r="E829" s="245" t="n">
        <v>46265</v>
      </c>
      <c r="F829" s="243" t="inlineStr">
        <is>
          <t>IJZ-MB</t>
        </is>
      </c>
      <c r="G829" s="243" t="inlineStr">
        <is>
          <t>#9</t>
        </is>
      </c>
      <c r="H829" s="308" t="inlineStr">
        <is>
          <t>The certificate names a P batch the owner's tracker does not carry. Record the lot (cultivation batch code, strain) on the tracker so the certificate is credited under its batch.</t>
        </is>
      </c>
    </row>
    <row r="830">
      <c r="A830" s="309" t="inlineStr">
        <is>
          <t>lot not on tracker</t>
        </is>
      </c>
      <c r="B830" s="244" t="inlineStr">
        <is>
          <t>P060372</t>
        </is>
      </c>
      <c r="C830" s="243" t="inlineStr">
        <is>
          <t>P060372</t>
        </is>
      </c>
      <c r="D830" s="243" t="inlineStr">
        <is>
          <t>iCoA-PP_26-084</t>
        </is>
      </c>
      <c r="E830" s="245" t="n">
        <v>46166</v>
      </c>
      <c r="F830" s="243" t="inlineStr">
        <is>
          <t>PP</t>
        </is>
      </c>
      <c r="G830" s="243" t="inlineStr">
        <is>
          <t>#1, #2, #7</t>
        </is>
      </c>
      <c r="H830" s="308" t="inlineStr">
        <is>
          <t>The certificate names a P batch the owner's tracker does not carry. Record the lot (cultivation batch code, strain) on the tracker so the certificate is credited under its batch.</t>
        </is>
      </c>
    </row>
    <row r="831">
      <c r="A831" s="309" t="inlineStr">
        <is>
          <t>lot not on tracker</t>
        </is>
      </c>
      <c r="B831" s="244" t="inlineStr">
        <is>
          <t>P060372</t>
        </is>
      </c>
      <c r="C831" s="243" t="inlineStr">
        <is>
          <t>P060372</t>
        </is>
      </c>
      <c r="D831" s="243" t="inlineStr">
        <is>
          <t>220-29-K-26</t>
        </is>
      </c>
      <c r="E831" s="245" t="n">
        <v>46260</v>
      </c>
      <c r="F831" s="243" t="inlineStr">
        <is>
          <t>FHM-K</t>
        </is>
      </c>
      <c r="G831" s="243" t="inlineStr">
        <is>
          <t>#3, #4, #5, #6</t>
        </is>
      </c>
      <c r="H831" s="308" t="inlineStr">
        <is>
          <t>The certificate names a P batch the owner's tracker does not carry. Record the lot (cultivation batch code, strain) on the tracker so the certificate is credited under its batch.</t>
        </is>
      </c>
    </row>
    <row r="832">
      <c r="A832" s="309" t="inlineStr">
        <is>
          <t>lot not on tracker</t>
        </is>
      </c>
      <c r="B832" s="244" t="inlineStr">
        <is>
          <t>P060372</t>
        </is>
      </c>
      <c r="C832" s="243" t="inlineStr">
        <is>
          <t>P060372</t>
        </is>
      </c>
      <c r="D832" s="243" t="inlineStr">
        <is>
          <t>220-29-M-26</t>
        </is>
      </c>
      <c r="E832" s="245" t="n">
        <v>46276</v>
      </c>
      <c r="F832" s="243" t="inlineStr">
        <is>
          <t>FHM-M</t>
        </is>
      </c>
      <c r="G832" s="243" t="inlineStr">
        <is>
          <t>#10</t>
        </is>
      </c>
      <c r="H832" s="308" t="inlineStr">
        <is>
          <t>The certificate names a P batch the owner's tracker does not carry. Record the lot (cultivation batch code, strain) on the tracker so the certificate is credited under its batch.</t>
        </is>
      </c>
    </row>
    <row r="833">
      <c r="A833" s="309" t="inlineStr">
        <is>
          <t>lot not on tracker</t>
        </is>
      </c>
      <c r="B833" s="244" t="inlineStr">
        <is>
          <t>P060492</t>
        </is>
      </c>
      <c r="C833" s="243" t="inlineStr">
        <is>
          <t>P060492</t>
        </is>
      </c>
      <c r="D833" s="243" t="inlineStr">
        <is>
          <t>iCoA-PP_26-122</t>
        </is>
      </c>
      <c r="E833" s="245" t="n">
        <v>46247</v>
      </c>
      <c r="F833" s="243" t="inlineStr">
        <is>
          <t>PP</t>
        </is>
      </c>
      <c r="G833" s="243" t="inlineStr">
        <is>
          <t>#1, #2, #7</t>
        </is>
      </c>
      <c r="H833" s="308" t="inlineStr">
        <is>
          <t>The certificate names a P batch the owner's tracker does not carry. Record the lot (cultivation batch code, strain) on the tracker so the certificate is credited under its batch.</t>
        </is>
      </c>
    </row>
    <row r="834">
      <c r="A834" s="309" t="inlineStr">
        <is>
          <t>lot not on tracker</t>
        </is>
      </c>
      <c r="B834" s="244" t="inlineStr">
        <is>
          <t>P060492</t>
        </is>
      </c>
      <c r="C834" s="243" t="inlineStr">
        <is>
          <t>P060492</t>
        </is>
      </c>
      <c r="D834" s="243" t="inlineStr">
        <is>
          <t>220-30-K-26</t>
        </is>
      </c>
      <c r="E834" s="245" t="n">
        <v>46260</v>
      </c>
      <c r="F834" s="243" t="inlineStr">
        <is>
          <t>FHM-K</t>
        </is>
      </c>
      <c r="G834" s="243" t="inlineStr">
        <is>
          <t>#3, #4, #5, #6</t>
        </is>
      </c>
      <c r="H834" s="308" t="inlineStr">
        <is>
          <t>The certificate names a P batch the owner's tracker does not carry. Record the lot (cultivation batch code, strain) on the tracker so the certificate is credited under its batch.</t>
        </is>
      </c>
    </row>
    <row r="835">
      <c r="A835" s="309" t="inlineStr">
        <is>
          <t>lot not on tracker</t>
        </is>
      </c>
      <c r="B835" s="244" t="inlineStr">
        <is>
          <t>P060492</t>
        </is>
      </c>
      <c r="C835" s="243" t="inlineStr">
        <is>
          <t>P060492</t>
        </is>
      </c>
      <c r="D835" s="243" t="inlineStr">
        <is>
          <t>220-30-M-26</t>
        </is>
      </c>
      <c r="E835" s="245" t="n">
        <v>46276</v>
      </c>
      <c r="F835" s="243" t="inlineStr">
        <is>
          <t>FHM-M</t>
        </is>
      </c>
      <c r="G835" s="243" t="inlineStr">
        <is>
          <t>#10</t>
        </is>
      </c>
      <c r="H835" s="308" t="inlineStr">
        <is>
          <t>The certificate names a P batch the owner's tracker does not carry. Record the lot (cultivation batch code, strain) on the tracker so the certificate is credited under its batch.</t>
        </is>
      </c>
    </row>
    <row r="836">
      <c r="A836" s="309" t="inlineStr">
        <is>
          <t>non-conformance reported</t>
        </is>
      </c>
      <c r="B836" s="244" t="inlineStr">
        <is>
          <t>FB032601</t>
        </is>
      </c>
      <c r="C836" s="243" t="inlineStr">
        <is>
          <t>P060452</t>
        </is>
      </c>
      <c r="D836" s="243" t="inlineStr">
        <is>
          <t>ППК26127</t>
        </is>
      </c>
      <c r="E836" s="245" t="n">
        <v>46224</v>
      </c>
      <c r="F836" s="243" t="inlineStr">
        <is>
          <t>CNP</t>
        </is>
      </c>
      <c r="G836" s="243" t="inlineStr">
        <is>
          <t>#7</t>
        </is>
      </c>
      <c r="H836" s="308" t="inlineStr">
        <is>
          <t>The laboratory reports the result as not conforming (Не одговара). A deviation / OOS record is needed before this lot's CoQ can issue.</t>
        </is>
      </c>
    </row>
    <row r="837">
      <c r="A837" s="307" t="inlineStr">
        <is>
          <t>not ingested</t>
        </is>
      </c>
      <c r="B837" s="244" t="inlineStr">
        <is>
          <t>J31122501</t>
        </is>
      </c>
      <c r="C837" s="243" t="inlineStr">
        <is>
          <t>P060262</t>
        </is>
      </c>
      <c r="D837" s="243" t="inlineStr">
        <is>
          <t>1625-2026</t>
        </is>
      </c>
      <c r="E837" s="245" t="n">
        <v>46135</v>
      </c>
      <c r="F837" s="243" t="inlineStr">
        <is>
          <t>IJZ</t>
        </is>
      </c>
      <c r="G837" s="243" t="inlineStr">
        <is>
          <t>#11</t>
        </is>
      </c>
      <c r="H837" s="308" t="inlineStr">
        <is>
          <t>Re-extract the document into the eCoA database (two independent reads, 300 DPI). Until then the lot cannot reach a CoQ on these parameters.</t>
        </is>
      </c>
    </row>
    <row r="838">
      <c r="A838" s="307" t="inlineStr">
        <is>
          <t>not ingested</t>
        </is>
      </c>
      <c r="B838" s="244" t="inlineStr">
        <is>
          <t>J31122501</t>
        </is>
      </c>
      <c r="C838" s="243" t="inlineStr">
        <is>
          <t>P060262</t>
        </is>
      </c>
      <c r="D838" s="243" t="inlineStr">
        <is>
          <t>100-3-K-26</t>
        </is>
      </c>
      <c r="E838" s="245" t="n">
        <v>46121</v>
      </c>
      <c r="F838" s="243" t="inlineStr">
        <is>
          <t>FHM-K</t>
        </is>
      </c>
      <c r="G838" s="243" t="inlineStr">
        <is>
          <t>#3</t>
        </is>
      </c>
      <c r="H838" s="308" t="inlineStr">
        <is>
          <t>Re-extract the document into the eCoA database (two independent reads, 300 DPI). Until then the lot cannot reach a CoQ on these parameters.</t>
        </is>
      </c>
    </row>
    <row r="839">
      <c r="A839" s="307" t="inlineStr">
        <is>
          <t>not ingested</t>
        </is>
      </c>
      <c r="B839" s="244" t="inlineStr">
        <is>
          <t>MB0824_04</t>
        </is>
      </c>
      <c r="C839" s="243" t="inlineStr">
        <is>
          <t>P050032</t>
        </is>
      </c>
      <c r="D839" s="243" t="inlineStr">
        <is>
          <t>ППК25118</t>
        </is>
      </c>
      <c r="E839" s="245" t="n">
        <v>45783</v>
      </c>
      <c r="F839" s="243" t="inlineStr">
        <is>
          <t>CNP</t>
        </is>
      </c>
      <c r="G839" s="243" t="inlineStr">
        <is>
          <t>#6</t>
        </is>
      </c>
      <c r="H839" s="308" t="inlineStr">
        <is>
          <t>Re-extract the document into the eCoA database (two independent reads, 300 DPI). Until then the lot cannot reach a CoQ on these parameters.</t>
        </is>
      </c>
    </row>
    <row r="840">
      <c r="A840" s="307" t="inlineStr">
        <is>
          <t>not ingested</t>
        </is>
      </c>
      <c r="B840" s="244" t="inlineStr">
        <is>
          <t>OPM052501</t>
        </is>
      </c>
      <c r="C840" s="243" t="inlineStr">
        <is>
          <t>P050132</t>
        </is>
      </c>
      <c r="D840" s="243" t="inlineStr">
        <is>
          <t>ППК25257</t>
        </is>
      </c>
      <c r="E840" s="245" t="n">
        <v>45905</v>
      </c>
      <c r="F840" s="243" t="inlineStr">
        <is>
          <t>CNP</t>
        </is>
      </c>
      <c r="G840" s="243" t="inlineStr">
        <is>
          <t>#6</t>
        </is>
      </c>
      <c r="H840" s="308" t="inlineStr">
        <is>
          <t>Re-extract the document into the eCoA database (two independent reads, 300 DPI). Until then the lot cannot reach a CoQ on these parameters.</t>
        </is>
      </c>
    </row>
    <row r="841">
      <c r="A841" s="307" t="inlineStr">
        <is>
          <t>not ingested</t>
        </is>
      </c>
      <c r="B841" s="244" t="inlineStr">
        <is>
          <t>OPM112501</t>
        </is>
      </c>
      <c r="C841" s="243" t="inlineStr">
        <is>
          <t>P060222</t>
        </is>
      </c>
      <c r="D841" s="243" t="inlineStr">
        <is>
          <t>ППК26031</t>
        </is>
      </c>
      <c r="E841" s="245" t="n">
        <v>46086</v>
      </c>
      <c r="F841" s="243" t="inlineStr">
        <is>
          <t>CNP</t>
        </is>
      </c>
      <c r="G841" s="243" t="inlineStr">
        <is>
          <t>#6</t>
        </is>
      </c>
      <c r="H841" s="308" t="inlineStr">
        <is>
          <t>Re-extract the document into the eCoA database (two independent reads, 300 DPI). Until then the lot cannot reach a CoQ on these parameters.</t>
        </is>
      </c>
    </row>
    <row r="842">
      <c r="A842" s="307" t="inlineStr">
        <is>
          <t>not ingested</t>
        </is>
      </c>
      <c r="B842" s="244" t="inlineStr">
        <is>
          <t>PM072501</t>
        </is>
      </c>
      <c r="C842" s="243" t="inlineStr">
        <is>
          <t>P050272</t>
        </is>
      </c>
      <c r="D842" s="243" t="inlineStr">
        <is>
          <t>ППК25368</t>
        </is>
      </c>
      <c r="E842" s="245" t="n">
        <v>45989</v>
      </c>
      <c r="F842" s="243" t="inlineStr">
        <is>
          <t>CNP</t>
        </is>
      </c>
      <c r="G842" s="243" t="inlineStr">
        <is>
          <t>#6</t>
        </is>
      </c>
      <c r="H842" s="308" t="inlineStr">
        <is>
          <t>Re-extract the document into the eCoA database (two independent reads, 300 DPI). Until then the lot cannot reach a CoQ on these parameters.</t>
        </is>
      </c>
    </row>
    <row r="845" ht="20" customHeight="1" s="70">
      <c r="A845" s="264" t="inlineStr">
        <is>
          <t>OPEN ITEMS</t>
        </is>
      </c>
    </row>
    <row r="846">
      <c r="A846" s="310" t="inlineStr">
        <is>
          <t>Ref</t>
        </is>
      </c>
      <c r="B846" s="310" t="inlineStr">
        <is>
          <t>Area</t>
        </is>
      </c>
      <c r="C846" s="310" t="inlineStr">
        <is>
          <t>State</t>
        </is>
      </c>
      <c r="D846" s="310" t="inlineStr">
        <is>
          <t>Item</t>
        </is>
      </c>
      <c r="E846" s="310" t="inlineStr">
        <is>
          <t>What was found</t>
        </is>
      </c>
      <c r="F846" s="310" t="inlineStr">
        <is>
          <t>What the desk did</t>
        </is>
      </c>
      <c r="G846" s="310" t="inlineStr">
        <is>
          <t>What is needed</t>
        </is>
      </c>
      <c r="H846" s="310" t="inlineStr">
        <is>
          <t>Evidence</t>
        </is>
      </c>
    </row>
    <row r="847" ht="66" customHeight="1" s="70">
      <c r="A847" s="311" t="inlineStr">
        <is>
          <t>OI-01</t>
        </is>
      </c>
      <c r="B847" s="311" t="inlineStr">
        <is>
          <t>Specification</t>
        </is>
      </c>
      <c r="C847" s="312" t="inlineStr">
        <is>
          <t>marked</t>
        </is>
      </c>
      <c r="D847" s="313" t="inlineStr">
        <is>
          <t>A lot graded IV or V whose strain has no specification at that grade</t>
        </is>
      </c>
      <c r="E847"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7" s="313" t="inlineStr">
        <is>
          <t>The phenotype, chemotype, processing and packaging pills are left unticked and the band is marked, on 3 lots.</t>
        </is>
      </c>
      <c r="G847"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7" s="313" t="inlineStr">
        <is>
          <t>spec_attributes_2026-09-10.csv; CJ082501/2, GP082501/2, OPM122501</t>
        </is>
      </c>
    </row>
    <row r="848" ht="66" customHeight="1" s="70">
      <c r="A848" s="311" t="inlineStr">
        <is>
          <t>OI-02</t>
        </is>
      </c>
      <c r="B848" s="311" t="inlineStr">
        <is>
          <t>Specification</t>
        </is>
      </c>
      <c r="C848" s="312" t="inlineStr">
        <is>
          <t>marked</t>
        </is>
      </c>
      <c r="D848" s="313" t="inlineStr">
        <is>
          <t>Two certificates name a specification by potency band instead of grade</t>
        </is>
      </c>
      <c r="E848" s="313" t="inlineStr">
        <is>
          <t>GP052501 names QCSP_001_GP-THC18_v.01 and GRC102501/2 names QCSP_001_GRC-THC12_v.01. Neither exists in the issued set under any name — but QCSP_001_GP-IV_v.01 does, and IV is the grade GP052501 carries.</t>
        </is>
      </c>
      <c r="F848" s="313" t="inlineStr">
        <is>
          <t>Both pills are marked. No substitution was made without a ruling.</t>
        </is>
      </c>
      <c r="G848" s="313" t="inlineStr">
        <is>
          <t>Is the potency-band name an older convention for the same document? If so the desk joins on the grade and both resolve immediately.</t>
        </is>
      </c>
      <c r="H848" s="313" t="inlineStr">
        <is>
          <t>export_coq_artifact_data.py specification join; 2 lots</t>
        </is>
      </c>
    </row>
    <row r="849" ht="66" customHeight="1" s="70">
      <c r="A849" s="311" t="inlineStr">
        <is>
          <t>OI-03</t>
        </is>
      </c>
      <c r="B849" s="311" t="inlineStr">
        <is>
          <t>Specification</t>
        </is>
      </c>
      <c r="C849" s="314" t="inlineStr">
        <is>
          <t>open</t>
        </is>
      </c>
      <c r="D849" s="313" t="inlineStr">
        <is>
          <t>Thirty-two lots have no grade, so no specification can be named at all</t>
        </is>
      </c>
      <c r="E849" s="313" t="inlineStr">
        <is>
          <t>The grade comes from product_specifications_QCSP001.json, built from the specification copies handed out with the tranches, which covers 48 of the 80 lots. For the other 32 the desk cannot compose a specification code, and the certificate names none.</t>
        </is>
      </c>
      <c r="F849" s="313" t="inlineStr">
        <is>
          <t>Nothing is printed and nothing is guessed.</t>
        </is>
      </c>
      <c r="G849" s="313" t="inlineStr">
        <is>
          <t>Where is the grade for the remaining 32 lots recorded? Once the desk has it, the specification code follows from the strain and the pills fill themselves.</t>
        </is>
      </c>
      <c r="H849" s="313" t="inlineStr">
        <is>
          <t>48 of 80 lots indexed; 68 of 164 certificate records carry no grade</t>
        </is>
      </c>
    </row>
    <row r="850" ht="66" customHeight="1" s="70">
      <c r="A850" s="311" t="inlineStr">
        <is>
          <t>OI-04</t>
        </is>
      </c>
      <c r="B850" s="311" t="inlineStr">
        <is>
          <t>Result reading</t>
        </is>
      </c>
      <c r="C850" s="312" t="inlineStr">
        <is>
          <t>marked</t>
        </is>
      </c>
      <c r="D850" s="313" t="inlineStr">
        <is>
          <t>Four lots where which analyte the figure belongs to decides pass or fail</t>
        </is>
      </c>
      <c r="E850"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0" s="313" t="inlineStr">
        <is>
          <t>The figure is printed as the desk reads it and the lot is named here. None of the four may be signed until a person has read the page.</t>
        </is>
      </c>
      <c r="G850" s="313" t="inlineStr">
        <is>
          <t>Read the four certificates and confirm which analyte the figure belongs to.</t>
        </is>
      </c>
      <c r="H850" s="313" t="inlineStr">
        <is>
          <t>COQ_DRAFTING_2026-09-10.md; 4 lots</t>
        </is>
      </c>
    </row>
    <row r="851" ht="66" customHeight="1" s="70">
      <c r="A851" s="311" t="inlineStr">
        <is>
          <t>OI-05</t>
        </is>
      </c>
      <c r="B851" s="311" t="inlineStr">
        <is>
          <t>Result reading</t>
        </is>
      </c>
      <c r="C851" s="314" t="inlineStr">
        <is>
          <t>open</t>
        </is>
      </c>
      <c r="D851" s="313" t="inlineStr">
        <is>
          <t>Nineteen lots print a Total Δ⁹-THC outside the range printed beside it</t>
        </is>
      </c>
      <c r="E851" s="313" t="inlineStr">
        <is>
          <t>The acceptance test was one-sided — it asked only whether a value exceeded its limit — so an assay BELOW its band was never flagged anywhere. Corpus-wide, 19 lots carry a potency outside the range on their own certificate, every one recorded as covered.</t>
        </is>
      </c>
      <c r="F851" s="313" t="inlineStr">
        <is>
          <t>The comparison now happens in the gap report, never on the certificate, and the report declines any criterion it cannot read as two numbers.</t>
        </is>
      </c>
      <c r="G851" s="313" t="inlineStr">
        <is>
          <t>Each of the 19 needs a disposition: re-read, re-test, or a regrade.</t>
        </is>
      </c>
      <c r="H851" s="313" t="inlineStr">
        <is>
          <t>status_of / the two-sided criterion; 19 lots</t>
        </is>
      </c>
    </row>
    <row r="852" ht="66" customHeight="1" s="70">
      <c r="A852" s="311" t="inlineStr">
        <is>
          <t>OI-06</t>
        </is>
      </c>
      <c r="B852" s="311" t="inlineStr">
        <is>
          <t>Reconciliation</t>
        </is>
      </c>
      <c r="C852" s="314" t="inlineStr">
        <is>
          <t>open</t>
        </is>
      </c>
      <c r="D852" s="313" t="inlineStr">
        <is>
          <t>Forty-six disagreements between the desk and the owner's 09.09 pass</t>
        </is>
      </c>
      <c r="E852"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2" s="313" t="inlineStr">
        <is>
          <t>One of the 46 is resolved by the Head of QC's ruling. The rest are not resolved by the desk; both readings are shown with their sources.</t>
        </is>
      </c>
      <c r="G852" s="313" t="inlineStr">
        <is>
          <t>A person reads the page for each of the 46 and says which reading stands.</t>
        </is>
      </c>
      <c r="H852" s="313" t="inlineStr">
        <is>
          <t>Reconciliation 09.09 sheet; 46 rows</t>
        </is>
      </c>
    </row>
    <row r="853" ht="66" customHeight="1" s="70">
      <c r="A853" s="311" t="inlineStr">
        <is>
          <t>OI-07</t>
        </is>
      </c>
      <c r="B853" s="311" t="inlineStr">
        <is>
          <t>Issuance</t>
        </is>
      </c>
      <c r="C853" s="314" t="inlineStr">
        <is>
          <t>open</t>
        </is>
      </c>
      <c r="D853" s="313" t="inlineStr">
        <is>
          <t>Fifty-seven certificates of quality are dated on a Saturday</t>
        </is>
      </c>
      <c r="E853" s="313" t="inlineStr">
        <is>
          <t>06.06.2026, the blanket date for everything that would otherwise issue before the specification SOP, is a Saturday. The builder's own convention is that a controlled document issues on a working day.</t>
        </is>
      </c>
      <c r="F853" s="313" t="inlineStr">
        <is>
          <t>The owner's date outranks the desk's convention, so it is kept as given and the workbook carries a flag saying it was chosen deliberately.</t>
        </is>
      </c>
      <c r="G853" s="313" t="inlineStr">
        <is>
          <t>Confirm 06.06.2026, or name the working day it moves to (08.06.2026 is the Monday).</t>
        </is>
      </c>
      <c r="H853" s="313" t="inlineStr">
        <is>
          <t>issuance_schedule.COQ_BLANKET; 57 certificates</t>
        </is>
      </c>
    </row>
    <row r="854" ht="66" customHeight="1" s="70">
      <c r="A854" s="311" t="inlineStr">
        <is>
          <t>OI-08</t>
        </is>
      </c>
      <c r="B854" s="311" t="inlineStr">
        <is>
          <t>Reference</t>
        </is>
      </c>
      <c r="C854" s="314" t="inlineStr">
        <is>
          <t>open</t>
        </is>
      </c>
      <c r="D854" s="313" t="inlineStr">
        <is>
          <t>Five result cells cite an SOP form number instead of a certificate</t>
        </is>
      </c>
      <c r="E854"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4" s="313" t="inlineStr">
        <is>
          <t>The reference is printed as it stands and the lots are named here.</t>
        </is>
      </c>
      <c r="G854" s="313" t="inlineStr">
        <is>
          <t>Does the NGP laboratory issue a numbered report for this work? If not, these results need a different basis.</t>
        </is>
      </c>
      <c r="H854" s="313" t="inlineStr">
        <is>
          <t>2 lots, 10 result cells</t>
        </is>
      </c>
    </row>
    <row r="855" ht="66" customHeight="1" s="70">
      <c r="A855" s="311" t="inlineStr">
        <is>
          <t>OI-09</t>
        </is>
      </c>
      <c r="B855" s="311" t="inlineStr">
        <is>
          <t>Reference</t>
        </is>
      </c>
      <c r="C855" s="314" t="inlineStr">
        <is>
          <t>open</t>
        </is>
      </c>
      <c r="D855" s="313" t="inlineStr">
        <is>
          <t>One laboratory report is on file twice, once per language</t>
        </is>
      </c>
      <c r="E855" s="313" t="inlineStr">
        <is>
          <t>10802_2845-2 EN and 10802_2845-2 MK are the same DFL report for BSS052501, cited as two documents, which is why that lot's certificate count reads one higher than the sheet's.</t>
        </is>
      </c>
      <c r="F855" s="313" t="inlineStr">
        <is>
          <t>Both are cited as the desk found them.</t>
        </is>
      </c>
      <c r="G855" s="313" t="inlineStr">
        <is>
          <t>Confirm the two files are one report, and which language version is the controlled copy.</t>
        </is>
      </c>
      <c r="H855" s="313" t="inlineStr">
        <is>
          <t>BSS052501; Batch Coverage Certificates (n)</t>
        </is>
      </c>
    </row>
    <row r="856" ht="66" customHeight="1" s="70">
      <c r="A856" s="311" t="inlineStr">
        <is>
          <t>OI-10</t>
        </is>
      </c>
      <c r="B856" s="311" t="inlineStr">
        <is>
          <t>Batch identity</t>
        </is>
      </c>
      <c r="C856" s="314" t="inlineStr">
        <is>
          <t>open</t>
        </is>
      </c>
      <c r="D856" s="313" t="inlineStr">
        <is>
          <t>Three delivered lots have no cultivation batch recorded anywhere</t>
        </is>
      </c>
      <c r="E856" s="313" t="inlineStr">
        <is>
          <t>P160012, P160022 and P160032 carry full CNP results (ППК26117/18/19, 06.07.2026) and a P number in a series of their own, but no cultivation batch, and no row at all in the Head of QC's Batch Dates list — so no manufacturing date and no internal CoA basis.</t>
        </is>
      </c>
      <c r="F856" s="313" t="inlineStr">
        <is>
          <t>Each row now names its P number inside the label so the three are distinguishable and no join collapses them; the cultivation batch is left unrecorded rather than invented.</t>
        </is>
      </c>
      <c r="G856" s="313" t="inlineStr">
        <is>
          <t>What are the cultivation batches, manufacturing and packaging dates for the P1600xx series?</t>
        </is>
      </c>
      <c r="H856" s="313" t="inlineStr">
        <is>
          <t>3 lots; also absent from Batch Dates: JD112501＊</t>
        </is>
      </c>
    </row>
    <row r="857" ht="66" customHeight="1" s="70">
      <c r="A857" s="311" t="inlineStr">
        <is>
          <t>OI-11</t>
        </is>
      </c>
      <c r="B857" s="311" t="inlineStr">
        <is>
          <t>Batch identity</t>
        </is>
      </c>
      <c r="C857" s="314" t="inlineStr">
        <is>
          <t>open</t>
        </is>
      </c>
      <c r="D857" s="313" t="inlineStr">
        <is>
          <t>One lot carries two P batches in a single cell</t>
        </is>
      </c>
      <c r="E857" s="313" t="inlineStr">
        <is>
          <t>GRC102501 is recorded against P060142 / P060182 in one cell, so its coverage row aggregates what are arguably two lots and its certificate count cannot reconcile.</t>
        </is>
      </c>
      <c r="F857" s="313" t="inlineStr">
        <is>
          <t>Left as the owner's tracker records it.</t>
        </is>
      </c>
      <c r="G857" s="313" t="inlineStr">
        <is>
          <t>Are these one lot packed into two P batches, or two lots sharing a cultivation batch? If two, they need two rows.</t>
        </is>
      </c>
      <c r="H857" s="313" t="inlineStr">
        <is>
          <t>GRC102501</t>
        </is>
      </c>
    </row>
    <row r="858" ht="66" customHeight="1" s="70">
      <c r="A858" s="311" t="inlineStr">
        <is>
          <t>OI-12</t>
        </is>
      </c>
      <c r="B858" s="311" t="inlineStr">
        <is>
          <t>Batch identity</t>
        </is>
      </c>
      <c r="C858" s="315" t="inlineStr">
        <is>
          <t>ruled</t>
        </is>
      </c>
      <c r="D858" s="313" t="inlineStr">
        <is>
          <t>A lot and its ＊ sub-lot are credited from the same three documents</t>
        </is>
      </c>
      <c r="E858"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8"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8"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8" s="313" t="inlineStr">
        <is>
          <t>ППК26063 / ППК26065 (both P060212); the scans 110526_ППК26063_CNP_JD112501-P060212.pdf and 110526_ППК26065_CNP_JD112501＊-P060212.pdf; cell_resolution_2026-09-09.tsv; testing_series.EXPERIMENTAL</t>
        </is>
      </c>
    </row>
    <row r="859" ht="66" customHeight="1" s="70">
      <c r="A859" s="311" t="inlineStr">
        <is>
          <t>OI-29</t>
        </is>
      </c>
      <c r="B859" s="311" t="inlineStr">
        <is>
          <t>Document identity</t>
        </is>
      </c>
      <c r="C859" s="314" t="inlineStr">
        <is>
          <t>open</t>
        </is>
      </c>
      <c r="D859" s="313" t="inlineStr">
        <is>
          <t>The two series count different things, so they cannot be the same length</t>
        </is>
      </c>
      <c r="E859"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859"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59"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59" s="313" t="inlineStr">
        <is>
          <t>icoa_register.py 102 rounds / 76 lots vs coq_artifact_data.json 164 records / 82 lots; 3 lots with 4, 5 and 6 rounds</t>
        </is>
      </c>
    </row>
    <row r="860" ht="66" customHeight="1" s="70">
      <c r="A860" s="311" t="inlineStr">
        <is>
          <t>OI-28</t>
        </is>
      </c>
      <c r="B860" s="311" t="inlineStr">
        <is>
          <t>Batch identity</t>
        </is>
      </c>
      <c r="C860" s="315" t="inlineStr">
        <is>
          <t>ruled</t>
        </is>
      </c>
      <c r="D860" s="313" t="inlineStr">
        <is>
          <t>The starred spellings are one lot each with their unstarred namesakes — applied; one word confirms it</t>
        </is>
      </c>
      <c r="E860"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0"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0" s="313" t="inlineStr">
        <is>
          <t>The four rows for GG012601*, JD012601*, SCR012601* and FB012602* say "the desk, as a consequence of the ruling" where the JD112501* row says "Head of QC". One word from the Head of QC turns the four into rulings; one word reverses them.</t>
        </is>
      </c>
      <c r="H860" s="313" t="inlineStr">
        <is>
          <t>ingestion/ecoa_runner/identity_decisions.tsv (batch_alias, 16.09.2026); identity_questions_2026-09-07.tsv rows 2–6; icoa_register.py:227/:246; tracker/FLEET_FINDINGS_2026-09-16.md</t>
        </is>
      </c>
    </row>
    <row r="861" ht="66" customHeight="1" s="70">
      <c r="A861" s="311" t="inlineStr">
        <is>
          <t>OI-30</t>
        </is>
      </c>
      <c r="B861" s="311" t="inlineStr">
        <is>
          <t>Method status</t>
        </is>
      </c>
      <c r="C861" s="314" t="inlineStr">
        <is>
          <t>open</t>
        </is>
      </c>
      <c r="D861" s="313" t="inlineStr">
        <is>
          <t>The Loss on Drying method text is not verified per lot against the era it was tested in</t>
        </is>
      </c>
      <c r="E861"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1" s="313" t="inlineStr">
        <is>
          <t>Nothing changed on the printed method text — it was already uniform before this check and stays uniform, because there is no per-certificate method record to read it from. Nothing is guessed.</t>
        </is>
      </c>
      <c r="G861"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1" s="313" t="inlineStr">
        <is>
          <t>ISSUANCE_RULES_2026-09-10.md §4; extract_product_specifications.py #8; 70 numeric results, 1 in the disputed band (already resolved)</t>
        </is>
      </c>
    </row>
    <row r="862" ht="66" customHeight="1" s="70">
      <c r="A862" s="311" t="inlineStr">
        <is>
          <t>OI-31</t>
        </is>
      </c>
      <c r="B862" s="311" t="inlineStr">
        <is>
          <t>Batch identity</t>
        </is>
      </c>
      <c r="C862" s="314" t="inlineStr">
        <is>
          <t>open</t>
        </is>
      </c>
      <c r="D862" s="313" t="inlineStr">
        <is>
          <t>Six batches are silently filed under one strain name where a source document keeps two</t>
        </is>
      </c>
      <c r="E862"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2"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2" s="313" t="inlineStr">
        <is>
          <t>Is GG4 the same strain as Gorilla Glue, or a separate strain that happens to be filed under it? If separate, the six lots need their own strain field and, in time, their own specification.</t>
        </is>
      </c>
      <c r="H862" s="313" t="inlineStr">
        <is>
          <t>tracker/DELIVERY_RECONCILIATION_2026-09-07.md §5; tracker/strains.py; iCoA Register Strain column, 6 lots</t>
        </is>
      </c>
    </row>
    <row r="863" ht="66" customHeight="1" s="70">
      <c r="A863" s="311" t="inlineStr">
        <is>
          <t>OI-32</t>
        </is>
      </c>
      <c r="B863" s="311" t="inlineStr">
        <is>
          <t>Batch identity</t>
        </is>
      </c>
      <c r="C863" s="314" t="inlineStr">
        <is>
          <t>open</t>
        </is>
      </c>
      <c r="D863" s="313" t="inlineStr">
        <is>
          <t>Five of the thirty Tranche 3 potency retests rest on one page read</t>
        </is>
      </c>
      <c r="E863"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3"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3"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3" s="313" t="inlineStr">
        <is>
          <t>intake_227K_2026-09-15/ (reads_227K.json, checkpoint_master_coa_table.json, apply_227K.py); PP_Batch_Release_QC_Register_SUBLOT_2026-09-01.xlsx after apply_227K.py; tracker/batch_dates.csv</t>
        </is>
      </c>
    </row>
    <row r="864" ht="66" customHeight="1" s="70">
      <c r="A864" s="311" t="inlineStr">
        <is>
          <t>OI-33</t>
        </is>
      </c>
      <c r="B864" s="311" t="inlineStr">
        <is>
          <t>Batch identity</t>
        </is>
      </c>
      <c r="C864" s="314" t="inlineStr">
        <is>
          <t>open</t>
        </is>
      </c>
      <c r="D864" s="313" t="inlineStr">
        <is>
          <t>Two batches on the Tranche 2 mycotoxin certificates are on no list the desk holds</t>
        </is>
      </c>
      <c r="E864"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4"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4"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4" s="313" t="inlineStr">
        <is>
          <t>intake_220M_2026-09-14/ (reads_claude.json n=30, 31, 32; placement.json); tracker/batch_dates.csv; PP_Batch_Release_QC_Register_SUBLOT_2026-09-01.xlsx after apply_220M.py</t>
        </is>
      </c>
    </row>
    <row r="865" ht="66" customHeight="1" s="70">
      <c r="A865" s="311" t="inlineStr">
        <is>
          <t>OI-34</t>
        </is>
      </c>
      <c r="B865" s="311" t="inlineStr">
        <is>
          <t>Register scope</t>
        </is>
      </c>
      <c r="C865" s="315" t="inlineStr">
        <is>
          <t>ruled</t>
        </is>
      </c>
      <c r="D865" s="313" t="inlineStr">
        <is>
          <t>The IJZ-MB campaign microbiology was on the tracker and not in the release register</t>
        </is>
      </c>
      <c r="E865"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5"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5" s="313" t="inlineStr">
        <is>
          <t>Nothing further, unless the owner rules on OI-37 (the held certificate) or on OI-13 (the expanded panel this same delivery reports).</t>
        </is>
      </c>
      <c r="H865" s="313" t="inlineStr">
        <is>
          <t>tracker/new_instances.json (the 30 IJZ-MB instances); tracker/split_manifest_IJZ-MB_2026-09-01.csv; build_coq_schedule.py ST_CARRIED</t>
        </is>
      </c>
    </row>
    <row r="866" ht="66" customHeight="1" s="70">
      <c r="A866" s="311" t="inlineStr">
        <is>
          <t>OI-37</t>
        </is>
      </c>
      <c r="B866" s="311" t="inlineStr">
        <is>
          <t>Batch identity</t>
        </is>
      </c>
      <c r="C866" s="314" t="inlineStr">
        <is>
          <t>open</t>
        </is>
      </c>
      <c r="D866" s="313" t="inlineStr">
        <is>
          <t>One campaign microbiology certificate names a strain that is not its filed lot's</t>
        </is>
      </c>
      <c r="E866"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6"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6" s="313" t="inlineStr">
        <is>
          <t>Which lot 548/1079/26 belongs to: P050192, as the typed serial reads, or P060192, as the printed strain and the handwritten correction say?</t>
        </is>
      </c>
      <c r="H866" s="313" t="inlineStr">
        <is>
          <t>the scan 310826_548-1079-26_IJZ-MB_BSS052501-P050192.pdf in eCoA_DATABASE; tracker/split_manifest_IJZ-MB_2026-09-01.csv; intake_IJZMB_2026-09-16/reads_IJZMB.json</t>
        </is>
      </c>
    </row>
    <row r="867" ht="66" customHeight="1" s="70">
      <c r="A867" s="311" t="inlineStr">
        <is>
          <t>OI-38</t>
        </is>
      </c>
      <c r="B867" s="311" t="inlineStr">
        <is>
          <t>Certificate content</t>
        </is>
      </c>
      <c r="C867" s="314" t="inlineStr">
        <is>
          <t>open</t>
        </is>
      </c>
      <c r="D867" s="313" t="inlineStr">
        <is>
          <t>Fourteen reissues carry the initial result while a later one for the same lot is on file</t>
        </is>
      </c>
      <c r="E867"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7"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7"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7" s="313" t="inlineStr">
        <is>
          <t>intake_IJZMB_2026-09-16/carried_microbiology_2026-09-16.csv (26 rows, 12 reissues); tracker/RESULT_SUPERSESSION_2026-09-16.md section 1 (31 rows, 14 reissues); build_coq_schedule.py ST_CARRIED; the ruling of 15.09.2026</t>
        </is>
      </c>
    </row>
    <row r="868" ht="66" customHeight="1" s="70">
      <c r="A868" s="311" t="inlineStr">
        <is>
          <t>OI-39</t>
        </is>
      </c>
      <c r="B868" s="311" t="inlineStr">
        <is>
          <t>Batch identity</t>
        </is>
      </c>
      <c r="C868" s="314" t="inlineStr">
        <is>
          <t>open</t>
        </is>
      </c>
      <c r="D868" s="313" t="inlineStr">
        <is>
          <t>Two register blocks carry two sublots each, and the certificate prints one of them</t>
        </is>
      </c>
      <c r="E868"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8"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8"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8" s="313" t="inlineStr">
        <is>
          <t>tracker/RESULT_SUPERSESSION_2026-09-16.md section 3; the register block J31122501 (10 certificates); tracker/batch_dates.csv row 64; OI-12 for the JD112501 half</t>
        </is>
      </c>
    </row>
    <row r="869" ht="66" customHeight="1" s="70">
      <c r="A869" s="311" t="inlineStr">
        <is>
          <t>OI-40</t>
        </is>
      </c>
      <c r="B869" s="311" t="inlineStr">
        <is>
          <t>Document identity</t>
        </is>
      </c>
      <c r="C869" s="314" t="inlineStr">
        <is>
          <t>open</t>
        </is>
      </c>
      <c r="D869" s="313" t="inlineStr">
        <is>
          <t>Six lots hold two register rows for one testing, the results on the composite row</t>
        </is>
      </c>
      <c r="E869"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69"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69"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69" s="313" t="inlineStr">
        <is>
          <t>register rows 123/124, 127/128, 131/132, 135/136, 139/140, 163/165; tracker/HANDOVER_RESPONSE_2026-09-16.md §2.2</t>
        </is>
      </c>
    </row>
    <row r="870" ht="66" customHeight="1" s="70">
      <c r="A870" s="311" t="inlineStr">
        <is>
          <t>OI-41</t>
        </is>
      </c>
      <c r="B870" s="311" t="inlineStr">
        <is>
          <t>Document content</t>
        </is>
      </c>
      <c r="C870" s="314" t="inlineStr">
        <is>
          <t>open</t>
        </is>
      </c>
      <c r="D870" s="313" t="inlineStr">
        <is>
          <t>Forty-eight certificates print no result for the three determinations done in-house — and what remains is documents, not routing</t>
        </is>
      </c>
      <c r="E870"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0"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0"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0" s="313" t="inlineStr">
        <is>
          <t>44 lots, 82 certificates, 246 determination rows; build_coq_schedule.ST_ICOA; export_coq_artifact_data.py (the 09.09 pass fill); tracker/FLEET_FINDINGS_2026-09-16.md (audit B); tracker/HANDOVER_RESPONSE_2026-09-16.md §2.1</t>
        </is>
      </c>
    </row>
    <row r="871" ht="66" customHeight="1" s="70">
      <c r="A871" s="311" t="inlineStr">
        <is>
          <t>OI-42</t>
        </is>
      </c>
      <c r="B871" s="311" t="inlineStr">
        <is>
          <t>Record integrity</t>
        </is>
      </c>
      <c r="C871" s="314" t="inlineStr">
        <is>
          <t>open</t>
        </is>
      </c>
      <c r="D871" s="313" t="inlineStr">
        <is>
          <t>Forty-four laboratory certificates are on Drive and in no record of the desk; 58 more are only in the 09.09 pass</t>
        </is>
      </c>
      <c r="E871"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1"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1"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1" s="313" t="inlineStr">
        <is>
          <t>tracker/FLEET_FINDINGS_2026-09-16.md (audit A); the Drive tree 1SmOicCRa8KEqoB-YlCojdap161YMQ-Di and _IN-HOUSE_PP 1bBGgFavrUTOu7PC7VVRcj0P4onWOAquN, enumerated 16.09.2026</t>
        </is>
      </c>
    </row>
    <row r="872" ht="66" customHeight="1" s="70">
      <c r="A872" s="311" t="inlineStr">
        <is>
          <t>OI-43</t>
        </is>
      </c>
      <c r="B872" s="311" t="inlineStr">
        <is>
          <t>Record integrity</t>
        </is>
      </c>
      <c r="C872" s="314" t="inlineStr">
        <is>
          <t>open</t>
        </is>
      </c>
      <c r="D872" s="313" t="inlineStr">
        <is>
          <t>Twenty-eight in-house certificates of analysis are on Drive with no desk entry — twelve of them for lots OI-41 names</t>
        </is>
      </c>
      <c r="E872"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2" s="313" t="inlineStr">
        <is>
          <t>Nothing read, nothing written: an in-house scan reaches the desk through the same two-read gate as a laboratory certificate, and the desk holds no read of any of the 28.</t>
        </is>
      </c>
      <c r="G872"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2" s="313" t="inlineStr">
        <is>
          <t>tracker/FLEET_FINDINGS_2026-09-16.md (audits A and B); the 41 scans in _IN-HOUSE_PP</t>
        </is>
      </c>
    </row>
    <row r="873" ht="66" customHeight="1" s="70">
      <c r="A873" s="311" t="inlineStr">
        <is>
          <t>OI-44</t>
        </is>
      </c>
      <c r="B873" s="311" t="inlineStr">
        <is>
          <t>Specification</t>
        </is>
      </c>
      <c r="C873" s="314" t="inlineStr">
        <is>
          <t>open</t>
        </is>
      </c>
      <c r="D873" s="313" t="inlineStr">
        <is>
          <t>The grade numerals were assigned against the desk's own rule, and 69 certificates cite a code that used to mean something else</t>
        </is>
      </c>
      <c r="E873"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3"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3"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3" s="313" t="inlineStr">
        <is>
          <t>potency_grades.py number(); potency_grades_2026-09-15.csv; product_specifications_QCSP001.json; tracker/FLEET_FINDINGS_2026-09-16.md (audit C)</t>
        </is>
      </c>
    </row>
    <row r="874" ht="66" customHeight="1" s="70">
      <c r="A874" s="311" t="inlineStr">
        <is>
          <t>OI-45</t>
        </is>
      </c>
      <c r="B874" s="311" t="inlineStr">
        <is>
          <t>Register cell</t>
        </is>
      </c>
      <c r="C874" s="314" t="inlineStr">
        <is>
          <t>open</t>
        </is>
      </c>
      <c r="D874" s="313" t="inlineStr">
        <is>
          <t>One in-house microbiology cell states two bounds that cannot both be true, and two certificates print it</t>
        </is>
      </c>
      <c r="E874"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4"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4" s="313" t="inlineStr">
        <is>
          <t>Is the intended reading “&lt; 10³ and &gt; 10²” — the same pair as every other block, with the bounds transposed in transcription? One word corrects the register cell and both certificates with it.</t>
        </is>
      </c>
      <c r="H874" s="313" t="inlineStr">
        <is>
          <t>coq_artifact_data.json reg[OPM1024]; design_handoff/out/_build_report.txt; design_handoff/toolchain/coq_check.js A11</t>
        </is>
      </c>
    </row>
    <row r="875" ht="66" customHeight="1" s="70">
      <c r="A875" s="311" t="inlineStr">
        <is>
          <t>OI-46</t>
        </is>
      </c>
      <c r="B875" s="311" t="inlineStr">
        <is>
          <t>Result read</t>
        </is>
      </c>
      <c r="C875" s="315" t="inlineStr">
        <is>
          <t>ruled</t>
        </is>
      </c>
      <c r="D875" s="313" t="inlineStr">
        <is>
          <t>Ten microbiology cells were read once and held; the Head of QC's own pass had all five values for every one of them</t>
        </is>
      </c>
      <c r="E875"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5"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5" s="313" t="inlineStr">
        <is>
          <t>Nothing. Two rows of the pass are still held and named in the script's output: 305-0549-26 carries ten values where five are wanted, and 85/2026 five where four are.</t>
        </is>
      </c>
      <c r="H875" s="313" t="inlineStr">
        <is>
          <t>cell_resolution_2026-09-09.tsv; apply_resolution_pass.py; verify_panels.py; intake_ijz_2026-09-16/reads_microbiology.json</t>
        </is>
      </c>
    </row>
    <row r="876" ht="66" customHeight="1" s="70">
      <c r="A876" s="311" t="inlineStr">
        <is>
          <t>OI-47</t>
        </is>
      </c>
      <c r="B876" s="311" t="inlineStr">
        <is>
          <t>Ingestion</t>
        </is>
      </c>
      <c r="C876" s="314" t="inlineStr">
        <is>
          <t>open</t>
        </is>
      </c>
      <c r="D876" s="313" t="inlineStr">
        <is>
          <t>Twenty-three certificates in the owner's database folder were never ingested, and every desk file recorded their absence as a coverage gap</t>
        </is>
      </c>
      <c r="E876"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6" s="313" t="inlineStr">
        <is>
          <t>The twenty-three documents are now in the release register, and the certificates print from them. The ingestion itself is untouched — the same folder may hold more that the corpus lacks, and nothing in the pipeline would say so.</t>
        </is>
      </c>
      <c r="G876" s="313" t="inlineStr">
        <is>
          <t>Should the desk re-run the CoA_DATABASE_2026 ingestion against the whole folder and reconcile it against the register, so that a coverage gap means the document does not exist rather than that it was not fetched?</t>
        </is>
      </c>
      <c r="H876" s="313" t="inlineStr">
        <is>
          <t>ingestion/coa_track/letta-imb-coas/ingest_coa_database_2026.py; exports/master_coa_table.tsv; tracker/DRIVE_DATABASE_INTAKE_2026-09-16.md</t>
        </is>
      </c>
    </row>
    <row r="877" ht="66" customHeight="1" s="70">
      <c r="A877" s="311" t="inlineStr">
        <is>
          <t>OI-48</t>
        </is>
      </c>
      <c r="B877" s="311" t="inlineStr">
        <is>
          <t>Document</t>
        </is>
      </c>
      <c r="C877" s="314" t="inlineStr">
        <is>
          <t>open</t>
        </is>
      </c>
      <c r="D877" s="313" t="inlineStr">
        <is>
          <t>One Tranche 3 mycotoxin certificate has not been read by anyone, and one lot's #10 waits on it</t>
        </is>
      </c>
      <c r="E877"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7"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7" s="313" t="inlineStr">
        <is>
          <t>Open 227-18-М/26 by hand and tell the desk the five analytes. It is the only certificate of the thirty that needs it — the six the Head of QC flagged on 16.09.2026 were flagged from one reader's failures, and five of those six are read.</t>
        </is>
      </c>
      <c r="H877" s="313" t="inlineStr">
        <is>
          <t>intake_227M_2026-09-16/reads.json; tracker/T3_MYCOTOXIN_INTAKE_2026-09-16.md; apply_227M_intake.py</t>
        </is>
      </c>
    </row>
    <row r="878" ht="66" customHeight="1" s="70">
      <c r="A878" s="311" t="inlineStr">
        <is>
          <t>OI-35</t>
        </is>
      </c>
      <c r="B878" s="311" t="inlineStr">
        <is>
          <t>Tracker scope</t>
        </is>
      </c>
      <c r="C878" s="314" t="inlineStr">
        <is>
          <t>open</t>
        </is>
      </c>
      <c r="D878" s="313" t="inlineStr">
        <is>
          <t>The tracker does not carry the documents of the 09.09 pass that eleven certificates print from</t>
        </is>
      </c>
      <c r="E878"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8" s="313" t="inlineStr">
        <is>
          <t>Recorded, not built: the 17 documents need the two-read intake the 220-М, 227-К and 220-К certificates had before the tracker credits them, and the certificate rows that rest on them are marked on the references table as single-read.</t>
        </is>
      </c>
      <c r="G878" s="313" t="inlineStr">
        <is>
          <t>Whether the desk should read the 17 documents of the 09.09 pass through the two-read gate now, so that the tracker and the certificates cite one record — or whether the certificates that print from a single read (GG1024 above all) wait for it.</t>
        </is>
      </c>
      <c r="H878" s="313" t="inlineStr">
        <is>
          <t>tracker/TRUTH_CHECK_2026-09-15.md (T5); cell_resolution_2026-09-09.tsv; coq_artifact_data.json rows citing those codes</t>
        </is>
      </c>
    </row>
    <row r="879" ht="66" customHeight="1" s="70">
      <c r="A879" s="311" t="inlineStr">
        <is>
          <t>OI-36</t>
        </is>
      </c>
      <c r="B879" s="311" t="inlineStr">
        <is>
          <t>Record integrity</t>
        </is>
      </c>
      <c r="C879" s="314" t="inlineStr">
        <is>
          <t>open</t>
        </is>
      </c>
      <c r="D879" s="313" t="inlineStr">
        <is>
          <t>Four two-read corpus records passed the gate with their reads disagreeing on a comparator</t>
        </is>
      </c>
      <c r="E879"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79" s="313" t="inlineStr">
        <is>
          <t>The four tracker cells are corrected from a third read of each page (tracker/value_corrections_2026-09-15.json, applied in values_of). The corpus records and the pass table are the ingestion's and are left as they are, listed here.</t>
        </is>
      </c>
      <c r="G879" s="313" t="inlineStr">
        <is>
          <t>Whether the ingestion's reconciliation should treat a comparator ('&lt;', '&gt;') as part of the result when it compares two reads, and re-gate the four records; and whether the three pass-table cells should be corrected or the rows retired.</t>
        </is>
      </c>
      <c r="H879" s="313" t="inlineStr">
        <is>
          <t>tracker/TRUTH_CHECK_2026-09-15.md (T3, T4, T5); ingestion/ecoa_runner/records_corpus.json; the four page reads of 15.09.2026</t>
        </is>
      </c>
    </row>
    <row r="880" ht="66" customHeight="1" s="70">
      <c r="A880" s="311" t="inlineStr">
        <is>
          <t>OI-13</t>
        </is>
      </c>
      <c r="B880" s="311" t="inlineStr">
        <is>
          <t>Panel scope</t>
        </is>
      </c>
      <c r="C880" s="314" t="inlineStr">
        <is>
          <t>open</t>
        </is>
      </c>
      <c r="D880" s="313" t="inlineStr">
        <is>
          <t>The expanded microbiology panel HAS been run and no certificate says so</t>
        </is>
      </c>
      <c r="E880"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0"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0"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0" s="313" t="inlineStr">
        <is>
          <t>Ph. Eur. 2.8.13; Ph. Eur. 2.6.13 expanded panel</t>
        </is>
      </c>
    </row>
    <row r="881" ht="66" customHeight="1" s="70">
      <c r="A881" s="311" t="inlineStr">
        <is>
          <t>OI-14</t>
        </is>
      </c>
      <c r="B881" s="311" t="inlineStr">
        <is>
          <t>Document content</t>
        </is>
      </c>
      <c r="C881" s="314" t="inlineStr">
        <is>
          <t>open</t>
        </is>
      </c>
      <c r="D881" s="313" t="inlineStr">
        <is>
          <t>Two fields still print a specimen or a placeholder</t>
        </is>
      </c>
      <c r="E881" s="313" t="inlineStr">
        <is>
          <t>The two approvers' names are the master template's specimen. The potency acceptance range is a bracketed placeholder in both places it prints.</t>
        </is>
      </c>
      <c r="F881"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1" s="313" t="inlineStr">
        <is>
          <t>The approvers' names and titles; the potency range per grade.</t>
        </is>
      </c>
      <c r="H881" s="313" t="inlineStr">
        <is>
          <t>_CoQ_MASTER_Template.html; 22 drafts</t>
        </is>
      </c>
    </row>
    <row r="882" ht="66" customHeight="1" s="70">
      <c r="A882" s="311" t="inlineStr">
        <is>
          <t>OI-15</t>
        </is>
      </c>
      <c r="B882" s="311" t="inlineStr">
        <is>
          <t>Method status</t>
        </is>
      </c>
      <c r="C882" s="314" t="inlineStr">
        <is>
          <t>open</t>
        </is>
      </c>
      <c r="D882" s="313" t="inlineStr">
        <is>
          <t>The pesticide acceptance criterion is stated as ≤ LOQ, which is not the Ph. Eur. test</t>
        </is>
      </c>
      <c r="E882"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2" s="313" t="inlineStr">
        <is>
          <t>The result is printed as the laboratory reports it.</t>
        </is>
      </c>
      <c r="G882" s="313" t="inlineStr">
        <is>
          <t>Restate the criterion as the Ph. Eur. maximum table, and say how a conforming detection should print beside 28 not-detected residues.</t>
        </is>
      </c>
      <c r="H882" s="313" t="inlineStr">
        <is>
          <t>IJZ 2994/2025, 19.06.2025, OPM 1024_02 (P050062); verdict on the page: ОДГОВАРА</t>
        </is>
      </c>
    </row>
    <row r="883" ht="66" customHeight="1" s="70">
      <c r="A883" s="311" t="inlineStr">
        <is>
          <t>OI-16</t>
        </is>
      </c>
      <c r="B883" s="311" t="inlineStr">
        <is>
          <t>Result</t>
        </is>
      </c>
      <c r="C883" s="314" t="inlineStr">
        <is>
          <t>open</t>
        </is>
      </c>
      <c r="D883" s="313" t="inlineStr">
        <is>
          <t>One lot's foreign matter is reported by the laboratory as not conforming</t>
        </is>
      </c>
      <c r="E883"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3" s="313" t="inlineStr">
        <is>
          <t>Flagged OOS. An out-of-specification result needs an investigation record.</t>
        </is>
      </c>
      <c r="G883" s="313" t="inlineStr">
        <is>
          <t>Confirm the non-conformity with CNP and open the deviation, or obtain a corrected certificate.</t>
        </is>
      </c>
      <c r="H883" s="313" t="inlineStr">
        <is>
          <t>FB032601; ППК26127, 21.07.2026 [CNP]</t>
        </is>
      </c>
    </row>
    <row r="884" ht="66" customHeight="1" s="70">
      <c r="A884" s="311" t="inlineStr">
        <is>
          <t>OI-17</t>
        </is>
      </c>
      <c r="B884" s="311" t="inlineStr">
        <is>
          <t>Result</t>
        </is>
      </c>
      <c r="C884" s="314" t="inlineStr">
        <is>
          <t>open</t>
        </is>
      </c>
      <c r="D884" s="313" t="inlineStr">
        <is>
          <t>Thirteen lots exceed a criterion — every one of them on #9.2, and on nothing else in the whole set</t>
        </is>
      </c>
      <c r="E884"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4"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4"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4" s="313" t="inlineStr">
        <is>
          <t>Ph. Eur. 5.1.4; 13 lots, all #9.2; QCSP 001; mark_microbial_band.py</t>
        </is>
      </c>
    </row>
    <row r="885" ht="66" customHeight="1" s="70">
      <c r="A885" s="311" t="inlineStr">
        <is>
          <t>OI-18</t>
        </is>
      </c>
      <c r="B885" s="311" t="inlineStr">
        <is>
          <t>Document content</t>
        </is>
      </c>
      <c r="C885" s="315" t="inlineStr">
        <is>
          <t>ruled</t>
        </is>
      </c>
      <c r="D885" s="313" t="inlineStr">
        <is>
          <t>The same assertion printed bilingually on some certificates and in English on others</t>
        </is>
      </c>
      <c r="E885" s="313" t="inlineStr">
        <is>
          <t>Identification A and foreign matter print Conforms on 51 determinations and Conforms | Соодветствува on 12 — the certificate's own English | Macedonian pattern, applied to some cells and not others.</t>
        </is>
      </c>
      <c r="F885"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5" s="313" t="inlineStr">
        <is>
          <t>Nothing further.</t>
        </is>
      </c>
      <c r="H885" s="313" t="inlineStr">
        <is>
          <t>375 determinations; .r-conform .mk in _CoQ_MASTER_Template.html</t>
        </is>
      </c>
    </row>
    <row r="886" ht="66" customHeight="1" s="70">
      <c r="A886" s="311" t="inlineStr">
        <is>
          <t>OI-19</t>
        </is>
      </c>
      <c r="B886" s="311" t="inlineStr">
        <is>
          <t>Result</t>
        </is>
      </c>
      <c r="C886" s="314" t="inlineStr">
        <is>
          <t>open</t>
        </is>
      </c>
      <c r="D886" s="313" t="inlineStr">
        <is>
          <t>One ochratoxin result prints as a working note rather than a value</t>
        </is>
      </c>
      <c r="E886" s="313" t="inlineStr">
        <is>
          <t>2.06 — DETECTED, &gt;LOQ on Ochratoxin A. The limit is 20 µg/kg so it conforms, but the cell carries the reader's note instead of the figure and its qualifier.</t>
        </is>
      </c>
      <c r="F886" s="313" t="inlineStr">
        <is>
          <t>Printed as the desk holds it.</t>
        </is>
      </c>
      <c r="G886" s="313" t="inlineStr">
        <is>
          <t>How should a conforming detection print — the figure alone, or the figure with a detected qualifier? The same question as OI-15 for pesticides.</t>
        </is>
      </c>
      <c r="H886" s="313" t="inlineStr">
        <is>
          <t>#10.3 Ochratoxin A, 1 determination</t>
        </is>
      </c>
    </row>
    <row r="887" ht="66" customHeight="1" s="70">
      <c r="A887" s="311" t="inlineStr">
        <is>
          <t>OI-24</t>
        </is>
      </c>
      <c r="B887" s="311" t="inlineStr">
        <is>
          <t>Document content</t>
        </is>
      </c>
      <c r="C887" s="314" t="inlineStr">
        <is>
          <t>open</t>
        </is>
      </c>
      <c r="D887" s="313" t="inlineStr">
        <is>
          <t>The Identification C result no longer states the method on the face of the document</t>
        </is>
      </c>
      <c r="E887"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7" s="313" t="inlineStr">
        <is>
          <t>Shortened to "Conforms | Одговара" like every other identity row. The basis for Identification C stays in the Section 03 citation, where a basis belongs.</t>
        </is>
      </c>
      <c r="G887" s="313" t="inlineStr">
        <is>
          <t>Do you want the method restated in the result cell? It would need a wider results column, which is a change to the master.</t>
        </is>
      </c>
      <c r="H887" s="313" t="inlineStr">
        <is>
          <t>#3 Identification C; 35 determinations</t>
        </is>
      </c>
    </row>
    <row r="888" ht="66" customHeight="1" s="70">
      <c r="A888" s="311" t="inlineStr">
        <is>
          <t>OI-27</t>
        </is>
      </c>
      <c r="B888" s="311" t="inlineStr">
        <is>
          <t>Document identity</t>
        </is>
      </c>
      <c r="C888" s="315" t="inlineStr">
        <is>
          <t>ruled</t>
        </is>
      </c>
      <c r="D888" s="313" t="inlineStr">
        <is>
          <t>The register sheet carried 60 of the series' 95 internal certificates</t>
        </is>
      </c>
      <c r="E888"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8"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8"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8" s="313" t="inlineStr">
        <is>
          <t>95 of 95 series codes on the sheet (was 60); 166 rows; verify_workbook.py 0 findings</t>
        </is>
      </c>
    </row>
    <row r="889" ht="66" customHeight="1" s="70">
      <c r="A889" s="311" t="inlineStr">
        <is>
          <t>OI-26</t>
        </is>
      </c>
      <c r="B889" s="311" t="inlineStr">
        <is>
          <t>Document identity</t>
        </is>
      </c>
      <c r="C889" s="315" t="inlineStr">
        <is>
          <t>ruled</t>
        </is>
      </c>
      <c r="D889" s="313" t="inlineStr">
        <is>
          <t>The internal-CoA number was defined twice and the two disagreed on every comparable row</t>
        </is>
      </c>
      <c r="E889"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89"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89" s="313" t="inlineStr">
        <is>
          <t>Nothing. Recorded because the numbers moved: de-duplicating shifted every code from 045 onward, so any code quoted before 11.09.2026 is stale.</t>
        </is>
      </c>
      <c r="H889" s="313" t="inlineStr">
        <is>
          <t>icoa_register.py and the iCoA Register sheet; 49 of 49 differed, now 0</t>
        </is>
      </c>
    </row>
    <row r="890" ht="66" customHeight="1" s="70">
      <c r="A890" s="311" t="inlineStr">
        <is>
          <t>OI-25</t>
        </is>
      </c>
      <c r="B890" s="311" t="inlineStr">
        <is>
          <t>Document rendering</t>
        </is>
      </c>
      <c r="C890" s="315" t="inlineStr">
        <is>
          <t>ruled</t>
        </is>
      </c>
      <c r="D890" s="313" t="inlineStr">
        <is>
          <t>The A4 page was never measured with the fonts it prints in</t>
        </is>
      </c>
      <c r="E890"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0"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0" s="313" t="inlineStr">
        <is>
          <t>Nothing. Recorded because the claim had been made and was not true, and because the page has very little slack: the next thing that adds a line will need this check.</t>
        </is>
      </c>
      <c r="H890" s="313" t="inlineStr">
        <is>
          <t>build_coq_drafts.py page-height report; measured 5 of 22 -&gt; 0 of 22 losing content</t>
        </is>
      </c>
    </row>
    <row r="891" ht="66" customHeight="1" s="70">
      <c r="A891" s="311" t="inlineStr">
        <is>
          <t>OI-23</t>
        </is>
      </c>
      <c r="B891" s="311" t="inlineStr">
        <is>
          <t>Document content</t>
        </is>
      </c>
      <c r="C891" s="314" t="inlineStr">
        <is>
          <t>open</t>
        </is>
      </c>
      <c r="D891" s="313" t="inlineStr">
        <is>
          <t>The Macedonian for an absent organism was chosen from the laboratories' own usage</t>
        </is>
      </c>
      <c r="E891"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1" s="313" t="inlineStr">
        <is>
          <t>The certificate prints "Absent | Отсутна" on 92 determinations: CNP's own most-used form ("отсутна/25 g"), capitalised, rather than a term translated afresh for a controlled document.</t>
        </is>
      </c>
      <c r="G891" s="313" t="inlineStr">
        <is>
          <t>Confirm Отсутна, or give the term the two absence rows should carry.</t>
        </is>
      </c>
      <c r="H891" s="313" t="inlineStr">
        <is>
          <t>#9.4 Salmonella, #9.5 E. coli; 92 determinations</t>
        </is>
      </c>
    </row>
    <row r="892" ht="66" customHeight="1" s="70">
      <c r="A892" s="311" t="inlineStr">
        <is>
          <t>OI-22</t>
        </is>
      </c>
      <c r="B892" s="311" t="inlineStr">
        <is>
          <t>Result reading</t>
        </is>
      </c>
      <c r="C892" s="315" t="inlineStr">
        <is>
          <t>ruled</t>
        </is>
      </c>
      <c r="D892" s="313" t="inlineStr">
        <is>
          <t>An analyte the laboratory never tested was printing a line on the certificate</t>
        </is>
      </c>
      <c r="E892"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2"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2" s="313" t="inlineStr">
        <is>
          <t>Nothing. Recorded because it is the boundary of the ND ruling: n.r. printed by a laboratory as a result means ND, and an analyte absent from the panel is not a result at all.</t>
        </is>
      </c>
      <c r="H892" s="313" t="inlineStr">
        <is>
          <t>BG1024 release vs retest, verified through fillCoq in headless Chromium</t>
        </is>
      </c>
    </row>
    <row r="893" ht="66" customHeight="1" s="70">
      <c r="A893" s="311" t="inlineStr">
        <is>
          <t>OI-21</t>
        </is>
      </c>
      <c r="B893" s="311" t="inlineStr">
        <is>
          <t>Document rendering</t>
        </is>
      </c>
      <c r="C893" s="315" t="inlineStr">
        <is>
          <t>ruled</t>
        </is>
      </c>
      <c r="D893" s="313" t="inlineStr">
        <is>
          <t>Sixty-six faces in the tranche PDFs embedded as Type 3 rather than outlines</t>
        </is>
      </c>
      <c r="E893"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3" s="313" t="inlineStr">
        <is>
          <t>Fixed: italic 600 and 700 added to the font request in both print_coq_pdfs.py and house_fonts.py, and the rule written down beside them — when a stylesheet sets an italic weight, that weight belongs in FAMILIES.</t>
        </is>
      </c>
      <c r="G893" s="313" t="inlineStr">
        <is>
          <t>Nothing. Recorded because the first Type 3 fix (pinning the variable axes) looked complete and was not: it fixes the faces the page asks for by name, never one the page never asked for.</t>
        </is>
      </c>
      <c r="H893" s="313" t="inlineStr">
        <is>
          <t>print_coq_pdfs.py FAMILIES; pdffonts on both tranche PDFs</t>
        </is>
      </c>
    </row>
    <row r="894" ht="66" customHeight="1" s="70">
      <c r="A894" s="311" t="inlineStr">
        <is>
          <t>OI-20</t>
        </is>
      </c>
      <c r="B894" s="311" t="inlineStr">
        <is>
          <t>Desk status</t>
        </is>
      </c>
      <c r="C894" s="314" t="inlineStr">
        <is>
          <t>open</t>
        </is>
      </c>
      <c r="D894" s="313" t="inlineStr">
        <is>
          <t>Nine result cells hold a desk status instead of a value</t>
        </is>
      </c>
      <c r="E894" s="313" t="inlineStr">
        <is>
          <t>not ingested (the document exists but has not been extracted into the eCoA database) on 5 cells, held for review (the two independent reads disagreed) on 3, and one Identification C awaiting a decision.</t>
        </is>
      </c>
      <c r="F894" s="313" t="inlineStr">
        <is>
          <t>Each is carried on the Work Order sheet with what it needs; none reaches a certificate.</t>
        </is>
      </c>
      <c r="G894" s="313" t="inlineStr">
        <is>
          <t>Nothing — these are desk work, listed so the count is visible.</t>
        </is>
      </c>
      <c r="H894" s="313" t="inlineStr">
        <is>
          <t>Work Order sheet</t>
        </is>
      </c>
    </row>
    <row r="895" ht="66" customHeight="1" s="70">
      <c r="A895" s="311" t="inlineStr">
        <is>
          <t>OI-49</t>
        </is>
      </c>
      <c r="B895" s="311" t="inlineStr">
        <is>
          <t>Document identity</t>
        </is>
      </c>
      <c r="C895" s="314" t="inlineStr">
        <is>
          <t>open</t>
        </is>
      </c>
      <c r="D895" s="313" t="inlineStr">
        <is>
          <t>Eight certificates still credit the in-house certificate beyond identification A, identification B and foreign matter</t>
        </is>
      </c>
      <c r="E895"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5" s="313" t="inlineStr">
        <is>
          <t>Kept as the 10.09 ruling says, with one date per document; the internal certificates of those four lots list the parameters they cover.</t>
        </is>
      </c>
      <c r="G895"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5" s="313" t="inlineStr">
        <is>
          <t>apply_lab_attribution.py; icoa_register_2026-09-10.csv (covers_in_house); design_handoff/docs/REBUILD_v40.md §3f</t>
        </is>
      </c>
    </row>
    <row r="896" ht="66" customHeight="1" s="70">
      <c r="A896" s="311" t="inlineStr">
        <is>
          <t>OI-50</t>
        </is>
      </c>
      <c r="B896" s="311" t="inlineStr">
        <is>
          <t>Specification</t>
        </is>
      </c>
      <c r="C896" s="314" t="inlineStr">
        <is>
          <t>open</t>
        </is>
      </c>
      <c r="D896" s="313" t="inlineStr">
        <is>
          <t>Wedding Cake: one result, a first specification of 26.00 ± 2.60 %, four older issued WED documents it supersedes, dominance still to be determined</t>
        </is>
      </c>
      <c r="E896"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6" s="313" t="inlineStr">
        <is>
          <t>Grade, code, window and attributes print; the dominance is not guessed.</t>
        </is>
      </c>
      <c r="G896" s="313" t="inlineStr">
        <is>
          <t>The dominance (indica : sativa) of Wedding Cake, and confirmation that QCSP_001_WED-I_v.01 at 26.00 ± 2.60 % is the first specification of the new series and supersedes the four issued WED documents.</t>
        </is>
      </c>
      <c r="H896" s="313" t="inlineStr">
        <is>
          <t>specs/Potency_specifications_25_2026-09-17.pdf; apply_potency_grades.py; spec_attributes_2026-09-10.csv</t>
        </is>
      </c>
    </row>
    <row r="897" ht="66" customHeight="1" s="70">
      <c r="A897" s="311" t="inlineStr">
        <is>
          <t>OI-51</t>
        </is>
      </c>
      <c r="B897" s="311" t="inlineStr">
        <is>
          <t>Register cell</t>
        </is>
      </c>
      <c r="C897" s="314" t="inlineStr">
        <is>
          <t>open</t>
        </is>
      </c>
      <c r="D897" s="313" t="inlineStr">
        <is>
          <t>Six release-register blocks file a CNP certificate under the in-house CoA's number and date</t>
        </is>
      </c>
      <c r="E897"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7" s="313" t="inlineStr">
        <is>
          <t>The certificates print the CNP date; the register still prints the combined name and the in-house date.</t>
        </is>
      </c>
      <c r="G897" s="313" t="inlineStr">
        <is>
          <t>Whether to correct the six register cells to the CNP code and its issue date (apply_register_corrections.py is the mechanism).</t>
        </is>
      </c>
      <c r="H897" s="313" t="inlineStr">
        <is>
          <t>check_thc_consistency.py; apply_lab_attribution.py (R5); ingestion/ragflow/cache</t>
        </is>
      </c>
    </row>
    <row r="898" ht="66" customHeight="1" s="70">
      <c r="A898" s="311" t="inlineStr">
        <is>
          <t>OI-52</t>
        </is>
      </c>
      <c r="B898" s="311" t="inlineStr">
        <is>
          <t>Result</t>
        </is>
      </c>
      <c r="C898" s="314" t="inlineStr">
        <is>
          <t>open</t>
        </is>
      </c>
      <c r="D898" s="313" t="inlineStr">
        <is>
          <t>Loss on drying: seven reissues cite an older document than the newest one on file for the lot</t>
        </is>
      </c>
      <c r="E898"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898"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898" s="313" t="inlineStr">
        <is>
          <t>Does the ruling of 17.09.2026 reach loss on drying — should CoQ-PP_26-095 cite ППК25174 and CoQ-PP_26-153 cite 100-1-ГС/26? And does it reach every determination, as a standing rule, rather than being asked family by family?</t>
        </is>
      </c>
      <c r="H898" s="313" t="inlineStr">
        <is>
          <t>apply_microbiology_retest.py; tracker/LoD_Check_2026-09-17.md; OI-51</t>
        </is>
      </c>
    </row>
    <row r="899" ht="66" customHeight="1" s="70">
      <c r="A899" s="311" t="inlineStr">
        <is>
          <t>OI-53</t>
        </is>
      </c>
      <c r="B899" s="311" t="inlineStr">
        <is>
          <t>Result</t>
        </is>
      </c>
      <c r="C899" s="314" t="inlineStr">
        <is>
          <t>open</t>
        </is>
      </c>
      <c r="D899" s="313" t="inlineStr">
        <is>
          <t>Thirteen lots have no loss-on-drying determination at all — 26 certificates print “not tested”</t>
        </is>
      </c>
      <c r="E899"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899" s="313" t="inlineStr">
        <is>
          <t>The two Wedding Cake certificates now print 6,8 % and cite 031-3-ГС/26. The other 26 certificates keep “not tested — no certificate covers it”, which is the truth of them. apply_lod_source.py is the standing rule and lod_check.py the census that shows it.</t>
        </is>
      </c>
      <c r="G899" s="313" t="inlineStr">
        <is>
          <t>These thirteen lots need loss on drying determined — or a ruling that they are released without it. Farmahem’s ГС report is one parameter on one page and would close all thirteen in a single submission.</t>
        </is>
      </c>
      <c r="H899" s="313" t="inlineStr">
        <is>
          <t>apply_lod_source.py; lod_check.py; tracker/LoD_Check_2026-09-17.md; intake_LoD031_2026-09-17; OI-42</t>
        </is>
      </c>
    </row>
    <row r="900" ht="66" customHeight="1" s="70">
      <c r="A900" s="311" t="inlineStr">
        <is>
          <t>OI-54</t>
        </is>
      </c>
      <c r="B900" s="311" t="inlineStr">
        <is>
          <t>Result</t>
        </is>
      </c>
      <c r="C900" s="315" t="inlineStr">
        <is>
          <t>ruled</t>
        </is>
      </c>
      <c r="D900" s="313" t="inlineStr">
        <is>
          <t>Two release certificates were printing the retest of a determination instead of the release testing</t>
        </is>
      </c>
      <c r="E900"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900"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900" s="313" t="inlineStr">
        <is>
          <t>Nothing — the Head of QC named the defect and the rule that fixes it is his own of 10.09.2026. Recorded so the next reader knows why two certificates changed.</t>
        </is>
      </c>
      <c r="H900" s="313" t="inlineStr">
        <is>
          <t>apply_release_round.py; intake_release_round_2026-09-17; the reads of 471-0862-25 and 2471/2025 of 17.09.2026</t>
        </is>
      </c>
    </row>
    <row r="901" ht="66" customHeight="1" s="70">
      <c r="A901" s="311" t="inlineStr">
        <is>
          <t>OI-55</t>
        </is>
      </c>
      <c r="B901" s="311" t="inlineStr">
        <is>
          <t>Result</t>
        </is>
      </c>
      <c r="C901" s="314" t="inlineStr">
        <is>
          <t>open</t>
        </is>
      </c>
      <c r="D901" s="313" t="inlineStr">
        <is>
          <t>P060382 has no heavy-metal, pesticide or loss-on-drying determination — searched again on 17.09.2026</t>
        </is>
      </c>
      <c r="E901"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901" s="313" t="inlineStr">
        <is>
          <t>Nothing written. The certificate prints “not tested — no certificate covers it” for #8, #11 and #12 because that is the truth of the record.</t>
        </is>
      </c>
      <c r="G901"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901" s="313" t="inlineStr">
        <is>
          <t>197-21-М/26 read 17.09.2026; cell_resolution_2026-09-09.tsv; PP_Spec_Parameter_Listing.xlsx; Drive lot folder P060382_SCR012603; OI-53</t>
        </is>
      </c>
    </row>
    <row r="902" ht="66" customHeight="1" s="70">
      <c r="A902" s="311" t="inlineStr">
        <is>
          <t>OI-56</t>
        </is>
      </c>
      <c r="B902" s="311" t="inlineStr">
        <is>
          <t>Scope</t>
        </is>
      </c>
      <c r="C902" s="314" t="inlineStr">
        <is>
          <t>open</t>
        </is>
      </c>
      <c r="D902" s="313" t="inlineStr">
        <is>
          <t>The new tranche grouping of 18.09.2026 disagrees with the laboratory campaign for seven lots</t>
        </is>
      </c>
      <c r="E902"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902"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902"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902" s="313" t="inlineStr">
        <is>
          <t>Drive BY_P_FOLDERS T1/T2/T3 read 18.09.2026; tracker/TRANCHE_ASSIGNMENT_2026-09-18.md; tranche_assignment_2026-09-18.csv; sampling_dates.py; coq_reissue_scope_2026-09-15.csv</t>
        </is>
      </c>
    </row>
    <row r="903" ht="66" customHeight="1" s="70">
      <c r="A903" s="311" t="inlineStr">
        <is>
          <t>OI-57</t>
        </is>
      </c>
      <c r="B903" s="311" t="inlineStr">
        <is>
          <t>Document</t>
        </is>
      </c>
      <c r="C903" s="314" t="inlineStr">
        <is>
          <t>open</t>
        </is>
      </c>
      <c r="D903" s="313" t="inlineStr">
        <is>
          <t>P060372 and P060362 — loss on drying, heavy metals and pesticides marked by hand with no certificate behind them</t>
        </is>
      </c>
      <c r="E903"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903" s="313" t="inlineStr">
        <is>
          <t>The figures are recorded in intake_handmarked_2026-09-18/reads_handmarked.json and are NOT printed. The certificates keep [NT] for those three determinations.</t>
        </is>
      </c>
      <c r="G903" s="313" t="inlineStr">
        <is>
          <t>One scan into eCoA_DATABASE closes it. Otherwise the two lots were never sent for loss on drying, metals or pesticides and need to be, or released explicitly without them — the same question as OI-53 and OI-55, on two more lots.</t>
        </is>
      </c>
      <c r="H903" s="313" t="inlineStr">
        <is>
          <t>Photographs of 18.09.2026; cell_resolution_2026-09-09.tsv; Drive folders CC012603_P060372 and JD012603_P060362; tracker/HANDMARKED_CORRECTIONS_2026-09-18.md</t>
        </is>
      </c>
    </row>
    <row r="904" ht="66" customHeight="1" s="70">
      <c r="A904" s="311" t="inlineStr">
        <is>
          <t>OI-58</t>
        </is>
      </c>
      <c r="B904" s="311" t="inlineStr">
        <is>
          <t>Desk status</t>
        </is>
      </c>
      <c r="C904" s="315" t="inlineStr">
        <is>
          <t>ruled</t>
        </is>
      </c>
      <c r="D904" s="313" t="inlineStr">
        <is>
          <t>The master workbook was said to be unbuildable. It was a missing flag</t>
        </is>
      </c>
      <c r="E904"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904"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904" s="313" t="inlineStr">
        <is>
          <t>Nothing. The diagnosis was wrong and is corrected here so the record does not keep a working builder marked broken.</t>
        </is>
      </c>
      <c r="H904" s="313" t="inlineStr">
        <is>
          <t>tracker/build_tracker_v8.py:382 (the guard), :428 (`if ICOA_RULE:`), :2432; tracker/HANDMARKED_CORRECTIONS_2026-09-18.md</t>
        </is>
      </c>
    </row>
    <row r="907" ht="20" customHeight="1" s="70">
      <c r="A907" s="264" t="inlineStr">
        <is>
          <t>NOT TESTED REVIEW</t>
        </is>
      </c>
    </row>
    <row r="908">
      <c r="A908" s="316" t="inlineStr">
        <is>
          <t>CoQ</t>
        </is>
      </c>
      <c r="B908" s="316" t="inlineStr">
        <is>
          <t>Batch</t>
        </is>
      </c>
      <c r="C908" s="316" t="inlineStr">
        <is>
          <t>Series</t>
        </is>
      </c>
      <c r="D908" s="316" t="inlineStr">
        <is>
          <t>Parameter</t>
        </is>
      </c>
      <c r="E908" s="316" t="inlineStr">
        <is>
          <t>Cell</t>
        </is>
      </c>
    </row>
    <row r="909">
      <c r="A909" s="256" t="inlineStr">
        <is>
          <t>CoQ-PP_26-001</t>
        </is>
      </c>
      <c r="B909" s="256" t="inlineStr">
        <is>
          <t>CJ1024</t>
        </is>
      </c>
      <c r="C909" s="256" t="inlineStr">
        <is>
          <t>release (predicted)</t>
        </is>
      </c>
      <c r="D909" s="256" t="inlineStr">
        <is>
          <t>#6</t>
        </is>
      </c>
      <c r="E909" s="257" t="inlineStr">
        <is>
          <t>n/t</t>
        </is>
      </c>
    </row>
    <row r="910">
      <c r="A910" s="256" t="inlineStr">
        <is>
          <t>CoQ-PP_26-001</t>
        </is>
      </c>
      <c r="B910" s="256" t="inlineStr">
        <is>
          <t>CJ1024</t>
        </is>
      </c>
      <c r="C910" s="256" t="inlineStr">
        <is>
          <t>release (predicted)</t>
        </is>
      </c>
      <c r="D910" s="256" t="inlineStr">
        <is>
          <t>#10</t>
        </is>
      </c>
      <c r="E910" s="257" t="inlineStr">
        <is>
          <t>750/2025 27.02.25 IJZ; n/t 10.1,10.3</t>
        </is>
      </c>
    </row>
    <row r="911">
      <c r="A911" s="256" t="inlineStr">
        <is>
          <t>CoQ-PP_26-002</t>
        </is>
      </c>
      <c r="B911" s="256" t="inlineStr">
        <is>
          <t>BSS1024</t>
        </is>
      </c>
      <c r="C911" s="256" t="inlineStr">
        <is>
          <t>release</t>
        </is>
      </c>
      <c r="D911" s="256" t="inlineStr">
        <is>
          <t>#10</t>
        </is>
      </c>
      <c r="E911" s="257" t="inlineStr">
        <is>
          <t>751/2025 27.02.25 IJZ; also 197-2-М/26; n/t 10.1,10.3</t>
        </is>
      </c>
    </row>
    <row r="912">
      <c r="A912" s="256" t="inlineStr">
        <is>
          <t>CoQ-PP_26-003</t>
        </is>
      </c>
      <c r="B912" s="256" t="inlineStr">
        <is>
          <t>BG1024</t>
        </is>
      </c>
      <c r="C912" s="256" t="inlineStr">
        <is>
          <t>release</t>
        </is>
      </c>
      <c r="D912" s="256" t="inlineStr">
        <is>
          <t>#10</t>
        </is>
      </c>
      <c r="E912" s="257" t="inlineStr">
        <is>
          <t>752/2025 27.02.25 IJZ; also 197-1-М/26; n/t 10.1,10.3</t>
        </is>
      </c>
    </row>
    <row r="913">
      <c r="A913" s="256" t="inlineStr">
        <is>
          <t>CoQ-PP_26-004</t>
        </is>
      </c>
      <c r="B913" s="256" t="inlineStr">
        <is>
          <t>GG1024</t>
        </is>
      </c>
      <c r="C913" s="256" t="inlineStr">
        <is>
          <t>release</t>
        </is>
      </c>
      <c r="D913" s="256" t="inlineStr">
        <is>
          <t>#3</t>
        </is>
      </c>
      <c r="E913" s="257" t="inlineStr">
        <is>
          <t>n/t</t>
        </is>
      </c>
    </row>
    <row r="914">
      <c r="A914" s="256" t="inlineStr">
        <is>
          <t>CoQ-PP_26-004</t>
        </is>
      </c>
      <c r="B914" s="256" t="inlineStr">
        <is>
          <t>GG1024</t>
        </is>
      </c>
      <c r="C914" s="256" t="inlineStr">
        <is>
          <t>release</t>
        </is>
      </c>
      <c r="D914" s="256" t="inlineStr">
        <is>
          <t>#4</t>
        </is>
      </c>
      <c r="E914" s="257" t="inlineStr">
        <is>
          <t>n/t</t>
        </is>
      </c>
    </row>
    <row r="915">
      <c r="A915" s="256" t="inlineStr">
        <is>
          <t>CoQ-PP_26-004</t>
        </is>
      </c>
      <c r="B915" s="256" t="inlineStr">
        <is>
          <t>GG1024</t>
        </is>
      </c>
      <c r="C915" s="256" t="inlineStr">
        <is>
          <t>release</t>
        </is>
      </c>
      <c r="D915" s="256" t="inlineStr">
        <is>
          <t>#5</t>
        </is>
      </c>
      <c r="E915" s="257" t="inlineStr">
        <is>
          <t>n/t</t>
        </is>
      </c>
    </row>
    <row r="916">
      <c r="A916" s="256" t="inlineStr">
        <is>
          <t>CoQ-PP_26-004</t>
        </is>
      </c>
      <c r="B916" s="256" t="inlineStr">
        <is>
          <t>GG1024</t>
        </is>
      </c>
      <c r="C916" s="256" t="inlineStr">
        <is>
          <t>release</t>
        </is>
      </c>
      <c r="D916" s="256" t="inlineStr">
        <is>
          <t>#6</t>
        </is>
      </c>
      <c r="E916" s="257" t="inlineStr">
        <is>
          <t>n/t</t>
        </is>
      </c>
    </row>
    <row r="917">
      <c r="A917" s="256" t="inlineStr">
        <is>
          <t>CoQ-PP_26-004</t>
        </is>
      </c>
      <c r="B917" s="256" t="inlineStr">
        <is>
          <t>GG1024</t>
        </is>
      </c>
      <c r="C917" s="256" t="inlineStr">
        <is>
          <t>release</t>
        </is>
      </c>
      <c r="D917" s="256" t="inlineStr">
        <is>
          <t>#10</t>
        </is>
      </c>
      <c r="E917" s="257" t="inlineStr">
        <is>
          <t>748/2025 04.03.25 IJZ; also 220-9-М/26; n/t 10.1,10.3</t>
        </is>
      </c>
    </row>
    <row r="918">
      <c r="A918" s="256" t="inlineStr">
        <is>
          <t>CoQ-PP_26-005</t>
        </is>
      </c>
      <c r="B918" s="256" t="inlineStr">
        <is>
          <t>HPA1024</t>
        </is>
      </c>
      <c r="C918" s="256" t="inlineStr">
        <is>
          <t>release</t>
        </is>
      </c>
      <c r="D918" s="256" t="inlineStr">
        <is>
          <t>#3</t>
        </is>
      </c>
      <c r="E918" s="257" t="inlineStr">
        <is>
          <t>n/t</t>
        </is>
      </c>
    </row>
    <row r="919">
      <c r="A919" s="256" t="inlineStr">
        <is>
          <t>CoQ-PP_26-005</t>
        </is>
      </c>
      <c r="B919" s="256" t="inlineStr">
        <is>
          <t>HPA1024</t>
        </is>
      </c>
      <c r="C919" s="256" t="inlineStr">
        <is>
          <t>release</t>
        </is>
      </c>
      <c r="D919" s="256" t="inlineStr">
        <is>
          <t>#6</t>
        </is>
      </c>
      <c r="E919" s="257" t="inlineStr">
        <is>
          <t>n/t</t>
        </is>
      </c>
    </row>
    <row r="920">
      <c r="A920" s="256" t="inlineStr">
        <is>
          <t>CoQ-PP_26-005</t>
        </is>
      </c>
      <c r="B920" s="256" t="inlineStr">
        <is>
          <t>HPA1024</t>
        </is>
      </c>
      <c r="C920" s="256" t="inlineStr">
        <is>
          <t>release</t>
        </is>
      </c>
      <c r="D920" s="256" t="inlineStr">
        <is>
          <t>#8</t>
        </is>
      </c>
      <c r="E920" s="257" t="inlineStr">
        <is>
          <t>n/t</t>
        </is>
      </c>
    </row>
    <row r="921">
      <c r="A921" s="256" t="inlineStr">
        <is>
          <t>CoQ-PP_26-005</t>
        </is>
      </c>
      <c r="B921" s="256" t="inlineStr">
        <is>
          <t>HPA1024</t>
        </is>
      </c>
      <c r="C921" s="256" t="inlineStr">
        <is>
          <t>release</t>
        </is>
      </c>
      <c r="D921" s="256" t="inlineStr">
        <is>
          <t>#10</t>
        </is>
      </c>
      <c r="E921" s="257" t="inlineStr">
        <is>
          <t>iCoA-PP_26-005 03.06.26 PP; also 197-13-М/26; n/t 10.1,10.3</t>
        </is>
      </c>
    </row>
    <row r="922">
      <c r="A922" s="256" t="inlineStr">
        <is>
          <t>CoQ-PP_26-006</t>
        </is>
      </c>
      <c r="B922" s="256" t="inlineStr">
        <is>
          <t>OPM1024</t>
        </is>
      </c>
      <c r="C922" s="256" t="inlineStr">
        <is>
          <t>release</t>
        </is>
      </c>
      <c r="D922" s="256" t="inlineStr">
        <is>
          <t>#3</t>
        </is>
      </c>
      <c r="E922" s="257" t="inlineStr">
        <is>
          <t>n/t</t>
        </is>
      </c>
    </row>
    <row r="923">
      <c r="A923" s="256" t="inlineStr">
        <is>
          <t>CoQ-PP_26-006</t>
        </is>
      </c>
      <c r="B923" s="256" t="inlineStr">
        <is>
          <t>OPM1024</t>
        </is>
      </c>
      <c r="C923" s="256" t="inlineStr">
        <is>
          <t>release</t>
        </is>
      </c>
      <c r="D923" s="256" t="inlineStr">
        <is>
          <t>#6</t>
        </is>
      </c>
      <c r="E923" s="257" t="inlineStr">
        <is>
          <t>n/t</t>
        </is>
      </c>
    </row>
    <row r="924">
      <c r="A924" s="256" t="inlineStr">
        <is>
          <t>CoQ-PP_26-006</t>
        </is>
      </c>
      <c r="B924" s="256" t="inlineStr">
        <is>
          <t>OPM1024</t>
        </is>
      </c>
      <c r="C924" s="256" t="inlineStr">
        <is>
          <t>release</t>
        </is>
      </c>
      <c r="D924" s="256" t="inlineStr">
        <is>
          <t>#8</t>
        </is>
      </c>
      <c r="E924" s="257" t="inlineStr">
        <is>
          <t>n/t</t>
        </is>
      </c>
    </row>
    <row r="925">
      <c r="A925" s="256" t="inlineStr">
        <is>
          <t>CoQ-PP_26-006</t>
        </is>
      </c>
      <c r="B925" s="256" t="inlineStr">
        <is>
          <t>OPM1024</t>
        </is>
      </c>
      <c r="C925" s="256" t="inlineStr">
        <is>
          <t>release</t>
        </is>
      </c>
      <c r="D925" s="256" t="inlineStr">
        <is>
          <t>#10</t>
        </is>
      </c>
      <c r="E925" s="257" t="inlineStr">
        <is>
          <t>iCoA-PP_26-006 03.06.26 PP; also 197-17-М/26; n/t 10.1,10.3</t>
        </is>
      </c>
    </row>
    <row r="926">
      <c r="A926" s="256" t="inlineStr">
        <is>
          <t>CoQ-PP_26-007</t>
        </is>
      </c>
      <c r="B926" s="256" t="inlineStr">
        <is>
          <t>P050022 (GP0824_02)</t>
        </is>
      </c>
      <c r="C926" s="256" t="inlineStr">
        <is>
          <t>release</t>
        </is>
      </c>
      <c r="D926" s="256" t="inlineStr">
        <is>
          <t>#10</t>
        </is>
      </c>
      <c r="E926" s="257" t="inlineStr">
        <is>
          <t>2471-2025 30.05.25 IJZ; also 197-11-М/26; n/t 10.1,10.3</t>
        </is>
      </c>
    </row>
    <row r="927">
      <c r="A927" s="256" t="inlineStr">
        <is>
          <t>CoQ-PP_26-008</t>
        </is>
      </c>
      <c r="B927" s="256" t="inlineStr">
        <is>
          <t>P050012 (GG1024_02)</t>
        </is>
      </c>
      <c r="C927" s="256" t="inlineStr">
        <is>
          <t>release (predicted)</t>
        </is>
      </c>
      <c r="D927" s="256" t="inlineStr">
        <is>
          <t>#6</t>
        </is>
      </c>
      <c r="E927" s="257" t="inlineStr">
        <is>
          <t>n/t</t>
        </is>
      </c>
    </row>
    <row r="928">
      <c r="A928" s="256" t="inlineStr">
        <is>
          <t>CoQ-PP_26-008</t>
        </is>
      </c>
      <c r="B928" s="256" t="inlineStr">
        <is>
          <t>P050012 (GG1024_02)</t>
        </is>
      </c>
      <c r="C928" s="256" t="inlineStr">
        <is>
          <t>release (predicted)</t>
        </is>
      </c>
      <c r="D928" s="256" t="inlineStr">
        <is>
          <t>#10</t>
        </is>
      </c>
      <c r="E928" s="257" t="inlineStr">
        <is>
          <t>2472/2025 30.05.25 IJZ; n/t 10.1,10.3</t>
        </is>
      </c>
    </row>
    <row r="929">
      <c r="A929" s="256" t="inlineStr">
        <is>
          <t>CoQ-PP_26-009</t>
        </is>
      </c>
      <c r="B929" s="256" t="inlineStr">
        <is>
          <t>P050032 (MB0824_04)</t>
        </is>
      </c>
      <c r="C929" s="256" t="inlineStr">
        <is>
          <t>release (predicted)</t>
        </is>
      </c>
      <c r="D929" s="256" t="inlineStr">
        <is>
          <t>#6</t>
        </is>
      </c>
      <c r="E929" s="257" t="inlineStr">
        <is>
          <t>n/t</t>
        </is>
      </c>
    </row>
    <row r="930">
      <c r="A930" s="256" t="inlineStr">
        <is>
          <t>CoQ-PP_26-009</t>
        </is>
      </c>
      <c r="B930" s="256" t="inlineStr">
        <is>
          <t>P050032 (MB0824_04)</t>
        </is>
      </c>
      <c r="C930" s="256" t="inlineStr">
        <is>
          <t>release (predicted)</t>
        </is>
      </c>
      <c r="D930" s="256" t="inlineStr">
        <is>
          <t>#10</t>
        </is>
      </c>
      <c r="E930" s="257" t="inlineStr">
        <is>
          <t>2157/2025 07.05.25 IJZ; n/t 10.1,10.3</t>
        </is>
      </c>
    </row>
    <row r="931">
      <c r="A931" s="256" t="inlineStr">
        <is>
          <t>CoQ-PP_26-010</t>
        </is>
      </c>
      <c r="B931" s="256" t="inlineStr">
        <is>
          <t>P050042 (OMP1024_01)</t>
        </is>
      </c>
      <c r="C931" s="256" t="inlineStr">
        <is>
          <t>release</t>
        </is>
      </c>
      <c r="D931" s="256" t="inlineStr">
        <is>
          <t>#10</t>
        </is>
      </c>
      <c r="E931" s="257" t="inlineStr">
        <is>
          <t>2156/2025 07.05.25 IJZ; also 220-21-М/26; n/t 10.1,10.3</t>
        </is>
      </c>
    </row>
    <row r="932">
      <c r="A932" s="256" t="inlineStr">
        <is>
          <t>CoQ-PP_26-011</t>
        </is>
      </c>
      <c r="B932" s="256" t="inlineStr">
        <is>
          <t>P050052 (HPA1024_01)</t>
        </is>
      </c>
      <c r="C932" s="256" t="inlineStr">
        <is>
          <t>release</t>
        </is>
      </c>
      <c r="D932" s="256" t="inlineStr">
        <is>
          <t>#10</t>
        </is>
      </c>
      <c r="E932" s="257" t="inlineStr">
        <is>
          <t>2995/2025 19.06.25 IJZ; also 197-14-М/26; n/t 10.1,10.3</t>
        </is>
      </c>
    </row>
    <row r="933">
      <c r="A933" s="256" t="inlineStr">
        <is>
          <t>CoQ-PP_26-012</t>
        </is>
      </c>
      <c r="B933" s="256" t="inlineStr">
        <is>
          <t>P050062 (OPM1024_02)</t>
        </is>
      </c>
      <c r="C933" s="256" t="inlineStr">
        <is>
          <t>release</t>
        </is>
      </c>
      <c r="D933" s="256" t="inlineStr">
        <is>
          <t>#10</t>
        </is>
      </c>
      <c r="E933" s="257" t="inlineStr">
        <is>
          <t>2994/2025 19.06.25 IJZ; also 197-18-М/26; n/t 10.1,10.3</t>
        </is>
      </c>
    </row>
    <row r="934">
      <c r="A934" s="256" t="inlineStr">
        <is>
          <t>CoQ-PP_26-013</t>
        </is>
      </c>
      <c r="B934" s="256" t="inlineStr">
        <is>
          <t>P050072 (GP0824_03)</t>
        </is>
      </c>
      <c r="C934" s="256" t="inlineStr">
        <is>
          <t>release</t>
        </is>
      </c>
      <c r="D934" s="256" t="inlineStr">
        <is>
          <t>#10</t>
        </is>
      </c>
      <c r="E934" s="257" t="inlineStr">
        <is>
          <t>3178/2025 26.06.25 IJZ; also 220-11-М/26; n/t 10.1,10.3</t>
        </is>
      </c>
    </row>
    <row r="935">
      <c r="A935" s="256" t="inlineStr">
        <is>
          <t>CoQ-PP_26-014</t>
        </is>
      </c>
      <c r="B935" s="256" t="inlineStr">
        <is>
          <t>P050082 (OPM1024_03)</t>
        </is>
      </c>
      <c r="C935" s="256" t="inlineStr">
        <is>
          <t>release</t>
        </is>
      </c>
      <c r="D935" s="256" t="inlineStr">
        <is>
          <t>#10</t>
        </is>
      </c>
      <c r="E935" s="257" t="inlineStr">
        <is>
          <t>3636/2025 28.07.25 IJZ; also 220-23-М/26; n/t 10.1,10.3</t>
        </is>
      </c>
    </row>
    <row r="936">
      <c r="A936" s="256" t="inlineStr">
        <is>
          <t>CoQ-PP_26-015</t>
        </is>
      </c>
      <c r="B936" s="256" t="inlineStr">
        <is>
          <t>P050092 (GG1024_01)</t>
        </is>
      </c>
      <c r="C936" s="256" t="inlineStr">
        <is>
          <t>release</t>
        </is>
      </c>
      <c r="D936" s="256" t="inlineStr">
        <is>
          <t>#10</t>
        </is>
      </c>
      <c r="E936" s="257" t="inlineStr">
        <is>
          <t>1766/2025 11.04.25 IJZ; also 197-9-М/26; n/t 10.1,10.3</t>
        </is>
      </c>
    </row>
    <row r="937">
      <c r="A937" s="256" t="inlineStr">
        <is>
          <t>CoQ-PP_26-016</t>
        </is>
      </c>
      <c r="B937" s="256" t="inlineStr">
        <is>
          <t>P050102 (GP0824_01)</t>
        </is>
      </c>
      <c r="C937" s="256" t="inlineStr">
        <is>
          <t>release (predicted)</t>
        </is>
      </c>
      <c r="D937" s="256" t="inlineStr">
        <is>
          <t>#6</t>
        </is>
      </c>
      <c r="E937" s="257" t="inlineStr">
        <is>
          <t>n/t</t>
        </is>
      </c>
    </row>
    <row r="938">
      <c r="A938" s="256" t="inlineStr">
        <is>
          <t>CoQ-PP_26-016</t>
        </is>
      </c>
      <c r="B938" s="256" t="inlineStr">
        <is>
          <t>P050102 (GP0824_01)</t>
        </is>
      </c>
      <c r="C938" s="256" t="inlineStr">
        <is>
          <t>release (predicted)</t>
        </is>
      </c>
      <c r="D938" s="256" t="inlineStr">
        <is>
          <t>#10</t>
        </is>
      </c>
      <c r="E938" s="257" t="inlineStr">
        <is>
          <t>1767/2025 11.04.25 IJZ; n/t 10.1,10.3</t>
        </is>
      </c>
    </row>
    <row r="939">
      <c r="A939" s="256" t="inlineStr">
        <is>
          <t>CoQ-PP_26-017</t>
        </is>
      </c>
      <c r="B939" s="256" t="inlineStr">
        <is>
          <t>P050112 (MB0824_05)</t>
        </is>
      </c>
      <c r="C939" s="256" t="inlineStr">
        <is>
          <t>release</t>
        </is>
      </c>
      <c r="D939" s="256" t="inlineStr">
        <is>
          <t>#10</t>
        </is>
      </c>
      <c r="E939" s="257" t="inlineStr">
        <is>
          <t>3638/2025 28.07.25 IJZ; also 220-20-М/26; n/t 10.1,10.3</t>
        </is>
      </c>
    </row>
    <row r="940">
      <c r="A940" s="256" t="inlineStr">
        <is>
          <t>CoQ-PP_26-018</t>
        </is>
      </c>
      <c r="B940" s="256" t="inlineStr">
        <is>
          <t>P050122 (BSS1024_01)</t>
        </is>
      </c>
      <c r="C940" s="256" t="inlineStr">
        <is>
          <t>release (predicted)</t>
        </is>
      </c>
      <c r="D940" s="256" t="inlineStr">
        <is>
          <t>#6</t>
        </is>
      </c>
      <c r="E940" s="257" t="inlineStr">
        <is>
          <t>n/t</t>
        </is>
      </c>
    </row>
    <row r="941">
      <c r="A941" s="256" t="inlineStr">
        <is>
          <t>CoQ-PP_26-018</t>
        </is>
      </c>
      <c r="B941" s="256" t="inlineStr">
        <is>
          <t>P050122 (BSS1024_01)</t>
        </is>
      </c>
      <c r="C941" s="256" t="inlineStr">
        <is>
          <t>release (predicted)</t>
        </is>
      </c>
      <c r="D941" s="256" t="inlineStr">
        <is>
          <t>#10</t>
        </is>
      </c>
      <c r="E941" s="257" t="inlineStr">
        <is>
          <t>3177/2025 26.06.25 IJZ; n/t 10.1,10.3</t>
        </is>
      </c>
    </row>
    <row r="942">
      <c r="A942" s="256" t="inlineStr">
        <is>
          <t>CoQ-PP_26-019</t>
        </is>
      </c>
      <c r="B942" s="256" t="inlineStr">
        <is>
          <t>P050132 (OPM052501)</t>
        </is>
      </c>
      <c r="C942" s="256" t="inlineStr">
        <is>
          <t>release (predicted)</t>
        </is>
      </c>
      <c r="D942" s="256" t="inlineStr">
        <is>
          <t>#6</t>
        </is>
      </c>
      <c r="E942" s="257" t="inlineStr">
        <is>
          <t>n/t</t>
        </is>
      </c>
    </row>
    <row r="943">
      <c r="A943" s="256" t="inlineStr">
        <is>
          <t>CoQ-PP_26-019</t>
        </is>
      </c>
      <c r="B943" s="256" t="inlineStr">
        <is>
          <t>P050132 (OPM052501)</t>
        </is>
      </c>
      <c r="C943" s="256" t="inlineStr">
        <is>
          <t>release (predicted)</t>
        </is>
      </c>
      <c r="D943" s="256" t="inlineStr">
        <is>
          <t>#10</t>
        </is>
      </c>
      <c r="E943" s="257" t="inlineStr">
        <is>
          <t>4157/2025 29.08.25 IJZ; n/t 10.1,10.3</t>
        </is>
      </c>
    </row>
    <row r="944">
      <c r="A944" s="256" t="inlineStr">
        <is>
          <t>CoQ-PP_26-020</t>
        </is>
      </c>
      <c r="B944" s="256" t="inlineStr">
        <is>
          <t>P050152 (GP052501)</t>
        </is>
      </c>
      <c r="C944" s="256" t="inlineStr">
        <is>
          <t>release</t>
        </is>
      </c>
      <c r="D944" s="256" t="inlineStr">
        <is>
          <t>#10</t>
        </is>
      </c>
      <c r="E944" s="257" t="inlineStr">
        <is>
          <t>4348/2025 15.09.25 IJZ; also 197-10-М/26; n/t 10.1,10.3</t>
        </is>
      </c>
    </row>
    <row r="945">
      <c r="A945" s="256" t="inlineStr">
        <is>
          <t>CoQ-PP_26-021</t>
        </is>
      </c>
      <c r="B945" s="256" t="inlineStr">
        <is>
          <t>P050142 (BSS1024_01/2)</t>
        </is>
      </c>
      <c r="C945" s="256" t="inlineStr">
        <is>
          <t>release (predicted)</t>
        </is>
      </c>
      <c r="D945" s="256" t="inlineStr">
        <is>
          <t>#4</t>
        </is>
      </c>
      <c r="E945" s="257" t="inlineStr">
        <is>
          <t>n/t</t>
        </is>
      </c>
    </row>
    <row r="946">
      <c r="A946" s="256" t="inlineStr">
        <is>
          <t>CoQ-PP_26-021</t>
        </is>
      </c>
      <c r="B946" s="256" t="inlineStr">
        <is>
          <t>P050142 (BSS1024_01/2)</t>
        </is>
      </c>
      <c r="C946" s="256" t="inlineStr">
        <is>
          <t>release (predicted)</t>
        </is>
      </c>
      <c r="D946" s="256" t="inlineStr">
        <is>
          <t>#5</t>
        </is>
      </c>
      <c r="E946" s="257" t="inlineStr">
        <is>
          <t>n/t</t>
        </is>
      </c>
    </row>
    <row r="947">
      <c r="A947" s="256" t="inlineStr">
        <is>
          <t>CoQ-PP_26-021</t>
        </is>
      </c>
      <c r="B947" s="256" t="inlineStr">
        <is>
          <t>P050142 (BSS1024_01/2)</t>
        </is>
      </c>
      <c r="C947" s="256" t="inlineStr">
        <is>
          <t>release (predicted)</t>
        </is>
      </c>
      <c r="D947" s="256" t="inlineStr">
        <is>
          <t>#6</t>
        </is>
      </c>
      <c r="E947" s="257" t="inlineStr">
        <is>
          <t>n/t</t>
        </is>
      </c>
    </row>
    <row r="948">
      <c r="A948" s="256" t="inlineStr">
        <is>
          <t>CoQ-PP_26-021</t>
        </is>
      </c>
      <c r="B948" s="256" t="inlineStr">
        <is>
          <t>P050142 (BSS1024_01/2)</t>
        </is>
      </c>
      <c r="C948" s="256" t="inlineStr">
        <is>
          <t>release (predicted)</t>
        </is>
      </c>
      <c r="D948" s="256" t="inlineStr">
        <is>
          <t>#8</t>
        </is>
      </c>
      <c r="E948" s="257" t="inlineStr">
        <is>
          <t>n/t</t>
        </is>
      </c>
    </row>
    <row r="949">
      <c r="A949" s="256" t="inlineStr">
        <is>
          <t>CoQ-PP_26-021</t>
        </is>
      </c>
      <c r="B949" s="256" t="inlineStr">
        <is>
          <t>P050142 (BSS1024_01/2)</t>
        </is>
      </c>
      <c r="C949" s="256" t="inlineStr">
        <is>
          <t>release (predicted)</t>
        </is>
      </c>
      <c r="D949" s="256" t="inlineStr">
        <is>
          <t>#9</t>
        </is>
      </c>
      <c r="E949" s="257" t="inlineStr">
        <is>
          <t>n/t</t>
        </is>
      </c>
    </row>
    <row r="950">
      <c r="A950" s="256" t="inlineStr">
        <is>
          <t>CoQ-PP_26-021</t>
        </is>
      </c>
      <c r="B950" s="256" t="inlineStr">
        <is>
          <t>P050142 (BSS1024_01/2)</t>
        </is>
      </c>
      <c r="C950" s="256" t="inlineStr">
        <is>
          <t>release (predicted)</t>
        </is>
      </c>
      <c r="D950" s="256" t="inlineStr">
        <is>
          <t>#10</t>
        </is>
      </c>
      <c r="E950" s="257" t="inlineStr">
        <is>
          <t>n/t</t>
        </is>
      </c>
    </row>
    <row r="951">
      <c r="A951" s="256" t="inlineStr">
        <is>
          <t>CoQ-PP_26-021</t>
        </is>
      </c>
      <c r="B951" s="256" t="inlineStr">
        <is>
          <t>P050142 (BSS1024_01/2)</t>
        </is>
      </c>
      <c r="C951" s="256" t="inlineStr">
        <is>
          <t>release (predicted)</t>
        </is>
      </c>
      <c r="D951" s="256" t="inlineStr">
        <is>
          <t>#11</t>
        </is>
      </c>
      <c r="E951" s="257" t="inlineStr">
        <is>
          <t>n/t</t>
        </is>
      </c>
    </row>
    <row r="952">
      <c r="A952" s="256" t="inlineStr">
        <is>
          <t>CoQ-PP_26-021</t>
        </is>
      </c>
      <c r="B952" s="256" t="inlineStr">
        <is>
          <t>P050142 (BSS1024_01/2)</t>
        </is>
      </c>
      <c r="C952" s="256" t="inlineStr">
        <is>
          <t>release (predicted)</t>
        </is>
      </c>
      <c r="D952" s="256" t="inlineStr">
        <is>
          <t>#12</t>
        </is>
      </c>
      <c r="E952" s="257" t="inlineStr">
        <is>
          <t>n/t</t>
        </is>
      </c>
    </row>
    <row r="953">
      <c r="A953" s="256" t="inlineStr">
        <is>
          <t>CoQ-PP_26-022</t>
        </is>
      </c>
      <c r="B953" s="256" t="inlineStr">
        <is>
          <t>P050162 (CJ052501/01)</t>
        </is>
      </c>
      <c r="C953" s="256" t="inlineStr">
        <is>
          <t>release</t>
        </is>
      </c>
      <c r="D953" s="256" t="inlineStr">
        <is>
          <t>#10</t>
        </is>
      </c>
      <c r="E953" s="257" t="inlineStr">
        <is>
          <t>4350/2025 15.09.25 IJZ; also 197-3-М/26; n/t 10.1,10.3</t>
        </is>
      </c>
    </row>
    <row r="954">
      <c r="A954" s="256" t="inlineStr">
        <is>
          <t>CoQ-PP_26-023</t>
        </is>
      </c>
      <c r="B954" s="256" t="inlineStr">
        <is>
          <t>P050172 (CJ052501-2)</t>
        </is>
      </c>
      <c r="C954" s="256" t="inlineStr">
        <is>
          <t>release (predicted)</t>
        </is>
      </c>
      <c r="D954" s="256" t="inlineStr">
        <is>
          <t>#6</t>
        </is>
      </c>
      <c r="E954" s="257" t="inlineStr">
        <is>
          <t>n/t</t>
        </is>
      </c>
    </row>
    <row r="955">
      <c r="A955" s="256" t="inlineStr">
        <is>
          <t>CoQ-PP_26-023</t>
        </is>
      </c>
      <c r="B955" s="256" t="inlineStr">
        <is>
          <t>P050172 (CJ052501-2)</t>
        </is>
      </c>
      <c r="C955" s="256" t="inlineStr">
        <is>
          <t>release (predicted)</t>
        </is>
      </c>
      <c r="D955" s="256" t="inlineStr">
        <is>
          <t>#10</t>
        </is>
      </c>
      <c r="E955" s="257" t="inlineStr">
        <is>
          <t>4349/2025 15.09.25 IJZ; n/t 10.1,10.3</t>
        </is>
      </c>
    </row>
    <row r="956">
      <c r="A956" s="256" t="inlineStr">
        <is>
          <t>CoQ-PP_26-024</t>
        </is>
      </c>
      <c r="B956" s="256" t="inlineStr">
        <is>
          <t>P050182 (HPA052501)</t>
        </is>
      </c>
      <c r="C956" s="256" t="inlineStr">
        <is>
          <t>release</t>
        </is>
      </c>
      <c r="D956" s="256" t="inlineStr">
        <is>
          <t>#10</t>
        </is>
      </c>
      <c r="E956" s="257" t="inlineStr">
        <is>
          <t>4352/2025 15.09.25 IJZ; also 220-15-М/26; n/t 10.1,10.3</t>
        </is>
      </c>
    </row>
    <row r="957">
      <c r="A957" s="256" t="inlineStr">
        <is>
          <t>CoQ-PP_26-025</t>
        </is>
      </c>
      <c r="B957" s="256" t="inlineStr">
        <is>
          <t>P050192 (BSS052501)</t>
        </is>
      </c>
      <c r="C957" s="256" t="inlineStr">
        <is>
          <t>release</t>
        </is>
      </c>
      <c r="D957" s="256" t="inlineStr">
        <is>
          <t>#3</t>
        </is>
      </c>
      <c r="E957" s="257" t="inlineStr">
        <is>
          <t>n/t</t>
        </is>
      </c>
    </row>
    <row r="958">
      <c r="A958" s="256" t="inlineStr">
        <is>
          <t>CoQ-PP_26-025</t>
        </is>
      </c>
      <c r="B958" s="256" t="inlineStr">
        <is>
          <t>P050192 (BSS052501)</t>
        </is>
      </c>
      <c r="C958" s="256" t="inlineStr">
        <is>
          <t>release</t>
        </is>
      </c>
      <c r="D958" s="256" t="inlineStr">
        <is>
          <t>#6</t>
        </is>
      </c>
      <c r="E958" s="257" t="inlineStr">
        <is>
          <t>n/t</t>
        </is>
      </c>
    </row>
    <row r="959">
      <c r="A959" s="256" t="inlineStr">
        <is>
          <t>CoQ-PP_26-025</t>
        </is>
      </c>
      <c r="B959" s="256" t="inlineStr">
        <is>
          <t>P050192 (BSS052501)</t>
        </is>
      </c>
      <c r="C959" s="256" t="inlineStr">
        <is>
          <t>release</t>
        </is>
      </c>
      <c r="D959" s="256" t="inlineStr">
        <is>
          <t>#10</t>
        </is>
      </c>
      <c r="E959" s="257" t="inlineStr">
        <is>
          <t>276-31-М/25 04.12.25 FHM-M; also 220-2-М/26; n/t 10.2</t>
        </is>
      </c>
    </row>
    <row r="960">
      <c r="A960" s="256" t="inlineStr">
        <is>
          <t>CoQ-PP_26-026</t>
        </is>
      </c>
      <c r="B960" s="256" t="inlineStr">
        <is>
          <t>P050202 (GP062501)</t>
        </is>
      </c>
      <c r="C960" s="256" t="inlineStr">
        <is>
          <t>release (predicted)</t>
        </is>
      </c>
      <c r="D960" s="256" t="inlineStr">
        <is>
          <t>#3</t>
        </is>
      </c>
      <c r="E960" s="257" t="inlineStr">
        <is>
          <t>n/t</t>
        </is>
      </c>
    </row>
    <row r="961">
      <c r="A961" s="256" t="inlineStr">
        <is>
          <t>CoQ-PP_26-026</t>
        </is>
      </c>
      <c r="B961" s="256" t="inlineStr">
        <is>
          <t>P050202 (GP062501)</t>
        </is>
      </c>
      <c r="C961" s="256" t="inlineStr">
        <is>
          <t>release (predicted)</t>
        </is>
      </c>
      <c r="D961" s="256" t="inlineStr">
        <is>
          <t>#6</t>
        </is>
      </c>
      <c r="E961" s="257" t="inlineStr">
        <is>
          <t>n/t</t>
        </is>
      </c>
    </row>
    <row r="962">
      <c r="A962" s="256" t="inlineStr">
        <is>
          <t>CoQ-PP_26-026</t>
        </is>
      </c>
      <c r="B962" s="256" t="inlineStr">
        <is>
          <t>P050202 (GP062501)</t>
        </is>
      </c>
      <c r="C962" s="256" t="inlineStr">
        <is>
          <t>release (predicted)</t>
        </is>
      </c>
      <c r="D962" s="256" t="inlineStr">
        <is>
          <t>#10</t>
        </is>
      </c>
      <c r="E962" s="257" t="inlineStr">
        <is>
          <t>4762/2025 08.10.25 IJZ; n/t 10.1,10.3</t>
        </is>
      </c>
    </row>
    <row r="963">
      <c r="A963" s="256" t="inlineStr">
        <is>
          <t>CoQ-PP_26-027</t>
        </is>
      </c>
      <c r="B963" s="256" t="inlineStr">
        <is>
          <t>P050212 (CJ062501-2)</t>
        </is>
      </c>
      <c r="C963" s="256" t="inlineStr">
        <is>
          <t>release (predicted)</t>
        </is>
      </c>
      <c r="D963" s="256" t="inlineStr">
        <is>
          <t>#10</t>
        </is>
      </c>
      <c r="E963" s="257" t="inlineStr">
        <is>
          <t>4908/2025 24.10.25 IJZ; also 197-4-М/26; n/t 10.1,10.3</t>
        </is>
      </c>
    </row>
    <row r="964">
      <c r="A964" s="256" t="inlineStr">
        <is>
          <t>CoQ-PP_26-028</t>
        </is>
      </c>
      <c r="B964" s="256" t="inlineStr">
        <is>
          <t>P050222 (CJ062501/1)</t>
        </is>
      </c>
      <c r="C964" s="256" t="inlineStr">
        <is>
          <t>release</t>
        </is>
      </c>
      <c r="D964" s="256" t="inlineStr">
        <is>
          <t>#10</t>
        </is>
      </c>
      <c r="E964" s="257" t="inlineStr">
        <is>
          <t>4907/2025 24.10.25 IJZ; also 220-3-М/26; n/t 10.1,10.3</t>
        </is>
      </c>
    </row>
    <row r="965">
      <c r="A965" s="256" t="inlineStr">
        <is>
          <t>CoQ-PP_26-029</t>
        </is>
      </c>
      <c r="B965" s="256" t="inlineStr">
        <is>
          <t>P050252 (CJ072501)</t>
        </is>
      </c>
      <c r="C965" s="256" t="inlineStr">
        <is>
          <t>release (predicted)</t>
        </is>
      </c>
      <c r="D965" s="256" t="inlineStr">
        <is>
          <t>#6</t>
        </is>
      </c>
      <c r="E965" s="257" t="inlineStr">
        <is>
          <t>n/t</t>
        </is>
      </c>
    </row>
    <row r="966">
      <c r="A966" s="256" t="inlineStr">
        <is>
          <t>CoQ-PP_26-029</t>
        </is>
      </c>
      <c r="B966" s="256" t="inlineStr">
        <is>
          <t>P050252 (CJ072501)</t>
        </is>
      </c>
      <c r="C966" s="256" t="inlineStr">
        <is>
          <t>release (predicted)</t>
        </is>
      </c>
      <c r="D966" s="256" t="inlineStr">
        <is>
          <t>#10</t>
        </is>
      </c>
      <c r="E966" s="257" t="inlineStr">
        <is>
          <t>5697/2025 02.12.25 IJZ; n/t 10.1,10.3</t>
        </is>
      </c>
    </row>
    <row r="967">
      <c r="A967" s="256" t="inlineStr">
        <is>
          <t>CoQ-PP_26-030</t>
        </is>
      </c>
      <c r="B967" s="256" t="inlineStr">
        <is>
          <t>P050262 (WC072501)</t>
        </is>
      </c>
      <c r="C967" s="256" t="inlineStr">
        <is>
          <t>release (predicted)</t>
        </is>
      </c>
      <c r="D967" s="256" t="inlineStr">
        <is>
          <t>#6</t>
        </is>
      </c>
      <c r="E967" s="257" t="inlineStr">
        <is>
          <t>n/t</t>
        </is>
      </c>
    </row>
    <row r="968">
      <c r="A968" s="256" t="inlineStr">
        <is>
          <t>CoQ-PP_26-030</t>
        </is>
      </c>
      <c r="B968" s="256" t="inlineStr">
        <is>
          <t>P050262 (WC072501)</t>
        </is>
      </c>
      <c r="C968" s="256" t="inlineStr">
        <is>
          <t>release (predicted)</t>
        </is>
      </c>
      <c r="D968" s="256" t="inlineStr">
        <is>
          <t>#10</t>
        </is>
      </c>
      <c r="E968" s="257" t="inlineStr">
        <is>
          <t>5699/2025 02.12.25 IJZ; n/t 10.1,10.3</t>
        </is>
      </c>
    </row>
    <row r="969">
      <c r="A969" s="256" t="inlineStr">
        <is>
          <t>CoQ-PP_26-031</t>
        </is>
      </c>
      <c r="B969" s="256" t="inlineStr">
        <is>
          <t>P050272 (PM072501)</t>
        </is>
      </c>
      <c r="C969" s="256" t="inlineStr">
        <is>
          <t>release (predicted)</t>
        </is>
      </c>
      <c r="D969" s="256" t="inlineStr">
        <is>
          <t>#6</t>
        </is>
      </c>
      <c r="E969" s="257" t="inlineStr">
        <is>
          <t>n/t</t>
        </is>
      </c>
    </row>
    <row r="970">
      <c r="A970" s="256" t="inlineStr">
        <is>
          <t>CoQ-PP_26-031</t>
        </is>
      </c>
      <c r="B970" s="256" t="inlineStr">
        <is>
          <t>P050272 (PM072501)</t>
        </is>
      </c>
      <c r="C970" s="256" t="inlineStr">
        <is>
          <t>release (predicted)</t>
        </is>
      </c>
      <c r="D970" s="256" t="inlineStr">
        <is>
          <t>#10</t>
        </is>
      </c>
      <c r="E970" s="257" t="inlineStr">
        <is>
          <t>5698/2025 02.12.25 IJZ; n/t 10.1,10.3</t>
        </is>
      </c>
    </row>
    <row r="971">
      <c r="A971" s="256" t="inlineStr">
        <is>
          <t>CoQ-PP_26-032</t>
        </is>
      </c>
      <c r="B971" s="256" t="inlineStr">
        <is>
          <t>P050282 (CLE072501)</t>
        </is>
      </c>
      <c r="C971" s="256" t="inlineStr">
        <is>
          <t>release</t>
        </is>
      </c>
      <c r="D971" s="256" t="inlineStr">
        <is>
          <t>#10</t>
        </is>
      </c>
      <c r="E971" s="257" t="inlineStr">
        <is>
          <t>5700/2025 02.12.25 IJZ; also 220-7-М/26; n/t 10.1,10.3</t>
        </is>
      </c>
    </row>
    <row r="972">
      <c r="A972" s="256" t="inlineStr">
        <is>
          <t>CoQ-PP_26-033</t>
        </is>
      </c>
      <c r="B972" s="256" t="inlineStr">
        <is>
          <t>P050292 (GP072501-1)</t>
        </is>
      </c>
      <c r="C972" s="256" t="inlineStr">
        <is>
          <t>release (predicted)</t>
        </is>
      </c>
      <c r="D972" s="256" t="inlineStr">
        <is>
          <t>#6</t>
        </is>
      </c>
      <c r="E972" s="257" t="inlineStr">
        <is>
          <t>n/t</t>
        </is>
      </c>
    </row>
    <row r="973">
      <c r="A973" s="256" t="inlineStr">
        <is>
          <t>CoQ-PP_26-033</t>
        </is>
      </c>
      <c r="B973" s="256" t="inlineStr">
        <is>
          <t>P050292 (GP072501-1)</t>
        </is>
      </c>
      <c r="C973" s="256" t="inlineStr">
        <is>
          <t>release (predicted)</t>
        </is>
      </c>
      <c r="D973" s="256" t="inlineStr">
        <is>
          <t>#10</t>
        </is>
      </c>
      <c r="E973" s="257" t="inlineStr">
        <is>
          <t>5886/2025 12.12.25 IJZ; n/t 10.1,10.3</t>
        </is>
      </c>
    </row>
    <row r="974">
      <c r="A974" s="256" t="inlineStr">
        <is>
          <t>CoQ-PP_26-034</t>
        </is>
      </c>
      <c r="B974" s="256" t="inlineStr">
        <is>
          <t>P050302 (GP072501/2)</t>
        </is>
      </c>
      <c r="C974" s="256" t="inlineStr">
        <is>
          <t>release</t>
        </is>
      </c>
      <c r="D974" s="256" t="inlineStr">
        <is>
          <t>#10</t>
        </is>
      </c>
      <c r="E974" s="257" t="inlineStr">
        <is>
          <t>5887/2025 12.12.25 IJZ; also 220-10-М/26; n/t 10.1,10.3</t>
        </is>
      </c>
    </row>
    <row r="975">
      <c r="A975" s="256" t="inlineStr">
        <is>
          <t>CoQ-PP_26-035</t>
        </is>
      </c>
      <c r="B975" s="256" t="inlineStr">
        <is>
          <t>P050312 (GP082501/1)</t>
        </is>
      </c>
      <c r="C975" s="256" t="inlineStr">
        <is>
          <t>release</t>
        </is>
      </c>
      <c r="D975" s="256" t="inlineStr">
        <is>
          <t>#10</t>
        </is>
      </c>
      <c r="E975" s="257" t="inlineStr">
        <is>
          <t>5888/2025 12.12.25 IJZ; also 220-12-М/26; n/t 10.1,10.3</t>
        </is>
      </c>
    </row>
    <row r="976">
      <c r="A976" s="256" t="inlineStr">
        <is>
          <t>CoQ-PP_26-036</t>
        </is>
      </c>
      <c r="B976" s="256" t="inlineStr">
        <is>
          <t>P050322 (GP082501/2)</t>
        </is>
      </c>
      <c r="C976" s="256" t="inlineStr">
        <is>
          <t>release</t>
        </is>
      </c>
      <c r="D976" s="256" t="inlineStr">
        <is>
          <t>#10</t>
        </is>
      </c>
      <c r="E976" s="257" t="inlineStr">
        <is>
          <t>5889/2025 12.12.25 IJZ; also 197-12-М/26; n/t 10.1,10.3</t>
        </is>
      </c>
    </row>
    <row r="977">
      <c r="A977" s="256" t="inlineStr">
        <is>
          <t>CoQ-PP_26-037</t>
        </is>
      </c>
      <c r="B977" s="256" t="inlineStr">
        <is>
          <t>P060012 (WC082501)</t>
        </is>
      </c>
      <c r="C977" s="256" t="inlineStr">
        <is>
          <t>release</t>
        </is>
      </c>
      <c r="D977" s="256" t="inlineStr">
        <is>
          <t>#10</t>
        </is>
      </c>
      <c r="E977" s="257" t="inlineStr">
        <is>
          <t>80/2026 02.02.26 IJZ; also 220-28-М/26; n/t 10.1,10.3</t>
        </is>
      </c>
    </row>
    <row r="978">
      <c r="A978" s="256" t="inlineStr">
        <is>
          <t>CoQ-PP_26-038</t>
        </is>
      </c>
      <c r="B978" s="256" t="inlineStr">
        <is>
          <t>P060022 (CJ082501/1)</t>
        </is>
      </c>
      <c r="C978" s="256" t="inlineStr">
        <is>
          <t>release</t>
        </is>
      </c>
      <c r="D978" s="256" t="inlineStr">
        <is>
          <t>#10</t>
        </is>
      </c>
      <c r="E978" s="257" t="inlineStr">
        <is>
          <t>81/2026 02.02.26 IJZ; also 220-4-М/26; n/t 10.1,10.3</t>
        </is>
      </c>
    </row>
    <row r="979">
      <c r="A979" s="256" t="inlineStr">
        <is>
          <t>CoQ-PP_26-039</t>
        </is>
      </c>
      <c r="B979" s="256" t="inlineStr">
        <is>
          <t>P060032 (CJ082501/2)</t>
        </is>
      </c>
      <c r="C979" s="256" t="inlineStr">
        <is>
          <t>release</t>
        </is>
      </c>
      <c r="D979" s="256" t="inlineStr">
        <is>
          <t>#10</t>
        </is>
      </c>
      <c r="E979" s="257" t="inlineStr">
        <is>
          <t>82/2026 02.02.26 IJZ; also 197-5-М/26; n/t 10.1,10.3</t>
        </is>
      </c>
    </row>
    <row r="980">
      <c r="A980" s="256" t="inlineStr">
        <is>
          <t>CoQ-PP_26-040</t>
        </is>
      </c>
      <c r="B980" s="256" t="inlineStr">
        <is>
          <t>P060042 (OPM092501)</t>
        </is>
      </c>
      <c r="C980" s="256" t="inlineStr">
        <is>
          <t>release</t>
        </is>
      </c>
      <c r="D980" s="256" t="inlineStr">
        <is>
          <t>#10</t>
        </is>
      </c>
      <c r="E980" s="257" t="inlineStr">
        <is>
          <t>87/2026 03.02.26 IJZ; also 220-22-М/26; n/t 10.1,10.3</t>
        </is>
      </c>
    </row>
    <row r="981">
      <c r="A981" s="256" t="inlineStr">
        <is>
          <t>CoQ-PP_26-041</t>
        </is>
      </c>
      <c r="B981" s="256" t="inlineStr">
        <is>
          <t>P060052 (AB092501)</t>
        </is>
      </c>
      <c r="C981" s="256" t="inlineStr">
        <is>
          <t>release (predicted)</t>
        </is>
      </c>
      <c r="D981" s="256" t="inlineStr">
        <is>
          <t>#6</t>
        </is>
      </c>
      <c r="E981" s="257" t="inlineStr">
        <is>
          <t>n/t</t>
        </is>
      </c>
    </row>
    <row r="982">
      <c r="A982" s="256" t="inlineStr">
        <is>
          <t>CoQ-PP_26-041</t>
        </is>
      </c>
      <c r="B982" s="256" t="inlineStr">
        <is>
          <t>P060052 (AB092501)</t>
        </is>
      </c>
      <c r="C982" s="256" t="inlineStr">
        <is>
          <t>release (predicted)</t>
        </is>
      </c>
      <c r="D982" s="256" t="inlineStr">
        <is>
          <t>#10</t>
        </is>
      </c>
      <c r="E982" s="257" t="inlineStr">
        <is>
          <t>84/2026 02.02.26 IJZ; n/t 10.1,10.3</t>
        </is>
      </c>
    </row>
    <row r="983">
      <c r="A983" s="256" t="inlineStr">
        <is>
          <t>CoQ-PP_26-042</t>
        </is>
      </c>
      <c r="B983" s="256" t="inlineStr">
        <is>
          <t>P060062 (PM092501)</t>
        </is>
      </c>
      <c r="C983" s="256" t="inlineStr">
        <is>
          <t>release</t>
        </is>
      </c>
      <c r="D983" s="256" t="inlineStr">
        <is>
          <t>#10</t>
        </is>
      </c>
      <c r="E983" s="257" t="inlineStr">
        <is>
          <t>83/2026 02.02.26 IJZ; also 197-20-М/26; n/t 10.1,10.3</t>
        </is>
      </c>
    </row>
    <row r="984">
      <c r="A984" s="256" t="inlineStr">
        <is>
          <t>CoQ-PP_26-043</t>
        </is>
      </c>
      <c r="B984" s="256" t="inlineStr">
        <is>
          <t>P060072 (CJ092501)</t>
        </is>
      </c>
      <c r="C984" s="256" t="inlineStr">
        <is>
          <t>release</t>
        </is>
      </c>
      <c r="D984" s="256" t="inlineStr">
        <is>
          <t>#10</t>
        </is>
      </c>
      <c r="E984" s="257" t="inlineStr">
        <is>
          <t>86/2026 02.02.26 IJZ; also 220-5-М/26; n/t 10.1,10.3</t>
        </is>
      </c>
    </row>
    <row r="985">
      <c r="A985" s="256" t="inlineStr">
        <is>
          <t>CoQ-PP_26-044</t>
        </is>
      </c>
      <c r="B985" s="256" t="inlineStr">
        <is>
          <t>P060082 (SJ092501)</t>
        </is>
      </c>
      <c r="C985" s="256" t="inlineStr">
        <is>
          <t>release</t>
        </is>
      </c>
      <c r="D985" s="256" t="inlineStr">
        <is>
          <t>#10</t>
        </is>
      </c>
      <c r="E985" s="257" t="inlineStr">
        <is>
          <t>85/2026 02.02.26 IJZ; also 220-27-М/26; n/t 10.1,10.3</t>
        </is>
      </c>
    </row>
    <row r="986">
      <c r="A986" s="256" t="inlineStr">
        <is>
          <t>CoQ-PP_26-045</t>
        </is>
      </c>
      <c r="B986" s="256" t="inlineStr">
        <is>
          <t>P060092 (GP092501)</t>
        </is>
      </c>
      <c r="C986" s="256" t="inlineStr">
        <is>
          <t>release</t>
        </is>
      </c>
      <c r="D986" s="256" t="inlineStr">
        <is>
          <t>#10</t>
        </is>
      </c>
      <c r="E986" s="257" t="inlineStr">
        <is>
          <t>88/2026 03.02.26 IJZ; also 220-13-М/26; n/t 10.1,10.3</t>
        </is>
      </c>
    </row>
    <row r="987">
      <c r="A987" s="256" t="inlineStr">
        <is>
          <t>CoQ-PP_26-046</t>
        </is>
      </c>
      <c r="B987" s="256" t="inlineStr">
        <is>
          <t>P060102 (WED102501)</t>
        </is>
      </c>
      <c r="C987" s="256" t="inlineStr">
        <is>
          <t>release (predicted)</t>
        </is>
      </c>
      <c r="D987" s="256" t="inlineStr">
        <is>
          <t>#4</t>
        </is>
      </c>
      <c r="E987" s="257" t="inlineStr">
        <is>
          <t>n/t</t>
        </is>
      </c>
    </row>
    <row r="988">
      <c r="A988" s="256" t="inlineStr">
        <is>
          <t>CoQ-PP_26-046</t>
        </is>
      </c>
      <c r="B988" s="256" t="inlineStr">
        <is>
          <t>P060102 (WED102501)</t>
        </is>
      </c>
      <c r="C988" s="256" t="inlineStr">
        <is>
          <t>release (predicted)</t>
        </is>
      </c>
      <c r="D988" s="256" t="inlineStr">
        <is>
          <t>#5</t>
        </is>
      </c>
      <c r="E988" s="257" t="inlineStr">
        <is>
          <t>n/t</t>
        </is>
      </c>
    </row>
    <row r="989">
      <c r="A989" s="256" t="inlineStr">
        <is>
          <t>CoQ-PP_26-046</t>
        </is>
      </c>
      <c r="B989" s="256" t="inlineStr">
        <is>
          <t>P060102 (WED102501)</t>
        </is>
      </c>
      <c r="C989" s="256" t="inlineStr">
        <is>
          <t>release (predicted)</t>
        </is>
      </c>
      <c r="D989" s="256" t="inlineStr">
        <is>
          <t>#6</t>
        </is>
      </c>
      <c r="E989" s="257" t="inlineStr">
        <is>
          <t>n/t</t>
        </is>
      </c>
    </row>
    <row r="990">
      <c r="A990" s="256" t="inlineStr">
        <is>
          <t>CoQ-PP_26-046</t>
        </is>
      </c>
      <c r="B990" s="256" t="inlineStr">
        <is>
          <t>P060102 (WED102501)</t>
        </is>
      </c>
      <c r="C990" s="256" t="inlineStr">
        <is>
          <t>release (predicted)</t>
        </is>
      </c>
      <c r="D990" s="256" t="inlineStr">
        <is>
          <t>#9</t>
        </is>
      </c>
      <c r="E990" s="257" t="inlineStr">
        <is>
          <t>n/t</t>
        </is>
      </c>
    </row>
    <row r="991">
      <c r="A991" s="256" t="inlineStr">
        <is>
          <t>CoQ-PP_26-046</t>
        </is>
      </c>
      <c r="B991" s="256" t="inlineStr">
        <is>
          <t>P060102 (WED102501)</t>
        </is>
      </c>
      <c r="C991" s="256" t="inlineStr">
        <is>
          <t>release (predicted)</t>
        </is>
      </c>
      <c r="D991" s="256" t="inlineStr">
        <is>
          <t>#10</t>
        </is>
      </c>
      <c r="E991" s="257" t="inlineStr">
        <is>
          <t>n/t</t>
        </is>
      </c>
    </row>
    <row r="992">
      <c r="A992" s="256" t="inlineStr">
        <is>
          <t>CoQ-PP_26-046</t>
        </is>
      </c>
      <c r="B992" s="256" t="inlineStr">
        <is>
          <t>P060102 (WED102501)</t>
        </is>
      </c>
      <c r="C992" s="256" t="inlineStr">
        <is>
          <t>release (predicted)</t>
        </is>
      </c>
      <c r="D992" s="256" t="inlineStr">
        <is>
          <t>#11</t>
        </is>
      </c>
      <c r="E992" s="257" t="inlineStr">
        <is>
          <t>n/t</t>
        </is>
      </c>
    </row>
    <row r="993">
      <c r="A993" s="256" t="inlineStr">
        <is>
          <t>CoQ-PP_26-046</t>
        </is>
      </c>
      <c r="B993" s="256" t="inlineStr">
        <is>
          <t>P060102 (WED102501)</t>
        </is>
      </c>
      <c r="C993" s="256" t="inlineStr">
        <is>
          <t>release (predicted)</t>
        </is>
      </c>
      <c r="D993" s="256" t="inlineStr">
        <is>
          <t>#12</t>
        </is>
      </c>
      <c r="E993" s="257" t="inlineStr">
        <is>
          <t>n/t</t>
        </is>
      </c>
    </row>
    <row r="994">
      <c r="A994" s="256" t="inlineStr">
        <is>
          <t>CoQ-PP_26-047</t>
        </is>
      </c>
      <c r="B994" s="256" t="inlineStr">
        <is>
          <t>P060112 (PUM102501)</t>
        </is>
      </c>
      <c r="C994" s="256" t="inlineStr">
        <is>
          <t>release</t>
        </is>
      </c>
      <c r="D994" s="256" t="inlineStr">
        <is>
          <t>#4</t>
        </is>
      </c>
      <c r="E994" s="257" t="inlineStr">
        <is>
          <t>n/t</t>
        </is>
      </c>
    </row>
    <row r="995">
      <c r="A995" s="256" t="inlineStr">
        <is>
          <t>CoQ-PP_26-047</t>
        </is>
      </c>
      <c r="B995" s="256" t="inlineStr">
        <is>
          <t>P060112 (PUM102501)</t>
        </is>
      </c>
      <c r="C995" s="256" t="inlineStr">
        <is>
          <t>release</t>
        </is>
      </c>
      <c r="D995" s="256" t="inlineStr">
        <is>
          <t>#10</t>
        </is>
      </c>
      <c r="E995" s="257" t="inlineStr">
        <is>
          <t>327/2026 11.02.26 IJZ; also 220-25-М/26; n/t 10.1,10.3</t>
        </is>
      </c>
    </row>
    <row r="996">
      <c r="A996" s="256" t="inlineStr">
        <is>
          <t>CoQ-PP_26-048</t>
        </is>
      </c>
      <c r="B996" s="256" t="inlineStr">
        <is>
          <t>P060122 (ACC102501)</t>
        </is>
      </c>
      <c r="C996" s="256" t="inlineStr">
        <is>
          <t>release</t>
        </is>
      </c>
      <c r="D996" s="256" t="inlineStr">
        <is>
          <t>#10</t>
        </is>
      </c>
      <c r="E996" s="257" t="inlineStr">
        <is>
          <t>326/2026 11.02.26 IJZ; also 220-1-М/26; n/t 10.1,10.3</t>
        </is>
      </c>
    </row>
    <row r="997">
      <c r="A997" s="256" t="inlineStr">
        <is>
          <t>CoQ-PP_26-049</t>
        </is>
      </c>
      <c r="B997" s="256" t="inlineStr">
        <is>
          <t>P060132 (CF102501)</t>
        </is>
      </c>
      <c r="C997" s="256" t="inlineStr">
        <is>
          <t>release</t>
        </is>
      </c>
      <c r="D997" s="256" t="inlineStr">
        <is>
          <t>#10</t>
        </is>
      </c>
      <c r="E997" s="257" t="inlineStr">
        <is>
          <t>330/2026 11.02.26 IJZ; also 220-6-М/26; n/t 10.1,10.3</t>
        </is>
      </c>
    </row>
    <row r="998">
      <c r="A998" s="256" t="inlineStr">
        <is>
          <t>CoQ-PP_26-050</t>
        </is>
      </c>
      <c r="B998" s="256" t="inlineStr">
        <is>
          <t>P060142 (GRC102501/1)</t>
        </is>
      </c>
      <c r="C998" s="256" t="inlineStr">
        <is>
          <t>release (predicted)</t>
        </is>
      </c>
      <c r="D998" s="256" t="inlineStr">
        <is>
          <t>#4</t>
        </is>
      </c>
      <c r="E998" s="257" t="inlineStr">
        <is>
          <t>n/t</t>
        </is>
      </c>
    </row>
    <row r="999">
      <c r="A999" s="256" t="inlineStr">
        <is>
          <t>CoQ-PP_26-050</t>
        </is>
      </c>
      <c r="B999" s="256" t="inlineStr">
        <is>
          <t>P060142 (GRC102501/1)</t>
        </is>
      </c>
      <c r="C999" s="256" t="inlineStr">
        <is>
          <t>release (predicted)</t>
        </is>
      </c>
      <c r="D999" s="256" t="inlineStr">
        <is>
          <t>#5</t>
        </is>
      </c>
      <c r="E999" s="257" t="inlineStr">
        <is>
          <t>n/t</t>
        </is>
      </c>
    </row>
    <row r="1000">
      <c r="A1000" s="256" t="inlineStr">
        <is>
          <t>CoQ-PP_26-050</t>
        </is>
      </c>
      <c r="B1000" s="256" t="inlineStr">
        <is>
          <t>P060142 (GRC102501/1)</t>
        </is>
      </c>
      <c r="C1000" s="256" t="inlineStr">
        <is>
          <t>release (predicted)</t>
        </is>
      </c>
      <c r="D1000" s="256" t="inlineStr">
        <is>
          <t>#6</t>
        </is>
      </c>
      <c r="E1000" s="257" t="inlineStr">
        <is>
          <t>n/t</t>
        </is>
      </c>
    </row>
    <row r="1001">
      <c r="A1001" s="256" t="inlineStr">
        <is>
          <t>CoQ-PP_26-050</t>
        </is>
      </c>
      <c r="B1001" s="256" t="inlineStr">
        <is>
          <t>P060142 (GRC102501/1)</t>
        </is>
      </c>
      <c r="C1001" s="256" t="inlineStr">
        <is>
          <t>release (predicted)</t>
        </is>
      </c>
      <c r="D1001" s="256" t="inlineStr">
        <is>
          <t>#8</t>
        </is>
      </c>
      <c r="E1001" s="257" t="inlineStr">
        <is>
          <t>n/t</t>
        </is>
      </c>
    </row>
    <row r="1002">
      <c r="A1002" s="256" t="inlineStr">
        <is>
          <t>CoQ-PP_26-050</t>
        </is>
      </c>
      <c r="B1002" s="256" t="inlineStr">
        <is>
          <t>P060142 (GRC102501/1)</t>
        </is>
      </c>
      <c r="C1002" s="256" t="inlineStr">
        <is>
          <t>release (predicted)</t>
        </is>
      </c>
      <c r="D1002" s="256" t="inlineStr">
        <is>
          <t>#9</t>
        </is>
      </c>
      <c r="E1002" s="257" t="inlineStr">
        <is>
          <t>n/t</t>
        </is>
      </c>
    </row>
    <row r="1003">
      <c r="A1003" s="256" t="inlineStr">
        <is>
          <t>CoQ-PP_26-050</t>
        </is>
      </c>
      <c r="B1003" s="256" t="inlineStr">
        <is>
          <t>P060142 (GRC102501/1)</t>
        </is>
      </c>
      <c r="C1003" s="256" t="inlineStr">
        <is>
          <t>release (predicted)</t>
        </is>
      </c>
      <c r="D1003" s="256" t="inlineStr">
        <is>
          <t>#10</t>
        </is>
      </c>
      <c r="E1003" s="257" t="inlineStr">
        <is>
          <t>n/t</t>
        </is>
      </c>
    </row>
    <row r="1004">
      <c r="A1004" s="256" t="inlineStr">
        <is>
          <t>CoQ-PP_26-050</t>
        </is>
      </c>
      <c r="B1004" s="256" t="inlineStr">
        <is>
          <t>P060142 (GRC102501/1)</t>
        </is>
      </c>
      <c r="C1004" s="256" t="inlineStr">
        <is>
          <t>release (predicted)</t>
        </is>
      </c>
      <c r="D1004" s="256" t="inlineStr">
        <is>
          <t>#11</t>
        </is>
      </c>
      <c r="E1004" s="257" t="inlineStr">
        <is>
          <t>n/t</t>
        </is>
      </c>
    </row>
    <row r="1005">
      <c r="A1005" s="256" t="inlineStr">
        <is>
          <t>CoQ-PP_26-050</t>
        </is>
      </c>
      <c r="B1005" s="256" t="inlineStr">
        <is>
          <t>P060142 (GRC102501/1)</t>
        </is>
      </c>
      <c r="C1005" s="256" t="inlineStr">
        <is>
          <t>release (predicted)</t>
        </is>
      </c>
      <c r="D1005" s="256" t="inlineStr">
        <is>
          <t>#12</t>
        </is>
      </c>
      <c r="E1005" s="257" t="inlineStr">
        <is>
          <t>n/t</t>
        </is>
      </c>
    </row>
    <row r="1006">
      <c r="A1006" s="256" t="inlineStr">
        <is>
          <t>CoQ-PP_26-051</t>
        </is>
      </c>
      <c r="B1006" s="256" t="inlineStr">
        <is>
          <t>P060152 (J31102501)</t>
        </is>
      </c>
      <c r="C1006" s="256" t="inlineStr">
        <is>
          <t>release</t>
        </is>
      </c>
      <c r="D1006" s="256" t="inlineStr">
        <is>
          <t>#10</t>
        </is>
      </c>
      <c r="E1006" s="257" t="inlineStr">
        <is>
          <t>1056/2026 09.03.26 IJZ; also 197-16-М/26; n/t 10.1,10.3</t>
        </is>
      </c>
    </row>
    <row r="1007">
      <c r="A1007" s="256" t="inlineStr">
        <is>
          <t>CoQ-PP_26-052</t>
        </is>
      </c>
      <c r="B1007" s="256" t="inlineStr">
        <is>
          <t>SJ102501</t>
        </is>
      </c>
      <c r="C1007" s="256" t="inlineStr">
        <is>
          <t>release (predicted)</t>
        </is>
      </c>
      <c r="D1007" s="256" t="inlineStr">
        <is>
          <t>#9</t>
        </is>
      </c>
      <c r="E1007" s="257" t="inlineStr">
        <is>
          <t>n/t</t>
        </is>
      </c>
    </row>
    <row r="1008">
      <c r="A1008" s="256" t="inlineStr">
        <is>
          <t>CoQ-PP_26-052</t>
        </is>
      </c>
      <c r="B1008" s="256" t="inlineStr">
        <is>
          <t>SJ102501</t>
        </is>
      </c>
      <c r="C1008" s="256" t="inlineStr">
        <is>
          <t>release (predicted)</t>
        </is>
      </c>
      <c r="D1008" s="256" t="inlineStr">
        <is>
          <t>#10</t>
        </is>
      </c>
      <c r="E1008" s="257" t="inlineStr">
        <is>
          <t>n/t</t>
        </is>
      </c>
    </row>
    <row r="1009">
      <c r="A1009" s="256" t="inlineStr">
        <is>
          <t>CoQ-PP_26-052</t>
        </is>
      </c>
      <c r="B1009" s="256" t="inlineStr">
        <is>
          <t>SJ102501</t>
        </is>
      </c>
      <c r="C1009" s="256" t="inlineStr">
        <is>
          <t>release (predicted)</t>
        </is>
      </c>
      <c r="D1009" s="256" t="inlineStr">
        <is>
          <t>#11</t>
        </is>
      </c>
      <c r="E1009" s="257" t="inlineStr">
        <is>
          <t>n/t</t>
        </is>
      </c>
    </row>
    <row r="1010">
      <c r="A1010" s="256" t="inlineStr">
        <is>
          <t>CoQ-PP_26-052</t>
        </is>
      </c>
      <c r="B1010" s="256" t="inlineStr">
        <is>
          <t>SJ102501</t>
        </is>
      </c>
      <c r="C1010" s="256" t="inlineStr">
        <is>
          <t>release (predicted)</t>
        </is>
      </c>
      <c r="D1010" s="256" t="inlineStr">
        <is>
          <t>#12</t>
        </is>
      </c>
      <c r="E1010" s="257" t="inlineStr">
        <is>
          <t>n/t</t>
        </is>
      </c>
    </row>
    <row r="1011">
      <c r="A1011" s="256" t="inlineStr">
        <is>
          <t>CoQ-PP_26-053</t>
        </is>
      </c>
      <c r="B1011" s="256" t="inlineStr">
        <is>
          <t>P060172 (KC102501)</t>
        </is>
      </c>
      <c r="C1011" s="256" t="inlineStr">
        <is>
          <t>release</t>
        </is>
      </c>
      <c r="D1011" s="256" t="inlineStr">
        <is>
          <t>#10</t>
        </is>
      </c>
      <c r="E1011" s="257" t="inlineStr">
        <is>
          <t>1058/2026 09.03.26 IJZ; also 220-19-М/26; n/t 10.1,10.3</t>
        </is>
      </c>
    </row>
    <row r="1012">
      <c r="A1012" s="256" t="inlineStr">
        <is>
          <t>CoQ-PP_26-054</t>
        </is>
      </c>
      <c r="B1012" s="256" t="inlineStr">
        <is>
          <t>P060182 (GRC102501/2)</t>
        </is>
      </c>
      <c r="C1012" s="256" t="inlineStr">
        <is>
          <t>release</t>
        </is>
      </c>
      <c r="D1012" s="256" t="inlineStr">
        <is>
          <t>#10</t>
        </is>
      </c>
      <c r="E1012" s="257" t="inlineStr">
        <is>
          <t>n/t</t>
        </is>
      </c>
    </row>
    <row r="1013">
      <c r="A1013" s="256" t="inlineStr">
        <is>
          <t>CoQ-PP_26-055</t>
        </is>
      </c>
      <c r="B1013" s="256" t="inlineStr">
        <is>
          <t>SJ112501</t>
        </is>
      </c>
      <c r="C1013" s="256" t="inlineStr">
        <is>
          <t>release (predicted)</t>
        </is>
      </c>
      <c r="D1013" s="256" t="inlineStr">
        <is>
          <t>#9</t>
        </is>
      </c>
      <c r="E1013" s="257" t="inlineStr">
        <is>
          <t>n/t</t>
        </is>
      </c>
    </row>
    <row r="1014">
      <c r="A1014" s="256" t="inlineStr">
        <is>
          <t>CoQ-PP_26-055</t>
        </is>
      </c>
      <c r="B1014" s="256" t="inlineStr">
        <is>
          <t>SJ112501</t>
        </is>
      </c>
      <c r="C1014" s="256" t="inlineStr">
        <is>
          <t>release (predicted)</t>
        </is>
      </c>
      <c r="D1014" s="256" t="inlineStr">
        <is>
          <t>#10</t>
        </is>
      </c>
      <c r="E1014" s="257" t="inlineStr">
        <is>
          <t>n/t</t>
        </is>
      </c>
    </row>
    <row r="1015">
      <c r="A1015" s="256" t="inlineStr">
        <is>
          <t>CoQ-PP_26-055</t>
        </is>
      </c>
      <c r="B1015" s="256" t="inlineStr">
        <is>
          <t>SJ112501</t>
        </is>
      </c>
      <c r="C1015" s="256" t="inlineStr">
        <is>
          <t>release (predicted)</t>
        </is>
      </c>
      <c r="D1015" s="256" t="inlineStr">
        <is>
          <t>#11</t>
        </is>
      </c>
      <c r="E1015" s="257" t="inlineStr">
        <is>
          <t>n/t</t>
        </is>
      </c>
    </row>
    <row r="1016">
      <c r="A1016" s="256" t="inlineStr">
        <is>
          <t>CoQ-PP_26-055</t>
        </is>
      </c>
      <c r="B1016" s="256" t="inlineStr">
        <is>
          <t>SJ112501</t>
        </is>
      </c>
      <c r="C1016" s="256" t="inlineStr">
        <is>
          <t>release (predicted)</t>
        </is>
      </c>
      <c r="D1016" s="256" t="inlineStr">
        <is>
          <t>#12</t>
        </is>
      </c>
      <c r="E1016" s="257" t="inlineStr">
        <is>
          <t>n/t</t>
        </is>
      </c>
    </row>
    <row r="1017">
      <c r="A1017" s="256" t="inlineStr">
        <is>
          <t>CoQ-PP_26-056</t>
        </is>
      </c>
      <c r="B1017" s="256" t="inlineStr">
        <is>
          <t>J31112501</t>
        </is>
      </c>
      <c r="C1017" s="256" t="inlineStr">
        <is>
          <t>release (predicted)</t>
        </is>
      </c>
      <c r="D1017" s="256" t="inlineStr">
        <is>
          <t>#9</t>
        </is>
      </c>
      <c r="E1017" s="257" t="inlineStr">
        <is>
          <t>n/t</t>
        </is>
      </c>
    </row>
    <row r="1018">
      <c r="A1018" s="256" t="inlineStr">
        <is>
          <t>CoQ-PP_26-056</t>
        </is>
      </c>
      <c r="B1018" s="256" t="inlineStr">
        <is>
          <t>J31112501</t>
        </is>
      </c>
      <c r="C1018" s="256" t="inlineStr">
        <is>
          <t>release (predicted)</t>
        </is>
      </c>
      <c r="D1018" s="256" t="inlineStr">
        <is>
          <t>#10</t>
        </is>
      </c>
      <c r="E1018" s="257" t="inlineStr">
        <is>
          <t>n/t</t>
        </is>
      </c>
    </row>
    <row r="1019">
      <c r="A1019" s="256" t="inlineStr">
        <is>
          <t>CoQ-PP_26-056</t>
        </is>
      </c>
      <c r="B1019" s="256" t="inlineStr">
        <is>
          <t>J31112501</t>
        </is>
      </c>
      <c r="C1019" s="256" t="inlineStr">
        <is>
          <t>release (predicted)</t>
        </is>
      </c>
      <c r="D1019" s="256" t="inlineStr">
        <is>
          <t>#11</t>
        </is>
      </c>
      <c r="E1019" s="257" t="inlineStr">
        <is>
          <t>n/t</t>
        </is>
      </c>
    </row>
    <row r="1020">
      <c r="A1020" s="256" t="inlineStr">
        <is>
          <t>CoQ-PP_26-056</t>
        </is>
      </c>
      <c r="B1020" s="256" t="inlineStr">
        <is>
          <t>J31112501</t>
        </is>
      </c>
      <c r="C1020" s="256" t="inlineStr">
        <is>
          <t>release (predicted)</t>
        </is>
      </c>
      <c r="D1020" s="256" t="inlineStr">
        <is>
          <t>#12</t>
        </is>
      </c>
      <c r="E1020" s="257" t="inlineStr">
        <is>
          <t>n/t</t>
        </is>
      </c>
    </row>
    <row r="1021">
      <c r="A1021" s="256" t="inlineStr">
        <is>
          <t>CoQ-PP_26-057</t>
        </is>
      </c>
      <c r="B1021" s="256" t="inlineStr">
        <is>
          <t>P060212 (JD112501)</t>
        </is>
      </c>
      <c r="C1021" s="256" t="inlineStr">
        <is>
          <t>release</t>
        </is>
      </c>
      <c r="D1021" s="256" t="inlineStr">
        <is>
          <t>#10</t>
        </is>
      </c>
      <c r="E1021" s="257" t="inlineStr">
        <is>
          <t>2361/2026 30.04.26 IJZ; also 197-15-М/26; n/t 10.1,10.3</t>
        </is>
      </c>
    </row>
    <row r="1022">
      <c r="A1022" s="256" t="inlineStr">
        <is>
          <t>CoQ-PP_26-058</t>
        </is>
      </c>
      <c r="B1022" s="256" t="inlineStr">
        <is>
          <t>OPM112501</t>
        </is>
      </c>
      <c r="C1022" s="256" t="inlineStr">
        <is>
          <t>release (predicted)</t>
        </is>
      </c>
      <c r="D1022" s="256" t="inlineStr">
        <is>
          <t>#6</t>
        </is>
      </c>
      <c r="E1022" s="257" t="inlineStr">
        <is>
          <t>n/t</t>
        </is>
      </c>
    </row>
    <row r="1023">
      <c r="A1023" s="256" t="inlineStr">
        <is>
          <t>CoQ-PP_26-058</t>
        </is>
      </c>
      <c r="B1023" s="256" t="inlineStr">
        <is>
          <t>OPM112501</t>
        </is>
      </c>
      <c r="C1023" s="256" t="inlineStr">
        <is>
          <t>release (predicted)</t>
        </is>
      </c>
      <c r="D1023" s="256" t="inlineStr">
        <is>
          <t>#9</t>
        </is>
      </c>
      <c r="E1023" s="257" t="inlineStr">
        <is>
          <t>n/t</t>
        </is>
      </c>
    </row>
    <row r="1024">
      <c r="A1024" s="256" t="inlineStr">
        <is>
          <t>CoQ-PP_26-058</t>
        </is>
      </c>
      <c r="B1024" s="256" t="inlineStr">
        <is>
          <t>OPM112501</t>
        </is>
      </c>
      <c r="C1024" s="256" t="inlineStr">
        <is>
          <t>release (predicted)</t>
        </is>
      </c>
      <c r="D1024" s="256" t="inlineStr">
        <is>
          <t>#10</t>
        </is>
      </c>
      <c r="E1024" s="257" t="inlineStr">
        <is>
          <t>n/t</t>
        </is>
      </c>
    </row>
    <row r="1025">
      <c r="A1025" s="256" t="inlineStr">
        <is>
          <t>CoQ-PP_26-058</t>
        </is>
      </c>
      <c r="B1025" s="256" t="inlineStr">
        <is>
          <t>OPM112501</t>
        </is>
      </c>
      <c r="C1025" s="256" t="inlineStr">
        <is>
          <t>release (predicted)</t>
        </is>
      </c>
      <c r="D1025" s="256" t="inlineStr">
        <is>
          <t>#11</t>
        </is>
      </c>
      <c r="E1025" s="257" t="inlineStr">
        <is>
          <t>n/t</t>
        </is>
      </c>
    </row>
    <row r="1026">
      <c r="A1026" s="256" t="inlineStr">
        <is>
          <t>CoQ-PP_26-058</t>
        </is>
      </c>
      <c r="B1026" s="256" t="inlineStr">
        <is>
          <t>OPM112501</t>
        </is>
      </c>
      <c r="C1026" s="256" t="inlineStr">
        <is>
          <t>release (predicted)</t>
        </is>
      </c>
      <c r="D1026" s="256" t="inlineStr">
        <is>
          <t>#12</t>
        </is>
      </c>
      <c r="E1026" s="257" t="inlineStr">
        <is>
          <t>n/t</t>
        </is>
      </c>
    </row>
    <row r="1027">
      <c r="A1027" s="256" t="inlineStr">
        <is>
          <t>CoQ-PP_26-059</t>
        </is>
      </c>
      <c r="B1027" s="256" t="inlineStr">
        <is>
          <t>P060232 (PM112501)</t>
        </is>
      </c>
      <c r="C1027" s="256" t="inlineStr">
        <is>
          <t>release</t>
        </is>
      </c>
      <c r="D1027" s="256" t="inlineStr">
        <is>
          <t>#10</t>
        </is>
      </c>
      <c r="E1027" s="257" t="inlineStr">
        <is>
          <t>1059/2026 09.03.26 IJZ; also 220-24-М/26; n/t 10.1,10.3</t>
        </is>
      </c>
    </row>
    <row r="1028">
      <c r="A1028" s="256" t="inlineStr">
        <is>
          <t>CoQ-PP_26-060</t>
        </is>
      </c>
      <c r="B1028" s="256" t="inlineStr">
        <is>
          <t>P060242 (OPM122501)</t>
        </is>
      </c>
      <c r="C1028" s="256" t="inlineStr">
        <is>
          <t>release</t>
        </is>
      </c>
      <c r="D1028" s="256" t="inlineStr">
        <is>
          <t>#10</t>
        </is>
      </c>
      <c r="E1028" s="257" t="inlineStr">
        <is>
          <t>1627/2026 23.04.26 IJZ; also 197-19-М/26; n/t 10.1,10.3</t>
        </is>
      </c>
    </row>
    <row r="1029">
      <c r="A1029" s="256" t="inlineStr">
        <is>
          <t>CoQ-PP_26-061</t>
        </is>
      </c>
      <c r="B1029" s="256" t="inlineStr">
        <is>
          <t>GG112501</t>
        </is>
      </c>
      <c r="C1029" s="256" t="inlineStr">
        <is>
          <t>release (predicted)</t>
        </is>
      </c>
      <c r="D1029" s="256" t="inlineStr">
        <is>
          <t>#6</t>
        </is>
      </c>
      <c r="E1029" s="257" t="inlineStr">
        <is>
          <t>n/t</t>
        </is>
      </c>
    </row>
    <row r="1030">
      <c r="A1030" s="256" t="inlineStr">
        <is>
          <t>CoQ-PP_26-061</t>
        </is>
      </c>
      <c r="B1030" s="256" t="inlineStr">
        <is>
          <t>GG112501</t>
        </is>
      </c>
      <c r="C1030" s="256" t="inlineStr">
        <is>
          <t>release (predicted)</t>
        </is>
      </c>
      <c r="D1030" s="256" t="inlineStr">
        <is>
          <t>#10</t>
        </is>
      </c>
      <c r="E1030" s="257" t="inlineStr">
        <is>
          <t>2358/2026 29.04.26 IJZ; n/t 10.1,10.3</t>
        </is>
      </c>
    </row>
    <row r="1031">
      <c r="A1031" s="256" t="inlineStr">
        <is>
          <t>CoQ-PP_26-062</t>
        </is>
      </c>
      <c r="B1031" s="256" t="inlineStr">
        <is>
          <t>J31122501</t>
        </is>
      </c>
      <c r="C1031" s="256" t="inlineStr">
        <is>
          <t>release (predicted)</t>
        </is>
      </c>
      <c r="D1031" s="256" t="inlineStr">
        <is>
          <t>#10</t>
        </is>
      </c>
      <c r="E1031" s="257" t="inlineStr">
        <is>
          <t>1628/2026 23.04.26 IJZ; also 1625/2026; n/t 10.1,10.3</t>
        </is>
      </c>
    </row>
    <row r="1032">
      <c r="A1032" s="256" t="inlineStr">
        <is>
          <t>CoQ-PP_26-063</t>
        </is>
      </c>
      <c r="B1032" s="256" t="inlineStr">
        <is>
          <t>CC112501</t>
        </is>
      </c>
      <c r="C1032" s="256" t="inlineStr">
        <is>
          <t>release (predicted)</t>
        </is>
      </c>
      <c r="D1032" s="256" t="inlineStr">
        <is>
          <t>#6</t>
        </is>
      </c>
      <c r="E1032" s="257" t="inlineStr">
        <is>
          <t>n/t</t>
        </is>
      </c>
    </row>
    <row r="1033">
      <c r="A1033" s="256" t="inlineStr">
        <is>
          <t>CoQ-PP_26-063</t>
        </is>
      </c>
      <c r="B1033" s="256" t="inlineStr">
        <is>
          <t>CC112501</t>
        </is>
      </c>
      <c r="C1033" s="256" t="inlineStr">
        <is>
          <t>release (predicted)</t>
        </is>
      </c>
      <c r="D1033" s="256" t="inlineStr">
        <is>
          <t>#10</t>
        </is>
      </c>
      <c r="E1033" s="257" t="inlineStr">
        <is>
          <t>2359/2026 29.04.26 IJZ; n/t 10.1,10.3</t>
        </is>
      </c>
    </row>
    <row r="1034">
      <c r="A1034" s="256" t="inlineStr">
        <is>
          <t>CoQ-PP_26-064</t>
        </is>
      </c>
      <c r="B1034" s="256" t="inlineStr">
        <is>
          <t>P060282 (SCR112501)</t>
        </is>
      </c>
      <c r="C1034" s="256" t="inlineStr">
        <is>
          <t>release</t>
        </is>
      </c>
      <c r="D1034" s="256" t="inlineStr">
        <is>
          <t>#10</t>
        </is>
      </c>
      <c r="E1034" s="257" t="inlineStr">
        <is>
          <t>2360/2026 29.04.26 IJZ; also 220-26-М/26; n/t 10.1,10.3</t>
        </is>
      </c>
    </row>
    <row r="1035">
      <c r="A1035" s="256" t="inlineStr">
        <is>
          <t>CoQ-PP_26-065</t>
        </is>
      </c>
      <c r="B1035" s="256" t="inlineStr">
        <is>
          <t>FB112501</t>
        </is>
      </c>
      <c r="C1035" s="256" t="inlineStr">
        <is>
          <t>release (predicted)</t>
        </is>
      </c>
      <c r="D1035" s="256" t="inlineStr">
        <is>
          <t>#6</t>
        </is>
      </c>
      <c r="E1035" s="257" t="inlineStr">
        <is>
          <t>n/t</t>
        </is>
      </c>
    </row>
    <row r="1036">
      <c r="A1036" s="256" t="inlineStr">
        <is>
          <t>CoQ-PP_26-065</t>
        </is>
      </c>
      <c r="B1036" s="256" t="inlineStr">
        <is>
          <t>FB112501</t>
        </is>
      </c>
      <c r="C1036" s="256" t="inlineStr">
        <is>
          <t>release (predicted)</t>
        </is>
      </c>
      <c r="D1036" s="256" t="inlineStr">
        <is>
          <t>#10</t>
        </is>
      </c>
      <c r="E1036" s="257" t="inlineStr">
        <is>
          <t>2357/2026 29.04.26 IJZ; n/t 10.1,10.3</t>
        </is>
      </c>
    </row>
    <row r="1037">
      <c r="A1037" s="256" t="inlineStr">
        <is>
          <t>CoQ-PP_26-066</t>
        </is>
      </c>
      <c r="B1037" s="256" t="inlineStr">
        <is>
          <t>GG012601</t>
        </is>
      </c>
      <c r="C1037" s="256" t="inlineStr">
        <is>
          <t>release (predicted)</t>
        </is>
      </c>
      <c r="D1037" s="256" t="inlineStr">
        <is>
          <t>#6</t>
        </is>
      </c>
      <c r="E1037" s="257" t="inlineStr">
        <is>
          <t>n/t</t>
        </is>
      </c>
    </row>
    <row r="1038">
      <c r="A1038" s="256" t="inlineStr">
        <is>
          <t>CoQ-PP_26-066</t>
        </is>
      </c>
      <c r="B1038" s="256" t="inlineStr">
        <is>
          <t>GG012601</t>
        </is>
      </c>
      <c r="C1038" s="256" t="inlineStr">
        <is>
          <t>release (predicted)</t>
        </is>
      </c>
      <c r="D1038" s="256" t="inlineStr">
        <is>
          <t>#10</t>
        </is>
      </c>
      <c r="E1038" s="257" t="inlineStr">
        <is>
          <t>2364/2026 30.04.26 IJZ; n/t 10.1,10.3</t>
        </is>
      </c>
    </row>
    <row r="1039">
      <c r="A1039" s="256" t="inlineStr">
        <is>
          <t>CoQ-PP_26-067</t>
        </is>
      </c>
      <c r="B1039" s="256" t="inlineStr">
        <is>
          <t>JD012601</t>
        </is>
      </c>
      <c r="C1039" s="256" t="inlineStr">
        <is>
          <t>release (predicted)</t>
        </is>
      </c>
      <c r="D1039" s="256" t="inlineStr">
        <is>
          <t>#6</t>
        </is>
      </c>
      <c r="E1039" s="257" t="inlineStr">
        <is>
          <t>n/t</t>
        </is>
      </c>
    </row>
    <row r="1040">
      <c r="A1040" s="256" t="inlineStr">
        <is>
          <t>CoQ-PP_26-067</t>
        </is>
      </c>
      <c r="B1040" s="256" t="inlineStr">
        <is>
          <t>JD012601</t>
        </is>
      </c>
      <c r="C1040" s="256" t="inlineStr">
        <is>
          <t>release (predicted)</t>
        </is>
      </c>
      <c r="D1040" s="256" t="inlineStr">
        <is>
          <t>#10</t>
        </is>
      </c>
      <c r="E1040" s="257" t="inlineStr">
        <is>
          <t>2363/2026 30.04.26 IJZ; n/t 10.1,10.3</t>
        </is>
      </c>
    </row>
    <row r="1041">
      <c r="A1041" s="256" t="inlineStr">
        <is>
          <t>CoQ-PP_26-068</t>
        </is>
      </c>
      <c r="B1041" s="256" t="inlineStr">
        <is>
          <t>P060332</t>
        </is>
      </c>
      <c r="C1041" s="256" t="inlineStr">
        <is>
          <t>release (predicted)</t>
        </is>
      </c>
      <c r="D1041" s="256" t="inlineStr">
        <is>
          <t>#4</t>
        </is>
      </c>
      <c r="E1041" s="257" t="inlineStr">
        <is>
          <t>n/t</t>
        </is>
      </c>
    </row>
    <row r="1042">
      <c r="A1042" s="256" t="inlineStr">
        <is>
          <t>CoQ-PP_26-068</t>
        </is>
      </c>
      <c r="B1042" s="256" t="inlineStr">
        <is>
          <t>P060332</t>
        </is>
      </c>
      <c r="C1042" s="256" t="inlineStr">
        <is>
          <t>release (predicted)</t>
        </is>
      </c>
      <c r="D1042" s="256" t="inlineStr">
        <is>
          <t>#5</t>
        </is>
      </c>
      <c r="E1042" s="257" t="inlineStr">
        <is>
          <t>n/t</t>
        </is>
      </c>
    </row>
    <row r="1043">
      <c r="A1043" s="256" t="inlineStr">
        <is>
          <t>CoQ-PP_26-068</t>
        </is>
      </c>
      <c r="B1043" s="256" t="inlineStr">
        <is>
          <t>P060332</t>
        </is>
      </c>
      <c r="C1043" s="256" t="inlineStr">
        <is>
          <t>release (predicted)</t>
        </is>
      </c>
      <c r="D1043" s="256" t="inlineStr">
        <is>
          <t>#6</t>
        </is>
      </c>
      <c r="E1043" s="257" t="inlineStr">
        <is>
          <t>n/t</t>
        </is>
      </c>
    </row>
    <row r="1044">
      <c r="A1044" s="256" t="inlineStr">
        <is>
          <t>CoQ-PP_26-068</t>
        </is>
      </c>
      <c r="B1044" s="256" t="inlineStr">
        <is>
          <t>P060332</t>
        </is>
      </c>
      <c r="C1044" s="256" t="inlineStr">
        <is>
          <t>release (predicted)</t>
        </is>
      </c>
      <c r="D1044" s="256" t="inlineStr">
        <is>
          <t>#8</t>
        </is>
      </c>
      <c r="E1044" s="257" t="inlineStr">
        <is>
          <t>n/t</t>
        </is>
      </c>
    </row>
    <row r="1045">
      <c r="A1045" s="256" t="inlineStr">
        <is>
          <t>CoQ-PP_26-068</t>
        </is>
      </c>
      <c r="B1045" s="256" t="inlineStr">
        <is>
          <t>P060332</t>
        </is>
      </c>
      <c r="C1045" s="256" t="inlineStr">
        <is>
          <t>release (predicted)</t>
        </is>
      </c>
      <c r="D1045" s="256" t="inlineStr">
        <is>
          <t>#10</t>
        </is>
      </c>
      <c r="E1045" s="257" t="inlineStr">
        <is>
          <t>n/t</t>
        </is>
      </c>
    </row>
    <row r="1046">
      <c r="A1046" s="256" t="inlineStr">
        <is>
          <t>CoQ-PP_26-068</t>
        </is>
      </c>
      <c r="B1046" s="256" t="inlineStr">
        <is>
          <t>P060332</t>
        </is>
      </c>
      <c r="C1046" s="256" t="inlineStr">
        <is>
          <t>release (predicted)</t>
        </is>
      </c>
      <c r="D1046" s="256" t="inlineStr">
        <is>
          <t>#11</t>
        </is>
      </c>
      <c r="E1046" s="257" t="inlineStr">
        <is>
          <t>n/t</t>
        </is>
      </c>
    </row>
    <row r="1047">
      <c r="A1047" s="256" t="inlineStr">
        <is>
          <t>CoQ-PP_26-068</t>
        </is>
      </c>
      <c r="B1047" s="256" t="inlineStr">
        <is>
          <t>P060332</t>
        </is>
      </c>
      <c r="C1047" s="256" t="inlineStr">
        <is>
          <t>release (predicted)</t>
        </is>
      </c>
      <c r="D1047" s="256" t="inlineStr">
        <is>
          <t>#12</t>
        </is>
      </c>
      <c r="E1047" s="257" t="inlineStr">
        <is>
          <t>n/t</t>
        </is>
      </c>
    </row>
    <row r="1048">
      <c r="A1048" s="256" t="inlineStr">
        <is>
          <t>CoQ-PP_26-069</t>
        </is>
      </c>
      <c r="B1048" s="256" t="inlineStr">
        <is>
          <t>P060322 (FB012601/1)</t>
        </is>
      </c>
      <c r="C1048" s="256" t="inlineStr">
        <is>
          <t>release</t>
        </is>
      </c>
      <c r="D1048" s="256" t="inlineStr">
        <is>
          <t>#10</t>
        </is>
      </c>
      <c r="E1048" s="257" t="inlineStr">
        <is>
          <t>2362/2026 30.04.26 IJZ; also 220-8-М/26; n/t 10.1,10.3</t>
        </is>
      </c>
    </row>
    <row r="1049">
      <c r="A1049" s="256" t="inlineStr">
        <is>
          <t>CoQ-PP_26-070</t>
        </is>
      </c>
      <c r="B1049" s="256" t="inlineStr">
        <is>
          <t>P060352 (FB012602)</t>
        </is>
      </c>
      <c r="C1049" s="256" t="inlineStr">
        <is>
          <t>release</t>
        </is>
      </c>
      <c r="D1049" s="256" t="inlineStr">
        <is>
          <t>#4</t>
        </is>
      </c>
      <c r="E1049" s="257" t="inlineStr">
        <is>
          <t>n/t</t>
        </is>
      </c>
    </row>
    <row r="1050">
      <c r="A1050" s="256" t="inlineStr">
        <is>
          <t>CoQ-PP_26-070</t>
        </is>
      </c>
      <c r="B1050" s="256" t="inlineStr">
        <is>
          <t>P060352 (FB012602)</t>
        </is>
      </c>
      <c r="C1050" s="256" t="inlineStr">
        <is>
          <t>release</t>
        </is>
      </c>
      <c r="D1050" s="256" t="inlineStr">
        <is>
          <t>#5</t>
        </is>
      </c>
      <c r="E1050" s="257" t="inlineStr">
        <is>
          <t>n/t</t>
        </is>
      </c>
    </row>
    <row r="1051">
      <c r="A1051" s="256" t="inlineStr">
        <is>
          <t>CoQ-PP_26-070</t>
        </is>
      </c>
      <c r="B1051" s="256" t="inlineStr">
        <is>
          <t>P060352 (FB012602)</t>
        </is>
      </c>
      <c r="C1051" s="256" t="inlineStr">
        <is>
          <t>release</t>
        </is>
      </c>
      <c r="D1051" s="256" t="inlineStr">
        <is>
          <t>#6</t>
        </is>
      </c>
      <c r="E1051" s="257" t="inlineStr">
        <is>
          <t>n/t</t>
        </is>
      </c>
    </row>
    <row r="1052">
      <c r="A1052" s="256" t="inlineStr">
        <is>
          <t>CoQ-PP_26-070</t>
        </is>
      </c>
      <c r="B1052" s="256" t="inlineStr">
        <is>
          <t>P060352 (FB012602)</t>
        </is>
      </c>
      <c r="C1052" s="256" t="inlineStr">
        <is>
          <t>release</t>
        </is>
      </c>
      <c r="D1052" s="256" t="inlineStr">
        <is>
          <t>#8</t>
        </is>
      </c>
      <c r="E1052" s="257" t="inlineStr">
        <is>
          <t>n/t</t>
        </is>
      </c>
    </row>
    <row r="1053">
      <c r="A1053" s="256" t="inlineStr">
        <is>
          <t>CoQ-PP_26-070</t>
        </is>
      </c>
      <c r="B1053" s="256" t="inlineStr">
        <is>
          <t>P060352 (FB012602)</t>
        </is>
      </c>
      <c r="C1053" s="256" t="inlineStr">
        <is>
          <t>release</t>
        </is>
      </c>
      <c r="D1053" s="256" t="inlineStr">
        <is>
          <t>#10</t>
        </is>
      </c>
      <c r="E1053" s="257" t="inlineStr">
        <is>
          <t>n/t</t>
        </is>
      </c>
    </row>
    <row r="1054">
      <c r="A1054" s="256" t="inlineStr">
        <is>
          <t>CoQ-PP_26-070</t>
        </is>
      </c>
      <c r="B1054" s="256" t="inlineStr">
        <is>
          <t>P060352 (FB012602)</t>
        </is>
      </c>
      <c r="C1054" s="256" t="inlineStr">
        <is>
          <t>release</t>
        </is>
      </c>
      <c r="D1054" s="256" t="inlineStr">
        <is>
          <t>#11</t>
        </is>
      </c>
      <c r="E1054" s="257" t="inlineStr">
        <is>
          <t>n/t</t>
        </is>
      </c>
    </row>
    <row r="1055">
      <c r="A1055" s="256" t="inlineStr">
        <is>
          <t>CoQ-PP_26-070</t>
        </is>
      </c>
      <c r="B1055" s="256" t="inlineStr">
        <is>
          <t>P060352 (FB012602)</t>
        </is>
      </c>
      <c r="C1055" s="256" t="inlineStr">
        <is>
          <t>release</t>
        </is>
      </c>
      <c r="D1055" s="256" t="inlineStr">
        <is>
          <t>#12</t>
        </is>
      </c>
      <c r="E1055" s="257" t="inlineStr">
        <is>
          <t>n/t</t>
        </is>
      </c>
    </row>
    <row r="1056">
      <c r="A1056" s="256" t="inlineStr">
        <is>
          <t>CoQ-PP_26-071</t>
        </is>
      </c>
      <c r="B1056" s="256" t="inlineStr">
        <is>
          <t>P060362 (JD012603/01)</t>
        </is>
      </c>
      <c r="C1056" s="256" t="inlineStr">
        <is>
          <t>release</t>
        </is>
      </c>
      <c r="D1056" s="256" t="inlineStr">
        <is>
          <t>#4</t>
        </is>
      </c>
      <c r="E1056" s="257" t="inlineStr">
        <is>
          <t>n/t</t>
        </is>
      </c>
    </row>
    <row r="1057">
      <c r="A1057" s="256" t="inlineStr">
        <is>
          <t>CoQ-PP_26-071</t>
        </is>
      </c>
      <c r="B1057" s="256" t="inlineStr">
        <is>
          <t>P060362 (JD012603/01)</t>
        </is>
      </c>
      <c r="C1057" s="256" t="inlineStr">
        <is>
          <t>release</t>
        </is>
      </c>
      <c r="D1057" s="256" t="inlineStr">
        <is>
          <t>#5</t>
        </is>
      </c>
      <c r="E1057" s="257" t="inlineStr">
        <is>
          <t>n/t</t>
        </is>
      </c>
    </row>
    <row r="1058">
      <c r="A1058" s="256" t="inlineStr">
        <is>
          <t>CoQ-PP_26-071</t>
        </is>
      </c>
      <c r="B1058" s="256" t="inlineStr">
        <is>
          <t>P060362 (JD012603/01)</t>
        </is>
      </c>
      <c r="C1058" s="256" t="inlineStr">
        <is>
          <t>release</t>
        </is>
      </c>
      <c r="D1058" s="256" t="inlineStr">
        <is>
          <t>#6</t>
        </is>
      </c>
      <c r="E1058" s="257" t="inlineStr">
        <is>
          <t>n/t</t>
        </is>
      </c>
    </row>
    <row r="1059">
      <c r="A1059" s="256" t="inlineStr">
        <is>
          <t>CoQ-PP_26-071</t>
        </is>
      </c>
      <c r="B1059" s="256" t="inlineStr">
        <is>
          <t>P060362 (JD012603/01)</t>
        </is>
      </c>
      <c r="C1059" s="256" t="inlineStr">
        <is>
          <t>release</t>
        </is>
      </c>
      <c r="D1059" s="256" t="inlineStr">
        <is>
          <t>#8</t>
        </is>
      </c>
      <c r="E1059" s="257" t="inlineStr">
        <is>
          <t>n/t</t>
        </is>
      </c>
    </row>
    <row r="1060">
      <c r="A1060" s="256" t="inlineStr">
        <is>
          <t>CoQ-PP_26-071</t>
        </is>
      </c>
      <c r="B1060" s="256" t="inlineStr">
        <is>
          <t>P060362 (JD012603/01)</t>
        </is>
      </c>
      <c r="C1060" s="256" t="inlineStr">
        <is>
          <t>release</t>
        </is>
      </c>
      <c r="D1060" s="256" t="inlineStr">
        <is>
          <t>#10</t>
        </is>
      </c>
      <c r="E1060" s="257" t="inlineStr">
        <is>
          <t>n/t</t>
        </is>
      </c>
    </row>
    <row r="1061">
      <c r="A1061" s="256" t="inlineStr">
        <is>
          <t>CoQ-PP_26-071</t>
        </is>
      </c>
      <c r="B1061" s="256" t="inlineStr">
        <is>
          <t>P060362 (JD012603/01)</t>
        </is>
      </c>
      <c r="C1061" s="256" t="inlineStr">
        <is>
          <t>release</t>
        </is>
      </c>
      <c r="D1061" s="256" t="inlineStr">
        <is>
          <t>#11</t>
        </is>
      </c>
      <c r="E1061" s="257" t="inlineStr">
        <is>
          <t>n/t</t>
        </is>
      </c>
    </row>
    <row r="1062">
      <c r="A1062" s="256" t="inlineStr">
        <is>
          <t>CoQ-PP_26-071</t>
        </is>
      </c>
      <c r="B1062" s="256" t="inlineStr">
        <is>
          <t>P060362 (JD012603/01)</t>
        </is>
      </c>
      <c r="C1062" s="256" t="inlineStr">
        <is>
          <t>release</t>
        </is>
      </c>
      <c r="D1062" s="256" t="inlineStr">
        <is>
          <t>#12</t>
        </is>
      </c>
      <c r="E1062" s="257" t="inlineStr">
        <is>
          <t>n/t</t>
        </is>
      </c>
    </row>
    <row r="1063">
      <c r="A1063" s="256" t="inlineStr">
        <is>
          <t>CoQ-PP_26-072</t>
        </is>
      </c>
      <c r="B1063" s="256" t="inlineStr">
        <is>
          <t>P060372 (CC012603)</t>
        </is>
      </c>
      <c r="C1063" s="256" t="inlineStr">
        <is>
          <t>release</t>
        </is>
      </c>
      <c r="D1063" s="256" t="inlineStr">
        <is>
          <t>#4</t>
        </is>
      </c>
      <c r="E1063" s="257" t="inlineStr">
        <is>
          <t>n/t</t>
        </is>
      </c>
    </row>
    <row r="1064">
      <c r="A1064" s="256" t="inlineStr">
        <is>
          <t>CoQ-PP_26-072</t>
        </is>
      </c>
      <c r="B1064" s="256" t="inlineStr">
        <is>
          <t>P060372 (CC012603)</t>
        </is>
      </c>
      <c r="C1064" s="256" t="inlineStr">
        <is>
          <t>release</t>
        </is>
      </c>
      <c r="D1064" s="256" t="inlineStr">
        <is>
          <t>#5</t>
        </is>
      </c>
      <c r="E1064" s="257" t="inlineStr">
        <is>
          <t>n/t</t>
        </is>
      </c>
    </row>
    <row r="1065">
      <c r="A1065" s="256" t="inlineStr">
        <is>
          <t>CoQ-PP_26-072</t>
        </is>
      </c>
      <c r="B1065" s="256" t="inlineStr">
        <is>
          <t>P060372 (CC012603)</t>
        </is>
      </c>
      <c r="C1065" s="256" t="inlineStr">
        <is>
          <t>release</t>
        </is>
      </c>
      <c r="D1065" s="256" t="inlineStr">
        <is>
          <t>#6</t>
        </is>
      </c>
      <c r="E1065" s="257" t="inlineStr">
        <is>
          <t>n/t</t>
        </is>
      </c>
    </row>
    <row r="1066">
      <c r="A1066" s="256" t="inlineStr">
        <is>
          <t>CoQ-PP_26-072</t>
        </is>
      </c>
      <c r="B1066" s="256" t="inlineStr">
        <is>
          <t>P060372 (CC012603)</t>
        </is>
      </c>
      <c r="C1066" s="256" t="inlineStr">
        <is>
          <t>release</t>
        </is>
      </c>
      <c r="D1066" s="256" t="inlineStr">
        <is>
          <t>#8</t>
        </is>
      </c>
      <c r="E1066" s="257" t="inlineStr">
        <is>
          <t>n/t</t>
        </is>
      </c>
    </row>
    <row r="1067">
      <c r="A1067" s="256" t="inlineStr">
        <is>
          <t>CoQ-PP_26-072</t>
        </is>
      </c>
      <c r="B1067" s="256" t="inlineStr">
        <is>
          <t>P060372 (CC012603)</t>
        </is>
      </c>
      <c r="C1067" s="256" t="inlineStr">
        <is>
          <t>release</t>
        </is>
      </c>
      <c r="D1067" s="256" t="inlineStr">
        <is>
          <t>#10</t>
        </is>
      </c>
      <c r="E1067" s="257" t="inlineStr">
        <is>
          <t>n/t</t>
        </is>
      </c>
    </row>
    <row r="1068">
      <c r="A1068" s="256" t="inlineStr">
        <is>
          <t>CoQ-PP_26-072</t>
        </is>
      </c>
      <c r="B1068" s="256" t="inlineStr">
        <is>
          <t>P060372 (CC012603)</t>
        </is>
      </c>
      <c r="C1068" s="256" t="inlineStr">
        <is>
          <t>release</t>
        </is>
      </c>
      <c r="D1068" s="256" t="inlineStr">
        <is>
          <t>#11</t>
        </is>
      </c>
      <c r="E1068" s="257" t="inlineStr">
        <is>
          <t>n/t</t>
        </is>
      </c>
    </row>
    <row r="1069">
      <c r="A1069" s="256" t="inlineStr">
        <is>
          <t>CoQ-PP_26-072</t>
        </is>
      </c>
      <c r="B1069" s="256" t="inlineStr">
        <is>
          <t>P060372 (CC012603)</t>
        </is>
      </c>
      <c r="C1069" s="256" t="inlineStr">
        <is>
          <t>release</t>
        </is>
      </c>
      <c r="D1069" s="256" t="inlineStr">
        <is>
          <t>#12</t>
        </is>
      </c>
      <c r="E1069" s="257" t="inlineStr">
        <is>
          <t>n/t</t>
        </is>
      </c>
    </row>
    <row r="1070">
      <c r="A1070" s="256" t="inlineStr">
        <is>
          <t>CoQ-PP_26-073</t>
        </is>
      </c>
      <c r="B1070" s="256" t="inlineStr">
        <is>
          <t>P060342 (SCR012601)</t>
        </is>
      </c>
      <c r="C1070" s="256" t="inlineStr">
        <is>
          <t>release (predicted)</t>
        </is>
      </c>
      <c r="D1070" s="256" t="inlineStr">
        <is>
          <t>#4</t>
        </is>
      </c>
      <c r="E1070" s="257" t="inlineStr">
        <is>
          <t>n/t</t>
        </is>
      </c>
    </row>
    <row r="1071">
      <c r="A1071" s="256" t="inlineStr">
        <is>
          <t>CoQ-PP_26-073</t>
        </is>
      </c>
      <c r="B1071" s="256" t="inlineStr">
        <is>
          <t>P060342 (SCR012601)</t>
        </is>
      </c>
      <c r="C1071" s="256" t="inlineStr">
        <is>
          <t>release (predicted)</t>
        </is>
      </c>
      <c r="D1071" s="256" t="inlineStr">
        <is>
          <t>#5</t>
        </is>
      </c>
      <c r="E1071" s="257" t="inlineStr">
        <is>
          <t>n/t</t>
        </is>
      </c>
    </row>
    <row r="1072">
      <c r="A1072" s="256" t="inlineStr">
        <is>
          <t>CoQ-PP_26-073</t>
        </is>
      </c>
      <c r="B1072" s="256" t="inlineStr">
        <is>
          <t>P060342 (SCR012601)</t>
        </is>
      </c>
      <c r="C1072" s="256" t="inlineStr">
        <is>
          <t>release (predicted)</t>
        </is>
      </c>
      <c r="D1072" s="256" t="inlineStr">
        <is>
          <t>#6</t>
        </is>
      </c>
      <c r="E1072" s="257" t="inlineStr">
        <is>
          <t>n/t</t>
        </is>
      </c>
    </row>
    <row r="1073">
      <c r="A1073" s="256" t="inlineStr">
        <is>
          <t>CoQ-PP_26-073</t>
        </is>
      </c>
      <c r="B1073" s="256" t="inlineStr">
        <is>
          <t>P060342 (SCR012601)</t>
        </is>
      </c>
      <c r="C1073" s="256" t="inlineStr">
        <is>
          <t>release (predicted)</t>
        </is>
      </c>
      <c r="D1073" s="256" t="inlineStr">
        <is>
          <t>#8</t>
        </is>
      </c>
      <c r="E1073" s="257" t="inlineStr">
        <is>
          <t>n/t</t>
        </is>
      </c>
    </row>
    <row r="1074">
      <c r="A1074" s="256" t="inlineStr">
        <is>
          <t>CoQ-PP_26-073</t>
        </is>
      </c>
      <c r="B1074" s="256" t="inlineStr">
        <is>
          <t>P060342 (SCR012601)</t>
        </is>
      </c>
      <c r="C1074" s="256" t="inlineStr">
        <is>
          <t>release (predicted)</t>
        </is>
      </c>
      <c r="D1074" s="256" t="inlineStr">
        <is>
          <t>#9</t>
        </is>
      </c>
      <c r="E1074" s="257" t="inlineStr">
        <is>
          <t>n/t</t>
        </is>
      </c>
    </row>
    <row r="1075">
      <c r="A1075" s="256" t="inlineStr">
        <is>
          <t>CoQ-PP_26-073</t>
        </is>
      </c>
      <c r="B1075" s="256" t="inlineStr">
        <is>
          <t>P060342 (SCR012601)</t>
        </is>
      </c>
      <c r="C1075" s="256" t="inlineStr">
        <is>
          <t>release (predicted)</t>
        </is>
      </c>
      <c r="D1075" s="256" t="inlineStr">
        <is>
          <t>#10</t>
        </is>
      </c>
      <c r="E1075" s="257" t="inlineStr">
        <is>
          <t>n/t</t>
        </is>
      </c>
    </row>
    <row r="1076">
      <c r="A1076" s="256" t="inlineStr">
        <is>
          <t>CoQ-PP_26-073</t>
        </is>
      </c>
      <c r="B1076" s="256" t="inlineStr">
        <is>
          <t>P060342 (SCR012601)</t>
        </is>
      </c>
      <c r="C1076" s="256" t="inlineStr">
        <is>
          <t>release (predicted)</t>
        </is>
      </c>
      <c r="D1076" s="256" t="inlineStr">
        <is>
          <t>#11</t>
        </is>
      </c>
      <c r="E1076" s="257" t="inlineStr">
        <is>
          <t>n/t</t>
        </is>
      </c>
    </row>
    <row r="1077">
      <c r="A1077" s="256" t="inlineStr">
        <is>
          <t>CoQ-PP_26-073</t>
        </is>
      </c>
      <c r="B1077" s="256" t="inlineStr">
        <is>
          <t>P060342 (SCR012601)</t>
        </is>
      </c>
      <c r="C1077" s="256" t="inlineStr">
        <is>
          <t>release (predicted)</t>
        </is>
      </c>
      <c r="D1077" s="256" t="inlineStr">
        <is>
          <t>#12</t>
        </is>
      </c>
      <c r="E1077" s="257" t="inlineStr">
        <is>
          <t>n/t</t>
        </is>
      </c>
    </row>
    <row r="1078">
      <c r="A1078" s="256" t="inlineStr">
        <is>
          <t>CoQ-PP_26-074</t>
        </is>
      </c>
      <c r="B1078" s="256" t="inlineStr">
        <is>
          <t>P060382 (SCR012603)</t>
        </is>
      </c>
      <c r="C1078" s="256" t="inlineStr">
        <is>
          <t>release</t>
        </is>
      </c>
      <c r="D1078" s="256" t="inlineStr">
        <is>
          <t>#4</t>
        </is>
      </c>
      <c r="E1078" s="257" t="inlineStr">
        <is>
          <t>n/t</t>
        </is>
      </c>
    </row>
    <row r="1079">
      <c r="A1079" s="256" t="inlineStr">
        <is>
          <t>CoQ-PP_26-074</t>
        </is>
      </c>
      <c r="B1079" s="256" t="inlineStr">
        <is>
          <t>P060382 (SCR012603)</t>
        </is>
      </c>
      <c r="C1079" s="256" t="inlineStr">
        <is>
          <t>release</t>
        </is>
      </c>
      <c r="D1079" s="256" t="inlineStr">
        <is>
          <t>#5</t>
        </is>
      </c>
      <c r="E1079" s="257" t="inlineStr">
        <is>
          <t>n/t</t>
        </is>
      </c>
    </row>
    <row r="1080">
      <c r="A1080" s="256" t="inlineStr">
        <is>
          <t>CoQ-PP_26-074</t>
        </is>
      </c>
      <c r="B1080" s="256" t="inlineStr">
        <is>
          <t>P060382 (SCR012603)</t>
        </is>
      </c>
      <c r="C1080" s="256" t="inlineStr">
        <is>
          <t>release</t>
        </is>
      </c>
      <c r="D1080" s="256" t="inlineStr">
        <is>
          <t>#6</t>
        </is>
      </c>
      <c r="E1080" s="257" t="inlineStr">
        <is>
          <t>n/t</t>
        </is>
      </c>
    </row>
    <row r="1081">
      <c r="A1081" s="256" t="inlineStr">
        <is>
          <t>CoQ-PP_26-074</t>
        </is>
      </c>
      <c r="B1081" s="256" t="inlineStr">
        <is>
          <t>P060382 (SCR012603)</t>
        </is>
      </c>
      <c r="C1081" s="256" t="inlineStr">
        <is>
          <t>release</t>
        </is>
      </c>
      <c r="D1081" s="256" t="inlineStr">
        <is>
          <t>#8</t>
        </is>
      </c>
      <c r="E1081" s="257" t="inlineStr">
        <is>
          <t>n/t</t>
        </is>
      </c>
    </row>
    <row r="1082">
      <c r="A1082" s="256" t="inlineStr">
        <is>
          <t>CoQ-PP_26-074</t>
        </is>
      </c>
      <c r="B1082" s="256" t="inlineStr">
        <is>
          <t>P060382 (SCR012603)</t>
        </is>
      </c>
      <c r="C1082" s="256" t="inlineStr">
        <is>
          <t>release</t>
        </is>
      </c>
      <c r="D1082" s="256" t="inlineStr">
        <is>
          <t>#10</t>
        </is>
      </c>
      <c r="E1082" s="257" t="inlineStr">
        <is>
          <t>n/t</t>
        </is>
      </c>
    </row>
    <row r="1083">
      <c r="A1083" s="256" t="inlineStr">
        <is>
          <t>CoQ-PP_26-074</t>
        </is>
      </c>
      <c r="B1083" s="256" t="inlineStr">
        <is>
          <t>P060382 (SCR012603)</t>
        </is>
      </c>
      <c r="C1083" s="256" t="inlineStr">
        <is>
          <t>release</t>
        </is>
      </c>
      <c r="D1083" s="256" t="inlineStr">
        <is>
          <t>#11</t>
        </is>
      </c>
      <c r="E1083" s="257" t="inlineStr">
        <is>
          <t>n/t</t>
        </is>
      </c>
    </row>
    <row r="1084">
      <c r="A1084" s="256" t="inlineStr">
        <is>
          <t>CoQ-PP_26-074</t>
        </is>
      </c>
      <c r="B1084" s="256" t="inlineStr">
        <is>
          <t>P060382 (SCR012603)</t>
        </is>
      </c>
      <c r="C1084" s="256" t="inlineStr">
        <is>
          <t>release</t>
        </is>
      </c>
      <c r="D1084" s="256" t="inlineStr">
        <is>
          <t>#12</t>
        </is>
      </c>
      <c r="E1084" s="257" t="inlineStr">
        <is>
          <t>n/t</t>
        </is>
      </c>
    </row>
    <row r="1085">
      <c r="A1085" s="256" t="inlineStr">
        <is>
          <t>CoQ-PP_26-075</t>
        </is>
      </c>
      <c r="B1085" s="256" t="inlineStr">
        <is>
          <t>FB012603V</t>
        </is>
      </c>
      <c r="C1085" s="256" t="inlineStr">
        <is>
          <t>release (predicted)</t>
        </is>
      </c>
      <c r="D1085" s="256" t="inlineStr">
        <is>
          <t>#9</t>
        </is>
      </c>
      <c r="E1085" s="257" t="inlineStr">
        <is>
          <t>n/t</t>
        </is>
      </c>
    </row>
    <row r="1086">
      <c r="A1086" s="256" t="inlineStr">
        <is>
          <t>CoQ-PP_26-075</t>
        </is>
      </c>
      <c r="B1086" s="256" t="inlineStr">
        <is>
          <t>FB012603V</t>
        </is>
      </c>
      <c r="C1086" s="256" t="inlineStr">
        <is>
          <t>release (predicted)</t>
        </is>
      </c>
      <c r="D1086" s="256" t="inlineStr">
        <is>
          <t>#10</t>
        </is>
      </c>
      <c r="E1086" s="257" t="inlineStr">
        <is>
          <t>n/t</t>
        </is>
      </c>
    </row>
    <row r="1087">
      <c r="A1087" s="256" t="inlineStr">
        <is>
          <t>CoQ-PP_26-075</t>
        </is>
      </c>
      <c r="B1087" s="256" t="inlineStr">
        <is>
          <t>FB012603V</t>
        </is>
      </c>
      <c r="C1087" s="256" t="inlineStr">
        <is>
          <t>release (predicted)</t>
        </is>
      </c>
      <c r="D1087" s="256" t="inlineStr">
        <is>
          <t>#11</t>
        </is>
      </c>
      <c r="E1087" s="257" t="inlineStr">
        <is>
          <t>n/t</t>
        </is>
      </c>
    </row>
    <row r="1088">
      <c r="A1088" s="256" t="inlineStr">
        <is>
          <t>CoQ-PP_26-075</t>
        </is>
      </c>
      <c r="B1088" s="256" t="inlineStr">
        <is>
          <t>FB012603V</t>
        </is>
      </c>
      <c r="C1088" s="256" t="inlineStr">
        <is>
          <t>release (predicted)</t>
        </is>
      </c>
      <c r="D1088" s="256" t="inlineStr">
        <is>
          <t>#12</t>
        </is>
      </c>
      <c r="E1088" s="257" t="inlineStr">
        <is>
          <t>n/t</t>
        </is>
      </c>
    </row>
    <row r="1089">
      <c r="A1089" s="256" t="inlineStr">
        <is>
          <t>CoQ-PP_26-076</t>
        </is>
      </c>
      <c r="B1089" s="256" t="inlineStr">
        <is>
          <t>P060422 (JD012603/02V)</t>
        </is>
      </c>
      <c r="C1089" s="256" t="inlineStr">
        <is>
          <t>release</t>
        </is>
      </c>
      <c r="D1089" s="256" t="inlineStr">
        <is>
          <t>#10</t>
        </is>
      </c>
      <c r="E1089" s="257" t="inlineStr">
        <is>
          <t>n/t</t>
        </is>
      </c>
    </row>
    <row r="1090">
      <c r="A1090" s="256" t="inlineStr">
        <is>
          <t>CoQ-PP_26-077</t>
        </is>
      </c>
      <c r="B1090" s="256" t="inlineStr">
        <is>
          <t>P060402 (GG012603)</t>
        </is>
      </c>
      <c r="C1090" s="256" t="inlineStr">
        <is>
          <t>release</t>
        </is>
      </c>
      <c r="D1090" s="256" t="inlineStr">
        <is>
          <t>#10</t>
        </is>
      </c>
      <c r="E1090" s="257" t="inlineStr">
        <is>
          <t>3659/2026 22.06.26 IJZ; also 197-8-М/26; n/t 10.1,10.3</t>
        </is>
      </c>
    </row>
    <row r="1091">
      <c r="A1091" s="256" t="inlineStr">
        <is>
          <t>CoQ-PP_26-078</t>
        </is>
      </c>
      <c r="B1091" s="256" t="inlineStr">
        <is>
          <t>P060412 (JD012603/02)</t>
        </is>
      </c>
      <c r="C1091" s="256" t="inlineStr">
        <is>
          <t>release</t>
        </is>
      </c>
      <c r="D1091" s="256" t="inlineStr">
        <is>
          <t>#10</t>
        </is>
      </c>
      <c r="E1091" s="257" t="inlineStr">
        <is>
          <t>n/t</t>
        </is>
      </c>
    </row>
    <row r="1092">
      <c r="A1092" s="256" t="inlineStr">
        <is>
          <t>CoQ-PP_26-079</t>
        </is>
      </c>
      <c r="B1092" s="256" t="inlineStr">
        <is>
          <t>FB012603</t>
        </is>
      </c>
      <c r="C1092" s="256" t="inlineStr">
        <is>
          <t>release (predicted)</t>
        </is>
      </c>
      <c r="D1092" s="256" t="inlineStr">
        <is>
          <t>#9</t>
        </is>
      </c>
      <c r="E1092" s="257" t="inlineStr">
        <is>
          <t>n/t</t>
        </is>
      </c>
    </row>
    <row r="1093">
      <c r="A1093" s="256" t="inlineStr">
        <is>
          <t>CoQ-PP_26-079</t>
        </is>
      </c>
      <c r="B1093" s="256" t="inlineStr">
        <is>
          <t>FB012603</t>
        </is>
      </c>
      <c r="C1093" s="256" t="inlineStr">
        <is>
          <t>release (predicted)</t>
        </is>
      </c>
      <c r="D1093" s="256" t="inlineStr">
        <is>
          <t>#10</t>
        </is>
      </c>
      <c r="E1093" s="257" t="inlineStr">
        <is>
          <t>n/t</t>
        </is>
      </c>
    </row>
    <row r="1094">
      <c r="A1094" s="256" t="inlineStr">
        <is>
          <t>CoQ-PP_26-079</t>
        </is>
      </c>
      <c r="B1094" s="256" t="inlineStr">
        <is>
          <t>FB012603</t>
        </is>
      </c>
      <c r="C1094" s="256" t="inlineStr">
        <is>
          <t>release (predicted)</t>
        </is>
      </c>
      <c r="D1094" s="256" t="inlineStr">
        <is>
          <t>#11</t>
        </is>
      </c>
      <c r="E1094" s="257" t="inlineStr">
        <is>
          <t>n/t</t>
        </is>
      </c>
    </row>
    <row r="1095">
      <c r="A1095" s="256" t="inlineStr">
        <is>
          <t>CoQ-PP_26-079</t>
        </is>
      </c>
      <c r="B1095" s="256" t="inlineStr">
        <is>
          <t>FB012603</t>
        </is>
      </c>
      <c r="C1095" s="256" t="inlineStr">
        <is>
          <t>release (predicted)</t>
        </is>
      </c>
      <c r="D1095" s="256" t="inlineStr">
        <is>
          <t>#12</t>
        </is>
      </c>
      <c r="E1095" s="257" t="inlineStr">
        <is>
          <t>n/t</t>
        </is>
      </c>
    </row>
    <row r="1096">
      <c r="A1096" s="256" t="inlineStr">
        <is>
          <t>CoQ-PP_26-080</t>
        </is>
      </c>
      <c r="B1096" s="256" t="inlineStr">
        <is>
          <t>SCR022601</t>
        </is>
      </c>
      <c r="C1096" s="256" t="inlineStr">
        <is>
          <t>release (predicted)</t>
        </is>
      </c>
      <c r="D1096" s="256" t="inlineStr">
        <is>
          <t>#9</t>
        </is>
      </c>
      <c r="E1096" s="257" t="inlineStr">
        <is>
          <t>n/t</t>
        </is>
      </c>
    </row>
    <row r="1097">
      <c r="A1097" s="256" t="inlineStr">
        <is>
          <t>CoQ-PP_26-080</t>
        </is>
      </c>
      <c r="B1097" s="256" t="inlineStr">
        <is>
          <t>SCR022601</t>
        </is>
      </c>
      <c r="C1097" s="256" t="inlineStr">
        <is>
          <t>release (predicted)</t>
        </is>
      </c>
      <c r="D1097" s="256" t="inlineStr">
        <is>
          <t>#10</t>
        </is>
      </c>
      <c r="E1097" s="257" t="inlineStr">
        <is>
          <t>n/t</t>
        </is>
      </c>
    </row>
    <row r="1098">
      <c r="A1098" s="256" t="inlineStr">
        <is>
          <t>CoQ-PP_26-080</t>
        </is>
      </c>
      <c r="B1098" s="256" t="inlineStr">
        <is>
          <t>SCR022601</t>
        </is>
      </c>
      <c r="C1098" s="256" t="inlineStr">
        <is>
          <t>release (predicted)</t>
        </is>
      </c>
      <c r="D1098" s="256" t="inlineStr">
        <is>
          <t>#11</t>
        </is>
      </c>
      <c r="E1098" s="257" t="inlineStr">
        <is>
          <t>n/t</t>
        </is>
      </c>
    </row>
    <row r="1099">
      <c r="A1099" s="256" t="inlineStr">
        <is>
          <t>CoQ-PP_26-080</t>
        </is>
      </c>
      <c r="B1099" s="256" t="inlineStr">
        <is>
          <t>SCR022601</t>
        </is>
      </c>
      <c r="C1099" s="256" t="inlineStr">
        <is>
          <t>release (predicted)</t>
        </is>
      </c>
      <c r="D1099" s="256" t="inlineStr">
        <is>
          <t>#12</t>
        </is>
      </c>
      <c r="E1099" s="257" t="inlineStr">
        <is>
          <t>n/t</t>
        </is>
      </c>
    </row>
    <row r="1100">
      <c r="A1100" s="256" t="inlineStr">
        <is>
          <t>CoQ-PP_26-081</t>
        </is>
      </c>
      <c r="B1100" s="256" t="inlineStr">
        <is>
          <t>FB032601</t>
        </is>
      </c>
      <c r="C1100" s="256" t="inlineStr">
        <is>
          <t>release (predicted)</t>
        </is>
      </c>
      <c r="D1100" s="256" t="inlineStr">
        <is>
          <t>#9</t>
        </is>
      </c>
      <c r="E1100" s="257" t="inlineStr">
        <is>
          <t>n/t</t>
        </is>
      </c>
    </row>
    <row r="1101">
      <c r="A1101" s="256" t="inlineStr">
        <is>
          <t>CoQ-PP_26-081</t>
        </is>
      </c>
      <c r="B1101" s="256" t="inlineStr">
        <is>
          <t>FB032601</t>
        </is>
      </c>
      <c r="C1101" s="256" t="inlineStr">
        <is>
          <t>release (predicted)</t>
        </is>
      </c>
      <c r="D1101" s="256" t="inlineStr">
        <is>
          <t>#10</t>
        </is>
      </c>
      <c r="E1101" s="257" t="inlineStr">
        <is>
          <t>n/t</t>
        </is>
      </c>
    </row>
    <row r="1102">
      <c r="A1102" s="256" t="inlineStr">
        <is>
          <t>CoQ-PP_26-081</t>
        </is>
      </c>
      <c r="B1102" s="256" t="inlineStr">
        <is>
          <t>FB032601</t>
        </is>
      </c>
      <c r="C1102" s="256" t="inlineStr">
        <is>
          <t>release (predicted)</t>
        </is>
      </c>
      <c r="D1102" s="256" t="inlineStr">
        <is>
          <t>#11</t>
        </is>
      </c>
      <c r="E1102" s="257" t="inlineStr">
        <is>
          <t>n/t</t>
        </is>
      </c>
    </row>
    <row r="1103">
      <c r="A1103" s="256" t="inlineStr">
        <is>
          <t>CoQ-PP_26-081</t>
        </is>
      </c>
      <c r="B1103" s="256" t="inlineStr">
        <is>
          <t>FB032601</t>
        </is>
      </c>
      <c r="C1103" s="256" t="inlineStr">
        <is>
          <t>release (predicted)</t>
        </is>
      </c>
      <c r="D1103" s="256" t="inlineStr">
        <is>
          <t>#12</t>
        </is>
      </c>
      <c r="E1103" s="257" t="inlineStr">
        <is>
          <t>n/t</t>
        </is>
      </c>
    </row>
    <row r="1104">
      <c r="A1104" s="256" t="inlineStr">
        <is>
          <t>CoQ-PP_26-082</t>
        </is>
      </c>
      <c r="B1104" s="256" t="inlineStr">
        <is>
          <t>GG032601</t>
        </is>
      </c>
      <c r="C1104" s="256" t="inlineStr">
        <is>
          <t>release (predicted)</t>
        </is>
      </c>
      <c r="D1104" s="256" t="inlineStr">
        <is>
          <t>#9</t>
        </is>
      </c>
      <c r="E1104" s="257" t="inlineStr">
        <is>
          <t>n/t</t>
        </is>
      </c>
    </row>
    <row r="1105">
      <c r="A1105" s="256" t="inlineStr">
        <is>
          <t>CoQ-PP_26-082</t>
        </is>
      </c>
      <c r="B1105" s="256" t="inlineStr">
        <is>
          <t>GG032601</t>
        </is>
      </c>
      <c r="C1105" s="256" t="inlineStr">
        <is>
          <t>release (predicted)</t>
        </is>
      </c>
      <c r="D1105" s="256" t="inlineStr">
        <is>
          <t>#10</t>
        </is>
      </c>
      <c r="E1105" s="257" t="inlineStr">
        <is>
          <t>n/t</t>
        </is>
      </c>
    </row>
    <row r="1106">
      <c r="A1106" s="256" t="inlineStr">
        <is>
          <t>CoQ-PP_26-082</t>
        </is>
      </c>
      <c r="B1106" s="256" t="inlineStr">
        <is>
          <t>GG032601</t>
        </is>
      </c>
      <c r="C1106" s="256" t="inlineStr">
        <is>
          <t>release (predicted)</t>
        </is>
      </c>
      <c r="D1106" s="256" t="inlineStr">
        <is>
          <t>#11</t>
        </is>
      </c>
      <c r="E1106" s="257" t="inlineStr">
        <is>
          <t>n/t</t>
        </is>
      </c>
    </row>
    <row r="1107">
      <c r="A1107" s="256" t="inlineStr">
        <is>
          <t>CoQ-PP_26-082</t>
        </is>
      </c>
      <c r="B1107" s="256" t="inlineStr">
        <is>
          <t>GG032601</t>
        </is>
      </c>
      <c r="C1107" s="256" t="inlineStr">
        <is>
          <t>release (predicted)</t>
        </is>
      </c>
      <c r="D1107" s="256" t="inlineStr">
        <is>
          <t>#12</t>
        </is>
      </c>
      <c r="E1107" s="257" t="inlineStr">
        <is>
          <t>n/t</t>
        </is>
      </c>
    </row>
    <row r="1108">
      <c r="A1108" s="256" t="inlineStr">
        <is>
          <t>CoQ-PP_26-083</t>
        </is>
      </c>
      <c r="B1108" s="256" t="inlineStr">
        <is>
          <t>JD022601</t>
        </is>
      </c>
      <c r="C1108" s="256" t="inlineStr">
        <is>
          <t>release (predicted)</t>
        </is>
      </c>
      <c r="D1108" s="256" t="inlineStr">
        <is>
          <t>#9</t>
        </is>
      </c>
      <c r="E1108" s="257" t="inlineStr">
        <is>
          <t>n/t</t>
        </is>
      </c>
    </row>
    <row r="1109">
      <c r="A1109" s="256" t="inlineStr">
        <is>
          <t>CoQ-PP_26-083</t>
        </is>
      </c>
      <c r="B1109" s="256" t="inlineStr">
        <is>
          <t>JD022601</t>
        </is>
      </c>
      <c r="C1109" s="256" t="inlineStr">
        <is>
          <t>release (predicted)</t>
        </is>
      </c>
      <c r="D1109" s="256" t="inlineStr">
        <is>
          <t>#10</t>
        </is>
      </c>
      <c r="E1109" s="257" t="inlineStr">
        <is>
          <t>n/t</t>
        </is>
      </c>
    </row>
    <row r="1110">
      <c r="A1110" s="256" t="inlineStr">
        <is>
          <t>CoQ-PP_26-083</t>
        </is>
      </c>
      <c r="B1110" s="256" t="inlineStr">
        <is>
          <t>JD022601</t>
        </is>
      </c>
      <c r="C1110" s="256" t="inlineStr">
        <is>
          <t>release (predicted)</t>
        </is>
      </c>
      <c r="D1110" s="256" t="inlineStr">
        <is>
          <t>#11</t>
        </is>
      </c>
      <c r="E1110" s="257" t="inlineStr">
        <is>
          <t>n/t</t>
        </is>
      </c>
    </row>
    <row r="1111">
      <c r="A1111" s="256" t="inlineStr">
        <is>
          <t>CoQ-PP_26-083</t>
        </is>
      </c>
      <c r="B1111" s="256" t="inlineStr">
        <is>
          <t>JD022601</t>
        </is>
      </c>
      <c r="C1111" s="256" t="inlineStr">
        <is>
          <t>release (predicted)</t>
        </is>
      </c>
      <c r="D1111" s="256" t="inlineStr">
        <is>
          <t>#12</t>
        </is>
      </c>
      <c r="E1111" s="257" t="inlineStr">
        <is>
          <t>n/t</t>
        </is>
      </c>
    </row>
    <row r="1112">
      <c r="A1112" s="256" t="inlineStr">
        <is>
          <t>CoQ-PP_26-084</t>
        </is>
      </c>
      <c r="B1112" s="256" t="inlineStr">
        <is>
          <t>P060492 (JD042601)</t>
        </is>
      </c>
      <c r="C1112" s="256" t="inlineStr">
        <is>
          <t>release (predicted)</t>
        </is>
      </c>
      <c r="D1112" s="256" t="inlineStr">
        <is>
          <t>#4</t>
        </is>
      </c>
      <c r="E1112" s="257" t="inlineStr">
        <is>
          <t>n/t</t>
        </is>
      </c>
    </row>
    <row r="1113">
      <c r="A1113" s="256" t="inlineStr">
        <is>
          <t>CoQ-PP_26-084</t>
        </is>
      </c>
      <c r="B1113" s="256" t="inlineStr">
        <is>
          <t>P060492 (JD042601)</t>
        </is>
      </c>
      <c r="C1113" s="256" t="inlineStr">
        <is>
          <t>release (predicted)</t>
        </is>
      </c>
      <c r="D1113" s="256" t="inlineStr">
        <is>
          <t>#5</t>
        </is>
      </c>
      <c r="E1113" s="257" t="inlineStr">
        <is>
          <t>n/t</t>
        </is>
      </c>
    </row>
    <row r="1114">
      <c r="A1114" s="256" t="inlineStr">
        <is>
          <t>CoQ-PP_26-084</t>
        </is>
      </c>
      <c r="B1114" s="256" t="inlineStr">
        <is>
          <t>P060492 (JD042601)</t>
        </is>
      </c>
      <c r="C1114" s="256" t="inlineStr">
        <is>
          <t>release (predicted)</t>
        </is>
      </c>
      <c r="D1114" s="256" t="inlineStr">
        <is>
          <t>#6</t>
        </is>
      </c>
      <c r="E1114" s="257" t="inlineStr">
        <is>
          <t>n/t</t>
        </is>
      </c>
    </row>
    <row r="1115">
      <c r="A1115" s="256" t="inlineStr">
        <is>
          <t>CoQ-PP_26-084</t>
        </is>
      </c>
      <c r="B1115" s="256" t="inlineStr">
        <is>
          <t>P060492 (JD042601)</t>
        </is>
      </c>
      <c r="C1115" s="256" t="inlineStr">
        <is>
          <t>release (predicted)</t>
        </is>
      </c>
      <c r="D1115" s="256" t="inlineStr">
        <is>
          <t>#8</t>
        </is>
      </c>
      <c r="E1115" s="257" t="inlineStr">
        <is>
          <t>n/t</t>
        </is>
      </c>
    </row>
    <row r="1116">
      <c r="A1116" s="256" t="inlineStr">
        <is>
          <t>CoQ-PP_26-084</t>
        </is>
      </c>
      <c r="B1116" s="256" t="inlineStr">
        <is>
          <t>P060492 (JD042601)</t>
        </is>
      </c>
      <c r="C1116" s="256" t="inlineStr">
        <is>
          <t>release (predicted)</t>
        </is>
      </c>
      <c r="D1116" s="256" t="inlineStr">
        <is>
          <t>#9</t>
        </is>
      </c>
      <c r="E1116" s="257" t="inlineStr">
        <is>
          <t>n/t</t>
        </is>
      </c>
    </row>
    <row r="1117">
      <c r="A1117" s="256" t="inlineStr">
        <is>
          <t>CoQ-PP_26-084</t>
        </is>
      </c>
      <c r="B1117" s="256" t="inlineStr">
        <is>
          <t>P060492 (JD042601)</t>
        </is>
      </c>
      <c r="C1117" s="256" t="inlineStr">
        <is>
          <t>release (predicted)</t>
        </is>
      </c>
      <c r="D1117" s="256" t="inlineStr">
        <is>
          <t>#10</t>
        </is>
      </c>
      <c r="E1117" s="257" t="inlineStr">
        <is>
          <t>n/t</t>
        </is>
      </c>
    </row>
    <row r="1118">
      <c r="A1118" s="256" t="inlineStr">
        <is>
          <t>CoQ-PP_26-084</t>
        </is>
      </c>
      <c r="B1118" s="256" t="inlineStr">
        <is>
          <t>P060492 (JD042601)</t>
        </is>
      </c>
      <c r="C1118" s="256" t="inlineStr">
        <is>
          <t>release (predicted)</t>
        </is>
      </c>
      <c r="D1118" s="256" t="inlineStr">
        <is>
          <t>#11</t>
        </is>
      </c>
      <c r="E1118" s="257" t="inlineStr">
        <is>
          <t>n/t</t>
        </is>
      </c>
    </row>
    <row r="1119">
      <c r="A1119" s="256" t="inlineStr">
        <is>
          <t>CoQ-PP_26-084</t>
        </is>
      </c>
      <c r="B1119" s="256" t="inlineStr">
        <is>
          <t>P060492 (JD042601)</t>
        </is>
      </c>
      <c r="C1119" s="256" t="inlineStr">
        <is>
          <t>release (predicted)</t>
        </is>
      </c>
      <c r="D1119" s="256" t="inlineStr">
        <is>
          <t>#12</t>
        </is>
      </c>
      <c r="E1119" s="257" t="inlineStr">
        <is>
          <t>n/t</t>
        </is>
      </c>
    </row>
    <row r="1120">
      <c r="A1120" s="256" t="inlineStr">
        <is>
          <t>CoQ-PP_26-087</t>
        </is>
      </c>
      <c r="B1120" s="256" t="inlineStr">
        <is>
          <t>P060332</t>
        </is>
      </c>
      <c r="C1120" s="256" t="inlineStr">
        <is>
          <t>retest (predicted)</t>
        </is>
      </c>
      <c r="D1120" s="256" t="inlineStr">
        <is>
          <t>#8</t>
        </is>
      </c>
      <c r="E1120" s="257" t="inlineStr">
        <is>
          <t>n/t (initial)</t>
        </is>
      </c>
    </row>
    <row r="1121">
      <c r="A1121" s="256" t="inlineStr">
        <is>
          <t>CoQ-PP_26-087</t>
        </is>
      </c>
      <c r="B1121" s="256" t="inlineStr">
        <is>
          <t>P060332</t>
        </is>
      </c>
      <c r="C1121" s="256" t="inlineStr">
        <is>
          <t>retest (predicted)</t>
        </is>
      </c>
      <c r="D1121" s="256" t="inlineStr">
        <is>
          <t>#11</t>
        </is>
      </c>
      <c r="E1121" s="257" t="inlineStr">
        <is>
          <t>n/t (initial)</t>
        </is>
      </c>
    </row>
    <row r="1122">
      <c r="A1122" s="256" t="inlineStr">
        <is>
          <t>CoQ-PP_26-087</t>
        </is>
      </c>
      <c r="B1122" s="256" t="inlineStr">
        <is>
          <t>P060332</t>
        </is>
      </c>
      <c r="C1122" s="256" t="inlineStr">
        <is>
          <t>retest (predicted)</t>
        </is>
      </c>
      <c r="D1122" s="256" t="inlineStr">
        <is>
          <t>#12</t>
        </is>
      </c>
      <c r="E1122" s="257" t="inlineStr">
        <is>
          <t>n/t (initial)</t>
        </is>
      </c>
    </row>
    <row r="1123">
      <c r="A1123" s="256" t="inlineStr">
        <is>
          <t>CoQ-PP_26-090</t>
        </is>
      </c>
      <c r="B1123" s="256" t="inlineStr">
        <is>
          <t>P060352 (FB012602)</t>
        </is>
      </c>
      <c r="C1123" s="256" t="inlineStr">
        <is>
          <t>retest (predicted)</t>
        </is>
      </c>
      <c r="D1123" s="256" t="inlineStr">
        <is>
          <t>#8</t>
        </is>
      </c>
      <c r="E1123" s="257" t="inlineStr">
        <is>
          <t>n/t (initial)</t>
        </is>
      </c>
    </row>
    <row r="1124">
      <c r="A1124" s="256" t="inlineStr">
        <is>
          <t>CoQ-PP_26-090</t>
        </is>
      </c>
      <c r="B1124" s="256" t="inlineStr">
        <is>
          <t>P060352 (FB012602)</t>
        </is>
      </c>
      <c r="C1124" s="256" t="inlineStr">
        <is>
          <t>retest (predicted)</t>
        </is>
      </c>
      <c r="D1124" s="256" t="inlineStr">
        <is>
          <t>#11</t>
        </is>
      </c>
      <c r="E1124" s="257" t="inlineStr">
        <is>
          <t>n/t (initial)</t>
        </is>
      </c>
    </row>
    <row r="1125">
      <c r="A1125" s="256" t="inlineStr">
        <is>
          <t>CoQ-PP_26-090</t>
        </is>
      </c>
      <c r="B1125" s="256" t="inlineStr">
        <is>
          <t>P060352 (FB012602)</t>
        </is>
      </c>
      <c r="C1125" s="256" t="inlineStr">
        <is>
          <t>retest (predicted)</t>
        </is>
      </c>
      <c r="D1125" s="256" t="inlineStr">
        <is>
          <t>#12</t>
        </is>
      </c>
      <c r="E1125" s="257" t="inlineStr">
        <is>
          <t>n/t (initial)</t>
        </is>
      </c>
    </row>
    <row r="1126">
      <c r="A1126" s="256" t="inlineStr">
        <is>
          <t>CoQ-PP_26-096</t>
        </is>
      </c>
      <c r="B1126" s="256" t="inlineStr">
        <is>
          <t>HPA1024</t>
        </is>
      </c>
      <c r="C1126" s="256" t="inlineStr">
        <is>
          <t>retest</t>
        </is>
      </c>
      <c r="D1126" s="256" t="inlineStr">
        <is>
          <t>#8</t>
        </is>
      </c>
      <c r="E1126" s="257" t="inlineStr">
        <is>
          <t>n/t (initial)</t>
        </is>
      </c>
    </row>
    <row r="1127">
      <c r="A1127" s="256" t="inlineStr">
        <is>
          <t>CoQ-PP_26-100</t>
        </is>
      </c>
      <c r="B1127" s="256" t="inlineStr">
        <is>
          <t>OPM1024</t>
        </is>
      </c>
      <c r="C1127" s="256" t="inlineStr">
        <is>
          <t>retest</t>
        </is>
      </c>
      <c r="D1127" s="256" t="inlineStr">
        <is>
          <t>#8</t>
        </is>
      </c>
      <c r="E1127" s="257" t="inlineStr">
        <is>
          <t>n/t (initial)</t>
        </is>
      </c>
    </row>
    <row r="1128">
      <c r="A1128" s="256" t="inlineStr">
        <is>
          <t>CoQ-PP_26-104</t>
        </is>
      </c>
      <c r="B1128" s="256" t="inlineStr">
        <is>
          <t>P060382 (SCR012603)</t>
        </is>
      </c>
      <c r="C1128" s="256" t="inlineStr">
        <is>
          <t>retest (predicted)</t>
        </is>
      </c>
      <c r="D1128" s="256" t="inlineStr">
        <is>
          <t>#8</t>
        </is>
      </c>
      <c r="E1128" s="257" t="inlineStr">
        <is>
          <t>n/t (initial)</t>
        </is>
      </c>
    </row>
    <row r="1129">
      <c r="A1129" s="256" t="inlineStr">
        <is>
          <t>CoQ-PP_26-104</t>
        </is>
      </c>
      <c r="B1129" s="256" t="inlineStr">
        <is>
          <t>P060382 (SCR012603)</t>
        </is>
      </c>
      <c r="C1129" s="256" t="inlineStr">
        <is>
          <t>retest (predicted)</t>
        </is>
      </c>
      <c r="D1129" s="256" t="inlineStr">
        <is>
          <t>#11</t>
        </is>
      </c>
      <c r="E1129" s="257" t="inlineStr">
        <is>
          <t>n/t (initial)</t>
        </is>
      </c>
    </row>
    <row r="1130">
      <c r="A1130" s="256" t="inlineStr">
        <is>
          <t>CoQ-PP_26-104</t>
        </is>
      </c>
      <c r="B1130" s="256" t="inlineStr">
        <is>
          <t>P060382 (SCR012603)</t>
        </is>
      </c>
      <c r="C1130" s="256" t="inlineStr">
        <is>
          <t>retest (predicted)</t>
        </is>
      </c>
      <c r="D1130" s="256" t="inlineStr">
        <is>
          <t>#12</t>
        </is>
      </c>
      <c r="E1130" s="257" t="inlineStr">
        <is>
          <t>n/t (initial)</t>
        </is>
      </c>
    </row>
    <row r="1131">
      <c r="A1131" s="256" t="inlineStr">
        <is>
          <t>CoQ-PP_26-108</t>
        </is>
      </c>
      <c r="B1131" s="256" t="inlineStr">
        <is>
          <t>P060372 (CC012603)</t>
        </is>
      </c>
      <c r="C1131" s="256" t="inlineStr">
        <is>
          <t>retest (predicted)</t>
        </is>
      </c>
      <c r="D1131" s="256" t="inlineStr">
        <is>
          <t>#8</t>
        </is>
      </c>
      <c r="E1131" s="257" t="inlineStr">
        <is>
          <t>n/t (initial)</t>
        </is>
      </c>
    </row>
    <row r="1132">
      <c r="A1132" s="256" t="inlineStr">
        <is>
          <t>CoQ-PP_26-108</t>
        </is>
      </c>
      <c r="B1132" s="256" t="inlineStr">
        <is>
          <t>P060372 (CC012603)</t>
        </is>
      </c>
      <c r="C1132" s="256" t="inlineStr">
        <is>
          <t>retest (predicted)</t>
        </is>
      </c>
      <c r="D1132" s="256" t="inlineStr">
        <is>
          <t>#11</t>
        </is>
      </c>
      <c r="E1132" s="257" t="inlineStr">
        <is>
          <t>n/t (initial)</t>
        </is>
      </c>
    </row>
    <row r="1133">
      <c r="A1133" s="256" t="inlineStr">
        <is>
          <t>CoQ-PP_26-108</t>
        </is>
      </c>
      <c r="B1133" s="256" t="inlineStr">
        <is>
          <t>P060372 (CC012603)</t>
        </is>
      </c>
      <c r="C1133" s="256" t="inlineStr">
        <is>
          <t>retest (predicted)</t>
        </is>
      </c>
      <c r="D1133" s="256" t="inlineStr">
        <is>
          <t>#12</t>
        </is>
      </c>
      <c r="E1133" s="257" t="inlineStr">
        <is>
          <t>n/t (initial)</t>
        </is>
      </c>
    </row>
    <row r="1134">
      <c r="A1134" s="256" t="inlineStr">
        <is>
          <t>CoQ-PP_26-122</t>
        </is>
      </c>
      <c r="B1134" s="256" t="inlineStr">
        <is>
          <t>P060362 (JD012603/01)</t>
        </is>
      </c>
      <c r="C1134" s="256" t="inlineStr">
        <is>
          <t>retest (predicted)</t>
        </is>
      </c>
      <c r="D1134" s="256" t="inlineStr">
        <is>
          <t>#8</t>
        </is>
      </c>
      <c r="E1134" s="257" t="inlineStr">
        <is>
          <t>n/t (initial)</t>
        </is>
      </c>
    </row>
    <row r="1135">
      <c r="A1135" s="256" t="inlineStr">
        <is>
          <t>CoQ-PP_26-122</t>
        </is>
      </c>
      <c r="B1135" s="256" t="inlineStr">
        <is>
          <t>P060362 (JD012603/01)</t>
        </is>
      </c>
      <c r="C1135" s="256" t="inlineStr">
        <is>
          <t>retest (predicted)</t>
        </is>
      </c>
      <c r="D1135" s="256" t="inlineStr">
        <is>
          <t>#11</t>
        </is>
      </c>
      <c r="E1135" s="257" t="inlineStr">
        <is>
          <t>n/t (initial)</t>
        </is>
      </c>
    </row>
    <row r="1136">
      <c r="A1136" s="256" t="inlineStr">
        <is>
          <t>CoQ-PP_26-122</t>
        </is>
      </c>
      <c r="B1136" s="256" t="inlineStr">
        <is>
          <t>P060362 (JD012603/01)</t>
        </is>
      </c>
      <c r="C1136" s="256" t="inlineStr">
        <is>
          <t>retest (predicted)</t>
        </is>
      </c>
      <c r="D1136" s="256" t="inlineStr">
        <is>
          <t>#12</t>
        </is>
      </c>
      <c r="E1136" s="257" t="inlineStr">
        <is>
          <t>n/t (initial)</t>
        </is>
      </c>
    </row>
    <row r="1137">
      <c r="A1137" s="256" t="inlineStr">
        <is>
          <t>CoQ-PP_26-125</t>
        </is>
      </c>
      <c r="B1137" s="256" t="inlineStr">
        <is>
          <t>P060492 (JD042601)</t>
        </is>
      </c>
      <c r="C1137" s="256" t="inlineStr">
        <is>
          <t>retest (predicted)</t>
        </is>
      </c>
      <c r="D1137" s="256" t="inlineStr">
        <is>
          <t>#8</t>
        </is>
      </c>
      <c r="E1137" s="257" t="inlineStr">
        <is>
          <t>n/t (initial)</t>
        </is>
      </c>
    </row>
    <row r="1138">
      <c r="A1138" s="256" t="inlineStr">
        <is>
          <t>CoQ-PP_26-125</t>
        </is>
      </c>
      <c r="B1138" s="256" t="inlineStr">
        <is>
          <t>P060492 (JD042601)</t>
        </is>
      </c>
      <c r="C1138" s="256" t="inlineStr">
        <is>
          <t>retest (predicted)</t>
        </is>
      </c>
      <c r="D1138" s="256" t="inlineStr">
        <is>
          <t>#9</t>
        </is>
      </c>
      <c r="E1138" s="257" t="inlineStr">
        <is>
          <t>n/t (initial)</t>
        </is>
      </c>
    </row>
    <row r="1139">
      <c r="A1139" s="256" t="inlineStr">
        <is>
          <t>CoQ-PP_26-125</t>
        </is>
      </c>
      <c r="B1139" s="256" t="inlineStr">
        <is>
          <t>P060492 (JD042601)</t>
        </is>
      </c>
      <c r="C1139" s="256" t="inlineStr">
        <is>
          <t>retest (predicted)</t>
        </is>
      </c>
      <c r="D1139" s="256" t="inlineStr">
        <is>
          <t>#11</t>
        </is>
      </c>
      <c r="E1139" s="257" t="inlineStr">
        <is>
          <t>n/t (initial)</t>
        </is>
      </c>
    </row>
    <row r="1140">
      <c r="A1140" s="256" t="inlineStr">
        <is>
          <t>CoQ-PP_26-125</t>
        </is>
      </c>
      <c r="B1140" s="256" t="inlineStr">
        <is>
          <t>P060492 (JD042601)</t>
        </is>
      </c>
      <c r="C1140" s="256" t="inlineStr">
        <is>
          <t>retest (predicted)</t>
        </is>
      </c>
      <c r="D1140" s="256" t="inlineStr">
        <is>
          <t>#12</t>
        </is>
      </c>
      <c r="E1140" s="257" t="inlineStr">
        <is>
          <t>n/t (initial)</t>
        </is>
      </c>
    </row>
    <row r="1141">
      <c r="A1141" s="256" t="inlineStr">
        <is>
          <t>CoQ-PP_26-138</t>
        </is>
      </c>
      <c r="B1141" s="256" t="inlineStr">
        <is>
          <t>P050142 (BSS1024_01/2)</t>
        </is>
      </c>
      <c r="C1141" s="256" t="inlineStr">
        <is>
          <t>retest (predicted)</t>
        </is>
      </c>
      <c r="D1141" s="256" t="inlineStr">
        <is>
          <t>#8</t>
        </is>
      </c>
      <c r="E1141" s="257" t="inlineStr">
        <is>
          <t>n/t (initial)</t>
        </is>
      </c>
    </row>
    <row r="1142">
      <c r="A1142" s="256" t="inlineStr">
        <is>
          <t>CoQ-PP_26-138</t>
        </is>
      </c>
      <c r="B1142" s="256" t="inlineStr">
        <is>
          <t>P050142 (BSS1024_01/2)</t>
        </is>
      </c>
      <c r="C1142" s="256" t="inlineStr">
        <is>
          <t>retest (predicted)</t>
        </is>
      </c>
      <c r="D1142" s="256" t="inlineStr">
        <is>
          <t>#11</t>
        </is>
      </c>
      <c r="E1142" s="257" t="inlineStr">
        <is>
          <t>n/t (initial)</t>
        </is>
      </c>
    </row>
    <row r="1143">
      <c r="A1143" s="256" t="inlineStr">
        <is>
          <t>CoQ-PP_26-138</t>
        </is>
      </c>
      <c r="B1143" s="256" t="inlineStr">
        <is>
          <t>P050142 (BSS1024_01/2)</t>
        </is>
      </c>
      <c r="C1143" s="256" t="inlineStr">
        <is>
          <t>retest (predicted)</t>
        </is>
      </c>
      <c r="D1143" s="256" t="inlineStr">
        <is>
          <t>#12</t>
        </is>
      </c>
      <c r="E1143" s="257" t="inlineStr">
        <is>
          <t>n/t (initial)</t>
        </is>
      </c>
    </row>
    <row r="1144">
      <c r="A1144" s="256" t="inlineStr">
        <is>
          <t>CoQ-PP_26-143</t>
        </is>
      </c>
      <c r="B1144" s="256" t="inlineStr">
        <is>
          <t>FB012603</t>
        </is>
      </c>
      <c r="C1144" s="256" t="inlineStr">
        <is>
          <t>retest (predicted)</t>
        </is>
      </c>
      <c r="D1144" s="256" t="inlineStr">
        <is>
          <t>#11</t>
        </is>
      </c>
      <c r="E1144" s="257" t="inlineStr">
        <is>
          <t>n/t (initial)</t>
        </is>
      </c>
    </row>
    <row r="1145">
      <c r="A1145" s="256" t="inlineStr">
        <is>
          <t>CoQ-PP_26-143</t>
        </is>
      </c>
      <c r="B1145" s="256" t="inlineStr">
        <is>
          <t>FB012603</t>
        </is>
      </c>
      <c r="C1145" s="256" t="inlineStr">
        <is>
          <t>retest (predicted)</t>
        </is>
      </c>
      <c r="D1145" s="256" t="inlineStr">
        <is>
          <t>#12</t>
        </is>
      </c>
      <c r="E1145" s="257" t="inlineStr">
        <is>
          <t>n/t (initial)</t>
        </is>
      </c>
    </row>
    <row r="1146">
      <c r="A1146" s="256" t="inlineStr">
        <is>
          <t>CoQ-PP_26-144</t>
        </is>
      </c>
      <c r="B1146" s="256" t="inlineStr">
        <is>
          <t>FB012603V</t>
        </is>
      </c>
      <c r="C1146" s="256" t="inlineStr">
        <is>
          <t>retest (predicted)</t>
        </is>
      </c>
      <c r="D1146" s="256" t="inlineStr">
        <is>
          <t>#11</t>
        </is>
      </c>
      <c r="E1146" s="257" t="inlineStr">
        <is>
          <t>n/t (initial)</t>
        </is>
      </c>
    </row>
    <row r="1147">
      <c r="A1147" s="256" t="inlineStr">
        <is>
          <t>CoQ-PP_26-144</t>
        </is>
      </c>
      <c r="B1147" s="256" t="inlineStr">
        <is>
          <t>FB012603V</t>
        </is>
      </c>
      <c r="C1147" s="256" t="inlineStr">
        <is>
          <t>retest (predicted)</t>
        </is>
      </c>
      <c r="D1147" s="256" t="inlineStr">
        <is>
          <t>#12</t>
        </is>
      </c>
      <c r="E1147" s="257" t="inlineStr">
        <is>
          <t>n/t (initial)</t>
        </is>
      </c>
    </row>
    <row r="1148">
      <c r="A1148" s="256" t="inlineStr">
        <is>
          <t>CoQ-PP_26-152</t>
        </is>
      </c>
      <c r="B1148" s="256" t="inlineStr">
        <is>
          <t>P060142 (GRC102501/1)</t>
        </is>
      </c>
      <c r="C1148" s="256" t="inlineStr">
        <is>
          <t>retest (predicted)</t>
        </is>
      </c>
      <c r="D1148" s="256" t="inlineStr">
        <is>
          <t>#8</t>
        </is>
      </c>
      <c r="E1148" s="257" t="inlineStr">
        <is>
          <t>n/t (initial)</t>
        </is>
      </c>
    </row>
    <row r="1149">
      <c r="A1149" s="256" t="inlineStr">
        <is>
          <t>CoQ-PP_26-152</t>
        </is>
      </c>
      <c r="B1149" s="256" t="inlineStr">
        <is>
          <t>P060142 (GRC102501/1)</t>
        </is>
      </c>
      <c r="C1149" s="256" t="inlineStr">
        <is>
          <t>retest (predicted)</t>
        </is>
      </c>
      <c r="D1149" s="256" t="inlineStr">
        <is>
          <t>#11</t>
        </is>
      </c>
      <c r="E1149" s="257" t="inlineStr">
        <is>
          <t>n/t (initial)</t>
        </is>
      </c>
    </row>
    <row r="1150">
      <c r="A1150" s="256" t="inlineStr">
        <is>
          <t>CoQ-PP_26-152</t>
        </is>
      </c>
      <c r="B1150" s="256" t="inlineStr">
        <is>
          <t>P060142 (GRC102501/1)</t>
        </is>
      </c>
      <c r="C1150" s="256" t="inlineStr">
        <is>
          <t>retest (predicted)</t>
        </is>
      </c>
      <c r="D1150" s="256" t="inlineStr">
        <is>
          <t>#12</t>
        </is>
      </c>
      <c r="E1150" s="257" t="inlineStr">
        <is>
          <t>n/t (initial)</t>
        </is>
      </c>
    </row>
    <row r="1151">
      <c r="A1151" s="256" t="inlineStr">
        <is>
          <t>CoQ-PP_26-153</t>
        </is>
      </c>
      <c r="B1151" s="256" t="inlineStr">
        <is>
          <t>J31112501</t>
        </is>
      </c>
      <c r="C1151" s="256" t="inlineStr">
        <is>
          <t>retest (predicted)</t>
        </is>
      </c>
      <c r="D1151" s="256" t="inlineStr">
        <is>
          <t>#11</t>
        </is>
      </c>
      <c r="E1151" s="257" t="inlineStr">
        <is>
          <t>n/t (initial)</t>
        </is>
      </c>
    </row>
    <row r="1152">
      <c r="A1152" s="256" t="inlineStr">
        <is>
          <t>CoQ-PP_26-153</t>
        </is>
      </c>
      <c r="B1152" s="256" t="inlineStr">
        <is>
          <t>J31112501</t>
        </is>
      </c>
      <c r="C1152" s="256" t="inlineStr">
        <is>
          <t>retest (predicted)</t>
        </is>
      </c>
      <c r="D1152" s="256" t="inlineStr">
        <is>
          <t>#12</t>
        </is>
      </c>
      <c r="E1152" s="257" t="inlineStr">
        <is>
          <t>n/t (initial)</t>
        </is>
      </c>
    </row>
    <row r="1153">
      <c r="A1153" s="256" t="inlineStr">
        <is>
          <t>CoQ-PP_26-158</t>
        </is>
      </c>
      <c r="B1153" s="256" t="inlineStr">
        <is>
          <t>OPM112501</t>
        </is>
      </c>
      <c r="C1153" s="256" t="inlineStr">
        <is>
          <t>retest (predicted)</t>
        </is>
      </c>
      <c r="D1153" s="256" t="inlineStr">
        <is>
          <t>#11</t>
        </is>
      </c>
      <c r="E1153" s="257" t="inlineStr">
        <is>
          <t>n/t (initial)</t>
        </is>
      </c>
    </row>
    <row r="1154">
      <c r="A1154" s="256" t="inlineStr">
        <is>
          <t>CoQ-PP_26-158</t>
        </is>
      </c>
      <c r="B1154" s="256" t="inlineStr">
        <is>
          <t>OPM112501</t>
        </is>
      </c>
      <c r="C1154" s="256" t="inlineStr">
        <is>
          <t>retest (predicted)</t>
        </is>
      </c>
      <c r="D1154" s="256" t="inlineStr">
        <is>
          <t>#12</t>
        </is>
      </c>
      <c r="E1154" s="257" t="inlineStr">
        <is>
          <t>n/t (initial)</t>
        </is>
      </c>
    </row>
    <row r="1155">
      <c r="A1155" s="256" t="inlineStr">
        <is>
          <t>CoQ-PP_26-160</t>
        </is>
      </c>
      <c r="B1155" s="256" t="inlineStr">
        <is>
          <t>P060342 (SCR012601)</t>
        </is>
      </c>
      <c r="C1155" s="256" t="inlineStr">
        <is>
          <t>retest (predicted)</t>
        </is>
      </c>
      <c r="D1155" s="256" t="inlineStr">
        <is>
          <t>#8</t>
        </is>
      </c>
      <c r="E1155" s="257" t="inlineStr">
        <is>
          <t>n/t (initial)</t>
        </is>
      </c>
    </row>
    <row r="1156">
      <c r="A1156" s="256" t="inlineStr">
        <is>
          <t>CoQ-PP_26-160</t>
        </is>
      </c>
      <c r="B1156" s="256" t="inlineStr">
        <is>
          <t>P060342 (SCR012601)</t>
        </is>
      </c>
      <c r="C1156" s="256" t="inlineStr">
        <is>
          <t>retest (predicted)</t>
        </is>
      </c>
      <c r="D1156" s="256" t="inlineStr">
        <is>
          <t>#11</t>
        </is>
      </c>
      <c r="E1156" s="257" t="inlineStr">
        <is>
          <t>n/t (initial)</t>
        </is>
      </c>
    </row>
    <row r="1157">
      <c r="A1157" s="256" t="inlineStr">
        <is>
          <t>CoQ-PP_26-160</t>
        </is>
      </c>
      <c r="B1157" s="256" t="inlineStr">
        <is>
          <t>P060342 (SCR012601)</t>
        </is>
      </c>
      <c r="C1157" s="256" t="inlineStr">
        <is>
          <t>retest (predicted)</t>
        </is>
      </c>
      <c r="D1157" s="256" t="inlineStr">
        <is>
          <t>#12</t>
        </is>
      </c>
      <c r="E1157" s="257" t="inlineStr">
        <is>
          <t>n/t (initial)</t>
        </is>
      </c>
    </row>
    <row r="1158">
      <c r="A1158" s="256" t="inlineStr">
        <is>
          <t>CoQ-PP_26-161</t>
        </is>
      </c>
      <c r="B1158" s="256" t="inlineStr">
        <is>
          <t>SCR022601</t>
        </is>
      </c>
      <c r="C1158" s="256" t="inlineStr">
        <is>
          <t>retest (predicted)</t>
        </is>
      </c>
      <c r="D1158" s="256" t="inlineStr">
        <is>
          <t>#11</t>
        </is>
      </c>
      <c r="E1158" s="257" t="inlineStr">
        <is>
          <t>n/t (initial)</t>
        </is>
      </c>
    </row>
    <row r="1159">
      <c r="A1159" s="256" t="inlineStr">
        <is>
          <t>CoQ-PP_26-161</t>
        </is>
      </c>
      <c r="B1159" s="256" t="inlineStr">
        <is>
          <t>SCR022601</t>
        </is>
      </c>
      <c r="C1159" s="256" t="inlineStr">
        <is>
          <t>retest (predicted)</t>
        </is>
      </c>
      <c r="D1159" s="256" t="inlineStr">
        <is>
          <t>#12</t>
        </is>
      </c>
      <c r="E1159" s="257" t="inlineStr">
        <is>
          <t>n/t (initial)</t>
        </is>
      </c>
    </row>
    <row r="1160">
      <c r="A1160" s="256" t="inlineStr">
        <is>
          <t>CoQ-PP_26-162</t>
        </is>
      </c>
      <c r="B1160" s="256" t="inlineStr">
        <is>
          <t>SJ102501</t>
        </is>
      </c>
      <c r="C1160" s="256" t="inlineStr">
        <is>
          <t>retest (predicted)</t>
        </is>
      </c>
      <c r="D1160" s="256" t="inlineStr">
        <is>
          <t>#11</t>
        </is>
      </c>
      <c r="E1160" s="257" t="inlineStr">
        <is>
          <t>n/t (initial)</t>
        </is>
      </c>
    </row>
    <row r="1161">
      <c r="A1161" s="256" t="inlineStr">
        <is>
          <t>CoQ-PP_26-162</t>
        </is>
      </c>
      <c r="B1161" s="256" t="inlineStr">
        <is>
          <t>SJ102501</t>
        </is>
      </c>
      <c r="C1161" s="256" t="inlineStr">
        <is>
          <t>retest (predicted)</t>
        </is>
      </c>
      <c r="D1161" s="256" t="inlineStr">
        <is>
          <t>#12</t>
        </is>
      </c>
      <c r="E1161" s="257" t="inlineStr">
        <is>
          <t>n/t (initial)</t>
        </is>
      </c>
    </row>
    <row r="1162">
      <c r="A1162" s="256" t="inlineStr">
        <is>
          <t>CoQ-PP_26-163</t>
        </is>
      </c>
      <c r="B1162" s="256" t="inlineStr">
        <is>
          <t>SJ112501</t>
        </is>
      </c>
      <c r="C1162" s="256" t="inlineStr">
        <is>
          <t>retest (predicted)</t>
        </is>
      </c>
      <c r="D1162" s="256" t="inlineStr">
        <is>
          <t>#9</t>
        </is>
      </c>
      <c r="E1162" s="257" t="inlineStr">
        <is>
          <t>n/t (initial)</t>
        </is>
      </c>
    </row>
    <row r="1163">
      <c r="A1163" s="256" t="inlineStr">
        <is>
          <t>CoQ-PP_26-163</t>
        </is>
      </c>
      <c r="B1163" s="256" t="inlineStr">
        <is>
          <t>SJ112501</t>
        </is>
      </c>
      <c r="C1163" s="256" t="inlineStr">
        <is>
          <t>retest (predicted)</t>
        </is>
      </c>
      <c r="D1163" s="256" t="inlineStr">
        <is>
          <t>#11</t>
        </is>
      </c>
      <c r="E1163" s="257" t="inlineStr">
        <is>
          <t>n/t (initial)</t>
        </is>
      </c>
    </row>
    <row r="1164">
      <c r="A1164" s="256" t="inlineStr">
        <is>
          <t>CoQ-PP_26-163</t>
        </is>
      </c>
      <c r="B1164" s="256" t="inlineStr">
        <is>
          <t>SJ112501</t>
        </is>
      </c>
      <c r="C1164" s="256" t="inlineStr">
        <is>
          <t>retest (predicted)</t>
        </is>
      </c>
      <c r="D1164" s="256" t="inlineStr">
        <is>
          <t>#12</t>
        </is>
      </c>
      <c r="E1164" s="257" t="inlineStr">
        <is>
          <t>n/t (initial)</t>
        </is>
      </c>
    </row>
    <row r="1165">
      <c r="A1165" s="256" t="inlineStr">
        <is>
          <t>CoQ-PP_26-165</t>
        </is>
      </c>
      <c r="B1165" s="256" t="inlineStr">
        <is>
          <t>P060102 (WED102501)</t>
        </is>
      </c>
      <c r="C1165" s="256" t="inlineStr">
        <is>
          <t>retest (predicted)</t>
        </is>
      </c>
      <c r="D1165" s="256" t="inlineStr">
        <is>
          <t>#11</t>
        </is>
      </c>
      <c r="E1165" s="257" t="inlineStr">
        <is>
          <t>n/t (initial)</t>
        </is>
      </c>
    </row>
    <row r="1166">
      <c r="A1166" s="256" t="inlineStr">
        <is>
          <t>CoQ-PP_26-165</t>
        </is>
      </c>
      <c r="B1166" s="256" t="inlineStr">
        <is>
          <t>P060102 (WED102501)</t>
        </is>
      </c>
      <c r="C1166" s="256" t="inlineStr">
        <is>
          <t>retest (predicted)</t>
        </is>
      </c>
      <c r="D1166" s="256" t="inlineStr">
        <is>
          <t>#12</t>
        </is>
      </c>
      <c r="E1166" s="257" t="inlineStr">
        <is>
          <t>n/t (initial)</t>
        </is>
      </c>
    </row>
    <row r="1167">
      <c r="A1167" s="256" t="inlineStr">
        <is>
          <t>— at issue —</t>
        </is>
      </c>
      <c r="B1167" s="256" t="inlineStr">
        <is>
          <t>CC042601</t>
        </is>
      </c>
      <c r="C1167" s="256" t="inlineStr">
        <is>
          <t>release (predicted)</t>
        </is>
      </c>
      <c r="D1167" s="256" t="inlineStr">
        <is>
          <t>#4</t>
        </is>
      </c>
      <c r="E1167" s="257" t="inlineStr">
        <is>
          <t>n/t</t>
        </is>
      </c>
    </row>
    <row r="1168">
      <c r="A1168" s="256" t="inlineStr">
        <is>
          <t>— at issue —</t>
        </is>
      </c>
      <c r="B1168" s="256" t="inlineStr">
        <is>
          <t>CC042601</t>
        </is>
      </c>
      <c r="C1168" s="256" t="inlineStr">
        <is>
          <t>release (predicted)</t>
        </is>
      </c>
      <c r="D1168" s="256" t="inlineStr">
        <is>
          <t>#5</t>
        </is>
      </c>
      <c r="E1168" s="257" t="inlineStr">
        <is>
          <t>n/t</t>
        </is>
      </c>
    </row>
    <row r="1169">
      <c r="A1169" s="256" t="inlineStr">
        <is>
          <t>— at issue —</t>
        </is>
      </c>
      <c r="B1169" s="256" t="inlineStr">
        <is>
          <t>CC042601</t>
        </is>
      </c>
      <c r="C1169" s="256" t="inlineStr">
        <is>
          <t>release (predicted)</t>
        </is>
      </c>
      <c r="D1169" s="256" t="inlineStr">
        <is>
          <t>#6</t>
        </is>
      </c>
      <c r="E1169" s="257" t="inlineStr">
        <is>
          <t>n/t</t>
        </is>
      </c>
    </row>
    <row r="1170">
      <c r="A1170" s="256" t="inlineStr">
        <is>
          <t>— at issue —</t>
        </is>
      </c>
      <c r="B1170" s="256" t="inlineStr">
        <is>
          <t>CC042601</t>
        </is>
      </c>
      <c r="C1170" s="256" t="inlineStr">
        <is>
          <t>release (predicted)</t>
        </is>
      </c>
      <c r="D1170" s="256" t="inlineStr">
        <is>
          <t>#8</t>
        </is>
      </c>
      <c r="E1170" s="257" t="inlineStr">
        <is>
          <t>n/t</t>
        </is>
      </c>
    </row>
    <row r="1171">
      <c r="A1171" s="256" t="inlineStr">
        <is>
          <t>— at issue —</t>
        </is>
      </c>
      <c r="B1171" s="256" t="inlineStr">
        <is>
          <t>CC042601</t>
        </is>
      </c>
      <c r="C1171" s="256" t="inlineStr">
        <is>
          <t>release (predicted)</t>
        </is>
      </c>
      <c r="D1171" s="256" t="inlineStr">
        <is>
          <t>#9</t>
        </is>
      </c>
      <c r="E1171" s="257" t="inlineStr">
        <is>
          <t>n/t</t>
        </is>
      </c>
    </row>
    <row r="1172">
      <c r="A1172" s="256" t="inlineStr">
        <is>
          <t>— at issue —</t>
        </is>
      </c>
      <c r="B1172" s="256" t="inlineStr">
        <is>
          <t>CC042601</t>
        </is>
      </c>
      <c r="C1172" s="256" t="inlineStr">
        <is>
          <t>release (predicted)</t>
        </is>
      </c>
      <c r="D1172" s="256" t="inlineStr">
        <is>
          <t>#10</t>
        </is>
      </c>
      <c r="E1172" s="257" t="inlineStr">
        <is>
          <t>n/t</t>
        </is>
      </c>
    </row>
    <row r="1173">
      <c r="A1173" s="256" t="inlineStr">
        <is>
          <t>— at issue —</t>
        </is>
      </c>
      <c r="B1173" s="256" t="inlineStr">
        <is>
          <t>CC042601</t>
        </is>
      </c>
      <c r="C1173" s="256" t="inlineStr">
        <is>
          <t>release (predicted)</t>
        </is>
      </c>
      <c r="D1173" s="256" t="inlineStr">
        <is>
          <t>#11</t>
        </is>
      </c>
      <c r="E1173" s="257" t="inlineStr">
        <is>
          <t>n/t</t>
        </is>
      </c>
    </row>
    <row r="1174">
      <c r="A1174" s="256" t="inlineStr">
        <is>
          <t>— at issue —</t>
        </is>
      </c>
      <c r="B1174" s="256" t="inlineStr">
        <is>
          <t>CC042601</t>
        </is>
      </c>
      <c r="C1174" s="256" t="inlineStr">
        <is>
          <t>release (predicted)</t>
        </is>
      </c>
      <c r="D1174" s="256" t="inlineStr">
        <is>
          <t>#12</t>
        </is>
      </c>
      <c r="E1174" s="257" t="inlineStr">
        <is>
          <t>n/t</t>
        </is>
      </c>
    </row>
    <row r="1175">
      <c r="A1175" s="256" t="inlineStr">
        <is>
          <t>— at issue —</t>
        </is>
      </c>
      <c r="B1175" s="256" t="inlineStr">
        <is>
          <t>CC042601</t>
        </is>
      </c>
      <c r="C1175" s="256" t="inlineStr">
        <is>
          <t>retest (predicted)</t>
        </is>
      </c>
      <c r="D1175" s="256" t="inlineStr">
        <is>
          <t>#8</t>
        </is>
      </c>
      <c r="E1175" s="257" t="inlineStr">
        <is>
          <t>n/t (initial)</t>
        </is>
      </c>
    </row>
    <row r="1176">
      <c r="A1176" s="256" t="inlineStr">
        <is>
          <t>— at issue —</t>
        </is>
      </c>
      <c r="B1176" s="256" t="inlineStr">
        <is>
          <t>CC042601</t>
        </is>
      </c>
      <c r="C1176" s="256" t="inlineStr">
        <is>
          <t>retest (predicted)</t>
        </is>
      </c>
      <c r="D1176" s="256" t="inlineStr">
        <is>
          <t>#9</t>
        </is>
      </c>
      <c r="E1176" s="257" t="inlineStr">
        <is>
          <t>n/t (initial)</t>
        </is>
      </c>
    </row>
    <row r="1177">
      <c r="A1177" s="256" t="inlineStr">
        <is>
          <t>— at issue —</t>
        </is>
      </c>
      <c r="B1177" s="256" t="inlineStr">
        <is>
          <t>CC042601</t>
        </is>
      </c>
      <c r="C1177" s="256" t="inlineStr">
        <is>
          <t>retest (predicted)</t>
        </is>
      </c>
      <c r="D1177" s="256" t="inlineStr">
        <is>
          <t>#11</t>
        </is>
      </c>
      <c r="E1177" s="257" t="inlineStr">
        <is>
          <t>n/t (initial)</t>
        </is>
      </c>
    </row>
    <row r="1178">
      <c r="A1178" s="256" t="inlineStr">
        <is>
          <t>— at issue —</t>
        </is>
      </c>
      <c r="B1178" s="256" t="inlineStr">
        <is>
          <t>CC042601</t>
        </is>
      </c>
      <c r="C1178" s="256" t="inlineStr">
        <is>
          <t>retest (predicted)</t>
        </is>
      </c>
      <c r="D1178" s="256" t="inlineStr">
        <is>
          <t>#12</t>
        </is>
      </c>
      <c r="E1178" s="257" t="inlineStr">
        <is>
          <t>n/t (initial)</t>
        </is>
      </c>
    </row>
    <row r="1179">
      <c r="A1179" s="256" t="inlineStr">
        <is>
          <t>— at issue —</t>
        </is>
      </c>
      <c r="B1179" s="256" t="inlineStr">
        <is>
          <t>FB042601</t>
        </is>
      </c>
      <c r="C1179" s="256" t="inlineStr">
        <is>
          <t>release (predicted)</t>
        </is>
      </c>
      <c r="D1179" s="256" t="inlineStr">
        <is>
          <t>#4</t>
        </is>
      </c>
      <c r="E1179" s="257" t="inlineStr">
        <is>
          <t>n/t</t>
        </is>
      </c>
    </row>
    <row r="1180">
      <c r="A1180" s="256" t="inlineStr">
        <is>
          <t>— at issue —</t>
        </is>
      </c>
      <c r="B1180" s="256" t="inlineStr">
        <is>
          <t>FB042601</t>
        </is>
      </c>
      <c r="C1180" s="256" t="inlineStr">
        <is>
          <t>release (predicted)</t>
        </is>
      </c>
      <c r="D1180" s="256" t="inlineStr">
        <is>
          <t>#5</t>
        </is>
      </c>
      <c r="E1180" s="257" t="inlineStr">
        <is>
          <t>n/t</t>
        </is>
      </c>
    </row>
    <row r="1181">
      <c r="A1181" s="256" t="inlineStr">
        <is>
          <t>— at issue —</t>
        </is>
      </c>
      <c r="B1181" s="256" t="inlineStr">
        <is>
          <t>FB042601</t>
        </is>
      </c>
      <c r="C1181" s="256" t="inlineStr">
        <is>
          <t>release (predicted)</t>
        </is>
      </c>
      <c r="D1181" s="256" t="inlineStr">
        <is>
          <t>#6</t>
        </is>
      </c>
      <c r="E1181" s="257" t="inlineStr">
        <is>
          <t>n/t</t>
        </is>
      </c>
    </row>
    <row r="1182">
      <c r="A1182" s="256" t="inlineStr">
        <is>
          <t>— at issue —</t>
        </is>
      </c>
      <c r="B1182" s="256" t="inlineStr">
        <is>
          <t>FB042601</t>
        </is>
      </c>
      <c r="C1182" s="256" t="inlineStr">
        <is>
          <t>release (predicted)</t>
        </is>
      </c>
      <c r="D1182" s="256" t="inlineStr">
        <is>
          <t>#8</t>
        </is>
      </c>
      <c r="E1182" s="257" t="inlineStr">
        <is>
          <t>n/t</t>
        </is>
      </c>
    </row>
    <row r="1183">
      <c r="A1183" s="256" t="inlineStr">
        <is>
          <t>— at issue —</t>
        </is>
      </c>
      <c r="B1183" s="256" t="inlineStr">
        <is>
          <t>FB042601</t>
        </is>
      </c>
      <c r="C1183" s="256" t="inlineStr">
        <is>
          <t>release (predicted)</t>
        </is>
      </c>
      <c r="D1183" s="256" t="inlineStr">
        <is>
          <t>#9</t>
        </is>
      </c>
      <c r="E1183" s="257" t="inlineStr">
        <is>
          <t>n/t</t>
        </is>
      </c>
    </row>
    <row r="1184">
      <c r="A1184" s="256" t="inlineStr">
        <is>
          <t>— at issue —</t>
        </is>
      </c>
      <c r="B1184" s="256" t="inlineStr">
        <is>
          <t>FB042601</t>
        </is>
      </c>
      <c r="C1184" s="256" t="inlineStr">
        <is>
          <t>release (predicted)</t>
        </is>
      </c>
      <c r="D1184" s="256" t="inlineStr">
        <is>
          <t>#10</t>
        </is>
      </c>
      <c r="E1184" s="257" t="inlineStr">
        <is>
          <t>n/t</t>
        </is>
      </c>
    </row>
    <row r="1185">
      <c r="A1185" s="256" t="inlineStr">
        <is>
          <t>— at issue —</t>
        </is>
      </c>
      <c r="B1185" s="256" t="inlineStr">
        <is>
          <t>FB042601</t>
        </is>
      </c>
      <c r="C1185" s="256" t="inlineStr">
        <is>
          <t>release (predicted)</t>
        </is>
      </c>
      <c r="D1185" s="256" t="inlineStr">
        <is>
          <t>#11</t>
        </is>
      </c>
      <c r="E1185" s="257" t="inlineStr">
        <is>
          <t>n/t</t>
        </is>
      </c>
    </row>
    <row r="1186">
      <c r="A1186" s="256" t="inlineStr">
        <is>
          <t>— at issue —</t>
        </is>
      </c>
      <c r="B1186" s="256" t="inlineStr">
        <is>
          <t>FB042601</t>
        </is>
      </c>
      <c r="C1186" s="256" t="inlineStr">
        <is>
          <t>release (predicted)</t>
        </is>
      </c>
      <c r="D1186" s="256" t="inlineStr">
        <is>
          <t>#12</t>
        </is>
      </c>
      <c r="E1186" s="257" t="inlineStr">
        <is>
          <t>n/t</t>
        </is>
      </c>
    </row>
    <row r="1187">
      <c r="A1187" s="256" t="inlineStr">
        <is>
          <t>— at issue —</t>
        </is>
      </c>
      <c r="B1187" s="256" t="inlineStr">
        <is>
          <t>FB042601</t>
        </is>
      </c>
      <c r="C1187" s="256" t="inlineStr">
        <is>
          <t>retest (predicted)</t>
        </is>
      </c>
      <c r="D1187" s="256" t="inlineStr">
        <is>
          <t>#8</t>
        </is>
      </c>
      <c r="E1187" s="257" t="inlineStr">
        <is>
          <t>n/t (initial)</t>
        </is>
      </c>
    </row>
    <row r="1188">
      <c r="A1188" s="256" t="inlineStr">
        <is>
          <t>— at issue —</t>
        </is>
      </c>
      <c r="B1188" s="256" t="inlineStr">
        <is>
          <t>FB042601</t>
        </is>
      </c>
      <c r="C1188" s="256" t="inlineStr">
        <is>
          <t>retest (predicted)</t>
        </is>
      </c>
      <c r="D1188" s="256" t="inlineStr">
        <is>
          <t>#9</t>
        </is>
      </c>
      <c r="E1188" s="257" t="inlineStr">
        <is>
          <t>n/t (initial)</t>
        </is>
      </c>
    </row>
    <row r="1189">
      <c r="A1189" s="256" t="inlineStr">
        <is>
          <t>— at issue —</t>
        </is>
      </c>
      <c r="B1189" s="256" t="inlineStr">
        <is>
          <t>FB042601</t>
        </is>
      </c>
      <c r="C1189" s="256" t="inlineStr">
        <is>
          <t>retest (predicted)</t>
        </is>
      </c>
      <c r="D1189" s="256" t="inlineStr">
        <is>
          <t>#11</t>
        </is>
      </c>
      <c r="E1189" s="257" t="inlineStr">
        <is>
          <t>n/t (initial)</t>
        </is>
      </c>
    </row>
    <row r="1190">
      <c r="A1190" s="256" t="inlineStr">
        <is>
          <t>— at issue —</t>
        </is>
      </c>
      <c r="B1190" s="256" t="inlineStr">
        <is>
          <t>FB042601</t>
        </is>
      </c>
      <c r="C1190" s="256" t="inlineStr">
        <is>
          <t>retest (predicted)</t>
        </is>
      </c>
      <c r="D1190" s="256" t="inlineStr">
        <is>
          <t>#12</t>
        </is>
      </c>
      <c r="E1190" s="257" t="inlineStr">
        <is>
          <t>n/t (initial)</t>
        </is>
      </c>
    </row>
    <row r="1191">
      <c r="A1191" s="256" t="inlineStr">
        <is>
          <t>— at issue —</t>
        </is>
      </c>
      <c r="B1191" s="256" t="inlineStr">
        <is>
          <t>P160012</t>
        </is>
      </c>
      <c r="C1191" s="256" t="inlineStr">
        <is>
          <t>release (predicted)</t>
        </is>
      </c>
      <c r="D1191" s="256" t="inlineStr">
        <is>
          <t>#9</t>
        </is>
      </c>
      <c r="E1191" s="257" t="inlineStr">
        <is>
          <t>n/t</t>
        </is>
      </c>
    </row>
    <row r="1192">
      <c r="A1192" s="256" t="inlineStr">
        <is>
          <t>— at issue —</t>
        </is>
      </c>
      <c r="B1192" s="256" t="inlineStr">
        <is>
          <t>P160012</t>
        </is>
      </c>
      <c r="C1192" s="256" t="inlineStr">
        <is>
          <t>release (predicted)</t>
        </is>
      </c>
      <c r="D1192" s="256" t="inlineStr">
        <is>
          <t>#10</t>
        </is>
      </c>
      <c r="E1192" s="257" t="inlineStr">
        <is>
          <t>n/t</t>
        </is>
      </c>
    </row>
    <row r="1193">
      <c r="A1193" s="256" t="inlineStr">
        <is>
          <t>— at issue —</t>
        </is>
      </c>
      <c r="B1193" s="256" t="inlineStr">
        <is>
          <t>P160012</t>
        </is>
      </c>
      <c r="C1193" s="256" t="inlineStr">
        <is>
          <t>release (predicted)</t>
        </is>
      </c>
      <c r="D1193" s="256" t="inlineStr">
        <is>
          <t>#11</t>
        </is>
      </c>
      <c r="E1193" s="257" t="inlineStr">
        <is>
          <t>n/t</t>
        </is>
      </c>
    </row>
    <row r="1194">
      <c r="A1194" s="256" t="inlineStr">
        <is>
          <t>— at issue —</t>
        </is>
      </c>
      <c r="B1194" s="256" t="inlineStr">
        <is>
          <t>P160012</t>
        </is>
      </c>
      <c r="C1194" s="256" t="inlineStr">
        <is>
          <t>release (predicted)</t>
        </is>
      </c>
      <c r="D1194" s="256" t="inlineStr">
        <is>
          <t>#12</t>
        </is>
      </c>
      <c r="E1194" s="257" t="inlineStr">
        <is>
          <t>n/t</t>
        </is>
      </c>
    </row>
    <row r="1195">
      <c r="A1195" s="256" t="inlineStr">
        <is>
          <t>— at issue —</t>
        </is>
      </c>
      <c r="B1195" s="256" t="inlineStr">
        <is>
          <t>P160022</t>
        </is>
      </c>
      <c r="C1195" s="256" t="inlineStr">
        <is>
          <t>release (predicted)</t>
        </is>
      </c>
      <c r="D1195" s="256" t="inlineStr">
        <is>
          <t>#9</t>
        </is>
      </c>
      <c r="E1195" s="257" t="inlineStr">
        <is>
          <t>n/t</t>
        </is>
      </c>
    </row>
    <row r="1196">
      <c r="A1196" s="256" t="inlineStr">
        <is>
          <t>— at issue —</t>
        </is>
      </c>
      <c r="B1196" s="256" t="inlineStr">
        <is>
          <t>P160022</t>
        </is>
      </c>
      <c r="C1196" s="256" t="inlineStr">
        <is>
          <t>release (predicted)</t>
        </is>
      </c>
      <c r="D1196" s="256" t="inlineStr">
        <is>
          <t>#10</t>
        </is>
      </c>
      <c r="E1196" s="257" t="inlineStr">
        <is>
          <t>n/t</t>
        </is>
      </c>
    </row>
    <row r="1197">
      <c r="A1197" s="256" t="inlineStr">
        <is>
          <t>— at issue —</t>
        </is>
      </c>
      <c r="B1197" s="256" t="inlineStr">
        <is>
          <t>P160022</t>
        </is>
      </c>
      <c r="C1197" s="256" t="inlineStr">
        <is>
          <t>release (predicted)</t>
        </is>
      </c>
      <c r="D1197" s="256" t="inlineStr">
        <is>
          <t>#11</t>
        </is>
      </c>
      <c r="E1197" s="257" t="inlineStr">
        <is>
          <t>n/t</t>
        </is>
      </c>
    </row>
    <row r="1198">
      <c r="A1198" s="256" t="inlineStr">
        <is>
          <t>— at issue —</t>
        </is>
      </c>
      <c r="B1198" s="256" t="inlineStr">
        <is>
          <t>P160022</t>
        </is>
      </c>
      <c r="C1198" s="256" t="inlineStr">
        <is>
          <t>release (predicted)</t>
        </is>
      </c>
      <c r="D1198" s="256" t="inlineStr">
        <is>
          <t>#12</t>
        </is>
      </c>
      <c r="E1198" s="257" t="inlineStr">
        <is>
          <t>n/t</t>
        </is>
      </c>
    </row>
    <row r="1199">
      <c r="A1199" s="256" t="inlineStr">
        <is>
          <t>— at issue —</t>
        </is>
      </c>
      <c r="B1199" s="256" t="inlineStr">
        <is>
          <t>P160032</t>
        </is>
      </c>
      <c r="C1199" s="256" t="inlineStr">
        <is>
          <t>release (predicted)</t>
        </is>
      </c>
      <c r="D1199" s="256" t="inlineStr">
        <is>
          <t>#9</t>
        </is>
      </c>
      <c r="E1199" s="257" t="inlineStr">
        <is>
          <t>n/t</t>
        </is>
      </c>
    </row>
    <row r="1200">
      <c r="A1200" s="256" t="inlineStr">
        <is>
          <t>— at issue —</t>
        </is>
      </c>
      <c r="B1200" s="256" t="inlineStr">
        <is>
          <t>P160032</t>
        </is>
      </c>
      <c r="C1200" s="256" t="inlineStr">
        <is>
          <t>release (predicted)</t>
        </is>
      </c>
      <c r="D1200" s="256" t="inlineStr">
        <is>
          <t>#10</t>
        </is>
      </c>
      <c r="E1200" s="257" t="inlineStr">
        <is>
          <t>n/t</t>
        </is>
      </c>
    </row>
    <row r="1201">
      <c r="A1201" s="256" t="inlineStr">
        <is>
          <t>— at issue —</t>
        </is>
      </c>
      <c r="B1201" s="256" t="inlineStr">
        <is>
          <t>P160032</t>
        </is>
      </c>
      <c r="C1201" s="256" t="inlineStr">
        <is>
          <t>release (predicted)</t>
        </is>
      </c>
      <c r="D1201" s="256" t="inlineStr">
        <is>
          <t>#11</t>
        </is>
      </c>
      <c r="E1201" s="257" t="inlineStr">
        <is>
          <t>n/t</t>
        </is>
      </c>
    </row>
    <row r="1202">
      <c r="A1202" s="256" t="inlineStr">
        <is>
          <t>— at issue —</t>
        </is>
      </c>
      <c r="B1202" s="256" t="inlineStr">
        <is>
          <t>P160032</t>
        </is>
      </c>
      <c r="C1202" s="256" t="inlineStr">
        <is>
          <t>release (predicted)</t>
        </is>
      </c>
      <c r="D1202" s="256" t="inlineStr">
        <is>
          <t>#12</t>
        </is>
      </c>
      <c r="E1202" s="257" t="inlineStr">
        <is>
          <t>n/t</t>
        </is>
      </c>
    </row>
    <row r="1205" ht="20" customHeight="1" s="70">
      <c r="A1205" s="264" t="inlineStr">
        <is>
          <t>SUMMARY DASHBOARD</t>
        </is>
      </c>
    </row>
    <row r="1206" ht="36" customHeight="1" s="70">
      <c r="A1206" s="83" t="inlineStr">
        <is>
          <t>eCOA DATABASE — CoQ PARAMETER COVERAGE DASHBOARD</t>
        </is>
      </c>
    </row>
    <row r="1207" ht="24" customHeight="1" s="70">
      <c r="A1207" s="84" t="inlineStr">
        <is>
          <t>OVERVIEW</t>
        </is>
      </c>
      <c r="B1207" s="76" t="n"/>
      <c r="C1207" s="76" t="n"/>
      <c r="D1207" s="77" t="n"/>
    </row>
    <row r="1208" ht="21.75" customHeight="1" s="70">
      <c r="A1208" s="28" t="inlineStr">
        <is>
          <t>Total Batches</t>
        </is>
      </c>
      <c r="B1208" s="30" t="n">
        <v>86</v>
      </c>
      <c r="C1208" s="32" t="n"/>
    </row>
    <row r="1209" ht="21.75" customHeight="1" s="70">
      <c r="A1209" s="28" t="inlineStr">
        <is>
          <t>Total eCOA Documents</t>
        </is>
      </c>
      <c r="B1209" s="30" t="n">
        <v>380</v>
      </c>
      <c r="C1209" s="32" t="inlineStr">
        <is>
          <t>(QCCoA 001 files excluded)</t>
        </is>
      </c>
    </row>
    <row r="1210" ht="21.75" customHeight="1" s="70">
      <c r="A1210" s="34" t="inlineStr">
        <is>
          <t>✅  COMPLETE  (all 12 params)</t>
        </is>
      </c>
      <c r="B1210" s="35" t="n">
        <v>70</v>
      </c>
      <c r="C1210" s="38" t="inlineStr">
        <is>
          <t>81% of batches</t>
        </is>
      </c>
    </row>
    <row r="1211" ht="21.75" customHeight="1" s="70">
      <c r="A1211" s="39" t="inlineStr">
        <is>
          <t>⚠   PARTIAL  (1–3 missing)</t>
        </is>
      </c>
      <c r="B1211" s="42" t="n">
        <v>9</v>
      </c>
      <c r="C1211" s="44" t="inlineStr">
        <is>
          <t>10% of batches</t>
        </is>
      </c>
    </row>
    <row r="1212" ht="21.75" customHeight="1" s="70">
      <c r="A1212" s="46" t="inlineStr">
        <is>
          <t>❌  INCOMPLETE (4+ missing)</t>
        </is>
      </c>
      <c r="B1212" s="47" t="n">
        <v>7</v>
      </c>
      <c r="C1212" s="50" t="inlineStr">
        <is>
          <t>8% of batches</t>
        </is>
      </c>
    </row>
    <row r="1213" ht="7.5" customHeight="1" s="70"/>
    <row r="1214" ht="24" customHeight="1" s="70">
      <c r="A1214" s="84" t="inlineStr">
        <is>
          <t>MISSING PARAMETER FREQUENCY</t>
        </is>
      </c>
      <c r="B1214" s="76" t="n"/>
      <c r="C1214" s="76" t="n"/>
      <c r="D1214" s="77" t="n"/>
    </row>
    <row r="1215" ht="21.75" customHeight="1" s="70">
      <c r="A1215" s="46" t="inlineStr">
        <is>
          <t>#1  Identification A</t>
        </is>
      </c>
      <c r="B1215" s="47" t="n">
        <v>0</v>
      </c>
      <c r="C1215" s="50" t="inlineStr">
        <is>
          <t>(0% of batches missing this)</t>
        </is>
      </c>
    </row>
    <row r="1216" ht="21.75" customHeight="1" s="70">
      <c r="A1216" s="39" t="inlineStr">
        <is>
          <t>#2  Identification B</t>
        </is>
      </c>
      <c r="B1216" s="42" t="n">
        <v>0</v>
      </c>
      <c r="C1216" s="44" t="inlineStr">
        <is>
          <t>(0% of batches missing this)</t>
        </is>
      </c>
    </row>
    <row r="1217" ht="21.75" customHeight="1" s="70">
      <c r="A1217" s="34" t="inlineStr">
        <is>
          <t>#3  Identification C</t>
        </is>
      </c>
      <c r="B1217" s="35" t="n">
        <v>0</v>
      </c>
      <c r="C1217" s="38" t="inlineStr">
        <is>
          <t>(0% of batches missing this)</t>
        </is>
      </c>
    </row>
    <row r="1218" ht="21.75" customHeight="1" s="70">
      <c r="A1218" s="34" t="inlineStr">
        <is>
          <t>#4  Assay — Total Δ⁹-THC</t>
        </is>
      </c>
      <c r="B1218" s="35" t="n">
        <v>0</v>
      </c>
      <c r="C1218" s="38" t="inlineStr">
        <is>
          <t>(0% of batches missing this)</t>
        </is>
      </c>
    </row>
    <row r="1219" ht="21.75" customHeight="1" s="70">
      <c r="A1219" s="34" t="inlineStr">
        <is>
          <t>#5  Assay — Total CBD</t>
        </is>
      </c>
      <c r="B1219" s="35" t="n">
        <v>0</v>
      </c>
      <c r="C1219" s="38" t="inlineStr">
        <is>
          <t>(0% of batches missing this)</t>
        </is>
      </c>
    </row>
    <row r="1220" ht="21.75" customHeight="1" s="70">
      <c r="A1220" s="34" t="inlineStr">
        <is>
          <t>#6  Total CBN</t>
        </is>
      </c>
      <c r="B1220" s="35" t="n">
        <v>0</v>
      </c>
      <c r="C1220" s="38" t="inlineStr">
        <is>
          <t>(0% of batches missing this)</t>
        </is>
      </c>
    </row>
    <row r="1221" ht="21.75" customHeight="1" s="70">
      <c r="A1221" s="46" t="inlineStr">
        <is>
          <t>#7  Foreign Matter</t>
        </is>
      </c>
      <c r="B1221" s="47" t="n">
        <v>0</v>
      </c>
      <c r="C1221" s="50" t="inlineStr">
        <is>
          <t>(0% of batches missing this)</t>
        </is>
      </c>
    </row>
    <row r="1222" ht="21.75" customHeight="1" s="70">
      <c r="A1222" s="34" t="inlineStr">
        <is>
          <t>#8  Loss on Drying</t>
        </is>
      </c>
      <c r="B1222" s="35" t="n">
        <v>13</v>
      </c>
      <c r="C1222" s="38" t="inlineStr">
        <is>
          <t>(15% of batches missing this)</t>
        </is>
      </c>
    </row>
    <row r="1223" ht="21.75" customHeight="1" s="70">
      <c r="A1223" s="39" t="inlineStr">
        <is>
          <t>#9  Microbiological Purity</t>
        </is>
      </c>
      <c r="B1223" s="42" t="n">
        <v>6</v>
      </c>
      <c r="C1223" s="44" t="inlineStr">
        <is>
          <t>(7% of batches missing this)</t>
        </is>
      </c>
    </row>
    <row r="1224" ht="21.75" customHeight="1" s="70">
      <c r="A1224" s="39" t="inlineStr">
        <is>
          <t>#10  Mycotoxins</t>
        </is>
      </c>
      <c r="B1224" s="42" t="n">
        <v>4</v>
      </c>
      <c r="C1224" s="44" t="inlineStr">
        <is>
          <t>(5% of batches missing this)</t>
        </is>
      </c>
    </row>
    <row r="1225" ht="21.75" customHeight="1" s="70">
      <c r="A1225" s="39" t="inlineStr">
        <is>
          <t>#11  Heavy Metals</t>
        </is>
      </c>
      <c r="B1225" s="42" t="n">
        <v>13</v>
      </c>
      <c r="C1225" s="44" t="inlineStr">
        <is>
          <t>(15% of batches missing this)</t>
        </is>
      </c>
    </row>
    <row r="1226" ht="21.75" customHeight="1" s="70">
      <c r="A1226" s="39" t="inlineStr">
        <is>
          <t>#12  Pesticide Residues</t>
        </is>
      </c>
      <c r="B1226" s="42" t="n">
        <v>11</v>
      </c>
      <c r="C1226" s="44" t="inlineStr">
        <is>
          <t>(13% of batches missing this)</t>
        </is>
      </c>
    </row>
  </sheetData>
  <mergeCells count="674">
    <mergeCell ref="G268:G269"/>
    <mergeCell ref="I330:I331"/>
    <mergeCell ref="I268:I269"/>
    <mergeCell ref="S316:S31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AA344:AA345"/>
    <mergeCell ref="P299:R299"/>
    <mergeCell ref="A221:A223"/>
    <mergeCell ref="C244:C251"/>
    <mergeCell ref="C221:C223"/>
    <mergeCell ref="A282:A291"/>
    <mergeCell ref="G246:G247"/>
    <mergeCell ref="J351:N351"/>
    <mergeCell ref="C228:C231"/>
    <mergeCell ref="C282:C291"/>
    <mergeCell ref="J295:N295"/>
    <mergeCell ref="E254:E255"/>
    <mergeCell ref="H244:H245"/>
    <mergeCell ref="Y318:Y319"/>
    <mergeCell ref="AA318:AA319"/>
    <mergeCell ref="F252:F253"/>
    <mergeCell ref="O342:O343"/>
    <mergeCell ref="C360:C365"/>
    <mergeCell ref="A1214:D1214"/>
    <mergeCell ref="H344:H345"/>
    <mergeCell ref="A276:A281"/>
    <mergeCell ref="H310:H311"/>
    <mergeCell ref="E314:E315"/>
    <mergeCell ref="G314:G315"/>
    <mergeCell ref="A366:AA366"/>
    <mergeCell ref="C306:C309"/>
    <mergeCell ref="H262:H263"/>
    <mergeCell ref="I282:I283"/>
    <mergeCell ref="I244:I245"/>
    <mergeCell ref="E338:E339"/>
    <mergeCell ref="X256:X257"/>
    <mergeCell ref="Z318:Z319"/>
    <mergeCell ref="H326:H327"/>
    <mergeCell ref="P279:R279"/>
    <mergeCell ref="B240:B243"/>
    <mergeCell ref="T351:W351"/>
    <mergeCell ref="Z262:Z263"/>
    <mergeCell ref="X320:X321"/>
    <mergeCell ref="E340:E341"/>
    <mergeCell ref="G340:G341"/>
    <mergeCell ref="P343:R343"/>
    <mergeCell ref="J301:N301"/>
    <mergeCell ref="Z314:Z315"/>
    <mergeCell ref="J239:N239"/>
    <mergeCell ref="O228:O229"/>
    <mergeCell ref="G302:G303"/>
    <mergeCell ref="D232:D233"/>
    <mergeCell ref="S284:S285"/>
    <mergeCell ref="P345:R345"/>
    <mergeCell ref="S292:S293"/>
    <mergeCell ref="E262:E263"/>
    <mergeCell ref="I360:I361"/>
    <mergeCell ref="S286:S287"/>
    <mergeCell ref="G262:G263"/>
    <mergeCell ref="A640:E643"/>
    <mergeCell ref="P221:S221"/>
    <mergeCell ref="P257:R257"/>
    <mergeCell ref="Y294:Y295"/>
    <mergeCell ref="O294:O295"/>
    <mergeCell ref="S350:S351"/>
    <mergeCell ref="H252:H253"/>
    <mergeCell ref="T279:W279"/>
    <mergeCell ref="B224:B227"/>
    <mergeCell ref="H316:H317"/>
    <mergeCell ref="E320:E321"/>
    <mergeCell ref="P225:R225"/>
    <mergeCell ref="G338:G339"/>
    <mergeCell ref="X244:X245"/>
    <mergeCell ref="Z244:Z245"/>
    <mergeCell ref="J225:N225"/>
    <mergeCell ref="AA334:AA335"/>
    <mergeCell ref="B244:B251"/>
    <mergeCell ref="B221:B223"/>
    <mergeCell ref="B282:B291"/>
    <mergeCell ref="H360:H361"/>
    <mergeCell ref="P335:R335"/>
    <mergeCell ref="AA336:AA337"/>
    <mergeCell ref="A294:A299"/>
    <mergeCell ref="G252:G253"/>
    <mergeCell ref="D256:D257"/>
    <mergeCell ref="I252:I253"/>
    <mergeCell ref="E346:E347"/>
    <mergeCell ref="Z320:Z321"/>
    <mergeCell ref="H334:H335"/>
    <mergeCell ref="F284:F285"/>
    <mergeCell ref="H284:H285"/>
    <mergeCell ref="I310:I311"/>
    <mergeCell ref="D314:D315"/>
    <mergeCell ref="F314:F315"/>
    <mergeCell ref="T361:W361"/>
    <mergeCell ref="Z334:Z335"/>
    <mergeCell ref="H240:H241"/>
    <mergeCell ref="J253:N253"/>
    <mergeCell ref="O338:O339"/>
    <mergeCell ref="T311:W311"/>
    <mergeCell ref="Y276:Y277"/>
    <mergeCell ref="A1206:D1206"/>
    <mergeCell ref="Z336:Z337"/>
    <mergeCell ref="J317:N317"/>
    <mergeCell ref="H266:H267"/>
    <mergeCell ref="I234:I235"/>
    <mergeCell ref="X224:X225"/>
    <mergeCell ref="G326:G327"/>
    <mergeCell ref="J221:O221"/>
    <mergeCell ref="I326:I327"/>
    <mergeCell ref="P321:R321"/>
    <mergeCell ref="B228:B231"/>
    <mergeCell ref="Y228:Y229"/>
    <mergeCell ref="D346:D347"/>
    <mergeCell ref="D340:D341"/>
    <mergeCell ref="X354:X355"/>
    <mergeCell ref="I236:I237"/>
    <mergeCell ref="Y320:Y321"/>
    <mergeCell ref="F340:F341"/>
    <mergeCell ref="Y314:Y315"/>
    <mergeCell ref="O344:O345"/>
    <mergeCell ref="I238:I239"/>
    <mergeCell ref="T343:W343"/>
    <mergeCell ref="H302:H303"/>
    <mergeCell ref="C232:C233"/>
    <mergeCell ref="S360:S361"/>
    <mergeCell ref="I240:I241"/>
    <mergeCell ref="H268:H269"/>
    <mergeCell ref="E334:E335"/>
    <mergeCell ref="T345:W345"/>
    <mergeCell ref="C300:C305"/>
    <mergeCell ref="X276:X277"/>
    <mergeCell ref="J233:N233"/>
    <mergeCell ref="T295:W295"/>
    <mergeCell ref="C342:C343"/>
    <mergeCell ref="H272:H273"/>
    <mergeCell ref="E336:E337"/>
    <mergeCell ref="P241:R241"/>
    <mergeCell ref="Z316:Z317"/>
    <mergeCell ref="J297:N297"/>
    <mergeCell ref="J235:N235"/>
    <mergeCell ref="O314:O315"/>
    <mergeCell ref="D228:D229"/>
    <mergeCell ref="G316:G317"/>
    <mergeCell ref="P341:R341"/>
    <mergeCell ref="I316:I317"/>
    <mergeCell ref="D320:D321"/>
    <mergeCell ref="F320:F321"/>
    <mergeCell ref="S282:S283"/>
    <mergeCell ref="G258:G259"/>
    <mergeCell ref="F292:F293"/>
    <mergeCell ref="A346:A349"/>
    <mergeCell ref="X278:X279"/>
    <mergeCell ref="I258:I259"/>
    <mergeCell ref="S244:S245"/>
    <mergeCell ref="I224:I225"/>
    <mergeCell ref="X342:X343"/>
    <mergeCell ref="S346:S347"/>
    <mergeCell ref="T229:W229"/>
    <mergeCell ref="H350:H351"/>
    <mergeCell ref="S308:S309"/>
    <mergeCell ref="E276:E277"/>
    <mergeCell ref="A252:A255"/>
    <mergeCell ref="O340:O341"/>
    <mergeCell ref="C252:C255"/>
    <mergeCell ref="D336:D337"/>
    <mergeCell ref="X344:X345"/>
    <mergeCell ref="Y310:Y311"/>
    <mergeCell ref="Z344:Z345"/>
    <mergeCell ref="J325:N325"/>
    <mergeCell ref="G334:G335"/>
    <mergeCell ref="E284:E285"/>
    <mergeCell ref="G284:G285"/>
    <mergeCell ref="Y292:Y293"/>
    <mergeCell ref="E342:E343"/>
    <mergeCell ref="AA292:AA293"/>
    <mergeCell ref="O262:O263"/>
    <mergeCell ref="G336:G337"/>
    <mergeCell ref="H356:H357"/>
    <mergeCell ref="AA294:AA295"/>
    <mergeCell ref="AA350:AA351"/>
    <mergeCell ref="Z276:Z277"/>
    <mergeCell ref="Y336:Y337"/>
    <mergeCell ref="F234:F235"/>
    <mergeCell ref="H234:H235"/>
    <mergeCell ref="B252:B255"/>
    <mergeCell ref="I306:I307"/>
    <mergeCell ref="S232:S233"/>
    <mergeCell ref="X228:X229"/>
    <mergeCell ref="Z228:Z229"/>
    <mergeCell ref="H236:H237"/>
    <mergeCell ref="F334:F335"/>
    <mergeCell ref="Z342:Z343"/>
    <mergeCell ref="G362:G363"/>
    <mergeCell ref="T283:W283"/>
    <mergeCell ref="X292:X293"/>
    <mergeCell ref="H300:H301"/>
    <mergeCell ref="B294:B299"/>
    <mergeCell ref="O336:O337"/>
    <mergeCell ref="T235:W235"/>
    <mergeCell ref="O252:O253"/>
    <mergeCell ref="B234:B237"/>
    <mergeCell ref="B342:B343"/>
    <mergeCell ref="I284:I285"/>
    <mergeCell ref="J315:N315"/>
    <mergeCell ref="H264:H265"/>
    <mergeCell ref="G234:G235"/>
    <mergeCell ref="O316:O317"/>
    <mergeCell ref="Y316:Y317"/>
    <mergeCell ref="Y334:Y335"/>
    <mergeCell ref="S310:S311"/>
    <mergeCell ref="B344:B345"/>
    <mergeCell ref="D344:D345"/>
    <mergeCell ref="AA282:AA283"/>
    <mergeCell ref="T301:W301"/>
    <mergeCell ref="E228:E229"/>
    <mergeCell ref="AA346:AA347"/>
    <mergeCell ref="C292:C293"/>
    <mergeCell ref="E292:E293"/>
    <mergeCell ref="B360:B365"/>
    <mergeCell ref="H224:H225"/>
    <mergeCell ref="I256:I257"/>
    <mergeCell ref="E294:E295"/>
    <mergeCell ref="G350:G351"/>
    <mergeCell ref="P297:R297"/>
    <mergeCell ref="I350:I351"/>
    <mergeCell ref="D276:D277"/>
    <mergeCell ref="O334:O335"/>
    <mergeCell ref="T233:W233"/>
    <mergeCell ref="P263:R263"/>
    <mergeCell ref="Y344:Y345"/>
    <mergeCell ref="S238:S239"/>
    <mergeCell ref="D242:D243"/>
    <mergeCell ref="F242:F243"/>
    <mergeCell ref="P355:R355"/>
    <mergeCell ref="P293:R293"/>
    <mergeCell ref="D244:D245"/>
    <mergeCell ref="S240:S241"/>
    <mergeCell ref="F244:F245"/>
    <mergeCell ref="Z292:Z293"/>
    <mergeCell ref="D342:D343"/>
    <mergeCell ref="F342:F343"/>
    <mergeCell ref="O296:O297"/>
    <mergeCell ref="F336:F337"/>
    <mergeCell ref="Y222:Z222"/>
    <mergeCell ref="X234:X235"/>
    <mergeCell ref="A360:A365"/>
    <mergeCell ref="X294:X295"/>
    <mergeCell ref="Z234:Z235"/>
    <mergeCell ref="F308:F309"/>
    <mergeCell ref="Z294:Z295"/>
    <mergeCell ref="S298:S299"/>
    <mergeCell ref="C350:C353"/>
    <mergeCell ref="AA232:AA233"/>
    <mergeCell ref="F350:F351"/>
    <mergeCell ref="S306:S307"/>
    <mergeCell ref="J283:N283"/>
    <mergeCell ref="P319:R319"/>
    <mergeCell ref="J277:N277"/>
    <mergeCell ref="T335:W335"/>
    <mergeCell ref="J323:N323"/>
    <mergeCell ref="E242:E243"/>
    <mergeCell ref="X360:X361"/>
    <mergeCell ref="Z360:Z361"/>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X314:X315"/>
    <mergeCell ref="C234:C237"/>
    <mergeCell ref="D238:D239"/>
    <mergeCell ref="F238:F239"/>
    <mergeCell ref="F232:F233"/>
    <mergeCell ref="G264:G265"/>
    <mergeCell ref="H232:H233"/>
    <mergeCell ref="I264:I265"/>
    <mergeCell ref="Y262:Y263"/>
    <mergeCell ref="Z282:Z283"/>
    <mergeCell ref="H296:H297"/>
    <mergeCell ref="I328:I329"/>
    <mergeCell ref="O292:O293"/>
    <mergeCell ref="E360:E361"/>
    <mergeCell ref="G360:G361"/>
    <mergeCell ref="X338:X339"/>
    <mergeCell ref="A1207:D1207"/>
    <mergeCell ref="H298:H299"/>
    <mergeCell ref="D292:D293"/>
    <mergeCell ref="P307:R307"/>
    <mergeCell ref="O350:O351"/>
    <mergeCell ref="X340:X341"/>
    <mergeCell ref="P315:R315"/>
    <mergeCell ref="Y238:Y239"/>
    <mergeCell ref="D294:D295"/>
    <mergeCell ref="AA238:AA239"/>
    <mergeCell ref="F294:F295"/>
    <mergeCell ref="I246:I247"/>
    <mergeCell ref="Y240:Y241"/>
    <mergeCell ref="I354:I355"/>
    <mergeCell ref="AA240:AA241"/>
    <mergeCell ref="J347:N347"/>
    <mergeCell ref="X262:X263"/>
    <mergeCell ref="D360:D361"/>
    <mergeCell ref="I356:I357"/>
    <mergeCell ref="F360:F361"/>
    <mergeCell ref="G244:G245"/>
    <mergeCell ref="P220:AA220"/>
    <mergeCell ref="A256:A261"/>
    <mergeCell ref="C256:C261"/>
    <mergeCell ref="J293:N293"/>
    <mergeCell ref="E252:E253"/>
    <mergeCell ref="I272:I273"/>
    <mergeCell ref="O234:O235"/>
    <mergeCell ref="E308:E309"/>
    <mergeCell ref="B350:B353"/>
    <mergeCell ref="AA316:AA317"/>
    <mergeCell ref="O280:O281"/>
    <mergeCell ref="D284:D285"/>
    <mergeCell ref="E310:E311"/>
    <mergeCell ref="G310:G311"/>
    <mergeCell ref="S338:S339"/>
    <mergeCell ref="G221:I221"/>
    <mergeCell ref="Y360:Y361"/>
    <mergeCell ref="S254:S255"/>
    <mergeCell ref="AA360:AA361"/>
    <mergeCell ref="H258:H259"/>
    <mergeCell ref="G222:H222"/>
    <mergeCell ref="S256:S257"/>
    <mergeCell ref="X252:X253"/>
    <mergeCell ref="B338:B339"/>
    <mergeCell ref="H322:H323"/>
    <mergeCell ref="H260:H261"/>
    <mergeCell ref="T347:W347"/>
    <mergeCell ref="C320:C333"/>
    <mergeCell ref="Z354:Z355"/>
    <mergeCell ref="S320:S321"/>
    <mergeCell ref="B340:B341"/>
    <mergeCell ref="T257:W257"/>
    <mergeCell ref="H324:H325"/>
    <mergeCell ref="Z310:Z311"/>
    <mergeCell ref="E238:E239"/>
    <mergeCell ref="G238:G239"/>
    <mergeCell ref="G232:G233"/>
    <mergeCell ref="J337:N337"/>
    <mergeCell ref="I232:I233"/>
    <mergeCell ref="A232:A233"/>
    <mergeCell ref="H314:H315"/>
    <mergeCell ref="E240:E241"/>
    <mergeCell ref="G240:G241"/>
    <mergeCell ref="G296:G297"/>
    <mergeCell ref="J339:N339"/>
    <mergeCell ref="I296:I297"/>
    <mergeCell ref="A300:A305"/>
    <mergeCell ref="G298:G299"/>
    <mergeCell ref="AA314:AA315"/>
    <mergeCell ref="I298:I299"/>
    <mergeCell ref="C336:C337"/>
    <mergeCell ref="S224:S225"/>
    <mergeCell ref="X334:X335"/>
    <mergeCell ref="Z238:Z239"/>
    <mergeCell ref="H246:H247"/>
    <mergeCell ref="A628:E634"/>
    <mergeCell ref="T277:W277"/>
    <mergeCell ref="F254:F255"/>
    <mergeCell ref="H354:H355"/>
    <mergeCell ref="Z240:Z241"/>
    <mergeCell ref="O244:O245"/>
    <mergeCell ref="O300:O301"/>
    <mergeCell ref="A797:I797"/>
    <mergeCell ref="X336:X337"/>
    <mergeCell ref="B256:B261"/>
    <mergeCell ref="D252:D253"/>
    <mergeCell ref="C334:C335"/>
    <mergeCell ref="H330:H331"/>
    <mergeCell ref="A310:A313"/>
    <mergeCell ref="C310:C313"/>
    <mergeCell ref="C344:C345"/>
    <mergeCell ref="D310:D311"/>
    <mergeCell ref="E344:E345"/>
    <mergeCell ref="F310:F311"/>
    <mergeCell ref="S278:S279"/>
    <mergeCell ref="F282:F283"/>
    <mergeCell ref="AA256:AA257"/>
    <mergeCell ref="T263:W263"/>
    <mergeCell ref="J241:N241"/>
    <mergeCell ref="H340:H341"/>
    <mergeCell ref="D234:D235"/>
    <mergeCell ref="P245:R245"/>
    <mergeCell ref="G266:G267"/>
    <mergeCell ref="G322:G323"/>
    <mergeCell ref="G260:G261"/>
    <mergeCell ref="I322:I323"/>
    <mergeCell ref="B320:B333"/>
    <mergeCell ref="E306:E307"/>
    <mergeCell ref="O232:O233"/>
    <mergeCell ref="Y354:Y355"/>
    <mergeCell ref="G306:G307"/>
    <mergeCell ref="AA354:AA355"/>
    <mergeCell ref="P309:R309"/>
    <mergeCell ref="S354:S355"/>
    <mergeCell ref="B334:B335"/>
    <mergeCell ref="G324:G325"/>
    <mergeCell ref="D334:D335"/>
    <mergeCell ref="I324:I325"/>
    <mergeCell ref="B310:B313"/>
    <mergeCell ref="AA320:AA321"/>
    <mergeCell ref="D240:D241"/>
    <mergeCell ref="F256:F257"/>
    <mergeCell ref="X350:X351"/>
    <mergeCell ref="S276:S277"/>
    <mergeCell ref="H256:H257"/>
    <mergeCell ref="Z350:Z351"/>
    <mergeCell ref="Y234:Y235"/>
    <mergeCell ref="C354:C359"/>
    <mergeCell ref="D222:E222"/>
    <mergeCell ref="Z306:Z307"/>
    <mergeCell ref="H320:H321"/>
    <mergeCell ref="T355:W355"/>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H346:H347"/>
    <mergeCell ref="C276:C281"/>
    <mergeCell ref="E350:E351"/>
    <mergeCell ref="P255:R255"/>
    <mergeCell ref="J257:N257"/>
    <mergeCell ref="S344:S345"/>
    <mergeCell ref="Y306:Y307"/>
    <mergeCell ref="AA306:AA307"/>
    <mergeCell ref="O238:O239"/>
    <mergeCell ref="J321:N321"/>
    <mergeCell ref="I314:I315"/>
    <mergeCell ref="G330:G331"/>
    <mergeCell ref="B300:B305"/>
    <mergeCell ref="Z338:Z339"/>
    <mergeCell ref="O240:O241"/>
    <mergeCell ref="S296:S297"/>
    <mergeCell ref="G272:G273"/>
    <mergeCell ref="B336:B337"/>
    <mergeCell ref="F300:F301"/>
    <mergeCell ref="E282:E283"/>
    <mergeCell ref="G282:G283"/>
    <mergeCell ref="Z256:Z257"/>
    <mergeCell ref="I338:I339"/>
    <mergeCell ref="Y224:Y225"/>
    <mergeCell ref="AA224:AA225"/>
    <mergeCell ref="A350:A353"/>
    <mergeCell ref="G346:G347"/>
    <mergeCell ref="O306:O307"/>
    <mergeCell ref="D350:D351"/>
    <mergeCell ref="P287:R287"/>
    <mergeCell ref="I340:I341"/>
    <mergeCell ref="E234:E235"/>
    <mergeCell ref="F276:F277"/>
    <mergeCell ref="D306:D307"/>
    <mergeCell ref="I302:I303"/>
    <mergeCell ref="S228:S229"/>
    <mergeCell ref="F306:F307"/>
    <mergeCell ref="D221:F221"/>
    <mergeCell ref="D220:I220"/>
    <mergeCell ref="AA252:AA253"/>
    <mergeCell ref="J245:N245"/>
    <mergeCell ref="E300:E301"/>
    <mergeCell ref="A336:A337"/>
    <mergeCell ref="O360:O361"/>
    <mergeCell ref="H336:H337"/>
    <mergeCell ref="S294:S295"/>
    <mergeCell ref="Z224:Z225"/>
    <mergeCell ref="A220:C220"/>
    <mergeCell ref="Y350:Y351"/>
    <mergeCell ref="B354:B359"/>
    <mergeCell ref="A234:A237"/>
    <mergeCell ref="J311:N311"/>
    <mergeCell ref="AA276:AA277"/>
    <mergeCell ref="G320:G321"/>
    <mergeCell ref="I320:I321"/>
    <mergeCell ref="B306:B309"/>
    <mergeCell ref="A216:I216"/>
    <mergeCell ref="Y221:AA221"/>
    <mergeCell ref="AA278:AA279"/>
    <mergeCell ref="X282:X283"/>
    <mergeCell ref="T297:W297"/>
    <mergeCell ref="J263:N263"/>
    <mergeCell ref="X300:X301"/>
    <mergeCell ref="Z300:Z301"/>
    <mergeCell ref="T241:W241"/>
    <mergeCell ref="D338:D339"/>
    <mergeCell ref="X346:X347"/>
    <mergeCell ref="Z346:Z347"/>
    <mergeCell ref="B292:B293"/>
    <mergeCell ref="Z340:Z341"/>
    <mergeCell ref="H276:H277"/>
    <mergeCell ref="C294:C299"/>
    <mergeCell ref="T341:W341"/>
    <mergeCell ref="E224:E225"/>
    <mergeCell ref="G224:G225"/>
    <mergeCell ref="Y232:Y233"/>
    <mergeCell ref="H278:H279"/>
    <mergeCell ref="B276:B281"/>
    <mergeCell ref="I346:I347"/>
    <mergeCell ref="T307:W307"/>
    <mergeCell ref="O354:O355"/>
    <mergeCell ref="E354:E355"/>
    <mergeCell ref="G354:G355"/>
    <mergeCell ref="Y296:Y297"/>
    <mergeCell ref="P351:R351"/>
    <mergeCell ref="AA296:AA297"/>
    <mergeCell ref="H238:H239"/>
    <mergeCell ref="P239:R239"/>
    <mergeCell ref="F240:F241"/>
    <mergeCell ref="A342:A343"/>
    <mergeCell ref="H342:H343"/>
    <mergeCell ref="Y340:Y341"/>
    <mergeCell ref="A167:O167"/>
    <mergeCell ref="S234:S235"/>
    <mergeCell ref="G270:G271"/>
    <mergeCell ref="I270:I271"/>
    <mergeCell ref="A224:A227"/>
    <mergeCell ref="A344:A345"/>
    <mergeCell ref="C346:C349"/>
    <mergeCell ref="C224:C227"/>
    <mergeCell ref="AA228:AA229"/>
    <mergeCell ref="F346:F347"/>
    <mergeCell ref="T321:W321"/>
    <mergeCell ref="X232:X233"/>
    <mergeCell ref="Z232:Z233"/>
    <mergeCell ref="A314:A319"/>
    <mergeCell ref="H306:H307"/>
    <mergeCell ref="C314:C319"/>
    <mergeCell ref="H362:H363"/>
    <mergeCell ref="S300:S301"/>
    <mergeCell ref="G328:G329"/>
    <mergeCell ref="Z252:Z253"/>
    <mergeCell ref="A334:A335"/>
    <mergeCell ref="O256:O257"/>
    <mergeCell ref="D300:D301"/>
    <mergeCell ref="S318:S319"/>
    <mergeCell ref="A262:A275"/>
    <mergeCell ref="G342:G343"/>
    <mergeCell ref="A320:A333"/>
    <mergeCell ref="P283:R283"/>
    <mergeCell ref="I336:I337"/>
    <mergeCell ref="P277:R277"/>
    <mergeCell ref="O320:O321"/>
    <mergeCell ref="X310:X311"/>
    <mergeCell ref="S314:S315"/>
    <mergeCell ref="A354:A359"/>
    <mergeCell ref="A238:A239"/>
    <mergeCell ref="C238:C239"/>
    <mergeCell ref="P285:R285"/>
    <mergeCell ref="F228:F229"/>
    <mergeCell ref="H228:H229"/>
    <mergeCell ref="E232:E233"/>
    <mergeCell ref="A306:A309"/>
    <mergeCell ref="T315:W315"/>
    <mergeCell ref="J355:N355"/>
    <mergeCell ref="H292:H293"/>
    <mergeCell ref="Z278:Z279"/>
    <mergeCell ref="O282:O283"/>
    <mergeCell ref="H328:H329"/>
    <mergeCell ref="G356:G357"/>
    <mergeCell ref="H294:H295"/>
    <mergeCell ref="I260:I261"/>
    <mergeCell ref="Y346:Y347"/>
    <mergeCell ref="O224:O225"/>
    <mergeCell ref="O346:O347"/>
    <mergeCell ref="P301:R301"/>
    <mergeCell ref="G276:G277"/>
    <mergeCell ref="P361:R361"/>
    <mergeCell ref="I276:I277"/>
    <mergeCell ref="P295:R295"/>
    <mergeCell ref="S340:S341"/>
    <mergeCell ref="P311:R311"/>
    <mergeCell ref="X238:X239"/>
    <mergeCell ref="D246:D247"/>
    <mergeCell ref="J361:N361"/>
    <mergeCell ref="F246:F247"/>
    <mergeCell ref="G278:G279"/>
    <mergeCell ref="I278:I279"/>
    <mergeCell ref="D282:D283"/>
    <mergeCell ref="I334:I335"/>
    <mergeCell ref="B232:B233"/>
    <mergeCell ref="G228:G229"/>
    <mergeCell ref="D354:D355"/>
    <mergeCell ref="F354:F355"/>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B346:B349"/>
    <mergeCell ref="T339:W339"/>
    <mergeCell ref="G344:G345"/>
    <mergeCell ref="E246:E247"/>
    <mergeCell ref="I344:I345"/>
    <mergeCell ref="P347:R347"/>
    <mergeCell ref="B314:B319"/>
    <mergeCell ref="J345:N345"/>
    <mergeCell ref="I362:I363"/>
    <mergeCell ref="I262:I263"/>
    <mergeCell ref="O278:O279"/>
    <mergeCell ref="B262:B275"/>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2026-09-18T19:23:07Z</dcterms:modified>
</cp:coreProperties>
</file>