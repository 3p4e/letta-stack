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t="n">
        <v>46176</v>
      </c>
      <c r="E8" s="5" t="n">
        <v>45784</v>
      </c>
      <c r="F8" s="5">
        <f>IFERROR(INDEX('Batch Dates'!$G:$G,MATCH(J8,'Batch Dates'!$C:$C,0)),IFERROR(INDEX('Batch Dates'!$G:$G,MATCH(I8,'Batch Dates'!$B:$B,0)),""))</f>
        <v/>
      </c>
      <c r="G8" s="2" t="inlineStr">
        <is>
          <t>legacy</t>
        </is>
      </c>
      <c r="H8" s="2" t="inlineStr">
        <is>
          <t>retest 1</t>
        </is>
      </c>
      <c r="I8" s="3" t="inlineStr">
        <is>
          <t>OMP1024_01</t>
        </is>
      </c>
      <c r="J8" s="2" t="inlineStr">
        <is>
          <t>P050042</t>
        </is>
      </c>
      <c r="K8" s="2" t="inlineStr">
        <is>
          <t>Orange Punch Mimosa</t>
        </is>
      </c>
      <c r="L8" s="2" t="inlineStr">
        <is>
          <t>Ident A + Ident B + Foreign matter</t>
        </is>
      </c>
      <c r="M8" s="6" t="inlineStr">
        <is>
          <t>—</t>
        </is>
      </c>
      <c r="N8" s="2">
        <f>IFERROR(INDEX('CoQ Register'!$B:$B,MATCH("P050042|R",'CoQ Register'!$S:$S,0)),"—")</f>
        <v/>
      </c>
      <c r="O8" s="6" t="inlineStr">
        <is>
          <t>—</t>
        </is>
      </c>
      <c r="P8" s="2" t="inlineStr">
        <is>
          <t>20.06.2026</t>
        </is>
      </c>
      <c r="Q8" s="2" t="inlineStr">
        <is>
          <t>26.03.2025 – 27.03.2025</t>
        </is>
      </c>
      <c r="R8" s="2" t="inlineStr">
        <is>
          <t>20.06.2025</t>
        </is>
      </c>
      <c r="S8" s="5">
        <f>IFERROR(INDEX('CoQ Register'!$D:$D,MATCH("P050042|R",'CoQ Register'!$S:$S,0)),"")</f>
        <v/>
      </c>
      <c r="T8" s="2" t="inlineStr">
        <is>
          <t>Conforms</t>
        </is>
      </c>
      <c r="U8" s="2" t="inlineStr">
        <is>
          <t>Conforms</t>
        </is>
      </c>
      <c r="V8" s="2" t="inlineStr">
        <is>
          <t>Conforms</t>
        </is>
      </c>
      <c r="W8" s="2" t="inlineStr">
        <is>
          <t>220-21-K-26, (26.08.2026) [FHM-K]</t>
        </is>
      </c>
      <c r="X8" s="2" t="inlineStr">
        <is>
          <t>220-21-K-26, (26.08.2026) [FHM-K]</t>
        </is>
      </c>
      <c r="Y8" s="2" t="inlineStr">
        <is>
          <t>220-21-M-26, (11.09.2026) [FHM-M]</t>
        </is>
      </c>
      <c r="Z8" s="2" t="inlineStr">
        <is>
          <t>#8, #9, #11, #12 from the initial testing</t>
        </is>
      </c>
      <c r="AA8" s="2" t="inlineStr">
        <is>
          <t>P050042|R</t>
        </is>
      </c>
      <c r="AB8" s="7" t="inlineStr">
        <is>
          <t>registered — retest 1,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GP0824_02</t>
        </is>
      </c>
      <c r="J9" s="2" t="inlineStr">
        <is>
          <t>P050022</t>
        </is>
      </c>
      <c r="K9" s="2" t="inlineStr">
        <is>
          <t>Grape Pie</t>
        </is>
      </c>
      <c r="L9" s="2" t="inlineStr">
        <is>
          <t>Ident A + Ident B + Foreign matter</t>
        </is>
      </c>
      <c r="M9" s="6" t="inlineStr">
        <is>
          <t>—</t>
        </is>
      </c>
      <c r="N9" s="2">
        <f>IFERROR(INDEX('CoQ Register'!$B:$B,MATCH("P050022|I",'CoQ Register'!$S:$S,0)),"—")</f>
        <v/>
      </c>
      <c r="O9" s="2" t="inlineStr">
        <is>
          <t>iCoA-PP-2025-0006</t>
        </is>
      </c>
      <c r="P9" s="2" t="inlineStr">
        <is>
          <t>03.06.2025</t>
        </is>
      </c>
      <c r="Q9" s="2" t="inlineStr">
        <is>
          <t>22.04.2025 – 23.04.2025</t>
        </is>
      </c>
      <c r="R9" s="2" t="inlineStr">
        <is>
          <t>03.06.2025 – 11.06.2025</t>
        </is>
      </c>
      <c r="S9" s="5">
        <f>IFERROR(INDEX('CoQ Register'!$D:$D,MATCH("P050022|I",'CoQ Register'!$S:$S,0)),"")</f>
        <v/>
      </c>
      <c r="T9" s="2" t="inlineStr">
        <is>
          <t>Conforms</t>
        </is>
      </c>
      <c r="U9" s="2" t="inlineStr">
        <is>
          <t>Conforms</t>
        </is>
      </c>
      <c r="V9" s="2" t="inlineStr">
        <is>
          <t>Conforms</t>
        </is>
      </c>
      <c r="W9" s="2" t="inlineStr">
        <is>
          <t>ППК25139, (22.05.2025) [CNP]</t>
        </is>
      </c>
      <c r="X9" s="2" t="inlineStr">
        <is>
          <t>—</t>
        </is>
      </c>
      <c r="Y9" s="2" t="inlineStr">
        <is>
          <t>—</t>
        </is>
      </c>
      <c r="Z9" s="2" t="inlineStr">
        <is>
          <t>—</t>
        </is>
      </c>
      <c r="AA9" s="2" t="inlineStr">
        <is>
          <t>P050022|I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GG1024_02</t>
        </is>
      </c>
      <c r="J10" s="2" t="inlineStr">
        <is>
          <t>P050012</t>
        </is>
      </c>
      <c r="K10" s="2" t="inlineStr">
        <is>
          <t>Gorilla Glue</t>
        </is>
      </c>
      <c r="L10" s="2" t="inlineStr">
        <is>
          <t>Ident A + Ident B + Foreign matter</t>
        </is>
      </c>
      <c r="M10" s="6" t="inlineStr">
        <is>
          <t>—</t>
        </is>
      </c>
      <c r="N10" s="2">
        <f>IFERROR(INDEX('CoQ Register'!$B:$B,MATCH("P050012|I",'CoQ Register'!$S:$S,0)),"—")</f>
        <v/>
      </c>
      <c r="O10" s="6" t="inlineStr">
        <is>
          <t>—</t>
        </is>
      </c>
      <c r="P10" s="2" t="inlineStr">
        <is>
          <t>30.05.2025</t>
        </is>
      </c>
      <c r="Q10" s="2" t="inlineStr">
        <is>
          <t>14.04.2025 – 15.04.2025</t>
        </is>
      </c>
      <c r="R10" s="2" t="inlineStr">
        <is>
          <t>11.06.2025 – 16.06.2025 (the issuance plan's basis: 30.05.2025)</t>
        </is>
      </c>
      <c r="S10" s="5">
        <f>IFERROR(INDEX('CoQ Register'!$D:$D,MATCH("P050012|I",'CoQ Register'!$S:$S,0)),"")</f>
        <v/>
      </c>
      <c r="T10" s="2" t="inlineStr">
        <is>
          <t>Conforms</t>
        </is>
      </c>
      <c r="U10" s="2" t="inlineStr">
        <is>
          <t>Conforms</t>
        </is>
      </c>
      <c r="V10" s="2" t="inlineStr">
        <is>
          <t>Conforms</t>
        </is>
      </c>
      <c r="W10" s="2" t="inlineStr">
        <is>
          <t>ППК25140, (22.05.2025) [CNP]</t>
        </is>
      </c>
      <c r="X10" s="2" t="inlineStr">
        <is>
          <t>—</t>
        </is>
      </c>
      <c r="Y10" s="2" t="inlineStr">
        <is>
          <t>—</t>
        </is>
      </c>
      <c r="Z10" s="2" t="inlineStr">
        <is>
          <t>—</t>
        </is>
      </c>
      <c r="AA10" s="2" t="inlineStr">
        <is>
          <t>P050012|I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MB0824_04</t>
        </is>
      </c>
      <c r="J11" s="2" t="inlineStr">
        <is>
          <t>P050032</t>
        </is>
      </c>
      <c r="K11" s="2" t="inlineStr">
        <is>
          <t>Motor Breath</t>
        </is>
      </c>
      <c r="L11" s="2" t="inlineStr">
        <is>
          <t>Ident A + Ident B + Foreign matter</t>
        </is>
      </c>
      <c r="M11" s="6" t="inlineStr">
        <is>
          <t>—</t>
        </is>
      </c>
      <c r="N11" s="2">
        <f>IFERROR(INDEX('CoQ Register'!$B:$B,MATCH("P050032|I",'CoQ Register'!$S:$S,0)),"—")</f>
        <v/>
      </c>
      <c r="O11" s="6" t="inlineStr">
        <is>
          <t>—</t>
        </is>
      </c>
      <c r="P11" s="2" t="inlineStr">
        <is>
          <t>07.05.2025</t>
        </is>
      </c>
      <c r="Q11" s="2" t="inlineStr">
        <is>
          <t>02.04.2025 – 03.04.2025</t>
        </is>
      </c>
      <c r="R11" s="2" t="inlineStr">
        <is>
          <t>16.06.2025 – 19.06.2025 (the issuance plan's basis: 07.05.2025)</t>
        </is>
      </c>
      <c r="S11" s="5">
        <f>IFERROR(INDEX('CoQ Register'!$D:$D,MATCH("P050032|I",'CoQ Register'!$S:$S,0)),"")</f>
        <v/>
      </c>
      <c r="T11" s="2" t="inlineStr">
        <is>
          <t>Conforms</t>
        </is>
      </c>
      <c r="U11" s="2" t="inlineStr">
        <is>
          <t>Conforms</t>
        </is>
      </c>
      <c r="V11" s="2" t="inlineStr">
        <is>
          <t>Conforms</t>
        </is>
      </c>
      <c r="W11" s="2" t="inlineStr">
        <is>
          <t>ППК25118, (06.05.2025) [CNP]</t>
        </is>
      </c>
      <c r="X11" s="2" t="inlineStr">
        <is>
          <t>—</t>
        </is>
      </c>
      <c r="Y11" s="2" t="inlineStr">
        <is>
          <t>—</t>
        </is>
      </c>
      <c r="Z11" s="2" t="inlineStr">
        <is>
          <t>—</t>
        </is>
      </c>
      <c r="AA11" s="2" t="inlineStr">
        <is>
          <t>P050032|I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27.06.2025</t>
        </is>
      </c>
      <c r="Q12" s="2" t="inlineStr">
        <is>
          <t>27.05.2025 – 28.05.2025</t>
        </is>
      </c>
      <c r="R12" s="2" t="inlineStr">
        <is>
          <t>27.06.2025 – 04.07.2025</t>
        </is>
      </c>
      <c r="S12" s="5">
        <f>IFERROR(INDEX('CoQ Register'!$D:$D,MATCH("P050052|I",'CoQ Register'!$S:$S,0)),"")</f>
        <v/>
      </c>
      <c r="T12" s="2" t="inlineStr">
        <is>
          <t>Conforms</t>
        </is>
      </c>
      <c r="U12" s="2" t="inlineStr">
        <is>
          <t>Conforms</t>
        </is>
      </c>
      <c r="V12" s="2" t="inlineStr">
        <is>
          <t>Conforms</t>
        </is>
      </c>
      <c r="W12" s="2" t="inlineStr">
        <is>
          <t>ППК25155, (24.06.2025) [CNP]</t>
        </is>
      </c>
      <c r="X12" s="2" t="inlineStr">
        <is>
          <t>—</t>
        </is>
      </c>
      <c r="Y12" s="2" t="inlineStr">
        <is>
          <t>—</t>
        </is>
      </c>
      <c r="Z12" s="2" t="inlineStr">
        <is>
          <t>—</t>
        </is>
      </c>
      <c r="AA12" s="2" t="inlineStr">
        <is>
          <t>P050052|I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04.07.2025</t>
        </is>
      </c>
      <c r="Q13" s="2" t="inlineStr">
        <is>
          <t>29.05.2025 – 30.05.2025</t>
        </is>
      </c>
      <c r="R13" s="2" t="inlineStr">
        <is>
          <t>04.07.2025 – 10.07.2025</t>
        </is>
      </c>
      <c r="S13" s="5">
        <f>IFERROR(INDEX('CoQ Register'!$D:$D,MATCH("P050062|I",'CoQ Register'!$S:$S,0)),"")</f>
        <v/>
      </c>
      <c r="T13" s="2" t="inlineStr">
        <is>
          <t>Conforms</t>
        </is>
      </c>
      <c r="U13" s="2" t="inlineStr">
        <is>
          <t>Conforms</t>
        </is>
      </c>
      <c r="V13" s="2" t="inlineStr">
        <is>
          <t>Conforms</t>
        </is>
      </c>
      <c r="W13" s="2" t="inlineStr">
        <is>
          <t>ППК25154, (24.06.2025) [CNP]</t>
        </is>
      </c>
      <c r="X13" s="2" t="inlineStr">
        <is>
          <t>—</t>
        </is>
      </c>
      <c r="Y13" s="2" t="inlineStr">
        <is>
          <t>—</t>
        </is>
      </c>
      <c r="Z13" s="2" t="inlineStr">
        <is>
          <t>—</t>
        </is>
      </c>
      <c r="AA13" s="2" t="inlineStr">
        <is>
          <t>P050062|I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14.07.2025</t>
        </is>
      </c>
      <c r="Q14" s="2" t="inlineStr">
        <is>
          <t>09.06.2025 – 10.06.2025</t>
        </is>
      </c>
      <c r="R14" s="2" t="inlineStr">
        <is>
          <t>14.07.2025 – 17.07.2025</t>
        </is>
      </c>
      <c r="S14" s="5">
        <f>IFERROR(INDEX('CoQ Register'!$D:$D,MATCH("P050072|I",'CoQ Register'!$S:$S,0)),"")</f>
        <v/>
      </c>
      <c r="T14" s="2" t="inlineStr">
        <is>
          <t>Conforms</t>
        </is>
      </c>
      <c r="U14" s="2" t="inlineStr">
        <is>
          <t>Conforms</t>
        </is>
      </c>
      <c r="V14" s="2" t="inlineStr">
        <is>
          <t>Conforms</t>
        </is>
      </c>
      <c r="W14" s="2" t="inlineStr">
        <is>
          <t>ППК25175, (10.07.2025) [CNP]</t>
        </is>
      </c>
      <c r="X14" s="2" t="inlineStr">
        <is>
          <t>—</t>
        </is>
      </c>
      <c r="Y14" s="2" t="inlineStr">
        <is>
          <t>—</t>
        </is>
      </c>
      <c r="Z14" s="2" t="inlineStr">
        <is>
          <t>—</t>
        </is>
      </c>
      <c r="AA14" s="2" t="inlineStr">
        <is>
          <t>P050072|I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22.07.2025</t>
        </is>
      </c>
      <c r="Q15" s="2" t="inlineStr">
        <is>
          <t>01.07.2025 – 02.07.2025</t>
        </is>
      </c>
      <c r="R15" s="2" t="inlineStr">
        <is>
          <t>22.07.2025 – 30.07.2025</t>
        </is>
      </c>
      <c r="S15" s="5">
        <f>IFERROR(INDEX('CoQ Register'!$D:$D,MATCH("P050082|I",'CoQ Register'!$S:$S,0)),"")</f>
        <v/>
      </c>
      <c r="T15" s="2" t="inlineStr">
        <is>
          <t>Conforms</t>
        </is>
      </c>
      <c r="U15" s="2" t="inlineStr">
        <is>
          <t>Conforms</t>
        </is>
      </c>
      <c r="V15" s="2" t="inlineStr">
        <is>
          <t>Conforms</t>
        </is>
      </c>
      <c r="W15" s="2" t="inlineStr">
        <is>
          <t>ППК25210, (28.07.2025) [CNP]</t>
        </is>
      </c>
      <c r="X15" s="2" t="inlineStr">
        <is>
          <t>—</t>
        </is>
      </c>
      <c r="Y15" s="2" t="inlineStr">
        <is>
          <t>—</t>
        </is>
      </c>
      <c r="Z15" s="2" t="inlineStr">
        <is>
          <t>—</t>
        </is>
      </c>
      <c r="AA15" s="2" t="inlineStr">
        <is>
          <t>P050082|I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31.07.2025</t>
        </is>
      </c>
      <c r="Q16" s="2" t="inlineStr">
        <is>
          <t>17.03.2025 – 18.03.2025</t>
        </is>
      </c>
      <c r="R16" s="2" t="inlineStr">
        <is>
          <t>31.07.2025 – 05.08.2025</t>
        </is>
      </c>
      <c r="S16" s="5">
        <f>IFERROR(INDEX('CoQ Register'!$D:$D,MATCH("P050092|I",'CoQ Register'!$S:$S,0)),"")</f>
        <v/>
      </c>
      <c r="T16" s="2" t="inlineStr">
        <is>
          <t>Conforms</t>
        </is>
      </c>
      <c r="U16" s="2" t="inlineStr">
        <is>
          <t>Conforms</t>
        </is>
      </c>
      <c r="V16" s="2" t="inlineStr">
        <is>
          <t>Conforms</t>
        </is>
      </c>
      <c r="W16" s="2" t="inlineStr">
        <is>
          <t>ППК25104, (17.04.2025) [CNP]</t>
        </is>
      </c>
      <c r="X16" s="2" t="inlineStr">
        <is>
          <t>—</t>
        </is>
      </c>
      <c r="Y16" s="2" t="inlineStr">
        <is>
          <t>—</t>
        </is>
      </c>
      <c r="Z16" s="2" t="inlineStr">
        <is>
          <t>—</t>
        </is>
      </c>
      <c r="AA16" s="2" t="inlineStr">
        <is>
          <t>P050092|I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17.04.2025</t>
        </is>
      </c>
      <c r="Q17" s="2" t="inlineStr">
        <is>
          <t>20.03.2025 – 21.03.2025</t>
        </is>
      </c>
      <c r="R17" s="2" t="inlineStr">
        <is>
          <t>05.08.2025 – 07.08.2025 (the issuance plan's basis: 17.04.2025)</t>
        </is>
      </c>
      <c r="S17" s="5">
        <f>IFERROR(INDEX('CoQ Register'!$D:$D,MATCH("P050102|I",'CoQ Register'!$S:$S,0)),"")</f>
        <v/>
      </c>
      <c r="T17" s="2" t="inlineStr">
        <is>
          <t>Conforms</t>
        </is>
      </c>
      <c r="U17" s="2" t="inlineStr">
        <is>
          <t>Conforms</t>
        </is>
      </c>
      <c r="V17" s="2" t="inlineStr">
        <is>
          <t>Conforms</t>
        </is>
      </c>
      <c r="W17" s="2" t="inlineStr">
        <is>
          <t>ППК25105, (17.04.2025) [CNP]</t>
        </is>
      </c>
      <c r="X17" s="2" t="inlineStr">
        <is>
          <t>—</t>
        </is>
      </c>
      <c r="Y17" s="2" t="inlineStr">
        <is>
          <t>—</t>
        </is>
      </c>
      <c r="Z17" s="2" t="inlineStr">
        <is>
          <t>—</t>
        </is>
      </c>
      <c r="AA17" s="2" t="inlineStr">
        <is>
          <t>P050102|I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25.08.2025</t>
        </is>
      </c>
      <c r="Q18" s="2" t="inlineStr">
        <is>
          <t>08.07.2025 – 09.07.2025</t>
        </is>
      </c>
      <c r="R18" s="2" t="inlineStr">
        <is>
          <t>25.08.2025 – 31.08.2025</t>
        </is>
      </c>
      <c r="S18" s="5">
        <f>IFERROR(INDEX('CoQ Register'!$D:$D,MATCH("P050112|I",'CoQ Register'!$S:$S,0)),"")</f>
        <v/>
      </c>
      <c r="T18" s="2" t="inlineStr">
        <is>
          <t>Conforms</t>
        </is>
      </c>
      <c r="U18" s="2" t="inlineStr">
        <is>
          <t>Conforms</t>
        </is>
      </c>
      <c r="V18" s="2" t="inlineStr">
        <is>
          <t>Conforms</t>
        </is>
      </c>
      <c r="W18" s="2" t="inlineStr">
        <is>
          <t>ППК25211, (28.07.2025) [CNP]</t>
        </is>
      </c>
      <c r="X18" s="2" t="inlineStr">
        <is>
          <t>—</t>
        </is>
      </c>
      <c r="Y18" s="2" t="inlineStr">
        <is>
          <t>—</t>
        </is>
      </c>
      <c r="Z18" s="2" t="inlineStr">
        <is>
          <t>—</t>
        </is>
      </c>
      <c r="AA18" s="2" t="inlineStr">
        <is>
          <t>P050112|I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OPM052501</t>
        </is>
      </c>
      <c r="J19" s="2" t="inlineStr">
        <is>
          <t>P050132</t>
        </is>
      </c>
      <c r="K19" s="2" t="inlineStr">
        <is>
          <t>Orange Punch Mimosa</t>
        </is>
      </c>
      <c r="L19" s="2" t="inlineStr">
        <is>
          <t>Ident A + Ident B + Foreign matter</t>
        </is>
      </c>
      <c r="M19" s="6" t="inlineStr">
        <is>
          <t>—</t>
        </is>
      </c>
      <c r="N19" s="2">
        <f>IFERROR(INDEX('CoQ Register'!$B:$B,MATCH("P050132|I",'CoQ Register'!$S:$S,0)),"—")</f>
        <v/>
      </c>
      <c r="O19" s="6" t="inlineStr">
        <is>
          <t>—</t>
        </is>
      </c>
      <c r="P19" s="2" t="inlineStr">
        <is>
          <t>05.09.2025</t>
        </is>
      </c>
      <c r="Q19" s="2" t="inlineStr">
        <is>
          <t>11.08.2025 – 13.08.2025</t>
        </is>
      </c>
      <c r="R19" s="2" t="inlineStr">
        <is>
          <t>09.09.2025 – 15.09.2025 (the issuance plan's basis: 05.09.2025)</t>
        </is>
      </c>
      <c r="S19" s="5">
        <f>IFERROR(INDEX('CoQ Register'!$D:$D,MATCH("P050132|I",'CoQ Register'!$S:$S,0)),"")</f>
        <v/>
      </c>
      <c r="T19" s="2" t="inlineStr">
        <is>
          <t>Conforms</t>
        </is>
      </c>
      <c r="U19" s="2" t="inlineStr">
        <is>
          <t>Conforms</t>
        </is>
      </c>
      <c r="V19" s="2" t="inlineStr">
        <is>
          <t>Conforms</t>
        </is>
      </c>
      <c r="W19" s="2" t="inlineStr">
        <is>
          <t>ППК25257, (05.09.2025) [CNP]</t>
        </is>
      </c>
      <c r="X19" s="2" t="inlineStr">
        <is>
          <t>—</t>
        </is>
      </c>
      <c r="Y19" s="2" t="inlineStr">
        <is>
          <t>—</t>
        </is>
      </c>
      <c r="Z19" s="2" t="inlineStr">
        <is>
          <t>—</t>
        </is>
      </c>
      <c r="AA19" s="2" t="inlineStr">
        <is>
          <t>P050132|I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GP052501</t>
        </is>
      </c>
      <c r="J20" s="2" t="inlineStr">
        <is>
          <t>P050152</t>
        </is>
      </c>
      <c r="K20" s="2" t="inlineStr">
        <is>
          <t>Grape Pie</t>
        </is>
      </c>
      <c r="L20" s="2" t="inlineStr">
        <is>
          <t>Ident A + Ident B + Foreign matter</t>
        </is>
      </c>
      <c r="M20" s="6" t="inlineStr">
        <is>
          <t>—</t>
        </is>
      </c>
      <c r="N20" s="2">
        <f>IFERROR(INDEX('CoQ Register'!$B:$B,MATCH("P050152|I",'CoQ Register'!$S:$S,0)),"—")</f>
        <v/>
      </c>
      <c r="O20" s="2" t="inlineStr">
        <is>
          <t>iCoA-PP-2025-0014</t>
        </is>
      </c>
      <c r="P20" s="2" t="inlineStr">
        <is>
          <t>25.09.2025</t>
        </is>
      </c>
      <c r="Q20" s="2" t="inlineStr">
        <is>
          <t>— not given —</t>
        </is>
      </c>
      <c r="R20" s="2" t="inlineStr">
        <is>
          <t>25.09.2025</t>
        </is>
      </c>
      <c r="S20" s="5">
        <f>IFERROR(INDEX('CoQ Register'!$D:$D,MATCH("P050152|I",'CoQ Register'!$S:$S,0)),"")</f>
        <v/>
      </c>
      <c r="T20" s="2" t="inlineStr">
        <is>
          <t>Conforms</t>
        </is>
      </c>
      <c r="U20" s="2" t="inlineStr">
        <is>
          <t>Conforms</t>
        </is>
      </c>
      <c r="V20" s="2" t="inlineStr">
        <is>
          <t>Conforms</t>
        </is>
      </c>
      <c r="W20" s="2" t="inlineStr">
        <is>
          <t>ППК25279, (19.09.2025) [CNP]</t>
        </is>
      </c>
      <c r="X20" s="2" t="inlineStr">
        <is>
          <t>—</t>
        </is>
      </c>
      <c r="Y20" s="2" t="inlineStr">
        <is>
          <t>—</t>
        </is>
      </c>
      <c r="Z20" s="2" t="inlineStr">
        <is>
          <t>—</t>
        </is>
      </c>
      <c r="AA20" s="2" t="inlineStr">
        <is>
          <t>P050152|I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BSS1024_01/2</t>
        </is>
      </c>
      <c r="J21" s="2" t="inlineStr">
        <is>
          <t>P050142</t>
        </is>
      </c>
      <c r="K21" s="2" t="inlineStr">
        <is>
          <t>Blue Sunset Sherbet</t>
        </is>
      </c>
      <c r="L21" s="2" t="inlineStr">
        <is>
          <t>Ident A + Ident B + Foreign matter</t>
        </is>
      </c>
      <c r="M21" s="6" t="inlineStr">
        <is>
          <t>—</t>
        </is>
      </c>
      <c r="N21" s="2">
        <f>IFERROR(INDEX('CoQ Register'!$B:$B,MATCH("P050142|I",'CoQ Register'!$S:$S,0)),"—")</f>
        <v/>
      </c>
      <c r="O21" s="6" t="inlineStr">
        <is>
          <t>—</t>
        </is>
      </c>
      <c r="P21" s="2" t="inlineStr">
        <is>
          <t>30.09.2025</t>
        </is>
      </c>
      <c r="Q21" s="2" t="inlineStr">
        <is>
          <t>— not given —</t>
        </is>
      </c>
      <c r="R21" s="2" t="inlineStr">
        <is>
          <t>30.09.2025</t>
        </is>
      </c>
      <c r="S21" s="5">
        <f>IFERROR(INDEX('CoQ Register'!$D:$D,MATCH("P050142|I",'CoQ Register'!$S:$S,0)),"")</f>
        <v/>
      </c>
      <c r="T21" s="2" t="inlineStr">
        <is>
          <t>Conforms</t>
        </is>
      </c>
      <c r="U21" s="2" t="inlineStr">
        <is>
          <t>Conforms</t>
        </is>
      </c>
      <c r="V21" s="2" t="inlineStr">
        <is>
          <t>Conforms</t>
        </is>
      </c>
      <c r="W21" s="2" t="inlineStr">
        <is>
          <t>— no cannabinoid certificate from the initial testing —</t>
        </is>
      </c>
      <c r="X21" s="2" t="inlineStr">
        <is>
          <t>—</t>
        </is>
      </c>
      <c r="Y21" s="2" t="inlineStr">
        <is>
          <t>—</t>
        </is>
      </c>
      <c r="Z21" s="2" t="inlineStr">
        <is>
          <t>—</t>
        </is>
      </c>
      <c r="AA21" s="2" t="inlineStr">
        <is>
          <t>P050142|I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CJ052501/01</t>
        </is>
      </c>
      <c r="J22" s="2" t="inlineStr">
        <is>
          <t>P050162</t>
        </is>
      </c>
      <c r="K22" s="2" t="inlineStr">
        <is>
          <t>Cap Junky</t>
        </is>
      </c>
      <c r="L22" s="2" t="inlineStr">
        <is>
          <t>Ident A + Ident B + Foreign matter</t>
        </is>
      </c>
      <c r="M22" s="6" t="inlineStr">
        <is>
          <t>—</t>
        </is>
      </c>
      <c r="N22" s="2">
        <f>IFERROR(INDEX('CoQ Register'!$B:$B,MATCH("P050162|I",'CoQ Register'!$S:$S,0)),"—")</f>
        <v/>
      </c>
      <c r="O22" s="2" t="inlineStr">
        <is>
          <t>iCoA-PP-2025-0015</t>
        </is>
      </c>
      <c r="P22" s="2" t="inlineStr">
        <is>
          <t>30.09.2025</t>
        </is>
      </c>
      <c r="Q22" s="2" t="inlineStr">
        <is>
          <t>20.08.2025</t>
        </is>
      </c>
      <c r="R22" s="2" t="inlineStr">
        <is>
          <t>30.09.2025 – 01.10.2025</t>
        </is>
      </c>
      <c r="S22" s="5">
        <f>IFERROR(INDEX('CoQ Register'!$D:$D,MATCH("P050162|I",'CoQ Register'!$S:$S,0)),"")</f>
        <v/>
      </c>
      <c r="T22" s="2" t="inlineStr">
        <is>
          <t>Conforms</t>
        </is>
      </c>
      <c r="U22" s="2" t="inlineStr">
        <is>
          <t>Conforms</t>
        </is>
      </c>
      <c r="V22" s="2" t="inlineStr">
        <is>
          <t>Conforms</t>
        </is>
      </c>
      <c r="W22" s="2" t="inlineStr">
        <is>
          <t>ППК25280, (17.09.2025) [CNP]</t>
        </is>
      </c>
      <c r="X22" s="2" t="inlineStr">
        <is>
          <t>—</t>
        </is>
      </c>
      <c r="Y22" s="2" t="inlineStr">
        <is>
          <t>—</t>
        </is>
      </c>
      <c r="Z22" s="2" t="inlineStr">
        <is>
          <t>—</t>
        </is>
      </c>
      <c r="AA22" s="2" t="inlineStr">
        <is>
          <t>P050162|I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CJ052501/02</t>
        </is>
      </c>
      <c r="J23" s="2" t="inlineStr">
        <is>
          <t>P050172</t>
        </is>
      </c>
      <c r="K23" s="2" t="inlineStr">
        <is>
          <t>Cap Junky</t>
        </is>
      </c>
      <c r="L23" s="2" t="inlineStr">
        <is>
          <t>Ident A + Ident B + Foreign matter</t>
        </is>
      </c>
      <c r="M23" s="6" t="inlineStr">
        <is>
          <t>—</t>
        </is>
      </c>
      <c r="N23" s="2">
        <f>IFERROR(INDEX('CoQ Register'!$B:$B,MATCH("P050172|I",'CoQ Register'!$S:$S,0)),"—")</f>
        <v/>
      </c>
      <c r="O23" s="6" t="inlineStr">
        <is>
          <t>—</t>
        </is>
      </c>
      <c r="P23" s="2" t="inlineStr">
        <is>
          <t>17.09.2025</t>
        </is>
      </c>
      <c r="Q23" s="2" t="inlineStr">
        <is>
          <t>20.08.2025</t>
        </is>
      </c>
      <c r="R23" s="2" t="inlineStr">
        <is>
          <t>01.10.2025 – 02.10.2025 (the issuance plan's basis: 17.09.2025)</t>
        </is>
      </c>
      <c r="S23" s="5">
        <f>IFERROR(INDEX('CoQ Register'!$D:$D,MATCH("P050172|I",'CoQ Register'!$S:$S,0)),"")</f>
        <v/>
      </c>
      <c r="T23" s="2" t="inlineStr">
        <is>
          <t>Conforms</t>
        </is>
      </c>
      <c r="U23" s="2" t="inlineStr">
        <is>
          <t>Conforms</t>
        </is>
      </c>
      <c r="V23" s="2" t="inlineStr">
        <is>
          <t>Conforms</t>
        </is>
      </c>
      <c r="W23" s="2" t="inlineStr">
        <is>
          <t>ППК25281, (17.09.2025) [CNP]</t>
        </is>
      </c>
      <c r="X23" s="2" t="inlineStr">
        <is>
          <t>—</t>
        </is>
      </c>
      <c r="Y23" s="2" t="inlineStr">
        <is>
          <t>—</t>
        </is>
      </c>
      <c r="Z23" s="2" t="inlineStr">
        <is>
          <t>—</t>
        </is>
      </c>
      <c r="AA23" s="2" t="inlineStr">
        <is>
          <t>P050172|I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HPA052501</t>
        </is>
      </c>
      <c r="J24" s="2" t="inlineStr">
        <is>
          <t>P050182</t>
        </is>
      </c>
      <c r="K24" s="2" t="inlineStr">
        <is>
          <t>High Pro Amnesia</t>
        </is>
      </c>
      <c r="L24" s="2" t="inlineStr">
        <is>
          <t>Ident A + Ident B + Foreign matter</t>
        </is>
      </c>
      <c r="M24" s="6" t="inlineStr">
        <is>
          <t>—</t>
        </is>
      </c>
      <c r="N24" s="2">
        <f>IFERROR(INDEX('CoQ Register'!$B:$B,MATCH("P050182|I",'CoQ Register'!$S:$S,0)),"—")</f>
        <v/>
      </c>
      <c r="O24" s="2" t="inlineStr">
        <is>
          <t>iCoA-PP-2025-0016</t>
        </is>
      </c>
      <c r="P24" s="2" t="inlineStr">
        <is>
          <t>03.10.2025</t>
        </is>
      </c>
      <c r="Q24" s="2" t="inlineStr">
        <is>
          <t>21.08.2025 – 23.08.2025</t>
        </is>
      </c>
      <c r="R24" s="2" t="inlineStr">
        <is>
          <t>03.10.2025 – 09.10.2025</t>
        </is>
      </c>
      <c r="S24" s="5">
        <f>IFERROR(INDEX('CoQ Register'!$D:$D,MATCH("P050182|I",'CoQ Register'!$S:$S,0)),"")</f>
        <v/>
      </c>
      <c r="T24" s="2" t="inlineStr">
        <is>
          <t>Conforms</t>
        </is>
      </c>
      <c r="U24" s="2" t="inlineStr">
        <is>
          <t>Conforms</t>
        </is>
      </c>
      <c r="V24" s="2" t="inlineStr">
        <is>
          <t>Conforms</t>
        </is>
      </c>
      <c r="W24" s="2" t="inlineStr">
        <is>
          <t>ППК25278, (19.09.2025) [CNP]</t>
        </is>
      </c>
      <c r="X24" s="2" t="inlineStr">
        <is>
          <t>—</t>
        </is>
      </c>
      <c r="Y24" s="2" t="inlineStr">
        <is>
          <t>—</t>
        </is>
      </c>
      <c r="Z24" s="2" t="inlineStr">
        <is>
          <t>—</t>
        </is>
      </c>
      <c r="AA24" s="2" t="inlineStr">
        <is>
          <t>P050182|I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BSS052501</t>
        </is>
      </c>
      <c r="J25" s="2" t="inlineStr">
        <is>
          <t>P050192</t>
        </is>
      </c>
      <c r="K25" s="2" t="inlineStr">
        <is>
          <t>Blue Sunset Sherbet</t>
        </is>
      </c>
      <c r="L25" s="2" t="inlineStr">
        <is>
          <t>Ident A + Ident B + #4 + #5 + Foreign matter + #8</t>
        </is>
      </c>
      <c r="M25" s="6" t="inlineStr">
        <is>
          <t>—</t>
        </is>
      </c>
      <c r="N25" s="2">
        <f>IFERROR(INDEX('CoQ Register'!$B:$B,MATCH("P050192|I",'CoQ Register'!$S:$S,0)),"—")</f>
        <v/>
      </c>
      <c r="O25" s="2" t="inlineStr">
        <is>
          <t>iCoA-PP-2025-0017</t>
        </is>
      </c>
      <c r="P25" s="2" t="inlineStr">
        <is>
          <t>10.10.2025</t>
        </is>
      </c>
      <c r="Q25" s="2" t="inlineStr">
        <is>
          <t>01.09.2025 – 03.09.2025</t>
        </is>
      </c>
      <c r="R25" s="2" t="inlineStr">
        <is>
          <t>10.10.2025 – 21.10.2025</t>
        </is>
      </c>
      <c r="S25" s="5">
        <f>IFERROR(INDEX('CoQ Register'!$D:$D,MATCH("P050192|I",'CoQ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P050192|I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GP062501</t>
        </is>
      </c>
      <c r="J26" s="2" t="inlineStr">
        <is>
          <t>P050202</t>
        </is>
      </c>
      <c r="K26" s="2" t="inlineStr">
        <is>
          <t>Grape Pie</t>
        </is>
      </c>
      <c r="L26" s="2" t="inlineStr">
        <is>
          <t>Ident A + Ident B + #4 + #5 + Foreign matter + #8</t>
        </is>
      </c>
      <c r="M26" s="6" t="inlineStr">
        <is>
          <t>—</t>
        </is>
      </c>
      <c r="N26" s="2">
        <f>IFERROR(INDEX('CoQ Register'!$B:$B,MATCH("P050202|I",'CoQ Register'!$S:$S,0)),"—")</f>
        <v/>
      </c>
      <c r="O26" s="6" t="inlineStr">
        <is>
          <t>—</t>
        </is>
      </c>
      <c r="P26" s="2" t="inlineStr">
        <is>
          <t>11.05.2026</t>
        </is>
      </c>
      <c r="Q26" s="2" t="inlineStr">
        <is>
          <t>15.09.2025 – 17.09.2025</t>
        </is>
      </c>
      <c r="R26" s="2" t="inlineStr">
        <is>
          <t>30.10.2025 – 07.11.2025 (the issuance plan's basis: 11.05.2026)</t>
        </is>
      </c>
      <c r="S26" s="5">
        <f>IFERROR(INDEX('CoQ Register'!$D:$D,MATCH("P050202|I",'CoQ Register'!$S:$S,0)),"")</f>
        <v/>
      </c>
      <c r="T26" s="2" t="inlineStr">
        <is>
          <t>Conforms</t>
        </is>
      </c>
      <c r="U26" s="2" t="inlineStr">
        <is>
          <t>Conforms</t>
        </is>
      </c>
      <c r="V26" s="2" t="inlineStr">
        <is>
          <t>Conforms</t>
        </is>
      </c>
      <c r="W26" s="2" t="inlineStr">
        <is>
          <t>NGP-QCG-SOP-024 F3, (28.11.2025) [NGP]</t>
        </is>
      </c>
      <c r="X26" s="2" t="inlineStr">
        <is>
          <t>—</t>
        </is>
      </c>
      <c r="Y26" s="2" t="inlineStr">
        <is>
          <t>—</t>
        </is>
      </c>
      <c r="Z26" s="2" t="inlineStr">
        <is>
          <t>—</t>
        </is>
      </c>
      <c r="AA26" s="2" t="inlineStr">
        <is>
          <t>P050202|I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CJ062501/2</t>
        </is>
      </c>
      <c r="J27" s="2" t="inlineStr">
        <is>
          <t>P050212</t>
        </is>
      </c>
      <c r="K27" s="2" t="inlineStr">
        <is>
          <t>Cap Junky</t>
        </is>
      </c>
      <c r="L27" s="2" t="inlineStr">
        <is>
          <t>Ident A + Ident B + Foreign matter</t>
        </is>
      </c>
      <c r="M27" s="6" t="inlineStr">
        <is>
          <t>—</t>
        </is>
      </c>
      <c r="N27" s="2">
        <f>IFERROR(INDEX('CoQ Register'!$B:$B,MATCH("P050212|I",'CoQ Register'!$S:$S,0)),"—")</f>
        <v/>
      </c>
      <c r="O27" s="6" t="inlineStr">
        <is>
          <t>—</t>
        </is>
      </c>
      <c r="P27" s="2" t="inlineStr">
        <is>
          <t>24.01.2026</t>
        </is>
      </c>
      <c r="Q27" s="2" t="inlineStr">
        <is>
          <t>23.09.2025 – 24.09.2025</t>
        </is>
      </c>
      <c r="R27" s="2" t="inlineStr">
        <is>
          <t>18.11.2025 – 24.11.2025 (the issuance plan's basis: 24.01.2026)</t>
        </is>
      </c>
      <c r="S27" s="5">
        <f>IFERROR(INDEX('CoQ Register'!$D:$D,MATCH("P050212|I",'CoQ Register'!$S:$S,0)),"")</f>
        <v/>
      </c>
      <c r="T27" s="2" t="inlineStr">
        <is>
          <t>Conforms</t>
        </is>
      </c>
      <c r="U27" s="2" t="inlineStr">
        <is>
          <t>Conforms</t>
        </is>
      </c>
      <c r="V27" s="2" t="inlineStr">
        <is>
          <t>Conforms</t>
        </is>
      </c>
      <c r="W27" s="2" t="inlineStr">
        <is>
          <t>ППК25322, (23.10.2025) [CNP]</t>
        </is>
      </c>
      <c r="X27" s="2" t="inlineStr">
        <is>
          <t>—</t>
        </is>
      </c>
      <c r="Y27" s="2" t="inlineStr">
        <is>
          <t>—</t>
        </is>
      </c>
      <c r="Z27" s="2" t="inlineStr">
        <is>
          <t>—</t>
        </is>
      </c>
      <c r="AA27" s="2" t="inlineStr">
        <is>
          <t>P050212|I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CJ062501/1</t>
        </is>
      </c>
      <c r="J28" s="2" t="inlineStr">
        <is>
          <t>P050222</t>
        </is>
      </c>
      <c r="K28" s="2" t="inlineStr">
        <is>
          <t>Cap Junky</t>
        </is>
      </c>
      <c r="L28" s="2" t="inlineStr">
        <is>
          <t>Ident A + Ident B + Foreign matter</t>
        </is>
      </c>
      <c r="M28" s="6" t="inlineStr">
        <is>
          <t>—</t>
        </is>
      </c>
      <c r="N28" s="2">
        <f>IFERROR(INDEX('CoQ Register'!$B:$B,MATCH("P050222|I",'CoQ Register'!$S:$S,0)),"—")</f>
        <v/>
      </c>
      <c r="O28" s="2" t="inlineStr">
        <is>
          <t>iCoA-PP-2025-0018</t>
        </is>
      </c>
      <c r="P28" s="2" t="inlineStr">
        <is>
          <t>24.11.2025</t>
        </is>
      </c>
      <c r="Q28" s="2" t="inlineStr">
        <is>
          <t>23.09.2025</t>
        </is>
      </c>
      <c r="R28" s="2" t="inlineStr">
        <is>
          <t>24.11.2025 – 25.11.2025</t>
        </is>
      </c>
      <c r="S28" s="5">
        <f>IFERROR(INDEX('CoQ Register'!$D:$D,MATCH("P050222|I",'CoQ Register'!$S:$S,0)),"")</f>
        <v/>
      </c>
      <c r="T28" s="2" t="inlineStr">
        <is>
          <t>Conforms</t>
        </is>
      </c>
      <c r="U28" s="2" t="inlineStr">
        <is>
          <t>Conforms</t>
        </is>
      </c>
      <c r="V28" s="2" t="inlineStr">
        <is>
          <t>Conforms</t>
        </is>
      </c>
      <c r="W28" s="2" t="inlineStr">
        <is>
          <t>ППК25321, (23.10.2025) [CNP]</t>
        </is>
      </c>
      <c r="X28" s="2" t="inlineStr">
        <is>
          <t>—</t>
        </is>
      </c>
      <c r="Y28" s="2" t="inlineStr">
        <is>
          <t>—</t>
        </is>
      </c>
      <c r="Z28" s="2" t="inlineStr">
        <is>
          <t>—</t>
        </is>
      </c>
      <c r="AA28" s="2" t="inlineStr">
        <is>
          <t>P050222|I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CJ072501</t>
        </is>
      </c>
      <c r="J29" s="2" t="inlineStr">
        <is>
          <t>P050252</t>
        </is>
      </c>
      <c r="K29" s="2" t="inlineStr">
        <is>
          <t>Cap Junky</t>
        </is>
      </c>
      <c r="L29" s="2" t="inlineStr">
        <is>
          <t>Ident A + Ident B + Foreign matter</t>
        </is>
      </c>
      <c r="M29" s="6" t="inlineStr">
        <is>
          <t>—</t>
        </is>
      </c>
      <c r="N29" s="2">
        <f>IFERROR(INDEX('CoQ Register'!$B:$B,MATCH("P050252|I",'CoQ Register'!$S:$S,0)),"—")</f>
        <v/>
      </c>
      <c r="O29" s="6" t="inlineStr">
        <is>
          <t>—</t>
        </is>
      </c>
      <c r="P29" s="2" t="inlineStr">
        <is>
          <t>02.12.2025</t>
        </is>
      </c>
      <c r="Q29" s="2" t="inlineStr">
        <is>
          <t>27.10.2025</t>
        </is>
      </c>
      <c r="R29" s="2" t="inlineStr">
        <is>
          <t>27.11.2025 – 28.11.2025 (the issuance plan's basis: 02.12.2025)</t>
        </is>
      </c>
      <c r="S29" s="5">
        <f>IFERROR(INDEX('CoQ Register'!$D:$D,MATCH("P050252|I",'CoQ Register'!$S:$S,0)),"")</f>
        <v/>
      </c>
      <c r="T29" s="2" t="inlineStr">
        <is>
          <t>Conforms</t>
        </is>
      </c>
      <c r="U29" s="2" t="inlineStr">
        <is>
          <t>Conforms</t>
        </is>
      </c>
      <c r="V29" s="2" t="inlineStr">
        <is>
          <t>Conforms</t>
        </is>
      </c>
      <c r="W29" s="2" t="inlineStr">
        <is>
          <t>ППК25367, (28.11.2025) [CNP]</t>
        </is>
      </c>
      <c r="X29" s="2" t="inlineStr">
        <is>
          <t>—</t>
        </is>
      </c>
      <c r="Y29" s="2" t="inlineStr">
        <is>
          <t>—</t>
        </is>
      </c>
      <c r="Z29" s="2" t="inlineStr">
        <is>
          <t>—</t>
        </is>
      </c>
      <c r="AA29" s="2" t="inlineStr">
        <is>
          <t>P050252|I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WC072501</t>
        </is>
      </c>
      <c r="J30" s="2" t="inlineStr">
        <is>
          <t>P050262</t>
        </is>
      </c>
      <c r="K30" s="2" t="inlineStr">
        <is>
          <t>Wedding Crasher</t>
        </is>
      </c>
      <c r="L30" s="2" t="inlineStr">
        <is>
          <t>Ident A + Ident B + Foreign matter</t>
        </is>
      </c>
      <c r="M30" s="6" t="inlineStr">
        <is>
          <t>—</t>
        </is>
      </c>
      <c r="N30" s="2">
        <f>IFERROR(INDEX('CoQ Register'!$B:$B,MATCH("P050262|I",'CoQ Register'!$S:$S,0)),"—")</f>
        <v/>
      </c>
      <c r="O30" s="6" t="inlineStr">
        <is>
          <t>—</t>
        </is>
      </c>
      <c r="P30" s="2" t="inlineStr">
        <is>
          <t>02.12.2025</t>
        </is>
      </c>
      <c r="Q30" s="2" t="inlineStr">
        <is>
          <t>27.10.2025 – 28.10.2025</t>
        </is>
      </c>
      <c r="R30" s="2" t="inlineStr">
        <is>
          <t>01.12.2025 (the issuance plan's basis: 02.12.2025)</t>
        </is>
      </c>
      <c r="S30" s="5">
        <f>IFERROR(INDEX('CoQ Register'!$D:$D,MATCH("P050262|I",'CoQ Register'!$S:$S,0)),"")</f>
        <v/>
      </c>
      <c r="T30" s="2" t="inlineStr">
        <is>
          <t>Conforms</t>
        </is>
      </c>
      <c r="U30" s="2" t="inlineStr">
        <is>
          <t>Conforms</t>
        </is>
      </c>
      <c r="V30" s="2" t="inlineStr">
        <is>
          <t>Conforms</t>
        </is>
      </c>
      <c r="W30" s="2" t="inlineStr">
        <is>
          <t>ППК25369, (28.11.2025) [CNP]</t>
        </is>
      </c>
      <c r="X30" s="2" t="inlineStr">
        <is>
          <t>—</t>
        </is>
      </c>
      <c r="Y30" s="2" t="inlineStr">
        <is>
          <t>—</t>
        </is>
      </c>
      <c r="Z30" s="2" t="inlineStr">
        <is>
          <t>—</t>
        </is>
      </c>
      <c r="AA30" s="2" t="inlineStr">
        <is>
          <t>P050262|I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PM072501</t>
        </is>
      </c>
      <c r="J31" s="2" t="inlineStr">
        <is>
          <t>P050272</t>
        </is>
      </c>
      <c r="K31" s="2" t="inlineStr">
        <is>
          <t>Permanent Market</t>
        </is>
      </c>
      <c r="L31" s="2" t="inlineStr">
        <is>
          <t>Ident A + Ident B + Foreign matter</t>
        </is>
      </c>
      <c r="M31" s="6" t="inlineStr">
        <is>
          <t>—</t>
        </is>
      </c>
      <c r="N31" s="2">
        <f>IFERROR(INDEX('CoQ Register'!$B:$B,MATCH("P050272|I",'CoQ Register'!$S:$S,0)),"—")</f>
        <v/>
      </c>
      <c r="O31" s="6" t="inlineStr">
        <is>
          <t>—</t>
        </is>
      </c>
      <c r="P31" s="2" t="inlineStr">
        <is>
          <t>21.01.2026</t>
        </is>
      </c>
      <c r="Q31" s="2" t="inlineStr">
        <is>
          <t>27.10.2025</t>
        </is>
      </c>
      <c r="R31" s="2" t="inlineStr">
        <is>
          <t>02.12.2025 – 03.12.2025 (the issuance plan's basis: 21.01.2026)</t>
        </is>
      </c>
      <c r="S31" s="5">
        <f>IFERROR(INDEX('CoQ Register'!$D:$D,MATCH("P050272|I",'CoQ Register'!$S:$S,0)),"")</f>
        <v/>
      </c>
      <c r="T31" s="2" t="inlineStr">
        <is>
          <t>Conforms</t>
        </is>
      </c>
      <c r="U31" s="2" t="inlineStr">
        <is>
          <t>Conforms</t>
        </is>
      </c>
      <c r="V31" s="2" t="inlineStr">
        <is>
          <t>Conforms</t>
        </is>
      </c>
      <c r="W31" s="2" t="inlineStr">
        <is>
          <t>ППК25368, (28.11.2025) [CNP]</t>
        </is>
      </c>
      <c r="X31" s="2" t="inlineStr">
        <is>
          <t>—</t>
        </is>
      </c>
      <c r="Y31" s="2" t="inlineStr">
        <is>
          <t>—</t>
        </is>
      </c>
      <c r="Z31" s="2" t="inlineStr">
        <is>
          <t>—</t>
        </is>
      </c>
      <c r="AA31" s="2" t="inlineStr">
        <is>
          <t>P050272|I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CLE072501</t>
        </is>
      </c>
      <c r="J32" s="2" t="inlineStr">
        <is>
          <t>P050282</t>
        </is>
      </c>
      <c r="K32" s="2" t="inlineStr">
        <is>
          <t>Clemosa a bud</t>
        </is>
      </c>
      <c r="L32" s="2" t="inlineStr">
        <is>
          <t>Ident A + Ident B + Foreign matter</t>
        </is>
      </c>
      <c r="M32" s="6" t="inlineStr">
        <is>
          <t>—</t>
        </is>
      </c>
      <c r="N32" s="2">
        <f>IFERROR(INDEX('CoQ Register'!$B:$B,MATCH("P050282|I",'CoQ Register'!$S:$S,0)),"—")</f>
        <v/>
      </c>
      <c r="O32" s="2" t="inlineStr">
        <is>
          <t>iCoA-PP-2025-0019</t>
        </is>
      </c>
      <c r="P32" s="2" t="inlineStr">
        <is>
          <t>03.12.2025</t>
        </is>
      </c>
      <c r="Q32" s="2" t="inlineStr">
        <is>
          <t>28.10.2025</t>
        </is>
      </c>
      <c r="R32" s="2" t="inlineStr">
        <is>
          <t>03.12.2025 – 04.12.2025</t>
        </is>
      </c>
      <c r="S32" s="5">
        <f>IFERROR(INDEX('CoQ Register'!$D:$D,MATCH("P050282|I",'CoQ Register'!$S:$S,0)),"")</f>
        <v/>
      </c>
      <c r="T32" s="2" t="inlineStr">
        <is>
          <t>Conforms</t>
        </is>
      </c>
      <c r="U32" s="2" t="inlineStr">
        <is>
          <t>Conforms</t>
        </is>
      </c>
      <c r="V32" s="2" t="inlineStr">
        <is>
          <t>Conforms</t>
        </is>
      </c>
      <c r="W32" s="2" t="inlineStr">
        <is>
          <t>ППК25370, (28.11.2025) [CNP]</t>
        </is>
      </c>
      <c r="X32" s="2" t="inlineStr">
        <is>
          <t>—</t>
        </is>
      </c>
      <c r="Y32" s="2" t="inlineStr">
        <is>
          <t>—</t>
        </is>
      </c>
      <c r="Z32" s="2" t="inlineStr">
        <is>
          <t>—</t>
        </is>
      </c>
      <c r="AA32" s="2" t="inlineStr">
        <is>
          <t>P050282|I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GP072501/1</t>
        </is>
      </c>
      <c r="J33" s="2" t="inlineStr">
        <is>
          <t>P050292</t>
        </is>
      </c>
      <c r="K33" s="2" t="inlineStr">
        <is>
          <t>Grape Pie</t>
        </is>
      </c>
      <c r="L33" s="2" t="inlineStr">
        <is>
          <t>Ident A + Ident B + Foreign matter</t>
        </is>
      </c>
      <c r="M33" s="6" t="inlineStr">
        <is>
          <t>—</t>
        </is>
      </c>
      <c r="N33" s="2">
        <f>IFERROR(INDEX('CoQ Register'!$B:$B,MATCH("P050292|I",'CoQ Register'!$S:$S,0)),"—")</f>
        <v/>
      </c>
      <c r="O33" s="6" t="inlineStr">
        <is>
          <t>—</t>
        </is>
      </c>
      <c r="P33" s="2" t="inlineStr">
        <is>
          <t>21.01.2026</t>
        </is>
      </c>
      <c r="Q33" s="2" t="inlineStr">
        <is>
          <t>11.11.2025 – 13.11.2025</t>
        </is>
      </c>
      <c r="R33" s="2" t="inlineStr">
        <is>
          <t>15.12.2025 – 21.12.2025 (the issuance plan's basis: 21.01.2026)</t>
        </is>
      </c>
      <c r="S33" s="5">
        <f>IFERROR(INDEX('CoQ Register'!$D:$D,MATCH("P050292|I",'CoQ Register'!$S:$S,0)),"")</f>
        <v/>
      </c>
      <c r="T33" s="2" t="inlineStr">
        <is>
          <t>Conforms</t>
        </is>
      </c>
      <c r="U33" s="2" t="inlineStr">
        <is>
          <t>Conforms</t>
        </is>
      </c>
      <c r="V33" s="2" t="inlineStr">
        <is>
          <t>Conforms</t>
        </is>
      </c>
      <c r="W33" s="2" t="inlineStr">
        <is>
          <t>ППК25378, (12.12.2025) [CNP]</t>
        </is>
      </c>
      <c r="X33" s="2" t="inlineStr">
        <is>
          <t>—</t>
        </is>
      </c>
      <c r="Y33" s="2" t="inlineStr">
        <is>
          <t>—</t>
        </is>
      </c>
      <c r="Z33" s="2" t="inlineStr">
        <is>
          <t>—</t>
        </is>
      </c>
      <c r="AA33" s="2" t="inlineStr">
        <is>
          <t>P050292|I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GP072501/2</t>
        </is>
      </c>
      <c r="J34" s="2" t="inlineStr">
        <is>
          <t>P050302</t>
        </is>
      </c>
      <c r="K34" s="2" t="inlineStr">
        <is>
          <t>Grape Pie</t>
        </is>
      </c>
      <c r="L34" s="2" t="inlineStr">
        <is>
          <t>Ident A + Ident B + Foreign matter</t>
        </is>
      </c>
      <c r="M34" s="6" t="inlineStr">
        <is>
          <t>—</t>
        </is>
      </c>
      <c r="N34" s="2">
        <f>IFERROR(INDEX('CoQ Register'!$B:$B,MATCH("P050302|I",'CoQ Register'!$S:$S,0)),"—")</f>
        <v/>
      </c>
      <c r="O34" s="2" t="inlineStr">
        <is>
          <t>iCoA-PP-2025-0020</t>
        </is>
      </c>
      <c r="P34" s="2" t="inlineStr">
        <is>
          <t>22.12.2025</t>
        </is>
      </c>
      <c r="Q34" s="2" t="inlineStr">
        <is>
          <t>13.11.2025</t>
        </is>
      </c>
      <c r="R34" s="2" t="inlineStr">
        <is>
          <t>22.12.2025</t>
        </is>
      </c>
      <c r="S34" s="5">
        <f>IFERROR(INDEX('CoQ Register'!$D:$D,MATCH("P050302|I",'CoQ Register'!$S:$S,0)),"")</f>
        <v/>
      </c>
      <c r="T34" s="2" t="inlineStr">
        <is>
          <t>Conforms</t>
        </is>
      </c>
      <c r="U34" s="2" t="inlineStr">
        <is>
          <t>Conforms</t>
        </is>
      </c>
      <c r="V34" s="2" t="inlineStr">
        <is>
          <t>Conforms</t>
        </is>
      </c>
      <c r="W34" s="2" t="inlineStr">
        <is>
          <t>ППК25379, (12.12.2025) [CNP]</t>
        </is>
      </c>
      <c r="X34" s="2" t="inlineStr">
        <is>
          <t>—</t>
        </is>
      </c>
      <c r="Y34" s="2" t="inlineStr">
        <is>
          <t>—</t>
        </is>
      </c>
      <c r="Z34" s="2" t="inlineStr">
        <is>
          <t>—</t>
        </is>
      </c>
      <c r="AA34" s="2" t="inlineStr">
        <is>
          <t>P050302|I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GP082501/1</t>
        </is>
      </c>
      <c r="J35" s="2" t="inlineStr">
        <is>
          <t>P050312</t>
        </is>
      </c>
      <c r="K35" s="2" t="inlineStr">
        <is>
          <t>Grape Pie</t>
        </is>
      </c>
      <c r="L35" s="2" t="inlineStr">
        <is>
          <t>Ident A + Ident B + Foreign matter</t>
        </is>
      </c>
      <c r="M35" s="6" t="inlineStr">
        <is>
          <t>—</t>
        </is>
      </c>
      <c r="N35" s="2">
        <f>IFERROR(INDEX('CoQ Register'!$B:$B,MATCH("P050312|I",'CoQ Register'!$S:$S,0)),"—")</f>
        <v/>
      </c>
      <c r="O35" s="2" t="inlineStr">
        <is>
          <t>iCoA-PP-2025-0021</t>
        </is>
      </c>
      <c r="P35" s="2" t="inlineStr">
        <is>
          <t>23.12.2025</t>
        </is>
      </c>
      <c r="Q35" s="2" t="inlineStr">
        <is>
          <t>19.11.2025 – 20.11.2025</t>
        </is>
      </c>
      <c r="R35" s="2" t="inlineStr">
        <is>
          <t>23.12.2025 – 26.12.2025</t>
        </is>
      </c>
      <c r="S35" s="5">
        <f>IFERROR(INDEX('CoQ Register'!$D:$D,MATCH("P050312|I",'CoQ Register'!$S:$S,0)),"")</f>
        <v/>
      </c>
      <c r="T35" s="2" t="inlineStr">
        <is>
          <t>Conforms</t>
        </is>
      </c>
      <c r="U35" s="2" t="inlineStr">
        <is>
          <t>Conforms</t>
        </is>
      </c>
      <c r="V35" s="2" t="inlineStr">
        <is>
          <t>Conforms</t>
        </is>
      </c>
      <c r="W35" s="2" t="inlineStr">
        <is>
          <t>ППК25380, (12.12.2025) [CNP]</t>
        </is>
      </c>
      <c r="X35" s="2" t="inlineStr">
        <is>
          <t>—</t>
        </is>
      </c>
      <c r="Y35" s="2" t="inlineStr">
        <is>
          <t>—</t>
        </is>
      </c>
      <c r="Z35" s="2" t="inlineStr">
        <is>
          <t>—</t>
        </is>
      </c>
      <c r="AA35" s="2" t="inlineStr">
        <is>
          <t>P050312|I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GP082501/2</t>
        </is>
      </c>
      <c r="J36" s="2" t="inlineStr">
        <is>
          <t>P050322</t>
        </is>
      </c>
      <c r="K36" s="2" t="inlineStr">
        <is>
          <t>Grape Pie</t>
        </is>
      </c>
      <c r="L36" s="2" t="inlineStr">
        <is>
          <t>Ident A + Ident B + Foreign matter</t>
        </is>
      </c>
      <c r="M36" s="6" t="inlineStr">
        <is>
          <t>—</t>
        </is>
      </c>
      <c r="N36" s="2">
        <f>IFERROR(INDEX('CoQ Register'!$B:$B,MATCH("P050322|I",'CoQ Register'!$S:$S,0)),"—")</f>
        <v/>
      </c>
      <c r="O36" s="2" t="inlineStr">
        <is>
          <t>iCoA-PP-2025-0022</t>
        </is>
      </c>
      <c r="P36" s="2" t="inlineStr">
        <is>
          <t>26.12.2025</t>
        </is>
      </c>
      <c r="Q36" s="2" t="inlineStr">
        <is>
          <t>20.11.2025</t>
        </is>
      </c>
      <c r="R36" s="2" t="inlineStr">
        <is>
          <t>26.12.2025</t>
        </is>
      </c>
      <c r="S36" s="5">
        <f>IFERROR(INDEX('CoQ Register'!$D:$D,MATCH("P050322|I",'CoQ Register'!$S:$S,0)),"")</f>
        <v/>
      </c>
      <c r="T36" s="2" t="inlineStr">
        <is>
          <t>Conforms</t>
        </is>
      </c>
      <c r="U36" s="2" t="inlineStr">
        <is>
          <t>Conforms</t>
        </is>
      </c>
      <c r="V36" s="2" t="inlineStr">
        <is>
          <t>Conforms</t>
        </is>
      </c>
      <c r="W36" s="2" t="inlineStr">
        <is>
          <t>ППК25381, (12.12.2025) [CNP]</t>
        </is>
      </c>
      <c r="X36" s="2" t="inlineStr">
        <is>
          <t>—</t>
        </is>
      </c>
      <c r="Y36" s="2" t="inlineStr">
        <is>
          <t>—</t>
        </is>
      </c>
      <c r="Z36" s="2" t="inlineStr">
        <is>
          <t>—</t>
        </is>
      </c>
      <c r="AA36" s="2" t="inlineStr">
        <is>
          <t>P050322|I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WC082501</t>
        </is>
      </c>
      <c r="J37" s="2" t="inlineStr">
        <is>
          <t>P060012</t>
        </is>
      </c>
      <c r="K37" s="2" t="inlineStr">
        <is>
          <t>Wedding Crasher</t>
        </is>
      </c>
      <c r="L37" s="2" t="inlineStr">
        <is>
          <t>Ident A + Ident B + Foreign matter</t>
        </is>
      </c>
      <c r="M37" s="6" t="inlineStr">
        <is>
          <t>—</t>
        </is>
      </c>
      <c r="N37" s="2">
        <f>IFERROR(INDEX('CoQ Register'!$B:$B,MATCH("P060012|I",'CoQ Register'!$S:$S,0)),"—")</f>
        <v/>
      </c>
      <c r="O37" s="2" t="inlineStr">
        <is>
          <t>iCoA-PP-2026-0001</t>
        </is>
      </c>
      <c r="P37" s="2" t="inlineStr">
        <is>
          <t>13.01.2026</t>
        </is>
      </c>
      <c r="Q37" s="2" t="inlineStr">
        <is>
          <t>09.12.2025</t>
        </is>
      </c>
      <c r="R37" s="2" t="inlineStr">
        <is>
          <t>13.01.2026 – 14.01.2026</t>
        </is>
      </c>
      <c r="S37" s="5">
        <f>IFERROR(INDEX('CoQ Register'!$D:$D,MATCH("P060012|I",'CoQ Register'!$S:$S,0)),"")</f>
        <v/>
      </c>
      <c r="T37" s="2" t="inlineStr">
        <is>
          <t>Conforms</t>
        </is>
      </c>
      <c r="U37" s="2" t="inlineStr">
        <is>
          <t>Conforms</t>
        </is>
      </c>
      <c r="V37" s="2" t="inlineStr">
        <is>
          <t>Conforms</t>
        </is>
      </c>
      <c r="W37" s="2" t="inlineStr">
        <is>
          <t>ППК26001, (21.01.2026) [CNP]</t>
        </is>
      </c>
      <c r="X37" s="2" t="inlineStr">
        <is>
          <t>—</t>
        </is>
      </c>
      <c r="Y37" s="2" t="inlineStr">
        <is>
          <t>—</t>
        </is>
      </c>
      <c r="Z37" s="2" t="inlineStr">
        <is>
          <t>—</t>
        </is>
      </c>
      <c r="AA37" s="2" t="inlineStr">
        <is>
          <t>P060012|I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CJ082501/1</t>
        </is>
      </c>
      <c r="J38" s="2" t="inlineStr">
        <is>
          <t>P060022</t>
        </is>
      </c>
      <c r="K38" s="2" t="inlineStr">
        <is>
          <t>Cap Junky</t>
        </is>
      </c>
      <c r="L38" s="2" t="inlineStr">
        <is>
          <t>Ident A + Ident B + Foreign matter</t>
        </is>
      </c>
      <c r="M38" s="6" t="inlineStr">
        <is>
          <t>—</t>
        </is>
      </c>
      <c r="N38" s="2">
        <f>IFERROR(INDEX('CoQ Register'!$B:$B,MATCH("P060022|I",'CoQ Register'!$S:$S,0)),"—")</f>
        <v/>
      </c>
      <c r="O38" s="2" t="inlineStr">
        <is>
          <t>iCoA-PP-2026-0002</t>
        </is>
      </c>
      <c r="P38" s="2" t="inlineStr">
        <is>
          <t>16.01.2026</t>
        </is>
      </c>
      <c r="Q38" s="2" t="inlineStr">
        <is>
          <t>09.12.2025 – 10.12.2025</t>
        </is>
      </c>
      <c r="R38" s="2" t="inlineStr">
        <is>
          <t>16.01.2026</t>
        </is>
      </c>
      <c r="S38" s="5">
        <f>IFERROR(INDEX('CoQ Register'!$D:$D,MATCH("P060022|I",'CoQ Register'!$S:$S,0)),"")</f>
        <v/>
      </c>
      <c r="T38" s="2" t="inlineStr">
        <is>
          <t>Conforms</t>
        </is>
      </c>
      <c r="U38" s="2" t="inlineStr">
        <is>
          <t>Conforms</t>
        </is>
      </c>
      <c r="V38" s="2" t="inlineStr">
        <is>
          <t>Conforms</t>
        </is>
      </c>
      <c r="W38" s="2" t="inlineStr">
        <is>
          <t>ППК26002, (21.01.2026) [CNP]</t>
        </is>
      </c>
      <c r="X38" s="2" t="inlineStr">
        <is>
          <t>—</t>
        </is>
      </c>
      <c r="Y38" s="2" t="inlineStr">
        <is>
          <t>—</t>
        </is>
      </c>
      <c r="Z38" s="2" t="inlineStr">
        <is>
          <t>—</t>
        </is>
      </c>
      <c r="AA38" s="2" t="inlineStr">
        <is>
          <t>P060022|I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CJ082501/2</t>
        </is>
      </c>
      <c r="J39" s="2" t="inlineStr">
        <is>
          <t>P060032</t>
        </is>
      </c>
      <c r="K39" s="2" t="inlineStr">
        <is>
          <t>Cap Junky</t>
        </is>
      </c>
      <c r="L39" s="2" t="inlineStr">
        <is>
          <t>Ident A + Ident B + Foreign matter</t>
        </is>
      </c>
      <c r="M39" s="6" t="inlineStr">
        <is>
          <t>—</t>
        </is>
      </c>
      <c r="N39" s="2">
        <f>IFERROR(INDEX('CoQ Register'!$B:$B,MATCH("P060032|I",'CoQ Register'!$S:$S,0)),"—")</f>
        <v/>
      </c>
      <c r="O39" s="2" t="inlineStr">
        <is>
          <t>iCoA-PP-2026-0003</t>
        </is>
      </c>
      <c r="P39" s="2" t="inlineStr">
        <is>
          <t>29.01.2026</t>
        </is>
      </c>
      <c r="Q39" s="2" t="inlineStr">
        <is>
          <t>10.12.2025</t>
        </is>
      </c>
      <c r="R39" s="2" t="inlineStr">
        <is>
          <t>29.01.2026</t>
        </is>
      </c>
      <c r="S39" s="5">
        <f>IFERROR(INDEX('CoQ Register'!$D:$D,MATCH("P060032|I",'CoQ Register'!$S:$S,0)),"")</f>
        <v/>
      </c>
      <c r="T39" s="2" t="inlineStr">
        <is>
          <t>Conforms</t>
        </is>
      </c>
      <c r="U39" s="2" t="inlineStr">
        <is>
          <t>Conforms</t>
        </is>
      </c>
      <c r="V39" s="2" t="inlineStr">
        <is>
          <t>Conforms</t>
        </is>
      </c>
      <c r="W39" s="2" t="inlineStr">
        <is>
          <t>ППК26003, (21.01.2026) [CNP]</t>
        </is>
      </c>
      <c r="X39" s="2" t="inlineStr">
        <is>
          <t>—</t>
        </is>
      </c>
      <c r="Y39" s="2" t="inlineStr">
        <is>
          <t>—</t>
        </is>
      </c>
      <c r="Z39" s="2" t="inlineStr">
        <is>
          <t>—</t>
        </is>
      </c>
      <c r="AA39" s="2" t="inlineStr">
        <is>
          <t>P060032|I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OPM092501</t>
        </is>
      </c>
      <c r="J40" s="2" t="inlineStr">
        <is>
          <t>P060042</t>
        </is>
      </c>
      <c r="K40" s="2" t="inlineStr">
        <is>
          <t>Orange Punch Mimosa</t>
        </is>
      </c>
      <c r="L40" s="2" t="inlineStr">
        <is>
          <t>Ident A + Ident B + Foreign matter</t>
        </is>
      </c>
      <c r="M40" s="6" t="inlineStr">
        <is>
          <t>—</t>
        </is>
      </c>
      <c r="N40" s="2">
        <f>IFERROR(INDEX('CoQ Register'!$B:$B,MATCH("P060042|I",'CoQ Register'!$S:$S,0)),"—")</f>
        <v/>
      </c>
      <c r="O40" s="2" t="inlineStr">
        <is>
          <t>iCoA-PP-2026-0004</t>
        </is>
      </c>
      <c r="P40" s="2" t="inlineStr">
        <is>
          <t>29.01.2026</t>
        </is>
      </c>
      <c r="Q40" s="2" t="inlineStr">
        <is>
          <t>12.12.2025</t>
        </is>
      </c>
      <c r="R40" s="2" t="inlineStr">
        <is>
          <t>29.01.2026</t>
        </is>
      </c>
      <c r="S40" s="5">
        <f>IFERROR(INDEX('CoQ Register'!$D:$D,MATCH("P060042|I",'CoQ Register'!$S:$S,0)),"")</f>
        <v/>
      </c>
      <c r="T40" s="2" t="inlineStr">
        <is>
          <t>Conforms</t>
        </is>
      </c>
      <c r="U40" s="2" t="inlineStr">
        <is>
          <t>Conforms</t>
        </is>
      </c>
      <c r="V40" s="2" t="inlineStr">
        <is>
          <t>Conforms</t>
        </is>
      </c>
      <c r="W40" s="2" t="inlineStr">
        <is>
          <t>ППК26008, (21.01.2026) [CNP]</t>
        </is>
      </c>
      <c r="X40" s="2" t="inlineStr">
        <is>
          <t>—</t>
        </is>
      </c>
      <c r="Y40" s="2" t="inlineStr">
        <is>
          <t>—</t>
        </is>
      </c>
      <c r="Z40" s="2" t="inlineStr">
        <is>
          <t>—</t>
        </is>
      </c>
      <c r="AA40" s="2" t="inlineStr">
        <is>
          <t>P060042|I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AB092501</t>
        </is>
      </c>
      <c r="J41" s="2" t="inlineStr">
        <is>
          <t>P060052</t>
        </is>
      </c>
      <c r="K41" s="2" t="inlineStr">
        <is>
          <t>Apple and Banana</t>
        </is>
      </c>
      <c r="L41" s="2" t="inlineStr">
        <is>
          <t>Ident A + Ident B + Foreign matter</t>
        </is>
      </c>
      <c r="M41" s="6" t="inlineStr">
        <is>
          <t>—</t>
        </is>
      </c>
      <c r="N41" s="2">
        <f>IFERROR(INDEX('CoQ Register'!$B:$B,MATCH("P060052|I",'CoQ Register'!$S:$S,0)),"—")</f>
        <v/>
      </c>
      <c r="O41" s="6" t="inlineStr">
        <is>
          <t>—</t>
        </is>
      </c>
      <c r="P41" s="2" t="inlineStr">
        <is>
          <t>20.02.2026</t>
        </is>
      </c>
      <c r="Q41" s="2" t="inlineStr">
        <is>
          <t>11.12.2025</t>
        </is>
      </c>
      <c r="R41" s="2" t="inlineStr">
        <is>
          <t>30.01.2026 (the issuance plan's basis: 20.02.2026)</t>
        </is>
      </c>
      <c r="S41" s="5">
        <f>IFERROR(INDEX('CoQ Register'!$D:$D,MATCH("P060052|I",'CoQ Register'!$S:$S,0)),"")</f>
        <v/>
      </c>
      <c r="T41" s="2" t="inlineStr">
        <is>
          <t>Conforms</t>
        </is>
      </c>
      <c r="U41" s="2" t="inlineStr">
        <is>
          <t>Conforms</t>
        </is>
      </c>
      <c r="V41" s="2" t="inlineStr">
        <is>
          <t>Conforms</t>
        </is>
      </c>
      <c r="W41" s="2" t="inlineStr">
        <is>
          <t>ППК26005, (21.01.2026) [CNP]</t>
        </is>
      </c>
      <c r="X41" s="2" t="inlineStr">
        <is>
          <t>—</t>
        </is>
      </c>
      <c r="Y41" s="2" t="inlineStr">
        <is>
          <t>—</t>
        </is>
      </c>
      <c r="Z41" s="2" t="inlineStr">
        <is>
          <t>—</t>
        </is>
      </c>
      <c r="AA41" s="2" t="inlineStr">
        <is>
          <t>P060052|I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PM092501</t>
        </is>
      </c>
      <c r="J42" s="2" t="inlineStr">
        <is>
          <t>P060062</t>
        </is>
      </c>
      <c r="K42" s="2" t="inlineStr">
        <is>
          <t>Permanent Market</t>
        </is>
      </c>
      <c r="L42" s="2" t="inlineStr">
        <is>
          <t>Ident A + Ident B + Foreign matter</t>
        </is>
      </c>
      <c r="M42" s="6" t="inlineStr">
        <is>
          <t>—</t>
        </is>
      </c>
      <c r="N42" s="2">
        <f>IFERROR(INDEX('CoQ Register'!$B:$B,MATCH("P060062|I",'CoQ Register'!$S:$S,0)),"—")</f>
        <v/>
      </c>
      <c r="O42" s="2" t="inlineStr">
        <is>
          <t>iCoA-PP-2026-0005</t>
        </is>
      </c>
      <c r="P42" s="2" t="inlineStr">
        <is>
          <t>30.01.2026</t>
        </is>
      </c>
      <c r="Q42" s="2" t="inlineStr">
        <is>
          <t>11.12.2025</t>
        </is>
      </c>
      <c r="R42" s="2" t="inlineStr">
        <is>
          <t>30.01.2026</t>
        </is>
      </c>
      <c r="S42" s="5">
        <f>IFERROR(INDEX('CoQ Register'!$D:$D,MATCH("P060062|I",'CoQ Register'!$S:$S,0)),"")</f>
        <v/>
      </c>
      <c r="T42" s="2" t="inlineStr">
        <is>
          <t>Conforms</t>
        </is>
      </c>
      <c r="U42" s="2" t="inlineStr">
        <is>
          <t>Conforms</t>
        </is>
      </c>
      <c r="V42" s="2" t="inlineStr">
        <is>
          <t>Conforms</t>
        </is>
      </c>
      <c r="W42" s="2" t="inlineStr">
        <is>
          <t>ППК26004, (21.01.2026) [CNP]</t>
        </is>
      </c>
      <c r="X42" s="2" t="inlineStr">
        <is>
          <t>—</t>
        </is>
      </c>
      <c r="Y42" s="2" t="inlineStr">
        <is>
          <t>—</t>
        </is>
      </c>
      <c r="Z42" s="2" t="inlineStr">
        <is>
          <t>—</t>
        </is>
      </c>
      <c r="AA42" s="2" t="inlineStr">
        <is>
          <t>P060062|I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CJ092501</t>
        </is>
      </c>
      <c r="J43" s="2" t="inlineStr">
        <is>
          <t>P060072</t>
        </is>
      </c>
      <c r="K43" s="2" t="inlineStr">
        <is>
          <t>Cap Junky</t>
        </is>
      </c>
      <c r="L43" s="2" t="inlineStr">
        <is>
          <t>Ident A + Ident B + Foreign matter</t>
        </is>
      </c>
      <c r="M43" s="6" t="inlineStr">
        <is>
          <t>—</t>
        </is>
      </c>
      <c r="N43" s="2">
        <f>IFERROR(INDEX('CoQ Register'!$B:$B,MATCH("P060072|I",'CoQ Register'!$S:$S,0)),"—")</f>
        <v/>
      </c>
      <c r="O43" s="2" t="inlineStr">
        <is>
          <t>iCoA-PP-2026-0006</t>
        </is>
      </c>
      <c r="P43" s="2" t="inlineStr">
        <is>
          <t>02.02.2026</t>
        </is>
      </c>
      <c r="Q43" s="2" t="inlineStr">
        <is>
          <t>12.12.2025</t>
        </is>
      </c>
      <c r="R43" s="2" t="inlineStr">
        <is>
          <t>02.02.2026</t>
        </is>
      </c>
      <c r="S43" s="5">
        <f>IFERROR(INDEX('CoQ Register'!$D:$D,MATCH("P060072|I",'CoQ Register'!$S:$S,0)),"")</f>
        <v/>
      </c>
      <c r="T43" s="2" t="inlineStr">
        <is>
          <t>Conforms</t>
        </is>
      </c>
      <c r="U43" s="2" t="inlineStr">
        <is>
          <t>Conforms</t>
        </is>
      </c>
      <c r="V43" s="2" t="inlineStr">
        <is>
          <t>Conforms</t>
        </is>
      </c>
      <c r="W43" s="2" t="inlineStr">
        <is>
          <t>ППК26007, (21.01.2026) [CNP]</t>
        </is>
      </c>
      <c r="X43" s="2" t="inlineStr">
        <is>
          <t>—</t>
        </is>
      </c>
      <c r="Y43" s="2" t="inlineStr">
        <is>
          <t>—</t>
        </is>
      </c>
      <c r="Z43" s="2" t="inlineStr">
        <is>
          <t>—</t>
        </is>
      </c>
      <c r="AA43" s="2" t="inlineStr">
        <is>
          <t>P060072|I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SJ0925021</t>
        </is>
      </c>
      <c r="J44" s="2" t="inlineStr">
        <is>
          <t>P060082</t>
        </is>
      </c>
      <c r="K44" s="2" t="inlineStr">
        <is>
          <t>Sleepy Joy</t>
        </is>
      </c>
      <c r="L44" s="2" t="inlineStr">
        <is>
          <t>Ident A + Ident B + Foreign matter</t>
        </is>
      </c>
      <c r="M44" s="6" t="inlineStr">
        <is>
          <t>—</t>
        </is>
      </c>
      <c r="N44" s="2">
        <f>IFERROR(INDEX('CoQ Register'!$B:$B,MATCH("P060082|I",'CoQ Register'!$S:$S,0)),"—")</f>
        <v/>
      </c>
      <c r="O44" s="2" t="inlineStr">
        <is>
          <t>iCoA-PP-2026-0007</t>
        </is>
      </c>
      <c r="P44" s="2" t="inlineStr">
        <is>
          <t>02.02.2026</t>
        </is>
      </c>
      <c r="Q44" s="2" t="inlineStr">
        <is>
          <t>11.12.2025 – 12.12.2025</t>
        </is>
      </c>
      <c r="R44" s="2" t="inlineStr">
        <is>
          <t>02.02.2026</t>
        </is>
      </c>
      <c r="S44" s="5">
        <f>IFERROR(INDEX('CoQ Register'!$D:$D,MATCH("P060082|I",'CoQ Register'!$S:$S,0)),"")</f>
        <v/>
      </c>
      <c r="T44" s="2" t="inlineStr">
        <is>
          <t>Conforms</t>
        </is>
      </c>
      <c r="U44" s="2" t="inlineStr">
        <is>
          <t>Conforms</t>
        </is>
      </c>
      <c r="V44" s="2" t="inlineStr">
        <is>
          <t>Conforms</t>
        </is>
      </c>
      <c r="W44" s="2" t="inlineStr">
        <is>
          <t>ППК26006, (21.01.2026) [CNP]</t>
        </is>
      </c>
      <c r="X44" s="2" t="inlineStr">
        <is>
          <t>—</t>
        </is>
      </c>
      <c r="Y44" s="2" t="inlineStr">
        <is>
          <t>—</t>
        </is>
      </c>
      <c r="Z44" s="2" t="inlineStr">
        <is>
          <t>—</t>
        </is>
      </c>
      <c r="AA44" s="2" t="inlineStr">
        <is>
          <t>P060082|I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GP092501</t>
        </is>
      </c>
      <c r="J45" s="2" t="inlineStr">
        <is>
          <t>P060092</t>
        </is>
      </c>
      <c r="K45" s="2" t="inlineStr">
        <is>
          <t>Grape Pie</t>
        </is>
      </c>
      <c r="L45" s="2" t="inlineStr">
        <is>
          <t>Ident A + Ident B + Foreign matter</t>
        </is>
      </c>
      <c r="M45" s="6" t="inlineStr">
        <is>
          <t>—</t>
        </is>
      </c>
      <c r="N45" s="2">
        <f>IFERROR(INDEX('CoQ Register'!$B:$B,MATCH("P060092|I",'CoQ Register'!$S:$S,0)),"—")</f>
        <v/>
      </c>
      <c r="O45" s="2" t="inlineStr">
        <is>
          <t>iCoA-PP-2026-0008</t>
        </is>
      </c>
      <c r="P45" s="2" t="inlineStr">
        <is>
          <t>03.02.2026</t>
        </is>
      </c>
      <c r="Q45" s="2" t="inlineStr">
        <is>
          <t>16.12.2025 – 17.12.2025</t>
        </is>
      </c>
      <c r="R45" s="2" t="inlineStr">
        <is>
          <t>03.02.2026 – 09.02.2026</t>
        </is>
      </c>
      <c r="S45" s="5">
        <f>IFERROR(INDEX('CoQ Register'!$D:$D,MATCH("P060092|I",'CoQ Register'!$S:$S,0)),"")</f>
        <v/>
      </c>
      <c r="T45" s="2" t="inlineStr">
        <is>
          <t>Conforms</t>
        </is>
      </c>
      <c r="U45" s="2" t="inlineStr">
        <is>
          <t>Conforms</t>
        </is>
      </c>
      <c r="V45" s="2" t="inlineStr">
        <is>
          <t>Conforms</t>
        </is>
      </c>
      <c r="W45" s="2" t="inlineStr">
        <is>
          <t>ППК26009, (21.01.2026) [CNP]</t>
        </is>
      </c>
      <c r="X45" s="2" t="inlineStr">
        <is>
          <t>—</t>
        </is>
      </c>
      <c r="Y45" s="2" t="inlineStr">
        <is>
          <t>—</t>
        </is>
      </c>
      <c r="Z45" s="2" t="inlineStr">
        <is>
          <t>—</t>
        </is>
      </c>
      <c r="AA45" s="2" t="inlineStr">
        <is>
          <t>P060092|I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WED102501</t>
        </is>
      </c>
      <c r="J46" s="2" t="inlineStr">
        <is>
          <t>P060102</t>
        </is>
      </c>
      <c r="K46" s="2" t="inlineStr">
        <is>
          <t>Wedding Cake</t>
        </is>
      </c>
      <c r="L46" s="2" t="inlineStr">
        <is>
          <t>Ident A + Ident B + Foreign matter</t>
        </is>
      </c>
      <c r="M46" s="6" t="inlineStr">
        <is>
          <t>—</t>
        </is>
      </c>
      <c r="N46" s="2">
        <f>IFERROR(INDEX('CoQ Register'!$B:$B,MATCH("P060102|I",'CoQ Register'!$S:$S,0)),"—")</f>
        <v/>
      </c>
      <c r="O46" s="6" t="inlineStr">
        <is>
          <t>—</t>
        </is>
      </c>
      <c r="P46" s="2" t="inlineStr">
        <is>
          <t>16.02.2026</t>
        </is>
      </c>
      <c r="Q46" s="2" t="inlineStr">
        <is>
          <t>08.01.2026</t>
        </is>
      </c>
      <c r="R46" s="2" t="inlineStr">
        <is>
          <t>16.02.2026</t>
        </is>
      </c>
      <c r="S46" s="5">
        <f>IFERROR(INDEX('CoQ Register'!$D:$D,MATCH("P060102|I",'CoQ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P060102|I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PUM102501</t>
        </is>
      </c>
      <c r="J47" s="2" t="inlineStr">
        <is>
          <t>P060112</t>
        </is>
      </c>
      <c r="K47" s="2" t="inlineStr">
        <is>
          <t>Pure Michigen</t>
        </is>
      </c>
      <c r="L47" s="2" t="inlineStr">
        <is>
          <t>Ident A + Ident B + Foreign matter</t>
        </is>
      </c>
      <c r="M47" s="6" t="inlineStr">
        <is>
          <t>—</t>
        </is>
      </c>
      <c r="N47" s="2">
        <f>IFERROR(INDEX('CoQ Register'!$B:$B,MATCH("P060112|I",'CoQ Register'!$S:$S,0)),"—")</f>
        <v/>
      </c>
      <c r="O47" s="2" t="inlineStr">
        <is>
          <t>iCoA-PP-2026-0009</t>
        </is>
      </c>
      <c r="P47" s="2" t="inlineStr">
        <is>
          <t>17.02.2026</t>
        </is>
      </c>
      <c r="Q47" s="2" t="inlineStr">
        <is>
          <t>08.01.2026 – 09.01.2026</t>
        </is>
      </c>
      <c r="R47" s="2" t="inlineStr">
        <is>
          <t>17.02.2026</t>
        </is>
      </c>
      <c r="S47" s="5">
        <f>IFERROR(INDEX('CoQ Register'!$D:$D,MATCH("P060112|I",'CoQ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P060112|I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ACC102501</t>
        </is>
      </c>
      <c r="J48" s="2" t="inlineStr">
        <is>
          <t>P060122</t>
        </is>
      </c>
      <c r="K48" s="2" t="inlineStr">
        <is>
          <t>Amnesia Core Cut</t>
        </is>
      </c>
      <c r="L48" s="2" t="inlineStr">
        <is>
          <t>Ident A + Ident B + Foreign matter</t>
        </is>
      </c>
      <c r="M48" s="6" t="inlineStr">
        <is>
          <t>—</t>
        </is>
      </c>
      <c r="N48" s="2">
        <f>IFERROR(INDEX('CoQ Register'!$B:$B,MATCH("P060122|I",'CoQ Register'!$S:$S,0)),"—")</f>
        <v/>
      </c>
      <c r="O48" s="2" t="inlineStr">
        <is>
          <t>iCoA-PP-2026-0010</t>
        </is>
      </c>
      <c r="P48" s="2" t="inlineStr">
        <is>
          <t>18.02.2026</t>
        </is>
      </c>
      <c r="Q48" s="2" t="inlineStr">
        <is>
          <t>09.01.2026</t>
        </is>
      </c>
      <c r="R48" s="2" t="inlineStr">
        <is>
          <t>18.02.2026 – 19.02.2026</t>
        </is>
      </c>
      <c r="S48" s="5">
        <f>IFERROR(INDEX('CoQ Register'!$D:$D,MATCH("P060122|I",'CoQ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P060122|I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CF102501</t>
        </is>
      </c>
      <c r="J49" s="2" t="inlineStr">
        <is>
          <t>P060132</t>
        </is>
      </c>
      <c r="K49" s="2" t="inlineStr">
        <is>
          <t>Chem Flyer</t>
        </is>
      </c>
      <c r="L49" s="2" t="inlineStr">
        <is>
          <t>Ident A + Ident B + Foreign matter</t>
        </is>
      </c>
      <c r="M49" s="6" t="inlineStr">
        <is>
          <t>—</t>
        </is>
      </c>
      <c r="N49" s="2">
        <f>IFERROR(INDEX('CoQ Register'!$B:$B,MATCH("P060132|I",'CoQ Register'!$S:$S,0)),"—")</f>
        <v/>
      </c>
      <c r="O49" s="2" t="inlineStr">
        <is>
          <t>iCoA-PP-2026-0011</t>
        </is>
      </c>
      <c r="P49" s="2" t="inlineStr">
        <is>
          <t>19.02.2026</t>
        </is>
      </c>
      <c r="Q49" s="2" t="inlineStr">
        <is>
          <t>09.01.2026</t>
        </is>
      </c>
      <c r="R49" s="2" t="inlineStr">
        <is>
          <t>19.02.2026 – 20.02.2026</t>
        </is>
      </c>
      <c r="S49" s="5">
        <f>IFERROR(INDEX('CoQ Register'!$D:$D,MATCH("P060132|I",'CoQ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P060132|I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GRC102501</t>
        </is>
      </c>
      <c r="J50" s="2" t="inlineStr">
        <is>
          <t>P060142</t>
        </is>
      </c>
      <c r="K50" s="2" t="inlineStr">
        <is>
          <t>Graps &amp; Creme</t>
        </is>
      </c>
      <c r="L50" s="2" t="inlineStr">
        <is>
          <t>Ident A + Ident B + Foreign matter</t>
        </is>
      </c>
      <c r="M50" s="6" t="inlineStr">
        <is>
          <t>—</t>
        </is>
      </c>
      <c r="N50" s="2">
        <f>IFERROR(INDEX('CoQ Register'!$B:$B,MATCH("P060142|I",'CoQ Register'!$S:$S,0)),"—")</f>
        <v/>
      </c>
      <c r="O50" s="6" t="inlineStr">
        <is>
          <t>—</t>
        </is>
      </c>
      <c r="P50" s="2" t="inlineStr">
        <is>
          <t>23.02.2026</t>
        </is>
      </c>
      <c r="Q50" s="2" t="inlineStr">
        <is>
          <t>09.01.2026</t>
        </is>
      </c>
      <c r="R50" s="2" t="inlineStr">
        <is>
          <t>23.02.2026</t>
        </is>
      </c>
      <c r="S50" s="5">
        <f>IFERROR(INDEX('CoQ Register'!$D:$D,MATCH("P060142|I",'CoQ Register'!$S:$S,0)),"")</f>
        <v/>
      </c>
      <c r="T50" s="2" t="inlineStr">
        <is>
          <t>Conforms</t>
        </is>
      </c>
      <c r="U50" s="2" t="inlineStr">
        <is>
          <t>Conforms</t>
        </is>
      </c>
      <c r="V50" s="2" t="inlineStr">
        <is>
          <t>Conforms</t>
        </is>
      </c>
      <c r="W50" s="2" t="inlineStr">
        <is>
          <t>— no cannabinoid certificate from the initial testing —</t>
        </is>
      </c>
      <c r="X50" s="2" t="inlineStr">
        <is>
          <t>—</t>
        </is>
      </c>
      <c r="Y50" s="2" t="inlineStr">
        <is>
          <t>—</t>
        </is>
      </c>
      <c r="Z50" s="2" t="inlineStr">
        <is>
          <t>—</t>
        </is>
      </c>
      <c r="AA50" s="2" t="inlineStr">
        <is>
          <t>P060142|I</t>
        </is>
      </c>
      <c r="AB50" s="7" t="inlineStr">
        <is>
          <t>registered — initial release,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1</t>
        </is>
      </c>
      <c r="I51" s="3" t="inlineStr">
        <is>
          <t>GP0824_02</t>
        </is>
      </c>
      <c r="J51" s="2" t="inlineStr">
        <is>
          <t>P050022</t>
        </is>
      </c>
      <c r="K51" s="2" t="inlineStr">
        <is>
          <t>Grape Pie</t>
        </is>
      </c>
      <c r="L51" s="2" t="inlineStr">
        <is>
          <t>Ident A + Ident B + Foreign matter</t>
        </is>
      </c>
      <c r="M51" s="6" t="inlineStr">
        <is>
          <t>—</t>
        </is>
      </c>
      <c r="N51" s="2">
        <f>IFERROR(INDEX('CoQ Register'!$B:$B,MATCH("P050022|R",'CoQ Register'!$S:$S,0)),"—")</f>
        <v/>
      </c>
      <c r="O51" s="6" t="inlineStr">
        <is>
          <t>—</t>
        </is>
      </c>
      <c r="P51" s="2" t="inlineStr">
        <is>
          <t>03.06.2026</t>
        </is>
      </c>
      <c r="Q51" s="2" t="inlineStr">
        <is>
          <t>22.04.2025 – 23.04.2025</t>
        </is>
      </c>
      <c r="R51" s="2" t="inlineStr">
        <is>
          <t>03.06.2025 – 11.06.2025</t>
        </is>
      </c>
      <c r="S51" s="5">
        <f>IFERROR(INDEX('CoQ Register'!$D:$D,MATCH("P050022|R",'CoQ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t>
        </is>
      </c>
      <c r="AB51" s="7" t="inlineStr">
        <is>
          <t>registered — retest 1,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GP0824_02</t>
        </is>
      </c>
      <c r="J52" s="2" t="inlineStr">
        <is>
          <t>P050022</t>
        </is>
      </c>
      <c r="K52" s="2" t="inlineStr">
        <is>
          <t>Grape Pie</t>
        </is>
      </c>
      <c r="L52" s="2" t="inlineStr">
        <is>
          <t>Ident A + Ident B + Foreign matter</t>
        </is>
      </c>
      <c r="M52" s="6" t="inlineStr">
        <is>
          <t>—</t>
        </is>
      </c>
      <c r="N52" s="2">
        <f>IFERROR(INDEX('CoQ Register'!$B:$B,MATCH("P050022|R2",'CoQ Register'!$S:$S,0)),"—")</f>
        <v/>
      </c>
      <c r="O52" s="6" t="inlineStr">
        <is>
          <t>—</t>
        </is>
      </c>
      <c r="P52" s="2" t="inlineStr">
        <is>
          <t>03.06.2026</t>
        </is>
      </c>
      <c r="Q52" s="2" t="inlineStr">
        <is>
          <t>22.04.2025 – 23.04.2025</t>
        </is>
      </c>
      <c r="R52" s="2" t="inlineStr">
        <is>
          <t>03.06.2025 – 11.06.2025</t>
        </is>
      </c>
      <c r="S52" s="5">
        <f>IFERROR(INDEX('CoQ Register'!$D:$D,MATCH("P050022|R2",'CoQ Register'!$S:$S,0)),"")</f>
        <v/>
      </c>
      <c r="T52" s="2" t="inlineStr">
        <is>
          <t>Conforms</t>
        </is>
      </c>
      <c r="U52" s="2" t="inlineStr">
        <is>
          <t>Conforms</t>
        </is>
      </c>
      <c r="V52" s="2" t="inlineStr">
        <is>
          <t>Conforms</t>
        </is>
      </c>
      <c r="W52" s="2" t="inlineStr">
        <is>
          <t>197-11-K-26, (07.08.2026) [FHM-K]</t>
        </is>
      </c>
      <c r="X52" s="2" t="inlineStr">
        <is>
          <t>197-11-K-26, (07.08.2026) [FHM-K]</t>
        </is>
      </c>
      <c r="Y52" s="2" t="inlineStr">
        <is>
          <t>197-11-M-26, (10.08.2026) [FHM-M]</t>
        </is>
      </c>
      <c r="Z52" s="2" t="inlineStr">
        <is>
          <t>#8, #9, #11, #12 from the initial testing</t>
        </is>
      </c>
      <c r="AA52" s="2" t="inlineStr">
        <is>
          <t>P050022|R2</t>
        </is>
      </c>
      <c r="AB52" s="7" t="inlineStr">
        <is>
          <t>registered — retest 2, issued 03.06.2026</t>
        </is>
      </c>
    </row>
    <row r="53">
      <c r="A53" s="2" t="n">
        <v>52</v>
      </c>
      <c r="B53" s="3" t="inlineStr">
        <is>
          <t>iCoA-PP_26-052</t>
        </is>
      </c>
      <c r="C53" s="4" t="inlineStr">
        <is>
          <t>yes</t>
        </is>
      </c>
      <c r="D53" s="5" t="n">
        <v>46176</v>
      </c>
      <c r="E53" s="5" t="n">
        <v>46086</v>
      </c>
      <c r="F53" s="5">
        <f>IFERROR(INDEX('Batch Dates'!$G:$G,MATCH(J53,'Batch Dates'!$C:$C,0)),IFERROR(INDEX('Batch Dates'!$G:$G,MATCH(I53,'Batch Dates'!$B:$B,0)),""))</f>
        <v/>
      </c>
      <c r="G53" s="2" t="inlineStr">
        <is>
          <t>legacy</t>
        </is>
      </c>
      <c r="H53" s="2" t="inlineStr">
        <is>
          <t>retest 2</t>
        </is>
      </c>
      <c r="I53" s="3" t="inlineStr">
        <is>
          <t>GP0824_03</t>
        </is>
      </c>
      <c r="J53" s="2" t="inlineStr">
        <is>
          <t>P050072</t>
        </is>
      </c>
      <c r="K53" s="2" t="inlineStr">
        <is>
          <t>Grape Pie</t>
        </is>
      </c>
      <c r="L53" s="2" t="inlineStr">
        <is>
          <t>Ident A + Ident B + Foreign matter</t>
        </is>
      </c>
      <c r="M53" s="6" t="inlineStr">
        <is>
          <t>—</t>
        </is>
      </c>
      <c r="N53" s="2">
        <f>IFERROR(INDEX('CoQ Register'!$B:$B,MATCH("P050072|R2",'CoQ Register'!$S:$S,0)),"—")</f>
        <v/>
      </c>
      <c r="O53" s="6" t="inlineStr">
        <is>
          <t>—</t>
        </is>
      </c>
      <c r="P53" s="2" t="inlineStr">
        <is>
          <t>14.07.2026</t>
        </is>
      </c>
      <c r="Q53" s="2" t="inlineStr">
        <is>
          <t>09.06.2025 – 10.06.2025</t>
        </is>
      </c>
      <c r="R53" s="2" t="inlineStr">
        <is>
          <t>14.07.2025 – 17.07.2025</t>
        </is>
      </c>
      <c r="S53" s="5">
        <f>IFERROR(INDEX('CoQ Register'!$D:$D,MATCH("P050072|R2",'CoQ Register'!$S:$S,0)),"")</f>
        <v/>
      </c>
      <c r="T53" s="2" t="inlineStr">
        <is>
          <t>Conforms</t>
        </is>
      </c>
      <c r="U53" s="2" t="inlineStr">
        <is>
          <t>Conforms</t>
        </is>
      </c>
      <c r="V53" s="2" t="inlineStr">
        <is>
          <t>Conforms</t>
        </is>
      </c>
      <c r="W53" s="2" t="inlineStr">
        <is>
          <t>220-11-K-26, (25.08.2026) [FHM-K]</t>
        </is>
      </c>
      <c r="X53" s="2" t="inlineStr">
        <is>
          <t>220-11-K-26, (25.08.2026) [FHM-K]</t>
        </is>
      </c>
      <c r="Y53" s="2" t="inlineStr">
        <is>
          <t>220-11-M-26, (11.09.2026) [FHM-M]</t>
        </is>
      </c>
      <c r="Z53" s="2" t="inlineStr">
        <is>
          <t>#8, #9, #11, #12 from the initial testing</t>
        </is>
      </c>
      <c r="AA53" s="2" t="inlineStr">
        <is>
          <t>P050072|R2</t>
        </is>
      </c>
      <c r="AB53" s="7" t="inlineStr">
        <is>
          <t>registered — retest 2,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J31102501</t>
        </is>
      </c>
      <c r="J54" s="2" t="inlineStr">
        <is>
          <t>P060152</t>
        </is>
      </c>
      <c r="K54" s="2" t="inlineStr">
        <is>
          <t>Jokerz 31</t>
        </is>
      </c>
      <c r="L54" s="2" t="inlineStr">
        <is>
          <t>Ident A + Ident B + Foreign matter</t>
        </is>
      </c>
      <c r="M54" s="6" t="inlineStr">
        <is>
          <t>—</t>
        </is>
      </c>
      <c r="N54" s="2">
        <f>IFERROR(INDEX('CoQ Register'!$B:$B,MATCH("P060152|I",'CoQ Register'!$S:$S,0)),"—")</f>
        <v/>
      </c>
      <c r="O54" s="2" t="inlineStr">
        <is>
          <t>iCoA-PP-2026-0012</t>
        </is>
      </c>
      <c r="P54" s="2" t="inlineStr">
        <is>
          <t>05.03.2026</t>
        </is>
      </c>
      <c r="Q54" s="2" t="inlineStr">
        <is>
          <t>21.01.2026</t>
        </is>
      </c>
      <c r="R54" s="2" t="inlineStr">
        <is>
          <t>05.03.2026</t>
        </is>
      </c>
      <c r="S54" s="5">
        <f>IFERROR(INDEX('CoQ Register'!$D:$D,MATCH("P060152|I",'CoQ Register'!$S:$S,0)),"")</f>
        <v/>
      </c>
      <c r="T54" s="2" t="inlineStr">
        <is>
          <t>Conforms</t>
        </is>
      </c>
      <c r="U54" s="2" t="inlineStr">
        <is>
          <t>Conforms</t>
        </is>
      </c>
      <c r="V54" s="2" t="inlineStr">
        <is>
          <t>Conforms</t>
        </is>
      </c>
      <c r="W54" s="2" t="inlineStr">
        <is>
          <t>051-1-K-26, (04.03.2026) [FHM-K]</t>
        </is>
      </c>
      <c r="X54" s="2" t="inlineStr">
        <is>
          <t>—</t>
        </is>
      </c>
      <c r="Y54" s="2" t="inlineStr">
        <is>
          <t>—</t>
        </is>
      </c>
      <c r="Z54" s="2" t="inlineStr">
        <is>
          <t>—</t>
        </is>
      </c>
      <c r="AA54" s="2" t="inlineStr">
        <is>
          <t>P060152|I</t>
        </is>
      </c>
      <c r="AB54" s="7" t="inlineStr">
        <is>
          <t>registered — initial release, issued 03.06.2026</t>
        </is>
      </c>
    </row>
    <row r="55">
      <c r="A55" s="2" t="n">
        <v>54</v>
      </c>
      <c r="B55" s="3" t="inlineStr">
        <is>
          <t>iCoA-PP_26-054</t>
        </is>
      </c>
      <c r="C55" s="4" t="inlineStr">
        <is>
          <t>yes</t>
        </is>
      </c>
      <c r="D55" s="5" t="n">
        <v>46176</v>
      </c>
      <c r="E55" s="5" t="n">
        <v>46087</v>
      </c>
      <c r="F55" s="5">
        <f>IFERROR(INDEX('Batch Dates'!$G:$G,MATCH(J55,'Batch Dates'!$C:$C,0)),IFERROR(INDEX('Batch Dates'!$G:$G,MATCH(I55,'Batch Dates'!$B:$B,0)),""))</f>
        <v/>
      </c>
      <c r="G55" s="2" t="inlineStr">
        <is>
          <t>legacy</t>
        </is>
      </c>
      <c r="H55" s="2" t="inlineStr">
        <is>
          <t>retest 1</t>
        </is>
      </c>
      <c r="I55" s="3" t="inlineStr">
        <is>
          <t>GRC102501</t>
        </is>
      </c>
      <c r="J55" s="2" t="inlineStr">
        <is>
          <t>P060182</t>
        </is>
      </c>
      <c r="K55" s="2" t="inlineStr">
        <is>
          <t>Graps &amp; Creme</t>
        </is>
      </c>
      <c r="L55" s="2" t="inlineStr">
        <is>
          <t>Ident A + Ident B + Foreign matter</t>
        </is>
      </c>
      <c r="M55" s="6" t="inlineStr">
        <is>
          <t>—</t>
        </is>
      </c>
      <c r="N55" s="2">
        <f>IFERROR(INDEX('CoQ Register'!$B:$B,MATCH("P060182|R",'CoQ Register'!$S:$S,0)),"—")</f>
        <v/>
      </c>
      <c r="O55" s="6" t="inlineStr">
        <is>
          <t>—</t>
        </is>
      </c>
      <c r="P55" s="2" t="inlineStr">
        <is>
          <t>14.03.2027</t>
        </is>
      </c>
      <c r="Q55" s="2" t="inlineStr">
        <is>
          <t>20.01.2026</t>
        </is>
      </c>
      <c r="R55" s="2" t="inlineStr">
        <is>
          <t>14.03.2026</t>
        </is>
      </c>
      <c r="S55" s="5">
        <f>IFERROR(INDEX('CoQ Register'!$D:$D,MATCH("P060182|R",'CoQ Register'!$S:$S,0)),"")</f>
        <v/>
      </c>
      <c r="T55" s="2" t="inlineStr">
        <is>
          <t>Conforms</t>
        </is>
      </c>
      <c r="U55" s="2" t="inlineStr">
        <is>
          <t>Conforms</t>
        </is>
      </c>
      <c r="V55" s="2" t="inlineStr">
        <is>
          <t>Conforms</t>
        </is>
      </c>
      <c r="W55" s="2" t="inlineStr">
        <is>
          <t>220-14-K-26, (25.08.2026) [FHM-K]</t>
        </is>
      </c>
      <c r="X55" s="2" t="inlineStr">
        <is>
          <t>220-14-K-26, (25.08.2026) [FHM-K]</t>
        </is>
      </c>
      <c r="Y55" s="2" t="inlineStr">
        <is>
          <t>220-14-M-26, (11.09.2026) [FHM-M]</t>
        </is>
      </c>
      <c r="Z55" s="2" t="inlineStr">
        <is>
          <t>#8, #9, #11, #12 from the initial testing</t>
        </is>
      </c>
      <c r="AA55" s="2" t="inlineStr">
        <is>
          <t>P060182|R</t>
        </is>
      </c>
      <c r="AB55" s="7" t="inlineStr">
        <is>
          <t>registered — retest 1,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SJ102501</t>
        </is>
      </c>
      <c r="J56" s="2" t="inlineStr">
        <is>
          <t>P060162</t>
        </is>
      </c>
      <c r="K56" s="2" t="inlineStr">
        <is>
          <t>Sleepy Joy</t>
        </is>
      </c>
      <c r="L56" s="2" t="inlineStr">
        <is>
          <t>Ident A + Ident B + Foreign matter</t>
        </is>
      </c>
      <c r="M56" s="6" t="inlineStr">
        <is>
          <t>—</t>
        </is>
      </c>
      <c r="N56" s="2">
        <f>IFERROR(INDEX('CoQ Register'!$B:$B,MATCH("P060162|I",'CoQ Register'!$S:$S,0)),"—")</f>
        <v/>
      </c>
      <c r="O56" s="6" t="inlineStr">
        <is>
          <t>—</t>
        </is>
      </c>
      <c r="P56" s="2" t="inlineStr">
        <is>
          <t>04.03.2026</t>
        </is>
      </c>
      <c r="Q56" s="2" t="inlineStr">
        <is>
          <t>20.01.2026</t>
        </is>
      </c>
      <c r="R56" s="2" t="inlineStr">
        <is>
          <t>09.03.2026 (the issuance plan's basis: 04.03.2026)</t>
        </is>
      </c>
      <c r="S56" s="5">
        <f>IFERROR(INDEX('CoQ Register'!$D:$D,MATCH("P060162|I",'CoQ Register'!$S:$S,0)),"")</f>
        <v/>
      </c>
      <c r="T56" s="2" t="inlineStr">
        <is>
          <t>Conforms</t>
        </is>
      </c>
      <c r="U56" s="2" t="inlineStr">
        <is>
          <t>Conforms</t>
        </is>
      </c>
      <c r="V56" s="2" t="inlineStr">
        <is>
          <t>Conforms</t>
        </is>
      </c>
      <c r="W56" s="2" t="inlineStr">
        <is>
          <t>051-3-K-26, (04.03.2026) [FHM-K]</t>
        </is>
      </c>
      <c r="X56" s="2" t="inlineStr">
        <is>
          <t>—</t>
        </is>
      </c>
      <c r="Y56" s="2" t="inlineStr">
        <is>
          <t>—</t>
        </is>
      </c>
      <c r="Z56" s="2" t="inlineStr">
        <is>
          <t>—</t>
        </is>
      </c>
      <c r="AA56" s="2" t="inlineStr">
        <is>
          <t>P060162|I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KC102501</t>
        </is>
      </c>
      <c r="J57" s="2" t="inlineStr">
        <is>
          <t>P060172</t>
        </is>
      </c>
      <c r="K57" s="2" t="inlineStr">
        <is>
          <t>Kush Crasher</t>
        </is>
      </c>
      <c r="L57" s="2" t="inlineStr">
        <is>
          <t>Ident A + Ident B + Foreign matter</t>
        </is>
      </c>
      <c r="M57" s="6" t="inlineStr">
        <is>
          <t>—</t>
        </is>
      </c>
      <c r="N57" s="2">
        <f>IFERROR(INDEX('CoQ Register'!$B:$B,MATCH("P060172|I",'CoQ Register'!$S:$S,0)),"—")</f>
        <v/>
      </c>
      <c r="O57" s="2" t="inlineStr">
        <is>
          <t>iCoA-PP-2026-0013</t>
        </is>
      </c>
      <c r="P57" s="2" t="inlineStr">
        <is>
          <t>12.03.2026</t>
        </is>
      </c>
      <c r="Q57" s="2" t="inlineStr">
        <is>
          <t>20.01.2026 – 21.01.2026</t>
        </is>
      </c>
      <c r="R57" s="2" t="inlineStr">
        <is>
          <t>12.03.2026</t>
        </is>
      </c>
      <c r="S57" s="5">
        <f>IFERROR(INDEX('CoQ Register'!$D:$D,MATCH("P060172|I",'CoQ Register'!$S:$S,0)),"")</f>
        <v/>
      </c>
      <c r="T57" s="2" t="inlineStr">
        <is>
          <t>Conforms</t>
        </is>
      </c>
      <c r="U57" s="2" t="inlineStr">
        <is>
          <t>Conforms</t>
        </is>
      </c>
      <c r="V57" s="2" t="inlineStr">
        <is>
          <t>Conforms</t>
        </is>
      </c>
      <c r="W57" s="2" t="inlineStr">
        <is>
          <t>051-4-K-26, (04.03.2026) [FHM-K]</t>
        </is>
      </c>
      <c r="X57" s="2" t="inlineStr">
        <is>
          <t>—</t>
        </is>
      </c>
      <c r="Y57" s="2" t="inlineStr">
        <is>
          <t>—</t>
        </is>
      </c>
      <c r="Z57" s="2" t="inlineStr">
        <is>
          <t>—</t>
        </is>
      </c>
      <c r="AA57" s="2" t="inlineStr">
        <is>
          <t>P060172|I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GRC102501</t>
        </is>
      </c>
      <c r="J58" s="2" t="inlineStr">
        <is>
          <t>P060182</t>
        </is>
      </c>
      <c r="K58" s="2" t="inlineStr">
        <is>
          <t>Graps &amp; Creme</t>
        </is>
      </c>
      <c r="L58" s="2" t="inlineStr">
        <is>
          <t>Ident A + Ident B + Foreign matter</t>
        </is>
      </c>
      <c r="M58" s="6" t="inlineStr">
        <is>
          <t>—</t>
        </is>
      </c>
      <c r="N58" s="2">
        <f>IFERROR(INDEX('CoQ Register'!$B:$B,MATCH("P060182|I",'CoQ Register'!$S:$S,0)),"—")</f>
        <v/>
      </c>
      <c r="O58" s="2" t="inlineStr">
        <is>
          <t>iCoA-PP-2026-0014</t>
        </is>
      </c>
      <c r="P58" s="2" t="inlineStr">
        <is>
          <t>14.03.2026</t>
        </is>
      </c>
      <c r="Q58" s="2" t="inlineStr">
        <is>
          <t>20.01.2026</t>
        </is>
      </c>
      <c r="R58" s="2" t="inlineStr">
        <is>
          <t>14.03.2026</t>
        </is>
      </c>
      <c r="S58" s="5">
        <f>IFERROR(INDEX('CoQ Register'!$D:$D,MATCH("P060182|I",'CoQ Register'!$S:$S,0)),"")</f>
        <v/>
      </c>
      <c r="T58" s="2" t="inlineStr">
        <is>
          <t>Conforms</t>
        </is>
      </c>
      <c r="U58" s="2" t="inlineStr">
        <is>
          <t>Conforms</t>
        </is>
      </c>
      <c r="V58" s="2" t="inlineStr">
        <is>
          <t>Conforms</t>
        </is>
      </c>
      <c r="W58" s="2" t="inlineStr">
        <is>
          <t>051-6-K-26, (04.03.2026) [FHM-K]</t>
        </is>
      </c>
      <c r="X58" s="2" t="inlineStr">
        <is>
          <t>—</t>
        </is>
      </c>
      <c r="Y58" s="2" t="inlineStr">
        <is>
          <t>—</t>
        </is>
      </c>
      <c r="Z58" s="2" t="inlineStr">
        <is>
          <t>—</t>
        </is>
      </c>
      <c r="AA58" s="2" t="inlineStr">
        <is>
          <t>P060182|I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SJ112501</t>
        </is>
      </c>
      <c r="J59" s="2" t="inlineStr">
        <is>
          <t>P060192</t>
        </is>
      </c>
      <c r="K59" s="2" t="inlineStr">
        <is>
          <t>Sleepy Joy</t>
        </is>
      </c>
      <c r="L59" s="2" t="inlineStr">
        <is>
          <t>Ident A + Ident B + Foreign matter</t>
        </is>
      </c>
      <c r="M59" s="6" t="inlineStr">
        <is>
          <t>—</t>
        </is>
      </c>
      <c r="N59" s="2">
        <f>IFERROR(INDEX('CoQ Register'!$B:$B,MATCH("P060192|I",'CoQ Register'!$S:$S,0)),"—")</f>
        <v/>
      </c>
      <c r="O59" s="6" t="inlineStr">
        <is>
          <t>—</t>
        </is>
      </c>
      <c r="P59" s="2" t="inlineStr">
        <is>
          <t>04.03.2026</t>
        </is>
      </c>
      <c r="Q59" s="2" t="inlineStr">
        <is>
          <t>26.01.2026 – 27.01.2026</t>
        </is>
      </c>
      <c r="R59" s="2" t="inlineStr">
        <is>
          <t>31.03.2026 (the issuance plan's basis: 04.03.2026)</t>
        </is>
      </c>
      <c r="S59" s="5">
        <f>IFERROR(INDEX('CoQ Register'!$D:$D,MATCH("P060192|I",'CoQ Register'!$S:$S,0)),"")</f>
        <v/>
      </c>
      <c r="T59" s="2" t="inlineStr">
        <is>
          <t>Conforms</t>
        </is>
      </c>
      <c r="U59" s="2" t="inlineStr">
        <is>
          <t>Conforms</t>
        </is>
      </c>
      <c r="V59" s="2" t="inlineStr">
        <is>
          <t>Conforms</t>
        </is>
      </c>
      <c r="W59" s="2" t="inlineStr">
        <is>
          <t>051-2-K-26, (04.03.2026) [FHM-K]</t>
        </is>
      </c>
      <c r="X59" s="2" t="inlineStr">
        <is>
          <t>—</t>
        </is>
      </c>
      <c r="Y59" s="2" t="inlineStr">
        <is>
          <t>—</t>
        </is>
      </c>
      <c r="Z59" s="2" t="inlineStr">
        <is>
          <t>—</t>
        </is>
      </c>
      <c r="AA59" s="2" t="inlineStr">
        <is>
          <t>P060192|I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J31112501</t>
        </is>
      </c>
      <c r="J60" s="2" t="inlineStr">
        <is>
          <t>P060202</t>
        </is>
      </c>
      <c r="K60" s="2" t="inlineStr">
        <is>
          <t>Jokerz 31</t>
        </is>
      </c>
      <c r="L60" s="2" t="inlineStr">
        <is>
          <t>Ident A + Ident B + Foreign matter</t>
        </is>
      </c>
      <c r="M60" s="6" t="inlineStr">
        <is>
          <t>—</t>
        </is>
      </c>
      <c r="N60" s="2">
        <f>IFERROR(INDEX('CoQ Register'!$B:$B,MATCH("P060202|I",'CoQ Register'!$S:$S,0)),"—")</f>
        <v/>
      </c>
      <c r="O60" s="6" t="inlineStr">
        <is>
          <t>—</t>
        </is>
      </c>
      <c r="P60" s="2" t="inlineStr">
        <is>
          <t>09.04.2026</t>
        </is>
      </c>
      <c r="Q60" s="2" t="inlineStr">
        <is>
          <t>26.01.2026</t>
        </is>
      </c>
      <c r="R60" s="2" t="inlineStr">
        <is>
          <t>17.04.2026 (the issuance plan's basis: 09.04.2026)</t>
        </is>
      </c>
      <c r="S60" s="5">
        <f>IFERROR(INDEX('CoQ Register'!$D:$D,MATCH("P060202|I",'CoQ Register'!$S:$S,0)),"")</f>
        <v/>
      </c>
      <c r="T60" s="2" t="inlineStr">
        <is>
          <t>Conforms</t>
        </is>
      </c>
      <c r="U60" s="2" t="inlineStr">
        <is>
          <t>Conforms</t>
        </is>
      </c>
      <c r="V60" s="2" t="inlineStr">
        <is>
          <t>Conforms</t>
        </is>
      </c>
      <c r="W60" s="2" t="inlineStr">
        <is>
          <t>051-5-K-26, (04.03.2026) [FHM-K]</t>
        </is>
      </c>
      <c r="X60" s="2" t="inlineStr">
        <is>
          <t>—</t>
        </is>
      </c>
      <c r="Y60" s="2" t="inlineStr">
        <is>
          <t>—</t>
        </is>
      </c>
      <c r="Z60" s="2" t="inlineStr">
        <is>
          <t>—</t>
        </is>
      </c>
      <c r="AA60" s="2" t="inlineStr">
        <is>
          <t>P060202|I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JD112501</t>
        </is>
      </c>
      <c r="J61" s="2" t="inlineStr">
        <is>
          <t>P060212</t>
        </is>
      </c>
      <c r="K61" s="2" t="inlineStr">
        <is>
          <t>Jelly Donutz</t>
        </is>
      </c>
      <c r="L61" s="2" t="inlineStr">
        <is>
          <t>Ident A + Ident B + Foreign matter</t>
        </is>
      </c>
      <c r="M61" s="6" t="inlineStr">
        <is>
          <t>—</t>
        </is>
      </c>
      <c r="N61" s="2">
        <f>IFERROR(INDEX('CoQ Register'!$B:$B,MATCH("P060212|I",'CoQ Register'!$S:$S,0)),"—")</f>
        <v/>
      </c>
      <c r="O61" s="2" t="inlineStr">
        <is>
          <t>iCoA-PP-2026-0015</t>
        </is>
      </c>
      <c r="P61" s="2" t="inlineStr">
        <is>
          <t>21.04.2026</t>
        </is>
      </c>
      <c r="Q61" s="2" t="inlineStr">
        <is>
          <t>25.03.2026</t>
        </is>
      </c>
      <c r="R61" s="2" t="inlineStr">
        <is>
          <t>21.04.2026</t>
        </is>
      </c>
      <c r="S61" s="5">
        <f>IFERROR(INDEX('CoQ Register'!$D:$D,MATCH("P060212|I",'CoQ Register'!$S:$S,0)),"")</f>
        <v/>
      </c>
      <c r="T61" s="2" t="inlineStr">
        <is>
          <t>Conforms</t>
        </is>
      </c>
      <c r="U61" s="2" t="inlineStr">
        <is>
          <t>Conforms</t>
        </is>
      </c>
      <c r="V61" s="2" t="inlineStr">
        <is>
          <t>Conforms</t>
        </is>
      </c>
      <c r="W61" s="2" t="inlineStr">
        <is>
          <t>ППК26063, (11.05.2026) [CNP]</t>
        </is>
      </c>
      <c r="X61" s="2" t="inlineStr">
        <is>
          <t>—</t>
        </is>
      </c>
      <c r="Y61" s="2" t="inlineStr">
        <is>
          <t>—</t>
        </is>
      </c>
      <c r="Z61" s="2" t="inlineStr">
        <is>
          <t>—</t>
        </is>
      </c>
      <c r="AA61" s="2" t="inlineStr">
        <is>
          <t>P060212|I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OPM112501</t>
        </is>
      </c>
      <c r="J62" s="2" t="inlineStr">
        <is>
          <t>P060222</t>
        </is>
      </c>
      <c r="K62" s="2" t="inlineStr">
        <is>
          <t>Orange Punch Mimosa</t>
        </is>
      </c>
      <c r="L62" s="2" t="inlineStr">
        <is>
          <t>Ident A + Ident B + Foreign matter</t>
        </is>
      </c>
      <c r="M62" s="6" t="inlineStr">
        <is>
          <t>—</t>
        </is>
      </c>
      <c r="N62" s="2">
        <f>IFERROR(INDEX('CoQ Register'!$B:$B,MATCH("P060222|I",'CoQ Register'!$S:$S,0)),"—")</f>
        <v/>
      </c>
      <c r="O62" s="6" t="inlineStr">
        <is>
          <t>—</t>
        </is>
      </c>
      <c r="P62" s="2" t="inlineStr">
        <is>
          <t>05.03.2026</t>
        </is>
      </c>
      <c r="Q62" s="2" t="inlineStr">
        <is>
          <t>05.02.2026</t>
        </is>
      </c>
      <c r="R62" s="2" t="inlineStr">
        <is>
          <t>24.04.2026 (the issuance plan's basis: 05.03.2026)</t>
        </is>
      </c>
      <c r="S62" s="5">
        <f>IFERROR(INDEX('CoQ Register'!$D:$D,MATCH("P060222|I",'CoQ Register'!$S:$S,0)),"")</f>
        <v/>
      </c>
      <c r="T62" s="2" t="inlineStr">
        <is>
          <t>Conforms</t>
        </is>
      </c>
      <c r="U62" s="2" t="inlineStr">
        <is>
          <t>Conforms</t>
        </is>
      </c>
      <c r="V62" s="2" t="inlineStr">
        <is>
          <t>Conforms</t>
        </is>
      </c>
      <c r="W62" s="2" t="inlineStr">
        <is>
          <t>ППК26031, (05.03.2026) [CNP]</t>
        </is>
      </c>
      <c r="X62" s="2" t="inlineStr">
        <is>
          <t>—</t>
        </is>
      </c>
      <c r="Y62" s="2" t="inlineStr">
        <is>
          <t>—</t>
        </is>
      </c>
      <c r="Z62" s="2" t="inlineStr">
        <is>
          <t>—</t>
        </is>
      </c>
      <c r="AA62" s="2" t="inlineStr">
        <is>
          <t>P060222|I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PM112501</t>
        </is>
      </c>
      <c r="J63" s="2" t="inlineStr">
        <is>
          <t>P060232</t>
        </is>
      </c>
      <c r="K63" s="2" t="inlineStr">
        <is>
          <t>Permanent Market</t>
        </is>
      </c>
      <c r="L63" s="2" t="inlineStr">
        <is>
          <t>Ident A + Ident B + Foreign matter</t>
        </is>
      </c>
      <c r="M63" s="6" t="inlineStr">
        <is>
          <t>—</t>
        </is>
      </c>
      <c r="N63" s="2">
        <f>IFERROR(INDEX('CoQ Register'!$B:$B,MATCH("P060232|I",'CoQ Register'!$S:$S,0)),"—")</f>
        <v/>
      </c>
      <c r="O63" s="2" t="inlineStr">
        <is>
          <t>iCoA-PP-2026-0016</t>
        </is>
      </c>
      <c r="P63" s="2" t="inlineStr">
        <is>
          <t>27.04.2026</t>
        </is>
      </c>
      <c r="Q63" s="2" t="inlineStr">
        <is>
          <t>05.02.2026</t>
        </is>
      </c>
      <c r="R63" s="2" t="inlineStr">
        <is>
          <t>27.04.2026</t>
        </is>
      </c>
      <c r="S63" s="5">
        <f>IFERROR(INDEX('CoQ Register'!$D:$D,MATCH("P060232|I",'CoQ Register'!$S:$S,0)),"")</f>
        <v/>
      </c>
      <c r="T63" s="2" t="inlineStr">
        <is>
          <t>Conforms</t>
        </is>
      </c>
      <c r="U63" s="2" t="inlineStr">
        <is>
          <t>Conforms</t>
        </is>
      </c>
      <c r="V63" s="2" t="inlineStr">
        <is>
          <t>Conforms</t>
        </is>
      </c>
      <c r="W63" s="2" t="inlineStr">
        <is>
          <t>ППК26030, (05.03.2026) [CNP]</t>
        </is>
      </c>
      <c r="X63" s="2" t="inlineStr">
        <is>
          <t>—</t>
        </is>
      </c>
      <c r="Y63" s="2" t="inlineStr">
        <is>
          <t>—</t>
        </is>
      </c>
      <c r="Z63" s="2" t="inlineStr">
        <is>
          <t>—</t>
        </is>
      </c>
      <c r="AA63" s="2" t="inlineStr">
        <is>
          <t>P060232|I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OPM122501</t>
        </is>
      </c>
      <c r="J64" s="2" t="inlineStr">
        <is>
          <t>P060242</t>
        </is>
      </c>
      <c r="K64" s="2" t="inlineStr">
        <is>
          <t>Orange Punch Mimosa</t>
        </is>
      </c>
      <c r="L64" s="2" t="inlineStr">
        <is>
          <t>Ident A + Ident B + Foreign matter</t>
        </is>
      </c>
      <c r="M64" s="6" t="inlineStr">
        <is>
          <t>—</t>
        </is>
      </c>
      <c r="N64" s="2">
        <f>IFERROR(INDEX('CoQ Register'!$B:$B,MATCH("P060242|I",'CoQ Register'!$S:$S,0)),"—")</f>
        <v/>
      </c>
      <c r="O64" s="2" t="inlineStr">
        <is>
          <t>iCoA-PP-2026-0017</t>
        </is>
      </c>
      <c r="P64" s="2" t="inlineStr">
        <is>
          <t>28.04.2026</t>
        </is>
      </c>
      <c r="Q64" s="2" t="inlineStr">
        <is>
          <t>11.03.2026</t>
        </is>
      </c>
      <c r="R64" s="2" t="inlineStr">
        <is>
          <t>28.04.2026</t>
        </is>
      </c>
      <c r="S64" s="5">
        <f>IFERROR(INDEX('CoQ Register'!$D:$D,MATCH("P060242|I",'CoQ Register'!$S:$S,0)),"")</f>
        <v/>
      </c>
      <c r="T64" s="2" t="inlineStr">
        <is>
          <t>Conforms</t>
        </is>
      </c>
      <c r="U64" s="2" t="inlineStr">
        <is>
          <t>Conforms</t>
        </is>
      </c>
      <c r="V64" s="2" t="inlineStr">
        <is>
          <t>Conforms</t>
        </is>
      </c>
      <c r="W64" s="2" t="inlineStr">
        <is>
          <t>100-4-K-26, (09.04.2026) [FHM-K]</t>
        </is>
      </c>
      <c r="X64" s="2" t="inlineStr">
        <is>
          <t>—</t>
        </is>
      </c>
      <c r="Y64" s="2" t="inlineStr">
        <is>
          <t>—</t>
        </is>
      </c>
      <c r="Z64" s="2" t="inlineStr">
        <is>
          <t>—</t>
        </is>
      </c>
      <c r="AA64" s="2" t="inlineStr">
        <is>
          <t>P060242|I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GG112501</t>
        </is>
      </c>
      <c r="J65" s="2" t="inlineStr">
        <is>
          <t>P060252</t>
        </is>
      </c>
      <c r="K65" s="2" t="inlineStr">
        <is>
          <t>Gorilla Glue</t>
        </is>
      </c>
      <c r="L65" s="2" t="inlineStr">
        <is>
          <t>Ident A + Ident B + Foreign matter</t>
        </is>
      </c>
      <c r="M65" s="6" t="inlineStr">
        <is>
          <t>—</t>
        </is>
      </c>
      <c r="N65" s="2">
        <f>IFERROR(INDEX('CoQ Register'!$B:$B,MATCH("P060252|I",'CoQ Register'!$S:$S,0)),"—")</f>
        <v/>
      </c>
      <c r="O65" s="6" t="inlineStr">
        <is>
          <t>—</t>
        </is>
      </c>
      <c r="P65" s="2" t="inlineStr">
        <is>
          <t>11.05.2026</t>
        </is>
      </c>
      <c r="Q65" s="2" t="inlineStr">
        <is>
          <t>25.03.2026</t>
        </is>
      </c>
      <c r="R65" s="2" t="inlineStr">
        <is>
          <t>05.05.2026 (the issuance plan's basis: 11.05.2026)</t>
        </is>
      </c>
      <c r="S65" s="5">
        <f>IFERROR(INDEX('CoQ Register'!$D:$D,MATCH("P060252|I",'CoQ Register'!$S:$S,0)),"")</f>
        <v/>
      </c>
      <c r="T65" s="2" t="inlineStr">
        <is>
          <t>Conforms</t>
        </is>
      </c>
      <c r="U65" s="2" t="inlineStr">
        <is>
          <t>Conforms</t>
        </is>
      </c>
      <c r="V65" s="2" t="inlineStr">
        <is>
          <t>Conforms</t>
        </is>
      </c>
      <c r="W65" s="2" t="inlineStr">
        <is>
          <t>ППК26061, (11.05.2026) [CNP]</t>
        </is>
      </c>
      <c r="X65" s="2" t="inlineStr">
        <is>
          <t>—</t>
        </is>
      </c>
      <c r="Y65" s="2" t="inlineStr">
        <is>
          <t>—</t>
        </is>
      </c>
      <c r="Z65" s="2" t="inlineStr">
        <is>
          <t>—</t>
        </is>
      </c>
      <c r="AA65" s="2" t="inlineStr">
        <is>
          <t>P060252|I</t>
        </is>
      </c>
      <c r="AB65" s="7" t="inlineStr">
        <is>
          <t>registered — initial release,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1</t>
        </is>
      </c>
      <c r="I66" s="3" t="inlineStr">
        <is>
          <t>GP062501</t>
        </is>
      </c>
      <c r="J66" s="2" t="inlineStr">
        <is>
          <t>P050202</t>
        </is>
      </c>
      <c r="K66" s="2" t="inlineStr">
        <is>
          <t>Grape Pie</t>
        </is>
      </c>
      <c r="L66" s="2" t="inlineStr">
        <is>
          <t>Ident A + Ident B + Foreign matter</t>
        </is>
      </c>
      <c r="M66" s="6" t="inlineStr">
        <is>
          <t>—</t>
        </is>
      </c>
      <c r="N66" s="2">
        <f>IFERROR(INDEX('CoQ Register'!$B:$B,MATCH("P050202|R",'CoQ Register'!$S:$S,0)),"—")</f>
        <v/>
      </c>
      <c r="O66" s="6" t="inlineStr">
        <is>
          <t>—</t>
        </is>
      </c>
      <c r="P66" s="2" t="inlineStr">
        <is>
          <t>11.05.2027</t>
        </is>
      </c>
      <c r="Q66" s="2" t="inlineStr">
        <is>
          <t>15.09.2025 – 17.09.2025</t>
        </is>
      </c>
      <c r="R66" s="2" t="inlineStr">
        <is>
          <t>30.10.2025 – 07.11.2025 (the issuance plan's basis: 11.05.2026)</t>
        </is>
      </c>
      <c r="S66" s="5">
        <f>IFERROR(INDEX('CoQ Register'!$D:$D,MATCH("P050202|R",'CoQ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t>
        </is>
      </c>
      <c r="AB66" s="7" t="inlineStr">
        <is>
          <t>registered — retest 1,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GG012601＊</t>
        </is>
      </c>
      <c r="J77" s="2" t="inlineStr">
        <is>
          <t>P060302</t>
        </is>
      </c>
      <c r="K77" s="2" t="inlineStr">
        <is>
          <t>Gorilla Glue</t>
        </is>
      </c>
      <c r="L77" s="2" t="inlineStr">
        <is>
          <t>Ident A + Ident B + Foreign matter</t>
        </is>
      </c>
      <c r="M77" s="6" t="inlineStr">
        <is>
          <t>—</t>
        </is>
      </c>
      <c r="N77" s="2">
        <f>IFERROR(INDEX('CoQ Register'!$B:$B,MATCH("P060302|I",'CoQ Register'!$S:$S,0)),"—")</f>
        <v/>
      </c>
      <c r="O77" s="6" t="inlineStr">
        <is>
          <t>—</t>
        </is>
      </c>
      <c r="P77" s="2" t="inlineStr">
        <is>
          <t>11.05.2026</t>
        </is>
      </c>
      <c r="Q77" s="2" t="inlineStr">
        <is>
          <t>27.03.2026</t>
        </is>
      </c>
      <c r="R77" s="2" t="inlineStr">
        <is>
          <t>20.05.2026 (the issuance plan's basis: 11.05.2026)</t>
        </is>
      </c>
      <c r="S77" s="5">
        <f>IFERROR(INDEX('CoQ Register'!$D:$D,MATCH("P060302|I",'CoQ Register'!$S:$S,0)),"")</f>
        <v/>
      </c>
      <c r="T77" s="2" t="inlineStr">
        <is>
          <t>Conforms</t>
        </is>
      </c>
      <c r="U77" s="2" t="inlineStr">
        <is>
          <t>Conforms</t>
        </is>
      </c>
      <c r="V77" s="2" t="inlineStr">
        <is>
          <t>Conforms</t>
        </is>
      </c>
      <c r="W77" s="2" t="inlineStr">
        <is>
          <t>ППК26062, (11.05.2026) [CNP]</t>
        </is>
      </c>
      <c r="X77" s="2" t="inlineStr">
        <is>
          <t>—</t>
        </is>
      </c>
      <c r="Y77" s="2" t="inlineStr">
        <is>
          <t>—</t>
        </is>
      </c>
      <c r="Z77" s="2" t="inlineStr">
        <is>
          <t>—</t>
        </is>
      </c>
      <c r="AA77" s="2" t="inlineStr">
        <is>
          <t>P060302|I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JD012601＊</t>
        </is>
      </c>
      <c r="J78" s="2" t="inlineStr">
        <is>
          <t>P060312</t>
        </is>
      </c>
      <c r="K78" s="2" t="inlineStr">
        <is>
          <t>Jelly Donutz</t>
        </is>
      </c>
      <c r="L78" s="2" t="inlineStr">
        <is>
          <t>Ident A + Ident B + Foreign matter</t>
        </is>
      </c>
      <c r="M78" s="6" t="inlineStr">
        <is>
          <t>—</t>
        </is>
      </c>
      <c r="N78" s="2">
        <f>IFERROR(INDEX('CoQ Register'!$B:$B,MATCH("P060312|I",'CoQ Register'!$S:$S,0)),"—")</f>
        <v/>
      </c>
      <c r="O78" s="6" t="inlineStr">
        <is>
          <t>—</t>
        </is>
      </c>
      <c r="P78" s="2" t="inlineStr">
        <is>
          <t>11.05.2026</t>
        </is>
      </c>
      <c r="Q78" s="2" t="inlineStr">
        <is>
          <t>27.03.2026</t>
        </is>
      </c>
      <c r="R78" s="2" t="inlineStr">
        <is>
          <t>21.05.2026 (the issuance plan's basis: 11.05.2026)</t>
        </is>
      </c>
      <c r="S78" s="5">
        <f>IFERROR(INDEX('CoQ Register'!$D:$D,MATCH("P060312|I",'CoQ Register'!$S:$S,0)),"")</f>
        <v/>
      </c>
      <c r="T78" s="2" t="inlineStr">
        <is>
          <t>Conforms</t>
        </is>
      </c>
      <c r="U78" s="2" t="inlineStr">
        <is>
          <t>Conforms</t>
        </is>
      </c>
      <c r="V78" s="2" t="inlineStr">
        <is>
          <t>Conforms</t>
        </is>
      </c>
      <c r="W78" s="2" t="inlineStr">
        <is>
          <t>ППК26064, (11.05.2026) [CNP]</t>
        </is>
      </c>
      <c r="X78" s="2" t="inlineStr">
        <is>
          <t>—</t>
        </is>
      </c>
      <c r="Y78" s="2" t="inlineStr">
        <is>
          <t>—</t>
        </is>
      </c>
      <c r="Z78" s="2" t="inlineStr">
        <is>
          <t>—</t>
        </is>
      </c>
      <c r="AA78" s="2" t="inlineStr">
        <is>
          <t>P060312|I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FB012601_1</t>
        </is>
      </c>
      <c r="J79" s="2" t="inlineStr">
        <is>
          <t>P060322</t>
        </is>
      </c>
      <c r="K79" s="2" t="inlineStr">
        <is>
          <t>Fat Bastard</t>
        </is>
      </c>
      <c r="L79" s="2" t="inlineStr">
        <is>
          <t>Ident A + Ident B + Foreign matter</t>
        </is>
      </c>
      <c r="M79" s="6" t="inlineStr">
        <is>
          <t>—</t>
        </is>
      </c>
      <c r="N79" s="2">
        <f>IFERROR(INDEX('CoQ Register'!$B:$B,MATCH("P060322|I",'CoQ Register'!$S:$S,0)),"—")</f>
        <v/>
      </c>
      <c r="O79" s="2" t="inlineStr">
        <is>
          <t>iCoA-PP-2026-0019</t>
        </is>
      </c>
      <c r="P79" s="2" t="inlineStr">
        <is>
          <t>22.05.2026</t>
        </is>
      </c>
      <c r="Q79" s="2" t="inlineStr">
        <is>
          <t>27.03.2026</t>
        </is>
      </c>
      <c r="R79" s="2" t="inlineStr">
        <is>
          <t>22.05.2026</t>
        </is>
      </c>
      <c r="S79" s="5">
        <f>IFERROR(INDEX('CoQ Register'!$D:$D,MATCH("P060322|I",'CoQ Register'!$S:$S,0)),"")</f>
        <v/>
      </c>
      <c r="T79" s="2" t="inlineStr">
        <is>
          <t>Conforms</t>
        </is>
      </c>
      <c r="U79" s="2" t="inlineStr">
        <is>
          <t>Conforms</t>
        </is>
      </c>
      <c r="V79" s="2" t="inlineStr">
        <is>
          <t>Conforms</t>
        </is>
      </c>
      <c r="W79" s="2" t="inlineStr">
        <is>
          <t>ППК26067, (11.05.2026) [CNP]</t>
        </is>
      </c>
      <c r="X79" s="2" t="inlineStr">
        <is>
          <t>—</t>
        </is>
      </c>
      <c r="Y79" s="2" t="inlineStr">
        <is>
          <t>—</t>
        </is>
      </c>
      <c r="Z79" s="2" t="inlineStr">
        <is>
          <t>—</t>
        </is>
      </c>
      <c r="AA79" s="2" t="inlineStr">
        <is>
          <t>P060322|I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CC012601/1</t>
        </is>
      </c>
      <c r="J80" s="2" t="inlineStr">
        <is>
          <t>P060332</t>
        </is>
      </c>
      <c r="K80" s="2" t="inlineStr">
        <is>
          <t>Cash Cow</t>
        </is>
      </c>
      <c r="L80" s="2" t="inlineStr">
        <is>
          <t>Ident A + Ident B + Foreign matter</t>
        </is>
      </c>
      <c r="M80" s="6" t="inlineStr">
        <is>
          <t>—</t>
        </is>
      </c>
      <c r="N80" s="2">
        <f>IFERROR(INDEX('CoQ Register'!$B:$B,MATCH("P060332|I",'CoQ Register'!$S:$S,0)),"—")</f>
        <v/>
      </c>
      <c r="O80" s="6" t="inlineStr">
        <is>
          <t>—</t>
        </is>
      </c>
      <c r="P80" s="2" t="inlineStr">
        <is>
          <t>10.08.2026</t>
        </is>
      </c>
      <c r="Q80" s="2" t="inlineStr">
        <is>
          <t>16.04.2026</t>
        </is>
      </c>
      <c r="R80" s="2" t="inlineStr">
        <is>
          <t>22.05.2026 (the issuance plan's basis: 10.08.2026)</t>
        </is>
      </c>
      <c r="S80" s="5">
        <f>IFERROR(INDEX('CoQ Register'!$D:$D,MATCH("P060332|I",'CoQ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P060332|I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FB012603V</t>
        </is>
      </c>
      <c r="J81" s="2" t="inlineStr">
        <is>
          <t>P060392</t>
        </is>
      </c>
      <c r="K81" s="2" t="inlineStr">
        <is>
          <t>Fat Bastard</t>
        </is>
      </c>
      <c r="L81" s="2" t="inlineStr">
        <is>
          <t>Ident A + Ident B + Foreign matter</t>
        </is>
      </c>
      <c r="M81" s="2" t="inlineStr">
        <is>
          <t>A: ППК26110 / B: ППК26110 / FM: ППК26110</t>
        </is>
      </c>
      <c r="N81" s="2">
        <f>IFERROR(INDEX('CoQ Register'!$B:$B,MATCH("P060392|I",'CoQ Register'!$S:$S,0)),"—")</f>
        <v/>
      </c>
      <c r="O81" s="6" t="inlineStr">
        <is>
          <t>—</t>
        </is>
      </c>
      <c r="P81" s="2" t="inlineStr">
        <is>
          <t>30.06.2026</t>
        </is>
      </c>
      <c r="Q81" s="2" t="inlineStr">
        <is>
          <t>29.04.2026</t>
        </is>
      </c>
      <c r="R81" s="2" t="inlineStr">
        <is>
          <t>23.05.2026 (the issuance plan's basis: 30.06.2026)</t>
        </is>
      </c>
      <c r="S81" s="5">
        <f>IFERROR(INDEX('CoQ Register'!$D:$D,MATCH("P060392|I",'CoQ Register'!$S:$S,0)),"")</f>
        <v/>
      </c>
      <c r="T81" s="2" t="inlineStr">
        <is>
          <t>CNP ППК26110</t>
        </is>
      </c>
      <c r="U81" s="2" t="inlineStr">
        <is>
          <t>CNP ППК26110</t>
        </is>
      </c>
      <c r="V81" s="2" t="inlineStr">
        <is>
          <t>CNP ППК26110</t>
        </is>
      </c>
      <c r="W81" s="2" t="inlineStr">
        <is>
          <t>ППК26110, (30.06.2026) [CNP]</t>
        </is>
      </c>
      <c r="X81" s="2" t="inlineStr">
        <is>
          <t>—</t>
        </is>
      </c>
      <c r="Y81" s="2" t="inlineStr">
        <is>
          <t>—</t>
        </is>
      </c>
      <c r="Z81" s="2" t="inlineStr">
        <is>
          <t>—</t>
        </is>
      </c>
      <c r="AA81" s="2" t="inlineStr">
        <is>
          <t>P060392|I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JD012603</t>
        </is>
      </c>
      <c r="J82" s="2" t="inlineStr">
        <is>
          <t>P060422</t>
        </is>
      </c>
      <c r="K82" s="2" t="inlineStr">
        <is>
          <t>Jelly Donutz</t>
        </is>
      </c>
      <c r="L82" s="2" t="inlineStr">
        <is>
          <t>Ident A + Ident B + Foreign matter</t>
        </is>
      </c>
      <c r="M82" s="2" t="inlineStr">
        <is>
          <t>A: ППК26111 / B: ППК26111 / FM: ППК26111</t>
        </is>
      </c>
      <c r="N82" s="2">
        <f>IFERROR(INDEX('CoQ Register'!$B:$B,MATCH("P060422|I",'CoQ Register'!$S:$S,0)),"—")</f>
        <v/>
      </c>
      <c r="O82" s="2" t="inlineStr">
        <is>
          <t>iCoA-PP-2026-0022</t>
        </is>
      </c>
      <c r="P82" s="2" t="inlineStr">
        <is>
          <t>23.05.2026</t>
        </is>
      </c>
      <c r="Q82" s="2" t="inlineStr">
        <is>
          <t>29.04.2026</t>
        </is>
      </c>
      <c r="R82" s="2" t="inlineStr">
        <is>
          <t>23.05.2026</t>
        </is>
      </c>
      <c r="S82" s="5">
        <f>IFERROR(INDEX('CoQ Register'!$D:$D,MATCH("P060422|I",'CoQ Register'!$S:$S,0)),"")</f>
        <v/>
      </c>
      <c r="T82" s="2" t="inlineStr">
        <is>
          <t>CNP ППК26111</t>
        </is>
      </c>
      <c r="U82" s="2" t="inlineStr">
        <is>
          <t>CNP ППК26111</t>
        </is>
      </c>
      <c r="V82" s="2" t="inlineStr">
        <is>
          <t>CNP ППК26111</t>
        </is>
      </c>
      <c r="W82" s="2" t="inlineStr">
        <is>
          <t>ППК26111, (30.06.2026) [CNP]</t>
        </is>
      </c>
      <c r="X82" s="2" t="inlineStr">
        <is>
          <t>—</t>
        </is>
      </c>
      <c r="Y82" s="2" t="inlineStr">
        <is>
          <t>—</t>
        </is>
      </c>
      <c r="Z82" s="2" t="inlineStr">
        <is>
          <t>—</t>
        </is>
      </c>
      <c r="AA82" s="2" t="inlineStr">
        <is>
          <t>P060422|I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P060362</t>
        </is>
      </c>
      <c r="K83" s="2" t="inlineStr">
        <is>
          <t>Jelly Donutz</t>
        </is>
      </c>
      <c r="L83" s="2" t="inlineStr">
        <is>
          <t>Ident A + Ident B + Foreign matter</t>
        </is>
      </c>
      <c r="M83" s="2" t="inlineStr">
        <is>
          <t>A: ППК26111 / B: ППК26111 / FM: ППК26111</t>
        </is>
      </c>
      <c r="N83" s="2">
        <f>IFERROR(INDEX('CoQ Register'!$B:$B,MATCH("P060362|I",'CoQ Register'!$S:$S,0)),"—")</f>
        <v/>
      </c>
      <c r="O83" s="2" t="inlineStr">
        <is>
          <t>iCoA-PP-2026-0020</t>
        </is>
      </c>
      <c r="P83" s="2" t="inlineStr">
        <is>
          <t>23.05.2026</t>
        </is>
      </c>
      <c r="Q83" s="2" t="inlineStr">
        <is>
          <t>22.04.2026</t>
        </is>
      </c>
      <c r="R83" s="2" t="inlineStr">
        <is>
          <t>23.05.2026</t>
        </is>
      </c>
      <c r="S83" s="5">
        <f>IFERROR(INDEX('CoQ Register'!$D:$D,MATCH("P060362|I",'CoQ Register'!$S:$S,0)),"")</f>
        <v/>
      </c>
      <c r="T83" s="2" t="inlineStr">
        <is>
          <t>CNP ППК26111</t>
        </is>
      </c>
      <c r="U83" s="2" t="inlineStr">
        <is>
          <t>CNP ППК26111</t>
        </is>
      </c>
      <c r="V83" s="2" t="inlineStr">
        <is>
          <t>CNP ППК26111</t>
        </is>
      </c>
      <c r="W83" s="2" t="inlineStr">
        <is>
          <t>— no cannabinoid certificate from the initial testing —</t>
        </is>
      </c>
      <c r="X83" s="2" t="inlineStr">
        <is>
          <t>—</t>
        </is>
      </c>
      <c r="Y83" s="2" t="inlineStr">
        <is>
          <t>—</t>
        </is>
      </c>
      <c r="Z83" s="2" t="inlineStr">
        <is>
          <t>—</t>
        </is>
      </c>
      <c r="AA83" s="2" t="inlineStr">
        <is>
          <t>P060362|I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FB012602*</t>
        </is>
      </c>
      <c r="J84" s="2" t="inlineStr">
        <is>
          <t>P060352</t>
        </is>
      </c>
      <c r="K84" s="2" t="inlineStr">
        <is>
          <t>Fat Bastard</t>
        </is>
      </c>
      <c r="L84" s="2" t="inlineStr">
        <is>
          <t>Ident A + Ident B + Foreign matter</t>
        </is>
      </c>
      <c r="M84" s="6" t="inlineStr">
        <is>
          <t>—</t>
        </is>
      </c>
      <c r="N84" s="2">
        <f>IFERROR(INDEX('CoQ Register'!$B:$B,MATCH("P060352|I",'CoQ Register'!$S:$S,0)),"—")</f>
        <v/>
      </c>
      <c r="O84" s="2" t="inlineStr">
        <is>
          <t>iCoA-PP-2026-0021</t>
        </is>
      </c>
      <c r="P84" s="2" t="inlineStr">
        <is>
          <t>23.05.2026</t>
        </is>
      </c>
      <c r="Q84" s="2" t="inlineStr">
        <is>
          <t>16.04.2026</t>
        </is>
      </c>
      <c r="R84" s="2" t="inlineStr">
        <is>
          <t>23.05.2026</t>
        </is>
      </c>
      <c r="S84" s="5">
        <f>IFERROR(INDEX('CoQ Register'!$D:$D,MATCH("P060352|I",'CoQ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P060352|I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CC012603</t>
        </is>
      </c>
      <c r="J85" s="2" t="inlineStr">
        <is>
          <t>P060372</t>
        </is>
      </c>
      <c r="K85" s="2" t="inlineStr">
        <is>
          <t>Cash Cow</t>
        </is>
      </c>
      <c r="L85" s="2" t="inlineStr">
        <is>
          <t>Ident A + Ident B + Foreign matter</t>
        </is>
      </c>
      <c r="M85" s="6" t="inlineStr">
        <is>
          <t>—</t>
        </is>
      </c>
      <c r="N85" s="2">
        <f>IFERROR(INDEX('CoQ Register'!$B:$B,MATCH("P060372|I",'CoQ Register'!$S:$S,0)),"—")</f>
        <v/>
      </c>
      <c r="O85" s="2" t="inlineStr">
        <is>
          <t>iCoA-PP-2026-0024</t>
        </is>
      </c>
      <c r="P85" s="2" t="inlineStr">
        <is>
          <t>24.05.2026</t>
        </is>
      </c>
      <c r="Q85" s="2" t="inlineStr">
        <is>
          <t>22.04.2026</t>
        </is>
      </c>
      <c r="R85" s="2" t="inlineStr">
        <is>
          <t>24.05.2026</t>
        </is>
      </c>
      <c r="S85" s="5">
        <f>IFERROR(INDEX('CoQ Register'!$D:$D,MATCH("P060372|I",'CoQ Register'!$S:$S,0)),"")</f>
        <v/>
      </c>
      <c r="T85" s="2" t="inlineStr">
        <is>
          <t>Conforms</t>
        </is>
      </c>
      <c r="U85" s="2" t="inlineStr">
        <is>
          <t>Conforms</t>
        </is>
      </c>
      <c r="V85" s="2" t="inlineStr">
        <is>
          <t>Conforms</t>
        </is>
      </c>
      <c r="W85" s="2" t="inlineStr">
        <is>
          <t>— no cannabinoid certificate from the initial testing —</t>
        </is>
      </c>
      <c r="X85" s="2" t="inlineStr">
        <is>
          <t>—</t>
        </is>
      </c>
      <c r="Y85" s="2" t="inlineStr">
        <is>
          <t>—</t>
        </is>
      </c>
      <c r="Z85" s="2" t="inlineStr">
        <is>
          <t>—</t>
        </is>
      </c>
      <c r="AA85" s="2" t="inlineStr">
        <is>
          <t>P060372|I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GG012603</t>
        </is>
      </c>
      <c r="J86" s="2" t="inlineStr">
        <is>
          <t>P060402</t>
        </is>
      </c>
      <c r="K86" s="2" t="inlineStr">
        <is>
          <t>Gorilla Glue</t>
        </is>
      </c>
      <c r="L86" s="2" t="inlineStr">
        <is>
          <t>Ident A + Ident B + Foreign matter</t>
        </is>
      </c>
      <c r="M86" s="2" t="inlineStr">
        <is>
          <t>A: ППК26114 / B: ППК26114 / FM: ППК26114</t>
        </is>
      </c>
      <c r="N86" s="2">
        <f>IFERROR(INDEX('CoQ Register'!$B:$B,MATCH("P060402|I",'CoQ Register'!$S:$S,0)),"—")</f>
        <v/>
      </c>
      <c r="O86" s="2" t="inlineStr">
        <is>
          <t>iCoA-PP-2026-0023</t>
        </is>
      </c>
      <c r="P86" s="2" t="inlineStr">
        <is>
          <t>24.05.2026</t>
        </is>
      </c>
      <c r="Q86" s="2" t="inlineStr">
        <is>
          <t>04.05.2026</t>
        </is>
      </c>
      <c r="R86" s="2" t="inlineStr">
        <is>
          <t>24.05.2026</t>
        </is>
      </c>
      <c r="S86" s="5">
        <f>IFERROR(INDEX('CoQ Register'!$D:$D,MATCH("P060402|I",'CoQ Register'!$S:$S,0)),"")</f>
        <v/>
      </c>
      <c r="T86" s="2" t="inlineStr">
        <is>
          <t>CNP ППК26114</t>
        </is>
      </c>
      <c r="U86" s="2" t="inlineStr">
        <is>
          <t>CNP ППК26114</t>
        </is>
      </c>
      <c r="V86" s="2" t="inlineStr">
        <is>
          <t>CNP ППК26114</t>
        </is>
      </c>
      <c r="W86" s="2" t="inlineStr">
        <is>
          <t>ППК26114, (30.06.2026) [CNP]</t>
        </is>
      </c>
      <c r="X86" s="2" t="inlineStr">
        <is>
          <t>—</t>
        </is>
      </c>
      <c r="Y86" s="2" t="inlineStr">
        <is>
          <t>—</t>
        </is>
      </c>
      <c r="Z86" s="2" t="inlineStr">
        <is>
          <t>—</t>
        </is>
      </c>
      <c r="AA86" s="2" t="inlineStr">
        <is>
          <t>P060402|I</t>
        </is>
      </c>
      <c r="AB86" s="7" t="inlineStr">
        <is>
          <t>registered — initial release, issued 03.06.2026</t>
        </is>
      </c>
    </row>
    <row r="87">
      <c r="A87" s="2" t="n">
        <v>86</v>
      </c>
      <c r="B87" s="3" t="inlineStr">
        <is>
          <t>iCoA-PP_26-086</t>
        </is>
      </c>
      <c r="C87" s="4" t="inlineStr">
        <is>
          <t>yes</t>
        </is>
      </c>
      <c r="D87" s="5">
        <f>IF(A87="","",IF(ISNUMBER(E87),MAX(DATE(2026,6,3),E87),DATE(2026,6,3)))</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JD012603</t>
        </is>
      </c>
      <c r="J87" s="2" t="inlineStr">
        <is>
          <t>P060412</t>
        </is>
      </c>
      <c r="K87" s="2" t="inlineStr">
        <is>
          <t>Jelly Donutz</t>
        </is>
      </c>
      <c r="L87" s="2" t="inlineStr">
        <is>
          <t>Ident A + Ident B + Foreign matter</t>
        </is>
      </c>
      <c r="M87" s="2" t="inlineStr">
        <is>
          <t>A: ППК26111 / B: ППК26111 / FM: ППК26111</t>
        </is>
      </c>
      <c r="N87" s="2">
        <f>IFERROR(INDEX('CoQ Register'!$B:$B,MATCH("P060412|I",'CoQ Register'!$S:$S,0)),"—")</f>
        <v/>
      </c>
      <c r="O87" s="2" t="inlineStr">
        <is>
          <t>iCoA-PP-2026-0025</t>
        </is>
      </c>
      <c r="P87" s="2" t="inlineStr">
        <is>
          <t>24.05.2026</t>
        </is>
      </c>
      <c r="Q87" s="2" t="inlineStr">
        <is>
          <t>04.05.2026</t>
        </is>
      </c>
      <c r="R87" s="2" t="inlineStr">
        <is>
          <t>24.05.2026</t>
        </is>
      </c>
      <c r="S87" s="5">
        <f>IFERROR(INDEX('CoQ Register'!$D:$D,MATCH("P060412|I",'CoQ Register'!$S:$S,0)),"")</f>
        <v/>
      </c>
      <c r="T87" s="2" t="inlineStr">
        <is>
          <t>CNP ППК26111</t>
        </is>
      </c>
      <c r="U87" s="2" t="inlineStr">
        <is>
          <t>CNP ППК26111</t>
        </is>
      </c>
      <c r="V87" s="2" t="inlineStr">
        <is>
          <t>CNP ППК26111</t>
        </is>
      </c>
      <c r="W87" s="2" t="inlineStr">
        <is>
          <t>ППК26113, (30.06.2026) [CNP]</t>
        </is>
      </c>
      <c r="X87" s="2" t="inlineStr">
        <is>
          <t>—</t>
        </is>
      </c>
      <c r="Y87" s="2" t="inlineStr">
        <is>
          <t>—</t>
        </is>
      </c>
      <c r="Z87" s="2" t="inlineStr">
        <is>
          <t>—</t>
        </is>
      </c>
      <c r="AA87" s="2" t="inlineStr">
        <is>
          <t>P060412|I</t>
        </is>
      </c>
      <c r="AB87" s="7" t="inlineStr">
        <is>
          <t>registered — initial release, issued 03.06.2026</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SCR012603</t>
        </is>
      </c>
      <c r="J88" s="2" t="inlineStr">
        <is>
          <t>P060382</t>
        </is>
      </c>
      <c r="K88" s="2" t="inlineStr">
        <is>
          <t>Scrambler</t>
        </is>
      </c>
      <c r="L88" s="2" t="inlineStr">
        <is>
          <t>Ident A + Ident B + Foreign matter</t>
        </is>
      </c>
      <c r="M88" s="6" t="inlineStr">
        <is>
          <t>—</t>
        </is>
      </c>
      <c r="N88" s="2">
        <f>IFERROR(INDEX('CoQ Register'!$B:$B,MATCH("P060382|I",'CoQ Register'!$S:$S,0)),"—")</f>
        <v/>
      </c>
      <c r="O88" s="2" t="inlineStr">
        <is>
          <t>iCoA-PP-2026-0026</t>
        </is>
      </c>
      <c r="P88" s="2" t="inlineStr">
        <is>
          <t>25.05.2026</t>
        </is>
      </c>
      <c r="Q88" s="2" t="inlineStr">
        <is>
          <t>22.04.2026</t>
        </is>
      </c>
      <c r="R88" s="2" t="inlineStr">
        <is>
          <t>25.05.2026</t>
        </is>
      </c>
      <c r="S88" s="5">
        <f>IFERROR(INDEX('CoQ Register'!$D:$D,MATCH("P060382|I",'CoQ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P060382|I</t>
        </is>
      </c>
      <c r="AB88" s="7" t="inlineStr">
        <is>
          <t>registered — initial release, issued 03.06.2026</t>
        </is>
      </c>
    </row>
    <row r="89">
      <c r="A89" s="2" t="n">
        <v>88</v>
      </c>
      <c r="B89" s="3" t="inlineStr">
        <is>
          <t>iCoA-PP_26-088</t>
        </is>
      </c>
      <c r="C89" s="4" t="inlineStr">
        <is>
          <t>yes</t>
        </is>
      </c>
      <c r="D89" s="5">
        <f>IF(A89="","",IF(ISNUMBER(E89),MAX(DATE(2026,6,3),E89),DATE(2026,6,3)))</f>
        <v/>
      </c>
      <c r="E89" s="5">
        <f>IFERROR(INDEX('Batch Dates'!$F:$F,MATCH(J89,'Batch Dates'!$C:$C,0)),IFERROR(INDEX('Batch Dates'!$F:$F,MATCH(I89,'Batch Dates'!$B:$B,0)),""))</f>
        <v/>
      </c>
      <c r="F89" s="5">
        <f>IFERROR(INDEX('Batch Dates'!$G:$G,MATCH(J89,'Batch Dates'!$C:$C,0)),IFERROR(INDEX('Batch Dates'!$G:$G,MATCH(I89,'Batch Dates'!$B:$B,0)),""))</f>
        <v/>
      </c>
      <c r="G89" s="2" t="inlineStr">
        <is>
          <t>post-SOP</t>
        </is>
      </c>
      <c r="H89" s="2" t="inlineStr">
        <is>
          <t>initial release</t>
        </is>
      </c>
      <c r="I89" s="3" t="inlineStr">
        <is>
          <t>SCR012601*</t>
        </is>
      </c>
      <c r="J89" s="2" t="inlineStr">
        <is>
          <t>P060342</t>
        </is>
      </c>
      <c r="K89" s="2" t="inlineStr">
        <is>
          <t>Scrambler</t>
        </is>
      </c>
      <c r="L89" s="2" t="inlineStr">
        <is>
          <t>Ident A + Ident B + Foreign matter</t>
        </is>
      </c>
      <c r="M89" s="6" t="inlineStr">
        <is>
          <t>—</t>
        </is>
      </c>
      <c r="N89" s="2">
        <f>IFERROR(INDEX('CoQ Register'!$B:$B,MATCH("P060342|I",'CoQ Register'!$S:$S,0)),"—")</f>
        <v/>
      </c>
      <c r="O89" s="6" t="inlineStr">
        <is>
          <t>—</t>
        </is>
      </c>
      <c r="P89" s="2" t="inlineStr">
        <is>
          <t>25.05.2026</t>
        </is>
      </c>
      <c r="Q89" s="2" t="inlineStr">
        <is>
          <t>16.04.2026</t>
        </is>
      </c>
      <c r="R89" s="2" t="inlineStr">
        <is>
          <t>25.05.2026</t>
        </is>
      </c>
      <c r="S89" s="5">
        <f>IFERROR(INDEX('CoQ Register'!$D:$D,MATCH("P060342|I",'CoQ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P060342|I</t>
        </is>
      </c>
      <c r="AB89" s="7" t="inlineStr">
        <is>
          <t>registered — initial release, issued 03.06.2026</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BSS1024_01/1</t>
        </is>
      </c>
      <c r="J90" s="2" t="inlineStr">
        <is>
          <t>P050122</t>
        </is>
      </c>
      <c r="K90" s="2" t="inlineStr">
        <is>
          <t>Blue Sunset Sherbet</t>
        </is>
      </c>
      <c r="L90" s="2" t="inlineStr">
        <is>
          <t>Ident A + Ident B + Foreign matter</t>
        </is>
      </c>
      <c r="M90" s="6" t="inlineStr">
        <is>
          <t>—</t>
        </is>
      </c>
      <c r="N90" s="2">
        <f>IFERROR(INDEX('CoQ Register'!$B:$B,MATCH("P050122|I",'CoQ Register'!$S:$S,0)),"—")</f>
        <v/>
      </c>
      <c r="O90" s="6" t="inlineStr">
        <is>
          <t>—</t>
        </is>
      </c>
      <c r="P90" s="2" t="inlineStr">
        <is>
          <t>10.07.2025</t>
        </is>
      </c>
      <c r="Q90" s="2" t="inlineStr">
        <is>
          <t>04.06.2025 – 05.06.2025</t>
        </is>
      </c>
      <c r="R90" s="2" t="inlineStr">
        <is>
          <t>01.09.2025 – 09.09.2025 (the issuance plan's basis: 10.07.2025)</t>
        </is>
      </c>
      <c r="S90" s="5">
        <f>IFERROR(INDEX('CoQ Register'!$D:$D,MATCH("P050122|I",'CoQ Register'!$S:$S,0)),"")</f>
        <v/>
      </c>
      <c r="T90" s="2" t="inlineStr">
        <is>
          <t>Conforms</t>
        </is>
      </c>
      <c r="U90" s="2" t="inlineStr">
        <is>
          <t>Conforms</t>
        </is>
      </c>
      <c r="V90" s="2" t="inlineStr">
        <is>
          <t>Conforms</t>
        </is>
      </c>
      <c r="W90" s="2" t="inlineStr">
        <is>
          <t>ППК25176, (10.07.2025) [CNP]</t>
        </is>
      </c>
      <c r="X90" s="2" t="inlineStr">
        <is>
          <t>—</t>
        </is>
      </c>
      <c r="Y90" s="2" t="inlineStr">
        <is>
          <t>—</t>
        </is>
      </c>
      <c r="Z90" s="2" t="inlineStr">
        <is>
          <t>—</t>
        </is>
      </c>
      <c r="AA90" s="2" t="inlineStr">
        <is>
          <t>P050122|I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t>
        </is>
      </c>
      <c r="H91" s="2" t="inlineStr">
        <is>
          <t>initial release</t>
        </is>
      </c>
      <c r="I91" s="3" t="inlineStr">
        <is>
          <t>CC042601</t>
        </is>
      </c>
      <c r="J91" s="2" t="inlineStr">
        <is>
          <t>N/A — no P batch assigned</t>
        </is>
      </c>
      <c r="K91" s="2" t="inlineStr">
        <is>
          <t>Cash Cow</t>
        </is>
      </c>
      <c r="L91" s="2" t="inlineStr">
        <is>
          <t>Ident A + Ident B + Foreign matter</t>
        </is>
      </c>
      <c r="M91" s="6" t="inlineStr">
        <is>
          <t>—</t>
        </is>
      </c>
      <c r="N91" s="2">
        <f>IFERROR(INDEX('CoQ Register'!$B:$B,MATCH("CC042601|I",'CoQ Register'!$S:$S,0)),"—")</f>
        <v/>
      </c>
      <c r="O91" s="6" t="inlineStr">
        <is>
          <t>—</t>
        </is>
      </c>
      <c r="P91" s="2" t="inlineStr">
        <is>
          <t>—</t>
        </is>
      </c>
      <c r="Q91" s="2" t="inlineStr">
        <is>
          <t>— not on the list —</t>
        </is>
      </c>
      <c r="R91" s="2" t="inlineStr">
        <is>
          <t>— not on the list —</t>
        </is>
      </c>
      <c r="S91" s="5">
        <f>IFERROR(INDEX('CoQ Register'!$D:$D,MATCH("CC042601|I",'CoQ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CC042601|I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t>
        </is>
      </c>
      <c r="H92" s="2" t="inlineStr">
        <is>
          <t>initial release</t>
        </is>
      </c>
      <c r="I92" s="3" t="inlineStr">
        <is>
          <t>FB042601</t>
        </is>
      </c>
      <c r="J92" s="2" t="inlineStr">
        <is>
          <t>N/A — no P batch assigned</t>
        </is>
      </c>
      <c r="K92" s="2" t="inlineStr">
        <is>
          <t>Fat Bastard</t>
        </is>
      </c>
      <c r="L92" s="2" t="inlineStr">
        <is>
          <t>Ident A + Ident B + Foreign matter</t>
        </is>
      </c>
      <c r="M92" s="6" t="inlineStr">
        <is>
          <t>—</t>
        </is>
      </c>
      <c r="N92" s="2">
        <f>IFERROR(INDEX('CoQ Register'!$B:$B,MATCH("FB042601|I",'CoQ Register'!$S:$S,0)),"—")</f>
        <v/>
      </c>
      <c r="O92" s="6" t="inlineStr">
        <is>
          <t>—</t>
        </is>
      </c>
      <c r="P92" s="2" t="inlineStr">
        <is>
          <t>—</t>
        </is>
      </c>
      <c r="Q92" s="2" t="inlineStr">
        <is>
          <t>— not on the list —</t>
        </is>
      </c>
      <c r="R92" s="2" t="inlineStr">
        <is>
          <t>— not on the list —</t>
        </is>
      </c>
      <c r="S92" s="5">
        <f>IFERROR(INDEX('CoQ Register'!$D:$D,MATCH("FB042601|I",'CoQ Register'!$S:$S,0)),"")</f>
        <v/>
      </c>
      <c r="T92" s="2" t="inlineStr">
        <is>
          <t>Conforms</t>
        </is>
      </c>
      <c r="U92" s="2" t="inlineStr">
        <is>
          <t>Conforms</t>
        </is>
      </c>
      <c r="V92" s="2" t="inlineStr">
        <is>
          <t>Conforms</t>
        </is>
      </c>
      <c r="W92" s="2" t="inlineStr">
        <is>
          <t>— no cannabinoid certificate from the initial testing —</t>
        </is>
      </c>
      <c r="X92" s="2" t="inlineStr">
        <is>
          <t>—</t>
        </is>
      </c>
      <c r="Y92" s="2" t="inlineStr">
        <is>
          <t>—</t>
        </is>
      </c>
      <c r="Z92" s="2" t="inlineStr">
        <is>
          <t>—</t>
        </is>
      </c>
      <c r="AA92" s="2" t="inlineStr">
        <is>
          <t>FB042601|I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legacy</t>
        </is>
      </c>
      <c r="H93" s="2" t="inlineStr">
        <is>
          <t>initial release</t>
        </is>
      </c>
      <c r="I93" s="3" t="inlineStr">
        <is>
          <t>OMP1024_01</t>
        </is>
      </c>
      <c r="J93" s="2" t="inlineStr">
        <is>
          <t>P050042</t>
        </is>
      </c>
      <c r="K93" s="2" t="inlineStr">
        <is>
          <t>Orange Punch Mimosa</t>
        </is>
      </c>
      <c r="L93" s="2" t="inlineStr">
        <is>
          <t>Ident A + Ident B + Foreign matter</t>
        </is>
      </c>
      <c r="M93" s="6" t="inlineStr">
        <is>
          <t>—</t>
        </is>
      </c>
      <c r="N93" s="2">
        <f>IFERROR(INDEX('CoQ Register'!$B:$B,MATCH("P050042|I",'CoQ Register'!$S:$S,0)),"—")</f>
        <v/>
      </c>
      <c r="O93" s="2" t="inlineStr">
        <is>
          <t>iCoA-PP-2025-0007</t>
        </is>
      </c>
      <c r="P93" s="2" t="inlineStr">
        <is>
          <t>20.06.2025</t>
        </is>
      </c>
      <c r="Q93" s="2" t="inlineStr">
        <is>
          <t>26.03.2025 – 27.03.2025</t>
        </is>
      </c>
      <c r="R93" s="2" t="inlineStr">
        <is>
          <t>20.06.2025</t>
        </is>
      </c>
      <c r="S93" s="5">
        <f>IFERROR(INDEX('CoQ Register'!$D:$D,MATCH("P050042|I",'CoQ Register'!$S:$S,0)),"")</f>
        <v/>
      </c>
      <c r="T93" s="2" t="inlineStr">
        <is>
          <t>Conforms</t>
        </is>
      </c>
      <c r="U93" s="2" t="inlineStr">
        <is>
          <t>Conforms</t>
        </is>
      </c>
      <c r="V93" s="2" t="inlineStr">
        <is>
          <t>Conforms</t>
        </is>
      </c>
      <c r="W93" s="2" t="inlineStr">
        <is>
          <t>ППК25117, (06.05.2025) [CNP]</t>
        </is>
      </c>
      <c r="X93" s="2" t="inlineStr">
        <is>
          <t>—</t>
        </is>
      </c>
      <c r="Y93" s="2" t="inlineStr">
        <is>
          <t>—</t>
        </is>
      </c>
      <c r="Z93" s="2" t="inlineStr">
        <is>
          <t>—</t>
        </is>
      </c>
      <c r="AA93" s="2" t="inlineStr">
        <is>
          <t>P050042|I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1</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Donutz</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Market</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Donutz</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Donutz</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Register'!$B:$B,MATCH("P050222|R",'CoQ Register'!$S:$S,0)),"—")</f>
        <v/>
      </c>
      <c r="O127" s="6" t="inlineStr">
        <is>
          <t>—</t>
        </is>
      </c>
      <c r="P127" s="2" t="inlineStr">
        <is>
          <t>24.11.2026</t>
        </is>
      </c>
      <c r="Q127" s="2" t="inlineStr">
        <is>
          <t>23.09.2025</t>
        </is>
      </c>
      <c r="R127" s="2" t="inlineStr">
        <is>
          <t>24.11.2025 – 25.11.2025</t>
        </is>
      </c>
      <c r="S127" s="5">
        <f>IFERROR(INDEX('CoQ Register'!$D:$D,MATCH("P050222|R",'CoQ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2</t>
        </is>
      </c>
      <c r="I137" s="3" t="inlineStr">
        <is>
          <t>GRC102501</t>
        </is>
      </c>
      <c r="J137" s="2" t="inlineStr">
        <is>
          <t>P060182</t>
        </is>
      </c>
      <c r="K137" s="2" t="inlineStr">
        <is>
          <t>Graps &amp; Creme</t>
        </is>
      </c>
      <c r="L137" s="2" t="inlineStr">
        <is>
          <t>Ident A + Ident B + Foreign matter</t>
        </is>
      </c>
      <c r="M137" s="6" t="inlineStr">
        <is>
          <t>—</t>
        </is>
      </c>
      <c r="N137" s="2">
        <f>IFERROR(INDEX('CoQ Register'!$B:$B,MATCH("P060182|R2",'CoQ Register'!$S:$S,0)),"—")</f>
        <v/>
      </c>
      <c r="O137" s="6" t="inlineStr">
        <is>
          <t>—</t>
        </is>
      </c>
      <c r="P137" s="2" t="inlineStr">
        <is>
          <t>14.03.2027</t>
        </is>
      </c>
      <c r="Q137" s="2" t="inlineStr">
        <is>
          <t>20.01.2026</t>
        </is>
      </c>
      <c r="R137" s="2" t="inlineStr">
        <is>
          <t>14.03.2026</t>
        </is>
      </c>
      <c r="S137" s="5">
        <f>IFERROR(INDEX('CoQ Register'!$D:$D,MATCH("P060182|R2",'CoQ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P060182|R2</t>
        </is>
      </c>
      <c r="AB137" s="7" t="inlineStr">
        <is>
          <t>registered — retest 2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Donutz</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Donutz</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Donutz</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2</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Register'!$B:$B,MATCH("P050042|R2",'CoQ Register'!$S:$S,0)),"—")</f>
        <v/>
      </c>
      <c r="O145" s="6" t="inlineStr">
        <is>
          <t>—</t>
        </is>
      </c>
      <c r="P145" s="2" t="inlineStr">
        <is>
          <t>20.06.2026</t>
        </is>
      </c>
      <c r="Q145" s="2" t="inlineStr">
        <is>
          <t>26.03.2025 – 27.03.2025</t>
        </is>
      </c>
      <c r="R145" s="2" t="inlineStr">
        <is>
          <t>20.06.2025</t>
        </is>
      </c>
      <c r="S145" s="5">
        <f>IFERROR(INDEX('CoQ Register'!$D:$D,MATCH("P050042|R2",'CoQ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P050042|R2</t>
        </is>
      </c>
      <c r="AB145" s="7" t="inlineStr">
        <is>
          <t>registered — retest 2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Donutz</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Market</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Joy</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Crasher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Register'!$B:$B,MATCH("P050142|R2",'CoQ Register'!$S:$S,0)),"—")</f>
        <v/>
      </c>
      <c r="O156" s="6" t="inlineStr">
        <is>
          <t>—</t>
        </is>
      </c>
      <c r="P156" s="2" t="inlineStr">
        <is>
          <t>30.09.2026</t>
        </is>
      </c>
      <c r="Q156" s="2" t="inlineStr">
        <is>
          <t>— not given —</t>
        </is>
      </c>
      <c r="R156" s="2" t="inlineStr">
        <is>
          <t>30.09.2025</t>
        </is>
      </c>
      <c r="S156" s="5">
        <f>IFERROR(INDEX('CoQ Register'!$D:$D,MATCH("P050142|R2",'CoQ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Register'!$B:$B,MATCH("P050102|R2",'CoQ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Register'!$D:$D,MATCH("P050102|R2",'CoQ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2</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Register'!$B:$B,MATCH("P060222|R2",'CoQ Register'!$S:$S,0)),"—")</f>
        <v/>
      </c>
      <c r="O158" s="6" t="inlineStr">
        <is>
          <t>—</t>
        </is>
      </c>
      <c r="P158" s="2" t="inlineStr">
        <is>
          <t>05.03.2027</t>
        </is>
      </c>
      <c r="Q158" s="2" t="inlineStr">
        <is>
          <t>05.02.2026</t>
        </is>
      </c>
      <c r="R158" s="2" t="inlineStr">
        <is>
          <t>24.04.2026 (the issuance plan's basis: 05.03.2026)</t>
        </is>
      </c>
      <c r="S158" s="5">
        <f>IFERROR(INDEX('CoQ Register'!$D:$D,MATCH("P060222|R2",'CoQ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2</t>
        </is>
      </c>
      <c r="I159" s="3" t="inlineStr">
        <is>
          <t>PM072501</t>
        </is>
      </c>
      <c r="J159" s="2" t="inlineStr">
        <is>
          <t>P050272</t>
        </is>
      </c>
      <c r="K159" s="2" t="inlineStr">
        <is>
          <t>Permanent Market</t>
        </is>
      </c>
      <c r="L159" s="2" t="inlineStr">
        <is>
          <t>Ident A + Ident B + Foreign matter</t>
        </is>
      </c>
      <c r="M159" s="6" t="inlineStr">
        <is>
          <t>—</t>
        </is>
      </c>
      <c r="N159" s="2">
        <f>IFERROR(INDEX('CoQ Register'!$B:$B,MATCH("P050272|R2",'CoQ Register'!$S:$S,0)),"—")</f>
        <v/>
      </c>
      <c r="O159" s="6" t="inlineStr">
        <is>
          <t>—</t>
        </is>
      </c>
      <c r="P159" s="2" t="inlineStr">
        <is>
          <t>21.01.2027</t>
        </is>
      </c>
      <c r="Q159" s="2" t="inlineStr">
        <is>
          <t>27.10.2025</t>
        </is>
      </c>
      <c r="R159" s="2" t="inlineStr">
        <is>
          <t>02.12.2025 – 03.12.2025 (the issuance plan's basis: 21.01.2026)</t>
        </is>
      </c>
      <c r="S159" s="5">
        <f>IFERROR(INDEX('CoQ Register'!$D:$D,MATCH("P050272|R2",'CoQ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2</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Register'!$B:$B,MATCH("P060342|R2",'CoQ Register'!$S:$S,0)),"—")</f>
        <v/>
      </c>
      <c r="O160" s="6" t="inlineStr">
        <is>
          <t>—</t>
        </is>
      </c>
      <c r="P160" s="2" t="inlineStr">
        <is>
          <t>25.05.2027</t>
        </is>
      </c>
      <c r="Q160" s="2" t="inlineStr">
        <is>
          <t>16.04.2026</t>
        </is>
      </c>
      <c r="R160" s="2" t="inlineStr">
        <is>
          <t>25.05.2026</t>
        </is>
      </c>
      <c r="S160" s="5">
        <f>IFERROR(INDEX('CoQ Register'!$D:$D,MATCH("P060342|R2",'CoQ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2</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Register'!$B:$B,MATCH("P060442|R2",'CoQ Register'!$S:$S,0)),"—")</f>
        <v/>
      </c>
      <c r="O161" s="6" t="inlineStr">
        <is>
          <t>—</t>
        </is>
      </c>
      <c r="P161" s="2" t="inlineStr">
        <is>
          <t>06.07.2027</t>
        </is>
      </c>
      <c r="Q161" s="2" t="inlineStr">
        <is>
          <t>13.05.2026</t>
        </is>
      </c>
      <c r="R161" s="2" t="inlineStr">
        <is>
          <t>18.06.2026 (the issuance plan's basis: 06.07.2026)</t>
        </is>
      </c>
      <c r="S161" s="5">
        <f>IFERROR(INDEX('CoQ Register'!$D:$D,MATCH("P060442|R2",'CoQ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P060442|R2</t>
        </is>
      </c>
      <c r="AB161" s="7" t="inlineStr">
        <is>
          <t>registered — retest 2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SJ102501</t>
        </is>
      </c>
      <c r="J162" s="2" t="inlineStr">
        <is>
          <t>P060162</t>
        </is>
      </c>
      <c r="K162" s="2" t="inlineStr">
        <is>
          <t>Sleepy Joy</t>
        </is>
      </c>
      <c r="L162" s="2" t="inlineStr">
        <is>
          <t>Ident A + Ident B + Foreign matter</t>
        </is>
      </c>
      <c r="M162" s="6" t="inlineStr">
        <is>
          <t>—</t>
        </is>
      </c>
      <c r="N162" s="2">
        <f>IFERROR(INDEX('CoQ Register'!$B:$B,MATCH("P060162|R2",'CoQ Register'!$S:$S,0)),"—")</f>
        <v/>
      </c>
      <c r="O162" s="6" t="inlineStr">
        <is>
          <t>—</t>
        </is>
      </c>
      <c r="P162" s="2" t="inlineStr">
        <is>
          <t>04.03.2027</t>
        </is>
      </c>
      <c r="Q162" s="2" t="inlineStr">
        <is>
          <t>20.01.2026</t>
        </is>
      </c>
      <c r="R162" s="2" t="inlineStr">
        <is>
          <t>09.03.2026 (the issuance plan's basis: 04.03.2026)</t>
        </is>
      </c>
      <c r="S162" s="5">
        <f>IFERROR(INDEX('CoQ Register'!$D:$D,MATCH("P060162|R2",'CoQ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Joy</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2</t>
        </is>
      </c>
      <c r="I164" s="3" t="inlineStr">
        <is>
          <t>WC072501</t>
        </is>
      </c>
      <c r="J164" s="2" t="inlineStr">
        <is>
          <t>P050262</t>
        </is>
      </c>
      <c r="K164" s="2" t="inlineStr">
        <is>
          <t>Wedding Crasher</t>
        </is>
      </c>
      <c r="L164" s="2" t="inlineStr">
        <is>
          <t>Ident A + Ident B + Foreign matter</t>
        </is>
      </c>
      <c r="M164" s="6" t="inlineStr">
        <is>
          <t>—</t>
        </is>
      </c>
      <c r="N164" s="2">
        <f>IFERROR(INDEX('CoQ Register'!$B:$B,MATCH("P050262|R2",'CoQ Register'!$S:$S,0)),"—")</f>
        <v/>
      </c>
      <c r="O164" s="6" t="inlineStr">
        <is>
          <t>—</t>
        </is>
      </c>
      <c r="P164" s="2" t="inlineStr">
        <is>
          <t>02.12.2026</t>
        </is>
      </c>
      <c r="Q164" s="2" t="inlineStr">
        <is>
          <t>27.10.2025 – 28.10.2025</t>
        </is>
      </c>
      <c r="R164" s="2" t="inlineStr">
        <is>
          <t>01.12.2025 (the issuance plan's basis: 02.12.2025)</t>
        </is>
      </c>
      <c r="S164" s="5">
        <f>IFERROR(INDEX('CoQ Register'!$D:$D,MATCH("P050262|R2",'CoQ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P050262|R2</t>
        </is>
      </c>
      <c r="AB164" s="7" t="inlineStr">
        <is>
          <t>registered — retest 2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2</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Register'!$B:$B,MATCH("P060102|R2",'CoQ Register'!$S:$S,0)),"—")</f>
        <v/>
      </c>
      <c r="O165" s="6" t="inlineStr">
        <is>
          <t>—</t>
        </is>
      </c>
      <c r="P165" s="2" t="inlineStr">
        <is>
          <t>16.02.2027</t>
        </is>
      </c>
      <c r="Q165" s="2" t="inlineStr">
        <is>
          <t>08.01.2026</t>
        </is>
      </c>
      <c r="R165" s="2" t="inlineStr">
        <is>
          <t>16.02.2026</t>
        </is>
      </c>
      <c r="S165" s="5">
        <f>IFERROR(INDEX('CoQ Register'!$D:$D,MATCH("P060102|R2",'CoQ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P060102|R2</t>
        </is>
      </c>
      <c r="AB165" s="7" t="inlineStr">
        <is>
          <t>registered — retest 2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2</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Register'!$B:$B,MATCH("P050012|R2",'CoQ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Register'!$D:$D,MATCH("P050012|R2",'CoQ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P050012|R2</t>
        </is>
      </c>
      <c r="AB166" s="7" t="inlineStr">
        <is>
          <t>registered — retest 2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Register'!$B:$B,MATCH("P060252|R2",'CoQ Register'!$S:$S,0)),"—")</f>
        <v/>
      </c>
      <c r="O167" s="6" t="inlineStr">
        <is>
          <t>—</t>
        </is>
      </c>
      <c r="P167" s="2" t="inlineStr">
        <is>
          <t>11.05.2027</t>
        </is>
      </c>
      <c r="Q167" s="2" t="inlineStr">
        <is>
          <t>25.03.2026</t>
        </is>
      </c>
      <c r="R167" s="2" t="inlineStr">
        <is>
          <t>05.05.2026 (the issuance plan's basis: 11.05.2026)</t>
        </is>
      </c>
      <c r="S167" s="5">
        <f>IFERROR(INDEX('CoQ Register'!$D:$D,MATCH("P060252|R2",'CoQ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Register'!$B:$B,MATCH("P050292|R2",'CoQ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Register'!$D:$D,MATCH("P050292|R2",'CoQ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2</t>
        </is>
      </c>
      <c r="I170" s="3" t="inlineStr">
        <is>
          <t>GRC102501</t>
        </is>
      </c>
      <c r="J170" s="2" t="inlineStr">
        <is>
          <t>P060142</t>
        </is>
      </c>
      <c r="K170" s="2" t="inlineStr">
        <is>
          <t>Graps &amp; Creme</t>
        </is>
      </c>
      <c r="L170" s="2" t="inlineStr">
        <is>
          <t>Ident A + Ident B + Foreign matter</t>
        </is>
      </c>
      <c r="M170" s="6" t="inlineStr">
        <is>
          <t>—</t>
        </is>
      </c>
      <c r="N170" s="2">
        <f>IFERROR(INDEX('CoQ Register'!$B:$B,MATCH("P060142|R2",'CoQ Register'!$S:$S,0)),"—")</f>
        <v/>
      </c>
      <c r="O170" s="6" t="inlineStr">
        <is>
          <t>—</t>
        </is>
      </c>
      <c r="P170" s="2" t="inlineStr">
        <is>
          <t>23.02.2027</t>
        </is>
      </c>
      <c r="Q170" s="2" t="inlineStr">
        <is>
          <t>09.01.2026</t>
        </is>
      </c>
      <c r="R170" s="2" t="inlineStr">
        <is>
          <t>23.02.2026</t>
        </is>
      </c>
      <c r="S170" s="5">
        <f>IFERROR(INDEX('CoQ Register'!$D:$D,MATCH("P060142|R2",'CoQ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2</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Register'!$B:$B,MATCH("P060262|R2",'CoQ Register'!$S:$S,0)),"—")</f>
        <v/>
      </c>
      <c r="O172" s="6" t="inlineStr">
        <is>
          <t>—</t>
        </is>
      </c>
      <c r="P172" s="2" t="inlineStr">
        <is>
          <t>23.04.2027</t>
        </is>
      </c>
      <c r="Q172" s="2" t="inlineStr">
        <is>
          <t>04.03.2026</t>
        </is>
      </c>
      <c r="R172" s="2" t="inlineStr">
        <is>
          <t>14.05.2026 (the issuance plan's basis: 23.04.2026)</t>
        </is>
      </c>
      <c r="S172" s="5">
        <f>IFERROR(INDEX('CoQ Register'!$D:$D,MATCH("P060262|R2",'CoQ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2</t>
        </is>
      </c>
      <c r="I173" s="3" t="inlineStr">
        <is>
          <t>JD012601＊</t>
        </is>
      </c>
      <c r="J173" s="2" t="inlineStr">
        <is>
          <t>P060312</t>
        </is>
      </c>
      <c r="K173" s="2" t="inlineStr">
        <is>
          <t>Jelly Donutz</t>
        </is>
      </c>
      <c r="L173" s="2" t="inlineStr">
        <is>
          <t>Ident A + Ident B + Foreign matter</t>
        </is>
      </c>
      <c r="M173" s="6" t="inlineStr">
        <is>
          <t>—</t>
        </is>
      </c>
      <c r="N173" s="2">
        <f>IFERROR(INDEX('CoQ Register'!$B:$B,MATCH("P060312|R2",'CoQ Register'!$S:$S,0)),"—")</f>
        <v/>
      </c>
      <c r="O173" s="6" t="inlineStr">
        <is>
          <t>—</t>
        </is>
      </c>
      <c r="P173" s="2" t="inlineStr">
        <is>
          <t>11.05.2027</t>
        </is>
      </c>
      <c r="Q173" s="2" t="inlineStr">
        <is>
          <t>27.03.2026</t>
        </is>
      </c>
      <c r="R173" s="2" t="inlineStr">
        <is>
          <t>21.05.2026 (the issuance plan's basis: 11.05.2026)</t>
        </is>
      </c>
      <c r="S173" s="5">
        <f>IFERROR(INDEX('CoQ Register'!$D:$D,MATCH("P060312|R2",'CoQ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2</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Register'!$B:$B,MATCH("P050032|R2",'CoQ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Register'!$D:$D,MATCH("P050032|R2",'CoQ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P050032|R2</t>
        </is>
      </c>
      <c r="AB174" s="7" t="inlineStr">
        <is>
          <t>registered — retest 2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2</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Register'!$B:$B,MATCH("P050132|R2",'CoQ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Register'!$D:$D,MATCH("P050132|R2",'CoQ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P050132|R2</t>
        </is>
      </c>
      <c r="AB175" s="7" t="inlineStr">
        <is>
          <t>registered — retest 2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2</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Register'!$B:$B,MATCH("P060052|R2",'CoQ Register'!$S:$S,0)),"—")</f>
        <v/>
      </c>
      <c r="O176" s="6" t="inlineStr">
        <is>
          <t>—</t>
        </is>
      </c>
      <c r="P176" s="2" t="inlineStr">
        <is>
          <t>20.02.2027</t>
        </is>
      </c>
      <c r="Q176" s="2" t="inlineStr">
        <is>
          <t>11.12.2025</t>
        </is>
      </c>
      <c r="R176" s="2" t="inlineStr">
        <is>
          <t>30.01.2026 (the issuance plan's basis: 20.02.2026)</t>
        </is>
      </c>
      <c r="S176" s="5">
        <f>IFERROR(INDEX('CoQ Register'!$D:$D,MATCH("P060052|R2",'CoQ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Register'!$B:$B,MATCH("P050122|R2",'CoQ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Register'!$D:$D,MATCH("P050122|R2",'CoQ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2</t>
        </is>
      </c>
      <c r="I178" s="3" t="inlineStr">
        <is>
          <t>CC112501</t>
        </is>
      </c>
      <c r="J178" s="2" t="inlineStr">
        <is>
          <t>P060272</t>
        </is>
      </c>
      <c r="K178" s="2" t="inlineStr">
        <is>
          <t>Cash Cow</t>
        </is>
      </c>
      <c r="L178" s="2" t="inlineStr">
        <is>
          <t>Ident A + Ident B + Foreign matter</t>
        </is>
      </c>
      <c r="M178" s="6" t="inlineStr">
        <is>
          <t>—</t>
        </is>
      </c>
      <c r="N178" s="2">
        <f>IFERROR(INDEX('CoQ Register'!$B:$B,MATCH("P060272|R2",'CoQ Register'!$S:$S,0)),"—")</f>
        <v/>
      </c>
      <c r="O178" s="6" t="inlineStr">
        <is>
          <t>—</t>
        </is>
      </c>
      <c r="P178" s="2" t="inlineStr">
        <is>
          <t>11.05.2027</t>
        </is>
      </c>
      <c r="Q178" s="2" t="inlineStr">
        <is>
          <t>25.03.2026</t>
        </is>
      </c>
      <c r="R178" s="2" t="inlineStr">
        <is>
          <t>18.05.2026 (the issuance plan's basis: 11.05.2026)</t>
        </is>
      </c>
      <c r="S178" s="5">
        <f>IFERROR(INDEX('CoQ Register'!$D:$D,MATCH("P060272|R2",'CoQ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Register'!$B:$B,MATCH("P050172|R2",'CoQ Register'!$S:$S,0)),"—")</f>
        <v/>
      </c>
      <c r="O179" s="6" t="inlineStr">
        <is>
          <t>—</t>
        </is>
      </c>
      <c r="P179" s="2" t="inlineStr">
        <is>
          <t>17.09.2026</t>
        </is>
      </c>
      <c r="Q179" s="2" t="inlineStr">
        <is>
          <t>20.08.2025</t>
        </is>
      </c>
      <c r="R179" s="2" t="inlineStr">
        <is>
          <t>01.10.2025 – 02.10.2025 (the issuance plan's basis: 17.09.2025)</t>
        </is>
      </c>
      <c r="S179" s="5">
        <f>IFERROR(INDEX('CoQ Register'!$D:$D,MATCH("P050172|R2",'CoQ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2</t>
        </is>
      </c>
      <c r="I180" s="3" t="inlineStr">
        <is>
          <t>CJ072501</t>
        </is>
      </c>
      <c r="J180" s="2" t="inlineStr">
        <is>
          <t>P050252</t>
        </is>
      </c>
      <c r="K180" s="2" t="inlineStr">
        <is>
          <t>Cap Junky</t>
        </is>
      </c>
      <c r="L180" s="2" t="inlineStr">
        <is>
          <t>Ident A + Ident B + Foreign matter</t>
        </is>
      </c>
      <c r="M180" s="6" t="inlineStr">
        <is>
          <t>—</t>
        </is>
      </c>
      <c r="N180" s="2">
        <f>IFERROR(INDEX('CoQ Register'!$B:$B,MATCH("P050252|R2",'CoQ Register'!$S:$S,0)),"—")</f>
        <v/>
      </c>
      <c r="O180" s="6" t="inlineStr">
        <is>
          <t>—</t>
        </is>
      </c>
      <c r="P180" s="2" t="inlineStr">
        <is>
          <t>02.12.2026</t>
        </is>
      </c>
      <c r="Q180" s="2" t="inlineStr">
        <is>
          <t>27.10.2025</t>
        </is>
      </c>
      <c r="R180" s="2" t="inlineStr">
        <is>
          <t>27.11.2025 – 28.11.2025 (the issuance plan's basis: 02.12.2025)</t>
        </is>
      </c>
      <c r="S180" s="5">
        <f>IFERROR(INDEX('CoQ Register'!$D:$D,MATCH("P050252|R2",'CoQ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2</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Register'!$B:$B,MATCH("CJ1024|R2",'CoQ Register'!$S:$S,0)),"—")</f>
        <v/>
      </c>
      <c r="O181" s="6" t="inlineStr">
        <is>
          <t>—</t>
        </is>
      </c>
      <c r="P181" s="2" t="inlineStr">
        <is>
          <t>27.02.2026</t>
        </is>
      </c>
      <c r="Q181" s="2" t="inlineStr">
        <is>
          <t>20.01.2025</t>
        </is>
      </c>
      <c r="R181" s="2" t="inlineStr">
        <is>
          <t>03.03.2025 (the issuance plan's basis: 27.02.2025)</t>
        </is>
      </c>
      <c r="S181" s="5">
        <f>IFERROR(INDEX('CoQ Register'!$D:$D,MATCH("CJ1024|R2",'CoQ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Register'!$B:$B,MATCH("P060432|R2",'CoQ Register'!$S:$S,0)),"—")</f>
        <v/>
      </c>
      <c r="O182" s="6" t="inlineStr">
        <is>
          <t>—</t>
        </is>
      </c>
      <c r="P182" s="2" t="inlineStr">
        <is>
          <t>30.06.2027</t>
        </is>
      </c>
      <c r="Q182" s="2" t="inlineStr">
        <is>
          <t>04.05.2026</t>
        </is>
      </c>
      <c r="R182" s="2" t="inlineStr">
        <is>
          <t>15.06.2026 (the issuance plan's basis: 30.06.2026)</t>
        </is>
      </c>
      <c r="S182" s="5">
        <f>IFERROR(INDEX('CoQ Register'!$D:$D,MATCH("P060432|R2",'CoQ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Register'!$B:$B,MATCH("P060392|R2",'CoQ Register'!$S:$S,0)),"—")</f>
        <v/>
      </c>
      <c r="O183" s="6" t="inlineStr">
        <is>
          <t>—</t>
        </is>
      </c>
      <c r="P183" s="2" t="inlineStr">
        <is>
          <t>30.06.2027</t>
        </is>
      </c>
      <c r="Q183" s="2" t="inlineStr">
        <is>
          <t>29.04.2026</t>
        </is>
      </c>
      <c r="R183" s="2" t="inlineStr">
        <is>
          <t>23.05.2026 (the issuance plan's basis: 30.06.2026)</t>
        </is>
      </c>
      <c r="S183" s="5">
        <f>IFERROR(INDEX('CoQ Register'!$D:$D,MATCH("P060392|R2",'CoQ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P060392|R2</t>
        </is>
      </c>
      <c r="AB183" s="7" t="inlineStr">
        <is>
          <t>registered — retest 2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2</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Register'!$B:$B,MATCH("P060292|R2",'CoQ Register'!$S:$S,0)),"—")</f>
        <v/>
      </c>
      <c r="O184" s="6" t="inlineStr">
        <is>
          <t>—</t>
        </is>
      </c>
      <c r="P184" s="2" t="inlineStr">
        <is>
          <t>11.05.2027</t>
        </is>
      </c>
      <c r="Q184" s="2" t="inlineStr">
        <is>
          <t>25.03.2026</t>
        </is>
      </c>
      <c r="R184" s="2" t="inlineStr">
        <is>
          <t>19.05.2026 (the issuance plan's basis: 11.05.2026)</t>
        </is>
      </c>
      <c r="S184" s="5">
        <f>IFERROR(INDEX('CoQ Register'!$D:$D,MATCH("P060292|R2",'CoQ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P060292|R2</t>
        </is>
      </c>
      <c r="AB184" s="7" t="inlineStr">
        <is>
          <t>registered — retest 2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2</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Register'!$B:$B,MATCH("P060302|R2",'CoQ Register'!$S:$S,0)),"—")</f>
        <v/>
      </c>
      <c r="O185" s="6" t="inlineStr">
        <is>
          <t>—</t>
        </is>
      </c>
      <c r="P185" s="2" t="inlineStr">
        <is>
          <t>11.05.2027</t>
        </is>
      </c>
      <c r="Q185" s="2" t="inlineStr">
        <is>
          <t>27.03.2026</t>
        </is>
      </c>
      <c r="R185" s="2" t="inlineStr">
        <is>
          <t>20.05.2026 (the issuance plan's basis: 11.05.2026)</t>
        </is>
      </c>
      <c r="S185" s="5">
        <f>IFERROR(INDEX('CoQ Register'!$D:$D,MATCH("P060302|R2",'CoQ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P060302|R2</t>
        </is>
      </c>
      <c r="AB185" s="7" t="inlineStr">
        <is>
          <t>registered — retest 2 · Tranche 3 (sampled 19–21.08.2026), tested 21.08.2026, issued 24.08.2026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CC112501</t>
        </is>
      </c>
      <c r="J186" s="2" t="inlineStr">
        <is>
          <t>P060272</t>
        </is>
      </c>
      <c r="K186" s="2" t="inlineStr">
        <is>
          <t>Cash Cow</t>
        </is>
      </c>
      <c r="L186" s="2" t="inlineStr">
        <is>
          <t>Ident A + Ident B + Foreign matter</t>
        </is>
      </c>
      <c r="M186" s="6" t="inlineStr">
        <is>
          <t>—</t>
        </is>
      </c>
      <c r="N186" s="2">
        <f>IFERROR(INDEX('CoQ Register'!$B:$B,MATCH("P060272|R",'CoQ Register'!$S:$S,0)),"—")</f>
        <v/>
      </c>
      <c r="O186" s="6" t="inlineStr">
        <is>
          <t>—</t>
        </is>
      </c>
      <c r="P186" s="2" t="inlineStr">
        <is>
          <t>11.05.2027</t>
        </is>
      </c>
      <c r="Q186" s="2" t="inlineStr">
        <is>
          <t>25.03.2026</t>
        </is>
      </c>
      <c r="R186" s="2" t="inlineStr">
        <is>
          <t>18.05.2026 (the issuance plan's basis: 11.05.2026)</t>
        </is>
      </c>
      <c r="S186" s="5">
        <f>IFERROR(INDEX('CoQ Register'!$D:$D,MATCH("P060272|R",'CoQ Register'!$S:$S,0)),"")</f>
        <v/>
      </c>
      <c r="T186" s="2" t="inlineStr">
        <is>
          <t>Conforms</t>
        </is>
      </c>
      <c r="U186" s="2" t="inlineStr">
        <is>
          <t>Conforms</t>
        </is>
      </c>
      <c r="V186" s="2" t="inlineStr">
        <is>
          <t>Conforms</t>
        </is>
      </c>
      <c r="W186" s="2" t="inlineStr">
        <is>
          <t>227-25-K-26, (11.09.2026) [FHM-K]</t>
        </is>
      </c>
      <c r="X186" s="2" t="inlineStr">
        <is>
          <t>227-25-K-26, (11.09.2026) [FHM-K]</t>
        </is>
      </c>
      <c r="Y186" s="2" t="inlineStr">
        <is>
          <t>— pending —</t>
        </is>
      </c>
      <c r="Z186" s="2" t="inlineStr">
        <is>
          <t>#8, #9, #11, #12 from the initial testing</t>
        </is>
      </c>
      <c r="AA186" s="2" t="inlineStr">
        <is>
          <t>P060272|R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post-SOP</t>
        </is>
      </c>
      <c r="H187" s="2" t="inlineStr">
        <is>
          <t>retest 1</t>
        </is>
      </c>
      <c r="I187" s="3" t="inlineStr">
        <is>
          <t>FB012603</t>
        </is>
      </c>
      <c r="J187" s="2" t="inlineStr">
        <is>
          <t>P060432</t>
        </is>
      </c>
      <c r="K187" s="2" t="inlineStr">
        <is>
          <t>Fat Bastard</t>
        </is>
      </c>
      <c r="L187" s="2" t="inlineStr">
        <is>
          <t>Ident A + Ident B + Foreign matter</t>
        </is>
      </c>
      <c r="M187" s="6" t="inlineStr">
        <is>
          <t>—</t>
        </is>
      </c>
      <c r="N187" s="2">
        <f>IFERROR(INDEX('CoQ Register'!$B:$B,MATCH("P060432|R",'CoQ Register'!$S:$S,0)),"—")</f>
        <v/>
      </c>
      <c r="O187" s="6" t="inlineStr">
        <is>
          <t>—</t>
        </is>
      </c>
      <c r="P187" s="2" t="inlineStr">
        <is>
          <t>30.06.2027</t>
        </is>
      </c>
      <c r="Q187" s="2" t="inlineStr">
        <is>
          <t>04.05.2026</t>
        </is>
      </c>
      <c r="R187" s="2" t="inlineStr">
        <is>
          <t>15.06.2026 (the issuance plan's basis: 30.06.2026)</t>
        </is>
      </c>
      <c r="S187" s="5">
        <f>IFERROR(INDEX('CoQ Register'!$D:$D,MATCH("P060432|R",'CoQ Register'!$S:$S,0)),"")</f>
        <v/>
      </c>
      <c r="T187" s="2" t="inlineStr">
        <is>
          <t>CNP ППК26112</t>
        </is>
      </c>
      <c r="U187" s="2" t="inlineStr">
        <is>
          <t>CNP ППК26112</t>
        </is>
      </c>
      <c r="V187" s="2" t="inlineStr">
        <is>
          <t>Conforms</t>
        </is>
      </c>
      <c r="W187" s="2" t="inlineStr">
        <is>
          <t>227-24-K-26, (11.09.2026) [FHM-K]</t>
        </is>
      </c>
      <c r="X187" s="2" t="inlineStr">
        <is>
          <t>227-24-K-26, (11.09.2026) [FHM-K]</t>
        </is>
      </c>
      <c r="Y187" s="2" t="inlineStr">
        <is>
          <t>— pending —</t>
        </is>
      </c>
      <c r="Z187" s="2" t="inlineStr">
        <is>
          <t>#8, #9, #11, #12 from the initial testing</t>
        </is>
      </c>
      <c r="AA187" s="2" t="inlineStr">
        <is>
          <t>P060432|R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post-SOP</t>
        </is>
      </c>
      <c r="H188" s="2" t="inlineStr">
        <is>
          <t>retest 1</t>
        </is>
      </c>
      <c r="I188" s="3" t="inlineStr">
        <is>
          <t>FB012603V</t>
        </is>
      </c>
      <c r="J188" s="2" t="inlineStr">
        <is>
          <t>P060392</t>
        </is>
      </c>
      <c r="K188" s="2" t="inlineStr">
        <is>
          <t>Fat Bastard</t>
        </is>
      </c>
      <c r="L188" s="2" t="inlineStr">
        <is>
          <t>Ident A + Ident B + Foreign matter</t>
        </is>
      </c>
      <c r="M188" s="6" t="inlineStr">
        <is>
          <t>—</t>
        </is>
      </c>
      <c r="N188" s="2">
        <f>IFERROR(INDEX('CoQ Register'!$B:$B,MATCH("P060392|R",'CoQ Register'!$S:$S,0)),"—")</f>
        <v/>
      </c>
      <c r="O188" s="6" t="inlineStr">
        <is>
          <t>—</t>
        </is>
      </c>
      <c r="P188" s="2" t="inlineStr">
        <is>
          <t>30.06.2027</t>
        </is>
      </c>
      <c r="Q188" s="2" t="inlineStr">
        <is>
          <t>29.04.2026</t>
        </is>
      </c>
      <c r="R188" s="2" t="inlineStr">
        <is>
          <t>23.05.2026 (the issuance plan's basis: 30.06.2026)</t>
        </is>
      </c>
      <c r="S188" s="5">
        <f>IFERROR(INDEX('CoQ Register'!$D:$D,MATCH("P060392|R",'CoQ Register'!$S:$S,0)),"")</f>
        <v/>
      </c>
      <c r="T188" s="2" t="inlineStr">
        <is>
          <t>CNP ППК26110</t>
        </is>
      </c>
      <c r="U188" s="2" t="inlineStr">
        <is>
          <t>CNP ППК26110</t>
        </is>
      </c>
      <c r="V188" s="2" t="inlineStr">
        <is>
          <t>Conforms</t>
        </is>
      </c>
      <c r="W188" s="2" t="inlineStr">
        <is>
          <t>227-23-K-26, (11.09.2026) [FHM-K]</t>
        </is>
      </c>
      <c r="X188" s="2" t="inlineStr">
        <is>
          <t>227-23-K-26, (11.09.2026) [FHM-K]</t>
        </is>
      </c>
      <c r="Y188" s="2" t="inlineStr">
        <is>
          <t>— pending —</t>
        </is>
      </c>
      <c r="Z188" s="2" t="inlineStr">
        <is>
          <t>#8, #9, #11, #12 from the initial testing</t>
        </is>
      </c>
      <c r="AA188" s="2" t="inlineStr">
        <is>
          <t>P060392|R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post-SOP</t>
        </is>
      </c>
      <c r="H189" s="2" t="inlineStr">
        <is>
          <t>retest 1</t>
        </is>
      </c>
      <c r="I189" s="3" t="inlineStr">
        <is>
          <t>FB112501</t>
        </is>
      </c>
      <c r="J189" s="2" t="inlineStr">
        <is>
          <t>P060292</t>
        </is>
      </c>
      <c r="K189" s="2" t="inlineStr">
        <is>
          <t>Fat Bastard</t>
        </is>
      </c>
      <c r="L189" s="2" t="inlineStr">
        <is>
          <t>Ident A + Ident B + Foreign matter</t>
        </is>
      </c>
      <c r="M189" s="6" t="inlineStr">
        <is>
          <t>—</t>
        </is>
      </c>
      <c r="N189" s="2">
        <f>IFERROR(INDEX('CoQ Register'!$B:$B,MATCH("P060292|R",'CoQ Register'!$S:$S,0)),"—")</f>
        <v/>
      </c>
      <c r="O189" s="6" t="inlineStr">
        <is>
          <t>—</t>
        </is>
      </c>
      <c r="P189" s="2" t="inlineStr">
        <is>
          <t>11.05.2027</t>
        </is>
      </c>
      <c r="Q189" s="2" t="inlineStr">
        <is>
          <t>25.03.2026</t>
        </is>
      </c>
      <c r="R189" s="2" t="inlineStr">
        <is>
          <t>19.05.2026 (the issuance plan's basis: 11.05.2026)</t>
        </is>
      </c>
      <c r="S189" s="5">
        <f>IFERROR(INDEX('CoQ Register'!$D:$D,MATCH("P060292|R",'CoQ Register'!$S:$S,0)),"")</f>
        <v/>
      </c>
      <c r="T189" s="2" t="inlineStr">
        <is>
          <t>Conforms</t>
        </is>
      </c>
      <c r="U189" s="2" t="inlineStr">
        <is>
          <t>Conforms</t>
        </is>
      </c>
      <c r="V189" s="2" t="inlineStr">
        <is>
          <t>Conforms</t>
        </is>
      </c>
      <c r="W189" s="2" t="inlineStr">
        <is>
          <t>227-22-K-26, (11.09.2026) [FHM-K]</t>
        </is>
      </c>
      <c r="X189" s="2" t="inlineStr">
        <is>
          <t>227-22-K-26, (11.09.2026) [FHM-K]</t>
        </is>
      </c>
      <c r="Y189" s="2" t="inlineStr">
        <is>
          <t>— pending —</t>
        </is>
      </c>
      <c r="Z189" s="2" t="inlineStr">
        <is>
          <t>#8, #9, #11, #12 from the initial testing</t>
        </is>
      </c>
      <c r="AA189" s="2" t="inlineStr">
        <is>
          <t>P060292|R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post-SOP</t>
        </is>
      </c>
      <c r="H190" s="2" t="inlineStr">
        <is>
          <t>retest 1</t>
        </is>
      </c>
      <c r="I190" s="3" t="inlineStr">
        <is>
          <t>GG012601＊</t>
        </is>
      </c>
      <c r="J190" s="2" t="inlineStr">
        <is>
          <t>P060302</t>
        </is>
      </c>
      <c r="K190" s="2" t="inlineStr">
        <is>
          <t>Gorilla Glue</t>
        </is>
      </c>
      <c r="L190" s="2" t="inlineStr">
        <is>
          <t>Ident A + Ident B + Foreign matter</t>
        </is>
      </c>
      <c r="M190" s="6" t="inlineStr">
        <is>
          <t>—</t>
        </is>
      </c>
      <c r="N190" s="2">
        <f>IFERROR(INDEX('CoQ Register'!$B:$B,MATCH("P060302|R",'CoQ Register'!$S:$S,0)),"—")</f>
        <v/>
      </c>
      <c r="O190" s="6" t="inlineStr">
        <is>
          <t>—</t>
        </is>
      </c>
      <c r="P190" s="2" t="inlineStr">
        <is>
          <t>11.05.2027</t>
        </is>
      </c>
      <c r="Q190" s="2" t="inlineStr">
        <is>
          <t>27.03.2026</t>
        </is>
      </c>
      <c r="R190" s="2" t="inlineStr">
        <is>
          <t>20.05.2026 (the issuance plan's basis: 11.05.2026)</t>
        </is>
      </c>
      <c r="S190" s="5">
        <f>IFERROR(INDEX('CoQ Register'!$D:$D,MATCH("P060302|R",'CoQ Register'!$S:$S,0)),"")</f>
        <v/>
      </c>
      <c r="T190" s="2" t="inlineStr">
        <is>
          <t>Conforms</t>
        </is>
      </c>
      <c r="U190" s="2" t="inlineStr">
        <is>
          <t>Conforms</t>
        </is>
      </c>
      <c r="V190" s="2" t="inlineStr">
        <is>
          <t>Conforms</t>
        </is>
      </c>
      <c r="W190" s="2" t="inlineStr">
        <is>
          <t>227-21-K-26, (11.09.2026) [FHM-K]</t>
        </is>
      </c>
      <c r="X190" s="2" t="inlineStr">
        <is>
          <t>227-21-K-26, (11.09.2026) [FHM-K]</t>
        </is>
      </c>
      <c r="Y190" s="2" t="inlineStr">
        <is>
          <t>— pending —</t>
        </is>
      </c>
      <c r="Z190" s="2" t="inlineStr">
        <is>
          <t>#8, #9, #11, #12 from the initial testing</t>
        </is>
      </c>
      <c r="AA190" s="2" t="inlineStr">
        <is>
          <t>P060302|R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legacy</t>
        </is>
      </c>
      <c r="H191" s="2" t="inlineStr">
        <is>
          <t>retest 1</t>
        </is>
      </c>
      <c r="I191" s="3" t="inlineStr">
        <is>
          <t>GG112501</t>
        </is>
      </c>
      <c r="J191" s="2" t="inlineStr">
        <is>
          <t>P060252</t>
        </is>
      </c>
      <c r="K191" s="2" t="inlineStr">
        <is>
          <t>Gorilla Glue</t>
        </is>
      </c>
      <c r="L191" s="2" t="inlineStr">
        <is>
          <t>Ident A + Ident B + Foreign matter</t>
        </is>
      </c>
      <c r="M191" s="6" t="inlineStr">
        <is>
          <t>—</t>
        </is>
      </c>
      <c r="N191" s="2">
        <f>IFERROR(INDEX('CoQ Register'!$B:$B,MATCH("P060252|R",'CoQ Register'!$S:$S,0)),"—")</f>
        <v/>
      </c>
      <c r="O191" s="6" t="inlineStr">
        <is>
          <t>—</t>
        </is>
      </c>
      <c r="P191" s="2" t="inlineStr">
        <is>
          <t>11.05.2027</t>
        </is>
      </c>
      <c r="Q191" s="2" t="inlineStr">
        <is>
          <t>25.03.2026</t>
        </is>
      </c>
      <c r="R191" s="2" t="inlineStr">
        <is>
          <t>05.05.2026 (the issuance plan's basis: 11.05.2026)</t>
        </is>
      </c>
      <c r="S191" s="5">
        <f>IFERROR(INDEX('CoQ Register'!$D:$D,MATCH("P060252|R",'CoQ Register'!$S:$S,0)),"")</f>
        <v/>
      </c>
      <c r="T191" s="2" t="inlineStr">
        <is>
          <t>Conforms</t>
        </is>
      </c>
      <c r="U191" s="2" t="inlineStr">
        <is>
          <t>Conforms</t>
        </is>
      </c>
      <c r="V191" s="2" t="inlineStr">
        <is>
          <t>Conforms</t>
        </is>
      </c>
      <c r="W191" s="2" t="inlineStr">
        <is>
          <t>227-20-K-26, (11.09.2026) [FHM-K]</t>
        </is>
      </c>
      <c r="X191" s="2" t="inlineStr">
        <is>
          <t>227-20-K-26, (11.09.2026) [FHM-K]</t>
        </is>
      </c>
      <c r="Y191" s="2" t="inlineStr">
        <is>
          <t>— pending —</t>
        </is>
      </c>
      <c r="Z191" s="2" t="inlineStr">
        <is>
          <t>#8, #9, #11, #12 from the initial testing</t>
        </is>
      </c>
      <c r="AA191" s="2" t="inlineStr">
        <is>
          <t>P060252|R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legacy</t>
        </is>
      </c>
      <c r="H192" s="2" t="inlineStr">
        <is>
          <t>retest 1</t>
        </is>
      </c>
      <c r="I192" s="3" t="inlineStr">
        <is>
          <t>J31112501</t>
        </is>
      </c>
      <c r="J192" s="2" t="inlineStr">
        <is>
          <t>P060202</t>
        </is>
      </c>
      <c r="K192" s="2" t="inlineStr">
        <is>
          <t>Jokerz 31</t>
        </is>
      </c>
      <c r="L192" s="2" t="inlineStr">
        <is>
          <t>Ident A + Ident B + Foreign matter</t>
        </is>
      </c>
      <c r="M192" s="6" t="inlineStr">
        <is>
          <t>—</t>
        </is>
      </c>
      <c r="N192" s="2">
        <f>IFERROR(INDEX('CoQ Register'!$B:$B,MATCH("P060202|R",'CoQ Register'!$S:$S,0)),"—")</f>
        <v/>
      </c>
      <c r="O192" s="6" t="inlineStr">
        <is>
          <t>—</t>
        </is>
      </c>
      <c r="P192" s="2" t="inlineStr">
        <is>
          <t>09.04.2027</t>
        </is>
      </c>
      <c r="Q192" s="2" t="inlineStr">
        <is>
          <t>26.01.2026</t>
        </is>
      </c>
      <c r="R192" s="2" t="inlineStr">
        <is>
          <t>17.04.2026 (the issuance plan's basis: 09.04.2026)</t>
        </is>
      </c>
      <c r="S192" s="5">
        <f>IFERROR(INDEX('CoQ Register'!$D:$D,MATCH("P060202|R",'CoQ Register'!$S:$S,0)),"")</f>
        <v/>
      </c>
      <c r="T192" s="2" t="inlineStr">
        <is>
          <t>Conforms</t>
        </is>
      </c>
      <c r="U192" s="2" t="inlineStr">
        <is>
          <t>Conforms</t>
        </is>
      </c>
      <c r="V192" s="2" t="inlineStr">
        <is>
          <t>Conforms</t>
        </is>
      </c>
      <c r="W192" s="2" t="inlineStr">
        <is>
          <t>227-14-K-26, (11.09.2026) [FHM-K]</t>
        </is>
      </c>
      <c r="X192" s="2" t="inlineStr">
        <is>
          <t>227-14-K-26, (11.09.2026) [FHM-K]</t>
        </is>
      </c>
      <c r="Y192" s="2" t="inlineStr">
        <is>
          <t>— pending —</t>
        </is>
      </c>
      <c r="Z192" s="2" t="inlineStr">
        <is>
          <t>#8, #9, #11, #12 from the initial testing</t>
        </is>
      </c>
      <c r="AA192" s="2" t="inlineStr">
        <is>
          <t>P060202|R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post-SOP</t>
        </is>
      </c>
      <c r="H193" s="2" t="inlineStr">
        <is>
          <t>retest 1</t>
        </is>
      </c>
      <c r="I193" s="3" t="inlineStr">
        <is>
          <t>J31122501</t>
        </is>
      </c>
      <c r="J193" s="2" t="inlineStr">
        <is>
          <t>P060262</t>
        </is>
      </c>
      <c r="K193" s="2" t="inlineStr">
        <is>
          <t>Jokerz 31</t>
        </is>
      </c>
      <c r="L193" s="2" t="inlineStr">
        <is>
          <t>Ident A + Ident B + Foreign matter</t>
        </is>
      </c>
      <c r="M193" s="6" t="inlineStr">
        <is>
          <t>—</t>
        </is>
      </c>
      <c r="N193" s="2">
        <f>IFERROR(INDEX('CoQ Register'!$B:$B,MATCH("P060262|R",'CoQ Register'!$S:$S,0)),"—")</f>
        <v/>
      </c>
      <c r="O193" s="6" t="inlineStr">
        <is>
          <t>—</t>
        </is>
      </c>
      <c r="P193" s="2" t="inlineStr">
        <is>
          <t>23.04.2027</t>
        </is>
      </c>
      <c r="Q193" s="2" t="inlineStr">
        <is>
          <t>04.03.2026</t>
        </is>
      </c>
      <c r="R193" s="2" t="inlineStr">
        <is>
          <t>14.05.2026 (the issuance plan's basis: 23.04.2026)</t>
        </is>
      </c>
      <c r="S193" s="5">
        <f>IFERROR(INDEX('CoQ Register'!$D:$D,MATCH("P060262|R",'CoQ Register'!$S:$S,0)),"")</f>
        <v/>
      </c>
      <c r="T193" s="2" t="inlineStr">
        <is>
          <t>Conforms</t>
        </is>
      </c>
      <c r="U193" s="2" t="inlineStr">
        <is>
          <t>Conforms</t>
        </is>
      </c>
      <c r="V193" s="2" t="inlineStr">
        <is>
          <t>Conforms</t>
        </is>
      </c>
      <c r="W193" s="2" t="inlineStr">
        <is>
          <t>— retest assay not yet on file —</t>
        </is>
      </c>
      <c r="X193" s="2" t="inlineStr">
        <is>
          <t>— pending —</t>
        </is>
      </c>
      <c r="Y193" s="2" t="inlineStr">
        <is>
          <t>— pending —</t>
        </is>
      </c>
      <c r="Z193" s="2" t="inlineStr">
        <is>
          <t>#8, #9, #11, #12 from the initial testing</t>
        </is>
      </c>
      <c r="AA193" s="2" t="inlineStr">
        <is>
          <t>P060262|R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post-SOP</t>
        </is>
      </c>
      <c r="H194" s="2" t="inlineStr">
        <is>
          <t>retest 1</t>
        </is>
      </c>
      <c r="I194" s="3" t="inlineStr">
        <is>
          <t>JD012601＊</t>
        </is>
      </c>
      <c r="J194" s="2" t="inlineStr">
        <is>
          <t>P060312</t>
        </is>
      </c>
      <c r="K194" s="2" t="inlineStr">
        <is>
          <t>Jelly Donutz</t>
        </is>
      </c>
      <c r="L194" s="2" t="inlineStr">
        <is>
          <t>Ident A + Ident B + Foreign matter</t>
        </is>
      </c>
      <c r="M194" s="6" t="inlineStr">
        <is>
          <t>—</t>
        </is>
      </c>
      <c r="N194" s="2">
        <f>IFERROR(INDEX('CoQ Register'!$B:$B,MATCH("P060312|R",'CoQ Register'!$S:$S,0)),"—")</f>
        <v/>
      </c>
      <c r="O194" s="6" t="inlineStr">
        <is>
          <t>—</t>
        </is>
      </c>
      <c r="P194" s="2" t="inlineStr">
        <is>
          <t>11.05.2027</t>
        </is>
      </c>
      <c r="Q194" s="2" t="inlineStr">
        <is>
          <t>27.03.2026</t>
        </is>
      </c>
      <c r="R194" s="2" t="inlineStr">
        <is>
          <t>21.05.2026 (the issuance plan's basis: 11.05.2026)</t>
        </is>
      </c>
      <c r="S194" s="5">
        <f>IFERROR(INDEX('CoQ Register'!$D:$D,MATCH("P060312|R",'CoQ Register'!$S:$S,0)),"")</f>
        <v/>
      </c>
      <c r="T194" s="2" t="inlineStr">
        <is>
          <t>Conforms</t>
        </is>
      </c>
      <c r="U194" s="2" t="inlineStr">
        <is>
          <t>Conforms</t>
        </is>
      </c>
      <c r="V194" s="2" t="inlineStr">
        <is>
          <t>Conforms</t>
        </is>
      </c>
      <c r="W194" s="2" t="inlineStr">
        <is>
          <t>227-15-K-26, (11.09.2026) [FHM-K]</t>
        </is>
      </c>
      <c r="X194" s="2" t="inlineStr">
        <is>
          <t>227-15-K-26, (11.09.2026) [FHM-K]</t>
        </is>
      </c>
      <c r="Y194" s="2" t="inlineStr">
        <is>
          <t>— pending —</t>
        </is>
      </c>
      <c r="Z194" s="2" t="inlineStr">
        <is>
          <t>#8, #9, #11, #12 from the initial testing</t>
        </is>
      </c>
      <c r="AA194" s="2" t="inlineStr">
        <is>
          <t>P060312|R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legacy</t>
        </is>
      </c>
      <c r="H195" s="2" t="inlineStr">
        <is>
          <t>retest 1</t>
        </is>
      </c>
      <c r="I195" s="3" t="inlineStr">
        <is>
          <t>OPM112501</t>
        </is>
      </c>
      <c r="J195" s="2" t="inlineStr">
        <is>
          <t>P060222</t>
        </is>
      </c>
      <c r="K195" s="2" t="inlineStr">
        <is>
          <t>Orange Punch Mimosa</t>
        </is>
      </c>
      <c r="L195" s="2" t="inlineStr">
        <is>
          <t>Ident A + Ident B + Foreign matter</t>
        </is>
      </c>
      <c r="M195" s="6" t="inlineStr">
        <is>
          <t>—</t>
        </is>
      </c>
      <c r="N195" s="2">
        <f>IFERROR(INDEX('CoQ Register'!$B:$B,MATCH("P060222|R",'CoQ Register'!$S:$S,0)),"—")</f>
        <v/>
      </c>
      <c r="O195" s="6" t="inlineStr">
        <is>
          <t>—</t>
        </is>
      </c>
      <c r="P195" s="2" t="inlineStr">
        <is>
          <t>05.03.2027</t>
        </is>
      </c>
      <c r="Q195" s="2" t="inlineStr">
        <is>
          <t>05.02.2026</t>
        </is>
      </c>
      <c r="R195" s="2" t="inlineStr">
        <is>
          <t>24.04.2026 (the issuance plan's basis: 05.03.2026)</t>
        </is>
      </c>
      <c r="S195" s="5">
        <f>IFERROR(INDEX('CoQ Register'!$D:$D,MATCH("P060222|R",'CoQ Register'!$S:$S,0)),"")</f>
        <v/>
      </c>
      <c r="T195" s="2" t="inlineStr">
        <is>
          <t>Conforms</t>
        </is>
      </c>
      <c r="U195" s="2" t="inlineStr">
        <is>
          <t>Conforms</t>
        </is>
      </c>
      <c r="V195" s="2" t="inlineStr">
        <is>
          <t>Conforms</t>
        </is>
      </c>
      <c r="W195" s="2" t="inlineStr">
        <is>
          <t>227-10-K-26, (11.09.2026) [FHM-K]</t>
        </is>
      </c>
      <c r="X195" s="2" t="inlineStr">
        <is>
          <t>227-10-K-26, (11.09.2026) [FHM-K]</t>
        </is>
      </c>
      <c r="Y195" s="2" t="inlineStr">
        <is>
          <t>— pending —</t>
        </is>
      </c>
      <c r="Z195" s="2" t="inlineStr">
        <is>
          <t>#8, #9, #11, #12 from the initial testing</t>
        </is>
      </c>
      <c r="AA195" s="2" t="inlineStr">
        <is>
          <t>P060222|R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post-SOP</t>
        </is>
      </c>
      <c r="H196" s="2" t="inlineStr">
        <is>
          <t>retest 1</t>
        </is>
      </c>
      <c r="I196" s="3" t="inlineStr">
        <is>
          <t>SCR012601*</t>
        </is>
      </c>
      <c r="J196" s="2" t="inlineStr">
        <is>
          <t>P060342</t>
        </is>
      </c>
      <c r="K196" s="2" t="inlineStr">
        <is>
          <t>Scrambler</t>
        </is>
      </c>
      <c r="L196" s="2" t="inlineStr">
        <is>
          <t>Ident A + Ident B + Foreign matter</t>
        </is>
      </c>
      <c r="M196" s="6" t="inlineStr">
        <is>
          <t>—</t>
        </is>
      </c>
      <c r="N196" s="2">
        <f>IFERROR(INDEX('CoQ Register'!$B:$B,MATCH("P060342|R",'CoQ Register'!$S:$S,0)),"—")</f>
        <v/>
      </c>
      <c r="O196" s="6" t="inlineStr">
        <is>
          <t>—</t>
        </is>
      </c>
      <c r="P196" s="2" t="inlineStr">
        <is>
          <t>25.05.2027</t>
        </is>
      </c>
      <c r="Q196" s="2" t="inlineStr">
        <is>
          <t>16.04.2026</t>
        </is>
      </c>
      <c r="R196" s="2" t="inlineStr">
        <is>
          <t>25.05.2026</t>
        </is>
      </c>
      <c r="S196" s="5">
        <f>IFERROR(INDEX('CoQ Register'!$D:$D,MATCH("P060342|R",'CoQ Register'!$S:$S,0)),"")</f>
        <v/>
      </c>
      <c r="T196" s="2" t="inlineStr">
        <is>
          <t>Conforms</t>
        </is>
      </c>
      <c r="U196" s="2" t="inlineStr">
        <is>
          <t>Conforms</t>
        </is>
      </c>
      <c r="V196" s="2" t="inlineStr">
        <is>
          <t>Conforms</t>
        </is>
      </c>
      <c r="W196" s="2" t="inlineStr">
        <is>
          <t>227-8-K-26, (11.09.2026) [FHM-K]</t>
        </is>
      </c>
      <c r="X196" s="2" t="inlineStr">
        <is>
          <t>227-8-K-26, (11.09.2026) [FHM-K]</t>
        </is>
      </c>
      <c r="Y196" s="2" t="inlineStr">
        <is>
          <t>— pending —</t>
        </is>
      </c>
      <c r="Z196" s="2" t="inlineStr">
        <is>
          <t>#8, #9, #11, #12 from the initial testing</t>
        </is>
      </c>
      <c r="AA196" s="2" t="inlineStr">
        <is>
          <t>P060342|R</t>
        </is>
      </c>
      <c r="AB196" s="7" t="inlineStr">
        <is>
          <t>registered — retest 1, issued 31.08.2026</t>
        </is>
      </c>
    </row>
    <row r="197">
      <c r="A197" s="2" t="n">
        <v>196</v>
      </c>
      <c r="B197" s="3" t="inlineStr">
        <is>
          <t>iCoA-PP_26-196</t>
        </is>
      </c>
      <c r="C197" s="4" t="inlineStr">
        <is>
          <t>yes</t>
        </is>
      </c>
      <c r="D197" s="5" t="n">
        <v>46265</v>
      </c>
      <c r="E197" s="5" t="n">
        <v>46265</v>
      </c>
      <c r="F197" s="5">
        <f>IFERROR(INDEX('Batch Dates'!$G:$G,MATCH(J197,'Batch Dates'!$C:$C,0)),IFERROR(INDEX('Batch Dates'!$G:$G,MATCH(I197,'Batch Dates'!$B:$B,0)),""))</f>
        <v/>
      </c>
      <c r="G197" s="2" t="inlineStr">
        <is>
          <t>post-SOP</t>
        </is>
      </c>
      <c r="H197" s="2" t="inlineStr">
        <is>
          <t>retest 1</t>
        </is>
      </c>
      <c r="I197" s="3" t="inlineStr">
        <is>
          <t>SCR022601</t>
        </is>
      </c>
      <c r="J197" s="2" t="inlineStr">
        <is>
          <t>P060442</t>
        </is>
      </c>
      <c r="K197" s="2" t="inlineStr">
        <is>
          <t>Scrambler</t>
        </is>
      </c>
      <c r="L197" s="2" t="inlineStr">
        <is>
          <t>Ident A + Ident B + Foreign matter</t>
        </is>
      </c>
      <c r="M197" s="6" t="inlineStr">
        <is>
          <t>—</t>
        </is>
      </c>
      <c r="N197" s="2">
        <f>IFERROR(INDEX('CoQ Register'!$B:$B,MATCH("P060442|R",'CoQ Register'!$S:$S,0)),"—")</f>
        <v/>
      </c>
      <c r="O197" s="6" t="inlineStr">
        <is>
          <t>—</t>
        </is>
      </c>
      <c r="P197" s="2" t="inlineStr">
        <is>
          <t>06.07.2027</t>
        </is>
      </c>
      <c r="Q197" s="2" t="inlineStr">
        <is>
          <t>13.05.2026</t>
        </is>
      </c>
      <c r="R197" s="2" t="inlineStr">
        <is>
          <t>18.06.2026 (the issuance plan's basis: 06.07.2026)</t>
        </is>
      </c>
      <c r="S197" s="5">
        <f>IFERROR(INDEX('CoQ Register'!$D:$D,MATCH("P060442|R",'CoQ Register'!$S:$S,0)),"")</f>
        <v/>
      </c>
      <c r="T197" s="2" t="inlineStr">
        <is>
          <t>CNP ППК26116</t>
        </is>
      </c>
      <c r="U197" s="2" t="inlineStr">
        <is>
          <t>CNP ППК26116</t>
        </is>
      </c>
      <c r="V197" s="2" t="inlineStr">
        <is>
          <t>Conforms</t>
        </is>
      </c>
      <c r="W197" s="2" t="inlineStr">
        <is>
          <t>227-7-K-26, (11.09.2026) [FHM-K]</t>
        </is>
      </c>
      <c r="X197" s="2" t="inlineStr">
        <is>
          <t>227-7-K-26, (11.09.2026) [FHM-K]</t>
        </is>
      </c>
      <c r="Y197" s="2" t="inlineStr">
        <is>
          <t>— pending —</t>
        </is>
      </c>
      <c r="Z197" s="2" t="inlineStr">
        <is>
          <t>#8, #9, #11, #12 from the initial testing</t>
        </is>
      </c>
      <c r="AA197" s="2" t="inlineStr">
        <is>
          <t>P060442|R</t>
        </is>
      </c>
      <c r="AB197" s="7" t="inlineStr">
        <is>
          <t>registered — retest 1, issued 31.08.2026</t>
        </is>
      </c>
    </row>
    <row r="198">
      <c r="A198" s="2" t="n">
        <v>197</v>
      </c>
      <c r="B198" s="3" t="inlineStr">
        <is>
          <t>iCoA-PP_26-197</t>
        </is>
      </c>
      <c r="C198" s="4" t="inlineStr">
        <is>
          <t>yes</t>
        </is>
      </c>
      <c r="D198" s="5" t="n">
        <v>46265</v>
      </c>
      <c r="E198" s="5" t="n">
        <v>46265</v>
      </c>
      <c r="F198" s="5">
        <f>IFERROR(INDEX('Batch Dates'!$G:$G,MATCH(J198,'Batch Dates'!$C:$C,0)),IFERROR(INDEX('Batch Dates'!$G:$G,MATCH(I198,'Batch Dates'!$B:$B,0)),""))</f>
        <v/>
      </c>
      <c r="G198" s="2" t="inlineStr">
        <is>
          <t>legacy</t>
        </is>
      </c>
      <c r="H198" s="2" t="inlineStr">
        <is>
          <t>retest 1</t>
        </is>
      </c>
      <c r="I198" s="3" t="inlineStr">
        <is>
          <t>SJ102501</t>
        </is>
      </c>
      <c r="J198" s="2" t="inlineStr">
        <is>
          <t>P060162</t>
        </is>
      </c>
      <c r="K198" s="2" t="inlineStr">
        <is>
          <t>Sleepy Joy</t>
        </is>
      </c>
      <c r="L198" s="2" t="inlineStr">
        <is>
          <t>Ident A + Ident B + Foreign matter</t>
        </is>
      </c>
      <c r="M198" s="6" t="inlineStr">
        <is>
          <t>—</t>
        </is>
      </c>
      <c r="N198" s="2">
        <f>IFERROR(INDEX('CoQ Register'!$B:$B,MATCH("P060162|R",'CoQ Register'!$S:$S,0)),"—")</f>
        <v/>
      </c>
      <c r="O198" s="6" t="inlineStr">
        <is>
          <t>—</t>
        </is>
      </c>
      <c r="P198" s="2" t="inlineStr">
        <is>
          <t>04.03.2027</t>
        </is>
      </c>
      <c r="Q198" s="2" t="inlineStr">
        <is>
          <t>20.01.2026</t>
        </is>
      </c>
      <c r="R198" s="2" t="inlineStr">
        <is>
          <t>09.03.2026 (the issuance plan's basis: 04.03.2026)</t>
        </is>
      </c>
      <c r="S198" s="5">
        <f>IFERROR(INDEX('CoQ Register'!$D:$D,MATCH("P060162|R",'CoQ Register'!$S:$S,0)),"")</f>
        <v/>
      </c>
      <c r="T198" s="2" t="inlineStr">
        <is>
          <t>Conforms</t>
        </is>
      </c>
      <c r="U198" s="2" t="inlineStr">
        <is>
          <t>Conforms</t>
        </is>
      </c>
      <c r="V198" s="2" t="inlineStr">
        <is>
          <t>Conforms</t>
        </is>
      </c>
      <c r="W198" s="2" t="inlineStr">
        <is>
          <t>227-6-K-26, (11.09.2026) [FHM-K]</t>
        </is>
      </c>
      <c r="X198" s="2" t="inlineStr">
        <is>
          <t>227-6-K-26, (11.09.2026) [FHM-K]</t>
        </is>
      </c>
      <c r="Y198" s="2" t="inlineStr">
        <is>
          <t>— pending —</t>
        </is>
      </c>
      <c r="Z198" s="2" t="inlineStr">
        <is>
          <t>#8, #9, #11, #12 from the initial testing</t>
        </is>
      </c>
      <c r="AA198" s="2" t="inlineStr">
        <is>
          <t>P060162|R</t>
        </is>
      </c>
      <c r="AB198" s="7" t="inlineStr">
        <is>
          <t>registered — retest 1, issued 31.08.2026</t>
        </is>
      </c>
    </row>
    <row r="199">
      <c r="A199" s="2" t="n">
        <v>198</v>
      </c>
      <c r="B199" s="3" t="inlineStr">
        <is>
          <t>iCoA-PP_26-198</t>
        </is>
      </c>
      <c r="C199" s="4" t="inlineStr">
        <is>
          <t>yes</t>
        </is>
      </c>
      <c r="D199" s="5" t="n">
        <v>46266</v>
      </c>
      <c r="E199" s="5" t="n">
        <v>46266</v>
      </c>
      <c r="F199" s="5">
        <f>IFERROR(INDEX('Batch Dates'!$G:$G,MATCH(J199,'Batch Dates'!$C:$C,0)),IFERROR(INDEX('Batch Dates'!$G:$G,MATCH(I199,'Batch Dates'!$B:$B,0)),""))</f>
        <v/>
      </c>
      <c r="G199" s="2" t="inlineStr">
        <is>
          <t>legacy</t>
        </is>
      </c>
      <c r="H199" s="2" t="inlineStr">
        <is>
          <t>retest 1</t>
        </is>
      </c>
      <c r="I199" s="3" t="inlineStr">
        <is>
          <t>AB092501</t>
        </is>
      </c>
      <c r="J199" s="2" t="inlineStr">
        <is>
          <t>P060052</t>
        </is>
      </c>
      <c r="K199" s="2" t="inlineStr">
        <is>
          <t>Apple and Banana</t>
        </is>
      </c>
      <c r="L199" s="2" t="inlineStr">
        <is>
          <t>Ident A + Ident B + Foreign matter</t>
        </is>
      </c>
      <c r="M199" s="6" t="inlineStr">
        <is>
          <t>—</t>
        </is>
      </c>
      <c r="N199" s="2">
        <f>IFERROR(INDEX('CoQ Register'!$B:$B,MATCH("P060052|R",'CoQ Register'!$S:$S,0)),"—")</f>
        <v/>
      </c>
      <c r="O199" s="6" t="inlineStr">
        <is>
          <t>—</t>
        </is>
      </c>
      <c r="P199" s="2" t="inlineStr">
        <is>
          <t>20.02.2027</t>
        </is>
      </c>
      <c r="Q199" s="2" t="inlineStr">
        <is>
          <t>11.12.2025</t>
        </is>
      </c>
      <c r="R199" s="2" t="inlineStr">
        <is>
          <t>30.01.2026 (the issuance plan's basis: 20.02.2026)</t>
        </is>
      </c>
      <c r="S199" s="5">
        <f>IFERROR(INDEX('CoQ Register'!$D:$D,MATCH("P060052|R",'CoQ Register'!$S:$S,0)),"")</f>
        <v/>
      </c>
      <c r="T199" s="2" t="inlineStr">
        <is>
          <t>Conforms</t>
        </is>
      </c>
      <c r="U199" s="2" t="inlineStr">
        <is>
          <t>Conforms</t>
        </is>
      </c>
      <c r="V199" s="2" t="inlineStr">
        <is>
          <t>Conforms</t>
        </is>
      </c>
      <c r="W199" s="2" t="inlineStr">
        <is>
          <t>227-30-K-26, (11.09.2026) [FHM-K]</t>
        </is>
      </c>
      <c r="X199" s="2" t="inlineStr">
        <is>
          <t>227-30-K-26, (11.09.2026) [FHM-K]</t>
        </is>
      </c>
      <c r="Y199" s="2" t="inlineStr">
        <is>
          <t>— pending —</t>
        </is>
      </c>
      <c r="Z199" s="2" t="inlineStr">
        <is>
          <t>#8, #9, #11, #12 from the initial testing</t>
        </is>
      </c>
      <c r="AA199" s="2" t="inlineStr">
        <is>
          <t>P060052|R</t>
        </is>
      </c>
      <c r="AB199" s="7" t="inlineStr">
        <is>
          <t>registered — retest 1, issued 01.09.2026</t>
        </is>
      </c>
    </row>
    <row r="200">
      <c r="A200" s="2" t="n">
        <v>199</v>
      </c>
      <c r="B200" s="3" t="inlineStr">
        <is>
          <t>iCoA-PP_26-199</t>
        </is>
      </c>
      <c r="C200" s="4" t="inlineStr">
        <is>
          <t>yes</t>
        </is>
      </c>
      <c r="D200" s="5" t="n">
        <v>46266</v>
      </c>
      <c r="E200" s="5" t="n">
        <v>46266</v>
      </c>
      <c r="F200" s="5">
        <f>IFERROR(INDEX('Batch Dates'!$G:$G,MATCH(J200,'Batch Dates'!$C:$C,0)),IFERROR(INDEX('Batch Dates'!$G:$G,MATCH(I200,'Batch Dates'!$B:$B,0)),""))</f>
        <v/>
      </c>
      <c r="G200" s="2" t="inlineStr">
        <is>
          <t>legacy</t>
        </is>
      </c>
      <c r="H200" s="2" t="inlineStr">
        <is>
          <t>retest 1</t>
        </is>
      </c>
      <c r="I200" s="3" t="inlineStr">
        <is>
          <t>BSS1024_01/1</t>
        </is>
      </c>
      <c r="J200" s="2" t="inlineStr">
        <is>
          <t>P050122</t>
        </is>
      </c>
      <c r="K200" s="2" t="inlineStr">
        <is>
          <t>Blue Sunset Sherbet</t>
        </is>
      </c>
      <c r="L200" s="2" t="inlineStr">
        <is>
          <t>Ident A + Ident B + Foreign matter</t>
        </is>
      </c>
      <c r="M200" s="6" t="inlineStr">
        <is>
          <t>—</t>
        </is>
      </c>
      <c r="N200" s="2">
        <f>IFERROR(INDEX('CoQ Register'!$B:$B,MATCH("P050122|R",'CoQ Register'!$S:$S,0)),"—")</f>
        <v/>
      </c>
      <c r="O200" s="6" t="inlineStr">
        <is>
          <t>—</t>
        </is>
      </c>
      <c r="P200" s="2" t="inlineStr">
        <is>
          <t>10.07.2026</t>
        </is>
      </c>
      <c r="Q200" s="2" t="inlineStr">
        <is>
          <t>04.06.2025 – 05.06.2025</t>
        </is>
      </c>
      <c r="R200" s="2" t="inlineStr">
        <is>
          <t>01.09.2025 – 09.09.2025 (the issuance plan's basis: 10.07.2025)</t>
        </is>
      </c>
      <c r="S200" s="5">
        <f>IFERROR(INDEX('CoQ Register'!$D:$D,MATCH("P050122|R",'CoQ Register'!$S:$S,0)),"")</f>
        <v/>
      </c>
      <c r="T200" s="2" t="inlineStr">
        <is>
          <t>Conforms</t>
        </is>
      </c>
      <c r="U200" s="2" t="inlineStr">
        <is>
          <t>Conforms</t>
        </is>
      </c>
      <c r="V200" s="2" t="inlineStr">
        <is>
          <t>Conforms</t>
        </is>
      </c>
      <c r="W200" s="2" t="inlineStr">
        <is>
          <t>227-29-K-26, (11.09.2026) [FHM-K]</t>
        </is>
      </c>
      <c r="X200" s="2" t="inlineStr">
        <is>
          <t>227-29-K-26, (11.09.2026) [FHM-K]</t>
        </is>
      </c>
      <c r="Y200" s="2" t="inlineStr">
        <is>
          <t>— pending —</t>
        </is>
      </c>
      <c r="Z200" s="2" t="inlineStr">
        <is>
          <t>#8, #9, #11, #12 from the initial testing</t>
        </is>
      </c>
      <c r="AA200" s="2" t="inlineStr">
        <is>
          <t>P050122|R</t>
        </is>
      </c>
      <c r="AB200" s="7" t="inlineStr">
        <is>
          <t>registered — retest 1, issued 01.09.2026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BSS1024_01/2</t>
        </is>
      </c>
      <c r="J201" s="2" t="inlineStr">
        <is>
          <t>P050142</t>
        </is>
      </c>
      <c r="K201" s="2" t="inlineStr">
        <is>
          <t>Blue Sunset Sherbet</t>
        </is>
      </c>
      <c r="L201" s="2" t="inlineStr">
        <is>
          <t>Ident A + Ident B + Foreign matter</t>
        </is>
      </c>
      <c r="M201" s="6" t="inlineStr">
        <is>
          <t>—</t>
        </is>
      </c>
      <c r="N201" s="2">
        <f>IFERROR(INDEX('CoQ Register'!$B:$B,MATCH("P050142|R",'CoQ Register'!$S:$S,0)),"—")</f>
        <v/>
      </c>
      <c r="O201" s="6" t="inlineStr">
        <is>
          <t>—</t>
        </is>
      </c>
      <c r="P201" s="2" t="inlineStr">
        <is>
          <t>30.09.2026</t>
        </is>
      </c>
      <c r="Q201" s="2" t="inlineStr">
        <is>
          <t>— not given —</t>
        </is>
      </c>
      <c r="R201" s="2" t="inlineStr">
        <is>
          <t>30.09.2025</t>
        </is>
      </c>
      <c r="S201" s="5">
        <f>IFERROR(INDEX('CoQ Register'!$D:$D,MATCH("P050142|R",'CoQ Register'!$S:$S,0)),"")</f>
        <v/>
      </c>
      <c r="T201" s="2" t="inlineStr">
        <is>
          <t>Conforms</t>
        </is>
      </c>
      <c r="U201" s="2" t="inlineStr">
        <is>
          <t>Conforms</t>
        </is>
      </c>
      <c r="V201" s="2" t="inlineStr">
        <is>
          <t>Conforms</t>
        </is>
      </c>
      <c r="W201" s="2" t="inlineStr">
        <is>
          <t>227-1-K-26, (11.09.2026) [FHM-K]</t>
        </is>
      </c>
      <c r="X201" s="2" t="inlineStr">
        <is>
          <t>227-1-K-26, (11.09.2026) [FHM-K]</t>
        </is>
      </c>
      <c r="Y201" s="2" t="inlineStr">
        <is>
          <t>— pending —</t>
        </is>
      </c>
      <c r="Z201" s="2" t="inlineStr">
        <is>
          <t>#8, #9, #11, #12 from the initial testing</t>
        </is>
      </c>
      <c r="AA201" s="2" t="inlineStr">
        <is>
          <t>P050142|R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CJ052501/02</t>
        </is>
      </c>
      <c r="J202" s="2" t="inlineStr">
        <is>
          <t>P050172</t>
        </is>
      </c>
      <c r="K202" s="2" t="inlineStr">
        <is>
          <t>Cap Junky</t>
        </is>
      </c>
      <c r="L202" s="2" t="inlineStr">
        <is>
          <t>Ident A + Ident B + Foreign matter</t>
        </is>
      </c>
      <c r="M202" s="6" t="inlineStr">
        <is>
          <t>—</t>
        </is>
      </c>
      <c r="N202" s="2">
        <f>IFERROR(INDEX('CoQ Register'!$B:$B,MATCH("P050172|R",'CoQ Register'!$S:$S,0)),"—")</f>
        <v/>
      </c>
      <c r="O202" s="6" t="inlineStr">
        <is>
          <t>—</t>
        </is>
      </c>
      <c r="P202" s="2" t="inlineStr">
        <is>
          <t>17.09.2026</t>
        </is>
      </c>
      <c r="Q202" s="2" t="inlineStr">
        <is>
          <t>20.08.2025</t>
        </is>
      </c>
      <c r="R202" s="2" t="inlineStr">
        <is>
          <t>01.10.2025 – 02.10.2025 (the issuance plan's basis: 17.09.2025)</t>
        </is>
      </c>
      <c r="S202" s="5">
        <f>IFERROR(INDEX('CoQ Register'!$D:$D,MATCH("P050172|R",'CoQ Register'!$S:$S,0)),"")</f>
        <v/>
      </c>
      <c r="T202" s="2" t="inlineStr">
        <is>
          <t>Conforms</t>
        </is>
      </c>
      <c r="U202" s="2" t="inlineStr">
        <is>
          <t>Conforms</t>
        </is>
      </c>
      <c r="V202" s="2" t="inlineStr">
        <is>
          <t>Conforms</t>
        </is>
      </c>
      <c r="W202" s="2" t="inlineStr">
        <is>
          <t>227-28-K-26, (11.09.2026) [FHM-K]</t>
        </is>
      </c>
      <c r="X202" s="2" t="inlineStr">
        <is>
          <t>227-28-K-26, (11.09.2026) [FHM-K]</t>
        </is>
      </c>
      <c r="Y202" s="2" t="inlineStr">
        <is>
          <t>— pending —</t>
        </is>
      </c>
      <c r="Z202" s="2" t="inlineStr">
        <is>
          <t>#8, #9, #11, #12 from the initial testing</t>
        </is>
      </c>
      <c r="AA202" s="2" t="inlineStr">
        <is>
          <t>P050172|R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CJ072501</t>
        </is>
      </c>
      <c r="J203" s="2" t="inlineStr">
        <is>
          <t>P050252</t>
        </is>
      </c>
      <c r="K203" s="2" t="inlineStr">
        <is>
          <t>Cap Junky</t>
        </is>
      </c>
      <c r="L203" s="2" t="inlineStr">
        <is>
          <t>Ident A + Ident B + Foreign matter</t>
        </is>
      </c>
      <c r="M203" s="6" t="inlineStr">
        <is>
          <t>—</t>
        </is>
      </c>
      <c r="N203" s="2">
        <f>IFERROR(INDEX('CoQ Register'!$B:$B,MATCH("P050252|R",'CoQ Register'!$S:$S,0)),"—")</f>
        <v/>
      </c>
      <c r="O203" s="6" t="inlineStr">
        <is>
          <t>—</t>
        </is>
      </c>
      <c r="P203" s="2" t="inlineStr">
        <is>
          <t>02.12.2026</t>
        </is>
      </c>
      <c r="Q203" s="2" t="inlineStr">
        <is>
          <t>27.10.2025</t>
        </is>
      </c>
      <c r="R203" s="2" t="inlineStr">
        <is>
          <t>27.11.2025 – 28.11.2025 (the issuance plan's basis: 02.12.2025)</t>
        </is>
      </c>
      <c r="S203" s="5">
        <f>IFERROR(INDEX('CoQ Register'!$D:$D,MATCH("P050252|R",'CoQ Register'!$S:$S,0)),"")</f>
        <v/>
      </c>
      <c r="T203" s="2" t="inlineStr">
        <is>
          <t>Conforms</t>
        </is>
      </c>
      <c r="U203" s="2" t="inlineStr">
        <is>
          <t>Conforms</t>
        </is>
      </c>
      <c r="V203" s="2" t="inlineStr">
        <is>
          <t>Conforms</t>
        </is>
      </c>
      <c r="W203" s="2" t="inlineStr">
        <is>
          <t>227-27-K-26, (11.09.2026) [FHM-K]</t>
        </is>
      </c>
      <c r="X203" s="2" t="inlineStr">
        <is>
          <t>227-27-K-26, (11.09.2026) [FHM-K]</t>
        </is>
      </c>
      <c r="Y203" s="2" t="inlineStr">
        <is>
          <t>— pending —</t>
        </is>
      </c>
      <c r="Z203" s="2" t="inlineStr">
        <is>
          <t>#8, #9, #11, #12 from the initial testing</t>
        </is>
      </c>
      <c r="AA203" s="2" t="inlineStr">
        <is>
          <t>P050252|R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1</t>
        </is>
      </c>
      <c r="I204" s="3" t="inlineStr">
        <is>
          <t>CJ1024</t>
        </is>
      </c>
      <c r="J204" s="2" t="inlineStr">
        <is>
          <t>N/A — no P batch assigned</t>
        </is>
      </c>
      <c r="K204" s="2" t="inlineStr">
        <is>
          <t>Cap Junky</t>
        </is>
      </c>
      <c r="L204" s="2" t="inlineStr">
        <is>
          <t>Ident A + Ident B + Foreign matter</t>
        </is>
      </c>
      <c r="M204" s="6" t="inlineStr">
        <is>
          <t>—</t>
        </is>
      </c>
      <c r="N204" s="2">
        <f>IFERROR(INDEX('CoQ Register'!$B:$B,MATCH("CJ1024|R",'CoQ Register'!$S:$S,0)),"—")</f>
        <v/>
      </c>
      <c r="O204" s="6" t="inlineStr">
        <is>
          <t>—</t>
        </is>
      </c>
      <c r="P204" s="2" t="inlineStr">
        <is>
          <t>27.02.2026</t>
        </is>
      </c>
      <c r="Q204" s="2" t="inlineStr">
        <is>
          <t>20.01.2025</t>
        </is>
      </c>
      <c r="R204" s="2" t="inlineStr">
        <is>
          <t>03.03.2025 (the issuance plan's basis: 27.02.2025)</t>
        </is>
      </c>
      <c r="S204" s="5">
        <f>IFERROR(INDEX('CoQ Register'!$D:$D,MATCH("CJ1024|R",'CoQ Register'!$S:$S,0)),"")</f>
        <v/>
      </c>
      <c r="T204" s="2" t="inlineStr">
        <is>
          <t>Conforms</t>
        </is>
      </c>
      <c r="U204" s="2" t="inlineStr">
        <is>
          <t>Conforms</t>
        </is>
      </c>
      <c r="V204" s="2" t="inlineStr">
        <is>
          <t>Conforms</t>
        </is>
      </c>
      <c r="W204" s="2" t="inlineStr">
        <is>
          <t>227-26-K-26, (11.09.2026) [FHM-K]</t>
        </is>
      </c>
      <c r="X204" s="2" t="inlineStr">
        <is>
          <t>227-26-K-26, (11.09.2026) [FHM-K]</t>
        </is>
      </c>
      <c r="Y204" s="2" t="inlineStr">
        <is>
          <t>— pending —</t>
        </is>
      </c>
      <c r="Z204" s="2" t="inlineStr">
        <is>
          <t>#8, #9, #11, #12 from the initial testing</t>
        </is>
      </c>
      <c r="AA204" s="2" t="inlineStr">
        <is>
          <t>CJ1024|R</t>
        </is>
      </c>
      <c r="AB204" s="7" t="inlineStr">
        <is>
          <t>registered — retest 1,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GG1024_02</t>
        </is>
      </c>
      <c r="J205" s="2" t="inlineStr">
        <is>
          <t>P050012</t>
        </is>
      </c>
      <c r="K205" s="2" t="inlineStr">
        <is>
          <t>Gorilla Glue</t>
        </is>
      </c>
      <c r="L205" s="2" t="inlineStr">
        <is>
          <t>Ident A + Ident B + Foreign matter</t>
        </is>
      </c>
      <c r="M205" s="6" t="inlineStr">
        <is>
          <t>—</t>
        </is>
      </c>
      <c r="N205" s="2">
        <f>IFERROR(INDEX('CoQ Register'!$B:$B,MATCH("P050012|R",'CoQ Register'!$S:$S,0)),"—")</f>
        <v/>
      </c>
      <c r="O205" s="6" t="inlineStr">
        <is>
          <t>—</t>
        </is>
      </c>
      <c r="P205" s="2" t="inlineStr">
        <is>
          <t>30.05.2026</t>
        </is>
      </c>
      <c r="Q205" s="2" t="inlineStr">
        <is>
          <t>14.04.2025 – 15.04.2025</t>
        </is>
      </c>
      <c r="R205" s="2" t="inlineStr">
        <is>
          <t>11.06.2025 – 16.06.2025 (the issuance plan's basis: 30.05.2025)</t>
        </is>
      </c>
      <c r="S205" s="5">
        <f>IFERROR(INDEX('CoQ Register'!$D:$D,MATCH("P050012|R",'CoQ Register'!$S:$S,0)),"")</f>
        <v/>
      </c>
      <c r="T205" s="2" t="inlineStr">
        <is>
          <t>Conforms</t>
        </is>
      </c>
      <c r="U205" s="2" t="inlineStr">
        <is>
          <t>Conforms</t>
        </is>
      </c>
      <c r="V205" s="2" t="inlineStr">
        <is>
          <t>Conforms</t>
        </is>
      </c>
      <c r="W205" s="2" t="inlineStr">
        <is>
          <t>227-19-K-26, (11.09.2026) [FHM-K]</t>
        </is>
      </c>
      <c r="X205" s="2" t="inlineStr">
        <is>
          <t>227-19-K-26, (11.09.2026) [FHM-K]</t>
        </is>
      </c>
      <c r="Y205" s="2" t="inlineStr">
        <is>
          <t>— pending —</t>
        </is>
      </c>
      <c r="Z205" s="2" t="inlineStr">
        <is>
          <t>#8, #9, #11, #12 from the initial testing</t>
        </is>
      </c>
      <c r="AA205" s="2" t="inlineStr">
        <is>
          <t>P050012|R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2</t>
        </is>
      </c>
      <c r="I206" s="3" t="inlineStr">
        <is>
          <t>GP062501</t>
        </is>
      </c>
      <c r="J206" s="2" t="inlineStr">
        <is>
          <t>P050202</t>
        </is>
      </c>
      <c r="K206" s="2" t="inlineStr">
        <is>
          <t>Grape Pie</t>
        </is>
      </c>
      <c r="L206" s="2" t="inlineStr">
        <is>
          <t>Ident A + Ident B + Foreign matter</t>
        </is>
      </c>
      <c r="M206" s="6" t="inlineStr">
        <is>
          <t>—</t>
        </is>
      </c>
      <c r="N206" s="2">
        <f>IFERROR(INDEX('CoQ Register'!$B:$B,MATCH("P050202|R2",'CoQ Register'!$S:$S,0)),"—")</f>
        <v/>
      </c>
      <c r="O206" s="6" t="inlineStr">
        <is>
          <t>—</t>
        </is>
      </c>
      <c r="P206" s="2" t="inlineStr">
        <is>
          <t>11.05.2027</t>
        </is>
      </c>
      <c r="Q206" s="2" t="inlineStr">
        <is>
          <t>15.09.2025 – 17.09.2025</t>
        </is>
      </c>
      <c r="R206" s="2" t="inlineStr">
        <is>
          <t>30.10.2025 – 07.11.2025 (the issuance plan's basis: 11.05.2026)</t>
        </is>
      </c>
      <c r="S206" s="5">
        <f>IFERROR(INDEX('CoQ Register'!$D:$D,MATCH("P050202|R2",'CoQ Register'!$S:$S,0)),"")</f>
        <v/>
      </c>
      <c r="T206" s="2" t="inlineStr">
        <is>
          <t>Conforms</t>
        </is>
      </c>
      <c r="U206" s="2" t="inlineStr">
        <is>
          <t>Conforms</t>
        </is>
      </c>
      <c r="V206" s="2" t="inlineStr">
        <is>
          <t>Conforms</t>
        </is>
      </c>
      <c r="W206" s="2" t="inlineStr">
        <is>
          <t>227-18-K-26, (11.09.2026) [FHM-K]</t>
        </is>
      </c>
      <c r="X206" s="2" t="inlineStr">
        <is>
          <t>227-18-K-26, (11.09.2026) [FHM-K]</t>
        </is>
      </c>
      <c r="Y206" s="2" t="inlineStr">
        <is>
          <t>— pending —</t>
        </is>
      </c>
      <c r="Z206" s="2" t="inlineStr">
        <is>
          <t>#8, #9, #11, #12 from the initial testing</t>
        </is>
      </c>
      <c r="AA206" s="2" t="inlineStr">
        <is>
          <t>P050202|R2</t>
        </is>
      </c>
      <c r="AB206" s="7" t="inlineStr">
        <is>
          <t>registered — retest 2,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GP072501/1</t>
        </is>
      </c>
      <c r="J207" s="2" t="inlineStr">
        <is>
          <t>P050292</t>
        </is>
      </c>
      <c r="K207" s="2" t="inlineStr">
        <is>
          <t>Grape Pie</t>
        </is>
      </c>
      <c r="L207" s="2" t="inlineStr">
        <is>
          <t>Ident A + Ident B + Foreign matter</t>
        </is>
      </c>
      <c r="M207" s="6" t="inlineStr">
        <is>
          <t>—</t>
        </is>
      </c>
      <c r="N207" s="2">
        <f>IFERROR(INDEX('CoQ Register'!$B:$B,MATCH("P050292|R",'CoQ Register'!$S:$S,0)),"—")</f>
        <v/>
      </c>
      <c r="O207" s="6" t="inlineStr">
        <is>
          <t>—</t>
        </is>
      </c>
      <c r="P207" s="2" t="inlineStr">
        <is>
          <t>21.01.2027</t>
        </is>
      </c>
      <c r="Q207" s="2" t="inlineStr">
        <is>
          <t>11.11.2025 – 13.11.2025</t>
        </is>
      </c>
      <c r="R207" s="2" t="inlineStr">
        <is>
          <t>15.12.2025 – 21.12.2025 (the issuance plan's basis: 21.01.2026)</t>
        </is>
      </c>
      <c r="S207" s="5">
        <f>IFERROR(INDEX('CoQ Register'!$D:$D,MATCH("P050292|R",'CoQ Register'!$S:$S,0)),"")</f>
        <v/>
      </c>
      <c r="T207" s="2" t="inlineStr">
        <is>
          <t>Conforms</t>
        </is>
      </c>
      <c r="U207" s="2" t="inlineStr">
        <is>
          <t>Conforms</t>
        </is>
      </c>
      <c r="V207" s="2" t="inlineStr">
        <is>
          <t>Conforms</t>
        </is>
      </c>
      <c r="W207" s="2" t="inlineStr">
        <is>
          <t>227-17-K-26, (11.09.2026) [FHM-K]</t>
        </is>
      </c>
      <c r="X207" s="2" t="inlineStr">
        <is>
          <t>227-17-K-26, (11.09.2026) [FHM-K]</t>
        </is>
      </c>
      <c r="Y207" s="2" t="inlineStr">
        <is>
          <t>— pending —</t>
        </is>
      </c>
      <c r="Z207" s="2" t="inlineStr">
        <is>
          <t>#8, #9, #11, #12 from the initial testing</t>
        </is>
      </c>
      <c r="AA207" s="2" t="inlineStr">
        <is>
          <t>P050292|R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1</t>
        </is>
      </c>
      <c r="I208" s="3" t="inlineStr">
        <is>
          <t>GP0824_01</t>
        </is>
      </c>
      <c r="J208" s="2" t="inlineStr">
        <is>
          <t>P050102</t>
        </is>
      </c>
      <c r="K208" s="2" t="inlineStr">
        <is>
          <t>Grape Pie</t>
        </is>
      </c>
      <c r="L208" s="2" t="inlineStr">
        <is>
          <t>Ident A + Ident B + Foreign matter</t>
        </is>
      </c>
      <c r="M208" s="6" t="inlineStr">
        <is>
          <t>—</t>
        </is>
      </c>
      <c r="N208" s="2">
        <f>IFERROR(INDEX('CoQ Register'!$B:$B,MATCH("P050102|R",'CoQ Register'!$S:$S,0)),"—")</f>
        <v/>
      </c>
      <c r="O208" s="6" t="inlineStr">
        <is>
          <t>—</t>
        </is>
      </c>
      <c r="P208" s="2" t="inlineStr">
        <is>
          <t>17.04.2026</t>
        </is>
      </c>
      <c r="Q208" s="2" t="inlineStr">
        <is>
          <t>20.03.2025 – 21.03.2025</t>
        </is>
      </c>
      <c r="R208" s="2" t="inlineStr">
        <is>
          <t>05.08.2025 – 07.08.2025 (the issuance plan's basis: 17.04.2025)</t>
        </is>
      </c>
      <c r="S208" s="5">
        <f>IFERROR(INDEX('CoQ Register'!$D:$D,MATCH("P050102|R",'CoQ Register'!$S:$S,0)),"")</f>
        <v/>
      </c>
      <c r="T208" s="2" t="inlineStr">
        <is>
          <t>Conforms</t>
        </is>
      </c>
      <c r="U208" s="2" t="inlineStr">
        <is>
          <t>Conforms</t>
        </is>
      </c>
      <c r="V208" s="2" t="inlineStr">
        <is>
          <t>Conforms</t>
        </is>
      </c>
      <c r="W208" s="2" t="inlineStr">
        <is>
          <t>227-2-K-26, (11.09.2026) [FHM-K]</t>
        </is>
      </c>
      <c r="X208" s="2" t="inlineStr">
        <is>
          <t>227-2-K-26, (11.09.2026) [FHM-K]</t>
        </is>
      </c>
      <c r="Y208" s="2" t="inlineStr">
        <is>
          <t>— pending —</t>
        </is>
      </c>
      <c r="Z208" s="2" t="inlineStr">
        <is>
          <t>#8, #9, #11, #12 from the initial testing</t>
        </is>
      </c>
      <c r="AA208" s="2" t="inlineStr">
        <is>
          <t>P050102|R</t>
        </is>
      </c>
      <c r="AB208" s="7" t="inlineStr">
        <is>
          <t>registered — retest 1,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GRC102501</t>
        </is>
      </c>
      <c r="J209" s="2" t="inlineStr">
        <is>
          <t>P060142</t>
        </is>
      </c>
      <c r="K209" s="2" t="inlineStr">
        <is>
          <t>Graps &amp; Creme</t>
        </is>
      </c>
      <c r="L209" s="2" t="inlineStr">
        <is>
          <t>Ident A + Ident B + Foreign matter</t>
        </is>
      </c>
      <c r="M209" s="6" t="inlineStr">
        <is>
          <t>—</t>
        </is>
      </c>
      <c r="N209" s="2">
        <f>IFERROR(INDEX('CoQ Register'!$B:$B,MATCH("P060142|R",'CoQ Register'!$S:$S,0)),"—")</f>
        <v/>
      </c>
      <c r="O209" s="6" t="inlineStr">
        <is>
          <t>—</t>
        </is>
      </c>
      <c r="P209" s="2" t="inlineStr">
        <is>
          <t>23.02.2027</t>
        </is>
      </c>
      <c r="Q209" s="2" t="inlineStr">
        <is>
          <t>09.01.2026</t>
        </is>
      </c>
      <c r="R209" s="2" t="inlineStr">
        <is>
          <t>23.02.2026</t>
        </is>
      </c>
      <c r="S209" s="5">
        <f>IFERROR(INDEX('CoQ Register'!$D:$D,MATCH("P060142|R",'CoQ Register'!$S:$S,0)),"")</f>
        <v/>
      </c>
      <c r="T209" s="2" t="inlineStr">
        <is>
          <t>Conforms</t>
        </is>
      </c>
      <c r="U209" s="2" t="inlineStr">
        <is>
          <t>Conforms</t>
        </is>
      </c>
      <c r="V209" s="2" t="inlineStr">
        <is>
          <t>Conforms</t>
        </is>
      </c>
      <c r="W209" s="2" t="inlineStr">
        <is>
          <t>227-16-K-26, (11.09.2026) [FHM-K]</t>
        </is>
      </c>
      <c r="X209" s="2" t="inlineStr">
        <is>
          <t>227-16-K-26, (11.09.2026) [FHM-K]</t>
        </is>
      </c>
      <c r="Y209" s="2" t="inlineStr">
        <is>
          <t>— pending —</t>
        </is>
      </c>
      <c r="Z209" s="2" t="inlineStr">
        <is>
          <t>#8, #9, #11, #12 from the initial testing</t>
        </is>
      </c>
      <c r="AA209" s="2" t="inlineStr">
        <is>
          <t>P060142|R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MB0824_04</t>
        </is>
      </c>
      <c r="J210" s="2" t="inlineStr">
        <is>
          <t>P050032</t>
        </is>
      </c>
      <c r="K210" s="2" t="inlineStr">
        <is>
          <t>Motor Breath</t>
        </is>
      </c>
      <c r="L210" s="2" t="inlineStr">
        <is>
          <t>Ident A + Ident B + Foreign matter</t>
        </is>
      </c>
      <c r="M210" s="6" t="inlineStr">
        <is>
          <t>—</t>
        </is>
      </c>
      <c r="N210" s="2">
        <f>IFERROR(INDEX('CoQ Register'!$B:$B,MATCH("P050032|R",'CoQ Register'!$S:$S,0)),"—")</f>
        <v/>
      </c>
      <c r="O210" s="6" t="inlineStr">
        <is>
          <t>—</t>
        </is>
      </c>
      <c r="P210" s="2" t="inlineStr">
        <is>
          <t>07.05.2026</t>
        </is>
      </c>
      <c r="Q210" s="2" t="inlineStr">
        <is>
          <t>02.04.2025 – 03.04.2025</t>
        </is>
      </c>
      <c r="R210" s="2" t="inlineStr">
        <is>
          <t>16.06.2025 – 19.06.2025 (the issuance plan's basis: 07.05.2025)</t>
        </is>
      </c>
      <c r="S210" s="5">
        <f>IFERROR(INDEX('CoQ Register'!$D:$D,MATCH("P050032|R",'CoQ Register'!$S:$S,0)),"")</f>
        <v/>
      </c>
      <c r="T210" s="2" t="inlineStr">
        <is>
          <t>Conforms</t>
        </is>
      </c>
      <c r="U210" s="2" t="inlineStr">
        <is>
          <t>Conforms</t>
        </is>
      </c>
      <c r="V210" s="2" t="inlineStr">
        <is>
          <t>Conforms</t>
        </is>
      </c>
      <c r="W210" s="2" t="inlineStr">
        <is>
          <t>227-12-K-26, (11.09.2026) [FHM-K]</t>
        </is>
      </c>
      <c r="X210" s="2" t="inlineStr">
        <is>
          <t>227-12-K-26, (11.09.2026) [FHM-K]</t>
        </is>
      </c>
      <c r="Y210" s="2" t="inlineStr">
        <is>
          <t>— pending —</t>
        </is>
      </c>
      <c r="Z210" s="2" t="inlineStr">
        <is>
          <t>#8, #9, #11, #12 from the initial testing</t>
        </is>
      </c>
      <c r="AA210" s="2" t="inlineStr">
        <is>
          <t>P050032|R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OPM052501</t>
        </is>
      </c>
      <c r="J211" s="2" t="inlineStr">
        <is>
          <t>P050132</t>
        </is>
      </c>
      <c r="K211" s="2" t="inlineStr">
        <is>
          <t>Orange Punch Mimosa</t>
        </is>
      </c>
      <c r="L211" s="2" t="inlineStr">
        <is>
          <t>Ident A + Ident B + Foreign matter</t>
        </is>
      </c>
      <c r="M211" s="6" t="inlineStr">
        <is>
          <t>—</t>
        </is>
      </c>
      <c r="N211" s="2">
        <f>IFERROR(INDEX('CoQ Register'!$B:$B,MATCH("P050132|R",'CoQ Register'!$S:$S,0)),"—")</f>
        <v/>
      </c>
      <c r="O211" s="6" t="inlineStr">
        <is>
          <t>—</t>
        </is>
      </c>
      <c r="P211" s="2" t="inlineStr">
        <is>
          <t>05.09.2026</t>
        </is>
      </c>
      <c r="Q211" s="2" t="inlineStr">
        <is>
          <t>11.08.2025 – 13.08.2025</t>
        </is>
      </c>
      <c r="R211" s="2" t="inlineStr">
        <is>
          <t>09.09.2025 – 15.09.2025 (the issuance plan's basis: 05.09.2025)</t>
        </is>
      </c>
      <c r="S211" s="5">
        <f>IFERROR(INDEX('CoQ Register'!$D:$D,MATCH("P050132|R",'CoQ Register'!$S:$S,0)),"")</f>
        <v/>
      </c>
      <c r="T211" s="2" t="inlineStr">
        <is>
          <t>Conforms</t>
        </is>
      </c>
      <c r="U211" s="2" t="inlineStr">
        <is>
          <t>Conforms</t>
        </is>
      </c>
      <c r="V211" s="2" t="inlineStr">
        <is>
          <t>Conforms</t>
        </is>
      </c>
      <c r="W211" s="2" t="inlineStr">
        <is>
          <t>227-11-K-26, (11.09.2026) [FHM-K]</t>
        </is>
      </c>
      <c r="X211" s="2" t="inlineStr">
        <is>
          <t>227-11-K-26, (11.09.2026) [FHM-K]</t>
        </is>
      </c>
      <c r="Y211" s="2" t="inlineStr">
        <is>
          <t>— pending —</t>
        </is>
      </c>
      <c r="Z211" s="2" t="inlineStr">
        <is>
          <t>#8, #9, #11, #12 from the initial testing</t>
        </is>
      </c>
      <c r="AA211" s="2" t="inlineStr">
        <is>
          <t>P050132|R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PM072501</t>
        </is>
      </c>
      <c r="J212" s="2" t="inlineStr">
        <is>
          <t>P050272</t>
        </is>
      </c>
      <c r="K212" s="2" t="inlineStr">
        <is>
          <t>Permanent Market</t>
        </is>
      </c>
      <c r="L212" s="2" t="inlineStr">
        <is>
          <t>Ident A + Ident B + Foreign matter</t>
        </is>
      </c>
      <c r="M212" s="6" t="inlineStr">
        <is>
          <t>—</t>
        </is>
      </c>
      <c r="N212" s="2">
        <f>IFERROR(INDEX('CoQ Register'!$B:$B,MATCH("P050272|R",'CoQ Register'!$S:$S,0)),"—")</f>
        <v/>
      </c>
      <c r="O212" s="6" t="inlineStr">
        <is>
          <t>—</t>
        </is>
      </c>
      <c r="P212" s="2" t="inlineStr">
        <is>
          <t>21.01.2027</t>
        </is>
      </c>
      <c r="Q212" s="2" t="inlineStr">
        <is>
          <t>27.10.2025</t>
        </is>
      </c>
      <c r="R212" s="2" t="inlineStr">
        <is>
          <t>02.12.2025 – 03.12.2025 (the issuance plan's basis: 21.01.2026)</t>
        </is>
      </c>
      <c r="S212" s="5">
        <f>IFERROR(INDEX('CoQ Register'!$D:$D,MATCH("P050272|R",'CoQ Register'!$S:$S,0)),"")</f>
        <v/>
      </c>
      <c r="T212" s="2" t="inlineStr">
        <is>
          <t>Conforms</t>
        </is>
      </c>
      <c r="U212" s="2" t="inlineStr">
        <is>
          <t>Conforms</t>
        </is>
      </c>
      <c r="V212" s="2" t="inlineStr">
        <is>
          <t>Conforms</t>
        </is>
      </c>
      <c r="W212" s="2" t="inlineStr">
        <is>
          <t>227-9-K-26, (11.09.2026) [FHM-K]</t>
        </is>
      </c>
      <c r="X212" s="2" t="inlineStr">
        <is>
          <t>227-9-K-26, (11.09.2026) [FHM-K]</t>
        </is>
      </c>
      <c r="Y212" s="2" t="inlineStr">
        <is>
          <t>— pending —</t>
        </is>
      </c>
      <c r="Z212" s="2" t="inlineStr">
        <is>
          <t>#8, #9, #11, #12 from the initial testing</t>
        </is>
      </c>
      <c r="AA212" s="2" t="inlineStr">
        <is>
          <t>P050272|R</t>
        </is>
      </c>
      <c r="AB212" s="7" t="inlineStr">
        <is>
          <t>registered — retest 1, issued 01.09.2026</t>
        </is>
      </c>
    </row>
    <row r="213">
      <c r="A213" s="2" t="n">
        <v>212</v>
      </c>
      <c r="B213" s="3" t="inlineStr">
        <is>
          <t>iCoA-PP_26-212</t>
        </is>
      </c>
      <c r="C213" s="4" t="inlineStr">
        <is>
          <t>yes</t>
        </is>
      </c>
      <c r="D213" s="5" t="n">
        <v>46266</v>
      </c>
      <c r="E213" s="5" t="n">
        <v>46266</v>
      </c>
      <c r="F213" s="5">
        <f>IFERROR(INDEX('Batch Dates'!$G:$G,MATCH(J213,'Batch Dates'!$C:$C,0)),IFERROR(INDEX('Batch Dates'!$G:$G,MATCH(I213,'Batch Dates'!$B:$B,0)),""))</f>
        <v/>
      </c>
      <c r="G213" s="2" t="inlineStr">
        <is>
          <t>legacy</t>
        </is>
      </c>
      <c r="H213" s="2" t="inlineStr">
        <is>
          <t>retest 1</t>
        </is>
      </c>
      <c r="I213" s="3" t="inlineStr">
        <is>
          <t>WC072501</t>
        </is>
      </c>
      <c r="J213" s="2" t="inlineStr">
        <is>
          <t>P050262</t>
        </is>
      </c>
      <c r="K213" s="2" t="inlineStr">
        <is>
          <t>Wedding Crasher</t>
        </is>
      </c>
      <c r="L213" s="2" t="inlineStr">
        <is>
          <t>Ident A + Ident B + Foreign matter</t>
        </is>
      </c>
      <c r="M213" s="6" t="inlineStr">
        <is>
          <t>—</t>
        </is>
      </c>
      <c r="N213" s="2">
        <f>IFERROR(INDEX('CoQ Register'!$B:$B,MATCH("P050262|R",'CoQ Register'!$S:$S,0)),"—")</f>
        <v/>
      </c>
      <c r="O213" s="6" t="inlineStr">
        <is>
          <t>—</t>
        </is>
      </c>
      <c r="P213" s="2" t="inlineStr">
        <is>
          <t>02.12.2026</t>
        </is>
      </c>
      <c r="Q213" s="2" t="inlineStr">
        <is>
          <t>27.10.2025 – 28.10.2025</t>
        </is>
      </c>
      <c r="R213" s="2" t="inlineStr">
        <is>
          <t>01.12.2025 (the issuance plan's basis: 02.12.2025)</t>
        </is>
      </c>
      <c r="S213" s="5">
        <f>IFERROR(INDEX('CoQ Register'!$D:$D,MATCH("P050262|R",'CoQ Register'!$S:$S,0)),"")</f>
        <v/>
      </c>
      <c r="T213" s="2" t="inlineStr">
        <is>
          <t>Conforms</t>
        </is>
      </c>
      <c r="U213" s="2" t="inlineStr">
        <is>
          <t>Conforms</t>
        </is>
      </c>
      <c r="V213" s="2" t="inlineStr">
        <is>
          <t>Conforms</t>
        </is>
      </c>
      <c r="W213" s="2" t="inlineStr">
        <is>
          <t>227-3-K-26, (11.09.2026) [FHM-K]</t>
        </is>
      </c>
      <c r="X213" s="2" t="inlineStr">
        <is>
          <t>227-3-K-26, (11.09.2026) [FHM-K]</t>
        </is>
      </c>
      <c r="Y213" s="2" t="inlineStr">
        <is>
          <t>— pending —</t>
        </is>
      </c>
      <c r="Z213" s="2" t="inlineStr">
        <is>
          <t>#8, #9, #11, #12 from the initial testing</t>
        </is>
      </c>
      <c r="AA213" s="2" t="inlineStr">
        <is>
          <t>P050262|R</t>
        </is>
      </c>
      <c r="AB213" s="7" t="inlineStr">
        <is>
          <t>registered — retest 1, issued 01.09.2026</t>
        </is>
      </c>
    </row>
    <row r="214">
      <c r="A214" s="2" t="n">
        <v>213</v>
      </c>
      <c r="B214" s="3" t="inlineStr">
        <is>
          <t>iCoA-PP_26-213</t>
        </is>
      </c>
      <c r="C214" s="4" t="inlineStr">
        <is>
          <t>yes</t>
        </is>
      </c>
      <c r="D214" s="5" t="n">
        <v>46266</v>
      </c>
      <c r="E214" s="5" t="n">
        <v>46266</v>
      </c>
      <c r="F214" s="5">
        <f>IFERROR(INDEX('Batch Dates'!$G:$G,MATCH(J214,'Batch Dates'!$C:$C,0)),IFERROR(INDEX('Batch Dates'!$G:$G,MATCH(I214,'Batch Dates'!$B:$B,0)),""))</f>
        <v/>
      </c>
      <c r="G214" s="2" t="inlineStr">
        <is>
          <t>legacy</t>
        </is>
      </c>
      <c r="H214" s="2" t="inlineStr">
        <is>
          <t>retest 1</t>
        </is>
      </c>
      <c r="I214" s="3" t="inlineStr">
        <is>
          <t>WED102501</t>
        </is>
      </c>
      <c r="J214" s="2" t="inlineStr">
        <is>
          <t>P060102</t>
        </is>
      </c>
      <c r="K214" s="2" t="inlineStr">
        <is>
          <t>Wedding Cake</t>
        </is>
      </c>
      <c r="L214" s="2" t="inlineStr">
        <is>
          <t>Ident A + Ident B + Foreign matter</t>
        </is>
      </c>
      <c r="M214" s="6" t="inlineStr">
        <is>
          <t>—</t>
        </is>
      </c>
      <c r="N214" s="2">
        <f>IFERROR(INDEX('CoQ Register'!$B:$B,MATCH("P060102|R",'CoQ Register'!$S:$S,0)),"—")</f>
        <v/>
      </c>
      <c r="O214" s="6" t="inlineStr">
        <is>
          <t>—</t>
        </is>
      </c>
      <c r="P214" s="2" t="inlineStr">
        <is>
          <t>16.02.2027</t>
        </is>
      </c>
      <c r="Q214" s="2" t="inlineStr">
        <is>
          <t>08.01.2026</t>
        </is>
      </c>
      <c r="R214" s="2" t="inlineStr">
        <is>
          <t>16.02.2026</t>
        </is>
      </c>
      <c r="S214" s="5">
        <f>IFERROR(INDEX('CoQ Register'!$D:$D,MATCH("P060102|R",'CoQ Register'!$S:$S,0)),"")</f>
        <v/>
      </c>
      <c r="T214" s="2" t="inlineStr">
        <is>
          <t>Conforms</t>
        </is>
      </c>
      <c r="U214" s="2" t="inlineStr">
        <is>
          <t>Conforms</t>
        </is>
      </c>
      <c r="V214" s="2" t="inlineStr">
        <is>
          <t>Conforms</t>
        </is>
      </c>
      <c r="W214" s="2" t="inlineStr">
        <is>
          <t>227-4-K-26, (11.09.2026) [FHM-K]</t>
        </is>
      </c>
      <c r="X214" s="2" t="inlineStr">
        <is>
          <t>227-4-K-26, (11.09.2026) [FHM-K]</t>
        </is>
      </c>
      <c r="Y214" s="2" t="inlineStr">
        <is>
          <t>— pending —</t>
        </is>
      </c>
      <c r="Z214" s="2" t="inlineStr">
        <is>
          <t>#8, #9, #11, #12 from the initial testing</t>
        </is>
      </c>
      <c r="AA214" s="2" t="inlineStr">
        <is>
          <t>P060102|R</t>
        </is>
      </c>
      <c r="AB214" s="7" t="inlineStr">
        <is>
          <t>registered — retest 1, issued 01.09.2026</t>
        </is>
      </c>
    </row>
    <row r="215"/>
    <row r="216" ht="110" customHeight="1">
      <c r="A216"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9" t="n">
        <v>13.34</v>
      </c>
      <c r="W5" s="2" t="inlineStr">
        <is>
          <t>iCoA-PP_26-004</t>
        </is>
      </c>
      <c r="X5" s="2" t="inlineStr">
        <is>
          <t>—</t>
        </is>
      </c>
      <c r="Y5" s="2" t="inlineStr">
        <is>
          <t>—</t>
        </is>
      </c>
      <c r="Z5" s="2" t="inlineStr">
        <is>
          <t>—</t>
        </is>
      </c>
      <c r="AA5" s="2" t="inlineStr">
        <is>
          <t>QCSP_001_GG-III_v.01</t>
        </is>
      </c>
      <c r="AB5" s="11" t="inlineStr">
        <is>
          <t>for review — new specification required</t>
        </is>
      </c>
      <c r="AC5" s="10" t="inlineStr">
        <is>
          <t>new specification required — 13.34 % is in no window of GG (nearest 13.77 – 16.22); nominal and tolerance to define, numeral III</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9"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9" t="n">
        <v>24.89</v>
      </c>
      <c r="W27" s="2" t="inlineStr">
        <is>
          <t>iCoA-PP_26-024</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9" t="n">
        <v>8.02</v>
      </c>
      <c r="W33" s="2" t="inlineStr">
        <is>
          <t>PP CoA #027 / 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9" t="n">
        <v>21.36</v>
      </c>
      <c r="W34" s="2" t="inlineStr">
        <is>
          <t>PP CoA #018 / 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9" t="n">
        <v>19.81</v>
      </c>
      <c r="W35" s="2" t="inlineStr">
        <is>
          <t>PP CoA #019 / 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9" t="n">
        <v>21.29</v>
      </c>
      <c r="W36" s="2" t="inlineStr">
        <is>
          <t>PP CoA #020 / 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9" t="n">
        <v>14.83</v>
      </c>
      <c r="W37" s="2" t="inlineStr">
        <is>
          <t>PP CoA #021 / 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9"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10"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10"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9"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9"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9" t="n">
        <v>17.04</v>
      </c>
      <c r="W54" s="2" t="inlineStr">
        <is>
          <t>051-4-К/26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9"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9" t="n">
        <v>9.199999999999999</v>
      </c>
      <c r="W56" s="2" t="inlineStr">
        <is>
          <t>051-2-К/26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9"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Donutz</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Donutz</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Donutz</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Donutz</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Donutz</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Donutz</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iCoA-PP_26-100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iCoA-PP_26-101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iCoA-PP_26-105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iCoA-PP_26-102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197-4-M-26</t>
        </is>
      </c>
      <c r="H90" s="2">
        <f>IFERROR(INDEX('iCoA Register'!$B:$B,MATCH("P050212|R",'iCoA Register'!$AA:$AA,0)),"—")</f>
        <v/>
      </c>
      <c r="I90" s="5">
        <f>IFERROR(INDEX('iCoA Register'!$D:$D,MATCH("P050212|R",'iCoA Register'!$AA:$AA,0)),"")</f>
        <v/>
      </c>
      <c r="J90" s="2" t="inlineStr">
        <is>
          <t>legacy</t>
        </is>
      </c>
      <c r="K90" s="2" t="inlineStr">
        <is>
          <t>retest — Tranche 1 (sampled 21–24.07.2026)</t>
        </is>
      </c>
      <c r="L90" s="3" t="inlineStr">
        <is>
          <t>CJ062501/2</t>
        </is>
      </c>
      <c r="M90" s="2" t="inlineStr">
        <is>
          <t>P050212</t>
        </is>
      </c>
      <c r="N90" s="2" t="inlineStr">
        <is>
          <t>Cap Junky</t>
        </is>
      </c>
      <c r="O90" s="2" t="inlineStr">
        <is>
          <t>197-4-K-26, (07.08.2026) [FHM-K]</t>
        </is>
      </c>
      <c r="P90" s="6" t="inlineStr">
        <is>
          <t>—</t>
        </is>
      </c>
      <c r="Q90" s="2" t="inlineStr">
        <is>
          <t>—</t>
        </is>
      </c>
      <c r="R90" s="2" t="inlineStr">
        <is>
          <t>CoQ reissue (assigned on issue)</t>
        </is>
      </c>
      <c r="S90" s="2" t="inlineStr">
        <is>
          <t>P050212|R</t>
        </is>
      </c>
      <c r="T90" s="7" t="inlineStr">
        <is>
          <t>registered — retest, Tranche 1 (sampled 21–24.07.2026), sampled 21.07.2026; issued 17.08.2026, 7 days after 197-4-M-26 of 10.08.2026; cites iCoA-PP_26-103 of 27.07.2026</t>
        </is>
      </c>
      <c r="U90" s="2">
        <f>IFERROR(INDEX('CoQ Register'!$B:$B,MATCH("P050212|I",'CoQ Register'!$S:$S,0)),"— initial certificate not on the register —")</f>
        <v/>
      </c>
      <c r="V90" s="9" t="n">
        <v>18.91</v>
      </c>
      <c r="W90" s="2" t="inlineStr">
        <is>
          <t>197-4-К/26</t>
        </is>
      </c>
      <c r="X90" s="2" t="inlineStr">
        <is>
          <t>20.00 ± 1.60 (III)</t>
        </is>
      </c>
      <c r="Y90" s="2" t="inlineStr">
        <is>
          <t>18.40 – 21.59 %</t>
        </is>
      </c>
      <c r="Z90" s="2" t="inlineStr">
        <is>
          <t>CJ_THC20 : CBD1</t>
        </is>
      </c>
      <c r="AA90" s="2" t="inlineStr">
        <is>
          <t>QCSP_001_CJ-III_v.01</t>
        </is>
      </c>
      <c r="AB90" s="10" t="inlineStr">
        <is>
          <t>for review — replaces the issued QCSP_001_CJ-III_v.01 (was CJ_THC24 : CBD1, 23.00 – 25.00 %); now CJ_THC20 : CBD1 18.40 – 21.59 %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197-5-M-26</t>
        </is>
      </c>
      <c r="H91" s="2">
        <f>IFERROR(INDEX('iCoA Register'!$B:$B,MATCH("P060032|R",'iCoA Register'!$AA:$AA,0)),"—")</f>
        <v/>
      </c>
      <c r="I91" s="5">
        <f>IFERROR(INDEX('iCoA Register'!$D:$D,MATCH("P060032|R",'iCoA Register'!$AA:$AA,0)),"")</f>
        <v/>
      </c>
      <c r="J91" s="2" t="inlineStr">
        <is>
          <t>legacy</t>
        </is>
      </c>
      <c r="K91" s="2" t="inlineStr">
        <is>
          <t>retest — Tranche 1 (sampled 21–24.07.2026)</t>
        </is>
      </c>
      <c r="L91" s="3" t="inlineStr">
        <is>
          <t>CJ082501/2</t>
        </is>
      </c>
      <c r="M91" s="2" t="inlineStr">
        <is>
          <t>P060032</t>
        </is>
      </c>
      <c r="N91" s="2" t="inlineStr">
        <is>
          <t>Cap Junky</t>
        </is>
      </c>
      <c r="O91" s="2" t="inlineStr">
        <is>
          <t>197-5-K-26, (07.08.2026) [FHM-K]</t>
        </is>
      </c>
      <c r="P91" s="6" t="inlineStr">
        <is>
          <t>—</t>
        </is>
      </c>
      <c r="Q91" s="2" t="inlineStr">
        <is>
          <t>—</t>
        </is>
      </c>
      <c r="R91" s="2" t="inlineStr">
        <is>
          <t>CoQ reissue (assigned on issue)</t>
        </is>
      </c>
      <c r="S91" s="2" t="inlineStr">
        <is>
          <t>P060032|R</t>
        </is>
      </c>
      <c r="T91" s="7" t="inlineStr">
        <is>
          <t>registered — retest, Tranche 1 (sampled 21–24.07.2026), sampled 21.07.2026; issued 17.08.2026, 7 days after 197-5-M-26 of 10.08.2026; cites iCoA-PP_26-104 of 27.07.2026</t>
        </is>
      </c>
      <c r="U91" s="2">
        <f>IFERROR(INDEX('CoQ Register'!$B:$B,MATCH("P060032|I",'CoQ Register'!$S:$S,0)),"— initial certificate not on the register —")</f>
        <v/>
      </c>
      <c r="V91" s="9" t="n">
        <v>18.29</v>
      </c>
      <c r="W91" s="2" t="inlineStr">
        <is>
          <t>197-5-К/26</t>
        </is>
      </c>
      <c r="X91" s="2" t="inlineStr">
        <is>
          <t>17.00 ± 1.40 (IV)</t>
        </is>
      </c>
      <c r="Y91" s="2" t="inlineStr">
        <is>
          <t>15.60 – 18.39 %</t>
        </is>
      </c>
      <c r="Z91" s="2" t="inlineStr">
        <is>
          <t>CJ_THC17 : CBD1</t>
        </is>
      </c>
      <c r="AA91" s="2" t="inlineStr">
        <is>
          <t>QCSP_001_CJ-IV_v.01</t>
        </is>
      </c>
      <c r="AB91" s="10" t="inlineStr">
        <is>
          <t>for review — replaces the issued QCSP_001_CJ-IV_v.01 (was CJ_THC20 : CBD1, 18.00 – 22.00 %); now CJ_THC17 : CBD1 15.60 – 18.39 %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197-7-M-26</t>
        </is>
      </c>
      <c r="H92" s="2">
        <f>IFERROR(INDEX('iCoA Register'!$B:$B,MATCH("P060352|R",'iCoA Register'!$AA:$AA,0)),"—")</f>
        <v/>
      </c>
      <c r="I92" s="5">
        <f>IFERROR(INDEX('iCoA Register'!$D:$D,MATCH("P060352|R",'iCoA Register'!$AA:$AA,0)),"")</f>
        <v/>
      </c>
      <c r="J92" s="2" t="inlineStr">
        <is>
          <t>post-SOP</t>
        </is>
      </c>
      <c r="K92" s="2" t="inlineStr">
        <is>
          <t>retest — Tranche 1 (sampled 21–24.07.2026)</t>
        </is>
      </c>
      <c r="L92" s="3" t="inlineStr">
        <is>
          <t>FB012602*</t>
        </is>
      </c>
      <c r="M92" s="2" t="inlineStr">
        <is>
          <t>P060352</t>
        </is>
      </c>
      <c r="N92" s="2" t="inlineStr">
        <is>
          <t>Fat Bastard</t>
        </is>
      </c>
      <c r="O92" s="2" t="inlineStr">
        <is>
          <t>197-7-K-26, (07.08.2026) [FHM-K]</t>
        </is>
      </c>
      <c r="P92" s="6" t="inlineStr">
        <is>
          <t>—</t>
        </is>
      </c>
      <c r="Q92" s="2" t="inlineStr">
        <is>
          <t>—</t>
        </is>
      </c>
      <c r="R92" s="2" t="inlineStr">
        <is>
          <t>CoQ reissue (assigned on issue)</t>
        </is>
      </c>
      <c r="S92" s="2" t="inlineStr">
        <is>
          <t>P060352|R</t>
        </is>
      </c>
      <c r="T92" s="7" t="inlineStr">
        <is>
          <t>registered — retest, Tranche 1 (sampled 21–24.07.2026), sampled 22.07.2026; issued 17.08.2026, 7 days after 197-7-M-26 of 10.08.2026; cites iCoA-PP_26-109 of 27.07.2026</t>
        </is>
      </c>
      <c r="U92" s="2">
        <f>IFERROR(INDEX('CoQ Register'!$B:$B,MATCH("P060352|I",'CoQ Register'!$S:$S,0)),"— initial certificate not on the register —")</f>
        <v/>
      </c>
      <c r="V92" s="9" t="n">
        <v>18.86</v>
      </c>
      <c r="W92" s="2" t="inlineStr">
        <is>
          <t>197-7-К/26</t>
        </is>
      </c>
      <c r="X92" s="2" t="inlineStr">
        <is>
          <t>18.00 ± 1.80 (II)</t>
        </is>
      </c>
      <c r="Y92" s="2" t="inlineStr">
        <is>
          <t>16.20 – 19.79 %</t>
        </is>
      </c>
      <c r="Z92" s="2" t="inlineStr">
        <is>
          <t>FB_THC18 : CBD1</t>
        </is>
      </c>
      <c r="AA92" s="2" t="inlineStr">
        <is>
          <t>QCSP_001_FB-II_v.01</t>
        </is>
      </c>
      <c r="AB92" s="10" t="inlineStr">
        <is>
          <t>for review — replaces the issued QCSP_001_FB-II_v.01 (was FB_THC18 : CBD1, 17.15 – 18.85 %); now FB_THC18 : CBD1 16.20 – 19.79 %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197-8-M-26</t>
        </is>
      </c>
      <c r="H93" s="2">
        <f>IFERROR(INDEX('iCoA Register'!$B:$B,MATCH("P060402|R",'iCoA Register'!$AA:$AA,0)),"—")</f>
        <v/>
      </c>
      <c r="I93" s="5">
        <f>IFERROR(INDEX('iCoA Register'!$D:$D,MATCH("P060402|R",'iCoA Register'!$AA:$AA,0)),"")</f>
        <v/>
      </c>
      <c r="J93" s="2" t="inlineStr">
        <is>
          <t>post-SOP</t>
        </is>
      </c>
      <c r="K93" s="2" t="inlineStr">
        <is>
          <t>retest — Tranche 1 (sampled 21–24.07.2026)</t>
        </is>
      </c>
      <c r="L93" s="3" t="inlineStr">
        <is>
          <t>GG012603</t>
        </is>
      </c>
      <c r="M93" s="2" t="inlineStr">
        <is>
          <t>P060402</t>
        </is>
      </c>
      <c r="N93" s="2" t="inlineStr">
        <is>
          <t>Gorilla Glue</t>
        </is>
      </c>
      <c r="O93" s="2" t="inlineStr">
        <is>
          <t>197-8-K-26, (07.08.2026) [FHM-K]</t>
        </is>
      </c>
      <c r="P93" s="6" t="inlineStr">
        <is>
          <t>—</t>
        </is>
      </c>
      <c r="Q93" s="2" t="inlineStr">
        <is>
          <t>—</t>
        </is>
      </c>
      <c r="R93" s="2" t="inlineStr">
        <is>
          <t>CoQ reissue (assigned on issue)</t>
        </is>
      </c>
      <c r="S93" s="2" t="inlineStr">
        <is>
          <t>P060402|R</t>
        </is>
      </c>
      <c r="T93" s="7" t="inlineStr">
        <is>
          <t>registered — retest, Tranche 1 (sampled 21–24.07.2026), sampled 22.07.2026; issued 17.08.2026, 7 days after 197-8-M-26 of 10.08.2026; cites iCoA-PP_26-110 of 27.07.2026</t>
        </is>
      </c>
      <c r="U93" s="2">
        <f>IFERROR(INDEX('CoQ Register'!$B:$B,MATCH("P060402|I",'CoQ Register'!$S:$S,0)),"— initial certificate not on the register —")</f>
        <v/>
      </c>
      <c r="V93" s="9" t="n">
        <v>16.7</v>
      </c>
      <c r="W93" s="2" t="inlineStr">
        <is>
          <t>197-8-К/26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197-9-M-26</t>
        </is>
      </c>
      <c r="H94" s="2">
        <f>IFERROR(INDEX('iCoA Register'!$B:$B,MATCH("P050092|R",'iCoA Register'!$AA:$AA,0)),"—")</f>
        <v/>
      </c>
      <c r="I94" s="5">
        <f>IFERROR(INDEX('iCoA Register'!$D:$D,MATCH("P050092|R",'iCoA Register'!$AA:$AA,0)),"")</f>
        <v/>
      </c>
      <c r="J94" s="2" t="inlineStr">
        <is>
          <t>legacy</t>
        </is>
      </c>
      <c r="K94" s="2" t="inlineStr">
        <is>
          <t>retest — Tranche 1 (sampled 21–24.07.2026)</t>
        </is>
      </c>
      <c r="L94" s="3" t="inlineStr">
        <is>
          <t>GG1024_01</t>
        </is>
      </c>
      <c r="M94" s="2" t="inlineStr">
        <is>
          <t>P050092</t>
        </is>
      </c>
      <c r="N94" s="2" t="inlineStr">
        <is>
          <t>Gorilla Glue</t>
        </is>
      </c>
      <c r="O94" s="2" t="inlineStr">
        <is>
          <t>197-9-K-26, (07.08.2026) [FHM-K]</t>
        </is>
      </c>
      <c r="P94" s="6" t="inlineStr">
        <is>
          <t>—</t>
        </is>
      </c>
      <c r="Q94" s="2" t="inlineStr">
        <is>
          <t>—</t>
        </is>
      </c>
      <c r="R94" s="2" t="inlineStr">
        <is>
          <t>CoQ-PP-2026-0038</t>
        </is>
      </c>
      <c r="S94" s="2" t="inlineStr">
        <is>
          <t>P050092|R</t>
        </is>
      </c>
      <c r="T94" s="7" t="inlineStr">
        <is>
          <t>registered — retest, Tranche 1 (sampled 21–24.07.2026), sampled 22.07.2026; issued 17.08.2026, 7 days after 197-9-M-26 of 10.08.2026; cites iCoA-PP_26-106 of 27.07.2026</t>
        </is>
      </c>
      <c r="U94" s="2">
        <f>IFERROR(INDEX('CoQ Register'!$B:$B,MATCH("P050092|I",'CoQ Register'!$S:$S,0)),"— initial certificate not on the register —")</f>
        <v/>
      </c>
      <c r="V94" s="9" t="n">
        <v>18.67</v>
      </c>
      <c r="W94" s="2" t="inlineStr">
        <is>
          <t>197-9-К/26</t>
        </is>
      </c>
      <c r="X94" s="2" t="inlineStr">
        <is>
          <t>18.00 ± 1.77 (I)</t>
        </is>
      </c>
      <c r="Y94" s="2" t="inlineStr">
        <is>
          <t>16.23 – 19.76 %</t>
        </is>
      </c>
      <c r="Z94" s="2" t="inlineStr">
        <is>
          <t>GG_THC18 : CBD1</t>
        </is>
      </c>
      <c r="AA94" s="2" t="inlineStr">
        <is>
          <t>QCSP_001_GG-I_v.01</t>
        </is>
      </c>
      <c r="AB94" s="10" t="inlineStr">
        <is>
          <t>for review — replaces the issued QCSP_001_GG-I_v.01 (was GG_THC18 : CBD1, 17.01 – 18.99 %); now GG_THC18 : CBD1 16.23 – 19.76 %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197-10-M-26</t>
        </is>
      </c>
      <c r="H95" s="2">
        <f>IFERROR(INDEX('iCoA Register'!$B:$B,MATCH("P050152|R",'iCoA Register'!$AA:$AA,0)),"—")</f>
        <v/>
      </c>
      <c r="I95" s="5">
        <f>IFERROR(INDEX('iCoA Register'!$D:$D,MATCH("P050152|R",'iCoA Register'!$AA:$AA,0)),"")</f>
        <v/>
      </c>
      <c r="J95" s="2" t="inlineStr">
        <is>
          <t>legacy</t>
        </is>
      </c>
      <c r="K95" s="2" t="inlineStr">
        <is>
          <t>retest — Tranche 1 (sampled 21–24.07.2026)</t>
        </is>
      </c>
      <c r="L95" s="3" t="inlineStr">
        <is>
          <t>GP052501</t>
        </is>
      </c>
      <c r="M95" s="2" t="inlineStr">
        <is>
          <t>P050152</t>
        </is>
      </c>
      <c r="N95" s="2" t="inlineStr">
        <is>
          <t>Grape Pie</t>
        </is>
      </c>
      <c r="O95" s="2" t="inlineStr">
        <is>
          <t>197-10-K-26, (07.08.2026) [FHM-K]</t>
        </is>
      </c>
      <c r="P95" s="6" t="inlineStr">
        <is>
          <t>—</t>
        </is>
      </c>
      <c r="Q95" s="2" t="inlineStr">
        <is>
          <t>—</t>
        </is>
      </c>
      <c r="R95" s="2" t="inlineStr">
        <is>
          <t>CoQ reissue (assigned on issue)</t>
        </is>
      </c>
      <c r="S95" s="2" t="inlineStr">
        <is>
          <t>P050152|R</t>
        </is>
      </c>
      <c r="T95" s="7" t="inlineStr">
        <is>
          <t>registered — retest, Tranche 1 (sampled 21–24.07.2026), sampled 22.07.2026; issued 17.08.2026, 7 days after 197-10-M-26 of 10.08.2026; cites iCoA-PP_26-107 of 27.07.2026</t>
        </is>
      </c>
      <c r="U95" s="2">
        <f>IFERROR(INDEX('CoQ Register'!$B:$B,MATCH("P050152|I",'CoQ Register'!$S:$S,0)),"— initial certificate not on the register —")</f>
        <v/>
      </c>
      <c r="V95" s="9" t="n">
        <v>18.52</v>
      </c>
      <c r="W95" s="2" t="inlineStr">
        <is>
          <t>197-10-К/26</t>
        </is>
      </c>
      <c r="X95" s="2" t="inlineStr">
        <is>
          <t>20.00 ± 2.00 (III)</t>
        </is>
      </c>
      <c r="Y95" s="2" t="inlineStr">
        <is>
          <t>18.00 – 21.99 %</t>
        </is>
      </c>
      <c r="Z95" s="2" t="inlineStr">
        <is>
          <t>GP_THC20 : CBD1</t>
        </is>
      </c>
      <c r="AA95" s="2" t="inlineStr">
        <is>
          <t>QCSP_001_GP-III_v.01</t>
        </is>
      </c>
      <c r="AB95" s="10" t="inlineStr">
        <is>
          <t>for review — replaces the issued QCSP_001_GP-III_v.01 (was GP_THC24 : CBD1, 22.61 – 25.39 %); now GP_THC20 : CBD1 18.00 – 21.99 %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197-11-M-26</t>
        </is>
      </c>
      <c r="H96" s="2">
        <f>IFERROR(INDEX('iCoA Register'!$B:$B,MATCH("P050022|R5",'iCoA Register'!$AA:$AA,0)),"—")</f>
        <v/>
      </c>
      <c r="I96" s="5">
        <f>IFERROR(INDEX('iCoA Register'!$D:$D,MATCH("P050022|R5",'iCoA Register'!$AA:$AA,0)),"")</f>
        <v/>
      </c>
      <c r="J96" s="2" t="inlineStr">
        <is>
          <t>legacy</t>
        </is>
      </c>
      <c r="K96" s="2" t="inlineStr">
        <is>
          <t>retest — Tranche 1 (sampled 21–24.07.2026)</t>
        </is>
      </c>
      <c r="L96" s="3" t="inlineStr">
        <is>
          <t>GP0824_02</t>
        </is>
      </c>
      <c r="M96" s="2" t="inlineStr">
        <is>
          <t>P050022</t>
        </is>
      </c>
      <c r="N96" s="2" t="inlineStr">
        <is>
          <t>Grape Pie</t>
        </is>
      </c>
      <c r="O96" s="2" t="inlineStr">
        <is>
          <t>197-11-K-26, (07.08.2026) [FHM-K]</t>
        </is>
      </c>
      <c r="P96" s="6" t="inlineStr">
        <is>
          <t>—</t>
        </is>
      </c>
      <c r="Q96" s="2" t="inlineStr">
        <is>
          <t>—</t>
        </is>
      </c>
      <c r="R96" s="2" t="inlineStr">
        <is>
          <t>CoQ-PP-2026-0032</t>
        </is>
      </c>
      <c r="S96" s="2" t="inlineStr">
        <is>
          <t>P050022|R5</t>
        </is>
      </c>
      <c r="T96" s="7" t="inlineStr">
        <is>
          <t>registered — retest, Tranche 1 (sampled 21–24.07.2026), sampled 22.07.2026; issued 17.08.2026, 7 days after 197-11-M-26 of 10.08.2026; cites the campaign iCoA of 27.07.2026</t>
        </is>
      </c>
      <c r="U96" s="2">
        <f>IFERROR(INDEX('CoQ Register'!$B:$B,MATCH("P050022|I",'CoQ Register'!$S:$S,0)),"— initial certificate not on the register —")</f>
        <v/>
      </c>
      <c r="V96" s="9" t="n">
        <v>22.61</v>
      </c>
      <c r="W96" s="2" t="inlineStr">
        <is>
          <t>197-11-К/26</t>
        </is>
      </c>
      <c r="X96" s="2" t="inlineStr">
        <is>
          <t>24.00 ± 2.00 (II)</t>
        </is>
      </c>
      <c r="Y96" s="2" t="inlineStr">
        <is>
          <t>22.00 – 25.99 %</t>
        </is>
      </c>
      <c r="Z96" s="2" t="inlineStr">
        <is>
          <t>GP_THC24 : CBD1</t>
        </is>
      </c>
      <c r="AA96" s="2" t="inlineStr">
        <is>
          <t>QCSP_001_GP-II_v.01</t>
        </is>
      </c>
      <c r="AB96" s="10" t="inlineStr">
        <is>
          <t>for review — replaces the issued QCSP_001_GP-II_v.01 (was GP_THC26 : CBD1, 25.40 – 26.60 %); now GP_THC24 : CBD1 22.00 – 25.99 %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197-12-M-26</t>
        </is>
      </c>
      <c r="H97" s="2">
        <f>IFERROR(INDEX('iCoA Register'!$B:$B,MATCH("P050322|R",'iCoA Register'!$AA:$AA,0)),"—")</f>
        <v/>
      </c>
      <c r="I97" s="5">
        <f>IFERROR(INDEX('iCoA Register'!$D:$D,MATCH("P050322|R",'iCoA Register'!$AA:$AA,0)),"")</f>
        <v/>
      </c>
      <c r="J97" s="2" t="inlineStr">
        <is>
          <t>legacy</t>
        </is>
      </c>
      <c r="K97" s="2" t="inlineStr">
        <is>
          <t>retest — Tranche 1 (sampled 21–24.07.2026)</t>
        </is>
      </c>
      <c r="L97" s="3" t="inlineStr">
        <is>
          <t>GP082501/2</t>
        </is>
      </c>
      <c r="M97" s="2" t="inlineStr">
        <is>
          <t>P050322</t>
        </is>
      </c>
      <c r="N97" s="2" t="inlineStr">
        <is>
          <t>Grape Pie</t>
        </is>
      </c>
      <c r="O97" s="2" t="inlineStr">
        <is>
          <t>197-12-K-26, (07.08.2026) [FHM-K]</t>
        </is>
      </c>
      <c r="P97" s="6" t="inlineStr">
        <is>
          <t>—</t>
        </is>
      </c>
      <c r="Q97" s="2" t="inlineStr">
        <is>
          <t>—</t>
        </is>
      </c>
      <c r="R97" s="2" t="inlineStr">
        <is>
          <t>CoQ reissue (assigned on issue)</t>
        </is>
      </c>
      <c r="S97" s="2" t="inlineStr">
        <is>
          <t>P050322|R</t>
        </is>
      </c>
      <c r="T97" s="7" t="inlineStr">
        <is>
          <t>registered — retest, Tranche 1 (sampled 21–24.07.2026), sampled 23.07.2026; issued 17.08.2026, 7 days after 197-12-M-26 of 10.08.2026; cites iCoA-PP_26-111 of 27.07.2026</t>
        </is>
      </c>
      <c r="U97" s="2">
        <f>IFERROR(INDEX('CoQ Register'!$B:$B,MATCH("P050322|I",'CoQ Register'!$S:$S,0)),"— initial certificate not on the register —")</f>
        <v/>
      </c>
      <c r="V97" s="9" t="n">
        <v>15.7</v>
      </c>
      <c r="W97" s="2" t="inlineStr">
        <is>
          <t>197-12-К/26</t>
        </is>
      </c>
      <c r="X97" s="2" t="inlineStr">
        <is>
          <t>16.00 ± 1.60 (IV)</t>
        </is>
      </c>
      <c r="Y97" s="2" t="inlineStr">
        <is>
          <t>14.40 – 17.59 %</t>
        </is>
      </c>
      <c r="Z97" s="2" t="inlineStr">
        <is>
          <t>GP_THC16 : CBD1</t>
        </is>
      </c>
      <c r="AA97" s="2" t="inlineStr">
        <is>
          <t>QCSP_001_GP-IV_v.01</t>
        </is>
      </c>
      <c r="AB97" s="10" t="inlineStr">
        <is>
          <t>for review — replaces the issued QCSP_001_GP-IV_v.01 (was GP_THC20 : CBD1, 18.00 – 22.00 %); now GP_THC16 : CBD1 14.40 – 17.59 %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197-13-M-26</t>
        </is>
      </c>
      <c r="H98" s="2">
        <f>IFERROR(INDEX('iCoA Register'!$B:$B,MATCH("HPA1024|R",'iCoA Register'!$AA:$AA,0)),"—")</f>
        <v/>
      </c>
      <c r="I98" s="5">
        <f>IFERROR(INDEX('iCoA Register'!$D:$D,MATCH("HPA1024|R",'iCoA Register'!$AA:$AA,0)),"")</f>
        <v/>
      </c>
      <c r="J98" s="2" t="inlineStr">
        <is>
          <t>legacy</t>
        </is>
      </c>
      <c r="K98" s="2" t="inlineStr">
        <is>
          <t>retest — Tranche 1 (sampled 21–24.07.2026)</t>
        </is>
      </c>
      <c r="L98" s="3" t="inlineStr">
        <is>
          <t>HPA1024</t>
        </is>
      </c>
      <c r="M98" s="2" t="inlineStr">
        <is>
          <t>N/A — no P batch assigned</t>
        </is>
      </c>
      <c r="N98" s="2" t="inlineStr">
        <is>
          <t>High Pro Amnesia</t>
        </is>
      </c>
      <c r="O98" s="2" t="inlineStr">
        <is>
          <t>197-13-K-26, (07.08.2026) [FHM-K]</t>
        </is>
      </c>
      <c r="P98" s="6" t="inlineStr">
        <is>
          <t>—</t>
        </is>
      </c>
      <c r="Q98" s="2" t="inlineStr">
        <is>
          <t>—</t>
        </is>
      </c>
      <c r="R98" s="2" t="inlineStr">
        <is>
          <t>CoQ-PP-2026-0030</t>
        </is>
      </c>
      <c r="S98" s="2" t="inlineStr">
        <is>
          <t>HPA1024|R</t>
        </is>
      </c>
      <c r="T98" s="7" t="inlineStr">
        <is>
          <t>registered — retest, Tranche 1 (sampled 21–24.07.2026), sampled 23.07.2026; issued 17.08.2026, 7 days after 197-13-M-26 of 10.08.2026; cites iCoA-PP_26-112 of 27.07.2026</t>
        </is>
      </c>
      <c r="U98" s="2">
        <f>IFERROR(INDEX('CoQ Register'!$B:$B,MATCH("HPA1024|I",'CoQ Register'!$S:$S,0)),"— initial certificate not on the register —")</f>
        <v/>
      </c>
      <c r="V98" s="9" t="n">
        <v>17.31</v>
      </c>
      <c r="W98" s="2" t="inlineStr">
        <is>
          <t>197-13-К/26</t>
        </is>
      </c>
      <c r="X98" s="2" t="inlineStr">
        <is>
          <t>18.00 ± 1.80 (II)</t>
        </is>
      </c>
      <c r="Y98" s="2" t="inlineStr">
        <is>
          <t>16.20 – 19.79 %</t>
        </is>
      </c>
      <c r="Z98" s="2" t="inlineStr">
        <is>
          <t>HPA_THC18 : CBD1</t>
        </is>
      </c>
      <c r="AA98" s="2" t="inlineStr">
        <is>
          <t>QCSP_001_HPA-II_v.01</t>
        </is>
      </c>
      <c r="AB98" s="10" t="inlineStr">
        <is>
          <t>for review — replaces the issued QCSP_001_HPA-II_v.01 (was HPA_THC20 : CBD1, 19.01 – 20.99 %); now HPA_THC18 : CBD1 16.20 – 19.79 %</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197-14-M-26</t>
        </is>
      </c>
      <c r="H99" s="2">
        <f>IFERROR(INDEX('iCoA Register'!$B:$B,MATCH("P050052|R",'iCoA Register'!$AA:$AA,0)),"—")</f>
        <v/>
      </c>
      <c r="I99" s="5">
        <f>IFERROR(INDEX('iCoA Register'!$D:$D,MATCH("P050052|R",'iCoA Register'!$AA:$AA,0)),"")</f>
        <v/>
      </c>
      <c r="J99" s="2" t="inlineStr">
        <is>
          <t>legacy</t>
        </is>
      </c>
      <c r="K99" s="2" t="inlineStr">
        <is>
          <t>retest — Tranche 1 (sampled 21–24.07.2026)</t>
        </is>
      </c>
      <c r="L99" s="3" t="inlineStr">
        <is>
          <t>HPA1024_01</t>
        </is>
      </c>
      <c r="M99" s="2" t="inlineStr">
        <is>
          <t>P050052</t>
        </is>
      </c>
      <c r="N99" s="2" t="inlineStr">
        <is>
          <t>High Pro Amnesia</t>
        </is>
      </c>
      <c r="O99" s="2" t="inlineStr">
        <is>
          <t>197-14-K-26, (07.08.2026) [FHM-K]</t>
        </is>
      </c>
      <c r="P99" s="6" t="inlineStr">
        <is>
          <t>—</t>
        </is>
      </c>
      <c r="Q99" s="2" t="inlineStr">
        <is>
          <t>—</t>
        </is>
      </c>
      <c r="R99" s="2" t="inlineStr">
        <is>
          <t>CoQ-PP-2026-0034</t>
        </is>
      </c>
      <c r="S99" s="2" t="inlineStr">
        <is>
          <t>P050052|R</t>
        </is>
      </c>
      <c r="T99" s="7" t="inlineStr">
        <is>
          <t>registered — retest, Tranche 1 (sampled 21–24.07.2026), sampled 23.07.2026; issued 17.08.2026, 7 days after 197-14-M-26 of 10.08.2026; cites iCoA-PP_26-113 of 27.07.2026</t>
        </is>
      </c>
      <c r="U99" s="2">
        <f>IFERROR(INDEX('CoQ Register'!$B:$B,MATCH("P050052|I",'CoQ Register'!$S:$S,0)),"— initial certificate not on the register —")</f>
        <v/>
      </c>
      <c r="V99" s="9" t="n">
        <v>21.61</v>
      </c>
      <c r="W99" s="2" t="inlineStr">
        <is>
          <t>197-14-К/26</t>
        </is>
      </c>
      <c r="X99" s="2" t="inlineStr">
        <is>
          <t>22.00 ± 2.20 (I)</t>
        </is>
      </c>
      <c r="Y99" s="2" t="inlineStr">
        <is>
          <t>19.80 – 24.19 %</t>
        </is>
      </c>
      <c r="Z99" s="2" t="inlineStr">
        <is>
          <t>HPA_THC22 : CBD1</t>
        </is>
      </c>
      <c r="AA99" s="2" t="inlineStr">
        <is>
          <t>QCSP_001_HPA-I_v.01</t>
        </is>
      </c>
      <c r="AB99" s="10" t="inlineStr">
        <is>
          <t>for review — replaces the issued QCSP_001_HPA-I_v.01 (was HPA_THC22 : CBD1, 21.00 – 23.00 %); now HPA_THC22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197-16-M-26</t>
        </is>
      </c>
      <c r="H100" s="2">
        <f>IFERROR(INDEX('iCoA Register'!$B:$B,MATCH("P060152|R",'iCoA Register'!$AA:$AA,0)),"—")</f>
        <v/>
      </c>
      <c r="I100" s="5">
        <f>IFERROR(INDEX('iCoA Register'!$D:$D,MATCH("P060152|R",'iCoA Register'!$AA:$AA,0)),"")</f>
        <v/>
      </c>
      <c r="J100" s="2" t="inlineStr">
        <is>
          <t>legacy</t>
        </is>
      </c>
      <c r="K100" s="2" t="inlineStr">
        <is>
          <t>retest — Tranche 1 (sampled 21–24.07.2026)</t>
        </is>
      </c>
      <c r="L100" s="3" t="inlineStr">
        <is>
          <t>J31102501</t>
        </is>
      </c>
      <c r="M100" s="2" t="inlineStr">
        <is>
          <t>P060152</t>
        </is>
      </c>
      <c r="N100" s="2" t="inlineStr">
        <is>
          <t>Jokerz 31</t>
        </is>
      </c>
      <c r="O100" s="2" t="inlineStr">
        <is>
          <t>197-16-K-26, (07.08.2026) [FHM-K]</t>
        </is>
      </c>
      <c r="P100" s="6" t="inlineStr">
        <is>
          <t>—</t>
        </is>
      </c>
      <c r="Q100" s="2" t="inlineStr">
        <is>
          <t>—</t>
        </is>
      </c>
      <c r="R100" s="2" t="inlineStr">
        <is>
          <t>CoQ reissue (assigned on issue)</t>
        </is>
      </c>
      <c r="S100" s="2" t="inlineStr">
        <is>
          <t>P060152|R</t>
        </is>
      </c>
      <c r="T100" s="7" t="inlineStr">
        <is>
          <t>registered — retest, Tranche 1 (sampled 21–24.07.2026), sampled 23.07.2026; issued 17.08.2026, 7 days after 197-16-M-26 of 10.08.2026; cites iCoA-PP_26-114 of 27.07.2026</t>
        </is>
      </c>
      <c r="U100" s="2">
        <f>IFERROR(INDEX('CoQ Register'!$B:$B,MATCH("P060152|I",'CoQ Register'!$S:$S,0)),"— initial certificate not on the register —")</f>
        <v/>
      </c>
      <c r="V100" s="9" t="n">
        <v>17.32</v>
      </c>
      <c r="W100" s="2" t="inlineStr">
        <is>
          <t>197-16-К/26</t>
        </is>
      </c>
      <c r="X100" s="2" t="inlineStr">
        <is>
          <t>18.00 ± 1.80 (III)</t>
        </is>
      </c>
      <c r="Y100" s="2" t="inlineStr">
        <is>
          <t>16.20 – 19.79 %</t>
        </is>
      </c>
      <c r="Z100" s="2" t="inlineStr">
        <is>
          <t>J31_THC18 : CBD1</t>
        </is>
      </c>
      <c r="AA100" s="2" t="inlineStr">
        <is>
          <t>QCSP_001_J31-III_v.01</t>
        </is>
      </c>
      <c r="AB100" s="11" t="inlineStr">
        <is>
          <t>for review — new</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197-15-M-26</t>
        </is>
      </c>
      <c r="H101" s="2">
        <f>IFERROR(INDEX('iCoA Register'!$B:$B,MATCH("P060212|R",'iCoA Register'!$AA:$AA,0)),"—")</f>
        <v/>
      </c>
      <c r="I101" s="5">
        <f>IFERROR(INDEX('iCoA Register'!$D:$D,MATCH("P060212|R",'iCoA Register'!$AA:$AA,0)),"")</f>
        <v/>
      </c>
      <c r="J101" s="2" t="inlineStr">
        <is>
          <t>legacy</t>
        </is>
      </c>
      <c r="K101" s="2" t="inlineStr">
        <is>
          <t>retest — Tranche 1 (sampled 21–24.07.2026)</t>
        </is>
      </c>
      <c r="L101" s="3" t="inlineStr">
        <is>
          <t>JD112501</t>
        </is>
      </c>
      <c r="M101" s="2" t="inlineStr">
        <is>
          <t>P060212</t>
        </is>
      </c>
      <c r="N101" s="2" t="inlineStr">
        <is>
          <t>Jelly Donutz</t>
        </is>
      </c>
      <c r="O101" s="2" t="inlineStr">
        <is>
          <t>197-15-K-26, (07.08.2026) [FHM-K]</t>
        </is>
      </c>
      <c r="P101" s="6" t="inlineStr">
        <is>
          <t>—</t>
        </is>
      </c>
      <c r="Q101" s="2" t="inlineStr">
        <is>
          <t>—</t>
        </is>
      </c>
      <c r="R101" s="2" t="inlineStr">
        <is>
          <t>CoQ reissue (assigned on issue)</t>
        </is>
      </c>
      <c r="S101" s="2" t="inlineStr">
        <is>
          <t>P060212|R</t>
        </is>
      </c>
      <c r="T101" s="7" t="inlineStr">
        <is>
          <t>registered — retest, Tranche 1 (sampled 21–24.07.2026), sampled 23.07.2026; issued 17.08.2026, 7 days after 197-15-M-26 of 10.08.2026; cites iCoA-PP_26-115 of 27.07.2026</t>
        </is>
      </c>
      <c r="U101" s="2">
        <f>IFERROR(INDEX('CoQ Register'!$B:$B,MATCH("P060212|I",'CoQ Register'!$S:$S,0)),"— initial certificate not on the register —")</f>
        <v/>
      </c>
      <c r="V101" s="9" t="n">
        <v>20.32</v>
      </c>
      <c r="W101" s="2" t="inlineStr">
        <is>
          <t>197-15-К/26</t>
        </is>
      </c>
      <c r="X101" s="2" t="inlineStr">
        <is>
          <t>22.00 ± 2.20 (I)</t>
        </is>
      </c>
      <c r="Y101" s="2" t="inlineStr">
        <is>
          <t>19.80 – 24.19 %</t>
        </is>
      </c>
      <c r="Z101" s="2" t="inlineStr">
        <is>
          <t>JD_THC22 : CBD1</t>
        </is>
      </c>
      <c r="AA101" s="2" t="inlineStr">
        <is>
          <t>QCSP_001_JD-I_v.01</t>
        </is>
      </c>
      <c r="AB101" s="10" t="inlineStr">
        <is>
          <t>for review — replaces the issued QCSP_001_JD-I_v.01 (was JD_THC20 : CBD1, 18.00 – 22.00 %); now JD_THC22 : CBD1 19.80 – 24.19 %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197-17-M-26</t>
        </is>
      </c>
      <c r="H102" s="2">
        <f>IFERROR(INDEX('iCoA Register'!$B:$B,MATCH("OPM1024|R",'iCoA Register'!$AA:$AA,0)),"—")</f>
        <v/>
      </c>
      <c r="I102" s="5">
        <f>IFERROR(INDEX('iCoA Register'!$D:$D,MATCH("OPM1024|R",'iCoA Register'!$AA:$AA,0)),"")</f>
        <v/>
      </c>
      <c r="J102" s="2" t="inlineStr">
        <is>
          <t>legacy</t>
        </is>
      </c>
      <c r="K102" s="2" t="inlineStr">
        <is>
          <t>retest — Tranche 1 (sampled 21–24.07.2026)</t>
        </is>
      </c>
      <c r="L102" s="3" t="inlineStr">
        <is>
          <t>OPM1024</t>
        </is>
      </c>
      <c r="M102" s="2" t="inlineStr">
        <is>
          <t>N/A — no P batch assigned</t>
        </is>
      </c>
      <c r="N102" s="2" t="inlineStr">
        <is>
          <t>Orange Punch Mimosa</t>
        </is>
      </c>
      <c r="O102" s="2" t="inlineStr">
        <is>
          <t>197-17-K-26, (07.08.2026) [FHM-K]</t>
        </is>
      </c>
      <c r="P102" s="6" t="inlineStr">
        <is>
          <t>—</t>
        </is>
      </c>
      <c r="Q102" s="2" t="inlineStr">
        <is>
          <t>—</t>
        </is>
      </c>
      <c r="R102" s="2" t="inlineStr">
        <is>
          <t>CoQ-PP-2026-0031</t>
        </is>
      </c>
      <c r="S102" s="2" t="inlineStr">
        <is>
          <t>OPM1024|R</t>
        </is>
      </c>
      <c r="T102" s="7" t="inlineStr">
        <is>
          <t>registered — retest, Tranche 1 (sampled 21–24.07.2026), sampled 24.07.2026; issued 17.08.2026, 7 days after 197-17-M-26 of 10.08.2026; cites iCoA-PP_26-116 of 27.07.2026</t>
        </is>
      </c>
      <c r="U102" s="2">
        <f>IFERROR(INDEX('CoQ Register'!$B:$B,MATCH("OPM1024|I",'CoQ Register'!$S:$S,0)),"— initial certificate not on the register —")</f>
        <v/>
      </c>
      <c r="V102" s="9" t="n">
        <v>20.03</v>
      </c>
      <c r="W102" s="2" t="inlineStr">
        <is>
          <t>197-17-К/26</t>
        </is>
      </c>
      <c r="X102" s="2" t="inlineStr">
        <is>
          <t>20.00 ± 1.40 (I)</t>
        </is>
      </c>
      <c r="Y102" s="2" t="inlineStr">
        <is>
          <t>18.60 – 21.39 %</t>
        </is>
      </c>
      <c r="Z102" s="2" t="inlineStr">
        <is>
          <t>OPM_THC20 : CBD1</t>
        </is>
      </c>
      <c r="AA102" s="2" t="inlineStr">
        <is>
          <t>QCSP_001_OPM-I_v.01</t>
        </is>
      </c>
      <c r="AB102" s="10" t="inlineStr">
        <is>
          <t>for review — replaces the issued QCSP_001_OPM-I_v.01 (was OPM_THC22 : CBD1, 19.81 – 24.19 %); now OPM_THC20 : CBD1 18.60 – 21.39 %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197-18-M-26</t>
        </is>
      </c>
      <c r="H103" s="2">
        <f>IFERROR(INDEX('iCoA Register'!$B:$B,MATCH("P050062|R",'iCoA Register'!$AA:$AA,0)),"—")</f>
        <v/>
      </c>
      <c r="I103" s="5">
        <f>IFERROR(INDEX('iCoA Register'!$D:$D,MATCH("P050062|R",'iCoA Register'!$AA:$AA,0)),"")</f>
        <v/>
      </c>
      <c r="J103" s="2" t="inlineStr">
        <is>
          <t>legacy</t>
        </is>
      </c>
      <c r="K103" s="2" t="inlineStr">
        <is>
          <t>retest — Tranche 1 (sampled 21–24.07.2026)</t>
        </is>
      </c>
      <c r="L103" s="3" t="inlineStr">
        <is>
          <t>OPM1024_02</t>
        </is>
      </c>
      <c r="M103" s="2" t="inlineStr">
        <is>
          <t>P050062</t>
        </is>
      </c>
      <c r="N103" s="2" t="inlineStr">
        <is>
          <t>Orange Punch Mimosa</t>
        </is>
      </c>
      <c r="O103" s="2" t="inlineStr">
        <is>
          <t>197-18-K-26, (07.08.2026) [FHM-K]</t>
        </is>
      </c>
      <c r="P103" s="6" t="inlineStr">
        <is>
          <t>—</t>
        </is>
      </c>
      <c r="Q103" s="2" t="inlineStr">
        <is>
          <t>—</t>
        </is>
      </c>
      <c r="R103" s="2" t="inlineStr">
        <is>
          <t>CoQ-PP-2026-0035</t>
        </is>
      </c>
      <c r="S103" s="2" t="inlineStr">
        <is>
          <t>P050062|R</t>
        </is>
      </c>
      <c r="T103" s="7" t="inlineStr">
        <is>
          <t>registered — retest, Tranche 1 (sampled 21–24.07.2026), sampled 24.07.2026; issued 17.08.2026, 7 days after 197-18-M-26 of 10.08.2026; cites iCoA-PP_26-117 of 27.07.2026</t>
        </is>
      </c>
      <c r="U103" s="2">
        <f>IFERROR(INDEX('CoQ Register'!$B:$B,MATCH("P050062|I",'CoQ Register'!$S:$S,0)),"— initial certificate not on the register —")</f>
        <v/>
      </c>
      <c r="V103" s="9" t="n">
        <v>18.04</v>
      </c>
      <c r="W103" s="2" t="inlineStr">
        <is>
          <t>197-18-К/26</t>
        </is>
      </c>
      <c r="X103" s="2" t="inlineStr">
        <is>
          <t>17.00 ± 1.60 (II)</t>
        </is>
      </c>
      <c r="Y103" s="2" t="inlineStr">
        <is>
          <t>15.40 – 18.59 %</t>
        </is>
      </c>
      <c r="Z103" s="2" t="inlineStr">
        <is>
          <t>OPM_THC17 : CBD1</t>
        </is>
      </c>
      <c r="AA103" s="2" t="inlineStr">
        <is>
          <t>QCSP_001_OPM-II_v.01</t>
        </is>
      </c>
      <c r="AB103" s="10" t="inlineStr">
        <is>
          <t>for review — replaces the issued QCSP_001_OPM-II_v.01 (was OPM_THC18 : CBD1, 16.20 – 19.80 %); now OPM_THC17 : CBD1 15.40 – 18.59 %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197-19-M-26</t>
        </is>
      </c>
      <c r="H104" s="2">
        <f>IFERROR(INDEX('iCoA Register'!$B:$B,MATCH("P060242|R",'iCoA Register'!$AA:$AA,0)),"—")</f>
        <v/>
      </c>
      <c r="I104" s="5">
        <f>IFERROR(INDEX('iCoA Register'!$D:$D,MATCH("P060242|R",'iCoA Register'!$AA:$AA,0)),"")</f>
        <v/>
      </c>
      <c r="J104" s="2" t="inlineStr">
        <is>
          <t>legacy</t>
        </is>
      </c>
      <c r="K104" s="2" t="inlineStr">
        <is>
          <t>retest — Tranche 1 (sampled 21–24.07.2026)</t>
        </is>
      </c>
      <c r="L104" s="3" t="inlineStr">
        <is>
          <t>OPM122501</t>
        </is>
      </c>
      <c r="M104" s="2" t="inlineStr">
        <is>
          <t>P060242</t>
        </is>
      </c>
      <c r="N104" s="2" t="inlineStr">
        <is>
          <t>Orange Punch Mimosa</t>
        </is>
      </c>
      <c r="O104" s="2" t="inlineStr">
        <is>
          <t>197-19-K-26, (07.08.2026) [FHM-K]</t>
        </is>
      </c>
      <c r="P104" s="6" t="inlineStr">
        <is>
          <t>—</t>
        </is>
      </c>
      <c r="Q104" s="2" t="inlineStr">
        <is>
          <t>—</t>
        </is>
      </c>
      <c r="R104" s="2" t="inlineStr">
        <is>
          <t>CoQ reissue (assigned on issue)</t>
        </is>
      </c>
      <c r="S104" s="2" t="inlineStr">
        <is>
          <t>P060242|R</t>
        </is>
      </c>
      <c r="T104" s="7" t="inlineStr">
        <is>
          <t>registered — retest, Tranche 1 (sampled 21–24.07.2026), sampled 24.07.2026; issued 17.08.2026, 7 days after 197-19-M-26 of 10.08.2026; cites iCoA-PP_26-118 of 27.07.2026</t>
        </is>
      </c>
      <c r="U104" s="2">
        <f>IFERROR(INDEX('CoQ Register'!$B:$B,MATCH("P060242|I",'CoQ Register'!$S:$S,0)),"— initial certificate not on the register —")</f>
        <v/>
      </c>
      <c r="V104" s="9" t="n">
        <v>7.91</v>
      </c>
      <c r="W104" s="2" t="inlineStr">
        <is>
          <t>197-19-К/26</t>
        </is>
      </c>
      <c r="X104" s="2" t="inlineStr">
        <is>
          <t>8.00 ± 0.80 (V)</t>
        </is>
      </c>
      <c r="Y104" s="2" t="inlineStr">
        <is>
          <t>7.20 – 8.79 %</t>
        </is>
      </c>
      <c r="Z104" s="2" t="inlineStr">
        <is>
          <t>OPM_THC8 : CBD1</t>
        </is>
      </c>
      <c r="AA104" s="2" t="inlineStr">
        <is>
          <t>QCSP_001_OPM-V_v.01</t>
        </is>
      </c>
      <c r="AB104" s="10" t="inlineStr">
        <is>
          <t>for review — replaces the issued QCSP_001_OPM-V_v.01 (was OPM_THC8 : CBD1, 7.20 – 8.80 %); now OPM_THC8 : CBD1 7.20 – 8.79 %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197-20-M-26</t>
        </is>
      </c>
      <c r="H105" s="2">
        <f>IFERROR(INDEX('iCoA Register'!$B:$B,MATCH("P060062|R",'iCoA Register'!$AA:$AA,0)),"—")</f>
        <v/>
      </c>
      <c r="I105" s="5">
        <f>IFERROR(INDEX('iCoA Register'!$D:$D,MATCH("P060062|R",'iCoA Register'!$AA:$AA,0)),"")</f>
        <v/>
      </c>
      <c r="J105" s="2" t="inlineStr">
        <is>
          <t>legacy</t>
        </is>
      </c>
      <c r="K105" s="2" t="inlineStr">
        <is>
          <t>retest — Tranche 1 (sampled 21–24.07.2026)</t>
        </is>
      </c>
      <c r="L105" s="3" t="inlineStr">
        <is>
          <t>PM092501</t>
        </is>
      </c>
      <c r="M105" s="2" t="inlineStr">
        <is>
          <t>P060062</t>
        </is>
      </c>
      <c r="N105" s="2" t="inlineStr">
        <is>
          <t>Permanent Market</t>
        </is>
      </c>
      <c r="O105" s="2" t="inlineStr">
        <is>
          <t>197-20-K-26, (07.08.2026) [FHM-K]</t>
        </is>
      </c>
      <c r="P105" s="6" t="inlineStr">
        <is>
          <t>—</t>
        </is>
      </c>
      <c r="Q105" s="2" t="inlineStr">
        <is>
          <t>—</t>
        </is>
      </c>
      <c r="R105" s="2" t="inlineStr">
        <is>
          <t>CoQ reissue (assigned on issue)</t>
        </is>
      </c>
      <c r="S105" s="2" t="inlineStr">
        <is>
          <t>P060062|R</t>
        </is>
      </c>
      <c r="T105" s="7" t="inlineStr">
        <is>
          <t>registered — retest, Tranche 1 (sampled 21–24.07.2026), sampled 24.07.2026; issued 17.08.2026, 7 days after 197-20-M-26 of 10.08.2026; cites iCoA-PP_26-120 of 27.07.2026</t>
        </is>
      </c>
      <c r="U105" s="2">
        <f>IFERROR(INDEX('CoQ Register'!$B:$B,MATCH("P060062|I",'CoQ Register'!$S:$S,0)),"— initial certificate not on the register —")</f>
        <v/>
      </c>
      <c r="V105" s="9" t="n">
        <v>12.25</v>
      </c>
      <c r="W105" s="2" t="inlineStr">
        <is>
          <t>197-20-К/26</t>
        </is>
      </c>
      <c r="X105" s="2" t="inlineStr">
        <is>
          <t>12.00 ± 1.00 (II)</t>
        </is>
      </c>
      <c r="Y105" s="2" t="inlineStr">
        <is>
          <t>11.00 – 12.99 %</t>
        </is>
      </c>
      <c r="Z105" s="2" t="inlineStr">
        <is>
          <t>PM_THC12 : CBD1</t>
        </is>
      </c>
      <c r="AA105" s="2" t="inlineStr">
        <is>
          <t>QCSP_001_PM-II_v.01</t>
        </is>
      </c>
      <c r="AB105" s="10" t="inlineStr">
        <is>
          <t>for review — replaces the issued QCSP_001_PM-II_v.01 (was PM_THC10 : CBD1, 9.00 – 11.00 %); now PM_THC12 : CBD1 11.00 – 12.99 %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46244</v>
      </c>
      <c r="G106" s="2" t="inlineStr">
        <is>
          <t>197-21-M-26</t>
        </is>
      </c>
      <c r="H106" s="2">
        <f>IFERROR(INDEX('iCoA Register'!$B:$B,MATCH("P060382|R",'iCoA Register'!$AA:$AA,0)),"—")</f>
        <v/>
      </c>
      <c r="I106" s="5">
        <f>IFERROR(INDEX('iCoA Register'!$D:$D,MATCH("P060382|R",'iCoA Register'!$AA:$AA,0)),"")</f>
        <v/>
      </c>
      <c r="J106" s="2" t="inlineStr">
        <is>
          <t>post-SOP</t>
        </is>
      </c>
      <c r="K106" s="2" t="inlineStr">
        <is>
          <t>retest — Tranche 1 (sampled 21–24.07.2026)</t>
        </is>
      </c>
      <c r="L106" s="3" t="inlineStr">
        <is>
          <t>SCR012603</t>
        </is>
      </c>
      <c r="M106" s="2" t="inlineStr">
        <is>
          <t>P060382</t>
        </is>
      </c>
      <c r="N106" s="2" t="inlineStr">
        <is>
          <t>Scrambler</t>
        </is>
      </c>
      <c r="O106" s="2" t="inlineStr">
        <is>
          <t>197-21-K-26, (07.08.2026) [FHM-K]</t>
        </is>
      </c>
      <c r="P106" s="6" t="inlineStr">
        <is>
          <t>—</t>
        </is>
      </c>
      <c r="Q106" s="2" t="inlineStr">
        <is>
          <t>—</t>
        </is>
      </c>
      <c r="R106" s="2" t="inlineStr">
        <is>
          <t>CoQ reissue (assigned on issue)</t>
        </is>
      </c>
      <c r="S106" s="2" t="inlineStr">
        <is>
          <t>P060382|R</t>
        </is>
      </c>
      <c r="T106" s="7" t="inlineStr">
        <is>
          <t>registered — retest, Tranche 1 (sampled 21–24.07.2026), sampled 24.07.2026; issued 17.08.2026, 7 days after 197-21-M-26 of 10.08.2026; cites iCoA-PP_26-119 of 27.07.2026</t>
        </is>
      </c>
      <c r="U106" s="2">
        <f>IFERROR(INDEX('CoQ Register'!$B:$B,MATCH("P060382|I",'CoQ Register'!$S:$S,0)),"— initial certificate not on the register —")</f>
        <v/>
      </c>
      <c r="V106" s="9" t="n">
        <v>17.84</v>
      </c>
      <c r="W106" s="2" t="inlineStr">
        <is>
          <t>197-21-К/26</t>
        </is>
      </c>
      <c r="X106" s="2" t="inlineStr">
        <is>
          <t>18.00 ± 1.80 (II)</t>
        </is>
      </c>
      <c r="Y106" s="2" t="inlineStr">
        <is>
          <t>16.20 – 19.79 %</t>
        </is>
      </c>
      <c r="Z106" s="2" t="inlineStr">
        <is>
          <t>SCR_THC18 : CBD1</t>
        </is>
      </c>
      <c r="AA106" s="2" t="inlineStr">
        <is>
          <t>QCSP_001_SCR-II_v.01</t>
        </is>
      </c>
      <c r="AB106" s="10" t="inlineStr">
        <is>
          <t>for review — replaces the issued QCSP_001_SCR-II_v.01 (was SCR_THC18 : CBD1, 16.20 – 19.80 %); now SCR_THC18 : CBD1 16.20 – 19.79 %</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iCoA-PP_26-123 of 17.08.2026</t>
        </is>
      </c>
      <c r="U107" s="2">
        <f>IFERROR(INDEX('CoQ Register'!$B:$B,MATCH("P060122|I",'CoQ Register'!$S:$S,0)),"— initial certificate not on the register —")</f>
        <v/>
      </c>
      <c r="V107" s="9" t="n">
        <v>12.09</v>
      </c>
      <c r="W107" s="2" t="inlineStr">
        <is>
          <t>220-1-К/26</t>
        </is>
      </c>
      <c r="X107" s="2" t="inlineStr">
        <is>
          <t>12.00 ± 0.95 (I)</t>
        </is>
      </c>
      <c r="Y107" s="2" t="inlineStr">
        <is>
          <t>11.05 – 12.94 %</t>
        </is>
      </c>
      <c r="Z107" s="2" t="inlineStr">
        <is>
          <t>ACC_THC12 : CBD1</t>
        </is>
      </c>
      <c r="AA107" s="2" t="inlineStr">
        <is>
          <t>QCSP_001_ACC-I_v.01</t>
        </is>
      </c>
      <c r="AB107" s="10" t="inlineStr">
        <is>
          <t>for review — replaces the issued QCSP_001_ACC-I_v.01 (was ACC_THC12 : CBD1, 10.80 – 13.20 %); now ACC_THC12 : CBD1 11.05 – 12.94 %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iCoA-PP_26-124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iCoA-PP_26-145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iCoA-PP_26-125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Register'!$B:$B,MATCH("P050222|R",'iCoA Register'!$AA:$AA,0)),"—")</f>
        <v/>
      </c>
      <c r="I111" s="5">
        <f>IFERROR(INDEX('iCoA Register'!$D:$D,MATCH("P050222|R",'iCoA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t>
        </is>
      </c>
      <c r="T111" s="7" t="inlineStr">
        <is>
          <t>registered — retest, Tranche 2 (sampled 12–14.08.2026), sampled 12.08.2026; issued 18.09.2026, 7 days after 220-3-M-26 of 11.09.2026; cites iCoA-PP_26-126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iCoA-PP_26-127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iCoA-PP_26-128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iCoA-PP_26-129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iCoA-PP_26-130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iCoA-PP_26-131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iCoA-PP_26-132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iCoA-PP_26-134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iCoA-PP_26-135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Graps &amp; Creme</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iCoA-PP_26-137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Donutz</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iCoA-PP_26-140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Donutz</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iCoA-PP_26-138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Donutz</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iCoA-PP_26-139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Donutz</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iCoA-PP_26-148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iCoA-PP_26-141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iCoA-PP_26-142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iCoA-PP_26-143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iCoA-PP_26-149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iCoA-PP_26-150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iCoA-PP_26-151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iCoA-PP_26-152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IF(OR(C135="yes",C135="allocated"),COUNT(A$1:A134)+1,"")</f>
        <v/>
      </c>
      <c r="B135" s="3">
        <f>IF(A135&lt;&gt;"","CoQ-PP_26-"&amp;TEXT(A135,"000"),"— at issue —")</f>
        <v/>
      </c>
      <c r="C135" s="4" t="inlineStr">
        <is>
          <t>yes</t>
        </is>
      </c>
      <c r="D135" s="5">
        <f>IF(OR(A135="",C135="allocated"),"",MAX(E135,IF(ISNUMBER(I135),I135,0),IFERROR(IF(ISNUMBER(INDEX('iCoA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iCoA-PP_26-153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IF(OR(C136="yes",C136="allocated"),COUNT(A$1:A135)+1,"")</f>
        <v/>
      </c>
      <c r="B136" s="3">
        <f>IF(A136&lt;&gt;"","CoQ-PP_26-"&amp;TEXT(A136,"000"),"— at issue —")</f>
        <v/>
      </c>
      <c r="C136" s="4" t="inlineStr">
        <is>
          <t>yes</t>
        </is>
      </c>
      <c r="D136" s="5">
        <f>IF(OR(A136="",C136="allocated"),"",MAX(E136,IF(ISNUMBER(I136),I136,0),IFERROR(IF(ISNUMBER(INDEX('iCoA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iCoA-PP_26-154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Graps &amp; Creme</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Donutz</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9" t="n">
        <v>25.15</v>
      </c>
      <c r="W166" s="2" t="inlineStr">
        <is>
          <t>227-4-К/26</t>
        </is>
      </c>
      <c r="X166" s="2" t="inlineStr">
        <is>
          <t>—</t>
        </is>
      </c>
      <c r="Y166" s="2" t="inlineStr">
        <is>
          <t>—</t>
        </is>
      </c>
      <c r="Z166" s="2" t="inlineStr">
        <is>
          <t>—</t>
        </is>
      </c>
      <c r="AA166" s="2" t="inlineStr">
        <is>
          <t>—</t>
        </is>
      </c>
      <c r="AB166" s="11" t="inlineStr">
        <is>
          <t>—</t>
        </is>
      </c>
      <c r="AC166" s="10" t="inlineStr">
        <is>
          <t>strain not in the potency specification of 15.09.2026</t>
        </is>
      </c>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46209</v>
      </c>
      <c r="G167" s="2" t="inlineStr">
        <is>
          <t>ППК26117</t>
        </is>
      </c>
      <c r="H167" s="2">
        <f>IFERROR(INDEX('iCoA Register'!$B:$B,MATCH("P160012|I",'iCoA Register'!$AA:$AA,0)),"—")</f>
        <v/>
      </c>
      <c r="I167" s="5">
        <f>IFERROR(INDEX('iCoA Register'!$D:$D,MATCH("P160012|I",'iCoA Register'!$AA:$AA,0)),"")</f>
        <v/>
      </c>
      <c r="J167" s="2" t="inlineStr">
        <is>
          <t>—</t>
        </is>
      </c>
      <c r="K167" s="2" t="inlineStr">
        <is>
          <t>initial release</t>
        </is>
      </c>
      <c r="L167" s="3" t="inlineStr">
        <is>
          <t>— not recorded — (P160012)</t>
        </is>
      </c>
      <c r="M167" s="2" t="inlineStr">
        <is>
          <t>P160012</t>
        </is>
      </c>
      <c r="N167" s="2" t="inlineStr"/>
      <c r="O167" s="2" t="inlineStr">
        <is>
          <t>ППК26117, (06.07.2026) [CNP]</t>
        </is>
      </c>
      <c r="P167" s="2" t="inlineStr">
        <is>
          <t>A: ППК26117 / B: ППК26117 / FM: ППК26117</t>
        </is>
      </c>
      <c r="Q167" s="2" t="inlineStr">
        <is>
          <t>—</t>
        </is>
      </c>
      <c r="R167" s="2" t="inlineStr">
        <is>
          <t>(assigned on issue)</t>
        </is>
      </c>
      <c r="S167" s="2" t="inlineStr">
        <is>
          <t>P160012|I</t>
        </is>
      </c>
      <c r="T167" s="10" t="inlineStr">
        <is>
          <t>not yet issuable — no packaging date on the list</t>
        </is>
      </c>
      <c r="U167" s="2" t="inlineStr">
        <is>
          <t>n/a — initial certificate</t>
        </is>
      </c>
      <c r="V167" s="9" t="n">
        <v>26.32</v>
      </c>
      <c r="W167" s="2" t="inlineStr">
        <is>
          <t>ППК26117</t>
        </is>
      </c>
      <c r="X167" s="2" t="inlineStr">
        <is>
          <t>—</t>
        </is>
      </c>
      <c r="Y167" s="2" t="inlineStr">
        <is>
          <t>—</t>
        </is>
      </c>
      <c r="Z167" s="2" t="inlineStr">
        <is>
          <t>—</t>
        </is>
      </c>
      <c r="AA167" s="2" t="inlineStr">
        <is>
          <t>—</t>
        </is>
      </c>
      <c r="AB167" s="11" t="inlineStr">
        <is>
          <t>—</t>
        </is>
      </c>
      <c r="AC167" s="10" t="inlineStr">
        <is>
          <t>strain not in the potency specification of 15.09.2026</t>
        </is>
      </c>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IF(ISNUMBER(F168),MAX(DATE(2026,6,6),F168+7),DATE(2026,6,6))</f>
        <v/>
      </c>
      <c r="F168" s="5" t="n">
        <v>46209</v>
      </c>
      <c r="G168" s="2" t="inlineStr">
        <is>
          <t>ППК26118</t>
        </is>
      </c>
      <c r="H168" s="2">
        <f>IFERROR(INDEX('iCoA Register'!$B:$B,MATCH("P160022|I",'iCoA Register'!$AA:$AA,0)),"—")</f>
        <v/>
      </c>
      <c r="I168" s="5">
        <f>IFERROR(INDEX('iCoA Register'!$D:$D,MATCH("P160022|I",'iCoA Register'!$AA:$AA,0)),"")</f>
        <v/>
      </c>
      <c r="J168" s="2" t="inlineStr">
        <is>
          <t>—</t>
        </is>
      </c>
      <c r="K168" s="2" t="inlineStr">
        <is>
          <t>initial release</t>
        </is>
      </c>
      <c r="L168" s="3" t="inlineStr">
        <is>
          <t>— not recorded — (P160022)</t>
        </is>
      </c>
      <c r="M168" s="2" t="inlineStr">
        <is>
          <t>P160022</t>
        </is>
      </c>
      <c r="N168" s="2" t="inlineStr"/>
      <c r="O168" s="2" t="inlineStr">
        <is>
          <t>ППК26118, (06.07.2026) [CNP]</t>
        </is>
      </c>
      <c r="P168" s="2" t="inlineStr">
        <is>
          <t>A: ППК26118 / B: ППК26118 / FM: ППК26118</t>
        </is>
      </c>
      <c r="Q168" s="2" t="inlineStr">
        <is>
          <t>—</t>
        </is>
      </c>
      <c r="R168" s="2" t="inlineStr">
        <is>
          <t>(assigned on issue)</t>
        </is>
      </c>
      <c r="S168" s="2" t="inlineStr">
        <is>
          <t>P160022|I</t>
        </is>
      </c>
      <c r="T168" s="10" t="inlineStr">
        <is>
          <t>not yet issuable — no packaging date on the list</t>
        </is>
      </c>
      <c r="U168" s="2" t="inlineStr">
        <is>
          <t>n/a — initial certificate</t>
        </is>
      </c>
      <c r="V168" s="9" t="n">
        <v>25.72</v>
      </c>
      <c r="W168" s="2" t="inlineStr">
        <is>
          <t>ППК26118</t>
        </is>
      </c>
      <c r="X168" s="2" t="inlineStr">
        <is>
          <t>—</t>
        </is>
      </c>
      <c r="Y168" s="2" t="inlineStr">
        <is>
          <t>—</t>
        </is>
      </c>
      <c r="Z168" s="2" t="inlineStr">
        <is>
          <t>—</t>
        </is>
      </c>
      <c r="AA168" s="2" t="inlineStr">
        <is>
          <t>—</t>
        </is>
      </c>
      <c r="AB168" s="11" t="inlineStr">
        <is>
          <t>—</t>
        </is>
      </c>
      <c r="AC168" s="10" t="inlineStr">
        <is>
          <t>strain not in the potency specification of 15.09.2026</t>
        </is>
      </c>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ППК26119</t>
        </is>
      </c>
      <c r="H169" s="2">
        <f>IFERROR(INDEX('iCoA Register'!$B:$B,MATCH("P160032|I",'iCoA Register'!$AA:$AA,0)),"—")</f>
        <v/>
      </c>
      <c r="I169" s="5">
        <f>IFERROR(INDEX('iCoA Register'!$D:$D,MATCH("P160032|I",'iCoA Register'!$AA:$AA,0)),"")</f>
        <v/>
      </c>
      <c r="J169" s="2" t="inlineStr">
        <is>
          <t>—</t>
        </is>
      </c>
      <c r="K169" s="2" t="inlineStr">
        <is>
          <t>initial release</t>
        </is>
      </c>
      <c r="L169" s="3" t="inlineStr">
        <is>
          <t>— not recorded — (P160032)</t>
        </is>
      </c>
      <c r="M169" s="2" t="inlineStr">
        <is>
          <t>P160032</t>
        </is>
      </c>
      <c r="N169" s="2" t="inlineStr"/>
      <c r="O169" s="2" t="inlineStr">
        <is>
          <t>ППК26119, (06.07.2026) [CNP]</t>
        </is>
      </c>
      <c r="P169" s="2" t="inlineStr">
        <is>
          <t>A: ППК26119 / B: ППК26119 / FM: ППК26119</t>
        </is>
      </c>
      <c r="Q169" s="2" t="inlineStr">
        <is>
          <t>—</t>
        </is>
      </c>
      <c r="R169" s="2" t="inlineStr">
        <is>
          <t>(assigned on issue)</t>
        </is>
      </c>
      <c r="S169" s="2" t="inlineStr">
        <is>
          <t>P160032|I</t>
        </is>
      </c>
      <c r="T169" s="10" t="inlineStr">
        <is>
          <t>not yet issuable — no packaging date on the list</t>
        </is>
      </c>
      <c r="U169" s="2" t="inlineStr">
        <is>
          <t>n/a — initial certificate</t>
        </is>
      </c>
      <c r="V169" s="9" t="n">
        <v>24.78</v>
      </c>
      <c r="W169" s="2" t="inlineStr">
        <is>
          <t>ППК26119</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inlineStr">
        <is>
          <t>—</t>
        </is>
      </c>
      <c r="G170" s="2" t="inlineStr">
        <is>
          <t>—</t>
        </is>
      </c>
      <c r="H170" s="2">
        <f>IFERROR(INDEX('iCoA Register'!$B:$B,MATCH("CC042601|I",'iCoA Register'!$AA:$AA,0)),"—")</f>
        <v/>
      </c>
      <c r="I170" s="5">
        <f>IFERROR(INDEX('iCoA Register'!$D:$D,MATCH("CC042601|I",'iCoA Register'!$AA:$AA,0)),"")</f>
        <v/>
      </c>
      <c r="J170" s="2" t="inlineStr">
        <is>
          <t>—</t>
        </is>
      </c>
      <c r="K170" s="2" t="inlineStr">
        <is>
          <t>initial release</t>
        </is>
      </c>
      <c r="L170" s="3" t="inlineStr">
        <is>
          <t>CC042601</t>
        </is>
      </c>
      <c r="M170" s="2" t="inlineStr">
        <is>
          <t>N/A — no P batch assigned</t>
        </is>
      </c>
      <c r="N170" s="2" t="inlineStr">
        <is>
          <t>Cash Cow</t>
        </is>
      </c>
      <c r="O170" s="6" t="inlineStr">
        <is>
          <t>— no cannabinoid certificate from the initial testing —</t>
        </is>
      </c>
      <c r="P170" s="6" t="inlineStr">
        <is>
          <t>—</t>
        </is>
      </c>
      <c r="Q170" s="2" t="inlineStr">
        <is>
          <t>—</t>
        </is>
      </c>
      <c r="R170" s="2" t="inlineStr">
        <is>
          <t>(assigned on issue)</t>
        </is>
      </c>
      <c r="S170" s="2" t="inlineStr">
        <is>
          <t>CC042601|I</t>
        </is>
      </c>
      <c r="T170" s="10" t="inlineStr">
        <is>
          <t>not yet issuable — no packaging date on the list</t>
        </is>
      </c>
      <c r="U170" s="2" t="inlineStr">
        <is>
          <t>n/a — initial certificate</t>
        </is>
      </c>
      <c r="V170" s="2" t="inlineStr">
        <is>
          <t>—</t>
        </is>
      </c>
      <c r="W170" s="2" t="inlineStr">
        <is>
          <t>—</t>
        </is>
      </c>
      <c r="X170" s="2" t="inlineStr">
        <is>
          <t>—</t>
        </is>
      </c>
      <c r="Y170" s="2" t="inlineStr">
        <is>
          <t>—</t>
        </is>
      </c>
      <c r="Z170" s="2" t="inlineStr">
        <is>
          <t>—</t>
        </is>
      </c>
      <c r="AA170" s="2" t="inlineStr">
        <is>
          <t>—</t>
        </is>
      </c>
      <c r="AB170" s="11" t="inlineStr">
        <is>
          <t>—</t>
        </is>
      </c>
      <c r="AC170" s="10" t="inlineStr">
        <is>
          <t>no Total THC result on this certificate</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 awaiting the retest certificates —")</f>
        <v/>
      </c>
      <c r="F171" s="5" t="n">
        <v>46276</v>
      </c>
      <c r="G171" s="2" t="inlineStr">
        <is>
          <t>220-32-M-26</t>
        </is>
      </c>
      <c r="H171" s="2">
        <f>IFERROR(INDEX('iCoA Register'!$B:$B,MATCH("CC042601|R",'iCoA Register'!$AA:$AA,0)),"—")</f>
        <v/>
      </c>
      <c r="I171" s="5">
        <f>IFERROR(INDEX('iCoA Register'!$D:$D,MATCH("CC042601|R",'iCoA Register'!$AA:$AA,0)),"")</f>
        <v/>
      </c>
      <c r="J171" s="2" t="inlineStr">
        <is>
          <t>—</t>
        </is>
      </c>
      <c r="K171" s="2" t="inlineStr">
        <is>
          <t>retest — Tranche 2 (sampled 12–14.08.2026)</t>
        </is>
      </c>
      <c r="L171" s="3" t="inlineStr">
        <is>
          <t>CC042601</t>
        </is>
      </c>
      <c r="M171" s="2" t="inlineStr">
        <is>
          <t>N/A — no P batch assigned</t>
        </is>
      </c>
      <c r="N171" s="2" t="inlineStr">
        <is>
          <t>Cash Cow</t>
        </is>
      </c>
      <c r="O171" s="2" t="inlineStr">
        <is>
          <t>220-32-K-26, (26.08.2026) [FHM-K]</t>
        </is>
      </c>
      <c r="P171" s="6" t="inlineStr">
        <is>
          <t>—</t>
        </is>
      </c>
      <c r="Q171" s="2" t="inlineStr">
        <is>
          <t>—</t>
        </is>
      </c>
      <c r="R171" s="2" t="inlineStr">
        <is>
          <t>CoQ reissue (assigned on issue)</t>
        </is>
      </c>
      <c r="S171" s="2" t="inlineStr">
        <is>
          <t>CC042601|R</t>
        </is>
      </c>
      <c r="T171" s="10" t="inlineStr">
        <is>
          <t>not yet issuable — initial certificate withheld — due — retest assay and mycotoxins on file; iCoA tested 14.08.2026, issued 17.08.2026 · issued 7 days after the latest retest certificate once the assay, the mycotoxins and the iCoA exist</t>
        </is>
      </c>
      <c r="U171" s="2">
        <f>IFERROR(INDEX('CoQ Register'!$B:$B,MATCH("CC042601|I",'CoQ Register'!$S:$S,0)),"— initial certificate not on the register —")</f>
        <v/>
      </c>
      <c r="V171" s="9" t="n">
        <v>14.9</v>
      </c>
      <c r="W171" s="2" t="inlineStr">
        <is>
          <t>220-32-К/26</t>
        </is>
      </c>
      <c r="X171" s="2" t="inlineStr">
        <is>
          <t>14.00 ± 1.35 (II)</t>
        </is>
      </c>
      <c r="Y171" s="2" t="inlineStr">
        <is>
          <t>12.65 – 15.34 %</t>
        </is>
      </c>
      <c r="Z171" s="2" t="inlineStr">
        <is>
          <t>CC_THC14 : CBD1</t>
        </is>
      </c>
      <c r="AA171" s="2" t="inlineStr">
        <is>
          <t>QCSP_001_CC-II_v.01</t>
        </is>
      </c>
      <c r="AB171" s="10" t="inlineStr">
        <is>
          <t>for review — replaces the issued QCSP_001_CC-II_v.01 (was CC_THC14 : CBD1, 12.60 – 15.40 %); now CC_THC14 : CBD1 12.65 – 15.34 %</t>
        </is>
      </c>
      <c r="AC171" s="11" t="inlineStr"/>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Register'!$B:$B,MATCH("FB042601|I",'iCoA Register'!$AA:$AA,0)),"—")</f>
        <v/>
      </c>
      <c r="I172" s="5">
        <f>IFERROR(INDEX('iCoA Register'!$D:$D,MATCH("FB042601|I",'iCoA Register'!$AA:$AA,0)),"")</f>
        <v/>
      </c>
      <c r="J172" s="2" t="inlineStr">
        <is>
          <t>—</t>
        </is>
      </c>
      <c r="K172" s="2" t="inlineStr">
        <is>
          <t>initial release</t>
        </is>
      </c>
      <c r="L172" s="3" t="inlineStr">
        <is>
          <t>FB042601</t>
        </is>
      </c>
      <c r="M172" s="2" t="inlineStr">
        <is>
          <t>N/A — no P batch assigned</t>
        </is>
      </c>
      <c r="N172" s="2" t="inlineStr">
        <is>
          <t>Fat Bastard</t>
        </is>
      </c>
      <c r="O172" s="6" t="inlineStr">
        <is>
          <t>— no cannabinoid certificate from the initial testing —</t>
        </is>
      </c>
      <c r="P172" s="6" t="inlineStr">
        <is>
          <t>—</t>
        </is>
      </c>
      <c r="Q172" s="2" t="inlineStr">
        <is>
          <t>—</t>
        </is>
      </c>
      <c r="R172" s="2" t="inlineStr">
        <is>
          <t>(assigned on issue)</t>
        </is>
      </c>
      <c r="S172" s="2" t="inlineStr">
        <is>
          <t>FB042601|I</t>
        </is>
      </c>
      <c r="T172" s="10"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10"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0"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v41 on 16.09.2026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CoQ_Analysis_Master_v41.xlsx,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2026-09-16T16:56:43Z</dcterms:created>
  <dcterms:modified xsi:type="dcterms:W3CDTF">2026-09-16T16:56:43Z</dcterms:modified>
</cp:coreProperties>
</file>