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Crusher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Marker</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Crusher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Marker</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Joe</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031-3-К-26, (10.02.2026) [FHM-K]</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031-2-К-26, (10.02.2026) [FHM-K]</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031-5-К-26, (10.02.2026) [FHM-K]</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031-4-К-26, (10.02.2026) [FHM-K]</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Grapes And Cream</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J31102501</t>
        </is>
      </c>
      <c r="J50" s="2" t="inlineStr">
        <is>
          <t>P060152</t>
        </is>
      </c>
      <c r="K50" s="2" t="inlineStr">
        <is>
          <t>Jokerz 31</t>
        </is>
      </c>
      <c r="L50" s="2" t="inlineStr">
        <is>
          <t>Ident A + Ident B + Foreign matter</t>
        </is>
      </c>
      <c r="M50" s="6" t="inlineStr">
        <is>
          <t>—</t>
        </is>
      </c>
      <c r="N50" s="2">
        <f>IFERROR(INDEX('CoQ Register'!$B:$B,MATCH("P060152|I",'CoQ Register'!$S:$S,0)),"—")</f>
        <v/>
      </c>
      <c r="O50" s="2" t="inlineStr">
        <is>
          <t>iCoA-PP-2026-0012</t>
        </is>
      </c>
      <c r="P50" s="2" t="inlineStr">
        <is>
          <t>05.03.2026</t>
        </is>
      </c>
      <c r="Q50" s="2" t="inlineStr">
        <is>
          <t>21.01.2026</t>
        </is>
      </c>
      <c r="R50" s="2" t="inlineStr">
        <is>
          <t>05.03.2026</t>
        </is>
      </c>
      <c r="S50" s="5">
        <f>IFERROR(INDEX('CoQ Register'!$D:$D,MATCH("P060152|I",'CoQ Register'!$S:$S,0)),"")</f>
        <v/>
      </c>
      <c r="T50" s="2" t="inlineStr">
        <is>
          <t>Conforms</t>
        </is>
      </c>
      <c r="U50" s="2" t="inlineStr">
        <is>
          <t>Conforms</t>
        </is>
      </c>
      <c r="V50" s="2" t="inlineStr">
        <is>
          <t>Conforms</t>
        </is>
      </c>
      <c r="W50" s="2" t="inlineStr">
        <is>
          <t>051-1-K-26, (04.03.2026) [FHM-K]</t>
        </is>
      </c>
      <c r="X50" s="2" t="inlineStr">
        <is>
          <t>—</t>
        </is>
      </c>
      <c r="Y50" s="2" t="inlineStr">
        <is>
          <t>—</t>
        </is>
      </c>
      <c r="Z50" s="2" t="inlineStr">
        <is>
          <t>—</t>
        </is>
      </c>
      <c r="AA50" s="2" t="inlineStr">
        <is>
          <t>P060152|I</t>
        </is>
      </c>
      <c r="AB50" s="7" t="inlineStr">
        <is>
          <t>registered — initial release, issued 03.06.2026</t>
        </is>
      </c>
    </row>
    <row r="51">
      <c r="A51" s="2" t="n">
        <v>50</v>
      </c>
      <c r="B51" s="3" t="inlineStr">
        <is>
          <t>iCoA-PP_26-050</t>
        </is>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SJ102501</t>
        </is>
      </c>
      <c r="J51" s="2" t="inlineStr">
        <is>
          <t>P060162</t>
        </is>
      </c>
      <c r="K51" s="2" t="inlineStr">
        <is>
          <t>Sleepy Joe</t>
        </is>
      </c>
      <c r="L51" s="2" t="inlineStr">
        <is>
          <t>Ident A + Ident B + Foreign matter</t>
        </is>
      </c>
      <c r="M51" s="6" t="inlineStr">
        <is>
          <t>—</t>
        </is>
      </c>
      <c r="N51" s="2">
        <f>IFERROR(INDEX('CoQ Register'!$B:$B,MATCH("P060162|I",'CoQ Register'!$S:$S,0)),"—")</f>
        <v/>
      </c>
      <c r="O51" s="6" t="inlineStr">
        <is>
          <t>—</t>
        </is>
      </c>
      <c r="P51" s="2" t="inlineStr">
        <is>
          <t>04.03.2026</t>
        </is>
      </c>
      <c r="Q51" s="2" t="inlineStr">
        <is>
          <t>20.01.2026</t>
        </is>
      </c>
      <c r="R51" s="2" t="inlineStr">
        <is>
          <t>09.03.2026 (the issuance plan's basis: 04.03.2026)</t>
        </is>
      </c>
      <c r="S51" s="5">
        <f>IFERROR(INDEX('CoQ Register'!$D:$D,MATCH("P060162|I",'CoQ Register'!$S:$S,0)),"")</f>
        <v/>
      </c>
      <c r="T51" s="2" t="inlineStr">
        <is>
          <t>Conforms</t>
        </is>
      </c>
      <c r="U51" s="2" t="inlineStr">
        <is>
          <t>Conforms</t>
        </is>
      </c>
      <c r="V51" s="2" t="inlineStr">
        <is>
          <t>Conforms</t>
        </is>
      </c>
      <c r="W51" s="2" t="inlineStr">
        <is>
          <t>051-3-K-26, (04.03.2026) [FHM-K]</t>
        </is>
      </c>
      <c r="X51" s="2" t="inlineStr">
        <is>
          <t>—</t>
        </is>
      </c>
      <c r="Y51" s="2" t="inlineStr">
        <is>
          <t>—</t>
        </is>
      </c>
      <c r="Z51" s="2" t="inlineStr">
        <is>
          <t>—</t>
        </is>
      </c>
      <c r="AA51" s="2" t="inlineStr">
        <is>
          <t>P060162|I</t>
        </is>
      </c>
      <c r="AB51" s="7" t="inlineStr">
        <is>
          <t>registered — initial release, issued 03.06.2026</t>
        </is>
      </c>
    </row>
    <row r="52">
      <c r="A52" s="2" t="n">
        <v>51</v>
      </c>
      <c r="B52" s="3" t="inlineStr">
        <is>
          <t>iCoA-PP_26-051</t>
        </is>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KC102501</t>
        </is>
      </c>
      <c r="J52" s="2" t="inlineStr">
        <is>
          <t>P060172</t>
        </is>
      </c>
      <c r="K52" s="2" t="inlineStr">
        <is>
          <t>Kush Crasher</t>
        </is>
      </c>
      <c r="L52" s="2" t="inlineStr">
        <is>
          <t>Ident A + Ident B + Foreign matter</t>
        </is>
      </c>
      <c r="M52" s="6" t="inlineStr">
        <is>
          <t>—</t>
        </is>
      </c>
      <c r="N52" s="2">
        <f>IFERROR(INDEX('CoQ Register'!$B:$B,MATCH("P060172|I",'CoQ Register'!$S:$S,0)),"—")</f>
        <v/>
      </c>
      <c r="O52" s="2" t="inlineStr">
        <is>
          <t>iCoA-PP-2026-0013</t>
        </is>
      </c>
      <c r="P52" s="2" t="inlineStr">
        <is>
          <t>12.03.2026</t>
        </is>
      </c>
      <c r="Q52" s="2" t="inlineStr">
        <is>
          <t>20.01.2026 – 21.01.2026</t>
        </is>
      </c>
      <c r="R52" s="2" t="inlineStr">
        <is>
          <t>12.03.2026</t>
        </is>
      </c>
      <c r="S52" s="5">
        <f>IFERROR(INDEX('CoQ Register'!$D:$D,MATCH("P060172|I",'CoQ Register'!$S:$S,0)),"")</f>
        <v/>
      </c>
      <c r="T52" s="2" t="inlineStr">
        <is>
          <t>Conforms</t>
        </is>
      </c>
      <c r="U52" s="2" t="inlineStr">
        <is>
          <t>Conforms</t>
        </is>
      </c>
      <c r="V52" s="2" t="inlineStr">
        <is>
          <t>Conforms</t>
        </is>
      </c>
      <c r="W52" s="2" t="inlineStr">
        <is>
          <t>051-4-K-26, (04.03.2026) [FHM-K]</t>
        </is>
      </c>
      <c r="X52" s="2" t="inlineStr">
        <is>
          <t>—</t>
        </is>
      </c>
      <c r="Y52" s="2" t="inlineStr">
        <is>
          <t>—</t>
        </is>
      </c>
      <c r="Z52" s="2" t="inlineStr">
        <is>
          <t>—</t>
        </is>
      </c>
      <c r="AA52" s="2" t="inlineStr">
        <is>
          <t>P060172|I</t>
        </is>
      </c>
      <c r="AB52" s="7" t="inlineStr">
        <is>
          <t>registered — initial release,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GRC102501</t>
        </is>
      </c>
      <c r="J53" s="2" t="inlineStr">
        <is>
          <t>P060182</t>
        </is>
      </c>
      <c r="K53" s="2" t="inlineStr">
        <is>
          <t>Grapes And Cream</t>
        </is>
      </c>
      <c r="L53" s="2" t="inlineStr">
        <is>
          <t>Ident A + Ident B + Foreign matter</t>
        </is>
      </c>
      <c r="M53" s="6" t="inlineStr">
        <is>
          <t>—</t>
        </is>
      </c>
      <c r="N53" s="2">
        <f>IFERROR(INDEX('CoQ Register'!$B:$B,MATCH("P060182|I",'CoQ Register'!$S:$S,0)),"—")</f>
        <v/>
      </c>
      <c r="O53" s="2" t="inlineStr">
        <is>
          <t>iCoA-PP-2026-0014</t>
        </is>
      </c>
      <c r="P53" s="2" t="inlineStr">
        <is>
          <t>14.03.2026</t>
        </is>
      </c>
      <c r="Q53" s="2" t="inlineStr">
        <is>
          <t>20.01.2026</t>
        </is>
      </c>
      <c r="R53" s="2" t="inlineStr">
        <is>
          <t>14.03.2026</t>
        </is>
      </c>
      <c r="S53" s="5">
        <f>IFERROR(INDEX('CoQ Register'!$D:$D,MATCH("P060182|I",'CoQ Register'!$S:$S,0)),"")</f>
        <v/>
      </c>
      <c r="T53" s="2" t="inlineStr">
        <is>
          <t>Conforms</t>
        </is>
      </c>
      <c r="U53" s="2" t="inlineStr">
        <is>
          <t>Conforms</t>
        </is>
      </c>
      <c r="V53" s="2" t="inlineStr">
        <is>
          <t>Conforms</t>
        </is>
      </c>
      <c r="W53" s="2" t="inlineStr">
        <is>
          <t>051-6-K-26, (04.03.2026) [FHM-K]</t>
        </is>
      </c>
      <c r="X53" s="2" t="inlineStr">
        <is>
          <t>—</t>
        </is>
      </c>
      <c r="Y53" s="2" t="inlineStr">
        <is>
          <t>—</t>
        </is>
      </c>
      <c r="Z53" s="2" t="inlineStr">
        <is>
          <t>—</t>
        </is>
      </c>
      <c r="AA53" s="2" t="inlineStr">
        <is>
          <t>P060182|I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SJ112501</t>
        </is>
      </c>
      <c r="J54" s="2" t="inlineStr">
        <is>
          <t>P060192</t>
        </is>
      </c>
      <c r="K54" s="2" t="inlineStr">
        <is>
          <t>Sleepy Joe</t>
        </is>
      </c>
      <c r="L54" s="2" t="inlineStr">
        <is>
          <t>Ident A + Ident B + Foreign matter</t>
        </is>
      </c>
      <c r="M54" s="6" t="inlineStr">
        <is>
          <t>—</t>
        </is>
      </c>
      <c r="N54" s="2">
        <f>IFERROR(INDEX('CoQ Register'!$B:$B,MATCH("P060192|I",'CoQ Register'!$S:$S,0)),"—")</f>
        <v/>
      </c>
      <c r="O54" s="6" t="inlineStr">
        <is>
          <t>—</t>
        </is>
      </c>
      <c r="P54" s="2" t="inlineStr">
        <is>
          <t>04.03.2026</t>
        </is>
      </c>
      <c r="Q54" s="2" t="inlineStr">
        <is>
          <t>26.01.2026 – 27.01.2026</t>
        </is>
      </c>
      <c r="R54" s="2" t="inlineStr">
        <is>
          <t>31.03.2026 (the issuance plan's basis: 04.03.2026)</t>
        </is>
      </c>
      <c r="S54" s="5">
        <f>IFERROR(INDEX('CoQ Register'!$D:$D,MATCH("P060192|I",'CoQ Register'!$S:$S,0)),"")</f>
        <v/>
      </c>
      <c r="T54" s="2" t="inlineStr">
        <is>
          <t>Conforms</t>
        </is>
      </c>
      <c r="U54" s="2" t="inlineStr">
        <is>
          <t>Conforms</t>
        </is>
      </c>
      <c r="V54" s="2" t="inlineStr">
        <is>
          <t>Conforms</t>
        </is>
      </c>
      <c r="W54" s="2" t="inlineStr">
        <is>
          <t>051-2-K-26, (04.03.2026) [FHM-K]</t>
        </is>
      </c>
      <c r="X54" s="2" t="inlineStr">
        <is>
          <t>—</t>
        </is>
      </c>
      <c r="Y54" s="2" t="inlineStr">
        <is>
          <t>—</t>
        </is>
      </c>
      <c r="Z54" s="2" t="inlineStr">
        <is>
          <t>—</t>
        </is>
      </c>
      <c r="AA54" s="2" t="inlineStr">
        <is>
          <t>P060192|I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J31112501</t>
        </is>
      </c>
      <c r="J55" s="2" t="inlineStr">
        <is>
          <t>P060202</t>
        </is>
      </c>
      <c r="K55" s="2" t="inlineStr">
        <is>
          <t>Jokerz 31</t>
        </is>
      </c>
      <c r="L55" s="2" t="inlineStr">
        <is>
          <t>Ident A + Ident B + Foreign matter</t>
        </is>
      </c>
      <c r="M55" s="6" t="inlineStr">
        <is>
          <t>—</t>
        </is>
      </c>
      <c r="N55" s="2">
        <f>IFERROR(INDEX('CoQ Register'!$B:$B,MATCH("P060202|I",'CoQ Register'!$S:$S,0)),"—")</f>
        <v/>
      </c>
      <c r="O55" s="6" t="inlineStr">
        <is>
          <t>—</t>
        </is>
      </c>
      <c r="P55" s="2" t="inlineStr">
        <is>
          <t>09.04.2026</t>
        </is>
      </c>
      <c r="Q55" s="2" t="inlineStr">
        <is>
          <t>26.01.2026</t>
        </is>
      </c>
      <c r="R55" s="2" t="inlineStr">
        <is>
          <t>17.04.2026 (the issuance plan's basis: 09.04.2026)</t>
        </is>
      </c>
      <c r="S55" s="5">
        <f>IFERROR(INDEX('CoQ Register'!$D:$D,MATCH("P060202|I",'CoQ Register'!$S:$S,0)),"")</f>
        <v/>
      </c>
      <c r="T55" s="2" t="inlineStr">
        <is>
          <t>Conforms</t>
        </is>
      </c>
      <c r="U55" s="2" t="inlineStr">
        <is>
          <t>Conforms</t>
        </is>
      </c>
      <c r="V55" s="2" t="inlineStr">
        <is>
          <t>Conforms</t>
        </is>
      </c>
      <c r="W55" s="2" t="inlineStr">
        <is>
          <t>051-5-K-26, (04.03.2026) [FHM-K]</t>
        </is>
      </c>
      <c r="X55" s="2" t="inlineStr">
        <is>
          <t>—</t>
        </is>
      </c>
      <c r="Y55" s="2" t="inlineStr">
        <is>
          <t>—</t>
        </is>
      </c>
      <c r="Z55" s="2" t="inlineStr">
        <is>
          <t>—</t>
        </is>
      </c>
      <c r="AA55" s="2" t="inlineStr">
        <is>
          <t>P060202|I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JD112501</t>
        </is>
      </c>
      <c r="J56" s="2" t="inlineStr">
        <is>
          <t>P060212</t>
        </is>
      </c>
      <c r="K56" s="2" t="inlineStr">
        <is>
          <t>Jelly Donuts</t>
        </is>
      </c>
      <c r="L56" s="2" t="inlineStr">
        <is>
          <t>Ident A + Ident B + Foreign matter</t>
        </is>
      </c>
      <c r="M56" s="6" t="inlineStr">
        <is>
          <t>—</t>
        </is>
      </c>
      <c r="N56" s="2">
        <f>IFERROR(INDEX('CoQ Register'!$B:$B,MATCH("P060212|I",'CoQ Register'!$S:$S,0)),"—")</f>
        <v/>
      </c>
      <c r="O56" s="2" t="inlineStr">
        <is>
          <t>iCoA-PP-2026-0015</t>
        </is>
      </c>
      <c r="P56" s="2" t="inlineStr">
        <is>
          <t>21.04.2026</t>
        </is>
      </c>
      <c r="Q56" s="2" t="inlineStr">
        <is>
          <t>25.03.2026</t>
        </is>
      </c>
      <c r="R56" s="2" t="inlineStr">
        <is>
          <t>21.04.2026</t>
        </is>
      </c>
      <c r="S56" s="5">
        <f>IFERROR(INDEX('CoQ Register'!$D:$D,MATCH("P060212|I",'CoQ Register'!$S:$S,0)),"")</f>
        <v/>
      </c>
      <c r="T56" s="2" t="inlineStr">
        <is>
          <t>Conforms</t>
        </is>
      </c>
      <c r="U56" s="2" t="inlineStr">
        <is>
          <t>Conforms</t>
        </is>
      </c>
      <c r="V56" s="2" t="inlineStr">
        <is>
          <t>Conforms</t>
        </is>
      </c>
      <c r="W56" s="2" t="inlineStr">
        <is>
          <t>ППК26063, (11.05.2026) [CNP]</t>
        </is>
      </c>
      <c r="X56" s="2" t="inlineStr">
        <is>
          <t>—</t>
        </is>
      </c>
      <c r="Y56" s="2" t="inlineStr">
        <is>
          <t>—</t>
        </is>
      </c>
      <c r="Z56" s="2" t="inlineStr">
        <is>
          <t>—</t>
        </is>
      </c>
      <c r="AA56" s="2" t="inlineStr">
        <is>
          <t>P060212|I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OPM112501</t>
        </is>
      </c>
      <c r="J57" s="2" t="inlineStr">
        <is>
          <t>P060222</t>
        </is>
      </c>
      <c r="K57" s="2" t="inlineStr">
        <is>
          <t>Orange Punch Mimosa</t>
        </is>
      </c>
      <c r="L57" s="2" t="inlineStr">
        <is>
          <t>Ident A + Ident B + Foreign matter</t>
        </is>
      </c>
      <c r="M57" s="6" t="inlineStr">
        <is>
          <t>—</t>
        </is>
      </c>
      <c r="N57" s="2">
        <f>IFERROR(INDEX('CoQ Register'!$B:$B,MATCH("P060222|I",'CoQ Register'!$S:$S,0)),"—")</f>
        <v/>
      </c>
      <c r="O57" s="6" t="inlineStr">
        <is>
          <t>—</t>
        </is>
      </c>
      <c r="P57" s="2" t="inlineStr">
        <is>
          <t>05.03.2026</t>
        </is>
      </c>
      <c r="Q57" s="2" t="inlineStr">
        <is>
          <t>05.02.2026</t>
        </is>
      </c>
      <c r="R57" s="2" t="inlineStr">
        <is>
          <t>24.04.2026 (the issuance plan's basis: 05.03.2026)</t>
        </is>
      </c>
      <c r="S57" s="5">
        <f>IFERROR(INDEX('CoQ Register'!$D:$D,MATCH("P060222|I",'CoQ Register'!$S:$S,0)),"")</f>
        <v/>
      </c>
      <c r="T57" s="2" t="inlineStr">
        <is>
          <t>Conforms</t>
        </is>
      </c>
      <c r="U57" s="2" t="inlineStr">
        <is>
          <t>Conforms</t>
        </is>
      </c>
      <c r="V57" s="2" t="inlineStr">
        <is>
          <t>Conforms</t>
        </is>
      </c>
      <c r="W57" s="2" t="inlineStr">
        <is>
          <t>ППК26031, (05.03.2026) [CNP]</t>
        </is>
      </c>
      <c r="X57" s="2" t="inlineStr">
        <is>
          <t>—</t>
        </is>
      </c>
      <c r="Y57" s="2" t="inlineStr">
        <is>
          <t>—</t>
        </is>
      </c>
      <c r="Z57" s="2" t="inlineStr">
        <is>
          <t>—</t>
        </is>
      </c>
      <c r="AA57" s="2" t="inlineStr">
        <is>
          <t>P060222|I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PM112501</t>
        </is>
      </c>
      <c r="J58" s="2" t="inlineStr">
        <is>
          <t>P060232</t>
        </is>
      </c>
      <c r="K58" s="2" t="inlineStr">
        <is>
          <t>Permanent Marker</t>
        </is>
      </c>
      <c r="L58" s="2" t="inlineStr">
        <is>
          <t>Ident A + Ident B + Foreign matter</t>
        </is>
      </c>
      <c r="M58" s="6" t="inlineStr">
        <is>
          <t>—</t>
        </is>
      </c>
      <c r="N58" s="2">
        <f>IFERROR(INDEX('CoQ Register'!$B:$B,MATCH("P060232|I",'CoQ Register'!$S:$S,0)),"—")</f>
        <v/>
      </c>
      <c r="O58" s="2" t="inlineStr">
        <is>
          <t>iCoA-PP-2026-0016</t>
        </is>
      </c>
      <c r="P58" s="2" t="inlineStr">
        <is>
          <t>27.04.2026</t>
        </is>
      </c>
      <c r="Q58" s="2" t="inlineStr">
        <is>
          <t>05.02.2026</t>
        </is>
      </c>
      <c r="R58" s="2" t="inlineStr">
        <is>
          <t>27.04.2026</t>
        </is>
      </c>
      <c r="S58" s="5">
        <f>IFERROR(INDEX('CoQ Register'!$D:$D,MATCH("P060232|I",'CoQ Register'!$S:$S,0)),"")</f>
        <v/>
      </c>
      <c r="T58" s="2" t="inlineStr">
        <is>
          <t>Conforms</t>
        </is>
      </c>
      <c r="U58" s="2" t="inlineStr">
        <is>
          <t>Conforms</t>
        </is>
      </c>
      <c r="V58" s="2" t="inlineStr">
        <is>
          <t>Conforms</t>
        </is>
      </c>
      <c r="W58" s="2" t="inlineStr">
        <is>
          <t>ППК26030, (05.03.2026) [CNP]</t>
        </is>
      </c>
      <c r="X58" s="2" t="inlineStr">
        <is>
          <t>—</t>
        </is>
      </c>
      <c r="Y58" s="2" t="inlineStr">
        <is>
          <t>—</t>
        </is>
      </c>
      <c r="Z58" s="2" t="inlineStr">
        <is>
          <t>—</t>
        </is>
      </c>
      <c r="AA58" s="2" t="inlineStr">
        <is>
          <t>P060232|I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OPM122501</t>
        </is>
      </c>
      <c r="J59" s="2" t="inlineStr">
        <is>
          <t>P060242</t>
        </is>
      </c>
      <c r="K59" s="2" t="inlineStr">
        <is>
          <t>Orange Punch Mimosa</t>
        </is>
      </c>
      <c r="L59" s="2" t="inlineStr">
        <is>
          <t>Ident A + Ident B + Foreign matter</t>
        </is>
      </c>
      <c r="M59" s="6" t="inlineStr">
        <is>
          <t>—</t>
        </is>
      </c>
      <c r="N59" s="2">
        <f>IFERROR(INDEX('CoQ Register'!$B:$B,MATCH("P060242|I",'CoQ Register'!$S:$S,0)),"—")</f>
        <v/>
      </c>
      <c r="O59" s="2" t="inlineStr">
        <is>
          <t>iCoA-PP-2026-0017</t>
        </is>
      </c>
      <c r="P59" s="2" t="inlineStr">
        <is>
          <t>28.04.2026</t>
        </is>
      </c>
      <c r="Q59" s="2" t="inlineStr">
        <is>
          <t>11.03.2026</t>
        </is>
      </c>
      <c r="R59" s="2" t="inlineStr">
        <is>
          <t>28.04.2026</t>
        </is>
      </c>
      <c r="S59" s="5">
        <f>IFERROR(INDEX('CoQ Register'!$D:$D,MATCH("P060242|I",'CoQ Register'!$S:$S,0)),"")</f>
        <v/>
      </c>
      <c r="T59" s="2" t="inlineStr">
        <is>
          <t>Conforms</t>
        </is>
      </c>
      <c r="U59" s="2" t="inlineStr">
        <is>
          <t>Conforms</t>
        </is>
      </c>
      <c r="V59" s="2" t="inlineStr">
        <is>
          <t>Conforms</t>
        </is>
      </c>
      <c r="W59" s="2" t="inlineStr">
        <is>
          <t>100-4-K-26, (09.04.2026) [FHM-K]</t>
        </is>
      </c>
      <c r="X59" s="2" t="inlineStr">
        <is>
          <t>—</t>
        </is>
      </c>
      <c r="Y59" s="2" t="inlineStr">
        <is>
          <t>—</t>
        </is>
      </c>
      <c r="Z59" s="2" t="inlineStr">
        <is>
          <t>—</t>
        </is>
      </c>
      <c r="AA59" s="2" t="inlineStr">
        <is>
          <t>P060242|I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GG112501</t>
        </is>
      </c>
      <c r="J60" s="2" t="inlineStr">
        <is>
          <t>P060252</t>
        </is>
      </c>
      <c r="K60" s="2" t="inlineStr">
        <is>
          <t>Gorilla Glue</t>
        </is>
      </c>
      <c r="L60" s="2" t="inlineStr">
        <is>
          <t>Ident A + Ident B + Foreign matter</t>
        </is>
      </c>
      <c r="M60" s="6" t="inlineStr">
        <is>
          <t>—</t>
        </is>
      </c>
      <c r="N60" s="2">
        <f>IFERROR(INDEX('CoQ Register'!$B:$B,MATCH("P060252|I",'CoQ Register'!$S:$S,0)),"—")</f>
        <v/>
      </c>
      <c r="O60" s="6" t="inlineStr">
        <is>
          <t>—</t>
        </is>
      </c>
      <c r="P60" s="2" t="inlineStr">
        <is>
          <t>11.05.2026</t>
        </is>
      </c>
      <c r="Q60" s="2" t="inlineStr">
        <is>
          <t>25.03.2026</t>
        </is>
      </c>
      <c r="R60" s="2" t="inlineStr">
        <is>
          <t>05.05.2026 (the issuance plan's basis: 11.05.2026)</t>
        </is>
      </c>
      <c r="S60" s="5">
        <f>IFERROR(INDEX('CoQ Register'!$D:$D,MATCH("P060252|I",'CoQ Register'!$S:$S,0)),"")</f>
        <v/>
      </c>
      <c r="T60" s="2" t="inlineStr">
        <is>
          <t>Conforms</t>
        </is>
      </c>
      <c r="U60" s="2" t="inlineStr">
        <is>
          <t>Conforms</t>
        </is>
      </c>
      <c r="V60" s="2" t="inlineStr">
        <is>
          <t>Conforms</t>
        </is>
      </c>
      <c r="W60" s="2" t="inlineStr">
        <is>
          <t>ППК26061, (11.05.2026) [CNP]</t>
        </is>
      </c>
      <c r="X60" s="2" t="inlineStr">
        <is>
          <t>—</t>
        </is>
      </c>
      <c r="Y60" s="2" t="inlineStr">
        <is>
          <t>—</t>
        </is>
      </c>
      <c r="Z60" s="2" t="inlineStr">
        <is>
          <t>—</t>
        </is>
      </c>
      <c r="AA60" s="2" t="inlineStr">
        <is>
          <t>P060252|I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J31122501</t>
        </is>
      </c>
      <c r="J61" s="2" t="inlineStr">
        <is>
          <t>P060262</t>
        </is>
      </c>
      <c r="K61" s="2" t="inlineStr">
        <is>
          <t>Jokerz 31</t>
        </is>
      </c>
      <c r="L61" s="2" t="inlineStr">
        <is>
          <t>Ident A + Ident B + Foreign matter</t>
        </is>
      </c>
      <c r="M61" s="6" t="inlineStr">
        <is>
          <t>—</t>
        </is>
      </c>
      <c r="N61" s="2">
        <f>IFERROR(INDEX('CoQ Register'!$B:$B,MATCH("P060262|I",'CoQ Register'!$S:$S,0)),"—")</f>
        <v/>
      </c>
      <c r="O61" s="6" t="inlineStr">
        <is>
          <t>—</t>
        </is>
      </c>
      <c r="P61" s="2" t="inlineStr">
        <is>
          <t>23.04.2026</t>
        </is>
      </c>
      <c r="Q61" s="2" t="inlineStr">
        <is>
          <t>04.03.2026</t>
        </is>
      </c>
      <c r="R61" s="2" t="inlineStr">
        <is>
          <t>14.05.2026 (the issuance plan's basis: 23.04.2026)</t>
        </is>
      </c>
      <c r="S61" s="5">
        <f>IFERROR(INDEX('CoQ Register'!$D:$D,MATCH("P060262|I",'CoQ Register'!$S:$S,0)),"")</f>
        <v/>
      </c>
      <c r="T61" s="2" t="inlineStr">
        <is>
          <t>Conforms</t>
        </is>
      </c>
      <c r="U61" s="2" t="inlineStr">
        <is>
          <t>Conforms</t>
        </is>
      </c>
      <c r="V61" s="2" t="inlineStr">
        <is>
          <t>Conforms</t>
        </is>
      </c>
      <c r="W61" s="2" t="inlineStr">
        <is>
          <t>100-2-K-26, (09.04.2026) [FHM-K]</t>
        </is>
      </c>
      <c r="X61" s="2" t="inlineStr">
        <is>
          <t>—</t>
        </is>
      </c>
      <c r="Y61" s="2" t="inlineStr">
        <is>
          <t>—</t>
        </is>
      </c>
      <c r="Z61" s="2" t="inlineStr">
        <is>
          <t>—</t>
        </is>
      </c>
      <c r="AA61" s="2" t="inlineStr">
        <is>
          <t>P060262|I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CC112501</t>
        </is>
      </c>
      <c r="J62" s="2" t="inlineStr">
        <is>
          <t>P060272</t>
        </is>
      </c>
      <c r="K62" s="2" t="inlineStr">
        <is>
          <t>Cash Cow</t>
        </is>
      </c>
      <c r="L62" s="2" t="inlineStr">
        <is>
          <t>Ident A + Ident B + Foreign matter</t>
        </is>
      </c>
      <c r="M62" s="6" t="inlineStr">
        <is>
          <t>—</t>
        </is>
      </c>
      <c r="N62" s="2">
        <f>IFERROR(INDEX('CoQ Register'!$B:$B,MATCH("P060272|I",'CoQ Register'!$S:$S,0)),"—")</f>
        <v/>
      </c>
      <c r="O62" s="6" t="inlineStr">
        <is>
          <t>—</t>
        </is>
      </c>
      <c r="P62" s="2" t="inlineStr">
        <is>
          <t>11.05.2026</t>
        </is>
      </c>
      <c r="Q62" s="2" t="inlineStr">
        <is>
          <t>25.03.2026</t>
        </is>
      </c>
      <c r="R62" s="2" t="inlineStr">
        <is>
          <t>18.05.2026 (the issuance plan's basis: 11.05.2026)</t>
        </is>
      </c>
      <c r="S62" s="5">
        <f>IFERROR(INDEX('CoQ Register'!$D:$D,MATCH("P060272|I",'CoQ Register'!$S:$S,0)),"")</f>
        <v/>
      </c>
      <c r="T62" s="2" t="inlineStr">
        <is>
          <t>Conforms</t>
        </is>
      </c>
      <c r="U62" s="2" t="inlineStr">
        <is>
          <t>Conforms</t>
        </is>
      </c>
      <c r="V62" s="2" t="inlineStr">
        <is>
          <t>Conforms</t>
        </is>
      </c>
      <c r="W62" s="2" t="inlineStr">
        <is>
          <t>ППК26068, (11.05.2026) [CNP]</t>
        </is>
      </c>
      <c r="X62" s="2" t="inlineStr">
        <is>
          <t>—</t>
        </is>
      </c>
      <c r="Y62" s="2" t="inlineStr">
        <is>
          <t>—</t>
        </is>
      </c>
      <c r="Z62" s="2" t="inlineStr">
        <is>
          <t>—</t>
        </is>
      </c>
      <c r="AA62" s="2" t="inlineStr">
        <is>
          <t>P060272|I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SCR112501</t>
        </is>
      </c>
      <c r="J63" s="2" t="inlineStr">
        <is>
          <t>P060282</t>
        </is>
      </c>
      <c r="K63" s="2" t="inlineStr">
        <is>
          <t>Scrambler</t>
        </is>
      </c>
      <c r="L63" s="2" t="inlineStr">
        <is>
          <t>Ident A + Ident B + Foreign matter</t>
        </is>
      </c>
      <c r="M63" s="6" t="inlineStr">
        <is>
          <t>—</t>
        </is>
      </c>
      <c r="N63" s="2">
        <f>IFERROR(INDEX('CoQ Register'!$B:$B,MATCH("P060282|I",'CoQ Register'!$S:$S,0)),"—")</f>
        <v/>
      </c>
      <c r="O63" s="2" t="inlineStr">
        <is>
          <t>iCoA-PP-2026-0018</t>
        </is>
      </c>
      <c r="P63" s="2" t="inlineStr">
        <is>
          <t>18.05.2026</t>
        </is>
      </c>
      <c r="Q63" s="2" t="inlineStr">
        <is>
          <t>25.03.2026</t>
        </is>
      </c>
      <c r="R63" s="2" t="inlineStr">
        <is>
          <t>18.05.2026</t>
        </is>
      </c>
      <c r="S63" s="5">
        <f>IFERROR(INDEX('CoQ Register'!$D:$D,MATCH("P060282|I",'CoQ Register'!$S:$S,0)),"")</f>
        <v/>
      </c>
      <c r="T63" s="2" t="inlineStr">
        <is>
          <t>Conforms</t>
        </is>
      </c>
      <c r="U63" s="2" t="inlineStr">
        <is>
          <t>Conforms</t>
        </is>
      </c>
      <c r="V63" s="2" t="inlineStr">
        <is>
          <t>Conforms</t>
        </is>
      </c>
      <c r="W63" s="2" t="inlineStr">
        <is>
          <t>ППК26069, (11.05.2026) [CNP]</t>
        </is>
      </c>
      <c r="X63" s="2" t="inlineStr">
        <is>
          <t>—</t>
        </is>
      </c>
      <c r="Y63" s="2" t="inlineStr">
        <is>
          <t>—</t>
        </is>
      </c>
      <c r="Z63" s="2" t="inlineStr">
        <is>
          <t>—</t>
        </is>
      </c>
      <c r="AA63" s="2" t="inlineStr">
        <is>
          <t>P060282|I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FB112501</t>
        </is>
      </c>
      <c r="J64" s="2" t="inlineStr">
        <is>
          <t>P060292</t>
        </is>
      </c>
      <c r="K64" s="2" t="inlineStr">
        <is>
          <t>Fat Bastard</t>
        </is>
      </c>
      <c r="L64" s="2" t="inlineStr">
        <is>
          <t>Ident A + Ident B + Foreign matter</t>
        </is>
      </c>
      <c r="M64" s="6" t="inlineStr">
        <is>
          <t>—</t>
        </is>
      </c>
      <c r="N64" s="2">
        <f>IFERROR(INDEX('CoQ Register'!$B:$B,MATCH("P060292|I",'CoQ Register'!$S:$S,0)),"—")</f>
        <v/>
      </c>
      <c r="O64" s="6" t="inlineStr">
        <is>
          <t>—</t>
        </is>
      </c>
      <c r="P64" s="2" t="inlineStr">
        <is>
          <t>11.05.2026</t>
        </is>
      </c>
      <c r="Q64" s="2" t="inlineStr">
        <is>
          <t>25.03.2026</t>
        </is>
      </c>
      <c r="R64" s="2" t="inlineStr">
        <is>
          <t>19.05.2026 (the issuance plan's basis: 11.05.2026)</t>
        </is>
      </c>
      <c r="S64" s="5">
        <f>IFERROR(INDEX('CoQ Register'!$D:$D,MATCH("P060292|I",'CoQ Register'!$S:$S,0)),"")</f>
        <v/>
      </c>
      <c r="T64" s="2" t="inlineStr">
        <is>
          <t>Conforms</t>
        </is>
      </c>
      <c r="U64" s="2" t="inlineStr">
        <is>
          <t>Conforms</t>
        </is>
      </c>
      <c r="V64" s="2" t="inlineStr">
        <is>
          <t>Conforms</t>
        </is>
      </c>
      <c r="W64" s="2" t="inlineStr">
        <is>
          <t>ППК26066, (11.05.2026) [CNP]</t>
        </is>
      </c>
      <c r="X64" s="2" t="inlineStr">
        <is>
          <t>—</t>
        </is>
      </c>
      <c r="Y64" s="2" t="inlineStr">
        <is>
          <t>—</t>
        </is>
      </c>
      <c r="Z64" s="2" t="inlineStr">
        <is>
          <t>—</t>
        </is>
      </c>
      <c r="AA64" s="2" t="inlineStr">
        <is>
          <t>P060292|I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GG012601＊</t>
        </is>
      </c>
      <c r="J65" s="2" t="inlineStr">
        <is>
          <t>P060302</t>
        </is>
      </c>
      <c r="K65" s="2" t="inlineStr">
        <is>
          <t>Gorilla Glue</t>
        </is>
      </c>
      <c r="L65" s="2" t="inlineStr">
        <is>
          <t>Ident A + Ident B + Foreign matter</t>
        </is>
      </c>
      <c r="M65" s="6" t="inlineStr">
        <is>
          <t>—</t>
        </is>
      </c>
      <c r="N65" s="2">
        <f>IFERROR(INDEX('CoQ Register'!$B:$B,MATCH("P060302|I",'CoQ Register'!$S:$S,0)),"—")</f>
        <v/>
      </c>
      <c r="O65" s="6" t="inlineStr">
        <is>
          <t>—</t>
        </is>
      </c>
      <c r="P65" s="2" t="inlineStr">
        <is>
          <t>11.05.2026</t>
        </is>
      </c>
      <c r="Q65" s="2" t="inlineStr">
        <is>
          <t>27.03.2026</t>
        </is>
      </c>
      <c r="R65" s="2" t="inlineStr">
        <is>
          <t>20.05.2026 (the issuance plan's basis: 11.05.2026)</t>
        </is>
      </c>
      <c r="S65" s="5">
        <f>IFERROR(INDEX('CoQ Register'!$D:$D,MATCH("P060302|I",'CoQ Register'!$S:$S,0)),"")</f>
        <v/>
      </c>
      <c r="T65" s="2" t="inlineStr">
        <is>
          <t>Conforms</t>
        </is>
      </c>
      <c r="U65" s="2" t="inlineStr">
        <is>
          <t>Conforms</t>
        </is>
      </c>
      <c r="V65" s="2" t="inlineStr">
        <is>
          <t>Conforms</t>
        </is>
      </c>
      <c r="W65" s="2" t="inlineStr">
        <is>
          <t>ППК26062, (11.05.2026) [CNP]</t>
        </is>
      </c>
      <c r="X65" s="2" t="inlineStr">
        <is>
          <t>—</t>
        </is>
      </c>
      <c r="Y65" s="2" t="inlineStr">
        <is>
          <t>—</t>
        </is>
      </c>
      <c r="Z65" s="2" t="inlineStr">
        <is>
          <t>—</t>
        </is>
      </c>
      <c r="AA65" s="2" t="inlineStr">
        <is>
          <t>P060302|I</t>
        </is>
      </c>
      <c r="AB65" s="7" t="inlineStr">
        <is>
          <t>registered — initial release, issued 03.06.2026</t>
        </is>
      </c>
    </row>
    <row r="66">
      <c r="A66" s="2" t="n">
        <v>65</v>
      </c>
      <c r="B66" s="3" t="inlineStr">
        <is>
          <t>iCoA-PP_26-065</t>
        </is>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JD012601＊</t>
        </is>
      </c>
      <c r="J66" s="2" t="inlineStr">
        <is>
          <t>P060312</t>
        </is>
      </c>
      <c r="K66" s="2" t="inlineStr">
        <is>
          <t>Jelly Donuts</t>
        </is>
      </c>
      <c r="L66" s="2" t="inlineStr">
        <is>
          <t>Ident A + Ident B + Foreign matter</t>
        </is>
      </c>
      <c r="M66" s="6" t="inlineStr">
        <is>
          <t>—</t>
        </is>
      </c>
      <c r="N66" s="2">
        <f>IFERROR(INDEX('CoQ Register'!$B:$B,MATCH("P060312|I",'CoQ Register'!$S:$S,0)),"—")</f>
        <v/>
      </c>
      <c r="O66" s="6" t="inlineStr">
        <is>
          <t>—</t>
        </is>
      </c>
      <c r="P66" s="2" t="inlineStr">
        <is>
          <t>11.05.2026</t>
        </is>
      </c>
      <c r="Q66" s="2" t="inlineStr">
        <is>
          <t>27.03.2026</t>
        </is>
      </c>
      <c r="R66" s="2" t="inlineStr">
        <is>
          <t>21.05.2026 (the issuance plan's basis: 11.05.2026)</t>
        </is>
      </c>
      <c r="S66" s="5">
        <f>IFERROR(INDEX('CoQ Register'!$D:$D,MATCH("P060312|I",'CoQ Register'!$S:$S,0)),"")</f>
        <v/>
      </c>
      <c r="T66" s="2" t="inlineStr">
        <is>
          <t>Conforms</t>
        </is>
      </c>
      <c r="U66" s="2" t="inlineStr">
        <is>
          <t>Conforms</t>
        </is>
      </c>
      <c r="V66" s="2" t="inlineStr">
        <is>
          <t>Conforms</t>
        </is>
      </c>
      <c r="W66" s="2" t="inlineStr">
        <is>
          <t>ППК26064, (11.05.2026) [CNP]</t>
        </is>
      </c>
      <c r="X66" s="2" t="inlineStr">
        <is>
          <t>—</t>
        </is>
      </c>
      <c r="Y66" s="2" t="inlineStr">
        <is>
          <t>—</t>
        </is>
      </c>
      <c r="Z66" s="2" t="inlineStr">
        <is>
          <t>—</t>
        </is>
      </c>
      <c r="AA66" s="2" t="inlineStr">
        <is>
          <t>P060312|I</t>
        </is>
      </c>
      <c r="AB66" s="7" t="inlineStr">
        <is>
          <t>registered — initial release, issued 03.06.2026</t>
        </is>
      </c>
    </row>
    <row r="67">
      <c r="A67" s="2" t="n">
        <v>66</v>
      </c>
      <c r="B67" s="3" t="inlineStr">
        <is>
          <t>iCoA-PP_26-066</t>
        </is>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22.05.2026</t>
        </is>
      </c>
      <c r="Q67" s="2" t="inlineStr">
        <is>
          <t>27.03.2026</t>
        </is>
      </c>
      <c r="R67" s="2" t="inlineStr">
        <is>
          <t>22.05.2026</t>
        </is>
      </c>
      <c r="S67" s="5">
        <f>IFERROR(INDEX('CoQ Register'!$D:$D,MATCH("P060322|I",'CoQ Register'!$S:$S,0)),"")</f>
        <v/>
      </c>
      <c r="T67" s="2" t="inlineStr">
        <is>
          <t>Conforms</t>
        </is>
      </c>
      <c r="U67" s="2" t="inlineStr">
        <is>
          <t>Conforms</t>
        </is>
      </c>
      <c r="V67" s="2" t="inlineStr">
        <is>
          <t>Conforms</t>
        </is>
      </c>
      <c r="W67" s="2" t="inlineStr">
        <is>
          <t>ППК26067, (11.05.2026) [CNP]</t>
        </is>
      </c>
      <c r="X67" s="2" t="inlineStr">
        <is>
          <t>—</t>
        </is>
      </c>
      <c r="Y67" s="2" t="inlineStr">
        <is>
          <t>—</t>
        </is>
      </c>
      <c r="Z67" s="2" t="inlineStr">
        <is>
          <t>—</t>
        </is>
      </c>
      <c r="AA67" s="2" t="inlineStr">
        <is>
          <t>P060322|I</t>
        </is>
      </c>
      <c r="AB67" s="7" t="inlineStr">
        <is>
          <t>registered — initial release, issued 03.06.2026</t>
        </is>
      </c>
    </row>
    <row r="68">
      <c r="A68" s="2" t="n">
        <v>67</v>
      </c>
      <c r="B68" s="3" t="inlineStr">
        <is>
          <t>iCoA-PP_26-067</t>
        </is>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CC012601/1</t>
        </is>
      </c>
      <c r="J68" s="2" t="inlineStr">
        <is>
          <t>P060332</t>
        </is>
      </c>
      <c r="K68" s="2" t="inlineStr">
        <is>
          <t>Cash Cow</t>
        </is>
      </c>
      <c r="L68" s="2" t="inlineStr">
        <is>
          <t>Ident A + Ident B + Foreign matter</t>
        </is>
      </c>
      <c r="M68" s="6" t="inlineStr">
        <is>
          <t>—</t>
        </is>
      </c>
      <c r="N68" s="2">
        <f>IFERROR(INDEX('CoQ Register'!$B:$B,MATCH("P060332|I",'CoQ Register'!$S:$S,0)),"—")</f>
        <v/>
      </c>
      <c r="O68" s="6" t="inlineStr">
        <is>
          <t>—</t>
        </is>
      </c>
      <c r="P68" s="2" t="inlineStr">
        <is>
          <t>10.08.2026</t>
        </is>
      </c>
      <c r="Q68" s="2" t="inlineStr">
        <is>
          <t>16.04.2026</t>
        </is>
      </c>
      <c r="R68" s="2" t="inlineStr">
        <is>
          <t>22.05.2026 (the issuance plan's basis: 10.08.2026)</t>
        </is>
      </c>
      <c r="S68" s="5">
        <f>IFERROR(INDEX('CoQ Register'!$D:$D,MATCH("P060332|I",'CoQ Register'!$S:$S,0)),"")</f>
        <v/>
      </c>
      <c r="T68" s="2" t="inlineStr">
        <is>
          <t>Conforms</t>
        </is>
      </c>
      <c r="U68" s="2" t="inlineStr">
        <is>
          <t>Conforms</t>
        </is>
      </c>
      <c r="V68" s="2" t="inlineStr">
        <is>
          <t>Conforms</t>
        </is>
      </c>
      <c r="W68" s="2" t="inlineStr">
        <is>
          <t>— no cannabinoid certificate from the initial testing —</t>
        </is>
      </c>
      <c r="X68" s="2" t="inlineStr">
        <is>
          <t>—</t>
        </is>
      </c>
      <c r="Y68" s="2" t="inlineStr">
        <is>
          <t>—</t>
        </is>
      </c>
      <c r="Z68" s="2" t="inlineStr">
        <is>
          <t>—</t>
        </is>
      </c>
      <c r="AA68" s="2" t="inlineStr">
        <is>
          <t>P060332|I</t>
        </is>
      </c>
      <c r="AB68" s="7" t="inlineStr">
        <is>
          <t>registered — initial release, issued 03.06.2026</t>
        </is>
      </c>
    </row>
    <row r="69">
      <c r="A69" s="2" t="n">
        <v>68</v>
      </c>
      <c r="B69" s="3" t="inlineStr">
        <is>
          <t>iCoA-PP_26-068</t>
        </is>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FB012603V</t>
        </is>
      </c>
      <c r="J69" s="2" t="inlineStr">
        <is>
          <t>P060392</t>
        </is>
      </c>
      <c r="K69" s="2" t="inlineStr">
        <is>
          <t>Fat Bastard</t>
        </is>
      </c>
      <c r="L69" s="2" t="inlineStr">
        <is>
          <t>Ident A + Ident B + Foreign matter</t>
        </is>
      </c>
      <c r="M69" s="2" t="inlineStr">
        <is>
          <t>A: ППК26110 / B: ППК26110 / FM: ППК26110</t>
        </is>
      </c>
      <c r="N69" s="2">
        <f>IFERROR(INDEX('CoQ Register'!$B:$B,MATCH("P060392|I",'CoQ Register'!$S:$S,0)),"—")</f>
        <v/>
      </c>
      <c r="O69" s="6" t="inlineStr">
        <is>
          <t>—</t>
        </is>
      </c>
      <c r="P69" s="2" t="inlineStr">
        <is>
          <t>30.06.2026</t>
        </is>
      </c>
      <c r="Q69" s="2" t="inlineStr">
        <is>
          <t>29.04.2026</t>
        </is>
      </c>
      <c r="R69" s="2" t="inlineStr">
        <is>
          <t>23.05.2026 (the issuance plan's basis: 30.06.2026)</t>
        </is>
      </c>
      <c r="S69" s="5">
        <f>IFERROR(INDEX('CoQ Register'!$D:$D,MATCH("P060392|I",'CoQ Register'!$S:$S,0)),"")</f>
        <v/>
      </c>
      <c r="T69" s="2" t="inlineStr">
        <is>
          <t>CNP ППК26110</t>
        </is>
      </c>
      <c r="U69" s="2" t="inlineStr">
        <is>
          <t>CNP ППК26110</t>
        </is>
      </c>
      <c r="V69" s="2" t="inlineStr">
        <is>
          <t>CNP ППК26110</t>
        </is>
      </c>
      <c r="W69" s="2" t="inlineStr">
        <is>
          <t>ППК26110, (30.06.2026) [CNP]</t>
        </is>
      </c>
      <c r="X69" s="2" t="inlineStr">
        <is>
          <t>—</t>
        </is>
      </c>
      <c r="Y69" s="2" t="inlineStr">
        <is>
          <t>—</t>
        </is>
      </c>
      <c r="Z69" s="2" t="inlineStr">
        <is>
          <t>—</t>
        </is>
      </c>
      <c r="AA69" s="2" t="inlineStr">
        <is>
          <t>P060392|I</t>
        </is>
      </c>
      <c r="AB69" s="7" t="inlineStr">
        <is>
          <t>registered — initial release, issued 03.06.2026</t>
        </is>
      </c>
    </row>
    <row r="70">
      <c r="A70" s="2" t="n">
        <v>69</v>
      </c>
      <c r="B70" s="3" t="inlineStr">
        <is>
          <t>iCoA-PP_26-069</t>
        </is>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JD012603</t>
        </is>
      </c>
      <c r="J70" s="2" t="inlineStr">
        <is>
          <t>P060422</t>
        </is>
      </c>
      <c r="K70" s="2" t="inlineStr">
        <is>
          <t>Jelly Donuts</t>
        </is>
      </c>
      <c r="L70" s="2" t="inlineStr">
        <is>
          <t>Ident A + Ident B + Foreign matter</t>
        </is>
      </c>
      <c r="M70" s="2" t="inlineStr">
        <is>
          <t>A: ППК26111 / B: ППК26111 / FM: ППК26111</t>
        </is>
      </c>
      <c r="N70" s="2">
        <f>IFERROR(INDEX('CoQ Register'!$B:$B,MATCH("P060422|I",'CoQ Register'!$S:$S,0)),"—")</f>
        <v/>
      </c>
      <c r="O70" s="2" t="inlineStr">
        <is>
          <t>iCoA-PP-2026-0022</t>
        </is>
      </c>
      <c r="P70" s="2" t="inlineStr">
        <is>
          <t>23.05.2026</t>
        </is>
      </c>
      <c r="Q70" s="2" t="inlineStr">
        <is>
          <t>29.04.2026</t>
        </is>
      </c>
      <c r="R70" s="2" t="inlineStr">
        <is>
          <t>23.05.2026</t>
        </is>
      </c>
      <c r="S70" s="5">
        <f>IFERROR(INDEX('CoQ Register'!$D:$D,MATCH("P060422|I",'CoQ Register'!$S:$S,0)),"")</f>
        <v/>
      </c>
      <c r="T70" s="2" t="inlineStr">
        <is>
          <t>CNP ППК26111</t>
        </is>
      </c>
      <c r="U70" s="2" t="inlineStr">
        <is>
          <t>CNP ППК26111</t>
        </is>
      </c>
      <c r="V70" s="2" t="inlineStr">
        <is>
          <t>CNP ППК26111</t>
        </is>
      </c>
      <c r="W70" s="2" t="inlineStr">
        <is>
          <t>ППК26111, (30.06.2026) [CNP]</t>
        </is>
      </c>
      <c r="X70" s="2" t="inlineStr">
        <is>
          <t>—</t>
        </is>
      </c>
      <c r="Y70" s="2" t="inlineStr">
        <is>
          <t>—</t>
        </is>
      </c>
      <c r="Z70" s="2" t="inlineStr">
        <is>
          <t>—</t>
        </is>
      </c>
      <c r="AA70" s="2" t="inlineStr">
        <is>
          <t>P060422|I</t>
        </is>
      </c>
      <c r="AB70" s="7" t="inlineStr">
        <is>
          <t>registered — initial release,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JD012603</t>
        </is>
      </c>
      <c r="J71" s="2" t="inlineStr">
        <is>
          <t>P060362</t>
        </is>
      </c>
      <c r="K71" s="2" t="inlineStr">
        <is>
          <t>Jelly Donuts</t>
        </is>
      </c>
      <c r="L71" s="2" t="inlineStr">
        <is>
          <t>Ident A + Ident B + Foreign matter</t>
        </is>
      </c>
      <c r="M71" s="2" t="inlineStr">
        <is>
          <t>A: ППК26111 / B: ППК26111 / FM: ППК26111</t>
        </is>
      </c>
      <c r="N71" s="2">
        <f>IFERROR(INDEX('CoQ Register'!$B:$B,MATCH("P060362|I",'CoQ Register'!$S:$S,0)),"—")</f>
        <v/>
      </c>
      <c r="O71" s="2" t="inlineStr">
        <is>
          <t>iCoA-PP-2026-0020</t>
        </is>
      </c>
      <c r="P71" s="2" t="inlineStr">
        <is>
          <t>23.05.2026</t>
        </is>
      </c>
      <c r="Q71" s="2" t="inlineStr">
        <is>
          <t>22.04.2026</t>
        </is>
      </c>
      <c r="R71" s="2" t="inlineStr">
        <is>
          <t>23.05.2026</t>
        </is>
      </c>
      <c r="S71" s="5">
        <f>IFERROR(INDEX('CoQ Register'!$D:$D,MATCH("P060362|I",'CoQ Register'!$S:$S,0)),"")</f>
        <v/>
      </c>
      <c r="T71" s="2" t="inlineStr">
        <is>
          <t>CNP ППК26111</t>
        </is>
      </c>
      <c r="U71" s="2" t="inlineStr">
        <is>
          <t>CNP ППК26111</t>
        </is>
      </c>
      <c r="V71" s="2" t="inlineStr">
        <is>
          <t>CNP ППК26111</t>
        </is>
      </c>
      <c r="W71" s="2" t="inlineStr">
        <is>
          <t>— no cannabinoid certificate from the initial testing —</t>
        </is>
      </c>
      <c r="X71" s="2" t="inlineStr">
        <is>
          <t>—</t>
        </is>
      </c>
      <c r="Y71" s="2" t="inlineStr">
        <is>
          <t>—</t>
        </is>
      </c>
      <c r="Z71" s="2" t="inlineStr">
        <is>
          <t>—</t>
        </is>
      </c>
      <c r="AA71" s="2" t="inlineStr">
        <is>
          <t>P060362|I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FB012602*</t>
        </is>
      </c>
      <c r="J72" s="2" t="inlineStr">
        <is>
          <t>P060352</t>
        </is>
      </c>
      <c r="K72" s="2" t="inlineStr">
        <is>
          <t>Fat Bastard</t>
        </is>
      </c>
      <c r="L72" s="2" t="inlineStr">
        <is>
          <t>Ident A + Ident B + Foreign matter</t>
        </is>
      </c>
      <c r="M72" s="6" t="inlineStr">
        <is>
          <t>—</t>
        </is>
      </c>
      <c r="N72" s="2">
        <f>IFERROR(INDEX('CoQ Register'!$B:$B,MATCH("P060352|I",'CoQ Register'!$S:$S,0)),"—")</f>
        <v/>
      </c>
      <c r="O72" s="2" t="inlineStr">
        <is>
          <t>iCoA-PP-2026-0021</t>
        </is>
      </c>
      <c r="P72" s="2" t="inlineStr">
        <is>
          <t>23.05.2026</t>
        </is>
      </c>
      <c r="Q72" s="2" t="inlineStr">
        <is>
          <t>16.04.2026</t>
        </is>
      </c>
      <c r="R72" s="2" t="inlineStr">
        <is>
          <t>23.05.2026</t>
        </is>
      </c>
      <c r="S72" s="5">
        <f>IFERROR(INDEX('CoQ Register'!$D:$D,MATCH("P060352|I",'CoQ Register'!$S:$S,0)),"")</f>
        <v/>
      </c>
      <c r="T72" s="2" t="inlineStr">
        <is>
          <t>Conforms</t>
        </is>
      </c>
      <c r="U72" s="2" t="inlineStr">
        <is>
          <t>Conforms</t>
        </is>
      </c>
      <c r="V72" s="2" t="inlineStr">
        <is>
          <t>Conforms</t>
        </is>
      </c>
      <c r="W72" s="2" t="inlineStr">
        <is>
          <t>— no cannabinoid certificate from the initial testing —</t>
        </is>
      </c>
      <c r="X72" s="2" t="inlineStr">
        <is>
          <t>—</t>
        </is>
      </c>
      <c r="Y72" s="2" t="inlineStr">
        <is>
          <t>—</t>
        </is>
      </c>
      <c r="Z72" s="2" t="inlineStr">
        <is>
          <t>—</t>
        </is>
      </c>
      <c r="AA72" s="2" t="inlineStr">
        <is>
          <t>P060352|I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CC012603</t>
        </is>
      </c>
      <c r="J73" s="2" t="inlineStr">
        <is>
          <t>P060372</t>
        </is>
      </c>
      <c r="K73" s="2" t="inlineStr">
        <is>
          <t>Cash Cow</t>
        </is>
      </c>
      <c r="L73" s="2" t="inlineStr">
        <is>
          <t>Ident A + Ident B + Foreign matter</t>
        </is>
      </c>
      <c r="M73" s="6" t="inlineStr">
        <is>
          <t>—</t>
        </is>
      </c>
      <c r="N73" s="2">
        <f>IFERROR(INDEX('CoQ Register'!$B:$B,MATCH("P060372|I",'CoQ Register'!$S:$S,0)),"—")</f>
        <v/>
      </c>
      <c r="O73" s="2" t="inlineStr">
        <is>
          <t>iCoA-PP-2026-0024</t>
        </is>
      </c>
      <c r="P73" s="2" t="inlineStr">
        <is>
          <t>24.05.2026</t>
        </is>
      </c>
      <c r="Q73" s="2" t="inlineStr">
        <is>
          <t>22.04.2026</t>
        </is>
      </c>
      <c r="R73" s="2" t="inlineStr">
        <is>
          <t>24.05.2026</t>
        </is>
      </c>
      <c r="S73" s="5">
        <f>IFERROR(INDEX('CoQ Register'!$D:$D,MATCH("P060372|I",'CoQ Register'!$S:$S,0)),"")</f>
        <v/>
      </c>
      <c r="T73" s="2" t="inlineStr">
        <is>
          <t>Conforms</t>
        </is>
      </c>
      <c r="U73" s="2" t="inlineStr">
        <is>
          <t>Conforms</t>
        </is>
      </c>
      <c r="V73" s="2" t="inlineStr">
        <is>
          <t>Conforms</t>
        </is>
      </c>
      <c r="W73" s="2" t="inlineStr">
        <is>
          <t>— no cannabinoid certificate from the initial testing —</t>
        </is>
      </c>
      <c r="X73" s="2" t="inlineStr">
        <is>
          <t>—</t>
        </is>
      </c>
      <c r="Y73" s="2" t="inlineStr">
        <is>
          <t>—</t>
        </is>
      </c>
      <c r="Z73" s="2" t="inlineStr">
        <is>
          <t>—</t>
        </is>
      </c>
      <c r="AA73" s="2" t="inlineStr">
        <is>
          <t>P060372|I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 Glue</t>
        </is>
      </c>
      <c r="L74" s="2" t="inlineStr">
        <is>
          <t>Ident A + Ident B + Foreign matter</t>
        </is>
      </c>
      <c r="M74" s="2" t="inlineStr">
        <is>
          <t>A: ППК26114 / B: ППК26114 / FM: ППК26114</t>
        </is>
      </c>
      <c r="N74" s="2">
        <f>IFERROR(INDEX('CoQ Register'!$B:$B,MATCH("P060402|I",'CoQ Register'!$S:$S,0)),"—")</f>
        <v/>
      </c>
      <c r="O74" s="2" t="inlineStr">
        <is>
          <t>iCoA-PP-2026-0023</t>
        </is>
      </c>
      <c r="P74" s="2" t="inlineStr">
        <is>
          <t>24.05.2026</t>
        </is>
      </c>
      <c r="Q74" s="2" t="inlineStr">
        <is>
          <t>04.05.2026</t>
        </is>
      </c>
      <c r="R74" s="2" t="inlineStr">
        <is>
          <t>24.05.2026</t>
        </is>
      </c>
      <c r="S74" s="5">
        <f>IFERROR(INDEX('CoQ Register'!$D:$D,MATCH("P060402|I",'CoQ Register'!$S:$S,0)),"")</f>
        <v/>
      </c>
      <c r="T74" s="2" t="inlineStr">
        <is>
          <t>CNP ППК26114</t>
        </is>
      </c>
      <c r="U74" s="2" t="inlineStr">
        <is>
          <t>CNP ППК26114</t>
        </is>
      </c>
      <c r="V74" s="2" t="inlineStr">
        <is>
          <t>CNP ППК26114</t>
        </is>
      </c>
      <c r="W74" s="2" t="inlineStr">
        <is>
          <t>ППК26114, (30.06.2026) [CNP]</t>
        </is>
      </c>
      <c r="X74" s="2" t="inlineStr">
        <is>
          <t>—</t>
        </is>
      </c>
      <c r="Y74" s="2" t="inlineStr">
        <is>
          <t>—</t>
        </is>
      </c>
      <c r="Z74" s="2" t="inlineStr">
        <is>
          <t>—</t>
        </is>
      </c>
      <c r="AA74" s="2" t="inlineStr">
        <is>
          <t>P060402|I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is>
          <t>Jelly Donuts</t>
        </is>
      </c>
      <c r="L75" s="2" t="inlineStr">
        <is>
          <t>Ident A + Ident B + Foreign matter</t>
        </is>
      </c>
      <c r="M75" s="2" t="inlineStr">
        <is>
          <t>A: ППК26111 / B: ППК26111 / FM: ППК26111</t>
        </is>
      </c>
      <c r="N75" s="2">
        <f>IFERROR(INDEX('CoQ Register'!$B:$B,MATCH("P060412|I",'CoQ Register'!$S:$S,0)),"—")</f>
        <v/>
      </c>
      <c r="O75" s="2" t="inlineStr">
        <is>
          <t>iCoA-PP-2026-0025</t>
        </is>
      </c>
      <c r="P75" s="2" t="inlineStr">
        <is>
          <t>24.05.2026</t>
        </is>
      </c>
      <c r="Q75" s="2" t="inlineStr">
        <is>
          <t>04.05.2026</t>
        </is>
      </c>
      <c r="R75" s="2" t="inlineStr">
        <is>
          <t>24.05.2026</t>
        </is>
      </c>
      <c r="S75" s="5">
        <f>IFERROR(INDEX('CoQ Register'!$D:$D,MATCH("P060412|I",'CoQ Register'!$S:$S,0)),"")</f>
        <v/>
      </c>
      <c r="T75" s="2" t="inlineStr">
        <is>
          <t>CNP ППК26111</t>
        </is>
      </c>
      <c r="U75" s="2" t="inlineStr">
        <is>
          <t>CNP ППК26111</t>
        </is>
      </c>
      <c r="V75" s="2" t="inlineStr">
        <is>
          <t>CNP ППК26111</t>
        </is>
      </c>
      <c r="W75" s="2" t="inlineStr">
        <is>
          <t>ППК26113, (30.06.2026) [CNP]</t>
        </is>
      </c>
      <c r="X75" s="2" t="inlineStr">
        <is>
          <t>—</t>
        </is>
      </c>
      <c r="Y75" s="2" t="inlineStr">
        <is>
          <t>—</t>
        </is>
      </c>
      <c r="Z75" s="2" t="inlineStr">
        <is>
          <t>—</t>
        </is>
      </c>
      <c r="AA75" s="2" t="inlineStr">
        <is>
          <t>P060412|I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SCR012603</t>
        </is>
      </c>
      <c r="J76" s="2" t="inlineStr">
        <is>
          <t>P060382</t>
        </is>
      </c>
      <c r="K76" s="2" t="inlineStr">
        <is>
          <t>Scrambler</t>
        </is>
      </c>
      <c r="L76" s="2" t="inlineStr">
        <is>
          <t>Ident A + Ident B + Foreign matter</t>
        </is>
      </c>
      <c r="M76" s="6" t="inlineStr">
        <is>
          <t>—</t>
        </is>
      </c>
      <c r="N76" s="2">
        <f>IFERROR(INDEX('CoQ Register'!$B:$B,MATCH("P060382|I",'CoQ Register'!$S:$S,0)),"—")</f>
        <v/>
      </c>
      <c r="O76" s="2" t="inlineStr">
        <is>
          <t>iCoA-PP-2026-0026</t>
        </is>
      </c>
      <c r="P76" s="2" t="inlineStr">
        <is>
          <t>25.05.2026</t>
        </is>
      </c>
      <c r="Q76" s="2" t="inlineStr">
        <is>
          <t>22.04.2026</t>
        </is>
      </c>
      <c r="R76" s="2" t="inlineStr">
        <is>
          <t>25.05.2026</t>
        </is>
      </c>
      <c r="S76" s="5">
        <f>IFERROR(INDEX('CoQ Register'!$D:$D,MATCH("P060382|I",'CoQ Register'!$S:$S,0)),"")</f>
        <v/>
      </c>
      <c r="T76" s="2" t="inlineStr">
        <is>
          <t>Conforms</t>
        </is>
      </c>
      <c r="U76" s="2" t="inlineStr">
        <is>
          <t>Conforms</t>
        </is>
      </c>
      <c r="V76" s="2" t="inlineStr">
        <is>
          <t>Conforms</t>
        </is>
      </c>
      <c r="W76" s="2" t="inlineStr">
        <is>
          <t>— no cannabinoid certificate from the initial testing —</t>
        </is>
      </c>
      <c r="X76" s="2" t="inlineStr">
        <is>
          <t>—</t>
        </is>
      </c>
      <c r="Y76" s="2" t="inlineStr">
        <is>
          <t>—</t>
        </is>
      </c>
      <c r="Z76" s="2" t="inlineStr">
        <is>
          <t>—</t>
        </is>
      </c>
      <c r="AA76" s="2" t="inlineStr">
        <is>
          <t>P060382|I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SCR012601*</t>
        </is>
      </c>
      <c r="J77" s="2" t="inlineStr">
        <is>
          <t>P060342</t>
        </is>
      </c>
      <c r="K77" s="2" t="inlineStr">
        <is>
          <t>Scrambler</t>
        </is>
      </c>
      <c r="L77" s="2" t="inlineStr">
        <is>
          <t>Ident A + Ident B + Foreign matter</t>
        </is>
      </c>
      <c r="M77" s="6" t="inlineStr">
        <is>
          <t>—</t>
        </is>
      </c>
      <c r="N77" s="2">
        <f>IFERROR(INDEX('CoQ Register'!$B:$B,MATCH("P060342|I",'CoQ Register'!$S:$S,0)),"—")</f>
        <v/>
      </c>
      <c r="O77" s="6" t="inlineStr">
        <is>
          <t>—</t>
        </is>
      </c>
      <c r="P77" s="2" t="inlineStr">
        <is>
          <t>25.05.2026</t>
        </is>
      </c>
      <c r="Q77" s="2" t="inlineStr">
        <is>
          <t>16.04.2026</t>
        </is>
      </c>
      <c r="R77" s="2" t="inlineStr">
        <is>
          <t>25.05.2026</t>
        </is>
      </c>
      <c r="S77" s="5">
        <f>IFERROR(INDEX('CoQ Register'!$D:$D,MATCH("P060342|I",'CoQ Register'!$S:$S,0)),"")</f>
        <v/>
      </c>
      <c r="T77" s="2" t="inlineStr">
        <is>
          <t>Conforms</t>
        </is>
      </c>
      <c r="U77" s="2" t="inlineStr">
        <is>
          <t>Conforms</t>
        </is>
      </c>
      <c r="V77" s="2" t="inlineStr">
        <is>
          <t>Conforms</t>
        </is>
      </c>
      <c r="W77" s="2" t="inlineStr">
        <is>
          <t>— no cannabinoid certificate from the initial testing —</t>
        </is>
      </c>
      <c r="X77" s="2" t="inlineStr">
        <is>
          <t>—</t>
        </is>
      </c>
      <c r="Y77" s="2" t="inlineStr">
        <is>
          <t>—</t>
        </is>
      </c>
      <c r="Z77" s="2" t="inlineStr">
        <is>
          <t>—</t>
        </is>
      </c>
      <c r="AA77" s="2" t="inlineStr">
        <is>
          <t>P060342|I</t>
        </is>
      </c>
      <c r="AB77" s="7" t="inlineStr">
        <is>
          <t>registered — initial release, issued 03.06.2026</t>
        </is>
      </c>
    </row>
    <row r="78">
      <c r="A78" s="2" t="n">
        <v>77</v>
      </c>
      <c r="B78" s="3" t="inlineStr">
        <is>
          <t>iCoA-PP_26-077</t>
        </is>
      </c>
      <c r="C78" s="4" t="inlineStr">
        <is>
          <t>yes</t>
        </is>
      </c>
      <c r="D78" s="5" t="n">
        <v>46176</v>
      </c>
      <c r="E78" s="5" t="inlineStr">
        <is>
          <t>— not stated —</t>
        </is>
      </c>
      <c r="F78" s="5">
        <f>IFERROR(INDEX('Batch Dates'!$G:$G,MATCH(J78,'Batch Dates'!$C:$C,0)),IFERROR(INDEX('Batch Dates'!$G:$G,MATCH(I78,'Batch Dates'!$B:$B,0)),""))</f>
        <v/>
      </c>
      <c r="G78" s="2" t="inlineStr">
        <is>
          <t>legacy</t>
        </is>
      </c>
      <c r="H78" s="2" t="inlineStr">
        <is>
          <t>initial release</t>
        </is>
      </c>
      <c r="I78" s="3" t="inlineStr">
        <is>
          <t>BSS1024_01/1</t>
        </is>
      </c>
      <c r="J78" s="2" t="inlineStr">
        <is>
          <t>P050122</t>
        </is>
      </c>
      <c r="K78" s="2" t="inlineStr">
        <is>
          <t>Blue Sunset Sherbet</t>
        </is>
      </c>
      <c r="L78" s="2" t="inlineStr">
        <is>
          <t>Ident A + Ident B + Foreign matter</t>
        </is>
      </c>
      <c r="M78" s="6" t="inlineStr">
        <is>
          <t>—</t>
        </is>
      </c>
      <c r="N78" s="2">
        <f>IFERROR(INDEX('CoQ Register'!$B:$B,MATCH("P050122|I",'CoQ Register'!$S:$S,0)),"—")</f>
        <v/>
      </c>
      <c r="O78" s="6" t="inlineStr">
        <is>
          <t>—</t>
        </is>
      </c>
      <c r="P78" s="2" t="inlineStr">
        <is>
          <t>10.07.2025</t>
        </is>
      </c>
      <c r="Q78" s="2" t="inlineStr">
        <is>
          <t>04.06.2025 – 05.06.2025</t>
        </is>
      </c>
      <c r="R78" s="2" t="inlineStr">
        <is>
          <t>01.09.2025 – 09.09.2025 (the issuance plan's basis: 10.07.2025)</t>
        </is>
      </c>
      <c r="S78" s="5">
        <f>IFERROR(INDEX('CoQ Register'!$D:$D,MATCH("P050122|I",'CoQ Register'!$S:$S,0)),"")</f>
        <v/>
      </c>
      <c r="T78" s="2" t="inlineStr">
        <is>
          <t>Conforms</t>
        </is>
      </c>
      <c r="U78" s="2" t="inlineStr">
        <is>
          <t>Conforms</t>
        </is>
      </c>
      <c r="V78" s="2" t="inlineStr">
        <is>
          <t>Conforms</t>
        </is>
      </c>
      <c r="W78" s="2" t="inlineStr">
        <is>
          <t>ППК25176, (10.07.2025) [CNP]</t>
        </is>
      </c>
      <c r="X78" s="2" t="inlineStr">
        <is>
          <t>—</t>
        </is>
      </c>
      <c r="Y78" s="2" t="inlineStr">
        <is>
          <t>—</t>
        </is>
      </c>
      <c r="Z78" s="2" t="inlineStr">
        <is>
          <t>—</t>
        </is>
      </c>
      <c r="AA78" s="2" t="inlineStr">
        <is>
          <t>P050122|I</t>
        </is>
      </c>
      <c r="AB78" s="7" t="inlineStr">
        <is>
          <t>registered — initial release, issued 03.06.2026 · no packaging date on file — testing date not stated (owner, 15.09.2026: certified all the same)</t>
        </is>
      </c>
    </row>
    <row r="79">
      <c r="A79" s="2" t="n">
        <v>78</v>
      </c>
      <c r="B79" s="3" t="inlineStr">
        <is>
          <t>iCoA-PP_26-078</t>
        </is>
      </c>
      <c r="C79" s="4" t="inlineStr">
        <is>
          <t>yes</t>
        </is>
      </c>
      <c r="D79" s="5" t="n">
        <v>46176</v>
      </c>
      <c r="E79" s="5" t="inlineStr">
        <is>
          <t>— not stated —</t>
        </is>
      </c>
      <c r="F79" s="5">
        <f>IFERROR(INDEX('Batch Dates'!$G:$G,MATCH(J79,'Batch Dates'!$C:$C,0)),IFERROR(INDEX('Batch Dates'!$G:$G,MATCH(I79,'Batch Dates'!$B:$B,0)),""))</f>
        <v/>
      </c>
      <c r="G79" s="2" t="inlineStr">
        <is>
          <t>—</t>
        </is>
      </c>
      <c r="H79" s="2" t="inlineStr">
        <is>
          <t>initial release</t>
        </is>
      </c>
      <c r="I79" s="3" t="inlineStr">
        <is>
          <t>CC042601</t>
        </is>
      </c>
      <c r="J79" s="2" t="inlineStr">
        <is>
          <t>N/A — no P batch assigned</t>
        </is>
      </c>
      <c r="K79" s="2" t="inlineStr">
        <is>
          <t>Cash Cow</t>
        </is>
      </c>
      <c r="L79" s="2" t="inlineStr">
        <is>
          <t>Ident A + Ident B + Foreign matter</t>
        </is>
      </c>
      <c r="M79" s="6" t="inlineStr">
        <is>
          <t>—</t>
        </is>
      </c>
      <c r="N79" s="2">
        <f>IFERROR(INDEX('CoQ Register'!$B:$B,MATCH("CC042601|I",'CoQ Register'!$S:$S,0)),"—")</f>
        <v/>
      </c>
      <c r="O79" s="6" t="inlineStr">
        <is>
          <t>—</t>
        </is>
      </c>
      <c r="P79" s="2" t="inlineStr">
        <is>
          <t>—</t>
        </is>
      </c>
      <c r="Q79" s="2" t="inlineStr">
        <is>
          <t>— not on the list —</t>
        </is>
      </c>
      <c r="R79" s="2" t="inlineStr">
        <is>
          <t>— not on the list —</t>
        </is>
      </c>
      <c r="S79" s="5">
        <f>IFERROR(INDEX('CoQ Register'!$D:$D,MATCH("CC042601|I",'CoQ Register'!$S:$S,0)),"")</f>
        <v/>
      </c>
      <c r="T79" s="2" t="inlineStr">
        <is>
          <t>Conforms</t>
        </is>
      </c>
      <c r="U79" s="2" t="inlineStr">
        <is>
          <t>Conforms</t>
        </is>
      </c>
      <c r="V79" s="2" t="inlineStr">
        <is>
          <t>Conforms</t>
        </is>
      </c>
      <c r="W79" s="2" t="inlineStr">
        <is>
          <t>— no cannabinoid certificate from the initial testing —</t>
        </is>
      </c>
      <c r="X79" s="2" t="inlineStr">
        <is>
          <t>—</t>
        </is>
      </c>
      <c r="Y79" s="2" t="inlineStr">
        <is>
          <t>—</t>
        </is>
      </c>
      <c r="Z79" s="2" t="inlineStr">
        <is>
          <t>—</t>
        </is>
      </c>
      <c r="AA79" s="2" t="inlineStr">
        <is>
          <t>CC042601|I</t>
        </is>
      </c>
      <c r="AB79" s="7" t="inlineStr">
        <is>
          <t>registered — initial release, issued 03.06.2026 · no packaging date on file — testing date not stated (owner, 15.09.2026: certified all the same)</t>
        </is>
      </c>
    </row>
    <row r="80">
      <c r="A80" s="2" t="n">
        <v>79</v>
      </c>
      <c r="B80" s="3" t="inlineStr">
        <is>
          <t>iCoA-PP_26-079</t>
        </is>
      </c>
      <c r="C80" s="4" t="inlineStr">
        <is>
          <t>yes</t>
        </is>
      </c>
      <c r="D80" s="5" t="n">
        <v>46176</v>
      </c>
      <c r="E80" s="5" t="inlineStr">
        <is>
          <t>— not stated —</t>
        </is>
      </c>
      <c r="F80" s="5">
        <f>IFERROR(INDEX('Batch Dates'!$G:$G,MATCH(J80,'Batch Dates'!$C:$C,0)),IFERROR(INDEX('Batch Dates'!$G:$G,MATCH(I80,'Batch Dates'!$B:$B,0)),""))</f>
        <v/>
      </c>
      <c r="G80" s="2" t="inlineStr">
        <is>
          <t>—</t>
        </is>
      </c>
      <c r="H80" s="2" t="inlineStr">
        <is>
          <t>initial release</t>
        </is>
      </c>
      <c r="I80" s="3" t="inlineStr">
        <is>
          <t>FB042601</t>
        </is>
      </c>
      <c r="J80" s="2" t="inlineStr">
        <is>
          <t>N/A — no P batch assigned</t>
        </is>
      </c>
      <c r="K80" s="2" t="inlineStr">
        <is>
          <t>Fat Bastard</t>
        </is>
      </c>
      <c r="L80" s="2" t="inlineStr">
        <is>
          <t>Ident A + Ident B + Foreign matter</t>
        </is>
      </c>
      <c r="M80" s="6" t="inlineStr">
        <is>
          <t>—</t>
        </is>
      </c>
      <c r="N80" s="2">
        <f>IFERROR(INDEX('CoQ Register'!$B:$B,MATCH("FB042601|I",'CoQ Register'!$S:$S,0)),"—")</f>
        <v/>
      </c>
      <c r="O80" s="6" t="inlineStr">
        <is>
          <t>—</t>
        </is>
      </c>
      <c r="P80" s="2" t="inlineStr">
        <is>
          <t>—</t>
        </is>
      </c>
      <c r="Q80" s="2" t="inlineStr">
        <is>
          <t>— not on the list —</t>
        </is>
      </c>
      <c r="R80" s="2" t="inlineStr">
        <is>
          <t>— not on the list —</t>
        </is>
      </c>
      <c r="S80" s="5">
        <f>IFERROR(INDEX('CoQ Register'!$D:$D,MATCH("FB042601|I",'CoQ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FB042601|I</t>
        </is>
      </c>
      <c r="AB80" s="7" t="inlineStr">
        <is>
          <t>registered — initial release, issued 03.06.2026 · no packaging date on file — testing date not stated (owner, 15.09.2026: certified all the same)</t>
        </is>
      </c>
    </row>
    <row r="81">
      <c r="A81" s="2" t="n">
        <v>80</v>
      </c>
      <c r="B81" s="3" t="inlineStr">
        <is>
          <t>iCoA-PP_26-080</t>
        </is>
      </c>
      <c r="C81" s="4" t="inlineStr">
        <is>
          <t>yes</t>
        </is>
      </c>
      <c r="D81" s="5" t="n">
        <v>46176</v>
      </c>
      <c r="E81" s="5" t="inlineStr">
        <is>
          <t>— not stated —</t>
        </is>
      </c>
      <c r="F81" s="5">
        <f>IFERROR(INDEX('Batch Dates'!$G:$G,MATCH(J81,'Batch Dates'!$C:$C,0)),IFERROR(INDEX('Batch Dates'!$G:$G,MATCH(I81,'Batch Dates'!$B:$B,0)),""))</f>
        <v/>
      </c>
      <c r="G81" s="2" t="inlineStr">
        <is>
          <t>legacy</t>
        </is>
      </c>
      <c r="H81" s="2" t="inlineStr">
        <is>
          <t>initial release</t>
        </is>
      </c>
      <c r="I81" s="3" t="inlineStr">
        <is>
          <t>OMP1024_01</t>
        </is>
      </c>
      <c r="J81" s="2" t="inlineStr">
        <is>
          <t>P050042</t>
        </is>
      </c>
      <c r="K81" s="2" t="inlineStr">
        <is>
          <t>Orange Punch Mimosa</t>
        </is>
      </c>
      <c r="L81" s="2" t="inlineStr">
        <is>
          <t>Ident A + Ident B + Foreign matter</t>
        </is>
      </c>
      <c r="M81" s="6" t="inlineStr">
        <is>
          <t>—</t>
        </is>
      </c>
      <c r="N81" s="2">
        <f>IFERROR(INDEX('CoQ Register'!$B:$B,MATCH("P050042|I",'CoQ Register'!$S:$S,0)),"—")</f>
        <v/>
      </c>
      <c r="O81" s="2" t="inlineStr">
        <is>
          <t>iCoA-PP-2025-0007</t>
        </is>
      </c>
      <c r="P81" s="2" t="inlineStr">
        <is>
          <t>20.06.2025</t>
        </is>
      </c>
      <c r="Q81" s="2" t="inlineStr">
        <is>
          <t>26.03.2025 – 27.03.2025</t>
        </is>
      </c>
      <c r="R81" s="2" t="inlineStr">
        <is>
          <t>20.06.2025</t>
        </is>
      </c>
      <c r="S81" s="5">
        <f>IFERROR(INDEX('CoQ Register'!$D:$D,MATCH("P050042|I",'CoQ Register'!$S:$S,0)),"")</f>
        <v/>
      </c>
      <c r="T81" s="2" t="inlineStr">
        <is>
          <t>Conforms</t>
        </is>
      </c>
      <c r="U81" s="2" t="inlineStr">
        <is>
          <t>Conforms</t>
        </is>
      </c>
      <c r="V81" s="2" t="inlineStr">
        <is>
          <t>Conforms</t>
        </is>
      </c>
      <c r="W81" s="2" t="inlineStr">
        <is>
          <t>ППК25117, (06.05.2025) [CNP]</t>
        </is>
      </c>
      <c r="X81" s="2" t="inlineStr">
        <is>
          <t>—</t>
        </is>
      </c>
      <c r="Y81" s="2" t="inlineStr">
        <is>
          <t>—</t>
        </is>
      </c>
      <c r="Z81" s="2" t="inlineStr">
        <is>
          <t>—</t>
        </is>
      </c>
      <c r="AA81" s="2" t="inlineStr">
        <is>
          <t>P050042|I</t>
        </is>
      </c>
      <c r="AB81" s="7" t="inlineStr">
        <is>
          <t>registered — initial release, issued 03.06.2026 · no packaging date on file — testing date not stated (owner, 15.09.2026: certified all the same)</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FB012603</t>
        </is>
      </c>
      <c r="J82" s="2" t="inlineStr">
        <is>
          <t>P060432</t>
        </is>
      </c>
      <c r="K82" s="2" t="inlineStr">
        <is>
          <t>Fat Bastard</t>
        </is>
      </c>
      <c r="L82" s="2" t="inlineStr">
        <is>
          <t>Ident A + Ident B + Foreign matter</t>
        </is>
      </c>
      <c r="M82" s="2" t="inlineStr">
        <is>
          <t>A: ППК26112 / B: ППК26112 / FM: ППК26112</t>
        </is>
      </c>
      <c r="N82" s="2">
        <f>IFERROR(INDEX('CoQ Register'!$B:$B,MATCH("P060432|I",'CoQ Register'!$S:$S,0)),"—")</f>
        <v/>
      </c>
      <c r="O82" s="6" t="inlineStr">
        <is>
          <t>—</t>
        </is>
      </c>
      <c r="P82" s="2" t="inlineStr">
        <is>
          <t>30.06.2026</t>
        </is>
      </c>
      <c r="Q82" s="2" t="inlineStr">
        <is>
          <t>04.05.2026</t>
        </is>
      </c>
      <c r="R82" s="2" t="inlineStr">
        <is>
          <t>15.06.2026 (the issuance plan's basis: 30.06.2026)</t>
        </is>
      </c>
      <c r="S82" s="5">
        <f>IFERROR(INDEX('CoQ Register'!$D:$D,MATCH("P060432|I",'CoQ Register'!$S:$S,0)),"")</f>
        <v/>
      </c>
      <c r="T82" s="2" t="inlineStr">
        <is>
          <t>CNP ППК26112</t>
        </is>
      </c>
      <c r="U82" s="2" t="inlineStr">
        <is>
          <t>CNP ППК26112</t>
        </is>
      </c>
      <c r="V82" s="2" t="inlineStr">
        <is>
          <t>CNP ППК26112</t>
        </is>
      </c>
      <c r="W82" s="2" t="inlineStr">
        <is>
          <t>ППК26112, (30.06.2026) [CNP]</t>
        </is>
      </c>
      <c r="X82" s="2" t="inlineStr">
        <is>
          <t>—</t>
        </is>
      </c>
      <c r="Y82" s="2" t="inlineStr">
        <is>
          <t>—</t>
        </is>
      </c>
      <c r="Z82" s="2" t="inlineStr">
        <is>
          <t>—</t>
        </is>
      </c>
      <c r="AA82" s="2" t="inlineStr">
        <is>
          <t>P060432|I</t>
        </is>
      </c>
      <c r="AB82" s="7" t="inlineStr">
        <is>
          <t>registered — initial release, issued 15.06.2026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SCR022601</t>
        </is>
      </c>
      <c r="J83" s="2" t="inlineStr">
        <is>
          <t>P060442</t>
        </is>
      </c>
      <c r="K83" s="2" t="inlineStr">
        <is>
          <t>Scrambler</t>
        </is>
      </c>
      <c r="L83" s="2" t="inlineStr">
        <is>
          <t>Ident A + Ident B + Foreign matter</t>
        </is>
      </c>
      <c r="M83" s="2" t="inlineStr">
        <is>
          <t>A: ППК26116 / B: ППК26116 / FM: ППК26116</t>
        </is>
      </c>
      <c r="N83" s="2">
        <f>IFERROR(INDEX('CoQ Register'!$B:$B,MATCH("P060442|I",'CoQ Register'!$S:$S,0)),"—")</f>
        <v/>
      </c>
      <c r="O83" s="6" t="inlineStr">
        <is>
          <t>—</t>
        </is>
      </c>
      <c r="P83" s="2" t="inlineStr">
        <is>
          <t>06.07.2026</t>
        </is>
      </c>
      <c r="Q83" s="2" t="inlineStr">
        <is>
          <t>13.05.2026</t>
        </is>
      </c>
      <c r="R83" s="2" t="inlineStr">
        <is>
          <t>18.06.2026 (the issuance plan's basis: 06.07.2026)</t>
        </is>
      </c>
      <c r="S83" s="5">
        <f>IFERROR(INDEX('CoQ Register'!$D:$D,MATCH("P060442|I",'CoQ Register'!$S:$S,0)),"")</f>
        <v/>
      </c>
      <c r="T83" s="2" t="inlineStr">
        <is>
          <t>CNP ППК26116</t>
        </is>
      </c>
      <c r="U83" s="2" t="inlineStr">
        <is>
          <t>CNP ППК26116</t>
        </is>
      </c>
      <c r="V83" s="2" t="inlineStr">
        <is>
          <t>CNP ППК26116</t>
        </is>
      </c>
      <c r="W83" s="2" t="inlineStr">
        <is>
          <t>ППК26116, (06.07.2026) [CNP]</t>
        </is>
      </c>
      <c r="X83" s="2" t="inlineStr">
        <is>
          <t>—</t>
        </is>
      </c>
      <c r="Y83" s="2" t="inlineStr">
        <is>
          <t>—</t>
        </is>
      </c>
      <c r="Z83" s="2" t="inlineStr">
        <is>
          <t>—</t>
        </is>
      </c>
      <c r="AA83" s="2" t="inlineStr">
        <is>
          <t>P060442|I</t>
        </is>
      </c>
      <c r="AB83" s="7" t="inlineStr">
        <is>
          <t>registered — initial release, issued 18.06.2026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FB032601</t>
        </is>
      </c>
      <c r="J84" s="2" t="inlineStr">
        <is>
          <t>P060452</t>
        </is>
      </c>
      <c r="K84" s="2" t="inlineStr">
        <is>
          <t>Fat Bastard</t>
        </is>
      </c>
      <c r="L84" s="2" t="inlineStr">
        <is>
          <t>Ident A + Ident B + Foreign matter</t>
        </is>
      </c>
      <c r="M84" s="2" t="inlineStr">
        <is>
          <t>A: ППК26127 / B: ППК26127 / FM: ППК26127</t>
        </is>
      </c>
      <c r="N84" s="2">
        <f>IFERROR(INDEX('CoQ Register'!$B:$B,MATCH("P060452|I",'CoQ Register'!$S:$S,0)),"—")</f>
        <v/>
      </c>
      <c r="O84" s="6" t="inlineStr">
        <is>
          <t>—</t>
        </is>
      </c>
      <c r="P84" s="2" t="inlineStr">
        <is>
          <t>21.07.2026</t>
        </is>
      </c>
      <c r="Q84" s="2" t="inlineStr">
        <is>
          <t>02.06.2026</t>
        </is>
      </c>
      <c r="R84" s="2" t="inlineStr">
        <is>
          <t>29.06.2026 (the issuance plan's basis: 21.07.2026)</t>
        </is>
      </c>
      <c r="S84" s="5">
        <f>IFERROR(INDEX('CoQ Register'!$D:$D,MATCH("P060452|I",'CoQ Register'!$S:$S,0)),"")</f>
        <v/>
      </c>
      <c r="T84" s="2" t="inlineStr">
        <is>
          <t>CNP ППК26127</t>
        </is>
      </c>
      <c r="U84" s="2" t="inlineStr">
        <is>
          <t>CNP ППК26127</t>
        </is>
      </c>
      <c r="V84" s="2" t="inlineStr">
        <is>
          <t>CNP ППК26127</t>
        </is>
      </c>
      <c r="W84" s="2" t="inlineStr">
        <is>
          <t>ППК26127, (21.07.2026) [CNP]</t>
        </is>
      </c>
      <c r="X84" s="2" t="inlineStr">
        <is>
          <t>—</t>
        </is>
      </c>
      <c r="Y84" s="2" t="inlineStr">
        <is>
          <t>—</t>
        </is>
      </c>
      <c r="Z84" s="2" t="inlineStr">
        <is>
          <t>—</t>
        </is>
      </c>
      <c r="AA84" s="2" t="inlineStr">
        <is>
          <t>P060452|I</t>
        </is>
      </c>
      <c r="AB84" s="7" t="inlineStr">
        <is>
          <t>registered — initial release, issued 29.06.2026</t>
        </is>
      </c>
    </row>
    <row r="85">
      <c r="A85" s="2" t="n">
        <v>84</v>
      </c>
      <c r="B85" s="3" t="inlineStr">
        <is>
          <t>iCoA-PP_26-084</t>
        </is>
      </c>
      <c r="C85" s="4" t="inlineStr">
        <is>
          <t>yes</t>
        </is>
      </c>
      <c r="D85" s="5" t="n">
        <v>46209</v>
      </c>
      <c r="E85" s="5" t="inlineStr">
        <is>
          <t>— not stated —</t>
        </is>
      </c>
      <c r="F85" s="5">
        <f>IFERROR(INDEX('Batch Dates'!$G:$G,MATCH(J85,'Batch Dates'!$C:$C,0)),IFERROR(INDEX('Batch Dates'!$G:$G,MATCH(I85,'Batch Dates'!$B:$B,0)),""))</f>
        <v/>
      </c>
      <c r="G85" s="2" t="inlineStr">
        <is>
          <t>—</t>
        </is>
      </c>
      <c r="H85" s="2" t="inlineStr">
        <is>
          <t>initial release</t>
        </is>
      </c>
      <c r="I85" s="3" t="inlineStr">
        <is>
          <t>— not recorded — (P160012)</t>
        </is>
      </c>
      <c r="J85" s="2" t="inlineStr">
        <is>
          <t>P160012</t>
        </is>
      </c>
      <c r="K85" s="2" t="inlineStr">
        <is>
          <t>Grape Pie</t>
        </is>
      </c>
      <c r="L85" s="2" t="inlineStr">
        <is>
          <t>Ident A + Ident B + Foreign matter</t>
        </is>
      </c>
      <c r="M85" s="2" t="inlineStr">
        <is>
          <t>A: ППК26117 / B: ППК26117 / FM: ППК26117</t>
        </is>
      </c>
      <c r="N85" s="2">
        <f>IFERROR(INDEX('CoQ Register'!$B:$B,MATCH("P160012|I",'CoQ Register'!$S:$S,0)),"—")</f>
        <v/>
      </c>
      <c r="O85" s="6" t="inlineStr">
        <is>
          <t>—</t>
        </is>
      </c>
      <c r="P85" s="2" t="inlineStr">
        <is>
          <t>06.07.2026</t>
        </is>
      </c>
      <c r="Q85" s="2" t="inlineStr">
        <is>
          <t>— not on the list —</t>
        </is>
      </c>
      <c r="R85" s="2" t="inlineStr">
        <is>
          <t>— not on the list —</t>
        </is>
      </c>
      <c r="S85" s="5">
        <f>IFERROR(INDEX('CoQ Register'!$D:$D,MATCH("P160012|I",'CoQ Register'!$S:$S,0)),"")</f>
        <v/>
      </c>
      <c r="T85" s="2" t="inlineStr">
        <is>
          <t>CNP ППК26117</t>
        </is>
      </c>
      <c r="U85" s="2" t="inlineStr">
        <is>
          <t>CNP ППК26117</t>
        </is>
      </c>
      <c r="V85" s="2" t="inlineStr">
        <is>
          <t>CNP ППК26117</t>
        </is>
      </c>
      <c r="W85" s="2" t="inlineStr">
        <is>
          <t>ППК26117, (06.07.2026) [CNP]</t>
        </is>
      </c>
      <c r="X85" s="2" t="inlineStr">
        <is>
          <t>—</t>
        </is>
      </c>
      <c r="Y85" s="2" t="inlineStr">
        <is>
          <t>—</t>
        </is>
      </c>
      <c r="Z85" s="2" t="inlineStr">
        <is>
          <t>—</t>
        </is>
      </c>
      <c r="AA85" s="2" t="inlineStr">
        <is>
          <t>P160012|I</t>
        </is>
      </c>
      <c r="AB85" s="7" t="inlineStr">
        <is>
          <t>registered — initial release, issued 06.07.2026 · no packaging date on file — testing date not stated (owner, 15.09.2026: certified all the same)</t>
        </is>
      </c>
    </row>
    <row r="86">
      <c r="A86" s="2" t="n">
        <v>85</v>
      </c>
      <c r="B86" s="3" t="inlineStr">
        <is>
          <t>iCoA-PP_26-085</t>
        </is>
      </c>
      <c r="C86" s="4" t="inlineStr">
        <is>
          <t>yes</t>
        </is>
      </c>
      <c r="D86" s="5" t="n">
        <v>46209</v>
      </c>
      <c r="E86" s="5" t="inlineStr">
        <is>
          <t>— not stated —</t>
        </is>
      </c>
      <c r="F86" s="5">
        <f>IFERROR(INDEX('Batch Dates'!$G:$G,MATCH(J86,'Batch Dates'!$C:$C,0)),IFERROR(INDEX('Batch Dates'!$G:$G,MATCH(I86,'Batch Dates'!$B:$B,0)),""))</f>
        <v/>
      </c>
      <c r="G86" s="2" t="inlineStr">
        <is>
          <t>—</t>
        </is>
      </c>
      <c r="H86" s="2" t="inlineStr">
        <is>
          <t>initial release</t>
        </is>
      </c>
      <c r="I86" s="3" t="inlineStr">
        <is>
          <t>— not recorded — (P160022)</t>
        </is>
      </c>
      <c r="J86" s="2" t="inlineStr">
        <is>
          <t>P160022</t>
        </is>
      </c>
      <c r="K86" s="2" t="inlineStr">
        <is>
          <t>Grape Pie</t>
        </is>
      </c>
      <c r="L86" s="2" t="inlineStr">
        <is>
          <t>Ident A + Ident B + Foreign matter</t>
        </is>
      </c>
      <c r="M86" s="2" t="inlineStr">
        <is>
          <t>A: ППК26118 / B: ППК26118 / FM: ППК26118</t>
        </is>
      </c>
      <c r="N86" s="2">
        <f>IFERROR(INDEX('CoQ Register'!$B:$B,MATCH("P160022|I",'CoQ Register'!$S:$S,0)),"—")</f>
        <v/>
      </c>
      <c r="O86" s="6" t="inlineStr">
        <is>
          <t>—</t>
        </is>
      </c>
      <c r="P86" s="2" t="inlineStr">
        <is>
          <t>06.07.2026</t>
        </is>
      </c>
      <c r="Q86" s="2" t="inlineStr">
        <is>
          <t>— not on the list —</t>
        </is>
      </c>
      <c r="R86" s="2" t="inlineStr">
        <is>
          <t>— not on the list —</t>
        </is>
      </c>
      <c r="S86" s="5">
        <f>IFERROR(INDEX('CoQ Register'!$D:$D,MATCH("P160022|I",'CoQ Register'!$S:$S,0)),"")</f>
        <v/>
      </c>
      <c r="T86" s="2" t="inlineStr">
        <is>
          <t>CNP ППК26118</t>
        </is>
      </c>
      <c r="U86" s="2" t="inlineStr">
        <is>
          <t>CNP ППК26118</t>
        </is>
      </c>
      <c r="V86" s="2" t="inlineStr">
        <is>
          <t>CNP ППК26118</t>
        </is>
      </c>
      <c r="W86" s="2" t="inlineStr">
        <is>
          <t>ППК26118, (06.07.2026) [CNP]</t>
        </is>
      </c>
      <c r="X86" s="2" t="inlineStr">
        <is>
          <t>—</t>
        </is>
      </c>
      <c r="Y86" s="2" t="inlineStr">
        <is>
          <t>—</t>
        </is>
      </c>
      <c r="Z86" s="2" t="inlineStr">
        <is>
          <t>—</t>
        </is>
      </c>
      <c r="AA86" s="2" t="inlineStr">
        <is>
          <t>P160022|I</t>
        </is>
      </c>
      <c r="AB86" s="7" t="inlineStr">
        <is>
          <t>registered — initial release, issued 06.07.2026 · no packaging date on file — testing date not stated (owner, 15.09.2026: certified all the same)</t>
        </is>
      </c>
    </row>
    <row r="87">
      <c r="A87" s="2" t="n">
        <v>86</v>
      </c>
      <c r="B87" s="3" t="inlineStr">
        <is>
          <t>iCoA-PP_26-086</t>
        </is>
      </c>
      <c r="C87" s="4" t="inlineStr">
        <is>
          <t>yes</t>
        </is>
      </c>
      <c r="D87" s="5" t="n">
        <v>46209</v>
      </c>
      <c r="E87" s="5" t="inlineStr">
        <is>
          <t>— not stated —</t>
        </is>
      </c>
      <c r="F87" s="5">
        <f>IFERROR(INDEX('Batch Dates'!$G:$G,MATCH(J87,'Batch Dates'!$C:$C,0)),IFERROR(INDEX('Batch Dates'!$G:$G,MATCH(I87,'Batch Dates'!$B:$B,0)),""))</f>
        <v/>
      </c>
      <c r="G87" s="2" t="inlineStr">
        <is>
          <t>—</t>
        </is>
      </c>
      <c r="H87" s="2" t="inlineStr">
        <is>
          <t>initial release</t>
        </is>
      </c>
      <c r="I87" s="3" t="inlineStr">
        <is>
          <t>— not recorded — (P160032)</t>
        </is>
      </c>
      <c r="J87" s="2" t="inlineStr">
        <is>
          <t>P160032</t>
        </is>
      </c>
      <c r="K87" s="2" t="inlineStr">
        <is>
          <t>Grape Pie</t>
        </is>
      </c>
      <c r="L87" s="2" t="inlineStr">
        <is>
          <t>Ident A + Ident B + Foreign matter</t>
        </is>
      </c>
      <c r="M87" s="2" t="inlineStr">
        <is>
          <t>A: ППК26119 / B: ППК26119 / FM: ППК26119</t>
        </is>
      </c>
      <c r="N87" s="2">
        <f>IFERROR(INDEX('CoQ Register'!$B:$B,MATCH("P160032|I",'CoQ Register'!$S:$S,0)),"—")</f>
        <v/>
      </c>
      <c r="O87" s="6" t="inlineStr">
        <is>
          <t>—</t>
        </is>
      </c>
      <c r="P87" s="2" t="inlineStr">
        <is>
          <t>06.07.2026</t>
        </is>
      </c>
      <c r="Q87" s="2" t="inlineStr">
        <is>
          <t>— not on the list —</t>
        </is>
      </c>
      <c r="R87" s="2" t="inlineStr">
        <is>
          <t>— not on the list —</t>
        </is>
      </c>
      <c r="S87" s="5">
        <f>IFERROR(INDEX('CoQ Register'!$D:$D,MATCH("P160032|I",'CoQ Register'!$S:$S,0)),"")</f>
        <v/>
      </c>
      <c r="T87" s="2" t="inlineStr">
        <is>
          <t>CNP ППК26119</t>
        </is>
      </c>
      <c r="U87" s="2" t="inlineStr">
        <is>
          <t>CNP ППК26119</t>
        </is>
      </c>
      <c r="V87" s="2" t="inlineStr">
        <is>
          <t>CNP ППК26119</t>
        </is>
      </c>
      <c r="W87" s="2" t="inlineStr">
        <is>
          <t>ППК26119, (06.07.2026) [CNP]</t>
        </is>
      </c>
      <c r="X87" s="2" t="inlineStr">
        <is>
          <t>—</t>
        </is>
      </c>
      <c r="Y87" s="2" t="inlineStr">
        <is>
          <t>—</t>
        </is>
      </c>
      <c r="Z87" s="2" t="inlineStr">
        <is>
          <t>—</t>
        </is>
      </c>
      <c r="AA87" s="2" t="inlineStr">
        <is>
          <t>P160032|I</t>
        </is>
      </c>
      <c r="AB87" s="7" t="inlineStr">
        <is>
          <t>registered — initial release, issued 06.07.2026 · no packaging date on file — testing date not stated (owner, 15.09.2026: certified all the same)</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GG032601</t>
        </is>
      </c>
      <c r="J88" s="2" t="inlineStr">
        <is>
          <t>P060462</t>
        </is>
      </c>
      <c r="K88" s="2" t="inlineStr">
        <is>
          <t>Gorilla Glue</t>
        </is>
      </c>
      <c r="L88" s="2" t="inlineStr">
        <is>
          <t>Ident A + Ident B + Foreign matter</t>
        </is>
      </c>
      <c r="M88" s="2" t="inlineStr">
        <is>
          <t>A: ППК26128 / B: ППК26128 / FM: ППК26128</t>
        </is>
      </c>
      <c r="N88" s="2">
        <f>IFERROR(INDEX('CoQ Register'!$B:$B,MATCH("P060462|I",'CoQ Register'!$S:$S,0)),"—")</f>
        <v/>
      </c>
      <c r="O88" s="6" t="inlineStr">
        <is>
          <t>—</t>
        </is>
      </c>
      <c r="P88" s="2" t="inlineStr">
        <is>
          <t>21.07.2026</t>
        </is>
      </c>
      <c r="Q88" s="2" t="inlineStr">
        <is>
          <t>16.06.2026</t>
        </is>
      </c>
      <c r="R88" s="2" t="inlineStr">
        <is>
          <t>16.07.2026 (the issuance plan's basis: 21.07.2026)</t>
        </is>
      </c>
      <c r="S88" s="5">
        <f>IFERROR(INDEX('CoQ Register'!$D:$D,MATCH("P060462|I",'CoQ Register'!$S:$S,0)),"")</f>
        <v/>
      </c>
      <c r="T88" s="2" t="inlineStr">
        <is>
          <t>CNP ППК26128</t>
        </is>
      </c>
      <c r="U88" s="2" t="inlineStr">
        <is>
          <t>CNP ППК26128</t>
        </is>
      </c>
      <c r="V88" s="2" t="inlineStr">
        <is>
          <t>CNP ППК26128</t>
        </is>
      </c>
      <c r="W88" s="2" t="inlineStr">
        <is>
          <t>ППК26128, (21.07.2026) [CNP]</t>
        </is>
      </c>
      <c r="X88" s="2" t="inlineStr">
        <is>
          <t>—</t>
        </is>
      </c>
      <c r="Y88" s="2" t="inlineStr">
        <is>
          <t>—</t>
        </is>
      </c>
      <c r="Z88" s="2" t="inlineStr">
        <is>
          <t>—</t>
        </is>
      </c>
      <c r="AA88" s="2" t="inlineStr">
        <is>
          <t>P060462|I</t>
        </is>
      </c>
      <c r="AB88" s="7" t="inlineStr">
        <is>
          <t>registered — initial release, issued 16.07.2026</t>
        </is>
      </c>
    </row>
    <row r="89">
      <c r="A89" s="2" t="n">
        <v>88</v>
      </c>
      <c r="B89" s="3" t="inlineStr">
        <is>
          <t>iCoA-PP_26-088</t>
        </is>
      </c>
      <c r="C89" s="4" t="inlineStr">
        <is>
          <t>yes</t>
        </is>
      </c>
      <c r="D89" s="5" t="n">
        <v>46230</v>
      </c>
      <c r="E89" s="5" t="n">
        <v>46224</v>
      </c>
      <c r="F89" s="5">
        <f>IFERROR(INDEX('Batch Dates'!$G:$G,MATCH(J89,'Batch Dates'!$C:$C,0)),IFERROR(INDEX('Batch Dates'!$G:$G,MATCH(I89,'Batch Dates'!$B:$B,0)),""))</f>
        <v/>
      </c>
      <c r="G89" s="2" t="inlineStr">
        <is>
          <t>legacy</t>
        </is>
      </c>
      <c r="H89" s="2" t="inlineStr">
        <is>
          <t>retest 1</t>
        </is>
      </c>
      <c r="I89" s="3" t="inlineStr">
        <is>
          <t>BG1024</t>
        </is>
      </c>
      <c r="J89" s="2" t="inlineStr">
        <is>
          <t>N/A — no P batch assigned</t>
        </is>
      </c>
      <c r="K89" s="2" t="inlineStr">
        <is>
          <t>Blue Gelato</t>
        </is>
      </c>
      <c r="L89" s="2" t="inlineStr">
        <is>
          <t>Ident A + Ident B + Foreign matter</t>
        </is>
      </c>
      <c r="M89" s="6" t="inlineStr">
        <is>
          <t>—</t>
        </is>
      </c>
      <c r="N89" s="2">
        <f>IFERROR(INDEX('CoQ Register'!$B:$B,MATCH("BG1024|R",'CoQ Register'!$S:$S,0)),"—")</f>
        <v/>
      </c>
      <c r="O89" s="6" t="inlineStr">
        <is>
          <t>—</t>
        </is>
      </c>
      <c r="P89" s="2" t="inlineStr">
        <is>
          <t>07.03.2026</t>
        </is>
      </c>
      <c r="Q89" s="2" t="inlineStr">
        <is>
          <t>21.01.2025</t>
        </is>
      </c>
      <c r="R89" s="2" t="inlineStr">
        <is>
          <t>07.03.2025</t>
        </is>
      </c>
      <c r="S89" s="5">
        <f>IFERROR(INDEX('CoQ Register'!$D:$D,MATCH("BG1024|R",'CoQ Register'!$S:$S,0)),"")</f>
        <v/>
      </c>
      <c r="T89" s="2" t="inlineStr">
        <is>
          <t>Conforms</t>
        </is>
      </c>
      <c r="U89" s="2" t="inlineStr">
        <is>
          <t>Conforms</t>
        </is>
      </c>
      <c r="V89" s="2" t="inlineStr">
        <is>
          <t>Conforms</t>
        </is>
      </c>
      <c r="W89" s="2" t="inlineStr">
        <is>
          <t>197-1-K-26, (07.08.2026) [FHM-K]</t>
        </is>
      </c>
      <c r="X89" s="2" t="inlineStr">
        <is>
          <t>197-1-K-26, (07.08.2026) [FHM-K]</t>
        </is>
      </c>
      <c r="Y89" s="2" t="inlineStr">
        <is>
          <t>197-1-M-26, (10.08.2026) [FHM-M]</t>
        </is>
      </c>
      <c r="Z89" s="2" t="inlineStr">
        <is>
          <t>#8, #9, #11, #12 from the initial testing</t>
        </is>
      </c>
      <c r="AA89" s="2" t="inlineStr">
        <is>
          <t>BG1024|R</t>
        </is>
      </c>
      <c r="AB89" s="7" t="inlineStr">
        <is>
          <t>registered — retest 1 · Tranche 1 (sampled 21–24.07.2026), tested 21.07.2026, issued 27.07.2026</t>
        </is>
      </c>
    </row>
    <row r="90">
      <c r="A90" s="2" t="n">
        <v>89</v>
      </c>
      <c r="B90" s="3" t="inlineStr">
        <is>
          <t>iCoA-PP_26-089</t>
        </is>
      </c>
      <c r="C90" s="4" t="inlineStr">
        <is>
          <t>yes</t>
        </is>
      </c>
      <c r="D90" s="5" t="n">
        <v>46230</v>
      </c>
      <c r="E90" s="5" t="n">
        <v>46224</v>
      </c>
      <c r="F90" s="5">
        <f>IFERROR(INDEX('Batch Dates'!$G:$G,MATCH(J90,'Batch Dates'!$C:$C,0)),IFERROR(INDEX('Batch Dates'!$G:$G,MATCH(I90,'Batch Dates'!$B:$B,0)),""))</f>
        <v/>
      </c>
      <c r="G90" s="2" t="inlineStr">
        <is>
          <t>legacy</t>
        </is>
      </c>
      <c r="H90" s="2" t="inlineStr">
        <is>
          <t>retest 1</t>
        </is>
      </c>
      <c r="I90" s="3" t="inlineStr">
        <is>
          <t>BSS1024</t>
        </is>
      </c>
      <c r="J90" s="2" t="inlineStr">
        <is>
          <t>N/A — no P batch assigned</t>
        </is>
      </c>
      <c r="K90" s="2" t="inlineStr">
        <is>
          <t>Blue Sunset Sherbet</t>
        </is>
      </c>
      <c r="L90" s="2" t="inlineStr">
        <is>
          <t>Ident A + Ident B + Foreign matter</t>
        </is>
      </c>
      <c r="M90" s="6" t="inlineStr">
        <is>
          <t>—</t>
        </is>
      </c>
      <c r="N90" s="2">
        <f>IFERROR(INDEX('CoQ Register'!$B:$B,MATCH("BSS1024|R",'CoQ Register'!$S:$S,0)),"—")</f>
        <v/>
      </c>
      <c r="O90" s="6" t="inlineStr">
        <is>
          <t>—</t>
        </is>
      </c>
      <c r="P90" s="2" t="inlineStr">
        <is>
          <t>04.03.2026</t>
        </is>
      </c>
      <c r="Q90" s="2" t="inlineStr">
        <is>
          <t>22.01.2025</t>
        </is>
      </c>
      <c r="R90" s="2" t="inlineStr">
        <is>
          <t>04.03.2025</t>
        </is>
      </c>
      <c r="S90" s="5">
        <f>IFERROR(INDEX('CoQ Register'!$D:$D,MATCH("BSS1024|R",'CoQ Register'!$S:$S,0)),"")</f>
        <v/>
      </c>
      <c r="T90" s="2" t="inlineStr">
        <is>
          <t>Conforms</t>
        </is>
      </c>
      <c r="U90" s="2" t="inlineStr">
        <is>
          <t>Conforms</t>
        </is>
      </c>
      <c r="V90" s="2" t="inlineStr">
        <is>
          <t>Conforms</t>
        </is>
      </c>
      <c r="W90" s="2" t="inlineStr">
        <is>
          <t>197-2-K-26, (07.08.2026) [FHM-K]</t>
        </is>
      </c>
      <c r="X90" s="2" t="inlineStr">
        <is>
          <t>197-2-K-26, (07.08.2026) [FHM-K]</t>
        </is>
      </c>
      <c r="Y90" s="2" t="inlineStr">
        <is>
          <t>197-2-M-26, (10.08.2026) [FHM-M]</t>
        </is>
      </c>
      <c r="Z90" s="2" t="inlineStr">
        <is>
          <t>#8, #9, #11, #12 from the initial testing</t>
        </is>
      </c>
      <c r="AA90" s="2" t="inlineStr">
        <is>
          <t>BSS1024|R</t>
        </is>
      </c>
      <c r="AB90" s="7" t="inlineStr">
        <is>
          <t>registered — retest 1 · Tranche 1 (sampled 21–24.07.2026), tested 21.07.2026, issued 27.07.2026</t>
        </is>
      </c>
    </row>
    <row r="91">
      <c r="A91" s="2" t="n">
        <v>90</v>
      </c>
      <c r="B91" s="3" t="inlineStr">
        <is>
          <t>iCoA-PP_26-090</t>
        </is>
      </c>
      <c r="C91" s="4" t="inlineStr">
        <is>
          <t>yes</t>
        </is>
      </c>
      <c r="D91" s="5" t="n">
        <v>46230</v>
      </c>
      <c r="E91" s="5" t="n">
        <v>46224</v>
      </c>
      <c r="F91" s="5">
        <f>IFERROR(INDEX('Batch Dates'!$G:$G,MATCH(J91,'Batch Dates'!$C:$C,0)),IFERROR(INDEX('Batch Dates'!$G:$G,MATCH(I91,'Batch Dates'!$B:$B,0)),""))</f>
        <v/>
      </c>
      <c r="G91" s="2" t="inlineStr">
        <is>
          <t>legacy</t>
        </is>
      </c>
      <c r="H91" s="2" t="inlineStr">
        <is>
          <t>retest 1</t>
        </is>
      </c>
      <c r="I91" s="3" t="inlineStr">
        <is>
          <t>CJ052501/01</t>
        </is>
      </c>
      <c r="J91" s="2" t="inlineStr">
        <is>
          <t>P050162</t>
        </is>
      </c>
      <c r="K91" s="2" t="inlineStr">
        <is>
          <t>Cap Junky</t>
        </is>
      </c>
      <c r="L91" s="2" t="inlineStr">
        <is>
          <t>Ident A + Ident B + Foreign matter</t>
        </is>
      </c>
      <c r="M91" s="6" t="inlineStr">
        <is>
          <t>—</t>
        </is>
      </c>
      <c r="N91" s="2">
        <f>IFERROR(INDEX('CoQ Register'!$B:$B,MATCH("P050162|R",'CoQ Register'!$S:$S,0)),"—")</f>
        <v/>
      </c>
      <c r="O91" s="6" t="inlineStr">
        <is>
          <t>—</t>
        </is>
      </c>
      <c r="P91" s="2" t="inlineStr">
        <is>
          <t>30.09.2026</t>
        </is>
      </c>
      <c r="Q91" s="2" t="inlineStr">
        <is>
          <t>20.08.2025</t>
        </is>
      </c>
      <c r="R91" s="2" t="inlineStr">
        <is>
          <t>30.09.2025 – 01.10.2025</t>
        </is>
      </c>
      <c r="S91" s="5">
        <f>IFERROR(INDEX('CoQ Register'!$D:$D,MATCH("P050162|R",'CoQ Register'!$S:$S,0)),"")</f>
        <v/>
      </c>
      <c r="T91" s="2" t="inlineStr">
        <is>
          <t>Conforms</t>
        </is>
      </c>
      <c r="U91" s="2" t="inlineStr">
        <is>
          <t>Conforms</t>
        </is>
      </c>
      <c r="V91" s="2" t="inlineStr">
        <is>
          <t>Conforms</t>
        </is>
      </c>
      <c r="W91" s="2" t="inlineStr">
        <is>
          <t>197-3-K-26, (07.08.2026) [FHM-K]</t>
        </is>
      </c>
      <c r="X91" s="2" t="inlineStr">
        <is>
          <t>197-3-K-26, (07.08.2026) [FHM-K]</t>
        </is>
      </c>
      <c r="Y91" s="2" t="inlineStr">
        <is>
          <t>197-3-M-26, (10.08.2026) [FHM-M]</t>
        </is>
      </c>
      <c r="Z91" s="2" t="inlineStr">
        <is>
          <t>#8, #9, #11, #12 from the initial testing</t>
        </is>
      </c>
      <c r="AA91" s="2" t="inlineStr">
        <is>
          <t>P050162|R</t>
        </is>
      </c>
      <c r="AB91" s="7" t="inlineStr">
        <is>
          <t>registered — retest 1 · Tranche 1 (sampled 21–24.07.2026), tested 21.07.2026, issued 27.07.2026</t>
        </is>
      </c>
    </row>
    <row r="92">
      <c r="A92" s="2" t="n">
        <v>91</v>
      </c>
      <c r="B92" s="3" t="inlineStr">
        <is>
          <t>iCoA-PP_26-091</t>
        </is>
      </c>
      <c r="C92" s="4" t="inlineStr">
        <is>
          <t>yes</t>
        </is>
      </c>
      <c r="D92" s="5" t="n">
        <v>46230</v>
      </c>
      <c r="E92" s="5" t="n">
        <v>46224</v>
      </c>
      <c r="F92" s="5">
        <f>IFERROR(INDEX('Batch Dates'!$G:$G,MATCH(J92,'Batch Dates'!$C:$C,0)),IFERROR(INDEX('Batch Dates'!$G:$G,MATCH(I92,'Batch Dates'!$B:$B,0)),""))</f>
        <v/>
      </c>
      <c r="G92" s="2" t="inlineStr">
        <is>
          <t>legacy</t>
        </is>
      </c>
      <c r="H92" s="2" t="inlineStr">
        <is>
          <t>retest 2</t>
        </is>
      </c>
      <c r="I92" s="3" t="inlineStr">
        <is>
          <t>CJ062501/2</t>
        </is>
      </c>
      <c r="J92" s="2" t="inlineStr">
        <is>
          <t>P050212</t>
        </is>
      </c>
      <c r="K92" s="2" t="inlineStr">
        <is>
          <t>Cap Junky</t>
        </is>
      </c>
      <c r="L92" s="2" t="inlineStr">
        <is>
          <t>Ident A + Ident B + Foreign matter</t>
        </is>
      </c>
      <c r="M92" s="6" t="inlineStr">
        <is>
          <t>—</t>
        </is>
      </c>
      <c r="N92" s="2">
        <f>IFERROR(INDEX('CoQ Register'!$B:$B,MATCH("P050212|R2",'CoQ Register'!$S:$S,0)),"—")</f>
        <v/>
      </c>
      <c r="O92" s="6" t="inlineStr">
        <is>
          <t>—</t>
        </is>
      </c>
      <c r="P92" s="2" t="inlineStr">
        <is>
          <t>24.01.2027</t>
        </is>
      </c>
      <c r="Q92" s="2" t="inlineStr">
        <is>
          <t>23.09.2025 – 24.09.2025</t>
        </is>
      </c>
      <c r="R92" s="2" t="inlineStr">
        <is>
          <t>18.11.2025 – 24.11.2025 (the issuance plan's basis: 24.01.2026)</t>
        </is>
      </c>
      <c r="S92" s="5">
        <f>IFERROR(INDEX('CoQ Register'!$D:$D,MATCH("P050212|R2",'CoQ Register'!$S:$S,0)),"")</f>
        <v/>
      </c>
      <c r="T92" s="2" t="inlineStr">
        <is>
          <t>Conforms</t>
        </is>
      </c>
      <c r="U92" s="2" t="inlineStr">
        <is>
          <t>Conforms</t>
        </is>
      </c>
      <c r="V92" s="2" t="inlineStr">
        <is>
          <t>Conforms</t>
        </is>
      </c>
      <c r="W92" s="2" t="inlineStr">
        <is>
          <t>197-4-K-26, (07.08.2026) [FHM-K]</t>
        </is>
      </c>
      <c r="X92" s="2" t="inlineStr">
        <is>
          <t>197-4-K-26, (07.08.2026) [FHM-K]</t>
        </is>
      </c>
      <c r="Y92" s="2" t="inlineStr">
        <is>
          <t>197-4-M-26, (10.08.2026) [FHM-M]</t>
        </is>
      </c>
      <c r="Z92" s="2" t="inlineStr">
        <is>
          <t>#8, #9, #11, #12 from the initial testing</t>
        </is>
      </c>
      <c r="AA92" s="2" t="inlineStr">
        <is>
          <t>P050212|R2</t>
        </is>
      </c>
      <c r="AB92" s="7" t="inlineStr">
        <is>
          <t>registered — retest 2 · Tranche 1 (sampled 21–24.07.2026), tested 21.07.2026, issued 27.07.2026</t>
        </is>
      </c>
    </row>
    <row r="93">
      <c r="A93" s="2" t="n">
        <v>92</v>
      </c>
      <c r="B93" s="3" t="inlineStr">
        <is>
          <t>iCoA-PP_26-092</t>
        </is>
      </c>
      <c r="C93" s="4" t="inlineStr">
        <is>
          <t>yes</t>
        </is>
      </c>
      <c r="D93" s="5" t="n">
        <v>46230</v>
      </c>
      <c r="E93" s="5" t="n">
        <v>46224</v>
      </c>
      <c r="F93" s="5">
        <f>IFERROR(INDEX('Batch Dates'!$G:$G,MATCH(J93,'Batch Dates'!$C:$C,0)),IFERROR(INDEX('Batch Dates'!$G:$G,MATCH(I93,'Batch Dates'!$B:$B,0)),""))</f>
        <v/>
      </c>
      <c r="G93" s="2" t="inlineStr">
        <is>
          <t>legacy</t>
        </is>
      </c>
      <c r="H93" s="2" t="inlineStr">
        <is>
          <t>retest 1</t>
        </is>
      </c>
      <c r="I93" s="3" t="inlineStr">
        <is>
          <t>CJ082501/2</t>
        </is>
      </c>
      <c r="J93" s="2" t="inlineStr">
        <is>
          <t>P060032</t>
        </is>
      </c>
      <c r="K93" s="2" t="inlineStr">
        <is>
          <t>Cap Junky</t>
        </is>
      </c>
      <c r="L93" s="2" t="inlineStr">
        <is>
          <t>Ident A + Ident B + Foreign matter</t>
        </is>
      </c>
      <c r="M93" s="6" t="inlineStr">
        <is>
          <t>—</t>
        </is>
      </c>
      <c r="N93" s="2">
        <f>IFERROR(INDEX('CoQ Register'!$B:$B,MATCH("P060032|R",'CoQ Register'!$S:$S,0)),"—")</f>
        <v/>
      </c>
      <c r="O93" s="6" t="inlineStr">
        <is>
          <t>—</t>
        </is>
      </c>
      <c r="P93" s="2" t="inlineStr">
        <is>
          <t>29.01.2027</t>
        </is>
      </c>
      <c r="Q93" s="2" t="inlineStr">
        <is>
          <t>10.12.2025</t>
        </is>
      </c>
      <c r="R93" s="2" t="inlineStr">
        <is>
          <t>29.01.2026</t>
        </is>
      </c>
      <c r="S93" s="5">
        <f>IFERROR(INDEX('CoQ Register'!$D:$D,MATCH("P060032|R",'CoQ Register'!$S:$S,0)),"")</f>
        <v/>
      </c>
      <c r="T93" s="2" t="inlineStr">
        <is>
          <t>Conforms</t>
        </is>
      </c>
      <c r="U93" s="2" t="inlineStr">
        <is>
          <t>Conforms</t>
        </is>
      </c>
      <c r="V93" s="2" t="inlineStr">
        <is>
          <t>Conforms</t>
        </is>
      </c>
      <c r="W93" s="2" t="inlineStr">
        <is>
          <t>197-5-K-26, (07.08.2026) [FHM-K]</t>
        </is>
      </c>
      <c r="X93" s="2" t="inlineStr">
        <is>
          <t>197-5-K-26, (07.08.2026) [FHM-K]</t>
        </is>
      </c>
      <c r="Y93" s="2" t="inlineStr">
        <is>
          <t>197-5-M-26, (10.08.2026) [FHM-M]</t>
        </is>
      </c>
      <c r="Z93" s="2" t="inlineStr">
        <is>
          <t>#8, #9, #11, #12 from the initial testing</t>
        </is>
      </c>
      <c r="AA93" s="2" t="inlineStr">
        <is>
          <t>P060032|R</t>
        </is>
      </c>
      <c r="AB93" s="7" t="inlineStr">
        <is>
          <t>registered — retest 1 · Tranche 1 (sampled 21–24.07.2026), tested 21.07.2026, issued 27.07.2026</t>
        </is>
      </c>
    </row>
    <row r="94">
      <c r="A94" s="2" t="n">
        <v>93</v>
      </c>
      <c r="B94" s="3" t="inlineStr">
        <is>
          <t>iCoA-PP_26-093</t>
        </is>
      </c>
      <c r="C94" s="4" t="inlineStr">
        <is>
          <t>yes</t>
        </is>
      </c>
      <c r="D94" s="5" t="n">
        <v>46230</v>
      </c>
      <c r="E94" s="5" t="n">
        <v>46224</v>
      </c>
      <c r="F94" s="5">
        <f>IFERROR(INDEX('Batch Dates'!$G:$G,MATCH(J94,'Batch Dates'!$C:$C,0)),IFERROR(INDEX('Batch Dates'!$G:$G,MATCH(I94,'Batch Dates'!$B:$B,0)),""))</f>
        <v/>
      </c>
      <c r="G94" s="2" t="inlineStr">
        <is>
          <t>post-SOP</t>
        </is>
      </c>
      <c r="H94" s="2" t="inlineStr">
        <is>
          <t>retest 1</t>
        </is>
      </c>
      <c r="I94" s="3" t="inlineStr">
        <is>
          <t>CC012601/1</t>
        </is>
      </c>
      <c r="J94" s="2" t="inlineStr">
        <is>
          <t>P060332</t>
        </is>
      </c>
      <c r="K94" s="2" t="inlineStr">
        <is>
          <t>Cash Cow</t>
        </is>
      </c>
      <c r="L94" s="2" t="inlineStr">
        <is>
          <t>Ident A + Ident B + Foreign matter</t>
        </is>
      </c>
      <c r="M94" s="6" t="inlineStr">
        <is>
          <t>—</t>
        </is>
      </c>
      <c r="N94" s="2">
        <f>IFERROR(INDEX('CoQ Register'!$B:$B,MATCH("P060332|R",'CoQ Register'!$S:$S,0)),"—")</f>
        <v/>
      </c>
      <c r="O94" s="6" t="inlineStr">
        <is>
          <t>—</t>
        </is>
      </c>
      <c r="P94" s="2" t="inlineStr">
        <is>
          <t>10.08.2027</t>
        </is>
      </c>
      <c r="Q94" s="2" t="inlineStr">
        <is>
          <t>16.04.2026</t>
        </is>
      </c>
      <c r="R94" s="2" t="inlineStr">
        <is>
          <t>22.05.2026 (the issuance plan's basis: 10.08.2026)</t>
        </is>
      </c>
      <c r="S94" s="5">
        <f>IFERROR(INDEX('CoQ Register'!$D:$D,MATCH("P060332|R",'CoQ Register'!$S:$S,0)),"")</f>
        <v/>
      </c>
      <c r="T94" s="2" t="inlineStr">
        <is>
          <t>Conforms</t>
        </is>
      </c>
      <c r="U94" s="2" t="inlineStr">
        <is>
          <t>Conforms</t>
        </is>
      </c>
      <c r="V94" s="2" t="inlineStr">
        <is>
          <t>Conforms</t>
        </is>
      </c>
      <c r="W94" s="2" t="inlineStr">
        <is>
          <t>197-6-K-26, (07.08.2026) [FHM-K]</t>
        </is>
      </c>
      <c r="X94" s="2" t="inlineStr">
        <is>
          <t>197-6-K-26, (07.08.2026) [FHM-K]</t>
        </is>
      </c>
      <c r="Y94" s="2" t="inlineStr">
        <is>
          <t>197-6-M-26, (10.08.2026) [FHM-M]</t>
        </is>
      </c>
      <c r="Z94" s="2" t="inlineStr">
        <is>
          <t>#8, #9, #11, #12 from the initial testing</t>
        </is>
      </c>
      <c r="AA94" s="2" t="inlineStr">
        <is>
          <t>P060332|R</t>
        </is>
      </c>
      <c r="AB94" s="7" t="inlineStr">
        <is>
          <t>registered — retest 1 · Tranche 1 (sampled 21–24.07.2026), tested 21.07.2026, issued 27.07.2026</t>
        </is>
      </c>
    </row>
    <row r="95">
      <c r="A95" s="2" t="n">
        <v>94</v>
      </c>
      <c r="B95" s="3" t="inlineStr">
        <is>
          <t>iCoA-PP_26-094</t>
        </is>
      </c>
      <c r="C95" s="4" t="inlineStr">
        <is>
          <t>yes</t>
        </is>
      </c>
      <c r="D95" s="5" t="n">
        <v>46230</v>
      </c>
      <c r="E95" s="5" t="n">
        <v>46225</v>
      </c>
      <c r="F95" s="5">
        <f>IFERROR(INDEX('Batch Dates'!$G:$G,MATCH(J95,'Batch Dates'!$C:$C,0)),IFERROR(INDEX('Batch Dates'!$G:$G,MATCH(I95,'Batch Dates'!$B:$B,0)),""))</f>
        <v/>
      </c>
      <c r="G95" s="2" t="inlineStr">
        <is>
          <t>legacy</t>
        </is>
      </c>
      <c r="H95" s="2" t="inlineStr">
        <is>
          <t>retest 1</t>
        </is>
      </c>
      <c r="I95" s="3" t="inlineStr">
        <is>
          <t>GG1024_01</t>
        </is>
      </c>
      <c r="J95" s="2" t="inlineStr">
        <is>
          <t>P050092</t>
        </is>
      </c>
      <c r="K95" s="2" t="inlineStr">
        <is>
          <t>Gorilla Glue</t>
        </is>
      </c>
      <c r="L95" s="2" t="inlineStr">
        <is>
          <t>Ident A + Ident B + Foreign matter</t>
        </is>
      </c>
      <c r="M95" s="6" t="inlineStr">
        <is>
          <t>—</t>
        </is>
      </c>
      <c r="N95" s="2">
        <f>IFERROR(INDEX('CoQ Register'!$B:$B,MATCH("P050092|R",'CoQ Register'!$S:$S,0)),"—")</f>
        <v/>
      </c>
      <c r="O95" s="6" t="inlineStr">
        <is>
          <t>—</t>
        </is>
      </c>
      <c r="P95" s="2" t="inlineStr">
        <is>
          <t>31.07.2026</t>
        </is>
      </c>
      <c r="Q95" s="2" t="inlineStr">
        <is>
          <t>17.03.2025 – 18.03.2025</t>
        </is>
      </c>
      <c r="R95" s="2" t="inlineStr">
        <is>
          <t>31.07.2025 – 05.08.2025</t>
        </is>
      </c>
      <c r="S95" s="5">
        <f>IFERROR(INDEX('CoQ Register'!$D:$D,MATCH("P050092|R",'CoQ Register'!$S:$S,0)),"")</f>
        <v/>
      </c>
      <c r="T95" s="2" t="inlineStr">
        <is>
          <t>Conforms</t>
        </is>
      </c>
      <c r="U95" s="2" t="inlineStr">
        <is>
          <t>Conforms</t>
        </is>
      </c>
      <c r="V95" s="2" t="inlineStr">
        <is>
          <t>Conforms</t>
        </is>
      </c>
      <c r="W95" s="2" t="inlineStr">
        <is>
          <t>197-9-K-26, (07.08.2026) [FHM-K]</t>
        </is>
      </c>
      <c r="X95" s="2" t="inlineStr">
        <is>
          <t>197-9-K-26, (07.08.2026) [FHM-K]</t>
        </is>
      </c>
      <c r="Y95" s="2" t="inlineStr">
        <is>
          <t>197-9-M-26, (10.08.2026) [FHM-M]</t>
        </is>
      </c>
      <c r="Z95" s="2" t="inlineStr">
        <is>
          <t>#8, #9, #11, #12 from the initial testing</t>
        </is>
      </c>
      <c r="AA95" s="2" t="inlineStr">
        <is>
          <t>P050092|R</t>
        </is>
      </c>
      <c r="AB95" s="7" t="inlineStr">
        <is>
          <t>registered — retest 1 · Tranche 1 (sampled 21–24.07.2026), tested 22.07.2026, issued 27.07.2026</t>
        </is>
      </c>
    </row>
    <row r="96">
      <c r="A96" s="2" t="n">
        <v>95</v>
      </c>
      <c r="B96" s="3" t="inlineStr">
        <is>
          <t>iCoA-PP_26-095</t>
        </is>
      </c>
      <c r="C96" s="4" t="inlineStr">
        <is>
          <t>yes</t>
        </is>
      </c>
      <c r="D96" s="5" t="n">
        <v>46230</v>
      </c>
      <c r="E96" s="5" t="n">
        <v>46225</v>
      </c>
      <c r="F96" s="5">
        <f>IFERROR(INDEX('Batch Dates'!$G:$G,MATCH(J96,'Batch Dates'!$C:$C,0)),IFERROR(INDEX('Batch Dates'!$G:$G,MATCH(I96,'Batch Dates'!$B:$B,0)),""))</f>
        <v/>
      </c>
      <c r="G96" s="2" t="inlineStr">
        <is>
          <t>legacy</t>
        </is>
      </c>
      <c r="H96" s="2" t="inlineStr">
        <is>
          <t>retest 1</t>
        </is>
      </c>
      <c r="I96" s="3" t="inlineStr">
        <is>
          <t>GP052501</t>
        </is>
      </c>
      <c r="J96" s="2" t="inlineStr">
        <is>
          <t>P050152</t>
        </is>
      </c>
      <c r="K96" s="2" t="inlineStr">
        <is>
          <t>Grape Pie</t>
        </is>
      </c>
      <c r="L96" s="2" t="inlineStr">
        <is>
          <t>Ident A + Ident B + Foreign matter</t>
        </is>
      </c>
      <c r="M96" s="6" t="inlineStr">
        <is>
          <t>—</t>
        </is>
      </c>
      <c r="N96" s="2">
        <f>IFERROR(INDEX('CoQ Register'!$B:$B,MATCH("P050152|R",'CoQ Register'!$S:$S,0)),"—")</f>
        <v/>
      </c>
      <c r="O96" s="6" t="inlineStr">
        <is>
          <t>—</t>
        </is>
      </c>
      <c r="P96" s="2" t="inlineStr">
        <is>
          <t>25.09.2026</t>
        </is>
      </c>
      <c r="Q96" s="2" t="inlineStr">
        <is>
          <t>— not given —</t>
        </is>
      </c>
      <c r="R96" s="2" t="inlineStr">
        <is>
          <t>25.09.2025</t>
        </is>
      </c>
      <c r="S96" s="5">
        <f>IFERROR(INDEX('CoQ Register'!$D:$D,MATCH("P050152|R",'CoQ Register'!$S:$S,0)),"")</f>
        <v/>
      </c>
      <c r="T96" s="2" t="inlineStr">
        <is>
          <t>Conforms</t>
        </is>
      </c>
      <c r="U96" s="2" t="inlineStr">
        <is>
          <t>Conforms</t>
        </is>
      </c>
      <c r="V96" s="2" t="inlineStr">
        <is>
          <t>Conforms</t>
        </is>
      </c>
      <c r="W96" s="2" t="inlineStr">
        <is>
          <t>197-10-K-26, (07.08.2026) [FHM-K]</t>
        </is>
      </c>
      <c r="X96" s="2" t="inlineStr">
        <is>
          <t>197-10-K-26, (07.08.2026) [FHM-K]</t>
        </is>
      </c>
      <c r="Y96" s="2" t="inlineStr">
        <is>
          <t>197-10-M-26, (10.08.2026) [FHM-M]</t>
        </is>
      </c>
      <c r="Z96" s="2" t="inlineStr">
        <is>
          <t>#8, #9, #11, #12 from the initial testing</t>
        </is>
      </c>
      <c r="AA96" s="2" t="inlineStr">
        <is>
          <t>P050152|R</t>
        </is>
      </c>
      <c r="AB96" s="7" t="inlineStr">
        <is>
          <t>registered — retest 1 · Tranche 1 (sampled 21–24.07.2026), tested 22.07.2026, issued 27.07.2026</t>
        </is>
      </c>
    </row>
    <row r="97">
      <c r="A97" s="2" t="n">
        <v>96</v>
      </c>
      <c r="B97" s="3" t="inlineStr">
        <is>
          <t>iCoA-PP_26-096</t>
        </is>
      </c>
      <c r="C97" s="4" t="inlineStr">
        <is>
          <t>yes</t>
        </is>
      </c>
      <c r="D97" s="5" t="n">
        <v>46230</v>
      </c>
      <c r="E97" s="5" t="n">
        <v>46225</v>
      </c>
      <c r="F97" s="5">
        <f>IFERROR(INDEX('Batch Dates'!$G:$G,MATCH(J97,'Batch Dates'!$C:$C,0)),IFERROR(INDEX('Batch Dates'!$G:$G,MATCH(I97,'Batch Dates'!$B:$B,0)),""))</f>
        <v/>
      </c>
      <c r="G97" s="2" t="inlineStr">
        <is>
          <t>legacy</t>
        </is>
      </c>
      <c r="H97" s="2" t="inlineStr">
        <is>
          <t>retest 5</t>
        </is>
      </c>
      <c r="I97" s="3" t="inlineStr">
        <is>
          <t>GP0824_02</t>
        </is>
      </c>
      <c r="J97" s="2" t="inlineStr">
        <is>
          <t>P050022</t>
        </is>
      </c>
      <c r="K97" s="2" t="inlineStr">
        <is>
          <t>Grape Pie</t>
        </is>
      </c>
      <c r="L97" s="2" t="inlineStr">
        <is>
          <t>Ident A + Ident B + Foreign matter</t>
        </is>
      </c>
      <c r="M97" s="6" t="inlineStr">
        <is>
          <t>—</t>
        </is>
      </c>
      <c r="N97" s="2">
        <f>IFERROR(INDEX('CoQ Register'!$B:$B,MATCH("P050022|R5",'CoQ Register'!$S:$S,0)),"—")</f>
        <v/>
      </c>
      <c r="O97" s="6" t="inlineStr">
        <is>
          <t>—</t>
        </is>
      </c>
      <c r="P97" s="2" t="inlineStr">
        <is>
          <t>03.06.2026</t>
        </is>
      </c>
      <c r="Q97" s="2" t="inlineStr">
        <is>
          <t>22.04.2025 – 23.04.2025</t>
        </is>
      </c>
      <c r="R97" s="2" t="inlineStr">
        <is>
          <t>03.06.2025 – 11.06.2025</t>
        </is>
      </c>
      <c r="S97" s="5">
        <f>IFERROR(INDEX('CoQ Register'!$D:$D,MATCH("P050022|R5",'CoQ Register'!$S:$S,0)),"")</f>
        <v/>
      </c>
      <c r="T97" s="2" t="inlineStr">
        <is>
          <t>Conforms</t>
        </is>
      </c>
      <c r="U97" s="2" t="inlineStr">
        <is>
          <t>Conforms</t>
        </is>
      </c>
      <c r="V97" s="2" t="inlineStr">
        <is>
          <t>Conforms</t>
        </is>
      </c>
      <c r="W97" s="2" t="inlineStr">
        <is>
          <t>197-11-K-26, (07.08.2026) [FHM-K]</t>
        </is>
      </c>
      <c r="X97" s="2" t="inlineStr">
        <is>
          <t>197-11-K-26, (07.08.2026) [FHM-K]</t>
        </is>
      </c>
      <c r="Y97" s="2" t="inlineStr">
        <is>
          <t>197-11-M-26, (10.08.2026) [FHM-M]</t>
        </is>
      </c>
      <c r="Z97" s="2" t="inlineStr">
        <is>
          <t>#8, #9, #11, #12 from the initial testing</t>
        </is>
      </c>
      <c r="AA97" s="2" t="inlineStr">
        <is>
          <t>P050022|R5</t>
        </is>
      </c>
      <c r="AB97" s="7" t="inlineStr">
        <is>
          <t>registered — retest 5 · Tranche 1 (sampled 21–24.07.2026), tested 22.07.2026, issued 27.07.2026</t>
        </is>
      </c>
    </row>
    <row r="98">
      <c r="A98" s="2" t="n">
        <v>97</v>
      </c>
      <c r="B98" s="3" t="inlineStr">
        <is>
          <t>iCoA-PP_26-097</t>
        </is>
      </c>
      <c r="C98" s="4" t="inlineStr">
        <is>
          <t>yes</t>
        </is>
      </c>
      <c r="D98" s="5" t="n">
        <v>46230</v>
      </c>
      <c r="E98" s="5" t="n">
        <v>46225</v>
      </c>
      <c r="F98" s="5">
        <f>IFERROR(INDEX('Batch Dates'!$G:$G,MATCH(J98,'Batch Dates'!$C:$C,0)),IFERROR(INDEX('Batch Dates'!$G:$G,MATCH(I98,'Batch Dates'!$B:$B,0)),""))</f>
        <v/>
      </c>
      <c r="G98" s="2" t="inlineStr">
        <is>
          <t>post-SOP</t>
        </is>
      </c>
      <c r="H98" s="2" t="inlineStr">
        <is>
          <t>retest 1</t>
        </is>
      </c>
      <c r="I98" s="3" t="inlineStr">
        <is>
          <t>FB012602*</t>
        </is>
      </c>
      <c r="J98" s="2" t="inlineStr">
        <is>
          <t>P060352</t>
        </is>
      </c>
      <c r="K98" s="2" t="inlineStr">
        <is>
          <t>Fat Bastard</t>
        </is>
      </c>
      <c r="L98" s="2" t="inlineStr">
        <is>
          <t>Ident A + Ident B + Foreign matter</t>
        </is>
      </c>
      <c r="M98" s="6" t="inlineStr">
        <is>
          <t>—</t>
        </is>
      </c>
      <c r="N98" s="2">
        <f>IFERROR(INDEX('CoQ Register'!$B:$B,MATCH("P060352|R",'CoQ Register'!$S:$S,0)),"—")</f>
        <v/>
      </c>
      <c r="O98" s="6" t="inlineStr">
        <is>
          <t>—</t>
        </is>
      </c>
      <c r="P98" s="2" t="inlineStr">
        <is>
          <t>23.05.2027</t>
        </is>
      </c>
      <c r="Q98" s="2" t="inlineStr">
        <is>
          <t>16.04.2026</t>
        </is>
      </c>
      <c r="R98" s="2" t="inlineStr">
        <is>
          <t>23.05.2026</t>
        </is>
      </c>
      <c r="S98" s="5">
        <f>IFERROR(INDEX('CoQ Register'!$D:$D,MATCH("P060352|R",'CoQ Register'!$S:$S,0)),"")</f>
        <v/>
      </c>
      <c r="T98" s="2" t="inlineStr">
        <is>
          <t>Conforms</t>
        </is>
      </c>
      <c r="U98" s="2" t="inlineStr">
        <is>
          <t>Conforms</t>
        </is>
      </c>
      <c r="V98" s="2" t="inlineStr">
        <is>
          <t>Conforms</t>
        </is>
      </c>
      <c r="W98" s="2" t="inlineStr">
        <is>
          <t>197-7-K-26, (07.08.2026) [FHM-K]</t>
        </is>
      </c>
      <c r="X98" s="2" t="inlineStr">
        <is>
          <t>197-7-K-26, (07.08.2026) [FHM-K]</t>
        </is>
      </c>
      <c r="Y98" s="2" t="inlineStr">
        <is>
          <t>197-7-M-26, (10.08.2026) [FHM-M]</t>
        </is>
      </c>
      <c r="Z98" s="2" t="inlineStr">
        <is>
          <t>#8, #9, #11, #12 from the initial testing</t>
        </is>
      </c>
      <c r="AA98" s="2" t="inlineStr">
        <is>
          <t>P060352|R</t>
        </is>
      </c>
      <c r="AB98" s="7" t="inlineStr">
        <is>
          <t>registered — retest 1 · Tranche 1 (sampled 21–24.07.2026), tested 22.07.2026, issued 27.07.2026</t>
        </is>
      </c>
    </row>
    <row r="99">
      <c r="A99" s="2" t="n">
        <v>98</v>
      </c>
      <c r="B99" s="3" t="inlineStr">
        <is>
          <t>iCoA-PP_26-098</t>
        </is>
      </c>
      <c r="C99" s="4" t="inlineStr">
        <is>
          <t>yes</t>
        </is>
      </c>
      <c r="D99" s="5" t="n">
        <v>46230</v>
      </c>
      <c r="E99" s="5" t="n">
        <v>46225</v>
      </c>
      <c r="F99" s="5">
        <f>IFERROR(INDEX('Batch Dates'!$G:$G,MATCH(J99,'Batch Dates'!$C:$C,0)),IFERROR(INDEX('Batch Dates'!$G:$G,MATCH(I99,'Batch Dates'!$B:$B,0)),""))</f>
        <v/>
      </c>
      <c r="G99" s="2" t="inlineStr">
        <is>
          <t>post-SOP</t>
        </is>
      </c>
      <c r="H99" s="2" t="inlineStr">
        <is>
          <t>retest 1</t>
        </is>
      </c>
      <c r="I99" s="3" t="inlineStr">
        <is>
          <t>GG012603</t>
        </is>
      </c>
      <c r="J99" s="2" t="inlineStr">
        <is>
          <t>P060402</t>
        </is>
      </c>
      <c r="K99" s="2" t="inlineStr">
        <is>
          <t>Gorilla Glue</t>
        </is>
      </c>
      <c r="L99" s="2" t="inlineStr">
        <is>
          <t>Ident A + Ident B + Foreign matter</t>
        </is>
      </c>
      <c r="M99" s="6" t="inlineStr">
        <is>
          <t>—</t>
        </is>
      </c>
      <c r="N99" s="2">
        <f>IFERROR(INDEX('CoQ Register'!$B:$B,MATCH("P060402|R",'CoQ Register'!$S:$S,0)),"—")</f>
        <v/>
      </c>
      <c r="O99" s="6" t="inlineStr">
        <is>
          <t>—</t>
        </is>
      </c>
      <c r="P99" s="2" t="inlineStr">
        <is>
          <t>24.05.2027</t>
        </is>
      </c>
      <c r="Q99" s="2" t="inlineStr">
        <is>
          <t>04.05.2026</t>
        </is>
      </c>
      <c r="R99" s="2" t="inlineStr">
        <is>
          <t>24.05.2026</t>
        </is>
      </c>
      <c r="S99" s="5">
        <f>IFERROR(INDEX('CoQ Register'!$D:$D,MATCH("P060402|R",'CoQ Register'!$S:$S,0)),"")</f>
        <v/>
      </c>
      <c r="T99" s="2" t="inlineStr">
        <is>
          <t>CNP ППК26114</t>
        </is>
      </c>
      <c r="U99" s="2" t="inlineStr">
        <is>
          <t>CNP ППК26114</t>
        </is>
      </c>
      <c r="V99" s="2" t="inlineStr">
        <is>
          <t>Conforms</t>
        </is>
      </c>
      <c r="W99" s="2" t="inlineStr">
        <is>
          <t>197-8-K-26, (07.08.2026) [FHM-K]</t>
        </is>
      </c>
      <c r="X99" s="2" t="inlineStr">
        <is>
          <t>197-8-K-26, (07.08.2026) [FHM-K]</t>
        </is>
      </c>
      <c r="Y99" s="2" t="inlineStr">
        <is>
          <t>197-8-M-26, (10.08.2026) [FHM-M]</t>
        </is>
      </c>
      <c r="Z99" s="2" t="inlineStr">
        <is>
          <t>#8, #9, #11, #12 from the initial testing</t>
        </is>
      </c>
      <c r="AA99" s="2" t="inlineStr">
        <is>
          <t>P060402|R</t>
        </is>
      </c>
      <c r="AB99" s="7" t="inlineStr">
        <is>
          <t>registered — retest 1 · Tranche 1 (sampled 21–24.07.2026), tested 22.07.2026, issued 27.07.2026</t>
        </is>
      </c>
    </row>
    <row r="100">
      <c r="A100" s="2" t="n">
        <v>99</v>
      </c>
      <c r="B100" s="3" t="inlineStr">
        <is>
          <t>iCoA-PP_26-099</t>
        </is>
      </c>
      <c r="C100" s="4" t="inlineStr">
        <is>
          <t>yes</t>
        </is>
      </c>
      <c r="D100" s="5" t="n">
        <v>46230</v>
      </c>
      <c r="E100" s="5" t="n">
        <v>46226</v>
      </c>
      <c r="F100" s="5">
        <f>IFERROR(INDEX('Batch Dates'!$G:$G,MATCH(J100,'Batch Dates'!$C:$C,0)),IFERROR(INDEX('Batch Dates'!$G:$G,MATCH(I100,'Batch Dates'!$B:$B,0)),""))</f>
        <v/>
      </c>
      <c r="G100" s="2" t="inlineStr">
        <is>
          <t>legacy</t>
        </is>
      </c>
      <c r="H100" s="2" t="inlineStr">
        <is>
          <t>retest 1</t>
        </is>
      </c>
      <c r="I100" s="3" t="inlineStr">
        <is>
          <t>GP082501/2</t>
        </is>
      </c>
      <c r="J100" s="2" t="inlineStr">
        <is>
          <t>P050322</t>
        </is>
      </c>
      <c r="K100" s="2" t="inlineStr">
        <is>
          <t>Grape Pie</t>
        </is>
      </c>
      <c r="L100" s="2" t="inlineStr">
        <is>
          <t>Ident A + Ident B + Foreign matter</t>
        </is>
      </c>
      <c r="M100" s="6" t="inlineStr">
        <is>
          <t>—</t>
        </is>
      </c>
      <c r="N100" s="2">
        <f>IFERROR(INDEX('CoQ Register'!$B:$B,MATCH("P050322|R",'CoQ Register'!$S:$S,0)),"—")</f>
        <v/>
      </c>
      <c r="O100" s="6" t="inlineStr">
        <is>
          <t>—</t>
        </is>
      </c>
      <c r="P100" s="2" t="inlineStr">
        <is>
          <t>26.12.2026</t>
        </is>
      </c>
      <c r="Q100" s="2" t="inlineStr">
        <is>
          <t>20.11.2025</t>
        </is>
      </c>
      <c r="R100" s="2" t="inlineStr">
        <is>
          <t>26.12.2025</t>
        </is>
      </c>
      <c r="S100" s="5">
        <f>IFERROR(INDEX('CoQ Register'!$D:$D,MATCH("P050322|R",'CoQ Register'!$S:$S,0)),"")</f>
        <v/>
      </c>
      <c r="T100" s="2" t="inlineStr">
        <is>
          <t>Conforms</t>
        </is>
      </c>
      <c r="U100" s="2" t="inlineStr">
        <is>
          <t>Conforms</t>
        </is>
      </c>
      <c r="V100" s="2" t="inlineStr">
        <is>
          <t>Conforms</t>
        </is>
      </c>
      <c r="W100" s="2" t="inlineStr">
        <is>
          <t>197-12-K-26, (07.08.2026) [FHM-K]</t>
        </is>
      </c>
      <c r="X100" s="2" t="inlineStr">
        <is>
          <t>197-12-K-26, (07.08.2026) [FHM-K]</t>
        </is>
      </c>
      <c r="Y100" s="2" t="inlineStr">
        <is>
          <t>197-12-M-26, (10.08.2026) [FHM-M]</t>
        </is>
      </c>
      <c r="Z100" s="2" t="inlineStr">
        <is>
          <t>#8, #9, #11, #12 from the initial testing</t>
        </is>
      </c>
      <c r="AA100" s="2" t="inlineStr">
        <is>
          <t>P050322|R</t>
        </is>
      </c>
      <c r="AB100" s="7" t="inlineStr">
        <is>
          <t>registered — retest 1 · Tranche 1 (sampled 21–24.07.2026), tested 23.07.2026, issued 27.07.2026</t>
        </is>
      </c>
    </row>
    <row r="101">
      <c r="A101" s="2" t="n">
        <v>100</v>
      </c>
      <c r="B101" s="3" t="inlineStr">
        <is>
          <t>iCoA-PP_26-100</t>
        </is>
      </c>
      <c r="C101" s="4" t="inlineStr">
        <is>
          <t>yes</t>
        </is>
      </c>
      <c r="D101" s="5" t="n">
        <v>46230</v>
      </c>
      <c r="E101" s="5" t="n">
        <v>46226</v>
      </c>
      <c r="F101" s="5">
        <f>IFERROR(INDEX('Batch Dates'!$G:$G,MATCH(J101,'Batch Dates'!$C:$C,0)),IFERROR(INDEX('Batch Dates'!$G:$G,MATCH(I101,'Batch Dates'!$B:$B,0)),""))</f>
        <v/>
      </c>
      <c r="G101" s="2" t="inlineStr">
        <is>
          <t>legacy</t>
        </is>
      </c>
      <c r="H101" s="2" t="inlineStr">
        <is>
          <t>retest 1</t>
        </is>
      </c>
      <c r="I101" s="3" t="inlineStr">
        <is>
          <t>HPA1024</t>
        </is>
      </c>
      <c r="J101" s="2" t="inlineStr">
        <is>
          <t>N/A — no P batch assigned</t>
        </is>
      </c>
      <c r="K101" s="2" t="inlineStr">
        <is>
          <t>High Pro Amnesia</t>
        </is>
      </c>
      <c r="L101" s="2" t="inlineStr">
        <is>
          <t>Ident A + Ident B + Foreign matter</t>
        </is>
      </c>
      <c r="M101" s="6" t="inlineStr">
        <is>
          <t>—</t>
        </is>
      </c>
      <c r="N101" s="2">
        <f>IFERROR(INDEX('CoQ Register'!$B:$B,MATCH("HPA1024|R",'CoQ Register'!$S:$S,0)),"—")</f>
        <v/>
      </c>
      <c r="O101" s="6" t="inlineStr">
        <is>
          <t>—</t>
        </is>
      </c>
      <c r="P101" s="2" t="inlineStr">
        <is>
          <t>11.04.2026</t>
        </is>
      </c>
      <c r="Q101" s="2" t="inlineStr">
        <is>
          <t>22.01.2025</t>
        </is>
      </c>
      <c r="R101" s="2" t="inlineStr">
        <is>
          <t>11.04.2025</t>
        </is>
      </c>
      <c r="S101" s="5">
        <f>IFERROR(INDEX('CoQ Register'!$D:$D,MATCH("HPA1024|R",'CoQ Register'!$S:$S,0)),"")</f>
        <v/>
      </c>
      <c r="T101" s="2" t="inlineStr">
        <is>
          <t>Conforms</t>
        </is>
      </c>
      <c r="U101" s="2" t="inlineStr">
        <is>
          <t>Conforms</t>
        </is>
      </c>
      <c r="V101" s="2" t="inlineStr">
        <is>
          <t>Conforms</t>
        </is>
      </c>
      <c r="W101" s="2" t="inlineStr">
        <is>
          <t>197-13-K-26, (07.08.2026) [FHM-K]</t>
        </is>
      </c>
      <c r="X101" s="2" t="inlineStr">
        <is>
          <t>197-13-K-26, (07.08.2026) [FHM-K]</t>
        </is>
      </c>
      <c r="Y101" s="2" t="inlineStr">
        <is>
          <t>197-13-M-26, (10.08.2026) [FHM-M]</t>
        </is>
      </c>
      <c r="Z101" s="2" t="inlineStr">
        <is>
          <t>#8, #9, #11, #12 from the initial testing</t>
        </is>
      </c>
      <c r="AA101" s="2" t="inlineStr">
        <is>
          <t>HPA1024|R</t>
        </is>
      </c>
      <c r="AB101" s="7" t="inlineStr">
        <is>
          <t>registered — retest 1 · Tranche 1 (sampled 21–24.07.2026), tested 23.07.2026, issued 27.07.2026</t>
        </is>
      </c>
    </row>
    <row r="102">
      <c r="A102" s="2" t="n">
        <v>101</v>
      </c>
      <c r="B102" s="3" t="inlineStr">
        <is>
          <t>iCoA-PP_26-101</t>
        </is>
      </c>
      <c r="C102" s="4" t="inlineStr">
        <is>
          <t>yes</t>
        </is>
      </c>
      <c r="D102" s="5" t="n">
        <v>46230</v>
      </c>
      <c r="E102" s="5" t="n">
        <v>46226</v>
      </c>
      <c r="F102" s="5">
        <f>IFERROR(INDEX('Batch Dates'!$G:$G,MATCH(J102,'Batch Dates'!$C:$C,0)),IFERROR(INDEX('Batch Dates'!$G:$G,MATCH(I102,'Batch Dates'!$B:$B,0)),""))</f>
        <v/>
      </c>
      <c r="G102" s="2" t="inlineStr">
        <is>
          <t>legacy</t>
        </is>
      </c>
      <c r="H102" s="2" t="inlineStr">
        <is>
          <t>retest 1</t>
        </is>
      </c>
      <c r="I102" s="3" t="inlineStr">
        <is>
          <t>HPA1024_01</t>
        </is>
      </c>
      <c r="J102" s="2" t="inlineStr">
        <is>
          <t>P050052</t>
        </is>
      </c>
      <c r="K102" s="2" t="inlineStr">
        <is>
          <t>High Pro Amnesia</t>
        </is>
      </c>
      <c r="L102" s="2" t="inlineStr">
        <is>
          <t>Ident A + Ident B + Foreign matter</t>
        </is>
      </c>
      <c r="M102" s="6" t="inlineStr">
        <is>
          <t>—</t>
        </is>
      </c>
      <c r="N102" s="2">
        <f>IFERROR(INDEX('CoQ Register'!$B:$B,MATCH("P050052|R",'CoQ Register'!$S:$S,0)),"—")</f>
        <v/>
      </c>
      <c r="O102" s="6" t="inlineStr">
        <is>
          <t>—</t>
        </is>
      </c>
      <c r="P102" s="2" t="inlineStr">
        <is>
          <t>27.06.2026</t>
        </is>
      </c>
      <c r="Q102" s="2" t="inlineStr">
        <is>
          <t>27.05.2025 – 28.05.2025</t>
        </is>
      </c>
      <c r="R102" s="2" t="inlineStr">
        <is>
          <t>27.06.2025 – 04.07.2025</t>
        </is>
      </c>
      <c r="S102" s="5">
        <f>IFERROR(INDEX('CoQ Register'!$D:$D,MATCH("P050052|R",'CoQ Register'!$S:$S,0)),"")</f>
        <v/>
      </c>
      <c r="T102" s="2" t="inlineStr">
        <is>
          <t>Conforms</t>
        </is>
      </c>
      <c r="U102" s="2" t="inlineStr">
        <is>
          <t>Conforms</t>
        </is>
      </c>
      <c r="V102" s="2" t="inlineStr">
        <is>
          <t>Conforms</t>
        </is>
      </c>
      <c r="W102" s="2" t="inlineStr">
        <is>
          <t>197-14-K-26, (07.08.2026) [FHM-K]</t>
        </is>
      </c>
      <c r="X102" s="2" t="inlineStr">
        <is>
          <t>197-14-K-26, (07.08.2026) [FHM-K]</t>
        </is>
      </c>
      <c r="Y102" s="2" t="inlineStr">
        <is>
          <t>197-14-M-26, (10.08.2026) [FHM-M]</t>
        </is>
      </c>
      <c r="Z102" s="2" t="inlineStr">
        <is>
          <t>#8, #9, #11, #12 from the initial testing</t>
        </is>
      </c>
      <c r="AA102" s="2" t="inlineStr">
        <is>
          <t>P050052|R</t>
        </is>
      </c>
      <c r="AB102" s="7" t="inlineStr">
        <is>
          <t>registered — retest 1 · Tranche 1 (sampled 21–24.07.2026), tested 23.07.2026, issued 27.07.2026</t>
        </is>
      </c>
    </row>
    <row r="103">
      <c r="A103" s="2" t="n">
        <v>102</v>
      </c>
      <c r="B103" s="3" t="inlineStr">
        <is>
          <t>iCoA-PP_26-102</t>
        </is>
      </c>
      <c r="C103" s="4" t="inlineStr">
        <is>
          <t>yes</t>
        </is>
      </c>
      <c r="D103" s="5" t="n">
        <v>46230</v>
      </c>
      <c r="E103" s="5" t="n">
        <v>46226</v>
      </c>
      <c r="F103" s="5">
        <f>IFERROR(INDEX('Batch Dates'!$G:$G,MATCH(J103,'Batch Dates'!$C:$C,0)),IFERROR(INDEX('Batch Dates'!$G:$G,MATCH(I103,'Batch Dates'!$B:$B,0)),""))</f>
        <v/>
      </c>
      <c r="G103" s="2" t="inlineStr">
        <is>
          <t>legacy</t>
        </is>
      </c>
      <c r="H103" s="2" t="inlineStr">
        <is>
          <t>retest 1</t>
        </is>
      </c>
      <c r="I103" s="3" t="inlineStr">
        <is>
          <t>J31102501</t>
        </is>
      </c>
      <c r="J103" s="2" t="inlineStr">
        <is>
          <t>P060152</t>
        </is>
      </c>
      <c r="K103" s="2" t="inlineStr">
        <is>
          <t>Jokerz 31</t>
        </is>
      </c>
      <c r="L103" s="2" t="inlineStr">
        <is>
          <t>Ident A + Ident B + Foreign matter</t>
        </is>
      </c>
      <c r="M103" s="6" t="inlineStr">
        <is>
          <t>—</t>
        </is>
      </c>
      <c r="N103" s="2">
        <f>IFERROR(INDEX('CoQ Register'!$B:$B,MATCH("P060152|R",'CoQ Register'!$S:$S,0)),"—")</f>
        <v/>
      </c>
      <c r="O103" s="6" t="inlineStr">
        <is>
          <t>—</t>
        </is>
      </c>
      <c r="P103" s="2" t="inlineStr">
        <is>
          <t>05.03.2027</t>
        </is>
      </c>
      <c r="Q103" s="2" t="inlineStr">
        <is>
          <t>21.01.2026</t>
        </is>
      </c>
      <c r="R103" s="2" t="inlineStr">
        <is>
          <t>05.03.2026</t>
        </is>
      </c>
      <c r="S103" s="5">
        <f>IFERROR(INDEX('CoQ Register'!$D:$D,MATCH("P060152|R",'CoQ Register'!$S:$S,0)),"")</f>
        <v/>
      </c>
      <c r="T103" s="2" t="inlineStr">
        <is>
          <t>Conforms</t>
        </is>
      </c>
      <c r="U103" s="2" t="inlineStr">
        <is>
          <t>Conforms</t>
        </is>
      </c>
      <c r="V103" s="2" t="inlineStr">
        <is>
          <t>Conforms</t>
        </is>
      </c>
      <c r="W103" s="2" t="inlineStr">
        <is>
          <t>197-16-K-26, (07.08.2026) [FHM-K]</t>
        </is>
      </c>
      <c r="X103" s="2" t="inlineStr">
        <is>
          <t>197-16-K-26, (07.08.2026) [FHM-K]</t>
        </is>
      </c>
      <c r="Y103" s="2" t="inlineStr">
        <is>
          <t>197-16-M-26, (10.08.2026) [FHM-M]</t>
        </is>
      </c>
      <c r="Z103" s="2" t="inlineStr">
        <is>
          <t>#8, #9, #11, #12 from the initial testing</t>
        </is>
      </c>
      <c r="AA103" s="2" t="inlineStr">
        <is>
          <t>P060152|R</t>
        </is>
      </c>
      <c r="AB103" s="7" t="inlineStr">
        <is>
          <t>registered — retest 1 · Tranche 1 (sampled 21–24.07.2026), tested 23.07.2026, issued 27.07.2026</t>
        </is>
      </c>
    </row>
    <row r="104">
      <c r="A104" s="2" t="n">
        <v>103</v>
      </c>
      <c r="B104" s="3" t="inlineStr">
        <is>
          <t>iCoA-PP_26-103</t>
        </is>
      </c>
      <c r="C104" s="4" t="inlineStr">
        <is>
          <t>yes</t>
        </is>
      </c>
      <c r="D104" s="5" t="n">
        <v>46230</v>
      </c>
      <c r="E104" s="5" t="n">
        <v>46226</v>
      </c>
      <c r="F104" s="5">
        <f>IFERROR(INDEX('Batch Dates'!$G:$G,MATCH(J104,'Batch Dates'!$C:$C,0)),IFERROR(INDEX('Batch Dates'!$G:$G,MATCH(I104,'Batch Dates'!$B:$B,0)),""))</f>
        <v/>
      </c>
      <c r="G104" s="2" t="inlineStr">
        <is>
          <t>legacy</t>
        </is>
      </c>
      <c r="H104" s="2" t="inlineStr">
        <is>
          <t>retest 1</t>
        </is>
      </c>
      <c r="I104" s="3" t="inlineStr">
        <is>
          <t>JD112501</t>
        </is>
      </c>
      <c r="J104" s="2" t="inlineStr">
        <is>
          <t>P060212</t>
        </is>
      </c>
      <c r="K104" s="2" t="inlineStr">
        <is>
          <t>Jelly Donuts</t>
        </is>
      </c>
      <c r="L104" s="2" t="inlineStr">
        <is>
          <t>Ident A + Ident B + Foreign matter</t>
        </is>
      </c>
      <c r="M104" s="6" t="inlineStr">
        <is>
          <t>—</t>
        </is>
      </c>
      <c r="N104" s="2">
        <f>IFERROR(INDEX('CoQ Register'!$B:$B,MATCH("P060212|R",'CoQ Register'!$S:$S,0)),"—")</f>
        <v/>
      </c>
      <c r="O104" s="6" t="inlineStr">
        <is>
          <t>—</t>
        </is>
      </c>
      <c r="P104" s="2" t="inlineStr">
        <is>
          <t>21.04.2027</t>
        </is>
      </c>
      <c r="Q104" s="2" t="inlineStr">
        <is>
          <t>25.03.2026</t>
        </is>
      </c>
      <c r="R104" s="2" t="inlineStr">
        <is>
          <t>21.04.2026</t>
        </is>
      </c>
      <c r="S104" s="5">
        <f>IFERROR(INDEX('CoQ Register'!$D:$D,MATCH("P060212|R",'CoQ Register'!$S:$S,0)),"")</f>
        <v/>
      </c>
      <c r="T104" s="2" t="inlineStr">
        <is>
          <t>Conforms</t>
        </is>
      </c>
      <c r="U104" s="2" t="inlineStr">
        <is>
          <t>Conforms</t>
        </is>
      </c>
      <c r="V104" s="2" t="inlineStr">
        <is>
          <t>Conforms</t>
        </is>
      </c>
      <c r="W104" s="2" t="inlineStr">
        <is>
          <t>197-15-K-26, (07.08.2026) [FHM-K]</t>
        </is>
      </c>
      <c r="X104" s="2" t="inlineStr">
        <is>
          <t>197-15-K-26, (07.08.2026) [FHM-K]</t>
        </is>
      </c>
      <c r="Y104" s="2" t="inlineStr">
        <is>
          <t>197-15-M-26, (10.08.2026) [FHM-M]</t>
        </is>
      </c>
      <c r="Z104" s="2" t="inlineStr">
        <is>
          <t>#8, #9, #11, #12 from the initial testing</t>
        </is>
      </c>
      <c r="AA104" s="2" t="inlineStr">
        <is>
          <t>P060212|R</t>
        </is>
      </c>
      <c r="AB104" s="7" t="inlineStr">
        <is>
          <t>registered — retest 1 · Tranche 1 (sampled 21–24.07.2026), tested 23.07.2026, issued 27.07.2026</t>
        </is>
      </c>
    </row>
    <row r="105">
      <c r="A105" s="2" t="n">
        <v>104</v>
      </c>
      <c r="B105" s="3" t="inlineStr">
        <is>
          <t>iCoA-PP_26-104</t>
        </is>
      </c>
      <c r="C105" s="4" t="inlineStr">
        <is>
          <t>yes</t>
        </is>
      </c>
      <c r="D105" s="5" t="n">
        <v>46230</v>
      </c>
      <c r="E105" s="5" t="n">
        <v>46227</v>
      </c>
      <c r="F105" s="5">
        <f>IFERROR(INDEX('Batch Dates'!$G:$G,MATCH(J105,'Batch Dates'!$C:$C,0)),IFERROR(INDEX('Batch Dates'!$G:$G,MATCH(I105,'Batch Dates'!$B:$B,0)),""))</f>
        <v/>
      </c>
      <c r="G105" s="2" t="inlineStr">
        <is>
          <t>legacy</t>
        </is>
      </c>
      <c r="H105" s="2" t="inlineStr">
        <is>
          <t>retest 1</t>
        </is>
      </c>
      <c r="I105" s="3" t="inlineStr">
        <is>
          <t>OPM1024</t>
        </is>
      </c>
      <c r="J105" s="2" t="inlineStr">
        <is>
          <t>N/A — no P batch assigned</t>
        </is>
      </c>
      <c r="K105" s="2" t="inlineStr">
        <is>
          <t>Orange Punch Mimosa</t>
        </is>
      </c>
      <c r="L105" s="2" t="inlineStr">
        <is>
          <t>Ident A + Ident B + Foreign matter</t>
        </is>
      </c>
      <c r="M105" s="6" t="inlineStr">
        <is>
          <t>—</t>
        </is>
      </c>
      <c r="N105" s="2">
        <f>IFERROR(INDEX('CoQ Register'!$B:$B,MATCH("OPM1024|R",'CoQ Register'!$S:$S,0)),"—")</f>
        <v/>
      </c>
      <c r="O105" s="6" t="inlineStr">
        <is>
          <t>—</t>
        </is>
      </c>
      <c r="P105" s="2" t="inlineStr">
        <is>
          <t>24.04.2026</t>
        </is>
      </c>
      <c r="Q105" s="2" t="inlineStr">
        <is>
          <t>21.01.2025</t>
        </is>
      </c>
      <c r="R105" s="2" t="inlineStr">
        <is>
          <t>24.04.2025 – 25.04.2025</t>
        </is>
      </c>
      <c r="S105" s="5">
        <f>IFERROR(INDEX('CoQ Register'!$D:$D,MATCH("OPM1024|R",'CoQ Register'!$S:$S,0)),"")</f>
        <v/>
      </c>
      <c r="T105" s="2" t="inlineStr">
        <is>
          <t>Conforms</t>
        </is>
      </c>
      <c r="U105" s="2" t="inlineStr">
        <is>
          <t>Conforms</t>
        </is>
      </c>
      <c r="V105" s="2" t="inlineStr">
        <is>
          <t>Conforms</t>
        </is>
      </c>
      <c r="W105" s="2" t="inlineStr">
        <is>
          <t>197-17-K-26, (07.08.2026) [FHM-K]</t>
        </is>
      </c>
      <c r="X105" s="2" t="inlineStr">
        <is>
          <t>197-17-K-26, (07.08.2026) [FHM-K]</t>
        </is>
      </c>
      <c r="Y105" s="2" t="inlineStr">
        <is>
          <t>197-17-M-26, (10.08.2026) [FHM-M]</t>
        </is>
      </c>
      <c r="Z105" s="2" t="inlineStr">
        <is>
          <t>#8, #9, #11, #12 from the initial testing</t>
        </is>
      </c>
      <c r="AA105" s="2" t="inlineStr">
        <is>
          <t>OPM1024|R</t>
        </is>
      </c>
      <c r="AB105" s="7" t="inlineStr">
        <is>
          <t>registered — retest 1 · Tranche 1 (sampled 21–24.07.2026), tested 24.07.2026, issued 27.07.2026</t>
        </is>
      </c>
    </row>
    <row r="106">
      <c r="A106" s="2" t="n">
        <v>105</v>
      </c>
      <c r="B106" s="3" t="inlineStr">
        <is>
          <t>iCoA-PP_26-105</t>
        </is>
      </c>
      <c r="C106" s="4" t="inlineStr">
        <is>
          <t>yes</t>
        </is>
      </c>
      <c r="D106" s="5" t="n">
        <v>46230</v>
      </c>
      <c r="E106" s="5" t="n">
        <v>46227</v>
      </c>
      <c r="F106" s="5">
        <f>IFERROR(INDEX('Batch Dates'!$G:$G,MATCH(J106,'Batch Dates'!$C:$C,0)),IFERROR(INDEX('Batch Dates'!$G:$G,MATCH(I106,'Batch Dates'!$B:$B,0)),""))</f>
        <v/>
      </c>
      <c r="G106" s="2" t="inlineStr">
        <is>
          <t>legacy</t>
        </is>
      </c>
      <c r="H106" s="2" t="inlineStr">
        <is>
          <t>retest 1</t>
        </is>
      </c>
      <c r="I106" s="3" t="inlineStr">
        <is>
          <t>OPM1024_02</t>
        </is>
      </c>
      <c r="J106" s="2" t="inlineStr">
        <is>
          <t>P050062</t>
        </is>
      </c>
      <c r="K106" s="2" t="inlineStr">
        <is>
          <t>Orange Punch Mimosa</t>
        </is>
      </c>
      <c r="L106" s="2" t="inlineStr">
        <is>
          <t>Ident A + Ident B + Foreign matter</t>
        </is>
      </c>
      <c r="M106" s="6" t="inlineStr">
        <is>
          <t>—</t>
        </is>
      </c>
      <c r="N106" s="2">
        <f>IFERROR(INDEX('CoQ Register'!$B:$B,MATCH("P050062|R",'CoQ Register'!$S:$S,0)),"—")</f>
        <v/>
      </c>
      <c r="O106" s="6" t="inlineStr">
        <is>
          <t>—</t>
        </is>
      </c>
      <c r="P106" s="2" t="inlineStr">
        <is>
          <t>04.07.2026</t>
        </is>
      </c>
      <c r="Q106" s="2" t="inlineStr">
        <is>
          <t>29.05.2025 – 30.05.2025</t>
        </is>
      </c>
      <c r="R106" s="2" t="inlineStr">
        <is>
          <t>04.07.2025 – 10.07.2025</t>
        </is>
      </c>
      <c r="S106" s="5">
        <f>IFERROR(INDEX('CoQ Register'!$D:$D,MATCH("P050062|R",'CoQ Register'!$S:$S,0)),"")</f>
        <v/>
      </c>
      <c r="T106" s="2" t="inlineStr">
        <is>
          <t>Conforms</t>
        </is>
      </c>
      <c r="U106" s="2" t="inlineStr">
        <is>
          <t>Conforms</t>
        </is>
      </c>
      <c r="V106" s="2" t="inlineStr">
        <is>
          <t>Conforms</t>
        </is>
      </c>
      <c r="W106" s="2" t="inlineStr">
        <is>
          <t>197-18-K-26, (07.08.2026) [FHM-K]</t>
        </is>
      </c>
      <c r="X106" s="2" t="inlineStr">
        <is>
          <t>197-18-K-26, (07.08.2026) [FHM-K]</t>
        </is>
      </c>
      <c r="Y106" s="2" t="inlineStr">
        <is>
          <t>197-18-M-26, (10.08.2026) [FHM-M]</t>
        </is>
      </c>
      <c r="Z106" s="2" t="inlineStr">
        <is>
          <t>#8, #9, #11, #12 from the initial testing</t>
        </is>
      </c>
      <c r="AA106" s="2" t="inlineStr">
        <is>
          <t>P050062|R</t>
        </is>
      </c>
      <c r="AB106" s="7" t="inlineStr">
        <is>
          <t>registered — retest 1 · Tranche 1 (sampled 21–24.07.2026), tested 24.07.2026, issued 27.07.2026</t>
        </is>
      </c>
    </row>
    <row r="107">
      <c r="A107" s="2" t="n">
        <v>106</v>
      </c>
      <c r="B107" s="3" t="inlineStr">
        <is>
          <t>iCoA-PP_26-106</t>
        </is>
      </c>
      <c r="C107" s="4" t="inlineStr">
        <is>
          <t>yes</t>
        </is>
      </c>
      <c r="D107" s="5" t="n">
        <v>46230</v>
      </c>
      <c r="E107" s="5" t="n">
        <v>46227</v>
      </c>
      <c r="F107" s="5">
        <f>IFERROR(INDEX('Batch Dates'!$G:$G,MATCH(J107,'Batch Dates'!$C:$C,0)),IFERROR(INDEX('Batch Dates'!$G:$G,MATCH(I107,'Batch Dates'!$B:$B,0)),""))</f>
        <v/>
      </c>
      <c r="G107" s="2" t="inlineStr">
        <is>
          <t>legacy</t>
        </is>
      </c>
      <c r="H107" s="2" t="inlineStr">
        <is>
          <t>retest 1</t>
        </is>
      </c>
      <c r="I107" s="3" t="inlineStr">
        <is>
          <t>OPM122501</t>
        </is>
      </c>
      <c r="J107" s="2" t="inlineStr">
        <is>
          <t>P060242</t>
        </is>
      </c>
      <c r="K107" s="2" t="inlineStr">
        <is>
          <t>Orange Punch Mimosa</t>
        </is>
      </c>
      <c r="L107" s="2" t="inlineStr">
        <is>
          <t>Ident A + Ident B + Foreign matter</t>
        </is>
      </c>
      <c r="M107" s="6" t="inlineStr">
        <is>
          <t>—</t>
        </is>
      </c>
      <c r="N107" s="2">
        <f>IFERROR(INDEX('CoQ Register'!$B:$B,MATCH("P060242|R",'CoQ Register'!$S:$S,0)),"—")</f>
        <v/>
      </c>
      <c r="O107" s="6" t="inlineStr">
        <is>
          <t>—</t>
        </is>
      </c>
      <c r="P107" s="2" t="inlineStr">
        <is>
          <t>28.04.2027</t>
        </is>
      </c>
      <c r="Q107" s="2" t="inlineStr">
        <is>
          <t>11.03.2026</t>
        </is>
      </c>
      <c r="R107" s="2" t="inlineStr">
        <is>
          <t>28.04.2026</t>
        </is>
      </c>
      <c r="S107" s="5">
        <f>IFERROR(INDEX('CoQ Register'!$D:$D,MATCH("P060242|R",'CoQ Register'!$S:$S,0)),"")</f>
        <v/>
      </c>
      <c r="T107" s="2" t="inlineStr">
        <is>
          <t>Conforms</t>
        </is>
      </c>
      <c r="U107" s="2" t="inlineStr">
        <is>
          <t>Conforms</t>
        </is>
      </c>
      <c r="V107" s="2" t="inlineStr">
        <is>
          <t>Conforms</t>
        </is>
      </c>
      <c r="W107" s="2" t="inlineStr">
        <is>
          <t>197-19-K-26, (07.08.2026) [FHM-K]</t>
        </is>
      </c>
      <c r="X107" s="2" t="inlineStr">
        <is>
          <t>197-19-K-26, (07.08.2026) [FHM-K]</t>
        </is>
      </c>
      <c r="Y107" s="2" t="inlineStr">
        <is>
          <t>197-19-M-26, (10.08.2026) [FHM-M]</t>
        </is>
      </c>
      <c r="Z107" s="2" t="inlineStr">
        <is>
          <t>#8, #9, #11, #12 from the initial testing</t>
        </is>
      </c>
      <c r="AA107" s="2" t="inlineStr">
        <is>
          <t>P060242|R</t>
        </is>
      </c>
      <c r="AB107" s="7" t="inlineStr">
        <is>
          <t>registered — retest 1 · Tranche 1 (sampled 21–24.07.2026), tested 24.07.2026, issued 27.07.2026</t>
        </is>
      </c>
    </row>
    <row r="108">
      <c r="A108" s="2" t="n">
        <v>107</v>
      </c>
      <c r="B108" s="3" t="inlineStr">
        <is>
          <t>iCoA-PP_26-107</t>
        </is>
      </c>
      <c r="C108" s="4" t="inlineStr">
        <is>
          <t>yes</t>
        </is>
      </c>
      <c r="D108" s="5" t="n">
        <v>46230</v>
      </c>
      <c r="E108" s="5" t="n">
        <v>46227</v>
      </c>
      <c r="F108" s="5">
        <f>IFERROR(INDEX('Batch Dates'!$G:$G,MATCH(J108,'Batch Dates'!$C:$C,0)),IFERROR(INDEX('Batch Dates'!$G:$G,MATCH(I108,'Batch Dates'!$B:$B,0)),""))</f>
        <v/>
      </c>
      <c r="G108" s="2" t="inlineStr">
        <is>
          <t>post-SOP</t>
        </is>
      </c>
      <c r="H108" s="2" t="inlineStr">
        <is>
          <t>retest 1</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25.05.2027</t>
        </is>
      </c>
      <c r="Q108" s="2" t="inlineStr">
        <is>
          <t>22.04.2026</t>
        </is>
      </c>
      <c r="R108" s="2" t="inlineStr">
        <is>
          <t>25.05.2026</t>
        </is>
      </c>
      <c r="S108" s="5">
        <f>IFERROR(INDEX('CoQ Register'!$D:$D,MATCH("P060382|R",'CoQ Register'!$S:$S,0)),"")</f>
        <v/>
      </c>
      <c r="T108" s="2" t="inlineStr">
        <is>
          <t>Conforms</t>
        </is>
      </c>
      <c r="U108" s="2" t="inlineStr">
        <is>
          <t>Conforms</t>
        </is>
      </c>
      <c r="V108" s="2" t="inlineStr">
        <is>
          <t>Conforms</t>
        </is>
      </c>
      <c r="W108" s="2" t="inlineStr">
        <is>
          <t>197-21-K-26, (07.08.2026) [FHM-K]</t>
        </is>
      </c>
      <c r="X108" s="2" t="inlineStr">
        <is>
          <t>197-21-K-26, (07.08.2026) [FHM-K]</t>
        </is>
      </c>
      <c r="Y108" s="2" t="inlineStr">
        <is>
          <t>197-21-M-26, (10.08.2026) [FHM-M]</t>
        </is>
      </c>
      <c r="Z108" s="2" t="inlineStr">
        <is>
          <t>#8, #9, #11, #12 from the initial testing</t>
        </is>
      </c>
      <c r="AA108" s="2" t="inlineStr">
        <is>
          <t>P060382|R</t>
        </is>
      </c>
      <c r="AB108" s="7" t="inlineStr">
        <is>
          <t>registered — retest 1 · Tranche 1 (sampled 21–24.07.2026), tested 24.07.2026, issued 27.07.2026</t>
        </is>
      </c>
    </row>
    <row r="109">
      <c r="A109" s="2" t="n">
        <v>108</v>
      </c>
      <c r="B109" s="3" t="inlineStr">
        <is>
          <t>iCoA-PP_26-108</t>
        </is>
      </c>
      <c r="C109" s="4" t="inlineStr">
        <is>
          <t>yes</t>
        </is>
      </c>
      <c r="D109" s="5" t="n">
        <v>46230</v>
      </c>
      <c r="E109" s="5" t="n">
        <v>46227</v>
      </c>
      <c r="F109" s="5">
        <f>IFERROR(INDEX('Batch Dates'!$G:$G,MATCH(J109,'Batch Dates'!$C:$C,0)),IFERROR(INDEX('Batch Dates'!$G:$G,MATCH(I109,'Batch Dates'!$B:$B,0)),""))</f>
        <v/>
      </c>
      <c r="G109" s="2" t="inlineStr">
        <is>
          <t>legacy</t>
        </is>
      </c>
      <c r="H109" s="2" t="inlineStr">
        <is>
          <t>retest 1</t>
        </is>
      </c>
      <c r="I109" s="3" t="inlineStr">
        <is>
          <t>PM092501</t>
        </is>
      </c>
      <c r="J109" s="2" t="inlineStr">
        <is>
          <t>P060062</t>
        </is>
      </c>
      <c r="K109" s="2" t="inlineStr">
        <is>
          <t>Permanent Marker</t>
        </is>
      </c>
      <c r="L109" s="2" t="inlineStr">
        <is>
          <t>Ident A + Ident B + Foreign matter</t>
        </is>
      </c>
      <c r="M109" s="6" t="inlineStr">
        <is>
          <t>—</t>
        </is>
      </c>
      <c r="N109" s="2">
        <f>IFERROR(INDEX('CoQ Register'!$B:$B,MATCH("P060062|R",'CoQ Register'!$S:$S,0)),"—")</f>
        <v/>
      </c>
      <c r="O109" s="6" t="inlineStr">
        <is>
          <t>—</t>
        </is>
      </c>
      <c r="P109" s="2" t="inlineStr">
        <is>
          <t>30.01.2027</t>
        </is>
      </c>
      <c r="Q109" s="2" t="inlineStr">
        <is>
          <t>11.12.2025</t>
        </is>
      </c>
      <c r="R109" s="2" t="inlineStr">
        <is>
          <t>30.01.2026</t>
        </is>
      </c>
      <c r="S109" s="5">
        <f>IFERROR(INDEX('CoQ Register'!$D:$D,MATCH("P060062|R",'CoQ Register'!$S:$S,0)),"")</f>
        <v/>
      </c>
      <c r="T109" s="2" t="inlineStr">
        <is>
          <t>Conforms</t>
        </is>
      </c>
      <c r="U109" s="2" t="inlineStr">
        <is>
          <t>Conforms</t>
        </is>
      </c>
      <c r="V109" s="2" t="inlineStr">
        <is>
          <t>Conforms</t>
        </is>
      </c>
      <c r="W109" s="2" t="inlineStr">
        <is>
          <t>197-20-K-26, (07.08.2026) [FHM-K]</t>
        </is>
      </c>
      <c r="X109" s="2" t="inlineStr">
        <is>
          <t>197-20-K-26, (07.08.2026) [FHM-K]</t>
        </is>
      </c>
      <c r="Y109" s="2" t="inlineStr">
        <is>
          <t>197-20-M-26, (10.08.2026) [FHM-M]</t>
        </is>
      </c>
      <c r="Z109" s="2" t="inlineStr">
        <is>
          <t>#8, #9, #11, #12 from the initial testing</t>
        </is>
      </c>
      <c r="AA109" s="2" t="inlineStr">
        <is>
          <t>P060062|R</t>
        </is>
      </c>
      <c r="AB109" s="7" t="inlineStr">
        <is>
          <t>registered — retest 1 · Tranche 1 (sampled 21–24.07.2026), tested 24.07.2026, issued 27.07.2026</t>
        </is>
      </c>
    </row>
    <row r="110">
      <c r="A110" s="2" t="n">
        <v>109</v>
      </c>
      <c r="B110" s="3" t="inlineStr">
        <is>
          <t>iCoA-PP_26-109</t>
        </is>
      </c>
      <c r="C110" s="4" t="inlineStr">
        <is>
          <t>yes</t>
        </is>
      </c>
      <c r="D110" s="5">
        <f>IF(A110="","",IF(ISNUMBER(E110),MAX(DATE(2026,6,3),E110),DATE(2026,6,3)))</f>
        <v/>
      </c>
      <c r="E110" s="5">
        <f>IFERROR(INDEX('Batch Dates'!$F:$F,MATCH(J110,'Batch Dates'!$C:$C,0)),IFERROR(INDEX('Batch Dates'!$F:$F,MATCH(I110,'Batch Dates'!$B:$B,0)),""))</f>
        <v/>
      </c>
      <c r="F110" s="5">
        <f>IFERROR(INDEX('Batch Dates'!$G:$G,MATCH(J110,'Batch Dates'!$C:$C,0)),IFERROR(INDEX('Batch Dates'!$G:$G,MATCH(I110,'Batch Dates'!$B:$B,0)),""))</f>
        <v/>
      </c>
      <c r="G110" s="2" t="inlineStr">
        <is>
          <t>post-SOP</t>
        </is>
      </c>
      <c r="H110" s="2" t="inlineStr">
        <is>
          <t>initial release</t>
        </is>
      </c>
      <c r="I110" s="3" t="inlineStr">
        <is>
          <t>JD022601</t>
        </is>
      </c>
      <c r="J110" s="2" t="inlineStr">
        <is>
          <t>P060482</t>
        </is>
      </c>
      <c r="K110" s="2" t="inlineStr">
        <is>
          <t>Jelly Donuts</t>
        </is>
      </c>
      <c r="L110" s="2" t="inlineStr">
        <is>
          <t>Ident A + Ident B + Foreign matter</t>
        </is>
      </c>
      <c r="M110" s="2" t="inlineStr">
        <is>
          <t>A: ППК26115 / B: ППК26115 / FM: ППК26115</t>
        </is>
      </c>
      <c r="N110" s="2">
        <f>IFERROR(INDEX('CoQ Register'!$B:$B,MATCH("P060482|I",'CoQ Register'!$S:$S,0)),"—")</f>
        <v/>
      </c>
      <c r="O110" s="6" t="inlineStr">
        <is>
          <t>—</t>
        </is>
      </c>
      <c r="P110" s="2" t="inlineStr">
        <is>
          <t>30.06.2026</t>
        </is>
      </c>
      <c r="Q110" s="2" t="inlineStr">
        <is>
          <t>18.05.2026</t>
        </is>
      </c>
      <c r="R110" s="2" t="inlineStr">
        <is>
          <t>05.08.2026 (the issuance plan's basis: 30.06.2026)</t>
        </is>
      </c>
      <c r="S110" s="5">
        <f>IFERROR(INDEX('CoQ Register'!$D:$D,MATCH("P060482|I",'CoQ Register'!$S:$S,0)),"")</f>
        <v/>
      </c>
      <c r="T110" s="2" t="inlineStr">
        <is>
          <t>CNP ППК26115</t>
        </is>
      </c>
      <c r="U110" s="2" t="inlineStr">
        <is>
          <t>CNP ППК26115</t>
        </is>
      </c>
      <c r="V110" s="2" t="inlineStr">
        <is>
          <t>CNP ППК26115</t>
        </is>
      </c>
      <c r="W110" s="2" t="inlineStr">
        <is>
          <t>ППК26115, (30.06.2026) [CNP]</t>
        </is>
      </c>
      <c r="X110" s="2" t="inlineStr">
        <is>
          <t>—</t>
        </is>
      </c>
      <c r="Y110" s="2" t="inlineStr">
        <is>
          <t>—</t>
        </is>
      </c>
      <c r="Z110" s="2" t="inlineStr">
        <is>
          <t>—</t>
        </is>
      </c>
      <c r="AA110" s="2" t="inlineStr">
        <is>
          <t>P060482|I</t>
        </is>
      </c>
      <c r="AB110" s="7" t="inlineStr">
        <is>
          <t>registered — initial release, issued 05.08.2026</t>
        </is>
      </c>
    </row>
    <row r="111">
      <c r="A111" s="2" t="n">
        <v>110</v>
      </c>
      <c r="B111" s="3" t="inlineStr">
        <is>
          <t>iCoA-PP_26-110</t>
        </is>
      </c>
      <c r="C111" s="4" t="inlineStr">
        <is>
          <t>yes</t>
        </is>
      </c>
      <c r="D111" s="5">
        <f>IF(A111="","",IF(ISNUMBER(E111),MAX(DATE(2026,6,3),E111),DATE(2026,6,3)))</f>
        <v/>
      </c>
      <c r="E111" s="5">
        <f>IFERROR(INDEX('Batch Dates'!$F:$F,MATCH(J111,'Batch Dates'!$C:$C,0)),IFERROR(INDEX('Batch Dates'!$F:$F,MATCH(I111,'Batch Dates'!$B:$B,0)),""))</f>
        <v/>
      </c>
      <c r="F111" s="5">
        <f>IFERROR(INDEX('Batch Dates'!$G:$G,MATCH(J111,'Batch Dates'!$C:$C,0)),IFERROR(INDEX('Batch Dates'!$G:$G,MATCH(I111,'Batch Dates'!$B:$B,0)),""))</f>
        <v/>
      </c>
      <c r="G111" s="2" t="inlineStr">
        <is>
          <t>post-SOP</t>
        </is>
      </c>
      <c r="H111" s="2" t="inlineStr">
        <is>
          <t>initial release</t>
        </is>
      </c>
      <c r="I111" s="3" t="inlineStr">
        <is>
          <t>JD042601</t>
        </is>
      </c>
      <c r="J111" s="2" t="inlineStr">
        <is>
          <t>P060492</t>
        </is>
      </c>
      <c r="K111" s="2" t="inlineStr">
        <is>
          <t>Jelly Donuts</t>
        </is>
      </c>
      <c r="L111" s="2" t="inlineStr">
        <is>
          <t>Ident A + Ident B + Foreign matter</t>
        </is>
      </c>
      <c r="M111" s="6" t="inlineStr">
        <is>
          <t>—</t>
        </is>
      </c>
      <c r="N111" s="2">
        <f>IFERROR(INDEX('CoQ Register'!$B:$B,MATCH("P060492|I",'CoQ Register'!$S:$S,0)),"—")</f>
        <v/>
      </c>
      <c r="O111" s="6" t="inlineStr">
        <is>
          <t>—</t>
        </is>
      </c>
      <c r="P111" s="2" t="inlineStr">
        <is>
          <t>13.08.2026</t>
        </is>
      </c>
      <c r="Q111" s="2" t="inlineStr">
        <is>
          <t>21.07.2026</t>
        </is>
      </c>
      <c r="R111" s="2" t="inlineStr">
        <is>
          <t>13.08.2026</t>
        </is>
      </c>
      <c r="S111" s="5">
        <f>IFERROR(INDEX('CoQ Register'!$D:$D,MATCH("P060492|I",'CoQ Register'!$S:$S,0)),"")</f>
        <v/>
      </c>
      <c r="T111" s="2" t="inlineStr">
        <is>
          <t>Conforms</t>
        </is>
      </c>
      <c r="U111" s="2" t="inlineStr">
        <is>
          <t>Conforms</t>
        </is>
      </c>
      <c r="V111" s="2" t="inlineStr">
        <is>
          <t>Conforms</t>
        </is>
      </c>
      <c r="W111" s="2" t="inlineStr">
        <is>
          <t>— no cannabinoid certificate from the initial testing —</t>
        </is>
      </c>
      <c r="X111" s="2" t="inlineStr">
        <is>
          <t>—</t>
        </is>
      </c>
      <c r="Y111" s="2" t="inlineStr">
        <is>
          <t>—</t>
        </is>
      </c>
      <c r="Z111" s="2" t="inlineStr">
        <is>
          <t>—</t>
        </is>
      </c>
      <c r="AA111" s="2" t="inlineStr">
        <is>
          <t>P060492|I</t>
        </is>
      </c>
      <c r="AB111" s="7" t="inlineStr">
        <is>
          <t>registered — initial release, issued 13.08.2026</t>
        </is>
      </c>
    </row>
    <row r="112">
      <c r="A112" s="2" t="n">
        <v>111</v>
      </c>
      <c r="B112" s="3" t="inlineStr">
        <is>
          <t>iCoA-PP_26-111</t>
        </is>
      </c>
      <c r="C112" s="4" t="inlineStr">
        <is>
          <t>yes</t>
        </is>
      </c>
      <c r="D112" s="5" t="n">
        <v>46251</v>
      </c>
      <c r="E112" s="5" t="n">
        <v>46246</v>
      </c>
      <c r="F112" s="5">
        <f>IFERROR(INDEX('Batch Dates'!$G:$G,MATCH(J112,'Batch Dates'!$C:$C,0)),IFERROR(INDEX('Batch Dates'!$G:$G,MATCH(I112,'Batch Dates'!$B:$B,0)),""))</f>
        <v/>
      </c>
      <c r="G112" s="2" t="inlineStr">
        <is>
          <t>legacy</t>
        </is>
      </c>
      <c r="H112" s="2" t="inlineStr">
        <is>
          <t>retest 1</t>
        </is>
      </c>
      <c r="I112" s="3" t="inlineStr">
        <is>
          <t>ACC102501</t>
        </is>
      </c>
      <c r="J112" s="2" t="inlineStr">
        <is>
          <t>P060122</t>
        </is>
      </c>
      <c r="K112" s="2" t="inlineStr">
        <is>
          <t>Amnesia Core Cut</t>
        </is>
      </c>
      <c r="L112" s="2" t="inlineStr">
        <is>
          <t>Ident A + Ident B + Foreign matter</t>
        </is>
      </c>
      <c r="M112" s="6" t="inlineStr">
        <is>
          <t>—</t>
        </is>
      </c>
      <c r="N112" s="2">
        <f>IFERROR(INDEX('CoQ Register'!$B:$B,MATCH("P060122|R",'CoQ Register'!$S:$S,0)),"—")</f>
        <v/>
      </c>
      <c r="O112" s="6" t="inlineStr">
        <is>
          <t>—</t>
        </is>
      </c>
      <c r="P112" s="2" t="inlineStr">
        <is>
          <t>18.02.2027</t>
        </is>
      </c>
      <c r="Q112" s="2" t="inlineStr">
        <is>
          <t>09.01.2026</t>
        </is>
      </c>
      <c r="R112" s="2" t="inlineStr">
        <is>
          <t>18.02.2026 – 19.02.2026</t>
        </is>
      </c>
      <c r="S112" s="5">
        <f>IFERROR(INDEX('CoQ Register'!$D:$D,MATCH("P060122|R",'CoQ Register'!$S:$S,0)),"")</f>
        <v/>
      </c>
      <c r="T112" s="2" t="inlineStr">
        <is>
          <t>Conforms</t>
        </is>
      </c>
      <c r="U112" s="2" t="inlineStr">
        <is>
          <t>Conforms</t>
        </is>
      </c>
      <c r="V112" s="2" t="inlineStr">
        <is>
          <t>Conforms</t>
        </is>
      </c>
      <c r="W112" s="2" t="inlineStr">
        <is>
          <t>220-1-K-26, (25.08.2026) [FHM-K]</t>
        </is>
      </c>
      <c r="X112" s="2" t="inlineStr">
        <is>
          <t>220-1-K-26, (25.08.2026) [FHM-K]</t>
        </is>
      </c>
      <c r="Y112" s="2" t="inlineStr">
        <is>
          <t>220-1-M-26, (11.09.2026) [FHM-M]</t>
        </is>
      </c>
      <c r="Z112" s="2" t="inlineStr">
        <is>
          <t>#8, #9, #11, #12 from the initial testing</t>
        </is>
      </c>
      <c r="AA112" s="2" t="inlineStr">
        <is>
          <t>P060122|R</t>
        </is>
      </c>
      <c r="AB112" s="7" t="inlineStr">
        <is>
          <t>registered — retest 1 · Tranche 2 (sampled 12–14.08.2026), tested 12.08.2026, issued 17.08.2026</t>
        </is>
      </c>
    </row>
    <row r="113">
      <c r="A113" s="2" t="n">
        <v>112</v>
      </c>
      <c r="B113" s="3" t="inlineStr">
        <is>
          <t>iCoA-PP_26-112</t>
        </is>
      </c>
      <c r="C113" s="4" t="inlineStr">
        <is>
          <t>yes</t>
        </is>
      </c>
      <c r="D113" s="5" t="n">
        <v>46251</v>
      </c>
      <c r="E113" s="5" t="n">
        <v>46246</v>
      </c>
      <c r="F113" s="5">
        <f>IFERROR(INDEX('Batch Dates'!$G:$G,MATCH(J113,'Batch Dates'!$C:$C,0)),IFERROR(INDEX('Batch Dates'!$G:$G,MATCH(I113,'Batch Dates'!$B:$B,0)),""))</f>
        <v/>
      </c>
      <c r="G113" s="2" t="inlineStr">
        <is>
          <t>legacy</t>
        </is>
      </c>
      <c r="H113" s="2" t="inlineStr">
        <is>
          <t>retest 1</t>
        </is>
      </c>
      <c r="I113" s="3" t="inlineStr">
        <is>
          <t>BSS052501</t>
        </is>
      </c>
      <c r="J113" s="2" t="inlineStr">
        <is>
          <t>P050192</t>
        </is>
      </c>
      <c r="K113" s="2" t="inlineStr">
        <is>
          <t>Blue Sunset Sherbet</t>
        </is>
      </c>
      <c r="L113" s="2" t="inlineStr">
        <is>
          <t>Ident A + Ident B + Foreign matter</t>
        </is>
      </c>
      <c r="M113" s="6" t="inlineStr">
        <is>
          <t>—</t>
        </is>
      </c>
      <c r="N113" s="2">
        <f>IFERROR(INDEX('CoQ Register'!$B:$B,MATCH("P050192|R",'CoQ Register'!$S:$S,0)),"—")</f>
        <v/>
      </c>
      <c r="O113" s="6" t="inlineStr">
        <is>
          <t>—</t>
        </is>
      </c>
      <c r="P113" s="2" t="inlineStr">
        <is>
          <t>10.10.2026</t>
        </is>
      </c>
      <c r="Q113" s="2" t="inlineStr">
        <is>
          <t>01.09.2025 – 03.09.2025</t>
        </is>
      </c>
      <c r="R113" s="2" t="inlineStr">
        <is>
          <t>10.10.2025 – 21.10.2025</t>
        </is>
      </c>
      <c r="S113" s="5">
        <f>IFERROR(INDEX('CoQ Register'!$D:$D,MATCH("P050192|R",'CoQ Register'!$S:$S,0)),"")</f>
        <v/>
      </c>
      <c r="T113" s="2" t="inlineStr">
        <is>
          <t>Conforms</t>
        </is>
      </c>
      <c r="U113" s="2" t="inlineStr">
        <is>
          <t>Conforms</t>
        </is>
      </c>
      <c r="V113" s="2" t="inlineStr">
        <is>
          <t>Conforms</t>
        </is>
      </c>
      <c r="W113" s="2" t="inlineStr">
        <is>
          <t>220-2-K-26, (25.08.2026) [FHM-K]</t>
        </is>
      </c>
      <c r="X113" s="2" t="inlineStr">
        <is>
          <t>220-2-K-26, (25.08.2026) [FHM-K]</t>
        </is>
      </c>
      <c r="Y113" s="2" t="inlineStr">
        <is>
          <t>220-2-M-26, (11.09.2026) [FHM-M]</t>
        </is>
      </c>
      <c r="Z113" s="2" t="inlineStr">
        <is>
          <t>#8, #9, #11, #12 from the initial testing</t>
        </is>
      </c>
      <c r="AA113" s="2" t="inlineStr">
        <is>
          <t>P050192|R</t>
        </is>
      </c>
      <c r="AB113" s="7" t="inlineStr">
        <is>
          <t>registered — retest 1 · Tranche 2 (sampled 12–14.08.2026), tested 12.08.2026, issued 17.08.2026</t>
        </is>
      </c>
    </row>
    <row r="114">
      <c r="A114" s="2" t="n">
        <v>113</v>
      </c>
      <c r="B114" s="3" t="inlineStr">
        <is>
          <t>iCoA-PP_26-113</t>
        </is>
      </c>
      <c r="C114" s="4" t="inlineStr">
        <is>
          <t>yes</t>
        </is>
      </c>
      <c r="D114" s="5" t="n">
        <v>46251</v>
      </c>
      <c r="E114" s="5" t="n">
        <v>46246</v>
      </c>
      <c r="F114" s="5">
        <f>IFERROR(INDEX('Batch Dates'!$G:$G,MATCH(J114,'Batch Dates'!$C:$C,0)),IFERROR(INDEX('Batch Dates'!$G:$G,MATCH(I114,'Batch Dates'!$B:$B,0)),""))</f>
        <v/>
      </c>
      <c r="G114" s="2" t="inlineStr">
        <is>
          <t>legacy</t>
        </is>
      </c>
      <c r="H114" s="2" t="inlineStr">
        <is>
          <t>retest 1</t>
        </is>
      </c>
      <c r="I114" s="3" t="inlineStr">
        <is>
          <t>CF102501</t>
        </is>
      </c>
      <c r="J114" s="2" t="inlineStr">
        <is>
          <t>P060132</t>
        </is>
      </c>
      <c r="K114" s="2" t="inlineStr">
        <is>
          <t>Chem Flyer</t>
        </is>
      </c>
      <c r="L114" s="2" t="inlineStr">
        <is>
          <t>Ident A + Ident B + Foreign matter</t>
        </is>
      </c>
      <c r="M114" s="6" t="inlineStr">
        <is>
          <t>—</t>
        </is>
      </c>
      <c r="N114" s="2">
        <f>IFERROR(INDEX('CoQ Register'!$B:$B,MATCH("P060132|R",'CoQ Register'!$S:$S,0)),"—")</f>
        <v/>
      </c>
      <c r="O114" s="6" t="inlineStr">
        <is>
          <t>—</t>
        </is>
      </c>
      <c r="P114" s="2" t="inlineStr">
        <is>
          <t>19.02.2027</t>
        </is>
      </c>
      <c r="Q114" s="2" t="inlineStr">
        <is>
          <t>09.01.2026</t>
        </is>
      </c>
      <c r="R114" s="2" t="inlineStr">
        <is>
          <t>19.02.2026 – 20.02.2026</t>
        </is>
      </c>
      <c r="S114" s="5">
        <f>IFERROR(INDEX('CoQ Register'!$D:$D,MATCH("P060132|R",'CoQ Register'!$S:$S,0)),"")</f>
        <v/>
      </c>
      <c r="T114" s="2" t="inlineStr">
        <is>
          <t>Conforms</t>
        </is>
      </c>
      <c r="U114" s="2" t="inlineStr">
        <is>
          <t>Conforms</t>
        </is>
      </c>
      <c r="V114" s="2" t="inlineStr">
        <is>
          <t>Conforms</t>
        </is>
      </c>
      <c r="W114" s="2" t="inlineStr">
        <is>
          <t>220-6-K-26, (25.08.2026) [FHM-K]</t>
        </is>
      </c>
      <c r="X114" s="2" t="inlineStr">
        <is>
          <t>220-6-K-26, (25.08.2026) [FHM-K]</t>
        </is>
      </c>
      <c r="Y114" s="2" t="inlineStr">
        <is>
          <t>220-6-M-26, (11.09.2026) [FHM-M]</t>
        </is>
      </c>
      <c r="Z114" s="2" t="inlineStr">
        <is>
          <t>#8, #9, #11, #12 from the initial testing</t>
        </is>
      </c>
      <c r="AA114" s="2" t="inlineStr">
        <is>
          <t>P060132|R</t>
        </is>
      </c>
      <c r="AB114" s="7" t="inlineStr">
        <is>
          <t>registered — retest 1 · Tranche 2 (sampled 12–14.08.2026), tested 12.08.2026, issued 17.08.2026</t>
        </is>
      </c>
    </row>
    <row r="115">
      <c r="A115" s="2" t="n">
        <v>114</v>
      </c>
      <c r="B115" s="3" t="inlineStr">
        <is>
          <t>iCoA-PP_26-114</t>
        </is>
      </c>
      <c r="C115" s="4" t="inlineStr">
        <is>
          <t>yes</t>
        </is>
      </c>
      <c r="D115" s="5" t="n">
        <v>46251</v>
      </c>
      <c r="E115" s="5" t="n">
        <v>46246</v>
      </c>
      <c r="F115" s="5">
        <f>IFERROR(INDEX('Batch Dates'!$G:$G,MATCH(J115,'Batch Dates'!$C:$C,0)),IFERROR(INDEX('Batch Dates'!$G:$G,MATCH(I115,'Batch Dates'!$B:$B,0)),""))</f>
        <v/>
      </c>
      <c r="G115" s="2" t="inlineStr">
        <is>
          <t>legacy</t>
        </is>
      </c>
      <c r="H115" s="2" t="inlineStr">
        <is>
          <t>retest 2</t>
        </is>
      </c>
      <c r="I115" s="3" t="inlineStr">
        <is>
          <t>CJ062501/1</t>
        </is>
      </c>
      <c r="J115" s="2" t="inlineStr">
        <is>
          <t>P050222</t>
        </is>
      </c>
      <c r="K115" s="2" t="inlineStr">
        <is>
          <t>Cap Junky</t>
        </is>
      </c>
      <c r="L115" s="2" t="inlineStr">
        <is>
          <t>Ident A + Ident B + Foreign matter</t>
        </is>
      </c>
      <c r="M115" s="6" t="inlineStr">
        <is>
          <t>—</t>
        </is>
      </c>
      <c r="N115" s="2">
        <f>IFERROR(INDEX('CoQ Register'!$B:$B,MATCH("P050222|R2",'CoQ Register'!$S:$S,0)),"—")</f>
        <v/>
      </c>
      <c r="O115" s="6" t="inlineStr">
        <is>
          <t>—</t>
        </is>
      </c>
      <c r="P115" s="2" t="inlineStr">
        <is>
          <t>24.11.2026</t>
        </is>
      </c>
      <c r="Q115" s="2" t="inlineStr">
        <is>
          <t>23.09.2025</t>
        </is>
      </c>
      <c r="R115" s="2" t="inlineStr">
        <is>
          <t>24.11.2025 – 25.11.2025</t>
        </is>
      </c>
      <c r="S115" s="5">
        <f>IFERROR(INDEX('CoQ Register'!$D:$D,MATCH("P050222|R2",'CoQ Register'!$S:$S,0)),"")</f>
        <v/>
      </c>
      <c r="T115" s="2" t="inlineStr">
        <is>
          <t>Conforms</t>
        </is>
      </c>
      <c r="U115" s="2" t="inlineStr">
        <is>
          <t>Conforms</t>
        </is>
      </c>
      <c r="V115" s="2" t="inlineStr">
        <is>
          <t>Conforms</t>
        </is>
      </c>
      <c r="W115" s="2" t="inlineStr">
        <is>
          <t>220-3-K-26, (25.08.2026) [FHM-K]</t>
        </is>
      </c>
      <c r="X115" s="2" t="inlineStr">
        <is>
          <t>220-3-K-26, (25.08.2026) [FHM-K]</t>
        </is>
      </c>
      <c r="Y115" s="2" t="inlineStr">
        <is>
          <t>220-3-M-26, (11.09.2026) [FHM-M]</t>
        </is>
      </c>
      <c r="Z115" s="2" t="inlineStr">
        <is>
          <t>#8, #9, #11, #12 from the initial testing</t>
        </is>
      </c>
      <c r="AA115" s="2" t="inlineStr">
        <is>
          <t>P050222|R2</t>
        </is>
      </c>
      <c r="AB115" s="7" t="inlineStr">
        <is>
          <t>registered — retest 2 · Tranche 2 (sampled 12–14.08.2026), tested 12.08.2026, issued 17.08.2026</t>
        </is>
      </c>
    </row>
    <row r="116">
      <c r="A116" s="2" t="n">
        <v>115</v>
      </c>
      <c r="B116" s="3" t="inlineStr">
        <is>
          <t>iCoA-PP_26-115</t>
        </is>
      </c>
      <c r="C116" s="4" t="inlineStr">
        <is>
          <t>yes</t>
        </is>
      </c>
      <c r="D116" s="5" t="n">
        <v>46251</v>
      </c>
      <c r="E116" s="5" t="n">
        <v>46246</v>
      </c>
      <c r="F116" s="5">
        <f>IFERROR(INDEX('Batch Dates'!$G:$G,MATCH(J116,'Batch Dates'!$C:$C,0)),IFERROR(INDEX('Batch Dates'!$G:$G,MATCH(I116,'Batch Dates'!$B:$B,0)),""))</f>
        <v/>
      </c>
      <c r="G116" s="2" t="inlineStr">
        <is>
          <t>legacy</t>
        </is>
      </c>
      <c r="H116" s="2" t="inlineStr">
        <is>
          <t>retest 1</t>
        </is>
      </c>
      <c r="I116" s="3" t="inlineStr">
        <is>
          <t>CJ082501/1</t>
        </is>
      </c>
      <c r="J116" s="2" t="inlineStr">
        <is>
          <t>P060022</t>
        </is>
      </c>
      <c r="K116" s="2" t="inlineStr">
        <is>
          <t>Cap Junky</t>
        </is>
      </c>
      <c r="L116" s="2" t="inlineStr">
        <is>
          <t>Ident A + Ident B + Foreign matter</t>
        </is>
      </c>
      <c r="M116" s="6" t="inlineStr">
        <is>
          <t>—</t>
        </is>
      </c>
      <c r="N116" s="2">
        <f>IFERROR(INDEX('CoQ Register'!$B:$B,MATCH("P060022|R",'CoQ Register'!$S:$S,0)),"—")</f>
        <v/>
      </c>
      <c r="O116" s="6" t="inlineStr">
        <is>
          <t>—</t>
        </is>
      </c>
      <c r="P116" s="2" t="inlineStr">
        <is>
          <t>16.01.2027</t>
        </is>
      </c>
      <c r="Q116" s="2" t="inlineStr">
        <is>
          <t>09.12.2025 – 10.12.2025</t>
        </is>
      </c>
      <c r="R116" s="2" t="inlineStr">
        <is>
          <t>16.01.2026</t>
        </is>
      </c>
      <c r="S116" s="5">
        <f>IFERROR(INDEX('CoQ Register'!$D:$D,MATCH("P060022|R",'CoQ Register'!$S:$S,0)),"")</f>
        <v/>
      </c>
      <c r="T116" s="2" t="inlineStr">
        <is>
          <t>Conforms</t>
        </is>
      </c>
      <c r="U116" s="2" t="inlineStr">
        <is>
          <t>Conforms</t>
        </is>
      </c>
      <c r="V116" s="2" t="inlineStr">
        <is>
          <t>Conforms</t>
        </is>
      </c>
      <c r="W116" s="2" t="inlineStr">
        <is>
          <t>220-4-K-26, (25.08.2026) [FHM-K]</t>
        </is>
      </c>
      <c r="X116" s="2" t="inlineStr">
        <is>
          <t>220-4-K-26, (25.08.2026) [FHM-K]</t>
        </is>
      </c>
      <c r="Y116" s="2" t="inlineStr">
        <is>
          <t>220-4-M-26, (11.09.2026) [FHM-M]</t>
        </is>
      </c>
      <c r="Z116" s="2" t="inlineStr">
        <is>
          <t>#8, #9, #11, #12 from the initial testing</t>
        </is>
      </c>
      <c r="AA116" s="2" t="inlineStr">
        <is>
          <t>P060022|R</t>
        </is>
      </c>
      <c r="AB116" s="7" t="inlineStr">
        <is>
          <t>registered — retest 1 · Tranche 2 (sampled 12–14.08.2026), tested 12.08.2026, issued 17.08.2026</t>
        </is>
      </c>
    </row>
    <row r="117">
      <c r="A117" s="2" t="n">
        <v>116</v>
      </c>
      <c r="B117" s="3" t="inlineStr">
        <is>
          <t>iCoA-PP_26-116</t>
        </is>
      </c>
      <c r="C117" s="4" t="inlineStr">
        <is>
          <t>yes</t>
        </is>
      </c>
      <c r="D117" s="5" t="n">
        <v>46251</v>
      </c>
      <c r="E117" s="5" t="n">
        <v>46246</v>
      </c>
      <c r="F117" s="5">
        <f>IFERROR(INDEX('Batch Dates'!$G:$G,MATCH(J117,'Batch Dates'!$C:$C,0)),IFERROR(INDEX('Batch Dates'!$G:$G,MATCH(I117,'Batch Dates'!$B:$B,0)),""))</f>
        <v/>
      </c>
      <c r="G117" s="2" t="inlineStr">
        <is>
          <t>legacy</t>
        </is>
      </c>
      <c r="H117" s="2" t="inlineStr">
        <is>
          <t>retest 1</t>
        </is>
      </c>
      <c r="I117" s="3" t="inlineStr">
        <is>
          <t>CJ092501</t>
        </is>
      </c>
      <c r="J117" s="2" t="inlineStr">
        <is>
          <t>P060072</t>
        </is>
      </c>
      <c r="K117" s="2" t="inlineStr">
        <is>
          <t>Cap Junky</t>
        </is>
      </c>
      <c r="L117" s="2" t="inlineStr">
        <is>
          <t>Ident A + Ident B + Foreign matter</t>
        </is>
      </c>
      <c r="M117" s="6" t="inlineStr">
        <is>
          <t>—</t>
        </is>
      </c>
      <c r="N117" s="2">
        <f>IFERROR(INDEX('CoQ Register'!$B:$B,MATCH("P060072|R",'CoQ Register'!$S:$S,0)),"—")</f>
        <v/>
      </c>
      <c r="O117" s="6" t="inlineStr">
        <is>
          <t>—</t>
        </is>
      </c>
      <c r="P117" s="2" t="inlineStr">
        <is>
          <t>02.02.2027</t>
        </is>
      </c>
      <c r="Q117" s="2" t="inlineStr">
        <is>
          <t>12.12.2025</t>
        </is>
      </c>
      <c r="R117" s="2" t="inlineStr">
        <is>
          <t>02.02.2026</t>
        </is>
      </c>
      <c r="S117" s="5">
        <f>IFERROR(INDEX('CoQ Register'!$D:$D,MATCH("P060072|R",'CoQ Register'!$S:$S,0)),"")</f>
        <v/>
      </c>
      <c r="T117" s="2" t="inlineStr">
        <is>
          <t>Conforms</t>
        </is>
      </c>
      <c r="U117" s="2" t="inlineStr">
        <is>
          <t>Conforms</t>
        </is>
      </c>
      <c r="V117" s="2" t="inlineStr">
        <is>
          <t>Conforms</t>
        </is>
      </c>
      <c r="W117" s="2" t="inlineStr">
        <is>
          <t>220-5-K-26, (25.08.2026) [FHM-K]</t>
        </is>
      </c>
      <c r="X117" s="2" t="inlineStr">
        <is>
          <t>220-5-K-26, (25.08.2026) [FHM-K]</t>
        </is>
      </c>
      <c r="Y117" s="2" t="inlineStr">
        <is>
          <t>220-5-M-26, (11.09.2026) [FHM-M]</t>
        </is>
      </c>
      <c r="Z117" s="2" t="inlineStr">
        <is>
          <t>#8, #9, #11, #12 from the initial testing</t>
        </is>
      </c>
      <c r="AA117" s="2" t="inlineStr">
        <is>
          <t>P060072|R</t>
        </is>
      </c>
      <c r="AB117" s="7" t="inlineStr">
        <is>
          <t>registered — retest 1 · Tranche 2 (sampled 12–14.08.2026), tested 12.08.2026, issued 17.08.2026</t>
        </is>
      </c>
    </row>
    <row r="118">
      <c r="A118" s="2" t="n">
        <v>117</v>
      </c>
      <c r="B118" s="3" t="inlineStr">
        <is>
          <t>iCoA-PP_26-117</t>
        </is>
      </c>
      <c r="C118" s="4" t="inlineStr">
        <is>
          <t>yes</t>
        </is>
      </c>
      <c r="D118" s="5" t="n">
        <v>46251</v>
      </c>
      <c r="E118" s="5" t="n">
        <v>46246</v>
      </c>
      <c r="F118" s="5">
        <f>IFERROR(INDEX('Batch Dates'!$G:$G,MATCH(J118,'Batch Dates'!$C:$C,0)),IFERROR(INDEX('Batch Dates'!$G:$G,MATCH(I118,'Batch Dates'!$B:$B,0)),""))</f>
        <v/>
      </c>
      <c r="G118" s="2" t="inlineStr">
        <is>
          <t>legacy</t>
        </is>
      </c>
      <c r="H118" s="2" t="inlineStr">
        <is>
          <t>retest 1</t>
        </is>
      </c>
      <c r="I118" s="3" t="inlineStr">
        <is>
          <t>CLE072501</t>
        </is>
      </c>
      <c r="J118" s="2" t="inlineStr">
        <is>
          <t>P050282</t>
        </is>
      </c>
      <c r="K118" s="2" t="inlineStr">
        <is>
          <t>Clemosa A Bud</t>
        </is>
      </c>
      <c r="L118" s="2" t="inlineStr">
        <is>
          <t>Ident A + Ident B + Foreign matter</t>
        </is>
      </c>
      <c r="M118" s="6" t="inlineStr">
        <is>
          <t>—</t>
        </is>
      </c>
      <c r="N118" s="2">
        <f>IFERROR(INDEX('CoQ Register'!$B:$B,MATCH("P050282|R",'CoQ Register'!$S:$S,0)),"—")</f>
        <v/>
      </c>
      <c r="O118" s="6" t="inlineStr">
        <is>
          <t>—</t>
        </is>
      </c>
      <c r="P118" s="2" t="inlineStr">
        <is>
          <t>03.12.2026</t>
        </is>
      </c>
      <c r="Q118" s="2" t="inlineStr">
        <is>
          <t>28.10.2025</t>
        </is>
      </c>
      <c r="R118" s="2" t="inlineStr">
        <is>
          <t>03.12.2025 – 04.12.2025</t>
        </is>
      </c>
      <c r="S118" s="5">
        <f>IFERROR(INDEX('CoQ Register'!$D:$D,MATCH("P050282|R",'CoQ Register'!$S:$S,0)),"")</f>
        <v/>
      </c>
      <c r="T118" s="2" t="inlineStr">
        <is>
          <t>Conforms</t>
        </is>
      </c>
      <c r="U118" s="2" t="inlineStr">
        <is>
          <t>Conforms</t>
        </is>
      </c>
      <c r="V118" s="2" t="inlineStr">
        <is>
          <t>Conforms</t>
        </is>
      </c>
      <c r="W118" s="2" t="inlineStr">
        <is>
          <t>220-7-K-26, (25.08.2026) [FHM-K]</t>
        </is>
      </c>
      <c r="X118" s="2" t="inlineStr">
        <is>
          <t>220-7-K-26, (25.08.2026) [FHM-K]</t>
        </is>
      </c>
      <c r="Y118" s="2" t="inlineStr">
        <is>
          <t>220-7-M-26, (11.09.2026) [FHM-M]</t>
        </is>
      </c>
      <c r="Z118" s="2" t="inlineStr">
        <is>
          <t>#8, #9, #11, #12 from the initial testing</t>
        </is>
      </c>
      <c r="AA118" s="2" t="inlineStr">
        <is>
          <t>P050282|R</t>
        </is>
      </c>
      <c r="AB118" s="7" t="inlineStr">
        <is>
          <t>registered — retest 1 · Tranche 2 (sampled 12–14.08.2026), tested 12.08.2026, issued 17.08.2026</t>
        </is>
      </c>
    </row>
    <row r="119">
      <c r="A119" s="2" t="n">
        <v>118</v>
      </c>
      <c r="B119" s="3" t="inlineStr">
        <is>
          <t>iCoA-PP_26-118</t>
        </is>
      </c>
      <c r="C119" s="4" t="inlineStr">
        <is>
          <t>yes</t>
        </is>
      </c>
      <c r="D119" s="5" t="n">
        <v>46251</v>
      </c>
      <c r="E119" s="5" t="n">
        <v>46246</v>
      </c>
      <c r="F119" s="5">
        <f>IFERROR(INDEX('Batch Dates'!$G:$G,MATCH(J119,'Batch Dates'!$C:$C,0)),IFERROR(INDEX('Batch Dates'!$G:$G,MATCH(I119,'Batch Dates'!$B:$B,0)),""))</f>
        <v/>
      </c>
      <c r="G119" s="2" t="inlineStr">
        <is>
          <t>post-SOP</t>
        </is>
      </c>
      <c r="H119" s="2" t="inlineStr">
        <is>
          <t>retest 1</t>
        </is>
      </c>
      <c r="I119" s="3" t="inlineStr">
        <is>
          <t>FB012601_1</t>
        </is>
      </c>
      <c r="J119" s="2" t="inlineStr">
        <is>
          <t>P060322</t>
        </is>
      </c>
      <c r="K119" s="2" t="inlineStr">
        <is>
          <t>Fat Bastard</t>
        </is>
      </c>
      <c r="L119" s="2" t="inlineStr">
        <is>
          <t>Ident A + Ident B + Foreign matter</t>
        </is>
      </c>
      <c r="M119" s="6" t="inlineStr">
        <is>
          <t>—</t>
        </is>
      </c>
      <c r="N119" s="2">
        <f>IFERROR(INDEX('CoQ Register'!$B:$B,MATCH("P060322|R",'CoQ Register'!$S:$S,0)),"—")</f>
        <v/>
      </c>
      <c r="O119" s="6" t="inlineStr">
        <is>
          <t>—</t>
        </is>
      </c>
      <c r="P119" s="2" t="inlineStr">
        <is>
          <t>22.05.2027</t>
        </is>
      </c>
      <c r="Q119" s="2" t="inlineStr">
        <is>
          <t>27.03.2026</t>
        </is>
      </c>
      <c r="R119" s="2" t="inlineStr">
        <is>
          <t>22.05.2026</t>
        </is>
      </c>
      <c r="S119" s="5">
        <f>IFERROR(INDEX('CoQ Register'!$D:$D,MATCH("P060322|R",'CoQ Register'!$S:$S,0)),"")</f>
        <v/>
      </c>
      <c r="T119" s="2" t="inlineStr">
        <is>
          <t>Conforms</t>
        </is>
      </c>
      <c r="U119" s="2" t="inlineStr">
        <is>
          <t>Conforms</t>
        </is>
      </c>
      <c r="V119" s="2" t="inlineStr">
        <is>
          <t>Conforms</t>
        </is>
      </c>
      <c r="W119" s="2" t="inlineStr">
        <is>
          <t>220-8-K-26, (25.08.2026) [FHM-K]</t>
        </is>
      </c>
      <c r="X119" s="2" t="inlineStr">
        <is>
          <t>220-8-K-26, (25.08.2026) [FHM-K]</t>
        </is>
      </c>
      <c r="Y119" s="2" t="inlineStr">
        <is>
          <t>220-8-M-26, (11.09.2026) [FHM-M]</t>
        </is>
      </c>
      <c r="Z119" s="2" t="inlineStr">
        <is>
          <t>#8, #9, #11, #12 from the initial testing</t>
        </is>
      </c>
      <c r="AA119" s="2" t="inlineStr">
        <is>
          <t>P060322|R</t>
        </is>
      </c>
      <c r="AB119" s="7" t="inlineStr">
        <is>
          <t>registered — retest 1 · Tranche 2 (sampled 12–14.08.2026), tested 12.08.2026, issued 17.08.2026</t>
        </is>
      </c>
    </row>
    <row r="120">
      <c r="A120" s="2" t="n">
        <v>119</v>
      </c>
      <c r="B120" s="3" t="inlineStr">
        <is>
          <t>iCoA-PP_26-119</t>
        </is>
      </c>
      <c r="C120" s="4" t="inlineStr">
        <is>
          <t>yes</t>
        </is>
      </c>
      <c r="D120" s="5" t="n">
        <v>46251</v>
      </c>
      <c r="E120" s="5" t="n">
        <v>46246</v>
      </c>
      <c r="F120" s="5">
        <f>IFERROR(INDEX('Batch Dates'!$G:$G,MATCH(J120,'Batch Dates'!$C:$C,0)),IFERROR(INDEX('Batch Dates'!$G:$G,MATCH(I120,'Batch Dates'!$B:$B,0)),""))</f>
        <v/>
      </c>
      <c r="G120" s="2" t="inlineStr">
        <is>
          <t>legacy</t>
        </is>
      </c>
      <c r="H120" s="2" t="inlineStr">
        <is>
          <t>retest 1</t>
        </is>
      </c>
      <c r="I120" s="3" t="inlineStr">
        <is>
          <t>GG1024</t>
        </is>
      </c>
      <c r="J120" s="2" t="inlineStr">
        <is>
          <t>N/A — no P batch assigned</t>
        </is>
      </c>
      <c r="K120" s="2" t="inlineStr">
        <is>
          <t>Gorilla Glue</t>
        </is>
      </c>
      <c r="L120" s="2" t="inlineStr">
        <is>
          <t>Ident A + Ident B + Foreign matter</t>
        </is>
      </c>
      <c r="M120" s="6" t="inlineStr">
        <is>
          <t>—</t>
        </is>
      </c>
      <c r="N120" s="2">
        <f>IFERROR(INDEX('CoQ Register'!$B:$B,MATCH("GG1024|R",'CoQ Register'!$S:$S,0)),"—")</f>
        <v/>
      </c>
      <c r="O120" s="6" t="inlineStr">
        <is>
          <t>—</t>
        </is>
      </c>
      <c r="P120" s="2" t="inlineStr">
        <is>
          <t>11.03.2026</t>
        </is>
      </c>
      <c r="Q120" s="2" t="inlineStr">
        <is>
          <t>20.01.2025</t>
        </is>
      </c>
      <c r="R120" s="2" t="inlineStr">
        <is>
          <t>11.03.2025</t>
        </is>
      </c>
      <c r="S120" s="5">
        <f>IFERROR(INDEX('CoQ Register'!$D:$D,MATCH("GG1024|R",'CoQ Register'!$S:$S,0)),"")</f>
        <v/>
      </c>
      <c r="T120" s="2" t="inlineStr">
        <is>
          <t>Conforms</t>
        </is>
      </c>
      <c r="U120" s="2" t="inlineStr">
        <is>
          <t>Conforms</t>
        </is>
      </c>
      <c r="V120" s="2" t="inlineStr">
        <is>
          <t>Conforms</t>
        </is>
      </c>
      <c r="W120" s="2" t="inlineStr">
        <is>
          <t>220-9-K-26, (25.08.2026) [FHM-K]</t>
        </is>
      </c>
      <c r="X120" s="2" t="inlineStr">
        <is>
          <t>220-9-K-26, (25.08.2026) [FHM-K]</t>
        </is>
      </c>
      <c r="Y120" s="2" t="inlineStr">
        <is>
          <t>220-9-M-26, (11.09.2026) [FHM-M]</t>
        </is>
      </c>
      <c r="Z120" s="2" t="inlineStr">
        <is>
          <t>#8, #9, #11, #12 from the initial testing</t>
        </is>
      </c>
      <c r="AA120" s="2" t="inlineStr">
        <is>
          <t>GG1024|R</t>
        </is>
      </c>
      <c r="AB120" s="7" t="inlineStr">
        <is>
          <t>registered — retest 1 · Tranche 2 (sampled 12–14.08.2026), tested 12.08.2026, issued 17.08.2026</t>
        </is>
      </c>
    </row>
    <row r="121">
      <c r="A121" s="2" t="n">
        <v>120</v>
      </c>
      <c r="B121" s="3" t="inlineStr">
        <is>
          <t>iCoA-PP_26-120</t>
        </is>
      </c>
      <c r="C121" s="4" t="inlineStr">
        <is>
          <t>yes</t>
        </is>
      </c>
      <c r="D121" s="5" t="n">
        <v>46251</v>
      </c>
      <c r="E121" s="5" t="n">
        <v>46246</v>
      </c>
      <c r="F121" s="5">
        <f>IFERROR(INDEX('Batch Dates'!$G:$G,MATCH(J121,'Batch Dates'!$C:$C,0)),IFERROR(INDEX('Batch Dates'!$G:$G,MATCH(I121,'Batch Dates'!$B:$B,0)),""))</f>
        <v/>
      </c>
      <c r="G121" s="2" t="inlineStr">
        <is>
          <t>legacy</t>
        </is>
      </c>
      <c r="H121" s="2" t="inlineStr">
        <is>
          <t>retest 1</t>
        </is>
      </c>
      <c r="I121" s="3" t="inlineStr">
        <is>
          <t>GP072501/2</t>
        </is>
      </c>
      <c r="J121" s="2" t="inlineStr">
        <is>
          <t>P050302</t>
        </is>
      </c>
      <c r="K121" s="2" t="inlineStr">
        <is>
          <t>Grape Pie</t>
        </is>
      </c>
      <c r="L121" s="2" t="inlineStr">
        <is>
          <t>Ident A + Ident B + Foreign matter</t>
        </is>
      </c>
      <c r="M121" s="6" t="inlineStr">
        <is>
          <t>—</t>
        </is>
      </c>
      <c r="N121" s="2">
        <f>IFERROR(INDEX('CoQ Register'!$B:$B,MATCH("P050302|R",'CoQ Register'!$S:$S,0)),"—")</f>
        <v/>
      </c>
      <c r="O121" s="6" t="inlineStr">
        <is>
          <t>—</t>
        </is>
      </c>
      <c r="P121" s="2" t="inlineStr">
        <is>
          <t>22.12.2026</t>
        </is>
      </c>
      <c r="Q121" s="2" t="inlineStr">
        <is>
          <t>13.11.2025</t>
        </is>
      </c>
      <c r="R121" s="2" t="inlineStr">
        <is>
          <t>22.12.2025</t>
        </is>
      </c>
      <c r="S121" s="5">
        <f>IFERROR(INDEX('CoQ Register'!$D:$D,MATCH("P050302|R",'CoQ Register'!$S:$S,0)),"")</f>
        <v/>
      </c>
      <c r="T121" s="2" t="inlineStr">
        <is>
          <t>Conforms</t>
        </is>
      </c>
      <c r="U121" s="2" t="inlineStr">
        <is>
          <t>Conforms</t>
        </is>
      </c>
      <c r="V121" s="2" t="inlineStr">
        <is>
          <t>Conforms</t>
        </is>
      </c>
      <c r="W121" s="2" t="inlineStr">
        <is>
          <t>220-10-K-26, (25.08.2026) [FHM-K]</t>
        </is>
      </c>
      <c r="X121" s="2" t="inlineStr">
        <is>
          <t>220-10-K-26, (25.08.2026) [FHM-K]</t>
        </is>
      </c>
      <c r="Y121" s="2" t="inlineStr">
        <is>
          <t>220-10-M-26, (11.09.2026) [FHM-M]</t>
        </is>
      </c>
      <c r="Z121" s="2" t="inlineStr">
        <is>
          <t>#8, #9, #11, #12 from the initial testing</t>
        </is>
      </c>
      <c r="AA121" s="2" t="inlineStr">
        <is>
          <t>P050302|R</t>
        </is>
      </c>
      <c r="AB121" s="7" t="inlineStr">
        <is>
          <t>registered — retest 1 · Tranche 2 (sampled 12–14.08.2026), tested 12.08.2026, issued 17.08.2026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4</t>
        </is>
      </c>
      <c r="I122" s="3" t="inlineStr">
        <is>
          <t>GP0824_03</t>
        </is>
      </c>
      <c r="J122" s="2" t="inlineStr">
        <is>
          <t>P050072</t>
        </is>
      </c>
      <c r="K122" s="2" t="inlineStr">
        <is>
          <t>Grape Pie</t>
        </is>
      </c>
      <c r="L122" s="2" t="inlineStr">
        <is>
          <t>Ident A + Ident B + Foreign matter</t>
        </is>
      </c>
      <c r="M122" s="6" t="inlineStr">
        <is>
          <t>—</t>
        </is>
      </c>
      <c r="N122" s="2">
        <f>IFERROR(INDEX('CoQ Register'!$B:$B,MATCH("P050072|R4",'CoQ Register'!$S:$S,0)),"—")</f>
        <v/>
      </c>
      <c r="O122" s="6" t="inlineStr">
        <is>
          <t>—</t>
        </is>
      </c>
      <c r="P122" s="2" t="inlineStr">
        <is>
          <t>14.07.2026</t>
        </is>
      </c>
      <c r="Q122" s="2" t="inlineStr">
        <is>
          <t>09.06.2025 – 10.06.2025</t>
        </is>
      </c>
      <c r="R122" s="2" t="inlineStr">
        <is>
          <t>14.07.2025 – 17.07.2025</t>
        </is>
      </c>
      <c r="S122" s="5">
        <f>IFERROR(INDEX('CoQ Register'!$D:$D,MATCH("P050072|R4",'CoQ Register'!$S:$S,0)),"")</f>
        <v/>
      </c>
      <c r="T122" s="2" t="inlineStr">
        <is>
          <t>Conforms</t>
        </is>
      </c>
      <c r="U122" s="2" t="inlineStr">
        <is>
          <t>Conforms</t>
        </is>
      </c>
      <c r="V122" s="2" t="inlineStr">
        <is>
          <t>Conforms</t>
        </is>
      </c>
      <c r="W122" s="2" t="inlineStr">
        <is>
          <t>220-11-K-26, (25.08.2026) [FHM-K]</t>
        </is>
      </c>
      <c r="X122" s="2" t="inlineStr">
        <is>
          <t>220-11-K-26, (25.08.2026) [FHM-K]</t>
        </is>
      </c>
      <c r="Y122" s="2" t="inlineStr">
        <is>
          <t>220-11-M-26, (11.09.2026) [FHM-M]</t>
        </is>
      </c>
      <c r="Z122" s="2" t="inlineStr">
        <is>
          <t>#8, #9, #11, #12 from the initial testing</t>
        </is>
      </c>
      <c r="AA122" s="2" t="inlineStr">
        <is>
          <t>P050072|R4</t>
        </is>
      </c>
      <c r="AB122" s="7" t="inlineStr">
        <is>
          <t>registered — retest 4 · Tranche 2 (sampled 12–14.08.2026), tested 12.08.2026, issued 17.08.2026</t>
        </is>
      </c>
    </row>
    <row r="123">
      <c r="A123" s="2" t="n">
        <v>122</v>
      </c>
      <c r="B123" s="3" t="inlineStr">
        <is>
          <t>iCoA-PP_26-122</t>
        </is>
      </c>
      <c r="C123" s="4" t="inlineStr">
        <is>
          <t>yes</t>
        </is>
      </c>
      <c r="D123" s="5" t="n">
        <v>46251</v>
      </c>
      <c r="E123" s="5" t="n">
        <v>46247</v>
      </c>
      <c r="F123" s="5">
        <f>IFERROR(INDEX('Batch Dates'!$G:$G,MATCH(J123,'Batch Dates'!$C:$C,0)),IFERROR(INDEX('Batch Dates'!$G:$G,MATCH(I123,'Batch Dates'!$B:$B,0)),""))</f>
        <v/>
      </c>
      <c r="G123" s="2" t="inlineStr">
        <is>
          <t>legacy</t>
        </is>
      </c>
      <c r="H123" s="2" t="inlineStr">
        <is>
          <t>retest 1</t>
        </is>
      </c>
      <c r="I123" s="3" t="inlineStr">
        <is>
          <t>GP082501/1</t>
        </is>
      </c>
      <c r="J123" s="2" t="inlineStr">
        <is>
          <t>P050312</t>
        </is>
      </c>
      <c r="K123" s="2" t="inlineStr">
        <is>
          <t>Grape Pie</t>
        </is>
      </c>
      <c r="L123" s="2" t="inlineStr">
        <is>
          <t>Ident A + Ident B + Foreign matter</t>
        </is>
      </c>
      <c r="M123" s="6" t="inlineStr">
        <is>
          <t>—</t>
        </is>
      </c>
      <c r="N123" s="2">
        <f>IFERROR(INDEX('CoQ Register'!$B:$B,MATCH("P050312|R",'CoQ Register'!$S:$S,0)),"—")</f>
        <v/>
      </c>
      <c r="O123" s="6" t="inlineStr">
        <is>
          <t>—</t>
        </is>
      </c>
      <c r="P123" s="2" t="inlineStr">
        <is>
          <t>23.12.2026</t>
        </is>
      </c>
      <c r="Q123" s="2" t="inlineStr">
        <is>
          <t>19.11.2025 – 20.11.2025</t>
        </is>
      </c>
      <c r="R123" s="2" t="inlineStr">
        <is>
          <t>23.12.2025 – 26.12.2025</t>
        </is>
      </c>
      <c r="S123" s="5">
        <f>IFERROR(INDEX('CoQ Register'!$D:$D,MATCH("P050312|R",'CoQ Register'!$S:$S,0)),"")</f>
        <v/>
      </c>
      <c r="T123" s="2" t="inlineStr">
        <is>
          <t>Conforms</t>
        </is>
      </c>
      <c r="U123" s="2" t="inlineStr">
        <is>
          <t>Conforms</t>
        </is>
      </c>
      <c r="V123" s="2" t="inlineStr">
        <is>
          <t>Conforms</t>
        </is>
      </c>
      <c r="W123" s="2" t="inlineStr">
        <is>
          <t>220-12-K-26, (25.08.2026) [FHM-K]</t>
        </is>
      </c>
      <c r="X123" s="2" t="inlineStr">
        <is>
          <t>220-12-K-26, (25.08.2026) [FHM-K]</t>
        </is>
      </c>
      <c r="Y123" s="2" t="inlineStr">
        <is>
          <t>220-12-M-26, (11.09.2026) [FHM-M]</t>
        </is>
      </c>
      <c r="Z123" s="2" t="inlineStr">
        <is>
          <t>#8, #9, #11, #12 from the initial testing</t>
        </is>
      </c>
      <c r="AA123" s="2" t="inlineStr">
        <is>
          <t>P050312|R</t>
        </is>
      </c>
      <c r="AB123" s="7" t="inlineStr">
        <is>
          <t>registered — retest 1 · Tranche 2 (sampled 12–14.08.2026), tested 13.08.2026, issued 17.08.2026</t>
        </is>
      </c>
    </row>
    <row r="124">
      <c r="A124" s="2" t="n">
        <v>123</v>
      </c>
      <c r="B124" s="3" t="inlineStr">
        <is>
          <t>iCoA-PP_26-123</t>
        </is>
      </c>
      <c r="C124" s="4" t="inlineStr">
        <is>
          <t>yes</t>
        </is>
      </c>
      <c r="D124" s="5" t="n">
        <v>46251</v>
      </c>
      <c r="E124" s="5" t="n">
        <v>46247</v>
      </c>
      <c r="F124" s="5">
        <f>IFERROR(INDEX('Batch Dates'!$G:$G,MATCH(J124,'Batch Dates'!$C:$C,0)),IFERROR(INDEX('Batch Dates'!$G:$G,MATCH(I124,'Batch Dates'!$B:$B,0)),""))</f>
        <v/>
      </c>
      <c r="G124" s="2" t="inlineStr">
        <is>
          <t>legacy</t>
        </is>
      </c>
      <c r="H124" s="2" t="inlineStr">
        <is>
          <t>retest 1</t>
        </is>
      </c>
      <c r="I124" s="3" t="inlineStr">
        <is>
          <t>GP092501</t>
        </is>
      </c>
      <c r="J124" s="2" t="inlineStr">
        <is>
          <t>P060092</t>
        </is>
      </c>
      <c r="K124" s="2" t="inlineStr">
        <is>
          <t>Grape Pie</t>
        </is>
      </c>
      <c r="L124" s="2" t="inlineStr">
        <is>
          <t>Ident A + Ident B + Foreign matter</t>
        </is>
      </c>
      <c r="M124" s="6" t="inlineStr">
        <is>
          <t>—</t>
        </is>
      </c>
      <c r="N124" s="2">
        <f>IFERROR(INDEX('CoQ Register'!$B:$B,MATCH("P060092|R",'CoQ Register'!$S:$S,0)),"—")</f>
        <v/>
      </c>
      <c r="O124" s="6" t="inlineStr">
        <is>
          <t>—</t>
        </is>
      </c>
      <c r="P124" s="2" t="inlineStr">
        <is>
          <t>03.02.2027</t>
        </is>
      </c>
      <c r="Q124" s="2" t="inlineStr">
        <is>
          <t>16.12.2025 – 17.12.2025</t>
        </is>
      </c>
      <c r="R124" s="2" t="inlineStr">
        <is>
          <t>03.02.2026 – 09.02.2026</t>
        </is>
      </c>
      <c r="S124" s="5">
        <f>IFERROR(INDEX('CoQ Register'!$D:$D,MATCH("P060092|R",'CoQ Register'!$S:$S,0)),"")</f>
        <v/>
      </c>
      <c r="T124" s="2" t="inlineStr">
        <is>
          <t>Conforms</t>
        </is>
      </c>
      <c r="U124" s="2" t="inlineStr">
        <is>
          <t>Conforms</t>
        </is>
      </c>
      <c r="V124" s="2" t="inlineStr">
        <is>
          <t>Conforms</t>
        </is>
      </c>
      <c r="W124" s="2" t="inlineStr">
        <is>
          <t>220-13-K-26, (25.08.2026) [FHM-K]</t>
        </is>
      </c>
      <c r="X124" s="2" t="inlineStr">
        <is>
          <t>220-13-K-26, (25.08.2026) [FHM-K]</t>
        </is>
      </c>
      <c r="Y124" s="2" t="inlineStr">
        <is>
          <t>220-13-M-26, (11.09.2026) [FHM-M]</t>
        </is>
      </c>
      <c r="Z124" s="2" t="inlineStr">
        <is>
          <t>#8, #9, #11, #12 from the initial testing</t>
        </is>
      </c>
      <c r="AA124" s="2" t="inlineStr">
        <is>
          <t>P060092|R</t>
        </is>
      </c>
      <c r="AB124" s="7" t="inlineStr">
        <is>
          <t>registered — retest 1 · Tranche 2 (sampled 12–14.08.2026), tested 13.08.2026, issued 17.08.2026</t>
        </is>
      </c>
    </row>
    <row r="125">
      <c r="A125" s="2" t="n">
        <v>124</v>
      </c>
      <c r="B125" s="3" t="inlineStr">
        <is>
          <t>iCoA-PP_26-124</t>
        </is>
      </c>
      <c r="C125" s="4" t="inlineStr">
        <is>
          <t>yes</t>
        </is>
      </c>
      <c r="D125" s="5" t="n">
        <v>46251</v>
      </c>
      <c r="E125" s="5" t="n">
        <v>46247</v>
      </c>
      <c r="F125" s="5">
        <f>IFERROR(INDEX('Batch Dates'!$G:$G,MATCH(J125,'Batch Dates'!$C:$C,0)),IFERROR(INDEX('Batch Dates'!$G:$G,MATCH(I125,'Batch Dates'!$B:$B,0)),""))</f>
        <v/>
      </c>
      <c r="G125" s="2" t="inlineStr">
        <is>
          <t>legacy</t>
        </is>
      </c>
      <c r="H125" s="2" t="inlineStr">
        <is>
          <t>retest 2</t>
        </is>
      </c>
      <c r="I125" s="3" t="inlineStr">
        <is>
          <t>GRC102501</t>
        </is>
      </c>
      <c r="J125" s="2" t="inlineStr">
        <is>
          <t>P060182</t>
        </is>
      </c>
      <c r="K125" s="2" t="inlineStr">
        <is>
          <t>Grapes And Cream</t>
        </is>
      </c>
      <c r="L125" s="2" t="inlineStr">
        <is>
          <t>Ident A + Ident B + Foreign matter</t>
        </is>
      </c>
      <c r="M125" s="6" t="inlineStr">
        <is>
          <t>—</t>
        </is>
      </c>
      <c r="N125" s="2">
        <f>IFERROR(INDEX('CoQ Register'!$B:$B,MATCH("P060182|R2",'CoQ Register'!$S:$S,0)),"—")</f>
        <v/>
      </c>
      <c r="O125" s="6" t="inlineStr">
        <is>
          <t>—</t>
        </is>
      </c>
      <c r="P125" s="2" t="inlineStr">
        <is>
          <t>14.03.2027</t>
        </is>
      </c>
      <c r="Q125" s="2" t="inlineStr">
        <is>
          <t>20.01.2026</t>
        </is>
      </c>
      <c r="R125" s="2" t="inlineStr">
        <is>
          <t>14.03.2026</t>
        </is>
      </c>
      <c r="S125" s="5">
        <f>IFERROR(INDEX('CoQ Register'!$D:$D,MATCH("P060182|R2",'CoQ Register'!$S:$S,0)),"")</f>
        <v/>
      </c>
      <c r="T125" s="2" t="inlineStr">
        <is>
          <t>Conforms</t>
        </is>
      </c>
      <c r="U125" s="2" t="inlineStr">
        <is>
          <t>Conforms</t>
        </is>
      </c>
      <c r="V125" s="2" t="inlineStr">
        <is>
          <t>Conforms</t>
        </is>
      </c>
      <c r="W125" s="2" t="inlineStr">
        <is>
          <t>220-14-K-26, (25.08.2026) [FHM-K]</t>
        </is>
      </c>
      <c r="X125" s="2" t="inlineStr">
        <is>
          <t>220-14-K-26, (25.08.2026) [FHM-K]</t>
        </is>
      </c>
      <c r="Y125" s="2" t="inlineStr">
        <is>
          <t>220-14-M-26, (11.09.2026) [FHM-M]</t>
        </is>
      </c>
      <c r="Z125" s="2" t="inlineStr">
        <is>
          <t>#8, #9, #11, #12 from the initial testing</t>
        </is>
      </c>
      <c r="AA125" s="2" t="inlineStr">
        <is>
          <t>P060182|R2</t>
        </is>
      </c>
      <c r="AB125" s="7" t="inlineStr">
        <is>
          <t>registered — retest 2 · Tranche 2 (sampled 12–14.08.2026), tested 13.08.2026, issued 17.08.2026</t>
        </is>
      </c>
    </row>
    <row r="126">
      <c r="A126" s="2" t="n">
        <v>125</v>
      </c>
      <c r="B126" s="3" t="inlineStr">
        <is>
          <t>iCoA-PP_26-125</t>
        </is>
      </c>
      <c r="C126" s="4" t="inlineStr">
        <is>
          <t>yes</t>
        </is>
      </c>
      <c r="D126" s="5" t="n">
        <v>46251</v>
      </c>
      <c r="E126" s="5" t="n">
        <v>46247</v>
      </c>
      <c r="F126" s="5">
        <f>IFERROR(INDEX('Batch Dates'!$G:$G,MATCH(J126,'Batch Dates'!$C:$C,0)),IFERROR(INDEX('Batch Dates'!$G:$G,MATCH(I126,'Batch Dates'!$B:$B,0)),""))</f>
        <v/>
      </c>
      <c r="G126" s="2" t="inlineStr">
        <is>
          <t>legacy</t>
        </is>
      </c>
      <c r="H126" s="2" t="inlineStr">
        <is>
          <t>retest 1</t>
        </is>
      </c>
      <c r="I126" s="3" t="inlineStr">
        <is>
          <t>HPA052501</t>
        </is>
      </c>
      <c r="J126" s="2" t="inlineStr">
        <is>
          <t>P050182</t>
        </is>
      </c>
      <c r="K126" s="2" t="inlineStr">
        <is>
          <t>High Pro Amnesia</t>
        </is>
      </c>
      <c r="L126" s="2" t="inlineStr">
        <is>
          <t>Ident A + Ident B + Foreign matter</t>
        </is>
      </c>
      <c r="M126" s="6" t="inlineStr">
        <is>
          <t>—</t>
        </is>
      </c>
      <c r="N126" s="2">
        <f>IFERROR(INDEX('CoQ Register'!$B:$B,MATCH("P050182|R",'CoQ Register'!$S:$S,0)),"—")</f>
        <v/>
      </c>
      <c r="O126" s="6" t="inlineStr">
        <is>
          <t>—</t>
        </is>
      </c>
      <c r="P126" s="2" t="inlineStr">
        <is>
          <t>03.10.2026</t>
        </is>
      </c>
      <c r="Q126" s="2" t="inlineStr">
        <is>
          <t>21.08.2025 – 23.08.2025</t>
        </is>
      </c>
      <c r="R126" s="2" t="inlineStr">
        <is>
          <t>03.10.2025 – 09.10.2025</t>
        </is>
      </c>
      <c r="S126" s="5">
        <f>IFERROR(INDEX('CoQ Register'!$D:$D,MATCH("P050182|R",'CoQ Register'!$S:$S,0)),"")</f>
        <v/>
      </c>
      <c r="T126" s="2" t="inlineStr">
        <is>
          <t>Conforms</t>
        </is>
      </c>
      <c r="U126" s="2" t="inlineStr">
        <is>
          <t>Conforms</t>
        </is>
      </c>
      <c r="V126" s="2" t="inlineStr">
        <is>
          <t>Conforms</t>
        </is>
      </c>
      <c r="W126" s="2" t="inlineStr">
        <is>
          <t>220-15-K-26, (25.08.2026) [FHM-K]</t>
        </is>
      </c>
      <c r="X126" s="2" t="inlineStr">
        <is>
          <t>220-15-K-26, (25.08.2026) [FHM-K]</t>
        </is>
      </c>
      <c r="Y126" s="2" t="inlineStr">
        <is>
          <t>220-15-M-26, (11.09.2026) [FHM-M]</t>
        </is>
      </c>
      <c r="Z126" s="2" t="inlineStr">
        <is>
          <t>#8, #9, #11, #12 from the initial testing</t>
        </is>
      </c>
      <c r="AA126" s="2" t="inlineStr">
        <is>
          <t>P050182|R</t>
        </is>
      </c>
      <c r="AB126" s="7" t="inlineStr">
        <is>
          <t>registered — retest 1 · Tranche 2 (sampled 12–14.08.2026), tested 13.08.2026, issued 17.08.2026</t>
        </is>
      </c>
    </row>
    <row r="127">
      <c r="A127" s="2" t="n">
        <v>126</v>
      </c>
      <c r="B127" s="3" t="inlineStr">
        <is>
          <t>iCoA-PP_26-126</t>
        </is>
      </c>
      <c r="C127" s="4" t="inlineStr">
        <is>
          <t>yes</t>
        </is>
      </c>
      <c r="D127" s="5" t="n">
        <v>46251</v>
      </c>
      <c r="E127" s="5" t="n">
        <v>46247</v>
      </c>
      <c r="F127" s="5">
        <f>IFERROR(INDEX('Batch Dates'!$G:$G,MATCH(J127,'Batch Dates'!$C:$C,0)),IFERROR(INDEX('Batch Dates'!$G:$G,MATCH(I127,'Batch Dates'!$B:$B,0)),""))</f>
        <v/>
      </c>
      <c r="G127" s="2" t="inlineStr">
        <is>
          <t>post-SOP</t>
        </is>
      </c>
      <c r="H127" s="2" t="inlineStr">
        <is>
          <t>retest 1</t>
        </is>
      </c>
      <c r="I127" s="3" t="inlineStr">
        <is>
          <t>JD012603</t>
        </is>
      </c>
      <c r="J127" s="2" t="inlineStr">
        <is>
          <t>P060412</t>
        </is>
      </c>
      <c r="K127" s="2" t="inlineStr">
        <is>
          <t>Jelly Donuts</t>
        </is>
      </c>
      <c r="L127" s="2" t="inlineStr">
        <is>
          <t>Ident A + Ident B + Foreign matter</t>
        </is>
      </c>
      <c r="M127" s="6" t="inlineStr">
        <is>
          <t>—</t>
        </is>
      </c>
      <c r="N127" s="2">
        <f>IFERROR(INDEX('CoQ Register'!$B:$B,MATCH("P060412|R",'CoQ Register'!$S:$S,0)),"—")</f>
        <v/>
      </c>
      <c r="O127" s="6" t="inlineStr">
        <is>
          <t>—</t>
        </is>
      </c>
      <c r="P127" s="2" t="inlineStr">
        <is>
          <t>24.05.2027</t>
        </is>
      </c>
      <c r="Q127" s="2" t="inlineStr">
        <is>
          <t>04.05.2026</t>
        </is>
      </c>
      <c r="R127" s="2" t="inlineStr">
        <is>
          <t>24.05.2026</t>
        </is>
      </c>
      <c r="S127" s="5">
        <f>IFERROR(INDEX('CoQ Register'!$D:$D,MATCH("P060412|R",'CoQ Register'!$S:$S,0)),"")</f>
        <v/>
      </c>
      <c r="T127" s="2" t="inlineStr">
        <is>
          <t>CNP ППК26111</t>
        </is>
      </c>
      <c r="U127" s="2" t="inlineStr">
        <is>
          <t>CNP ППК26111</t>
        </is>
      </c>
      <c r="V127" s="2" t="inlineStr">
        <is>
          <t>Conforms</t>
        </is>
      </c>
      <c r="W127" s="2" t="inlineStr">
        <is>
          <t>220-17-K-26, (26.08.2026) [FHM-K]</t>
        </is>
      </c>
      <c r="X127" s="2" t="inlineStr">
        <is>
          <t>220-17-K-26, (26.08.2026) [FHM-K]</t>
        </is>
      </c>
      <c r="Y127" s="2" t="inlineStr">
        <is>
          <t>220-17-M-26, (11.09.2026) [FHM-M]</t>
        </is>
      </c>
      <c r="Z127" s="2" t="inlineStr">
        <is>
          <t>#8, #9, #11, #12 from the initial testing</t>
        </is>
      </c>
      <c r="AA127" s="2" t="inlineStr">
        <is>
          <t>P060412|R</t>
        </is>
      </c>
      <c r="AB127" s="7" t="inlineStr">
        <is>
          <t>registered — retest 1 · Tranche 2 (sampled 12–14.08.2026), tested 13.08.2026, issued 17.08.2026</t>
        </is>
      </c>
    </row>
    <row r="128">
      <c r="A128" s="2" t="n">
        <v>127</v>
      </c>
      <c r="B128" s="3" t="inlineStr">
        <is>
          <t>iCoA-PP_26-127</t>
        </is>
      </c>
      <c r="C128" s="4" t="inlineStr">
        <is>
          <t>yes</t>
        </is>
      </c>
      <c r="D128" s="5" t="n">
        <v>46251</v>
      </c>
      <c r="E128" s="5" t="n">
        <v>46247</v>
      </c>
      <c r="F128" s="5">
        <f>IFERROR(INDEX('Batch Dates'!$G:$G,MATCH(J128,'Batch Dates'!$C:$C,0)),IFERROR(INDEX('Batch Dates'!$G:$G,MATCH(I128,'Batch Dates'!$B:$B,0)),""))</f>
        <v/>
      </c>
      <c r="G128" s="2" t="inlineStr">
        <is>
          <t>post-SOP</t>
        </is>
      </c>
      <c r="H128" s="2" t="inlineStr">
        <is>
          <t>retest 1</t>
        </is>
      </c>
      <c r="I128" s="3" t="inlineStr">
        <is>
          <t>JD012603</t>
        </is>
      </c>
      <c r="J128" s="2" t="inlineStr">
        <is>
          <t>P060422</t>
        </is>
      </c>
      <c r="K128" s="2" t="inlineStr">
        <is>
          <t>Jelly Donuts</t>
        </is>
      </c>
      <c r="L128" s="2" t="inlineStr">
        <is>
          <t>Ident A + Ident B + Foreign matter</t>
        </is>
      </c>
      <c r="M128" s="6" t="inlineStr">
        <is>
          <t>—</t>
        </is>
      </c>
      <c r="N128" s="2">
        <f>IFERROR(INDEX('CoQ Register'!$B:$B,MATCH("P060422|R",'CoQ Register'!$S:$S,0)),"—")</f>
        <v/>
      </c>
      <c r="O128" s="6" t="inlineStr">
        <is>
          <t>—</t>
        </is>
      </c>
      <c r="P128" s="2" t="inlineStr">
        <is>
          <t>23.05.2027</t>
        </is>
      </c>
      <c r="Q128" s="2" t="inlineStr">
        <is>
          <t>29.04.2026</t>
        </is>
      </c>
      <c r="R128" s="2" t="inlineStr">
        <is>
          <t>23.05.2026</t>
        </is>
      </c>
      <c r="S128" s="5">
        <f>IFERROR(INDEX('CoQ Register'!$D:$D,MATCH("P060422|R",'CoQ Register'!$S:$S,0)),"")</f>
        <v/>
      </c>
      <c r="T128" s="2" t="inlineStr">
        <is>
          <t>CNP ППК26111</t>
        </is>
      </c>
      <c r="U128" s="2" t="inlineStr">
        <is>
          <t>CNP ППК26111</t>
        </is>
      </c>
      <c r="V128" s="2" t="inlineStr">
        <is>
          <t>Conforms</t>
        </is>
      </c>
      <c r="W128" s="2" t="inlineStr">
        <is>
          <t>220-18-K-26, (26.08.2026) [FHM-K]</t>
        </is>
      </c>
      <c r="X128" s="2" t="inlineStr">
        <is>
          <t>220-18-K-26, (26.08.2026) [FHM-K]</t>
        </is>
      </c>
      <c r="Y128" s="2" t="inlineStr">
        <is>
          <t>220-18-M-26, (11.09.2026) [FHM-M]</t>
        </is>
      </c>
      <c r="Z128" s="2" t="inlineStr">
        <is>
          <t>#8, #9, #11, #12 from the initial testing</t>
        </is>
      </c>
      <c r="AA128" s="2" t="inlineStr">
        <is>
          <t>P060422|R</t>
        </is>
      </c>
      <c r="AB128" s="7" t="inlineStr">
        <is>
          <t>registered — retest 1 · Tranche 2 (sampled 12–14.08.2026), tested 13.08.2026, issued 17.08.2026</t>
        </is>
      </c>
    </row>
    <row r="129">
      <c r="A129" s="2" t="n">
        <v>128</v>
      </c>
      <c r="B129" s="3" t="inlineStr">
        <is>
          <t>iCoA-PP_26-128</t>
        </is>
      </c>
      <c r="C129" s="4" t="inlineStr">
        <is>
          <t>yes</t>
        </is>
      </c>
      <c r="D129" s="5" t="n">
        <v>46251</v>
      </c>
      <c r="E129" s="5" t="n">
        <v>46247</v>
      </c>
      <c r="F129" s="5">
        <f>IFERROR(INDEX('Batch Dates'!$G:$G,MATCH(J129,'Batch Dates'!$C:$C,0)),IFERROR(INDEX('Batch Dates'!$G:$G,MATCH(I129,'Batch Dates'!$B:$B,0)),""))</f>
        <v/>
      </c>
      <c r="G129" s="2" t="inlineStr">
        <is>
          <t>post-SOP</t>
        </is>
      </c>
      <c r="H129" s="2" t="inlineStr">
        <is>
          <t>retest 1</t>
        </is>
      </c>
      <c r="I129" s="3" t="inlineStr">
        <is>
          <t>JD012603</t>
        </is>
      </c>
      <c r="J129" s="2" t="inlineStr">
        <is>
          <t>P060362</t>
        </is>
      </c>
      <c r="K129" s="2" t="inlineStr">
        <is>
          <t>Jelly Donuts</t>
        </is>
      </c>
      <c r="L129" s="2" t="inlineStr">
        <is>
          <t>Ident A + Ident B + Foreign matter</t>
        </is>
      </c>
      <c r="M129" s="6" t="inlineStr">
        <is>
          <t>—</t>
        </is>
      </c>
      <c r="N129" s="2">
        <f>IFERROR(INDEX('CoQ Register'!$B:$B,MATCH("P060362|R",'CoQ Register'!$S:$S,0)),"—")</f>
        <v/>
      </c>
      <c r="O129" s="6" t="inlineStr">
        <is>
          <t>—</t>
        </is>
      </c>
      <c r="P129" s="2" t="inlineStr">
        <is>
          <t>23.05.2027</t>
        </is>
      </c>
      <c r="Q129" s="2" t="inlineStr">
        <is>
          <t>22.04.2026</t>
        </is>
      </c>
      <c r="R129" s="2" t="inlineStr">
        <is>
          <t>23.05.2026</t>
        </is>
      </c>
      <c r="S129" s="5">
        <f>IFERROR(INDEX('CoQ Register'!$D:$D,MATCH("P060362|R",'CoQ Register'!$S:$S,0)),"")</f>
        <v/>
      </c>
      <c r="T129" s="2" t="inlineStr">
        <is>
          <t>CNP ППК26111</t>
        </is>
      </c>
      <c r="U129" s="2" t="inlineStr">
        <is>
          <t>CNP ППК26111</t>
        </is>
      </c>
      <c r="V129" s="2" t="inlineStr">
        <is>
          <t>Conforms</t>
        </is>
      </c>
      <c r="W129" s="2" t="inlineStr">
        <is>
          <t>220-16-K-26, (25.08.2026) [FHM-K]</t>
        </is>
      </c>
      <c r="X129" s="2" t="inlineStr">
        <is>
          <t>220-16-K-26, (25.08.2026) [FHM-K]</t>
        </is>
      </c>
      <c r="Y129" s="2" t="inlineStr">
        <is>
          <t>220-16-M-26, (11.09.2026) [FHM-M]</t>
        </is>
      </c>
      <c r="Z129" s="2" t="inlineStr">
        <is>
          <t>#8, #9, #11, #12 from the initial testing</t>
        </is>
      </c>
      <c r="AA129" s="2" t="inlineStr">
        <is>
          <t>P060362|R</t>
        </is>
      </c>
      <c r="AB129" s="7" t="inlineStr">
        <is>
          <t>registered — retest 1 · Tranche 2 (sampled 12–14.08.2026), tested 13.08.2026, issued 17.08.2026</t>
        </is>
      </c>
    </row>
    <row r="130">
      <c r="A130" s="2" t="n">
        <v>129</v>
      </c>
      <c r="B130" s="3" t="inlineStr">
        <is>
          <t>iCoA-PP_26-129</t>
        </is>
      </c>
      <c r="C130" s="4" t="inlineStr">
        <is>
          <t>yes</t>
        </is>
      </c>
      <c r="D130" s="5" t="n">
        <v>46251</v>
      </c>
      <c r="E130" s="5" t="n">
        <v>46247</v>
      </c>
      <c r="F130" s="5">
        <f>IFERROR(INDEX('Batch Dates'!$G:$G,MATCH(J130,'Batch Dates'!$C:$C,0)),IFERROR(INDEX('Batch Dates'!$G:$G,MATCH(I130,'Batch Dates'!$B:$B,0)),""))</f>
        <v/>
      </c>
      <c r="G130" s="2" t="inlineStr">
        <is>
          <t>legacy</t>
        </is>
      </c>
      <c r="H130" s="2" t="inlineStr">
        <is>
          <t>retest 1</t>
        </is>
      </c>
      <c r="I130" s="3" t="inlineStr">
        <is>
          <t>KC102501</t>
        </is>
      </c>
      <c r="J130" s="2" t="inlineStr">
        <is>
          <t>P060172</t>
        </is>
      </c>
      <c r="K130" s="2" t="inlineStr">
        <is>
          <t>Kush Crasher</t>
        </is>
      </c>
      <c r="L130" s="2" t="inlineStr">
        <is>
          <t>Ident A + Ident B + Foreign matter</t>
        </is>
      </c>
      <c r="M130" s="6" t="inlineStr">
        <is>
          <t>—</t>
        </is>
      </c>
      <c r="N130" s="2">
        <f>IFERROR(INDEX('CoQ Register'!$B:$B,MATCH("P060172|R",'CoQ Register'!$S:$S,0)),"—")</f>
        <v/>
      </c>
      <c r="O130" s="6" t="inlineStr">
        <is>
          <t>—</t>
        </is>
      </c>
      <c r="P130" s="2" t="inlineStr">
        <is>
          <t>12.03.2027</t>
        </is>
      </c>
      <c r="Q130" s="2" t="inlineStr">
        <is>
          <t>20.01.2026 – 21.01.2026</t>
        </is>
      </c>
      <c r="R130" s="2" t="inlineStr">
        <is>
          <t>12.03.2026</t>
        </is>
      </c>
      <c r="S130" s="5">
        <f>IFERROR(INDEX('CoQ Register'!$D:$D,MATCH("P060172|R",'CoQ Register'!$S:$S,0)),"")</f>
        <v/>
      </c>
      <c r="T130" s="2" t="inlineStr">
        <is>
          <t>Conforms</t>
        </is>
      </c>
      <c r="U130" s="2" t="inlineStr">
        <is>
          <t>Conforms</t>
        </is>
      </c>
      <c r="V130" s="2" t="inlineStr">
        <is>
          <t>Conforms</t>
        </is>
      </c>
      <c r="W130" s="2" t="inlineStr">
        <is>
          <t>220-19-K-26, (26.08.2026) [FHM-K]</t>
        </is>
      </c>
      <c r="X130" s="2" t="inlineStr">
        <is>
          <t>220-19-K-26, (26.08.2026) [FHM-K]</t>
        </is>
      </c>
      <c r="Y130" s="2" t="inlineStr">
        <is>
          <t>220-19-M-26, (11.09.2026) [FHM-M]</t>
        </is>
      </c>
      <c r="Z130" s="2" t="inlineStr">
        <is>
          <t>#8, #9, #11, #12 from the initial testing</t>
        </is>
      </c>
      <c r="AA130" s="2" t="inlineStr">
        <is>
          <t>P060172|R</t>
        </is>
      </c>
      <c r="AB130" s="7" t="inlineStr">
        <is>
          <t>registered — retest 1 · Tranche 2 (sampled 12–14.08.2026), tested 13.08.2026, issued 17.08.2026</t>
        </is>
      </c>
    </row>
    <row r="131">
      <c r="A131" s="2" t="n">
        <v>130</v>
      </c>
      <c r="B131" s="3" t="inlineStr">
        <is>
          <t>iCoA-PP_26-130</t>
        </is>
      </c>
      <c r="C131" s="4" t="inlineStr">
        <is>
          <t>yes</t>
        </is>
      </c>
      <c r="D131" s="5" t="n">
        <v>46251</v>
      </c>
      <c r="E131" s="5" t="n">
        <v>46247</v>
      </c>
      <c r="F131" s="5">
        <f>IFERROR(INDEX('Batch Dates'!$G:$G,MATCH(J131,'Batch Dates'!$C:$C,0)),IFERROR(INDEX('Batch Dates'!$G:$G,MATCH(I131,'Batch Dates'!$B:$B,0)),""))</f>
        <v/>
      </c>
      <c r="G131" s="2" t="inlineStr">
        <is>
          <t>legacy</t>
        </is>
      </c>
      <c r="H131" s="2" t="inlineStr">
        <is>
          <t>retest 1</t>
        </is>
      </c>
      <c r="I131" s="3" t="inlineStr">
        <is>
          <t>MB0824_05</t>
        </is>
      </c>
      <c r="J131" s="2" t="inlineStr">
        <is>
          <t>P050112</t>
        </is>
      </c>
      <c r="K131" s="2" t="inlineStr">
        <is>
          <t>Motor Breath</t>
        </is>
      </c>
      <c r="L131" s="2" t="inlineStr">
        <is>
          <t>Ident A + Ident B + Foreign matter</t>
        </is>
      </c>
      <c r="M131" s="6" t="inlineStr">
        <is>
          <t>—</t>
        </is>
      </c>
      <c r="N131" s="2">
        <f>IFERROR(INDEX('CoQ Register'!$B:$B,MATCH("P050112|R",'CoQ Register'!$S:$S,0)),"—")</f>
        <v/>
      </c>
      <c r="O131" s="6" t="inlineStr">
        <is>
          <t>—</t>
        </is>
      </c>
      <c r="P131" s="2" t="inlineStr">
        <is>
          <t>25.08.2026</t>
        </is>
      </c>
      <c r="Q131" s="2" t="inlineStr">
        <is>
          <t>08.07.2025 – 09.07.2025</t>
        </is>
      </c>
      <c r="R131" s="2" t="inlineStr">
        <is>
          <t>25.08.2025 – 31.08.2025</t>
        </is>
      </c>
      <c r="S131" s="5">
        <f>IFERROR(INDEX('CoQ Register'!$D:$D,MATCH("P050112|R",'CoQ Register'!$S:$S,0)),"")</f>
        <v/>
      </c>
      <c r="T131" s="2" t="inlineStr">
        <is>
          <t>Conforms</t>
        </is>
      </c>
      <c r="U131" s="2" t="inlineStr">
        <is>
          <t>Conforms</t>
        </is>
      </c>
      <c r="V131" s="2" t="inlineStr">
        <is>
          <t>Conforms</t>
        </is>
      </c>
      <c r="W131" s="2" t="inlineStr">
        <is>
          <t>220-20-K-26, (26.08.2026) [FHM-K]</t>
        </is>
      </c>
      <c r="X131" s="2" t="inlineStr">
        <is>
          <t>220-20-K-26, (26.08.2026) [FHM-K]</t>
        </is>
      </c>
      <c r="Y131" s="2" t="inlineStr">
        <is>
          <t>220-20-M-26, (11.09.2026) [FHM-M]</t>
        </is>
      </c>
      <c r="Z131" s="2" t="inlineStr">
        <is>
          <t>#8, #9, #11, #12 from the initial testing</t>
        </is>
      </c>
      <c r="AA131" s="2" t="inlineStr">
        <is>
          <t>P050112|R</t>
        </is>
      </c>
      <c r="AB131" s="7" t="inlineStr">
        <is>
          <t>registered — retest 1 · Tranche 2 (sampled 12–14.08.2026), tested 13.08.2026, issued 17.08.2026</t>
        </is>
      </c>
    </row>
    <row r="132">
      <c r="A132" s="2" t="n">
        <v>131</v>
      </c>
      <c r="B132" s="3" t="inlineStr">
        <is>
          <t>iCoA-PP_26-131</t>
        </is>
      </c>
      <c r="C132" s="4" t="inlineStr">
        <is>
          <t>yes</t>
        </is>
      </c>
      <c r="D132" s="5" t="n">
        <v>46251</v>
      </c>
      <c r="E132" s="5" t="n">
        <v>46247</v>
      </c>
      <c r="F132" s="5">
        <f>IFERROR(INDEX('Batch Dates'!$G:$G,MATCH(J132,'Batch Dates'!$C:$C,0)),IFERROR(INDEX('Batch Dates'!$G:$G,MATCH(I132,'Batch Dates'!$B:$B,0)),""))</f>
        <v/>
      </c>
      <c r="G132" s="2" t="inlineStr">
        <is>
          <t>legacy</t>
        </is>
      </c>
      <c r="H132" s="2" t="inlineStr">
        <is>
          <t>retest 1</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29.01.2027</t>
        </is>
      </c>
      <c r="Q132" s="2" t="inlineStr">
        <is>
          <t>12.12.2025</t>
        </is>
      </c>
      <c r="R132" s="2" t="inlineStr">
        <is>
          <t>29.01.2026</t>
        </is>
      </c>
      <c r="S132" s="5">
        <f>IFERROR(INDEX('CoQ Register'!$D:$D,MATCH("P060042|R",'CoQ Register'!$S:$S,0)),"")</f>
        <v/>
      </c>
      <c r="T132" s="2" t="inlineStr">
        <is>
          <t>Conforms</t>
        </is>
      </c>
      <c r="U132" s="2" t="inlineStr">
        <is>
          <t>Conforms</t>
        </is>
      </c>
      <c r="V132" s="2" t="inlineStr">
        <is>
          <t>Conforms</t>
        </is>
      </c>
      <c r="W132" s="2" t="inlineStr">
        <is>
          <t>220-22-K-26, (26.08.2026) [FHM-K]</t>
        </is>
      </c>
      <c r="X132" s="2" t="inlineStr">
        <is>
          <t>220-22-K-26, (26.08.2026) [FHM-K]</t>
        </is>
      </c>
      <c r="Y132" s="2" t="inlineStr">
        <is>
          <t>220-22-M-26, (11.09.2026) [FHM-M]</t>
        </is>
      </c>
      <c r="Z132" s="2" t="inlineStr">
        <is>
          <t>#8, #9, #11, #12 from the initial testing</t>
        </is>
      </c>
      <c r="AA132" s="2" t="inlineStr">
        <is>
          <t>P060042|R</t>
        </is>
      </c>
      <c r="AB132" s="7" t="inlineStr">
        <is>
          <t>registered — retest 1 · Tranche 2 (sampled 12–14.08.2026), tested 13.08.2026,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2</t>
        </is>
      </c>
      <c r="I133" s="3" t="inlineStr">
        <is>
          <t>OMP1024_01</t>
        </is>
      </c>
      <c r="J133" s="2" t="inlineStr">
        <is>
          <t>P050042</t>
        </is>
      </c>
      <c r="K133" s="2" t="inlineStr">
        <is>
          <t>Orange Punch Mimosa</t>
        </is>
      </c>
      <c r="L133" s="2" t="inlineStr">
        <is>
          <t>Ident A + Ident B + Foreign matter</t>
        </is>
      </c>
      <c r="M133" s="6" t="inlineStr">
        <is>
          <t>—</t>
        </is>
      </c>
      <c r="N133" s="2">
        <f>IFERROR(INDEX('CoQ Register'!$B:$B,MATCH("P050042|R2",'CoQ Register'!$S:$S,0)),"—")</f>
        <v/>
      </c>
      <c r="O133" s="6" t="inlineStr">
        <is>
          <t>—</t>
        </is>
      </c>
      <c r="P133" s="2" t="inlineStr">
        <is>
          <t>20.06.2026</t>
        </is>
      </c>
      <c r="Q133" s="2" t="inlineStr">
        <is>
          <t>26.03.2025 – 27.03.2025</t>
        </is>
      </c>
      <c r="R133" s="2" t="inlineStr">
        <is>
          <t>20.06.2025</t>
        </is>
      </c>
      <c r="S133" s="5">
        <f>IFERROR(INDEX('CoQ Register'!$D:$D,MATCH("P050042|R2",'CoQ Register'!$S:$S,0)),"")</f>
        <v/>
      </c>
      <c r="T133" s="2" t="inlineStr">
        <is>
          <t>Conforms</t>
        </is>
      </c>
      <c r="U133" s="2" t="inlineStr">
        <is>
          <t>Conforms</t>
        </is>
      </c>
      <c r="V133" s="2" t="inlineStr">
        <is>
          <t>Conforms</t>
        </is>
      </c>
      <c r="W133" s="2" t="inlineStr">
        <is>
          <t>220-21-K-26, (26.08.2026) [FHM-K]</t>
        </is>
      </c>
      <c r="X133" s="2" t="inlineStr">
        <is>
          <t>220-21-K-26, (26.08.2026) [FHM-K]</t>
        </is>
      </c>
      <c r="Y133" s="2" t="inlineStr">
        <is>
          <t>220-21-M-26, (11.09.2026) [FHM-M]</t>
        </is>
      </c>
      <c r="Z133" s="2" t="inlineStr">
        <is>
          <t>#8, #9, #11, #12 from the initial testing</t>
        </is>
      </c>
      <c r="AA133" s="2" t="inlineStr">
        <is>
          <t>P050042|R2</t>
        </is>
      </c>
      <c r="AB133" s="7" t="inlineStr">
        <is>
          <t>registered — retest 2 · Tranche 2 (sampled 12–14.08.2026), tested 13.08.2026, issued 17.08.2026</t>
        </is>
      </c>
    </row>
    <row r="134">
      <c r="A134" s="2" t="n">
        <v>133</v>
      </c>
      <c r="B134" s="3" t="inlineStr">
        <is>
          <t>iCoA-PP_26-133</t>
        </is>
      </c>
      <c r="C134" s="4" t="inlineStr">
        <is>
          <t>yes</t>
        </is>
      </c>
      <c r="D134" s="5" t="n">
        <v>46251</v>
      </c>
      <c r="E134" s="5" t="n">
        <v>46248</v>
      </c>
      <c r="F134" s="5">
        <f>IFERROR(INDEX('Batch Dates'!$G:$G,MATCH(J134,'Batch Dates'!$C:$C,0)),IFERROR(INDEX('Batch Dates'!$G:$G,MATCH(I134,'Batch Dates'!$B:$B,0)),""))</f>
        <v/>
      </c>
      <c r="G134" s="2" t="inlineStr">
        <is>
          <t>post-SOP</t>
        </is>
      </c>
      <c r="H134" s="2" t="inlineStr">
        <is>
          <t>retest 1</t>
        </is>
      </c>
      <c r="I134" s="3" t="inlineStr">
        <is>
          <t>CC012603</t>
        </is>
      </c>
      <c r="J134" s="2" t="inlineStr">
        <is>
          <t>P060372</t>
        </is>
      </c>
      <c r="K134" s="2" t="inlineStr">
        <is>
          <t>Cash Cow</t>
        </is>
      </c>
      <c r="L134" s="2" t="inlineStr">
        <is>
          <t>Ident A + Ident B + Foreign matter</t>
        </is>
      </c>
      <c r="M134" s="6" t="inlineStr">
        <is>
          <t>—</t>
        </is>
      </c>
      <c r="N134" s="2">
        <f>IFERROR(INDEX('CoQ Register'!$B:$B,MATCH("P060372|R",'CoQ Register'!$S:$S,0)),"—")</f>
        <v/>
      </c>
      <c r="O134" s="6" t="inlineStr">
        <is>
          <t>—</t>
        </is>
      </c>
      <c r="P134" s="2" t="inlineStr">
        <is>
          <t>24.05.2027</t>
        </is>
      </c>
      <c r="Q134" s="2" t="inlineStr">
        <is>
          <t>22.04.2026</t>
        </is>
      </c>
      <c r="R134" s="2" t="inlineStr">
        <is>
          <t>24.05.2026</t>
        </is>
      </c>
      <c r="S134" s="5">
        <f>IFERROR(INDEX('CoQ Register'!$D:$D,MATCH("P060372|R",'CoQ Register'!$S:$S,0)),"")</f>
        <v/>
      </c>
      <c r="T134" s="2" t="inlineStr">
        <is>
          <t>Conforms</t>
        </is>
      </c>
      <c r="U134" s="2" t="inlineStr">
        <is>
          <t>Conforms</t>
        </is>
      </c>
      <c r="V134" s="2" t="inlineStr">
        <is>
          <t>Conforms</t>
        </is>
      </c>
      <c r="W134" s="2" t="inlineStr">
        <is>
          <t>220-29-K-26, (26.08.2026) [FHM-K]</t>
        </is>
      </c>
      <c r="X134" s="2" t="inlineStr">
        <is>
          <t>220-29-K-26, (26.08.2026) [FHM-K]</t>
        </is>
      </c>
      <c r="Y134" s="2" t="inlineStr">
        <is>
          <t>220-29-M-26, (11.09.2026) [FHM-M]</t>
        </is>
      </c>
      <c r="Z134" s="2" t="inlineStr">
        <is>
          <t>#8, #9, #11, #12 from the initial testing</t>
        </is>
      </c>
      <c r="AA134" s="2" t="inlineStr">
        <is>
          <t>P060372|R</t>
        </is>
      </c>
      <c r="AB134" s="7" t="inlineStr">
        <is>
          <t>registered — retest 1 · Tranche 2 (sampled 12–14.08.2026), tested 14.08.2026, issued 17.08.2026</t>
        </is>
      </c>
    </row>
    <row r="135">
      <c r="A135" s="2" t="n">
        <v>134</v>
      </c>
      <c r="B135" s="3" t="inlineStr">
        <is>
          <t>iCoA-PP_26-134</t>
        </is>
      </c>
      <c r="C135" s="4" t="inlineStr">
        <is>
          <t>yes</t>
        </is>
      </c>
      <c r="D135" s="5" t="n">
        <v>46251</v>
      </c>
      <c r="E135" s="5" t="n">
        <v>46248</v>
      </c>
      <c r="F135" s="5">
        <f>IFERROR(INDEX('Batch Dates'!$G:$G,MATCH(J135,'Batch Dates'!$C:$C,0)),IFERROR(INDEX('Batch Dates'!$G:$G,MATCH(I135,'Batch Dates'!$B:$B,0)),""))</f>
        <v/>
      </c>
      <c r="G135" s="2" t="inlineStr">
        <is>
          <t>—</t>
        </is>
      </c>
      <c r="H135" s="2" t="inlineStr">
        <is>
          <t>retest 1</t>
        </is>
      </c>
      <c r="I135" s="3" t="inlineStr">
        <is>
          <t>CC042601</t>
        </is>
      </c>
      <c r="J135" s="2" t="inlineStr">
        <is>
          <t>N/A — no P batch assigned</t>
        </is>
      </c>
      <c r="K135" s="2" t="inlineStr">
        <is>
          <t>Cash Cow</t>
        </is>
      </c>
      <c r="L135" s="2" t="inlineStr">
        <is>
          <t>Ident A + Ident B + Foreign matter</t>
        </is>
      </c>
      <c r="M135" s="6" t="inlineStr">
        <is>
          <t>—</t>
        </is>
      </c>
      <c r="N135" s="2">
        <f>IFERROR(INDEX('CoQ Register'!$B:$B,MATCH("CC042601|R",'CoQ Register'!$S:$S,0)),"—")</f>
        <v/>
      </c>
      <c r="O135" s="6" t="inlineStr">
        <is>
          <t>—</t>
        </is>
      </c>
      <c r="P135" s="2" t="inlineStr">
        <is>
          <t>—</t>
        </is>
      </c>
      <c r="Q135" s="2" t="inlineStr">
        <is>
          <t>— not on the list —</t>
        </is>
      </c>
      <c r="R135" s="2" t="inlineStr">
        <is>
          <t>— not on the list —</t>
        </is>
      </c>
      <c r="S135" s="5">
        <f>IFERROR(INDEX('CoQ Register'!$D:$D,MATCH("CC042601|R",'CoQ Register'!$S:$S,0)),"")</f>
        <v/>
      </c>
      <c r="T135" s="2" t="inlineStr">
        <is>
          <t>Conforms</t>
        </is>
      </c>
      <c r="U135" s="2" t="inlineStr">
        <is>
          <t>Conforms</t>
        </is>
      </c>
      <c r="V135" s="2" t="inlineStr">
        <is>
          <t>Conforms</t>
        </is>
      </c>
      <c r="W135" s="2" t="inlineStr">
        <is>
          <t>220-32-K-26, (26.08.2026) [FHM-K]</t>
        </is>
      </c>
      <c r="X135" s="2" t="inlineStr">
        <is>
          <t>220-32-K-26, (26.08.2026) [FHM-K]</t>
        </is>
      </c>
      <c r="Y135" s="2" t="inlineStr">
        <is>
          <t>220-32-M-26, (11.09.2026) [FHM-M]</t>
        </is>
      </c>
      <c r="Z135" s="2" t="inlineStr">
        <is>
          <t>#8, #9, #11, #12 from the initial testing</t>
        </is>
      </c>
      <c r="AA135" s="2" t="inlineStr">
        <is>
          <t>CC042601|R</t>
        </is>
      </c>
      <c r="AB135" s="7" t="inlineStr">
        <is>
          <t>registered — retest 1 · Tranche 2 (sampled 12–14.08.2026), tested 14.08.2026, issued 17.08.2026</t>
        </is>
      </c>
    </row>
    <row r="136">
      <c r="A136" s="2" t="n">
        <v>135</v>
      </c>
      <c r="B136" s="3" t="inlineStr">
        <is>
          <t>iCoA-PP_26-135</t>
        </is>
      </c>
      <c r="C136" s="4" t="inlineStr">
        <is>
          <t>yes</t>
        </is>
      </c>
      <c r="D136" s="5" t="n">
        <v>46251</v>
      </c>
      <c r="E136" s="5" t="n">
        <v>46248</v>
      </c>
      <c r="F136" s="5">
        <f>IFERROR(INDEX('Batch Dates'!$G:$G,MATCH(J136,'Batch Dates'!$C:$C,0)),IFERROR(INDEX('Batch Dates'!$G:$G,MATCH(I136,'Batch Dates'!$B:$B,0)),""))</f>
        <v/>
      </c>
      <c r="G136" s="2" t="inlineStr">
        <is>
          <t>—</t>
        </is>
      </c>
      <c r="H136" s="2" t="inlineStr">
        <is>
          <t>retest 1</t>
        </is>
      </c>
      <c r="I136" s="3" t="inlineStr">
        <is>
          <t>FB042601</t>
        </is>
      </c>
      <c r="J136" s="2" t="inlineStr">
        <is>
          <t>N/A — no P batch assigned</t>
        </is>
      </c>
      <c r="K136" s="2" t="inlineStr">
        <is>
          <t>Fat Bastard</t>
        </is>
      </c>
      <c r="L136" s="2" t="inlineStr">
        <is>
          <t>Ident A + Ident B + Foreign matter</t>
        </is>
      </c>
      <c r="M136" s="6" t="inlineStr">
        <is>
          <t>—</t>
        </is>
      </c>
      <c r="N136" s="2">
        <f>IFERROR(INDEX('CoQ Register'!$B:$B,MATCH("FB042601|R",'CoQ Register'!$S:$S,0)),"—")</f>
        <v/>
      </c>
      <c r="O136" s="6" t="inlineStr">
        <is>
          <t>—</t>
        </is>
      </c>
      <c r="P136" s="2" t="inlineStr">
        <is>
          <t>—</t>
        </is>
      </c>
      <c r="Q136" s="2" t="inlineStr">
        <is>
          <t>— not on the list —</t>
        </is>
      </c>
      <c r="R136" s="2" t="inlineStr">
        <is>
          <t>— not on the list —</t>
        </is>
      </c>
      <c r="S136" s="5">
        <f>IFERROR(INDEX('CoQ Register'!$D:$D,MATCH("FB042601|R",'CoQ Register'!$S:$S,0)),"")</f>
        <v/>
      </c>
      <c r="T136" s="2" t="inlineStr">
        <is>
          <t>Conforms</t>
        </is>
      </c>
      <c r="U136" s="2" t="inlineStr">
        <is>
          <t>Conforms</t>
        </is>
      </c>
      <c r="V136" s="2" t="inlineStr">
        <is>
          <t>Conforms</t>
        </is>
      </c>
      <c r="W136" s="2" t="inlineStr">
        <is>
          <t>220-31-K-26, (26.08.2026) [FHM-K]</t>
        </is>
      </c>
      <c r="X136" s="2" t="inlineStr">
        <is>
          <t>220-31-K-26, (26.08.2026) [FHM-K]</t>
        </is>
      </c>
      <c r="Y136" s="2" t="inlineStr">
        <is>
          <t>220-31-M-26, (11.09.2026) [FHM-M]</t>
        </is>
      </c>
      <c r="Z136" s="2" t="inlineStr">
        <is>
          <t>#8, #9, #11, #12 from the initial testing</t>
        </is>
      </c>
      <c r="AA136" s="2" t="inlineStr">
        <is>
          <t>FB042601|R</t>
        </is>
      </c>
      <c r="AB136" s="7" t="inlineStr">
        <is>
          <t>registered — retest 1 · Tranche 2 (sampled 12–14.08.2026), tested 14.08.2026, issued 17.08.2026</t>
        </is>
      </c>
    </row>
    <row r="137">
      <c r="A137" s="2" t="n">
        <v>136</v>
      </c>
      <c r="B137" s="3" t="inlineStr">
        <is>
          <t>iCoA-PP_26-136</t>
        </is>
      </c>
      <c r="C137" s="4" t="inlineStr">
        <is>
          <t>yes</t>
        </is>
      </c>
      <c r="D137" s="5" t="n">
        <v>46251</v>
      </c>
      <c r="E137" s="5" t="n">
        <v>46248</v>
      </c>
      <c r="F137" s="5">
        <f>IFERROR(INDEX('Batch Dates'!$G:$G,MATCH(J137,'Batch Dates'!$C:$C,0)),IFERROR(INDEX('Batch Dates'!$G:$G,MATCH(I137,'Batch Dates'!$B:$B,0)),""))</f>
        <v/>
      </c>
      <c r="G137" s="2" t="inlineStr">
        <is>
          <t>post-SOP</t>
        </is>
      </c>
      <c r="H137" s="2" t="inlineStr">
        <is>
          <t>retest 1</t>
        </is>
      </c>
      <c r="I137" s="3" t="inlineStr">
        <is>
          <t>JD042601</t>
        </is>
      </c>
      <c r="J137" s="2" t="inlineStr">
        <is>
          <t>P060492</t>
        </is>
      </c>
      <c r="K137" s="2" t="inlineStr">
        <is>
          <t>Jelly Donuts</t>
        </is>
      </c>
      <c r="L137" s="2" t="inlineStr">
        <is>
          <t>Ident A + Ident B + Foreign matter</t>
        </is>
      </c>
      <c r="M137" s="6" t="inlineStr">
        <is>
          <t>—</t>
        </is>
      </c>
      <c r="N137" s="2">
        <f>IFERROR(INDEX('CoQ Register'!$B:$B,MATCH("P060492|R",'CoQ Register'!$S:$S,0)),"—")</f>
        <v/>
      </c>
      <c r="O137" s="6" t="inlineStr">
        <is>
          <t>—</t>
        </is>
      </c>
      <c r="P137" s="2" t="inlineStr">
        <is>
          <t>13.08.2027</t>
        </is>
      </c>
      <c r="Q137" s="2" t="inlineStr">
        <is>
          <t>21.07.2026</t>
        </is>
      </c>
      <c r="R137" s="2" t="inlineStr">
        <is>
          <t>13.08.2026</t>
        </is>
      </c>
      <c r="S137" s="5">
        <f>IFERROR(INDEX('CoQ Register'!$D:$D,MATCH("P060492|R",'CoQ Register'!$S:$S,0)),"")</f>
        <v/>
      </c>
      <c r="T137" s="2" t="inlineStr">
        <is>
          <t>Conforms</t>
        </is>
      </c>
      <c r="U137" s="2" t="inlineStr">
        <is>
          <t>Conforms</t>
        </is>
      </c>
      <c r="V137" s="2" t="inlineStr">
        <is>
          <t>Conforms</t>
        </is>
      </c>
      <c r="W137" s="2" t="inlineStr">
        <is>
          <t>220-30-K-26, (26.08.2026) [FHM-K]</t>
        </is>
      </c>
      <c r="X137" s="2" t="inlineStr">
        <is>
          <t>220-30-K-26, (26.08.2026) [FHM-K]</t>
        </is>
      </c>
      <c r="Y137" s="2" t="inlineStr">
        <is>
          <t>220-30-M-26, (11.09.2026) [FHM-M]</t>
        </is>
      </c>
      <c r="Z137" s="2" t="inlineStr">
        <is>
          <t>#8, #9, #11, #12 from the initial testing</t>
        </is>
      </c>
      <c r="AA137" s="2" t="inlineStr">
        <is>
          <t>P060492|R</t>
        </is>
      </c>
      <c r="AB137" s="7" t="inlineStr">
        <is>
          <t>registered — retest 1 · Tranche 2 (sampled 12–14.08.2026), tested 14.08.2026, issued 17.08.2026</t>
        </is>
      </c>
    </row>
    <row r="138">
      <c r="A138" s="2" t="n">
        <v>137</v>
      </c>
      <c r="B138" s="3" t="inlineStr">
        <is>
          <t>iCoA-PP_26-137</t>
        </is>
      </c>
      <c r="C138" s="4" t="inlineStr">
        <is>
          <t>yes</t>
        </is>
      </c>
      <c r="D138" s="5" t="n">
        <v>46251</v>
      </c>
      <c r="E138" s="5" t="n">
        <v>46248</v>
      </c>
      <c r="F138" s="5">
        <f>IFERROR(INDEX('Batch Dates'!$G:$G,MATCH(J138,'Batch Dates'!$C:$C,0)),IFERROR(INDEX('Batch Dates'!$G:$G,MATCH(I138,'Batch Dates'!$B:$B,0)),""))</f>
        <v/>
      </c>
      <c r="G138" s="2" t="inlineStr">
        <is>
          <t>legacy</t>
        </is>
      </c>
      <c r="H138" s="2" t="inlineStr">
        <is>
          <t>retest 1</t>
        </is>
      </c>
      <c r="I138" s="3" t="inlineStr">
        <is>
          <t>OPM1024_03</t>
        </is>
      </c>
      <c r="J138" s="2" t="inlineStr">
        <is>
          <t>P050082</t>
        </is>
      </c>
      <c r="K138" s="2" t="inlineStr">
        <is>
          <t>Orange Punch Mimosa</t>
        </is>
      </c>
      <c r="L138" s="2" t="inlineStr">
        <is>
          <t>Ident A + Ident B + Foreign matter</t>
        </is>
      </c>
      <c r="M138" s="6" t="inlineStr">
        <is>
          <t>—</t>
        </is>
      </c>
      <c r="N138" s="2">
        <f>IFERROR(INDEX('CoQ Register'!$B:$B,MATCH("P050082|R",'CoQ Register'!$S:$S,0)),"—")</f>
        <v/>
      </c>
      <c r="O138" s="6" t="inlineStr">
        <is>
          <t>—</t>
        </is>
      </c>
      <c r="P138" s="2" t="inlineStr">
        <is>
          <t>22.07.2026</t>
        </is>
      </c>
      <c r="Q138" s="2" t="inlineStr">
        <is>
          <t>01.07.2025 – 02.07.2025</t>
        </is>
      </c>
      <c r="R138" s="2" t="inlineStr">
        <is>
          <t>22.07.2025 – 30.07.2025</t>
        </is>
      </c>
      <c r="S138" s="5">
        <f>IFERROR(INDEX('CoQ Register'!$D:$D,MATCH("P050082|R",'CoQ Register'!$S:$S,0)),"")</f>
        <v/>
      </c>
      <c r="T138" s="2" t="inlineStr">
        <is>
          <t>Conforms</t>
        </is>
      </c>
      <c r="U138" s="2" t="inlineStr">
        <is>
          <t>Conforms</t>
        </is>
      </c>
      <c r="V138" s="2" t="inlineStr">
        <is>
          <t>Conforms</t>
        </is>
      </c>
      <c r="W138" s="2" t="inlineStr">
        <is>
          <t>220-23-K-26, (26.08.2026) [FHM-K]</t>
        </is>
      </c>
      <c r="X138" s="2" t="inlineStr">
        <is>
          <t>220-23-K-26, (26.08.2026) [FHM-K]</t>
        </is>
      </c>
      <c r="Y138" s="2" t="inlineStr">
        <is>
          <t>220-23-M-26, (11.09.2026) [FHM-M]</t>
        </is>
      </c>
      <c r="Z138" s="2" t="inlineStr">
        <is>
          <t>#8, #9, #11, #12 from the initial testing</t>
        </is>
      </c>
      <c r="AA138" s="2" t="inlineStr">
        <is>
          <t>P050082|R</t>
        </is>
      </c>
      <c r="AB138" s="7" t="inlineStr">
        <is>
          <t>registered — retest 1 · Tranche 2 (sampled 12–14.08.2026), tested 14.08.2026, issued 17.08.2026</t>
        </is>
      </c>
    </row>
    <row r="139">
      <c r="A139" s="2" t="n">
        <v>138</v>
      </c>
      <c r="B139" s="3" t="inlineStr">
        <is>
          <t>iCoA-PP_26-138</t>
        </is>
      </c>
      <c r="C139" s="4" t="inlineStr">
        <is>
          <t>yes</t>
        </is>
      </c>
      <c r="D139" s="5" t="n">
        <v>46251</v>
      </c>
      <c r="E139" s="5" t="n">
        <v>46248</v>
      </c>
      <c r="F139" s="5">
        <f>IFERROR(INDEX('Batch Dates'!$G:$G,MATCH(J139,'Batch Dates'!$C:$C,0)),IFERROR(INDEX('Batch Dates'!$G:$G,MATCH(I139,'Batch Dates'!$B:$B,0)),""))</f>
        <v/>
      </c>
      <c r="G139" s="2" t="inlineStr">
        <is>
          <t>legacy</t>
        </is>
      </c>
      <c r="H139" s="2" t="inlineStr">
        <is>
          <t>retest 1</t>
        </is>
      </c>
      <c r="I139" s="3" t="inlineStr">
        <is>
          <t>PM112501</t>
        </is>
      </c>
      <c r="J139" s="2" t="inlineStr">
        <is>
          <t>P060232</t>
        </is>
      </c>
      <c r="K139" s="2" t="inlineStr">
        <is>
          <t>Permanent Marker</t>
        </is>
      </c>
      <c r="L139" s="2" t="inlineStr">
        <is>
          <t>Ident A + Ident B + Foreign matter</t>
        </is>
      </c>
      <c r="M139" s="6" t="inlineStr">
        <is>
          <t>—</t>
        </is>
      </c>
      <c r="N139" s="2">
        <f>IFERROR(INDEX('CoQ Register'!$B:$B,MATCH("P060232|R",'CoQ Register'!$S:$S,0)),"—")</f>
        <v/>
      </c>
      <c r="O139" s="6" t="inlineStr">
        <is>
          <t>—</t>
        </is>
      </c>
      <c r="P139" s="2" t="inlineStr">
        <is>
          <t>27.04.2027</t>
        </is>
      </c>
      <c r="Q139" s="2" t="inlineStr">
        <is>
          <t>05.02.2026</t>
        </is>
      </c>
      <c r="R139" s="2" t="inlineStr">
        <is>
          <t>27.04.2026</t>
        </is>
      </c>
      <c r="S139" s="5">
        <f>IFERROR(INDEX('CoQ Register'!$D:$D,MATCH("P060232|R",'CoQ Register'!$S:$S,0)),"")</f>
        <v/>
      </c>
      <c r="T139" s="2" t="inlineStr">
        <is>
          <t>Conforms</t>
        </is>
      </c>
      <c r="U139" s="2" t="inlineStr">
        <is>
          <t>Conforms</t>
        </is>
      </c>
      <c r="V139" s="2" t="inlineStr">
        <is>
          <t>Conforms</t>
        </is>
      </c>
      <c r="W139" s="2" t="inlineStr">
        <is>
          <t>220-24-K-26, (26.08.2026) [FHM-K]</t>
        </is>
      </c>
      <c r="X139" s="2" t="inlineStr">
        <is>
          <t>220-24-K-26, (26.08.2026) [FHM-K]</t>
        </is>
      </c>
      <c r="Y139" s="2" t="inlineStr">
        <is>
          <t>220-24-M-26, (11.09.2026) [FHM-M]</t>
        </is>
      </c>
      <c r="Z139" s="2" t="inlineStr">
        <is>
          <t>#8, #9, #11, #12 from the initial testing</t>
        </is>
      </c>
      <c r="AA139" s="2" t="inlineStr">
        <is>
          <t>P060232|R</t>
        </is>
      </c>
      <c r="AB139" s="7" t="inlineStr">
        <is>
          <t>registered — retest 1 · Tranche 2 (sampled 12–14.08.2026), tested 14.08.2026, issued 17.08.2026</t>
        </is>
      </c>
    </row>
    <row r="140">
      <c r="A140" s="2" t="n">
        <v>139</v>
      </c>
      <c r="B140" s="3" t="inlineStr">
        <is>
          <t>iCoA-PP_26-139</t>
        </is>
      </c>
      <c r="C140" s="4" t="inlineStr">
        <is>
          <t>yes</t>
        </is>
      </c>
      <c r="D140" s="5" t="n">
        <v>46251</v>
      </c>
      <c r="E140" s="5" t="n">
        <v>46248</v>
      </c>
      <c r="F140" s="5">
        <f>IFERROR(INDEX('Batch Dates'!$G:$G,MATCH(J140,'Batch Dates'!$C:$C,0)),IFERROR(INDEX('Batch Dates'!$G:$G,MATCH(I140,'Batch Dates'!$B:$B,0)),""))</f>
        <v/>
      </c>
      <c r="G140" s="2" t="inlineStr">
        <is>
          <t>legacy</t>
        </is>
      </c>
      <c r="H140" s="2" t="inlineStr">
        <is>
          <t>retest 1</t>
        </is>
      </c>
      <c r="I140" s="3" t="inlineStr">
        <is>
          <t>PUM102501</t>
        </is>
      </c>
      <c r="J140" s="2" t="inlineStr">
        <is>
          <t>P060112</t>
        </is>
      </c>
      <c r="K140" s="2" t="inlineStr">
        <is>
          <t>Pure Michigen</t>
        </is>
      </c>
      <c r="L140" s="2" t="inlineStr">
        <is>
          <t>Ident A + Ident B + Foreign matter</t>
        </is>
      </c>
      <c r="M140" s="6" t="inlineStr">
        <is>
          <t>—</t>
        </is>
      </c>
      <c r="N140" s="2">
        <f>IFERROR(INDEX('CoQ Register'!$B:$B,MATCH("P060112|R",'CoQ Register'!$S:$S,0)),"—")</f>
        <v/>
      </c>
      <c r="O140" s="6" t="inlineStr">
        <is>
          <t>—</t>
        </is>
      </c>
      <c r="P140" s="2" t="inlineStr">
        <is>
          <t>17.02.2027</t>
        </is>
      </c>
      <c r="Q140" s="2" t="inlineStr">
        <is>
          <t>08.01.2026 – 09.01.2026</t>
        </is>
      </c>
      <c r="R140" s="2" t="inlineStr">
        <is>
          <t>17.02.2026</t>
        </is>
      </c>
      <c r="S140" s="5">
        <f>IFERROR(INDEX('CoQ Register'!$D:$D,MATCH("P060112|R",'CoQ Register'!$S:$S,0)),"")</f>
        <v/>
      </c>
      <c r="T140" s="2" t="inlineStr">
        <is>
          <t>Conforms</t>
        </is>
      </c>
      <c r="U140" s="2" t="inlineStr">
        <is>
          <t>Conforms</t>
        </is>
      </c>
      <c r="V140" s="2" t="inlineStr">
        <is>
          <t>Conforms</t>
        </is>
      </c>
      <c r="W140" s="2" t="inlineStr">
        <is>
          <t>220-25-K-26, (26.08.2026) [FHM-K]</t>
        </is>
      </c>
      <c r="X140" s="2" t="inlineStr">
        <is>
          <t>220-25-K-26, (26.08.2026) [FHM-K]</t>
        </is>
      </c>
      <c r="Y140" s="2" t="inlineStr">
        <is>
          <t>220-25-M-26, (11.09.2026) [FHM-M]</t>
        </is>
      </c>
      <c r="Z140" s="2" t="inlineStr">
        <is>
          <t>#8, #9, #11, #12 from the initial testing</t>
        </is>
      </c>
      <c r="AA140" s="2" t="inlineStr">
        <is>
          <t>P060112|R</t>
        </is>
      </c>
      <c r="AB140" s="7" t="inlineStr">
        <is>
          <t>registered — retest 1 · Tranche 2 (sampled 12–14.08.2026), tested 14.08.2026, issued 17.08.2026</t>
        </is>
      </c>
    </row>
    <row r="141">
      <c r="A141" s="2" t="n">
        <v>140</v>
      </c>
      <c r="B141" s="3" t="inlineStr">
        <is>
          <t>iCoA-PP_26-140</t>
        </is>
      </c>
      <c r="C141" s="4" t="inlineStr">
        <is>
          <t>yes</t>
        </is>
      </c>
      <c r="D141" s="5" t="n">
        <v>46251</v>
      </c>
      <c r="E141" s="5" t="n">
        <v>46248</v>
      </c>
      <c r="F141" s="5">
        <f>IFERROR(INDEX('Batch Dates'!$G:$G,MATCH(J141,'Batch Dates'!$C:$C,0)),IFERROR(INDEX('Batch Dates'!$G:$G,MATCH(I141,'Batch Dates'!$B:$B,0)),""))</f>
        <v/>
      </c>
      <c r="G141" s="2" t="inlineStr">
        <is>
          <t>post-SOP</t>
        </is>
      </c>
      <c r="H141" s="2" t="inlineStr">
        <is>
          <t>retest 1</t>
        </is>
      </c>
      <c r="I141" s="3" t="inlineStr">
        <is>
          <t>SCR112501</t>
        </is>
      </c>
      <c r="J141" s="2" t="inlineStr">
        <is>
          <t>P060282</t>
        </is>
      </c>
      <c r="K141" s="2" t="inlineStr">
        <is>
          <t>Scrambler</t>
        </is>
      </c>
      <c r="L141" s="2" t="inlineStr">
        <is>
          <t>Ident A + Ident B + Foreign matter</t>
        </is>
      </c>
      <c r="M141" s="6" t="inlineStr">
        <is>
          <t>—</t>
        </is>
      </c>
      <c r="N141" s="2">
        <f>IFERROR(INDEX('CoQ Register'!$B:$B,MATCH("P060282|R",'CoQ Register'!$S:$S,0)),"—")</f>
        <v/>
      </c>
      <c r="O141" s="6" t="inlineStr">
        <is>
          <t>—</t>
        </is>
      </c>
      <c r="P141" s="2" t="inlineStr">
        <is>
          <t>18.05.2027</t>
        </is>
      </c>
      <c r="Q141" s="2" t="inlineStr">
        <is>
          <t>25.03.2026</t>
        </is>
      </c>
      <c r="R141" s="2" t="inlineStr">
        <is>
          <t>18.05.2026</t>
        </is>
      </c>
      <c r="S141" s="5">
        <f>IFERROR(INDEX('CoQ Register'!$D:$D,MATCH("P060282|R",'CoQ Register'!$S:$S,0)),"")</f>
        <v/>
      </c>
      <c r="T141" s="2" t="inlineStr">
        <is>
          <t>Conforms</t>
        </is>
      </c>
      <c r="U141" s="2" t="inlineStr">
        <is>
          <t>Conforms</t>
        </is>
      </c>
      <c r="V141" s="2" t="inlineStr">
        <is>
          <t>Conforms</t>
        </is>
      </c>
      <c r="W141" s="2" t="inlineStr">
        <is>
          <t>220-26-K-26, (26.08.2026) [FHM-K]</t>
        </is>
      </c>
      <c r="X141" s="2" t="inlineStr">
        <is>
          <t>220-26-K-26, (26.08.2026) [FHM-K]</t>
        </is>
      </c>
      <c r="Y141" s="2" t="inlineStr">
        <is>
          <t>220-26-M-26, (11.09.2026) [FHM-M]</t>
        </is>
      </c>
      <c r="Z141" s="2" t="inlineStr">
        <is>
          <t>#8, #9, #11, #12 from the initial testing</t>
        </is>
      </c>
      <c r="AA141" s="2" t="inlineStr">
        <is>
          <t>P060282|R</t>
        </is>
      </c>
      <c r="AB141" s="7" t="inlineStr">
        <is>
          <t>registered — retest 1 · Tranche 2 (sampled 12–14.08.2026), tested 14.08.2026, issued 17.08.2026</t>
        </is>
      </c>
    </row>
    <row r="142">
      <c r="A142" s="2" t="n">
        <v>141</v>
      </c>
      <c r="B142" s="3" t="inlineStr">
        <is>
          <t>iCoA-PP_26-141</t>
        </is>
      </c>
      <c r="C142" s="4" t="inlineStr">
        <is>
          <t>yes</t>
        </is>
      </c>
      <c r="D142" s="5" t="n">
        <v>46251</v>
      </c>
      <c r="E142" s="5" t="n">
        <v>46248</v>
      </c>
      <c r="F142" s="5">
        <f>IFERROR(INDEX('Batch Dates'!$G:$G,MATCH(J142,'Batch Dates'!$C:$C,0)),IFERROR(INDEX('Batch Dates'!$G:$G,MATCH(I142,'Batch Dates'!$B:$B,0)),""))</f>
        <v/>
      </c>
      <c r="G142" s="2" t="inlineStr">
        <is>
          <t>legacy</t>
        </is>
      </c>
      <c r="H142" s="2" t="inlineStr">
        <is>
          <t>retest 1</t>
        </is>
      </c>
      <c r="I142" s="3" t="inlineStr">
        <is>
          <t>SJ0925021</t>
        </is>
      </c>
      <c r="J142" s="2" t="inlineStr">
        <is>
          <t>P060082</t>
        </is>
      </c>
      <c r="K142" s="2" t="inlineStr">
        <is>
          <t>Sleepy Joe</t>
        </is>
      </c>
      <c r="L142" s="2" t="inlineStr">
        <is>
          <t>Ident A + Ident B + Foreign matter</t>
        </is>
      </c>
      <c r="M142" s="6" t="inlineStr">
        <is>
          <t>—</t>
        </is>
      </c>
      <c r="N142" s="2">
        <f>IFERROR(INDEX('CoQ Register'!$B:$B,MATCH("P060082|R",'CoQ Register'!$S:$S,0)),"—")</f>
        <v/>
      </c>
      <c r="O142" s="6" t="inlineStr">
        <is>
          <t>—</t>
        </is>
      </c>
      <c r="P142" s="2" t="inlineStr">
        <is>
          <t>02.02.2027</t>
        </is>
      </c>
      <c r="Q142" s="2" t="inlineStr">
        <is>
          <t>11.12.2025 – 12.12.2025</t>
        </is>
      </c>
      <c r="R142" s="2" t="inlineStr">
        <is>
          <t>02.02.2026</t>
        </is>
      </c>
      <c r="S142" s="5">
        <f>IFERROR(INDEX('CoQ Register'!$D:$D,MATCH("P060082|R",'CoQ Register'!$S:$S,0)),"")</f>
        <v/>
      </c>
      <c r="T142" s="2" t="inlineStr">
        <is>
          <t>Conforms</t>
        </is>
      </c>
      <c r="U142" s="2" t="inlineStr">
        <is>
          <t>Conforms</t>
        </is>
      </c>
      <c r="V142" s="2" t="inlineStr">
        <is>
          <t>Conforms</t>
        </is>
      </c>
      <c r="W142" s="2" t="inlineStr">
        <is>
          <t>220-27-K-26, (26.08.2026) [FHM-K]</t>
        </is>
      </c>
      <c r="X142" s="2" t="inlineStr">
        <is>
          <t>220-27-K-26, (26.08.2026) [FHM-K]</t>
        </is>
      </c>
      <c r="Y142" s="2" t="inlineStr">
        <is>
          <t>220-27-M-26, (11.09.2026) [FHM-M]</t>
        </is>
      </c>
      <c r="Z142" s="2" t="inlineStr">
        <is>
          <t>#8, #9, #11, #12 from the initial testing</t>
        </is>
      </c>
      <c r="AA142" s="2" t="inlineStr">
        <is>
          <t>P060082|R</t>
        </is>
      </c>
      <c r="AB142" s="7" t="inlineStr">
        <is>
          <t>registered — retest 1 · Tranche 2 (sampled 12–14.08.2026), tested 14.08.2026, issued 17.08.2026</t>
        </is>
      </c>
    </row>
    <row r="143">
      <c r="A143" s="2" t="n">
        <v>142</v>
      </c>
      <c r="B143" s="3" t="inlineStr">
        <is>
          <t>iCoA-PP_26-142</t>
        </is>
      </c>
      <c r="C143" s="4" t="inlineStr">
        <is>
          <t>yes</t>
        </is>
      </c>
      <c r="D143" s="5" t="n">
        <v>46251</v>
      </c>
      <c r="E143" s="5" t="n">
        <v>46248</v>
      </c>
      <c r="F143" s="5">
        <f>IFERROR(INDEX('Batch Dates'!$G:$G,MATCH(J143,'Batch Dates'!$C:$C,0)),IFERROR(INDEX('Batch Dates'!$G:$G,MATCH(I143,'Batch Dates'!$B:$B,0)),""))</f>
        <v/>
      </c>
      <c r="G143" s="2" t="inlineStr">
        <is>
          <t>legacy</t>
        </is>
      </c>
      <c r="H143" s="2" t="inlineStr">
        <is>
          <t>retest 1</t>
        </is>
      </c>
      <c r="I143" s="3" t="inlineStr">
        <is>
          <t>WC082501</t>
        </is>
      </c>
      <c r="J143" s="2" t="inlineStr">
        <is>
          <t>P060012</t>
        </is>
      </c>
      <c r="K143" s="2" t="inlineStr">
        <is>
          <t>Wedding Crusher</t>
        </is>
      </c>
      <c r="L143" s="2" t="inlineStr">
        <is>
          <t>Ident A + Ident B + Foreign matter</t>
        </is>
      </c>
      <c r="M143" s="6" t="inlineStr">
        <is>
          <t>—</t>
        </is>
      </c>
      <c r="N143" s="2">
        <f>IFERROR(INDEX('CoQ Register'!$B:$B,MATCH("P060012|R",'CoQ Register'!$S:$S,0)),"—")</f>
        <v/>
      </c>
      <c r="O143" s="6" t="inlineStr">
        <is>
          <t>—</t>
        </is>
      </c>
      <c r="P143" s="2" t="inlineStr">
        <is>
          <t>13.01.2027</t>
        </is>
      </c>
      <c r="Q143" s="2" t="inlineStr">
        <is>
          <t>09.12.2025</t>
        </is>
      </c>
      <c r="R143" s="2" t="inlineStr">
        <is>
          <t>13.01.2026 – 14.01.2026</t>
        </is>
      </c>
      <c r="S143" s="5">
        <f>IFERROR(INDEX('CoQ Register'!$D:$D,MATCH("P060012|R",'CoQ Register'!$S:$S,0)),"")</f>
        <v/>
      </c>
      <c r="T143" s="2" t="inlineStr">
        <is>
          <t>Conforms</t>
        </is>
      </c>
      <c r="U143" s="2" t="inlineStr">
        <is>
          <t>Conforms</t>
        </is>
      </c>
      <c r="V143" s="2" t="inlineStr">
        <is>
          <t>Conforms</t>
        </is>
      </c>
      <c r="W143" s="2" t="inlineStr">
        <is>
          <t>220-28-K-26, (26.08.2026) [FHM-K]</t>
        </is>
      </c>
      <c r="X143" s="2" t="inlineStr">
        <is>
          <t>220-28-K-26, (26.08.2026) [FHM-K]</t>
        </is>
      </c>
      <c r="Y143" s="2" t="inlineStr">
        <is>
          <t>220-28-M-26, (11.09.2026) [FHM-M]</t>
        </is>
      </c>
      <c r="Z143" s="2" t="inlineStr">
        <is>
          <t>#8, #9, #11, #12 from the initial testing</t>
        </is>
      </c>
      <c r="AA143" s="2" t="inlineStr">
        <is>
          <t>P060012|R</t>
        </is>
      </c>
      <c r="AB143" s="7" t="inlineStr">
        <is>
          <t>registered — retest 1 · Tranche 2 (sampled 12–14.08.2026), tested 14.08.2026, issued 17.08.2026</t>
        </is>
      </c>
    </row>
    <row r="144">
      <c r="A144" s="2" t="n">
        <v>143</v>
      </c>
      <c r="B144" s="3" t="inlineStr">
        <is>
          <t>iCoA-PP_26-143</t>
        </is>
      </c>
      <c r="C144" s="4" t="inlineStr">
        <is>
          <t>yes</t>
        </is>
      </c>
      <c r="D144" s="5" t="n">
        <v>46258</v>
      </c>
      <c r="E144" s="5" t="n">
        <v>46253</v>
      </c>
      <c r="F144" s="5">
        <f>IFERROR(INDEX('Batch Dates'!$G:$G,MATCH(J144,'Batch Dates'!$C:$C,0)),IFERROR(INDEX('Batch Dates'!$G:$G,MATCH(I144,'Batch Dates'!$B:$B,0)),""))</f>
        <v/>
      </c>
      <c r="G144" s="2" t="inlineStr">
        <is>
          <t>legacy</t>
        </is>
      </c>
      <c r="H144" s="2" t="inlineStr">
        <is>
          <t>retest 2</t>
        </is>
      </c>
      <c r="I144" s="3" t="inlineStr">
        <is>
          <t>BSS1024_01/2</t>
        </is>
      </c>
      <c r="J144" s="2" t="inlineStr">
        <is>
          <t>P050142</t>
        </is>
      </c>
      <c r="K144" s="2" t="inlineStr">
        <is>
          <t>Blue Sunset Sherbet</t>
        </is>
      </c>
      <c r="L144" s="2" t="inlineStr">
        <is>
          <t>Ident A + Ident B + Foreign matter</t>
        </is>
      </c>
      <c r="M144" s="6" t="inlineStr">
        <is>
          <t>—</t>
        </is>
      </c>
      <c r="N144" s="2">
        <f>IFERROR(INDEX('CoQ Register'!$B:$B,MATCH("P050142|R2",'CoQ Register'!$S:$S,0)),"—")</f>
        <v/>
      </c>
      <c r="O144" s="6" t="inlineStr">
        <is>
          <t>—</t>
        </is>
      </c>
      <c r="P144" s="2" t="inlineStr">
        <is>
          <t>30.09.2026</t>
        </is>
      </c>
      <c r="Q144" s="2" t="inlineStr">
        <is>
          <t>— not given —</t>
        </is>
      </c>
      <c r="R144" s="2" t="inlineStr">
        <is>
          <t>30.09.2025</t>
        </is>
      </c>
      <c r="S144" s="5">
        <f>IFERROR(INDEX('CoQ Register'!$D:$D,MATCH("P050142|R2",'CoQ Register'!$S:$S,0)),"")</f>
        <v/>
      </c>
      <c r="T144" s="2" t="inlineStr">
        <is>
          <t>Conforms</t>
        </is>
      </c>
      <c r="U144" s="2" t="inlineStr">
        <is>
          <t>Conforms</t>
        </is>
      </c>
      <c r="V144" s="2" t="inlineStr">
        <is>
          <t>Conforms</t>
        </is>
      </c>
      <c r="W144" s="2" t="inlineStr">
        <is>
          <t>227-1-K-26, (11.09.2026) [FHM-K]</t>
        </is>
      </c>
      <c r="X144" s="2" t="inlineStr">
        <is>
          <t>227-1-K-26, (11.09.2026) [FHM-K]</t>
        </is>
      </c>
      <c r="Y144" s="2" t="inlineStr">
        <is>
          <t>— pending —</t>
        </is>
      </c>
      <c r="Z144" s="2" t="inlineStr">
        <is>
          <t>#8, #9, #11, #12 from the initial testing</t>
        </is>
      </c>
      <c r="AA144" s="2" t="inlineStr">
        <is>
          <t>P050142|R2</t>
        </is>
      </c>
      <c r="AB144" s="7" t="inlineStr">
        <is>
          <t>registered — retest 2 · Tranche 3 (sampled 19–21.08.2026), tested 19.08.2026, issued 24.08.2026</t>
        </is>
      </c>
    </row>
    <row r="145">
      <c r="A145" s="2" t="n">
        <v>144</v>
      </c>
      <c r="B145" s="3" t="inlineStr">
        <is>
          <t>iCoA-PP_26-144</t>
        </is>
      </c>
      <c r="C145" s="4" t="inlineStr">
        <is>
          <t>yes</t>
        </is>
      </c>
      <c r="D145" s="5" t="n">
        <v>46258</v>
      </c>
      <c r="E145" s="5" t="n">
        <v>46253</v>
      </c>
      <c r="F145" s="5">
        <f>IFERROR(INDEX('Batch Dates'!$G:$G,MATCH(J145,'Batch Dates'!$C:$C,0)),IFERROR(INDEX('Batch Dates'!$G:$G,MATCH(I145,'Batch Dates'!$B:$B,0)),""))</f>
        <v/>
      </c>
      <c r="G145" s="2" t="inlineStr">
        <is>
          <t>legacy</t>
        </is>
      </c>
      <c r="H145" s="2" t="inlineStr">
        <is>
          <t>retest 2</t>
        </is>
      </c>
      <c r="I145" s="3" t="inlineStr">
        <is>
          <t>GP0824_01</t>
        </is>
      </c>
      <c r="J145" s="2" t="inlineStr">
        <is>
          <t>P050102</t>
        </is>
      </c>
      <c r="K145" s="2" t="inlineStr">
        <is>
          <t>Grape Pie</t>
        </is>
      </c>
      <c r="L145" s="2" t="inlineStr">
        <is>
          <t>Ident A + Ident B + Foreign matter</t>
        </is>
      </c>
      <c r="M145" s="6" t="inlineStr">
        <is>
          <t>—</t>
        </is>
      </c>
      <c r="N145" s="2">
        <f>IFERROR(INDEX('CoQ Register'!$B:$B,MATCH("P050102|R2",'CoQ Register'!$S:$S,0)),"—")</f>
        <v/>
      </c>
      <c r="O145" s="6" t="inlineStr">
        <is>
          <t>—</t>
        </is>
      </c>
      <c r="P145" s="2" t="inlineStr">
        <is>
          <t>17.04.2026</t>
        </is>
      </c>
      <c r="Q145" s="2" t="inlineStr">
        <is>
          <t>20.03.2025 – 21.03.2025</t>
        </is>
      </c>
      <c r="R145" s="2" t="inlineStr">
        <is>
          <t>05.08.2025 – 07.08.2025 (the issuance plan's basis: 17.04.2025)</t>
        </is>
      </c>
      <c r="S145" s="5">
        <f>IFERROR(INDEX('CoQ Register'!$D:$D,MATCH("P050102|R2",'CoQ Register'!$S:$S,0)),"")</f>
        <v/>
      </c>
      <c r="T145" s="2" t="inlineStr">
        <is>
          <t>Conforms</t>
        </is>
      </c>
      <c r="U145" s="2" t="inlineStr">
        <is>
          <t>Conforms</t>
        </is>
      </c>
      <c r="V145" s="2" t="inlineStr">
        <is>
          <t>Conforms</t>
        </is>
      </c>
      <c r="W145" s="2" t="inlineStr">
        <is>
          <t>227-2-K-26, (11.09.2026) [FHM-K]</t>
        </is>
      </c>
      <c r="X145" s="2" t="inlineStr">
        <is>
          <t>227-2-K-26, (11.09.2026) [FHM-K]</t>
        </is>
      </c>
      <c r="Y145" s="2" t="inlineStr">
        <is>
          <t>— pending —</t>
        </is>
      </c>
      <c r="Z145" s="2" t="inlineStr">
        <is>
          <t>#8, #9, #11, #12 from the initial testing</t>
        </is>
      </c>
      <c r="AA145" s="2" t="inlineStr">
        <is>
          <t>P050102|R2</t>
        </is>
      </c>
      <c r="AB145" s="7" t="inlineStr">
        <is>
          <t>registered — retest 2 · Tranche 3 (sampled 19–21.08.2026), tested 19.08.2026, issued 24.08.2026</t>
        </is>
      </c>
    </row>
    <row r="146">
      <c r="A146" s="2" t="n">
        <v>145</v>
      </c>
      <c r="B146" s="3" t="inlineStr">
        <is>
          <t>iCoA-PP_26-145</t>
        </is>
      </c>
      <c r="C146" s="4" t="inlineStr">
        <is>
          <t>yes</t>
        </is>
      </c>
      <c r="D146" s="5" t="n">
        <v>46258</v>
      </c>
      <c r="E146" s="5" t="n">
        <v>46253</v>
      </c>
      <c r="F146" s="5">
        <f>IFERROR(INDEX('Batch Dates'!$G:$G,MATCH(J146,'Batch Dates'!$C:$C,0)),IFERROR(INDEX('Batch Dates'!$G:$G,MATCH(I146,'Batch Dates'!$B:$B,0)),""))</f>
        <v/>
      </c>
      <c r="G146" s="2" t="inlineStr">
        <is>
          <t>legacy</t>
        </is>
      </c>
      <c r="H146" s="2" t="inlineStr">
        <is>
          <t>retest 2</t>
        </is>
      </c>
      <c r="I146" s="3" t="inlineStr">
        <is>
          <t>OPM112501</t>
        </is>
      </c>
      <c r="J146" s="2" t="inlineStr">
        <is>
          <t>P060222</t>
        </is>
      </c>
      <c r="K146" s="2" t="inlineStr">
        <is>
          <t>Orange Punch Mimosa</t>
        </is>
      </c>
      <c r="L146" s="2" t="inlineStr">
        <is>
          <t>Ident A + Ident B + Foreign matter</t>
        </is>
      </c>
      <c r="M146" s="6" t="inlineStr">
        <is>
          <t>—</t>
        </is>
      </c>
      <c r="N146" s="2">
        <f>IFERROR(INDEX('CoQ Register'!$B:$B,MATCH("P060222|R2",'CoQ Register'!$S:$S,0)),"—")</f>
        <v/>
      </c>
      <c r="O146" s="6" t="inlineStr">
        <is>
          <t>—</t>
        </is>
      </c>
      <c r="P146" s="2" t="inlineStr">
        <is>
          <t>05.03.2027</t>
        </is>
      </c>
      <c r="Q146" s="2" t="inlineStr">
        <is>
          <t>05.02.2026</t>
        </is>
      </c>
      <c r="R146" s="2" t="inlineStr">
        <is>
          <t>24.04.2026 (the issuance plan's basis: 05.03.2026)</t>
        </is>
      </c>
      <c r="S146" s="5">
        <f>IFERROR(INDEX('CoQ Register'!$D:$D,MATCH("P060222|R2",'CoQ Register'!$S:$S,0)),"")</f>
        <v/>
      </c>
      <c r="T146" s="2" t="inlineStr">
        <is>
          <t>Conforms</t>
        </is>
      </c>
      <c r="U146" s="2" t="inlineStr">
        <is>
          <t>Conforms</t>
        </is>
      </c>
      <c r="V146" s="2" t="inlineStr">
        <is>
          <t>Conforms</t>
        </is>
      </c>
      <c r="W146" s="2" t="inlineStr">
        <is>
          <t>227-10-K-26, (11.09.2026) [FHM-K]</t>
        </is>
      </c>
      <c r="X146" s="2" t="inlineStr">
        <is>
          <t>227-10-K-26, (11.09.2026) [FHM-K]</t>
        </is>
      </c>
      <c r="Y146" s="2" t="inlineStr">
        <is>
          <t>— pending —</t>
        </is>
      </c>
      <c r="Z146" s="2" t="inlineStr">
        <is>
          <t>#8, #9, #11, #12 from the initial testing</t>
        </is>
      </c>
      <c r="AA146" s="2" t="inlineStr">
        <is>
          <t>P060222|R2</t>
        </is>
      </c>
      <c r="AB146" s="7" t="inlineStr">
        <is>
          <t>registered — retest 2 · Tranche 3 (sampled 19–21.08.2026), tested 19.08.2026, issued 24.08.2026</t>
        </is>
      </c>
    </row>
    <row r="147">
      <c r="A147" s="2" t="n">
        <v>146</v>
      </c>
      <c r="B147" s="3" t="inlineStr">
        <is>
          <t>iCoA-PP_26-146</t>
        </is>
      </c>
      <c r="C147" s="4" t="inlineStr">
        <is>
          <t>yes</t>
        </is>
      </c>
      <c r="D147" s="5" t="n">
        <v>46258</v>
      </c>
      <c r="E147" s="5" t="n">
        <v>46253</v>
      </c>
      <c r="F147" s="5">
        <f>IFERROR(INDEX('Batch Dates'!$G:$G,MATCH(J147,'Batch Dates'!$C:$C,0)),IFERROR(INDEX('Batch Dates'!$G:$G,MATCH(I147,'Batch Dates'!$B:$B,0)),""))</f>
        <v/>
      </c>
      <c r="G147" s="2" t="inlineStr">
        <is>
          <t>legacy</t>
        </is>
      </c>
      <c r="H147" s="2" t="inlineStr">
        <is>
          <t>retest 2</t>
        </is>
      </c>
      <c r="I147" s="3" t="inlineStr">
        <is>
          <t>PM072501</t>
        </is>
      </c>
      <c r="J147" s="2" t="inlineStr">
        <is>
          <t>P050272</t>
        </is>
      </c>
      <c r="K147" s="2" t="inlineStr">
        <is>
          <t>Permanent Marker</t>
        </is>
      </c>
      <c r="L147" s="2" t="inlineStr">
        <is>
          <t>Ident A + Ident B + Foreign matter</t>
        </is>
      </c>
      <c r="M147" s="6" t="inlineStr">
        <is>
          <t>—</t>
        </is>
      </c>
      <c r="N147" s="2">
        <f>IFERROR(INDEX('CoQ Register'!$B:$B,MATCH("P050272|R2",'CoQ Register'!$S:$S,0)),"—")</f>
        <v/>
      </c>
      <c r="O147" s="6" t="inlineStr">
        <is>
          <t>—</t>
        </is>
      </c>
      <c r="P147" s="2" t="inlineStr">
        <is>
          <t>21.01.2027</t>
        </is>
      </c>
      <c r="Q147" s="2" t="inlineStr">
        <is>
          <t>27.10.2025</t>
        </is>
      </c>
      <c r="R147" s="2" t="inlineStr">
        <is>
          <t>02.12.2025 – 03.12.2025 (the issuance plan's basis: 21.01.2026)</t>
        </is>
      </c>
      <c r="S147" s="5">
        <f>IFERROR(INDEX('CoQ Register'!$D:$D,MATCH("P050272|R2",'CoQ Register'!$S:$S,0)),"")</f>
        <v/>
      </c>
      <c r="T147" s="2" t="inlineStr">
        <is>
          <t>Conforms</t>
        </is>
      </c>
      <c r="U147" s="2" t="inlineStr">
        <is>
          <t>Conforms</t>
        </is>
      </c>
      <c r="V147" s="2" t="inlineStr">
        <is>
          <t>Conforms</t>
        </is>
      </c>
      <c r="W147" s="2" t="inlineStr">
        <is>
          <t>227-9-K-26, (11.09.2026) [FHM-K]</t>
        </is>
      </c>
      <c r="X147" s="2" t="inlineStr">
        <is>
          <t>227-9-K-26, (11.09.2026) [FHM-K]</t>
        </is>
      </c>
      <c r="Y147" s="2" t="inlineStr">
        <is>
          <t>— pending —</t>
        </is>
      </c>
      <c r="Z147" s="2" t="inlineStr">
        <is>
          <t>#8, #9, #11, #12 from the initial testing</t>
        </is>
      </c>
      <c r="AA147" s="2" t="inlineStr">
        <is>
          <t>P050272|R2</t>
        </is>
      </c>
      <c r="AB147" s="7" t="inlineStr">
        <is>
          <t>registered — retest 2 · Tranche 3 (sampled 19–21.08.2026), tested 19.08.2026, issued 24.08.2026</t>
        </is>
      </c>
    </row>
    <row r="148">
      <c r="A148" s="2" t="n">
        <v>147</v>
      </c>
      <c r="B148" s="3" t="inlineStr">
        <is>
          <t>iCoA-PP_26-147</t>
        </is>
      </c>
      <c r="C148" s="4" t="inlineStr">
        <is>
          <t>yes</t>
        </is>
      </c>
      <c r="D148" s="5" t="n">
        <v>46258</v>
      </c>
      <c r="E148" s="5" t="n">
        <v>46253</v>
      </c>
      <c r="F148" s="5">
        <f>IFERROR(INDEX('Batch Dates'!$G:$G,MATCH(J148,'Batch Dates'!$C:$C,0)),IFERROR(INDEX('Batch Dates'!$G:$G,MATCH(I148,'Batch Dates'!$B:$B,0)),""))</f>
        <v/>
      </c>
      <c r="G148" s="2" t="inlineStr">
        <is>
          <t>post-SOP</t>
        </is>
      </c>
      <c r="H148" s="2" t="inlineStr">
        <is>
          <t>retest 2</t>
        </is>
      </c>
      <c r="I148" s="3" t="inlineStr">
        <is>
          <t>SCR012601*</t>
        </is>
      </c>
      <c r="J148" s="2" t="inlineStr">
        <is>
          <t>P060342</t>
        </is>
      </c>
      <c r="K148" s="2" t="inlineStr">
        <is>
          <t>Scrambler</t>
        </is>
      </c>
      <c r="L148" s="2" t="inlineStr">
        <is>
          <t>Ident A + Ident B + Foreign matter</t>
        </is>
      </c>
      <c r="M148" s="6" t="inlineStr">
        <is>
          <t>—</t>
        </is>
      </c>
      <c r="N148" s="2">
        <f>IFERROR(INDEX('CoQ Register'!$B:$B,MATCH("P060342|R2",'CoQ Register'!$S:$S,0)),"—")</f>
        <v/>
      </c>
      <c r="O148" s="6" t="inlineStr">
        <is>
          <t>—</t>
        </is>
      </c>
      <c r="P148" s="2" t="inlineStr">
        <is>
          <t>25.05.2027</t>
        </is>
      </c>
      <c r="Q148" s="2" t="inlineStr">
        <is>
          <t>16.04.2026</t>
        </is>
      </c>
      <c r="R148" s="2" t="inlineStr">
        <is>
          <t>25.05.2026</t>
        </is>
      </c>
      <c r="S148" s="5">
        <f>IFERROR(INDEX('CoQ Register'!$D:$D,MATCH("P060342|R2",'CoQ Register'!$S:$S,0)),"")</f>
        <v/>
      </c>
      <c r="T148" s="2" t="inlineStr">
        <is>
          <t>Conforms</t>
        </is>
      </c>
      <c r="U148" s="2" t="inlineStr">
        <is>
          <t>Conforms</t>
        </is>
      </c>
      <c r="V148" s="2" t="inlineStr">
        <is>
          <t>Conforms</t>
        </is>
      </c>
      <c r="W148" s="2" t="inlineStr">
        <is>
          <t>227-8-K-26, (11.09.2026) [FHM-K]</t>
        </is>
      </c>
      <c r="X148" s="2" t="inlineStr">
        <is>
          <t>227-8-K-26, (11.09.2026) [FHM-K]</t>
        </is>
      </c>
      <c r="Y148" s="2" t="inlineStr">
        <is>
          <t>— pending —</t>
        </is>
      </c>
      <c r="Z148" s="2" t="inlineStr">
        <is>
          <t>#8, #9, #11, #12 from the initial testing</t>
        </is>
      </c>
      <c r="AA148" s="2" t="inlineStr">
        <is>
          <t>P060342|R2</t>
        </is>
      </c>
      <c r="AB148" s="7" t="inlineStr">
        <is>
          <t>registered — retest 2 · Tranche 3 (sampled 19–21.08.2026), tested 19.08.2026, issued 24.08.2026</t>
        </is>
      </c>
    </row>
    <row r="149">
      <c r="A149" s="2" t="n">
        <v>148</v>
      </c>
      <c r="B149" s="3" t="inlineStr">
        <is>
          <t>iCoA-PP_26-148</t>
        </is>
      </c>
      <c r="C149" s="4" t="inlineStr">
        <is>
          <t>yes</t>
        </is>
      </c>
      <c r="D149" s="5" t="n">
        <v>46258</v>
      </c>
      <c r="E149" s="5" t="n">
        <v>46253</v>
      </c>
      <c r="F149" s="5">
        <f>IFERROR(INDEX('Batch Dates'!$G:$G,MATCH(J149,'Batch Dates'!$C:$C,0)),IFERROR(INDEX('Batch Dates'!$G:$G,MATCH(I149,'Batch Dates'!$B:$B,0)),""))</f>
        <v/>
      </c>
      <c r="G149" s="2" t="inlineStr">
        <is>
          <t>post-SOP</t>
        </is>
      </c>
      <c r="H149" s="2" t="inlineStr">
        <is>
          <t>retest 2</t>
        </is>
      </c>
      <c r="I149" s="3" t="inlineStr">
        <is>
          <t>SCR022601</t>
        </is>
      </c>
      <c r="J149" s="2" t="inlineStr">
        <is>
          <t>P060442</t>
        </is>
      </c>
      <c r="K149" s="2" t="inlineStr">
        <is>
          <t>Scrambler</t>
        </is>
      </c>
      <c r="L149" s="2" t="inlineStr">
        <is>
          <t>Ident A + Ident B + Foreign matter</t>
        </is>
      </c>
      <c r="M149" s="6" t="inlineStr">
        <is>
          <t>—</t>
        </is>
      </c>
      <c r="N149" s="2">
        <f>IFERROR(INDEX('CoQ Register'!$B:$B,MATCH("P060442|R2",'CoQ Register'!$S:$S,0)),"—")</f>
        <v/>
      </c>
      <c r="O149" s="6" t="inlineStr">
        <is>
          <t>—</t>
        </is>
      </c>
      <c r="P149" s="2" t="inlineStr">
        <is>
          <t>06.07.2027</t>
        </is>
      </c>
      <c r="Q149" s="2" t="inlineStr">
        <is>
          <t>13.05.2026</t>
        </is>
      </c>
      <c r="R149" s="2" t="inlineStr">
        <is>
          <t>18.06.2026 (the issuance plan's basis: 06.07.2026)</t>
        </is>
      </c>
      <c r="S149" s="5">
        <f>IFERROR(INDEX('CoQ Register'!$D:$D,MATCH("P060442|R2",'CoQ Register'!$S:$S,0)),"")</f>
        <v/>
      </c>
      <c r="T149" s="2" t="inlineStr">
        <is>
          <t>CNP ППК26116</t>
        </is>
      </c>
      <c r="U149" s="2" t="inlineStr">
        <is>
          <t>CNP ППК26116</t>
        </is>
      </c>
      <c r="V149" s="2" t="inlineStr">
        <is>
          <t>Conforms</t>
        </is>
      </c>
      <c r="W149" s="2" t="inlineStr">
        <is>
          <t>227-7-K-26, (11.09.2026) [FHM-K]</t>
        </is>
      </c>
      <c r="X149" s="2" t="inlineStr">
        <is>
          <t>227-7-K-26, (11.09.2026) [FHM-K]</t>
        </is>
      </c>
      <c r="Y149" s="2" t="inlineStr">
        <is>
          <t>— pending —</t>
        </is>
      </c>
      <c r="Z149" s="2" t="inlineStr">
        <is>
          <t>#8, #9, #11, #12 from the initial testing</t>
        </is>
      </c>
      <c r="AA149" s="2" t="inlineStr">
        <is>
          <t>P060442|R2</t>
        </is>
      </c>
      <c r="AB149" s="7" t="inlineStr">
        <is>
          <t>registered — retest 2 · Tranche 3 (sampled 19–21.08.2026), tested 19.08.2026, issued 24.08.2026</t>
        </is>
      </c>
    </row>
    <row r="150">
      <c r="A150" s="2" t="n">
        <v>149</v>
      </c>
      <c r="B150" s="3" t="inlineStr">
        <is>
          <t>iCoA-PP_26-149</t>
        </is>
      </c>
      <c r="C150" s="4" t="inlineStr">
        <is>
          <t>yes</t>
        </is>
      </c>
      <c r="D150" s="5" t="n">
        <v>46258</v>
      </c>
      <c r="E150" s="5" t="n">
        <v>46253</v>
      </c>
      <c r="F150" s="5">
        <f>IFERROR(INDEX('Batch Dates'!$G:$G,MATCH(J150,'Batch Dates'!$C:$C,0)),IFERROR(INDEX('Batch Dates'!$G:$G,MATCH(I150,'Batch Dates'!$B:$B,0)),""))</f>
        <v/>
      </c>
      <c r="G150" s="2" t="inlineStr">
        <is>
          <t>legacy</t>
        </is>
      </c>
      <c r="H150" s="2" t="inlineStr">
        <is>
          <t>retest 2</t>
        </is>
      </c>
      <c r="I150" s="3" t="inlineStr">
        <is>
          <t>SJ102501</t>
        </is>
      </c>
      <c r="J150" s="2" t="inlineStr">
        <is>
          <t>P060162</t>
        </is>
      </c>
      <c r="K150" s="2" t="inlineStr">
        <is>
          <t>Sleepy Joe</t>
        </is>
      </c>
      <c r="L150" s="2" t="inlineStr">
        <is>
          <t>Ident A + Ident B + Foreign matter</t>
        </is>
      </c>
      <c r="M150" s="6" t="inlineStr">
        <is>
          <t>—</t>
        </is>
      </c>
      <c r="N150" s="2">
        <f>IFERROR(INDEX('CoQ Register'!$B:$B,MATCH("P060162|R2",'CoQ Register'!$S:$S,0)),"—")</f>
        <v/>
      </c>
      <c r="O150" s="6" t="inlineStr">
        <is>
          <t>—</t>
        </is>
      </c>
      <c r="P150" s="2" t="inlineStr">
        <is>
          <t>04.03.2027</t>
        </is>
      </c>
      <c r="Q150" s="2" t="inlineStr">
        <is>
          <t>20.01.2026</t>
        </is>
      </c>
      <c r="R150" s="2" t="inlineStr">
        <is>
          <t>09.03.2026 (the issuance plan's basis: 04.03.2026)</t>
        </is>
      </c>
      <c r="S150" s="5">
        <f>IFERROR(INDEX('CoQ Register'!$D:$D,MATCH("P060162|R2",'CoQ Register'!$S:$S,0)),"")</f>
        <v/>
      </c>
      <c r="T150" s="2" t="inlineStr">
        <is>
          <t>Conforms</t>
        </is>
      </c>
      <c r="U150" s="2" t="inlineStr">
        <is>
          <t>Conforms</t>
        </is>
      </c>
      <c r="V150" s="2" t="inlineStr">
        <is>
          <t>Conforms</t>
        </is>
      </c>
      <c r="W150" s="2" t="inlineStr">
        <is>
          <t>227-6-K-26, (11.09.2026) [FHM-K]</t>
        </is>
      </c>
      <c r="X150" s="2" t="inlineStr">
        <is>
          <t>227-6-K-26, (11.09.2026) [FHM-K]</t>
        </is>
      </c>
      <c r="Y150" s="2" t="inlineStr">
        <is>
          <t>— pending —</t>
        </is>
      </c>
      <c r="Z150" s="2" t="inlineStr">
        <is>
          <t>#8, #9, #11, #12 from the initial testing</t>
        </is>
      </c>
      <c r="AA150" s="2" t="inlineStr">
        <is>
          <t>P060162|R2</t>
        </is>
      </c>
      <c r="AB150" s="7" t="inlineStr">
        <is>
          <t>registered — retest 2 · Tranche 3 (sampled 19–21.08.2026), tested 19.08.2026, issued 24.08.2026</t>
        </is>
      </c>
    </row>
    <row r="151">
      <c r="A151" s="2" t="n">
        <v>150</v>
      </c>
      <c r="B151" s="3" t="inlineStr">
        <is>
          <t>iCoA-PP_26-150</t>
        </is>
      </c>
      <c r="C151" s="4" t="inlineStr">
        <is>
          <t>yes</t>
        </is>
      </c>
      <c r="D151" s="5" t="n">
        <v>46258</v>
      </c>
      <c r="E151" s="5" t="n">
        <v>46253</v>
      </c>
      <c r="F151" s="5">
        <f>IFERROR(INDEX('Batch Dates'!$G:$G,MATCH(J151,'Batch Dates'!$C:$C,0)),IFERROR(INDEX('Batch Dates'!$G:$G,MATCH(I151,'Batch Dates'!$B:$B,0)),""))</f>
        <v/>
      </c>
      <c r="G151" s="2" t="inlineStr">
        <is>
          <t>legacy</t>
        </is>
      </c>
      <c r="H151" s="2" t="inlineStr">
        <is>
          <t>retest 1</t>
        </is>
      </c>
      <c r="I151" s="3" t="inlineStr">
        <is>
          <t>SJ112501</t>
        </is>
      </c>
      <c r="J151" s="2" t="inlineStr">
        <is>
          <t>P060192</t>
        </is>
      </c>
      <c r="K151" s="2" t="inlineStr">
        <is>
          <t>Sleepy Joe</t>
        </is>
      </c>
      <c r="L151" s="2" t="inlineStr">
        <is>
          <t>Ident A + Ident B + Foreign matter</t>
        </is>
      </c>
      <c r="M151" s="6" t="inlineStr">
        <is>
          <t>—</t>
        </is>
      </c>
      <c r="N151" s="2">
        <f>IFERROR(INDEX('CoQ Register'!$B:$B,MATCH("P060192|R",'CoQ Register'!$S:$S,0)),"—")</f>
        <v/>
      </c>
      <c r="O151" s="6" t="inlineStr">
        <is>
          <t>—</t>
        </is>
      </c>
      <c r="P151" s="2" t="inlineStr">
        <is>
          <t>04.03.2027</t>
        </is>
      </c>
      <c r="Q151" s="2" t="inlineStr">
        <is>
          <t>26.01.2026 – 27.01.2026</t>
        </is>
      </c>
      <c r="R151" s="2" t="inlineStr">
        <is>
          <t>31.03.2026 (the issuance plan's basis: 04.03.2026)</t>
        </is>
      </c>
      <c r="S151" s="5">
        <f>IFERROR(INDEX('CoQ Register'!$D:$D,MATCH("P060192|R",'CoQ Register'!$S:$S,0)),"")</f>
        <v/>
      </c>
      <c r="T151" s="2" t="inlineStr">
        <is>
          <t>Conforms</t>
        </is>
      </c>
      <c r="U151" s="2" t="inlineStr">
        <is>
          <t>Conforms</t>
        </is>
      </c>
      <c r="V151" s="2" t="inlineStr">
        <is>
          <t>Conforms</t>
        </is>
      </c>
      <c r="W151" s="2" t="inlineStr">
        <is>
          <t>227-5-K-26, (11.09.2026) [FHM-K]</t>
        </is>
      </c>
      <c r="X151" s="2" t="inlineStr">
        <is>
          <t>227-5-K-26, (11.09.2026) [FHM-K]</t>
        </is>
      </c>
      <c r="Y151" s="2" t="inlineStr">
        <is>
          <t>— pending —</t>
        </is>
      </c>
      <c r="Z151" s="2" t="inlineStr">
        <is>
          <t>#8, #9, #11, #12 from the initial testing</t>
        </is>
      </c>
      <c r="AA151" s="2" t="inlineStr">
        <is>
          <t>P060192|R</t>
        </is>
      </c>
      <c r="AB151" s="7" t="inlineStr">
        <is>
          <t>registered — retest 1 · Tranche 3 (sampled 19–21.08.2026), tested 19.08.2026, issued 24.08.2026</t>
        </is>
      </c>
    </row>
    <row r="152">
      <c r="A152" s="2" t="n">
        <v>151</v>
      </c>
      <c r="B152" s="3" t="inlineStr">
        <is>
          <t>iCoA-PP_26-151</t>
        </is>
      </c>
      <c r="C152" s="4" t="inlineStr">
        <is>
          <t>yes</t>
        </is>
      </c>
      <c r="D152" s="5" t="n">
        <v>46258</v>
      </c>
      <c r="E152" s="5" t="n">
        <v>46253</v>
      </c>
      <c r="F152" s="5">
        <f>IFERROR(INDEX('Batch Dates'!$G:$G,MATCH(J152,'Batch Dates'!$C:$C,0)),IFERROR(INDEX('Batch Dates'!$G:$G,MATCH(I152,'Batch Dates'!$B:$B,0)),""))</f>
        <v/>
      </c>
      <c r="G152" s="2" t="inlineStr">
        <is>
          <t>legacy</t>
        </is>
      </c>
      <c r="H152" s="2" t="inlineStr">
        <is>
          <t>retest 2</t>
        </is>
      </c>
      <c r="I152" s="3" t="inlineStr">
        <is>
          <t>WC072501</t>
        </is>
      </c>
      <c r="J152" s="2" t="inlineStr">
        <is>
          <t>P050262</t>
        </is>
      </c>
      <c r="K152" s="2" t="inlineStr">
        <is>
          <t>Wedding Crusher</t>
        </is>
      </c>
      <c r="L152" s="2" t="inlineStr">
        <is>
          <t>Ident A + Ident B + Foreign matter</t>
        </is>
      </c>
      <c r="M152" s="6" t="inlineStr">
        <is>
          <t>—</t>
        </is>
      </c>
      <c r="N152" s="2">
        <f>IFERROR(INDEX('CoQ Register'!$B:$B,MATCH("P050262|R2",'CoQ Register'!$S:$S,0)),"—")</f>
        <v/>
      </c>
      <c r="O152" s="6" t="inlineStr">
        <is>
          <t>—</t>
        </is>
      </c>
      <c r="P152" s="2" t="inlineStr">
        <is>
          <t>02.12.2026</t>
        </is>
      </c>
      <c r="Q152" s="2" t="inlineStr">
        <is>
          <t>27.10.2025 – 28.10.2025</t>
        </is>
      </c>
      <c r="R152" s="2" t="inlineStr">
        <is>
          <t>01.12.2025 (the issuance plan's basis: 02.12.2025)</t>
        </is>
      </c>
      <c r="S152" s="5">
        <f>IFERROR(INDEX('CoQ Register'!$D:$D,MATCH("P050262|R2",'CoQ Register'!$S:$S,0)),"")</f>
        <v/>
      </c>
      <c r="T152" s="2" t="inlineStr">
        <is>
          <t>Conforms</t>
        </is>
      </c>
      <c r="U152" s="2" t="inlineStr">
        <is>
          <t>Conforms</t>
        </is>
      </c>
      <c r="V152" s="2" t="inlineStr">
        <is>
          <t>Conforms</t>
        </is>
      </c>
      <c r="W152" s="2" t="inlineStr">
        <is>
          <t>227-3-K-26, (11.09.2026) [FHM-K]</t>
        </is>
      </c>
      <c r="X152" s="2" t="inlineStr">
        <is>
          <t>227-3-K-26, (11.09.2026) [FHM-K]</t>
        </is>
      </c>
      <c r="Y152" s="2" t="inlineStr">
        <is>
          <t>— pending —</t>
        </is>
      </c>
      <c r="Z152" s="2" t="inlineStr">
        <is>
          <t>#8, #9, #11, #12 from the initial testing</t>
        </is>
      </c>
      <c r="AA152" s="2" t="inlineStr">
        <is>
          <t>P050262|R2</t>
        </is>
      </c>
      <c r="AB152" s="7" t="inlineStr">
        <is>
          <t>registered — retest 2 · Tranche 3 (sampled 19–21.08.2026), tested 19.08.2026, issued 24.08.2026</t>
        </is>
      </c>
    </row>
    <row r="153">
      <c r="A153" s="2" t="n">
        <v>152</v>
      </c>
      <c r="B153" s="3" t="inlineStr">
        <is>
          <t>iCoA-PP_26-152</t>
        </is>
      </c>
      <c r="C153" s="4" t="inlineStr">
        <is>
          <t>yes</t>
        </is>
      </c>
      <c r="D153" s="5" t="n">
        <v>46258</v>
      </c>
      <c r="E153" s="5" t="n">
        <v>46253</v>
      </c>
      <c r="F153" s="5">
        <f>IFERROR(INDEX('Batch Dates'!$G:$G,MATCH(J153,'Batch Dates'!$C:$C,0)),IFERROR(INDEX('Batch Dates'!$G:$G,MATCH(I153,'Batch Dates'!$B:$B,0)),""))</f>
        <v/>
      </c>
      <c r="G153" s="2" t="inlineStr">
        <is>
          <t>legacy</t>
        </is>
      </c>
      <c r="H153" s="2" t="inlineStr">
        <is>
          <t>retest 2</t>
        </is>
      </c>
      <c r="I153" s="3" t="inlineStr">
        <is>
          <t>WED102501</t>
        </is>
      </c>
      <c r="J153" s="2" t="inlineStr">
        <is>
          <t>P060102</t>
        </is>
      </c>
      <c r="K153" s="2" t="inlineStr">
        <is>
          <t>Wedding Cake</t>
        </is>
      </c>
      <c r="L153" s="2" t="inlineStr">
        <is>
          <t>Ident A + Ident B + Foreign matter</t>
        </is>
      </c>
      <c r="M153" s="6" t="inlineStr">
        <is>
          <t>—</t>
        </is>
      </c>
      <c r="N153" s="2">
        <f>IFERROR(INDEX('CoQ Register'!$B:$B,MATCH("P060102|R2",'CoQ Register'!$S:$S,0)),"—")</f>
        <v/>
      </c>
      <c r="O153" s="6" t="inlineStr">
        <is>
          <t>—</t>
        </is>
      </c>
      <c r="P153" s="2" t="inlineStr">
        <is>
          <t>16.02.2027</t>
        </is>
      </c>
      <c r="Q153" s="2" t="inlineStr">
        <is>
          <t>08.01.2026</t>
        </is>
      </c>
      <c r="R153" s="2" t="inlineStr">
        <is>
          <t>16.02.2026</t>
        </is>
      </c>
      <c r="S153" s="5">
        <f>IFERROR(INDEX('CoQ Register'!$D:$D,MATCH("P060102|R2",'CoQ Register'!$S:$S,0)),"")</f>
        <v/>
      </c>
      <c r="T153" s="2" t="inlineStr">
        <is>
          <t>Conforms</t>
        </is>
      </c>
      <c r="U153" s="2" t="inlineStr">
        <is>
          <t>Conforms</t>
        </is>
      </c>
      <c r="V153" s="2" t="inlineStr">
        <is>
          <t>Conforms</t>
        </is>
      </c>
      <c r="W153" s="2" t="inlineStr">
        <is>
          <t>227-4-K-26, (11.09.2026) [FHM-K]</t>
        </is>
      </c>
      <c r="X153" s="2" t="inlineStr">
        <is>
          <t>227-4-K-26, (11.09.2026) [FHM-K]</t>
        </is>
      </c>
      <c r="Y153" s="2" t="inlineStr">
        <is>
          <t>— pending —</t>
        </is>
      </c>
      <c r="Z153" s="2" t="inlineStr">
        <is>
          <t>#8, #9, #11, #12 from the initial testing</t>
        </is>
      </c>
      <c r="AA153" s="2" t="inlineStr">
        <is>
          <t>P060102|R2</t>
        </is>
      </c>
      <c r="AB153" s="7" t="inlineStr">
        <is>
          <t>registered — retest 2 · Tranche 3 (sampled 19–21.08.2026), tested 19.08.2026, issued 24.08.2026</t>
        </is>
      </c>
    </row>
    <row r="154">
      <c r="A154" s="2" t="n">
        <v>153</v>
      </c>
      <c r="B154" s="3" t="inlineStr">
        <is>
          <t>iCoA-PP_26-153</t>
        </is>
      </c>
      <c r="C154" s="4" t="inlineStr">
        <is>
          <t>yes</t>
        </is>
      </c>
      <c r="D154" s="5" t="n">
        <v>46258</v>
      </c>
      <c r="E154" s="5" t="n">
        <v>46254</v>
      </c>
      <c r="F154" s="5">
        <f>IFERROR(INDEX('Batch Dates'!$G:$G,MATCH(J154,'Batch Dates'!$C:$C,0)),IFERROR(INDEX('Batch Dates'!$G:$G,MATCH(I154,'Batch Dates'!$B:$B,0)),""))</f>
        <v/>
      </c>
      <c r="G154" s="2" t="inlineStr">
        <is>
          <t>legacy</t>
        </is>
      </c>
      <c r="H154" s="2" t="inlineStr">
        <is>
          <t>retest 2</t>
        </is>
      </c>
      <c r="I154" s="3" t="inlineStr">
        <is>
          <t>GG1024_02</t>
        </is>
      </c>
      <c r="J154" s="2" t="inlineStr">
        <is>
          <t>P050012</t>
        </is>
      </c>
      <c r="K154" s="2" t="inlineStr">
        <is>
          <t>Gorilla Glue</t>
        </is>
      </c>
      <c r="L154" s="2" t="inlineStr">
        <is>
          <t>Ident A + Ident B + Foreign matter</t>
        </is>
      </c>
      <c r="M154" s="6" t="inlineStr">
        <is>
          <t>—</t>
        </is>
      </c>
      <c r="N154" s="2">
        <f>IFERROR(INDEX('CoQ Register'!$B:$B,MATCH("P050012|R2",'CoQ Register'!$S:$S,0)),"—")</f>
        <v/>
      </c>
      <c r="O154" s="6" t="inlineStr">
        <is>
          <t>—</t>
        </is>
      </c>
      <c r="P154" s="2" t="inlineStr">
        <is>
          <t>30.05.2026</t>
        </is>
      </c>
      <c r="Q154" s="2" t="inlineStr">
        <is>
          <t>14.04.2025 – 15.04.2025</t>
        </is>
      </c>
      <c r="R154" s="2" t="inlineStr">
        <is>
          <t>11.06.2025 – 16.06.2025 (the issuance plan's basis: 30.05.2025)</t>
        </is>
      </c>
      <c r="S154" s="5">
        <f>IFERROR(INDEX('CoQ Register'!$D:$D,MATCH("P050012|R2",'CoQ Register'!$S:$S,0)),"")</f>
        <v/>
      </c>
      <c r="T154" s="2" t="inlineStr">
        <is>
          <t>Conforms</t>
        </is>
      </c>
      <c r="U154" s="2" t="inlineStr">
        <is>
          <t>Conforms</t>
        </is>
      </c>
      <c r="V154" s="2" t="inlineStr">
        <is>
          <t>Conforms</t>
        </is>
      </c>
      <c r="W154" s="2" t="inlineStr">
        <is>
          <t>227-19-K-26, (11.09.2026) [FHM-K]</t>
        </is>
      </c>
      <c r="X154" s="2" t="inlineStr">
        <is>
          <t>227-19-K-26, (11.09.2026) [FHM-K]</t>
        </is>
      </c>
      <c r="Y154" s="2" t="inlineStr">
        <is>
          <t>— pending —</t>
        </is>
      </c>
      <c r="Z154" s="2" t="inlineStr">
        <is>
          <t>#8, #9, #11, #12 from the initial testing</t>
        </is>
      </c>
      <c r="AA154" s="2" t="inlineStr">
        <is>
          <t>P050012|R2</t>
        </is>
      </c>
      <c r="AB154" s="7" t="inlineStr">
        <is>
          <t>registered — retest 2 · Tranche 3 (sampled 19–21.08.2026), tested 20.08.2026, issued 24.08.2026</t>
        </is>
      </c>
    </row>
    <row r="155">
      <c r="A155" s="2" t="n">
        <v>154</v>
      </c>
      <c r="B155" s="3" t="inlineStr">
        <is>
          <t>iCoA-PP_26-154</t>
        </is>
      </c>
      <c r="C155" s="4" t="inlineStr">
        <is>
          <t>yes</t>
        </is>
      </c>
      <c r="D155" s="5" t="n">
        <v>46258</v>
      </c>
      <c r="E155" s="5" t="n">
        <v>46254</v>
      </c>
      <c r="F155" s="5">
        <f>IFERROR(INDEX('Batch Dates'!$G:$G,MATCH(J155,'Batch Dates'!$C:$C,0)),IFERROR(INDEX('Batch Dates'!$G:$G,MATCH(I155,'Batch Dates'!$B:$B,0)),""))</f>
        <v/>
      </c>
      <c r="G155" s="2" t="inlineStr">
        <is>
          <t>legacy</t>
        </is>
      </c>
      <c r="H155" s="2" t="inlineStr">
        <is>
          <t>retest 2</t>
        </is>
      </c>
      <c r="I155" s="3" t="inlineStr">
        <is>
          <t>GG112501</t>
        </is>
      </c>
      <c r="J155" s="2" t="inlineStr">
        <is>
          <t>P060252</t>
        </is>
      </c>
      <c r="K155" s="2" t="inlineStr">
        <is>
          <t>Gorilla Glue</t>
        </is>
      </c>
      <c r="L155" s="2" t="inlineStr">
        <is>
          <t>Ident A + Ident B + Foreign matter</t>
        </is>
      </c>
      <c r="M155" s="6" t="inlineStr">
        <is>
          <t>—</t>
        </is>
      </c>
      <c r="N155" s="2">
        <f>IFERROR(INDEX('CoQ Register'!$B:$B,MATCH("P060252|R2",'CoQ Register'!$S:$S,0)),"—")</f>
        <v/>
      </c>
      <c r="O155" s="6" t="inlineStr">
        <is>
          <t>—</t>
        </is>
      </c>
      <c r="P155" s="2" t="inlineStr">
        <is>
          <t>11.05.2027</t>
        </is>
      </c>
      <c r="Q155" s="2" t="inlineStr">
        <is>
          <t>25.03.2026</t>
        </is>
      </c>
      <c r="R155" s="2" t="inlineStr">
        <is>
          <t>05.05.2026 (the issuance plan's basis: 11.05.2026)</t>
        </is>
      </c>
      <c r="S155" s="5">
        <f>IFERROR(INDEX('CoQ Register'!$D:$D,MATCH("P060252|R2",'CoQ Register'!$S:$S,0)),"")</f>
        <v/>
      </c>
      <c r="T155" s="2" t="inlineStr">
        <is>
          <t>Conforms</t>
        </is>
      </c>
      <c r="U155" s="2" t="inlineStr">
        <is>
          <t>Conforms</t>
        </is>
      </c>
      <c r="V155" s="2" t="inlineStr">
        <is>
          <t>Conforms</t>
        </is>
      </c>
      <c r="W155" s="2" t="inlineStr">
        <is>
          <t>227-20-K-26, (11.09.2026) [FHM-K]</t>
        </is>
      </c>
      <c r="X155" s="2" t="inlineStr">
        <is>
          <t>227-20-K-26, (11.09.2026) [FHM-K]</t>
        </is>
      </c>
      <c r="Y155" s="2" t="inlineStr">
        <is>
          <t>— pending —</t>
        </is>
      </c>
      <c r="Z155" s="2" t="inlineStr">
        <is>
          <t>#8, #9, #11, #12 from the initial testing</t>
        </is>
      </c>
      <c r="AA155" s="2" t="inlineStr">
        <is>
          <t>P060252|R2</t>
        </is>
      </c>
      <c r="AB155" s="7" t="inlineStr">
        <is>
          <t>registered — retest 2 · Tranche 3 (sampled 19–21.08.2026), tested 20.08.2026, issued 24.08.2026</t>
        </is>
      </c>
    </row>
    <row r="156">
      <c r="A156" s="2" t="n">
        <v>155</v>
      </c>
      <c r="B156" s="3" t="inlineStr">
        <is>
          <t>iCoA-PP_26-155</t>
        </is>
      </c>
      <c r="C156" s="4" t="inlineStr">
        <is>
          <t>yes</t>
        </is>
      </c>
      <c r="D156" s="5" t="n">
        <v>46258</v>
      </c>
      <c r="E156" s="5" t="n">
        <v>46254</v>
      </c>
      <c r="F156" s="5">
        <f>IFERROR(INDEX('Batch Dates'!$G:$G,MATCH(J156,'Batch Dates'!$C:$C,0)),IFERROR(INDEX('Batch Dates'!$G:$G,MATCH(I156,'Batch Dates'!$B:$B,0)),""))</f>
        <v/>
      </c>
      <c r="G156" s="2" t="inlineStr">
        <is>
          <t>legacy</t>
        </is>
      </c>
      <c r="H156" s="2" t="inlineStr">
        <is>
          <t>retest 5</t>
        </is>
      </c>
      <c r="I156" s="3" t="inlineStr">
        <is>
          <t>GP062501</t>
        </is>
      </c>
      <c r="J156" s="2" t="inlineStr">
        <is>
          <t>P050202</t>
        </is>
      </c>
      <c r="K156" s="2" t="inlineStr">
        <is>
          <t>Grape Pie</t>
        </is>
      </c>
      <c r="L156" s="2" t="inlineStr">
        <is>
          <t>Ident A + Ident B + Foreign matter</t>
        </is>
      </c>
      <c r="M156" s="6" t="inlineStr">
        <is>
          <t>—</t>
        </is>
      </c>
      <c r="N156" s="2">
        <f>IFERROR(INDEX('CoQ Register'!$B:$B,MATCH("P050202|R5",'CoQ Register'!$S:$S,0)),"—")</f>
        <v/>
      </c>
      <c r="O156" s="6" t="inlineStr">
        <is>
          <t>—</t>
        </is>
      </c>
      <c r="P156" s="2" t="inlineStr">
        <is>
          <t>11.05.2027</t>
        </is>
      </c>
      <c r="Q156" s="2" t="inlineStr">
        <is>
          <t>15.09.2025 – 17.09.2025</t>
        </is>
      </c>
      <c r="R156" s="2" t="inlineStr">
        <is>
          <t>30.10.2025 – 07.11.2025 (the issuance plan's basis: 11.05.2026)</t>
        </is>
      </c>
      <c r="S156" s="5">
        <f>IFERROR(INDEX('CoQ Register'!$D:$D,MATCH("P050202|R5",'CoQ Register'!$S:$S,0)),"")</f>
        <v/>
      </c>
      <c r="T156" s="2" t="inlineStr">
        <is>
          <t>Conforms</t>
        </is>
      </c>
      <c r="U156" s="2" t="inlineStr">
        <is>
          <t>Conforms</t>
        </is>
      </c>
      <c r="V156" s="2" t="inlineStr">
        <is>
          <t>Conforms</t>
        </is>
      </c>
      <c r="W156" s="2" t="inlineStr">
        <is>
          <t>227-18-K-26, (11.09.2026) [FHM-K]</t>
        </is>
      </c>
      <c r="X156" s="2" t="inlineStr">
        <is>
          <t>227-18-K-26, (11.09.2026) [FHM-K]</t>
        </is>
      </c>
      <c r="Y156" s="2" t="inlineStr">
        <is>
          <t>— pending —</t>
        </is>
      </c>
      <c r="Z156" s="2" t="inlineStr">
        <is>
          <t>#8, #9, #11, #12 from the initial testing</t>
        </is>
      </c>
      <c r="AA156" s="2" t="inlineStr">
        <is>
          <t>P050202|R5</t>
        </is>
      </c>
      <c r="AB156" s="7" t="inlineStr">
        <is>
          <t>registered — retest 5 · Tranche 3 (sampled 19–21.08.2026), tested 20.08.2026, issued 24.08.2026</t>
        </is>
      </c>
    </row>
    <row r="157">
      <c r="A157" s="2" t="n">
        <v>156</v>
      </c>
      <c r="B157" s="3" t="inlineStr">
        <is>
          <t>iCoA-PP_26-156</t>
        </is>
      </c>
      <c r="C157" s="4" t="inlineStr">
        <is>
          <t>yes</t>
        </is>
      </c>
      <c r="D157" s="5" t="n">
        <v>46258</v>
      </c>
      <c r="E157" s="5" t="n">
        <v>46254</v>
      </c>
      <c r="F157" s="5">
        <f>IFERROR(INDEX('Batch Dates'!$G:$G,MATCH(J157,'Batch Dates'!$C:$C,0)),IFERROR(INDEX('Batch Dates'!$G:$G,MATCH(I157,'Batch Dates'!$B:$B,0)),""))</f>
        <v/>
      </c>
      <c r="G157" s="2" t="inlineStr">
        <is>
          <t>legacy</t>
        </is>
      </c>
      <c r="H157" s="2" t="inlineStr">
        <is>
          <t>retest 2</t>
        </is>
      </c>
      <c r="I157" s="3" t="inlineStr">
        <is>
          <t>GP072501/1</t>
        </is>
      </c>
      <c r="J157" s="2" t="inlineStr">
        <is>
          <t>P050292</t>
        </is>
      </c>
      <c r="K157" s="2" t="inlineStr">
        <is>
          <t>Grape Pie</t>
        </is>
      </c>
      <c r="L157" s="2" t="inlineStr">
        <is>
          <t>Ident A + Ident B + Foreign matter</t>
        </is>
      </c>
      <c r="M157" s="6" t="inlineStr">
        <is>
          <t>—</t>
        </is>
      </c>
      <c r="N157" s="2">
        <f>IFERROR(INDEX('CoQ Register'!$B:$B,MATCH("P050292|R2",'CoQ Register'!$S:$S,0)),"—")</f>
        <v/>
      </c>
      <c r="O157" s="6" t="inlineStr">
        <is>
          <t>—</t>
        </is>
      </c>
      <c r="P157" s="2" t="inlineStr">
        <is>
          <t>21.01.2027</t>
        </is>
      </c>
      <c r="Q157" s="2" t="inlineStr">
        <is>
          <t>11.11.2025 – 13.11.2025</t>
        </is>
      </c>
      <c r="R157" s="2" t="inlineStr">
        <is>
          <t>15.12.2025 – 21.12.2025 (the issuance plan's basis: 21.01.2026)</t>
        </is>
      </c>
      <c r="S157" s="5">
        <f>IFERROR(INDEX('CoQ Register'!$D:$D,MATCH("P050292|R2",'CoQ Register'!$S:$S,0)),"")</f>
        <v/>
      </c>
      <c r="T157" s="2" t="inlineStr">
        <is>
          <t>Conforms</t>
        </is>
      </c>
      <c r="U157" s="2" t="inlineStr">
        <is>
          <t>Conforms</t>
        </is>
      </c>
      <c r="V157" s="2" t="inlineStr">
        <is>
          <t>Conforms</t>
        </is>
      </c>
      <c r="W157" s="2" t="inlineStr">
        <is>
          <t>227-17-K-26, (11.09.2026) [FHM-K]</t>
        </is>
      </c>
      <c r="X157" s="2" t="inlineStr">
        <is>
          <t>227-17-K-26, (11.09.2026) [FHM-K]</t>
        </is>
      </c>
      <c r="Y157" s="2" t="inlineStr">
        <is>
          <t>— pending —</t>
        </is>
      </c>
      <c r="Z157" s="2" t="inlineStr">
        <is>
          <t>#8, #9, #11, #12 from the initial testing</t>
        </is>
      </c>
      <c r="AA157" s="2" t="inlineStr">
        <is>
          <t>P050292|R2</t>
        </is>
      </c>
      <c r="AB157" s="7" t="inlineStr">
        <is>
          <t>registered — retest 2 · Tranche 3 (sampled 19–21.08.2026), tested 20.08.2026, issued 24.08.2026</t>
        </is>
      </c>
    </row>
    <row r="158">
      <c r="A158" s="2" t="n">
        <v>157</v>
      </c>
      <c r="B158" s="3" t="inlineStr">
        <is>
          <t>iCoA-PP_26-157</t>
        </is>
      </c>
      <c r="C158" s="4" t="inlineStr">
        <is>
          <t>yes</t>
        </is>
      </c>
      <c r="D158" s="5" t="n">
        <v>46258</v>
      </c>
      <c r="E158" s="5" t="n">
        <v>46254</v>
      </c>
      <c r="F158" s="5">
        <f>IFERROR(INDEX('Batch Dates'!$G:$G,MATCH(J158,'Batch Dates'!$C:$C,0)),IFERROR(INDEX('Batch Dates'!$G:$G,MATCH(I158,'Batch Dates'!$B:$B,0)),""))</f>
        <v/>
      </c>
      <c r="G158" s="2" t="inlineStr">
        <is>
          <t>legacy</t>
        </is>
      </c>
      <c r="H158" s="2" t="inlineStr">
        <is>
          <t>retest 2</t>
        </is>
      </c>
      <c r="I158" s="3" t="inlineStr">
        <is>
          <t>GRC102501</t>
        </is>
      </c>
      <c r="J158" s="2" t="inlineStr">
        <is>
          <t>P060142</t>
        </is>
      </c>
      <c r="K158" s="2" t="inlineStr">
        <is>
          <t>Grapes And Cream</t>
        </is>
      </c>
      <c r="L158" s="2" t="inlineStr">
        <is>
          <t>Ident A + Ident B + Foreign matter</t>
        </is>
      </c>
      <c r="M158" s="6" t="inlineStr">
        <is>
          <t>—</t>
        </is>
      </c>
      <c r="N158" s="2">
        <f>IFERROR(INDEX('CoQ Register'!$B:$B,MATCH("P060142|R2",'CoQ Register'!$S:$S,0)),"—")</f>
        <v/>
      </c>
      <c r="O158" s="6" t="inlineStr">
        <is>
          <t>—</t>
        </is>
      </c>
      <c r="P158" s="2" t="inlineStr">
        <is>
          <t>23.02.2027</t>
        </is>
      </c>
      <c r="Q158" s="2" t="inlineStr">
        <is>
          <t>09.01.2026</t>
        </is>
      </c>
      <c r="R158" s="2" t="inlineStr">
        <is>
          <t>23.02.2026</t>
        </is>
      </c>
      <c r="S158" s="5">
        <f>IFERROR(INDEX('CoQ Register'!$D:$D,MATCH("P060142|R2",'CoQ Register'!$S:$S,0)),"")</f>
        <v/>
      </c>
      <c r="T158" s="2" t="inlineStr">
        <is>
          <t>Conforms</t>
        </is>
      </c>
      <c r="U158" s="2" t="inlineStr">
        <is>
          <t>Conforms</t>
        </is>
      </c>
      <c r="V158" s="2" t="inlineStr">
        <is>
          <t>Conforms</t>
        </is>
      </c>
      <c r="W158" s="2" t="inlineStr">
        <is>
          <t>227-16-K-26, (11.09.2026) [FHM-K]</t>
        </is>
      </c>
      <c r="X158" s="2" t="inlineStr">
        <is>
          <t>227-16-K-26, (11.09.2026) [FHM-K]</t>
        </is>
      </c>
      <c r="Y158" s="2" t="inlineStr">
        <is>
          <t>— pending —</t>
        </is>
      </c>
      <c r="Z158" s="2" t="inlineStr">
        <is>
          <t>#8, #9, #11, #12 from the initial testing</t>
        </is>
      </c>
      <c r="AA158" s="2" t="inlineStr">
        <is>
          <t>P060142|R2</t>
        </is>
      </c>
      <c r="AB158" s="7" t="inlineStr">
        <is>
          <t>registered — retest 2 · Tranche 3 (sampled 19–21.08.2026), tested 20.08.2026, issued 24.08.2026</t>
        </is>
      </c>
    </row>
    <row r="159">
      <c r="A159" s="2" t="n">
        <v>158</v>
      </c>
      <c r="B159" s="3" t="inlineStr">
        <is>
          <t>iCoA-PP_26-158</t>
        </is>
      </c>
      <c r="C159" s="4" t="inlineStr">
        <is>
          <t>yes</t>
        </is>
      </c>
      <c r="D159" s="5" t="n">
        <v>46258</v>
      </c>
      <c r="E159" s="5" t="n">
        <v>46254</v>
      </c>
      <c r="F159" s="5">
        <f>IFERROR(INDEX('Batch Dates'!$G:$G,MATCH(J159,'Batch Dates'!$C:$C,0)),IFERROR(INDEX('Batch Dates'!$G:$G,MATCH(I159,'Batch Dates'!$B:$B,0)),""))</f>
        <v/>
      </c>
      <c r="G159" s="2" t="inlineStr">
        <is>
          <t>legacy</t>
        </is>
      </c>
      <c r="H159" s="2" t="inlineStr">
        <is>
          <t>retest 2</t>
        </is>
      </c>
      <c r="I159" s="3" t="inlineStr">
        <is>
          <t>J31112501</t>
        </is>
      </c>
      <c r="J159" s="2" t="inlineStr">
        <is>
          <t>P060202</t>
        </is>
      </c>
      <c r="K159" s="2" t="inlineStr">
        <is>
          <t>Jokerz 31</t>
        </is>
      </c>
      <c r="L159" s="2" t="inlineStr">
        <is>
          <t>Ident A + Ident B + Foreign matter</t>
        </is>
      </c>
      <c r="M159" s="6" t="inlineStr">
        <is>
          <t>—</t>
        </is>
      </c>
      <c r="N159" s="2">
        <f>IFERROR(INDEX('CoQ Register'!$B:$B,MATCH("P060202|R2",'CoQ Register'!$S:$S,0)),"—")</f>
        <v/>
      </c>
      <c r="O159" s="6" t="inlineStr">
        <is>
          <t>—</t>
        </is>
      </c>
      <c r="P159" s="2" t="inlineStr">
        <is>
          <t>09.04.2027</t>
        </is>
      </c>
      <c r="Q159" s="2" t="inlineStr">
        <is>
          <t>26.01.2026</t>
        </is>
      </c>
      <c r="R159" s="2" t="inlineStr">
        <is>
          <t>17.04.2026 (the issuance plan's basis: 09.04.2026)</t>
        </is>
      </c>
      <c r="S159" s="5">
        <f>IFERROR(INDEX('CoQ Register'!$D:$D,MATCH("P060202|R2",'CoQ Register'!$S:$S,0)),"")</f>
        <v/>
      </c>
      <c r="T159" s="2" t="inlineStr">
        <is>
          <t>Conforms</t>
        </is>
      </c>
      <c r="U159" s="2" t="inlineStr">
        <is>
          <t>Conforms</t>
        </is>
      </c>
      <c r="V159" s="2" t="inlineStr">
        <is>
          <t>Conforms</t>
        </is>
      </c>
      <c r="W159" s="2" t="inlineStr">
        <is>
          <t>227-14-K-26, (11.09.2026) [FHM-K]</t>
        </is>
      </c>
      <c r="X159" s="2" t="inlineStr">
        <is>
          <t>227-14-K-26, (11.09.2026) [FHM-K]</t>
        </is>
      </c>
      <c r="Y159" s="2" t="inlineStr">
        <is>
          <t>— pending —</t>
        </is>
      </c>
      <c r="Z159" s="2" t="inlineStr">
        <is>
          <t>#8, #9, #11, #12 from the initial testing</t>
        </is>
      </c>
      <c r="AA159" s="2" t="inlineStr">
        <is>
          <t>P060202|R2</t>
        </is>
      </c>
      <c r="AB159" s="7" t="inlineStr">
        <is>
          <t>registered — retest 2 · Tranche 3 (sampled 19–21.08.2026), tested 20.08.2026, issued 24.08.2026</t>
        </is>
      </c>
    </row>
    <row r="160">
      <c r="A160" s="2" t="n">
        <v>159</v>
      </c>
      <c r="B160" s="3" t="inlineStr">
        <is>
          <t>iCoA-PP_26-159</t>
        </is>
      </c>
      <c r="C160" s="4" t="inlineStr">
        <is>
          <t>yes</t>
        </is>
      </c>
      <c r="D160" s="5" t="n">
        <v>46258</v>
      </c>
      <c r="E160" s="5" t="n">
        <v>46254</v>
      </c>
      <c r="F160" s="5">
        <f>IFERROR(INDEX('Batch Dates'!$G:$G,MATCH(J160,'Batch Dates'!$C:$C,0)),IFERROR(INDEX('Batch Dates'!$G:$G,MATCH(I160,'Batch Dates'!$B:$B,0)),""))</f>
        <v/>
      </c>
      <c r="G160" s="2" t="inlineStr">
        <is>
          <t>post-SOP</t>
        </is>
      </c>
      <c r="H160" s="2" t="inlineStr">
        <is>
          <t>retest 2</t>
        </is>
      </c>
      <c r="I160" s="3" t="inlineStr">
        <is>
          <t>J31122501</t>
        </is>
      </c>
      <c r="J160" s="2" t="inlineStr">
        <is>
          <t>P060262</t>
        </is>
      </c>
      <c r="K160" s="2" t="inlineStr">
        <is>
          <t>Jokerz 31</t>
        </is>
      </c>
      <c r="L160" s="2" t="inlineStr">
        <is>
          <t>Ident A + Ident B + Foreign matter</t>
        </is>
      </c>
      <c r="M160" s="6" t="inlineStr">
        <is>
          <t>—</t>
        </is>
      </c>
      <c r="N160" s="2">
        <f>IFERROR(INDEX('CoQ Register'!$B:$B,MATCH("P060262|R2",'CoQ Register'!$S:$S,0)),"—")</f>
        <v/>
      </c>
      <c r="O160" s="6" t="inlineStr">
        <is>
          <t>—</t>
        </is>
      </c>
      <c r="P160" s="2" t="inlineStr">
        <is>
          <t>23.04.2027</t>
        </is>
      </c>
      <c r="Q160" s="2" t="inlineStr">
        <is>
          <t>04.03.2026</t>
        </is>
      </c>
      <c r="R160" s="2" t="inlineStr">
        <is>
          <t>14.05.2026 (the issuance plan's basis: 23.04.2026)</t>
        </is>
      </c>
      <c r="S160" s="5">
        <f>IFERROR(INDEX('CoQ Register'!$D:$D,MATCH("P060262|R2",'CoQ Register'!$S:$S,0)),"")</f>
        <v/>
      </c>
      <c r="T160" s="2" t="inlineStr">
        <is>
          <t>Conforms</t>
        </is>
      </c>
      <c r="U160" s="2" t="inlineStr">
        <is>
          <t>Conforms</t>
        </is>
      </c>
      <c r="V160" s="2" t="inlineStr">
        <is>
          <t>Conforms</t>
        </is>
      </c>
      <c r="W160" s="2" t="inlineStr">
        <is>
          <t>— retest assay not yet on file —</t>
        </is>
      </c>
      <c r="X160" s="2" t="inlineStr">
        <is>
          <t>— pending —</t>
        </is>
      </c>
      <c r="Y160" s="2" t="inlineStr">
        <is>
          <t>— pending —</t>
        </is>
      </c>
      <c r="Z160" s="2" t="inlineStr">
        <is>
          <t>#8, #9, #11, #12 from the initial testing</t>
        </is>
      </c>
      <c r="AA160" s="2" t="inlineStr">
        <is>
          <t>P060262|R2</t>
        </is>
      </c>
      <c r="AB160" s="7" t="inlineStr">
        <is>
          <t>registered — retest 2 · Tranche 3 (sampled 19–21.08.2026), tested 20.08.2026, issued 24.08.2026</t>
        </is>
      </c>
    </row>
    <row r="161">
      <c r="A161" s="2" t="n">
        <v>160</v>
      </c>
      <c r="B161" s="3" t="inlineStr">
        <is>
          <t>iCoA-PP_26-160</t>
        </is>
      </c>
      <c r="C161" s="4" t="inlineStr">
        <is>
          <t>yes</t>
        </is>
      </c>
      <c r="D161" s="5" t="n">
        <v>46258</v>
      </c>
      <c r="E161" s="5" t="n">
        <v>46254</v>
      </c>
      <c r="F161" s="5">
        <f>IFERROR(INDEX('Batch Dates'!$G:$G,MATCH(J161,'Batch Dates'!$C:$C,0)),IFERROR(INDEX('Batch Dates'!$G:$G,MATCH(I161,'Batch Dates'!$B:$B,0)),""))</f>
        <v/>
      </c>
      <c r="G161" s="2" t="inlineStr">
        <is>
          <t>post-SOP</t>
        </is>
      </c>
      <c r="H161" s="2" t="inlineStr">
        <is>
          <t>retest 2</t>
        </is>
      </c>
      <c r="I161" s="3" t="inlineStr">
        <is>
          <t>JD012601＊</t>
        </is>
      </c>
      <c r="J161" s="2" t="inlineStr">
        <is>
          <t>P060312</t>
        </is>
      </c>
      <c r="K161" s="2" t="inlineStr">
        <is>
          <t>Jelly Donuts</t>
        </is>
      </c>
      <c r="L161" s="2" t="inlineStr">
        <is>
          <t>Ident A + Ident B + Foreign matter</t>
        </is>
      </c>
      <c r="M161" s="6" t="inlineStr">
        <is>
          <t>—</t>
        </is>
      </c>
      <c r="N161" s="2">
        <f>IFERROR(INDEX('CoQ Register'!$B:$B,MATCH("P060312|R2",'CoQ Register'!$S:$S,0)),"—")</f>
        <v/>
      </c>
      <c r="O161" s="6" t="inlineStr">
        <is>
          <t>—</t>
        </is>
      </c>
      <c r="P161" s="2" t="inlineStr">
        <is>
          <t>11.05.2027</t>
        </is>
      </c>
      <c r="Q161" s="2" t="inlineStr">
        <is>
          <t>27.03.2026</t>
        </is>
      </c>
      <c r="R161" s="2" t="inlineStr">
        <is>
          <t>21.05.2026 (the issuance plan's basis: 11.05.2026)</t>
        </is>
      </c>
      <c r="S161" s="5">
        <f>IFERROR(INDEX('CoQ Register'!$D:$D,MATCH("P060312|R2",'CoQ Register'!$S:$S,0)),"")</f>
        <v/>
      </c>
      <c r="T161" s="2" t="inlineStr">
        <is>
          <t>Conforms</t>
        </is>
      </c>
      <c r="U161" s="2" t="inlineStr">
        <is>
          <t>Conforms</t>
        </is>
      </c>
      <c r="V161" s="2" t="inlineStr">
        <is>
          <t>Conforms</t>
        </is>
      </c>
      <c r="W161" s="2" t="inlineStr">
        <is>
          <t>227-15-K-26, (11.09.2026) [FHM-K]</t>
        </is>
      </c>
      <c r="X161" s="2" t="inlineStr">
        <is>
          <t>227-15-K-26, (11.09.2026) [FHM-K]</t>
        </is>
      </c>
      <c r="Y161" s="2" t="inlineStr">
        <is>
          <t>— pending —</t>
        </is>
      </c>
      <c r="Z161" s="2" t="inlineStr">
        <is>
          <t>#8, #9, #11, #12 from the initial testing</t>
        </is>
      </c>
      <c r="AA161" s="2" t="inlineStr">
        <is>
          <t>P060312|R2</t>
        </is>
      </c>
      <c r="AB161" s="7" t="inlineStr">
        <is>
          <t>registered — retest 2 · Tranche 3 (sampled 19–21.08.2026), tested 20.08.2026, issued 24.08.2026</t>
        </is>
      </c>
    </row>
    <row r="162">
      <c r="A162" s="2" t="n">
        <v>161</v>
      </c>
      <c r="B162" s="3" t="inlineStr">
        <is>
          <t>iCoA-PP_26-161</t>
        </is>
      </c>
      <c r="C162" s="4" t="inlineStr">
        <is>
          <t>yes</t>
        </is>
      </c>
      <c r="D162" s="5" t="n">
        <v>46258</v>
      </c>
      <c r="E162" s="5" t="n">
        <v>46254</v>
      </c>
      <c r="F162" s="5">
        <f>IFERROR(INDEX('Batch Dates'!$G:$G,MATCH(J162,'Batch Dates'!$C:$C,0)),IFERROR(INDEX('Batch Dates'!$G:$G,MATCH(I162,'Batch Dates'!$B:$B,0)),""))</f>
        <v/>
      </c>
      <c r="G162" s="2" t="inlineStr">
        <is>
          <t>legacy</t>
        </is>
      </c>
      <c r="H162" s="2" t="inlineStr">
        <is>
          <t>retest 2</t>
        </is>
      </c>
      <c r="I162" s="3" t="inlineStr">
        <is>
          <t>MB0824_04</t>
        </is>
      </c>
      <c r="J162" s="2" t="inlineStr">
        <is>
          <t>P050032</t>
        </is>
      </c>
      <c r="K162" s="2" t="inlineStr">
        <is>
          <t>Motor Breath</t>
        </is>
      </c>
      <c r="L162" s="2" t="inlineStr">
        <is>
          <t>Ident A + Ident B + Foreign matter</t>
        </is>
      </c>
      <c r="M162" s="6" t="inlineStr">
        <is>
          <t>—</t>
        </is>
      </c>
      <c r="N162" s="2">
        <f>IFERROR(INDEX('CoQ Register'!$B:$B,MATCH("P050032|R2",'CoQ Register'!$S:$S,0)),"—")</f>
        <v/>
      </c>
      <c r="O162" s="6" t="inlineStr">
        <is>
          <t>—</t>
        </is>
      </c>
      <c r="P162" s="2" t="inlineStr">
        <is>
          <t>07.05.2026</t>
        </is>
      </c>
      <c r="Q162" s="2" t="inlineStr">
        <is>
          <t>02.04.2025 – 03.04.2025</t>
        </is>
      </c>
      <c r="R162" s="2" t="inlineStr">
        <is>
          <t>16.06.2025 – 19.06.2025 (the issuance plan's basis: 07.05.2025)</t>
        </is>
      </c>
      <c r="S162" s="5">
        <f>IFERROR(INDEX('CoQ Register'!$D:$D,MATCH("P050032|R2",'CoQ Register'!$S:$S,0)),"")</f>
        <v/>
      </c>
      <c r="T162" s="2" t="inlineStr">
        <is>
          <t>Conforms</t>
        </is>
      </c>
      <c r="U162" s="2" t="inlineStr">
        <is>
          <t>Conforms</t>
        </is>
      </c>
      <c r="V162" s="2" t="inlineStr">
        <is>
          <t>Conforms</t>
        </is>
      </c>
      <c r="W162" s="2" t="inlineStr">
        <is>
          <t>227-12-K-26, (11.09.2026) [FHM-K]</t>
        </is>
      </c>
      <c r="X162" s="2" t="inlineStr">
        <is>
          <t>227-12-K-26, (11.09.2026) [FHM-K]</t>
        </is>
      </c>
      <c r="Y162" s="2" t="inlineStr">
        <is>
          <t>— pending —</t>
        </is>
      </c>
      <c r="Z162" s="2" t="inlineStr">
        <is>
          <t>#8, #9, #11, #12 from the initial testing</t>
        </is>
      </c>
      <c r="AA162" s="2" t="inlineStr">
        <is>
          <t>P050032|R2</t>
        </is>
      </c>
      <c r="AB162" s="7" t="inlineStr">
        <is>
          <t>registered — retest 2 · Tranche 3 (sampled 19–21.08.2026), tested 20.08.2026, issued 24.08.2026</t>
        </is>
      </c>
    </row>
    <row r="163">
      <c r="A163" s="2" t="n">
        <v>162</v>
      </c>
      <c r="B163" s="3" t="inlineStr">
        <is>
          <t>iCoA-PP_26-162</t>
        </is>
      </c>
      <c r="C163" s="4" t="inlineStr">
        <is>
          <t>yes</t>
        </is>
      </c>
      <c r="D163" s="5" t="n">
        <v>46258</v>
      </c>
      <c r="E163" s="5" t="n">
        <v>46254</v>
      </c>
      <c r="F163" s="5">
        <f>IFERROR(INDEX('Batch Dates'!$G:$G,MATCH(J163,'Batch Dates'!$C:$C,0)),IFERROR(INDEX('Batch Dates'!$G:$G,MATCH(I163,'Batch Dates'!$B:$B,0)),""))</f>
        <v/>
      </c>
      <c r="G163" s="2" t="inlineStr">
        <is>
          <t>legacy</t>
        </is>
      </c>
      <c r="H163" s="2" t="inlineStr">
        <is>
          <t>retest 2</t>
        </is>
      </c>
      <c r="I163" s="3" t="inlineStr">
        <is>
          <t>OPM052501</t>
        </is>
      </c>
      <c r="J163" s="2" t="inlineStr">
        <is>
          <t>P050132</t>
        </is>
      </c>
      <c r="K163" s="2" t="inlineStr">
        <is>
          <t>Orange Punch Mimosa</t>
        </is>
      </c>
      <c r="L163" s="2" t="inlineStr">
        <is>
          <t>Ident A + Ident B + Foreign matter</t>
        </is>
      </c>
      <c r="M163" s="6" t="inlineStr">
        <is>
          <t>—</t>
        </is>
      </c>
      <c r="N163" s="2">
        <f>IFERROR(INDEX('CoQ Register'!$B:$B,MATCH("P050132|R2",'CoQ Register'!$S:$S,0)),"—")</f>
        <v/>
      </c>
      <c r="O163" s="6" t="inlineStr">
        <is>
          <t>—</t>
        </is>
      </c>
      <c r="P163" s="2" t="inlineStr">
        <is>
          <t>05.09.2026</t>
        </is>
      </c>
      <c r="Q163" s="2" t="inlineStr">
        <is>
          <t>11.08.2025 – 13.08.2025</t>
        </is>
      </c>
      <c r="R163" s="2" t="inlineStr">
        <is>
          <t>09.09.2025 – 15.09.2025 (the issuance plan's basis: 05.09.2025)</t>
        </is>
      </c>
      <c r="S163" s="5">
        <f>IFERROR(INDEX('CoQ Register'!$D:$D,MATCH("P050132|R2",'CoQ Register'!$S:$S,0)),"")</f>
        <v/>
      </c>
      <c r="T163" s="2" t="inlineStr">
        <is>
          <t>Conforms</t>
        </is>
      </c>
      <c r="U163" s="2" t="inlineStr">
        <is>
          <t>Conforms</t>
        </is>
      </c>
      <c r="V163" s="2" t="inlineStr">
        <is>
          <t>Conforms</t>
        </is>
      </c>
      <c r="W163" s="2" t="inlineStr">
        <is>
          <t>227-11-K-26, (11.09.2026) [FHM-K]</t>
        </is>
      </c>
      <c r="X163" s="2" t="inlineStr">
        <is>
          <t>227-11-K-26, (11.09.2026) [FHM-K]</t>
        </is>
      </c>
      <c r="Y163" s="2" t="inlineStr">
        <is>
          <t>— pending —</t>
        </is>
      </c>
      <c r="Z163" s="2" t="inlineStr">
        <is>
          <t>#8, #9, #11, #12 from the initial testing</t>
        </is>
      </c>
      <c r="AA163" s="2" t="inlineStr">
        <is>
          <t>P050132|R2</t>
        </is>
      </c>
      <c r="AB163" s="7" t="inlineStr">
        <is>
          <t>registered — retest 2 · Tranche 3 (sampled 19–21.08.2026), tested 20.08.2026, issued 24.08.2026</t>
        </is>
      </c>
    </row>
    <row r="164">
      <c r="A164" s="2" t="n">
        <v>163</v>
      </c>
      <c r="B164" s="3" t="inlineStr">
        <is>
          <t>iCoA-PP_26-163</t>
        </is>
      </c>
      <c r="C164" s="4" t="inlineStr">
        <is>
          <t>yes</t>
        </is>
      </c>
      <c r="D164" s="5" t="n">
        <v>46258</v>
      </c>
      <c r="E164" s="5" t="n">
        <v>46255</v>
      </c>
      <c r="F164" s="5">
        <f>IFERROR(INDEX('Batch Dates'!$G:$G,MATCH(J164,'Batch Dates'!$C:$C,0)),IFERROR(INDEX('Batch Dates'!$G:$G,MATCH(I164,'Batch Dates'!$B:$B,0)),""))</f>
        <v/>
      </c>
      <c r="G164" s="2" t="inlineStr">
        <is>
          <t>legacy</t>
        </is>
      </c>
      <c r="H164" s="2" t="inlineStr">
        <is>
          <t>retest 2</t>
        </is>
      </c>
      <c r="I164" s="3" t="inlineStr">
        <is>
          <t>AB092501</t>
        </is>
      </c>
      <c r="J164" s="2" t="inlineStr">
        <is>
          <t>P060052</t>
        </is>
      </c>
      <c r="K164" s="2" t="inlineStr">
        <is>
          <t>Apple and Banana</t>
        </is>
      </c>
      <c r="L164" s="2" t="inlineStr">
        <is>
          <t>Ident A + Ident B + Foreign matter</t>
        </is>
      </c>
      <c r="M164" s="6" t="inlineStr">
        <is>
          <t>—</t>
        </is>
      </c>
      <c r="N164" s="2">
        <f>IFERROR(INDEX('CoQ Register'!$B:$B,MATCH("P060052|R2",'CoQ Register'!$S:$S,0)),"—")</f>
        <v/>
      </c>
      <c r="O164" s="6" t="inlineStr">
        <is>
          <t>—</t>
        </is>
      </c>
      <c r="P164" s="2" t="inlineStr">
        <is>
          <t>20.02.2027</t>
        </is>
      </c>
      <c r="Q164" s="2" t="inlineStr">
        <is>
          <t>11.12.2025</t>
        </is>
      </c>
      <c r="R164" s="2" t="inlineStr">
        <is>
          <t>30.01.2026 (the issuance plan's basis: 20.02.2026)</t>
        </is>
      </c>
      <c r="S164" s="5">
        <f>IFERROR(INDEX('CoQ Register'!$D:$D,MATCH("P060052|R2",'CoQ Register'!$S:$S,0)),"")</f>
        <v/>
      </c>
      <c r="T164" s="2" t="inlineStr">
        <is>
          <t>Conforms</t>
        </is>
      </c>
      <c r="U164" s="2" t="inlineStr">
        <is>
          <t>Conforms</t>
        </is>
      </c>
      <c r="V164" s="2" t="inlineStr">
        <is>
          <t>Conforms</t>
        </is>
      </c>
      <c r="W164" s="2" t="inlineStr">
        <is>
          <t>227-30-K-26, (11.09.2026) [FHM-K]</t>
        </is>
      </c>
      <c r="X164" s="2" t="inlineStr">
        <is>
          <t>227-30-K-26, (11.09.2026) [FHM-K]</t>
        </is>
      </c>
      <c r="Y164" s="2" t="inlineStr">
        <is>
          <t>— pending —</t>
        </is>
      </c>
      <c r="Z164" s="2" t="inlineStr">
        <is>
          <t>#8, #9, #11, #12 from the initial testing</t>
        </is>
      </c>
      <c r="AA164" s="2" t="inlineStr">
        <is>
          <t>P060052|R2</t>
        </is>
      </c>
      <c r="AB164" s="7" t="inlineStr">
        <is>
          <t>registered — retest 2 · Tranche 3 (sampled 19–21.08.2026), tested 21.08.2026, issued 24.08.2026</t>
        </is>
      </c>
    </row>
    <row r="165">
      <c r="A165" s="2" t="n">
        <v>164</v>
      </c>
      <c r="B165" s="3" t="inlineStr">
        <is>
          <t>iCoA-PP_26-164</t>
        </is>
      </c>
      <c r="C165" s="4" t="inlineStr">
        <is>
          <t>yes</t>
        </is>
      </c>
      <c r="D165" s="5" t="n">
        <v>46258</v>
      </c>
      <c r="E165" s="5" t="n">
        <v>46255</v>
      </c>
      <c r="F165" s="5">
        <f>IFERROR(INDEX('Batch Dates'!$G:$G,MATCH(J165,'Batch Dates'!$C:$C,0)),IFERROR(INDEX('Batch Dates'!$G:$G,MATCH(I165,'Batch Dates'!$B:$B,0)),""))</f>
        <v/>
      </c>
      <c r="G165" s="2" t="inlineStr">
        <is>
          <t>legacy</t>
        </is>
      </c>
      <c r="H165" s="2" t="inlineStr">
        <is>
          <t>retest 2</t>
        </is>
      </c>
      <c r="I165" s="3" t="inlineStr">
        <is>
          <t>BSS1024_01/1</t>
        </is>
      </c>
      <c r="J165" s="2" t="inlineStr">
        <is>
          <t>P050122</t>
        </is>
      </c>
      <c r="K165" s="2" t="inlineStr">
        <is>
          <t>Blue Sunset Sherbet</t>
        </is>
      </c>
      <c r="L165" s="2" t="inlineStr">
        <is>
          <t>Ident A + Ident B + Foreign matter</t>
        </is>
      </c>
      <c r="M165" s="6" t="inlineStr">
        <is>
          <t>—</t>
        </is>
      </c>
      <c r="N165" s="2">
        <f>IFERROR(INDEX('CoQ Register'!$B:$B,MATCH("P050122|R2",'CoQ Register'!$S:$S,0)),"—")</f>
        <v/>
      </c>
      <c r="O165" s="6" t="inlineStr">
        <is>
          <t>—</t>
        </is>
      </c>
      <c r="P165" s="2" t="inlineStr">
        <is>
          <t>10.07.2026</t>
        </is>
      </c>
      <c r="Q165" s="2" t="inlineStr">
        <is>
          <t>04.06.2025 – 05.06.2025</t>
        </is>
      </c>
      <c r="R165" s="2" t="inlineStr">
        <is>
          <t>01.09.2025 – 09.09.2025 (the issuance plan's basis: 10.07.2025)</t>
        </is>
      </c>
      <c r="S165" s="5">
        <f>IFERROR(INDEX('CoQ Register'!$D:$D,MATCH("P050122|R2",'CoQ Register'!$S:$S,0)),"")</f>
        <v/>
      </c>
      <c r="T165" s="2" t="inlineStr">
        <is>
          <t>Conforms</t>
        </is>
      </c>
      <c r="U165" s="2" t="inlineStr">
        <is>
          <t>Conforms</t>
        </is>
      </c>
      <c r="V165" s="2" t="inlineStr">
        <is>
          <t>Conforms</t>
        </is>
      </c>
      <c r="W165" s="2" t="inlineStr">
        <is>
          <t>227-29-K-26, (11.09.2026) [FHM-K]</t>
        </is>
      </c>
      <c r="X165" s="2" t="inlineStr">
        <is>
          <t>227-29-K-26, (11.09.2026) [FHM-K]</t>
        </is>
      </c>
      <c r="Y165" s="2" t="inlineStr">
        <is>
          <t>— pending —</t>
        </is>
      </c>
      <c r="Z165" s="2" t="inlineStr">
        <is>
          <t>#8, #9, #11, #12 from the initial testing</t>
        </is>
      </c>
      <c r="AA165" s="2" t="inlineStr">
        <is>
          <t>P050122|R2</t>
        </is>
      </c>
      <c r="AB165" s="7" t="inlineStr">
        <is>
          <t>registered — retest 2 · Tranche 3 (sampled 19–21.08.2026), tested 21.08.2026, issued 24.08.2026</t>
        </is>
      </c>
    </row>
    <row r="166">
      <c r="A166" s="2" t="n">
        <v>165</v>
      </c>
      <c r="B166" s="3" t="inlineStr">
        <is>
          <t>iCoA-PP_26-165</t>
        </is>
      </c>
      <c r="C166" s="4" t="inlineStr">
        <is>
          <t>yes</t>
        </is>
      </c>
      <c r="D166" s="5" t="n">
        <v>46258</v>
      </c>
      <c r="E166" s="5" t="n">
        <v>46255</v>
      </c>
      <c r="F166" s="5">
        <f>IFERROR(INDEX('Batch Dates'!$G:$G,MATCH(J166,'Batch Dates'!$C:$C,0)),IFERROR(INDEX('Batch Dates'!$G:$G,MATCH(I166,'Batch Dates'!$B:$B,0)),""))</f>
        <v/>
      </c>
      <c r="G166" s="2" t="inlineStr">
        <is>
          <t>post-SOP</t>
        </is>
      </c>
      <c r="H166" s="2" t="inlineStr">
        <is>
          <t>retest 2</t>
        </is>
      </c>
      <c r="I166" s="3" t="inlineStr">
        <is>
          <t>CC112501</t>
        </is>
      </c>
      <c r="J166" s="2" t="inlineStr">
        <is>
          <t>P060272</t>
        </is>
      </c>
      <c r="K166" s="2" t="inlineStr">
        <is>
          <t>Cash Cow</t>
        </is>
      </c>
      <c r="L166" s="2" t="inlineStr">
        <is>
          <t>Ident A + Ident B + Foreign matter</t>
        </is>
      </c>
      <c r="M166" s="6" t="inlineStr">
        <is>
          <t>—</t>
        </is>
      </c>
      <c r="N166" s="2">
        <f>IFERROR(INDEX('CoQ Register'!$B:$B,MATCH("P060272|R2",'CoQ Register'!$S:$S,0)),"—")</f>
        <v/>
      </c>
      <c r="O166" s="6" t="inlineStr">
        <is>
          <t>—</t>
        </is>
      </c>
      <c r="P166" s="2" t="inlineStr">
        <is>
          <t>11.05.2027</t>
        </is>
      </c>
      <c r="Q166" s="2" t="inlineStr">
        <is>
          <t>25.03.2026</t>
        </is>
      </c>
      <c r="R166" s="2" t="inlineStr">
        <is>
          <t>18.05.2026 (the issuance plan's basis: 11.05.2026)</t>
        </is>
      </c>
      <c r="S166" s="5">
        <f>IFERROR(INDEX('CoQ Register'!$D:$D,MATCH("P060272|R2",'CoQ Register'!$S:$S,0)),"")</f>
        <v/>
      </c>
      <c r="T166" s="2" t="inlineStr">
        <is>
          <t>Conforms</t>
        </is>
      </c>
      <c r="U166" s="2" t="inlineStr">
        <is>
          <t>Conforms</t>
        </is>
      </c>
      <c r="V166" s="2" t="inlineStr">
        <is>
          <t>Conforms</t>
        </is>
      </c>
      <c r="W166" s="2" t="inlineStr">
        <is>
          <t>227-25-K-26, (11.09.2026) [FHM-K]</t>
        </is>
      </c>
      <c r="X166" s="2" t="inlineStr">
        <is>
          <t>227-25-K-26, (11.09.2026) [FHM-K]</t>
        </is>
      </c>
      <c r="Y166" s="2" t="inlineStr">
        <is>
          <t>— pending —</t>
        </is>
      </c>
      <c r="Z166" s="2" t="inlineStr">
        <is>
          <t>#8, #9, #11, #12 from the initial testing</t>
        </is>
      </c>
      <c r="AA166" s="2" t="inlineStr">
        <is>
          <t>P060272|R2</t>
        </is>
      </c>
      <c r="AB166" s="7" t="inlineStr">
        <is>
          <t>registered — retest 2 · Tranche 3 (sampled 19–21.08.2026), tested 21.08.2026, issued 24.08.2026</t>
        </is>
      </c>
    </row>
    <row r="167">
      <c r="A167" s="2" t="n">
        <v>166</v>
      </c>
      <c r="B167" s="3" t="inlineStr">
        <is>
          <t>iCoA-PP_26-166</t>
        </is>
      </c>
      <c r="C167" s="4" t="inlineStr">
        <is>
          <t>yes</t>
        </is>
      </c>
      <c r="D167" s="5" t="n">
        <v>46258</v>
      </c>
      <c r="E167" s="5" t="n">
        <v>46255</v>
      </c>
      <c r="F167" s="5">
        <f>IFERROR(INDEX('Batch Dates'!$G:$G,MATCH(J167,'Batch Dates'!$C:$C,0)),IFERROR(INDEX('Batch Dates'!$G:$G,MATCH(I167,'Batch Dates'!$B:$B,0)),""))</f>
        <v/>
      </c>
      <c r="G167" s="2" t="inlineStr">
        <is>
          <t>legacy</t>
        </is>
      </c>
      <c r="H167" s="2" t="inlineStr">
        <is>
          <t>retest 2</t>
        </is>
      </c>
      <c r="I167" s="3" t="inlineStr">
        <is>
          <t>CJ052501/02</t>
        </is>
      </c>
      <c r="J167" s="2" t="inlineStr">
        <is>
          <t>P050172</t>
        </is>
      </c>
      <c r="K167" s="2" t="inlineStr">
        <is>
          <t>Cap Junky</t>
        </is>
      </c>
      <c r="L167" s="2" t="inlineStr">
        <is>
          <t>Ident A + Ident B + Foreign matter</t>
        </is>
      </c>
      <c r="M167" s="6" t="inlineStr">
        <is>
          <t>—</t>
        </is>
      </c>
      <c r="N167" s="2">
        <f>IFERROR(INDEX('CoQ Register'!$B:$B,MATCH("P050172|R2",'CoQ Register'!$S:$S,0)),"—")</f>
        <v/>
      </c>
      <c r="O167" s="6" t="inlineStr">
        <is>
          <t>—</t>
        </is>
      </c>
      <c r="P167" s="2" t="inlineStr">
        <is>
          <t>17.09.2026</t>
        </is>
      </c>
      <c r="Q167" s="2" t="inlineStr">
        <is>
          <t>20.08.2025</t>
        </is>
      </c>
      <c r="R167" s="2" t="inlineStr">
        <is>
          <t>01.10.2025 – 02.10.2025 (the issuance plan's basis: 17.09.2025)</t>
        </is>
      </c>
      <c r="S167" s="5">
        <f>IFERROR(INDEX('CoQ Register'!$D:$D,MATCH("P050172|R2",'CoQ Register'!$S:$S,0)),"")</f>
        <v/>
      </c>
      <c r="T167" s="2" t="inlineStr">
        <is>
          <t>Conforms</t>
        </is>
      </c>
      <c r="U167" s="2" t="inlineStr">
        <is>
          <t>Conforms</t>
        </is>
      </c>
      <c r="V167" s="2" t="inlineStr">
        <is>
          <t>Conforms</t>
        </is>
      </c>
      <c r="W167" s="2" t="inlineStr">
        <is>
          <t>227-28-K-26, (11.09.2026) [FHM-K]</t>
        </is>
      </c>
      <c r="X167" s="2" t="inlineStr">
        <is>
          <t>227-28-K-26, (11.09.2026) [FHM-K]</t>
        </is>
      </c>
      <c r="Y167" s="2" t="inlineStr">
        <is>
          <t>— pending —</t>
        </is>
      </c>
      <c r="Z167" s="2" t="inlineStr">
        <is>
          <t>#8, #9, #11, #12 from the initial testing</t>
        </is>
      </c>
      <c r="AA167" s="2" t="inlineStr">
        <is>
          <t>P050172|R2</t>
        </is>
      </c>
      <c r="AB167" s="7" t="inlineStr">
        <is>
          <t>registered — retest 2 · Tranche 3 (sampled 19–21.08.2026), tested 21.08.2026, issued 24.08.2026</t>
        </is>
      </c>
    </row>
    <row r="168">
      <c r="A168" s="2" t="n">
        <v>167</v>
      </c>
      <c r="B168" s="3" t="inlineStr">
        <is>
          <t>iCoA-PP_26-167</t>
        </is>
      </c>
      <c r="C168" s="4" t="inlineStr">
        <is>
          <t>yes</t>
        </is>
      </c>
      <c r="D168" s="5" t="n">
        <v>46258</v>
      </c>
      <c r="E168" s="5" t="n">
        <v>46255</v>
      </c>
      <c r="F168" s="5">
        <f>IFERROR(INDEX('Batch Dates'!$G:$G,MATCH(J168,'Batch Dates'!$C:$C,0)),IFERROR(INDEX('Batch Dates'!$G:$G,MATCH(I168,'Batch Dates'!$B:$B,0)),""))</f>
        <v/>
      </c>
      <c r="G168" s="2" t="inlineStr">
        <is>
          <t>legacy</t>
        </is>
      </c>
      <c r="H168" s="2" t="inlineStr">
        <is>
          <t>retest 2</t>
        </is>
      </c>
      <c r="I168" s="3" t="inlineStr">
        <is>
          <t>CJ072501</t>
        </is>
      </c>
      <c r="J168" s="2" t="inlineStr">
        <is>
          <t>P050252</t>
        </is>
      </c>
      <c r="K168" s="2" t="inlineStr">
        <is>
          <t>Cap Junky</t>
        </is>
      </c>
      <c r="L168" s="2" t="inlineStr">
        <is>
          <t>Ident A + Ident B + Foreign matter</t>
        </is>
      </c>
      <c r="M168" s="6" t="inlineStr">
        <is>
          <t>—</t>
        </is>
      </c>
      <c r="N168" s="2">
        <f>IFERROR(INDEX('CoQ Register'!$B:$B,MATCH("P050252|R2",'CoQ Register'!$S:$S,0)),"—")</f>
        <v/>
      </c>
      <c r="O168" s="6" t="inlineStr">
        <is>
          <t>—</t>
        </is>
      </c>
      <c r="P168" s="2" t="inlineStr">
        <is>
          <t>02.12.2026</t>
        </is>
      </c>
      <c r="Q168" s="2" t="inlineStr">
        <is>
          <t>27.10.2025</t>
        </is>
      </c>
      <c r="R168" s="2" t="inlineStr">
        <is>
          <t>27.11.2025 – 28.11.2025 (the issuance plan's basis: 02.12.2025)</t>
        </is>
      </c>
      <c r="S168" s="5">
        <f>IFERROR(INDEX('CoQ Register'!$D:$D,MATCH("P050252|R2",'CoQ Register'!$S:$S,0)),"")</f>
        <v/>
      </c>
      <c r="T168" s="2" t="inlineStr">
        <is>
          <t>Conforms</t>
        </is>
      </c>
      <c r="U168" s="2" t="inlineStr">
        <is>
          <t>Conforms</t>
        </is>
      </c>
      <c r="V168" s="2" t="inlineStr">
        <is>
          <t>Conforms</t>
        </is>
      </c>
      <c r="W168" s="2" t="inlineStr">
        <is>
          <t>227-27-K-26, (11.09.2026) [FHM-K]</t>
        </is>
      </c>
      <c r="X168" s="2" t="inlineStr">
        <is>
          <t>227-27-K-26, (11.09.2026) [FHM-K]</t>
        </is>
      </c>
      <c r="Y168" s="2" t="inlineStr">
        <is>
          <t>— pending —</t>
        </is>
      </c>
      <c r="Z168" s="2" t="inlineStr">
        <is>
          <t>#8, #9, #11, #12 from the initial testing</t>
        </is>
      </c>
      <c r="AA168" s="2" t="inlineStr">
        <is>
          <t>P050252|R2</t>
        </is>
      </c>
      <c r="AB168" s="7" t="inlineStr">
        <is>
          <t>registered — retest 2 · Tranche 3 (sampled 19–21.08.2026), tested 21.08.2026, issued 24.08.2026</t>
        </is>
      </c>
    </row>
    <row r="169">
      <c r="A169" s="2" t="n">
        <v>168</v>
      </c>
      <c r="B169" s="3" t="inlineStr">
        <is>
          <t>iCoA-PP_26-168</t>
        </is>
      </c>
      <c r="C169" s="4" t="inlineStr">
        <is>
          <t>yes</t>
        </is>
      </c>
      <c r="D169" s="5" t="n">
        <v>46258</v>
      </c>
      <c r="E169" s="5" t="n">
        <v>46255</v>
      </c>
      <c r="F169" s="5">
        <f>IFERROR(INDEX('Batch Dates'!$G:$G,MATCH(J169,'Batch Dates'!$C:$C,0)),IFERROR(INDEX('Batch Dates'!$G:$G,MATCH(I169,'Batch Dates'!$B:$B,0)),""))</f>
        <v/>
      </c>
      <c r="G169" s="2" t="inlineStr">
        <is>
          <t>legacy</t>
        </is>
      </c>
      <c r="H169" s="2" t="inlineStr">
        <is>
          <t>retest 2</t>
        </is>
      </c>
      <c r="I169" s="3" t="inlineStr">
        <is>
          <t>CJ1024</t>
        </is>
      </c>
      <c r="J169" s="2" t="inlineStr">
        <is>
          <t>N/A — no P batch assigned</t>
        </is>
      </c>
      <c r="K169" s="2" t="inlineStr">
        <is>
          <t>Cap Junky</t>
        </is>
      </c>
      <c r="L169" s="2" t="inlineStr">
        <is>
          <t>Ident A + Ident B + Foreign matter</t>
        </is>
      </c>
      <c r="M169" s="6" t="inlineStr">
        <is>
          <t>—</t>
        </is>
      </c>
      <c r="N169" s="2">
        <f>IFERROR(INDEX('CoQ Register'!$B:$B,MATCH("CJ1024|R2",'CoQ Register'!$S:$S,0)),"—")</f>
        <v/>
      </c>
      <c r="O169" s="6" t="inlineStr">
        <is>
          <t>—</t>
        </is>
      </c>
      <c r="P169" s="2" t="inlineStr">
        <is>
          <t>27.02.2026</t>
        </is>
      </c>
      <c r="Q169" s="2" t="inlineStr">
        <is>
          <t>20.01.2025</t>
        </is>
      </c>
      <c r="R169" s="2" t="inlineStr">
        <is>
          <t>03.03.2025 (the issuance plan's basis: 27.02.2025)</t>
        </is>
      </c>
      <c r="S169" s="5">
        <f>IFERROR(INDEX('CoQ Register'!$D:$D,MATCH("CJ1024|R2",'CoQ Register'!$S:$S,0)),"")</f>
        <v/>
      </c>
      <c r="T169" s="2" t="inlineStr">
        <is>
          <t>Conforms</t>
        </is>
      </c>
      <c r="U169" s="2" t="inlineStr">
        <is>
          <t>Conforms</t>
        </is>
      </c>
      <c r="V169" s="2" t="inlineStr">
        <is>
          <t>Conforms</t>
        </is>
      </c>
      <c r="W169" s="2" t="inlineStr">
        <is>
          <t>227-26-K-26, (11.09.2026) [FHM-K]</t>
        </is>
      </c>
      <c r="X169" s="2" t="inlineStr">
        <is>
          <t>227-26-K-26, (11.09.2026) [FHM-K]</t>
        </is>
      </c>
      <c r="Y169" s="2" t="inlineStr">
        <is>
          <t>— pending —</t>
        </is>
      </c>
      <c r="Z169" s="2" t="inlineStr">
        <is>
          <t>#8, #9, #11, #12 from the initial testing</t>
        </is>
      </c>
      <c r="AA169" s="2" t="inlineStr">
        <is>
          <t>CJ1024|R2</t>
        </is>
      </c>
      <c r="AB169" s="7" t="inlineStr">
        <is>
          <t>registered — retest 2 · Tranche 3 (sampled 19–21.08.2026), tested 21.08.2026, issued 24.08.2026</t>
        </is>
      </c>
    </row>
    <row r="170">
      <c r="A170" s="2" t="n">
        <v>169</v>
      </c>
      <c r="B170" s="3" t="inlineStr">
        <is>
          <t>iCoA-PP_26-169</t>
        </is>
      </c>
      <c r="C170" s="4" t="inlineStr">
        <is>
          <t>yes</t>
        </is>
      </c>
      <c r="D170" s="5" t="n">
        <v>46258</v>
      </c>
      <c r="E170" s="5" t="n">
        <v>46255</v>
      </c>
      <c r="F170" s="5">
        <f>IFERROR(INDEX('Batch Dates'!$G:$G,MATCH(J170,'Batch Dates'!$C:$C,0)),IFERROR(INDEX('Batch Dates'!$G:$G,MATCH(I170,'Batch Dates'!$B:$B,0)),""))</f>
        <v/>
      </c>
      <c r="G170" s="2" t="inlineStr">
        <is>
          <t>post-SOP</t>
        </is>
      </c>
      <c r="H170" s="2" t="inlineStr">
        <is>
          <t>retest 2</t>
        </is>
      </c>
      <c r="I170" s="3" t="inlineStr">
        <is>
          <t>FB012603</t>
        </is>
      </c>
      <c r="J170" s="2" t="inlineStr">
        <is>
          <t>P060432</t>
        </is>
      </c>
      <c r="K170" s="2" t="inlineStr">
        <is>
          <t>Fat Bastard</t>
        </is>
      </c>
      <c r="L170" s="2" t="inlineStr">
        <is>
          <t>Ident A + Ident B + Foreign matter</t>
        </is>
      </c>
      <c r="M170" s="6" t="inlineStr">
        <is>
          <t>—</t>
        </is>
      </c>
      <c r="N170" s="2">
        <f>IFERROR(INDEX('CoQ Register'!$B:$B,MATCH("P060432|R2",'CoQ Register'!$S:$S,0)),"—")</f>
        <v/>
      </c>
      <c r="O170" s="6" t="inlineStr">
        <is>
          <t>—</t>
        </is>
      </c>
      <c r="P170" s="2" t="inlineStr">
        <is>
          <t>30.06.2027</t>
        </is>
      </c>
      <c r="Q170" s="2" t="inlineStr">
        <is>
          <t>04.05.2026</t>
        </is>
      </c>
      <c r="R170" s="2" t="inlineStr">
        <is>
          <t>15.06.2026 (the issuance plan's basis: 30.06.2026)</t>
        </is>
      </c>
      <c r="S170" s="5">
        <f>IFERROR(INDEX('CoQ Register'!$D:$D,MATCH("P060432|R2",'CoQ Register'!$S:$S,0)),"")</f>
        <v/>
      </c>
      <c r="T170" s="2" t="inlineStr">
        <is>
          <t>CNP ППК26112</t>
        </is>
      </c>
      <c r="U170" s="2" t="inlineStr">
        <is>
          <t>CNP ППК26112</t>
        </is>
      </c>
      <c r="V170" s="2" t="inlineStr">
        <is>
          <t>Conforms</t>
        </is>
      </c>
      <c r="W170" s="2" t="inlineStr">
        <is>
          <t>227-24-K-26, (11.09.2026) [FHM-K]</t>
        </is>
      </c>
      <c r="X170" s="2" t="inlineStr">
        <is>
          <t>227-24-K-26, (11.09.2026) [FHM-K]</t>
        </is>
      </c>
      <c r="Y170" s="2" t="inlineStr">
        <is>
          <t>— pending —</t>
        </is>
      </c>
      <c r="Z170" s="2" t="inlineStr">
        <is>
          <t>#8, #9, #11, #12 from the initial testing</t>
        </is>
      </c>
      <c r="AA170" s="2" t="inlineStr">
        <is>
          <t>P060432|R2</t>
        </is>
      </c>
      <c r="AB170" s="7" t="inlineStr">
        <is>
          <t>registered — retest 2 · Tranche 3 (sampled 19–21.08.2026), tested 21.08.2026, issued 24.08.2026</t>
        </is>
      </c>
    </row>
    <row r="171">
      <c r="A171" s="2" t="n">
        <v>170</v>
      </c>
      <c r="B171" s="3" t="inlineStr">
        <is>
          <t>iCoA-PP_26-170</t>
        </is>
      </c>
      <c r="C171" s="4" t="inlineStr">
        <is>
          <t>yes</t>
        </is>
      </c>
      <c r="D171" s="5" t="n">
        <v>46258</v>
      </c>
      <c r="E171" s="5" t="n">
        <v>46255</v>
      </c>
      <c r="F171" s="5">
        <f>IFERROR(INDEX('Batch Dates'!$G:$G,MATCH(J171,'Batch Dates'!$C:$C,0)),IFERROR(INDEX('Batch Dates'!$G:$G,MATCH(I171,'Batch Dates'!$B:$B,0)),""))</f>
        <v/>
      </c>
      <c r="G171" s="2" t="inlineStr">
        <is>
          <t>post-SOP</t>
        </is>
      </c>
      <c r="H171" s="2" t="inlineStr">
        <is>
          <t>retest 2</t>
        </is>
      </c>
      <c r="I171" s="3" t="inlineStr">
        <is>
          <t>FB012603V</t>
        </is>
      </c>
      <c r="J171" s="2" t="inlineStr">
        <is>
          <t>P060392</t>
        </is>
      </c>
      <c r="K171" s="2" t="inlineStr">
        <is>
          <t>Fat Bastard</t>
        </is>
      </c>
      <c r="L171" s="2" t="inlineStr">
        <is>
          <t>Ident A + Ident B + Foreign matter</t>
        </is>
      </c>
      <c r="M171" s="6" t="inlineStr">
        <is>
          <t>—</t>
        </is>
      </c>
      <c r="N171" s="2">
        <f>IFERROR(INDEX('CoQ Register'!$B:$B,MATCH("P060392|R2",'CoQ Register'!$S:$S,0)),"—")</f>
        <v/>
      </c>
      <c r="O171" s="6" t="inlineStr">
        <is>
          <t>—</t>
        </is>
      </c>
      <c r="P171" s="2" t="inlineStr">
        <is>
          <t>30.06.2027</t>
        </is>
      </c>
      <c r="Q171" s="2" t="inlineStr">
        <is>
          <t>29.04.2026</t>
        </is>
      </c>
      <c r="R171" s="2" t="inlineStr">
        <is>
          <t>23.05.2026 (the issuance plan's basis: 30.06.2026)</t>
        </is>
      </c>
      <c r="S171" s="5">
        <f>IFERROR(INDEX('CoQ Register'!$D:$D,MATCH("P060392|R2",'CoQ Register'!$S:$S,0)),"")</f>
        <v/>
      </c>
      <c r="T171" s="2" t="inlineStr">
        <is>
          <t>CNP ППК26110</t>
        </is>
      </c>
      <c r="U171" s="2" t="inlineStr">
        <is>
          <t>CNP ППК26110</t>
        </is>
      </c>
      <c r="V171" s="2" t="inlineStr">
        <is>
          <t>Conforms</t>
        </is>
      </c>
      <c r="W171" s="2" t="inlineStr">
        <is>
          <t>227-23-K-26, (11.09.2026) [FHM-K]</t>
        </is>
      </c>
      <c r="X171" s="2" t="inlineStr">
        <is>
          <t>227-23-K-26, (11.09.2026) [FHM-K]</t>
        </is>
      </c>
      <c r="Y171" s="2" t="inlineStr">
        <is>
          <t>— pending —</t>
        </is>
      </c>
      <c r="Z171" s="2" t="inlineStr">
        <is>
          <t>#8, #9, #11, #12 from the initial testing</t>
        </is>
      </c>
      <c r="AA171" s="2" t="inlineStr">
        <is>
          <t>P060392|R2</t>
        </is>
      </c>
      <c r="AB171" s="7" t="inlineStr">
        <is>
          <t>registered — retest 2 · Tranche 3 (sampled 19–21.08.2026), tested 21.08.2026, issued 24.08.2026</t>
        </is>
      </c>
    </row>
    <row r="172">
      <c r="A172" s="2" t="n">
        <v>171</v>
      </c>
      <c r="B172" s="3" t="inlineStr">
        <is>
          <t>iCoA-PP_26-171</t>
        </is>
      </c>
      <c r="C172" s="4" t="inlineStr">
        <is>
          <t>yes</t>
        </is>
      </c>
      <c r="D172" s="5" t="n">
        <v>46258</v>
      </c>
      <c r="E172" s="5" t="n">
        <v>46255</v>
      </c>
      <c r="F172" s="5">
        <f>IFERROR(INDEX('Batch Dates'!$G:$G,MATCH(J172,'Batch Dates'!$C:$C,0)),IFERROR(INDEX('Batch Dates'!$G:$G,MATCH(I172,'Batch Dates'!$B:$B,0)),""))</f>
        <v/>
      </c>
      <c r="G172" s="2" t="inlineStr">
        <is>
          <t>post-SOP</t>
        </is>
      </c>
      <c r="H172" s="2" t="inlineStr">
        <is>
          <t>retest 2</t>
        </is>
      </c>
      <c r="I172" s="3" t="inlineStr">
        <is>
          <t>FB112501</t>
        </is>
      </c>
      <c r="J172" s="2" t="inlineStr">
        <is>
          <t>P060292</t>
        </is>
      </c>
      <c r="K172" s="2" t="inlineStr">
        <is>
          <t>Fat Bastard</t>
        </is>
      </c>
      <c r="L172" s="2" t="inlineStr">
        <is>
          <t>Ident A + Ident B + Foreign matter</t>
        </is>
      </c>
      <c r="M172" s="6" t="inlineStr">
        <is>
          <t>—</t>
        </is>
      </c>
      <c r="N172" s="2">
        <f>IFERROR(INDEX('CoQ Register'!$B:$B,MATCH("P060292|R2",'CoQ Register'!$S:$S,0)),"—")</f>
        <v/>
      </c>
      <c r="O172" s="6" t="inlineStr">
        <is>
          <t>—</t>
        </is>
      </c>
      <c r="P172" s="2" t="inlineStr">
        <is>
          <t>11.05.2027</t>
        </is>
      </c>
      <c r="Q172" s="2" t="inlineStr">
        <is>
          <t>25.03.2026</t>
        </is>
      </c>
      <c r="R172" s="2" t="inlineStr">
        <is>
          <t>19.05.2026 (the issuance plan's basis: 11.05.2026)</t>
        </is>
      </c>
      <c r="S172" s="5">
        <f>IFERROR(INDEX('CoQ Register'!$D:$D,MATCH("P060292|R2",'CoQ Register'!$S:$S,0)),"")</f>
        <v/>
      </c>
      <c r="T172" s="2" t="inlineStr">
        <is>
          <t>Conforms</t>
        </is>
      </c>
      <c r="U172" s="2" t="inlineStr">
        <is>
          <t>Conforms</t>
        </is>
      </c>
      <c r="V172" s="2" t="inlineStr">
        <is>
          <t>Conforms</t>
        </is>
      </c>
      <c r="W172" s="2" t="inlineStr">
        <is>
          <t>227-22-K-26, (11.09.2026) [FHM-K]</t>
        </is>
      </c>
      <c r="X172" s="2" t="inlineStr">
        <is>
          <t>227-22-K-26, (11.09.2026) [FHM-K]</t>
        </is>
      </c>
      <c r="Y172" s="2" t="inlineStr">
        <is>
          <t>— pending —</t>
        </is>
      </c>
      <c r="Z172" s="2" t="inlineStr">
        <is>
          <t>#8, #9, #11, #12 from the initial testing</t>
        </is>
      </c>
      <c r="AA172" s="2" t="inlineStr">
        <is>
          <t>P060292|R2</t>
        </is>
      </c>
      <c r="AB172" s="7" t="inlineStr">
        <is>
          <t>registered — retest 2 · Tranche 3 (sampled 19–21.08.2026), tested 21.08.2026, issued 24.08.2026</t>
        </is>
      </c>
    </row>
    <row r="173">
      <c r="A173" s="2" t="n">
        <v>172</v>
      </c>
      <c r="B173" s="3" t="inlineStr">
        <is>
          <t>iCoA-PP_26-172</t>
        </is>
      </c>
      <c r="C173" s="4" t="inlineStr">
        <is>
          <t>yes</t>
        </is>
      </c>
      <c r="D173" s="5" t="n">
        <v>46258</v>
      </c>
      <c r="E173" s="5" t="n">
        <v>46255</v>
      </c>
      <c r="F173" s="5">
        <f>IFERROR(INDEX('Batch Dates'!$G:$G,MATCH(J173,'Batch Dates'!$C:$C,0)),IFERROR(INDEX('Batch Dates'!$G:$G,MATCH(I173,'Batch Dates'!$B:$B,0)),""))</f>
        <v/>
      </c>
      <c r="G173" s="2" t="inlineStr">
        <is>
          <t>post-SOP</t>
        </is>
      </c>
      <c r="H173" s="2" t="inlineStr">
        <is>
          <t>retest 2</t>
        </is>
      </c>
      <c r="I173" s="3" t="inlineStr">
        <is>
          <t>GG012601＊</t>
        </is>
      </c>
      <c r="J173" s="2" t="inlineStr">
        <is>
          <t>P060302</t>
        </is>
      </c>
      <c r="K173" s="2" t="inlineStr">
        <is>
          <t>Gorilla Glue</t>
        </is>
      </c>
      <c r="L173" s="2" t="inlineStr">
        <is>
          <t>Ident A + Ident B + Foreign matter</t>
        </is>
      </c>
      <c r="M173" s="6" t="inlineStr">
        <is>
          <t>—</t>
        </is>
      </c>
      <c r="N173" s="2">
        <f>IFERROR(INDEX('CoQ Register'!$B:$B,MATCH("P060302|R2",'CoQ Register'!$S:$S,0)),"—")</f>
        <v/>
      </c>
      <c r="O173" s="6" t="inlineStr">
        <is>
          <t>—</t>
        </is>
      </c>
      <c r="P173" s="2" t="inlineStr">
        <is>
          <t>11.05.2027</t>
        </is>
      </c>
      <c r="Q173" s="2" t="inlineStr">
        <is>
          <t>27.03.2026</t>
        </is>
      </c>
      <c r="R173" s="2" t="inlineStr">
        <is>
          <t>20.05.2026 (the issuance plan's basis: 11.05.2026)</t>
        </is>
      </c>
      <c r="S173" s="5">
        <f>IFERROR(INDEX('CoQ Register'!$D:$D,MATCH("P060302|R2",'CoQ Register'!$S:$S,0)),"")</f>
        <v/>
      </c>
      <c r="T173" s="2" t="inlineStr">
        <is>
          <t>Conforms</t>
        </is>
      </c>
      <c r="U173" s="2" t="inlineStr">
        <is>
          <t>Conforms</t>
        </is>
      </c>
      <c r="V173" s="2" t="inlineStr">
        <is>
          <t>Conforms</t>
        </is>
      </c>
      <c r="W173" s="2" t="inlineStr">
        <is>
          <t>227-21-K-26, (11.09.2026) [FHM-K]</t>
        </is>
      </c>
      <c r="X173" s="2" t="inlineStr">
        <is>
          <t>227-21-K-26, (11.09.2026) [FHM-K]</t>
        </is>
      </c>
      <c r="Y173" s="2" t="inlineStr">
        <is>
          <t>— pending —</t>
        </is>
      </c>
      <c r="Z173" s="2" t="inlineStr">
        <is>
          <t>#8, #9, #11, #12 from the initial testing</t>
        </is>
      </c>
      <c r="AA173" s="2" t="inlineStr">
        <is>
          <t>P060302|R2</t>
        </is>
      </c>
      <c r="AB173" s="7" t="inlineStr">
        <is>
          <t>registered — retest 2 · Tranche 3 (sampled 19–21.08.2026), tested 21.08.2026, issued 24.08.2026</t>
        </is>
      </c>
    </row>
    <row r="174">
      <c r="A174" s="2" t="inlineStr"/>
      <c r="B174" s="3" t="inlineStr">
        <is>
          <t>— at issue —</t>
        </is>
      </c>
      <c r="C174" s="6" t="inlineStr">
        <is>
          <t>no</t>
        </is>
      </c>
      <c r="D174" s="5">
        <f>IF(A174="","",IF(ISNUMBER(E174),MAX(DATE(2026,6,3),E174),DATE(2026,6,3)))</f>
        <v/>
      </c>
      <c r="E174" s="5" t="inlineStr">
        <is>
          <t>— at the retest sampling —</t>
        </is>
      </c>
      <c r="F174" s="5">
        <f>IFERROR(INDEX('Batch Dates'!$G:$G,MATCH(J174,'Batch Dates'!$C:$C,0)),IFERROR(INDEX('Batch Dates'!$G:$G,MATCH(I174,'Batch Dates'!$B:$B,0)),""))</f>
        <v/>
      </c>
      <c r="G174" s="2" t="inlineStr">
        <is>
          <t>legacy</t>
        </is>
      </c>
      <c r="H174" s="2" t="inlineStr">
        <is>
          <t>retest — Tranche 1 (sampled 21–24.07.2026)</t>
        </is>
      </c>
      <c r="I174" s="3" t="inlineStr">
        <is>
          <t>GP0824_02</t>
        </is>
      </c>
      <c r="J174" s="2" t="inlineStr">
        <is>
          <t>P050022</t>
        </is>
      </c>
      <c r="K174" s="2" t="inlineStr">
        <is>
          <t>Grape Pie</t>
        </is>
      </c>
      <c r="L174" s="2" t="inlineStr">
        <is>
          <t>Ident A + Ident B + Foreign matter</t>
        </is>
      </c>
      <c r="M174" s="6" t="inlineStr">
        <is>
          <t>—</t>
        </is>
      </c>
      <c r="N174" s="2">
        <f>IFERROR(INDEX('CoQ Register'!$B:$B,MATCH("P050022|R",'CoQ Register'!$S:$S,0)),"—")</f>
        <v/>
      </c>
      <c r="O174" s="6" t="inlineStr">
        <is>
          <t>—</t>
        </is>
      </c>
      <c r="P174" s="2" t="inlineStr">
        <is>
          <t>03.06.2026</t>
        </is>
      </c>
      <c r="Q174" s="2" t="inlineStr">
        <is>
          <t>22.04.2025 – 23.04.2025</t>
        </is>
      </c>
      <c r="R174" s="2" t="inlineStr">
        <is>
          <t>03.06.2025 – 11.06.2025</t>
        </is>
      </c>
      <c r="S174" s="5">
        <f>IFERROR(INDEX('CoQ Register'!$D:$D,MATCH("P050022|R",'CoQ Register'!$S:$S,0)),"")</f>
        <v/>
      </c>
      <c r="T174" s="2" t="inlineStr">
        <is>
          <t>Conforms</t>
        </is>
      </c>
      <c r="U174" s="2" t="inlineStr">
        <is>
          <t>Conforms</t>
        </is>
      </c>
      <c r="V174" s="2" t="inlineStr">
        <is>
          <t>Conforms</t>
        </is>
      </c>
      <c r="W174" s="2" t="inlineStr">
        <is>
          <t>197-11-K-26, (07.08.2026) [FHM-K]</t>
        </is>
      </c>
      <c r="X174" s="2" t="inlineStr">
        <is>
          <t>197-11-K-26, (07.08.2026) [FHM-K]</t>
        </is>
      </c>
      <c r="Y174" s="2" t="inlineStr">
        <is>
          <t>197-11-M-26, (10.08.2026) [FHM-M]</t>
        </is>
      </c>
      <c r="Z174" s="2" t="inlineStr">
        <is>
          <t>#8, #9, #11, #12 from the initial testing</t>
        </is>
      </c>
      <c r="AA174" s="2" t="inlineStr">
        <is>
          <t>P050022|R</t>
        </is>
      </c>
      <c r="AB174" s="8" t="inlineStr">
        <is>
          <t>not yet issuable — sampled 22.07.2026 — the series numbers it</t>
        </is>
      </c>
    </row>
    <row r="175">
      <c r="A175" s="2" t="inlineStr"/>
      <c r="B175" s="3" t="inlineStr">
        <is>
          <t>— at issue —</t>
        </is>
      </c>
      <c r="C175" s="6" t="inlineStr">
        <is>
          <t>no</t>
        </is>
      </c>
      <c r="D175" s="5">
        <f>IF(A175="","",IF(ISNUMBER(E175),MAX(DATE(2026,6,3),E175),DATE(2026,6,3)))</f>
        <v/>
      </c>
      <c r="E175" s="5" t="inlineStr">
        <is>
          <t>— at the retest sampling —</t>
        </is>
      </c>
      <c r="F175" s="5">
        <f>IFERROR(INDEX('Batch Dates'!$G:$G,MATCH(J175,'Batch Dates'!$C:$C,0)),IFERROR(INDEX('Batch Dates'!$G:$G,MATCH(I175,'Batch Dates'!$B:$B,0)),""))</f>
        <v/>
      </c>
      <c r="G175" s="2" t="inlineStr">
        <is>
          <t>legacy</t>
        </is>
      </c>
      <c r="H175" s="2" t="inlineStr">
        <is>
          <t>retest — Tranche 2 (sampled 12–14.08.2026)</t>
        </is>
      </c>
      <c r="I175" s="3" t="inlineStr">
        <is>
          <t>OMP1024_01</t>
        </is>
      </c>
      <c r="J175" s="2" t="inlineStr">
        <is>
          <t>P050042</t>
        </is>
      </c>
      <c r="K175" s="2" t="inlineStr">
        <is>
          <t>Orange Punch Mimosa</t>
        </is>
      </c>
      <c r="L175" s="2" t="inlineStr">
        <is>
          <t>Ident A + Ident B + Foreign matter</t>
        </is>
      </c>
      <c r="M175" s="6" t="inlineStr">
        <is>
          <t>—</t>
        </is>
      </c>
      <c r="N175" s="2">
        <f>IFERROR(INDEX('CoQ Register'!$B:$B,MATCH("P050042|R",'CoQ Register'!$S:$S,0)),"—")</f>
        <v/>
      </c>
      <c r="O175" s="6" t="inlineStr">
        <is>
          <t>—</t>
        </is>
      </c>
      <c r="P175" s="2" t="inlineStr">
        <is>
          <t>20.06.2026</t>
        </is>
      </c>
      <c r="Q175" s="2" t="inlineStr">
        <is>
          <t>26.03.2025 – 27.03.2025</t>
        </is>
      </c>
      <c r="R175" s="2" t="inlineStr">
        <is>
          <t>20.06.2025</t>
        </is>
      </c>
      <c r="S175" s="5">
        <f>IFERROR(INDEX('CoQ Register'!$D:$D,MATCH("P050042|R",'CoQ Register'!$S:$S,0)),"")</f>
        <v/>
      </c>
      <c r="T175" s="2" t="inlineStr">
        <is>
          <t>Conforms</t>
        </is>
      </c>
      <c r="U175" s="2" t="inlineStr">
        <is>
          <t>Conforms</t>
        </is>
      </c>
      <c r="V175" s="2" t="inlineStr">
        <is>
          <t>Conforms</t>
        </is>
      </c>
      <c r="W175" s="2" t="inlineStr">
        <is>
          <t>220-21-K-26, (26.08.2026) [FHM-K]</t>
        </is>
      </c>
      <c r="X175" s="2" t="inlineStr">
        <is>
          <t>220-21-K-26, (26.08.2026) [FHM-K]</t>
        </is>
      </c>
      <c r="Y175" s="2" t="inlineStr">
        <is>
          <t>220-21-M-26, (11.09.2026) [FHM-M]</t>
        </is>
      </c>
      <c r="Z175" s="2" t="inlineStr">
        <is>
          <t>#8, #9, #11, #12 from the initial testing</t>
        </is>
      </c>
      <c r="AA175" s="2" t="inlineStr">
        <is>
          <t>P050042|R</t>
        </is>
      </c>
      <c r="AB175" s="8" t="inlineStr">
        <is>
          <t>not yet issuable — sampled 13.08.2026 — the series numbers it</t>
        </is>
      </c>
    </row>
    <row r="176">
      <c r="A176" s="2" t="inlineStr"/>
      <c r="B176" s="3" t="inlineStr">
        <is>
          <t>— at issue —</t>
        </is>
      </c>
      <c r="C176" s="6" t="inlineStr">
        <is>
          <t>no</t>
        </is>
      </c>
      <c r="D176" s="5">
        <f>IF(A176="","",IF(ISNUMBER(E176),MAX(DATE(2026,6,3),E176),DATE(2026,6,3)))</f>
        <v/>
      </c>
      <c r="E176" s="5" t="inlineStr">
        <is>
          <t>— at the retest sampling —</t>
        </is>
      </c>
      <c r="F176" s="5">
        <f>IFERROR(INDEX('Batch Dates'!$G:$G,MATCH(J176,'Batch Dates'!$C:$C,0)),IFERROR(INDEX('Batch Dates'!$G:$G,MATCH(I176,'Batch Dates'!$B:$B,0)),""))</f>
        <v/>
      </c>
      <c r="G176" s="2" t="inlineStr">
        <is>
          <t>legacy</t>
        </is>
      </c>
      <c r="H176" s="2" t="inlineStr">
        <is>
          <t>retest — Tranche 2 (sampled 12–14.08.2026)</t>
        </is>
      </c>
      <c r="I176" s="3" t="inlineStr">
        <is>
          <t>GP0824_03</t>
        </is>
      </c>
      <c r="J176" s="2" t="inlineStr">
        <is>
          <t>P050072</t>
        </is>
      </c>
      <c r="K176" s="2" t="inlineStr">
        <is>
          <t>Grape Pie</t>
        </is>
      </c>
      <c r="L176" s="2" t="inlineStr">
        <is>
          <t>Ident A + Ident B + Foreign matter</t>
        </is>
      </c>
      <c r="M176" s="6" t="inlineStr">
        <is>
          <t>—</t>
        </is>
      </c>
      <c r="N176" s="2">
        <f>IFERROR(INDEX('CoQ Register'!$B:$B,MATCH("P050072|R",'CoQ Register'!$S:$S,0)),"—")</f>
        <v/>
      </c>
      <c r="O176" s="6" t="inlineStr">
        <is>
          <t>—</t>
        </is>
      </c>
      <c r="P176" s="2" t="inlineStr">
        <is>
          <t>14.07.2026</t>
        </is>
      </c>
      <c r="Q176" s="2" t="inlineStr">
        <is>
          <t>09.06.2025 – 10.06.2025</t>
        </is>
      </c>
      <c r="R176" s="2" t="inlineStr">
        <is>
          <t>14.07.2025 – 17.07.2025</t>
        </is>
      </c>
      <c r="S176" s="5">
        <f>IFERROR(INDEX('CoQ Register'!$D:$D,MATCH("P050072|R",'CoQ Register'!$S:$S,0)),"")</f>
        <v/>
      </c>
      <c r="T176" s="2" t="inlineStr">
        <is>
          <t>Conforms</t>
        </is>
      </c>
      <c r="U176" s="2" t="inlineStr">
        <is>
          <t>Conforms</t>
        </is>
      </c>
      <c r="V176" s="2" t="inlineStr">
        <is>
          <t>Conforms</t>
        </is>
      </c>
      <c r="W176" s="2" t="inlineStr">
        <is>
          <t>220-11-K-26, (25.08.2026) [FHM-K]</t>
        </is>
      </c>
      <c r="X176" s="2" t="inlineStr">
        <is>
          <t>220-11-K-26, (25.08.2026) [FHM-K]</t>
        </is>
      </c>
      <c r="Y176" s="2" t="inlineStr">
        <is>
          <t>220-11-M-26, (11.09.2026) [FHM-M]</t>
        </is>
      </c>
      <c r="Z176" s="2" t="inlineStr">
        <is>
          <t>#8, #9, #11, #12 from the initial testing</t>
        </is>
      </c>
      <c r="AA176" s="2" t="inlineStr">
        <is>
          <t>P050072|R</t>
        </is>
      </c>
      <c r="AB176" s="8" t="inlineStr">
        <is>
          <t>not yet issuable — sampled 12.08.2026 — the series numbers it</t>
        </is>
      </c>
    </row>
    <row r="177">
      <c r="A177" s="2" t="inlineStr"/>
      <c r="B177" s="3" t="inlineStr">
        <is>
          <t>— at issue —</t>
        </is>
      </c>
      <c r="C177" s="6" t="inlineStr">
        <is>
          <t>no</t>
        </is>
      </c>
      <c r="D177" s="5">
        <f>IF(A177="","",IF(ISNUMBER(E177),MAX(DATE(2026,6,3),E177),DATE(2026,6,3)))</f>
        <v/>
      </c>
      <c r="E177" s="5" t="inlineStr">
        <is>
          <t>— at the retest sampling —</t>
        </is>
      </c>
      <c r="F177" s="5">
        <f>IFERROR(INDEX('Batch Dates'!$G:$G,MATCH(J177,'Batch Dates'!$C:$C,0)),IFERROR(INDEX('Batch Dates'!$G:$G,MATCH(I177,'Batch Dates'!$B:$B,0)),""))</f>
        <v/>
      </c>
      <c r="G177" s="2" t="inlineStr">
        <is>
          <t>legacy</t>
        </is>
      </c>
      <c r="H177" s="2" t="inlineStr">
        <is>
          <t>retest — Tranche 2 (sampled 12–14.08.2026)</t>
        </is>
      </c>
      <c r="I177" s="3" t="inlineStr">
        <is>
          <t>CJ062501/1</t>
        </is>
      </c>
      <c r="J177" s="2" t="inlineStr">
        <is>
          <t>P050222</t>
        </is>
      </c>
      <c r="K177" s="2" t="inlineStr">
        <is>
          <t>Cap Junky</t>
        </is>
      </c>
      <c r="L177" s="2" t="inlineStr">
        <is>
          <t>Ident A + Ident B + Foreign matter</t>
        </is>
      </c>
      <c r="M177" s="6" t="inlineStr">
        <is>
          <t>—</t>
        </is>
      </c>
      <c r="N177" s="2">
        <f>IFERROR(INDEX('CoQ Register'!$B:$B,MATCH("P050222|R",'CoQ Register'!$S:$S,0)),"—")</f>
        <v/>
      </c>
      <c r="O177" s="6" t="inlineStr">
        <is>
          <t>—</t>
        </is>
      </c>
      <c r="P177" s="2" t="inlineStr">
        <is>
          <t>24.11.2026</t>
        </is>
      </c>
      <c r="Q177" s="2" t="inlineStr">
        <is>
          <t>23.09.2025</t>
        </is>
      </c>
      <c r="R177" s="2" t="inlineStr">
        <is>
          <t>24.11.2025 – 25.11.2025</t>
        </is>
      </c>
      <c r="S177" s="5">
        <f>IFERROR(INDEX('CoQ Register'!$D:$D,MATCH("P050222|R",'CoQ Register'!$S:$S,0)),"")</f>
        <v/>
      </c>
      <c r="T177" s="2" t="inlineStr">
        <is>
          <t>Conforms</t>
        </is>
      </c>
      <c r="U177" s="2" t="inlineStr">
        <is>
          <t>Conforms</t>
        </is>
      </c>
      <c r="V177" s="2" t="inlineStr">
        <is>
          <t>Conforms</t>
        </is>
      </c>
      <c r="W177" s="2" t="inlineStr">
        <is>
          <t>220-3-K-26, (25.08.2026) [FHM-K]</t>
        </is>
      </c>
      <c r="X177" s="2" t="inlineStr">
        <is>
          <t>220-3-K-26, (25.08.2026) [FHM-K]</t>
        </is>
      </c>
      <c r="Y177" s="2" t="inlineStr">
        <is>
          <t>220-3-M-26, (11.09.2026) [FHM-M]</t>
        </is>
      </c>
      <c r="Z177" s="2" t="inlineStr">
        <is>
          <t>#8, #9, #11, #12 from the initial testing</t>
        </is>
      </c>
      <c r="AA177" s="2" t="inlineStr">
        <is>
          <t>P050222|R</t>
        </is>
      </c>
      <c r="AB177" s="8" t="inlineStr">
        <is>
          <t>not yet issuable — sampled 12.08.2026 — the series numbers it</t>
        </is>
      </c>
    </row>
    <row r="178">
      <c r="A178" s="2" t="inlineStr"/>
      <c r="B178" s="3" t="inlineStr">
        <is>
          <t>— at issue —</t>
        </is>
      </c>
      <c r="C178" s="6" t="inlineStr">
        <is>
          <t>no</t>
        </is>
      </c>
      <c r="D178" s="5">
        <f>IF(A178="","",IF(ISNUMBER(E178),MAX(DATE(2026,6,3),E178),DATE(2026,6,3)))</f>
        <v/>
      </c>
      <c r="E178" s="5" t="inlineStr">
        <is>
          <t>— at the retest sampling —</t>
        </is>
      </c>
      <c r="F178" s="5">
        <f>IFERROR(INDEX('Batch Dates'!$G:$G,MATCH(J178,'Batch Dates'!$C:$C,0)),IFERROR(INDEX('Batch Dates'!$G:$G,MATCH(I178,'Batch Dates'!$B:$B,0)),""))</f>
        <v/>
      </c>
      <c r="G178" s="2" t="inlineStr">
        <is>
          <t>legacy</t>
        </is>
      </c>
      <c r="H178" s="2" t="inlineStr">
        <is>
          <t>retest — Tranche 1 (sampled 21–24.07.2026)</t>
        </is>
      </c>
      <c r="I178" s="3" t="inlineStr">
        <is>
          <t>CJ062501/2</t>
        </is>
      </c>
      <c r="J178" s="2" t="inlineStr">
        <is>
          <t>P050212</t>
        </is>
      </c>
      <c r="K178" s="2" t="inlineStr">
        <is>
          <t>Cap Junky</t>
        </is>
      </c>
      <c r="L178" s="2" t="inlineStr">
        <is>
          <t>Ident A + Ident B + Foreign matter</t>
        </is>
      </c>
      <c r="M178" s="6" t="inlineStr">
        <is>
          <t>—</t>
        </is>
      </c>
      <c r="N178" s="2">
        <f>IFERROR(INDEX('CoQ Register'!$B:$B,MATCH("P050212|R",'CoQ Register'!$S:$S,0)),"—")</f>
        <v/>
      </c>
      <c r="O178" s="6" t="inlineStr">
        <is>
          <t>—</t>
        </is>
      </c>
      <c r="P178" s="2" t="inlineStr">
        <is>
          <t>24.01.2027</t>
        </is>
      </c>
      <c r="Q178" s="2" t="inlineStr">
        <is>
          <t>23.09.2025 – 24.09.2025</t>
        </is>
      </c>
      <c r="R178" s="2" t="inlineStr">
        <is>
          <t>18.11.2025 – 24.11.2025 (the issuance plan's basis: 24.01.2026)</t>
        </is>
      </c>
      <c r="S178" s="5">
        <f>IFERROR(INDEX('CoQ Register'!$D:$D,MATCH("P050212|R",'CoQ Register'!$S:$S,0)),"")</f>
        <v/>
      </c>
      <c r="T178" s="2" t="inlineStr">
        <is>
          <t>Conforms</t>
        </is>
      </c>
      <c r="U178" s="2" t="inlineStr">
        <is>
          <t>Conforms</t>
        </is>
      </c>
      <c r="V178" s="2" t="inlineStr">
        <is>
          <t>Conforms</t>
        </is>
      </c>
      <c r="W178" s="2" t="inlineStr">
        <is>
          <t>197-4-K-26, (07.08.2026) [FHM-K]</t>
        </is>
      </c>
      <c r="X178" s="2" t="inlineStr">
        <is>
          <t>197-4-K-26, (07.08.2026) [FHM-K]</t>
        </is>
      </c>
      <c r="Y178" s="2" t="inlineStr">
        <is>
          <t>197-4-M-26, (10.08.2026) [FHM-M]</t>
        </is>
      </c>
      <c r="Z178" s="2" t="inlineStr">
        <is>
          <t>#8, #9, #11, #12 from the initial testing</t>
        </is>
      </c>
      <c r="AA178" s="2" t="inlineStr">
        <is>
          <t>P050212|R</t>
        </is>
      </c>
      <c r="AB178" s="8" t="inlineStr">
        <is>
          <t>not yet issuable — sampled 21.07.2026 — the series numbers it</t>
        </is>
      </c>
    </row>
    <row r="179">
      <c r="A179" s="2" t="inlineStr"/>
      <c r="B179" s="3" t="inlineStr">
        <is>
          <t>— at issue —</t>
        </is>
      </c>
      <c r="C179" s="6" t="inlineStr">
        <is>
          <t>no</t>
        </is>
      </c>
      <c r="D179" s="5">
        <f>IF(A179="","",IF(ISNUMBER(E179),MAX(DATE(2026,6,3),E179),DATE(2026,6,3)))</f>
        <v/>
      </c>
      <c r="E179" s="5" t="inlineStr">
        <is>
          <t>— at the retest sampling —</t>
        </is>
      </c>
      <c r="F179" s="5">
        <f>IFERROR(INDEX('Batch Dates'!$G:$G,MATCH(J179,'Batch Dates'!$C:$C,0)),IFERROR(INDEX('Batch Dates'!$G:$G,MATCH(I179,'Batch Dates'!$B:$B,0)),""))</f>
        <v/>
      </c>
      <c r="G179" s="2" t="inlineStr">
        <is>
          <t>legacy</t>
        </is>
      </c>
      <c r="H179" s="2" t="inlineStr">
        <is>
          <t>retest — Tranche 2 (sampled 12–14.08.2026)</t>
        </is>
      </c>
      <c r="I179" s="3" t="inlineStr">
        <is>
          <t>GRC102501</t>
        </is>
      </c>
      <c r="J179" s="2" t="inlineStr">
        <is>
          <t>P060182</t>
        </is>
      </c>
      <c r="K179" s="2" t="inlineStr">
        <is>
          <t>Grapes And Cream</t>
        </is>
      </c>
      <c r="L179" s="2" t="inlineStr">
        <is>
          <t>Ident A + Ident B + Foreign matter</t>
        </is>
      </c>
      <c r="M179" s="6" t="inlineStr">
        <is>
          <t>—</t>
        </is>
      </c>
      <c r="N179" s="2">
        <f>IFERROR(INDEX('CoQ Register'!$B:$B,MATCH("P060182|R",'CoQ Register'!$S:$S,0)),"—")</f>
        <v/>
      </c>
      <c r="O179" s="6" t="inlineStr">
        <is>
          <t>—</t>
        </is>
      </c>
      <c r="P179" s="2" t="inlineStr">
        <is>
          <t>14.03.2027</t>
        </is>
      </c>
      <c r="Q179" s="2" t="inlineStr">
        <is>
          <t>20.01.2026</t>
        </is>
      </c>
      <c r="R179" s="2" t="inlineStr">
        <is>
          <t>14.03.2026</t>
        </is>
      </c>
      <c r="S179" s="5">
        <f>IFERROR(INDEX('CoQ Register'!$D:$D,MATCH("P060182|R",'CoQ Register'!$S:$S,0)),"")</f>
        <v/>
      </c>
      <c r="T179" s="2" t="inlineStr">
        <is>
          <t>Conforms</t>
        </is>
      </c>
      <c r="U179" s="2" t="inlineStr">
        <is>
          <t>Conforms</t>
        </is>
      </c>
      <c r="V179" s="2" t="inlineStr">
        <is>
          <t>Conforms</t>
        </is>
      </c>
      <c r="W179" s="2" t="inlineStr">
        <is>
          <t>220-14-K-26, (25.08.2026) [FHM-K]</t>
        </is>
      </c>
      <c r="X179" s="2" t="inlineStr">
        <is>
          <t>220-14-K-26, (25.08.2026) [FHM-K]</t>
        </is>
      </c>
      <c r="Y179" s="2" t="inlineStr">
        <is>
          <t>220-14-M-26, (11.09.2026) [FHM-M]</t>
        </is>
      </c>
      <c r="Z179" s="2" t="inlineStr">
        <is>
          <t>#8, #9, #11, #12 from the initial testing</t>
        </is>
      </c>
      <c r="AA179" s="2" t="inlineStr">
        <is>
          <t>P060182|R</t>
        </is>
      </c>
      <c r="AB179" s="8" t="inlineStr">
        <is>
          <t>not yet issuable — sampled 13.08.2026 — the series numbers it</t>
        </is>
      </c>
    </row>
    <row r="180">
      <c r="A180" s="2" t="inlineStr"/>
      <c r="B180" s="3" t="inlineStr">
        <is>
          <t>— at issue —</t>
        </is>
      </c>
      <c r="C180" s="6" t="inlineStr">
        <is>
          <t>no</t>
        </is>
      </c>
      <c r="D180" s="5">
        <f>IF(A180="","",IF(ISNUMBER(E180),MAX(DATE(2026,6,3),E180),DATE(2026,6,3)))</f>
        <v/>
      </c>
      <c r="E180" s="5" t="inlineStr">
        <is>
          <t>— at the retest sampling —</t>
        </is>
      </c>
      <c r="F180" s="5">
        <f>IFERROR(INDEX('Batch Dates'!$G:$G,MATCH(J180,'Batch Dates'!$C:$C,0)),IFERROR(INDEX('Batch Dates'!$G:$G,MATCH(I180,'Batch Dates'!$B:$B,0)),""))</f>
        <v/>
      </c>
      <c r="G180" s="2" t="inlineStr">
        <is>
          <t>legacy</t>
        </is>
      </c>
      <c r="H180" s="2" t="inlineStr">
        <is>
          <t>retest — Tranche 3 (sampled 19–21.08.2026)</t>
        </is>
      </c>
      <c r="I180" s="3" t="inlineStr">
        <is>
          <t>CJ1024</t>
        </is>
      </c>
      <c r="J180" s="2" t="inlineStr">
        <is>
          <t>N/A — no P batch assigned</t>
        </is>
      </c>
      <c r="K180" s="2" t="inlineStr">
        <is>
          <t>Cap Junky</t>
        </is>
      </c>
      <c r="L180" s="2" t="inlineStr">
        <is>
          <t>Ident A + Ident B + Foreign matter</t>
        </is>
      </c>
      <c r="M180" s="6" t="inlineStr">
        <is>
          <t>—</t>
        </is>
      </c>
      <c r="N180" s="2">
        <f>IFERROR(INDEX('CoQ Register'!$B:$B,MATCH("CJ1024|R",'CoQ Register'!$S:$S,0)),"—")</f>
        <v/>
      </c>
      <c r="O180" s="6" t="inlineStr">
        <is>
          <t>—</t>
        </is>
      </c>
      <c r="P180" s="2" t="inlineStr">
        <is>
          <t>27.02.2026</t>
        </is>
      </c>
      <c r="Q180" s="2" t="inlineStr">
        <is>
          <t>20.01.2025</t>
        </is>
      </c>
      <c r="R180" s="2" t="inlineStr">
        <is>
          <t>03.03.2025 (the issuance plan's basis: 27.02.2025)</t>
        </is>
      </c>
      <c r="S180" s="5">
        <f>IFERROR(INDEX('CoQ Register'!$D:$D,MATCH("CJ1024|R",'CoQ Register'!$S:$S,0)),"")</f>
        <v/>
      </c>
      <c r="T180" s="2" t="inlineStr">
        <is>
          <t>Conforms</t>
        </is>
      </c>
      <c r="U180" s="2" t="inlineStr">
        <is>
          <t>Conforms</t>
        </is>
      </c>
      <c r="V180" s="2" t="inlineStr">
        <is>
          <t>Conforms</t>
        </is>
      </c>
      <c r="W180" s="2" t="inlineStr">
        <is>
          <t>227-26-K-26, (11.09.2026) [FHM-K]</t>
        </is>
      </c>
      <c r="X180" s="2" t="inlineStr">
        <is>
          <t>227-26-K-26, (11.09.2026) [FHM-K]</t>
        </is>
      </c>
      <c r="Y180" s="2" t="inlineStr">
        <is>
          <t>— pending —</t>
        </is>
      </c>
      <c r="Z180" s="2" t="inlineStr">
        <is>
          <t>#8, #9, #11, #12 from the initial testing</t>
        </is>
      </c>
      <c r="AA180" s="2" t="inlineStr">
        <is>
          <t>CJ1024|R</t>
        </is>
      </c>
      <c r="AB180" s="8" t="inlineStr">
        <is>
          <t>not yet issuable — sampled 21.08.2026 — the series numbers it</t>
        </is>
      </c>
    </row>
    <row r="181">
      <c r="A181" s="2" t="inlineStr"/>
      <c r="B181" s="3" t="inlineStr">
        <is>
          <t>— at issue —</t>
        </is>
      </c>
      <c r="C181" s="6" t="inlineStr">
        <is>
          <t>no</t>
        </is>
      </c>
      <c r="D181" s="5">
        <f>IF(A181="","",IF(ISNUMBER(E181),MAX(DATE(2026,6,3),E181),DATE(2026,6,3)))</f>
        <v/>
      </c>
      <c r="E181" s="5" t="inlineStr">
        <is>
          <t>— at the retest sampling —</t>
        </is>
      </c>
      <c r="F181" s="5">
        <f>IFERROR(INDEX('Batch Dates'!$G:$G,MATCH(J181,'Batch Dates'!$C:$C,0)),IFERROR(INDEX('Batch Dates'!$G:$G,MATCH(I181,'Batch Dates'!$B:$B,0)),""))</f>
        <v/>
      </c>
      <c r="G181" s="2" t="inlineStr">
        <is>
          <t>legacy</t>
        </is>
      </c>
      <c r="H181" s="2" t="inlineStr">
        <is>
          <t>retest — Tranche 3 (sampled 19–21.08.2026)</t>
        </is>
      </c>
      <c r="I181" s="3" t="inlineStr">
        <is>
          <t>GP0824_01</t>
        </is>
      </c>
      <c r="J181" s="2" t="inlineStr">
        <is>
          <t>P050102</t>
        </is>
      </c>
      <c r="K181" s="2" t="inlineStr">
        <is>
          <t>Grape Pie</t>
        </is>
      </c>
      <c r="L181" s="2" t="inlineStr">
        <is>
          <t>Ident A + Ident B + Foreign matter</t>
        </is>
      </c>
      <c r="M181" s="6" t="inlineStr">
        <is>
          <t>—</t>
        </is>
      </c>
      <c r="N181" s="2">
        <f>IFERROR(INDEX('CoQ Register'!$B:$B,MATCH("P050102|R",'CoQ Register'!$S:$S,0)),"—")</f>
        <v/>
      </c>
      <c r="O181" s="6" t="inlineStr">
        <is>
          <t>—</t>
        </is>
      </c>
      <c r="P181" s="2" t="inlineStr">
        <is>
          <t>17.04.2026</t>
        </is>
      </c>
      <c r="Q181" s="2" t="inlineStr">
        <is>
          <t>20.03.2025 – 21.03.2025</t>
        </is>
      </c>
      <c r="R181" s="2" t="inlineStr">
        <is>
          <t>05.08.2025 – 07.08.2025 (the issuance plan's basis: 17.04.2025)</t>
        </is>
      </c>
      <c r="S181" s="5">
        <f>IFERROR(INDEX('CoQ Register'!$D:$D,MATCH("P050102|R",'CoQ Register'!$S:$S,0)),"")</f>
        <v/>
      </c>
      <c r="T181" s="2" t="inlineStr">
        <is>
          <t>Conforms</t>
        </is>
      </c>
      <c r="U181" s="2" t="inlineStr">
        <is>
          <t>Conforms</t>
        </is>
      </c>
      <c r="V181" s="2" t="inlineStr">
        <is>
          <t>Conforms</t>
        </is>
      </c>
      <c r="W181" s="2" t="inlineStr">
        <is>
          <t>227-2-K-26, (11.09.2026) [FHM-K]</t>
        </is>
      </c>
      <c r="X181" s="2" t="inlineStr">
        <is>
          <t>227-2-K-26, (11.09.2026) [FHM-K]</t>
        </is>
      </c>
      <c r="Y181" s="2" t="inlineStr">
        <is>
          <t>— pending —</t>
        </is>
      </c>
      <c r="Z181" s="2" t="inlineStr">
        <is>
          <t>#8, #9, #11, #12 from the initial testing</t>
        </is>
      </c>
      <c r="AA181" s="2" t="inlineStr">
        <is>
          <t>P050102|R</t>
        </is>
      </c>
      <c r="AB181" s="8" t="inlineStr">
        <is>
          <t>not yet issuable — sampled 19.08.2026 — the series numbers it</t>
        </is>
      </c>
    </row>
    <row r="182">
      <c r="A182" s="2" t="inlineStr"/>
      <c r="B182" s="3" t="inlineStr">
        <is>
          <t>— at issue —</t>
        </is>
      </c>
      <c r="C182" s="6" t="inlineStr">
        <is>
          <t>no</t>
        </is>
      </c>
      <c r="D182" s="5">
        <f>IF(A182="","",IF(ISNUMBER(E182),MAX(DATE(2026,6,3),E182),DATE(2026,6,3)))</f>
        <v/>
      </c>
      <c r="E182" s="5" t="inlineStr">
        <is>
          <t>— at the retest sampling —</t>
        </is>
      </c>
      <c r="F182" s="5">
        <f>IFERROR(INDEX('Batch Dates'!$G:$G,MATCH(J182,'Batch Dates'!$C:$C,0)),IFERROR(INDEX('Batch Dates'!$G:$G,MATCH(I182,'Batch Dates'!$B:$B,0)),""))</f>
        <v/>
      </c>
      <c r="G182" s="2" t="inlineStr">
        <is>
          <t>legacy</t>
        </is>
      </c>
      <c r="H182" s="2" t="inlineStr">
        <is>
          <t>retest — Tranche 3 (sampled 19–21.08.2026)</t>
        </is>
      </c>
      <c r="I182" s="3" t="inlineStr">
        <is>
          <t>MB0824_04</t>
        </is>
      </c>
      <c r="J182" s="2" t="inlineStr">
        <is>
          <t>P050032</t>
        </is>
      </c>
      <c r="K182" s="2" t="inlineStr">
        <is>
          <t>Motor Breath</t>
        </is>
      </c>
      <c r="L182" s="2" t="inlineStr">
        <is>
          <t>Ident A + Ident B + Foreign matter</t>
        </is>
      </c>
      <c r="M182" s="6" t="inlineStr">
        <is>
          <t>—</t>
        </is>
      </c>
      <c r="N182" s="2">
        <f>IFERROR(INDEX('CoQ Register'!$B:$B,MATCH("P050032|R",'CoQ Register'!$S:$S,0)),"—")</f>
        <v/>
      </c>
      <c r="O182" s="6" t="inlineStr">
        <is>
          <t>—</t>
        </is>
      </c>
      <c r="P182" s="2" t="inlineStr">
        <is>
          <t>07.05.2026</t>
        </is>
      </c>
      <c r="Q182" s="2" t="inlineStr">
        <is>
          <t>02.04.2025 – 03.04.2025</t>
        </is>
      </c>
      <c r="R182" s="2" t="inlineStr">
        <is>
          <t>16.06.2025 – 19.06.2025 (the issuance plan's basis: 07.05.2025)</t>
        </is>
      </c>
      <c r="S182" s="5">
        <f>IFERROR(INDEX('CoQ Register'!$D:$D,MATCH("P050032|R",'CoQ Register'!$S:$S,0)),"")</f>
        <v/>
      </c>
      <c r="T182" s="2" t="inlineStr">
        <is>
          <t>Conforms</t>
        </is>
      </c>
      <c r="U182" s="2" t="inlineStr">
        <is>
          <t>Conforms</t>
        </is>
      </c>
      <c r="V182" s="2" t="inlineStr">
        <is>
          <t>Conforms</t>
        </is>
      </c>
      <c r="W182" s="2" t="inlineStr">
        <is>
          <t>227-12-K-26, (11.09.2026) [FHM-K]</t>
        </is>
      </c>
      <c r="X182" s="2" t="inlineStr">
        <is>
          <t>227-12-K-26, (11.09.2026) [FHM-K]</t>
        </is>
      </c>
      <c r="Y182" s="2" t="inlineStr">
        <is>
          <t>— pending —</t>
        </is>
      </c>
      <c r="Z182" s="2" t="inlineStr">
        <is>
          <t>#8, #9, #11, #12 from the initial testing</t>
        </is>
      </c>
      <c r="AA182" s="2" t="inlineStr">
        <is>
          <t>P050032|R</t>
        </is>
      </c>
      <c r="AB182" s="8" t="inlineStr">
        <is>
          <t>not yet issuable — sampled 20.08.2026 — the series numbers it</t>
        </is>
      </c>
    </row>
    <row r="183">
      <c r="A183" s="2" t="inlineStr"/>
      <c r="B183" s="3" t="inlineStr">
        <is>
          <t>— at issue —</t>
        </is>
      </c>
      <c r="C183" s="6" t="inlineStr">
        <is>
          <t>no</t>
        </is>
      </c>
      <c r="D183" s="5">
        <f>IF(A183="","",IF(ISNUMBER(E183),MAX(DATE(2026,6,3),E183),DATE(2026,6,3)))</f>
        <v/>
      </c>
      <c r="E183" s="5" t="inlineStr">
        <is>
          <t>— at the retest sampling —</t>
        </is>
      </c>
      <c r="F183" s="5">
        <f>IFERROR(INDEX('Batch Dates'!$G:$G,MATCH(J183,'Batch Dates'!$C:$C,0)),IFERROR(INDEX('Batch Dates'!$G:$G,MATCH(I183,'Batch Dates'!$B:$B,0)),""))</f>
        <v/>
      </c>
      <c r="G183" s="2" t="inlineStr">
        <is>
          <t>legacy</t>
        </is>
      </c>
      <c r="H183" s="2" t="inlineStr">
        <is>
          <t>retest — Tranche 3 (sampled 19–21.08.2026)</t>
        </is>
      </c>
      <c r="I183" s="3" t="inlineStr">
        <is>
          <t>GG1024_02</t>
        </is>
      </c>
      <c r="J183" s="2" t="inlineStr">
        <is>
          <t>P050012</t>
        </is>
      </c>
      <c r="K183" s="2" t="inlineStr">
        <is>
          <t>Gorilla Glue</t>
        </is>
      </c>
      <c r="L183" s="2" t="inlineStr">
        <is>
          <t>Ident A + Ident B + Foreign matter</t>
        </is>
      </c>
      <c r="M183" s="6" t="inlineStr">
        <is>
          <t>—</t>
        </is>
      </c>
      <c r="N183" s="2">
        <f>IFERROR(INDEX('CoQ Register'!$B:$B,MATCH("P050012|R",'CoQ Register'!$S:$S,0)),"—")</f>
        <v/>
      </c>
      <c r="O183" s="6" t="inlineStr">
        <is>
          <t>—</t>
        </is>
      </c>
      <c r="P183" s="2" t="inlineStr">
        <is>
          <t>30.05.2026</t>
        </is>
      </c>
      <c r="Q183" s="2" t="inlineStr">
        <is>
          <t>14.04.2025 – 15.04.2025</t>
        </is>
      </c>
      <c r="R183" s="2" t="inlineStr">
        <is>
          <t>11.06.2025 – 16.06.2025 (the issuance plan's basis: 30.05.2025)</t>
        </is>
      </c>
      <c r="S183" s="5">
        <f>IFERROR(INDEX('CoQ Register'!$D:$D,MATCH("P050012|R",'CoQ Register'!$S:$S,0)),"")</f>
        <v/>
      </c>
      <c r="T183" s="2" t="inlineStr">
        <is>
          <t>Conforms</t>
        </is>
      </c>
      <c r="U183" s="2" t="inlineStr">
        <is>
          <t>Conforms</t>
        </is>
      </c>
      <c r="V183" s="2" t="inlineStr">
        <is>
          <t>Conforms</t>
        </is>
      </c>
      <c r="W183" s="2" t="inlineStr">
        <is>
          <t>227-19-K-26, (11.09.2026) [FHM-K]</t>
        </is>
      </c>
      <c r="X183" s="2" t="inlineStr">
        <is>
          <t>227-19-K-26, (11.09.2026) [FHM-K]</t>
        </is>
      </c>
      <c r="Y183" s="2" t="inlineStr">
        <is>
          <t>— pending —</t>
        </is>
      </c>
      <c r="Z183" s="2" t="inlineStr">
        <is>
          <t>#8, #9, #11, #12 from the initial testing</t>
        </is>
      </c>
      <c r="AA183" s="2" t="inlineStr">
        <is>
          <t>P050012|R</t>
        </is>
      </c>
      <c r="AB183" s="8" t="inlineStr">
        <is>
          <t>not yet issuable — sampled 20.08.2026 — the series numbers it</t>
        </is>
      </c>
    </row>
    <row r="184">
      <c r="A184" s="2" t="inlineStr"/>
      <c r="B184" s="3" t="inlineStr">
        <is>
          <t>— at issue —</t>
        </is>
      </c>
      <c r="C184" s="6" t="inlineStr">
        <is>
          <t>no</t>
        </is>
      </c>
      <c r="D184" s="5">
        <f>IF(A184="","",IF(ISNUMBER(E184),MAX(DATE(2026,6,3),E184),DATE(2026,6,3)))</f>
        <v/>
      </c>
      <c r="E184" s="5" t="inlineStr">
        <is>
          <t>— at the retest sampling —</t>
        </is>
      </c>
      <c r="F184" s="5">
        <f>IFERROR(INDEX('Batch Dates'!$G:$G,MATCH(J184,'Batch Dates'!$C:$C,0)),IFERROR(INDEX('Batch Dates'!$G:$G,MATCH(I184,'Batch Dates'!$B:$B,0)),""))</f>
        <v/>
      </c>
      <c r="G184" s="2" t="inlineStr">
        <is>
          <t>legacy</t>
        </is>
      </c>
      <c r="H184" s="2" t="inlineStr">
        <is>
          <t>retest — Tranche 3 (sampled 19–21.08.2026)</t>
        </is>
      </c>
      <c r="I184" s="3" t="inlineStr">
        <is>
          <t>BSS1024_01/1</t>
        </is>
      </c>
      <c r="J184" s="2" t="inlineStr">
        <is>
          <t>P050122</t>
        </is>
      </c>
      <c r="K184" s="2" t="inlineStr">
        <is>
          <t>Blue Sunset Sherbet</t>
        </is>
      </c>
      <c r="L184" s="2" t="inlineStr">
        <is>
          <t>Ident A + Ident B + Foreign matter</t>
        </is>
      </c>
      <c r="M184" s="6" t="inlineStr">
        <is>
          <t>—</t>
        </is>
      </c>
      <c r="N184" s="2">
        <f>IFERROR(INDEX('CoQ Register'!$B:$B,MATCH("P050122|R",'CoQ Register'!$S:$S,0)),"—")</f>
        <v/>
      </c>
      <c r="O184" s="6" t="inlineStr">
        <is>
          <t>—</t>
        </is>
      </c>
      <c r="P184" s="2" t="inlineStr">
        <is>
          <t>10.07.2026</t>
        </is>
      </c>
      <c r="Q184" s="2" t="inlineStr">
        <is>
          <t>04.06.2025 – 05.06.2025</t>
        </is>
      </c>
      <c r="R184" s="2" t="inlineStr">
        <is>
          <t>01.09.2025 – 09.09.2025 (the issuance plan's basis: 10.07.2025)</t>
        </is>
      </c>
      <c r="S184" s="5">
        <f>IFERROR(INDEX('CoQ Register'!$D:$D,MATCH("P050122|R",'CoQ Register'!$S:$S,0)),"")</f>
        <v/>
      </c>
      <c r="T184" s="2" t="inlineStr">
        <is>
          <t>Conforms</t>
        </is>
      </c>
      <c r="U184" s="2" t="inlineStr">
        <is>
          <t>Conforms</t>
        </is>
      </c>
      <c r="V184" s="2" t="inlineStr">
        <is>
          <t>Conforms</t>
        </is>
      </c>
      <c r="W184" s="2" t="inlineStr">
        <is>
          <t>227-29-K-26, (11.09.2026) [FHM-K]</t>
        </is>
      </c>
      <c r="X184" s="2" t="inlineStr">
        <is>
          <t>227-29-K-26, (11.09.2026) [FHM-K]</t>
        </is>
      </c>
      <c r="Y184" s="2" t="inlineStr">
        <is>
          <t>— pending —</t>
        </is>
      </c>
      <c r="Z184" s="2" t="inlineStr">
        <is>
          <t>#8, #9, #11, #12 from the initial testing</t>
        </is>
      </c>
      <c r="AA184" s="2" t="inlineStr">
        <is>
          <t>P050122|R</t>
        </is>
      </c>
      <c r="AB184" s="8" t="inlineStr">
        <is>
          <t>not yet issuable — sampled 21.08.2026 — the series numbers it</t>
        </is>
      </c>
    </row>
    <row r="185">
      <c r="A185" s="2" t="inlineStr"/>
      <c r="B185" s="3" t="inlineStr">
        <is>
          <t>— at issue —</t>
        </is>
      </c>
      <c r="C185" s="6" t="inlineStr">
        <is>
          <t>no</t>
        </is>
      </c>
      <c r="D185" s="5">
        <f>IF(A185="","",IF(ISNUMBER(E185),MAX(DATE(2026,6,3),E185),DATE(2026,6,3)))</f>
        <v/>
      </c>
      <c r="E185" s="5" t="inlineStr">
        <is>
          <t>— at the retest sampling —</t>
        </is>
      </c>
      <c r="F185" s="5">
        <f>IFERROR(INDEX('Batch Dates'!$G:$G,MATCH(J185,'Batch Dates'!$C:$C,0)),IFERROR(INDEX('Batch Dates'!$G:$G,MATCH(I185,'Batch Dates'!$B:$B,0)),""))</f>
        <v/>
      </c>
      <c r="G185" s="2" t="inlineStr">
        <is>
          <t>legacy</t>
        </is>
      </c>
      <c r="H185" s="2" t="inlineStr">
        <is>
          <t>retest — Tranche 3 (sampled 19–21.08.2026)</t>
        </is>
      </c>
      <c r="I185" s="3" t="inlineStr">
        <is>
          <t>OPM052501</t>
        </is>
      </c>
      <c r="J185" s="2" t="inlineStr">
        <is>
          <t>P050132</t>
        </is>
      </c>
      <c r="K185" s="2" t="inlineStr">
        <is>
          <t>Orange Punch Mimosa</t>
        </is>
      </c>
      <c r="L185" s="2" t="inlineStr">
        <is>
          <t>Ident A + Ident B + Foreign matter</t>
        </is>
      </c>
      <c r="M185" s="6" t="inlineStr">
        <is>
          <t>—</t>
        </is>
      </c>
      <c r="N185" s="2">
        <f>IFERROR(INDEX('CoQ Register'!$B:$B,MATCH("P050132|R",'CoQ Register'!$S:$S,0)),"—")</f>
        <v/>
      </c>
      <c r="O185" s="6" t="inlineStr">
        <is>
          <t>—</t>
        </is>
      </c>
      <c r="P185" s="2" t="inlineStr">
        <is>
          <t>05.09.2026</t>
        </is>
      </c>
      <c r="Q185" s="2" t="inlineStr">
        <is>
          <t>11.08.2025 – 13.08.2025</t>
        </is>
      </c>
      <c r="R185" s="2" t="inlineStr">
        <is>
          <t>09.09.2025 – 15.09.2025 (the issuance plan's basis: 05.09.2025)</t>
        </is>
      </c>
      <c r="S185" s="5">
        <f>IFERROR(INDEX('CoQ Register'!$D:$D,MATCH("P050132|R",'CoQ Register'!$S:$S,0)),"")</f>
        <v/>
      </c>
      <c r="T185" s="2" t="inlineStr">
        <is>
          <t>Conforms</t>
        </is>
      </c>
      <c r="U185" s="2" t="inlineStr">
        <is>
          <t>Conforms</t>
        </is>
      </c>
      <c r="V185" s="2" t="inlineStr">
        <is>
          <t>Conforms</t>
        </is>
      </c>
      <c r="W185" s="2" t="inlineStr">
        <is>
          <t>227-11-K-26, (11.09.2026) [FHM-K]</t>
        </is>
      </c>
      <c r="X185" s="2" t="inlineStr">
        <is>
          <t>227-11-K-26, (11.09.2026) [FHM-K]</t>
        </is>
      </c>
      <c r="Y185" s="2" t="inlineStr">
        <is>
          <t>— pending —</t>
        </is>
      </c>
      <c r="Z185" s="2" t="inlineStr">
        <is>
          <t>#8, #9, #11, #12 from the initial testing</t>
        </is>
      </c>
      <c r="AA185" s="2" t="inlineStr">
        <is>
          <t>P050132|R</t>
        </is>
      </c>
      <c r="AB185" s="8" t="inlineStr">
        <is>
          <t>not yet issuable — sampled 20.08.2026 — the series numbers it</t>
        </is>
      </c>
    </row>
    <row r="186">
      <c r="A186" s="2" t="inlineStr"/>
      <c r="B186" s="3" t="inlineStr">
        <is>
          <t>— at issue —</t>
        </is>
      </c>
      <c r="C186" s="6" t="inlineStr">
        <is>
          <t>no</t>
        </is>
      </c>
      <c r="D186" s="5">
        <f>IF(A186="","",IF(ISNUMBER(E186),MAX(DATE(2026,6,3),E186),DATE(2026,6,3)))</f>
        <v/>
      </c>
      <c r="E186" s="5" t="inlineStr">
        <is>
          <t>— at the retest sampling —</t>
        </is>
      </c>
      <c r="F186" s="5">
        <f>IFERROR(INDEX('Batch Dates'!$G:$G,MATCH(J186,'Batch Dates'!$C:$C,0)),IFERROR(INDEX('Batch Dates'!$G:$G,MATCH(I186,'Batch Dates'!$B:$B,0)),""))</f>
        <v/>
      </c>
      <c r="G186" s="2" t="inlineStr">
        <is>
          <t>legacy</t>
        </is>
      </c>
      <c r="H186" s="2" t="inlineStr">
        <is>
          <t>retest — Tranche 3 (sampled 19–21.08.2026)</t>
        </is>
      </c>
      <c r="I186" s="3" t="inlineStr">
        <is>
          <t>CJ052501/02</t>
        </is>
      </c>
      <c r="J186" s="2" t="inlineStr">
        <is>
          <t>P050172</t>
        </is>
      </c>
      <c r="K186" s="2" t="inlineStr">
        <is>
          <t>Cap Junky</t>
        </is>
      </c>
      <c r="L186" s="2" t="inlineStr">
        <is>
          <t>Ident A + Ident B + Foreign matter</t>
        </is>
      </c>
      <c r="M186" s="6" t="inlineStr">
        <is>
          <t>—</t>
        </is>
      </c>
      <c r="N186" s="2">
        <f>IFERROR(INDEX('CoQ Register'!$B:$B,MATCH("P050172|R",'CoQ Register'!$S:$S,0)),"—")</f>
        <v/>
      </c>
      <c r="O186" s="6" t="inlineStr">
        <is>
          <t>—</t>
        </is>
      </c>
      <c r="P186" s="2" t="inlineStr">
        <is>
          <t>17.09.2026</t>
        </is>
      </c>
      <c r="Q186" s="2" t="inlineStr">
        <is>
          <t>20.08.2025</t>
        </is>
      </c>
      <c r="R186" s="2" t="inlineStr">
        <is>
          <t>01.10.2025 – 02.10.2025 (the issuance plan's basis: 17.09.2025)</t>
        </is>
      </c>
      <c r="S186" s="5">
        <f>IFERROR(INDEX('CoQ Register'!$D:$D,MATCH("P050172|R",'CoQ Register'!$S:$S,0)),"")</f>
        <v/>
      </c>
      <c r="T186" s="2" t="inlineStr">
        <is>
          <t>Conforms</t>
        </is>
      </c>
      <c r="U186" s="2" t="inlineStr">
        <is>
          <t>Conforms</t>
        </is>
      </c>
      <c r="V186" s="2" t="inlineStr">
        <is>
          <t>Conforms</t>
        </is>
      </c>
      <c r="W186" s="2" t="inlineStr">
        <is>
          <t>227-28-K-26, (11.09.2026) [FHM-K]</t>
        </is>
      </c>
      <c r="X186" s="2" t="inlineStr">
        <is>
          <t>227-28-K-26, (11.09.2026) [FHM-K]</t>
        </is>
      </c>
      <c r="Y186" s="2" t="inlineStr">
        <is>
          <t>— pending —</t>
        </is>
      </c>
      <c r="Z186" s="2" t="inlineStr">
        <is>
          <t>#8, #9, #11, #12 from the initial testing</t>
        </is>
      </c>
      <c r="AA186" s="2" t="inlineStr">
        <is>
          <t>P050172|R</t>
        </is>
      </c>
      <c r="AB186" s="8" t="inlineStr">
        <is>
          <t>not yet issuable — sampled 21.08.2026 — the series numbers it</t>
        </is>
      </c>
    </row>
    <row r="187">
      <c r="A187" s="2" t="inlineStr"/>
      <c r="B187" s="3" t="inlineStr">
        <is>
          <t>— at issue —</t>
        </is>
      </c>
      <c r="C187" s="6" t="inlineStr">
        <is>
          <t>no</t>
        </is>
      </c>
      <c r="D187" s="5">
        <f>IF(A187="","",IF(ISNUMBER(E187),MAX(DATE(2026,6,3),E187),DATE(2026,6,3)))</f>
        <v/>
      </c>
      <c r="E187" s="5" t="inlineStr">
        <is>
          <t>— at the retest sampling —</t>
        </is>
      </c>
      <c r="F187" s="5">
        <f>IFERROR(INDEX('Batch Dates'!$G:$G,MATCH(J187,'Batch Dates'!$C:$C,0)),IFERROR(INDEX('Batch Dates'!$G:$G,MATCH(I187,'Batch Dates'!$B:$B,0)),""))</f>
        <v/>
      </c>
      <c r="G187" s="2" t="inlineStr">
        <is>
          <t>legacy</t>
        </is>
      </c>
      <c r="H187" s="2" t="inlineStr">
        <is>
          <t>retest — Tranche 3 (sampled 19–21.08.2026)</t>
        </is>
      </c>
      <c r="I187" s="3" t="inlineStr">
        <is>
          <t>BSS1024_01/2</t>
        </is>
      </c>
      <c r="J187" s="2" t="inlineStr">
        <is>
          <t>P050142</t>
        </is>
      </c>
      <c r="K187" s="2" t="inlineStr">
        <is>
          <t>Blue Sunset Sherbet</t>
        </is>
      </c>
      <c r="L187" s="2" t="inlineStr">
        <is>
          <t>Ident A + Ident B + Foreign matter</t>
        </is>
      </c>
      <c r="M187" s="6" t="inlineStr">
        <is>
          <t>—</t>
        </is>
      </c>
      <c r="N187" s="2">
        <f>IFERROR(INDEX('CoQ Register'!$B:$B,MATCH("P050142|R",'CoQ Register'!$S:$S,0)),"—")</f>
        <v/>
      </c>
      <c r="O187" s="6" t="inlineStr">
        <is>
          <t>—</t>
        </is>
      </c>
      <c r="P187" s="2" t="inlineStr">
        <is>
          <t>30.09.2026</t>
        </is>
      </c>
      <c r="Q187" s="2" t="inlineStr">
        <is>
          <t>— not given —</t>
        </is>
      </c>
      <c r="R187" s="2" t="inlineStr">
        <is>
          <t>30.09.2025</t>
        </is>
      </c>
      <c r="S187" s="5">
        <f>IFERROR(INDEX('CoQ Register'!$D:$D,MATCH("P050142|R",'CoQ Register'!$S:$S,0)),"")</f>
        <v/>
      </c>
      <c r="T187" s="2" t="inlineStr">
        <is>
          <t>Conforms</t>
        </is>
      </c>
      <c r="U187" s="2" t="inlineStr">
        <is>
          <t>Conforms</t>
        </is>
      </c>
      <c r="V187" s="2" t="inlineStr">
        <is>
          <t>Conforms</t>
        </is>
      </c>
      <c r="W187" s="2" t="inlineStr">
        <is>
          <t>227-1-K-26, (11.09.2026) [FHM-K]</t>
        </is>
      </c>
      <c r="X187" s="2" t="inlineStr">
        <is>
          <t>227-1-K-26, (11.09.2026) [FHM-K]</t>
        </is>
      </c>
      <c r="Y187" s="2" t="inlineStr">
        <is>
          <t>— pending —</t>
        </is>
      </c>
      <c r="Z187" s="2" t="inlineStr">
        <is>
          <t>#8, #9, #11, #12 from the initial testing</t>
        </is>
      </c>
      <c r="AA187" s="2" t="inlineStr">
        <is>
          <t>P050142|R</t>
        </is>
      </c>
      <c r="AB187" s="8" t="inlineStr">
        <is>
          <t>not yet issuable — sampled 19.08.2026 — the series numbers it</t>
        </is>
      </c>
    </row>
    <row r="188">
      <c r="A188" s="2" t="inlineStr"/>
      <c r="B188" s="3" t="inlineStr">
        <is>
          <t>— at issue —</t>
        </is>
      </c>
      <c r="C188" s="6" t="inlineStr">
        <is>
          <t>no</t>
        </is>
      </c>
      <c r="D188" s="5">
        <f>IF(A188="","",IF(ISNUMBER(E188),MAX(DATE(2026,6,3),E188),DATE(2026,6,3)))</f>
        <v/>
      </c>
      <c r="E188" s="5" t="inlineStr">
        <is>
          <t>— at the retest sampling —</t>
        </is>
      </c>
      <c r="F188" s="5">
        <f>IFERROR(INDEX('Batch Dates'!$G:$G,MATCH(J188,'Batch Dates'!$C:$C,0)),IFERROR(INDEX('Batch Dates'!$G:$G,MATCH(I188,'Batch Dates'!$B:$B,0)),""))</f>
        <v/>
      </c>
      <c r="G188" s="2" t="inlineStr">
        <is>
          <t>legacy</t>
        </is>
      </c>
      <c r="H188" s="2" t="inlineStr">
        <is>
          <t>retest — Tranche 3 (sampled 19–21.08.2026)</t>
        </is>
      </c>
      <c r="I188" s="3" t="inlineStr">
        <is>
          <t>CJ072501</t>
        </is>
      </c>
      <c r="J188" s="2" t="inlineStr">
        <is>
          <t>P050252</t>
        </is>
      </c>
      <c r="K188" s="2" t="inlineStr">
        <is>
          <t>Cap Junky</t>
        </is>
      </c>
      <c r="L188" s="2" t="inlineStr">
        <is>
          <t>Ident A + Ident B + Foreign matter</t>
        </is>
      </c>
      <c r="M188" s="6" t="inlineStr">
        <is>
          <t>—</t>
        </is>
      </c>
      <c r="N188" s="2">
        <f>IFERROR(INDEX('CoQ Register'!$B:$B,MATCH("P050252|R",'CoQ Register'!$S:$S,0)),"—")</f>
        <v/>
      </c>
      <c r="O188" s="6" t="inlineStr">
        <is>
          <t>—</t>
        </is>
      </c>
      <c r="P188" s="2" t="inlineStr">
        <is>
          <t>02.12.2026</t>
        </is>
      </c>
      <c r="Q188" s="2" t="inlineStr">
        <is>
          <t>27.10.2025</t>
        </is>
      </c>
      <c r="R188" s="2" t="inlineStr">
        <is>
          <t>27.11.2025 – 28.11.2025 (the issuance plan's basis: 02.12.2025)</t>
        </is>
      </c>
      <c r="S188" s="5">
        <f>IFERROR(INDEX('CoQ Register'!$D:$D,MATCH("P050252|R",'CoQ Register'!$S:$S,0)),"")</f>
        <v/>
      </c>
      <c r="T188" s="2" t="inlineStr">
        <is>
          <t>Conforms</t>
        </is>
      </c>
      <c r="U188" s="2" t="inlineStr">
        <is>
          <t>Conforms</t>
        </is>
      </c>
      <c r="V188" s="2" t="inlineStr">
        <is>
          <t>Conforms</t>
        </is>
      </c>
      <c r="W188" s="2" t="inlineStr">
        <is>
          <t>227-27-K-26, (11.09.2026) [FHM-K]</t>
        </is>
      </c>
      <c r="X188" s="2" t="inlineStr">
        <is>
          <t>227-27-K-26, (11.09.2026) [FHM-K]</t>
        </is>
      </c>
      <c r="Y188" s="2" t="inlineStr">
        <is>
          <t>— pending —</t>
        </is>
      </c>
      <c r="Z188" s="2" t="inlineStr">
        <is>
          <t>#8, #9, #11, #12 from the initial testing</t>
        </is>
      </c>
      <c r="AA188" s="2" t="inlineStr">
        <is>
          <t>P050252|R</t>
        </is>
      </c>
      <c r="AB188" s="8" t="inlineStr">
        <is>
          <t>not yet issuable — sampled 21.08.2026 — the series numbers it</t>
        </is>
      </c>
    </row>
    <row r="189">
      <c r="A189" s="2" t="inlineStr"/>
      <c r="B189" s="3" t="inlineStr">
        <is>
          <t>— at issue —</t>
        </is>
      </c>
      <c r="C189" s="6" t="inlineStr">
        <is>
          <t>no</t>
        </is>
      </c>
      <c r="D189" s="5">
        <f>IF(A189="","",IF(ISNUMBER(E189),MAX(DATE(2026,6,3),E189),DATE(2026,6,3)))</f>
        <v/>
      </c>
      <c r="E189" s="5" t="inlineStr">
        <is>
          <t>— at the retest sampling —</t>
        </is>
      </c>
      <c r="F189" s="5">
        <f>IFERROR(INDEX('Batch Dates'!$G:$G,MATCH(J189,'Batch Dates'!$C:$C,0)),IFERROR(INDEX('Batch Dates'!$G:$G,MATCH(I189,'Batch Dates'!$B:$B,0)),""))</f>
        <v/>
      </c>
      <c r="G189" s="2" t="inlineStr">
        <is>
          <t>legacy</t>
        </is>
      </c>
      <c r="H189" s="2" t="inlineStr">
        <is>
          <t>retest — Tranche 3 (sampled 19–21.08.2026)</t>
        </is>
      </c>
      <c r="I189" s="3" t="inlineStr">
        <is>
          <t>WC072501</t>
        </is>
      </c>
      <c r="J189" s="2" t="inlineStr">
        <is>
          <t>P050262</t>
        </is>
      </c>
      <c r="K189" s="2" t="inlineStr">
        <is>
          <t>Wedding Crusher</t>
        </is>
      </c>
      <c r="L189" s="2" t="inlineStr">
        <is>
          <t>Ident A + Ident B + Foreign matter</t>
        </is>
      </c>
      <c r="M189" s="6" t="inlineStr">
        <is>
          <t>—</t>
        </is>
      </c>
      <c r="N189" s="2">
        <f>IFERROR(INDEX('CoQ Register'!$B:$B,MATCH("P050262|R",'CoQ Register'!$S:$S,0)),"—")</f>
        <v/>
      </c>
      <c r="O189" s="6" t="inlineStr">
        <is>
          <t>—</t>
        </is>
      </c>
      <c r="P189" s="2" t="inlineStr">
        <is>
          <t>02.12.2026</t>
        </is>
      </c>
      <c r="Q189" s="2" t="inlineStr">
        <is>
          <t>27.10.2025 – 28.10.2025</t>
        </is>
      </c>
      <c r="R189" s="2" t="inlineStr">
        <is>
          <t>01.12.2025 (the issuance plan's basis: 02.12.2025)</t>
        </is>
      </c>
      <c r="S189" s="5">
        <f>IFERROR(INDEX('CoQ Register'!$D:$D,MATCH("P050262|R",'CoQ Register'!$S:$S,0)),"")</f>
        <v/>
      </c>
      <c r="T189" s="2" t="inlineStr">
        <is>
          <t>Conforms</t>
        </is>
      </c>
      <c r="U189" s="2" t="inlineStr">
        <is>
          <t>Conforms</t>
        </is>
      </c>
      <c r="V189" s="2" t="inlineStr">
        <is>
          <t>Conforms</t>
        </is>
      </c>
      <c r="W189" s="2" t="inlineStr">
        <is>
          <t>227-3-K-26, (11.09.2026) [FHM-K]</t>
        </is>
      </c>
      <c r="X189" s="2" t="inlineStr">
        <is>
          <t>227-3-K-26, (11.09.2026) [FHM-K]</t>
        </is>
      </c>
      <c r="Y189" s="2" t="inlineStr">
        <is>
          <t>— pending —</t>
        </is>
      </c>
      <c r="Z189" s="2" t="inlineStr">
        <is>
          <t>#8, #9, #11, #12 from the initial testing</t>
        </is>
      </c>
      <c r="AA189" s="2" t="inlineStr">
        <is>
          <t>P050262|R</t>
        </is>
      </c>
      <c r="AB189" s="8" t="inlineStr">
        <is>
          <t>not yet issuable — sampled 19.08.2026 — the series numbers it</t>
        </is>
      </c>
    </row>
    <row r="190">
      <c r="A190" s="2" t="inlineStr"/>
      <c r="B190" s="3" t="inlineStr">
        <is>
          <t>— at issue —</t>
        </is>
      </c>
      <c r="C190" s="6" t="inlineStr">
        <is>
          <t>no</t>
        </is>
      </c>
      <c r="D190" s="5">
        <f>IF(A190="","",IF(ISNUMBER(E190),MAX(DATE(2026,6,3),E190),DATE(2026,6,3)))</f>
        <v/>
      </c>
      <c r="E190" s="5" t="inlineStr">
        <is>
          <t>— at the retest sampling —</t>
        </is>
      </c>
      <c r="F190" s="5">
        <f>IFERROR(INDEX('Batch Dates'!$G:$G,MATCH(J190,'Batch Dates'!$C:$C,0)),IFERROR(INDEX('Batch Dates'!$G:$G,MATCH(I190,'Batch Dates'!$B:$B,0)),""))</f>
        <v/>
      </c>
      <c r="G190" s="2" t="inlineStr">
        <is>
          <t>legacy</t>
        </is>
      </c>
      <c r="H190" s="2" t="inlineStr">
        <is>
          <t>retest — Tranche 3 (sampled 19–21.08.2026)</t>
        </is>
      </c>
      <c r="I190" s="3" t="inlineStr">
        <is>
          <t>GP072501/1</t>
        </is>
      </c>
      <c r="J190" s="2" t="inlineStr">
        <is>
          <t>P050292</t>
        </is>
      </c>
      <c r="K190" s="2" t="inlineStr">
        <is>
          <t>Grape Pie</t>
        </is>
      </c>
      <c r="L190" s="2" t="inlineStr">
        <is>
          <t>Ident A + Ident B + Foreign matter</t>
        </is>
      </c>
      <c r="M190" s="6" t="inlineStr">
        <is>
          <t>—</t>
        </is>
      </c>
      <c r="N190" s="2">
        <f>IFERROR(INDEX('CoQ Register'!$B:$B,MATCH("P050292|R",'CoQ Register'!$S:$S,0)),"—")</f>
        <v/>
      </c>
      <c r="O190" s="6" t="inlineStr">
        <is>
          <t>—</t>
        </is>
      </c>
      <c r="P190" s="2" t="inlineStr">
        <is>
          <t>21.01.2027</t>
        </is>
      </c>
      <c r="Q190" s="2" t="inlineStr">
        <is>
          <t>11.11.2025 – 13.11.2025</t>
        </is>
      </c>
      <c r="R190" s="2" t="inlineStr">
        <is>
          <t>15.12.2025 – 21.12.2025 (the issuance plan's basis: 21.01.2026)</t>
        </is>
      </c>
      <c r="S190" s="5">
        <f>IFERROR(INDEX('CoQ Register'!$D:$D,MATCH("P050292|R",'CoQ Register'!$S:$S,0)),"")</f>
        <v/>
      </c>
      <c r="T190" s="2" t="inlineStr">
        <is>
          <t>Conforms</t>
        </is>
      </c>
      <c r="U190" s="2" t="inlineStr">
        <is>
          <t>Conforms</t>
        </is>
      </c>
      <c r="V190" s="2" t="inlineStr">
        <is>
          <t>Conforms</t>
        </is>
      </c>
      <c r="W190" s="2" t="inlineStr">
        <is>
          <t>227-17-K-26, (11.09.2026) [FHM-K]</t>
        </is>
      </c>
      <c r="X190" s="2" t="inlineStr">
        <is>
          <t>227-17-K-26, (11.09.2026) [FHM-K]</t>
        </is>
      </c>
      <c r="Y190" s="2" t="inlineStr">
        <is>
          <t>— pending —</t>
        </is>
      </c>
      <c r="Z190" s="2" t="inlineStr">
        <is>
          <t>#8, #9, #11, #12 from the initial testing</t>
        </is>
      </c>
      <c r="AA190" s="2" t="inlineStr">
        <is>
          <t>P050292|R</t>
        </is>
      </c>
      <c r="AB190" s="8" t="inlineStr">
        <is>
          <t>not yet issuable — sampled 20.08.2026 — the series numbers it</t>
        </is>
      </c>
    </row>
    <row r="191">
      <c r="A191" s="2" t="inlineStr"/>
      <c r="B191" s="3" t="inlineStr">
        <is>
          <t>— at issue —</t>
        </is>
      </c>
      <c r="C191" s="6" t="inlineStr">
        <is>
          <t>no</t>
        </is>
      </c>
      <c r="D191" s="5">
        <f>IF(A191="","",IF(ISNUMBER(E191),MAX(DATE(2026,6,3),E191),DATE(2026,6,3)))</f>
        <v/>
      </c>
      <c r="E191" s="5" t="inlineStr">
        <is>
          <t>— at the retest sampling —</t>
        </is>
      </c>
      <c r="F191" s="5">
        <f>IFERROR(INDEX('Batch Dates'!$G:$G,MATCH(J191,'Batch Dates'!$C:$C,0)),IFERROR(INDEX('Batch Dates'!$G:$G,MATCH(I191,'Batch Dates'!$B:$B,0)),""))</f>
        <v/>
      </c>
      <c r="G191" s="2" t="inlineStr">
        <is>
          <t>legacy</t>
        </is>
      </c>
      <c r="H191" s="2" t="inlineStr">
        <is>
          <t>retest — Tranche 3 (sampled 19–21.08.2026)</t>
        </is>
      </c>
      <c r="I191" s="3" t="inlineStr">
        <is>
          <t>PM072501</t>
        </is>
      </c>
      <c r="J191" s="2" t="inlineStr">
        <is>
          <t>P050272</t>
        </is>
      </c>
      <c r="K191" s="2" t="inlineStr">
        <is>
          <t>Permanent Marker</t>
        </is>
      </c>
      <c r="L191" s="2" t="inlineStr">
        <is>
          <t>Ident A + Ident B + Foreign matter</t>
        </is>
      </c>
      <c r="M191" s="6" t="inlineStr">
        <is>
          <t>—</t>
        </is>
      </c>
      <c r="N191" s="2">
        <f>IFERROR(INDEX('CoQ Register'!$B:$B,MATCH("P050272|R",'CoQ Register'!$S:$S,0)),"—")</f>
        <v/>
      </c>
      <c r="O191" s="6" t="inlineStr">
        <is>
          <t>—</t>
        </is>
      </c>
      <c r="P191" s="2" t="inlineStr">
        <is>
          <t>21.01.2027</t>
        </is>
      </c>
      <c r="Q191" s="2" t="inlineStr">
        <is>
          <t>27.10.2025</t>
        </is>
      </c>
      <c r="R191" s="2" t="inlineStr">
        <is>
          <t>02.12.2025 – 03.12.2025 (the issuance plan's basis: 21.01.2026)</t>
        </is>
      </c>
      <c r="S191" s="5">
        <f>IFERROR(INDEX('CoQ Register'!$D:$D,MATCH("P050272|R",'CoQ Register'!$S:$S,0)),"")</f>
        <v/>
      </c>
      <c r="T191" s="2" t="inlineStr">
        <is>
          <t>Conforms</t>
        </is>
      </c>
      <c r="U191" s="2" t="inlineStr">
        <is>
          <t>Conforms</t>
        </is>
      </c>
      <c r="V191" s="2" t="inlineStr">
        <is>
          <t>Conforms</t>
        </is>
      </c>
      <c r="W191" s="2" t="inlineStr">
        <is>
          <t>227-9-K-26, (11.09.2026) [FHM-K]</t>
        </is>
      </c>
      <c r="X191" s="2" t="inlineStr">
        <is>
          <t>227-9-K-26, (11.09.2026) [FHM-K]</t>
        </is>
      </c>
      <c r="Y191" s="2" t="inlineStr">
        <is>
          <t>— pending —</t>
        </is>
      </c>
      <c r="Z191" s="2" t="inlineStr">
        <is>
          <t>#8, #9, #11, #12 from the initial testing</t>
        </is>
      </c>
      <c r="AA191" s="2" t="inlineStr">
        <is>
          <t>P050272|R</t>
        </is>
      </c>
      <c r="AB191" s="8" t="inlineStr">
        <is>
          <t>not yet issuable — sampled 19.08.2026 — the series numbers it</t>
        </is>
      </c>
    </row>
    <row r="192">
      <c r="A192" s="2" t="inlineStr"/>
      <c r="B192" s="3" t="inlineStr">
        <is>
          <t>— at issue —</t>
        </is>
      </c>
      <c r="C192" s="6" t="inlineStr">
        <is>
          <t>no</t>
        </is>
      </c>
      <c r="D192" s="5">
        <f>IF(A192="","",IF(ISNUMBER(E192),MAX(DATE(2026,6,3),E192),DATE(2026,6,3)))</f>
        <v/>
      </c>
      <c r="E192" s="5" t="inlineStr">
        <is>
          <t>— at the retest sampling —</t>
        </is>
      </c>
      <c r="F192" s="5">
        <f>IFERROR(INDEX('Batch Dates'!$G:$G,MATCH(J192,'Batch Dates'!$C:$C,0)),IFERROR(INDEX('Batch Dates'!$G:$G,MATCH(I192,'Batch Dates'!$B:$B,0)),""))</f>
        <v/>
      </c>
      <c r="G192" s="2" t="inlineStr">
        <is>
          <t>legacy</t>
        </is>
      </c>
      <c r="H192" s="2" t="inlineStr">
        <is>
          <t>retest — Tranche 3 (sampled 19–21.08.2026)</t>
        </is>
      </c>
      <c r="I192" s="3" t="inlineStr">
        <is>
          <t>WED102501</t>
        </is>
      </c>
      <c r="J192" s="2" t="inlineStr">
        <is>
          <t>P060102</t>
        </is>
      </c>
      <c r="K192" s="2" t="inlineStr">
        <is>
          <t>Wedding Cake</t>
        </is>
      </c>
      <c r="L192" s="2" t="inlineStr">
        <is>
          <t>Ident A + Ident B + Foreign matter</t>
        </is>
      </c>
      <c r="M192" s="6" t="inlineStr">
        <is>
          <t>—</t>
        </is>
      </c>
      <c r="N192" s="2">
        <f>IFERROR(INDEX('CoQ Register'!$B:$B,MATCH("P060102|R",'CoQ Register'!$S:$S,0)),"—")</f>
        <v/>
      </c>
      <c r="O192" s="6" t="inlineStr">
        <is>
          <t>—</t>
        </is>
      </c>
      <c r="P192" s="2" t="inlineStr">
        <is>
          <t>16.02.2027</t>
        </is>
      </c>
      <c r="Q192" s="2" t="inlineStr">
        <is>
          <t>08.01.2026</t>
        </is>
      </c>
      <c r="R192" s="2" t="inlineStr">
        <is>
          <t>16.02.2026</t>
        </is>
      </c>
      <c r="S192" s="5">
        <f>IFERROR(INDEX('CoQ Register'!$D:$D,MATCH("P060102|R",'CoQ Register'!$S:$S,0)),"")</f>
        <v/>
      </c>
      <c r="T192" s="2" t="inlineStr">
        <is>
          <t>Conforms</t>
        </is>
      </c>
      <c r="U192" s="2" t="inlineStr">
        <is>
          <t>Conforms</t>
        </is>
      </c>
      <c r="V192" s="2" t="inlineStr">
        <is>
          <t>Conforms</t>
        </is>
      </c>
      <c r="W192" s="2" t="inlineStr">
        <is>
          <t>227-4-K-26, (11.09.2026) [FHM-K]</t>
        </is>
      </c>
      <c r="X192" s="2" t="inlineStr">
        <is>
          <t>227-4-K-26, (11.09.2026) [FHM-K]</t>
        </is>
      </c>
      <c r="Y192" s="2" t="inlineStr">
        <is>
          <t>— pending —</t>
        </is>
      </c>
      <c r="Z192" s="2" t="inlineStr">
        <is>
          <t>#8, #9, #11, #12 from the initial testing</t>
        </is>
      </c>
      <c r="AA192" s="2" t="inlineStr">
        <is>
          <t>P060102|R</t>
        </is>
      </c>
      <c r="AB192" s="8" t="inlineStr">
        <is>
          <t>not yet issuable — sampled 19.08.2026 — the series numbers it</t>
        </is>
      </c>
    </row>
    <row r="193">
      <c r="A193" s="2" t="inlineStr"/>
      <c r="B193" s="3" t="inlineStr">
        <is>
          <t>— at issue —</t>
        </is>
      </c>
      <c r="C193" s="6" t="inlineStr">
        <is>
          <t>no</t>
        </is>
      </c>
      <c r="D193" s="5">
        <f>IF(A193="","",IF(ISNUMBER(E193),MAX(DATE(2026,6,3),E193),DATE(2026,6,3)))</f>
        <v/>
      </c>
      <c r="E193" s="5" t="inlineStr">
        <is>
          <t>— at the retest sampling —</t>
        </is>
      </c>
      <c r="F193" s="5">
        <f>IFERROR(INDEX('Batch Dates'!$G:$G,MATCH(J193,'Batch Dates'!$C:$C,0)),IFERROR(INDEX('Batch Dates'!$G:$G,MATCH(I193,'Batch Dates'!$B:$B,0)),""))</f>
        <v/>
      </c>
      <c r="G193" s="2" t="inlineStr">
        <is>
          <t>legacy</t>
        </is>
      </c>
      <c r="H193" s="2" t="inlineStr">
        <is>
          <t>retest — Tranche 3 (sampled 19–21.08.2026)</t>
        </is>
      </c>
      <c r="I193" s="3" t="inlineStr">
        <is>
          <t>AB092501</t>
        </is>
      </c>
      <c r="J193" s="2" t="inlineStr">
        <is>
          <t>P060052</t>
        </is>
      </c>
      <c r="K193" s="2" t="inlineStr">
        <is>
          <t>Apple and Banana</t>
        </is>
      </c>
      <c r="L193" s="2" t="inlineStr">
        <is>
          <t>Ident A + Ident B + Foreign matter</t>
        </is>
      </c>
      <c r="M193" s="6" t="inlineStr">
        <is>
          <t>—</t>
        </is>
      </c>
      <c r="N193" s="2">
        <f>IFERROR(INDEX('CoQ Register'!$B:$B,MATCH("P060052|R",'CoQ Register'!$S:$S,0)),"—")</f>
        <v/>
      </c>
      <c r="O193" s="6" t="inlineStr">
        <is>
          <t>—</t>
        </is>
      </c>
      <c r="P193" s="2" t="inlineStr">
        <is>
          <t>20.02.2027</t>
        </is>
      </c>
      <c r="Q193" s="2" t="inlineStr">
        <is>
          <t>11.12.2025</t>
        </is>
      </c>
      <c r="R193" s="2" t="inlineStr">
        <is>
          <t>30.01.2026 (the issuance plan's basis: 20.02.2026)</t>
        </is>
      </c>
      <c r="S193" s="5">
        <f>IFERROR(INDEX('CoQ Register'!$D:$D,MATCH("P060052|R",'CoQ Register'!$S:$S,0)),"")</f>
        <v/>
      </c>
      <c r="T193" s="2" t="inlineStr">
        <is>
          <t>Conforms</t>
        </is>
      </c>
      <c r="U193" s="2" t="inlineStr">
        <is>
          <t>Conforms</t>
        </is>
      </c>
      <c r="V193" s="2" t="inlineStr">
        <is>
          <t>Conforms</t>
        </is>
      </c>
      <c r="W193" s="2" t="inlineStr">
        <is>
          <t>227-30-K-26, (11.09.2026) [FHM-K]</t>
        </is>
      </c>
      <c r="X193" s="2" t="inlineStr">
        <is>
          <t>227-30-K-26, (11.09.2026) [FHM-K]</t>
        </is>
      </c>
      <c r="Y193" s="2" t="inlineStr">
        <is>
          <t>— pending —</t>
        </is>
      </c>
      <c r="Z193" s="2" t="inlineStr">
        <is>
          <t>#8, #9, #11, #12 from the initial testing</t>
        </is>
      </c>
      <c r="AA193" s="2" t="inlineStr">
        <is>
          <t>P060052|R</t>
        </is>
      </c>
      <c r="AB193" s="8" t="inlineStr">
        <is>
          <t>not yet issuable — sampled 21.08.2026 — the series numbers it</t>
        </is>
      </c>
    </row>
    <row r="194">
      <c r="A194" s="2" t="inlineStr"/>
      <c r="B194" s="3" t="inlineStr">
        <is>
          <t>— at issue —</t>
        </is>
      </c>
      <c r="C194" s="6" t="inlineStr">
        <is>
          <t>no</t>
        </is>
      </c>
      <c r="D194" s="5">
        <f>IF(A194="","",IF(ISNUMBER(E194),MAX(DATE(2026,6,3),E194),DATE(2026,6,3)))</f>
        <v/>
      </c>
      <c r="E194" s="5" t="inlineStr">
        <is>
          <t>— at the retest sampling —</t>
        </is>
      </c>
      <c r="F194" s="5">
        <f>IFERROR(INDEX('Batch Dates'!$G:$G,MATCH(J194,'Batch Dates'!$C:$C,0)),IFERROR(INDEX('Batch Dates'!$G:$G,MATCH(I194,'Batch Dates'!$B:$B,0)),""))</f>
        <v/>
      </c>
      <c r="G194" s="2" t="inlineStr">
        <is>
          <t>legacy</t>
        </is>
      </c>
      <c r="H194" s="2" t="inlineStr">
        <is>
          <t>retest — Tranche 3 (sampled 19–21.08.2026)</t>
        </is>
      </c>
      <c r="I194" s="3" t="inlineStr">
        <is>
          <t>GRC102501</t>
        </is>
      </c>
      <c r="J194" s="2" t="inlineStr">
        <is>
          <t>P060142</t>
        </is>
      </c>
      <c r="K194" s="2" t="inlineStr">
        <is>
          <t>Grapes And Cream</t>
        </is>
      </c>
      <c r="L194" s="2" t="inlineStr">
        <is>
          <t>Ident A + Ident B + Foreign matter</t>
        </is>
      </c>
      <c r="M194" s="6" t="inlineStr">
        <is>
          <t>—</t>
        </is>
      </c>
      <c r="N194" s="2">
        <f>IFERROR(INDEX('CoQ Register'!$B:$B,MATCH("P060142|R",'CoQ Register'!$S:$S,0)),"—")</f>
        <v/>
      </c>
      <c r="O194" s="6" t="inlineStr">
        <is>
          <t>—</t>
        </is>
      </c>
      <c r="P194" s="2" t="inlineStr">
        <is>
          <t>23.02.2027</t>
        </is>
      </c>
      <c r="Q194" s="2" t="inlineStr">
        <is>
          <t>09.01.2026</t>
        </is>
      </c>
      <c r="R194" s="2" t="inlineStr">
        <is>
          <t>23.02.2026</t>
        </is>
      </c>
      <c r="S194" s="5">
        <f>IFERROR(INDEX('CoQ Register'!$D:$D,MATCH("P060142|R",'CoQ Register'!$S:$S,0)),"")</f>
        <v/>
      </c>
      <c r="T194" s="2" t="inlineStr">
        <is>
          <t>Conforms</t>
        </is>
      </c>
      <c r="U194" s="2" t="inlineStr">
        <is>
          <t>Conforms</t>
        </is>
      </c>
      <c r="V194" s="2" t="inlineStr">
        <is>
          <t>Conforms</t>
        </is>
      </c>
      <c r="W194" s="2" t="inlineStr">
        <is>
          <t>227-16-K-26, (11.09.2026) [FHM-K]</t>
        </is>
      </c>
      <c r="X194" s="2" t="inlineStr">
        <is>
          <t>227-16-K-26, (11.09.2026) [FHM-K]</t>
        </is>
      </c>
      <c r="Y194" s="2" t="inlineStr">
        <is>
          <t>— pending —</t>
        </is>
      </c>
      <c r="Z194" s="2" t="inlineStr">
        <is>
          <t>#8, #9, #11, #12 from the initial testing</t>
        </is>
      </c>
      <c r="AA194" s="2" t="inlineStr">
        <is>
          <t>P060142|R</t>
        </is>
      </c>
      <c r="AB194" s="8" t="inlineStr">
        <is>
          <t>not yet issuable — sampled 20.08.2026 — the series numbers it</t>
        </is>
      </c>
    </row>
    <row r="195">
      <c r="A195" s="2" t="inlineStr"/>
      <c r="B195" s="3" t="inlineStr">
        <is>
          <t>— at issue —</t>
        </is>
      </c>
      <c r="C195" s="6" t="inlineStr">
        <is>
          <t>no</t>
        </is>
      </c>
      <c r="D195" s="5">
        <f>IF(A195="","",IF(ISNUMBER(E195),MAX(DATE(2026,6,3),E195),DATE(2026,6,3)))</f>
        <v/>
      </c>
      <c r="E195" s="5" t="inlineStr">
        <is>
          <t>— at the retest sampling —</t>
        </is>
      </c>
      <c r="F195" s="5">
        <f>IFERROR(INDEX('Batch Dates'!$G:$G,MATCH(J195,'Batch Dates'!$C:$C,0)),IFERROR(INDEX('Batch Dates'!$G:$G,MATCH(I195,'Batch Dates'!$B:$B,0)),""))</f>
        <v/>
      </c>
      <c r="G195" s="2" t="inlineStr">
        <is>
          <t>legacy</t>
        </is>
      </c>
      <c r="H195" s="2" t="inlineStr">
        <is>
          <t>retest — Tranche 3 (sampled 19–21.08.2026)</t>
        </is>
      </c>
      <c r="I195" s="3" t="inlineStr">
        <is>
          <t>SJ102501</t>
        </is>
      </c>
      <c r="J195" s="2" t="inlineStr">
        <is>
          <t>P060162</t>
        </is>
      </c>
      <c r="K195" s="2" t="inlineStr">
        <is>
          <t>Sleepy Joe</t>
        </is>
      </c>
      <c r="L195" s="2" t="inlineStr">
        <is>
          <t>Ident A + Ident B + Foreign matter</t>
        </is>
      </c>
      <c r="M195" s="6" t="inlineStr">
        <is>
          <t>—</t>
        </is>
      </c>
      <c r="N195" s="2">
        <f>IFERROR(INDEX('CoQ Register'!$B:$B,MATCH("P060162|R",'CoQ Register'!$S:$S,0)),"—")</f>
        <v/>
      </c>
      <c r="O195" s="6" t="inlineStr">
        <is>
          <t>—</t>
        </is>
      </c>
      <c r="P195" s="2" t="inlineStr">
        <is>
          <t>04.03.2027</t>
        </is>
      </c>
      <c r="Q195" s="2" t="inlineStr">
        <is>
          <t>20.01.2026</t>
        </is>
      </c>
      <c r="R195" s="2" t="inlineStr">
        <is>
          <t>09.03.2026 (the issuance plan's basis: 04.03.2026)</t>
        </is>
      </c>
      <c r="S195" s="5">
        <f>IFERROR(INDEX('CoQ Register'!$D:$D,MATCH("P060162|R",'CoQ Register'!$S:$S,0)),"")</f>
        <v/>
      </c>
      <c r="T195" s="2" t="inlineStr">
        <is>
          <t>Conforms</t>
        </is>
      </c>
      <c r="U195" s="2" t="inlineStr">
        <is>
          <t>Conforms</t>
        </is>
      </c>
      <c r="V195" s="2" t="inlineStr">
        <is>
          <t>Conforms</t>
        </is>
      </c>
      <c r="W195" s="2" t="inlineStr">
        <is>
          <t>227-6-K-26, (11.09.2026) [FHM-K]</t>
        </is>
      </c>
      <c r="X195" s="2" t="inlineStr">
        <is>
          <t>227-6-K-26, (11.09.2026) [FHM-K]</t>
        </is>
      </c>
      <c r="Y195" s="2" t="inlineStr">
        <is>
          <t>— pending —</t>
        </is>
      </c>
      <c r="Z195" s="2" t="inlineStr">
        <is>
          <t>#8, #9, #11, #12 from the initial testing</t>
        </is>
      </c>
      <c r="AA195" s="2" t="inlineStr">
        <is>
          <t>P060162|R</t>
        </is>
      </c>
      <c r="AB195" s="8" t="inlineStr">
        <is>
          <t>not yet issuable — sampled 19.08.2026 — the series numbers it</t>
        </is>
      </c>
    </row>
    <row r="196">
      <c r="A196" s="2" t="inlineStr"/>
      <c r="B196" s="3" t="inlineStr">
        <is>
          <t>— at issue —</t>
        </is>
      </c>
      <c r="C196" s="6" t="inlineStr">
        <is>
          <t>no</t>
        </is>
      </c>
      <c r="D196" s="5">
        <f>IF(A196="","",IF(ISNUMBER(E196),MAX(DATE(2026,6,3),E196),DATE(2026,6,3)))</f>
        <v/>
      </c>
      <c r="E196" s="5" t="inlineStr">
        <is>
          <t>— at the retest sampling —</t>
        </is>
      </c>
      <c r="F196" s="5">
        <f>IFERROR(INDEX('Batch Dates'!$G:$G,MATCH(J196,'Batch Dates'!$C:$C,0)),IFERROR(INDEX('Batch Dates'!$G:$G,MATCH(I196,'Batch Dates'!$B:$B,0)),""))</f>
        <v/>
      </c>
      <c r="G196" s="2" t="inlineStr">
        <is>
          <t>legacy</t>
        </is>
      </c>
      <c r="H196" s="2" t="inlineStr">
        <is>
          <t>retest — Tranche 3 (sampled 19–21.08.2026)</t>
        </is>
      </c>
      <c r="I196" s="3" t="inlineStr">
        <is>
          <t>OPM112501</t>
        </is>
      </c>
      <c r="J196" s="2" t="inlineStr">
        <is>
          <t>P060222</t>
        </is>
      </c>
      <c r="K196" s="2" t="inlineStr">
        <is>
          <t>Orange Punch Mimosa</t>
        </is>
      </c>
      <c r="L196" s="2" t="inlineStr">
        <is>
          <t>Ident A + Ident B + Foreign matter</t>
        </is>
      </c>
      <c r="M196" s="6" t="inlineStr">
        <is>
          <t>—</t>
        </is>
      </c>
      <c r="N196" s="2">
        <f>IFERROR(INDEX('CoQ Register'!$B:$B,MATCH("P060222|R",'CoQ Register'!$S:$S,0)),"—")</f>
        <v/>
      </c>
      <c r="O196" s="6" t="inlineStr">
        <is>
          <t>—</t>
        </is>
      </c>
      <c r="P196" s="2" t="inlineStr">
        <is>
          <t>05.03.2027</t>
        </is>
      </c>
      <c r="Q196" s="2" t="inlineStr">
        <is>
          <t>05.02.2026</t>
        </is>
      </c>
      <c r="R196" s="2" t="inlineStr">
        <is>
          <t>24.04.2026 (the issuance plan's basis: 05.03.2026)</t>
        </is>
      </c>
      <c r="S196" s="5">
        <f>IFERROR(INDEX('CoQ Register'!$D:$D,MATCH("P060222|R",'CoQ Register'!$S:$S,0)),"")</f>
        <v/>
      </c>
      <c r="T196" s="2" t="inlineStr">
        <is>
          <t>Conforms</t>
        </is>
      </c>
      <c r="U196" s="2" t="inlineStr">
        <is>
          <t>Conforms</t>
        </is>
      </c>
      <c r="V196" s="2" t="inlineStr">
        <is>
          <t>Conforms</t>
        </is>
      </c>
      <c r="W196" s="2" t="inlineStr">
        <is>
          <t>227-10-K-26, (11.09.2026) [FHM-K]</t>
        </is>
      </c>
      <c r="X196" s="2" t="inlineStr">
        <is>
          <t>227-10-K-26, (11.09.2026) [FHM-K]</t>
        </is>
      </c>
      <c r="Y196" s="2" t="inlineStr">
        <is>
          <t>— pending —</t>
        </is>
      </c>
      <c r="Z196" s="2" t="inlineStr">
        <is>
          <t>#8, #9, #11, #12 from the initial testing</t>
        </is>
      </c>
      <c r="AA196" s="2" t="inlineStr">
        <is>
          <t>P060222|R</t>
        </is>
      </c>
      <c r="AB196" s="8" t="inlineStr">
        <is>
          <t>not yet issuable — sampled 19.08.2026 — the series numbers it</t>
        </is>
      </c>
    </row>
    <row r="197">
      <c r="A197" s="2" t="inlineStr"/>
      <c r="B197" s="3" t="inlineStr">
        <is>
          <t>— at issue —</t>
        </is>
      </c>
      <c r="C197" s="6" t="inlineStr">
        <is>
          <t>no</t>
        </is>
      </c>
      <c r="D197" s="5">
        <f>IF(A197="","",IF(ISNUMBER(E197),MAX(DATE(2026,6,3),E197),DATE(2026,6,3)))</f>
        <v/>
      </c>
      <c r="E197" s="5" t="inlineStr">
        <is>
          <t>— at the retest sampling —</t>
        </is>
      </c>
      <c r="F197" s="5">
        <f>IFERROR(INDEX('Batch Dates'!$G:$G,MATCH(J197,'Batch Dates'!$C:$C,0)),IFERROR(INDEX('Batch Dates'!$G:$G,MATCH(I197,'Batch Dates'!$B:$B,0)),""))</f>
        <v/>
      </c>
      <c r="G197" s="2" t="inlineStr">
        <is>
          <t>legacy</t>
        </is>
      </c>
      <c r="H197" s="2" t="inlineStr">
        <is>
          <t>retest — Tranche 3 (sampled 19–21.08.2026)</t>
        </is>
      </c>
      <c r="I197" s="3" t="inlineStr">
        <is>
          <t>J31112501</t>
        </is>
      </c>
      <c r="J197" s="2" t="inlineStr">
        <is>
          <t>P060202</t>
        </is>
      </c>
      <c r="K197" s="2" t="inlineStr">
        <is>
          <t>Jokerz 31</t>
        </is>
      </c>
      <c r="L197" s="2" t="inlineStr">
        <is>
          <t>Ident A + Ident B + Foreign matter</t>
        </is>
      </c>
      <c r="M197" s="6" t="inlineStr">
        <is>
          <t>—</t>
        </is>
      </c>
      <c r="N197" s="2">
        <f>IFERROR(INDEX('CoQ Register'!$B:$B,MATCH("P060202|R",'CoQ Register'!$S:$S,0)),"—")</f>
        <v/>
      </c>
      <c r="O197" s="6" t="inlineStr">
        <is>
          <t>—</t>
        </is>
      </c>
      <c r="P197" s="2" t="inlineStr">
        <is>
          <t>09.04.2027</t>
        </is>
      </c>
      <c r="Q197" s="2" t="inlineStr">
        <is>
          <t>26.01.2026</t>
        </is>
      </c>
      <c r="R197" s="2" t="inlineStr">
        <is>
          <t>17.04.2026 (the issuance plan's basis: 09.04.2026)</t>
        </is>
      </c>
      <c r="S197" s="5">
        <f>IFERROR(INDEX('CoQ Register'!$D:$D,MATCH("P060202|R",'CoQ Register'!$S:$S,0)),"")</f>
        <v/>
      </c>
      <c r="T197" s="2" t="inlineStr">
        <is>
          <t>Conforms</t>
        </is>
      </c>
      <c r="U197" s="2" t="inlineStr">
        <is>
          <t>Conforms</t>
        </is>
      </c>
      <c r="V197" s="2" t="inlineStr">
        <is>
          <t>Conforms</t>
        </is>
      </c>
      <c r="W197" s="2" t="inlineStr">
        <is>
          <t>227-14-K-26, (11.09.2026) [FHM-K]</t>
        </is>
      </c>
      <c r="X197" s="2" t="inlineStr">
        <is>
          <t>227-14-K-26, (11.09.2026) [FHM-K]</t>
        </is>
      </c>
      <c r="Y197" s="2" t="inlineStr">
        <is>
          <t>— pending —</t>
        </is>
      </c>
      <c r="Z197" s="2" t="inlineStr">
        <is>
          <t>#8, #9, #11, #12 from the initial testing</t>
        </is>
      </c>
      <c r="AA197" s="2" t="inlineStr">
        <is>
          <t>P060202|R</t>
        </is>
      </c>
      <c r="AB197" s="8" t="inlineStr">
        <is>
          <t>not yet issuable — sampled 20.08.2026 — the series numbers it</t>
        </is>
      </c>
    </row>
    <row r="198">
      <c r="A198" s="2" t="inlineStr"/>
      <c r="B198" s="3" t="inlineStr">
        <is>
          <t>— at issue —</t>
        </is>
      </c>
      <c r="C198" s="6" t="inlineStr">
        <is>
          <t>no</t>
        </is>
      </c>
      <c r="D198" s="5">
        <f>IF(A198="","",IF(ISNUMBER(E198),MAX(DATE(2026,6,3),E198),DATE(2026,6,3)))</f>
        <v/>
      </c>
      <c r="E198" s="5" t="inlineStr">
        <is>
          <t>— at the retest sampling —</t>
        </is>
      </c>
      <c r="F198" s="5">
        <f>IFERROR(INDEX('Batch Dates'!$G:$G,MATCH(J198,'Batch Dates'!$C:$C,0)),IFERROR(INDEX('Batch Dates'!$G:$G,MATCH(I198,'Batch Dates'!$B:$B,0)),""))</f>
        <v/>
      </c>
      <c r="G198" s="2" t="inlineStr">
        <is>
          <t>post-SOP</t>
        </is>
      </c>
      <c r="H198" s="2" t="inlineStr">
        <is>
          <t>retest — Tranche 3 (sampled 19–21.08.2026)</t>
        </is>
      </c>
      <c r="I198" s="3" t="inlineStr">
        <is>
          <t>J31122501</t>
        </is>
      </c>
      <c r="J198" s="2" t="inlineStr">
        <is>
          <t>P060262</t>
        </is>
      </c>
      <c r="K198" s="2" t="inlineStr">
        <is>
          <t>Jokerz 31</t>
        </is>
      </c>
      <c r="L198" s="2" t="inlineStr">
        <is>
          <t>Ident A + Ident B + Foreign matter</t>
        </is>
      </c>
      <c r="M198" s="6" t="inlineStr">
        <is>
          <t>—</t>
        </is>
      </c>
      <c r="N198" s="2">
        <f>IFERROR(INDEX('CoQ Register'!$B:$B,MATCH("P060262|R",'CoQ Register'!$S:$S,0)),"—")</f>
        <v/>
      </c>
      <c r="O198" s="6" t="inlineStr">
        <is>
          <t>—</t>
        </is>
      </c>
      <c r="P198" s="2" t="inlineStr">
        <is>
          <t>23.04.2027</t>
        </is>
      </c>
      <c r="Q198" s="2" t="inlineStr">
        <is>
          <t>04.03.2026</t>
        </is>
      </c>
      <c r="R198" s="2" t="inlineStr">
        <is>
          <t>14.05.2026 (the issuance plan's basis: 23.04.2026)</t>
        </is>
      </c>
      <c r="S198" s="5">
        <f>IFERROR(INDEX('CoQ Register'!$D:$D,MATCH("P060262|R",'CoQ Register'!$S:$S,0)),"")</f>
        <v/>
      </c>
      <c r="T198" s="2" t="inlineStr">
        <is>
          <t>Conforms</t>
        </is>
      </c>
      <c r="U198" s="2" t="inlineStr">
        <is>
          <t>Conforms</t>
        </is>
      </c>
      <c r="V198" s="2" t="inlineStr">
        <is>
          <t>Conforms</t>
        </is>
      </c>
      <c r="W198" s="2" t="inlineStr">
        <is>
          <t>— retest assay not yet on file —</t>
        </is>
      </c>
      <c r="X198" s="2" t="inlineStr">
        <is>
          <t>— pending —</t>
        </is>
      </c>
      <c r="Y198" s="2" t="inlineStr">
        <is>
          <t>— pending —</t>
        </is>
      </c>
      <c r="Z198" s="2" t="inlineStr">
        <is>
          <t>#8, #9, #11, #12 from the initial testing</t>
        </is>
      </c>
      <c r="AA198" s="2" t="inlineStr">
        <is>
          <t>P060262|R</t>
        </is>
      </c>
      <c r="AB198" s="8" t="inlineStr">
        <is>
          <t>not yet issuable — sampled 20.08.2026 — the series numbers it</t>
        </is>
      </c>
    </row>
    <row r="199">
      <c r="A199" s="2" t="inlineStr"/>
      <c r="B199" s="3" t="inlineStr">
        <is>
          <t>— at issue —</t>
        </is>
      </c>
      <c r="C199" s="6" t="inlineStr">
        <is>
          <t>no</t>
        </is>
      </c>
      <c r="D199" s="5">
        <f>IF(A199="","",IF(ISNUMBER(E199),MAX(DATE(2026,6,3),E199),DATE(2026,6,3)))</f>
        <v/>
      </c>
      <c r="E199" s="5" t="inlineStr">
        <is>
          <t>— at the retest sampling —</t>
        </is>
      </c>
      <c r="F199" s="5">
        <f>IFERROR(INDEX('Batch Dates'!$G:$G,MATCH(J199,'Batch Dates'!$C:$C,0)),IFERROR(INDEX('Batch Dates'!$G:$G,MATCH(I199,'Batch Dates'!$B:$B,0)),""))</f>
        <v/>
      </c>
      <c r="G199" s="2" t="inlineStr">
        <is>
          <t>post-SOP</t>
        </is>
      </c>
      <c r="H199" s="2" t="inlineStr">
        <is>
          <t>retest — Tranche 3 (sampled 19–21.08.2026)</t>
        </is>
      </c>
      <c r="I199" s="3" t="inlineStr">
        <is>
          <t>CC112501</t>
        </is>
      </c>
      <c r="J199" s="2" t="inlineStr">
        <is>
          <t>P060272</t>
        </is>
      </c>
      <c r="K199" s="2" t="inlineStr">
        <is>
          <t>Cash Cow</t>
        </is>
      </c>
      <c r="L199" s="2" t="inlineStr">
        <is>
          <t>Ident A + Ident B + Foreign matter</t>
        </is>
      </c>
      <c r="M199" s="6" t="inlineStr">
        <is>
          <t>—</t>
        </is>
      </c>
      <c r="N199" s="2">
        <f>IFERROR(INDEX('CoQ Register'!$B:$B,MATCH("P060272|R",'CoQ Register'!$S:$S,0)),"—")</f>
        <v/>
      </c>
      <c r="O199" s="6" t="inlineStr">
        <is>
          <t>—</t>
        </is>
      </c>
      <c r="P199" s="2" t="inlineStr">
        <is>
          <t>11.05.2027</t>
        </is>
      </c>
      <c r="Q199" s="2" t="inlineStr">
        <is>
          <t>25.03.2026</t>
        </is>
      </c>
      <c r="R199" s="2" t="inlineStr">
        <is>
          <t>18.05.2026 (the issuance plan's basis: 11.05.2026)</t>
        </is>
      </c>
      <c r="S199" s="5">
        <f>IFERROR(INDEX('CoQ Register'!$D:$D,MATCH("P060272|R",'CoQ Register'!$S:$S,0)),"")</f>
        <v/>
      </c>
      <c r="T199" s="2" t="inlineStr">
        <is>
          <t>Conforms</t>
        </is>
      </c>
      <c r="U199" s="2" t="inlineStr">
        <is>
          <t>Conforms</t>
        </is>
      </c>
      <c r="V199" s="2" t="inlineStr">
        <is>
          <t>Conforms</t>
        </is>
      </c>
      <c r="W199" s="2" t="inlineStr">
        <is>
          <t>227-25-K-26, (11.09.2026) [FHM-K]</t>
        </is>
      </c>
      <c r="X199" s="2" t="inlineStr">
        <is>
          <t>227-25-K-26, (11.09.2026) [FHM-K]</t>
        </is>
      </c>
      <c r="Y199" s="2" t="inlineStr">
        <is>
          <t>— pending —</t>
        </is>
      </c>
      <c r="Z199" s="2" t="inlineStr">
        <is>
          <t>#8, #9, #11, #12 from the initial testing</t>
        </is>
      </c>
      <c r="AA199" s="2" t="inlineStr">
        <is>
          <t>P060272|R</t>
        </is>
      </c>
      <c r="AB199" s="8" t="inlineStr">
        <is>
          <t>not yet issuable — sampled 21.08.2026 — the series numbers it</t>
        </is>
      </c>
    </row>
    <row r="200">
      <c r="A200" s="2" t="inlineStr"/>
      <c r="B200" s="3" t="inlineStr">
        <is>
          <t>— at issue —</t>
        </is>
      </c>
      <c r="C200" s="6" t="inlineStr">
        <is>
          <t>no</t>
        </is>
      </c>
      <c r="D200" s="5">
        <f>IF(A200="","",IF(ISNUMBER(E200),MAX(DATE(2026,6,3),E200),DATE(2026,6,3)))</f>
        <v/>
      </c>
      <c r="E200" s="5" t="inlineStr">
        <is>
          <t>— at the retest sampling —</t>
        </is>
      </c>
      <c r="F200" s="5">
        <f>IFERROR(INDEX('Batch Dates'!$G:$G,MATCH(J200,'Batch Dates'!$C:$C,0)),IFERROR(INDEX('Batch Dates'!$G:$G,MATCH(I200,'Batch Dates'!$B:$B,0)),""))</f>
        <v/>
      </c>
      <c r="G200" s="2" t="inlineStr">
        <is>
          <t>post-SOP</t>
        </is>
      </c>
      <c r="H200" s="2" t="inlineStr">
        <is>
          <t>retest — Tranche 3 (sampled 19–21.08.2026)</t>
        </is>
      </c>
      <c r="I200" s="3" t="inlineStr">
        <is>
          <t>FB112501</t>
        </is>
      </c>
      <c r="J200" s="2" t="inlineStr">
        <is>
          <t>P060292</t>
        </is>
      </c>
      <c r="K200" s="2" t="inlineStr">
        <is>
          <t>Fat Bastard</t>
        </is>
      </c>
      <c r="L200" s="2" t="inlineStr">
        <is>
          <t>Ident A + Ident B + Foreign matter</t>
        </is>
      </c>
      <c r="M200" s="6" t="inlineStr">
        <is>
          <t>—</t>
        </is>
      </c>
      <c r="N200" s="2">
        <f>IFERROR(INDEX('CoQ Register'!$B:$B,MATCH("P060292|R",'CoQ Register'!$S:$S,0)),"—")</f>
        <v/>
      </c>
      <c r="O200" s="6" t="inlineStr">
        <is>
          <t>—</t>
        </is>
      </c>
      <c r="P200" s="2" t="inlineStr">
        <is>
          <t>11.05.2027</t>
        </is>
      </c>
      <c r="Q200" s="2" t="inlineStr">
        <is>
          <t>25.03.2026</t>
        </is>
      </c>
      <c r="R200" s="2" t="inlineStr">
        <is>
          <t>19.05.2026 (the issuance plan's basis: 11.05.2026)</t>
        </is>
      </c>
      <c r="S200" s="5">
        <f>IFERROR(INDEX('CoQ Register'!$D:$D,MATCH("P060292|R",'CoQ Register'!$S:$S,0)),"")</f>
        <v/>
      </c>
      <c r="T200" s="2" t="inlineStr">
        <is>
          <t>Conforms</t>
        </is>
      </c>
      <c r="U200" s="2" t="inlineStr">
        <is>
          <t>Conforms</t>
        </is>
      </c>
      <c r="V200" s="2" t="inlineStr">
        <is>
          <t>Conforms</t>
        </is>
      </c>
      <c r="W200" s="2" t="inlineStr">
        <is>
          <t>227-22-K-26, (11.09.2026) [FHM-K]</t>
        </is>
      </c>
      <c r="X200" s="2" t="inlineStr">
        <is>
          <t>227-22-K-26, (11.09.2026) [FHM-K]</t>
        </is>
      </c>
      <c r="Y200" s="2" t="inlineStr">
        <is>
          <t>— pending —</t>
        </is>
      </c>
      <c r="Z200" s="2" t="inlineStr">
        <is>
          <t>#8, #9, #11, #12 from the initial testing</t>
        </is>
      </c>
      <c r="AA200" s="2" t="inlineStr">
        <is>
          <t>P060292|R</t>
        </is>
      </c>
      <c r="AB200" s="8" t="inlineStr">
        <is>
          <t>not yet issuable — sampled 21.08.2026 — the series numbers it</t>
        </is>
      </c>
    </row>
    <row r="201">
      <c r="A201" s="2" t="inlineStr"/>
      <c r="B201" s="3" t="inlineStr">
        <is>
          <t>— at issue —</t>
        </is>
      </c>
      <c r="C201" s="6" t="inlineStr">
        <is>
          <t>no</t>
        </is>
      </c>
      <c r="D201" s="5">
        <f>IF(A201="","",IF(ISNUMBER(E201),MAX(DATE(2026,6,3),E201),DATE(2026,6,3)))</f>
        <v/>
      </c>
      <c r="E201" s="5" t="inlineStr">
        <is>
          <t>— at the retest sampling —</t>
        </is>
      </c>
      <c r="F201" s="5">
        <f>IFERROR(INDEX('Batch Dates'!$G:$G,MATCH(J201,'Batch Dates'!$C:$C,0)),IFERROR(INDEX('Batch Dates'!$G:$G,MATCH(I201,'Batch Dates'!$B:$B,0)),""))</f>
        <v/>
      </c>
      <c r="G201" s="2" t="inlineStr">
        <is>
          <t>post-SOP</t>
        </is>
      </c>
      <c r="H201" s="2" t="inlineStr">
        <is>
          <t>retest — Tranche 3 (sampled 19–21.08.2026)</t>
        </is>
      </c>
      <c r="I201" s="3" t="inlineStr">
        <is>
          <t>GG012601＊</t>
        </is>
      </c>
      <c r="J201" s="2" t="inlineStr">
        <is>
          <t>P060302</t>
        </is>
      </c>
      <c r="K201" s="2" t="inlineStr">
        <is>
          <t>Gorilla Glue</t>
        </is>
      </c>
      <c r="L201" s="2" t="inlineStr">
        <is>
          <t>Ident A + Ident B + Foreign matter</t>
        </is>
      </c>
      <c r="M201" s="6" t="inlineStr">
        <is>
          <t>—</t>
        </is>
      </c>
      <c r="N201" s="2">
        <f>IFERROR(INDEX('CoQ Register'!$B:$B,MATCH("P060302|R",'CoQ Register'!$S:$S,0)),"—")</f>
        <v/>
      </c>
      <c r="O201" s="6" t="inlineStr">
        <is>
          <t>—</t>
        </is>
      </c>
      <c r="P201" s="2" t="inlineStr">
        <is>
          <t>11.05.2027</t>
        </is>
      </c>
      <c r="Q201" s="2" t="inlineStr">
        <is>
          <t>27.03.2026</t>
        </is>
      </c>
      <c r="R201" s="2" t="inlineStr">
        <is>
          <t>20.05.2026 (the issuance plan's basis: 11.05.2026)</t>
        </is>
      </c>
      <c r="S201" s="5">
        <f>IFERROR(INDEX('CoQ Register'!$D:$D,MATCH("P060302|R",'CoQ Register'!$S:$S,0)),"")</f>
        <v/>
      </c>
      <c r="T201" s="2" t="inlineStr">
        <is>
          <t>Conforms</t>
        </is>
      </c>
      <c r="U201" s="2" t="inlineStr">
        <is>
          <t>Conforms</t>
        </is>
      </c>
      <c r="V201" s="2" t="inlineStr">
        <is>
          <t>Conforms</t>
        </is>
      </c>
      <c r="W201" s="2" t="inlineStr">
        <is>
          <t>227-21-K-26, (11.09.2026) [FHM-K]</t>
        </is>
      </c>
      <c r="X201" s="2" t="inlineStr">
        <is>
          <t>227-21-K-26, (11.09.2026) [FHM-K]</t>
        </is>
      </c>
      <c r="Y201" s="2" t="inlineStr">
        <is>
          <t>— pending —</t>
        </is>
      </c>
      <c r="Z201" s="2" t="inlineStr">
        <is>
          <t>#8, #9, #11, #12 from the initial testing</t>
        </is>
      </c>
      <c r="AA201" s="2" t="inlineStr">
        <is>
          <t>P060302|R</t>
        </is>
      </c>
      <c r="AB201" s="8" t="inlineStr">
        <is>
          <t>not yet issuable — sampled 21.08.2026 — the series numbers it</t>
        </is>
      </c>
    </row>
    <row r="202">
      <c r="A202" s="2" t="inlineStr"/>
      <c r="B202" s="3" t="inlineStr">
        <is>
          <t>— at issue —</t>
        </is>
      </c>
      <c r="C202" s="6" t="inlineStr">
        <is>
          <t>no</t>
        </is>
      </c>
      <c r="D202" s="5">
        <f>IF(A202="","",IF(ISNUMBER(E202),MAX(DATE(2026,6,3),E202),DATE(2026,6,3)))</f>
        <v/>
      </c>
      <c r="E202" s="5" t="inlineStr">
        <is>
          <t>— at the retest sampling —</t>
        </is>
      </c>
      <c r="F202" s="5">
        <f>IFERROR(INDEX('Batch Dates'!$G:$G,MATCH(J202,'Batch Dates'!$C:$C,0)),IFERROR(INDEX('Batch Dates'!$G:$G,MATCH(I202,'Batch Dates'!$B:$B,0)),""))</f>
        <v/>
      </c>
      <c r="G202" s="2" t="inlineStr">
        <is>
          <t>legacy</t>
        </is>
      </c>
      <c r="H202" s="2" t="inlineStr">
        <is>
          <t>retest — Tranche 3 (sampled 19–21.08.2026)</t>
        </is>
      </c>
      <c r="I202" s="3" t="inlineStr">
        <is>
          <t>GG112501</t>
        </is>
      </c>
      <c r="J202" s="2" t="inlineStr">
        <is>
          <t>P060252</t>
        </is>
      </c>
      <c r="K202" s="2" t="inlineStr">
        <is>
          <t>Gorilla Glue</t>
        </is>
      </c>
      <c r="L202" s="2" t="inlineStr">
        <is>
          <t>Ident A + Ident B + Foreign matter</t>
        </is>
      </c>
      <c r="M202" s="6" t="inlineStr">
        <is>
          <t>—</t>
        </is>
      </c>
      <c r="N202" s="2">
        <f>IFERROR(INDEX('CoQ Register'!$B:$B,MATCH("P060252|R",'CoQ Register'!$S:$S,0)),"—")</f>
        <v/>
      </c>
      <c r="O202" s="6" t="inlineStr">
        <is>
          <t>—</t>
        </is>
      </c>
      <c r="P202" s="2" t="inlineStr">
        <is>
          <t>11.05.2027</t>
        </is>
      </c>
      <c r="Q202" s="2" t="inlineStr">
        <is>
          <t>25.03.2026</t>
        </is>
      </c>
      <c r="R202" s="2" t="inlineStr">
        <is>
          <t>05.05.2026 (the issuance plan's basis: 11.05.2026)</t>
        </is>
      </c>
      <c r="S202" s="5">
        <f>IFERROR(INDEX('CoQ Register'!$D:$D,MATCH("P060252|R",'CoQ Register'!$S:$S,0)),"")</f>
        <v/>
      </c>
      <c r="T202" s="2" t="inlineStr">
        <is>
          <t>Conforms</t>
        </is>
      </c>
      <c r="U202" s="2" t="inlineStr">
        <is>
          <t>Conforms</t>
        </is>
      </c>
      <c r="V202" s="2" t="inlineStr">
        <is>
          <t>Conforms</t>
        </is>
      </c>
      <c r="W202" s="2" t="inlineStr">
        <is>
          <t>227-20-K-26, (11.09.2026) [FHM-K]</t>
        </is>
      </c>
      <c r="X202" s="2" t="inlineStr">
        <is>
          <t>227-20-K-26, (11.09.2026) [FHM-K]</t>
        </is>
      </c>
      <c r="Y202" s="2" t="inlineStr">
        <is>
          <t>— pending —</t>
        </is>
      </c>
      <c r="Z202" s="2" t="inlineStr">
        <is>
          <t>#8, #9, #11, #12 from the initial testing</t>
        </is>
      </c>
      <c r="AA202" s="2" t="inlineStr">
        <is>
          <t>P060252|R</t>
        </is>
      </c>
      <c r="AB202" s="8" t="inlineStr">
        <is>
          <t>not yet issuable — sampled 20.08.2026 — the series numbers it</t>
        </is>
      </c>
    </row>
    <row r="203">
      <c r="A203" s="2" t="inlineStr"/>
      <c r="B203" s="3" t="inlineStr">
        <is>
          <t>— at issue —</t>
        </is>
      </c>
      <c r="C203" s="6" t="inlineStr">
        <is>
          <t>no</t>
        </is>
      </c>
      <c r="D203" s="5">
        <f>IF(A203="","",IF(ISNUMBER(E203),MAX(DATE(2026,6,3),E203),DATE(2026,6,3)))</f>
        <v/>
      </c>
      <c r="E203" s="5" t="inlineStr">
        <is>
          <t>— at the retest sampling —</t>
        </is>
      </c>
      <c r="F203" s="5">
        <f>IFERROR(INDEX('Batch Dates'!$G:$G,MATCH(J203,'Batch Dates'!$C:$C,0)),IFERROR(INDEX('Batch Dates'!$G:$G,MATCH(I203,'Batch Dates'!$B:$B,0)),""))</f>
        <v/>
      </c>
      <c r="G203" s="2" t="inlineStr">
        <is>
          <t>legacy</t>
        </is>
      </c>
      <c r="H203" s="2" t="inlineStr">
        <is>
          <t>retest — Tranche 3 (sampled 19–21.08.2026)</t>
        </is>
      </c>
      <c r="I203" s="3" t="inlineStr">
        <is>
          <t>GP062501</t>
        </is>
      </c>
      <c r="J203" s="2" t="inlineStr">
        <is>
          <t>P050202</t>
        </is>
      </c>
      <c r="K203" s="2" t="inlineStr">
        <is>
          <t>Grape Pie</t>
        </is>
      </c>
      <c r="L203" s="2" t="inlineStr">
        <is>
          <t>Ident A + Ident B + Foreign matter</t>
        </is>
      </c>
      <c r="M203" s="6" t="inlineStr">
        <is>
          <t>—</t>
        </is>
      </c>
      <c r="N203" s="2">
        <f>IFERROR(INDEX('CoQ Register'!$B:$B,MATCH("P050202|R",'CoQ Register'!$S:$S,0)),"—")</f>
        <v/>
      </c>
      <c r="O203" s="6" t="inlineStr">
        <is>
          <t>—</t>
        </is>
      </c>
      <c r="P203" s="2" t="inlineStr">
        <is>
          <t>11.05.2027</t>
        </is>
      </c>
      <c r="Q203" s="2" t="inlineStr">
        <is>
          <t>15.09.2025 – 17.09.2025</t>
        </is>
      </c>
      <c r="R203" s="2" t="inlineStr">
        <is>
          <t>30.10.2025 – 07.11.2025 (the issuance plan's basis: 11.05.2026)</t>
        </is>
      </c>
      <c r="S203" s="5">
        <f>IFERROR(INDEX('CoQ Register'!$D:$D,MATCH("P050202|R",'CoQ Register'!$S:$S,0)),"")</f>
        <v/>
      </c>
      <c r="T203" s="2" t="inlineStr">
        <is>
          <t>Conforms</t>
        </is>
      </c>
      <c r="U203" s="2" t="inlineStr">
        <is>
          <t>Conforms</t>
        </is>
      </c>
      <c r="V203" s="2" t="inlineStr">
        <is>
          <t>Conforms</t>
        </is>
      </c>
      <c r="W203" s="2" t="inlineStr">
        <is>
          <t>227-18-K-26, (11.09.2026) [FHM-K]</t>
        </is>
      </c>
      <c r="X203" s="2" t="inlineStr">
        <is>
          <t>227-18-K-26, (11.09.2026) [FHM-K]</t>
        </is>
      </c>
      <c r="Y203" s="2" t="inlineStr">
        <is>
          <t>— pending —</t>
        </is>
      </c>
      <c r="Z203" s="2" t="inlineStr">
        <is>
          <t>#8, #9, #11, #12 from the initial testing</t>
        </is>
      </c>
      <c r="AA203" s="2" t="inlineStr">
        <is>
          <t>P050202|R</t>
        </is>
      </c>
      <c r="AB203" s="8" t="inlineStr">
        <is>
          <t>not yet issuable — sampled 20.08.2026 — the series numbers it</t>
        </is>
      </c>
    </row>
    <row r="204">
      <c r="A204" s="2" t="inlineStr"/>
      <c r="B204" s="3" t="inlineStr">
        <is>
          <t>— at issue —</t>
        </is>
      </c>
      <c r="C204" s="6" t="inlineStr">
        <is>
          <t>no</t>
        </is>
      </c>
      <c r="D204" s="5">
        <f>IF(A204="","",IF(ISNUMBER(E204),MAX(DATE(2026,6,3),E204),DATE(2026,6,3)))</f>
        <v/>
      </c>
      <c r="E204" s="5" t="inlineStr">
        <is>
          <t>— at the retest sampling —</t>
        </is>
      </c>
      <c r="F204" s="5">
        <f>IFERROR(INDEX('Batch Dates'!$G:$G,MATCH(J204,'Batch Dates'!$C:$C,0)),IFERROR(INDEX('Batch Dates'!$G:$G,MATCH(I204,'Batch Dates'!$B:$B,0)),""))</f>
        <v/>
      </c>
      <c r="G204" s="2" t="inlineStr">
        <is>
          <t>post-SOP</t>
        </is>
      </c>
      <c r="H204" s="2" t="inlineStr">
        <is>
          <t>retest — Tranche 3 (sampled 19–21.08.2026)</t>
        </is>
      </c>
      <c r="I204" s="3" t="inlineStr">
        <is>
          <t>JD012601＊</t>
        </is>
      </c>
      <c r="J204" s="2" t="inlineStr">
        <is>
          <t>P060312</t>
        </is>
      </c>
      <c r="K204" s="2" t="inlineStr">
        <is>
          <t>Jelly Donuts</t>
        </is>
      </c>
      <c r="L204" s="2" t="inlineStr">
        <is>
          <t>Ident A + Ident B + Foreign matter</t>
        </is>
      </c>
      <c r="M204" s="6" t="inlineStr">
        <is>
          <t>—</t>
        </is>
      </c>
      <c r="N204" s="2">
        <f>IFERROR(INDEX('CoQ Register'!$B:$B,MATCH("P060312|R",'CoQ Register'!$S:$S,0)),"—")</f>
        <v/>
      </c>
      <c r="O204" s="6" t="inlineStr">
        <is>
          <t>—</t>
        </is>
      </c>
      <c r="P204" s="2" t="inlineStr">
        <is>
          <t>11.05.2027</t>
        </is>
      </c>
      <c r="Q204" s="2" t="inlineStr">
        <is>
          <t>27.03.2026</t>
        </is>
      </c>
      <c r="R204" s="2" t="inlineStr">
        <is>
          <t>21.05.2026 (the issuance plan's basis: 11.05.2026)</t>
        </is>
      </c>
      <c r="S204" s="5">
        <f>IFERROR(INDEX('CoQ Register'!$D:$D,MATCH("P060312|R",'CoQ Register'!$S:$S,0)),"")</f>
        <v/>
      </c>
      <c r="T204" s="2" t="inlineStr">
        <is>
          <t>Conforms</t>
        </is>
      </c>
      <c r="U204" s="2" t="inlineStr">
        <is>
          <t>Conforms</t>
        </is>
      </c>
      <c r="V204" s="2" t="inlineStr">
        <is>
          <t>Conforms</t>
        </is>
      </c>
      <c r="W204" s="2" t="inlineStr">
        <is>
          <t>227-15-K-26, (11.09.2026) [FHM-K]</t>
        </is>
      </c>
      <c r="X204" s="2" t="inlineStr">
        <is>
          <t>227-15-K-26, (11.09.2026) [FHM-K]</t>
        </is>
      </c>
      <c r="Y204" s="2" t="inlineStr">
        <is>
          <t>— pending —</t>
        </is>
      </c>
      <c r="Z204" s="2" t="inlineStr">
        <is>
          <t>#8, #9, #11, #12 from the initial testing</t>
        </is>
      </c>
      <c r="AA204" s="2" t="inlineStr">
        <is>
          <t>P060312|R</t>
        </is>
      </c>
      <c r="AB204" s="8" t="inlineStr">
        <is>
          <t>not yet issuable — sampled 20.08.2026 — the series numbers it</t>
        </is>
      </c>
    </row>
    <row r="205">
      <c r="A205" s="2" t="inlineStr"/>
      <c r="B205" s="3" t="inlineStr">
        <is>
          <t>— at issue —</t>
        </is>
      </c>
      <c r="C205" s="6" t="inlineStr">
        <is>
          <t>no</t>
        </is>
      </c>
      <c r="D205" s="5">
        <f>IF(A205="","",IF(ISNUMBER(E205),MAX(DATE(2026,6,3),E205),DATE(2026,6,3)))</f>
        <v/>
      </c>
      <c r="E205" s="5" t="inlineStr">
        <is>
          <t>— at the retest sampling —</t>
        </is>
      </c>
      <c r="F205" s="5">
        <f>IFERROR(INDEX('Batch Dates'!$G:$G,MATCH(J205,'Batch Dates'!$C:$C,0)),IFERROR(INDEX('Batch Dates'!$G:$G,MATCH(I205,'Batch Dates'!$B:$B,0)),""))</f>
        <v/>
      </c>
      <c r="G205" s="2" t="inlineStr">
        <is>
          <t>post-SOP</t>
        </is>
      </c>
      <c r="H205" s="2" t="inlineStr">
        <is>
          <t>retest — Tranche 3 (sampled 19–21.08.2026)</t>
        </is>
      </c>
      <c r="I205" s="3" t="inlineStr">
        <is>
          <t>SCR012601*</t>
        </is>
      </c>
      <c r="J205" s="2" t="inlineStr">
        <is>
          <t>P060342</t>
        </is>
      </c>
      <c r="K205" s="2" t="inlineStr">
        <is>
          <t>Scrambler</t>
        </is>
      </c>
      <c r="L205" s="2" t="inlineStr">
        <is>
          <t>Ident A + Ident B + Foreign matter</t>
        </is>
      </c>
      <c r="M205" s="6" t="inlineStr">
        <is>
          <t>—</t>
        </is>
      </c>
      <c r="N205" s="2">
        <f>IFERROR(INDEX('CoQ Register'!$B:$B,MATCH("P060342|R",'CoQ Register'!$S:$S,0)),"—")</f>
        <v/>
      </c>
      <c r="O205" s="6" t="inlineStr">
        <is>
          <t>—</t>
        </is>
      </c>
      <c r="P205" s="2" t="inlineStr">
        <is>
          <t>25.05.2027</t>
        </is>
      </c>
      <c r="Q205" s="2" t="inlineStr">
        <is>
          <t>16.04.2026</t>
        </is>
      </c>
      <c r="R205" s="2" t="inlineStr">
        <is>
          <t>25.05.2026</t>
        </is>
      </c>
      <c r="S205" s="5">
        <f>IFERROR(INDEX('CoQ Register'!$D:$D,MATCH("P060342|R",'CoQ Register'!$S:$S,0)),"")</f>
        <v/>
      </c>
      <c r="T205" s="2" t="inlineStr">
        <is>
          <t>Conforms</t>
        </is>
      </c>
      <c r="U205" s="2" t="inlineStr">
        <is>
          <t>Conforms</t>
        </is>
      </c>
      <c r="V205" s="2" t="inlineStr">
        <is>
          <t>Conforms</t>
        </is>
      </c>
      <c r="W205" s="2" t="inlineStr">
        <is>
          <t>227-8-K-26, (11.09.2026) [FHM-K]</t>
        </is>
      </c>
      <c r="X205" s="2" t="inlineStr">
        <is>
          <t>227-8-K-26, (11.09.2026) [FHM-K]</t>
        </is>
      </c>
      <c r="Y205" s="2" t="inlineStr">
        <is>
          <t>— pending —</t>
        </is>
      </c>
      <c r="Z205" s="2" t="inlineStr">
        <is>
          <t>#8, #9, #11, #12 from the initial testing</t>
        </is>
      </c>
      <c r="AA205" s="2" t="inlineStr">
        <is>
          <t>P060342|R</t>
        </is>
      </c>
      <c r="AB205" s="8" t="inlineStr">
        <is>
          <t>not yet issuable — sampled 19.08.2026 — the series numbers it</t>
        </is>
      </c>
    </row>
    <row r="206">
      <c r="A206" s="2" t="inlineStr"/>
      <c r="B206" s="3" t="inlineStr">
        <is>
          <t>— at issue —</t>
        </is>
      </c>
      <c r="C206" s="6" t="inlineStr">
        <is>
          <t>no</t>
        </is>
      </c>
      <c r="D206" s="5">
        <f>IF(A206="","",IF(ISNUMBER(E206),MAX(DATE(2026,6,3),E206),DATE(2026,6,3)))</f>
        <v/>
      </c>
      <c r="E206" s="5" t="inlineStr">
        <is>
          <t>— at the retest sampling —</t>
        </is>
      </c>
      <c r="F206" s="5">
        <f>IFERROR(INDEX('Batch Dates'!$G:$G,MATCH(J206,'Batch Dates'!$C:$C,0)),IFERROR(INDEX('Batch Dates'!$G:$G,MATCH(I206,'Batch Dates'!$B:$B,0)),""))</f>
        <v/>
      </c>
      <c r="G206" s="2" t="inlineStr">
        <is>
          <t>post-SOP</t>
        </is>
      </c>
      <c r="H206" s="2" t="inlineStr">
        <is>
          <t>retest — Tranche 3 (sampled 19–21.08.2026)</t>
        </is>
      </c>
      <c r="I206" s="3" t="inlineStr">
        <is>
          <t>FB012603</t>
        </is>
      </c>
      <c r="J206" s="2" t="inlineStr">
        <is>
          <t>P060432</t>
        </is>
      </c>
      <c r="K206" s="2" t="inlineStr">
        <is>
          <t>Fat Bastard</t>
        </is>
      </c>
      <c r="L206" s="2" t="inlineStr">
        <is>
          <t>Ident A + Ident B + Foreign matter</t>
        </is>
      </c>
      <c r="M206" s="6" t="inlineStr">
        <is>
          <t>—</t>
        </is>
      </c>
      <c r="N206" s="2">
        <f>IFERROR(INDEX('CoQ Register'!$B:$B,MATCH("P060432|R",'CoQ Register'!$S:$S,0)),"—")</f>
        <v/>
      </c>
      <c r="O206" s="6" t="inlineStr">
        <is>
          <t>—</t>
        </is>
      </c>
      <c r="P206" s="2" t="inlineStr">
        <is>
          <t>30.06.2027</t>
        </is>
      </c>
      <c r="Q206" s="2" t="inlineStr">
        <is>
          <t>04.05.2026</t>
        </is>
      </c>
      <c r="R206" s="2" t="inlineStr">
        <is>
          <t>15.06.2026 (the issuance plan's basis: 30.06.2026)</t>
        </is>
      </c>
      <c r="S206" s="5">
        <f>IFERROR(INDEX('CoQ Register'!$D:$D,MATCH("P060432|R",'CoQ Register'!$S:$S,0)),"")</f>
        <v/>
      </c>
      <c r="T206" s="2" t="inlineStr">
        <is>
          <t>CNP ППК26112</t>
        </is>
      </c>
      <c r="U206" s="2" t="inlineStr">
        <is>
          <t>CNP ППК26112</t>
        </is>
      </c>
      <c r="V206" s="2" t="inlineStr">
        <is>
          <t>Conforms</t>
        </is>
      </c>
      <c r="W206" s="2" t="inlineStr">
        <is>
          <t>227-24-K-26, (11.09.2026) [FHM-K]</t>
        </is>
      </c>
      <c r="X206" s="2" t="inlineStr">
        <is>
          <t>227-24-K-26, (11.09.2026) [FHM-K]</t>
        </is>
      </c>
      <c r="Y206" s="2" t="inlineStr">
        <is>
          <t>— pending —</t>
        </is>
      </c>
      <c r="Z206" s="2" t="inlineStr">
        <is>
          <t>#8, #9, #11, #12 from the initial testing</t>
        </is>
      </c>
      <c r="AA206" s="2" t="inlineStr">
        <is>
          <t>P060432|R</t>
        </is>
      </c>
      <c r="AB206" s="8" t="inlineStr">
        <is>
          <t>not yet issuable — sampled 21.08.2026 — the series numbers it</t>
        </is>
      </c>
    </row>
    <row r="207">
      <c r="A207" s="2" t="inlineStr"/>
      <c r="B207" s="3" t="inlineStr">
        <is>
          <t>— at issue —</t>
        </is>
      </c>
      <c r="C207" s="6" t="inlineStr">
        <is>
          <t>no</t>
        </is>
      </c>
      <c r="D207" s="5">
        <f>IF(A207="","",IF(ISNUMBER(E207),MAX(DATE(2026,6,3),E207),DATE(2026,6,3)))</f>
        <v/>
      </c>
      <c r="E207" s="5" t="inlineStr">
        <is>
          <t>— at the retest sampling —</t>
        </is>
      </c>
      <c r="F207" s="5">
        <f>IFERROR(INDEX('Batch Dates'!$G:$G,MATCH(J207,'Batch Dates'!$C:$C,0)),IFERROR(INDEX('Batch Dates'!$G:$G,MATCH(I207,'Batch Dates'!$B:$B,0)),""))</f>
        <v/>
      </c>
      <c r="G207" s="2" t="inlineStr">
        <is>
          <t>post-SOP</t>
        </is>
      </c>
      <c r="H207" s="2" t="inlineStr">
        <is>
          <t>retest — Tranche 3 (sampled 19–21.08.2026)</t>
        </is>
      </c>
      <c r="I207" s="3" t="inlineStr">
        <is>
          <t>FB012603V</t>
        </is>
      </c>
      <c r="J207" s="2" t="inlineStr">
        <is>
          <t>P060392</t>
        </is>
      </c>
      <c r="K207" s="2" t="inlineStr">
        <is>
          <t>Fat Bastard</t>
        </is>
      </c>
      <c r="L207" s="2" t="inlineStr">
        <is>
          <t>Ident A + Ident B + Foreign matter</t>
        </is>
      </c>
      <c r="M207" s="6" t="inlineStr">
        <is>
          <t>—</t>
        </is>
      </c>
      <c r="N207" s="2">
        <f>IFERROR(INDEX('CoQ Register'!$B:$B,MATCH("P060392|R",'CoQ Register'!$S:$S,0)),"—")</f>
        <v/>
      </c>
      <c r="O207" s="6" t="inlineStr">
        <is>
          <t>—</t>
        </is>
      </c>
      <c r="P207" s="2" t="inlineStr">
        <is>
          <t>30.06.2027</t>
        </is>
      </c>
      <c r="Q207" s="2" t="inlineStr">
        <is>
          <t>29.04.2026</t>
        </is>
      </c>
      <c r="R207" s="2" t="inlineStr">
        <is>
          <t>23.05.2026 (the issuance plan's basis: 30.06.2026)</t>
        </is>
      </c>
      <c r="S207" s="5">
        <f>IFERROR(INDEX('CoQ Register'!$D:$D,MATCH("P060392|R",'CoQ Register'!$S:$S,0)),"")</f>
        <v/>
      </c>
      <c r="T207" s="2" t="inlineStr">
        <is>
          <t>CNP ППК26110</t>
        </is>
      </c>
      <c r="U207" s="2" t="inlineStr">
        <is>
          <t>CNP ППК26110</t>
        </is>
      </c>
      <c r="V207" s="2" t="inlineStr">
        <is>
          <t>Conforms</t>
        </is>
      </c>
      <c r="W207" s="2" t="inlineStr">
        <is>
          <t>227-23-K-26, (11.09.2026) [FHM-K]</t>
        </is>
      </c>
      <c r="X207" s="2" t="inlineStr">
        <is>
          <t>227-23-K-26, (11.09.2026) [FHM-K]</t>
        </is>
      </c>
      <c r="Y207" s="2" t="inlineStr">
        <is>
          <t>— pending —</t>
        </is>
      </c>
      <c r="Z207" s="2" t="inlineStr">
        <is>
          <t>#8, #9, #11, #12 from the initial testing</t>
        </is>
      </c>
      <c r="AA207" s="2" t="inlineStr">
        <is>
          <t>P060392|R</t>
        </is>
      </c>
      <c r="AB207" s="8" t="inlineStr">
        <is>
          <t>not yet issuable — sampled 21.08.2026 — the series numbers it</t>
        </is>
      </c>
    </row>
    <row r="208">
      <c r="A208" s="2" t="inlineStr"/>
      <c r="B208" s="3" t="inlineStr">
        <is>
          <t>— at issue —</t>
        </is>
      </c>
      <c r="C208" s="6" t="inlineStr">
        <is>
          <t>no</t>
        </is>
      </c>
      <c r="D208" s="5">
        <f>IF(A208="","",IF(ISNUMBER(E208),MAX(DATE(2026,6,3),E208),DATE(2026,6,3)))</f>
        <v/>
      </c>
      <c r="E208" s="5" t="inlineStr">
        <is>
          <t>— at the retest sampling —</t>
        </is>
      </c>
      <c r="F208" s="5">
        <f>IFERROR(INDEX('Batch Dates'!$G:$G,MATCH(J208,'Batch Dates'!$C:$C,0)),IFERROR(INDEX('Batch Dates'!$G:$G,MATCH(I208,'Batch Dates'!$B:$B,0)),""))</f>
        <v/>
      </c>
      <c r="G208" s="2" t="inlineStr">
        <is>
          <t>post-SOP</t>
        </is>
      </c>
      <c r="H208" s="2" t="inlineStr">
        <is>
          <t>retest — Tranche 3 (sampled 19–21.08.2026)</t>
        </is>
      </c>
      <c r="I208" s="3" t="inlineStr">
        <is>
          <t>SCR022601</t>
        </is>
      </c>
      <c r="J208" s="2" t="inlineStr">
        <is>
          <t>P060442</t>
        </is>
      </c>
      <c r="K208" s="2" t="inlineStr">
        <is>
          <t>Scrambler</t>
        </is>
      </c>
      <c r="L208" s="2" t="inlineStr">
        <is>
          <t>Ident A + Ident B + Foreign matter</t>
        </is>
      </c>
      <c r="M208" s="6" t="inlineStr">
        <is>
          <t>—</t>
        </is>
      </c>
      <c r="N208" s="2">
        <f>IFERROR(INDEX('CoQ Register'!$B:$B,MATCH("P060442|R",'CoQ Register'!$S:$S,0)),"—")</f>
        <v/>
      </c>
      <c r="O208" s="6" t="inlineStr">
        <is>
          <t>—</t>
        </is>
      </c>
      <c r="P208" s="2" t="inlineStr">
        <is>
          <t>06.07.2027</t>
        </is>
      </c>
      <c r="Q208" s="2" t="inlineStr">
        <is>
          <t>13.05.2026</t>
        </is>
      </c>
      <c r="R208" s="2" t="inlineStr">
        <is>
          <t>18.06.2026 (the issuance plan's basis: 06.07.2026)</t>
        </is>
      </c>
      <c r="S208" s="5">
        <f>IFERROR(INDEX('CoQ Register'!$D:$D,MATCH("P060442|R",'CoQ Register'!$S:$S,0)),"")</f>
        <v/>
      </c>
      <c r="T208" s="2" t="inlineStr">
        <is>
          <t>CNP ППК26116</t>
        </is>
      </c>
      <c r="U208" s="2" t="inlineStr">
        <is>
          <t>CNP ППК26116</t>
        </is>
      </c>
      <c r="V208" s="2" t="inlineStr">
        <is>
          <t>Conforms</t>
        </is>
      </c>
      <c r="W208" s="2" t="inlineStr">
        <is>
          <t>227-7-K-26, (11.09.2026) [FHM-K]</t>
        </is>
      </c>
      <c r="X208" s="2" t="inlineStr">
        <is>
          <t>227-7-K-26, (11.09.2026) [FHM-K]</t>
        </is>
      </c>
      <c r="Y208" s="2" t="inlineStr">
        <is>
          <t>— pending —</t>
        </is>
      </c>
      <c r="Z208" s="2" t="inlineStr">
        <is>
          <t>#8, #9, #11, #12 from the initial testing</t>
        </is>
      </c>
      <c r="AA208" s="2" t="inlineStr">
        <is>
          <t>P060442|R</t>
        </is>
      </c>
      <c r="AB208" s="8" t="inlineStr">
        <is>
          <t>not yet issuable — sampled 19.08.2026 — the series numbers it</t>
        </is>
      </c>
    </row>
    <row r="209"/>
    <row r="210" ht="110" customHeight="1">
      <c r="A210" s="9"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0:AB21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IF(OR(C2="yes",C2="allocated",C2="ruled"),COUNT(A$1:A1)+1,"")</f>
        <v/>
      </c>
      <c r="B2" s="3">
        <f>IF(A2&lt;&gt;"","CoQ-PP_26-"&amp;TEXT(A2,"000"),"— at issue —")</f>
        <v/>
      </c>
      <c r="C2" s="4" t="inlineStr">
        <is>
          <t>yes</t>
        </is>
      </c>
      <c r="D2" s="5">
        <f>IF(OR(A2="",C2="allocated",C2="ruled"),"",MAX(E2,IF(ISNUMBER(I2),I2,0),IFERROR(IF(ISNUMBER(INDEX('iCoA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IF(OR(C3="yes",C3="allocated",C3="ruled"),COUNT(A$1:A2)+1,"")</f>
        <v/>
      </c>
      <c r="B3" s="3">
        <f>IF(A3&lt;&gt;"","CoQ-PP_26-"&amp;TEXT(A3,"000"),"— at issue —")</f>
        <v/>
      </c>
      <c r="C3" s="4" t="inlineStr">
        <is>
          <t>yes</t>
        </is>
      </c>
      <c r="D3" s="5">
        <f>IF(OR(A3="",C3="allocated",C3="ruled"),"",MAX(E3,IF(ISNUMBER(I3),I3,0),IFERROR(IF(ISNUMBER(INDEX('iCoA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IF(OR(C4="yes",C4="allocated",C4="ruled"),COUNT(A$1:A3)+1,"")</f>
        <v/>
      </c>
      <c r="B4" s="3">
        <f>IF(A4&lt;&gt;"","CoQ-PP_26-"&amp;TEXT(A4,"000"),"— at issue —")</f>
        <v/>
      </c>
      <c r="C4" s="4" t="inlineStr">
        <is>
          <t>yes</t>
        </is>
      </c>
      <c r="D4" s="5">
        <f>IF(OR(A4="",C4="allocated",C4="ruled"),"",MAX(E4,IF(ISNUMBER(I4),I4,0),IFERROR(IF(ISNUMBER(INDEX('iCoA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IF(OR(C5="yes",C5="allocated",C5="ruled"),COUNT(A$1:A4)+1,"")</f>
        <v/>
      </c>
      <c r="B5" s="3">
        <f>IF(A5&lt;&gt;"","CoQ-PP_26-"&amp;TEXT(A5,"000"),"— at issue —")</f>
        <v/>
      </c>
      <c r="C5" s="4" t="inlineStr">
        <is>
          <t>yes</t>
        </is>
      </c>
      <c r="D5" s="5">
        <f>IF(OR(A5="",C5="allocated",C5="ruled"),"",MAX(E5,IF(ISNUMBER(I5),I5,0),IFERROR(IF(ISNUMBER(INDEX('iCoA Register'!$F:$F,MATCH(S5,'iCoA Register'!$AA:$AA,0))),INDEX('iCoA Register'!$F:$F,MATCH(S5,'iCoA Register'!$AA:$AA,0)),0),0)))</f>
        <v/>
      </c>
      <c r="E5" s="5">
        <f>IF(ISNUMBER(F5),MAX(DATE(2026,6,6),F5+7),DATE(2026,6,6))</f>
        <v/>
      </c>
      <c r="F5" s="5" t="n">
        <v>45720</v>
      </c>
      <c r="G5" s="2" t="inlineStr">
        <is>
          <t>748-2025</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IF(OR(C6="yes",C6="allocated",C6="ruled"),COUNT(A$1:A5)+1,"")</f>
        <v/>
      </c>
      <c r="B6" s="3">
        <f>IF(A6&lt;&gt;"","CoQ-PP_26-"&amp;TEXT(A6,"000"),"— at issue —")</f>
        <v/>
      </c>
      <c r="C6" s="4" t="inlineStr">
        <is>
          <t>yes</t>
        </is>
      </c>
      <c r="D6" s="5">
        <f>IF(OR(A6="",C6="allocated",C6="ruled"),"",MAX(E6,IF(ISNUMBER(I6),I6,0),IFERROR(IF(ISNUMBER(INDEX('iCoA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IF(OR(C7="yes",C7="allocated",C7="ruled"),COUNT(A$1:A6)+1,"")</f>
        <v/>
      </c>
      <c r="B7" s="3">
        <f>IF(A7&lt;&gt;"","CoQ-PP_26-"&amp;TEXT(A7,"000"),"— at issue —")</f>
        <v/>
      </c>
      <c r="C7" s="4" t="inlineStr">
        <is>
          <t>yes</t>
        </is>
      </c>
      <c r="D7" s="5">
        <f>IF(OR(A7="",C7="allocated",C7="ruled"),"",MAX(E7,IF(ISNUMBER(I7),I7,0),IFERROR(IF(ISNUMBER(INDEX('iCoA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IF(OR(C8="yes",C8="allocated",C8="ruled"),COUNT(A$1:A7)+1,"")</f>
        <v/>
      </c>
      <c r="B8" s="3">
        <f>IF(A8&lt;&gt;"","CoQ-PP_26-"&amp;TEXT(A8,"000"),"— at issue —")</f>
        <v/>
      </c>
      <c r="C8" s="4" t="inlineStr">
        <is>
          <t>yes</t>
        </is>
      </c>
      <c r="D8" s="5">
        <f>IF(OR(A8="",C8="allocated",C8="ruled"),"",MAX(E8,IF(ISNUMBER(I8),I8,0),IFERROR(IF(ISNUMBER(INDEX('iCoA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IF(OR(C9="yes",C9="allocated",C9="ruled"),COUNT(A$1:A8)+1,"")</f>
        <v/>
      </c>
      <c r="B9" s="3">
        <f>IF(A9&lt;&gt;"","CoQ-PP_26-"&amp;TEXT(A9,"000"),"— at issue —")</f>
        <v/>
      </c>
      <c r="C9" s="4" t="inlineStr">
        <is>
          <t>yes</t>
        </is>
      </c>
      <c r="D9" s="5">
        <f>IF(OR(A9="",C9="allocated",C9="ruled"),"",MAX(E9,IF(ISNUMBER(I9),I9,0),IFERROR(IF(ISNUMBER(INDEX('iCoA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IF(OR(C10="yes",C10="allocated",C10="ruled"),COUNT(A$1:A9)+1,"")</f>
        <v/>
      </c>
      <c r="B10" s="3">
        <f>IF(A10&lt;&gt;"","CoQ-PP_26-"&amp;TEXT(A10,"000"),"— at issue —")</f>
        <v/>
      </c>
      <c r="C10" s="4" t="inlineStr">
        <is>
          <t>yes</t>
        </is>
      </c>
      <c r="D10" s="5">
        <f>IF(OR(A10="",C10="allocated",C10="ruled"),"",MAX(E10,IF(ISNUMBER(I10),I10,0),IFERROR(IF(ISNUMBER(INDEX('iCoA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IF(OR(C11="yes",C11="allocated",C11="ruled"),COUNT(A$1:A10)+1,"")</f>
        <v/>
      </c>
      <c r="B11" s="3">
        <f>IF(A11&lt;&gt;"","CoQ-PP_26-"&amp;TEXT(A11,"000"),"— at issue —")</f>
        <v/>
      </c>
      <c r="C11" s="4" t="inlineStr">
        <is>
          <t>yes</t>
        </is>
      </c>
      <c r="D11" s="5">
        <f>IF(OR(A11="",C11="allocated",C11="ruled"),"",MAX(E11,IF(ISNUMBER(I11),I11,0),IFERROR(IF(ISNUMBER(INDEX('iCoA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IF(OR(C12="yes",C12="allocated",C12="ruled"),COUNT(A$1:A11)+1,"")</f>
        <v/>
      </c>
      <c r="B12" s="3">
        <f>IF(A12&lt;&gt;"","CoQ-PP_26-"&amp;TEXT(A12,"000"),"— at issue —")</f>
        <v/>
      </c>
      <c r="C12" s="4" t="inlineStr">
        <is>
          <t>yes</t>
        </is>
      </c>
      <c r="D12" s="5">
        <f>IF(OR(A12="",C12="allocated",C12="ruled"),"",MAX(E12,IF(ISNUMBER(I12),I12,0),IFERROR(IF(ISNUMBER(INDEX('iCoA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IF(OR(C13="yes",C13="allocated",C13="ruled"),COUNT(A$1:A12)+1,"")</f>
        <v/>
      </c>
      <c r="B13" s="3">
        <f>IF(A13&lt;&gt;"","CoQ-PP_26-"&amp;TEXT(A13,"000"),"— at issue —")</f>
        <v/>
      </c>
      <c r="C13" s="4" t="inlineStr">
        <is>
          <t>yes</t>
        </is>
      </c>
      <c r="D13" s="5">
        <f>IF(OR(A13="",C13="allocated",C13="ruled"),"",MAX(E13,IF(ISNUMBER(I13),I13,0),IFERROR(IF(ISNUMBER(INDEX('iCoA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IF(OR(C14="yes",C14="allocated",C14="ruled"),COUNT(A$1:A13)+1,"")</f>
        <v/>
      </c>
      <c r="B14" s="3">
        <f>IF(A14&lt;&gt;"","CoQ-PP_26-"&amp;TEXT(A14,"000"),"— at issue —")</f>
        <v/>
      </c>
      <c r="C14" s="4" t="inlineStr">
        <is>
          <t>yes</t>
        </is>
      </c>
      <c r="D14" s="5">
        <f>IF(OR(A14="",C14="allocated",C14="ruled"),"",MAX(E14,IF(ISNUMBER(I14),I14,0),IFERROR(IF(ISNUMBER(INDEX('iCoA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IF(OR(C15="yes",C15="allocated",C15="ruled"),COUNT(A$1:A14)+1,"")</f>
        <v/>
      </c>
      <c r="B15" s="3">
        <f>IF(A15&lt;&gt;"","CoQ-PP_26-"&amp;TEXT(A15,"000"),"— at issue —")</f>
        <v/>
      </c>
      <c r="C15" s="4" t="inlineStr">
        <is>
          <t>yes</t>
        </is>
      </c>
      <c r="D15" s="5">
        <f>IF(OR(A15="",C15="allocated",C15="ruled"),"",MAX(E15,IF(ISNUMBER(I15),I15,0),IFERROR(IF(ISNUMBER(INDEX('iCoA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IF(OR(C16="yes",C16="allocated",C16="ruled"),COUNT(A$1:A15)+1,"")</f>
        <v/>
      </c>
      <c r="B16" s="3">
        <f>IF(A16&lt;&gt;"","CoQ-PP_26-"&amp;TEXT(A16,"000"),"— at issue —")</f>
        <v/>
      </c>
      <c r="C16" s="4" t="inlineStr">
        <is>
          <t>yes</t>
        </is>
      </c>
      <c r="D16" s="5">
        <f>IF(OR(A16="",C16="allocated",C16="ruled"),"",MAX(E16,IF(ISNUMBER(I16),I16,0),IFERROR(IF(ISNUMBER(INDEX('iCoA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IF(OR(C17="yes",C17="allocated",C17="ruled"),COUNT(A$1:A16)+1,"")</f>
        <v/>
      </c>
      <c r="B17" s="3">
        <f>IF(A17&lt;&gt;"","CoQ-PP_26-"&amp;TEXT(A17,"000"),"— at issue —")</f>
        <v/>
      </c>
      <c r="C17" s="4" t="inlineStr">
        <is>
          <t>yes</t>
        </is>
      </c>
      <c r="D17" s="5">
        <f>IF(OR(A17="",C17="allocated",C17="ruled"),"",MAX(E17,IF(ISNUMBER(I17),I17,0),IFERROR(IF(ISNUMBER(INDEX('iCoA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IF(OR(C18="yes",C18="allocated",C18="ruled"),COUNT(A$1:A17)+1,"")</f>
        <v/>
      </c>
      <c r="B18" s="3">
        <f>IF(A18&lt;&gt;"","CoQ-PP_26-"&amp;TEXT(A18,"000"),"— at issue —")</f>
        <v/>
      </c>
      <c r="C18" s="4" t="inlineStr">
        <is>
          <t>yes</t>
        </is>
      </c>
      <c r="D18" s="5">
        <f>IF(OR(A18="",C18="allocated",C18="ruled"),"",MAX(E18,IF(ISNUMBER(I18),I18,0),IFERROR(IF(ISNUMBER(INDEX('iCoA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IF(OR(C19="yes",C19="allocated",C19="ruled"),COUNT(A$1:A18)+1,"")</f>
        <v/>
      </c>
      <c r="B19" s="3">
        <f>IF(A19&lt;&gt;"","CoQ-PP_26-"&amp;TEXT(A19,"000"),"— at issue —")</f>
        <v/>
      </c>
      <c r="C19" s="4" t="inlineStr">
        <is>
          <t>yes</t>
        </is>
      </c>
      <c r="D19" s="5">
        <f>IF(OR(A19="",C19="allocated",C19="ruled"),"",MAX(E19,IF(ISNUMBER(I19),I19,0),IFERROR(IF(ISNUMBER(INDEX('iCoA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IF(OR(C20="yes",C20="allocated",C20="ruled"),COUNT(A$1:A19)+1,"")</f>
        <v/>
      </c>
      <c r="B20" s="3">
        <f>IF(A20&lt;&gt;"","CoQ-PP_26-"&amp;TEXT(A20,"000"),"— at issue —")</f>
        <v/>
      </c>
      <c r="C20" s="4" t="inlineStr">
        <is>
          <t>yes</t>
        </is>
      </c>
      <c r="D20" s="5">
        <f>IF(OR(A20="",C20="allocated",C20="ruled"),"",MAX(E20,IF(ISNUMBER(I20),I20,0),IFERROR(IF(ISNUMBER(INDEX('iCoA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IF(OR(C21="yes",C21="allocated",C21="ruled"),COUNT(A$1:A20)+1,"")</f>
        <v/>
      </c>
      <c r="B21" s="3">
        <f>IF(A21&lt;&gt;"","CoQ-PP_26-"&amp;TEXT(A21,"000"),"— at issue —")</f>
        <v/>
      </c>
      <c r="C21" s="4" t="inlineStr">
        <is>
          <t>yes</t>
        </is>
      </c>
      <c r="D21" s="5">
        <f>IF(OR(A21="",C21="allocated",C21="ruled"),"",MAX(E21,IF(ISNUMBER(I21),I21,0),IFERROR(IF(ISNUMBER(INDEX('iCoA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IF(OR(C22="yes",C22="allocated",C22="ruled"),COUNT(A$1:A21)+1,"")</f>
        <v/>
      </c>
      <c r="B22" s="3">
        <f>IF(A22&lt;&gt;"","CoQ-PP_26-"&amp;TEXT(A22,"000"),"— at issue —")</f>
        <v/>
      </c>
      <c r="C22" s="4" t="inlineStr">
        <is>
          <t>yes</t>
        </is>
      </c>
      <c r="D22" s="5">
        <f>IF(OR(A22="",C22="allocated",C22="ruled"),"",MAX(E22,IF(ISNUMBER(I22),I22,0),IFERROR(IF(ISNUMBER(INDEX('iCoA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IF(OR(C23="yes",C23="allocated",C23="ruled"),COUNT(A$1:A22)+1,"")</f>
        <v/>
      </c>
      <c r="B23" s="3">
        <f>IF(A23&lt;&gt;"","CoQ-PP_26-"&amp;TEXT(A23,"000"),"— at issue —")</f>
        <v/>
      </c>
      <c r="C23" s="4" t="inlineStr">
        <is>
          <t>yes</t>
        </is>
      </c>
      <c r="D23" s="5">
        <f>IF(OR(A23="",C23="allocated",C23="ruled"),"",MAX(E23,IF(ISNUMBER(I23),I23,0),IFERROR(IF(ISNUMBER(INDEX('iCoA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IF(OR(C24="yes",C24="allocated",C24="ruled"),COUNT(A$1:A23)+1,"")</f>
        <v/>
      </c>
      <c r="B24" s="3">
        <f>IF(A24&lt;&gt;"","CoQ-PP_26-"&amp;TEXT(A24,"000"),"— at issue —")</f>
        <v/>
      </c>
      <c r="C24" s="4" t="inlineStr">
        <is>
          <t>yes</t>
        </is>
      </c>
      <c r="D24" s="5">
        <f>IF(OR(A24="",C24="allocated",C24="ruled"),"",MAX(E24,IF(ISNUMBER(I24),I24,0),IFERROR(IF(ISNUMBER(INDEX('iCoA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IF(OR(C25="yes",C25="allocated",C25="ruled"),COUNT(A$1:A24)+1,"")</f>
        <v/>
      </c>
      <c r="B25" s="3">
        <f>IF(A25&lt;&gt;"","CoQ-PP_26-"&amp;TEXT(A25,"000"),"— at issue —")</f>
        <v/>
      </c>
      <c r="C25" s="4" t="inlineStr">
        <is>
          <t>yes</t>
        </is>
      </c>
      <c r="D25" s="5">
        <f>IF(OR(A25="",C25="allocated",C25="ruled"),"",MAX(E25,IF(ISNUMBER(I25),I25,0),IFERROR(IF(ISNUMBER(INDEX('iCoA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IF(OR(C26="yes",C26="allocated",C26="ruled"),COUNT(A$1:A25)+1,"")</f>
        <v/>
      </c>
      <c r="B26" s="3">
        <f>IF(A26&lt;&gt;"","CoQ-PP_26-"&amp;TEXT(A26,"000"),"— at issue —")</f>
        <v/>
      </c>
      <c r="C26" s="4" t="inlineStr">
        <is>
          <t>yes</t>
        </is>
      </c>
      <c r="D26" s="5">
        <f>IF(OR(A26="",C26="allocated",C26="ruled"),"",MAX(E26,IF(ISNUMBER(I26),I26,0),IFERROR(IF(ISNUMBER(INDEX('iCoA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IF(OR(C27="yes",C27="allocated",C27="ruled"),COUNT(A$1:A26)+1,"")</f>
        <v/>
      </c>
      <c r="B27" s="3">
        <f>IF(A27&lt;&gt;"","CoQ-PP_26-"&amp;TEXT(A27,"000"),"— at issue —")</f>
        <v/>
      </c>
      <c r="C27" s="4" t="inlineStr">
        <is>
          <t>yes</t>
        </is>
      </c>
      <c r="D27" s="5">
        <f>IF(OR(A27="",C27="allocated",C27="ruled"),"",MAX(E27,IF(ISNUMBER(I27),I27,0),IFERROR(IF(ISNUMBER(INDEX('iCoA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IF(OR(C28="yes",C28="allocated",C28="ruled"),COUNT(A$1:A27)+1,"")</f>
        <v/>
      </c>
      <c r="B28" s="3">
        <f>IF(A28&lt;&gt;"","CoQ-PP_26-"&amp;TEXT(A28,"000"),"— at issue —")</f>
        <v/>
      </c>
      <c r="C28" s="4" t="inlineStr">
        <is>
          <t>yes</t>
        </is>
      </c>
      <c r="D28" s="5">
        <f>IF(OR(A28="",C28="allocated",C28="ruled"),"",MAX(E28,IF(ISNUMBER(I28),I28,0),IFERROR(IF(ISNUMBER(INDEX('iCoA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IF(OR(C29="yes",C29="allocated",C29="ruled"),COUNT(A$1:A28)+1,"")</f>
        <v/>
      </c>
      <c r="B29" s="3">
        <f>IF(A29&lt;&gt;"","CoQ-PP_26-"&amp;TEXT(A29,"000"),"— at issue —")</f>
        <v/>
      </c>
      <c r="C29" s="4" t="inlineStr">
        <is>
          <t>yes</t>
        </is>
      </c>
      <c r="D29" s="5">
        <f>IF(OR(A29="",C29="allocated",C29="ruled"),"",MAX(E29,IF(ISNUMBER(I29),I29,0),IFERROR(IF(ISNUMBER(INDEX('iCoA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IF(OR(C30="yes",C30="allocated",C30="ruled"),COUNT(A$1:A29)+1,"")</f>
        <v/>
      </c>
      <c r="B30" s="3">
        <f>IF(A30&lt;&gt;"","CoQ-PP_26-"&amp;TEXT(A30,"000"),"— at issue —")</f>
        <v/>
      </c>
      <c r="C30" s="4" t="inlineStr">
        <is>
          <t>yes</t>
        </is>
      </c>
      <c r="D30" s="5">
        <f>IF(OR(A30="",C30="allocated",C30="ruled"),"",MAX(E30,IF(ISNUMBER(I30),I30,0),IFERROR(IF(ISNUMBER(INDEX('iCoA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IF(OR(C31="yes",C31="allocated",C31="ruled"),COUNT(A$1:A30)+1,"")</f>
        <v/>
      </c>
      <c r="B31" s="3">
        <f>IF(A31&lt;&gt;"","CoQ-PP_26-"&amp;TEXT(A31,"000"),"— at issue —")</f>
        <v/>
      </c>
      <c r="C31" s="4" t="inlineStr">
        <is>
          <t>yes</t>
        </is>
      </c>
      <c r="D31" s="5">
        <f>IF(OR(A31="",C31="allocated",C31="ruled"),"",MAX(E31,IF(ISNUMBER(I31),I31,0),IFERROR(IF(ISNUMBER(INDEX('iCoA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IF(OR(C32="yes",C32="allocated",C32="ruled"),COUNT(A$1:A31)+1,"")</f>
        <v/>
      </c>
      <c r="B32" s="3">
        <f>IF(A32&lt;&gt;"","CoQ-PP_26-"&amp;TEXT(A32,"000"),"— at issue —")</f>
        <v/>
      </c>
      <c r="C32" s="4" t="inlineStr">
        <is>
          <t>yes</t>
        </is>
      </c>
      <c r="D32" s="5">
        <f>IF(OR(A32="",C32="allocated",C32="ruled"),"",MAX(E32,IF(ISNUMBER(I32),I32,0),IFERROR(IF(ISNUMBER(INDEX('iCoA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IF(OR(C33="yes",C33="allocated",C33="ruled"),COUNT(A$1:A32)+1,"")</f>
        <v/>
      </c>
      <c r="B33" s="3">
        <f>IF(A33&lt;&gt;"","CoQ-PP_26-"&amp;TEXT(A33,"000"),"— at issue —")</f>
        <v/>
      </c>
      <c r="C33" s="4" t="inlineStr">
        <is>
          <t>yes</t>
        </is>
      </c>
      <c r="D33" s="5">
        <f>IF(OR(A33="",C33="allocated",C33="ruled"),"",MAX(E33,IF(ISNUMBER(I33),I33,0),IFERROR(IF(ISNUMBER(INDEX('iCoA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IF(OR(C34="yes",C34="allocated",C34="ruled"),COUNT(A$1:A33)+1,"")</f>
        <v/>
      </c>
      <c r="B34" s="3">
        <f>IF(A34&lt;&gt;"","CoQ-PP_26-"&amp;TEXT(A34,"000"),"— at issue —")</f>
        <v/>
      </c>
      <c r="C34" s="4" t="inlineStr">
        <is>
          <t>yes</t>
        </is>
      </c>
      <c r="D34" s="5">
        <f>IF(OR(A34="",C34="allocated",C34="ruled"),"",MAX(E34,IF(ISNUMBER(I34),I34,0),IFERROR(IF(ISNUMBER(INDEX('iCoA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IF(OR(C35="yes",C35="allocated",C35="ruled"),COUNT(A$1:A34)+1,"")</f>
        <v/>
      </c>
      <c r="B35" s="3">
        <f>IF(A35&lt;&gt;"","CoQ-PP_26-"&amp;TEXT(A35,"000"),"— at issue —")</f>
        <v/>
      </c>
      <c r="C35" s="4" t="inlineStr">
        <is>
          <t>yes</t>
        </is>
      </c>
      <c r="D35" s="5">
        <f>IF(OR(A35="",C35="allocated",C35="ruled"),"",MAX(E35,IF(ISNUMBER(I35),I35,0),IFERROR(IF(ISNUMBER(INDEX('iCoA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IF(OR(C36="yes",C36="allocated",C36="ruled"),COUNT(A$1:A35)+1,"")</f>
        <v/>
      </c>
      <c r="B36" s="3">
        <f>IF(A36&lt;&gt;"","CoQ-PP_26-"&amp;TEXT(A36,"000"),"— at issue —")</f>
        <v/>
      </c>
      <c r="C36" s="4" t="inlineStr">
        <is>
          <t>yes</t>
        </is>
      </c>
      <c r="D36" s="5">
        <f>IF(OR(A36="",C36="allocated",C36="ruled"),"",MAX(E36,IF(ISNUMBER(I36),I36,0),IFERROR(IF(ISNUMBER(INDEX('iCoA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IF(OR(C37="yes",C37="allocated",C37="ruled"),COUNT(A$1:A36)+1,"")</f>
        <v/>
      </c>
      <c r="B37" s="3">
        <f>IF(A37&lt;&gt;"","CoQ-PP_26-"&amp;TEXT(A37,"000"),"— at issue —")</f>
        <v/>
      </c>
      <c r="C37" s="4" t="inlineStr">
        <is>
          <t>yes</t>
        </is>
      </c>
      <c r="D37" s="5">
        <f>IF(OR(A37="",C37="allocated",C37="ruled"),"",MAX(E37,IF(ISNUMBER(I37),I37,0),IFERROR(IF(ISNUMBER(INDEX('iCoA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IF(OR(C38="yes",C38="allocated",C38="ruled"),COUNT(A$1:A37)+1,"")</f>
        <v/>
      </c>
      <c r="B38" s="3">
        <f>IF(A38&lt;&gt;"","CoQ-PP_26-"&amp;TEXT(A38,"000"),"— at issue —")</f>
        <v/>
      </c>
      <c r="C38" s="4" t="inlineStr">
        <is>
          <t>yes</t>
        </is>
      </c>
      <c r="D38" s="5">
        <f>IF(OR(A38="",C38="allocated",C38="ruled"),"",MAX(E38,IF(ISNUMBER(I38),I38,0),IFERROR(IF(ISNUMBER(INDEX('iCoA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IF(OR(C39="yes",C39="allocated",C39="ruled"),COUNT(A$1:A38)+1,"")</f>
        <v/>
      </c>
      <c r="B39" s="3">
        <f>IF(A39&lt;&gt;"","CoQ-PP_26-"&amp;TEXT(A39,"000"),"— at issue —")</f>
        <v/>
      </c>
      <c r="C39" s="4" t="inlineStr">
        <is>
          <t>yes</t>
        </is>
      </c>
      <c r="D39" s="5">
        <f>IF(OR(A39="",C39="allocated",C39="ruled"),"",MAX(E39,IF(ISNUMBER(I39),I39,0),IFERROR(IF(ISNUMBER(INDEX('iCoA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IF(OR(C40="yes",C40="allocated",C40="ruled"),COUNT(A$1:A39)+1,"")</f>
        <v/>
      </c>
      <c r="B40" s="3">
        <f>IF(A40&lt;&gt;"","CoQ-PP_26-"&amp;TEXT(A40,"000"),"— at issue —")</f>
        <v/>
      </c>
      <c r="C40" s="4" t="inlineStr">
        <is>
          <t>yes</t>
        </is>
      </c>
      <c r="D40" s="5">
        <f>IF(OR(A40="",C40="allocated",C40="ruled"),"",MAX(E40,IF(ISNUMBER(I40),I40,0),IFERROR(IF(ISNUMBER(INDEX('iCoA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IF(OR(C41="yes",C41="allocated",C41="ruled"),COUNT(A$1:A40)+1,"")</f>
        <v/>
      </c>
      <c r="B41" s="3">
        <f>IF(A41&lt;&gt;"","CoQ-PP_26-"&amp;TEXT(A41,"000"),"— at issue —")</f>
        <v/>
      </c>
      <c r="C41" s="4" t="inlineStr">
        <is>
          <t>yes</t>
        </is>
      </c>
      <c r="D41" s="5">
        <f>IF(OR(A41="",C41="allocated",C41="ruled"),"",MAX(E41,IF(ISNUMBER(I41),I41,0),IFERROR(IF(ISNUMBER(INDEX('iCoA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IF(OR(C42="yes",C42="allocated",C42="ruled"),COUNT(A$1:A41)+1,"")</f>
        <v/>
      </c>
      <c r="B42" s="3">
        <f>IF(A42&lt;&gt;"","CoQ-PP_26-"&amp;TEXT(A42,"000"),"— at issue —")</f>
        <v/>
      </c>
      <c r="C42" s="4" t="inlineStr">
        <is>
          <t>yes</t>
        </is>
      </c>
      <c r="D42" s="5">
        <f>IF(OR(A42="",C42="allocated",C42="ruled"),"",MAX(E42,IF(ISNUMBER(I42),I42,0),IFERROR(IF(ISNUMBER(INDEX('iCoA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IF(OR(C43="yes",C43="allocated",C43="ruled"),COUNT(A$1:A42)+1,"")</f>
        <v/>
      </c>
      <c r="B43" s="3">
        <f>IF(A43&lt;&gt;"","CoQ-PP_26-"&amp;TEXT(A43,"000"),"— at issue —")</f>
        <v/>
      </c>
      <c r="C43" s="4" t="inlineStr">
        <is>
          <t>yes</t>
        </is>
      </c>
      <c r="D43" s="5">
        <f>IF(OR(A43="",C43="allocated",C43="ruled"),"",MAX(E43,IF(ISNUMBER(I43),I43,0),IFERROR(IF(ISNUMBER(INDEX('iCoA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Marker</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IF(OR(C44="yes",C44="allocated",C44="ruled"),COUNT(A$1:A43)+1,"")</f>
        <v/>
      </c>
      <c r="B44" s="3">
        <f>IF(A44&lt;&gt;"","CoQ-PP_26-"&amp;TEXT(A44,"000"),"— at issue —")</f>
        <v/>
      </c>
      <c r="C44" s="4" t="inlineStr">
        <is>
          <t>yes</t>
        </is>
      </c>
      <c r="D44" s="5">
        <f>IF(OR(A44="",C44="allocated",C44="ruled"),"",MAX(E44,IF(ISNUMBER(I44),I44,0),IFERROR(IF(ISNUMBER(INDEX('iCoA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IF(OR(C45="yes",C45="allocated",C45="ruled"),COUNT(A$1:A44)+1,"")</f>
        <v/>
      </c>
      <c r="B45" s="3">
        <f>IF(A45&lt;&gt;"","CoQ-PP_26-"&amp;TEXT(A45,"000"),"— at issue —")</f>
        <v/>
      </c>
      <c r="C45" s="4" t="inlineStr">
        <is>
          <t>yes</t>
        </is>
      </c>
      <c r="D45" s="5">
        <f>IF(OR(A45="",C45="allocated",C45="ruled"),"",MAX(E45,IF(ISNUMBER(I45),I45,0),IFERROR(IF(ISNUMBER(INDEX('iCoA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IF(OR(C46="yes",C46="allocated",C46="ruled"),COUNT(A$1:A45)+1,"")</f>
        <v/>
      </c>
      <c r="B46" s="3">
        <f>IF(A46&lt;&gt;"","CoQ-PP_26-"&amp;TEXT(A46,"000"),"— at issue —")</f>
        <v/>
      </c>
      <c r="C46" s="4" t="inlineStr">
        <is>
          <t>yes</t>
        </is>
      </c>
      <c r="D46" s="5">
        <f>IF(OR(A46="",C46="allocated",C46="ruled"),"",MAX(E46,IF(ISNUMBER(I46),I46,0),IFERROR(IF(ISNUMBER(INDEX('iCoA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IF(OR(C47="yes",C47="allocated",C47="ruled"),COUNT(A$1:A46)+1,"")</f>
        <v/>
      </c>
      <c r="B47" s="3">
        <f>IF(A47&lt;&gt;"","CoQ-PP_26-"&amp;TEXT(A47,"000"),"— at issue —")</f>
        <v/>
      </c>
      <c r="C47" s="4" t="inlineStr">
        <is>
          <t>yes</t>
        </is>
      </c>
      <c r="D47" s="5">
        <f>IF(OR(A47="",C47="allocated",C47="ruled"),"",MAX(E47,IF(ISNUMBER(I47),I47,0),IFERROR(IF(ISNUMBER(INDEX('iCoA Register'!$F:$F,MATCH(S47,'iCoA Register'!$AA:$AA,0))),INDEX('iCoA Register'!$F:$F,MATCH(S47,'iCoA Register'!$AA:$AA,0)),0),0)))</f>
        <v/>
      </c>
      <c r="E47" s="5">
        <f>IF(ISNUMBER(F47),MAX(DATE(2026,6,6),F47+7),DATE(2026,6,6))</f>
        <v/>
      </c>
      <c r="F47" s="5" t="n">
        <v>46065</v>
      </c>
      <c r="G47" s="2" t="inlineStr">
        <is>
          <t>031-3-ГС-26</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2" t="inlineStr">
        <is>
          <t>031-3-К-26, (10.02.2026) [FHM-K]</t>
        </is>
      </c>
      <c r="P47" s="6" t="inlineStr">
        <is>
          <t>—</t>
        </is>
      </c>
      <c r="Q47" s="2" t="inlineStr">
        <is>
          <t>—</t>
        </is>
      </c>
      <c r="R47" s="2" t="inlineStr">
        <is>
          <t>(assigned on issue)</t>
        </is>
      </c>
      <c r="S47" s="2" t="inlineStr">
        <is>
          <t>P060102|I</t>
        </is>
      </c>
      <c r="T47" s="7" t="inlineStr">
        <is>
          <t>registered — legacy series, issued 06.06.2026 · initial certificate to locate: #9 (IJZ)</t>
        </is>
      </c>
      <c r="U47" s="2" t="inlineStr">
        <is>
          <t>n/a — initial certificate</t>
        </is>
      </c>
      <c r="V47" s="10" t="n">
        <v>22.05</v>
      </c>
      <c r="W47" s="2" t="inlineStr">
        <is>
          <t>031-3-К/26</t>
        </is>
      </c>
      <c r="X47" s="2" t="inlineStr">
        <is>
          <t>—</t>
        </is>
      </c>
      <c r="Y47" s="2" t="inlineStr">
        <is>
          <t>—</t>
        </is>
      </c>
      <c r="Z47" s="2" t="inlineStr">
        <is>
          <t>—</t>
        </is>
      </c>
      <c r="AA47" s="2" t="inlineStr">
        <is>
          <t>QCSP_001_WED-II_v.01</t>
        </is>
      </c>
      <c r="AB47" s="11" t="inlineStr">
        <is>
          <t>for review — new specification required</t>
        </is>
      </c>
      <c r="AC47" s="8" t="inlineStr">
        <is>
          <t>new specification required — 22.05 % is in no window of WED (nearest 23.40 – 28.59); nominal and tolerance to define, numeral II</t>
        </is>
      </c>
    </row>
    <row r="48">
      <c r="A48" s="2">
        <f>IF(OR(C48="yes",C48="allocated",C48="ruled"),COUNT(A$1:A47)+1,"")</f>
        <v/>
      </c>
      <c r="B48" s="3">
        <f>IF(A48&lt;&gt;"","CoQ-PP_26-"&amp;TEXT(A48,"000"),"— at issue —")</f>
        <v/>
      </c>
      <c r="C48" s="4" t="inlineStr">
        <is>
          <t>yes</t>
        </is>
      </c>
      <c r="D48" s="5">
        <f>IF(OR(A48="",C48="allocated",C48="ruled"),"",MAX(E48,IF(ISNUMBER(I48),I48,0),IFERROR(IF(ISNUMBER(INDEX('iCoA Register'!$F:$F,MATCH(S48,'iCoA Register'!$AA:$AA,0))),INDEX('iCoA Register'!$F:$F,MATCH(S48,'iCoA Register'!$AA:$AA,0)),0),0)))</f>
        <v/>
      </c>
      <c r="E48" s="5">
        <f>IF(ISNUMBER(F48),MAX(DATE(2026,6,6),F48+7),DATE(2026,6,6))</f>
        <v/>
      </c>
      <c r="F48" s="5" t="n">
        <v>46064</v>
      </c>
      <c r="G48" s="2" t="inlineStr">
        <is>
          <t>031-2-ГС-26</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2" t="inlineStr">
        <is>
          <t>031-2-К-26, (10.02.2026) [FHM-K]</t>
        </is>
      </c>
      <c r="P48" s="6" t="inlineStr">
        <is>
          <t>—</t>
        </is>
      </c>
      <c r="Q48" s="2" t="inlineStr">
        <is>
          <t>—</t>
        </is>
      </c>
      <c r="R48" s="2" t="inlineStr">
        <is>
          <t>CoQ-PP-2026-0009</t>
        </is>
      </c>
      <c r="S48" s="2" t="inlineStr">
        <is>
          <t>P060112|I</t>
        </is>
      </c>
      <c r="T48" s="7" t="inlineStr">
        <is>
          <t>registered — legacy series, issued 06.06.2026 · initial certificate to locate: #4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IF(OR(C49="yes",C49="allocated",C49="ruled"),COUNT(A$1:A48)+1,"")</f>
        <v/>
      </c>
      <c r="B49" s="3">
        <f>IF(A49&lt;&gt;"","CoQ-PP_26-"&amp;TEXT(A49,"000"),"— at issue —")</f>
        <v/>
      </c>
      <c r="C49" s="4" t="inlineStr">
        <is>
          <t>yes</t>
        </is>
      </c>
      <c r="D49" s="5">
        <f>IF(OR(A49="",C49="allocated",C49="ruled"),"",MAX(E49,IF(ISNUMBER(I49),I49,0),IFERROR(IF(ISNUMBER(INDEX('iCoA Register'!$F:$F,MATCH(S49,'iCoA Register'!$AA:$AA,0))),INDEX('iCoA Register'!$F:$F,MATCH(S49,'iCoA Register'!$AA:$AA,0)),0),0)))</f>
        <v/>
      </c>
      <c r="E49" s="5">
        <f>IF(ISNUMBER(F49),MAX(DATE(2026,6,6),F49+7),DATE(2026,6,6))</f>
        <v/>
      </c>
      <c r="F49" s="5" t="n">
        <v>46065</v>
      </c>
      <c r="G49" s="2" t="inlineStr">
        <is>
          <t>031-5-ГС-26</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2" t="inlineStr">
        <is>
          <t>031-5-К-26, (10.02.2026) [FHM-K]</t>
        </is>
      </c>
      <c r="P49" s="6" t="inlineStr">
        <is>
          <t>—</t>
        </is>
      </c>
      <c r="Q49" s="2" t="inlineStr">
        <is>
          <t>—</t>
        </is>
      </c>
      <c r="R49" s="2" t="inlineStr">
        <is>
          <t>CoQ-PP-2026-0010</t>
        </is>
      </c>
      <c r="S49" s="2" t="inlineStr">
        <is>
          <t>P060122|I</t>
        </is>
      </c>
      <c r="T49" s="7" t="inlineStr">
        <is>
          <t>registered — legacy series, issued 06.06.2026</t>
        </is>
      </c>
      <c r="U49" s="2" t="inlineStr">
        <is>
          <t>n/a — initial certificate</t>
        </is>
      </c>
      <c r="V49" s="10" t="n">
        <v>12.91</v>
      </c>
      <c r="W49" s="2" t="inlineStr">
        <is>
          <t>031-5-К/26</t>
        </is>
      </c>
      <c r="X49" s="2" t="inlineStr">
        <is>
          <t>12.00 ± 1.20 (I)</t>
        </is>
      </c>
      <c r="Y49" s="2" t="inlineStr">
        <is>
          <t>10.80 – 13.19 %</t>
        </is>
      </c>
      <c r="Z49" s="2" t="inlineStr">
        <is>
          <t>ACC_THC12 : CBD1</t>
        </is>
      </c>
      <c r="AA49" s="2" t="inlineStr">
        <is>
          <t>QCSP_001_ACC-I_v.01</t>
        </is>
      </c>
      <c r="AB49" s="8" t="inlineStr">
        <is>
          <t>for review — replaces the issued QCSP_001_ACC-I_v.01 (was ACC_THC12 : CBD1, 10.80 – 13.20 %); now ACC_THC12 : CBD1 10.80 – 13.19 %</t>
        </is>
      </c>
      <c r="AC49" s="11" t="inlineStr"/>
    </row>
    <row r="50">
      <c r="A50" s="2">
        <f>IF(OR(C50="yes",C50="allocated",C50="ruled"),COUNT(A$1:A49)+1,"")</f>
        <v/>
      </c>
      <c r="B50" s="3">
        <f>IF(A50&lt;&gt;"","CoQ-PP_26-"&amp;TEXT(A50,"000"),"— at issue —")</f>
        <v/>
      </c>
      <c r="C50" s="4" t="inlineStr">
        <is>
          <t>yes</t>
        </is>
      </c>
      <c r="D50" s="5">
        <f>IF(OR(A50="",C50="allocated",C50="ruled"),"",MAX(E50,IF(ISNUMBER(I50),I50,0),IFERROR(IF(ISNUMBER(INDEX('iCoA Register'!$F:$F,MATCH(S50,'iCoA Register'!$AA:$AA,0))),INDEX('iCoA Register'!$F:$F,MATCH(S50,'iCoA Register'!$AA:$AA,0)),0),0)))</f>
        <v/>
      </c>
      <c r="E50" s="5">
        <f>IF(ISNUMBER(F50),MAX(DATE(2026,6,6),F50+7),DATE(2026,6,6))</f>
        <v/>
      </c>
      <c r="F50" s="5" t="n">
        <v>46065</v>
      </c>
      <c r="G50" s="2" t="inlineStr">
        <is>
          <t>031-4-ГС-26</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2" t="inlineStr">
        <is>
          <t>031-4-К-26, (10.02.2026) [FHM-K]</t>
        </is>
      </c>
      <c r="P50" s="6" t="inlineStr">
        <is>
          <t>—</t>
        </is>
      </c>
      <c r="Q50" s="2" t="inlineStr">
        <is>
          <t>—</t>
        </is>
      </c>
      <c r="R50" s="2" t="inlineStr">
        <is>
          <t>CoQ-PP-2026-0011</t>
        </is>
      </c>
      <c r="S50" s="2" t="inlineStr">
        <is>
          <t>P060132|I</t>
        </is>
      </c>
      <c r="T50" s="7" t="inlineStr">
        <is>
          <t>registered — legacy series, issued 06.06.2026</t>
        </is>
      </c>
      <c r="U50" s="2" t="inlineStr">
        <is>
          <t>n/a — initial certificate</t>
        </is>
      </c>
      <c r="V50" s="10" t="n">
        <v>9.83</v>
      </c>
      <c r="W50" s="2" t="inlineStr">
        <is>
          <t>031-4-К/26</t>
        </is>
      </c>
      <c r="X50" s="2" t="inlineStr">
        <is>
          <t>10.00 ± 1.00 (I)</t>
        </is>
      </c>
      <c r="Y50" s="2" t="inlineStr">
        <is>
          <t>9.00 – 10.99 %</t>
        </is>
      </c>
      <c r="Z50" s="2" t="inlineStr">
        <is>
          <t>CF_THC10 : CBD1</t>
        </is>
      </c>
      <c r="AA50" s="2" t="inlineStr">
        <is>
          <t>QCSP_001_CF-I_v.01</t>
        </is>
      </c>
      <c r="AB50" s="8" t="inlineStr">
        <is>
          <t>for review — replaces the issued QCSP_001_CF-I_v.01 (was CF_THC10 : CBD1, 9.00 – 11.00 %); now CF_THC10 : CBD1 9.00 – 10.99 %</t>
        </is>
      </c>
      <c r="AC50" s="11" t="inlineStr"/>
    </row>
    <row r="51">
      <c r="A51" s="2">
        <f>IF(OR(C51="yes",C51="allocated",C51="ruled"),COUNT(A$1:A50)+1,"")</f>
        <v/>
      </c>
      <c r="B51" s="3">
        <f>IF(A51&lt;&gt;"","CoQ-PP_26-"&amp;TEXT(A51,"000"),"— at issue —")</f>
        <v/>
      </c>
      <c r="C51" s="4" t="inlineStr">
        <is>
          <t>yes</t>
        </is>
      </c>
      <c r="D51" s="5">
        <f>IF(OR(A51="",C51="allocated",C51="ruled"),"",MAX(E51,IF(ISNUMBER(I51),I51,0),IFERROR(IF(ISNUMBER(INDEX('iCoA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Grapes And Cream</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IF(OR(C52="yes",C52="allocated",C52="ruled"),COUNT(A$1:A51)+1,"")</f>
        <v/>
      </c>
      <c r="B52" s="3">
        <f>IF(A52&lt;&gt;"","CoQ-PP_26-"&amp;TEXT(A52,"000"),"— at issue —")</f>
        <v/>
      </c>
      <c r="C52" s="4" t="inlineStr">
        <is>
          <t>yes</t>
        </is>
      </c>
      <c r="D52" s="5">
        <f>IF(OR(A52="",C52="allocated",C52="ruled"),"",MAX(E52,IF(ISNUMBER(I52),I52,0),IFERROR(IF(ISNUMBER(INDEX('iCoA Register'!$F:$F,MATCH(S52,'iCoA Register'!$AA:$AA,0))),INDEX('iCoA Register'!$F:$F,MATCH(S52,'iCoA Register'!$AA:$AA,0)),0),0)))</f>
        <v/>
      </c>
      <c r="E52" s="5">
        <f>IF(ISNUMBER(F52),MAX(DATE(2026,6,6),F52+7),DATE(2026,6,6))</f>
        <v/>
      </c>
      <c r="F52" s="5" t="n">
        <v>46090</v>
      </c>
      <c r="G52" s="2" t="inlineStr">
        <is>
          <t>1056-2026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t>
        </is>
      </c>
      <c r="U52" s="2" t="inlineStr">
        <is>
          <t>n/a — initial certificate</t>
        </is>
      </c>
      <c r="V52" s="10"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IF(OR(C53="yes",C53="allocated",C53="ruled"),COUNT(A$1:A52)+1,"")</f>
        <v/>
      </c>
      <c r="B53" s="3">
        <f>IF(A53&lt;&gt;"","CoQ-PP_26-"&amp;TEXT(A53,"000"),"— at issue —")</f>
        <v/>
      </c>
      <c r="C53" s="4" t="inlineStr">
        <is>
          <t>yes</t>
        </is>
      </c>
      <c r="D53" s="5">
        <f>IF(OR(A53="",C53="allocated",C53="ruled"),"",MAX(E53,IF(ISNUMBER(I53),I53,0),IFERROR(IF(ISNUMBER(INDEX('iCoA Register'!$F:$F,MATCH(S53,'iCoA Register'!$AA:$AA,0))),INDEX('iCoA Register'!$F:$F,MATCH(S53,'iCoA Register'!$AA:$AA,0)),0),0)))</f>
        <v/>
      </c>
      <c r="E53" s="5">
        <f>IF(ISNUMBER(F53),MAX(DATE(2026,6,6),F53+7),DATE(2026,6,6))</f>
        <v/>
      </c>
      <c r="F53" s="5" t="n">
        <v>46092</v>
      </c>
      <c r="G53" s="2" t="inlineStr">
        <is>
          <t>1065-2026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t>
        </is>
      </c>
      <c r="U53" s="2" t="inlineStr">
        <is>
          <t>n/a — initial certificate</t>
        </is>
      </c>
      <c r="V53" s="10"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IF(OR(C54="yes",C54="allocated",C54="ruled"),COUNT(A$1:A53)+1,"")</f>
        <v/>
      </c>
      <c r="B54" s="3">
        <f>IF(A54&lt;&gt;"","CoQ-PP_26-"&amp;TEXT(A54,"000"),"— at issue —")</f>
        <v/>
      </c>
      <c r="C54" s="4" t="inlineStr">
        <is>
          <t>yes</t>
        </is>
      </c>
      <c r="D54" s="5">
        <f>IF(OR(A54="",C54="allocated",C54="ruled"),"",MAX(E54,IF(ISNUMBER(I54),I54,0),IFERROR(IF(ISNUMBER(INDEX('iCoA Register'!$F:$F,MATCH(S54,'iCoA Register'!$AA:$AA,0))),INDEX('iCoA Register'!$F:$F,MATCH(S54,'iCoA Register'!$AA:$AA,0)),0),0)))</f>
        <v/>
      </c>
      <c r="E54" s="5">
        <f>IF(ISNUMBER(F54),MAX(DATE(2026,6,6),F54+7),DATE(2026,6,6))</f>
        <v/>
      </c>
      <c r="F54" s="5" t="n">
        <v>46090</v>
      </c>
      <c r="G54" s="2" t="inlineStr">
        <is>
          <t>1058-2026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t>
        </is>
      </c>
      <c r="U54" s="2" t="inlineStr">
        <is>
          <t>n/a — initial certificate</t>
        </is>
      </c>
      <c r="V54" s="10" t="n">
        <v>17.04</v>
      </c>
      <c r="W54" s="2" t="inlineStr">
        <is>
          <t>051-4-К/26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IF(OR(C55="yes",C55="allocated",C55="ruled"),COUNT(A$1:A54)+1,"")</f>
        <v/>
      </c>
      <c r="B55" s="3">
        <f>IF(A55&lt;&gt;"","CoQ-PP_26-"&amp;TEXT(A55,"000"),"— at issue —")</f>
        <v/>
      </c>
      <c r="C55" s="4" t="inlineStr">
        <is>
          <t>yes</t>
        </is>
      </c>
      <c r="D55" s="5">
        <f>IF(OR(A55="",C55="allocated",C55="ruled"),"",MAX(E55,IF(ISNUMBER(I55),I55,0),IFERROR(IF(ISNUMBER(INDEX('iCoA Register'!$F:$F,MATCH(S55,'iCoA Register'!$AA:$AA,0))),INDEX('iCoA Register'!$F:$F,MATCH(S55,'iCoA Register'!$AA:$AA,0)),0),0)))</f>
        <v/>
      </c>
      <c r="E55" s="5">
        <f>IF(ISNUMBER(F55),MAX(DATE(2026,6,6),F55+7),DATE(2026,6,6))</f>
        <v/>
      </c>
      <c r="F55" s="5" t="n">
        <v>46090</v>
      </c>
      <c r="G55" s="2" t="inlineStr">
        <is>
          <t>1060-2026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Grapes And Cream</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t>
        </is>
      </c>
      <c r="U55" s="2" t="inlineStr">
        <is>
          <t>n/a — initial certificate</t>
        </is>
      </c>
      <c r="V55" s="10"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IF(OR(C56="yes",C56="allocated",C56="ruled"),COUNT(A$1:A55)+1,"")</f>
        <v/>
      </c>
      <c r="B56" s="3">
        <f>IF(A56&lt;&gt;"","CoQ-PP_26-"&amp;TEXT(A56,"000"),"— at issue —")</f>
        <v/>
      </c>
      <c r="C56" s="4" t="inlineStr">
        <is>
          <t>yes</t>
        </is>
      </c>
      <c r="D56" s="5">
        <f>IF(OR(A56="",C56="allocated",C56="ruled"),"",MAX(E56,IF(ISNUMBER(I56),I56,0),IFERROR(IF(ISNUMBER(INDEX('iCoA Register'!$F:$F,MATCH(S56,'iCoA Register'!$AA:$AA,0))),INDEX('iCoA Register'!$F:$F,MATCH(S56,'iCoA Register'!$AA:$AA,0)),0),0)))</f>
        <v/>
      </c>
      <c r="E56" s="5">
        <f>IF(ISNUMBER(F56),MAX(DATE(2026,6,6),F56+7),DATE(2026,6,6))</f>
        <v/>
      </c>
      <c r="F56" s="5" t="n">
        <v>46090</v>
      </c>
      <c r="G56" s="2" t="inlineStr">
        <is>
          <t>1061-2026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t>
        </is>
      </c>
      <c r="U56" s="2" t="inlineStr">
        <is>
          <t>n/a — initial certificate</t>
        </is>
      </c>
      <c r="V56" s="10" t="n">
        <v>9.199999999999999</v>
      </c>
      <c r="W56" s="2" t="inlineStr">
        <is>
          <t>051-2-К/26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IF(OR(C57="yes",C57="allocated",C57="ruled"),COUNT(A$1:A56)+1,"")</f>
        <v/>
      </c>
      <c r="B57" s="3">
        <f>IF(A57&lt;&gt;"","CoQ-PP_26-"&amp;TEXT(A57,"000"),"— at issue —")</f>
        <v/>
      </c>
      <c r="C57" s="4" t="inlineStr">
        <is>
          <t>yes</t>
        </is>
      </c>
      <c r="D57" s="5">
        <f>IF(OR(A57="",C57="allocated",C57="ruled"),"",MAX(E57,IF(ISNUMBER(I57),I57,0),IFERROR(IF(ISNUMBER(INDEX('iCoA Register'!$F:$F,MATCH(S57,'iCoA Register'!$AA:$AA,0))),INDEX('iCoA Register'!$F:$F,MATCH(S57,'iCoA Register'!$AA:$AA,0)),0),0)))</f>
        <v/>
      </c>
      <c r="E57" s="5">
        <f>IF(ISNUMBER(F57),MAX(DATE(2026,6,6),F57+7),DATE(2026,6,6))</f>
        <v/>
      </c>
      <c r="F57" s="5" t="n">
        <v>46090</v>
      </c>
      <c r="G57" s="2" t="inlineStr">
        <is>
          <t>1057-2026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t>
        </is>
      </c>
      <c r="U57" s="2" t="inlineStr">
        <is>
          <t>n/a — initial certificate</t>
        </is>
      </c>
      <c r="V57" s="10"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IF(OR(C58="yes",C58="allocated",C58="ruled"),COUNT(A$1:A57)+1,"")</f>
        <v/>
      </c>
      <c r="B58" s="3">
        <f>IF(A58&lt;&gt;"","CoQ-PP_26-"&amp;TEXT(A58,"000"),"— at issue —")</f>
        <v/>
      </c>
      <c r="C58" s="4" t="inlineStr">
        <is>
          <t>yes</t>
        </is>
      </c>
      <c r="D58" s="5">
        <f>IF(OR(A58="",C58="allocated",C58="ruled"),"",MAX(E58,IF(ISNUMBER(I58),I58,0),IFERROR(IF(ISNUMBER(INDEX('iCoA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Donuts</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IF(OR(C59="yes",C59="allocated",C59="ruled"),COUNT(A$1:A58)+1,"")</f>
        <v/>
      </c>
      <c r="B59" s="3">
        <f>IF(A59&lt;&gt;"","CoQ-PP_26-"&amp;TEXT(A59,"000"),"— at issue —")</f>
        <v/>
      </c>
      <c r="C59" s="4" t="inlineStr">
        <is>
          <t>yes</t>
        </is>
      </c>
      <c r="D59" s="5">
        <f>IF(OR(A59="",C59="allocated",C59="ruled"),"",MAX(E59,IF(ISNUMBER(I59),I59,0),IFERROR(IF(ISNUMBER(INDEX('iCoA Register'!$F:$F,MATCH(S59,'iCoA Register'!$AA:$AA,0))),INDEX('iCoA Register'!$F:$F,MATCH(S59,'iCoA Register'!$AA:$AA,0)),0),0)))</f>
        <v/>
      </c>
      <c r="E59" s="5">
        <f>IF(ISNUMBER(F59),MAX(DATE(2026,6,6),F59+7),DATE(2026,6,6))</f>
        <v/>
      </c>
      <c r="F59" s="5" t="n">
        <v>46092</v>
      </c>
      <c r="G59" s="2" t="inlineStr">
        <is>
          <t>1062-2026</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IF(OR(C60="yes",C60="allocated",C60="ruled"),COUNT(A$1:A59)+1,"")</f>
        <v/>
      </c>
      <c r="B60" s="3">
        <f>IF(A60&lt;&gt;"","CoQ-PP_26-"&amp;TEXT(A60,"000"),"— at issue —")</f>
        <v/>
      </c>
      <c r="C60" s="4" t="inlineStr">
        <is>
          <t>yes</t>
        </is>
      </c>
      <c r="D60" s="5">
        <f>IF(OR(A60="",C60="allocated",C60="ruled"),"",MAX(E60,IF(ISNUMBER(I60),I60,0),IFERROR(IF(ISNUMBER(INDEX('iCoA Register'!$F:$F,MATCH(S60,'iCoA Register'!$AA:$AA,0))),INDEX('iCoA Register'!$F:$F,MATCH(S60,'iCoA Register'!$AA:$AA,0)),0),0)))</f>
        <v/>
      </c>
      <c r="E60" s="5">
        <f>IF(ISNUMBER(F60),MAX(DATE(2026,6,6),F60+7),DATE(2026,6,6))</f>
        <v/>
      </c>
      <c r="F60" s="5" t="n">
        <v>46090</v>
      </c>
      <c r="G60" s="2" t="inlineStr">
        <is>
          <t>1059-2026</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IF(OR(C61="yes",C61="allocated",C61="ruled"),COUNT(A$1:A60)+1,"")</f>
        <v/>
      </c>
      <c r="B61" s="3">
        <f>IF(A61&lt;&gt;"","CoQ-PP_26-"&amp;TEXT(A61,"000"),"— at issue —")</f>
        <v/>
      </c>
      <c r="C61" s="4" t="inlineStr">
        <is>
          <t>yes</t>
        </is>
      </c>
      <c r="D61" s="5">
        <f>IF(OR(A61="",C61="allocated",C61="ruled"),"",MAX(E61,IF(ISNUMBER(I61),I61,0),IFERROR(IF(ISNUMBER(INDEX('iCoA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IF(OR(C62="yes",C62="allocated",C62="ruled"),COUNT(A$1:A61)+1,"")</f>
        <v/>
      </c>
      <c r="B62" s="3">
        <f>IF(A62&lt;&gt;"","CoQ-PP_26-"&amp;TEXT(A62,"000"),"— at issue —")</f>
        <v/>
      </c>
      <c r="C62" s="4" t="inlineStr">
        <is>
          <t>yes</t>
        </is>
      </c>
      <c r="D62" s="5">
        <f>IF(OR(A62="",C62="allocated",C62="ruled"),"",MAX(E62,IF(ISNUMBER(I62),I62,0),IFERROR(IF(ISNUMBER(INDEX('iCoA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IF(OR(C63="yes",C63="allocated",C63="ruled"),COUNT(A$1:A62)+1,"")</f>
        <v/>
      </c>
      <c r="B63" s="3">
        <f>IF(A63&lt;&gt;"","CoQ-PP_26-"&amp;TEXT(A63,"000"),"— at issue —")</f>
        <v/>
      </c>
      <c r="C63" s="4" t="inlineStr">
        <is>
          <t>yes</t>
        </is>
      </c>
      <c r="D63" s="5">
        <f>IF(OR(A63="",C63="allocated",C63="ruled"),"",MAX(E63,IF(ISNUMBER(I63),I63,0),IFERROR(IF(ISNUMBER(INDEX('iCoA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IF(OR(C64="yes",C64="allocated",C64="ruled"),COUNT(A$1:A63)+1,"")</f>
        <v/>
      </c>
      <c r="B64" s="3">
        <f>IF(A64&lt;&gt;"","CoQ-PP_26-"&amp;TEXT(A64,"000"),"— at issue —")</f>
        <v/>
      </c>
      <c r="C64" s="4" t="inlineStr">
        <is>
          <t>yes</t>
        </is>
      </c>
      <c r="D64" s="5">
        <f>IF(OR(A64="",C64="allocated",C64="ruled"),"",MAX(E64,IF(ISNUMBER(I64),I64,0),IFERROR(IF(ISNUMBER(INDEX('iCoA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IF(OR(C65="yes",C65="allocated",C65="ruled"),COUNT(A$1:A64)+1,"")</f>
        <v/>
      </c>
      <c r="B65" s="3">
        <f>IF(A65&lt;&gt;"","CoQ-PP_26-"&amp;TEXT(A65,"000"),"— at issue —")</f>
        <v/>
      </c>
      <c r="C65" s="4" t="inlineStr">
        <is>
          <t>yes</t>
        </is>
      </c>
      <c r="D65" s="5">
        <f>IF(OR(A65="",C65="allocated",C65="ruled"),"",MAX(E65,IF(ISNUMBER(I65),I65,0),IFERROR(IF(ISNUMBER(INDEX('iCoA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IF(OR(C66="yes",C66="allocated",C66="ruled"),COUNT(A$1:A65)+1,"")</f>
        <v/>
      </c>
      <c r="B66" s="3">
        <f>IF(A66&lt;&gt;"","CoQ-PP_26-"&amp;TEXT(A66,"000"),"— at issue —")</f>
        <v/>
      </c>
      <c r="C66" s="4" t="inlineStr">
        <is>
          <t>yes</t>
        </is>
      </c>
      <c r="D66" s="5">
        <f>IF(OR(A66="",C66="allocated",C66="ruled"),"",MAX(E66,IF(ISNUMBER(I66),I66,0),IFERROR(IF(ISNUMBER(INDEX('iCoA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IF(OR(C67="yes",C67="allocated",C67="ruled"),COUNT(A$1:A66)+1,"")</f>
        <v/>
      </c>
      <c r="B67" s="3">
        <f>IF(A67&lt;&gt;"","CoQ-PP_26-"&amp;TEXT(A67,"000"),"— at issue —")</f>
        <v/>
      </c>
      <c r="C67" s="4" t="inlineStr">
        <is>
          <t>yes</t>
        </is>
      </c>
      <c r="D67" s="5">
        <f>IF(OR(A67="",C67="allocated",C67="ruled"),"",MAX(E67,IF(ISNUMBER(I67),I67,0),IFERROR(IF(ISNUMBER(INDEX('iCoA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10" t="n">
        <v>15.35</v>
      </c>
      <c r="W67" s="2" t="inlineStr">
        <is>
          <t>ППК26062</t>
        </is>
      </c>
      <c r="X67" s="2" t="inlineStr">
        <is>
          <t>15.00 ± 1.23 (II)</t>
        </is>
      </c>
      <c r="Y67" s="2" t="inlineStr">
        <is>
          <t>13.77 – 16.22 %</t>
        </is>
      </c>
      <c r="Z67" s="2" t="inlineStr">
        <is>
          <t>GG_THC15 : CBD1</t>
        </is>
      </c>
      <c r="AA67" s="2" t="inlineStr">
        <is>
          <t>QCSP_001_GG-II_v.01</t>
        </is>
      </c>
      <c r="AB67" s="8" t="inlineStr">
        <is>
          <t>for review — replaces the issued QCSP_001_GG-II_v.01 (was GG_THC16 : CBD1, 15.00 – 17.00 %); now GG_THC15 : CBD1 13.77 – 16.22 %</t>
        </is>
      </c>
      <c r="AC67" s="11" t="inlineStr"/>
    </row>
    <row r="68">
      <c r="A68" s="2">
        <f>IF(OR(C68="yes",C68="allocated",C68="ruled"),COUNT(A$1:A67)+1,"")</f>
        <v/>
      </c>
      <c r="B68" s="3">
        <f>IF(A68&lt;&gt;"","CoQ-PP_26-"&amp;TEXT(A68,"000"),"— at issue —")</f>
        <v/>
      </c>
      <c r="C68" s="4" t="inlineStr">
        <is>
          <t>yes</t>
        </is>
      </c>
      <c r="D68" s="5">
        <f>IF(OR(A68="",C68="allocated",C68="ruled"),"",MAX(E68,IF(ISNUMBER(I68),I68,0),IFERROR(IF(ISNUMBER(INDEX('iCoA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Donuts</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10" t="n">
        <v>18.16</v>
      </c>
      <c r="W68" s="2" t="inlineStr">
        <is>
          <t>ППК26064</t>
        </is>
      </c>
      <c r="X68" s="2" t="inlineStr">
        <is>
          <t>18.00 ± 1.80 (II)</t>
        </is>
      </c>
      <c r="Y68" s="2" t="inlineStr">
        <is>
          <t>16.20 – 19.79 %</t>
        </is>
      </c>
      <c r="Z68" s="2" t="inlineStr">
        <is>
          <t>JD_THC18 : CBD1</t>
        </is>
      </c>
      <c r="AA68" s="2" t="inlineStr">
        <is>
          <t>QCSP_001_JD-II_v.01</t>
        </is>
      </c>
      <c r="AB68" s="8" t="inlineStr">
        <is>
          <t>for review — replaces the issued QCSP_001_JD-II_v.01 (was JD_THC16 : CBD1, 14.91 – 17.09 %); now JD_THC18 : CBD1 16.20 – 19.79 %</t>
        </is>
      </c>
      <c r="AC68" s="11" t="inlineStr"/>
    </row>
    <row r="69">
      <c r="A69" s="2">
        <f>IF(OR(C69="yes",C69="allocated",C69="ruled"),COUNT(A$1:A68)+1,"")</f>
        <v/>
      </c>
      <c r="B69" s="3">
        <f>IF(A69&lt;&gt;"","CoQ-PP_26-"&amp;TEXT(A69,"000"),"— at issue —")</f>
        <v/>
      </c>
      <c r="C69" s="4" t="inlineStr">
        <is>
          <t>yes</t>
        </is>
      </c>
      <c r="D69" s="5">
        <f>IF(OR(A69="",C69="allocated",C69="ruled"),"",MAX(E69,IF(ISNUMBER(I69),I69,0),IFERROR(IF(ISNUMBER(INDEX('iCoA Register'!$F:$F,MATCH(S69,'iCoA Register'!$AA:$AA,0))),INDEX('iCoA Register'!$F:$F,MATCH(S69,'iCoA Register'!$AA:$AA,0)),0),0)))</f>
        <v/>
      </c>
      <c r="E69" s="5">
        <f>IF(ISNUMBER(F69),MAX(DATE(2026,6,6),F69+7),DATE(2026,6,6))</f>
        <v/>
      </c>
      <c r="F69" s="5" t="n">
        <v>46153</v>
      </c>
      <c r="G69" s="2" t="inlineStr">
        <is>
          <t>ППК26067</t>
        </is>
      </c>
      <c r="H69" s="2">
        <f>IFERROR(INDEX('iCoA Register'!$B:$B,MATCH("P060322|I",'iCoA Register'!$AA:$AA,0)),"—")</f>
        <v/>
      </c>
      <c r="I69" s="5">
        <f>IFERROR(INDEX('iCoA Register'!$D:$D,MATCH("P060322|I",'iCoA Register'!$AA:$AA,0)),"")</f>
        <v/>
      </c>
      <c r="J69" s="2" t="inlineStr">
        <is>
          <t>post-SOP</t>
        </is>
      </c>
      <c r="K69" s="2" t="inlineStr">
        <is>
          <t>initial release</t>
        </is>
      </c>
      <c r="L69" s="3" t="inlineStr">
        <is>
          <t>FB012601_1</t>
        </is>
      </c>
      <c r="M69" s="2" t="inlineStr">
        <is>
          <t>P060322</t>
        </is>
      </c>
      <c r="N69" s="2" t="inlineStr">
        <is>
          <t>Fat Bastard</t>
        </is>
      </c>
      <c r="O69" s="2" t="inlineStr">
        <is>
          <t>ППК26067, (11.05.2026) [CNP]</t>
        </is>
      </c>
      <c r="P69" s="6" t="inlineStr">
        <is>
          <t>—</t>
        </is>
      </c>
      <c r="Q69" s="2" t="inlineStr">
        <is>
          <t>—</t>
        </is>
      </c>
      <c r="R69" s="2" t="inlineStr">
        <is>
          <t>CoQ-PP-2026-0019</t>
        </is>
      </c>
      <c r="S69" s="2" t="inlineStr">
        <is>
          <t>P060322|I</t>
        </is>
      </c>
      <c r="T69" s="7" t="inlineStr">
        <is>
          <t>registered — rule date 18.05.2026 held to the legacy series day</t>
        </is>
      </c>
      <c r="U69" s="2" t="inlineStr">
        <is>
          <t>n/a — initial certificate</t>
        </is>
      </c>
      <c r="V69" s="10" t="n">
        <v>14.68</v>
      </c>
      <c r="W69" s="2" t="inlineStr">
        <is>
          <t>ППК26067</t>
        </is>
      </c>
      <c r="X69" s="2" t="inlineStr">
        <is>
          <t>15.00 ± 1.20 (III)</t>
        </is>
      </c>
      <c r="Y69" s="2" t="inlineStr">
        <is>
          <t>13.80 – 16.19 %</t>
        </is>
      </c>
      <c r="Z69" s="2" t="inlineStr">
        <is>
          <t>FB_THC15 : CBD1</t>
        </is>
      </c>
      <c r="AA69" s="2" t="inlineStr">
        <is>
          <t>QCSP_001_FB-III_v.01</t>
        </is>
      </c>
      <c r="AB69" s="8" t="inlineStr">
        <is>
          <t>for review — replaces the issued QCSP_001_FB-III_v.01 (was FB_THC16 : CBD1, 14.86 – 17.14 %); now FB_THC15 : CBD1 13.80 – 16.19 %</t>
        </is>
      </c>
      <c r="AC69" s="11" t="inlineStr"/>
    </row>
    <row r="70">
      <c r="A70" s="2">
        <f>IF(OR(C70="yes",C70="allocated",C70="ruled"),COUNT(A$1:A69)+1,"")</f>
        <v/>
      </c>
      <c r="B70" s="3">
        <f>IF(A70&lt;&gt;"","CoQ-PP_26-"&amp;TEXT(A70,"000"),"— at issue —")</f>
        <v/>
      </c>
      <c r="C70" s="4" t="inlineStr">
        <is>
          <t>yes</t>
        </is>
      </c>
      <c r="D70" s="5">
        <f>IF(OR(A70="",C70="allocated",C70="ruled"),"",MAX(E70,IF(ISNUMBER(I70),I70,0),IFERROR(IF(ISNUMBER(INDEX('iCoA Register'!$F:$F,MATCH(S70,'iCoA Register'!$AA:$AA,0))),INDEX('iCoA Register'!$F:$F,MATCH(S70,'iCoA Register'!$AA:$AA,0)),0),0)))</f>
        <v/>
      </c>
      <c r="E70" s="5">
        <f>IF(ISNUMBER(F70),MAX(DATE(2026,6,6),F70+7),DATE(2026,6,6))</f>
        <v/>
      </c>
      <c r="F70" s="5" t="inlineStr">
        <is>
          <t>—</t>
        </is>
      </c>
      <c r="G70" s="2" t="inlineStr">
        <is>
          <t>—</t>
        </is>
      </c>
      <c r="H70" s="2">
        <f>IFERROR(INDEX('iCoA Register'!$B:$B,MATCH("P060342|I",'iCoA Register'!$AA:$AA,0)),"—")</f>
        <v/>
      </c>
      <c r="I70" s="5">
        <f>IFERROR(INDEX('iCoA Register'!$D:$D,MATCH("P060342|I",'iCoA Register'!$AA:$AA,0)),"")</f>
        <v/>
      </c>
      <c r="J70" s="2" t="inlineStr">
        <is>
          <t>post-SOP</t>
        </is>
      </c>
      <c r="K70" s="2" t="inlineStr">
        <is>
          <t>initial release</t>
        </is>
      </c>
      <c r="L70" s="3" t="inlineStr">
        <is>
          <t>SCR012601*</t>
        </is>
      </c>
      <c r="M70" s="2" t="inlineStr">
        <is>
          <t>P060342</t>
        </is>
      </c>
      <c r="N70" s="2" t="inlineStr">
        <is>
          <t>Scrambler</t>
        </is>
      </c>
      <c r="O70" s="6" t="inlineStr">
        <is>
          <t>— no cannabinoid certificate from the initial testing —</t>
        </is>
      </c>
      <c r="P70" s="6" t="inlineStr">
        <is>
          <t>—</t>
        </is>
      </c>
      <c r="Q70" s="2" t="inlineStr">
        <is>
          <t>—</t>
        </is>
      </c>
      <c r="R70" s="2" t="inlineStr">
        <is>
          <t>(assigned on issue)</t>
        </is>
      </c>
      <c r="S70" s="2" t="inlineStr">
        <is>
          <t>P060342|I</t>
        </is>
      </c>
      <c r="T70" s="7" t="inlineStr">
        <is>
          <t>registered — provisional date: no initial certificate on file yet — the date follows the latest eCoA once located · initial certificate to locate: #3 (CNP), #4 (CNP), #5 (CNP), #6 (CNP), #8 (CNP), #9 (IJZ), #10 (CNP), #11 (CNP), #12 (CNP)</t>
        </is>
      </c>
      <c r="U70" s="2" t="inlineStr">
        <is>
          <t>n/a — initial certificate</t>
        </is>
      </c>
      <c r="V70" s="2" t="inlineStr">
        <is>
          <t>—</t>
        </is>
      </c>
      <c r="W70" s="2" t="inlineStr">
        <is>
          <t>—</t>
        </is>
      </c>
      <c r="X70" s="2" t="inlineStr">
        <is>
          <t>—</t>
        </is>
      </c>
      <c r="Y70" s="2" t="inlineStr">
        <is>
          <t>—</t>
        </is>
      </c>
      <c r="Z70" s="2" t="inlineStr">
        <is>
          <t>—</t>
        </is>
      </c>
      <c r="AA70" s="2" t="inlineStr">
        <is>
          <t>—</t>
        </is>
      </c>
      <c r="AB70" s="11" t="inlineStr">
        <is>
          <t>—</t>
        </is>
      </c>
      <c r="AC70" s="8" t="inlineStr">
        <is>
          <t>no Total THC result on this certificate</t>
        </is>
      </c>
    </row>
    <row r="71">
      <c r="A71" s="2">
        <f>IF(OR(C71="yes",C71="allocated",C71="ruled"),COUNT(A$1:A70)+1,"")</f>
        <v/>
      </c>
      <c r="B71" s="3">
        <f>IF(A71&lt;&gt;"","CoQ-PP_26-"&amp;TEXT(A71,"000"),"— at issue —")</f>
        <v/>
      </c>
      <c r="C71" s="4" t="inlineStr">
        <is>
          <t>yes</t>
        </is>
      </c>
      <c r="D71" s="5">
        <f>IF(OR(A71="",C71="allocated",C71="ruled"),"",MAX(E71,IF(ISNUMBER(I71),I71,0),IFERROR(IF(ISNUMBER(INDEX('iCoA Register'!$F:$F,MATCH(S71,'iCoA Register'!$AA:$AA,0))),INDEX('iCoA Register'!$F:$F,MATCH(S71,'iCoA Register'!$AA:$AA,0)),0),0)))</f>
        <v/>
      </c>
      <c r="E71" s="5">
        <f>IF(ISNUMBER(F71),MAX(DATE(2026,6,6),F71+7),DATE(2026,6,6))</f>
        <v/>
      </c>
      <c r="F71" s="5" t="n">
        <v>46174</v>
      </c>
      <c r="G71" s="2" t="inlineStr">
        <is>
          <t>361-0691-26</t>
        </is>
      </c>
      <c r="H71" s="2">
        <f>IFERROR(INDEX('iCoA Register'!$B:$B,MATCH("P060332|I",'iCoA Register'!$AA:$AA,0)),"—")</f>
        <v/>
      </c>
      <c r="I71" s="5">
        <f>IFERROR(INDEX('iCoA Register'!$D:$D,MATCH("P060332|I",'iCoA Register'!$AA:$AA,0)),"")</f>
        <v/>
      </c>
      <c r="J71" s="2" t="inlineStr">
        <is>
          <t>post-SOP</t>
        </is>
      </c>
      <c r="K71" s="2" t="inlineStr">
        <is>
          <t>initial release</t>
        </is>
      </c>
      <c r="L71" s="3" t="inlineStr">
        <is>
          <t>CC012601/1</t>
        </is>
      </c>
      <c r="M71" s="2" t="inlineStr">
        <is>
          <t>P060332</t>
        </is>
      </c>
      <c r="N71" s="2" t="inlineStr">
        <is>
          <t>Cash Cow</t>
        </is>
      </c>
      <c r="O71" s="6" t="inlineStr">
        <is>
          <t>— no cannabinoid certificate from the initial testing —</t>
        </is>
      </c>
      <c r="P71" s="6" t="inlineStr">
        <is>
          <t>—</t>
        </is>
      </c>
      <c r="Q71" s="2" t="inlineStr">
        <is>
          <t>—</t>
        </is>
      </c>
      <c r="R71" s="2" t="inlineStr">
        <is>
          <t>(assigned on issue)</t>
        </is>
      </c>
      <c r="S71" s="2" t="inlineStr">
        <is>
          <t>P060332|I</t>
        </is>
      </c>
      <c r="T71" s="7" t="inlineStr">
        <is>
          <t>registered — first working day 7 days after the latest eCoA · initial certificate to locate: #3 (CNP), #4 (CNP), #5 (CNP), #6 (CNP), #8 (CNP),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IF(OR(C72="yes",C72="allocated",C72="ruled"),COUNT(A$1:A71)+1,"")</f>
        <v/>
      </c>
      <c r="B72" s="3">
        <f>IF(A72&lt;&gt;"","CoQ-PP_26-"&amp;TEXT(A72,"000"),"— at issue —")</f>
        <v/>
      </c>
      <c r="C72" s="4" t="inlineStr">
        <is>
          <t>yes</t>
        </is>
      </c>
      <c r="D72" s="5">
        <f>IF(OR(A72="",C72="allocated",C72="ruled"),"",MAX(E72,IF(ISNUMBER(I72),I72,0),IFERROR(IF(ISNUMBER(INDEX('iCoA Register'!$F:$F,MATCH(S72,'iCoA Register'!$AA:$AA,0))),INDEX('iCoA Register'!$F:$F,MATCH(S72,'iCoA Register'!$AA:$AA,0)),0),0)))</f>
        <v/>
      </c>
      <c r="E72" s="5">
        <f>IF(ISNUMBER(F72),MAX(DATE(2026,6,6),F72+7),DATE(2026,6,6))</f>
        <v/>
      </c>
      <c r="F72" s="5" t="n">
        <v>46174</v>
      </c>
      <c r="G72" s="2" t="inlineStr">
        <is>
          <t>366-0696-26</t>
        </is>
      </c>
      <c r="H72" s="2">
        <f>IFERROR(INDEX('iCoA Register'!$B:$B,MATCH("P060352|I",'iCoA Register'!$AA:$AA,0)),"—")</f>
        <v/>
      </c>
      <c r="I72" s="5">
        <f>IFERROR(INDEX('iCoA Register'!$D:$D,MATCH("P060352|I",'iCoA Register'!$AA:$AA,0)),"")</f>
        <v/>
      </c>
      <c r="J72" s="2" t="inlineStr">
        <is>
          <t>post-SOP</t>
        </is>
      </c>
      <c r="K72" s="2" t="inlineStr">
        <is>
          <t>initial release</t>
        </is>
      </c>
      <c r="L72" s="3" t="inlineStr">
        <is>
          <t>FB012602*</t>
        </is>
      </c>
      <c r="M72" s="2" t="inlineStr">
        <is>
          <t>P060352</t>
        </is>
      </c>
      <c r="N72" s="2" t="inlineStr">
        <is>
          <t>Fat Bastard</t>
        </is>
      </c>
      <c r="O72" s="6" t="inlineStr">
        <is>
          <t>— no cannabinoid certificate from the initial testing —</t>
        </is>
      </c>
      <c r="P72" s="6" t="inlineStr">
        <is>
          <t>—</t>
        </is>
      </c>
      <c r="Q72" s="2" t="inlineStr">
        <is>
          <t>—</t>
        </is>
      </c>
      <c r="R72" s="2" t="inlineStr">
        <is>
          <t>CoQ-PP-2026-0021</t>
        </is>
      </c>
      <c r="S72" s="2" t="inlineStr">
        <is>
          <t>P060352|I</t>
        </is>
      </c>
      <c r="T72" s="7" t="inlineStr">
        <is>
          <t>registered — first working day 7 days after the latest eCoA · initial certificate to locate: #3 (CNP), #4 (CNP), #5 (CNP), #6 (CNP), #8 (CNP),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IF(OR(C73="yes",C73="allocated",C73="ruled"),COUNT(A$1:A72)+1,"")</f>
        <v/>
      </c>
      <c r="B73" s="3">
        <f>IF(A73&lt;&gt;"","CoQ-PP_26-"&amp;TEXT(A73,"000"),"— at issue —")</f>
        <v/>
      </c>
      <c r="C73" s="4" t="inlineStr">
        <is>
          <t>yes</t>
        </is>
      </c>
      <c r="D73" s="5">
        <f>IF(OR(A73="",C73="allocated",C73="ruled"),"",MAX(E73,IF(ISNUMBER(I73),I73,0),IFERROR(IF(ISNUMBER(INDEX('iCoA Register'!$F:$F,MATCH(S73,'iCoA Register'!$AA:$AA,0))),INDEX('iCoA Register'!$F:$F,MATCH(S73,'iCoA Register'!$AA:$AA,0)),0),0)))</f>
        <v/>
      </c>
      <c r="E73" s="5">
        <f>IF(ISNUMBER(F73),MAX(DATE(2026,6,6),F73+7),DATE(2026,6,6))</f>
        <v/>
      </c>
      <c r="F73" s="5" t="n">
        <v>46174</v>
      </c>
      <c r="G73" s="2" t="inlineStr">
        <is>
          <t>365-0695-26</t>
        </is>
      </c>
      <c r="H73" s="2">
        <f>IFERROR(INDEX('iCoA Register'!$B:$B,MATCH("P060362|I",'iCoA Register'!$AA:$AA,0)),"—")</f>
        <v/>
      </c>
      <c r="I73" s="5">
        <f>IFERROR(INDEX('iCoA Register'!$D:$D,MATCH("P060362|I",'iCoA Register'!$AA:$AA,0)),"")</f>
        <v/>
      </c>
      <c r="J73" s="2" t="inlineStr">
        <is>
          <t>post-SOP</t>
        </is>
      </c>
      <c r="K73" s="2" t="inlineStr">
        <is>
          <t>initial release</t>
        </is>
      </c>
      <c r="L73" s="3" t="inlineStr">
        <is>
          <t>JD012603</t>
        </is>
      </c>
      <c r="M73" s="2" t="inlineStr">
        <is>
          <t>P060362</t>
        </is>
      </c>
      <c r="N73" s="2" t="inlineStr">
        <is>
          <t>Jelly Donuts</t>
        </is>
      </c>
      <c r="O73" s="6" t="inlineStr">
        <is>
          <t>— no cannabinoid certificate from the initial testing —</t>
        </is>
      </c>
      <c r="P73" s="2" t="inlineStr">
        <is>
          <t>A: ППК26111 / B: ППК26111 / FM: ППК26111</t>
        </is>
      </c>
      <c r="Q73" s="2" t="inlineStr">
        <is>
          <t>—</t>
        </is>
      </c>
      <c r="R73" s="2" t="inlineStr">
        <is>
          <t>CoQ-PP-2026-0020</t>
        </is>
      </c>
      <c r="S73" s="2" t="inlineStr">
        <is>
          <t>P060362|I</t>
        </is>
      </c>
      <c r="T73" s="7" t="inlineStr">
        <is>
          <t>registered — first working day 7 days after the latest eCoA · initial certificate to locate: #1 (CNP), #2 (CNP), #3 (CNP), #4 (CNP), #5 (CNP), #6 (CNP), #7 (CNP), #8 (CNP),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IF(OR(C74="yes",C74="allocated",C74="ruled"),COUNT(A$1:A73)+1,"")</f>
        <v/>
      </c>
      <c r="B74" s="3">
        <f>IF(A74&lt;&gt;"","CoQ-PP_26-"&amp;TEXT(A74,"000"),"— at issue —")</f>
        <v/>
      </c>
      <c r="C74" s="4" t="inlineStr">
        <is>
          <t>yes</t>
        </is>
      </c>
      <c r="D74" s="5">
        <f>IF(OR(A74="",C74="allocated",C74="ruled"),"",MAX(E74,IF(ISNUMBER(I74),I74,0),IFERROR(IF(ISNUMBER(INDEX('iCoA Register'!$F:$F,MATCH(S74,'iCoA Register'!$AA:$AA,0))),INDEX('iCoA Register'!$F:$F,MATCH(S74,'iCoA Register'!$AA:$AA,0)),0),0)))</f>
        <v/>
      </c>
      <c r="E74" s="5">
        <f>IF(ISNUMBER(F74),MAX(DATE(2026,6,6),F74+7),DATE(2026,6,6))</f>
        <v/>
      </c>
      <c r="F74" s="5" t="n">
        <v>46174</v>
      </c>
      <c r="G74" s="2" t="inlineStr">
        <is>
          <t>363-0693-26</t>
        </is>
      </c>
      <c r="H74" s="2">
        <f>IFERROR(INDEX('iCoA Register'!$B:$B,MATCH("P060372|I",'iCoA Register'!$AA:$AA,0)),"—")</f>
        <v/>
      </c>
      <c r="I74" s="5">
        <f>IFERROR(INDEX('iCoA Register'!$D:$D,MATCH("P060372|I",'iCoA Register'!$AA:$AA,0)),"")</f>
        <v/>
      </c>
      <c r="J74" s="2" t="inlineStr">
        <is>
          <t>post-SOP</t>
        </is>
      </c>
      <c r="K74" s="2" t="inlineStr">
        <is>
          <t>initial release</t>
        </is>
      </c>
      <c r="L74" s="3" t="inlineStr">
        <is>
          <t>CC012603</t>
        </is>
      </c>
      <c r="M74" s="2" t="inlineStr">
        <is>
          <t>P060372</t>
        </is>
      </c>
      <c r="N74" s="2" t="inlineStr">
        <is>
          <t>Cash Cow</t>
        </is>
      </c>
      <c r="O74" s="6" t="inlineStr">
        <is>
          <t>— no cannabinoid certificate from the initial testing —</t>
        </is>
      </c>
      <c r="P74" s="6" t="inlineStr">
        <is>
          <t>—</t>
        </is>
      </c>
      <c r="Q74" s="2" t="inlineStr">
        <is>
          <t>—</t>
        </is>
      </c>
      <c r="R74" s="2" t="inlineStr">
        <is>
          <t>CoQ-PP-2026-0024</t>
        </is>
      </c>
      <c r="S74" s="2" t="inlineStr">
        <is>
          <t>P060372|I</t>
        </is>
      </c>
      <c r="T74" s="7" t="inlineStr">
        <is>
          <t>registered — first working day 7 days after the latest eCoA · initial certificate to locate: #3 (CNP), #4 (CNP), #5 (CNP), #6 (CNP), #8 (CNP),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8" t="inlineStr">
        <is>
          <t>no Total THC result on this certificate</t>
        </is>
      </c>
    </row>
    <row r="75">
      <c r="A75" s="2">
        <f>IF(OR(C75="yes",C75="allocated",C75="ruled"),COUNT(A$1:A74)+1,"")</f>
        <v/>
      </c>
      <c r="B75" s="3">
        <f>IF(A75&lt;&gt;"","CoQ-PP_26-"&amp;TEXT(A75,"000"),"— at issue —")</f>
        <v/>
      </c>
      <c r="C75" s="4" t="inlineStr">
        <is>
          <t>yes</t>
        </is>
      </c>
      <c r="D75" s="5">
        <f>IF(OR(A75="",C75="allocated",C75="ruled"),"",MAX(E75,IF(ISNUMBER(I75),I75,0),IFERROR(IF(ISNUMBER(INDEX('iCoA Register'!$F:$F,MATCH(S75,'iCoA Register'!$AA:$AA,0))),INDEX('iCoA Register'!$F:$F,MATCH(S75,'iCoA Register'!$AA:$AA,0)),0),0)))</f>
        <v/>
      </c>
      <c r="E75" s="5">
        <f>IF(ISNUMBER(F75),MAX(DATE(2026,6,6),F75+7),DATE(2026,6,6))</f>
        <v/>
      </c>
      <c r="F75" s="5" t="n">
        <v>46174</v>
      </c>
      <c r="G75" s="2" t="inlineStr">
        <is>
          <t>364-0694-26</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first working day 7 days after the latest eCoA · initial certificate to locate: #3 (CNP), #4 (CNP), #5 (CNP), #6 (CNP), #8 (CNP),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8" t="inlineStr">
        <is>
          <t>no Total THC result on this certificate</t>
        </is>
      </c>
    </row>
    <row r="76">
      <c r="A76" s="2">
        <f>IF(OR(C76="yes",C76="allocated",C76="ruled"),COUNT(A$1:A75)+1,"")</f>
        <v/>
      </c>
      <c r="B76" s="3">
        <f>IF(A76&lt;&gt;"","CoQ-PP_26-"&amp;TEXT(A76,"000"),"— at issue —")</f>
        <v/>
      </c>
      <c r="C76" s="4" t="inlineStr">
        <is>
          <t>yes</t>
        </is>
      </c>
      <c r="D76" s="5">
        <f>IF(OR(A76="",C76="allocated",C76="ruled"),"",MAX(E76,IF(ISNUMBER(I76),I76,0),IFERROR(IF(ISNUMBER(INDEX('iCoA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t>
        </is>
      </c>
      <c r="U76" s="2" t="inlineStr">
        <is>
          <t>n/a — initial certificate</t>
        </is>
      </c>
      <c r="V76" s="10" t="n">
        <v>18.29</v>
      </c>
      <c r="W76" s="2" t="inlineStr">
        <is>
          <t>ППК26110</t>
        </is>
      </c>
      <c r="X76" s="2" t="inlineStr">
        <is>
          <t>18.00 ± 1.80 (II)</t>
        </is>
      </c>
      <c r="Y76" s="2" t="inlineStr">
        <is>
          <t>16.20 – 19.79 %</t>
        </is>
      </c>
      <c r="Z76" s="2" t="inlineStr">
        <is>
          <t>FB_THC18 : CBD1</t>
        </is>
      </c>
      <c r="AA76" s="2" t="inlineStr">
        <is>
          <t>QCSP_001_FB-II_v.01</t>
        </is>
      </c>
      <c r="AB76" s="8" t="inlineStr">
        <is>
          <t>for review — replaces the issued QCSP_001_FB-II_v.01 (was FB_THC18 : CBD1, 17.15 – 18.85 %); now FB_THC18 : CBD1 16.20 – 19.79 %</t>
        </is>
      </c>
      <c r="AC76" s="11" t="inlineStr"/>
    </row>
    <row r="77">
      <c r="A77" s="2">
        <f>IF(OR(C77="yes",C77="allocated",C77="ruled"),COUNT(A$1:A76)+1,"")</f>
        <v/>
      </c>
      <c r="B77" s="3">
        <f>IF(A77&lt;&gt;"","CoQ-PP_26-"&amp;TEXT(A77,"000"),"— at issue —")</f>
        <v/>
      </c>
      <c r="C77" s="4" t="inlineStr">
        <is>
          <t>yes</t>
        </is>
      </c>
      <c r="D77" s="5">
        <f>IF(OR(A77="",C77="allocated",C77="ruled"),"",MAX(E77,IF(ISNUMBER(I77),I77,0),IFERROR(IF(ISNUMBER(INDEX('iCoA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Donuts</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t>
        </is>
      </c>
      <c r="U77" s="2" t="inlineStr">
        <is>
          <t>n/a — initial certificate</t>
        </is>
      </c>
      <c r="V77" s="10"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IF(OR(C78="yes",C78="allocated",C78="ruled"),COUNT(A$1:A77)+1,"")</f>
        <v/>
      </c>
      <c r="B78" s="3">
        <f>IF(A78&lt;&gt;"","CoQ-PP_26-"&amp;TEXT(A78,"000"),"— at issue —")</f>
        <v/>
      </c>
      <c r="C78" s="4" t="inlineStr">
        <is>
          <t>yes</t>
        </is>
      </c>
      <c r="D78" s="5">
        <f>IF(OR(A78="",C78="allocated",C78="ruled"),"",MAX(E78,IF(ISNUMBER(I78),I78,0),IFERROR(IF(ISNUMBER(INDEX('iCoA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t>
        </is>
      </c>
      <c r="U78" s="2" t="inlineStr">
        <is>
          <t>n/a — initial certificate</t>
        </is>
      </c>
      <c r="V78" s="10" t="n">
        <v>17.59</v>
      </c>
      <c r="W78" s="2" t="inlineStr">
        <is>
          <t>ППК26114</t>
        </is>
      </c>
      <c r="X78" s="2" t="inlineStr">
        <is>
          <t>18.00 ± 1.77 (I)</t>
        </is>
      </c>
      <c r="Y78" s="2" t="inlineStr">
        <is>
          <t>16.23 – 19.76 %</t>
        </is>
      </c>
      <c r="Z78" s="2" t="inlineStr">
        <is>
          <t>GG_THC18 : CBD1</t>
        </is>
      </c>
      <c r="AA78" s="2" t="inlineStr">
        <is>
          <t>QCSP_001_GG-I_v.01</t>
        </is>
      </c>
      <c r="AB78" s="8" t="inlineStr">
        <is>
          <t>for review — replaces the issued QCSP_001_GG-I_v.01 (was GG_THC18 : CBD1, 17.01 – 18.99 %); now GG_THC18 : CBD1 16.23 – 19.76 %</t>
        </is>
      </c>
      <c r="AC78" s="11" t="inlineStr"/>
    </row>
    <row r="79">
      <c r="A79" s="2">
        <f>IF(OR(C79="yes",C79="allocated",C79="ruled"),COUNT(A$1:A78)+1,"")</f>
        <v/>
      </c>
      <c r="B79" s="3">
        <f>IF(A79&lt;&gt;"","CoQ-PP_26-"&amp;TEXT(A79,"000"),"— at issue —")</f>
        <v/>
      </c>
      <c r="C79" s="4" t="inlineStr">
        <is>
          <t>yes</t>
        </is>
      </c>
      <c r="D79" s="5">
        <f>IF(OR(A79="",C79="allocated",C79="ruled"),"",MAX(E79,IF(ISNUMBER(I79),I79,0),IFERROR(IF(ISNUMBER(INDEX('iCoA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Donuts</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t>
        </is>
      </c>
      <c r="U79" s="2" t="inlineStr">
        <is>
          <t>n/a — initial certificate</t>
        </is>
      </c>
      <c r="V79" s="10" t="n">
        <v>20.54</v>
      </c>
      <c r="W79" s="2" t="inlineStr">
        <is>
          <t>ППК26113</t>
        </is>
      </c>
      <c r="X79" s="2" t="inlineStr">
        <is>
          <t>22.00 ± 2.20 (I)</t>
        </is>
      </c>
      <c r="Y79" s="2" t="inlineStr">
        <is>
          <t>19.80 – 24.19 %</t>
        </is>
      </c>
      <c r="Z79" s="2" t="inlineStr">
        <is>
          <t>JD_THC22 : CBD1</t>
        </is>
      </c>
      <c r="AA79" s="2" t="inlineStr">
        <is>
          <t>QCSP_001_JD-I_v.01</t>
        </is>
      </c>
      <c r="AB79" s="8" t="inlineStr">
        <is>
          <t>for review — replaces the issued QCSP_001_JD-I_v.01 (was JD_THC20 : CBD1, 18.00 – 22.00 %); now JD_THC22 : CBD1 19.80 – 24.19 %</t>
        </is>
      </c>
      <c r="AC79" s="11" t="inlineStr"/>
    </row>
    <row r="80">
      <c r="A80" s="2">
        <f>IF(OR(C80="yes",C80="allocated",C80="ruled"),COUNT(A$1:A79)+1,"")</f>
        <v/>
      </c>
      <c r="B80" s="3">
        <f>IF(A80&lt;&gt;"","CoQ-PP_26-"&amp;TEXT(A80,"000"),"— at issue —")</f>
        <v/>
      </c>
      <c r="C80" s="4" t="inlineStr">
        <is>
          <t>yes</t>
        </is>
      </c>
      <c r="D80" s="5">
        <f>IF(OR(A80="",C80="allocated",C80="ruled"),"",MAX(E80,IF(ISNUMBER(I80),I80,0),IFERROR(IF(ISNUMBER(INDEX('iCoA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t>
        </is>
      </c>
      <c r="U80" s="2" t="inlineStr">
        <is>
          <t>n/a — initial certificate</t>
        </is>
      </c>
      <c r="V80" s="10"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IF(OR(C81="yes",C81="allocated",C81="ruled"),COUNT(A$1:A80)+1,"")</f>
        <v/>
      </c>
      <c r="B81" s="3">
        <f>IF(A81&lt;&gt;"","CoQ-PP_26-"&amp;TEXT(A81,"000"),"— at issue —")</f>
        <v/>
      </c>
      <c r="C81" s="4" t="inlineStr">
        <is>
          <t>yes</t>
        </is>
      </c>
      <c r="D81" s="5">
        <f>IF(OR(A81="",C81="allocated",C81="ruled"),"",MAX(E81,IF(ISNUMBER(I81),I81,0),IFERROR(IF(ISNUMBER(INDEX('iCoA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t>
        </is>
      </c>
      <c r="U81" s="2" t="inlineStr">
        <is>
          <t>n/a — initial certificate</t>
        </is>
      </c>
      <c r="V81" s="10"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IF(OR(C82="yes",C82="allocated",C82="ruled"),COUNT(A$1:A81)+1,"")</f>
        <v/>
      </c>
      <c r="B82" s="3">
        <f>IF(A82&lt;&gt;"","CoQ-PP_26-"&amp;TEXT(A82,"000"),"— at issue —")</f>
        <v/>
      </c>
      <c r="C82" s="4" t="inlineStr">
        <is>
          <t>yes</t>
        </is>
      </c>
      <c r="D82" s="5">
        <f>IF(OR(A82="",C82="allocated",C82="ruled"),"",MAX(E82,IF(ISNUMBER(I82),I82,0),IFERROR(IF(ISNUMBER(INDEX('iCoA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t>
        </is>
      </c>
      <c r="U82" s="2" t="inlineStr">
        <is>
          <t>n/a — initial certificate</t>
        </is>
      </c>
      <c r="V82" s="10"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IF(OR(C83="yes",C83="allocated",C83="ruled"),COUNT(A$1:A82)+1,"")</f>
        <v/>
      </c>
      <c r="B83" s="3">
        <f>IF(A83&lt;&gt;"","CoQ-PP_26-"&amp;TEXT(A83,"000"),"— at issue —")</f>
        <v/>
      </c>
      <c r="C83" s="4" t="inlineStr">
        <is>
          <t>yes</t>
        </is>
      </c>
      <c r="D83" s="5">
        <f>IF(OR(A83="",C83="allocated",C83="ruled"),"",MAX(E83,IF(ISNUMBER(I83),I83,0),IFERROR(IF(ISNUMBER(INDEX('iCoA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#11 (CNP)</t>
        </is>
      </c>
      <c r="U83" s="2" t="inlineStr">
        <is>
          <t>n/a — initial certificate</t>
        </is>
      </c>
      <c r="V83" s="10" t="n">
        <v>18.98</v>
      </c>
      <c r="W83" s="2" t="inlineStr">
        <is>
          <t>ППК26128</t>
        </is>
      </c>
      <c r="X83" s="2" t="inlineStr">
        <is>
          <t>18.00 ± 1.77 (I)</t>
        </is>
      </c>
      <c r="Y83" s="2" t="inlineStr">
        <is>
          <t>16.23 – 19.76 %</t>
        </is>
      </c>
      <c r="Z83" s="2" t="inlineStr">
        <is>
          <t>GG_THC18 : CBD1</t>
        </is>
      </c>
      <c r="AA83" s="2" t="inlineStr">
        <is>
          <t>QCSP_001_GG-I_v.01</t>
        </is>
      </c>
      <c r="AB83" s="8" t="inlineStr">
        <is>
          <t>for review — replaces the issued QCSP_001_GG-I_v.01 (was GG_THC18 : CBD1, 17.01 – 18.99 %); now GG_THC18 : CBD1 16.23 – 19.76 %</t>
        </is>
      </c>
      <c r="AC83" s="11" t="inlineStr"/>
    </row>
    <row r="84">
      <c r="A84" s="2">
        <f>IF(OR(C84="yes",C84="allocated",C84="ruled"),COUNT(A$1:A83)+1,"")</f>
        <v/>
      </c>
      <c r="B84" s="3">
        <f>IF(A84&lt;&gt;"","CoQ-PP_26-"&amp;TEXT(A84,"000"),"— at issue —")</f>
        <v/>
      </c>
      <c r="C84" s="4" t="inlineStr">
        <is>
          <t>yes</t>
        </is>
      </c>
      <c r="D84" s="5">
        <f>IF(OR(A84="",C84="allocated",C84="ruled"),"",MAX(E84,IF(ISNUMBER(I84),I84,0),IFERROR(IF(ISNUMBER(INDEX('iCoA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Donuts</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t>
        </is>
      </c>
      <c r="U84" s="2" t="inlineStr">
        <is>
          <t>n/a — initial certificate</t>
        </is>
      </c>
      <c r="V84" s="10" t="n">
        <v>18.58</v>
      </c>
      <c r="W84" s="2" t="inlineStr">
        <is>
          <t>ППК26115</t>
        </is>
      </c>
      <c r="X84" s="2" t="inlineStr">
        <is>
          <t>18.00 ± 1.80 (II)</t>
        </is>
      </c>
      <c r="Y84" s="2" t="inlineStr">
        <is>
          <t>16.20 – 19.79 %</t>
        </is>
      </c>
      <c r="Z84" s="2" t="inlineStr">
        <is>
          <t>JD_THC18 : CBD1</t>
        </is>
      </c>
      <c r="AA84" s="2" t="inlineStr">
        <is>
          <t>QCSP_001_JD-II_v.01</t>
        </is>
      </c>
      <c r="AB84" s="8" t="inlineStr">
        <is>
          <t>for review — replaces the issued QCSP_001_JD-II_v.01 (was JD_THC16 : CBD1, 14.91 – 17.09 %); now JD_THC18 : CBD1 16.20 – 19.79 %</t>
        </is>
      </c>
      <c r="AC84" s="11" t="inlineStr"/>
    </row>
    <row r="85">
      <c r="A85" s="2">
        <f>IF(OR(C85="yes",C85="allocated",C85="ruled"),COUNT(A$1:A84)+1,"")</f>
        <v/>
      </c>
      <c r="B85" s="3">
        <f>IF(A85&lt;&gt;"","CoQ-PP_26-"&amp;TEXT(A85,"000"),"— at issue —")</f>
        <v/>
      </c>
      <c r="C85" s="4" t="inlineStr">
        <is>
          <t>yes</t>
        </is>
      </c>
      <c r="D85" s="5">
        <f>IF(OR(A85="",C85="allocated",C85="ruled"),"",MAX(E85,IF(ISNUMBER(I85),I85,0),IFERROR(IF(ISNUMBER(INDEX('iCoA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Donuts</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8" t="inlineStr">
        <is>
          <t>no Total THC result on this certificate</t>
        </is>
      </c>
    </row>
    <row r="86">
      <c r="A86" s="2">
        <f>IF(OR(C86="yes",C86="allocated",C86="ruled"),COUNT(A$1:A85)+1,"")</f>
        <v/>
      </c>
      <c r="B86" s="3">
        <f>IF(A86&lt;&gt;"","CoQ-PP_26-"&amp;TEXT(A86,"000"),"— at issue —")</f>
        <v/>
      </c>
      <c r="C86" s="4" t="inlineStr">
        <is>
          <t>yes</t>
        </is>
      </c>
      <c r="D86" s="5">
        <f>IF(OR(A86="",C86="allocated",C86="ruled"),"",MAX(E86,IF(ISNUMBER(I86),I86,0),IFERROR(IF(ISNUMBER(INDEX('iCoA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iCoA-PP_26-088 of 27.07.2026</t>
        </is>
      </c>
      <c r="U86" s="2">
        <f>IFERROR(INDEX('CoQ Register'!$B:$B,MATCH("BG1024|I",'CoQ Register'!$S:$S,0)),"— initial certificate not on the register —")</f>
        <v/>
      </c>
      <c r="V86" s="10" t="n">
        <v>26.14</v>
      </c>
      <c r="W86" s="2" t="inlineStr">
        <is>
          <t>197-1-К/26</t>
        </is>
      </c>
      <c r="X86" s="2" t="inlineStr">
        <is>
          <t>26.00 ± 1.80 (I)</t>
        </is>
      </c>
      <c r="Y86" s="2" t="inlineStr">
        <is>
          <t>24.20 – 27.79 %</t>
        </is>
      </c>
      <c r="Z86" s="2" t="inlineStr">
        <is>
          <t>BG_THC26 : CBD1</t>
        </is>
      </c>
      <c r="AA86" s="2" t="inlineStr">
        <is>
          <t>QCSP_001_BG-I_v.01</t>
        </is>
      </c>
      <c r="AB86" s="8" t="inlineStr">
        <is>
          <t>for review — replaces the issued QCSP_001_BG-I_v.01 (was BG_THC26 : CBD1, 23.40 – 28.60 %); now BG_THC26 : CBD1 24.20 – 27.79 %</t>
        </is>
      </c>
      <c r="AC86" s="11" t="inlineStr"/>
    </row>
    <row r="87">
      <c r="A87" s="2">
        <f>IF(OR(C87="yes",C87="allocated",C87="ruled"),COUNT(A$1:A86)+1,"")</f>
        <v/>
      </c>
      <c r="B87" s="3">
        <f>IF(A87&lt;&gt;"","CoQ-PP_26-"&amp;TEXT(A87,"000"),"— at issue —")</f>
        <v/>
      </c>
      <c r="C87" s="4" t="inlineStr">
        <is>
          <t>yes</t>
        </is>
      </c>
      <c r="D87" s="5">
        <f>IF(OR(A87="",C87="allocated",C87="ruled"),"",MAX(E87,IF(ISNUMBER(I87),I87,0),IFERROR(IF(ISNUMBER(INDEX('iCoA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iCoA-PP_26-089 of 27.07.2026</t>
        </is>
      </c>
      <c r="U87" s="2">
        <f>IFERROR(INDEX('CoQ Register'!$B:$B,MATCH("BSS1024|I",'CoQ Register'!$S:$S,0)),"— initial certificate not on the register —")</f>
        <v/>
      </c>
      <c r="V87" s="10" t="n">
        <v>25.01</v>
      </c>
      <c r="W87" s="2" t="inlineStr">
        <is>
          <t>197-2-К/26</t>
        </is>
      </c>
      <c r="X87" s="2" t="inlineStr">
        <is>
          <t>24.00 ± 2.11 (II)</t>
        </is>
      </c>
      <c r="Y87" s="2" t="inlineStr">
        <is>
          <t>21.89 – 26.10 %</t>
        </is>
      </c>
      <c r="Z87" s="2" t="inlineStr">
        <is>
          <t>BSS_THC24 : CBD1</t>
        </is>
      </c>
      <c r="AA87" s="2" t="inlineStr">
        <is>
          <t>QCSP_001_BSS-II_v.01</t>
        </is>
      </c>
      <c r="AB87" s="8" t="inlineStr">
        <is>
          <t>for review — replaces the issued QCSP_001_BSS-II_v.01 (was BSS_THC20 : CBD1, 18.00 – 22.00 %); now BSS_THC24 : CBD1 21.89 – 26.10 %</t>
        </is>
      </c>
      <c r="AC87" s="11" t="inlineStr"/>
    </row>
    <row r="88">
      <c r="A88" s="2">
        <f>IF(OR(C88="yes",C88="allocated",C88="ruled"),COUNT(A$1:A87)+1,"")</f>
        <v/>
      </c>
      <c r="B88" s="3">
        <f>IF(A88&lt;&gt;"","CoQ-PP_26-"&amp;TEXT(A88,"000"),"— at issue —")</f>
        <v/>
      </c>
      <c r="C88" s="4" t="inlineStr">
        <is>
          <t>yes</t>
        </is>
      </c>
      <c r="D88" s="5">
        <f>IF(OR(A88="",C88="allocated",C88="ruled"),"",MAX(E88,IF(ISNUMBER(I88),I88,0),IFERROR(IF(ISNUMBER(INDEX('iCoA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is>
          <t>Cash Cow</t>
        </is>
      </c>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iCoA-PP_26-093 of 27.07.2026</t>
        </is>
      </c>
      <c r="U88" s="2">
        <f>IFERROR(INDEX('CoQ Register'!$B:$B,MATCH("P060332|I",'CoQ Register'!$S:$S,0)),"— initial certificate not on the register —")</f>
        <v/>
      </c>
      <c r="V88" s="10"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IF(OR(C89="yes",C89="allocated",C89="ruled"),COUNT(A$1:A88)+1,"")</f>
        <v/>
      </c>
      <c r="B89" s="3">
        <f>IF(A89&lt;&gt;"","CoQ-PP_26-"&amp;TEXT(A89,"000"),"— at issue —")</f>
        <v/>
      </c>
      <c r="C89" s="4" t="inlineStr">
        <is>
          <t>yes</t>
        </is>
      </c>
      <c r="D89" s="5">
        <f>IF(OR(A89="",C89="allocated",C89="ruled"),"",MAX(E89,IF(ISNUMBER(I89),I89,0),IFERROR(IF(ISNUMBER(INDEX('iCoA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iCoA-PP_26-090 of 27.07.2026</t>
        </is>
      </c>
      <c r="U89" s="2">
        <f>IFERROR(INDEX('CoQ Register'!$B:$B,MATCH("P050162|I",'CoQ Register'!$S:$S,0)),"— initial certificate not on the register —")</f>
        <v/>
      </c>
      <c r="V89" s="10" t="n">
        <v>24.05</v>
      </c>
      <c r="W89" s="2" t="inlineStr">
        <is>
          <t>197-3-К/26</t>
        </is>
      </c>
      <c r="X89" s="2" t="inlineStr">
        <is>
          <t>24.00 ± 2.40 (II)</t>
        </is>
      </c>
      <c r="Y89" s="2" t="inlineStr">
        <is>
          <t>21.60 – 26.39 %</t>
        </is>
      </c>
      <c r="Z89" s="2" t="inlineStr">
        <is>
          <t>CJ_THC24 : CBD1</t>
        </is>
      </c>
      <c r="AA89" s="2" t="inlineStr">
        <is>
          <t>QCSP_001_CJ-II_v.01</t>
        </is>
      </c>
      <c r="AB89" s="8" t="inlineStr">
        <is>
          <t>for review — replaces the issued QCSP_001_CJ-II_v.01 (was CJ_THC26 : CBD1, 25.01 – 26.99 %); now CJ_THC24 : CBD1 21.60 – 26.39 %</t>
        </is>
      </c>
      <c r="AC89" s="11" t="inlineStr"/>
    </row>
    <row r="90">
      <c r="A90" s="2">
        <f>IF(OR(C90="yes",C90="allocated",C90="ruled"),COUNT(A$1:A89)+1,"")</f>
        <v/>
      </c>
      <c r="B90" s="3">
        <f>IF(A90&lt;&gt;"","CoQ-PP_26-"&amp;TEXT(A90,"000"),"— at issue —")</f>
        <v/>
      </c>
      <c r="C90" s="4" t="inlineStr">
        <is>
          <t>yes</t>
        </is>
      </c>
      <c r="D90" s="5">
        <f>IF(OR(A90="",C90="allocated",C90="ruled"),"",MAX(E90,IF(ISNUMBER(I90),I90,0),IFERROR(IF(ISNUMBER(INDEX('iCoA Register'!$F:$F,MATCH(S90,'iCoA Register'!$AA:$AA,0))),INDEX('iCoA Register'!$F:$F,MATCH(S90,'iCoA Register'!$AA:$AA,0)),0),0)))</f>
        <v/>
      </c>
      <c r="E90" s="5">
        <f>IF(ISNUMBER(F90),MAX(DATE(2026,6,6),F90+7),"— awaiting the retest certificates —")</f>
        <v/>
      </c>
      <c r="F90" s="5" t="n">
        <v>46244</v>
      </c>
      <c r="G90" s="2" t="inlineStr">
        <is>
          <t>197-5-M-26</t>
        </is>
      </c>
      <c r="H90" s="2">
        <f>IFERROR(INDEX('iCoA Register'!$B:$B,MATCH("P060032|R",'iCoA Register'!$AA:$AA,0)),"—")</f>
        <v/>
      </c>
      <c r="I90" s="5">
        <f>IFERROR(INDEX('iCoA Register'!$D:$D,MATCH("P060032|R",'iCoA Register'!$AA:$AA,0)),"")</f>
        <v/>
      </c>
      <c r="J90" s="2" t="inlineStr">
        <is>
          <t>legacy</t>
        </is>
      </c>
      <c r="K90" s="2" t="inlineStr">
        <is>
          <t>retest — Tranche 1 (sampled 21–24.07.2026)</t>
        </is>
      </c>
      <c r="L90" s="3" t="inlineStr">
        <is>
          <t>CJ082501/2</t>
        </is>
      </c>
      <c r="M90" s="2" t="inlineStr">
        <is>
          <t>P060032</t>
        </is>
      </c>
      <c r="N90" s="2" t="inlineStr">
        <is>
          <t>Cap Junky</t>
        </is>
      </c>
      <c r="O90" s="2" t="inlineStr">
        <is>
          <t>197-5-K-26, (07.08.2026) [FHM-K]</t>
        </is>
      </c>
      <c r="P90" s="6" t="inlineStr">
        <is>
          <t>—</t>
        </is>
      </c>
      <c r="Q90" s="2" t="inlineStr">
        <is>
          <t>—</t>
        </is>
      </c>
      <c r="R90" s="2" t="inlineStr">
        <is>
          <t>CoQ reissue (assigned on issue)</t>
        </is>
      </c>
      <c r="S90" s="2" t="inlineStr">
        <is>
          <t>P060032|R</t>
        </is>
      </c>
      <c r="T90" s="7" t="inlineStr">
        <is>
          <t>registered — retest, Tranche 1 (sampled 21–24.07.2026), sampled 21.07.2026; issued 17.08.2026, 7 days after 197-5-M-26 of 10.08.2026; cites iCoA-PP_26-092 of 27.07.2026</t>
        </is>
      </c>
      <c r="U90" s="2">
        <f>IFERROR(INDEX('CoQ Register'!$B:$B,MATCH("P060032|I",'CoQ Register'!$S:$S,0)),"— initial certificate not on the register —")</f>
        <v/>
      </c>
      <c r="V90" s="10" t="n">
        <v>18.29</v>
      </c>
      <c r="W90" s="2" t="inlineStr">
        <is>
          <t>197-5-К/26</t>
        </is>
      </c>
      <c r="X90" s="2" t="inlineStr">
        <is>
          <t>17.00 ± 1.40 (IV)</t>
        </is>
      </c>
      <c r="Y90" s="2" t="inlineStr">
        <is>
          <t>15.60 – 18.39 %</t>
        </is>
      </c>
      <c r="Z90" s="2" t="inlineStr">
        <is>
          <t>CJ_THC17 : CBD1</t>
        </is>
      </c>
      <c r="AA90" s="2" t="inlineStr">
        <is>
          <t>QCSP_001_CJ-IV_v.01</t>
        </is>
      </c>
      <c r="AB90" s="8" t="inlineStr">
        <is>
          <t>for review — replaces the issued QCSP_001_CJ-IV_v.01 (was CJ_THC20 : CBD1, 18.00 – 22.00 %); now CJ_THC17 : CBD1 15.60 – 18.39 %</t>
        </is>
      </c>
      <c r="AC90" s="11" t="inlineStr"/>
    </row>
    <row r="91">
      <c r="A91" s="2">
        <f>IF(OR(C91="yes",C91="allocated",C91="ruled"),COUNT(A$1:A90)+1,"")</f>
        <v/>
      </c>
      <c r="B91" s="3">
        <f>IF(A91&lt;&gt;"","CoQ-PP_26-"&amp;TEXT(A91,"000"),"— at issue —")</f>
        <v/>
      </c>
      <c r="C91" s="4" t="inlineStr">
        <is>
          <t>yes</t>
        </is>
      </c>
      <c r="D91" s="5">
        <f>IF(OR(A91="",C91="allocated",C91="ruled"),"",MAX(E91,IF(ISNUMBER(I91),I91,0),IFERROR(IF(ISNUMBER(INDEX('iCoA Register'!$F:$F,MATCH(S91,'iCoA Register'!$AA:$AA,0))),INDEX('iCoA Register'!$F:$F,MATCH(S91,'iCoA Register'!$AA:$AA,0)),0),0)))</f>
        <v/>
      </c>
      <c r="E91" s="5">
        <f>IF(ISNUMBER(F91),MAX(DATE(2026,6,6),F91+7),"— awaiting the retest certificates —")</f>
        <v/>
      </c>
      <c r="F91" s="5" t="n">
        <v>46244</v>
      </c>
      <c r="G91" s="2" t="inlineStr">
        <is>
          <t>197-7-M-26</t>
        </is>
      </c>
      <c r="H91" s="2">
        <f>IFERROR(INDEX('iCoA Register'!$B:$B,MATCH("P060352|R",'iCoA Register'!$AA:$AA,0)),"—")</f>
        <v/>
      </c>
      <c r="I91" s="5">
        <f>IFERROR(INDEX('iCoA Register'!$D:$D,MATCH("P060352|R",'iCoA Register'!$AA:$AA,0)),"")</f>
        <v/>
      </c>
      <c r="J91" s="2" t="inlineStr">
        <is>
          <t>post-SOP</t>
        </is>
      </c>
      <c r="K91" s="2" t="inlineStr">
        <is>
          <t>retest — Tranche 1 (sampled 21–24.07.2026)</t>
        </is>
      </c>
      <c r="L91" s="3" t="inlineStr">
        <is>
          <t>FB012602*</t>
        </is>
      </c>
      <c r="M91" s="2" t="inlineStr">
        <is>
          <t>P060352</t>
        </is>
      </c>
      <c r="N91" s="2" t="inlineStr">
        <is>
          <t>Fat Bastard</t>
        </is>
      </c>
      <c r="O91" s="2" t="inlineStr">
        <is>
          <t>197-7-K-26, (07.08.2026) [FHM-K]</t>
        </is>
      </c>
      <c r="P91" s="6" t="inlineStr">
        <is>
          <t>—</t>
        </is>
      </c>
      <c r="Q91" s="2" t="inlineStr">
        <is>
          <t>—</t>
        </is>
      </c>
      <c r="R91" s="2" t="inlineStr">
        <is>
          <t>CoQ reissue (assigned on issue)</t>
        </is>
      </c>
      <c r="S91" s="2" t="inlineStr">
        <is>
          <t>P060352|R</t>
        </is>
      </c>
      <c r="T91" s="7" t="inlineStr">
        <is>
          <t>registered — retest, Tranche 1 (sampled 21–24.07.2026), sampled 22.07.2026; issued 17.08.2026, 7 days after 197-7-M-26 of 10.08.2026; cites iCoA-PP_26-097 of 27.07.2026</t>
        </is>
      </c>
      <c r="U91" s="2">
        <f>IFERROR(INDEX('CoQ Register'!$B:$B,MATCH("P060352|I",'CoQ Register'!$S:$S,0)),"— initial certificate not on the register —")</f>
        <v/>
      </c>
      <c r="V91" s="10" t="n">
        <v>18.86</v>
      </c>
      <c r="W91" s="2" t="inlineStr">
        <is>
          <t>197-7-К/26</t>
        </is>
      </c>
      <c r="X91" s="2" t="inlineStr">
        <is>
          <t>18.00 ± 1.80 (II)</t>
        </is>
      </c>
      <c r="Y91" s="2" t="inlineStr">
        <is>
          <t>16.20 – 19.79 %</t>
        </is>
      </c>
      <c r="Z91" s="2" t="inlineStr">
        <is>
          <t>FB_THC18 : CBD1</t>
        </is>
      </c>
      <c r="AA91" s="2" t="inlineStr">
        <is>
          <t>QCSP_001_FB-II_v.01</t>
        </is>
      </c>
      <c r="AB91" s="8" t="inlineStr">
        <is>
          <t>for review — replaces the issued QCSP_001_FB-II_v.01 (was FB_THC18 : CBD1, 17.15 – 18.85 %); now FB_THC18 : CBD1 16.20 – 19.79 %</t>
        </is>
      </c>
      <c r="AC91" s="11" t="inlineStr"/>
    </row>
    <row r="92">
      <c r="A92" s="2">
        <f>IF(OR(C92="yes",C92="allocated",C92="ruled"),COUNT(A$1:A91)+1,"")</f>
        <v/>
      </c>
      <c r="B92" s="3">
        <f>IF(A92&lt;&gt;"","CoQ-PP_26-"&amp;TEXT(A92,"000"),"— at issue —")</f>
        <v/>
      </c>
      <c r="C92" s="4" t="inlineStr">
        <is>
          <t>yes</t>
        </is>
      </c>
      <c r="D92" s="5">
        <f>IF(OR(A92="",C92="allocated",C92="ruled"),"",MAX(E92,IF(ISNUMBER(I92),I92,0),IFERROR(IF(ISNUMBER(INDEX('iCoA Register'!$F:$F,MATCH(S92,'iCoA Register'!$AA:$AA,0))),INDEX('iCoA Register'!$F:$F,MATCH(S92,'iCoA Register'!$AA:$AA,0)),0),0)))</f>
        <v/>
      </c>
      <c r="E92" s="5">
        <f>IF(ISNUMBER(F92),MAX(DATE(2026,6,6),F92+7),"— awaiting the retest certificates —")</f>
        <v/>
      </c>
      <c r="F92" s="5" t="n">
        <v>46244</v>
      </c>
      <c r="G92" s="2" t="inlineStr">
        <is>
          <t>197-8-M-26</t>
        </is>
      </c>
      <c r="H92" s="2">
        <f>IFERROR(INDEX('iCoA Register'!$B:$B,MATCH("P060402|R",'iCoA Register'!$AA:$AA,0)),"—")</f>
        <v/>
      </c>
      <c r="I92" s="5">
        <f>IFERROR(INDEX('iCoA Register'!$D:$D,MATCH("P060402|R",'iCoA Register'!$AA:$AA,0)),"")</f>
        <v/>
      </c>
      <c r="J92" s="2" t="inlineStr">
        <is>
          <t>post-SOP</t>
        </is>
      </c>
      <c r="K92" s="2" t="inlineStr">
        <is>
          <t>retest — Tranche 1 (sampled 21–24.07.2026)</t>
        </is>
      </c>
      <c r="L92" s="3" t="inlineStr">
        <is>
          <t>GG012603</t>
        </is>
      </c>
      <c r="M92" s="2" t="inlineStr">
        <is>
          <t>P060402</t>
        </is>
      </c>
      <c r="N92" s="2" t="inlineStr">
        <is>
          <t>Gorilla Glue</t>
        </is>
      </c>
      <c r="O92" s="2" t="inlineStr">
        <is>
          <t>197-8-K-26, (07.08.2026) [FHM-K]</t>
        </is>
      </c>
      <c r="P92" s="6" t="inlineStr">
        <is>
          <t>—</t>
        </is>
      </c>
      <c r="Q92" s="2" t="inlineStr">
        <is>
          <t>—</t>
        </is>
      </c>
      <c r="R92" s="2" t="inlineStr">
        <is>
          <t>CoQ reissue (assigned on issue)</t>
        </is>
      </c>
      <c r="S92" s="2" t="inlineStr">
        <is>
          <t>P060402|R</t>
        </is>
      </c>
      <c r="T92" s="7" t="inlineStr">
        <is>
          <t>registered — retest, Tranche 1 (sampled 21–24.07.2026), sampled 22.07.2026; issued 17.08.2026, 7 days after 197-8-M-26 of 10.08.2026; cites iCoA-PP_26-098 of 27.07.2026</t>
        </is>
      </c>
      <c r="U92" s="2">
        <f>IFERROR(INDEX('CoQ Register'!$B:$B,MATCH("P060402|I",'CoQ Register'!$S:$S,0)),"— initial certificate not on the register —")</f>
        <v/>
      </c>
      <c r="V92" s="10" t="n">
        <v>16.7</v>
      </c>
      <c r="W92" s="2" t="inlineStr">
        <is>
          <t>197-8-К/26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IF(OR(C93="yes",C93="allocated",C93="ruled"),COUNT(A$1:A92)+1,"")</f>
        <v/>
      </c>
      <c r="B93" s="3">
        <f>IF(A93&lt;&gt;"","CoQ-PP_26-"&amp;TEXT(A93,"000"),"— at issue —")</f>
        <v/>
      </c>
      <c r="C93" s="4" t="inlineStr">
        <is>
          <t>yes</t>
        </is>
      </c>
      <c r="D93" s="5">
        <f>IF(OR(A93="",C93="allocated",C93="ruled"),"",MAX(E93,IF(ISNUMBER(I93),I93,0),IFERROR(IF(ISNUMBER(INDEX('iCoA Register'!$F:$F,MATCH(S93,'iCoA Register'!$AA:$AA,0))),INDEX('iCoA Register'!$F:$F,MATCH(S93,'iCoA Register'!$AA:$AA,0)),0),0)))</f>
        <v/>
      </c>
      <c r="E93" s="5">
        <f>IF(ISNUMBER(F93),MAX(DATE(2026,6,6),F93+7),"— awaiting the retest certificates —")</f>
        <v/>
      </c>
      <c r="F93" s="5" t="n">
        <v>46244</v>
      </c>
      <c r="G93" s="2" t="inlineStr">
        <is>
          <t>197-9-M-26</t>
        </is>
      </c>
      <c r="H93" s="2">
        <f>IFERROR(INDEX('iCoA Register'!$B:$B,MATCH("P050092|R",'iCoA Register'!$AA:$AA,0)),"—")</f>
        <v/>
      </c>
      <c r="I93" s="5">
        <f>IFERROR(INDEX('iCoA Register'!$D:$D,MATCH("P050092|R",'iCoA Register'!$AA:$AA,0)),"")</f>
        <v/>
      </c>
      <c r="J93" s="2" t="inlineStr">
        <is>
          <t>legacy</t>
        </is>
      </c>
      <c r="K93" s="2" t="inlineStr">
        <is>
          <t>retest — Tranche 1 (sampled 21–24.07.2026)</t>
        </is>
      </c>
      <c r="L93" s="3" t="inlineStr">
        <is>
          <t>GG1024_01</t>
        </is>
      </c>
      <c r="M93" s="2" t="inlineStr">
        <is>
          <t>P050092</t>
        </is>
      </c>
      <c r="N93" s="2" t="inlineStr">
        <is>
          <t>Gorilla Glue</t>
        </is>
      </c>
      <c r="O93" s="2" t="inlineStr">
        <is>
          <t>197-9-K-26, (07.08.2026) [FHM-K]</t>
        </is>
      </c>
      <c r="P93" s="6" t="inlineStr">
        <is>
          <t>—</t>
        </is>
      </c>
      <c r="Q93" s="2" t="inlineStr">
        <is>
          <t>—</t>
        </is>
      </c>
      <c r="R93" s="2" t="inlineStr">
        <is>
          <t>CoQ-PP-2026-0038</t>
        </is>
      </c>
      <c r="S93" s="2" t="inlineStr">
        <is>
          <t>P050092|R</t>
        </is>
      </c>
      <c r="T93" s="7" t="inlineStr">
        <is>
          <t>registered — retest, Tranche 1 (sampled 21–24.07.2026), sampled 22.07.2026; issued 17.08.2026, 7 days after 197-9-M-26 of 10.08.2026; cites iCoA-PP_26-094 of 27.07.2026</t>
        </is>
      </c>
      <c r="U93" s="2">
        <f>IFERROR(INDEX('CoQ Register'!$B:$B,MATCH("P050092|I",'CoQ Register'!$S:$S,0)),"— initial certificate not on the register —")</f>
        <v/>
      </c>
      <c r="V93" s="10" t="n">
        <v>18.67</v>
      </c>
      <c r="W93" s="2" t="inlineStr">
        <is>
          <t>197-9-К/26</t>
        </is>
      </c>
      <c r="X93" s="2" t="inlineStr">
        <is>
          <t>18.00 ± 1.77 (I)</t>
        </is>
      </c>
      <c r="Y93" s="2" t="inlineStr">
        <is>
          <t>16.23 – 19.76 %</t>
        </is>
      </c>
      <c r="Z93" s="2" t="inlineStr">
        <is>
          <t>GG_THC18 : CBD1</t>
        </is>
      </c>
      <c r="AA93" s="2" t="inlineStr">
        <is>
          <t>QCSP_001_GG-I_v.01</t>
        </is>
      </c>
      <c r="AB93" s="8" t="inlineStr">
        <is>
          <t>for review — replaces the issued QCSP_001_GG-I_v.01 (was GG_THC18 : CBD1, 17.01 – 18.99 %); now GG_THC18 : CBD1 16.23 – 19.76 %</t>
        </is>
      </c>
      <c r="AC93" s="11" t="inlineStr"/>
    </row>
    <row r="94">
      <c r="A94" s="2">
        <f>IF(OR(C94="yes",C94="allocated",C94="ruled"),COUNT(A$1:A93)+1,"")</f>
        <v/>
      </c>
      <c r="B94" s="3">
        <f>IF(A94&lt;&gt;"","CoQ-PP_26-"&amp;TEXT(A94,"000"),"— at issue —")</f>
        <v/>
      </c>
      <c r="C94" s="4" t="inlineStr">
        <is>
          <t>yes</t>
        </is>
      </c>
      <c r="D94" s="5">
        <f>IF(OR(A94="",C94="allocated",C94="ruled"),"",MAX(E94,IF(ISNUMBER(I94),I94,0),IFERROR(IF(ISNUMBER(INDEX('iCoA Register'!$F:$F,MATCH(S94,'iCoA Register'!$AA:$AA,0))),INDEX('iCoA Register'!$F:$F,MATCH(S94,'iCoA Register'!$AA:$AA,0)),0),0)))</f>
        <v/>
      </c>
      <c r="E94" s="5">
        <f>IF(ISNUMBER(F94),MAX(DATE(2026,6,6),F94+7),"— awaiting the retest certificates —")</f>
        <v/>
      </c>
      <c r="F94" s="5" t="n">
        <v>46244</v>
      </c>
      <c r="G94" s="2" t="inlineStr">
        <is>
          <t>197-10-M-26</t>
        </is>
      </c>
      <c r="H94" s="2">
        <f>IFERROR(INDEX('iCoA Register'!$B:$B,MATCH("P050152|R",'iCoA Register'!$AA:$AA,0)),"—")</f>
        <v/>
      </c>
      <c r="I94" s="5">
        <f>IFERROR(INDEX('iCoA Register'!$D:$D,MATCH("P050152|R",'iCoA Register'!$AA:$AA,0)),"")</f>
        <v/>
      </c>
      <c r="J94" s="2" t="inlineStr">
        <is>
          <t>legacy</t>
        </is>
      </c>
      <c r="K94" s="2" t="inlineStr">
        <is>
          <t>retest — Tranche 1 (sampled 21–24.07.2026)</t>
        </is>
      </c>
      <c r="L94" s="3" t="inlineStr">
        <is>
          <t>GP052501</t>
        </is>
      </c>
      <c r="M94" s="2" t="inlineStr">
        <is>
          <t>P050152</t>
        </is>
      </c>
      <c r="N94" s="2" t="inlineStr">
        <is>
          <t>Grape Pie</t>
        </is>
      </c>
      <c r="O94" s="2" t="inlineStr">
        <is>
          <t>197-10-K-26, (07.08.2026) [FHM-K]</t>
        </is>
      </c>
      <c r="P94" s="6" t="inlineStr">
        <is>
          <t>—</t>
        </is>
      </c>
      <c r="Q94" s="2" t="inlineStr">
        <is>
          <t>—</t>
        </is>
      </c>
      <c r="R94" s="2" t="inlineStr">
        <is>
          <t>CoQ reissue (assigned on issue)</t>
        </is>
      </c>
      <c r="S94" s="2" t="inlineStr">
        <is>
          <t>P050152|R</t>
        </is>
      </c>
      <c r="T94" s="7" t="inlineStr">
        <is>
          <t>registered — retest, Tranche 1 (sampled 21–24.07.2026), sampled 22.07.2026; issued 17.08.2026, 7 days after 197-10-M-26 of 10.08.2026; cites iCoA-PP_26-095 of 27.07.2026</t>
        </is>
      </c>
      <c r="U94" s="2">
        <f>IFERROR(INDEX('CoQ Register'!$B:$B,MATCH("P050152|I",'CoQ Register'!$S:$S,0)),"— initial certificate not on the register —")</f>
        <v/>
      </c>
      <c r="V94" s="10" t="n">
        <v>18.52</v>
      </c>
      <c r="W94" s="2" t="inlineStr">
        <is>
          <t>197-10-К/26</t>
        </is>
      </c>
      <c r="X94" s="2" t="inlineStr">
        <is>
          <t>20.00 ± 2.00 (III)</t>
        </is>
      </c>
      <c r="Y94" s="2" t="inlineStr">
        <is>
          <t>18.00 – 21.99 %</t>
        </is>
      </c>
      <c r="Z94" s="2" t="inlineStr">
        <is>
          <t>GP_THC20 : CBD1</t>
        </is>
      </c>
      <c r="AA94" s="2" t="inlineStr">
        <is>
          <t>QCSP_001_GP-III_v.01</t>
        </is>
      </c>
      <c r="AB94" s="8" t="inlineStr">
        <is>
          <t>for review — replaces the issued QCSP_001_GP-III_v.01 (was GP_THC24 : CBD1, 22.61 – 25.39 %); now GP_THC20 : CBD1 18.00 – 21.99 %</t>
        </is>
      </c>
      <c r="AC94" s="11" t="inlineStr"/>
    </row>
    <row r="95">
      <c r="A95" s="2">
        <f>IF(OR(C95="yes",C95="allocated",C95="ruled"),COUNT(A$1:A94)+1,"")</f>
        <v/>
      </c>
      <c r="B95" s="3">
        <f>IF(A95&lt;&gt;"","CoQ-PP_26-"&amp;TEXT(A95,"000"),"— at issue —")</f>
        <v/>
      </c>
      <c r="C95" s="4" t="inlineStr">
        <is>
          <t>yes</t>
        </is>
      </c>
      <c r="D95" s="5">
        <f>IF(OR(A95="",C95="allocated",C95="ruled"),"",MAX(E95,IF(ISNUMBER(I95),I95,0),IFERROR(IF(ISNUMBER(INDEX('iCoA Register'!$F:$F,MATCH(S95,'iCoA Register'!$AA:$AA,0))),INDEX('iCoA Register'!$F:$F,MATCH(S95,'iCoA Register'!$AA:$AA,0)),0),0)))</f>
        <v/>
      </c>
      <c r="E95" s="5">
        <f>IF(ISNUMBER(F95),MAX(DATE(2026,6,6),F95+7),"— awaiting the retest certificates —")</f>
        <v/>
      </c>
      <c r="F95" s="5" t="n">
        <v>46244</v>
      </c>
      <c r="G95" s="2" t="inlineStr">
        <is>
          <t>197-11-M-26</t>
        </is>
      </c>
      <c r="H95" s="2">
        <f>IFERROR(INDEX('iCoA Register'!$B:$B,MATCH("P050022|R5",'iCoA Register'!$AA:$AA,0)),"—")</f>
        <v/>
      </c>
      <c r="I95" s="5">
        <f>IFERROR(INDEX('iCoA Register'!$D:$D,MATCH("P050022|R5",'iCoA Register'!$AA:$AA,0)),"")</f>
        <v/>
      </c>
      <c r="J95" s="2" t="inlineStr">
        <is>
          <t>legacy</t>
        </is>
      </c>
      <c r="K95" s="2" t="inlineStr">
        <is>
          <t>retest — Tranche 1 (sampled 21–24.07.2026)</t>
        </is>
      </c>
      <c r="L95" s="3" t="inlineStr">
        <is>
          <t>GP0824_02</t>
        </is>
      </c>
      <c r="M95" s="2" t="inlineStr">
        <is>
          <t>P050022</t>
        </is>
      </c>
      <c r="N95" s="2" t="inlineStr">
        <is>
          <t>Grape Pie</t>
        </is>
      </c>
      <c r="O95" s="2" t="inlineStr">
        <is>
          <t>197-11-K-26, (07.08.2026) [FHM-K]</t>
        </is>
      </c>
      <c r="P95" s="6" t="inlineStr">
        <is>
          <t>—</t>
        </is>
      </c>
      <c r="Q95" s="2" t="inlineStr">
        <is>
          <t>—</t>
        </is>
      </c>
      <c r="R95" s="2" t="inlineStr">
        <is>
          <t>CoQ-PP-2026-0032</t>
        </is>
      </c>
      <c r="S95" s="2" t="inlineStr">
        <is>
          <t>P050022|R5</t>
        </is>
      </c>
      <c r="T95" s="7" t="inlineStr">
        <is>
          <t>registered — retest, Tranche 1 (sampled 21–24.07.2026), sampled 22.07.2026; issued 17.08.2026, 7 days after 197-11-M-26 of 10.08.2026; cites the campaign iCoA of 27.07.2026</t>
        </is>
      </c>
      <c r="U95" s="2">
        <f>IFERROR(INDEX('CoQ Register'!$B:$B,MATCH("P050022|I",'CoQ Register'!$S:$S,0)),"— initial certificate not on the register —")</f>
        <v/>
      </c>
      <c r="V95" s="10" t="n">
        <v>22.61</v>
      </c>
      <c r="W95" s="2" t="inlineStr">
        <is>
          <t>197-11-К/26</t>
        </is>
      </c>
      <c r="X95" s="2" t="inlineStr">
        <is>
          <t>24.00 ± 2.00 (II)</t>
        </is>
      </c>
      <c r="Y95" s="2" t="inlineStr">
        <is>
          <t>22.00 – 25.99 %</t>
        </is>
      </c>
      <c r="Z95" s="2" t="inlineStr">
        <is>
          <t>GP_THC24 : CBD1</t>
        </is>
      </c>
      <c r="AA95" s="2" t="inlineStr">
        <is>
          <t>QCSP_001_GP-II_v.01</t>
        </is>
      </c>
      <c r="AB95" s="8" t="inlineStr">
        <is>
          <t>for review — replaces the issued QCSP_001_GP-II_v.01 (was GP_THC26 : CBD1, 25.40 – 26.60 %); now GP_THC24 : CBD1 22.00 – 25.99 %</t>
        </is>
      </c>
      <c r="AC95" s="11" t="inlineStr"/>
    </row>
    <row r="96">
      <c r="A96" s="2">
        <f>IF(OR(C96="yes",C96="allocated",C96="ruled"),COUNT(A$1:A95)+1,"")</f>
        <v/>
      </c>
      <c r="B96" s="3">
        <f>IF(A96&lt;&gt;"","CoQ-PP_26-"&amp;TEXT(A96,"000"),"— at issue —")</f>
        <v/>
      </c>
      <c r="C96" s="4" t="inlineStr">
        <is>
          <t>yes</t>
        </is>
      </c>
      <c r="D96" s="5">
        <f>IF(OR(A96="",C96="allocated",C96="ruled"),"",MAX(E96,IF(ISNUMBER(I96),I96,0),IFERROR(IF(ISNUMBER(INDEX('iCoA Register'!$F:$F,MATCH(S96,'iCoA Register'!$AA:$AA,0))),INDEX('iCoA Register'!$F:$F,MATCH(S96,'iCoA Register'!$AA:$AA,0)),0),0)))</f>
        <v/>
      </c>
      <c r="E96" s="5">
        <f>IF(ISNUMBER(F96),MAX(DATE(2026,6,6),F96+7),"— awaiting the retest certificates —")</f>
        <v/>
      </c>
      <c r="F96" s="5" t="n">
        <v>46244</v>
      </c>
      <c r="G96" s="2" t="inlineStr">
        <is>
          <t>197-12-M-26</t>
        </is>
      </c>
      <c r="H96" s="2">
        <f>IFERROR(INDEX('iCoA Register'!$B:$B,MATCH("P050322|R",'iCoA Register'!$AA:$AA,0)),"—")</f>
        <v/>
      </c>
      <c r="I96" s="5">
        <f>IFERROR(INDEX('iCoA Register'!$D:$D,MATCH("P050322|R",'iCoA Register'!$AA:$AA,0)),"")</f>
        <v/>
      </c>
      <c r="J96" s="2" t="inlineStr">
        <is>
          <t>legacy</t>
        </is>
      </c>
      <c r="K96" s="2" t="inlineStr">
        <is>
          <t>retest — Tranche 1 (sampled 21–24.07.2026)</t>
        </is>
      </c>
      <c r="L96" s="3" t="inlineStr">
        <is>
          <t>GP082501/2</t>
        </is>
      </c>
      <c r="M96" s="2" t="inlineStr">
        <is>
          <t>P050322</t>
        </is>
      </c>
      <c r="N96" s="2" t="inlineStr">
        <is>
          <t>Grape Pie</t>
        </is>
      </c>
      <c r="O96" s="2" t="inlineStr">
        <is>
          <t>197-12-K-26, (07.08.2026) [FHM-K]</t>
        </is>
      </c>
      <c r="P96" s="6" t="inlineStr">
        <is>
          <t>—</t>
        </is>
      </c>
      <c r="Q96" s="2" t="inlineStr">
        <is>
          <t>—</t>
        </is>
      </c>
      <c r="R96" s="2" t="inlineStr">
        <is>
          <t>CoQ reissue (assigned on issue)</t>
        </is>
      </c>
      <c r="S96" s="2" t="inlineStr">
        <is>
          <t>P050322|R</t>
        </is>
      </c>
      <c r="T96" s="7" t="inlineStr">
        <is>
          <t>registered — retest, Tranche 1 (sampled 21–24.07.2026), sampled 23.07.2026; issued 17.08.2026, 7 days after 197-12-M-26 of 10.08.2026; cites iCoA-PP_26-099 of 27.07.2026</t>
        </is>
      </c>
      <c r="U96" s="2">
        <f>IFERROR(INDEX('CoQ Register'!$B:$B,MATCH("P050322|I",'CoQ Register'!$S:$S,0)),"— initial certificate not on the register —")</f>
        <v/>
      </c>
      <c r="V96" s="10" t="n">
        <v>15.7</v>
      </c>
      <c r="W96" s="2" t="inlineStr">
        <is>
          <t>197-12-К/26</t>
        </is>
      </c>
      <c r="X96" s="2" t="inlineStr">
        <is>
          <t>16.00 ± 1.60 (IV)</t>
        </is>
      </c>
      <c r="Y96" s="2" t="inlineStr">
        <is>
          <t>14.40 – 17.59 %</t>
        </is>
      </c>
      <c r="Z96" s="2" t="inlineStr">
        <is>
          <t>GP_THC16 : CBD1</t>
        </is>
      </c>
      <c r="AA96" s="2" t="inlineStr">
        <is>
          <t>QCSP_001_GP-IV_v.01</t>
        </is>
      </c>
      <c r="AB96" s="8" t="inlineStr">
        <is>
          <t>for review — replaces the issued QCSP_001_GP-IV_v.01 (was GP_THC20 : CBD1, 18.00 – 22.00 %); now GP_THC16 : CBD1 14.40 – 17.59 %</t>
        </is>
      </c>
      <c r="AC96" s="11" t="inlineStr"/>
    </row>
    <row r="97">
      <c r="A97" s="2">
        <f>IF(OR(C97="yes",C97="allocated",C97="ruled"),COUNT(A$1:A96)+1,"")</f>
        <v/>
      </c>
      <c r="B97" s="3">
        <f>IF(A97&lt;&gt;"","CoQ-PP_26-"&amp;TEXT(A97,"000"),"— at issue —")</f>
        <v/>
      </c>
      <c r="C97" s="4" t="inlineStr">
        <is>
          <t>yes</t>
        </is>
      </c>
      <c r="D97" s="5">
        <f>IF(OR(A97="",C97="allocated",C97="ruled"),"",MAX(E97,IF(ISNUMBER(I97),I97,0),IFERROR(IF(ISNUMBER(INDEX('iCoA Register'!$F:$F,MATCH(S97,'iCoA Register'!$AA:$AA,0))),INDEX('iCoA Register'!$F:$F,MATCH(S97,'iCoA Register'!$AA:$AA,0)),0),0)))</f>
        <v/>
      </c>
      <c r="E97" s="5">
        <f>IF(ISNUMBER(F97),MAX(DATE(2026,6,6),F97+7),"— awaiting the retest certificates —")</f>
        <v/>
      </c>
      <c r="F97" s="5" t="n">
        <v>46244</v>
      </c>
      <c r="G97" s="2" t="inlineStr">
        <is>
          <t>197-13-M-26</t>
        </is>
      </c>
      <c r="H97" s="2">
        <f>IFERROR(INDEX('iCoA Register'!$B:$B,MATCH("HPA1024|R",'iCoA Register'!$AA:$AA,0)),"—")</f>
        <v/>
      </c>
      <c r="I97" s="5">
        <f>IFERROR(INDEX('iCoA Register'!$D:$D,MATCH("HPA1024|R",'iCoA Register'!$AA:$AA,0)),"")</f>
        <v/>
      </c>
      <c r="J97" s="2" t="inlineStr">
        <is>
          <t>legacy</t>
        </is>
      </c>
      <c r="K97" s="2" t="inlineStr">
        <is>
          <t>retest — Tranche 1 (sampled 21–24.07.2026)</t>
        </is>
      </c>
      <c r="L97" s="3" t="inlineStr">
        <is>
          <t>HPA1024</t>
        </is>
      </c>
      <c r="M97" s="2" t="inlineStr">
        <is>
          <t>N/A — no P batch assigned</t>
        </is>
      </c>
      <c r="N97" s="2" t="inlineStr">
        <is>
          <t>High Pro Amnesia</t>
        </is>
      </c>
      <c r="O97" s="2" t="inlineStr">
        <is>
          <t>197-13-K-26, (07.08.2026) [FHM-K]</t>
        </is>
      </c>
      <c r="P97" s="6" t="inlineStr">
        <is>
          <t>—</t>
        </is>
      </c>
      <c r="Q97" s="2" t="inlineStr">
        <is>
          <t>—</t>
        </is>
      </c>
      <c r="R97" s="2" t="inlineStr">
        <is>
          <t>CoQ-PP-2026-0030</t>
        </is>
      </c>
      <c r="S97" s="2" t="inlineStr">
        <is>
          <t>HPA1024|R</t>
        </is>
      </c>
      <c r="T97" s="7" t="inlineStr">
        <is>
          <t>registered — retest, Tranche 1 (sampled 21–24.07.2026), sampled 23.07.2026; issued 17.08.2026, 7 days after 197-13-M-26 of 10.08.2026; cites iCoA-PP_26-100 of 27.07.2026</t>
        </is>
      </c>
      <c r="U97" s="2">
        <f>IFERROR(INDEX('CoQ Register'!$B:$B,MATCH("HPA1024|I",'CoQ Register'!$S:$S,0)),"— initial certificate not on the register —")</f>
        <v/>
      </c>
      <c r="V97" s="10" t="n">
        <v>17.31</v>
      </c>
      <c r="W97" s="2" t="inlineStr">
        <is>
          <t>197-13-К/26</t>
        </is>
      </c>
      <c r="X97" s="2" t="inlineStr">
        <is>
          <t>18.00 ± 1.80 (II)</t>
        </is>
      </c>
      <c r="Y97" s="2" t="inlineStr">
        <is>
          <t>16.20 – 19.79 %</t>
        </is>
      </c>
      <c r="Z97" s="2" t="inlineStr">
        <is>
          <t>HPA_THC18 : CBD1</t>
        </is>
      </c>
      <c r="AA97" s="2" t="inlineStr">
        <is>
          <t>QCSP_001_HPA-II_v.01</t>
        </is>
      </c>
      <c r="AB97" s="8" t="inlineStr">
        <is>
          <t>for review — replaces the issued QCSP_001_HPA-II_v.01 (was HPA_THC20 : CBD1, 19.01 – 20.99 %); now HPA_THC18 : CBD1 16.20 – 19.79 %</t>
        </is>
      </c>
      <c r="AC97" s="11" t="inlineStr"/>
    </row>
    <row r="98">
      <c r="A98" s="2">
        <f>IF(OR(C98="yes",C98="allocated",C98="ruled"),COUNT(A$1:A97)+1,"")</f>
        <v/>
      </c>
      <c r="B98" s="3">
        <f>IF(A98&lt;&gt;"","CoQ-PP_26-"&amp;TEXT(A98,"000"),"— at issue —")</f>
        <v/>
      </c>
      <c r="C98" s="4" t="inlineStr">
        <is>
          <t>yes</t>
        </is>
      </c>
      <c r="D98" s="5">
        <f>IF(OR(A98="",C98="allocated",C98="ruled"),"",MAX(E98,IF(ISNUMBER(I98),I98,0),IFERROR(IF(ISNUMBER(INDEX('iCoA Register'!$F:$F,MATCH(S98,'iCoA Register'!$AA:$AA,0))),INDEX('iCoA Register'!$F:$F,MATCH(S98,'iCoA Register'!$AA:$AA,0)),0),0)))</f>
        <v/>
      </c>
      <c r="E98" s="5">
        <f>IF(ISNUMBER(F98),MAX(DATE(2026,6,6),F98+7),"— awaiting the retest certificates —")</f>
        <v/>
      </c>
      <c r="F98" s="5" t="n">
        <v>46244</v>
      </c>
      <c r="G98" s="2" t="inlineStr">
        <is>
          <t>197-14-M-26</t>
        </is>
      </c>
      <c r="H98" s="2">
        <f>IFERROR(INDEX('iCoA Register'!$B:$B,MATCH("P050052|R",'iCoA Register'!$AA:$AA,0)),"—")</f>
        <v/>
      </c>
      <c r="I98" s="5">
        <f>IFERROR(INDEX('iCoA Register'!$D:$D,MATCH("P050052|R",'iCoA Register'!$AA:$AA,0)),"")</f>
        <v/>
      </c>
      <c r="J98" s="2" t="inlineStr">
        <is>
          <t>legacy</t>
        </is>
      </c>
      <c r="K98" s="2" t="inlineStr">
        <is>
          <t>retest — Tranche 1 (sampled 21–24.07.2026)</t>
        </is>
      </c>
      <c r="L98" s="3" t="inlineStr">
        <is>
          <t>HPA1024_01</t>
        </is>
      </c>
      <c r="M98" s="2" t="inlineStr">
        <is>
          <t>P050052</t>
        </is>
      </c>
      <c r="N98" s="2" t="inlineStr">
        <is>
          <t>High Pro Amnesia</t>
        </is>
      </c>
      <c r="O98" s="2" t="inlineStr">
        <is>
          <t>197-14-K-26, (07.08.2026) [FHM-K]</t>
        </is>
      </c>
      <c r="P98" s="6" t="inlineStr">
        <is>
          <t>—</t>
        </is>
      </c>
      <c r="Q98" s="2" t="inlineStr">
        <is>
          <t>—</t>
        </is>
      </c>
      <c r="R98" s="2" t="inlineStr">
        <is>
          <t>CoQ-PP-2026-0034</t>
        </is>
      </c>
      <c r="S98" s="2" t="inlineStr">
        <is>
          <t>P050052|R</t>
        </is>
      </c>
      <c r="T98" s="7" t="inlineStr">
        <is>
          <t>registered — retest, Tranche 1 (sampled 21–24.07.2026), sampled 23.07.2026; issued 17.08.2026, 7 days after 197-14-M-26 of 10.08.2026; cites iCoA-PP_26-101 of 27.07.2026</t>
        </is>
      </c>
      <c r="U98" s="2">
        <f>IFERROR(INDEX('CoQ Register'!$B:$B,MATCH("P050052|I",'CoQ Register'!$S:$S,0)),"— initial certificate not on the register —")</f>
        <v/>
      </c>
      <c r="V98" s="10" t="n">
        <v>21.61</v>
      </c>
      <c r="W98" s="2" t="inlineStr">
        <is>
          <t>197-14-К/26</t>
        </is>
      </c>
      <c r="X98" s="2" t="inlineStr">
        <is>
          <t>22.00 ± 2.20 (I)</t>
        </is>
      </c>
      <c r="Y98" s="2" t="inlineStr">
        <is>
          <t>19.80 – 24.19 %</t>
        </is>
      </c>
      <c r="Z98" s="2" t="inlineStr">
        <is>
          <t>HPA_THC22 : CBD1</t>
        </is>
      </c>
      <c r="AA98" s="2" t="inlineStr">
        <is>
          <t>QCSP_001_HPA-I_v.01</t>
        </is>
      </c>
      <c r="AB98" s="8" t="inlineStr">
        <is>
          <t>for review — replaces the issued QCSP_001_HPA-I_v.01 (was HPA_THC22 : CBD1, 21.00 – 23.00 %); now HPA_THC22 : CBD1 19.80 – 24.19 %</t>
        </is>
      </c>
      <c r="AC98" s="11" t="inlineStr"/>
    </row>
    <row r="99">
      <c r="A99" s="2">
        <f>IF(OR(C99="yes",C99="allocated",C99="ruled"),COUNT(A$1:A98)+1,"")</f>
        <v/>
      </c>
      <c r="B99" s="3">
        <f>IF(A99&lt;&gt;"","CoQ-PP_26-"&amp;TEXT(A99,"000"),"— at issue —")</f>
        <v/>
      </c>
      <c r="C99" s="4" t="inlineStr">
        <is>
          <t>yes</t>
        </is>
      </c>
      <c r="D99" s="5">
        <f>IF(OR(A99="",C99="allocated",C99="ruled"),"",MAX(E99,IF(ISNUMBER(I99),I99,0),IFERROR(IF(ISNUMBER(INDEX('iCoA Register'!$F:$F,MATCH(S99,'iCoA Register'!$AA:$AA,0))),INDEX('iCoA Register'!$F:$F,MATCH(S99,'iCoA Register'!$AA:$AA,0)),0),0)))</f>
        <v/>
      </c>
      <c r="E99" s="5">
        <f>IF(ISNUMBER(F99),MAX(DATE(2026,6,6),F99+7),"— awaiting the retest certificates —")</f>
        <v/>
      </c>
      <c r="F99" s="5" t="n">
        <v>46244</v>
      </c>
      <c r="G99" s="2" t="inlineStr">
        <is>
          <t>197-16-M-26</t>
        </is>
      </c>
      <c r="H99" s="2">
        <f>IFERROR(INDEX('iCoA Register'!$B:$B,MATCH("P060152|R",'iCoA Register'!$AA:$AA,0)),"—")</f>
        <v/>
      </c>
      <c r="I99" s="5">
        <f>IFERROR(INDEX('iCoA Register'!$D:$D,MATCH("P060152|R",'iCoA Register'!$AA:$AA,0)),"")</f>
        <v/>
      </c>
      <c r="J99" s="2" t="inlineStr">
        <is>
          <t>legacy</t>
        </is>
      </c>
      <c r="K99" s="2" t="inlineStr">
        <is>
          <t>retest — Tranche 1 (sampled 21–24.07.2026)</t>
        </is>
      </c>
      <c r="L99" s="3" t="inlineStr">
        <is>
          <t>J31102501</t>
        </is>
      </c>
      <c r="M99" s="2" t="inlineStr">
        <is>
          <t>P060152</t>
        </is>
      </c>
      <c r="N99" s="2" t="inlineStr">
        <is>
          <t>Jokerz 31</t>
        </is>
      </c>
      <c r="O99" s="2" t="inlineStr">
        <is>
          <t>197-16-K-26, (07.08.2026) [FHM-K]</t>
        </is>
      </c>
      <c r="P99" s="6" t="inlineStr">
        <is>
          <t>—</t>
        </is>
      </c>
      <c r="Q99" s="2" t="inlineStr">
        <is>
          <t>—</t>
        </is>
      </c>
      <c r="R99" s="2" t="inlineStr">
        <is>
          <t>CoQ reissue (assigned on issue)</t>
        </is>
      </c>
      <c r="S99" s="2" t="inlineStr">
        <is>
          <t>P060152|R</t>
        </is>
      </c>
      <c r="T99" s="7" t="inlineStr">
        <is>
          <t>registered — retest, Tranche 1 (sampled 21–24.07.2026), sampled 23.07.2026; issued 17.08.2026, 7 days after 197-16-M-26 of 10.08.2026; cites iCoA-PP_26-102 of 27.07.2026</t>
        </is>
      </c>
      <c r="U99" s="2">
        <f>IFERROR(INDEX('CoQ Register'!$B:$B,MATCH("P060152|I",'CoQ Register'!$S:$S,0)),"— initial certificate not on the register —")</f>
        <v/>
      </c>
      <c r="V99" s="10" t="n">
        <v>17.32</v>
      </c>
      <c r="W99" s="2" t="inlineStr">
        <is>
          <t>197-16-К/26</t>
        </is>
      </c>
      <c r="X99" s="2" t="inlineStr">
        <is>
          <t>18.00 ± 1.80 (III)</t>
        </is>
      </c>
      <c r="Y99" s="2" t="inlineStr">
        <is>
          <t>16.20 – 19.79 %</t>
        </is>
      </c>
      <c r="Z99" s="2" t="inlineStr">
        <is>
          <t>J31_THC18 : CBD1</t>
        </is>
      </c>
      <c r="AA99" s="2" t="inlineStr">
        <is>
          <t>QCSP_001_J31-III_v.01</t>
        </is>
      </c>
      <c r="AB99" s="11" t="inlineStr">
        <is>
          <t>for review — new</t>
        </is>
      </c>
      <c r="AC99" s="11" t="inlineStr"/>
    </row>
    <row r="100">
      <c r="A100" s="2">
        <f>IF(OR(C100="yes",C100="allocated",C100="ruled"),COUNT(A$1:A99)+1,"")</f>
        <v/>
      </c>
      <c r="B100" s="3">
        <f>IF(A100&lt;&gt;"","CoQ-PP_26-"&amp;TEXT(A100,"000"),"— at issue —")</f>
        <v/>
      </c>
      <c r="C100" s="4" t="inlineStr">
        <is>
          <t>yes</t>
        </is>
      </c>
      <c r="D100" s="5">
        <f>IF(OR(A100="",C100="allocated",C100="ruled"),"",MAX(E100,IF(ISNUMBER(I100),I100,0),IFERROR(IF(ISNUMBER(INDEX('iCoA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197-15-M-26</t>
        </is>
      </c>
      <c r="H100" s="2">
        <f>IFERROR(INDEX('iCoA Register'!$B:$B,MATCH("P060212|R",'iCoA Register'!$AA:$AA,0)),"—")</f>
        <v/>
      </c>
      <c r="I100" s="5">
        <f>IFERROR(INDEX('iCoA Register'!$D:$D,MATCH("P060212|R",'iCoA Register'!$AA:$AA,0)),"")</f>
        <v/>
      </c>
      <c r="J100" s="2" t="inlineStr">
        <is>
          <t>legacy</t>
        </is>
      </c>
      <c r="K100" s="2" t="inlineStr">
        <is>
          <t>retest — Tranche 1 (sampled 21–24.07.2026)</t>
        </is>
      </c>
      <c r="L100" s="3" t="inlineStr">
        <is>
          <t>JD112501</t>
        </is>
      </c>
      <c r="M100" s="2" t="inlineStr">
        <is>
          <t>P060212</t>
        </is>
      </c>
      <c r="N100" s="2" t="inlineStr">
        <is>
          <t>Jelly Donuts</t>
        </is>
      </c>
      <c r="O100" s="2" t="inlineStr">
        <is>
          <t>197-15-K-26, (07.08.2026) [FHM-K]</t>
        </is>
      </c>
      <c r="P100" s="6" t="inlineStr">
        <is>
          <t>—</t>
        </is>
      </c>
      <c r="Q100" s="2" t="inlineStr">
        <is>
          <t>—</t>
        </is>
      </c>
      <c r="R100" s="2" t="inlineStr">
        <is>
          <t>CoQ reissue (assigned on issue)</t>
        </is>
      </c>
      <c r="S100" s="2" t="inlineStr">
        <is>
          <t>P060212|R</t>
        </is>
      </c>
      <c r="T100" s="7" t="inlineStr">
        <is>
          <t>registered — retest, Tranche 1 (sampled 21–24.07.2026), sampled 23.07.2026; issued 17.08.2026, 7 days after 197-15-M-26 of 10.08.2026; cites iCoA-PP_26-103 of 27.07.2026</t>
        </is>
      </c>
      <c r="U100" s="2">
        <f>IFERROR(INDEX('CoQ Register'!$B:$B,MATCH("P060212|I",'CoQ Register'!$S:$S,0)),"— initial certificate not on the register —")</f>
        <v/>
      </c>
      <c r="V100" s="10" t="n">
        <v>20.32</v>
      </c>
      <c r="W100" s="2" t="inlineStr">
        <is>
          <t>197-15-К/26</t>
        </is>
      </c>
      <c r="X100" s="2" t="inlineStr">
        <is>
          <t>22.00 ± 2.20 (I)</t>
        </is>
      </c>
      <c r="Y100" s="2" t="inlineStr">
        <is>
          <t>19.80 – 24.19 %</t>
        </is>
      </c>
      <c r="Z100" s="2" t="inlineStr">
        <is>
          <t>JD_THC22 : CBD1</t>
        </is>
      </c>
      <c r="AA100" s="2" t="inlineStr">
        <is>
          <t>QCSP_001_JD-I_v.01</t>
        </is>
      </c>
      <c r="AB100" s="8" t="inlineStr">
        <is>
          <t>for review — replaces the issued QCSP_001_JD-I_v.01 (was JD_THC20 : CBD1, 18.00 – 22.00 %); now JD_THC22 : CBD1 19.80 – 24.19 %</t>
        </is>
      </c>
      <c r="AC100" s="11" t="inlineStr"/>
    </row>
    <row r="101">
      <c r="A101" s="2">
        <f>IF(OR(C101="yes",C101="allocated",C101="ruled"),COUNT(A$1:A100)+1,"")</f>
        <v/>
      </c>
      <c r="B101" s="3">
        <f>IF(A101&lt;&gt;"","CoQ-PP_26-"&amp;TEXT(A101,"000"),"— at issue —")</f>
        <v/>
      </c>
      <c r="C101" s="4" t="inlineStr">
        <is>
          <t>yes</t>
        </is>
      </c>
      <c r="D101" s="5">
        <f>IF(OR(A101="",C101="allocated",C101="ruled"),"",MAX(E101,IF(ISNUMBER(I101),I101,0),IFERROR(IF(ISNUMBER(INDEX('iCoA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197-17-M-26</t>
        </is>
      </c>
      <c r="H101" s="2">
        <f>IFERROR(INDEX('iCoA Register'!$B:$B,MATCH("OPM1024|R",'iCoA Register'!$AA:$AA,0)),"—")</f>
        <v/>
      </c>
      <c r="I101" s="5">
        <f>IFERROR(INDEX('iCoA Register'!$D:$D,MATCH("OPM1024|R",'iCoA Register'!$AA:$AA,0)),"")</f>
        <v/>
      </c>
      <c r="J101" s="2" t="inlineStr">
        <is>
          <t>legacy</t>
        </is>
      </c>
      <c r="K101" s="2" t="inlineStr">
        <is>
          <t>retest — Tranche 1 (sampled 21–24.07.2026)</t>
        </is>
      </c>
      <c r="L101" s="3" t="inlineStr">
        <is>
          <t>OPM1024</t>
        </is>
      </c>
      <c r="M101" s="2" t="inlineStr">
        <is>
          <t>N/A — no P batch assigned</t>
        </is>
      </c>
      <c r="N101" s="2" t="inlineStr">
        <is>
          <t>Orange Punch Mimosa</t>
        </is>
      </c>
      <c r="O101" s="2" t="inlineStr">
        <is>
          <t>197-17-K-26, (07.08.2026) [FHM-K]</t>
        </is>
      </c>
      <c r="P101" s="6" t="inlineStr">
        <is>
          <t>—</t>
        </is>
      </c>
      <c r="Q101" s="2" t="inlineStr">
        <is>
          <t>—</t>
        </is>
      </c>
      <c r="R101" s="2" t="inlineStr">
        <is>
          <t>CoQ-PP-2026-0031</t>
        </is>
      </c>
      <c r="S101" s="2" t="inlineStr">
        <is>
          <t>OPM1024|R</t>
        </is>
      </c>
      <c r="T101" s="7" t="inlineStr">
        <is>
          <t>registered — retest, Tranche 1 (sampled 21–24.07.2026), sampled 24.07.2026; issued 17.08.2026, 7 days after 197-17-M-26 of 10.08.2026; cites iCoA-PP_26-104 of 27.07.2026</t>
        </is>
      </c>
      <c r="U101" s="2">
        <f>IFERROR(INDEX('CoQ Register'!$B:$B,MATCH("OPM1024|I",'CoQ Register'!$S:$S,0)),"— initial certificate not on the register —")</f>
        <v/>
      </c>
      <c r="V101" s="10" t="n">
        <v>20.03</v>
      </c>
      <c r="W101" s="2" t="inlineStr">
        <is>
          <t>197-17-К/26</t>
        </is>
      </c>
      <c r="X101" s="2" t="inlineStr">
        <is>
          <t>20.00 ± 1.40 (I)</t>
        </is>
      </c>
      <c r="Y101" s="2" t="inlineStr">
        <is>
          <t>18.60 – 21.39 %</t>
        </is>
      </c>
      <c r="Z101" s="2" t="inlineStr">
        <is>
          <t>OPM_THC20 : CBD1</t>
        </is>
      </c>
      <c r="AA101" s="2" t="inlineStr">
        <is>
          <t>QCSP_001_OPM-I_v.01</t>
        </is>
      </c>
      <c r="AB101" s="8" t="inlineStr">
        <is>
          <t>for review — replaces the issued QCSP_001_OPM-I_v.01 (was OPM_THC22 : CBD1, 19.81 – 24.19 %); now OPM_THC20 : CBD1 18.60 – 21.39 %</t>
        </is>
      </c>
      <c r="AC101" s="11" t="inlineStr"/>
    </row>
    <row r="102">
      <c r="A102" s="2">
        <f>IF(OR(C102="yes",C102="allocated",C102="ruled"),COUNT(A$1:A101)+1,"")</f>
        <v/>
      </c>
      <c r="B102" s="3">
        <f>IF(A102&lt;&gt;"","CoQ-PP_26-"&amp;TEXT(A102,"000"),"— at issue —")</f>
        <v/>
      </c>
      <c r="C102" s="4" t="inlineStr">
        <is>
          <t>yes</t>
        </is>
      </c>
      <c r="D102" s="5">
        <f>IF(OR(A102="",C102="allocated",C102="ruled"),"",MAX(E102,IF(ISNUMBER(I102),I102,0),IFERROR(IF(ISNUMBER(INDEX('iCoA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197-18-M-26</t>
        </is>
      </c>
      <c r="H102" s="2">
        <f>IFERROR(INDEX('iCoA Register'!$B:$B,MATCH("P050062|R",'iCoA Register'!$AA:$AA,0)),"—")</f>
        <v/>
      </c>
      <c r="I102" s="5">
        <f>IFERROR(INDEX('iCoA Register'!$D:$D,MATCH("P050062|R",'iCoA Register'!$AA:$AA,0)),"")</f>
        <v/>
      </c>
      <c r="J102" s="2" t="inlineStr">
        <is>
          <t>legacy</t>
        </is>
      </c>
      <c r="K102" s="2" t="inlineStr">
        <is>
          <t>retest — Tranche 1 (sampled 21–24.07.2026)</t>
        </is>
      </c>
      <c r="L102" s="3" t="inlineStr">
        <is>
          <t>OPM1024_02</t>
        </is>
      </c>
      <c r="M102" s="2" t="inlineStr">
        <is>
          <t>P050062</t>
        </is>
      </c>
      <c r="N102" s="2" t="inlineStr">
        <is>
          <t>Orange Punch Mimosa</t>
        </is>
      </c>
      <c r="O102" s="2" t="inlineStr">
        <is>
          <t>197-18-K-26, (07.08.2026) [FHM-K]</t>
        </is>
      </c>
      <c r="P102" s="6" t="inlineStr">
        <is>
          <t>—</t>
        </is>
      </c>
      <c r="Q102" s="2" t="inlineStr">
        <is>
          <t>—</t>
        </is>
      </c>
      <c r="R102" s="2" t="inlineStr">
        <is>
          <t>CoQ-PP-2026-0035</t>
        </is>
      </c>
      <c r="S102" s="2" t="inlineStr">
        <is>
          <t>P050062|R</t>
        </is>
      </c>
      <c r="T102" s="7" t="inlineStr">
        <is>
          <t>registered — retest, Tranche 1 (sampled 21–24.07.2026), sampled 24.07.2026; issued 17.08.2026, 7 days after 197-18-M-26 of 10.08.2026; cites iCoA-PP_26-105 of 27.07.2026</t>
        </is>
      </c>
      <c r="U102" s="2">
        <f>IFERROR(INDEX('CoQ Register'!$B:$B,MATCH("P050062|I",'CoQ Register'!$S:$S,0)),"— initial certificate not on the register —")</f>
        <v/>
      </c>
      <c r="V102" s="10" t="n">
        <v>18.04</v>
      </c>
      <c r="W102" s="2" t="inlineStr">
        <is>
          <t>197-18-К/26</t>
        </is>
      </c>
      <c r="X102" s="2" t="inlineStr">
        <is>
          <t>17.00 ± 1.60 (II)</t>
        </is>
      </c>
      <c r="Y102" s="2" t="inlineStr">
        <is>
          <t>15.40 – 18.59 %</t>
        </is>
      </c>
      <c r="Z102" s="2" t="inlineStr">
        <is>
          <t>OPM_THC17 : CBD1</t>
        </is>
      </c>
      <c r="AA102" s="2" t="inlineStr">
        <is>
          <t>QCSP_001_OPM-II_v.01</t>
        </is>
      </c>
      <c r="AB102" s="8" t="inlineStr">
        <is>
          <t>for review — replaces the issued QCSP_001_OPM-II_v.01 (was OPM_THC18 : CBD1, 16.20 – 19.80 %); now OPM_THC17 : CBD1 15.40 – 18.59 %</t>
        </is>
      </c>
      <c r="AC102" s="11" t="inlineStr"/>
    </row>
    <row r="103">
      <c r="A103" s="2">
        <f>IF(OR(C103="yes",C103="allocated",C103="ruled"),COUNT(A$1:A102)+1,"")</f>
        <v/>
      </c>
      <c r="B103" s="3">
        <f>IF(A103&lt;&gt;"","CoQ-PP_26-"&amp;TEXT(A103,"000"),"— at issue —")</f>
        <v/>
      </c>
      <c r="C103" s="4" t="inlineStr">
        <is>
          <t>yes</t>
        </is>
      </c>
      <c r="D103" s="5">
        <f>IF(OR(A103="",C103="allocated",C103="ruled"),"",MAX(E103,IF(ISNUMBER(I103),I103,0),IFERROR(IF(ISNUMBER(INDEX('iCoA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197-19-M-26</t>
        </is>
      </c>
      <c r="H103" s="2">
        <f>IFERROR(INDEX('iCoA Register'!$B:$B,MATCH("P060242|R",'iCoA Register'!$AA:$AA,0)),"—")</f>
        <v/>
      </c>
      <c r="I103" s="5">
        <f>IFERROR(INDEX('iCoA Register'!$D:$D,MATCH("P060242|R",'iCoA Register'!$AA:$AA,0)),"")</f>
        <v/>
      </c>
      <c r="J103" s="2" t="inlineStr">
        <is>
          <t>legacy</t>
        </is>
      </c>
      <c r="K103" s="2" t="inlineStr">
        <is>
          <t>retest — Tranche 1 (sampled 21–24.07.2026)</t>
        </is>
      </c>
      <c r="L103" s="3" t="inlineStr">
        <is>
          <t>OPM122501</t>
        </is>
      </c>
      <c r="M103" s="2" t="inlineStr">
        <is>
          <t>P060242</t>
        </is>
      </c>
      <c r="N103" s="2" t="inlineStr">
        <is>
          <t>Orange Punch Mimosa</t>
        </is>
      </c>
      <c r="O103" s="2" t="inlineStr">
        <is>
          <t>197-19-K-26, (07.08.2026) [FHM-K]</t>
        </is>
      </c>
      <c r="P103" s="6" t="inlineStr">
        <is>
          <t>—</t>
        </is>
      </c>
      <c r="Q103" s="2" t="inlineStr">
        <is>
          <t>—</t>
        </is>
      </c>
      <c r="R103" s="2" t="inlineStr">
        <is>
          <t>CoQ reissue (assigned on issue)</t>
        </is>
      </c>
      <c r="S103" s="2" t="inlineStr">
        <is>
          <t>P060242|R</t>
        </is>
      </c>
      <c r="T103" s="7" t="inlineStr">
        <is>
          <t>registered — retest, Tranche 1 (sampled 21–24.07.2026), sampled 24.07.2026; issued 17.08.2026, 7 days after 197-19-M-26 of 10.08.2026; cites iCoA-PP_26-106 of 27.07.2026</t>
        </is>
      </c>
      <c r="U103" s="2">
        <f>IFERROR(INDEX('CoQ Register'!$B:$B,MATCH("P060242|I",'CoQ Register'!$S:$S,0)),"— initial certificate not on the register —")</f>
        <v/>
      </c>
      <c r="V103" s="10" t="n">
        <v>7.91</v>
      </c>
      <c r="W103" s="2" t="inlineStr">
        <is>
          <t>197-19-К/26</t>
        </is>
      </c>
      <c r="X103" s="2" t="inlineStr">
        <is>
          <t>8.00 ± 0.80 (V)</t>
        </is>
      </c>
      <c r="Y103" s="2" t="inlineStr">
        <is>
          <t>7.20 – 8.79 %</t>
        </is>
      </c>
      <c r="Z103" s="2" t="inlineStr">
        <is>
          <t>OPM_THC8 : CBD1</t>
        </is>
      </c>
      <c r="AA103" s="2" t="inlineStr">
        <is>
          <t>QCSP_001_OPM-V_v.01</t>
        </is>
      </c>
      <c r="AB103" s="8" t="inlineStr">
        <is>
          <t>for review — replaces the issued QCSP_001_OPM-V_v.01 (was OPM_THC8 : CBD1, 7.20 – 8.80 %); now OPM_THC8 : CBD1 7.20 – 8.79 %</t>
        </is>
      </c>
      <c r="AC103" s="11" t="inlineStr"/>
    </row>
    <row r="104">
      <c r="A104" s="2">
        <f>IF(OR(C104="yes",C104="allocated",C104="ruled"),COUNT(A$1:A103)+1,"")</f>
        <v/>
      </c>
      <c r="B104" s="3">
        <f>IF(A104&lt;&gt;"","CoQ-PP_26-"&amp;TEXT(A104,"000"),"— at issue —")</f>
        <v/>
      </c>
      <c r="C104" s="4" t="inlineStr">
        <is>
          <t>yes</t>
        </is>
      </c>
      <c r="D104" s="5">
        <f>IF(OR(A104="",C104="allocated",C104="ruled"),"",MAX(E104,IF(ISNUMBER(I104),I104,0),IFERROR(IF(ISNUMBER(INDEX('iCoA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197-20-M-26</t>
        </is>
      </c>
      <c r="H104" s="2">
        <f>IFERROR(INDEX('iCoA Register'!$B:$B,MATCH("P060062|R",'iCoA Register'!$AA:$AA,0)),"—")</f>
        <v/>
      </c>
      <c r="I104" s="5">
        <f>IFERROR(INDEX('iCoA Register'!$D:$D,MATCH("P060062|R",'iCoA Register'!$AA:$AA,0)),"")</f>
        <v/>
      </c>
      <c r="J104" s="2" t="inlineStr">
        <is>
          <t>legacy</t>
        </is>
      </c>
      <c r="K104" s="2" t="inlineStr">
        <is>
          <t>retest — Tranche 1 (sampled 21–24.07.2026)</t>
        </is>
      </c>
      <c r="L104" s="3" t="inlineStr">
        <is>
          <t>PM092501</t>
        </is>
      </c>
      <c r="M104" s="2" t="inlineStr">
        <is>
          <t>P060062</t>
        </is>
      </c>
      <c r="N104" s="2" t="inlineStr">
        <is>
          <t>Permanent Marker</t>
        </is>
      </c>
      <c r="O104" s="2" t="inlineStr">
        <is>
          <t>197-20-K-26, (07.08.2026) [FHM-K]</t>
        </is>
      </c>
      <c r="P104" s="6" t="inlineStr">
        <is>
          <t>—</t>
        </is>
      </c>
      <c r="Q104" s="2" t="inlineStr">
        <is>
          <t>—</t>
        </is>
      </c>
      <c r="R104" s="2" t="inlineStr">
        <is>
          <t>CoQ reissue (assigned on issue)</t>
        </is>
      </c>
      <c r="S104" s="2" t="inlineStr">
        <is>
          <t>P060062|R</t>
        </is>
      </c>
      <c r="T104" s="7" t="inlineStr">
        <is>
          <t>registered — retest, Tranche 1 (sampled 21–24.07.2026), sampled 24.07.2026; issued 17.08.2026, 7 days after 197-20-M-26 of 10.08.2026; cites iCoA-PP_26-108 of 27.07.2026</t>
        </is>
      </c>
      <c r="U104" s="2">
        <f>IFERROR(INDEX('CoQ Register'!$B:$B,MATCH("P060062|I",'CoQ Register'!$S:$S,0)),"— initial certificate not on the register —")</f>
        <v/>
      </c>
      <c r="V104" s="10" t="n">
        <v>12.25</v>
      </c>
      <c r="W104" s="2" t="inlineStr">
        <is>
          <t>197-20-К/26</t>
        </is>
      </c>
      <c r="X104" s="2" t="inlineStr">
        <is>
          <t>12.00 ± 1.00 (II)</t>
        </is>
      </c>
      <c r="Y104" s="2" t="inlineStr">
        <is>
          <t>11.00 – 12.99 %</t>
        </is>
      </c>
      <c r="Z104" s="2" t="inlineStr">
        <is>
          <t>PM_THC12 : CBD1</t>
        </is>
      </c>
      <c r="AA104" s="2" t="inlineStr">
        <is>
          <t>QCSP_001_PM-II_v.01</t>
        </is>
      </c>
      <c r="AB104" s="8" t="inlineStr">
        <is>
          <t>for review — replaces the issued QCSP_001_PM-II_v.01 (was PM_THC10 : CBD1, 9.00 – 11.00 %); now PM_THC12 : CBD1 11.00 – 12.99 %</t>
        </is>
      </c>
      <c r="AC104" s="11" t="inlineStr"/>
    </row>
    <row r="105">
      <c r="A105" s="2">
        <f>IF(OR(C105="yes",C105="allocated",C105="ruled"),COUNT(A$1:A104)+1,"")</f>
        <v/>
      </c>
      <c r="B105" s="3">
        <f>IF(A105&lt;&gt;"","CoQ-PP_26-"&amp;TEXT(A105,"000"),"— at issue —")</f>
        <v/>
      </c>
      <c r="C105" s="4" t="inlineStr">
        <is>
          <t>yes</t>
        </is>
      </c>
      <c r="D105" s="5">
        <f>IF(OR(A105="",C105="allocated",C105="ruled"),"",MAX(E105,IF(ISNUMBER(I105),I105,0),IFERROR(IF(ISNUMBER(INDEX('iCoA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197-21-M-26</t>
        </is>
      </c>
      <c r="H105" s="2">
        <f>IFERROR(INDEX('iCoA Register'!$B:$B,MATCH("P060382|R",'iCoA Register'!$AA:$AA,0)),"—")</f>
        <v/>
      </c>
      <c r="I105" s="5">
        <f>IFERROR(INDEX('iCoA Register'!$D:$D,MATCH("P060382|R",'iCoA Register'!$AA:$AA,0)),"")</f>
        <v/>
      </c>
      <c r="J105" s="2" t="inlineStr">
        <is>
          <t>post-SOP</t>
        </is>
      </c>
      <c r="K105" s="2" t="inlineStr">
        <is>
          <t>retest — Tranche 1 (sampled 21–24.07.2026)</t>
        </is>
      </c>
      <c r="L105" s="3" t="inlineStr">
        <is>
          <t>SCR012603</t>
        </is>
      </c>
      <c r="M105" s="2" t="inlineStr">
        <is>
          <t>P060382</t>
        </is>
      </c>
      <c r="N105" s="2" t="inlineStr">
        <is>
          <t>Scrambler</t>
        </is>
      </c>
      <c r="O105" s="2" t="inlineStr">
        <is>
          <t>197-21-K-26, (07.08.2026) [FHM-K]</t>
        </is>
      </c>
      <c r="P105" s="6" t="inlineStr">
        <is>
          <t>—</t>
        </is>
      </c>
      <c r="Q105" s="2" t="inlineStr">
        <is>
          <t>—</t>
        </is>
      </c>
      <c r="R105" s="2" t="inlineStr">
        <is>
          <t>CoQ reissue (assigned on issue)</t>
        </is>
      </c>
      <c r="S105" s="2" t="inlineStr">
        <is>
          <t>P060382|R</t>
        </is>
      </c>
      <c r="T105" s="7" t="inlineStr">
        <is>
          <t>registered — retest, Tranche 1 (sampled 21–24.07.2026), sampled 24.07.2026; issued 17.08.2026, 7 days after 197-21-M-26 of 10.08.2026; cites iCoA-PP_26-107 of 27.07.2026</t>
        </is>
      </c>
      <c r="U105" s="2">
        <f>IFERROR(INDEX('CoQ Register'!$B:$B,MATCH("P060382|I",'CoQ Register'!$S:$S,0)),"— initial certificate not on the register —")</f>
        <v/>
      </c>
      <c r="V105" s="10" t="n">
        <v>17.84</v>
      </c>
      <c r="W105" s="2" t="inlineStr">
        <is>
          <t>197-21-К/26</t>
        </is>
      </c>
      <c r="X105" s="2" t="inlineStr">
        <is>
          <t>18.00 ± 1.80 (II)</t>
        </is>
      </c>
      <c r="Y105" s="2" t="inlineStr">
        <is>
          <t>16.20 – 19.79 %</t>
        </is>
      </c>
      <c r="Z105" s="2" t="inlineStr">
        <is>
          <t>SCR_THC18 : CBD1</t>
        </is>
      </c>
      <c r="AA105" s="2" t="inlineStr">
        <is>
          <t>QCSP_001_SCR-II_v.01</t>
        </is>
      </c>
      <c r="AB105" s="8" t="inlineStr">
        <is>
          <t>for review — replaces the issued QCSP_001_SCR-II_v.01 (was SCR_THC18 : CBD1, 16.20 – 19.80 %); now SCR_THC18 : CBD1 16.20 – 19.79 %</t>
        </is>
      </c>
      <c r="AC105" s="11" t="inlineStr"/>
    </row>
    <row r="106">
      <c r="A106" s="2">
        <f>IF(OR(C106="yes",C106="allocated",C106="ruled"),COUNT(A$1:A105)+1,"")</f>
        <v/>
      </c>
      <c r="B106" s="3">
        <f>IF(A106&lt;&gt;"","CoQ-PP_26-"&amp;TEXT(A106,"000"),"— at issue —")</f>
        <v/>
      </c>
      <c r="C106" s="4" t="inlineStr">
        <is>
          <t>yes</t>
        </is>
      </c>
      <c r="D106" s="5">
        <f>IF(OR(A106="",C106="allocated",C106="ruled"),"",MAX(E106,IF(ISNUMBER(I106),I106,0),IFERROR(IF(ISNUMBER(INDEX('iCoA Register'!$F:$F,MATCH(S106,'iCoA Register'!$AA:$AA,0))),INDEX('iCoA Register'!$F:$F,MATCH(S106,'iCoA Register'!$AA:$AA,0)),0),0)))</f>
        <v/>
      </c>
      <c r="E106" s="5">
        <f>IF(ISNUMBER(F106),MAX(DATE(2026,6,6),F106+7),"— awaiting the retest certificates —")</f>
        <v/>
      </c>
      <c r="F106" s="5" t="n">
        <v>46265</v>
      </c>
      <c r="G106" s="2" t="inlineStr">
        <is>
          <t>534-1065-26</t>
        </is>
      </c>
      <c r="H106" s="2">
        <f>IFERROR(INDEX('iCoA Register'!$B:$B,MATCH("P050212|R2",'iCoA Register'!$AA:$AA,0)),"—")</f>
        <v/>
      </c>
      <c r="I106" s="5">
        <f>IFERROR(INDEX('iCoA Register'!$D:$D,MATCH("P050212|R2",'iCoA Register'!$AA:$AA,0)),"")</f>
        <v/>
      </c>
      <c r="J106" s="2" t="inlineStr">
        <is>
          <t>legacy</t>
        </is>
      </c>
      <c r="K106" s="2" t="inlineStr">
        <is>
          <t>retest — Tranche 1 (sampled 21–24.07.2026)</t>
        </is>
      </c>
      <c r="L106" s="3" t="inlineStr">
        <is>
          <t>CJ062501/2</t>
        </is>
      </c>
      <c r="M106" s="2" t="inlineStr">
        <is>
          <t>P050212</t>
        </is>
      </c>
      <c r="N106" s="2" t="inlineStr">
        <is>
          <t>Cap Junky</t>
        </is>
      </c>
      <c r="O106" s="2" t="inlineStr">
        <is>
          <t>197-4-K-26, (07.08.2026) [FHM-K]</t>
        </is>
      </c>
      <c r="P106" s="6" t="inlineStr">
        <is>
          <t>—</t>
        </is>
      </c>
      <c r="Q106" s="2" t="inlineStr">
        <is>
          <t>—</t>
        </is>
      </c>
      <c r="R106" s="2" t="inlineStr">
        <is>
          <t>CoQ reissue (assigned on issue)</t>
        </is>
      </c>
      <c r="S106" s="2" t="inlineStr">
        <is>
          <t>P050212|R2</t>
        </is>
      </c>
      <c r="T106" s="7" t="inlineStr">
        <is>
          <t>registered — retest, Tranche 1 (sampled 21–24.07.2026), sampled 21.07.2026; issued 07.09.2026, 7 days after 534-1065-26 of 31.08.2026; cites the campaign iCoA of 27.07.2026</t>
        </is>
      </c>
      <c r="U106" s="2">
        <f>IFERROR(INDEX('CoQ Register'!$B:$B,MATCH("P050212|I",'CoQ Register'!$S:$S,0)),"— initial certificate not on the register —")</f>
        <v/>
      </c>
      <c r="V106" s="10" t="n">
        <v>18.91</v>
      </c>
      <c r="W106" s="2" t="inlineStr">
        <is>
          <t>197-4-К/26</t>
        </is>
      </c>
      <c r="X106" s="2" t="inlineStr">
        <is>
          <t>20.00 ± 1.60 (III)</t>
        </is>
      </c>
      <c r="Y106" s="2" t="inlineStr">
        <is>
          <t>18.40 – 21.59 %</t>
        </is>
      </c>
      <c r="Z106" s="2" t="inlineStr">
        <is>
          <t>CJ_THC20 : CBD1</t>
        </is>
      </c>
      <c r="AA106" s="2" t="inlineStr">
        <is>
          <t>QCSP_001_CJ-III_v.01</t>
        </is>
      </c>
      <c r="AB106" s="8" t="inlineStr">
        <is>
          <t>for review — replaces the issued QCSP_001_CJ-III_v.01 (was CJ_THC24 : CBD1, 23.00 – 25.00 %); now CJ_THC20 : CBD1 18.40 – 21.59 %</t>
        </is>
      </c>
      <c r="AC106" s="11" t="inlineStr"/>
    </row>
    <row r="107">
      <c r="A107" s="2">
        <f>IF(OR(C107="yes",C107="allocated",C107="ruled"),COUNT(A$1:A106)+1,"")</f>
        <v/>
      </c>
      <c r="B107" s="3">
        <f>IF(A107&lt;&gt;"","CoQ-PP_26-"&amp;TEXT(A107,"000"),"— at issue —")</f>
        <v/>
      </c>
      <c r="C107" s="4" t="inlineStr">
        <is>
          <t>yes</t>
        </is>
      </c>
      <c r="D107" s="5">
        <f>IF(OR(A107="",C107="allocated",C107="ruled"),"",MAX(E107,IF(ISNUMBER(I107),I107,0),IFERROR(IF(ISNUMBER(INDEX('iCoA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iCoA-PP_26-111 of 17.08.2026</t>
        </is>
      </c>
      <c r="U107" s="2">
        <f>IFERROR(INDEX('CoQ Register'!$B:$B,MATCH("P060122|I",'CoQ Register'!$S:$S,0)),"— initial certificate not on the register —")</f>
        <v/>
      </c>
      <c r="V107" s="10" t="n">
        <v>12.09</v>
      </c>
      <c r="W107" s="2" t="inlineStr">
        <is>
          <t>220-1-К/26</t>
        </is>
      </c>
      <c r="X107" s="2" t="inlineStr">
        <is>
          <t>12.00 ± 1.20 (I)</t>
        </is>
      </c>
      <c r="Y107" s="2" t="inlineStr">
        <is>
          <t>10.80 – 13.19 %</t>
        </is>
      </c>
      <c r="Z107" s="2" t="inlineStr">
        <is>
          <t>ACC_THC12 : CBD1</t>
        </is>
      </c>
      <c r="AA107" s="2" t="inlineStr">
        <is>
          <t>QCSP_001_ACC-I_v.01</t>
        </is>
      </c>
      <c r="AB107" s="8" t="inlineStr">
        <is>
          <t>for review — replaces the issued QCSP_001_ACC-I_v.01 (was ACC_THC12 : CBD1, 10.80 – 13.20 %); now ACC_THC12 : CBD1 10.80 – 13.19 %</t>
        </is>
      </c>
      <c r="AC107" s="11" t="inlineStr"/>
    </row>
    <row r="108">
      <c r="A108" s="2">
        <f>IF(OR(C108="yes",C108="allocated",C108="ruled"),COUNT(A$1:A107)+1,"")</f>
        <v/>
      </c>
      <c r="B108" s="3">
        <f>IF(A108&lt;&gt;"","CoQ-PP_26-"&amp;TEXT(A108,"000"),"— at issue —")</f>
        <v/>
      </c>
      <c r="C108" s="4" t="inlineStr">
        <is>
          <t>yes</t>
        </is>
      </c>
      <c r="D108" s="5">
        <f>IF(OR(A108="",C108="allocated",C108="ruled"),"",MAX(E108,IF(ISNUMBER(I108),I108,0),IFERROR(IF(ISNUMBER(INDEX('iCoA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iCoA-PP_26-112 of 17.08.2026</t>
        </is>
      </c>
      <c r="U108" s="2">
        <f>IFERROR(INDEX('CoQ Register'!$B:$B,MATCH("P050192|I",'CoQ Register'!$S:$S,0)),"— initial certificate not on the register —")</f>
        <v/>
      </c>
      <c r="V108" s="10"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IF(OR(C109="yes",C109="allocated",C109="ruled"),COUNT(A$1:A108)+1,"")</f>
        <v/>
      </c>
      <c r="B109" s="3">
        <f>IF(A109&lt;&gt;"","CoQ-PP_26-"&amp;TEXT(A109,"000"),"— at issue —")</f>
        <v/>
      </c>
      <c r="C109" s="4" t="inlineStr">
        <is>
          <t>yes</t>
        </is>
      </c>
      <c r="D109" s="5">
        <f>IF(OR(A109="",C109="allocated",C109="ruled"),"",MAX(E109,IF(ISNUMBER(I109),I109,0),IFERROR(IF(ISNUMBER(INDEX('iCoA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iCoA-PP_26-133 of 17.08.2026</t>
        </is>
      </c>
      <c r="U109" s="2">
        <f>IFERROR(INDEX('CoQ Register'!$B:$B,MATCH("P060372|I",'CoQ Register'!$S:$S,0)),"— initial certificate not on the register —")</f>
        <v/>
      </c>
      <c r="V109" s="10" t="n">
        <v>14.76</v>
      </c>
      <c r="W109" s="2" t="inlineStr">
        <is>
          <t>220-29-К/26</t>
        </is>
      </c>
      <c r="X109" s="2" t="inlineStr">
        <is>
          <t>14.00 ± 1.35 (II)</t>
        </is>
      </c>
      <c r="Y109" s="2" t="inlineStr">
        <is>
          <t>12.65 – 15.34 %</t>
        </is>
      </c>
      <c r="Z109" s="2" t="inlineStr">
        <is>
          <t>CC_THC14 : CBD1</t>
        </is>
      </c>
      <c r="AA109" s="2" t="inlineStr">
        <is>
          <t>QCSP_001_CC-II_v.01</t>
        </is>
      </c>
      <c r="AB109" s="8" t="inlineStr">
        <is>
          <t>for review — replaces the issued QCSP_001_CC-II_v.01 (was CC_THC14 : CBD1, 12.60 – 15.40 %); now CC_THC14 : CBD1 12.65 – 15.34 %</t>
        </is>
      </c>
      <c r="AC109" s="11" t="inlineStr"/>
    </row>
    <row r="110">
      <c r="A110" s="2">
        <f>IF(OR(C110="yes",C110="allocated",C110="ruled"),COUNT(A$1:A109)+1,"")</f>
        <v/>
      </c>
      <c r="B110" s="3">
        <f>IF(A110&lt;&gt;"","CoQ-PP_26-"&amp;TEXT(A110,"000"),"— at issue —")</f>
        <v/>
      </c>
      <c r="C110" s="4" t="inlineStr">
        <is>
          <t>yes</t>
        </is>
      </c>
      <c r="D110" s="5">
        <f>IF(OR(A110="",C110="allocated",C110="ruled"),"",MAX(E110,IF(ISNUMBER(I110),I110,0),IFERROR(IF(ISNUMBER(INDEX('iCoA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iCoA-PP_26-113 of 17.08.2026</t>
        </is>
      </c>
      <c r="U110" s="2">
        <f>IFERROR(INDEX('CoQ Register'!$B:$B,MATCH("P060132|I",'CoQ Register'!$S:$S,0)),"— initial certificate not on the register —")</f>
        <v/>
      </c>
      <c r="V110" s="10" t="n">
        <v>9.550000000000001</v>
      </c>
      <c r="W110" s="2" t="inlineStr">
        <is>
          <t>220-6-К/26</t>
        </is>
      </c>
      <c r="X110" s="2" t="inlineStr">
        <is>
          <t>10.00 ± 1.00 (I)</t>
        </is>
      </c>
      <c r="Y110" s="2" t="inlineStr">
        <is>
          <t>9.00 – 10.99 %</t>
        </is>
      </c>
      <c r="Z110" s="2" t="inlineStr">
        <is>
          <t>CF_THC10 : CBD1</t>
        </is>
      </c>
      <c r="AA110" s="2" t="inlineStr">
        <is>
          <t>QCSP_001_CF-I_v.01</t>
        </is>
      </c>
      <c r="AB110" s="8" t="inlineStr">
        <is>
          <t>for review — replaces the issued QCSP_001_CF-I_v.01 (was CF_THC10 : CBD1, 9.00 – 11.00 %); now CF_THC10 : CBD1 9.00 – 10.99 %</t>
        </is>
      </c>
      <c r="AC110" s="11" t="inlineStr"/>
    </row>
    <row r="111">
      <c r="A111" s="2">
        <f>IF(OR(C111="yes",C111="allocated",C111="ruled"),COUNT(A$1:A110)+1,"")</f>
        <v/>
      </c>
      <c r="B111" s="3">
        <f>IF(A111&lt;&gt;"","CoQ-PP_26-"&amp;TEXT(A111,"000"),"— at issue —")</f>
        <v/>
      </c>
      <c r="C111" s="4" t="inlineStr">
        <is>
          <t>yes</t>
        </is>
      </c>
      <c r="D111" s="5">
        <f>IF(OR(A111="",C111="allocated",C111="ruled"),"",MAX(E111,IF(ISNUMBER(I111),I111,0),IFERROR(IF(ISNUMBER(INDEX('iCoA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Register'!$B:$B,MATCH("P050222|R2",'iCoA Register'!$AA:$AA,0)),"—")</f>
        <v/>
      </c>
      <c r="I111" s="5">
        <f>IFERROR(INDEX('iCoA Register'!$D:$D,MATCH("P050222|R2",'iCoA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P050222|R2</t>
        </is>
      </c>
      <c r="T111" s="7" t="inlineStr">
        <is>
          <t>registered — retest, Tranche 2 (sampled 12–14.08.2026), sampled 12.08.2026; issued 18.09.2026, 7 days after 220-3-M-26 of 11.09.2026; cites the campaign iCoA of 17.08.2026</t>
        </is>
      </c>
      <c r="U111" s="2">
        <f>IFERROR(INDEX('CoQ Register'!$B:$B,MATCH("P050222|I",'CoQ Register'!$S:$S,0)),"— initial certificate not on the register —")</f>
        <v/>
      </c>
      <c r="V111" s="10" t="n">
        <v>24.8</v>
      </c>
      <c r="W111" s="2" t="inlineStr">
        <is>
          <t>220-3-К/26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IF(OR(C112="yes",C112="allocated",C112="ruled"),COUNT(A$1:A111)+1,"")</f>
        <v/>
      </c>
      <c r="B112" s="3">
        <f>IF(A112&lt;&gt;"","CoQ-PP_26-"&amp;TEXT(A112,"000"),"— at issue —")</f>
        <v/>
      </c>
      <c r="C112" s="4" t="inlineStr">
        <is>
          <t>yes</t>
        </is>
      </c>
      <c r="D112" s="5">
        <f>IF(OR(A112="",C112="allocated",C112="ruled"),"",MAX(E112,IF(ISNUMBER(I112),I112,0),IFERROR(IF(ISNUMBER(INDEX('iCoA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iCoA-PP_26-115 of 17.08.2026</t>
        </is>
      </c>
      <c r="U112" s="2">
        <f>IFERROR(INDEX('CoQ Register'!$B:$B,MATCH("P060022|I",'CoQ Register'!$S:$S,0)),"— initial certificate not on the register —")</f>
        <v/>
      </c>
      <c r="V112" s="10" t="n">
        <v>28.34</v>
      </c>
      <c r="W112" s="2" t="inlineStr">
        <is>
          <t>220-4-К/26</t>
        </is>
      </c>
      <c r="X112" s="2" t="inlineStr">
        <is>
          <t>28.00 ± 1.60 (I)</t>
        </is>
      </c>
      <c r="Y112" s="2" t="inlineStr">
        <is>
          <t>26.40 – 29.59 %</t>
        </is>
      </c>
      <c r="Z112" s="2" t="inlineStr">
        <is>
          <t>CJ_THC28 : CBD1</t>
        </is>
      </c>
      <c r="AA112" s="2" t="inlineStr">
        <is>
          <t>QCSP_001_CJ-I_v.01</t>
        </is>
      </c>
      <c r="AB112" s="8" t="inlineStr">
        <is>
          <t>for review — replaces the issued QCSP_001_CJ-I_v.01 (was CJ_THC28 : CBD1, 27.00 – 29.00 %); now CJ_THC28 : CBD1 26.40 – 29.59 %</t>
        </is>
      </c>
      <c r="AC112" s="11" t="inlineStr"/>
    </row>
    <row r="113">
      <c r="A113" s="2">
        <f>IF(OR(C113="yes",C113="allocated",C113="ruled"),COUNT(A$1:A112)+1,"")</f>
        <v/>
      </c>
      <c r="B113" s="3">
        <f>IF(A113&lt;&gt;"","CoQ-PP_26-"&amp;TEXT(A113,"000"),"— at issue —")</f>
        <v/>
      </c>
      <c r="C113" s="4" t="inlineStr">
        <is>
          <t>yes</t>
        </is>
      </c>
      <c r="D113" s="5">
        <f>IF(OR(A113="",C113="allocated",C113="ruled"),"",MAX(E113,IF(ISNUMBER(I113),I113,0),IFERROR(IF(ISNUMBER(INDEX('iCoA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iCoA-PP_26-116 of 17.08.2026</t>
        </is>
      </c>
      <c r="U113" s="2">
        <f>IFERROR(INDEX('CoQ Register'!$B:$B,MATCH("P060072|I",'CoQ Register'!$S:$S,0)),"— initial certificate not on the register —")</f>
        <v/>
      </c>
      <c r="V113" s="10" t="n">
        <v>25.65</v>
      </c>
      <c r="W113" s="2" t="inlineStr">
        <is>
          <t>220-5-К/26</t>
        </is>
      </c>
      <c r="X113" s="2" t="inlineStr">
        <is>
          <t>24.00 ± 2.40 (II)</t>
        </is>
      </c>
      <c r="Y113" s="2" t="inlineStr">
        <is>
          <t>21.60 – 26.39 %</t>
        </is>
      </c>
      <c r="Z113" s="2" t="inlineStr">
        <is>
          <t>CJ_THC24 : CBD1</t>
        </is>
      </c>
      <c r="AA113" s="2" t="inlineStr">
        <is>
          <t>QCSP_001_CJ-II_v.01</t>
        </is>
      </c>
      <c r="AB113" s="8" t="inlineStr">
        <is>
          <t>for review — replaces the issued QCSP_001_CJ-II_v.01 (was CJ_THC26 : CBD1, 25.01 – 26.99 %); now CJ_THC24 : CBD1 21.60 – 26.39 %</t>
        </is>
      </c>
      <c r="AC113" s="11" t="inlineStr"/>
    </row>
    <row r="114">
      <c r="A114" s="2">
        <f>IF(OR(C114="yes",C114="allocated",C114="ruled"),COUNT(A$1:A113)+1,"")</f>
        <v/>
      </c>
      <c r="B114" s="3">
        <f>IF(A114&lt;&gt;"","CoQ-PP_26-"&amp;TEXT(A114,"000"),"— at issue —")</f>
        <v/>
      </c>
      <c r="C114" s="4" t="inlineStr">
        <is>
          <t>yes</t>
        </is>
      </c>
      <c r="D114" s="5">
        <f>IF(OR(A114="",C114="allocated",C114="ruled"),"",MAX(E114,IF(ISNUMBER(I114),I114,0),IFERROR(IF(ISNUMBER(INDEX('iCoA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iCoA-PP_26-117 of 17.08.2026</t>
        </is>
      </c>
      <c r="U114" s="2">
        <f>IFERROR(INDEX('CoQ Register'!$B:$B,MATCH("P050282|I",'CoQ Register'!$S:$S,0)),"— initial certificate not on the register —")</f>
        <v/>
      </c>
      <c r="V114" s="10" t="n">
        <v>8.65</v>
      </c>
      <c r="W114" s="2" t="inlineStr">
        <is>
          <t>220-7-К/26</t>
        </is>
      </c>
      <c r="X114" s="2" t="inlineStr">
        <is>
          <t>8.00 ± 0.80 (I)</t>
        </is>
      </c>
      <c r="Y114" s="2" t="inlineStr">
        <is>
          <t>7.20 – 8.79 %</t>
        </is>
      </c>
      <c r="Z114" s="2" t="inlineStr">
        <is>
          <t>CLE_THC8 : CBD1</t>
        </is>
      </c>
      <c r="AA114" s="2" t="inlineStr">
        <is>
          <t>QCSP_001_CLE-I_v.01</t>
        </is>
      </c>
      <c r="AB114" s="8" t="inlineStr">
        <is>
          <t>for review — replaces the issued QCSP_001_CLE-I_v.01 (was CLE_THC8 : CBD1, 7.20 – 8.80 %); now CLE_THC8 : CBD1 7.20 – 8.79 %</t>
        </is>
      </c>
      <c r="AC114" s="11" t="inlineStr"/>
    </row>
    <row r="115">
      <c r="A115" s="2">
        <f>IF(OR(C115="yes",C115="allocated",C115="ruled"),COUNT(A$1:A114)+1,"")</f>
        <v/>
      </c>
      <c r="B115" s="3">
        <f>IF(A115&lt;&gt;"","CoQ-PP_26-"&amp;TEXT(A115,"000"),"— at issue —")</f>
        <v/>
      </c>
      <c r="C115" s="4" t="inlineStr">
        <is>
          <t>yes</t>
        </is>
      </c>
      <c r="D115" s="5">
        <f>IF(OR(A115="",C115="allocated",C115="ruled"),"",MAX(E115,IF(ISNUMBER(I115),I115,0),IFERROR(IF(ISNUMBER(INDEX('iCoA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iCoA-PP_26-118 of 17.08.2026</t>
        </is>
      </c>
      <c r="U115" s="2">
        <f>IFERROR(INDEX('CoQ Register'!$B:$B,MATCH("P060322|I",'CoQ Register'!$S:$S,0)),"— initial certificate not on the register —")</f>
        <v/>
      </c>
      <c r="V115" s="10" t="n">
        <v>17.99</v>
      </c>
      <c r="W115" s="2" t="inlineStr">
        <is>
          <t>220-8-К/26</t>
        </is>
      </c>
      <c r="X115" s="2" t="inlineStr">
        <is>
          <t>18.00 ± 1.80 (II)</t>
        </is>
      </c>
      <c r="Y115" s="2" t="inlineStr">
        <is>
          <t>16.20 – 19.79 %</t>
        </is>
      </c>
      <c r="Z115" s="2" t="inlineStr">
        <is>
          <t>FB_THC18 : CBD1</t>
        </is>
      </c>
      <c r="AA115" s="2" t="inlineStr">
        <is>
          <t>QCSP_001_FB-II_v.01</t>
        </is>
      </c>
      <c r="AB115" s="8" t="inlineStr">
        <is>
          <t>for review — replaces the issued QCSP_001_FB-II_v.01 (was FB_THC18 : CBD1, 17.15 – 18.85 %); now FB_THC18 : CBD1 16.20 – 19.79 %</t>
        </is>
      </c>
      <c r="AC115" s="11" t="inlineStr"/>
    </row>
    <row r="116">
      <c r="A116" s="2">
        <f>IF(OR(C116="yes",C116="allocated",C116="ruled"),COUNT(A$1:A115)+1,"")</f>
        <v/>
      </c>
      <c r="B116" s="3">
        <f>IF(A116&lt;&gt;"","CoQ-PP_26-"&amp;TEXT(A116,"000"),"— at issue —")</f>
        <v/>
      </c>
      <c r="C116" s="4" t="inlineStr">
        <is>
          <t>yes</t>
        </is>
      </c>
      <c r="D116" s="5">
        <f>IF(OR(A116="",C116="allocated",C116="ruled"),"",MAX(E116,IF(ISNUMBER(I116),I116,0),IFERROR(IF(ISNUMBER(INDEX('iCoA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iCoA-PP_26-119 of 17.08.2026</t>
        </is>
      </c>
      <c r="U116" s="2">
        <f>IFERROR(INDEX('CoQ Register'!$B:$B,MATCH("GG1024|I",'CoQ Register'!$S:$S,0)),"— initial certificate not on the register —")</f>
        <v/>
      </c>
      <c r="V116" s="10" t="n">
        <v>15.51</v>
      </c>
      <c r="W116" s="2" t="inlineStr">
        <is>
          <t>220-9-К/26</t>
        </is>
      </c>
      <c r="X116" s="2" t="inlineStr">
        <is>
          <t>15.00 ± 1.23 (II)</t>
        </is>
      </c>
      <c r="Y116" s="2" t="inlineStr">
        <is>
          <t>13.77 – 16.22 %</t>
        </is>
      </c>
      <c r="Z116" s="2" t="inlineStr">
        <is>
          <t>GG_THC15 : CBD1</t>
        </is>
      </c>
      <c r="AA116" s="2" t="inlineStr">
        <is>
          <t>QCSP_001_GG-II_v.01</t>
        </is>
      </c>
      <c r="AB116" s="8" t="inlineStr">
        <is>
          <t>for review — replaces the issued QCSP_001_GG-II_v.01 (was GG_THC16 : CBD1, 15.00 – 17.00 %); now GG_THC15 : CBD1 13.77 – 16.22 %</t>
        </is>
      </c>
      <c r="AC116" s="11" t="inlineStr"/>
    </row>
    <row r="117">
      <c r="A117" s="2">
        <f>IF(OR(C117="yes",C117="allocated",C117="ruled"),COUNT(A$1:A116)+1,"")</f>
        <v/>
      </c>
      <c r="B117" s="3">
        <f>IF(A117&lt;&gt;"","CoQ-PP_26-"&amp;TEXT(A117,"000"),"— at issue —")</f>
        <v/>
      </c>
      <c r="C117" s="4" t="inlineStr">
        <is>
          <t>yes</t>
        </is>
      </c>
      <c r="D117" s="5">
        <f>IF(OR(A117="",C117="allocated",C117="ruled"),"",MAX(E117,IF(ISNUMBER(I117),I117,0),IFERROR(IF(ISNUMBER(INDEX('iCoA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iCoA-PP_26-120 of 17.08.2026</t>
        </is>
      </c>
      <c r="U117" s="2">
        <f>IFERROR(INDEX('CoQ Register'!$B:$B,MATCH("P050302|I",'CoQ Register'!$S:$S,0)),"— initial certificate not on the register —")</f>
        <v/>
      </c>
      <c r="V117" s="10" t="n">
        <v>18.29</v>
      </c>
      <c r="W117" s="2" t="inlineStr">
        <is>
          <t>220-10-К/26</t>
        </is>
      </c>
      <c r="X117" s="2" t="inlineStr">
        <is>
          <t>20.00 ± 2.00 (III)</t>
        </is>
      </c>
      <c r="Y117" s="2" t="inlineStr">
        <is>
          <t>18.00 – 21.99 %</t>
        </is>
      </c>
      <c r="Z117" s="2" t="inlineStr">
        <is>
          <t>GP_THC20 : CBD1</t>
        </is>
      </c>
      <c r="AA117" s="2" t="inlineStr">
        <is>
          <t>QCSP_001_GP-III_v.01</t>
        </is>
      </c>
      <c r="AB117" s="8" t="inlineStr">
        <is>
          <t>for review — replaces the issued QCSP_001_GP-III_v.01 (was GP_THC24 : CBD1, 22.61 – 25.39 %); now GP_THC20 : CBD1 18.00 – 21.99 %</t>
        </is>
      </c>
      <c r="AC117" s="11" t="inlineStr"/>
    </row>
    <row r="118">
      <c r="A118" s="2">
        <f>IF(OR(C118="yes",C118="allocated",C118="ruled"),COUNT(A$1:A117)+1,"")</f>
        <v/>
      </c>
      <c r="B118" s="3">
        <f>IF(A118&lt;&gt;"","CoQ-PP_26-"&amp;TEXT(A118,"000"),"— at issue —")</f>
        <v/>
      </c>
      <c r="C118" s="4" t="inlineStr">
        <is>
          <t>yes</t>
        </is>
      </c>
      <c r="D118" s="5">
        <f>IF(OR(A118="",C118="allocated",C118="ruled"),"",MAX(E118,IF(ISNUMBER(I118),I118,0),IFERROR(IF(ISNUMBER(INDEX('iCoA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10" t="n">
        <v>28.3</v>
      </c>
      <c r="W118" s="2" t="inlineStr">
        <is>
          <t>220-11-К/26</t>
        </is>
      </c>
      <c r="X118" s="2" t="inlineStr">
        <is>
          <t>28.00 ± 2.00 (I)</t>
        </is>
      </c>
      <c r="Y118" s="2" t="inlineStr">
        <is>
          <t>26.00 – 29.99 %</t>
        </is>
      </c>
      <c r="Z118" s="2" t="inlineStr">
        <is>
          <t>GP_THC28 : CBD1</t>
        </is>
      </c>
      <c r="AA118" s="2" t="inlineStr">
        <is>
          <t>QCSP_001_GP-I_v.01</t>
        </is>
      </c>
      <c r="AB118" s="8" t="inlineStr">
        <is>
          <t>for review — replaces the issued QCSP_001_GP-I_v.01 (was GP_THC28 : CBD1, 26.61 – 29.39 %); now GP_THC28 : CBD1 26.00 – 29.99 %</t>
        </is>
      </c>
      <c r="AC118" s="11" t="inlineStr"/>
    </row>
    <row r="119">
      <c r="A119" s="2">
        <f>IF(OR(C119="yes",C119="allocated",C119="ruled"),COUNT(A$1:A118)+1,"")</f>
        <v/>
      </c>
      <c r="B119" s="3">
        <f>IF(A119&lt;&gt;"","CoQ-PP_26-"&amp;TEXT(A119,"000"),"— at issue —")</f>
        <v/>
      </c>
      <c r="C119" s="4" t="inlineStr">
        <is>
          <t>yes</t>
        </is>
      </c>
      <c r="D119" s="5">
        <f>IF(OR(A119="",C119="allocated",C119="ruled"),"",MAX(E119,IF(ISNUMBER(I119),I119,0),IFERROR(IF(ISNUMBER(INDEX('iCoA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iCoA-PP_26-122 of 17.08.2026</t>
        </is>
      </c>
      <c r="U119" s="2">
        <f>IFERROR(INDEX('CoQ Register'!$B:$B,MATCH("P050312|I",'CoQ Register'!$S:$S,0)),"— initial certificate not on the register —")</f>
        <v/>
      </c>
      <c r="V119" s="10" t="n">
        <v>25.13</v>
      </c>
      <c r="W119" s="2" t="inlineStr">
        <is>
          <t>220-12-К/26</t>
        </is>
      </c>
      <c r="X119" s="2" t="inlineStr">
        <is>
          <t>24.00 ± 2.00 (II)</t>
        </is>
      </c>
      <c r="Y119" s="2" t="inlineStr">
        <is>
          <t>22.00 – 25.99 %</t>
        </is>
      </c>
      <c r="Z119" s="2" t="inlineStr">
        <is>
          <t>GP_THC24 : CBD1</t>
        </is>
      </c>
      <c r="AA119" s="2" t="inlineStr">
        <is>
          <t>QCSP_001_GP-II_v.01</t>
        </is>
      </c>
      <c r="AB119" s="8" t="inlineStr">
        <is>
          <t>for review — replaces the issued QCSP_001_GP-II_v.01 (was GP_THC26 : CBD1, 25.40 – 26.60 %); now GP_THC24 : CBD1 22.00 – 25.99 %</t>
        </is>
      </c>
      <c r="AC119" s="11" t="inlineStr"/>
    </row>
    <row r="120">
      <c r="A120" s="2">
        <f>IF(OR(C120="yes",C120="allocated",C120="ruled"),COUNT(A$1:A119)+1,"")</f>
        <v/>
      </c>
      <c r="B120" s="3">
        <f>IF(A120&lt;&gt;"","CoQ-PP_26-"&amp;TEXT(A120,"000"),"— at issue —")</f>
        <v/>
      </c>
      <c r="C120" s="4" t="inlineStr">
        <is>
          <t>yes</t>
        </is>
      </c>
      <c r="D120" s="5">
        <f>IF(OR(A120="",C120="allocated",C120="ruled"),"",MAX(E120,IF(ISNUMBER(I120),I120,0),IFERROR(IF(ISNUMBER(INDEX('iCoA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iCoA-PP_26-123 of 17.08.2026</t>
        </is>
      </c>
      <c r="U120" s="2">
        <f>IFERROR(INDEX('CoQ Register'!$B:$B,MATCH("P060092|I",'CoQ Register'!$S:$S,0)),"— initial certificate not on the register —")</f>
        <v/>
      </c>
      <c r="V120" s="10" t="n">
        <v>25.24</v>
      </c>
      <c r="W120" s="2" t="inlineStr">
        <is>
          <t>220-13-К/26</t>
        </is>
      </c>
      <c r="X120" s="2" t="inlineStr">
        <is>
          <t>24.00 ± 2.00 (II)</t>
        </is>
      </c>
      <c r="Y120" s="2" t="inlineStr">
        <is>
          <t>22.00 – 25.99 %</t>
        </is>
      </c>
      <c r="Z120" s="2" t="inlineStr">
        <is>
          <t>GP_THC24 : CBD1</t>
        </is>
      </c>
      <c r="AA120" s="2" t="inlineStr">
        <is>
          <t>QCSP_001_GP-II_v.01</t>
        </is>
      </c>
      <c r="AB120" s="8" t="inlineStr">
        <is>
          <t>for review — replaces the issued QCSP_001_GP-II_v.01 (was GP_THC26 : CBD1, 25.40 – 26.60 %); now GP_THC24 : CBD1 22.00 – 25.99 %</t>
        </is>
      </c>
      <c r="AC120" s="11" t="inlineStr"/>
    </row>
    <row r="121">
      <c r="A121" s="2">
        <f>IF(OR(C121="yes",C121="allocated",C121="ruled"),COUNT(A$1:A120)+1,"")</f>
        <v/>
      </c>
      <c r="B121" s="3">
        <f>IF(A121&lt;&gt;"","CoQ-PP_26-"&amp;TEXT(A121,"000"),"— at issue —")</f>
        <v/>
      </c>
      <c r="C121" s="4" t="inlineStr">
        <is>
          <t>yes</t>
        </is>
      </c>
      <c r="D121" s="5">
        <f>IF(OR(A121="",C121="allocated",C121="ruled"),"",MAX(E121,IF(ISNUMBER(I121),I121,0),IFERROR(IF(ISNUMBER(INDEX('iCoA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Grapes And Cream</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10"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IF(OR(C122="yes",C122="allocated",C122="ruled"),COUNT(A$1:A121)+1,"")</f>
        <v/>
      </c>
      <c r="B122" s="3">
        <f>IF(A122&lt;&gt;"","CoQ-PP_26-"&amp;TEXT(A122,"000"),"— at issue —")</f>
        <v/>
      </c>
      <c r="C122" s="4" t="inlineStr">
        <is>
          <t>yes</t>
        </is>
      </c>
      <c r="D122" s="5">
        <f>IF(OR(A122="",C122="allocated",C122="ruled"),"",MAX(E122,IF(ISNUMBER(I122),I122,0),IFERROR(IF(ISNUMBER(INDEX('iCoA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iCoA-PP_26-125 of 17.08.2026</t>
        </is>
      </c>
      <c r="U122" s="2">
        <f>IFERROR(INDEX('CoQ Register'!$B:$B,MATCH("P050182|I",'CoQ Register'!$S:$S,0)),"— initial certificate not on the register —")</f>
        <v/>
      </c>
      <c r="V122" s="10" t="n">
        <v>19.69</v>
      </c>
      <c r="W122" s="2" t="inlineStr">
        <is>
          <t>220-15-К/26</t>
        </is>
      </c>
      <c r="X122" s="2" t="inlineStr">
        <is>
          <t>18.00 ± 1.80 (II)</t>
        </is>
      </c>
      <c r="Y122" s="2" t="inlineStr">
        <is>
          <t>16.20 – 19.79 %</t>
        </is>
      </c>
      <c r="Z122" s="2" t="inlineStr">
        <is>
          <t>HPA_THC18 : CBD1</t>
        </is>
      </c>
      <c r="AA122" s="2" t="inlineStr">
        <is>
          <t>QCSP_001_HPA-II_v.01</t>
        </is>
      </c>
      <c r="AB122" s="8" t="inlineStr">
        <is>
          <t>for review — replaces the issued QCSP_001_HPA-II_v.01 (was HPA_THC20 : CBD1, 19.01 – 20.99 %); now HPA_THC18 : CBD1 16.20 – 19.79 %</t>
        </is>
      </c>
      <c r="AC122" s="11" t="inlineStr"/>
    </row>
    <row r="123">
      <c r="A123" s="2">
        <f>IF(OR(C123="yes",C123="allocated",C123="ruled"),COUNT(A$1:A122)+1,"")</f>
        <v/>
      </c>
      <c r="B123" s="3">
        <f>IF(A123&lt;&gt;"","CoQ-PP_26-"&amp;TEXT(A123,"000"),"— at issue —")</f>
        <v/>
      </c>
      <c r="C123" s="4" t="inlineStr">
        <is>
          <t>yes</t>
        </is>
      </c>
      <c r="D123" s="5">
        <f>IF(OR(A123="",C123="allocated",C123="ruled"),"",MAX(E123,IF(ISNUMBER(I123),I123,0),IFERROR(IF(ISNUMBER(INDEX('iCoA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Donuts</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iCoA-PP_26-128 of 17.08.2026</t>
        </is>
      </c>
      <c r="U123" s="2">
        <f>IFERROR(INDEX('CoQ Register'!$B:$B,MATCH("P060362|I",'CoQ Register'!$S:$S,0)),"— initial certificate not on the register —")</f>
        <v/>
      </c>
      <c r="V123" s="10" t="n">
        <v>21.01</v>
      </c>
      <c r="W123" s="2" t="inlineStr">
        <is>
          <t>220-16-К/26</t>
        </is>
      </c>
      <c r="X123" s="2" t="inlineStr">
        <is>
          <t>22.00 ± 2.20 (I)</t>
        </is>
      </c>
      <c r="Y123" s="2" t="inlineStr">
        <is>
          <t>19.80 – 24.19 %</t>
        </is>
      </c>
      <c r="Z123" s="2" t="inlineStr">
        <is>
          <t>JD_THC22 : CBD1</t>
        </is>
      </c>
      <c r="AA123" s="2" t="inlineStr">
        <is>
          <t>QCSP_001_JD-I_v.01</t>
        </is>
      </c>
      <c r="AB123" s="8" t="inlineStr">
        <is>
          <t>for review — replaces the issued QCSP_001_JD-I_v.01 (was JD_THC20 : CBD1, 18.00 – 22.00 %); now JD_THC22 : CBD1 19.80 – 24.19 %</t>
        </is>
      </c>
      <c r="AC123" s="11" t="inlineStr"/>
    </row>
    <row r="124">
      <c r="A124" s="2">
        <f>IF(OR(C124="yes",C124="allocated",C124="ruled"),COUNT(A$1:A123)+1,"")</f>
        <v/>
      </c>
      <c r="B124" s="3">
        <f>IF(A124&lt;&gt;"","CoQ-PP_26-"&amp;TEXT(A124,"000"),"— at issue —")</f>
        <v/>
      </c>
      <c r="C124" s="4" t="inlineStr">
        <is>
          <t>yes</t>
        </is>
      </c>
      <c r="D124" s="5">
        <f>IF(OR(A124="",C124="allocated",C124="ruled"),"",MAX(E124,IF(ISNUMBER(I124),I124,0),IFERROR(IF(ISNUMBER(INDEX('iCoA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Donuts</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iCoA-PP_26-126 of 17.08.2026</t>
        </is>
      </c>
      <c r="U124" s="2">
        <f>IFERROR(INDEX('CoQ Register'!$B:$B,MATCH("P060412|I",'CoQ Register'!$S:$S,0)),"— initial certificate not on the register —")</f>
        <v/>
      </c>
      <c r="V124" s="10"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IF(OR(C125="yes",C125="allocated",C125="ruled"),COUNT(A$1:A124)+1,"")</f>
        <v/>
      </c>
      <c r="B125" s="3">
        <f>IF(A125&lt;&gt;"","CoQ-PP_26-"&amp;TEXT(A125,"000"),"— at issue —")</f>
        <v/>
      </c>
      <c r="C125" s="4" t="inlineStr">
        <is>
          <t>yes</t>
        </is>
      </c>
      <c r="D125" s="5">
        <f>IF(OR(A125="",C125="allocated",C125="ruled"),"",MAX(E125,IF(ISNUMBER(I125),I125,0),IFERROR(IF(ISNUMBER(INDEX('iCoA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Donuts</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iCoA-PP_26-127 of 17.08.2026</t>
        </is>
      </c>
      <c r="U125" s="2">
        <f>IFERROR(INDEX('CoQ Register'!$B:$B,MATCH("P060422|I",'CoQ Register'!$S:$S,0)),"— initial certificate not on the register —")</f>
        <v/>
      </c>
      <c r="V125" s="10" t="n">
        <v>17.09</v>
      </c>
      <c r="W125" s="2" t="inlineStr">
        <is>
          <t>220-18-К/26</t>
        </is>
      </c>
      <c r="X125" s="2" t="inlineStr">
        <is>
          <t>18.00 ± 1.80 (II)</t>
        </is>
      </c>
      <c r="Y125" s="2" t="inlineStr">
        <is>
          <t>16.20 – 19.79 %</t>
        </is>
      </c>
      <c r="Z125" s="2" t="inlineStr">
        <is>
          <t>JD_THC18 : CBD1</t>
        </is>
      </c>
      <c r="AA125" s="2" t="inlineStr">
        <is>
          <t>QCSP_001_JD-II_v.01</t>
        </is>
      </c>
      <c r="AB125" s="8" t="inlineStr">
        <is>
          <t>for review — replaces the issued QCSP_001_JD-II_v.01 (was JD_THC16 : CBD1, 14.91 – 17.09 %); now JD_THC18 : CBD1 16.20 – 19.79 %</t>
        </is>
      </c>
      <c r="AC125" s="11" t="inlineStr"/>
    </row>
    <row r="126">
      <c r="A126" s="2">
        <f>IF(OR(C126="yes",C126="allocated",C126="ruled"),COUNT(A$1:A125)+1,"")</f>
        <v/>
      </c>
      <c r="B126" s="3">
        <f>IF(A126&lt;&gt;"","CoQ-PP_26-"&amp;TEXT(A126,"000"),"— at issue —")</f>
        <v/>
      </c>
      <c r="C126" s="4" t="inlineStr">
        <is>
          <t>yes</t>
        </is>
      </c>
      <c r="D126" s="5">
        <f>IF(OR(A126="",C126="allocated",C126="ruled"),"",MAX(E126,IF(ISNUMBER(I126),I126,0),IFERROR(IF(ISNUMBER(INDEX('iCoA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Donuts</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iCoA-PP_26-136 of 17.08.2026</t>
        </is>
      </c>
      <c r="U126" s="2">
        <f>IFERROR(INDEX('CoQ Register'!$B:$B,MATCH("P060492|I",'CoQ Register'!$S:$S,0)),"— initial certificate not on the register —")</f>
        <v/>
      </c>
      <c r="V126" s="10"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IF(OR(C127="yes",C127="allocated",C127="ruled"),COUNT(A$1:A126)+1,"")</f>
        <v/>
      </c>
      <c r="B127" s="3">
        <f>IF(A127&lt;&gt;"","CoQ-PP_26-"&amp;TEXT(A127,"000"),"— at issue —")</f>
        <v/>
      </c>
      <c r="C127" s="4" t="inlineStr">
        <is>
          <t>yes</t>
        </is>
      </c>
      <c r="D127" s="5">
        <f>IF(OR(A127="",C127="allocated",C127="ruled"),"",MAX(E127,IF(ISNUMBER(I127),I127,0),IFERROR(IF(ISNUMBER(INDEX('iCoA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iCoA-PP_26-129 of 17.08.2026</t>
        </is>
      </c>
      <c r="U127" s="2">
        <f>IFERROR(INDEX('CoQ Register'!$B:$B,MATCH("P060172|I",'CoQ Register'!$S:$S,0)),"— initial certificate not on the register —")</f>
        <v/>
      </c>
      <c r="V127" s="10" t="n">
        <v>17.06</v>
      </c>
      <c r="W127" s="2" t="inlineStr">
        <is>
          <t>220-19-К/26</t>
        </is>
      </c>
      <c r="X127" s="2" t="inlineStr">
        <is>
          <t>18.00 ± 1.80 (I)</t>
        </is>
      </c>
      <c r="Y127" s="2" t="inlineStr">
        <is>
          <t>16.20 – 19.79 %</t>
        </is>
      </c>
      <c r="Z127" s="2" t="inlineStr">
        <is>
          <t>KC_THC18 : CBD1</t>
        </is>
      </c>
      <c r="AA127" s="2" t="inlineStr">
        <is>
          <t>QCSP_001_KC-I_v.01</t>
        </is>
      </c>
      <c r="AB127" s="8" t="inlineStr">
        <is>
          <t>for review — replaces the issued QCSP_001_KC-I_v.01 (was KC_THC18 : CBD1, 16.20 – 19.80 %); now KC_THC18 : CBD1 16.20 – 19.79 %</t>
        </is>
      </c>
      <c r="AC127" s="11" t="inlineStr"/>
    </row>
    <row r="128">
      <c r="A128" s="2">
        <f>IF(OR(C128="yes",C128="allocated",C128="ruled"),COUNT(A$1:A127)+1,"")</f>
        <v/>
      </c>
      <c r="B128" s="3">
        <f>IF(A128&lt;&gt;"","CoQ-PP_26-"&amp;TEXT(A128,"000"),"— at issue —")</f>
        <v/>
      </c>
      <c r="C128" s="4" t="inlineStr">
        <is>
          <t>yes</t>
        </is>
      </c>
      <c r="D128" s="5">
        <f>IF(OR(A128="",C128="allocated",C128="ruled"),"",MAX(E128,IF(ISNUMBER(I128),I128,0),IFERROR(IF(ISNUMBER(INDEX('iCoA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iCoA-PP_26-130 of 17.08.2026</t>
        </is>
      </c>
      <c r="U128" s="2">
        <f>IFERROR(INDEX('CoQ Register'!$B:$B,MATCH("P050112|I",'CoQ Register'!$S:$S,0)),"— initial certificate not on the register —")</f>
        <v/>
      </c>
      <c r="V128" s="10" t="n">
        <v>17.93</v>
      </c>
      <c r="W128" s="2" t="inlineStr">
        <is>
          <t>220-20-К/26</t>
        </is>
      </c>
      <c r="X128" s="2" t="inlineStr">
        <is>
          <t>18.00 ± 1.80 (I)</t>
        </is>
      </c>
      <c r="Y128" s="2" t="inlineStr">
        <is>
          <t>16.20 – 19.79 %</t>
        </is>
      </c>
      <c r="Z128" s="2" t="inlineStr">
        <is>
          <t>MB_THC18 : CBD1</t>
        </is>
      </c>
      <c r="AA128" s="2" t="inlineStr">
        <is>
          <t>QCSP_001_MB-I_v.01</t>
        </is>
      </c>
      <c r="AB128" s="8" t="inlineStr">
        <is>
          <t>for review — replaces the issued QCSP_001_MB-I_v.01 (was MB_THC18 : CBD1, 16.20 – 19.80 %); now MB_THC18 : CBD1 16.20 – 19.79 %</t>
        </is>
      </c>
      <c r="AC128" s="11" t="inlineStr"/>
    </row>
    <row r="129">
      <c r="A129" s="2">
        <f>IF(OR(C129="yes",C129="allocated",C129="ruled"),COUNT(A$1:A128)+1,"")</f>
        <v/>
      </c>
      <c r="B129" s="3">
        <f>IF(A129&lt;&gt;"","CoQ-PP_26-"&amp;TEXT(A129,"000"),"— at issue —")</f>
        <v/>
      </c>
      <c r="C129" s="4" t="inlineStr">
        <is>
          <t>yes</t>
        </is>
      </c>
      <c r="D129" s="5">
        <f>IF(OR(A129="",C129="allocated",C129="ruled"),"",MAX(E129,IF(ISNUMBER(I129),I129,0),IFERROR(IF(ISNUMBER(INDEX('iCoA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10" t="n">
        <v>18.14</v>
      </c>
      <c r="W129" s="2" t="inlineStr">
        <is>
          <t>220-21-К/26</t>
        </is>
      </c>
      <c r="X129" s="2" t="inlineStr">
        <is>
          <t>17.00 ± 1.60 (II)</t>
        </is>
      </c>
      <c r="Y129" s="2" t="inlineStr">
        <is>
          <t>15.40 – 18.59 %</t>
        </is>
      </c>
      <c r="Z129" s="2" t="inlineStr">
        <is>
          <t>OPM_THC17 : CBD1</t>
        </is>
      </c>
      <c r="AA129" s="2" t="inlineStr">
        <is>
          <t>QCSP_001_OPM-II_v.01</t>
        </is>
      </c>
      <c r="AB129" s="8" t="inlineStr">
        <is>
          <t>for review — replaces the issued QCSP_001_OPM-II_v.01 (was OPM_THC18 : CBD1, 16.20 – 19.80 %); now OPM_THC17 : CBD1 15.40 – 18.59 %</t>
        </is>
      </c>
      <c r="AC129" s="11" t="inlineStr"/>
    </row>
    <row r="130">
      <c r="A130" s="2">
        <f>IF(OR(C130="yes",C130="allocated",C130="ruled"),COUNT(A$1:A129)+1,"")</f>
        <v/>
      </c>
      <c r="B130" s="3">
        <f>IF(A130&lt;&gt;"","CoQ-PP_26-"&amp;TEXT(A130,"000"),"— at issue —")</f>
        <v/>
      </c>
      <c r="C130" s="4" t="inlineStr">
        <is>
          <t>yes</t>
        </is>
      </c>
      <c r="D130" s="5">
        <f>IF(OR(A130="",C130="allocated",C130="ruled"),"",MAX(E130,IF(ISNUMBER(I130),I130,0),IFERROR(IF(ISNUMBER(INDEX('iCoA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iCoA-PP_26-131 of 17.08.2026</t>
        </is>
      </c>
      <c r="U130" s="2">
        <f>IFERROR(INDEX('CoQ Register'!$B:$B,MATCH("P060042|I",'CoQ Register'!$S:$S,0)),"— initial certificate not on the register —")</f>
        <v/>
      </c>
      <c r="V130" s="10" t="n">
        <v>10.18</v>
      </c>
      <c r="W130" s="2" t="inlineStr">
        <is>
          <t>220-22-К/26</t>
        </is>
      </c>
      <c r="X130" s="2" t="inlineStr">
        <is>
          <t>10.00 ± 1.00 (IV)</t>
        </is>
      </c>
      <c r="Y130" s="2" t="inlineStr">
        <is>
          <t>9.00 – 10.99 %</t>
        </is>
      </c>
      <c r="Z130" s="2" t="inlineStr">
        <is>
          <t>OPM_THC10 : CBD1</t>
        </is>
      </c>
      <c r="AA130" s="2" t="inlineStr">
        <is>
          <t>QCSP_001_OPM-IV_v.01</t>
        </is>
      </c>
      <c r="AB130" s="8" t="inlineStr">
        <is>
          <t>for review — replaces the issued QCSP_001_OPM-IV_v.01 (was OPM_THC10 : CBD1, 9.00 – 11.00 %); now OPM_THC10 : CBD1 9.00 – 10.99 %</t>
        </is>
      </c>
      <c r="AC130" s="11" t="inlineStr"/>
    </row>
    <row r="131">
      <c r="A131" s="2">
        <f>IF(OR(C131="yes",C131="allocated",C131="ruled"),COUNT(A$1:A130)+1,"")</f>
        <v/>
      </c>
      <c r="B131" s="3">
        <f>IF(A131&lt;&gt;"","CoQ-PP_26-"&amp;TEXT(A131,"000"),"— at issue —")</f>
        <v/>
      </c>
      <c r="C131" s="4" t="inlineStr">
        <is>
          <t>yes</t>
        </is>
      </c>
      <c r="D131" s="5">
        <f>IF(OR(A131="",C131="allocated",C131="ruled"),"",MAX(E131,IF(ISNUMBER(I131),I131,0),IFERROR(IF(ISNUMBER(INDEX('iCoA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iCoA-PP_26-137 of 17.08.2026</t>
        </is>
      </c>
      <c r="U131" s="2">
        <f>IFERROR(INDEX('CoQ Register'!$B:$B,MATCH("P050082|I",'CoQ Register'!$S:$S,0)),"— initial certificate not on the register —")</f>
        <v/>
      </c>
      <c r="V131" s="10" t="n">
        <v>19.3</v>
      </c>
      <c r="W131" s="2" t="inlineStr">
        <is>
          <t>220-23-К/26</t>
        </is>
      </c>
      <c r="X131" s="2" t="inlineStr">
        <is>
          <t>20.00 ± 1.40 (I)</t>
        </is>
      </c>
      <c r="Y131" s="2" t="inlineStr">
        <is>
          <t>18.60 – 21.39 %</t>
        </is>
      </c>
      <c r="Z131" s="2" t="inlineStr">
        <is>
          <t>OPM_THC20 : CBD1</t>
        </is>
      </c>
      <c r="AA131" s="2" t="inlineStr">
        <is>
          <t>QCSP_001_OPM-I_v.01</t>
        </is>
      </c>
      <c r="AB131" s="8" t="inlineStr">
        <is>
          <t>for review — replaces the issued QCSP_001_OPM-I_v.01 (was OPM_THC22 : CBD1, 19.81 – 24.19 %); now OPM_THC20 : CBD1 18.60 – 21.39 %</t>
        </is>
      </c>
      <c r="AC131" s="11" t="inlineStr"/>
    </row>
    <row r="132">
      <c r="A132" s="2">
        <f>IF(OR(C132="yes",C132="allocated",C132="ruled"),COUNT(A$1:A131)+1,"")</f>
        <v/>
      </c>
      <c r="B132" s="3">
        <f>IF(A132&lt;&gt;"","CoQ-PP_26-"&amp;TEXT(A132,"000"),"— at issue —")</f>
        <v/>
      </c>
      <c r="C132" s="4" t="inlineStr">
        <is>
          <t>yes</t>
        </is>
      </c>
      <c r="D132" s="5">
        <f>IF(OR(A132="",C132="allocated",C132="ruled"),"",MAX(E132,IF(ISNUMBER(I132),I132,0),IFERROR(IF(ISNUMBER(INDEX('iCoA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iCoA-PP_26-138 of 17.08.2026</t>
        </is>
      </c>
      <c r="U132" s="2">
        <f>IFERROR(INDEX('CoQ Register'!$B:$B,MATCH("P060232|I",'CoQ Register'!$S:$S,0)),"— initial certificate not on the register —")</f>
        <v/>
      </c>
      <c r="V132" s="10"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IF(OR(C133="yes",C133="allocated",C133="ruled"),COUNT(A$1:A132)+1,"")</f>
        <v/>
      </c>
      <c r="B133" s="3">
        <f>IF(A133&lt;&gt;"","CoQ-PP_26-"&amp;TEXT(A133,"000"),"— at issue —")</f>
        <v/>
      </c>
      <c r="C133" s="4" t="inlineStr">
        <is>
          <t>yes</t>
        </is>
      </c>
      <c r="D133" s="5">
        <f>IF(OR(A133="",C133="allocated",C133="ruled"),"",MAX(E133,IF(ISNUMBER(I133),I133,0),IFERROR(IF(ISNUMBER(INDEX('iCoA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iCoA-PP_26-139 of 17.08.2026</t>
        </is>
      </c>
      <c r="U133" s="2">
        <f>IFERROR(INDEX('CoQ Register'!$B:$B,MATCH("P060112|I",'CoQ Register'!$S:$S,0)),"— initial certificate not on the register —")</f>
        <v/>
      </c>
      <c r="V133" s="10" t="n">
        <v>13.95</v>
      </c>
      <c r="W133" s="2" t="inlineStr">
        <is>
          <t>220-25-К/26</t>
        </is>
      </c>
      <c r="X133" s="2" t="inlineStr">
        <is>
          <t>14.00 ± 1.40 (I)</t>
        </is>
      </c>
      <c r="Y133" s="2" t="inlineStr">
        <is>
          <t>12.60 – 15.39 %</t>
        </is>
      </c>
      <c r="Z133" s="2" t="inlineStr">
        <is>
          <t>PUM_THC14 : CBD1</t>
        </is>
      </c>
      <c r="AA133" s="2" t="inlineStr">
        <is>
          <t>QCSP_001_PUM-I_v.01</t>
        </is>
      </c>
      <c r="AB133" s="8" t="inlineStr">
        <is>
          <t>for review — replaces the issued QCSP_001_PUM-I_v.01 (was PUM_THC14 : CBD1, 12.60 – 15.40 %); now PUM_THC14 : CBD1 12.60 – 15.39 %</t>
        </is>
      </c>
      <c r="AC133" s="11" t="inlineStr"/>
    </row>
    <row r="134">
      <c r="A134" s="2">
        <f>IF(OR(C134="yes",C134="allocated",C134="ruled"),COUNT(A$1:A133)+1,"")</f>
        <v/>
      </c>
      <c r="B134" s="3">
        <f>IF(A134&lt;&gt;"","CoQ-PP_26-"&amp;TEXT(A134,"000"),"— at issue —")</f>
        <v/>
      </c>
      <c r="C134" s="4" t="inlineStr">
        <is>
          <t>yes</t>
        </is>
      </c>
      <c r="D134" s="5">
        <f>IF(OR(A134="",C134="allocated",C134="ruled"),"",MAX(E134,IF(ISNUMBER(I134),I134,0),IFERROR(IF(ISNUMBER(INDEX('iCoA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iCoA-PP_26-140 of 17.08.2026</t>
        </is>
      </c>
      <c r="U134" s="2">
        <f>IFERROR(INDEX('CoQ Register'!$B:$B,MATCH("P060282|I",'CoQ Register'!$S:$S,0)),"— initial certificate not on the register —")</f>
        <v/>
      </c>
      <c r="V134" s="10" t="n">
        <v>19.73</v>
      </c>
      <c r="W134" s="2" t="inlineStr">
        <is>
          <t>220-26-К/26</t>
        </is>
      </c>
      <c r="X134" s="2" t="inlineStr">
        <is>
          <t>18.00 ± 1.80 (II)</t>
        </is>
      </c>
      <c r="Y134" s="2" t="inlineStr">
        <is>
          <t>16.20 – 19.79 %</t>
        </is>
      </c>
      <c r="Z134" s="2" t="inlineStr">
        <is>
          <t>SCR_THC18 : CBD1</t>
        </is>
      </c>
      <c r="AA134" s="2" t="inlineStr">
        <is>
          <t>QCSP_001_SCR-II_v.01</t>
        </is>
      </c>
      <c r="AB134" s="8" t="inlineStr">
        <is>
          <t>for review — replaces the issued QCSP_001_SCR-II_v.01 (was SCR_THC18 : CBD1, 16.20 – 19.80 %); now SCR_THC18 : CBD1 16.20 – 19.79 %</t>
        </is>
      </c>
      <c r="AC134" s="11" t="inlineStr"/>
    </row>
    <row r="135">
      <c r="A135" s="2">
        <f>IF(OR(C135="yes",C135="allocated",C135="ruled"),COUNT(A$1:A134)+1,"")</f>
        <v/>
      </c>
      <c r="B135" s="3">
        <f>IF(A135&lt;&gt;"","CoQ-PP_26-"&amp;TEXT(A135,"000"),"— at issue —")</f>
        <v/>
      </c>
      <c r="C135" s="4" t="inlineStr">
        <is>
          <t>yes</t>
        </is>
      </c>
      <c r="D135" s="5">
        <f>IF(OR(A135="",C135="allocated",C135="ruled"),"",MAX(E135,IF(ISNUMBER(I135),I135,0),IFERROR(IF(ISNUMBER(INDEX('iCoA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iCoA-PP_26-141 of 17.08.2026</t>
        </is>
      </c>
      <c r="U135" s="2">
        <f>IFERROR(INDEX('CoQ Register'!$B:$B,MATCH("P060082|I",'CoQ Register'!$S:$S,0)),"— initial certificate not on the register —")</f>
        <v/>
      </c>
      <c r="V135" s="10" t="n">
        <v>10.39</v>
      </c>
      <c r="W135" s="2" t="inlineStr">
        <is>
          <t>220-27-К/26</t>
        </is>
      </c>
      <c r="X135" s="2" t="inlineStr">
        <is>
          <t>10.00 ± 1.00 (II)</t>
        </is>
      </c>
      <c r="Y135" s="2" t="inlineStr">
        <is>
          <t>9.00 – 10.99 %</t>
        </is>
      </c>
      <c r="Z135" s="2" t="inlineStr">
        <is>
          <t>SJ_THC10 : CBD1</t>
        </is>
      </c>
      <c r="AA135" s="2" t="inlineStr">
        <is>
          <t>QCSP_001_SJ-II_v.01</t>
        </is>
      </c>
      <c r="AB135" s="8" t="inlineStr">
        <is>
          <t>for review — replaces the issued QCSP_001_SJ-II_v.01 (was SJ_THC10 : CBD1, 9.00 – 11.00 %); now SJ_THC10 : CBD1 9.00 – 10.99 %</t>
        </is>
      </c>
      <c r="AC135" s="11" t="inlineStr"/>
    </row>
    <row r="136">
      <c r="A136" s="2">
        <f>IF(OR(C136="yes",C136="allocated",C136="ruled"),COUNT(A$1:A135)+1,"")</f>
        <v/>
      </c>
      <c r="B136" s="3">
        <f>IF(A136&lt;&gt;"","CoQ-PP_26-"&amp;TEXT(A136,"000"),"— at issue —")</f>
        <v/>
      </c>
      <c r="C136" s="4" t="inlineStr">
        <is>
          <t>yes</t>
        </is>
      </c>
      <c r="D136" s="5">
        <f>IF(OR(A136="",C136="allocated",C136="ruled"),"",MAX(E136,IF(ISNUMBER(I136),I136,0),IFERROR(IF(ISNUMBER(INDEX('iCoA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iCoA-PP_26-142 of 17.08.2026</t>
        </is>
      </c>
      <c r="U136" s="2">
        <f>IFERROR(INDEX('CoQ Register'!$B:$B,MATCH("P060012|I",'CoQ Register'!$S:$S,0)),"— initial certificate not on the register —")</f>
        <v/>
      </c>
      <c r="V136" s="10" t="n">
        <v>23.48</v>
      </c>
      <c r="W136" s="2" t="inlineStr">
        <is>
          <t>220-28-К/26</t>
        </is>
      </c>
      <c r="X136" s="2" t="inlineStr">
        <is>
          <t>26.00 ± 2.60 (I)</t>
        </is>
      </c>
      <c r="Y136" s="2" t="inlineStr">
        <is>
          <t>23.40 – 28.59 %</t>
        </is>
      </c>
      <c r="Z136" s="2" t="inlineStr">
        <is>
          <t>WC_THC26 : CBD1</t>
        </is>
      </c>
      <c r="AA136" s="2" t="inlineStr">
        <is>
          <t>QCSP_001_WC-I_v.01</t>
        </is>
      </c>
      <c r="AB136" s="8" t="inlineStr">
        <is>
          <t>for review — replaces the issued QCSP_001_WC-I_v.01 (was WC_THC22 : CBD1, 19.80 – 24.20 %); now WC_THC26 : CBD1 23.40 – 28.59 %</t>
        </is>
      </c>
      <c r="AC136" s="11" t="inlineStr"/>
    </row>
    <row r="137">
      <c r="A137" s="2">
        <f>IF(OR(C137="yes",C137="allocated",C137="ruled"),COUNT(A$1:A136)+1,"")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Register'!$B:$B,MATCH("P060052|I",'CoQ Register'!$S:$S,0)),"— initial certificate not on the register —")</f>
        <v/>
      </c>
      <c r="V137" s="10"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IF(OR(C138="yes",C138="allocated",C138="ruled"),COUNT(A$1:A137)+1,"")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Register'!$B:$B,MATCH("P050122|I",'CoQ Register'!$S:$S,0)),"— initial certificate not on the register —")</f>
        <v/>
      </c>
      <c r="V138" s="10" t="n">
        <v>26.1</v>
      </c>
      <c r="W138" s="2" t="inlineStr">
        <is>
          <t>227-29-К/26</t>
        </is>
      </c>
      <c r="X138" s="2" t="inlineStr">
        <is>
          <t>28.00 ± 1.93 (I)</t>
        </is>
      </c>
      <c r="Y138" s="2" t="inlineStr">
        <is>
          <t>26.07 – 29.92 %</t>
        </is>
      </c>
      <c r="Z138" s="2" t="inlineStr">
        <is>
          <t>BSS_THC28 : CBD1</t>
        </is>
      </c>
      <c r="AA138" s="2" t="inlineStr">
        <is>
          <t>QCSP_001_BSS-I_v.01</t>
        </is>
      </c>
      <c r="AB138" s="8" t="inlineStr">
        <is>
          <t>for review — replaces the issued QCSP_001_BSS-I_v.01 (was BSS_THC24 : CBD1, 22.01 – 25.99 %); now BSS_THC28 : CBD1 26.07 – 29.92 %</t>
        </is>
      </c>
      <c r="AC138" s="11" t="inlineStr"/>
    </row>
    <row r="139">
      <c r="A139" s="2">
        <f>IF(OR(C139="yes",C139="allocated",C139="ruled"),COUNT(A$1:A138)+1,"")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Register'!$B:$B,MATCH("P050142|I",'CoQ Register'!$S:$S,0)),"— initial certificate not on the register —")</f>
        <v/>
      </c>
      <c r="V139" s="10" t="n">
        <v>26.69</v>
      </c>
      <c r="W139" s="2" t="inlineStr">
        <is>
          <t>227-1-К/26</t>
        </is>
      </c>
      <c r="X139" s="2" t="inlineStr">
        <is>
          <t>28.00 ± 1.93 (I)</t>
        </is>
      </c>
      <c r="Y139" s="2" t="inlineStr">
        <is>
          <t>26.07 – 29.92 %</t>
        </is>
      </c>
      <c r="Z139" s="2" t="inlineStr">
        <is>
          <t>BSS_THC28 : CBD1</t>
        </is>
      </c>
      <c r="AA139" s="2" t="inlineStr">
        <is>
          <t>QCSP_001_BSS-I_v.01</t>
        </is>
      </c>
      <c r="AB139" s="8" t="inlineStr">
        <is>
          <t>for review — replaces the issued QCSP_001_BSS-I_v.01 (was BSS_THC24 : CBD1, 22.01 – 25.99 %); now BSS_THC28 : CBD1 26.07 – 29.92 %</t>
        </is>
      </c>
      <c r="AC139" s="11" t="inlineStr"/>
    </row>
    <row r="140">
      <c r="A140" s="2">
        <f>IF(OR(C140="yes",C140="allocated",C140="ruled"),COUNT(A$1:A139)+1,"")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Register'!$B:$B,MATCH("P060272|I",'CoQ Register'!$S:$S,0)),"— initial certificate not on the register —")</f>
        <v/>
      </c>
      <c r="V140" s="10"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IF(OR(C141="yes",C141="allocated",C141="ruled"),COUNT(A$1:A140)+1,"")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Register'!$B:$B,MATCH("P050172|I",'CoQ Register'!$S:$S,0)),"— initial certificate not on the register —")</f>
        <v/>
      </c>
      <c r="V141" s="10" t="n">
        <v>21.3</v>
      </c>
      <c r="W141" s="2" t="inlineStr">
        <is>
          <t>227-28-К/26</t>
        </is>
      </c>
      <c r="X141" s="2" t="inlineStr">
        <is>
          <t>20.00 ± 1.60 (III)</t>
        </is>
      </c>
      <c r="Y141" s="2" t="inlineStr">
        <is>
          <t>18.40 – 21.59 %</t>
        </is>
      </c>
      <c r="Z141" s="2" t="inlineStr">
        <is>
          <t>CJ_THC20 : CBD1</t>
        </is>
      </c>
      <c r="AA141" s="2" t="inlineStr">
        <is>
          <t>QCSP_001_CJ-III_v.01</t>
        </is>
      </c>
      <c r="AB141" s="8" t="inlineStr">
        <is>
          <t>for review — replaces the issued QCSP_001_CJ-III_v.01 (was CJ_THC24 : CBD1, 23.00 – 25.00 %); now CJ_THC20 : CBD1 18.40 – 21.59 %</t>
        </is>
      </c>
      <c r="AC141" s="11" t="inlineStr"/>
    </row>
    <row r="142">
      <c r="A142" s="2">
        <f>IF(OR(C142="yes",C142="allocated",C142="ruled"),COUNT(A$1:A141)+1,"")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Register'!$B:$B,MATCH("P050252|I",'CoQ Register'!$S:$S,0)),"— initial certificate not on the register —")</f>
        <v/>
      </c>
      <c r="V142" s="10" t="n">
        <v>28.18</v>
      </c>
      <c r="W142" s="2" t="inlineStr">
        <is>
          <t>227-27-К/26</t>
        </is>
      </c>
      <c r="X142" s="2" t="inlineStr">
        <is>
          <t>28.00 ± 1.60 (I)</t>
        </is>
      </c>
      <c r="Y142" s="2" t="inlineStr">
        <is>
          <t>26.40 – 29.59 %</t>
        </is>
      </c>
      <c r="Z142" s="2" t="inlineStr">
        <is>
          <t>CJ_THC28 : CBD1</t>
        </is>
      </c>
      <c r="AA142" s="2" t="inlineStr">
        <is>
          <t>QCSP_001_CJ-I_v.01</t>
        </is>
      </c>
      <c r="AB142" s="8" t="inlineStr">
        <is>
          <t>for review — replaces the issued QCSP_001_CJ-I_v.01 (was CJ_THC28 : CBD1, 27.00 – 29.00 %); now CJ_THC28 : CBD1 26.40 – 29.59 %</t>
        </is>
      </c>
      <c r="AC142" s="11" t="inlineStr"/>
    </row>
    <row r="143">
      <c r="A143" s="2">
        <f>IF(OR(C143="yes",C143="allocated",C143="ruled"),COUNT(A$1:A142)+1,"")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Register'!$B:$B,MATCH("CJ1024|I",'CoQ Register'!$S:$S,0)),"— initial certificate not on the register —")</f>
        <v/>
      </c>
      <c r="V143" s="10" t="n">
        <v>28.12</v>
      </c>
      <c r="W143" s="2" t="inlineStr">
        <is>
          <t>227-26-К/26</t>
        </is>
      </c>
      <c r="X143" s="2" t="inlineStr">
        <is>
          <t>28.00 ± 1.60 (I)</t>
        </is>
      </c>
      <c r="Y143" s="2" t="inlineStr">
        <is>
          <t>26.40 – 29.59 %</t>
        </is>
      </c>
      <c r="Z143" s="2" t="inlineStr">
        <is>
          <t>CJ_THC28 : CBD1</t>
        </is>
      </c>
      <c r="AA143" s="2" t="inlineStr">
        <is>
          <t>QCSP_001_CJ-I_v.01</t>
        </is>
      </c>
      <c r="AB143" s="8" t="inlineStr">
        <is>
          <t>for review — replaces the issued QCSP_001_CJ-I_v.01 (was CJ_THC28 : CBD1, 27.00 – 29.00 %); now CJ_THC28 : CBD1 26.40 – 29.59 %</t>
        </is>
      </c>
      <c r="AC143" s="11" t="inlineStr"/>
    </row>
    <row r="144">
      <c r="A144" s="2">
        <f>IF(OR(C144="yes",C144="allocated",C144="ruled"),COUNT(A$1:A143)+1,"")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Register'!$B:$B,MATCH("P060432|I",'CoQ Register'!$S:$S,0)),"— initial certificate not on the register —")</f>
        <v/>
      </c>
      <c r="V144" s="10"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IF(OR(C145="yes",C145="allocated",C145="ruled"),COUNT(A$1:A144)+1,"")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Register'!$B:$B,MATCH("P060392|I",'CoQ Register'!$S:$S,0)),"— initial certificate not on the register —")</f>
        <v/>
      </c>
      <c r="V145" s="10" t="n">
        <v>19.31</v>
      </c>
      <c r="W145" s="2" t="inlineStr">
        <is>
          <t>227-23-К/26</t>
        </is>
      </c>
      <c r="X145" s="2" t="inlineStr">
        <is>
          <t>18.00 ± 1.80 (II)</t>
        </is>
      </c>
      <c r="Y145" s="2" t="inlineStr">
        <is>
          <t>16.20 – 19.79 %</t>
        </is>
      </c>
      <c r="Z145" s="2" t="inlineStr">
        <is>
          <t>FB_THC18 : CBD1</t>
        </is>
      </c>
      <c r="AA145" s="2" t="inlineStr">
        <is>
          <t>QCSP_001_FB-II_v.01</t>
        </is>
      </c>
      <c r="AB145" s="8" t="inlineStr">
        <is>
          <t>for review — replaces the issued QCSP_001_FB-II_v.01 (was FB_THC18 : CBD1, 17.15 – 18.85 %); now FB_THC18 : CBD1 16.20 – 19.79 %</t>
        </is>
      </c>
      <c r="AC145" s="11" t="inlineStr"/>
    </row>
    <row r="146">
      <c r="A146" s="2">
        <f>IF(OR(C146="yes",C146="allocated",C146="ruled"),COUNT(A$1:A145)+1,"")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Register'!$B:$B,MATCH("P060292|I",'CoQ Register'!$S:$S,0)),"— initial certificate not on the register —")</f>
        <v/>
      </c>
      <c r="V146" s="10" t="n">
        <v>18.75</v>
      </c>
      <c r="W146" s="2" t="inlineStr">
        <is>
          <t>227-22-К/26</t>
        </is>
      </c>
      <c r="X146" s="2" t="inlineStr">
        <is>
          <t>18.00 ± 1.80 (II)</t>
        </is>
      </c>
      <c r="Y146" s="2" t="inlineStr">
        <is>
          <t>16.20 – 19.79 %</t>
        </is>
      </c>
      <c r="Z146" s="2" t="inlineStr">
        <is>
          <t>FB_THC18 : CBD1</t>
        </is>
      </c>
      <c r="AA146" s="2" t="inlineStr">
        <is>
          <t>QCSP_001_FB-II_v.01</t>
        </is>
      </c>
      <c r="AB146" s="8" t="inlineStr">
        <is>
          <t>for review — replaces the issued QCSP_001_FB-II_v.01 (was FB_THC18 : CBD1, 17.15 – 18.85 %); now FB_THC18 : CBD1 16.20 – 19.79 %</t>
        </is>
      </c>
      <c r="AC146" s="11" t="inlineStr"/>
    </row>
    <row r="147">
      <c r="A147" s="2">
        <f>IF(OR(C147="yes",C147="allocated",C147="ruled"),COUNT(A$1:A146)+1,"")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Register'!$B:$B,MATCH("P060302|I",'CoQ Register'!$S:$S,0)),"— initial certificate not on the register —")</f>
        <v/>
      </c>
      <c r="V147" s="10" t="n">
        <v>19.16</v>
      </c>
      <c r="W147" s="2" t="inlineStr">
        <is>
          <t>227-21-К/26</t>
        </is>
      </c>
      <c r="X147" s="2" t="inlineStr">
        <is>
          <t>18.00 ± 1.77 (I)</t>
        </is>
      </c>
      <c r="Y147" s="2" t="inlineStr">
        <is>
          <t>16.23 – 19.76 %</t>
        </is>
      </c>
      <c r="Z147" s="2" t="inlineStr">
        <is>
          <t>GG_THC18 : CBD1</t>
        </is>
      </c>
      <c r="AA147" s="2" t="inlineStr">
        <is>
          <t>QCSP_001_GG-I_v.01</t>
        </is>
      </c>
      <c r="AB147" s="8" t="inlineStr">
        <is>
          <t>for review — replaces the issued QCSP_001_GG-I_v.01 (was GG_THC18 : CBD1, 17.01 – 18.99 %); now GG_THC18 : CBD1 16.23 – 19.76 %</t>
        </is>
      </c>
      <c r="AC147" s="11" t="inlineStr"/>
    </row>
    <row r="148">
      <c r="A148" s="2">
        <f>IF(OR(C148="yes",C148="allocated",C148="ruled"),COUNT(A$1:A147)+1,"")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Register'!$B:$B,MATCH("P050012|I",'CoQ Register'!$S:$S,0)),"— initial certificate not on the register —")</f>
        <v/>
      </c>
      <c r="V148" s="10" t="n">
        <v>17.76</v>
      </c>
      <c r="W148" s="2" t="inlineStr">
        <is>
          <t>227-19-К/26</t>
        </is>
      </c>
      <c r="X148" s="2" t="inlineStr">
        <is>
          <t>18.00 ± 1.77 (I)</t>
        </is>
      </c>
      <c r="Y148" s="2" t="inlineStr">
        <is>
          <t>16.23 – 19.76 %</t>
        </is>
      </c>
      <c r="Z148" s="2" t="inlineStr">
        <is>
          <t>GG_THC18 : CBD1</t>
        </is>
      </c>
      <c r="AA148" s="2" t="inlineStr">
        <is>
          <t>QCSP_001_GG-I_v.01</t>
        </is>
      </c>
      <c r="AB148" s="8" t="inlineStr">
        <is>
          <t>for review — replaces the issued QCSP_001_GG-I_v.01 (was GG_THC18 : CBD1, 17.01 – 18.99 %); now GG_THC18 : CBD1 16.23 – 19.76 %</t>
        </is>
      </c>
      <c r="AC148" s="11" t="inlineStr"/>
    </row>
    <row r="149">
      <c r="A149" s="2">
        <f>IF(OR(C149="yes",C149="allocated",C149="ruled"),COUNT(A$1:A148)+1,"")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Register'!$B:$B,MATCH("P060252|I",'CoQ Register'!$S:$S,0)),"— initial certificate not on the register —")</f>
        <v/>
      </c>
      <c r="V149" s="10" t="n">
        <v>18.64</v>
      </c>
      <c r="W149" s="2" t="inlineStr">
        <is>
          <t>227-20-К/26</t>
        </is>
      </c>
      <c r="X149" s="2" t="inlineStr">
        <is>
          <t>18.00 ± 1.77 (I)</t>
        </is>
      </c>
      <c r="Y149" s="2" t="inlineStr">
        <is>
          <t>16.23 – 19.76 %</t>
        </is>
      </c>
      <c r="Z149" s="2" t="inlineStr">
        <is>
          <t>GG_THC18 : CBD1</t>
        </is>
      </c>
      <c r="AA149" s="2" t="inlineStr">
        <is>
          <t>QCSP_001_GG-I_v.01</t>
        </is>
      </c>
      <c r="AB149" s="8" t="inlineStr">
        <is>
          <t>for review — replaces the issued QCSP_001_GG-I_v.01 (was GG_THC18 : CBD1, 17.01 – 18.99 %); now GG_THC18 : CBD1 16.23 – 19.76 %</t>
        </is>
      </c>
      <c r="AC149" s="11" t="inlineStr"/>
    </row>
    <row r="150">
      <c r="A150" s="2">
        <f>IF(OR(C150="yes",C150="allocated",C150="ruled"),COUNT(A$1:A149)+1,"")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Register'!$B:$B,MATCH("P050202|I",'CoQ Register'!$S:$S,0)),"— initial certificate not on the register —")</f>
        <v/>
      </c>
      <c r="V150" s="10" t="n">
        <v>25.97</v>
      </c>
      <c r="W150" s="2" t="inlineStr">
        <is>
          <t>227-18-К/26</t>
        </is>
      </c>
      <c r="X150" s="2" t="inlineStr">
        <is>
          <t>24.00 ± 2.00 (II)</t>
        </is>
      </c>
      <c r="Y150" s="2" t="inlineStr">
        <is>
          <t>22.00 – 25.99 %</t>
        </is>
      </c>
      <c r="Z150" s="2" t="inlineStr">
        <is>
          <t>GP_THC24 : CBD1</t>
        </is>
      </c>
      <c r="AA150" s="2" t="inlineStr">
        <is>
          <t>QCSP_001_GP-II_v.01</t>
        </is>
      </c>
      <c r="AB150" s="8" t="inlineStr">
        <is>
          <t>for review — replaces the issued QCSP_001_GP-II_v.01 (was GP_THC26 : CBD1, 25.40 – 26.60 %); now GP_THC24 : CBD1 22.00 – 25.99 %</t>
        </is>
      </c>
      <c r="AC150" s="11" t="inlineStr"/>
    </row>
    <row r="151">
      <c r="A151" s="2">
        <f>IF(OR(C151="yes",C151="allocated",C151="ruled"),COUNT(A$1:A150)+1,"")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Register'!$B:$B,MATCH("P050292|I",'CoQ Register'!$S:$S,0)),"— initial certificate not on the register —")</f>
        <v/>
      </c>
      <c r="V151" s="10" t="n">
        <v>26.54</v>
      </c>
      <c r="W151" s="2" t="inlineStr">
        <is>
          <t>227-17-К/26</t>
        </is>
      </c>
      <c r="X151" s="2" t="inlineStr">
        <is>
          <t>28.00 ± 2.00 (I)</t>
        </is>
      </c>
      <c r="Y151" s="2" t="inlineStr">
        <is>
          <t>26.00 – 29.99 %</t>
        </is>
      </c>
      <c r="Z151" s="2" t="inlineStr">
        <is>
          <t>GP_THC28 : CBD1</t>
        </is>
      </c>
      <c r="AA151" s="2" t="inlineStr">
        <is>
          <t>QCSP_001_GP-I_v.01</t>
        </is>
      </c>
      <c r="AB151" s="8" t="inlineStr">
        <is>
          <t>for review — replaces the issued QCSP_001_GP-I_v.01 (was GP_THC28 : CBD1, 26.61 – 29.39 %); now GP_THC28 : CBD1 26.00 – 29.99 %</t>
        </is>
      </c>
      <c r="AC151" s="11" t="inlineStr"/>
    </row>
    <row r="152">
      <c r="A152" s="2">
        <f>IF(OR(C152="yes",C152="allocated",C152="ruled"),COUNT(A$1:A151)+1,"")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Register'!$B:$B,MATCH("P050102|I",'CoQ Register'!$S:$S,0)),"— initial certificate not on the register —")</f>
        <v/>
      </c>
      <c r="V152" s="10" t="n">
        <v>28.68</v>
      </c>
      <c r="W152" s="2" t="inlineStr">
        <is>
          <t>227-2-К/26</t>
        </is>
      </c>
      <c r="X152" s="2" t="inlineStr">
        <is>
          <t>28.00 ± 2.00 (I)</t>
        </is>
      </c>
      <c r="Y152" s="2" t="inlineStr">
        <is>
          <t>26.00 – 29.99 %</t>
        </is>
      </c>
      <c r="Z152" s="2" t="inlineStr">
        <is>
          <t>GP_THC28 : CBD1</t>
        </is>
      </c>
      <c r="AA152" s="2" t="inlineStr">
        <is>
          <t>QCSP_001_GP-I_v.01</t>
        </is>
      </c>
      <c r="AB152" s="8" t="inlineStr">
        <is>
          <t>for review — replaces the issued QCSP_001_GP-I_v.01 (was GP_THC28 : CBD1, 26.61 – 29.39 %); now GP_THC28 : CBD1 26.00 – 29.99 %</t>
        </is>
      </c>
      <c r="AC152" s="11" t="inlineStr"/>
    </row>
    <row r="153">
      <c r="A153" s="2">
        <f>IF(OR(C153="yes",C153="allocated",C153="ruled"),COUNT(A$1:A152)+1,"")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Grapes And Cream</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Register'!$B:$B,MATCH("P060142|I",'CoQ Register'!$S:$S,0)),"— initial certificate not on the register —")</f>
        <v/>
      </c>
      <c r="V153" s="10"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IF(OR(C154="yes",C154="allocated",C154="ruled"),COUNT(A$1:A153)+1,"")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Register'!$B:$B,MATCH("P060202|I",'CoQ Register'!$S:$S,0)),"— initial certificate not on the register —")</f>
        <v/>
      </c>
      <c r="V154" s="10" t="n">
        <v>23.85</v>
      </c>
      <c r="W154" s="2" t="inlineStr">
        <is>
          <t>227-14-К/26</t>
        </is>
      </c>
      <c r="X154" s="2" t="inlineStr">
        <is>
          <t>22.00 ± 2.20 (II)</t>
        </is>
      </c>
      <c r="Y154" s="2" t="inlineStr">
        <is>
          <t>19.80 – 24.19 %</t>
        </is>
      </c>
      <c r="Z154" s="2" t="inlineStr">
        <is>
          <t>J31_THC22 : CBD1</t>
        </is>
      </c>
      <c r="AA154" s="2" t="inlineStr">
        <is>
          <t>QCSP_001_J31-II_v.01</t>
        </is>
      </c>
      <c r="AB154" s="8" t="inlineStr">
        <is>
          <t>for review — replaces the issued QCSP_001_J31-II_v.01 (was J31_THC18 : CBD1, 16.20 – 19.80 %); now J31_THC22 : CBD1 19.80 – 24.19 %</t>
        </is>
      </c>
      <c r="AC154" s="11" t="inlineStr"/>
    </row>
    <row r="155">
      <c r="A155" s="2">
        <f>IF(OR(C155="yes",C155="allocated",C155="ruled"),COUNT(A$1:A154)+1,"")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Register'!$B:$B,MATCH("P060262|I",'CoQ Register'!$S:$S,0)),"— initial certificate not on the register —")</f>
        <v/>
      </c>
      <c r="V155" s="10"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IF(OR(C156="yes",C156="allocated",C156="ruled"),COUNT(A$1:A155)+1,"")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Donuts</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Register'!$B:$B,MATCH("P060312|I",'CoQ Register'!$S:$S,0)),"— initial certificate not on the register —")</f>
        <v/>
      </c>
      <c r="V156" s="10" t="n">
        <v>19.99</v>
      </c>
      <c r="W156" s="2" t="inlineStr">
        <is>
          <t>227-15-К/26</t>
        </is>
      </c>
      <c r="X156" s="2" t="inlineStr">
        <is>
          <t>22.00 ± 2.20 (I)</t>
        </is>
      </c>
      <c r="Y156" s="2" t="inlineStr">
        <is>
          <t>19.80 – 24.19 %</t>
        </is>
      </c>
      <c r="Z156" s="2" t="inlineStr">
        <is>
          <t>JD_THC22 : CBD1</t>
        </is>
      </c>
      <c r="AA156" s="2" t="inlineStr">
        <is>
          <t>QCSP_001_JD-I_v.01</t>
        </is>
      </c>
      <c r="AB156" s="8" t="inlineStr">
        <is>
          <t>for review — replaces the issued QCSP_001_JD-I_v.01 (was JD_THC20 : CBD1, 18.00 – 22.00 %); now JD_THC22 : CBD1 19.80 – 24.19 %</t>
        </is>
      </c>
      <c r="AC156" s="11" t="inlineStr"/>
    </row>
    <row r="157">
      <c r="A157" s="2">
        <f>IF(OR(C157="yes",C157="allocated",C157="ruled"),COUNT(A$1:A156)+1,"")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Register'!$B:$B,MATCH("P050032|I",'CoQ Register'!$S:$S,0)),"— initial certificate not on the register —")</f>
        <v/>
      </c>
      <c r="V157" s="10" t="n">
        <v>17.57</v>
      </c>
      <c r="W157" s="2" t="inlineStr">
        <is>
          <t>227-12-К/26</t>
        </is>
      </c>
      <c r="X157" s="2" t="inlineStr">
        <is>
          <t>18.00 ± 1.80 (I)</t>
        </is>
      </c>
      <c r="Y157" s="2" t="inlineStr">
        <is>
          <t>16.20 – 19.79 %</t>
        </is>
      </c>
      <c r="Z157" s="2" t="inlineStr">
        <is>
          <t>MB_THC18 : CBD1</t>
        </is>
      </c>
      <c r="AA157" s="2" t="inlineStr">
        <is>
          <t>QCSP_001_MB-I_v.01</t>
        </is>
      </c>
      <c r="AB157" s="8" t="inlineStr">
        <is>
          <t>for review — replaces the issued QCSP_001_MB-I_v.01 (was MB_THC18 : CBD1, 16.20 – 19.80 %); now MB_THC18 : CBD1 16.20 – 19.79 %</t>
        </is>
      </c>
      <c r="AC157" s="11" t="inlineStr"/>
    </row>
    <row r="158">
      <c r="A158" s="2">
        <f>IF(OR(C158="yes",C158="allocated",C158="ruled"),COUNT(A$1:A157)+1,"")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Register'!$B:$B,MATCH("P050132|I",'CoQ Register'!$S:$S,0)),"— initial certificate not on the register —")</f>
        <v/>
      </c>
      <c r="V158" s="10" t="n">
        <v>17.83</v>
      </c>
      <c r="W158" s="2" t="inlineStr">
        <is>
          <t>227-11-К/26</t>
        </is>
      </c>
      <c r="X158" s="2" t="inlineStr">
        <is>
          <t>17.00 ± 1.60 (II)</t>
        </is>
      </c>
      <c r="Y158" s="2" t="inlineStr">
        <is>
          <t>15.40 – 18.59 %</t>
        </is>
      </c>
      <c r="Z158" s="2" t="inlineStr">
        <is>
          <t>OPM_THC17 : CBD1</t>
        </is>
      </c>
      <c r="AA158" s="2" t="inlineStr">
        <is>
          <t>QCSP_001_OPM-II_v.01</t>
        </is>
      </c>
      <c r="AB158" s="8" t="inlineStr">
        <is>
          <t>for review — replaces the issued QCSP_001_OPM-II_v.01 (was OPM_THC18 : CBD1, 16.20 – 19.80 %); now OPM_THC17 : CBD1 15.40 – 18.59 %</t>
        </is>
      </c>
      <c r="AC158" s="11" t="inlineStr"/>
    </row>
    <row r="159">
      <c r="A159" s="2">
        <f>IF(OR(C159="yes",C159="allocated",C159="ruled"),COUNT(A$1:A158)+1,"")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Register'!$B:$B,MATCH("P060222|I",'CoQ Register'!$S:$S,0)),"— initial certificate not on the register —")</f>
        <v/>
      </c>
      <c r="V159" s="10" t="n">
        <v>9.73</v>
      </c>
      <c r="W159" s="2" t="inlineStr">
        <is>
          <t>227-10-К/26</t>
        </is>
      </c>
      <c r="X159" s="2" t="inlineStr">
        <is>
          <t>10.00 ± 1.00 (IV)</t>
        </is>
      </c>
      <c r="Y159" s="2" t="inlineStr">
        <is>
          <t>9.00 – 10.99 %</t>
        </is>
      </c>
      <c r="Z159" s="2" t="inlineStr">
        <is>
          <t>OPM_THC10 : CBD1</t>
        </is>
      </c>
      <c r="AA159" s="2" t="inlineStr">
        <is>
          <t>QCSP_001_OPM-IV_v.01</t>
        </is>
      </c>
      <c r="AB159" s="8" t="inlineStr">
        <is>
          <t>for review — replaces the issued QCSP_001_OPM-IV_v.01 (was OPM_THC10 : CBD1, 9.00 – 11.00 %); now OPM_THC10 : CBD1 9.00 – 10.99 %</t>
        </is>
      </c>
      <c r="AC159" s="11" t="inlineStr"/>
    </row>
    <row r="160">
      <c r="A160" s="2">
        <f>IF(OR(C160="yes",C160="allocated",C160="ruled"),COUNT(A$1:A159)+1,"")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60" s="2">
        <f>IFERROR(INDEX('CoQ Register'!$B:$B,MATCH("P050272|I",'CoQ Register'!$S:$S,0)),"— initial certificate not on the register —")</f>
        <v/>
      </c>
      <c r="V160" s="10" t="n">
        <v>12.77</v>
      </c>
      <c r="W160" s="2" t="inlineStr">
        <is>
          <t>227-9-К/26</t>
        </is>
      </c>
      <c r="X160" s="2" t="inlineStr">
        <is>
          <t>12.00 ± 1.00 (II)</t>
        </is>
      </c>
      <c r="Y160" s="2" t="inlineStr">
        <is>
          <t>11.00 – 12.99 %</t>
        </is>
      </c>
      <c r="Z160" s="2" t="inlineStr">
        <is>
          <t>PM_THC12 : CBD1</t>
        </is>
      </c>
      <c r="AA160" s="2" t="inlineStr">
        <is>
          <t>QCSP_001_PM-II_v.01</t>
        </is>
      </c>
      <c r="AB160" s="8" t="inlineStr">
        <is>
          <t>for review — replaces the issued QCSP_001_PM-II_v.01 (was PM_THC10 : CBD1, 9.00 – 11.00 %); now PM_THC12 : CBD1 11.00 – 12.99 %</t>
        </is>
      </c>
      <c r="AC160" s="11" t="inlineStr"/>
    </row>
    <row r="161">
      <c r="A161" s="2">
        <f>IF(OR(C161="yes",C161="allocated",C161="ruled"),COUNT(A$1:A160)+1,"")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Register'!$B:$B,MATCH("P060342|I",'CoQ Register'!$S:$S,0)),"— initial certificate not on the register —")</f>
        <v/>
      </c>
      <c r="V161" s="10"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IF(OR(C162="yes",C162="allocated",C162="ruled"),COUNT(A$1:A161)+1,"")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Register'!$B:$B,MATCH("P060442|I",'CoQ Register'!$S:$S,0)),"— initial certificate not on the register —")</f>
        <v/>
      </c>
      <c r="V162" s="10" t="n">
        <v>16.68</v>
      </c>
      <c r="W162" s="2" t="inlineStr">
        <is>
          <t>227-7-К/26</t>
        </is>
      </c>
      <c r="X162" s="2" t="inlineStr">
        <is>
          <t>18.00 ± 1.80 (II)</t>
        </is>
      </c>
      <c r="Y162" s="2" t="inlineStr">
        <is>
          <t>16.20 – 19.79 %</t>
        </is>
      </c>
      <c r="Z162" s="2" t="inlineStr">
        <is>
          <t>SCR_THC18 : CBD1</t>
        </is>
      </c>
      <c r="AA162" s="2" t="inlineStr">
        <is>
          <t>QCSP_001_SCR-II_v.01</t>
        </is>
      </c>
      <c r="AB162" s="8" t="inlineStr">
        <is>
          <t>for review — replaces the issued QCSP_001_SCR-II_v.01 (was SCR_THC18 : CBD1, 16.20 – 19.80 %); now SCR_THC18 : CBD1 16.20 – 19.79 %</t>
        </is>
      </c>
      <c r="AC162" s="11" t="inlineStr"/>
    </row>
    <row r="163">
      <c r="A163" s="2">
        <f>IF(OR(C163="yes",C163="allocated",C163="ruled"),COUNT(A$1:A162)+1,"")</f>
        <v/>
      </c>
      <c r="B163" s="3">
        <f>IF(A163&lt;&gt;"","CoQ-PP_26-"&amp;TEXT(A163,"000"),"— at issue —")</f>
        <v/>
      </c>
      <c r="C163" s="12" t="inlineStr">
        <is>
          <t>allocated</t>
        </is>
      </c>
      <c r="D163" s="5" t="n">
        <v>46286</v>
      </c>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3" s="2">
        <f>IFERROR(INDEX('CoQ Register'!$B:$B,MATCH("P060162|I",'CoQ Register'!$S:$S,0)),"— initial certificate not on the register —")</f>
        <v/>
      </c>
      <c r="V163" s="10" t="n">
        <v>10.61</v>
      </c>
      <c r="W163" s="2" t="inlineStr">
        <is>
          <t>227-6-К/26</t>
        </is>
      </c>
      <c r="X163" s="2" t="inlineStr">
        <is>
          <t>10.00 ± 1.00 (II)</t>
        </is>
      </c>
      <c r="Y163" s="2" t="inlineStr">
        <is>
          <t>9.00 – 10.99 %</t>
        </is>
      </c>
      <c r="Z163" s="2" t="inlineStr">
        <is>
          <t>SJ_THC10 : CBD1</t>
        </is>
      </c>
      <c r="AA163" s="2" t="inlineStr">
        <is>
          <t>QCSP_001_SJ-II_v.01</t>
        </is>
      </c>
      <c r="AB163" s="8" t="inlineStr">
        <is>
          <t>for review — replaces the issued QCSP_001_SJ-II_v.01 (was SJ_THC10 : CBD1, 9.00 – 11.00 %); now SJ_THC10 : CBD1 9.00 – 10.99 %</t>
        </is>
      </c>
      <c r="AC163" s="11" t="inlineStr"/>
    </row>
    <row r="164">
      <c r="A164" s="2">
        <f>IF(OR(C164="yes",C164="allocated",C164="ruled"),COUNT(A$1:A163)+1,"")</f>
        <v/>
      </c>
      <c r="B164" s="3">
        <f>IF(A164&lt;&gt;"","CoQ-PP_26-"&amp;TEXT(A164,"000"),"— at issue —")</f>
        <v/>
      </c>
      <c r="C164" s="12" t="inlineStr">
        <is>
          <t>allocated</t>
        </is>
      </c>
      <c r="D164" s="5" t="n">
        <v>46286</v>
      </c>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4" s="2">
        <f>IFERROR(INDEX('CoQ Register'!$B:$B,MATCH("P060192|I",'CoQ Register'!$S:$S,0)),"— initial certificate not on the register —")</f>
        <v/>
      </c>
      <c r="V164" s="10"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IF(OR(C165="yes",C165="allocated",C165="ruled"),COUNT(A$1:A164)+1,"")</f>
        <v/>
      </c>
      <c r="B165" s="3">
        <f>IF(A165&lt;&gt;"","CoQ-PP_26-"&amp;TEXT(A165,"000"),"— at issue —")</f>
        <v/>
      </c>
      <c r="C165" s="12" t="inlineStr">
        <is>
          <t>allocated</t>
        </is>
      </c>
      <c r="D165" s="5" t="n">
        <v>46286</v>
      </c>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5" s="2">
        <f>IFERROR(INDEX('CoQ Register'!$B:$B,MATCH("P050262|I",'CoQ Register'!$S:$S,0)),"— initial certificate not on the register —")</f>
        <v/>
      </c>
      <c r="V165" s="10" t="n">
        <v>25.37</v>
      </c>
      <c r="W165" s="2" t="inlineStr">
        <is>
          <t>227-3-К/26</t>
        </is>
      </c>
      <c r="X165" s="2" t="inlineStr">
        <is>
          <t>26.00 ± 2.60 (I)</t>
        </is>
      </c>
      <c r="Y165" s="2" t="inlineStr">
        <is>
          <t>23.40 – 28.59 %</t>
        </is>
      </c>
      <c r="Z165" s="2" t="inlineStr">
        <is>
          <t>WC_THC26 : CBD1</t>
        </is>
      </c>
      <c r="AA165" s="2" t="inlineStr">
        <is>
          <t>QCSP_001_WC-I_v.01</t>
        </is>
      </c>
      <c r="AB165" s="8" t="inlineStr">
        <is>
          <t>for review — replaces the issued QCSP_001_WC-I_v.01 (was WC_THC22 : CBD1, 19.80 – 24.20 %); now WC_THC26 : CBD1 23.40 – 28.59 %</t>
        </is>
      </c>
      <c r="AC165" s="11" t="inlineStr"/>
    </row>
    <row r="166">
      <c r="A166" s="2">
        <f>IF(OR(C166="yes",C166="allocated",C166="ruled"),COUNT(A$1:A165)+1,"")</f>
        <v/>
      </c>
      <c r="B166" s="3">
        <f>IF(A166&lt;&gt;"","CoQ-PP_26-"&amp;TEXT(A166,"000"),"— at issue —")</f>
        <v/>
      </c>
      <c r="C166" s="12" t="inlineStr">
        <is>
          <t>allocated</t>
        </is>
      </c>
      <c r="D166" s="5" t="n">
        <v>46286</v>
      </c>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6" s="2">
        <f>IFERROR(INDEX('CoQ Register'!$B:$B,MATCH("P060102|I",'CoQ Register'!$S:$S,0)),"— initial certificate not on the register —")</f>
        <v/>
      </c>
      <c r="V166" s="10"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IF(OR(C167="yes",C167="allocated",C167="ruled"),COUNT(A$1:A166)+1,"")</f>
        <v/>
      </c>
      <c r="B167" s="3">
        <f>IF(A167&lt;&gt;"","CoQ-PP_26-"&amp;TEXT(A167,"000"),"— at issue —")</f>
        <v/>
      </c>
      <c r="C167" s="12" t="inlineStr">
        <is>
          <t>ruled</t>
        </is>
      </c>
      <c r="D167" s="5">
        <f>IF(OR(A167="",C167="allocated",C167="ruled"),"",MAX(E167,IF(ISNUMBER(I167),I167,0),IFERROR(IF(ISNUMBER(INDEX('iCoA Register'!$F:$F,MATCH(S167,'iCoA Register'!$AA:$AA,0))),INDEX('iCoA Register'!$F:$F,MATCH(S167,'iCoA Register'!$AA:$AA,0)),0),0)))</f>
        <v/>
      </c>
      <c r="E167" s="5">
        <f>IF(ISNUMBER(F167),MAX(DATE(2026,6,6),F167+7),DATE(2026,6,6))</f>
        <v/>
      </c>
      <c r="F167" s="5" t="inlineStr">
        <is>
          <t>—</t>
        </is>
      </c>
      <c r="G167" s="2" t="inlineStr">
        <is>
          <t>—</t>
        </is>
      </c>
      <c r="H167" s="2">
        <f>IFERROR(INDEX('iCoA Register'!$B:$B,MATCH("CC042601|I",'iCoA Register'!$AA:$AA,0)),"—")</f>
        <v/>
      </c>
      <c r="I167" s="5">
        <f>IFERROR(INDEX('iCoA Register'!$D:$D,MATCH("CC042601|I",'iCoA Register'!$AA:$AA,0)),"")</f>
        <v/>
      </c>
      <c r="J167" s="2" t="inlineStr">
        <is>
          <t>—</t>
        </is>
      </c>
      <c r="K167" s="2" t="inlineStr">
        <is>
          <t>initial release</t>
        </is>
      </c>
      <c r="L167" s="3" t="inlineStr">
        <is>
          <t>CC042601</t>
        </is>
      </c>
      <c r="M167" s="2" t="inlineStr">
        <is>
          <t>N/A — no P batch assigned</t>
        </is>
      </c>
      <c r="N167" s="2" t="inlineStr">
        <is>
          <t>Cash Cow</t>
        </is>
      </c>
      <c r="O167" s="6" t="inlineStr">
        <is>
          <t>— no cannabinoid certificate from the initial testing —</t>
        </is>
      </c>
      <c r="P167" s="6" t="inlineStr">
        <is>
          <t>—</t>
        </is>
      </c>
      <c r="Q167" s="2" t="inlineStr">
        <is>
          <t>—</t>
        </is>
      </c>
      <c r="R167" s="2" t="inlineStr">
        <is>
          <t>(assigned on issue)</t>
        </is>
      </c>
      <c r="S167" s="2" t="inlineStr">
        <is>
          <t>CC042601|I</t>
        </is>
      </c>
      <c r="T167"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 t="inlineStr">
        <is>
          <t>n/a — initial certificate</t>
        </is>
      </c>
      <c r="V167" s="2" t="inlineStr">
        <is>
          <t>—</t>
        </is>
      </c>
      <c r="W167" s="2" t="inlineStr">
        <is>
          <t>—</t>
        </is>
      </c>
      <c r="X167" s="2" t="inlineStr">
        <is>
          <t>—</t>
        </is>
      </c>
      <c r="Y167" s="2" t="inlineStr">
        <is>
          <t>—</t>
        </is>
      </c>
      <c r="Z167" s="2" t="inlineStr">
        <is>
          <t>—</t>
        </is>
      </c>
      <c r="AA167" s="2" t="inlineStr">
        <is>
          <t>—</t>
        </is>
      </c>
      <c r="AB167" s="11" t="inlineStr">
        <is>
          <t>—</t>
        </is>
      </c>
      <c r="AC167" s="8" t="inlineStr">
        <is>
          <t>no Total THC result on this certificate</t>
        </is>
      </c>
    </row>
    <row r="168">
      <c r="A168" s="2">
        <f>IF(OR(C168="yes",C168="allocated",C168="ruled"),COUNT(A$1:A167)+1,"")</f>
        <v/>
      </c>
      <c r="B168" s="3">
        <f>IF(A168&lt;&gt;"","CoQ-PP_26-"&amp;TEXT(A168,"000"),"— at issue —")</f>
        <v/>
      </c>
      <c r="C168" s="12" t="inlineStr">
        <is>
          <t>ruled</t>
        </is>
      </c>
      <c r="D168" s="5">
        <f>IF(OR(A168="",C168="allocated",C168="ruled"),"",MAX(E168,IF(ISNUMBER(I168),I168,0),IFERROR(IF(ISNUMBER(INDEX('iCoA Register'!$F:$F,MATCH(S168,'iCoA Register'!$AA:$AA,0))),INDEX('iCoA Register'!$F:$F,MATCH(S168,'iCoA Register'!$AA:$AA,0)),0),0)))</f>
        <v/>
      </c>
      <c r="E168" s="5">
        <f>IF(ISNUMBER(F168),MAX(DATE(2026,6,6),F168+7),DATE(2026,6,6))</f>
        <v/>
      </c>
      <c r="F168" s="5" t="inlineStr">
        <is>
          <t>—</t>
        </is>
      </c>
      <c r="G168" s="2" t="inlineStr">
        <is>
          <t>—</t>
        </is>
      </c>
      <c r="H168" s="2">
        <f>IFERROR(INDEX('iCoA Register'!$B:$B,MATCH("FB042601|I",'iCoA Register'!$AA:$AA,0)),"—")</f>
        <v/>
      </c>
      <c r="I168" s="5">
        <f>IFERROR(INDEX('iCoA Register'!$D:$D,MATCH("FB042601|I",'iCoA Register'!$AA:$AA,0)),"")</f>
        <v/>
      </c>
      <c r="J168" s="2" t="inlineStr">
        <is>
          <t>—</t>
        </is>
      </c>
      <c r="K168" s="2" t="inlineStr">
        <is>
          <t>initial release</t>
        </is>
      </c>
      <c r="L168" s="3" t="inlineStr">
        <is>
          <t>FB042601</t>
        </is>
      </c>
      <c r="M168" s="2" t="inlineStr">
        <is>
          <t>N/A — no P batch assigned</t>
        </is>
      </c>
      <c r="N168" s="2" t="inlineStr">
        <is>
          <t>Fat Bastard</t>
        </is>
      </c>
      <c r="O168" s="6" t="inlineStr">
        <is>
          <t>— no cannabinoid certificate from the initial testing —</t>
        </is>
      </c>
      <c r="P168" s="6" t="inlineStr">
        <is>
          <t>—</t>
        </is>
      </c>
      <c r="Q168" s="2" t="inlineStr">
        <is>
          <t>—</t>
        </is>
      </c>
      <c r="R168" s="2" t="inlineStr">
        <is>
          <t>(assigned on issue)</t>
        </is>
      </c>
      <c r="S168" s="2" t="inlineStr">
        <is>
          <t>FB042601|I</t>
        </is>
      </c>
      <c r="T168"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 t="inlineStr">
        <is>
          <t>n/a — initial certificate</t>
        </is>
      </c>
      <c r="V168" s="2" t="inlineStr">
        <is>
          <t>—</t>
        </is>
      </c>
      <c r="W168" s="2" t="inlineStr">
        <is>
          <t>—</t>
        </is>
      </c>
      <c r="X168" s="2" t="inlineStr">
        <is>
          <t>—</t>
        </is>
      </c>
      <c r="Y168" s="2" t="inlineStr">
        <is>
          <t>—</t>
        </is>
      </c>
      <c r="Z168" s="2" t="inlineStr">
        <is>
          <t>—</t>
        </is>
      </c>
      <c r="AA168" s="2" t="inlineStr">
        <is>
          <t>—</t>
        </is>
      </c>
      <c r="AB168" s="11" t="inlineStr">
        <is>
          <t>—</t>
        </is>
      </c>
      <c r="AC168" s="8" t="inlineStr">
        <is>
          <t>no Total THC result on this certificate</t>
        </is>
      </c>
    </row>
    <row r="169">
      <c r="A169" s="2">
        <f>IF(OR(C169="yes",C169="allocated",C169="ruled"),COUNT(A$1:A168)+1,"")</f>
        <v/>
      </c>
      <c r="B169" s="3">
        <f>IF(A169&lt;&gt;"","CoQ-PP_26-"&amp;TEXT(A169,"000"),"— at issue —")</f>
        <v/>
      </c>
      <c r="C169" s="12" t="inlineStr">
        <is>
          <t>ruled</t>
        </is>
      </c>
      <c r="D169" s="5">
        <f>IF(OR(A169="",C169="allocated",C169="ruled"),"",MAX(E169,IF(ISNUMBER(I169),I169,0),IFERROR(IF(ISNUMBER(INDEX('iCoA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is>
          <t>Grape Pie</t>
        </is>
      </c>
      <c r="O169" s="2" t="inlineStr">
        <is>
          <t>ППК26117, (06.07.2026) [CNP]</t>
        </is>
      </c>
      <c r="P169" s="2" t="inlineStr">
        <is>
          <t>A: ППК26117 / B: ППК26117 / FM: ППК26117</t>
        </is>
      </c>
      <c r="Q169" s="2" t="inlineStr">
        <is>
          <t>—</t>
        </is>
      </c>
      <c r="R169" s="2" t="inlineStr">
        <is>
          <t>(assigned on issue)</t>
        </is>
      </c>
      <c r="S169" s="2" t="inlineStr">
        <is>
          <t>P160012|I</t>
        </is>
      </c>
      <c r="T169"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9" s="2" t="inlineStr">
        <is>
          <t>n/a — initial certificate</t>
        </is>
      </c>
      <c r="V169" s="10" t="n">
        <v>26.32</v>
      </c>
      <c r="W169" s="2" t="inlineStr">
        <is>
          <t>ППК26117</t>
        </is>
      </c>
      <c r="X169" s="2" t="inlineStr">
        <is>
          <t>28.00 ± 2.00 (I)</t>
        </is>
      </c>
      <c r="Y169" s="2" t="inlineStr">
        <is>
          <t>26.00 – 29.99 %</t>
        </is>
      </c>
      <c r="Z169" s="2" t="inlineStr">
        <is>
          <t>GP_THC28 : CBD1</t>
        </is>
      </c>
      <c r="AA169" s="2" t="inlineStr">
        <is>
          <t>QCSP_001_GP-I_v.01</t>
        </is>
      </c>
      <c r="AB169" s="8" t="inlineStr">
        <is>
          <t>for review — replaces the issued QCSP_001_GP-I_v.01 (was GP_THC28 : CBD1, 26.61 – 29.39 %); now GP_THC28 : CBD1 26.00 – 29.99 %</t>
        </is>
      </c>
      <c r="AC169" s="11" t="inlineStr"/>
    </row>
    <row r="170">
      <c r="A170" s="2">
        <f>IF(OR(C170="yes",C170="allocated",C170="ruled"),COUNT(A$1:A169)+1,"")</f>
        <v/>
      </c>
      <c r="B170" s="3">
        <f>IF(A170&lt;&gt;"","CoQ-PP_26-"&amp;TEXT(A170,"000"),"— at issue —")</f>
        <v/>
      </c>
      <c r="C170" s="12" t="inlineStr">
        <is>
          <t>ruled</t>
        </is>
      </c>
      <c r="D170" s="5">
        <f>IF(OR(A170="",C170="allocated",C170="ruled"),"",MAX(E170,IF(ISNUMBER(I170),I170,0),IFERROR(IF(ISNUMBER(INDEX('iCoA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is>
          <t>Grape Pie</t>
        </is>
      </c>
      <c r="O170" s="2" t="inlineStr">
        <is>
          <t>ППК26118, (06.07.2026) [CNP]</t>
        </is>
      </c>
      <c r="P170" s="2" t="inlineStr">
        <is>
          <t>A: ППК26118 / B: ППК26118 / FM: ППК26118</t>
        </is>
      </c>
      <c r="Q170" s="2" t="inlineStr">
        <is>
          <t>—</t>
        </is>
      </c>
      <c r="R170" s="2" t="inlineStr">
        <is>
          <t>(assigned on issue)</t>
        </is>
      </c>
      <c r="S170" s="2" t="inlineStr">
        <is>
          <t>P160022|I</t>
        </is>
      </c>
      <c r="T170"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0" s="2" t="inlineStr">
        <is>
          <t>n/a — initial certificate</t>
        </is>
      </c>
      <c r="V170" s="10" t="n">
        <v>25.72</v>
      </c>
      <c r="W170" s="2" t="inlineStr">
        <is>
          <t>ППК26118</t>
        </is>
      </c>
      <c r="X170" s="2" t="inlineStr">
        <is>
          <t>24.00 ± 2.00 (II)</t>
        </is>
      </c>
      <c r="Y170" s="2" t="inlineStr">
        <is>
          <t>22.00 – 25.99 %</t>
        </is>
      </c>
      <c r="Z170" s="2" t="inlineStr">
        <is>
          <t>GP_THC24 : CBD1</t>
        </is>
      </c>
      <c r="AA170" s="2" t="inlineStr">
        <is>
          <t>QCSP_001_GP-II_v.01</t>
        </is>
      </c>
      <c r="AB170" s="8" t="inlineStr">
        <is>
          <t>for review — replaces the issued QCSP_001_GP-II_v.01 (was GP_THC26 : CBD1, 25.40 – 26.60 %); now GP_THC24 : CBD1 22.00 – 25.99 %</t>
        </is>
      </c>
      <c r="AC170" s="11" t="inlineStr"/>
    </row>
    <row r="171">
      <c r="A171" s="2">
        <f>IF(OR(C171="yes",C171="allocated",C171="ruled"),COUNT(A$1:A170)+1,"")</f>
        <v/>
      </c>
      <c r="B171" s="3">
        <f>IF(A171&lt;&gt;"","CoQ-PP_26-"&amp;TEXT(A171,"000"),"— at issue —")</f>
        <v/>
      </c>
      <c r="C171" s="12" t="inlineStr">
        <is>
          <t>ruled</t>
        </is>
      </c>
      <c r="D171" s="5">
        <f>IF(OR(A171="",C171="allocated",C171="ruled"),"",MAX(E171,IF(ISNUMBER(I171),I171,0),IFERROR(IF(ISNUMBER(INDEX('iCoA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is>
          <t>Grape Pie</t>
        </is>
      </c>
      <c r="O171" s="2" t="inlineStr">
        <is>
          <t>ППК26119, (06.07.2026) [CNP]</t>
        </is>
      </c>
      <c r="P171" s="2" t="inlineStr">
        <is>
          <t>A: ППК26119 / B: ППК26119 / FM: ППК26119</t>
        </is>
      </c>
      <c r="Q171" s="2" t="inlineStr">
        <is>
          <t>—</t>
        </is>
      </c>
      <c r="R171" s="2" t="inlineStr">
        <is>
          <t>(assigned on issue)</t>
        </is>
      </c>
      <c r="S171" s="2" t="inlineStr">
        <is>
          <t>P160032|I</t>
        </is>
      </c>
      <c r="T171"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1" s="2" t="inlineStr">
        <is>
          <t>n/a — initial certificate</t>
        </is>
      </c>
      <c r="V171" s="10" t="n">
        <v>24.78</v>
      </c>
      <c r="W171" s="2" t="inlineStr">
        <is>
          <t>ППК26119</t>
        </is>
      </c>
      <c r="X171" s="2" t="inlineStr">
        <is>
          <t>24.00 ± 2.00 (II)</t>
        </is>
      </c>
      <c r="Y171" s="2" t="inlineStr">
        <is>
          <t>22.00 – 25.99 %</t>
        </is>
      </c>
      <c r="Z171" s="2" t="inlineStr">
        <is>
          <t>GP_THC24 : CBD1</t>
        </is>
      </c>
      <c r="AA171" s="2" t="inlineStr">
        <is>
          <t>QCSP_001_GP-II_v.01</t>
        </is>
      </c>
      <c r="AB171" s="8" t="inlineStr">
        <is>
          <t>for review — replaces the issued QCSP_001_GP-II_v.01 (was GP_THC26 : CBD1, 25.40 – 26.60 %); now GP_THC24 : CBD1 22.00 – 25.99 %</t>
        </is>
      </c>
      <c r="AC171" s="11" t="inlineStr"/>
    </row>
    <row r="172">
      <c r="A172" s="2">
        <f>IF(OR(C172="yes",C172="allocated",C172="ruled"),COUNT(A$1:A171)+1,"")</f>
        <v/>
      </c>
      <c r="B172" s="3">
        <f>IF(A172&lt;&gt;"","CoQ-PP_26-"&amp;TEXT(A172,"000"),"— at issue —")</f>
        <v/>
      </c>
      <c r="C172" s="12" t="inlineStr">
        <is>
          <t>ruled</t>
        </is>
      </c>
      <c r="D172" s="5">
        <f>IF(OR(A172="",C172="allocated",C172="ruled"),"",MAX(E172,IF(ISNUMBER(I172),I172,0),IFERROR(IF(ISNUMBER(INDEX('iCoA Register'!$F:$F,MATCH(S172,'iCoA Register'!$AA:$AA,0))),INDEX('iCoA Register'!$F:$F,MATCH(S172,'iCoA Register'!$AA:$AA,0)),0),0)))</f>
        <v/>
      </c>
      <c r="E172" s="5">
        <f>IF(ISNUMBER(F172),MAX(DATE(2026,6,6),F172+7),"— awaiting the retest certificates —")</f>
        <v/>
      </c>
      <c r="F172" s="5" t="n">
        <v>46276</v>
      </c>
      <c r="G172" s="2" t="inlineStr">
        <is>
          <t>220-32-M-26</t>
        </is>
      </c>
      <c r="H172" s="2">
        <f>IFERROR(INDEX('iCoA Register'!$B:$B,MATCH("CC042601|R",'iCoA Register'!$AA:$AA,0)),"—")</f>
        <v/>
      </c>
      <c r="I172" s="5">
        <f>IFERROR(INDEX('iCoA Register'!$D:$D,MATCH("CC042601|R",'iCoA Register'!$AA:$AA,0)),"")</f>
        <v/>
      </c>
      <c r="J172" s="2" t="inlineStr">
        <is>
          <t>—</t>
        </is>
      </c>
      <c r="K172" s="2" t="inlineStr">
        <is>
          <t>retest — Tranche 2 (sampled 12–14.08.2026)</t>
        </is>
      </c>
      <c r="L172" s="3" t="inlineStr">
        <is>
          <t>CC042601</t>
        </is>
      </c>
      <c r="M172" s="2" t="inlineStr">
        <is>
          <t>N/A — no P batch assigned</t>
        </is>
      </c>
      <c r="N172" s="2" t="inlineStr">
        <is>
          <t>Cash Cow</t>
        </is>
      </c>
      <c r="O172" s="2" t="inlineStr">
        <is>
          <t>220-32-K-26, (26.08.2026) [FHM-K]</t>
        </is>
      </c>
      <c r="P172" s="6" t="inlineStr">
        <is>
          <t>—</t>
        </is>
      </c>
      <c r="Q172" s="2" t="inlineStr">
        <is>
          <t>—</t>
        </is>
      </c>
      <c r="R172" s="2" t="inlineStr">
        <is>
          <t>CoQ reissue (assigned on issue)</t>
        </is>
      </c>
      <c r="S172" s="2" t="inlineStr">
        <is>
          <t>CC042601|R</t>
        </is>
      </c>
      <c r="T172"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2" s="2">
        <f>IFERROR(INDEX('CoQ Register'!$B:$B,MATCH("CC042601|I",'CoQ Register'!$S:$S,0)),"— initial certificate not on the register —")</f>
        <v/>
      </c>
      <c r="V172" s="10" t="n">
        <v>14.9</v>
      </c>
      <c r="W172" s="2" t="inlineStr">
        <is>
          <t>220-32-К/26</t>
        </is>
      </c>
      <c r="X172" s="2" t="inlineStr">
        <is>
          <t>14.00 ± 1.35 (II)</t>
        </is>
      </c>
      <c r="Y172" s="2" t="inlineStr">
        <is>
          <t>12.65 – 15.34 %</t>
        </is>
      </c>
      <c r="Z172" s="2" t="inlineStr">
        <is>
          <t>CC_THC14 : CBD1</t>
        </is>
      </c>
      <c r="AA172" s="2" t="inlineStr">
        <is>
          <t>QCSP_001_CC-II_v.01</t>
        </is>
      </c>
      <c r="AB172" s="8" t="inlineStr">
        <is>
          <t>for review — replaces the issued QCSP_001_CC-II_v.01 (was CC_THC14 : CBD1, 12.60 – 15.40 %); now CC_THC14 : CBD1 12.65 – 15.34 %</t>
        </is>
      </c>
      <c r="AC172" s="11" t="inlineStr"/>
    </row>
    <row r="173">
      <c r="A173" s="2">
        <f>IF(OR(C173="yes",C173="allocated",C173="ruled"),COUNT(A$1:A172)+1,"")</f>
        <v/>
      </c>
      <c r="B173" s="3">
        <f>IF(A173&lt;&gt;"","CoQ-PP_26-"&amp;TEXT(A173,"000"),"— at issue —")</f>
        <v/>
      </c>
      <c r="C173" s="12" t="inlineStr">
        <is>
          <t>ruled</t>
        </is>
      </c>
      <c r="D173" s="5">
        <f>IF(OR(A173="",C173="allocated",C173="ruled"),"",MAX(E173,IF(ISNUMBER(I173),I173,0),IFERROR(IF(ISNUMBER(INDEX('iCoA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3" s="2">
        <f>IFERROR(INDEX('CoQ Register'!$B:$B,MATCH("FB042601|I",'CoQ Register'!$S:$S,0)),"— initial certificate not on the register —")</f>
        <v/>
      </c>
      <c r="V173" s="10" t="n">
        <v>14.99</v>
      </c>
      <c r="W173" s="2" t="inlineStr">
        <is>
          <t>220-31-К/26</t>
        </is>
      </c>
      <c r="X173" s="2" t="inlineStr">
        <is>
          <t>15.00 ± 1.20 (III)</t>
        </is>
      </c>
      <c r="Y173" s="2" t="inlineStr">
        <is>
          <t>13.80 – 16.19 %</t>
        </is>
      </c>
      <c r="Z173" s="2" t="inlineStr">
        <is>
          <t>FB_THC15 : CBD1</t>
        </is>
      </c>
      <c r="AA173" s="2" t="inlineStr">
        <is>
          <t>QCSP_001_FB-III_v.01</t>
        </is>
      </c>
      <c r="AB173" s="8" t="inlineStr">
        <is>
          <t>for review — replaces the issued QCSP_001_FB-III_v.01 (was FB_THC16 : CBD1, 14.86 – 17.14 %); now FB_THC15 : CBD1 13.80 – 16.19 %</t>
        </is>
      </c>
      <c r="AC173" s="11" t="inlineStr"/>
    </row>
    <row r="174"/>
    <row r="175" ht="150" customHeight="1">
      <c r="A175"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v55 on 21.09.2026</t>
        </is>
      </c>
    </row>
    <row r="2" ht="150" customHeight="1">
      <c r="A2" s="16"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CoQ_Analysis_Master_v55.xlsx,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2026-09-21T10:47:01Z</dcterms:created>
  <dcterms:modified xmlns:dcterms="http://purl.org/dc/terms/" xmlns:xsi="http://www.w3.org/2001/XMLSchema-instance" xsi:type="dcterms:W3CDTF">2026-09-21T10:47:01Z</dcterms:modified>
</cp:coreProperties>
</file>