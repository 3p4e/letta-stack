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CoA Register" sheetId="1" state="visible" r:id="rId1"/>
    <sheet xmlns:r="http://schemas.openxmlformats.org/officeDocument/2006/relationships" name="CoQ Register" sheetId="2" state="visible" r:id="rId2"/>
    <sheet xmlns:r="http://schemas.openxmlformats.org/officeDocument/2006/relationships" name="Batch Dates" sheetId="3" state="visible" r:id="rId3"/>
    <sheet xmlns:r="http://schemas.openxmlformats.org/officeDocument/2006/relationships" name="Read Me" sheetId="4" state="visible" r:id="rId4"/>
  </sheets>
  <definedNames/>
  <calcPr calcId="124519" fullCalcOnLoad="1"/>
</workbook>
</file>

<file path=xl/styles.xml><?xml version="1.0" encoding="utf-8"?>
<styleSheet xmlns="http://schemas.openxmlformats.org/spreadsheetml/2006/main">
  <numFmts count="2">
    <numFmt numFmtId="164" formatCode="DD.MM.YYYY"/>
    <numFmt numFmtId="165" formatCode="yyyy-mm-dd"/>
  </numFmts>
  <fonts count="7">
    <font>
      <name val="Calibri"/>
      <family val="2"/>
      <color theme="1"/>
      <sz val="11"/>
      <scheme val="minor"/>
    </font>
    <font>
      <name val="Calibri"/>
      <b val="1"/>
      <color rgb="00FFFFFF"/>
      <sz val="8"/>
    </font>
    <font>
      <name val="Calibri"/>
      <sz val="7"/>
    </font>
    <font>
      <name val="Calibri"/>
      <b val="1"/>
      <sz val="7"/>
    </font>
    <font>
      <name val="Calibri"/>
      <i val="1"/>
      <color rgb="00595959"/>
      <sz val="6.5"/>
    </font>
    <font>
      <name val="Calibri"/>
      <b val="1"/>
      <sz val="9"/>
    </font>
    <font>
      <name val="Calibri"/>
      <sz val="9"/>
    </font>
  </fonts>
  <fills count="7">
    <fill>
      <patternFill/>
    </fill>
    <fill>
      <patternFill patternType="gray125"/>
    </fill>
    <fill>
      <patternFill patternType="solid">
        <fgColor rgb="001F3864"/>
      </patternFill>
    </fill>
    <fill>
      <patternFill patternType="solid">
        <fgColor rgb="00C6EFCE"/>
      </patternFill>
    </fill>
    <fill>
      <patternFill patternType="solid">
        <fgColor rgb="00FDE9D9"/>
      </patternFill>
    </fill>
    <fill>
      <patternFill patternType="solid">
        <fgColor rgb="00EFEFEF"/>
      </patternFill>
    </fill>
    <fill>
      <patternFill patternType="solid">
        <fgColor rgb="00FCE5C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horizontal="center" vertical="center" wrapText="1"/>
    </xf>
    <xf numFmtId="0" fontId="3" fillId="0" borderId="1" applyAlignment="1" pivotButton="0" quotePrefix="0" xfId="0">
      <alignment horizontal="center" vertical="center" wrapText="1"/>
    </xf>
    <xf numFmtId="0" fontId="2" fillId="3" borderId="1" applyAlignment="1" pivotButton="0" quotePrefix="0" xfId="0">
      <alignment horizontal="center" vertical="center" wrapText="1"/>
    </xf>
    <xf numFmtId="164" fontId="2" fillId="0" borderId="1" applyAlignment="1" pivotButton="0" quotePrefix="0" xfId="0">
      <alignment horizontal="center" vertical="center" wrapText="1"/>
    </xf>
    <xf numFmtId="0" fontId="2" fillId="4" borderId="1" applyAlignment="1" pivotButton="0" quotePrefix="0" xfId="0">
      <alignment horizontal="center" vertical="center" wrapText="1"/>
    </xf>
    <xf numFmtId="0" fontId="2" fillId="3" borderId="1" applyAlignment="1" pivotButton="0" quotePrefix="0" xfId="0">
      <alignment horizontal="left" vertical="center" wrapText="1"/>
    </xf>
    <xf numFmtId="0" fontId="2" fillId="4" borderId="1" applyAlignment="1" pivotButton="0" quotePrefix="0" xfId="0">
      <alignment horizontal="left" vertical="center" wrapText="1"/>
    </xf>
    <xf numFmtId="0" fontId="4" fillId="5" borderId="1" applyAlignment="1" pivotButton="0" quotePrefix="0" xfId="0">
      <alignment horizontal="left" vertical="top" wrapText="1"/>
    </xf>
    <xf numFmtId="2" fontId="2" fillId="0" borderId="1" applyAlignment="1" pivotButton="0" quotePrefix="0" xfId="0">
      <alignment horizontal="center" vertical="center" wrapText="1"/>
    </xf>
    <xf numFmtId="0" fontId="2" fillId="0" borderId="1" applyAlignment="1" pivotButton="0" quotePrefix="0" xfId="0">
      <alignment horizontal="left" vertical="center" wrapText="1"/>
    </xf>
    <xf numFmtId="0" fontId="2" fillId="6" borderId="1" applyAlignment="1" pivotButton="0" quotePrefix="0" xfId="0">
      <alignment horizontal="center" vertical="center" wrapText="1"/>
    </xf>
    <xf numFmtId="0" fontId="2" fillId="6" borderId="1" applyAlignment="1" pivotButton="0" quotePrefix="0" xfId="0">
      <alignment horizontal="left" vertical="center" wrapText="1"/>
    </xf>
    <xf numFmtId="164" fontId="2" fillId="4" borderId="1" applyAlignment="1" pivotButton="0" quotePrefix="0" xfId="0">
      <alignment horizontal="center" vertical="center" wrapText="1"/>
    </xf>
    <xf numFmtId="0" fontId="5" fillId="0" borderId="0" applyAlignment="1" pivotButton="0" quotePrefix="0" xfId="0">
      <alignment vertical="top" wrapText="1"/>
    </xf>
    <xf numFmtId="0" fontId="6"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ables/table1.xml><?xml version="1.0" encoding="utf-8"?>
<table xmlns="http://schemas.openxmlformats.org/spreadsheetml/2006/main" id="1" name="iCoA_Register" displayName="iCoA_Register" ref="A1:AB208" headerRowCount="1">
  <autoFilter ref="A1:AB208"/>
  <tableColumns count="28">
    <tableColumn id="1" name="No."/>
    <tableColumn id="2" name="iCoA code"/>
    <tableColumn id="3" name="Issuable"/>
    <tableColumn id="4" name="Issue date (planned)"/>
    <tableColumn id="5" name="Test date (packaging)"/>
    <tableColumn id="6" name="Packaging complete"/>
    <tableColumn id="7" name="Group"/>
    <tableColumn id="8" name="Series"/>
    <tableColumn id="9" name="CU Batch"/>
    <tableColumn id="10" name="P Batch"/>
    <tableColumn id="11" name="Strain"/>
    <tableColumn id="12" name="iCoA scope"/>
    <tableColumn id="13" name="CNP reference"/>
    <tableColumn id="14" name="CoQ (register)"/>
    <tableColumn id="15" name="Plan reference (31.08.2026)"/>
    <tableColumn id="16" name="Basis date"/>
    <tableColumn id="17" name="Harvest"/>
    <tableColumn id="18" name="Packaging"/>
    <tableColumn id="19" name="CoQ issue (planned)"/>
    <tableColumn id="20" name="#1 Ident. A"/>
    <tableColumn id="21" name="#2 Ident. B"/>
    <tableColumn id="22" name="#7 Foreign matter"/>
    <tableColumn id="23" name="Ident C — covered by (eCoA)"/>
    <tableColumn id="24" name="Retest assay #4–#6 (eCoA)"/>
    <tableColumn id="25" name="Retest mycotoxins #10 (eCoA)"/>
    <tableColumn id="26" name="Carried forward"/>
    <tableColumn id="27" name="Key"/>
    <tableColumn id="28" name="Status"/>
  </tableColumns>
  <tableStyleInfo name="TableStyleLight1" showFirstColumn="0" showLastColumn="0" showRowStripes="0" showColumnStripes="0"/>
</table>
</file>

<file path=xl/tables/table2.xml><?xml version="1.0" encoding="utf-8"?>
<table xmlns="http://schemas.openxmlformats.org/spreadsheetml/2006/main" id="2" name="CoQ_Register" displayName="CoQ_Register" ref="A1:AC173" headerRowCount="1">
  <autoFilter ref="A1:AC173"/>
  <tableColumns count="29">
    <tableColumn id="1" name="No."/>
    <tableColumn id="2" name="CoQ code"/>
    <tableColumn id="3" name="Issuable"/>
    <tableColumn id="4" name="Issue date (planned)"/>
    <tableColumn id="5" name="Rule date"/>
    <tableColumn id="6" name="Latest eCoA cited (date)"/>
    <tableColumn id="7" name="Latest eCoA cited (code)"/>
    <tableColumn id="8" name="iCoA (register)"/>
    <tableColumn id="9" name="iCoA issue date"/>
    <tableColumn id="10" name="Group"/>
    <tableColumn id="11" name="Series"/>
    <tableColumn id="12" name="CU Batch"/>
    <tableColumn id="13" name="P Batch"/>
    <tableColumn id="14" name="Strain"/>
    <tableColumn id="15" name="Ident C — eCoA (Total THC)"/>
    <tableColumn id="16" name="CNP references"/>
    <tableColumn id="17" name="Supersedes (old in-house CoA)"/>
    <tableColumn id="18" name="Plan reference (31.08.2026)"/>
    <tableColumn id="19" name="Key"/>
    <tableColumn id="20" name="Status"/>
    <tableColumn id="21" name="Supersedes (initial CoQ)"/>
    <tableColumn id="22" name="Total THC (%)"/>
    <tableColumn id="23" name="THC certificate"/>
    <tableColumn id="24" name="Grade nominal ± tol. (numeral)"/>
    <tableColumn id="25" name="Grade window"/>
    <tableColumn id="26" name="Product code"/>
    <tableColumn id="27" name="Specification code"/>
    <tableColumn id="28" name="Specification status"/>
    <tableColumn id="29" name="Grading note"/>
  </tableColumns>
  <tableStyleInfo name="TableStyleLight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AB21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9" customWidth="1" min="3" max="3"/>
    <col width="18" customWidth="1" min="4" max="4"/>
    <col width="16" customWidth="1" min="5" max="5"/>
    <col width="16" customWidth="1" min="6" max="6"/>
    <col width="10" customWidth="1" min="7" max="7"/>
    <col width="20" customWidth="1" min="8" max="8"/>
    <col width="16" customWidth="1" min="9" max="9"/>
    <col width="12" customWidth="1" min="10" max="10"/>
    <col width="20" customWidth="1" min="11" max="11"/>
    <col width="30" customWidth="1" min="12" max="12"/>
    <col width="26" customWidth="1" min="13" max="13"/>
    <col width="16" customWidth="1" min="14" max="14"/>
    <col width="22" customWidth="1" min="15" max="15"/>
    <col width="12" customWidth="1" min="16" max="16"/>
    <col width="24" customWidth="1" min="17" max="17"/>
    <col width="28" customWidth="1" min="18" max="18"/>
    <col width="16" customWidth="1" min="19" max="19"/>
    <col width="14" customWidth="1" min="20" max="20"/>
    <col width="14" customWidth="1" min="21" max="21"/>
    <col width="16" customWidth="1" min="22" max="22"/>
    <col width="34" customWidth="1" min="23" max="23"/>
    <col width="34" customWidth="1" min="24" max="24"/>
    <col width="34" customWidth="1" min="25" max="25"/>
    <col width="30" customWidth="1" min="26" max="26"/>
    <col width="14" customWidth="1" min="27" max="27"/>
    <col width="60" customWidth="1" min="28" max="28"/>
  </cols>
  <sheetData>
    <row r="1" ht="22" customHeight="1">
      <c r="A1" s="1" t="inlineStr">
        <is>
          <t>No.</t>
        </is>
      </c>
      <c r="B1" s="1" t="inlineStr">
        <is>
          <t>iCoA code</t>
        </is>
      </c>
      <c r="C1" s="1" t="inlineStr">
        <is>
          <t>Issuable</t>
        </is>
      </c>
      <c r="D1" s="1" t="inlineStr">
        <is>
          <t>Issue date (planned)</t>
        </is>
      </c>
      <c r="E1" s="1" t="inlineStr">
        <is>
          <t>Test date (packaging)</t>
        </is>
      </c>
      <c r="F1" s="1" t="inlineStr">
        <is>
          <t>Packaging complete</t>
        </is>
      </c>
      <c r="G1" s="1" t="inlineStr">
        <is>
          <t>Group</t>
        </is>
      </c>
      <c r="H1" s="1" t="inlineStr">
        <is>
          <t>Series</t>
        </is>
      </c>
      <c r="I1" s="1" t="inlineStr">
        <is>
          <t>CU Batch</t>
        </is>
      </c>
      <c r="J1" s="1" t="inlineStr">
        <is>
          <t>P Batch</t>
        </is>
      </c>
      <c r="K1" s="1" t="inlineStr">
        <is>
          <t>Strain</t>
        </is>
      </c>
      <c r="L1" s="1" t="inlineStr">
        <is>
          <t>iCoA scope</t>
        </is>
      </c>
      <c r="M1" s="1" t="inlineStr">
        <is>
          <t>CNP reference</t>
        </is>
      </c>
      <c r="N1" s="1" t="inlineStr">
        <is>
          <t>CoQ (register)</t>
        </is>
      </c>
      <c r="O1" s="1" t="inlineStr">
        <is>
          <t>Plan reference (31.08.2026)</t>
        </is>
      </c>
      <c r="P1" s="1" t="inlineStr">
        <is>
          <t>Basis date</t>
        </is>
      </c>
      <c r="Q1" s="1" t="inlineStr">
        <is>
          <t>Harvest</t>
        </is>
      </c>
      <c r="R1" s="1" t="inlineStr">
        <is>
          <t>Packaging</t>
        </is>
      </c>
      <c r="S1" s="1" t="inlineStr">
        <is>
          <t>CoQ issue (planned)</t>
        </is>
      </c>
      <c r="T1" s="1" t="inlineStr">
        <is>
          <t>#1 Ident. A</t>
        </is>
      </c>
      <c r="U1" s="1" t="inlineStr">
        <is>
          <t>#2 Ident. B</t>
        </is>
      </c>
      <c r="V1" s="1" t="inlineStr">
        <is>
          <t>#7 Foreign matter</t>
        </is>
      </c>
      <c r="W1" s="1" t="inlineStr">
        <is>
          <t>Ident C — covered by (eCoA)</t>
        </is>
      </c>
      <c r="X1" s="1" t="inlineStr">
        <is>
          <t>Retest assay #4–#6 (eCoA)</t>
        </is>
      </c>
      <c r="Y1" s="1" t="inlineStr">
        <is>
          <t>Retest mycotoxins #10 (eCoA)</t>
        </is>
      </c>
      <c r="Z1" s="1" t="inlineStr">
        <is>
          <t>Carried forward</t>
        </is>
      </c>
      <c r="AA1" s="1" t="inlineStr">
        <is>
          <t>Key</t>
        </is>
      </c>
      <c r="AB1" s="1" t="inlineStr">
        <is>
          <t>Status</t>
        </is>
      </c>
    </row>
    <row r="2">
      <c r="A2" s="2" t="n">
        <v>1</v>
      </c>
      <c r="B2" s="3" t="inlineStr">
        <is>
          <t>iCoA-PP_26-001</t>
        </is>
      </c>
      <c r="C2" s="4" t="inlineStr">
        <is>
          <t>yes</t>
        </is>
      </c>
      <c r="D2" s="5">
        <f>IF(A2="","",IF(ISNUMBER(E2),MAX(DATE(2026,6,3),E2),DATE(2026,6,3)))</f>
        <v/>
      </c>
      <c r="E2" s="5">
        <f>IFERROR(INDEX('Batch Dates'!$F:$F,MATCH(J2,'Batch Dates'!$C:$C,0)),IFERROR(INDEX('Batch Dates'!$F:$F,MATCH(I2,'Batch Dates'!$B:$B,0)),""))</f>
        <v/>
      </c>
      <c r="F2" s="5">
        <f>IFERROR(INDEX('Batch Dates'!$G:$G,MATCH(J2,'Batch Dates'!$C:$C,0)),IFERROR(INDEX('Batch Dates'!$G:$G,MATCH(I2,'Batch Dates'!$B:$B,0)),""))</f>
        <v/>
      </c>
      <c r="G2" s="2" t="inlineStr">
        <is>
          <t>legacy</t>
        </is>
      </c>
      <c r="H2" s="2" t="inlineStr">
        <is>
          <t>initial release</t>
        </is>
      </c>
      <c r="I2" s="3" t="inlineStr">
        <is>
          <t>CJ1024</t>
        </is>
      </c>
      <c r="J2" s="2" t="inlineStr">
        <is>
          <t>N/A — no P batch assigned</t>
        </is>
      </c>
      <c r="K2" s="2" t="inlineStr">
        <is>
          <t>Cap Junky</t>
        </is>
      </c>
      <c r="L2" s="2" t="inlineStr">
        <is>
          <t>Ident A + Ident B + Foreign matter</t>
        </is>
      </c>
      <c r="M2" s="6" t="inlineStr">
        <is>
          <t>—</t>
        </is>
      </c>
      <c r="N2" s="2">
        <f>IFERROR(INDEX('CoQ Register'!$B:$B,MATCH("CJ1024|I",'CoQ Register'!$S:$S,0)),"—")</f>
        <v/>
      </c>
      <c r="O2" s="6" t="inlineStr">
        <is>
          <t>—</t>
        </is>
      </c>
      <c r="P2" s="2" t="inlineStr">
        <is>
          <t>27.02.2025</t>
        </is>
      </c>
      <c r="Q2" s="2" t="inlineStr">
        <is>
          <t>20.01.2025</t>
        </is>
      </c>
      <c r="R2" s="2" t="inlineStr">
        <is>
          <t>03.03.2025 (the issuance plan's basis: 27.02.2025)</t>
        </is>
      </c>
      <c r="S2" s="5">
        <f>IFERROR(INDEX('CoQ Register'!$D:$D,MATCH("CJ1024|I",'CoQ Register'!$S:$S,0)),"")</f>
        <v/>
      </c>
      <c r="T2" s="2" t="inlineStr">
        <is>
          <t>Conforms</t>
        </is>
      </c>
      <c r="U2" s="2" t="inlineStr">
        <is>
          <t>Conforms</t>
        </is>
      </c>
      <c r="V2" s="2" t="inlineStr">
        <is>
          <t>Conforms</t>
        </is>
      </c>
      <c r="W2" s="2" t="inlineStr">
        <is>
          <t>ППК25052, (26.02.2025) [CNP]</t>
        </is>
      </c>
      <c r="X2" s="2" t="inlineStr">
        <is>
          <t>—</t>
        </is>
      </c>
      <c r="Y2" s="2" t="inlineStr">
        <is>
          <t>—</t>
        </is>
      </c>
      <c r="Z2" s="2" t="inlineStr">
        <is>
          <t>—</t>
        </is>
      </c>
      <c r="AA2" s="2" t="inlineStr">
        <is>
          <t>CJ1024|I</t>
        </is>
      </c>
      <c r="AB2" s="7" t="inlineStr">
        <is>
          <t>registered — initial release, issued 03.06.2026</t>
        </is>
      </c>
    </row>
    <row r="3">
      <c r="A3" s="2" t="n">
        <v>2</v>
      </c>
      <c r="B3" s="3" t="inlineStr">
        <is>
          <t>iCoA-PP_26-002</t>
        </is>
      </c>
      <c r="C3" s="4" t="inlineStr">
        <is>
          <t>yes</t>
        </is>
      </c>
      <c r="D3" s="5">
        <f>IF(A3="","",IF(ISNUMBER(E3),MAX(DATE(2026,6,3),E3),DATE(2026,6,3)))</f>
        <v/>
      </c>
      <c r="E3" s="5">
        <f>IFERROR(INDEX('Batch Dates'!$F:$F,MATCH(J3,'Batch Dates'!$C:$C,0)),IFERROR(INDEX('Batch Dates'!$F:$F,MATCH(I3,'Batch Dates'!$B:$B,0)),""))</f>
        <v/>
      </c>
      <c r="F3" s="5">
        <f>IFERROR(INDEX('Batch Dates'!$G:$G,MATCH(J3,'Batch Dates'!$C:$C,0)),IFERROR(INDEX('Batch Dates'!$G:$G,MATCH(I3,'Batch Dates'!$B:$B,0)),""))</f>
        <v/>
      </c>
      <c r="G3" s="2" t="inlineStr">
        <is>
          <t>legacy</t>
        </is>
      </c>
      <c r="H3" s="2" t="inlineStr">
        <is>
          <t>initial release</t>
        </is>
      </c>
      <c r="I3" s="3" t="inlineStr">
        <is>
          <t>BSS1024</t>
        </is>
      </c>
      <c r="J3" s="2" t="inlineStr">
        <is>
          <t>N/A — no P batch assigned</t>
        </is>
      </c>
      <c r="K3" s="2" t="inlineStr">
        <is>
          <t>Blue Sunset Sherbet</t>
        </is>
      </c>
      <c r="L3" s="2" t="inlineStr">
        <is>
          <t>Ident A + Ident B + Foreign matter</t>
        </is>
      </c>
      <c r="M3" s="6" t="inlineStr">
        <is>
          <t>—</t>
        </is>
      </c>
      <c r="N3" s="2">
        <f>IFERROR(INDEX('CoQ Register'!$B:$B,MATCH("BSS1024|I",'CoQ Register'!$S:$S,0)),"—")</f>
        <v/>
      </c>
      <c r="O3" s="2" t="inlineStr">
        <is>
          <t>iCoA-PP-2025-0001</t>
        </is>
      </c>
      <c r="P3" s="2" t="inlineStr">
        <is>
          <t>04.03.2025</t>
        </is>
      </c>
      <c r="Q3" s="2" t="inlineStr">
        <is>
          <t>22.01.2025</t>
        </is>
      </c>
      <c r="R3" s="2" t="inlineStr">
        <is>
          <t>04.03.2025</t>
        </is>
      </c>
      <c r="S3" s="5">
        <f>IFERROR(INDEX('CoQ Register'!$D:$D,MATCH("BSS1024|I",'CoQ Register'!$S:$S,0)),"")</f>
        <v/>
      </c>
      <c r="T3" s="2" t="inlineStr">
        <is>
          <t>Conforms</t>
        </is>
      </c>
      <c r="U3" s="2" t="inlineStr">
        <is>
          <t>Conforms</t>
        </is>
      </c>
      <c r="V3" s="2" t="inlineStr">
        <is>
          <t>Conforms</t>
        </is>
      </c>
      <c r="W3" s="2" t="inlineStr">
        <is>
          <t>ППК25051, (26.02.2025) [CNP]</t>
        </is>
      </c>
      <c r="X3" s="2" t="inlineStr">
        <is>
          <t>—</t>
        </is>
      </c>
      <c r="Y3" s="2" t="inlineStr">
        <is>
          <t>—</t>
        </is>
      </c>
      <c r="Z3" s="2" t="inlineStr">
        <is>
          <t>—</t>
        </is>
      </c>
      <c r="AA3" s="2" t="inlineStr">
        <is>
          <t>BSS1024|I</t>
        </is>
      </c>
      <c r="AB3" s="7" t="inlineStr">
        <is>
          <t>registered — initial release, issued 03.06.2026</t>
        </is>
      </c>
    </row>
    <row r="4">
      <c r="A4" s="2" t="n">
        <v>3</v>
      </c>
      <c r="B4" s="3" t="inlineStr">
        <is>
          <t>iCoA-PP_26-003</t>
        </is>
      </c>
      <c r="C4" s="4" t="inlineStr">
        <is>
          <t>yes</t>
        </is>
      </c>
      <c r="D4" s="5">
        <f>IF(A4="","",IF(ISNUMBER(E4),MAX(DATE(2026,6,3),E4),DATE(2026,6,3)))</f>
        <v/>
      </c>
      <c r="E4" s="5">
        <f>IFERROR(INDEX('Batch Dates'!$F:$F,MATCH(J4,'Batch Dates'!$C:$C,0)),IFERROR(INDEX('Batch Dates'!$F:$F,MATCH(I4,'Batch Dates'!$B:$B,0)),""))</f>
        <v/>
      </c>
      <c r="F4" s="5">
        <f>IFERROR(INDEX('Batch Dates'!$G:$G,MATCH(J4,'Batch Dates'!$C:$C,0)),IFERROR(INDEX('Batch Dates'!$G:$G,MATCH(I4,'Batch Dates'!$B:$B,0)),""))</f>
        <v/>
      </c>
      <c r="G4" s="2" t="inlineStr">
        <is>
          <t>legacy</t>
        </is>
      </c>
      <c r="H4" s="2" t="inlineStr">
        <is>
          <t>initial release</t>
        </is>
      </c>
      <c r="I4" s="3" t="inlineStr">
        <is>
          <t>BG1024</t>
        </is>
      </c>
      <c r="J4" s="2" t="inlineStr">
        <is>
          <t>N/A — no P batch assigned</t>
        </is>
      </c>
      <c r="K4" s="2" t="inlineStr">
        <is>
          <t>Blue Gelato</t>
        </is>
      </c>
      <c r="L4" s="2" t="inlineStr">
        <is>
          <t>Ident A + Ident B + Foreign matter</t>
        </is>
      </c>
      <c r="M4" s="6" t="inlineStr">
        <is>
          <t>—</t>
        </is>
      </c>
      <c r="N4" s="2">
        <f>IFERROR(INDEX('CoQ Register'!$B:$B,MATCH("BG1024|I",'CoQ Register'!$S:$S,0)),"—")</f>
        <v/>
      </c>
      <c r="O4" s="2" t="inlineStr">
        <is>
          <t>iCoA-PP-2025-0002</t>
        </is>
      </c>
      <c r="P4" s="2" t="inlineStr">
        <is>
          <t>07.03.2025</t>
        </is>
      </c>
      <c r="Q4" s="2" t="inlineStr">
        <is>
          <t>21.01.2025</t>
        </is>
      </c>
      <c r="R4" s="2" t="inlineStr">
        <is>
          <t>07.03.2025</t>
        </is>
      </c>
      <c r="S4" s="5">
        <f>IFERROR(INDEX('CoQ Register'!$D:$D,MATCH("BG1024|I",'CoQ Register'!$S:$S,0)),"")</f>
        <v/>
      </c>
      <c r="T4" s="2" t="inlineStr">
        <is>
          <t>Conforms</t>
        </is>
      </c>
      <c r="U4" s="2" t="inlineStr">
        <is>
          <t>Conforms</t>
        </is>
      </c>
      <c r="V4" s="2" t="inlineStr">
        <is>
          <t>Conforms</t>
        </is>
      </c>
      <c r="W4" s="2" t="inlineStr">
        <is>
          <t>ППК25050, (26.02.2025) [CNP]</t>
        </is>
      </c>
      <c r="X4" s="2" t="inlineStr">
        <is>
          <t>—</t>
        </is>
      </c>
      <c r="Y4" s="2" t="inlineStr">
        <is>
          <t>—</t>
        </is>
      </c>
      <c r="Z4" s="2" t="inlineStr">
        <is>
          <t>—</t>
        </is>
      </c>
      <c r="AA4" s="2" t="inlineStr">
        <is>
          <t>BG1024|I</t>
        </is>
      </c>
      <c r="AB4" s="7" t="inlineStr">
        <is>
          <t>registered — initial release, issued 03.06.2026</t>
        </is>
      </c>
    </row>
    <row r="5">
      <c r="A5" s="2" t="n">
        <v>4</v>
      </c>
      <c r="B5" s="3" t="inlineStr">
        <is>
          <t>iCoA-PP_26-004</t>
        </is>
      </c>
      <c r="C5" s="4" t="inlineStr">
        <is>
          <t>yes</t>
        </is>
      </c>
      <c r="D5" s="5">
        <f>IF(A5="","",IF(ISNUMBER(E5),MAX(DATE(2026,6,3),E5),DATE(2026,6,3)))</f>
        <v/>
      </c>
      <c r="E5" s="5">
        <f>IFERROR(INDEX('Batch Dates'!$F:$F,MATCH(J5,'Batch Dates'!$C:$C,0)),IFERROR(INDEX('Batch Dates'!$F:$F,MATCH(I5,'Batch Dates'!$B:$B,0)),""))</f>
        <v/>
      </c>
      <c r="F5" s="5">
        <f>IFERROR(INDEX('Batch Dates'!$G:$G,MATCH(J5,'Batch Dates'!$C:$C,0)),IFERROR(INDEX('Batch Dates'!$G:$G,MATCH(I5,'Batch Dates'!$B:$B,0)),""))</f>
        <v/>
      </c>
      <c r="G5" s="2" t="inlineStr">
        <is>
          <t>legacy</t>
        </is>
      </c>
      <c r="H5" s="2" t="inlineStr">
        <is>
          <t>initial release</t>
        </is>
      </c>
      <c r="I5" s="3" t="inlineStr">
        <is>
          <t>GG1024</t>
        </is>
      </c>
      <c r="J5" s="2" t="inlineStr">
        <is>
          <t>N/A — no P batch assigned</t>
        </is>
      </c>
      <c r="K5" s="2" t="inlineStr">
        <is>
          <t>Gorilla Glue</t>
        </is>
      </c>
      <c r="L5" s="2" t="inlineStr">
        <is>
          <t>Ident A + Ident B + Foreign matter</t>
        </is>
      </c>
      <c r="M5" s="6" t="inlineStr">
        <is>
          <t>—</t>
        </is>
      </c>
      <c r="N5" s="2">
        <f>IFERROR(INDEX('CoQ Register'!$B:$B,MATCH("GG1024|I",'CoQ Register'!$S:$S,0)),"—")</f>
        <v/>
      </c>
      <c r="O5" s="2" t="inlineStr">
        <is>
          <t>iCoA-PP-2025-0003</t>
        </is>
      </c>
      <c r="P5" s="2" t="inlineStr">
        <is>
          <t>11.03.2025</t>
        </is>
      </c>
      <c r="Q5" s="2" t="inlineStr">
        <is>
          <t>20.01.2025</t>
        </is>
      </c>
      <c r="R5" s="2" t="inlineStr">
        <is>
          <t>11.03.2025</t>
        </is>
      </c>
      <c r="S5" s="5">
        <f>IFERROR(INDEX('CoQ Register'!$D:$D,MATCH("GG1024|I",'CoQ Register'!$S:$S,0)),"")</f>
        <v/>
      </c>
      <c r="T5" s="2" t="inlineStr">
        <is>
          <t>Conforms</t>
        </is>
      </c>
      <c r="U5" s="2" t="inlineStr">
        <is>
          <t>Conforms</t>
        </is>
      </c>
      <c r="V5" s="2" t="inlineStr">
        <is>
          <t>Conforms</t>
        </is>
      </c>
      <c r="W5" s="2" t="inlineStr">
        <is>
          <t>— no cannabinoid certificate from the initial testing —</t>
        </is>
      </c>
      <c r="X5" s="2" t="inlineStr">
        <is>
          <t>—</t>
        </is>
      </c>
      <c r="Y5" s="2" t="inlineStr">
        <is>
          <t>—</t>
        </is>
      </c>
      <c r="Z5" s="2" t="inlineStr">
        <is>
          <t>—</t>
        </is>
      </c>
      <c r="AA5" s="2" t="inlineStr">
        <is>
          <t>GG1024|I</t>
        </is>
      </c>
      <c r="AB5" s="7" t="inlineStr">
        <is>
          <t>registered — initial release, issued 03.06.2026</t>
        </is>
      </c>
    </row>
    <row r="6">
      <c r="A6" s="2" t="n">
        <v>5</v>
      </c>
      <c r="B6" s="3" t="inlineStr">
        <is>
          <t>iCoA-PP_26-005</t>
        </is>
      </c>
      <c r="C6" s="4" t="inlineStr">
        <is>
          <t>yes</t>
        </is>
      </c>
      <c r="D6" s="5">
        <f>IF(A6="","",IF(ISNUMBER(E6),MAX(DATE(2026,6,3),E6),DATE(2026,6,3)))</f>
        <v/>
      </c>
      <c r="E6" s="5">
        <f>IFERROR(INDEX('Batch Dates'!$F:$F,MATCH(J6,'Batch Dates'!$C:$C,0)),IFERROR(INDEX('Batch Dates'!$F:$F,MATCH(I6,'Batch Dates'!$B:$B,0)),""))</f>
        <v/>
      </c>
      <c r="F6" s="5">
        <f>IFERROR(INDEX('Batch Dates'!$G:$G,MATCH(J6,'Batch Dates'!$C:$C,0)),IFERROR(INDEX('Batch Dates'!$G:$G,MATCH(I6,'Batch Dates'!$B:$B,0)),""))</f>
        <v/>
      </c>
      <c r="G6" s="2" t="inlineStr">
        <is>
          <t>legacy</t>
        </is>
      </c>
      <c r="H6" s="2" t="inlineStr">
        <is>
          <t>initial release</t>
        </is>
      </c>
      <c r="I6" s="3" t="inlineStr">
        <is>
          <t>HPA1024</t>
        </is>
      </c>
      <c r="J6" s="2" t="inlineStr">
        <is>
          <t>N/A — no P batch assigned</t>
        </is>
      </c>
      <c r="K6" s="2" t="inlineStr">
        <is>
          <t>High Pro Amnesia</t>
        </is>
      </c>
      <c r="L6" s="2" t="inlineStr">
        <is>
          <t>Ident A + Ident B + #4 + #5 + Foreign matter + #9.1 + #9.2 + #9.3 + #9.4 + #9.5 + #10.2 + #11.1 + #11.2 + #11.3 + #11.4 + #12</t>
        </is>
      </c>
      <c r="M6" s="6" t="inlineStr">
        <is>
          <t>—</t>
        </is>
      </c>
      <c r="N6" s="2">
        <f>IFERROR(INDEX('CoQ Register'!$B:$B,MATCH("HPA1024|I",'CoQ Register'!$S:$S,0)),"—")</f>
        <v/>
      </c>
      <c r="O6" s="2" t="inlineStr">
        <is>
          <t>iCoA-PP-2025-0004</t>
        </is>
      </c>
      <c r="P6" s="2" t="inlineStr">
        <is>
          <t>11.04.2025</t>
        </is>
      </c>
      <c r="Q6" s="2" t="inlineStr">
        <is>
          <t>22.01.2025</t>
        </is>
      </c>
      <c r="R6" s="2" t="inlineStr">
        <is>
          <t>11.04.2025</t>
        </is>
      </c>
      <c r="S6" s="5">
        <f>IFERROR(INDEX('CoQ Register'!$D:$D,MATCH("HPA1024|I",'CoQ Register'!$S:$S,0)),"")</f>
        <v/>
      </c>
      <c r="T6" s="2" t="inlineStr">
        <is>
          <t>Conforms</t>
        </is>
      </c>
      <c r="U6" s="2" t="inlineStr">
        <is>
          <t>Conforms</t>
        </is>
      </c>
      <c r="V6" s="2" t="inlineStr">
        <is>
          <t>Conforms</t>
        </is>
      </c>
      <c r="W6" s="2" t="inlineStr">
        <is>
          <t>— no cannabinoid certificate from the initial testing —</t>
        </is>
      </c>
      <c r="X6" s="2" t="inlineStr">
        <is>
          <t>—</t>
        </is>
      </c>
      <c r="Y6" s="2" t="inlineStr">
        <is>
          <t>—</t>
        </is>
      </c>
      <c r="Z6" s="2" t="inlineStr">
        <is>
          <t>—</t>
        </is>
      </c>
      <c r="AA6" s="2" t="inlineStr">
        <is>
          <t>HPA1024|I</t>
        </is>
      </c>
      <c r="AB6" s="7" t="inlineStr">
        <is>
          <t>registered — initial release, issued 03.06.2026</t>
        </is>
      </c>
    </row>
    <row r="7">
      <c r="A7" s="2" t="n">
        <v>6</v>
      </c>
      <c r="B7" s="3" t="inlineStr">
        <is>
          <t>iCoA-PP_26-006</t>
        </is>
      </c>
      <c r="C7" s="4" t="inlineStr">
        <is>
          <t>yes</t>
        </is>
      </c>
      <c r="D7" s="5">
        <f>IF(A7="","",IF(ISNUMBER(E7),MAX(DATE(2026,6,3),E7),DATE(2026,6,3)))</f>
        <v/>
      </c>
      <c r="E7" s="5">
        <f>IFERROR(INDEX('Batch Dates'!$F:$F,MATCH(J7,'Batch Dates'!$C:$C,0)),IFERROR(INDEX('Batch Dates'!$F:$F,MATCH(I7,'Batch Dates'!$B:$B,0)),""))</f>
        <v/>
      </c>
      <c r="F7" s="5">
        <f>IFERROR(INDEX('Batch Dates'!$G:$G,MATCH(J7,'Batch Dates'!$C:$C,0)),IFERROR(INDEX('Batch Dates'!$G:$G,MATCH(I7,'Batch Dates'!$B:$B,0)),""))</f>
        <v/>
      </c>
      <c r="G7" s="2" t="inlineStr">
        <is>
          <t>legacy</t>
        </is>
      </c>
      <c r="H7" s="2" t="inlineStr">
        <is>
          <t>initial release</t>
        </is>
      </c>
      <c r="I7" s="3" t="inlineStr">
        <is>
          <t>OPM1024</t>
        </is>
      </c>
      <c r="J7" s="2" t="inlineStr">
        <is>
          <t>N/A — no P batch assigned</t>
        </is>
      </c>
      <c r="K7" s="2" t="inlineStr">
        <is>
          <t>Orange Punch Mimosa</t>
        </is>
      </c>
      <c r="L7" s="2" t="inlineStr">
        <is>
          <t>Ident A + Ident B + #4 + #5 + Foreign matter + #9.1 + #9.2 + #9.3 + #9.4 + #9.5 + #10.2 + #11.1 + #11.2 + #11.3 + #11.4 + #12</t>
        </is>
      </c>
      <c r="M7" s="6" t="inlineStr">
        <is>
          <t>—</t>
        </is>
      </c>
      <c r="N7" s="2">
        <f>IFERROR(INDEX('CoQ Register'!$B:$B,MATCH("OPM1024|I",'CoQ Register'!$S:$S,0)),"—")</f>
        <v/>
      </c>
      <c r="O7" s="2" t="inlineStr">
        <is>
          <t>iCoA-PP-2025-0005</t>
        </is>
      </c>
      <c r="P7" s="2" t="inlineStr">
        <is>
          <t>24.04.2025</t>
        </is>
      </c>
      <c r="Q7" s="2" t="inlineStr">
        <is>
          <t>21.01.2025</t>
        </is>
      </c>
      <c r="R7" s="2" t="inlineStr">
        <is>
          <t>24.04.2025 – 25.04.2025</t>
        </is>
      </c>
      <c r="S7" s="5">
        <f>IFERROR(INDEX('CoQ Register'!$D:$D,MATCH("OPM1024|I",'CoQ Register'!$S:$S,0)),"")</f>
        <v/>
      </c>
      <c r="T7" s="2" t="inlineStr">
        <is>
          <t>Conforms</t>
        </is>
      </c>
      <c r="U7" s="2" t="inlineStr">
        <is>
          <t>Conforms</t>
        </is>
      </c>
      <c r="V7" s="2" t="inlineStr">
        <is>
          <t>Conforms</t>
        </is>
      </c>
      <c r="W7" s="2" t="inlineStr">
        <is>
          <t>— no cannabinoid certificate from the initial testing —</t>
        </is>
      </c>
      <c r="X7" s="2" t="inlineStr">
        <is>
          <t>—</t>
        </is>
      </c>
      <c r="Y7" s="2" t="inlineStr">
        <is>
          <t>—</t>
        </is>
      </c>
      <c r="Z7" s="2" t="inlineStr">
        <is>
          <t>—</t>
        </is>
      </c>
      <c r="AA7" s="2" t="inlineStr">
        <is>
          <t>OPM1024|I</t>
        </is>
      </c>
      <c r="AB7" s="7" t="inlineStr">
        <is>
          <t>registered — initial release, issued 03.06.2026</t>
        </is>
      </c>
    </row>
    <row r="8">
      <c r="A8" s="2" t="n">
        <v>7</v>
      </c>
      <c r="B8" s="3" t="inlineStr">
        <is>
          <t>iCoA-PP_26-007</t>
        </is>
      </c>
      <c r="C8" s="4" t="inlineStr">
        <is>
          <t>yes</t>
        </is>
      </c>
      <c r="D8" s="5">
        <f>IF(A8="","",IF(ISNUMBER(E8),MAX(DATE(2026,6,3),E8),DATE(2026,6,3)))</f>
        <v/>
      </c>
      <c r="E8" s="5">
        <f>IFERROR(INDEX('Batch Dates'!$F:$F,MATCH(J8,'Batch Dates'!$C:$C,0)),IFERROR(INDEX('Batch Dates'!$F:$F,MATCH(I8,'Batch Dates'!$B:$B,0)),""))</f>
        <v/>
      </c>
      <c r="F8" s="5">
        <f>IFERROR(INDEX('Batch Dates'!$G:$G,MATCH(J8,'Batch Dates'!$C:$C,0)),IFERROR(INDEX('Batch Dates'!$G:$G,MATCH(I8,'Batch Dates'!$B:$B,0)),""))</f>
        <v/>
      </c>
      <c r="G8" s="2" t="inlineStr">
        <is>
          <t>legacy</t>
        </is>
      </c>
      <c r="H8" s="2" t="inlineStr">
        <is>
          <t>initial release</t>
        </is>
      </c>
      <c r="I8" s="3" t="inlineStr">
        <is>
          <t>GP0824_02</t>
        </is>
      </c>
      <c r="J8" s="2" t="inlineStr">
        <is>
          <t>P050022</t>
        </is>
      </c>
      <c r="K8" s="2" t="inlineStr">
        <is>
          <t>Grape Pie</t>
        </is>
      </c>
      <c r="L8" s="2" t="inlineStr">
        <is>
          <t>Ident A + Ident B + Foreign matter</t>
        </is>
      </c>
      <c r="M8" s="6" t="inlineStr">
        <is>
          <t>—</t>
        </is>
      </c>
      <c r="N8" s="2">
        <f>IFERROR(INDEX('CoQ Register'!$B:$B,MATCH("P050022|I",'CoQ Register'!$S:$S,0)),"—")</f>
        <v/>
      </c>
      <c r="O8" s="2" t="inlineStr">
        <is>
          <t>iCoA-PP-2025-0006</t>
        </is>
      </c>
      <c r="P8" s="2" t="inlineStr">
        <is>
          <t>03.06.2025</t>
        </is>
      </c>
      <c r="Q8" s="2" t="inlineStr">
        <is>
          <t>22.04.2025 – 23.04.2025</t>
        </is>
      </c>
      <c r="R8" s="2" t="inlineStr">
        <is>
          <t>03.06.2025 – 11.06.2025</t>
        </is>
      </c>
      <c r="S8" s="5">
        <f>IFERROR(INDEX('CoQ Register'!$D:$D,MATCH("P050022|I",'CoQ Register'!$S:$S,0)),"")</f>
        <v/>
      </c>
      <c r="T8" s="2" t="inlineStr">
        <is>
          <t>Conforms</t>
        </is>
      </c>
      <c r="U8" s="2" t="inlineStr">
        <is>
          <t>Conforms</t>
        </is>
      </c>
      <c r="V8" s="2" t="inlineStr">
        <is>
          <t>Conforms</t>
        </is>
      </c>
      <c r="W8" s="2" t="inlineStr">
        <is>
          <t>ППК25139, (22.05.2025) [CNP]</t>
        </is>
      </c>
      <c r="X8" s="2" t="inlineStr">
        <is>
          <t>—</t>
        </is>
      </c>
      <c r="Y8" s="2" t="inlineStr">
        <is>
          <t>—</t>
        </is>
      </c>
      <c r="Z8" s="2" t="inlineStr">
        <is>
          <t>—</t>
        </is>
      </c>
      <c r="AA8" s="2" t="inlineStr">
        <is>
          <t>P050022|I</t>
        </is>
      </c>
      <c r="AB8" s="7" t="inlineStr">
        <is>
          <t>registered — initial release, issued 03.06.2026</t>
        </is>
      </c>
    </row>
    <row r="9">
      <c r="A9" s="2" t="n">
        <v>8</v>
      </c>
      <c r="B9" s="3" t="inlineStr">
        <is>
          <t>iCoA-PP_26-008</t>
        </is>
      </c>
      <c r="C9" s="4" t="inlineStr">
        <is>
          <t>yes</t>
        </is>
      </c>
      <c r="D9" s="5">
        <f>IF(A9="","",IF(ISNUMBER(E9),MAX(DATE(2026,6,3),E9),DATE(2026,6,3)))</f>
        <v/>
      </c>
      <c r="E9" s="5">
        <f>IFERROR(INDEX('Batch Dates'!$F:$F,MATCH(J9,'Batch Dates'!$C:$C,0)),IFERROR(INDEX('Batch Dates'!$F:$F,MATCH(I9,'Batch Dates'!$B:$B,0)),""))</f>
        <v/>
      </c>
      <c r="F9" s="5">
        <f>IFERROR(INDEX('Batch Dates'!$G:$G,MATCH(J9,'Batch Dates'!$C:$C,0)),IFERROR(INDEX('Batch Dates'!$G:$G,MATCH(I9,'Batch Dates'!$B:$B,0)),""))</f>
        <v/>
      </c>
      <c r="G9" s="2" t="inlineStr">
        <is>
          <t>legacy</t>
        </is>
      </c>
      <c r="H9" s="2" t="inlineStr">
        <is>
          <t>initial release</t>
        </is>
      </c>
      <c r="I9" s="3" t="inlineStr">
        <is>
          <t>GG1024_02</t>
        </is>
      </c>
      <c r="J9" s="2" t="inlineStr">
        <is>
          <t>P050012</t>
        </is>
      </c>
      <c r="K9" s="2" t="inlineStr">
        <is>
          <t>Gorilla Glue</t>
        </is>
      </c>
      <c r="L9" s="2" t="inlineStr">
        <is>
          <t>Ident A + Ident B + Foreign matter</t>
        </is>
      </c>
      <c r="M9" s="6" t="inlineStr">
        <is>
          <t>—</t>
        </is>
      </c>
      <c r="N9" s="2">
        <f>IFERROR(INDEX('CoQ Register'!$B:$B,MATCH("P050012|I",'CoQ Register'!$S:$S,0)),"—")</f>
        <v/>
      </c>
      <c r="O9" s="6" t="inlineStr">
        <is>
          <t>—</t>
        </is>
      </c>
      <c r="P9" s="2" t="inlineStr">
        <is>
          <t>30.05.2025</t>
        </is>
      </c>
      <c r="Q9" s="2" t="inlineStr">
        <is>
          <t>14.04.2025 – 15.04.2025</t>
        </is>
      </c>
      <c r="R9" s="2" t="inlineStr">
        <is>
          <t>11.06.2025 – 16.06.2025 (the issuance plan's basis: 30.05.2025)</t>
        </is>
      </c>
      <c r="S9" s="5">
        <f>IFERROR(INDEX('CoQ Register'!$D:$D,MATCH("P050012|I",'CoQ Register'!$S:$S,0)),"")</f>
        <v/>
      </c>
      <c r="T9" s="2" t="inlineStr">
        <is>
          <t>Conforms</t>
        </is>
      </c>
      <c r="U9" s="2" t="inlineStr">
        <is>
          <t>Conforms</t>
        </is>
      </c>
      <c r="V9" s="2" t="inlineStr">
        <is>
          <t>Conforms</t>
        </is>
      </c>
      <c r="W9" s="2" t="inlineStr">
        <is>
          <t>ППК25140, (22.05.2025) [CNP]</t>
        </is>
      </c>
      <c r="X9" s="2" t="inlineStr">
        <is>
          <t>—</t>
        </is>
      </c>
      <c r="Y9" s="2" t="inlineStr">
        <is>
          <t>—</t>
        </is>
      </c>
      <c r="Z9" s="2" t="inlineStr">
        <is>
          <t>—</t>
        </is>
      </c>
      <c r="AA9" s="2" t="inlineStr">
        <is>
          <t>P050012|I</t>
        </is>
      </c>
      <c r="AB9" s="7" t="inlineStr">
        <is>
          <t>registered — initial release, issued 03.06.2026</t>
        </is>
      </c>
    </row>
    <row r="10">
      <c r="A10" s="2" t="n">
        <v>9</v>
      </c>
      <c r="B10" s="3" t="inlineStr">
        <is>
          <t>iCoA-PP_26-009</t>
        </is>
      </c>
      <c r="C10" s="4" t="inlineStr">
        <is>
          <t>yes</t>
        </is>
      </c>
      <c r="D10" s="5">
        <f>IF(A10="","",IF(ISNUMBER(E10),MAX(DATE(2026,6,3),E10),DATE(2026,6,3)))</f>
        <v/>
      </c>
      <c r="E10" s="5">
        <f>IFERROR(INDEX('Batch Dates'!$F:$F,MATCH(J10,'Batch Dates'!$C:$C,0)),IFERROR(INDEX('Batch Dates'!$F:$F,MATCH(I10,'Batch Dates'!$B:$B,0)),""))</f>
        <v/>
      </c>
      <c r="F10" s="5">
        <f>IFERROR(INDEX('Batch Dates'!$G:$G,MATCH(J10,'Batch Dates'!$C:$C,0)),IFERROR(INDEX('Batch Dates'!$G:$G,MATCH(I10,'Batch Dates'!$B:$B,0)),""))</f>
        <v/>
      </c>
      <c r="G10" s="2" t="inlineStr">
        <is>
          <t>legacy</t>
        </is>
      </c>
      <c r="H10" s="2" t="inlineStr">
        <is>
          <t>initial release</t>
        </is>
      </c>
      <c r="I10" s="3" t="inlineStr">
        <is>
          <t>MB0824_04</t>
        </is>
      </c>
      <c r="J10" s="2" t="inlineStr">
        <is>
          <t>P050032</t>
        </is>
      </c>
      <c r="K10" s="2" t="inlineStr">
        <is>
          <t>Motor Breath</t>
        </is>
      </c>
      <c r="L10" s="2" t="inlineStr">
        <is>
          <t>Ident A + Ident B + Foreign matter</t>
        </is>
      </c>
      <c r="M10" s="6" t="inlineStr">
        <is>
          <t>—</t>
        </is>
      </c>
      <c r="N10" s="2">
        <f>IFERROR(INDEX('CoQ Register'!$B:$B,MATCH("P050032|I",'CoQ Register'!$S:$S,0)),"—")</f>
        <v/>
      </c>
      <c r="O10" s="6" t="inlineStr">
        <is>
          <t>—</t>
        </is>
      </c>
      <c r="P10" s="2" t="inlineStr">
        <is>
          <t>07.05.2025</t>
        </is>
      </c>
      <c r="Q10" s="2" t="inlineStr">
        <is>
          <t>02.04.2025 – 03.04.2025</t>
        </is>
      </c>
      <c r="R10" s="2" t="inlineStr">
        <is>
          <t>16.06.2025 – 19.06.2025 (the issuance plan's basis: 07.05.2025)</t>
        </is>
      </c>
      <c r="S10" s="5">
        <f>IFERROR(INDEX('CoQ Register'!$D:$D,MATCH("P050032|I",'CoQ Register'!$S:$S,0)),"")</f>
        <v/>
      </c>
      <c r="T10" s="2" t="inlineStr">
        <is>
          <t>Conforms</t>
        </is>
      </c>
      <c r="U10" s="2" t="inlineStr">
        <is>
          <t>Conforms</t>
        </is>
      </c>
      <c r="V10" s="2" t="inlineStr">
        <is>
          <t>Conforms</t>
        </is>
      </c>
      <c r="W10" s="2" t="inlineStr">
        <is>
          <t>ППК25118, (06.05.2025) [CNP]</t>
        </is>
      </c>
      <c r="X10" s="2" t="inlineStr">
        <is>
          <t>—</t>
        </is>
      </c>
      <c r="Y10" s="2" t="inlineStr">
        <is>
          <t>—</t>
        </is>
      </c>
      <c r="Z10" s="2" t="inlineStr">
        <is>
          <t>—</t>
        </is>
      </c>
      <c r="AA10" s="2" t="inlineStr">
        <is>
          <t>P050032|I</t>
        </is>
      </c>
      <c r="AB10" s="7" t="inlineStr">
        <is>
          <t>registered — initial release, issued 03.06.2026</t>
        </is>
      </c>
    </row>
    <row r="11">
      <c r="A11" s="2" t="n">
        <v>10</v>
      </c>
      <c r="B11" s="3" t="inlineStr">
        <is>
          <t>iCoA-PP_26-010</t>
        </is>
      </c>
      <c r="C11" s="4" t="inlineStr">
        <is>
          <t>yes</t>
        </is>
      </c>
      <c r="D11" s="5">
        <f>IF(A11="","",IF(ISNUMBER(E11),MAX(DATE(2026,6,3),E11),DATE(2026,6,3)))</f>
        <v/>
      </c>
      <c r="E11" s="5">
        <f>IFERROR(INDEX('Batch Dates'!$F:$F,MATCH(J11,'Batch Dates'!$C:$C,0)),IFERROR(INDEX('Batch Dates'!$F:$F,MATCH(I11,'Batch Dates'!$B:$B,0)),""))</f>
        <v/>
      </c>
      <c r="F11" s="5">
        <f>IFERROR(INDEX('Batch Dates'!$G:$G,MATCH(J11,'Batch Dates'!$C:$C,0)),IFERROR(INDEX('Batch Dates'!$G:$G,MATCH(I11,'Batch Dates'!$B:$B,0)),""))</f>
        <v/>
      </c>
      <c r="G11" s="2" t="inlineStr">
        <is>
          <t>legacy</t>
        </is>
      </c>
      <c r="H11" s="2" t="inlineStr">
        <is>
          <t>initial release</t>
        </is>
      </c>
      <c r="I11" s="3" t="inlineStr">
        <is>
          <t>HPA1024_01</t>
        </is>
      </c>
      <c r="J11" s="2" t="inlineStr">
        <is>
          <t>P050052</t>
        </is>
      </c>
      <c r="K11" s="2" t="inlineStr">
        <is>
          <t>High Pro Amnesia</t>
        </is>
      </c>
      <c r="L11" s="2" t="inlineStr">
        <is>
          <t>Ident A + Ident B + Foreign matter</t>
        </is>
      </c>
      <c r="M11" s="6" t="inlineStr">
        <is>
          <t>—</t>
        </is>
      </c>
      <c r="N11" s="2">
        <f>IFERROR(INDEX('CoQ Register'!$B:$B,MATCH("P050052|I",'CoQ Register'!$S:$S,0)),"—")</f>
        <v/>
      </c>
      <c r="O11" s="2" t="inlineStr">
        <is>
          <t>iCoA-PP-2025-0008</t>
        </is>
      </c>
      <c r="P11" s="2" t="inlineStr">
        <is>
          <t>27.06.2025</t>
        </is>
      </c>
      <c r="Q11" s="2" t="inlineStr">
        <is>
          <t>27.05.2025 – 28.05.2025</t>
        </is>
      </c>
      <c r="R11" s="2" t="inlineStr">
        <is>
          <t>27.06.2025 – 04.07.2025</t>
        </is>
      </c>
      <c r="S11" s="5">
        <f>IFERROR(INDEX('CoQ Register'!$D:$D,MATCH("P050052|I",'CoQ Register'!$S:$S,0)),"")</f>
        <v/>
      </c>
      <c r="T11" s="2" t="inlineStr">
        <is>
          <t>Conforms</t>
        </is>
      </c>
      <c r="U11" s="2" t="inlineStr">
        <is>
          <t>Conforms</t>
        </is>
      </c>
      <c r="V11" s="2" t="inlineStr">
        <is>
          <t>Conforms</t>
        </is>
      </c>
      <c r="W11" s="2" t="inlineStr">
        <is>
          <t>ППК25155, (24.06.2025) [CNP]</t>
        </is>
      </c>
      <c r="X11" s="2" t="inlineStr">
        <is>
          <t>—</t>
        </is>
      </c>
      <c r="Y11" s="2" t="inlineStr">
        <is>
          <t>—</t>
        </is>
      </c>
      <c r="Z11" s="2" t="inlineStr">
        <is>
          <t>—</t>
        </is>
      </c>
      <c r="AA11" s="2" t="inlineStr">
        <is>
          <t>P050052|I</t>
        </is>
      </c>
      <c r="AB11" s="7" t="inlineStr">
        <is>
          <t>registered — initial release, issued 03.06.2026</t>
        </is>
      </c>
    </row>
    <row r="12">
      <c r="A12" s="2" t="n">
        <v>11</v>
      </c>
      <c r="B12" s="3" t="inlineStr">
        <is>
          <t>iCoA-PP_26-011</t>
        </is>
      </c>
      <c r="C12" s="4" t="inlineStr">
        <is>
          <t>yes</t>
        </is>
      </c>
      <c r="D12" s="5">
        <f>IF(A12="","",IF(ISNUMBER(E12),MAX(DATE(2026,6,3),E12),DATE(2026,6,3)))</f>
        <v/>
      </c>
      <c r="E12" s="5">
        <f>IFERROR(INDEX('Batch Dates'!$F:$F,MATCH(J12,'Batch Dates'!$C:$C,0)),IFERROR(INDEX('Batch Dates'!$F:$F,MATCH(I12,'Batch Dates'!$B:$B,0)),""))</f>
        <v/>
      </c>
      <c r="F12" s="5">
        <f>IFERROR(INDEX('Batch Dates'!$G:$G,MATCH(J12,'Batch Dates'!$C:$C,0)),IFERROR(INDEX('Batch Dates'!$G:$G,MATCH(I12,'Batch Dates'!$B:$B,0)),""))</f>
        <v/>
      </c>
      <c r="G12" s="2" t="inlineStr">
        <is>
          <t>legacy</t>
        </is>
      </c>
      <c r="H12" s="2" t="inlineStr">
        <is>
          <t>initial release</t>
        </is>
      </c>
      <c r="I12" s="3" t="inlineStr">
        <is>
          <t>OPM1024_02</t>
        </is>
      </c>
      <c r="J12" s="2" t="inlineStr">
        <is>
          <t>P050062</t>
        </is>
      </c>
      <c r="K12" s="2" t="inlineStr">
        <is>
          <t>Orange Punch Mimosa</t>
        </is>
      </c>
      <c r="L12" s="2" t="inlineStr">
        <is>
          <t>Ident A + Ident B + Foreign matter</t>
        </is>
      </c>
      <c r="M12" s="6" t="inlineStr">
        <is>
          <t>—</t>
        </is>
      </c>
      <c r="N12" s="2">
        <f>IFERROR(INDEX('CoQ Register'!$B:$B,MATCH("P050062|I",'CoQ Register'!$S:$S,0)),"—")</f>
        <v/>
      </c>
      <c r="O12" s="2" t="inlineStr">
        <is>
          <t>iCoA-PP-2025-0009</t>
        </is>
      </c>
      <c r="P12" s="2" t="inlineStr">
        <is>
          <t>04.07.2025</t>
        </is>
      </c>
      <c r="Q12" s="2" t="inlineStr">
        <is>
          <t>29.05.2025 – 30.05.2025</t>
        </is>
      </c>
      <c r="R12" s="2" t="inlineStr">
        <is>
          <t>04.07.2025 – 10.07.2025</t>
        </is>
      </c>
      <c r="S12" s="5">
        <f>IFERROR(INDEX('CoQ Register'!$D:$D,MATCH("P050062|I",'CoQ Register'!$S:$S,0)),"")</f>
        <v/>
      </c>
      <c r="T12" s="2" t="inlineStr">
        <is>
          <t>Conforms</t>
        </is>
      </c>
      <c r="U12" s="2" t="inlineStr">
        <is>
          <t>Conforms</t>
        </is>
      </c>
      <c r="V12" s="2" t="inlineStr">
        <is>
          <t>Conforms</t>
        </is>
      </c>
      <c r="W12" s="2" t="inlineStr">
        <is>
          <t>ППК25154, (24.06.2025) [CNP]</t>
        </is>
      </c>
      <c r="X12" s="2" t="inlineStr">
        <is>
          <t>—</t>
        </is>
      </c>
      <c r="Y12" s="2" t="inlineStr">
        <is>
          <t>—</t>
        </is>
      </c>
      <c r="Z12" s="2" t="inlineStr">
        <is>
          <t>—</t>
        </is>
      </c>
      <c r="AA12" s="2" t="inlineStr">
        <is>
          <t>P050062|I</t>
        </is>
      </c>
      <c r="AB12" s="7" t="inlineStr">
        <is>
          <t>registered — initial release, issued 03.06.2026</t>
        </is>
      </c>
    </row>
    <row r="13">
      <c r="A13" s="2" t="n">
        <v>12</v>
      </c>
      <c r="B13" s="3" t="inlineStr">
        <is>
          <t>iCoA-PP_26-012</t>
        </is>
      </c>
      <c r="C13" s="4" t="inlineStr">
        <is>
          <t>yes</t>
        </is>
      </c>
      <c r="D13" s="5">
        <f>IF(A13="","",IF(ISNUMBER(E13),MAX(DATE(2026,6,3),E13),DATE(2026,6,3)))</f>
        <v/>
      </c>
      <c r="E13" s="5">
        <f>IFERROR(INDEX('Batch Dates'!$F:$F,MATCH(J13,'Batch Dates'!$C:$C,0)),IFERROR(INDEX('Batch Dates'!$F:$F,MATCH(I13,'Batch Dates'!$B:$B,0)),""))</f>
        <v/>
      </c>
      <c r="F13" s="5">
        <f>IFERROR(INDEX('Batch Dates'!$G:$G,MATCH(J13,'Batch Dates'!$C:$C,0)),IFERROR(INDEX('Batch Dates'!$G:$G,MATCH(I13,'Batch Dates'!$B:$B,0)),""))</f>
        <v/>
      </c>
      <c r="G13" s="2" t="inlineStr">
        <is>
          <t>legacy</t>
        </is>
      </c>
      <c r="H13" s="2" t="inlineStr">
        <is>
          <t>initial release</t>
        </is>
      </c>
      <c r="I13" s="3" t="inlineStr">
        <is>
          <t>GP0824_03</t>
        </is>
      </c>
      <c r="J13" s="2" t="inlineStr">
        <is>
          <t>P050072</t>
        </is>
      </c>
      <c r="K13" s="2" t="inlineStr">
        <is>
          <t>Grape Pie</t>
        </is>
      </c>
      <c r="L13" s="2" t="inlineStr">
        <is>
          <t>Ident A + Ident B + Foreign matter</t>
        </is>
      </c>
      <c r="M13" s="6" t="inlineStr">
        <is>
          <t>—</t>
        </is>
      </c>
      <c r="N13" s="2">
        <f>IFERROR(INDEX('CoQ Register'!$B:$B,MATCH("P050072|I",'CoQ Register'!$S:$S,0)),"—")</f>
        <v/>
      </c>
      <c r="O13" s="2" t="inlineStr">
        <is>
          <t>iCoA-PP-2025-0010</t>
        </is>
      </c>
      <c r="P13" s="2" t="inlineStr">
        <is>
          <t>14.07.2025</t>
        </is>
      </c>
      <c r="Q13" s="2" t="inlineStr">
        <is>
          <t>09.06.2025 – 10.06.2025</t>
        </is>
      </c>
      <c r="R13" s="2" t="inlineStr">
        <is>
          <t>14.07.2025 – 17.07.2025</t>
        </is>
      </c>
      <c r="S13" s="5">
        <f>IFERROR(INDEX('CoQ Register'!$D:$D,MATCH("P050072|I",'CoQ Register'!$S:$S,0)),"")</f>
        <v/>
      </c>
      <c r="T13" s="2" t="inlineStr">
        <is>
          <t>Conforms</t>
        </is>
      </c>
      <c r="U13" s="2" t="inlineStr">
        <is>
          <t>Conforms</t>
        </is>
      </c>
      <c r="V13" s="2" t="inlineStr">
        <is>
          <t>Conforms</t>
        </is>
      </c>
      <c r="W13" s="2" t="inlineStr">
        <is>
          <t>ППК25175, (10.07.2025) [CNP]</t>
        </is>
      </c>
      <c r="X13" s="2" t="inlineStr">
        <is>
          <t>—</t>
        </is>
      </c>
      <c r="Y13" s="2" t="inlineStr">
        <is>
          <t>—</t>
        </is>
      </c>
      <c r="Z13" s="2" t="inlineStr">
        <is>
          <t>—</t>
        </is>
      </c>
      <c r="AA13" s="2" t="inlineStr">
        <is>
          <t>P050072|I</t>
        </is>
      </c>
      <c r="AB13" s="7" t="inlineStr">
        <is>
          <t>registered — initial release, issued 03.06.2026</t>
        </is>
      </c>
    </row>
    <row r="14">
      <c r="A14" s="2" t="n">
        <v>13</v>
      </c>
      <c r="B14" s="3" t="inlineStr">
        <is>
          <t>iCoA-PP_26-013</t>
        </is>
      </c>
      <c r="C14" s="4" t="inlineStr">
        <is>
          <t>yes</t>
        </is>
      </c>
      <c r="D14" s="5">
        <f>IF(A14="","",IF(ISNUMBER(E14),MAX(DATE(2026,6,3),E14),DATE(2026,6,3)))</f>
        <v/>
      </c>
      <c r="E14" s="5">
        <f>IFERROR(INDEX('Batch Dates'!$F:$F,MATCH(J14,'Batch Dates'!$C:$C,0)),IFERROR(INDEX('Batch Dates'!$F:$F,MATCH(I14,'Batch Dates'!$B:$B,0)),""))</f>
        <v/>
      </c>
      <c r="F14" s="5">
        <f>IFERROR(INDEX('Batch Dates'!$G:$G,MATCH(J14,'Batch Dates'!$C:$C,0)),IFERROR(INDEX('Batch Dates'!$G:$G,MATCH(I14,'Batch Dates'!$B:$B,0)),""))</f>
        <v/>
      </c>
      <c r="G14" s="2" t="inlineStr">
        <is>
          <t>legacy</t>
        </is>
      </c>
      <c r="H14" s="2" t="inlineStr">
        <is>
          <t>initial release</t>
        </is>
      </c>
      <c r="I14" s="3" t="inlineStr">
        <is>
          <t>OPM1024_03</t>
        </is>
      </c>
      <c r="J14" s="2" t="inlineStr">
        <is>
          <t>P050082</t>
        </is>
      </c>
      <c r="K14" s="2" t="inlineStr">
        <is>
          <t>Orange Punch Mimosa</t>
        </is>
      </c>
      <c r="L14" s="2" t="inlineStr">
        <is>
          <t>Ident A + Ident B + Foreign matter</t>
        </is>
      </c>
      <c r="M14" s="6" t="inlineStr">
        <is>
          <t>—</t>
        </is>
      </c>
      <c r="N14" s="2">
        <f>IFERROR(INDEX('CoQ Register'!$B:$B,MATCH("P050082|I",'CoQ Register'!$S:$S,0)),"—")</f>
        <v/>
      </c>
      <c r="O14" s="2" t="inlineStr">
        <is>
          <t>iCoA-PP-2025-0011</t>
        </is>
      </c>
      <c r="P14" s="2" t="inlineStr">
        <is>
          <t>22.07.2025</t>
        </is>
      </c>
      <c r="Q14" s="2" t="inlineStr">
        <is>
          <t>01.07.2025 – 02.07.2025</t>
        </is>
      </c>
      <c r="R14" s="2" t="inlineStr">
        <is>
          <t>22.07.2025 – 30.07.2025</t>
        </is>
      </c>
      <c r="S14" s="5">
        <f>IFERROR(INDEX('CoQ Register'!$D:$D,MATCH("P050082|I",'CoQ Register'!$S:$S,0)),"")</f>
        <v/>
      </c>
      <c r="T14" s="2" t="inlineStr">
        <is>
          <t>Conforms</t>
        </is>
      </c>
      <c r="U14" s="2" t="inlineStr">
        <is>
          <t>Conforms</t>
        </is>
      </c>
      <c r="V14" s="2" t="inlineStr">
        <is>
          <t>Conforms</t>
        </is>
      </c>
      <c r="W14" s="2" t="inlineStr">
        <is>
          <t>ППК25210, (28.07.2025) [CNP]</t>
        </is>
      </c>
      <c r="X14" s="2" t="inlineStr">
        <is>
          <t>—</t>
        </is>
      </c>
      <c r="Y14" s="2" t="inlineStr">
        <is>
          <t>—</t>
        </is>
      </c>
      <c r="Z14" s="2" t="inlineStr">
        <is>
          <t>—</t>
        </is>
      </c>
      <c r="AA14" s="2" t="inlineStr">
        <is>
          <t>P050082|I</t>
        </is>
      </c>
      <c r="AB14" s="7" t="inlineStr">
        <is>
          <t>registered — initial release, issued 03.06.2026</t>
        </is>
      </c>
    </row>
    <row r="15">
      <c r="A15" s="2" t="n">
        <v>14</v>
      </c>
      <c r="B15" s="3" t="inlineStr">
        <is>
          <t>iCoA-PP_26-014</t>
        </is>
      </c>
      <c r="C15" s="4" t="inlineStr">
        <is>
          <t>yes</t>
        </is>
      </c>
      <c r="D15" s="5">
        <f>IF(A15="","",IF(ISNUMBER(E15),MAX(DATE(2026,6,3),E15),DATE(2026,6,3)))</f>
        <v/>
      </c>
      <c r="E15" s="5">
        <f>IFERROR(INDEX('Batch Dates'!$F:$F,MATCH(J15,'Batch Dates'!$C:$C,0)),IFERROR(INDEX('Batch Dates'!$F:$F,MATCH(I15,'Batch Dates'!$B:$B,0)),""))</f>
        <v/>
      </c>
      <c r="F15" s="5">
        <f>IFERROR(INDEX('Batch Dates'!$G:$G,MATCH(J15,'Batch Dates'!$C:$C,0)),IFERROR(INDEX('Batch Dates'!$G:$G,MATCH(I15,'Batch Dates'!$B:$B,0)),""))</f>
        <v/>
      </c>
      <c r="G15" s="2" t="inlineStr">
        <is>
          <t>legacy</t>
        </is>
      </c>
      <c r="H15" s="2" t="inlineStr">
        <is>
          <t>initial release</t>
        </is>
      </c>
      <c r="I15" s="3" t="inlineStr">
        <is>
          <t>GG1024_01</t>
        </is>
      </c>
      <c r="J15" s="2" t="inlineStr">
        <is>
          <t>P050092</t>
        </is>
      </c>
      <c r="K15" s="2" t="inlineStr">
        <is>
          <t>Gorilla Glue</t>
        </is>
      </c>
      <c r="L15" s="2" t="inlineStr">
        <is>
          <t>Ident A + Ident B + Foreign matter</t>
        </is>
      </c>
      <c r="M15" s="6" t="inlineStr">
        <is>
          <t>—</t>
        </is>
      </c>
      <c r="N15" s="2">
        <f>IFERROR(INDEX('CoQ Register'!$B:$B,MATCH("P050092|I",'CoQ Register'!$S:$S,0)),"—")</f>
        <v/>
      </c>
      <c r="O15" s="2" t="inlineStr">
        <is>
          <t>iCoA-PP-2025-0012</t>
        </is>
      </c>
      <c r="P15" s="2" t="inlineStr">
        <is>
          <t>31.07.2025</t>
        </is>
      </c>
      <c r="Q15" s="2" t="inlineStr">
        <is>
          <t>17.03.2025 – 18.03.2025</t>
        </is>
      </c>
      <c r="R15" s="2" t="inlineStr">
        <is>
          <t>31.07.2025 – 05.08.2025</t>
        </is>
      </c>
      <c r="S15" s="5">
        <f>IFERROR(INDEX('CoQ Register'!$D:$D,MATCH("P050092|I",'CoQ Register'!$S:$S,0)),"")</f>
        <v/>
      </c>
      <c r="T15" s="2" t="inlineStr">
        <is>
          <t>Conforms</t>
        </is>
      </c>
      <c r="U15" s="2" t="inlineStr">
        <is>
          <t>Conforms</t>
        </is>
      </c>
      <c r="V15" s="2" t="inlineStr">
        <is>
          <t>Conforms</t>
        </is>
      </c>
      <c r="W15" s="2" t="inlineStr">
        <is>
          <t>ППК25104, (17.04.2025) [CNP]</t>
        </is>
      </c>
      <c r="X15" s="2" t="inlineStr">
        <is>
          <t>—</t>
        </is>
      </c>
      <c r="Y15" s="2" t="inlineStr">
        <is>
          <t>—</t>
        </is>
      </c>
      <c r="Z15" s="2" t="inlineStr">
        <is>
          <t>—</t>
        </is>
      </c>
      <c r="AA15" s="2" t="inlineStr">
        <is>
          <t>P050092|I</t>
        </is>
      </c>
      <c r="AB15" s="7" t="inlineStr">
        <is>
          <t>registered — initial release, issued 03.06.2026</t>
        </is>
      </c>
    </row>
    <row r="16">
      <c r="A16" s="2" t="n">
        <v>15</v>
      </c>
      <c r="B16" s="3" t="inlineStr">
        <is>
          <t>iCoA-PP_26-015</t>
        </is>
      </c>
      <c r="C16" s="4" t="inlineStr">
        <is>
          <t>yes</t>
        </is>
      </c>
      <c r="D16" s="5">
        <f>IF(A16="","",IF(ISNUMBER(E16),MAX(DATE(2026,6,3),E16),DATE(2026,6,3)))</f>
        <v/>
      </c>
      <c r="E16" s="5">
        <f>IFERROR(INDEX('Batch Dates'!$F:$F,MATCH(J16,'Batch Dates'!$C:$C,0)),IFERROR(INDEX('Batch Dates'!$F:$F,MATCH(I16,'Batch Dates'!$B:$B,0)),""))</f>
        <v/>
      </c>
      <c r="F16" s="5">
        <f>IFERROR(INDEX('Batch Dates'!$G:$G,MATCH(J16,'Batch Dates'!$C:$C,0)),IFERROR(INDEX('Batch Dates'!$G:$G,MATCH(I16,'Batch Dates'!$B:$B,0)),""))</f>
        <v/>
      </c>
      <c r="G16" s="2" t="inlineStr">
        <is>
          <t>legacy</t>
        </is>
      </c>
      <c r="H16" s="2" t="inlineStr">
        <is>
          <t>initial release</t>
        </is>
      </c>
      <c r="I16" s="3" t="inlineStr">
        <is>
          <t>GP0824_01</t>
        </is>
      </c>
      <c r="J16" s="2" t="inlineStr">
        <is>
          <t>P050102</t>
        </is>
      </c>
      <c r="K16" s="2" t="inlineStr">
        <is>
          <t>Grape Pie</t>
        </is>
      </c>
      <c r="L16" s="2" t="inlineStr">
        <is>
          <t>Ident A + Ident B + Foreign matter</t>
        </is>
      </c>
      <c r="M16" s="6" t="inlineStr">
        <is>
          <t>—</t>
        </is>
      </c>
      <c r="N16" s="2">
        <f>IFERROR(INDEX('CoQ Register'!$B:$B,MATCH("P050102|I",'CoQ Register'!$S:$S,0)),"—")</f>
        <v/>
      </c>
      <c r="O16" s="6" t="inlineStr">
        <is>
          <t>—</t>
        </is>
      </c>
      <c r="P16" s="2" t="inlineStr">
        <is>
          <t>17.04.2025</t>
        </is>
      </c>
      <c r="Q16" s="2" t="inlineStr">
        <is>
          <t>20.03.2025 – 21.03.2025</t>
        </is>
      </c>
      <c r="R16" s="2" t="inlineStr">
        <is>
          <t>05.08.2025 – 07.08.2025 (the issuance plan's basis: 17.04.2025)</t>
        </is>
      </c>
      <c r="S16" s="5">
        <f>IFERROR(INDEX('CoQ Register'!$D:$D,MATCH("P050102|I",'CoQ Register'!$S:$S,0)),"")</f>
        <v/>
      </c>
      <c r="T16" s="2" t="inlineStr">
        <is>
          <t>Conforms</t>
        </is>
      </c>
      <c r="U16" s="2" t="inlineStr">
        <is>
          <t>Conforms</t>
        </is>
      </c>
      <c r="V16" s="2" t="inlineStr">
        <is>
          <t>Conforms</t>
        </is>
      </c>
      <c r="W16" s="2" t="inlineStr">
        <is>
          <t>ППК25105, (17.04.2025) [CNP]</t>
        </is>
      </c>
      <c r="X16" s="2" t="inlineStr">
        <is>
          <t>—</t>
        </is>
      </c>
      <c r="Y16" s="2" t="inlineStr">
        <is>
          <t>—</t>
        </is>
      </c>
      <c r="Z16" s="2" t="inlineStr">
        <is>
          <t>—</t>
        </is>
      </c>
      <c r="AA16" s="2" t="inlineStr">
        <is>
          <t>P050102|I</t>
        </is>
      </c>
      <c r="AB16" s="7" t="inlineStr">
        <is>
          <t>registered — initial release, issued 03.06.2026</t>
        </is>
      </c>
    </row>
    <row r="17">
      <c r="A17" s="2" t="n">
        <v>16</v>
      </c>
      <c r="B17" s="3" t="inlineStr">
        <is>
          <t>iCoA-PP_26-016</t>
        </is>
      </c>
      <c r="C17" s="4" t="inlineStr">
        <is>
          <t>yes</t>
        </is>
      </c>
      <c r="D17" s="5">
        <f>IF(A17="","",IF(ISNUMBER(E17),MAX(DATE(2026,6,3),E17),DATE(2026,6,3)))</f>
        <v/>
      </c>
      <c r="E17" s="5">
        <f>IFERROR(INDEX('Batch Dates'!$F:$F,MATCH(J17,'Batch Dates'!$C:$C,0)),IFERROR(INDEX('Batch Dates'!$F:$F,MATCH(I17,'Batch Dates'!$B:$B,0)),""))</f>
        <v/>
      </c>
      <c r="F17" s="5">
        <f>IFERROR(INDEX('Batch Dates'!$G:$G,MATCH(J17,'Batch Dates'!$C:$C,0)),IFERROR(INDEX('Batch Dates'!$G:$G,MATCH(I17,'Batch Dates'!$B:$B,0)),""))</f>
        <v/>
      </c>
      <c r="G17" s="2" t="inlineStr">
        <is>
          <t>legacy</t>
        </is>
      </c>
      <c r="H17" s="2" t="inlineStr">
        <is>
          <t>initial release</t>
        </is>
      </c>
      <c r="I17" s="3" t="inlineStr">
        <is>
          <t>MB0824_05</t>
        </is>
      </c>
      <c r="J17" s="2" t="inlineStr">
        <is>
          <t>P050112</t>
        </is>
      </c>
      <c r="K17" s="2" t="inlineStr">
        <is>
          <t>Motor Breath</t>
        </is>
      </c>
      <c r="L17" s="2" t="inlineStr">
        <is>
          <t>Ident A + Ident B + Foreign matter</t>
        </is>
      </c>
      <c r="M17" s="6" t="inlineStr">
        <is>
          <t>—</t>
        </is>
      </c>
      <c r="N17" s="2">
        <f>IFERROR(INDEX('CoQ Register'!$B:$B,MATCH("P050112|I",'CoQ Register'!$S:$S,0)),"—")</f>
        <v/>
      </c>
      <c r="O17" s="2" t="inlineStr">
        <is>
          <t>iCoA-PP-2025-0013</t>
        </is>
      </c>
      <c r="P17" s="2" t="inlineStr">
        <is>
          <t>25.08.2025</t>
        </is>
      </c>
      <c r="Q17" s="2" t="inlineStr">
        <is>
          <t>08.07.2025 – 09.07.2025</t>
        </is>
      </c>
      <c r="R17" s="2" t="inlineStr">
        <is>
          <t>25.08.2025 – 31.08.2025</t>
        </is>
      </c>
      <c r="S17" s="5">
        <f>IFERROR(INDEX('CoQ Register'!$D:$D,MATCH("P050112|I",'CoQ Register'!$S:$S,0)),"")</f>
        <v/>
      </c>
      <c r="T17" s="2" t="inlineStr">
        <is>
          <t>Conforms</t>
        </is>
      </c>
      <c r="U17" s="2" t="inlineStr">
        <is>
          <t>Conforms</t>
        </is>
      </c>
      <c r="V17" s="2" t="inlineStr">
        <is>
          <t>Conforms</t>
        </is>
      </c>
      <c r="W17" s="2" t="inlineStr">
        <is>
          <t>ППК25211, (28.07.2025) [CNP]</t>
        </is>
      </c>
      <c r="X17" s="2" t="inlineStr">
        <is>
          <t>—</t>
        </is>
      </c>
      <c r="Y17" s="2" t="inlineStr">
        <is>
          <t>—</t>
        </is>
      </c>
      <c r="Z17" s="2" t="inlineStr">
        <is>
          <t>—</t>
        </is>
      </c>
      <c r="AA17" s="2" t="inlineStr">
        <is>
          <t>P050112|I</t>
        </is>
      </c>
      <c r="AB17" s="7" t="inlineStr">
        <is>
          <t>registered — initial release, issued 03.06.2026</t>
        </is>
      </c>
    </row>
    <row r="18">
      <c r="A18" s="2" t="n">
        <v>17</v>
      </c>
      <c r="B18" s="3" t="inlineStr">
        <is>
          <t>iCoA-PP_26-017</t>
        </is>
      </c>
      <c r="C18" s="4" t="inlineStr">
        <is>
          <t>yes</t>
        </is>
      </c>
      <c r="D18" s="5">
        <f>IF(A18="","",IF(ISNUMBER(E18),MAX(DATE(2026,6,3),E18),DATE(2026,6,3)))</f>
        <v/>
      </c>
      <c r="E18" s="5">
        <f>IFERROR(INDEX('Batch Dates'!$F:$F,MATCH(J18,'Batch Dates'!$C:$C,0)),IFERROR(INDEX('Batch Dates'!$F:$F,MATCH(I18,'Batch Dates'!$B:$B,0)),""))</f>
        <v/>
      </c>
      <c r="F18" s="5">
        <f>IFERROR(INDEX('Batch Dates'!$G:$G,MATCH(J18,'Batch Dates'!$C:$C,0)),IFERROR(INDEX('Batch Dates'!$G:$G,MATCH(I18,'Batch Dates'!$B:$B,0)),""))</f>
        <v/>
      </c>
      <c r="G18" s="2" t="inlineStr">
        <is>
          <t>legacy</t>
        </is>
      </c>
      <c r="H18" s="2" t="inlineStr">
        <is>
          <t>initial release</t>
        </is>
      </c>
      <c r="I18" s="3" t="inlineStr">
        <is>
          <t>OPM052501</t>
        </is>
      </c>
      <c r="J18" s="2" t="inlineStr">
        <is>
          <t>P050132</t>
        </is>
      </c>
      <c r="K18" s="2" t="inlineStr">
        <is>
          <t>Orange Punch Mimosa</t>
        </is>
      </c>
      <c r="L18" s="2" t="inlineStr">
        <is>
          <t>Ident A + Ident B + Foreign matter</t>
        </is>
      </c>
      <c r="M18" s="6" t="inlineStr">
        <is>
          <t>—</t>
        </is>
      </c>
      <c r="N18" s="2">
        <f>IFERROR(INDEX('CoQ Register'!$B:$B,MATCH("P050132|I",'CoQ Register'!$S:$S,0)),"—")</f>
        <v/>
      </c>
      <c r="O18" s="6" t="inlineStr">
        <is>
          <t>—</t>
        </is>
      </c>
      <c r="P18" s="2" t="inlineStr">
        <is>
          <t>05.09.2025</t>
        </is>
      </c>
      <c r="Q18" s="2" t="inlineStr">
        <is>
          <t>11.08.2025 – 13.08.2025</t>
        </is>
      </c>
      <c r="R18" s="2" t="inlineStr">
        <is>
          <t>09.09.2025 – 15.09.2025 (the issuance plan's basis: 05.09.2025)</t>
        </is>
      </c>
      <c r="S18" s="5">
        <f>IFERROR(INDEX('CoQ Register'!$D:$D,MATCH("P050132|I",'CoQ Register'!$S:$S,0)),"")</f>
        <v/>
      </c>
      <c r="T18" s="2" t="inlineStr">
        <is>
          <t>Conforms</t>
        </is>
      </c>
      <c r="U18" s="2" t="inlineStr">
        <is>
          <t>Conforms</t>
        </is>
      </c>
      <c r="V18" s="2" t="inlineStr">
        <is>
          <t>Conforms</t>
        </is>
      </c>
      <c r="W18" s="2" t="inlineStr">
        <is>
          <t>ППК25257, (05.09.2025) [CNP]</t>
        </is>
      </c>
      <c r="X18" s="2" t="inlineStr">
        <is>
          <t>—</t>
        </is>
      </c>
      <c r="Y18" s="2" t="inlineStr">
        <is>
          <t>—</t>
        </is>
      </c>
      <c r="Z18" s="2" t="inlineStr">
        <is>
          <t>—</t>
        </is>
      </c>
      <c r="AA18" s="2" t="inlineStr">
        <is>
          <t>P050132|I</t>
        </is>
      </c>
      <c r="AB18" s="7" t="inlineStr">
        <is>
          <t>registered — initial release, issued 03.06.2026</t>
        </is>
      </c>
    </row>
    <row r="19">
      <c r="A19" s="2" t="n">
        <v>18</v>
      </c>
      <c r="B19" s="3" t="inlineStr">
        <is>
          <t>iCoA-PP_26-018</t>
        </is>
      </c>
      <c r="C19" s="4" t="inlineStr">
        <is>
          <t>yes</t>
        </is>
      </c>
      <c r="D19" s="5">
        <f>IF(A19="","",IF(ISNUMBER(E19),MAX(DATE(2026,6,3),E19),DATE(2026,6,3)))</f>
        <v/>
      </c>
      <c r="E19" s="5">
        <f>IFERROR(INDEX('Batch Dates'!$F:$F,MATCH(J19,'Batch Dates'!$C:$C,0)),IFERROR(INDEX('Batch Dates'!$F:$F,MATCH(I19,'Batch Dates'!$B:$B,0)),""))</f>
        <v/>
      </c>
      <c r="F19" s="5">
        <f>IFERROR(INDEX('Batch Dates'!$G:$G,MATCH(J19,'Batch Dates'!$C:$C,0)),IFERROR(INDEX('Batch Dates'!$G:$G,MATCH(I19,'Batch Dates'!$B:$B,0)),""))</f>
        <v/>
      </c>
      <c r="G19" s="2" t="inlineStr">
        <is>
          <t>legacy</t>
        </is>
      </c>
      <c r="H19" s="2" t="inlineStr">
        <is>
          <t>initial release</t>
        </is>
      </c>
      <c r="I19" s="3" t="inlineStr">
        <is>
          <t>GP052501</t>
        </is>
      </c>
      <c r="J19" s="2" t="inlineStr">
        <is>
          <t>P050152</t>
        </is>
      </c>
      <c r="K19" s="2" t="inlineStr">
        <is>
          <t>Grape Pie</t>
        </is>
      </c>
      <c r="L19" s="2" t="inlineStr">
        <is>
          <t>Ident A + Ident B + Foreign matter</t>
        </is>
      </c>
      <c r="M19" s="6" t="inlineStr">
        <is>
          <t>—</t>
        </is>
      </c>
      <c r="N19" s="2">
        <f>IFERROR(INDEX('CoQ Register'!$B:$B,MATCH("P050152|I",'CoQ Register'!$S:$S,0)),"—")</f>
        <v/>
      </c>
      <c r="O19" s="2" t="inlineStr">
        <is>
          <t>iCoA-PP-2025-0014</t>
        </is>
      </c>
      <c r="P19" s="2" t="inlineStr">
        <is>
          <t>25.09.2025</t>
        </is>
      </c>
      <c r="Q19" s="2" t="inlineStr">
        <is>
          <t>— not given —</t>
        </is>
      </c>
      <c r="R19" s="2" t="inlineStr">
        <is>
          <t>25.09.2025</t>
        </is>
      </c>
      <c r="S19" s="5">
        <f>IFERROR(INDEX('CoQ Register'!$D:$D,MATCH("P050152|I",'CoQ Register'!$S:$S,0)),"")</f>
        <v/>
      </c>
      <c r="T19" s="2" t="inlineStr">
        <is>
          <t>Conforms</t>
        </is>
      </c>
      <c r="U19" s="2" t="inlineStr">
        <is>
          <t>Conforms</t>
        </is>
      </c>
      <c r="V19" s="2" t="inlineStr">
        <is>
          <t>Conforms</t>
        </is>
      </c>
      <c r="W19" s="2" t="inlineStr">
        <is>
          <t>ППК25279, (19.09.2025) [CNP]</t>
        </is>
      </c>
      <c r="X19" s="2" t="inlineStr">
        <is>
          <t>—</t>
        </is>
      </c>
      <c r="Y19" s="2" t="inlineStr">
        <is>
          <t>—</t>
        </is>
      </c>
      <c r="Z19" s="2" t="inlineStr">
        <is>
          <t>—</t>
        </is>
      </c>
      <c r="AA19" s="2" t="inlineStr">
        <is>
          <t>P050152|I</t>
        </is>
      </c>
      <c r="AB19" s="7" t="inlineStr">
        <is>
          <t>registered — initial release, issued 03.06.2026</t>
        </is>
      </c>
    </row>
    <row r="20">
      <c r="A20" s="2" t="n">
        <v>19</v>
      </c>
      <c r="B20" s="3" t="inlineStr">
        <is>
          <t>iCoA-PP_26-019</t>
        </is>
      </c>
      <c r="C20" s="4" t="inlineStr">
        <is>
          <t>yes</t>
        </is>
      </c>
      <c r="D20" s="5">
        <f>IF(A20="","",IF(ISNUMBER(E20),MAX(DATE(2026,6,3),E20),DATE(2026,6,3)))</f>
        <v/>
      </c>
      <c r="E20" s="5">
        <f>IFERROR(INDEX('Batch Dates'!$F:$F,MATCH(J20,'Batch Dates'!$C:$C,0)),IFERROR(INDEX('Batch Dates'!$F:$F,MATCH(I20,'Batch Dates'!$B:$B,0)),""))</f>
        <v/>
      </c>
      <c r="F20" s="5">
        <f>IFERROR(INDEX('Batch Dates'!$G:$G,MATCH(J20,'Batch Dates'!$C:$C,0)),IFERROR(INDEX('Batch Dates'!$G:$G,MATCH(I20,'Batch Dates'!$B:$B,0)),""))</f>
        <v/>
      </c>
      <c r="G20" s="2" t="inlineStr">
        <is>
          <t>legacy</t>
        </is>
      </c>
      <c r="H20" s="2" t="inlineStr">
        <is>
          <t>initial release</t>
        </is>
      </c>
      <c r="I20" s="3" t="inlineStr">
        <is>
          <t>BSS1024_01/2</t>
        </is>
      </c>
      <c r="J20" s="2" t="inlineStr">
        <is>
          <t>P050142</t>
        </is>
      </c>
      <c r="K20" s="2" t="inlineStr">
        <is>
          <t>Blue Sunset Sherbet</t>
        </is>
      </c>
      <c r="L20" s="2" t="inlineStr">
        <is>
          <t>Ident A + Ident B + Foreign matter</t>
        </is>
      </c>
      <c r="M20" s="6" t="inlineStr">
        <is>
          <t>—</t>
        </is>
      </c>
      <c r="N20" s="2">
        <f>IFERROR(INDEX('CoQ Register'!$B:$B,MATCH("P050142|I",'CoQ Register'!$S:$S,0)),"—")</f>
        <v/>
      </c>
      <c r="O20" s="6" t="inlineStr">
        <is>
          <t>—</t>
        </is>
      </c>
      <c r="P20" s="2" t="inlineStr">
        <is>
          <t>30.09.2025</t>
        </is>
      </c>
      <c r="Q20" s="2" t="inlineStr">
        <is>
          <t>— not given —</t>
        </is>
      </c>
      <c r="R20" s="2" t="inlineStr">
        <is>
          <t>30.09.2025</t>
        </is>
      </c>
      <c r="S20" s="5">
        <f>IFERROR(INDEX('CoQ Register'!$D:$D,MATCH("P050142|I",'CoQ Register'!$S:$S,0)),"")</f>
        <v/>
      </c>
      <c r="T20" s="2" t="inlineStr">
        <is>
          <t>Conforms</t>
        </is>
      </c>
      <c r="U20" s="2" t="inlineStr">
        <is>
          <t>Conforms</t>
        </is>
      </c>
      <c r="V20" s="2" t="inlineStr">
        <is>
          <t>Conforms</t>
        </is>
      </c>
      <c r="W20" s="2" t="inlineStr">
        <is>
          <t>— no cannabinoid certificate from the initial testing —</t>
        </is>
      </c>
      <c r="X20" s="2" t="inlineStr">
        <is>
          <t>—</t>
        </is>
      </c>
      <c r="Y20" s="2" t="inlineStr">
        <is>
          <t>—</t>
        </is>
      </c>
      <c r="Z20" s="2" t="inlineStr">
        <is>
          <t>—</t>
        </is>
      </c>
      <c r="AA20" s="2" t="inlineStr">
        <is>
          <t>P050142|I</t>
        </is>
      </c>
      <c r="AB20" s="7" t="inlineStr">
        <is>
          <t>registered — initial release, issued 03.06.2026</t>
        </is>
      </c>
    </row>
    <row r="21">
      <c r="A21" s="2" t="n">
        <v>20</v>
      </c>
      <c r="B21" s="3" t="inlineStr">
        <is>
          <t>iCoA-PP_26-020</t>
        </is>
      </c>
      <c r="C21" s="4" t="inlineStr">
        <is>
          <t>yes</t>
        </is>
      </c>
      <c r="D21" s="5">
        <f>IF(A21="","",IF(ISNUMBER(E21),MAX(DATE(2026,6,3),E21),DATE(2026,6,3)))</f>
        <v/>
      </c>
      <c r="E21" s="5">
        <f>IFERROR(INDEX('Batch Dates'!$F:$F,MATCH(J21,'Batch Dates'!$C:$C,0)),IFERROR(INDEX('Batch Dates'!$F:$F,MATCH(I21,'Batch Dates'!$B:$B,0)),""))</f>
        <v/>
      </c>
      <c r="F21" s="5">
        <f>IFERROR(INDEX('Batch Dates'!$G:$G,MATCH(J21,'Batch Dates'!$C:$C,0)),IFERROR(INDEX('Batch Dates'!$G:$G,MATCH(I21,'Batch Dates'!$B:$B,0)),""))</f>
        <v/>
      </c>
      <c r="G21" s="2" t="inlineStr">
        <is>
          <t>legacy</t>
        </is>
      </c>
      <c r="H21" s="2" t="inlineStr">
        <is>
          <t>initial release</t>
        </is>
      </c>
      <c r="I21" s="3" t="inlineStr">
        <is>
          <t>CJ052501/01</t>
        </is>
      </c>
      <c r="J21" s="2" t="inlineStr">
        <is>
          <t>P050162</t>
        </is>
      </c>
      <c r="K21" s="2" t="inlineStr">
        <is>
          <t>Cap Junky</t>
        </is>
      </c>
      <c r="L21" s="2" t="inlineStr">
        <is>
          <t>Ident A + Ident B + Foreign matter</t>
        </is>
      </c>
      <c r="M21" s="6" t="inlineStr">
        <is>
          <t>—</t>
        </is>
      </c>
      <c r="N21" s="2">
        <f>IFERROR(INDEX('CoQ Register'!$B:$B,MATCH("P050162|I",'CoQ Register'!$S:$S,0)),"—")</f>
        <v/>
      </c>
      <c r="O21" s="2" t="inlineStr">
        <is>
          <t>iCoA-PP-2025-0015</t>
        </is>
      </c>
      <c r="P21" s="2" t="inlineStr">
        <is>
          <t>30.09.2025</t>
        </is>
      </c>
      <c r="Q21" s="2" t="inlineStr">
        <is>
          <t>20.08.2025</t>
        </is>
      </c>
      <c r="R21" s="2" t="inlineStr">
        <is>
          <t>30.09.2025 – 01.10.2025</t>
        </is>
      </c>
      <c r="S21" s="5">
        <f>IFERROR(INDEX('CoQ Register'!$D:$D,MATCH("P050162|I",'CoQ Register'!$S:$S,0)),"")</f>
        <v/>
      </c>
      <c r="T21" s="2" t="inlineStr">
        <is>
          <t>Conforms</t>
        </is>
      </c>
      <c r="U21" s="2" t="inlineStr">
        <is>
          <t>Conforms</t>
        </is>
      </c>
      <c r="V21" s="2" t="inlineStr">
        <is>
          <t>Conforms</t>
        </is>
      </c>
      <c r="W21" s="2" t="inlineStr">
        <is>
          <t>ППК25280, (17.09.2025) [CNP]</t>
        </is>
      </c>
      <c r="X21" s="2" t="inlineStr">
        <is>
          <t>—</t>
        </is>
      </c>
      <c r="Y21" s="2" t="inlineStr">
        <is>
          <t>—</t>
        </is>
      </c>
      <c r="Z21" s="2" t="inlineStr">
        <is>
          <t>—</t>
        </is>
      </c>
      <c r="AA21" s="2" t="inlineStr">
        <is>
          <t>P050162|I</t>
        </is>
      </c>
      <c r="AB21" s="7" t="inlineStr">
        <is>
          <t>registered — initial release, issued 03.06.2026</t>
        </is>
      </c>
    </row>
    <row r="22">
      <c r="A22" s="2" t="n">
        <v>21</v>
      </c>
      <c r="B22" s="3" t="inlineStr">
        <is>
          <t>iCoA-PP_26-021</t>
        </is>
      </c>
      <c r="C22" s="4" t="inlineStr">
        <is>
          <t>yes</t>
        </is>
      </c>
      <c r="D22" s="5">
        <f>IF(A22="","",IF(ISNUMBER(E22),MAX(DATE(2026,6,3),E22),DATE(2026,6,3)))</f>
        <v/>
      </c>
      <c r="E22" s="5">
        <f>IFERROR(INDEX('Batch Dates'!$F:$F,MATCH(J22,'Batch Dates'!$C:$C,0)),IFERROR(INDEX('Batch Dates'!$F:$F,MATCH(I22,'Batch Dates'!$B:$B,0)),""))</f>
        <v/>
      </c>
      <c r="F22" s="5">
        <f>IFERROR(INDEX('Batch Dates'!$G:$G,MATCH(J22,'Batch Dates'!$C:$C,0)),IFERROR(INDEX('Batch Dates'!$G:$G,MATCH(I22,'Batch Dates'!$B:$B,0)),""))</f>
        <v/>
      </c>
      <c r="G22" s="2" t="inlineStr">
        <is>
          <t>legacy</t>
        </is>
      </c>
      <c r="H22" s="2" t="inlineStr">
        <is>
          <t>initial release</t>
        </is>
      </c>
      <c r="I22" s="3" t="inlineStr">
        <is>
          <t>CJ052501/02</t>
        </is>
      </c>
      <c r="J22" s="2" t="inlineStr">
        <is>
          <t>P050172</t>
        </is>
      </c>
      <c r="K22" s="2" t="inlineStr">
        <is>
          <t>Cap Junky</t>
        </is>
      </c>
      <c r="L22" s="2" t="inlineStr">
        <is>
          <t>Ident A + Ident B + Foreign matter</t>
        </is>
      </c>
      <c r="M22" s="6" t="inlineStr">
        <is>
          <t>—</t>
        </is>
      </c>
      <c r="N22" s="2">
        <f>IFERROR(INDEX('CoQ Register'!$B:$B,MATCH("P050172|I",'CoQ Register'!$S:$S,0)),"—")</f>
        <v/>
      </c>
      <c r="O22" s="6" t="inlineStr">
        <is>
          <t>—</t>
        </is>
      </c>
      <c r="P22" s="2" t="inlineStr">
        <is>
          <t>17.09.2025</t>
        </is>
      </c>
      <c r="Q22" s="2" t="inlineStr">
        <is>
          <t>20.08.2025</t>
        </is>
      </c>
      <c r="R22" s="2" t="inlineStr">
        <is>
          <t>01.10.2025 – 02.10.2025 (the issuance plan's basis: 17.09.2025)</t>
        </is>
      </c>
      <c r="S22" s="5">
        <f>IFERROR(INDEX('CoQ Register'!$D:$D,MATCH("P050172|I",'CoQ Register'!$S:$S,0)),"")</f>
        <v/>
      </c>
      <c r="T22" s="2" t="inlineStr">
        <is>
          <t>Conforms</t>
        </is>
      </c>
      <c r="U22" s="2" t="inlineStr">
        <is>
          <t>Conforms</t>
        </is>
      </c>
      <c r="V22" s="2" t="inlineStr">
        <is>
          <t>Conforms</t>
        </is>
      </c>
      <c r="W22" s="2" t="inlineStr">
        <is>
          <t>ППК25281, (17.09.2025) [CNP]</t>
        </is>
      </c>
      <c r="X22" s="2" t="inlineStr">
        <is>
          <t>—</t>
        </is>
      </c>
      <c r="Y22" s="2" t="inlineStr">
        <is>
          <t>—</t>
        </is>
      </c>
      <c r="Z22" s="2" t="inlineStr">
        <is>
          <t>—</t>
        </is>
      </c>
      <c r="AA22" s="2" t="inlineStr">
        <is>
          <t>P050172|I</t>
        </is>
      </c>
      <c r="AB22" s="7" t="inlineStr">
        <is>
          <t>registered — initial release, issued 03.06.2026</t>
        </is>
      </c>
    </row>
    <row r="23">
      <c r="A23" s="2" t="n">
        <v>22</v>
      </c>
      <c r="B23" s="3" t="inlineStr">
        <is>
          <t>iCoA-PP_26-022</t>
        </is>
      </c>
      <c r="C23" s="4" t="inlineStr">
        <is>
          <t>yes</t>
        </is>
      </c>
      <c r="D23" s="5">
        <f>IF(A23="","",IF(ISNUMBER(E23),MAX(DATE(2026,6,3),E23),DATE(2026,6,3)))</f>
        <v/>
      </c>
      <c r="E23" s="5">
        <f>IFERROR(INDEX('Batch Dates'!$F:$F,MATCH(J23,'Batch Dates'!$C:$C,0)),IFERROR(INDEX('Batch Dates'!$F:$F,MATCH(I23,'Batch Dates'!$B:$B,0)),""))</f>
        <v/>
      </c>
      <c r="F23" s="5">
        <f>IFERROR(INDEX('Batch Dates'!$G:$G,MATCH(J23,'Batch Dates'!$C:$C,0)),IFERROR(INDEX('Batch Dates'!$G:$G,MATCH(I23,'Batch Dates'!$B:$B,0)),""))</f>
        <v/>
      </c>
      <c r="G23" s="2" t="inlineStr">
        <is>
          <t>legacy</t>
        </is>
      </c>
      <c r="H23" s="2" t="inlineStr">
        <is>
          <t>initial release</t>
        </is>
      </c>
      <c r="I23" s="3" t="inlineStr">
        <is>
          <t>HPA052501</t>
        </is>
      </c>
      <c r="J23" s="2" t="inlineStr">
        <is>
          <t>P050182</t>
        </is>
      </c>
      <c r="K23" s="2" t="inlineStr">
        <is>
          <t>High Pro Amnesia</t>
        </is>
      </c>
      <c r="L23" s="2" t="inlineStr">
        <is>
          <t>Ident A + Ident B + Foreign matter</t>
        </is>
      </c>
      <c r="M23" s="6" t="inlineStr">
        <is>
          <t>—</t>
        </is>
      </c>
      <c r="N23" s="2">
        <f>IFERROR(INDEX('CoQ Register'!$B:$B,MATCH("P050182|I",'CoQ Register'!$S:$S,0)),"—")</f>
        <v/>
      </c>
      <c r="O23" s="2" t="inlineStr">
        <is>
          <t>iCoA-PP-2025-0016</t>
        </is>
      </c>
      <c r="P23" s="2" t="inlineStr">
        <is>
          <t>03.10.2025</t>
        </is>
      </c>
      <c r="Q23" s="2" t="inlineStr">
        <is>
          <t>21.08.2025 – 23.08.2025</t>
        </is>
      </c>
      <c r="R23" s="2" t="inlineStr">
        <is>
          <t>03.10.2025 – 09.10.2025</t>
        </is>
      </c>
      <c r="S23" s="5">
        <f>IFERROR(INDEX('CoQ Register'!$D:$D,MATCH("P050182|I",'CoQ Register'!$S:$S,0)),"")</f>
        <v/>
      </c>
      <c r="T23" s="2" t="inlineStr">
        <is>
          <t>Conforms</t>
        </is>
      </c>
      <c r="U23" s="2" t="inlineStr">
        <is>
          <t>Conforms</t>
        </is>
      </c>
      <c r="V23" s="2" t="inlineStr">
        <is>
          <t>Conforms</t>
        </is>
      </c>
      <c r="W23" s="2" t="inlineStr">
        <is>
          <t>ППК25278, (19.09.2025) [CNP]</t>
        </is>
      </c>
      <c r="X23" s="2" t="inlineStr">
        <is>
          <t>—</t>
        </is>
      </c>
      <c r="Y23" s="2" t="inlineStr">
        <is>
          <t>—</t>
        </is>
      </c>
      <c r="Z23" s="2" t="inlineStr">
        <is>
          <t>—</t>
        </is>
      </c>
      <c r="AA23" s="2" t="inlineStr">
        <is>
          <t>P050182|I</t>
        </is>
      </c>
      <c r="AB23" s="7" t="inlineStr">
        <is>
          <t>registered — initial release, issued 03.06.2026</t>
        </is>
      </c>
    </row>
    <row r="24">
      <c r="A24" s="2" t="n">
        <v>23</v>
      </c>
      <c r="B24" s="3" t="inlineStr">
        <is>
          <t>iCoA-PP_26-023</t>
        </is>
      </c>
      <c r="C24" s="4" t="inlineStr">
        <is>
          <t>yes</t>
        </is>
      </c>
      <c r="D24" s="5">
        <f>IF(A24="","",IF(ISNUMBER(E24),MAX(DATE(2026,6,3),E24),DATE(2026,6,3)))</f>
        <v/>
      </c>
      <c r="E24" s="5">
        <f>IFERROR(INDEX('Batch Dates'!$F:$F,MATCH(J24,'Batch Dates'!$C:$C,0)),IFERROR(INDEX('Batch Dates'!$F:$F,MATCH(I24,'Batch Dates'!$B:$B,0)),""))</f>
        <v/>
      </c>
      <c r="F24" s="5">
        <f>IFERROR(INDEX('Batch Dates'!$G:$G,MATCH(J24,'Batch Dates'!$C:$C,0)),IFERROR(INDEX('Batch Dates'!$G:$G,MATCH(I24,'Batch Dates'!$B:$B,0)),""))</f>
        <v/>
      </c>
      <c r="G24" s="2" t="inlineStr">
        <is>
          <t>legacy</t>
        </is>
      </c>
      <c r="H24" s="2" t="inlineStr">
        <is>
          <t>initial release</t>
        </is>
      </c>
      <c r="I24" s="3" t="inlineStr">
        <is>
          <t>BSS052501</t>
        </is>
      </c>
      <c r="J24" s="2" t="inlineStr">
        <is>
          <t>P050192</t>
        </is>
      </c>
      <c r="K24" s="2" t="inlineStr">
        <is>
          <t>Blue Sunset Sherbet</t>
        </is>
      </c>
      <c r="L24" s="2" t="inlineStr">
        <is>
          <t>Ident A + Ident B + #4 + #5 + Foreign matter + #8</t>
        </is>
      </c>
      <c r="M24" s="6" t="inlineStr">
        <is>
          <t>—</t>
        </is>
      </c>
      <c r="N24" s="2">
        <f>IFERROR(INDEX('CoQ Register'!$B:$B,MATCH("P050192|I",'CoQ Register'!$S:$S,0)),"—")</f>
        <v/>
      </c>
      <c r="O24" s="2" t="inlineStr">
        <is>
          <t>iCoA-PP-2025-0017</t>
        </is>
      </c>
      <c r="P24" s="2" t="inlineStr">
        <is>
          <t>10.10.2025</t>
        </is>
      </c>
      <c r="Q24" s="2" t="inlineStr">
        <is>
          <t>01.09.2025 – 03.09.2025</t>
        </is>
      </c>
      <c r="R24" s="2" t="inlineStr">
        <is>
          <t>10.10.2025 – 21.10.2025</t>
        </is>
      </c>
      <c r="S24" s="5">
        <f>IFERROR(INDEX('CoQ Register'!$D:$D,MATCH("P050192|I",'CoQ Register'!$S:$S,0)),"")</f>
        <v/>
      </c>
      <c r="T24" s="2" t="inlineStr">
        <is>
          <t>Conforms</t>
        </is>
      </c>
      <c r="U24" s="2" t="inlineStr">
        <is>
          <t>Conforms</t>
        </is>
      </c>
      <c r="V24" s="2" t="inlineStr">
        <is>
          <t>Conforms</t>
        </is>
      </c>
      <c r="W24" s="2" t="inlineStr">
        <is>
          <t>NGP-QCG-SOP-024 F3, (28.11.2025) [NGP]</t>
        </is>
      </c>
      <c r="X24" s="2" t="inlineStr">
        <is>
          <t>—</t>
        </is>
      </c>
      <c r="Y24" s="2" t="inlineStr">
        <is>
          <t>—</t>
        </is>
      </c>
      <c r="Z24" s="2" t="inlineStr">
        <is>
          <t>—</t>
        </is>
      </c>
      <c r="AA24" s="2" t="inlineStr">
        <is>
          <t>P050192|I</t>
        </is>
      </c>
      <c r="AB24" s="7" t="inlineStr">
        <is>
          <t>registered — initial release, issued 03.06.2026</t>
        </is>
      </c>
    </row>
    <row r="25">
      <c r="A25" s="2" t="n">
        <v>24</v>
      </c>
      <c r="B25" s="3" t="inlineStr">
        <is>
          <t>iCoA-PP_26-024</t>
        </is>
      </c>
      <c r="C25" s="4" t="inlineStr">
        <is>
          <t>yes</t>
        </is>
      </c>
      <c r="D25" s="5">
        <f>IF(A25="","",IF(ISNUMBER(E25),MAX(DATE(2026,6,3),E25),DATE(2026,6,3)))</f>
        <v/>
      </c>
      <c r="E25" s="5">
        <f>IFERROR(INDEX('Batch Dates'!$F:$F,MATCH(J25,'Batch Dates'!$C:$C,0)),IFERROR(INDEX('Batch Dates'!$F:$F,MATCH(I25,'Batch Dates'!$B:$B,0)),""))</f>
        <v/>
      </c>
      <c r="F25" s="5">
        <f>IFERROR(INDEX('Batch Dates'!$G:$G,MATCH(J25,'Batch Dates'!$C:$C,0)),IFERROR(INDEX('Batch Dates'!$G:$G,MATCH(I25,'Batch Dates'!$B:$B,0)),""))</f>
        <v/>
      </c>
      <c r="G25" s="2" t="inlineStr">
        <is>
          <t>legacy</t>
        </is>
      </c>
      <c r="H25" s="2" t="inlineStr">
        <is>
          <t>initial release</t>
        </is>
      </c>
      <c r="I25" s="3" t="inlineStr">
        <is>
          <t>GP062501</t>
        </is>
      </c>
      <c r="J25" s="2" t="inlineStr">
        <is>
          <t>P050202</t>
        </is>
      </c>
      <c r="K25" s="2" t="inlineStr">
        <is>
          <t>Grape Pie</t>
        </is>
      </c>
      <c r="L25" s="2" t="inlineStr">
        <is>
          <t>Ident A + Ident B + #4 + #5 + Foreign matter + #8</t>
        </is>
      </c>
      <c r="M25" s="6" t="inlineStr">
        <is>
          <t>—</t>
        </is>
      </c>
      <c r="N25" s="2">
        <f>IFERROR(INDEX('CoQ Register'!$B:$B,MATCH("P050202|I",'CoQ Register'!$S:$S,0)),"—")</f>
        <v/>
      </c>
      <c r="O25" s="6" t="inlineStr">
        <is>
          <t>—</t>
        </is>
      </c>
      <c r="P25" s="2" t="inlineStr">
        <is>
          <t>11.05.2026</t>
        </is>
      </c>
      <c r="Q25" s="2" t="inlineStr">
        <is>
          <t>15.09.2025 – 17.09.2025</t>
        </is>
      </c>
      <c r="R25" s="2" t="inlineStr">
        <is>
          <t>30.10.2025 – 07.11.2025 (the issuance plan's basis: 11.05.2026)</t>
        </is>
      </c>
      <c r="S25" s="5">
        <f>IFERROR(INDEX('CoQ Register'!$D:$D,MATCH("P050202|I",'CoQ Register'!$S:$S,0)),"")</f>
        <v/>
      </c>
      <c r="T25" s="2" t="inlineStr">
        <is>
          <t>Conforms</t>
        </is>
      </c>
      <c r="U25" s="2" t="inlineStr">
        <is>
          <t>Conforms</t>
        </is>
      </c>
      <c r="V25" s="2" t="inlineStr">
        <is>
          <t>Conforms</t>
        </is>
      </c>
      <c r="W25" s="2" t="inlineStr">
        <is>
          <t>NGP-QCG-SOP-024 F3, (28.11.2025) [NGP]</t>
        </is>
      </c>
      <c r="X25" s="2" t="inlineStr">
        <is>
          <t>—</t>
        </is>
      </c>
      <c r="Y25" s="2" t="inlineStr">
        <is>
          <t>—</t>
        </is>
      </c>
      <c r="Z25" s="2" t="inlineStr">
        <is>
          <t>—</t>
        </is>
      </c>
      <c r="AA25" s="2" t="inlineStr">
        <is>
          <t>P050202|I</t>
        </is>
      </c>
      <c r="AB25" s="7" t="inlineStr">
        <is>
          <t>registered — initial release, issued 03.06.2026</t>
        </is>
      </c>
    </row>
    <row r="26">
      <c r="A26" s="2" t="n">
        <v>25</v>
      </c>
      <c r="B26" s="3" t="inlineStr">
        <is>
          <t>iCoA-PP_26-025</t>
        </is>
      </c>
      <c r="C26" s="4" t="inlineStr">
        <is>
          <t>yes</t>
        </is>
      </c>
      <c r="D26" s="5">
        <f>IF(A26="","",IF(ISNUMBER(E26),MAX(DATE(2026,6,3),E26),DATE(2026,6,3)))</f>
        <v/>
      </c>
      <c r="E26" s="5">
        <f>IFERROR(INDEX('Batch Dates'!$F:$F,MATCH(J26,'Batch Dates'!$C:$C,0)),IFERROR(INDEX('Batch Dates'!$F:$F,MATCH(I26,'Batch Dates'!$B:$B,0)),""))</f>
        <v/>
      </c>
      <c r="F26" s="5">
        <f>IFERROR(INDEX('Batch Dates'!$G:$G,MATCH(J26,'Batch Dates'!$C:$C,0)),IFERROR(INDEX('Batch Dates'!$G:$G,MATCH(I26,'Batch Dates'!$B:$B,0)),""))</f>
        <v/>
      </c>
      <c r="G26" s="2" t="inlineStr">
        <is>
          <t>legacy</t>
        </is>
      </c>
      <c r="H26" s="2" t="inlineStr">
        <is>
          <t>initial release</t>
        </is>
      </c>
      <c r="I26" s="3" t="inlineStr">
        <is>
          <t>CJ062501/2</t>
        </is>
      </c>
      <c r="J26" s="2" t="inlineStr">
        <is>
          <t>P050212</t>
        </is>
      </c>
      <c r="K26" s="2" t="inlineStr">
        <is>
          <t>Cap Junky</t>
        </is>
      </c>
      <c r="L26" s="2" t="inlineStr">
        <is>
          <t>Ident A + Ident B + Foreign matter</t>
        </is>
      </c>
      <c r="M26" s="6" t="inlineStr">
        <is>
          <t>—</t>
        </is>
      </c>
      <c r="N26" s="2">
        <f>IFERROR(INDEX('CoQ Register'!$B:$B,MATCH("P050212|I",'CoQ Register'!$S:$S,0)),"—")</f>
        <v/>
      </c>
      <c r="O26" s="6" t="inlineStr">
        <is>
          <t>—</t>
        </is>
      </c>
      <c r="P26" s="2" t="inlineStr">
        <is>
          <t>24.01.2026</t>
        </is>
      </c>
      <c r="Q26" s="2" t="inlineStr">
        <is>
          <t>23.09.2025 – 24.09.2025</t>
        </is>
      </c>
      <c r="R26" s="2" t="inlineStr">
        <is>
          <t>18.11.2025 – 24.11.2025 (the issuance plan's basis: 24.01.2026)</t>
        </is>
      </c>
      <c r="S26" s="5">
        <f>IFERROR(INDEX('CoQ Register'!$D:$D,MATCH("P050212|I",'CoQ Register'!$S:$S,0)),"")</f>
        <v/>
      </c>
      <c r="T26" s="2" t="inlineStr">
        <is>
          <t>Conforms</t>
        </is>
      </c>
      <c r="U26" s="2" t="inlineStr">
        <is>
          <t>Conforms</t>
        </is>
      </c>
      <c r="V26" s="2" t="inlineStr">
        <is>
          <t>Conforms</t>
        </is>
      </c>
      <c r="W26" s="2" t="inlineStr">
        <is>
          <t>ППК25322, (23.10.2025) [CNP]</t>
        </is>
      </c>
      <c r="X26" s="2" t="inlineStr">
        <is>
          <t>—</t>
        </is>
      </c>
      <c r="Y26" s="2" t="inlineStr">
        <is>
          <t>—</t>
        </is>
      </c>
      <c r="Z26" s="2" t="inlineStr">
        <is>
          <t>—</t>
        </is>
      </c>
      <c r="AA26" s="2" t="inlineStr">
        <is>
          <t>P050212|I</t>
        </is>
      </c>
      <c r="AB26" s="7" t="inlineStr">
        <is>
          <t>registered — initial release, issued 03.06.2026</t>
        </is>
      </c>
    </row>
    <row r="27">
      <c r="A27" s="2" t="n">
        <v>26</v>
      </c>
      <c r="B27" s="3" t="inlineStr">
        <is>
          <t>iCoA-PP_26-026</t>
        </is>
      </c>
      <c r="C27" s="4" t="inlineStr">
        <is>
          <t>yes</t>
        </is>
      </c>
      <c r="D27" s="5">
        <f>IF(A27="","",IF(ISNUMBER(E27),MAX(DATE(2026,6,3),E27),DATE(2026,6,3)))</f>
        <v/>
      </c>
      <c r="E27" s="5">
        <f>IFERROR(INDEX('Batch Dates'!$F:$F,MATCH(J27,'Batch Dates'!$C:$C,0)),IFERROR(INDEX('Batch Dates'!$F:$F,MATCH(I27,'Batch Dates'!$B:$B,0)),""))</f>
        <v/>
      </c>
      <c r="F27" s="5">
        <f>IFERROR(INDEX('Batch Dates'!$G:$G,MATCH(J27,'Batch Dates'!$C:$C,0)),IFERROR(INDEX('Batch Dates'!$G:$G,MATCH(I27,'Batch Dates'!$B:$B,0)),""))</f>
        <v/>
      </c>
      <c r="G27" s="2" t="inlineStr">
        <is>
          <t>legacy</t>
        </is>
      </c>
      <c r="H27" s="2" t="inlineStr">
        <is>
          <t>initial release</t>
        </is>
      </c>
      <c r="I27" s="3" t="inlineStr">
        <is>
          <t>CJ062501/1</t>
        </is>
      </c>
      <c r="J27" s="2" t="inlineStr">
        <is>
          <t>P050222</t>
        </is>
      </c>
      <c r="K27" s="2" t="inlineStr">
        <is>
          <t>Cap Junky</t>
        </is>
      </c>
      <c r="L27" s="2" t="inlineStr">
        <is>
          <t>Ident A + Ident B + Foreign matter</t>
        </is>
      </c>
      <c r="M27" s="6" t="inlineStr">
        <is>
          <t>—</t>
        </is>
      </c>
      <c r="N27" s="2">
        <f>IFERROR(INDEX('CoQ Register'!$B:$B,MATCH("P050222|I",'CoQ Register'!$S:$S,0)),"—")</f>
        <v/>
      </c>
      <c r="O27" s="2" t="inlineStr">
        <is>
          <t>iCoA-PP-2025-0018</t>
        </is>
      </c>
      <c r="P27" s="2" t="inlineStr">
        <is>
          <t>24.11.2025</t>
        </is>
      </c>
      <c r="Q27" s="2" t="inlineStr">
        <is>
          <t>23.09.2025</t>
        </is>
      </c>
      <c r="R27" s="2" t="inlineStr">
        <is>
          <t>24.11.2025 – 25.11.2025</t>
        </is>
      </c>
      <c r="S27" s="5">
        <f>IFERROR(INDEX('CoQ Register'!$D:$D,MATCH("P050222|I",'CoQ Register'!$S:$S,0)),"")</f>
        <v/>
      </c>
      <c r="T27" s="2" t="inlineStr">
        <is>
          <t>Conforms</t>
        </is>
      </c>
      <c r="U27" s="2" t="inlineStr">
        <is>
          <t>Conforms</t>
        </is>
      </c>
      <c r="V27" s="2" t="inlineStr">
        <is>
          <t>Conforms</t>
        </is>
      </c>
      <c r="W27" s="2" t="inlineStr">
        <is>
          <t>ППК25321, (23.10.2025) [CNP]</t>
        </is>
      </c>
      <c r="X27" s="2" t="inlineStr">
        <is>
          <t>—</t>
        </is>
      </c>
      <c r="Y27" s="2" t="inlineStr">
        <is>
          <t>—</t>
        </is>
      </c>
      <c r="Z27" s="2" t="inlineStr">
        <is>
          <t>—</t>
        </is>
      </c>
      <c r="AA27" s="2" t="inlineStr">
        <is>
          <t>P050222|I</t>
        </is>
      </c>
      <c r="AB27" s="7" t="inlineStr">
        <is>
          <t>registered — initial release, issued 03.06.2026</t>
        </is>
      </c>
    </row>
    <row r="28">
      <c r="A28" s="2" t="n">
        <v>27</v>
      </c>
      <c r="B28" s="3" t="inlineStr">
        <is>
          <t>iCoA-PP_26-027</t>
        </is>
      </c>
      <c r="C28" s="4" t="inlineStr">
        <is>
          <t>yes</t>
        </is>
      </c>
      <c r="D28" s="5">
        <f>IF(A28="","",IF(ISNUMBER(E28),MAX(DATE(2026,6,3),E28),DATE(2026,6,3)))</f>
        <v/>
      </c>
      <c r="E28" s="5">
        <f>IFERROR(INDEX('Batch Dates'!$F:$F,MATCH(J28,'Batch Dates'!$C:$C,0)),IFERROR(INDEX('Batch Dates'!$F:$F,MATCH(I28,'Batch Dates'!$B:$B,0)),""))</f>
        <v/>
      </c>
      <c r="F28" s="5">
        <f>IFERROR(INDEX('Batch Dates'!$G:$G,MATCH(J28,'Batch Dates'!$C:$C,0)),IFERROR(INDEX('Batch Dates'!$G:$G,MATCH(I28,'Batch Dates'!$B:$B,0)),""))</f>
        <v/>
      </c>
      <c r="G28" s="2" t="inlineStr">
        <is>
          <t>legacy</t>
        </is>
      </c>
      <c r="H28" s="2" t="inlineStr">
        <is>
          <t>initial release</t>
        </is>
      </c>
      <c r="I28" s="3" t="inlineStr">
        <is>
          <t>CJ072501</t>
        </is>
      </c>
      <c r="J28" s="2" t="inlineStr">
        <is>
          <t>P050252</t>
        </is>
      </c>
      <c r="K28" s="2" t="inlineStr">
        <is>
          <t>Cap Junky</t>
        </is>
      </c>
      <c r="L28" s="2" t="inlineStr">
        <is>
          <t>Ident A + Ident B + Foreign matter</t>
        </is>
      </c>
      <c r="M28" s="6" t="inlineStr">
        <is>
          <t>—</t>
        </is>
      </c>
      <c r="N28" s="2">
        <f>IFERROR(INDEX('CoQ Register'!$B:$B,MATCH("P050252|I",'CoQ Register'!$S:$S,0)),"—")</f>
        <v/>
      </c>
      <c r="O28" s="6" t="inlineStr">
        <is>
          <t>—</t>
        </is>
      </c>
      <c r="P28" s="2" t="inlineStr">
        <is>
          <t>02.12.2025</t>
        </is>
      </c>
      <c r="Q28" s="2" t="inlineStr">
        <is>
          <t>27.10.2025</t>
        </is>
      </c>
      <c r="R28" s="2" t="inlineStr">
        <is>
          <t>27.11.2025 – 28.11.2025 (the issuance plan's basis: 02.12.2025)</t>
        </is>
      </c>
      <c r="S28" s="5">
        <f>IFERROR(INDEX('CoQ Register'!$D:$D,MATCH("P050252|I",'CoQ Register'!$S:$S,0)),"")</f>
        <v/>
      </c>
      <c r="T28" s="2" t="inlineStr">
        <is>
          <t>Conforms</t>
        </is>
      </c>
      <c r="U28" s="2" t="inlineStr">
        <is>
          <t>Conforms</t>
        </is>
      </c>
      <c r="V28" s="2" t="inlineStr">
        <is>
          <t>Conforms</t>
        </is>
      </c>
      <c r="W28" s="2" t="inlineStr">
        <is>
          <t>ППК25367, (28.11.2025) [CNP]</t>
        </is>
      </c>
      <c r="X28" s="2" t="inlineStr">
        <is>
          <t>—</t>
        </is>
      </c>
      <c r="Y28" s="2" t="inlineStr">
        <is>
          <t>—</t>
        </is>
      </c>
      <c r="Z28" s="2" t="inlineStr">
        <is>
          <t>—</t>
        </is>
      </c>
      <c r="AA28" s="2" t="inlineStr">
        <is>
          <t>P050252|I</t>
        </is>
      </c>
      <c r="AB28" s="7" t="inlineStr">
        <is>
          <t>registered — initial release, issued 03.06.2026</t>
        </is>
      </c>
    </row>
    <row r="29">
      <c r="A29" s="2" t="n">
        <v>28</v>
      </c>
      <c r="B29" s="3" t="inlineStr">
        <is>
          <t>iCoA-PP_26-028</t>
        </is>
      </c>
      <c r="C29" s="4" t="inlineStr">
        <is>
          <t>yes</t>
        </is>
      </c>
      <c r="D29" s="5">
        <f>IF(A29="","",IF(ISNUMBER(E29),MAX(DATE(2026,6,3),E29),DATE(2026,6,3)))</f>
        <v/>
      </c>
      <c r="E29" s="5">
        <f>IFERROR(INDEX('Batch Dates'!$F:$F,MATCH(J29,'Batch Dates'!$C:$C,0)),IFERROR(INDEX('Batch Dates'!$F:$F,MATCH(I29,'Batch Dates'!$B:$B,0)),""))</f>
        <v/>
      </c>
      <c r="F29" s="5">
        <f>IFERROR(INDEX('Batch Dates'!$G:$G,MATCH(J29,'Batch Dates'!$C:$C,0)),IFERROR(INDEX('Batch Dates'!$G:$G,MATCH(I29,'Batch Dates'!$B:$B,0)),""))</f>
        <v/>
      </c>
      <c r="G29" s="2" t="inlineStr">
        <is>
          <t>legacy</t>
        </is>
      </c>
      <c r="H29" s="2" t="inlineStr">
        <is>
          <t>initial release</t>
        </is>
      </c>
      <c r="I29" s="3" t="inlineStr">
        <is>
          <t>WC072501</t>
        </is>
      </c>
      <c r="J29" s="2" t="inlineStr">
        <is>
          <t>P050262</t>
        </is>
      </c>
      <c r="K29" s="2" t="inlineStr">
        <is>
          <t>Wedding Crusher</t>
        </is>
      </c>
      <c r="L29" s="2" t="inlineStr">
        <is>
          <t>Ident A + Ident B + Foreign matter</t>
        </is>
      </c>
      <c r="M29" s="6" t="inlineStr">
        <is>
          <t>—</t>
        </is>
      </c>
      <c r="N29" s="2">
        <f>IFERROR(INDEX('CoQ Register'!$B:$B,MATCH("P050262|I",'CoQ Register'!$S:$S,0)),"—")</f>
        <v/>
      </c>
      <c r="O29" s="6" t="inlineStr">
        <is>
          <t>—</t>
        </is>
      </c>
      <c r="P29" s="2" t="inlineStr">
        <is>
          <t>02.12.2025</t>
        </is>
      </c>
      <c r="Q29" s="2" t="inlineStr">
        <is>
          <t>27.10.2025 – 28.10.2025</t>
        </is>
      </c>
      <c r="R29" s="2" t="inlineStr">
        <is>
          <t>01.12.2025 (the issuance plan's basis: 02.12.2025)</t>
        </is>
      </c>
      <c r="S29" s="5">
        <f>IFERROR(INDEX('CoQ Register'!$D:$D,MATCH("P050262|I",'CoQ Register'!$S:$S,0)),"")</f>
        <v/>
      </c>
      <c r="T29" s="2" t="inlineStr">
        <is>
          <t>Conforms</t>
        </is>
      </c>
      <c r="U29" s="2" t="inlineStr">
        <is>
          <t>Conforms</t>
        </is>
      </c>
      <c r="V29" s="2" t="inlineStr">
        <is>
          <t>Conforms</t>
        </is>
      </c>
      <c r="W29" s="2" t="inlineStr">
        <is>
          <t>ППК25369, (28.11.2025) [CNP]</t>
        </is>
      </c>
      <c r="X29" s="2" t="inlineStr">
        <is>
          <t>—</t>
        </is>
      </c>
      <c r="Y29" s="2" t="inlineStr">
        <is>
          <t>—</t>
        </is>
      </c>
      <c r="Z29" s="2" t="inlineStr">
        <is>
          <t>—</t>
        </is>
      </c>
      <c r="AA29" s="2" t="inlineStr">
        <is>
          <t>P050262|I</t>
        </is>
      </c>
      <c r="AB29" s="7" t="inlineStr">
        <is>
          <t>registered — initial release, issued 03.06.2026</t>
        </is>
      </c>
    </row>
    <row r="30">
      <c r="A30" s="2" t="n">
        <v>29</v>
      </c>
      <c r="B30" s="3" t="inlineStr">
        <is>
          <t>iCoA-PP_26-029</t>
        </is>
      </c>
      <c r="C30" s="4" t="inlineStr">
        <is>
          <t>yes</t>
        </is>
      </c>
      <c r="D30" s="5">
        <f>IF(A30="","",IF(ISNUMBER(E30),MAX(DATE(2026,6,3),E30),DATE(2026,6,3)))</f>
        <v/>
      </c>
      <c r="E30" s="5">
        <f>IFERROR(INDEX('Batch Dates'!$F:$F,MATCH(J30,'Batch Dates'!$C:$C,0)),IFERROR(INDEX('Batch Dates'!$F:$F,MATCH(I30,'Batch Dates'!$B:$B,0)),""))</f>
        <v/>
      </c>
      <c r="F30" s="5">
        <f>IFERROR(INDEX('Batch Dates'!$G:$G,MATCH(J30,'Batch Dates'!$C:$C,0)),IFERROR(INDEX('Batch Dates'!$G:$G,MATCH(I30,'Batch Dates'!$B:$B,0)),""))</f>
        <v/>
      </c>
      <c r="G30" s="2" t="inlineStr">
        <is>
          <t>legacy</t>
        </is>
      </c>
      <c r="H30" s="2" t="inlineStr">
        <is>
          <t>initial release</t>
        </is>
      </c>
      <c r="I30" s="3" t="inlineStr">
        <is>
          <t>PM072501</t>
        </is>
      </c>
      <c r="J30" s="2" t="inlineStr">
        <is>
          <t>P050272</t>
        </is>
      </c>
      <c r="K30" s="2" t="inlineStr">
        <is>
          <t>Permanent Marker</t>
        </is>
      </c>
      <c r="L30" s="2" t="inlineStr">
        <is>
          <t>Ident A + Ident B + Foreign matter</t>
        </is>
      </c>
      <c r="M30" s="6" t="inlineStr">
        <is>
          <t>—</t>
        </is>
      </c>
      <c r="N30" s="2">
        <f>IFERROR(INDEX('CoQ Register'!$B:$B,MATCH("P050272|I",'CoQ Register'!$S:$S,0)),"—")</f>
        <v/>
      </c>
      <c r="O30" s="6" t="inlineStr">
        <is>
          <t>—</t>
        </is>
      </c>
      <c r="P30" s="2" t="inlineStr">
        <is>
          <t>21.01.2026</t>
        </is>
      </c>
      <c r="Q30" s="2" t="inlineStr">
        <is>
          <t>27.10.2025</t>
        </is>
      </c>
      <c r="R30" s="2" t="inlineStr">
        <is>
          <t>02.12.2025 – 03.12.2025 (the issuance plan's basis: 21.01.2026)</t>
        </is>
      </c>
      <c r="S30" s="5">
        <f>IFERROR(INDEX('CoQ Register'!$D:$D,MATCH("P050272|I",'CoQ Register'!$S:$S,0)),"")</f>
        <v/>
      </c>
      <c r="T30" s="2" t="inlineStr">
        <is>
          <t>Conforms</t>
        </is>
      </c>
      <c r="U30" s="2" t="inlineStr">
        <is>
          <t>Conforms</t>
        </is>
      </c>
      <c r="V30" s="2" t="inlineStr">
        <is>
          <t>Conforms</t>
        </is>
      </c>
      <c r="W30" s="2" t="inlineStr">
        <is>
          <t>ППК25368, (28.11.2025) [CNP]</t>
        </is>
      </c>
      <c r="X30" s="2" t="inlineStr">
        <is>
          <t>—</t>
        </is>
      </c>
      <c r="Y30" s="2" t="inlineStr">
        <is>
          <t>—</t>
        </is>
      </c>
      <c r="Z30" s="2" t="inlineStr">
        <is>
          <t>—</t>
        </is>
      </c>
      <c r="AA30" s="2" t="inlineStr">
        <is>
          <t>P050272|I</t>
        </is>
      </c>
      <c r="AB30" s="7" t="inlineStr">
        <is>
          <t>registered — initial release, issued 03.06.2026</t>
        </is>
      </c>
    </row>
    <row r="31">
      <c r="A31" s="2" t="n">
        <v>30</v>
      </c>
      <c r="B31" s="3" t="inlineStr">
        <is>
          <t>iCoA-PP_26-030</t>
        </is>
      </c>
      <c r="C31" s="4" t="inlineStr">
        <is>
          <t>yes</t>
        </is>
      </c>
      <c r="D31" s="5">
        <f>IF(A31="","",IF(ISNUMBER(E31),MAX(DATE(2026,6,3),E31),DATE(2026,6,3)))</f>
        <v/>
      </c>
      <c r="E31" s="5">
        <f>IFERROR(INDEX('Batch Dates'!$F:$F,MATCH(J31,'Batch Dates'!$C:$C,0)),IFERROR(INDEX('Batch Dates'!$F:$F,MATCH(I31,'Batch Dates'!$B:$B,0)),""))</f>
        <v/>
      </c>
      <c r="F31" s="5">
        <f>IFERROR(INDEX('Batch Dates'!$G:$G,MATCH(J31,'Batch Dates'!$C:$C,0)),IFERROR(INDEX('Batch Dates'!$G:$G,MATCH(I31,'Batch Dates'!$B:$B,0)),""))</f>
        <v/>
      </c>
      <c r="G31" s="2" t="inlineStr">
        <is>
          <t>legacy</t>
        </is>
      </c>
      <c r="H31" s="2" t="inlineStr">
        <is>
          <t>initial release</t>
        </is>
      </c>
      <c r="I31" s="3" t="inlineStr">
        <is>
          <t>CLE072501</t>
        </is>
      </c>
      <c r="J31" s="2" t="inlineStr">
        <is>
          <t>P050282</t>
        </is>
      </c>
      <c r="K31" s="2" t="inlineStr">
        <is>
          <t>Clemosa A Bud</t>
        </is>
      </c>
      <c r="L31" s="2" t="inlineStr">
        <is>
          <t>Ident A + Ident B + Foreign matter</t>
        </is>
      </c>
      <c r="M31" s="6" t="inlineStr">
        <is>
          <t>—</t>
        </is>
      </c>
      <c r="N31" s="2">
        <f>IFERROR(INDEX('CoQ Register'!$B:$B,MATCH("P050282|I",'CoQ Register'!$S:$S,0)),"—")</f>
        <v/>
      </c>
      <c r="O31" s="2" t="inlineStr">
        <is>
          <t>iCoA-PP-2025-0019</t>
        </is>
      </c>
      <c r="P31" s="2" t="inlineStr">
        <is>
          <t>03.12.2025</t>
        </is>
      </c>
      <c r="Q31" s="2" t="inlineStr">
        <is>
          <t>28.10.2025</t>
        </is>
      </c>
      <c r="R31" s="2" t="inlineStr">
        <is>
          <t>03.12.2025 – 04.12.2025</t>
        </is>
      </c>
      <c r="S31" s="5">
        <f>IFERROR(INDEX('CoQ Register'!$D:$D,MATCH("P050282|I",'CoQ Register'!$S:$S,0)),"")</f>
        <v/>
      </c>
      <c r="T31" s="2" t="inlineStr">
        <is>
          <t>Conforms</t>
        </is>
      </c>
      <c r="U31" s="2" t="inlineStr">
        <is>
          <t>Conforms</t>
        </is>
      </c>
      <c r="V31" s="2" t="inlineStr">
        <is>
          <t>Conforms</t>
        </is>
      </c>
      <c r="W31" s="2" t="inlineStr">
        <is>
          <t>ППК25370, (28.11.2025) [CNP]</t>
        </is>
      </c>
      <c r="X31" s="2" t="inlineStr">
        <is>
          <t>—</t>
        </is>
      </c>
      <c r="Y31" s="2" t="inlineStr">
        <is>
          <t>—</t>
        </is>
      </c>
      <c r="Z31" s="2" t="inlineStr">
        <is>
          <t>—</t>
        </is>
      </c>
      <c r="AA31" s="2" t="inlineStr">
        <is>
          <t>P050282|I</t>
        </is>
      </c>
      <c r="AB31" s="7" t="inlineStr">
        <is>
          <t>registered — initial release, issued 03.06.2026</t>
        </is>
      </c>
    </row>
    <row r="32">
      <c r="A32" s="2" t="n">
        <v>31</v>
      </c>
      <c r="B32" s="3" t="inlineStr">
        <is>
          <t>iCoA-PP_26-031</t>
        </is>
      </c>
      <c r="C32" s="4" t="inlineStr">
        <is>
          <t>yes</t>
        </is>
      </c>
      <c r="D32" s="5">
        <f>IF(A32="","",IF(ISNUMBER(E32),MAX(DATE(2026,6,3),E32),DATE(2026,6,3)))</f>
        <v/>
      </c>
      <c r="E32" s="5">
        <f>IFERROR(INDEX('Batch Dates'!$F:$F,MATCH(J32,'Batch Dates'!$C:$C,0)),IFERROR(INDEX('Batch Dates'!$F:$F,MATCH(I32,'Batch Dates'!$B:$B,0)),""))</f>
        <v/>
      </c>
      <c r="F32" s="5">
        <f>IFERROR(INDEX('Batch Dates'!$G:$G,MATCH(J32,'Batch Dates'!$C:$C,0)),IFERROR(INDEX('Batch Dates'!$G:$G,MATCH(I32,'Batch Dates'!$B:$B,0)),""))</f>
        <v/>
      </c>
      <c r="G32" s="2" t="inlineStr">
        <is>
          <t>legacy</t>
        </is>
      </c>
      <c r="H32" s="2" t="inlineStr">
        <is>
          <t>initial release</t>
        </is>
      </c>
      <c r="I32" s="3" t="inlineStr">
        <is>
          <t>GP072501/1</t>
        </is>
      </c>
      <c r="J32" s="2" t="inlineStr">
        <is>
          <t>P050292</t>
        </is>
      </c>
      <c r="K32" s="2" t="inlineStr">
        <is>
          <t>Grape Pie</t>
        </is>
      </c>
      <c r="L32" s="2" t="inlineStr">
        <is>
          <t>Ident A + Ident B + Foreign matter</t>
        </is>
      </c>
      <c r="M32" s="6" t="inlineStr">
        <is>
          <t>—</t>
        </is>
      </c>
      <c r="N32" s="2">
        <f>IFERROR(INDEX('CoQ Register'!$B:$B,MATCH("P050292|I",'CoQ Register'!$S:$S,0)),"—")</f>
        <v/>
      </c>
      <c r="O32" s="6" t="inlineStr">
        <is>
          <t>—</t>
        </is>
      </c>
      <c r="P32" s="2" t="inlineStr">
        <is>
          <t>21.01.2026</t>
        </is>
      </c>
      <c r="Q32" s="2" t="inlineStr">
        <is>
          <t>11.11.2025 – 13.11.2025</t>
        </is>
      </c>
      <c r="R32" s="2" t="inlineStr">
        <is>
          <t>15.12.2025 – 21.12.2025 (the issuance plan's basis: 21.01.2026)</t>
        </is>
      </c>
      <c r="S32" s="5">
        <f>IFERROR(INDEX('CoQ Register'!$D:$D,MATCH("P050292|I",'CoQ Register'!$S:$S,0)),"")</f>
        <v/>
      </c>
      <c r="T32" s="2" t="inlineStr">
        <is>
          <t>Conforms</t>
        </is>
      </c>
      <c r="U32" s="2" t="inlineStr">
        <is>
          <t>Conforms</t>
        </is>
      </c>
      <c r="V32" s="2" t="inlineStr">
        <is>
          <t>Conforms</t>
        </is>
      </c>
      <c r="W32" s="2" t="inlineStr">
        <is>
          <t>ППК25378, (12.12.2025) [CNP]</t>
        </is>
      </c>
      <c r="X32" s="2" t="inlineStr">
        <is>
          <t>—</t>
        </is>
      </c>
      <c r="Y32" s="2" t="inlineStr">
        <is>
          <t>—</t>
        </is>
      </c>
      <c r="Z32" s="2" t="inlineStr">
        <is>
          <t>—</t>
        </is>
      </c>
      <c r="AA32" s="2" t="inlineStr">
        <is>
          <t>P050292|I</t>
        </is>
      </c>
      <c r="AB32" s="7" t="inlineStr">
        <is>
          <t>registered — initial release, issued 03.06.2026</t>
        </is>
      </c>
    </row>
    <row r="33">
      <c r="A33" s="2" t="n">
        <v>32</v>
      </c>
      <c r="B33" s="3" t="inlineStr">
        <is>
          <t>iCoA-PP_26-032</t>
        </is>
      </c>
      <c r="C33" s="4" t="inlineStr">
        <is>
          <t>yes</t>
        </is>
      </c>
      <c r="D33" s="5">
        <f>IF(A33="","",IF(ISNUMBER(E33),MAX(DATE(2026,6,3),E33),DATE(2026,6,3)))</f>
        <v/>
      </c>
      <c r="E33" s="5">
        <f>IFERROR(INDEX('Batch Dates'!$F:$F,MATCH(J33,'Batch Dates'!$C:$C,0)),IFERROR(INDEX('Batch Dates'!$F:$F,MATCH(I33,'Batch Dates'!$B:$B,0)),""))</f>
        <v/>
      </c>
      <c r="F33" s="5">
        <f>IFERROR(INDEX('Batch Dates'!$G:$G,MATCH(J33,'Batch Dates'!$C:$C,0)),IFERROR(INDEX('Batch Dates'!$G:$G,MATCH(I33,'Batch Dates'!$B:$B,0)),""))</f>
        <v/>
      </c>
      <c r="G33" s="2" t="inlineStr">
        <is>
          <t>legacy</t>
        </is>
      </c>
      <c r="H33" s="2" t="inlineStr">
        <is>
          <t>initial release</t>
        </is>
      </c>
      <c r="I33" s="3" t="inlineStr">
        <is>
          <t>GP072501/2</t>
        </is>
      </c>
      <c r="J33" s="2" t="inlineStr">
        <is>
          <t>P050302</t>
        </is>
      </c>
      <c r="K33" s="2" t="inlineStr">
        <is>
          <t>Grape Pie</t>
        </is>
      </c>
      <c r="L33" s="2" t="inlineStr">
        <is>
          <t>Ident A + Ident B + Foreign matter</t>
        </is>
      </c>
      <c r="M33" s="6" t="inlineStr">
        <is>
          <t>—</t>
        </is>
      </c>
      <c r="N33" s="2">
        <f>IFERROR(INDEX('CoQ Register'!$B:$B,MATCH("P050302|I",'CoQ Register'!$S:$S,0)),"—")</f>
        <v/>
      </c>
      <c r="O33" s="2" t="inlineStr">
        <is>
          <t>iCoA-PP-2025-0020</t>
        </is>
      </c>
      <c r="P33" s="2" t="inlineStr">
        <is>
          <t>22.12.2025</t>
        </is>
      </c>
      <c r="Q33" s="2" t="inlineStr">
        <is>
          <t>13.11.2025</t>
        </is>
      </c>
      <c r="R33" s="2" t="inlineStr">
        <is>
          <t>22.12.2025</t>
        </is>
      </c>
      <c r="S33" s="5">
        <f>IFERROR(INDEX('CoQ Register'!$D:$D,MATCH("P050302|I",'CoQ Register'!$S:$S,0)),"")</f>
        <v/>
      </c>
      <c r="T33" s="2" t="inlineStr">
        <is>
          <t>Conforms</t>
        </is>
      </c>
      <c r="U33" s="2" t="inlineStr">
        <is>
          <t>Conforms</t>
        </is>
      </c>
      <c r="V33" s="2" t="inlineStr">
        <is>
          <t>Conforms</t>
        </is>
      </c>
      <c r="W33" s="2" t="inlineStr">
        <is>
          <t>ППК25379, (12.12.2025) [CNP]</t>
        </is>
      </c>
      <c r="X33" s="2" t="inlineStr">
        <is>
          <t>—</t>
        </is>
      </c>
      <c r="Y33" s="2" t="inlineStr">
        <is>
          <t>—</t>
        </is>
      </c>
      <c r="Z33" s="2" t="inlineStr">
        <is>
          <t>—</t>
        </is>
      </c>
      <c r="AA33" s="2" t="inlineStr">
        <is>
          <t>P050302|I</t>
        </is>
      </c>
      <c r="AB33" s="7" t="inlineStr">
        <is>
          <t>registered — initial release, issued 03.06.2026</t>
        </is>
      </c>
    </row>
    <row r="34">
      <c r="A34" s="2" t="n">
        <v>33</v>
      </c>
      <c r="B34" s="3" t="inlineStr">
        <is>
          <t>iCoA-PP_26-033</t>
        </is>
      </c>
      <c r="C34" s="4" t="inlineStr">
        <is>
          <t>yes</t>
        </is>
      </c>
      <c r="D34" s="5">
        <f>IF(A34="","",IF(ISNUMBER(E34),MAX(DATE(2026,6,3),E34),DATE(2026,6,3)))</f>
        <v/>
      </c>
      <c r="E34" s="5">
        <f>IFERROR(INDEX('Batch Dates'!$F:$F,MATCH(J34,'Batch Dates'!$C:$C,0)),IFERROR(INDEX('Batch Dates'!$F:$F,MATCH(I34,'Batch Dates'!$B:$B,0)),""))</f>
        <v/>
      </c>
      <c r="F34" s="5">
        <f>IFERROR(INDEX('Batch Dates'!$G:$G,MATCH(J34,'Batch Dates'!$C:$C,0)),IFERROR(INDEX('Batch Dates'!$G:$G,MATCH(I34,'Batch Dates'!$B:$B,0)),""))</f>
        <v/>
      </c>
      <c r="G34" s="2" t="inlineStr">
        <is>
          <t>legacy</t>
        </is>
      </c>
      <c r="H34" s="2" t="inlineStr">
        <is>
          <t>initial release</t>
        </is>
      </c>
      <c r="I34" s="3" t="inlineStr">
        <is>
          <t>GP082501/1</t>
        </is>
      </c>
      <c r="J34" s="2" t="inlineStr">
        <is>
          <t>P050312</t>
        </is>
      </c>
      <c r="K34" s="2" t="inlineStr">
        <is>
          <t>Grape Pie</t>
        </is>
      </c>
      <c r="L34" s="2" t="inlineStr">
        <is>
          <t>Ident A + Ident B + Foreign matter</t>
        </is>
      </c>
      <c r="M34" s="6" t="inlineStr">
        <is>
          <t>—</t>
        </is>
      </c>
      <c r="N34" s="2">
        <f>IFERROR(INDEX('CoQ Register'!$B:$B,MATCH("P050312|I",'CoQ Register'!$S:$S,0)),"—")</f>
        <v/>
      </c>
      <c r="O34" s="2" t="inlineStr">
        <is>
          <t>iCoA-PP-2025-0021</t>
        </is>
      </c>
      <c r="P34" s="2" t="inlineStr">
        <is>
          <t>23.12.2025</t>
        </is>
      </c>
      <c r="Q34" s="2" t="inlineStr">
        <is>
          <t>19.11.2025 – 20.11.2025</t>
        </is>
      </c>
      <c r="R34" s="2" t="inlineStr">
        <is>
          <t>23.12.2025 – 26.12.2025</t>
        </is>
      </c>
      <c r="S34" s="5">
        <f>IFERROR(INDEX('CoQ Register'!$D:$D,MATCH("P050312|I",'CoQ Register'!$S:$S,0)),"")</f>
        <v/>
      </c>
      <c r="T34" s="2" t="inlineStr">
        <is>
          <t>Conforms</t>
        </is>
      </c>
      <c r="U34" s="2" t="inlineStr">
        <is>
          <t>Conforms</t>
        </is>
      </c>
      <c r="V34" s="2" t="inlineStr">
        <is>
          <t>Conforms</t>
        </is>
      </c>
      <c r="W34" s="2" t="inlineStr">
        <is>
          <t>ППК25380, (12.12.2025) [CNP]</t>
        </is>
      </c>
      <c r="X34" s="2" t="inlineStr">
        <is>
          <t>—</t>
        </is>
      </c>
      <c r="Y34" s="2" t="inlineStr">
        <is>
          <t>—</t>
        </is>
      </c>
      <c r="Z34" s="2" t="inlineStr">
        <is>
          <t>—</t>
        </is>
      </c>
      <c r="AA34" s="2" t="inlineStr">
        <is>
          <t>P050312|I</t>
        </is>
      </c>
      <c r="AB34" s="7" t="inlineStr">
        <is>
          <t>registered — initial release, issued 03.06.2026</t>
        </is>
      </c>
    </row>
    <row r="35">
      <c r="A35" s="2" t="n">
        <v>34</v>
      </c>
      <c r="B35" s="3" t="inlineStr">
        <is>
          <t>iCoA-PP_26-034</t>
        </is>
      </c>
      <c r="C35" s="4" t="inlineStr">
        <is>
          <t>yes</t>
        </is>
      </c>
      <c r="D35" s="5">
        <f>IF(A35="","",IF(ISNUMBER(E35),MAX(DATE(2026,6,3),E35),DATE(2026,6,3)))</f>
        <v/>
      </c>
      <c r="E35" s="5">
        <f>IFERROR(INDEX('Batch Dates'!$F:$F,MATCH(J35,'Batch Dates'!$C:$C,0)),IFERROR(INDEX('Batch Dates'!$F:$F,MATCH(I35,'Batch Dates'!$B:$B,0)),""))</f>
        <v/>
      </c>
      <c r="F35" s="5">
        <f>IFERROR(INDEX('Batch Dates'!$G:$G,MATCH(J35,'Batch Dates'!$C:$C,0)),IFERROR(INDEX('Batch Dates'!$G:$G,MATCH(I35,'Batch Dates'!$B:$B,0)),""))</f>
        <v/>
      </c>
      <c r="G35" s="2" t="inlineStr">
        <is>
          <t>legacy</t>
        </is>
      </c>
      <c r="H35" s="2" t="inlineStr">
        <is>
          <t>initial release</t>
        </is>
      </c>
      <c r="I35" s="3" t="inlineStr">
        <is>
          <t>GP082501/2</t>
        </is>
      </c>
      <c r="J35" s="2" t="inlineStr">
        <is>
          <t>P050322</t>
        </is>
      </c>
      <c r="K35" s="2" t="inlineStr">
        <is>
          <t>Grape Pie</t>
        </is>
      </c>
      <c r="L35" s="2" t="inlineStr">
        <is>
          <t>Ident A + Ident B + Foreign matter</t>
        </is>
      </c>
      <c r="M35" s="6" t="inlineStr">
        <is>
          <t>—</t>
        </is>
      </c>
      <c r="N35" s="2">
        <f>IFERROR(INDEX('CoQ Register'!$B:$B,MATCH("P050322|I",'CoQ Register'!$S:$S,0)),"—")</f>
        <v/>
      </c>
      <c r="O35" s="2" t="inlineStr">
        <is>
          <t>iCoA-PP-2025-0022</t>
        </is>
      </c>
      <c r="P35" s="2" t="inlineStr">
        <is>
          <t>26.12.2025</t>
        </is>
      </c>
      <c r="Q35" s="2" t="inlineStr">
        <is>
          <t>20.11.2025</t>
        </is>
      </c>
      <c r="R35" s="2" t="inlineStr">
        <is>
          <t>26.12.2025</t>
        </is>
      </c>
      <c r="S35" s="5">
        <f>IFERROR(INDEX('CoQ Register'!$D:$D,MATCH("P050322|I",'CoQ Register'!$S:$S,0)),"")</f>
        <v/>
      </c>
      <c r="T35" s="2" t="inlineStr">
        <is>
          <t>Conforms</t>
        </is>
      </c>
      <c r="U35" s="2" t="inlineStr">
        <is>
          <t>Conforms</t>
        </is>
      </c>
      <c r="V35" s="2" t="inlineStr">
        <is>
          <t>Conforms</t>
        </is>
      </c>
      <c r="W35" s="2" t="inlineStr">
        <is>
          <t>ППК25381, (12.12.2025) [CNP]</t>
        </is>
      </c>
      <c r="X35" s="2" t="inlineStr">
        <is>
          <t>—</t>
        </is>
      </c>
      <c r="Y35" s="2" t="inlineStr">
        <is>
          <t>—</t>
        </is>
      </c>
      <c r="Z35" s="2" t="inlineStr">
        <is>
          <t>—</t>
        </is>
      </c>
      <c r="AA35" s="2" t="inlineStr">
        <is>
          <t>P050322|I</t>
        </is>
      </c>
      <c r="AB35" s="7" t="inlineStr">
        <is>
          <t>registered — initial release, issued 03.06.2026</t>
        </is>
      </c>
    </row>
    <row r="36">
      <c r="A36" s="2" t="n">
        <v>35</v>
      </c>
      <c r="B36" s="3" t="inlineStr">
        <is>
          <t>iCoA-PP_26-035</t>
        </is>
      </c>
      <c r="C36" s="4" t="inlineStr">
        <is>
          <t>yes</t>
        </is>
      </c>
      <c r="D36" s="5">
        <f>IF(A36="","",IF(ISNUMBER(E36),MAX(DATE(2026,6,3),E36),DATE(2026,6,3)))</f>
        <v/>
      </c>
      <c r="E36" s="5">
        <f>IFERROR(INDEX('Batch Dates'!$F:$F,MATCH(J36,'Batch Dates'!$C:$C,0)),IFERROR(INDEX('Batch Dates'!$F:$F,MATCH(I36,'Batch Dates'!$B:$B,0)),""))</f>
        <v/>
      </c>
      <c r="F36" s="5">
        <f>IFERROR(INDEX('Batch Dates'!$G:$G,MATCH(J36,'Batch Dates'!$C:$C,0)),IFERROR(INDEX('Batch Dates'!$G:$G,MATCH(I36,'Batch Dates'!$B:$B,0)),""))</f>
        <v/>
      </c>
      <c r="G36" s="2" t="inlineStr">
        <is>
          <t>legacy</t>
        </is>
      </c>
      <c r="H36" s="2" t="inlineStr">
        <is>
          <t>initial release</t>
        </is>
      </c>
      <c r="I36" s="3" t="inlineStr">
        <is>
          <t>WC082501</t>
        </is>
      </c>
      <c r="J36" s="2" t="inlineStr">
        <is>
          <t>P060012</t>
        </is>
      </c>
      <c r="K36" s="2" t="inlineStr">
        <is>
          <t>Wedding Crusher</t>
        </is>
      </c>
      <c r="L36" s="2" t="inlineStr">
        <is>
          <t>Ident A + Ident B + Foreign matter</t>
        </is>
      </c>
      <c r="M36" s="6" t="inlineStr">
        <is>
          <t>—</t>
        </is>
      </c>
      <c r="N36" s="2">
        <f>IFERROR(INDEX('CoQ Register'!$B:$B,MATCH("P060012|I",'CoQ Register'!$S:$S,0)),"—")</f>
        <v/>
      </c>
      <c r="O36" s="2" t="inlineStr">
        <is>
          <t>iCoA-PP-2026-0001</t>
        </is>
      </c>
      <c r="P36" s="2" t="inlineStr">
        <is>
          <t>13.01.2026</t>
        </is>
      </c>
      <c r="Q36" s="2" t="inlineStr">
        <is>
          <t>09.12.2025</t>
        </is>
      </c>
      <c r="R36" s="2" t="inlineStr">
        <is>
          <t>13.01.2026 – 14.01.2026</t>
        </is>
      </c>
      <c r="S36" s="5">
        <f>IFERROR(INDEX('CoQ Register'!$D:$D,MATCH("P060012|I",'CoQ Register'!$S:$S,0)),"")</f>
        <v/>
      </c>
      <c r="T36" s="2" t="inlineStr">
        <is>
          <t>Conforms</t>
        </is>
      </c>
      <c r="U36" s="2" t="inlineStr">
        <is>
          <t>Conforms</t>
        </is>
      </c>
      <c r="V36" s="2" t="inlineStr">
        <is>
          <t>Conforms</t>
        </is>
      </c>
      <c r="W36" s="2" t="inlineStr">
        <is>
          <t>ППК26001, (21.01.2026) [CNP]</t>
        </is>
      </c>
      <c r="X36" s="2" t="inlineStr">
        <is>
          <t>—</t>
        </is>
      </c>
      <c r="Y36" s="2" t="inlineStr">
        <is>
          <t>—</t>
        </is>
      </c>
      <c r="Z36" s="2" t="inlineStr">
        <is>
          <t>—</t>
        </is>
      </c>
      <c r="AA36" s="2" t="inlineStr">
        <is>
          <t>P060012|I</t>
        </is>
      </c>
      <c r="AB36" s="7" t="inlineStr">
        <is>
          <t>registered — initial release, issued 03.06.2026</t>
        </is>
      </c>
    </row>
    <row r="37">
      <c r="A37" s="2" t="n">
        <v>36</v>
      </c>
      <c r="B37" s="3" t="inlineStr">
        <is>
          <t>iCoA-PP_26-036</t>
        </is>
      </c>
      <c r="C37" s="4" t="inlineStr">
        <is>
          <t>yes</t>
        </is>
      </c>
      <c r="D37" s="5">
        <f>IF(A37="","",IF(ISNUMBER(E37),MAX(DATE(2026,6,3),E37),DATE(2026,6,3)))</f>
        <v/>
      </c>
      <c r="E37" s="5">
        <f>IFERROR(INDEX('Batch Dates'!$F:$F,MATCH(J37,'Batch Dates'!$C:$C,0)),IFERROR(INDEX('Batch Dates'!$F:$F,MATCH(I37,'Batch Dates'!$B:$B,0)),""))</f>
        <v/>
      </c>
      <c r="F37" s="5">
        <f>IFERROR(INDEX('Batch Dates'!$G:$G,MATCH(J37,'Batch Dates'!$C:$C,0)),IFERROR(INDEX('Batch Dates'!$G:$G,MATCH(I37,'Batch Dates'!$B:$B,0)),""))</f>
        <v/>
      </c>
      <c r="G37" s="2" t="inlineStr">
        <is>
          <t>legacy</t>
        </is>
      </c>
      <c r="H37" s="2" t="inlineStr">
        <is>
          <t>initial release</t>
        </is>
      </c>
      <c r="I37" s="3" t="inlineStr">
        <is>
          <t>CJ082501/1</t>
        </is>
      </c>
      <c r="J37" s="2" t="inlineStr">
        <is>
          <t>P060022</t>
        </is>
      </c>
      <c r="K37" s="2" t="inlineStr">
        <is>
          <t>Cap Junky</t>
        </is>
      </c>
      <c r="L37" s="2" t="inlineStr">
        <is>
          <t>Ident A + Ident B + Foreign matter</t>
        </is>
      </c>
      <c r="M37" s="6" t="inlineStr">
        <is>
          <t>—</t>
        </is>
      </c>
      <c r="N37" s="2">
        <f>IFERROR(INDEX('CoQ Register'!$B:$B,MATCH("P060022|I",'CoQ Register'!$S:$S,0)),"—")</f>
        <v/>
      </c>
      <c r="O37" s="2" t="inlineStr">
        <is>
          <t>iCoA-PP-2026-0002</t>
        </is>
      </c>
      <c r="P37" s="2" t="inlineStr">
        <is>
          <t>16.01.2026</t>
        </is>
      </c>
      <c r="Q37" s="2" t="inlineStr">
        <is>
          <t>09.12.2025 – 10.12.2025</t>
        </is>
      </c>
      <c r="R37" s="2" t="inlineStr">
        <is>
          <t>16.01.2026</t>
        </is>
      </c>
      <c r="S37" s="5">
        <f>IFERROR(INDEX('CoQ Register'!$D:$D,MATCH("P060022|I",'CoQ Register'!$S:$S,0)),"")</f>
        <v/>
      </c>
      <c r="T37" s="2" t="inlineStr">
        <is>
          <t>Conforms</t>
        </is>
      </c>
      <c r="U37" s="2" t="inlineStr">
        <is>
          <t>Conforms</t>
        </is>
      </c>
      <c r="V37" s="2" t="inlineStr">
        <is>
          <t>Conforms</t>
        </is>
      </c>
      <c r="W37" s="2" t="inlineStr">
        <is>
          <t>ППК26002, (21.01.2026) [CNP]</t>
        </is>
      </c>
      <c r="X37" s="2" t="inlineStr">
        <is>
          <t>—</t>
        </is>
      </c>
      <c r="Y37" s="2" t="inlineStr">
        <is>
          <t>—</t>
        </is>
      </c>
      <c r="Z37" s="2" t="inlineStr">
        <is>
          <t>—</t>
        </is>
      </c>
      <c r="AA37" s="2" t="inlineStr">
        <is>
          <t>P060022|I</t>
        </is>
      </c>
      <c r="AB37" s="7" t="inlineStr">
        <is>
          <t>registered — initial release, issued 03.06.2026</t>
        </is>
      </c>
    </row>
    <row r="38">
      <c r="A38" s="2" t="n">
        <v>37</v>
      </c>
      <c r="B38" s="3" t="inlineStr">
        <is>
          <t>iCoA-PP_26-037</t>
        </is>
      </c>
      <c r="C38" s="4" t="inlineStr">
        <is>
          <t>yes</t>
        </is>
      </c>
      <c r="D38" s="5">
        <f>IF(A38="","",IF(ISNUMBER(E38),MAX(DATE(2026,6,3),E38),DATE(2026,6,3)))</f>
        <v/>
      </c>
      <c r="E38" s="5">
        <f>IFERROR(INDEX('Batch Dates'!$F:$F,MATCH(J38,'Batch Dates'!$C:$C,0)),IFERROR(INDEX('Batch Dates'!$F:$F,MATCH(I38,'Batch Dates'!$B:$B,0)),""))</f>
        <v/>
      </c>
      <c r="F38" s="5">
        <f>IFERROR(INDEX('Batch Dates'!$G:$G,MATCH(J38,'Batch Dates'!$C:$C,0)),IFERROR(INDEX('Batch Dates'!$G:$G,MATCH(I38,'Batch Dates'!$B:$B,0)),""))</f>
        <v/>
      </c>
      <c r="G38" s="2" t="inlineStr">
        <is>
          <t>legacy</t>
        </is>
      </c>
      <c r="H38" s="2" t="inlineStr">
        <is>
          <t>initial release</t>
        </is>
      </c>
      <c r="I38" s="3" t="inlineStr">
        <is>
          <t>CJ082501/2</t>
        </is>
      </c>
      <c r="J38" s="2" t="inlineStr">
        <is>
          <t>P060032</t>
        </is>
      </c>
      <c r="K38" s="2" t="inlineStr">
        <is>
          <t>Cap Junky</t>
        </is>
      </c>
      <c r="L38" s="2" t="inlineStr">
        <is>
          <t>Ident A + Ident B + Foreign matter</t>
        </is>
      </c>
      <c r="M38" s="6" t="inlineStr">
        <is>
          <t>—</t>
        </is>
      </c>
      <c r="N38" s="2">
        <f>IFERROR(INDEX('CoQ Register'!$B:$B,MATCH("P060032|I",'CoQ Register'!$S:$S,0)),"—")</f>
        <v/>
      </c>
      <c r="O38" s="2" t="inlineStr">
        <is>
          <t>iCoA-PP-2026-0003</t>
        </is>
      </c>
      <c r="P38" s="2" t="inlineStr">
        <is>
          <t>29.01.2026</t>
        </is>
      </c>
      <c r="Q38" s="2" t="inlineStr">
        <is>
          <t>10.12.2025</t>
        </is>
      </c>
      <c r="R38" s="2" t="inlineStr">
        <is>
          <t>29.01.2026</t>
        </is>
      </c>
      <c r="S38" s="5">
        <f>IFERROR(INDEX('CoQ Register'!$D:$D,MATCH("P060032|I",'CoQ Register'!$S:$S,0)),"")</f>
        <v/>
      </c>
      <c r="T38" s="2" t="inlineStr">
        <is>
          <t>Conforms</t>
        </is>
      </c>
      <c r="U38" s="2" t="inlineStr">
        <is>
          <t>Conforms</t>
        </is>
      </c>
      <c r="V38" s="2" t="inlineStr">
        <is>
          <t>Conforms</t>
        </is>
      </c>
      <c r="W38" s="2" t="inlineStr">
        <is>
          <t>ППК26003, (21.01.2026) [CNP]</t>
        </is>
      </c>
      <c r="X38" s="2" t="inlineStr">
        <is>
          <t>—</t>
        </is>
      </c>
      <c r="Y38" s="2" t="inlineStr">
        <is>
          <t>—</t>
        </is>
      </c>
      <c r="Z38" s="2" t="inlineStr">
        <is>
          <t>—</t>
        </is>
      </c>
      <c r="AA38" s="2" t="inlineStr">
        <is>
          <t>P060032|I</t>
        </is>
      </c>
      <c r="AB38" s="7" t="inlineStr">
        <is>
          <t>registered — initial release, issued 03.06.2026</t>
        </is>
      </c>
    </row>
    <row r="39">
      <c r="A39" s="2" t="n">
        <v>38</v>
      </c>
      <c r="B39" s="3" t="inlineStr">
        <is>
          <t>iCoA-PP_26-038</t>
        </is>
      </c>
      <c r="C39" s="4" t="inlineStr">
        <is>
          <t>yes</t>
        </is>
      </c>
      <c r="D39" s="5">
        <f>IF(A39="","",IF(ISNUMBER(E39),MAX(DATE(2026,6,3),E39),DATE(2026,6,3)))</f>
        <v/>
      </c>
      <c r="E39" s="5">
        <f>IFERROR(INDEX('Batch Dates'!$F:$F,MATCH(J39,'Batch Dates'!$C:$C,0)),IFERROR(INDEX('Batch Dates'!$F:$F,MATCH(I39,'Batch Dates'!$B:$B,0)),""))</f>
        <v/>
      </c>
      <c r="F39" s="5">
        <f>IFERROR(INDEX('Batch Dates'!$G:$G,MATCH(J39,'Batch Dates'!$C:$C,0)),IFERROR(INDEX('Batch Dates'!$G:$G,MATCH(I39,'Batch Dates'!$B:$B,0)),""))</f>
        <v/>
      </c>
      <c r="G39" s="2" t="inlineStr">
        <is>
          <t>legacy</t>
        </is>
      </c>
      <c r="H39" s="2" t="inlineStr">
        <is>
          <t>initial release</t>
        </is>
      </c>
      <c r="I39" s="3" t="inlineStr">
        <is>
          <t>OPM092501</t>
        </is>
      </c>
      <c r="J39" s="2" t="inlineStr">
        <is>
          <t>P060042</t>
        </is>
      </c>
      <c r="K39" s="2" t="inlineStr">
        <is>
          <t>Orange Punch Mimosa</t>
        </is>
      </c>
      <c r="L39" s="2" t="inlineStr">
        <is>
          <t>Ident A + Ident B + Foreign matter</t>
        </is>
      </c>
      <c r="M39" s="6" t="inlineStr">
        <is>
          <t>—</t>
        </is>
      </c>
      <c r="N39" s="2">
        <f>IFERROR(INDEX('CoQ Register'!$B:$B,MATCH("P060042|I",'CoQ Register'!$S:$S,0)),"—")</f>
        <v/>
      </c>
      <c r="O39" s="2" t="inlineStr">
        <is>
          <t>iCoA-PP-2026-0004</t>
        </is>
      </c>
      <c r="P39" s="2" t="inlineStr">
        <is>
          <t>29.01.2026</t>
        </is>
      </c>
      <c r="Q39" s="2" t="inlineStr">
        <is>
          <t>12.12.2025</t>
        </is>
      </c>
      <c r="R39" s="2" t="inlineStr">
        <is>
          <t>29.01.2026</t>
        </is>
      </c>
      <c r="S39" s="5">
        <f>IFERROR(INDEX('CoQ Register'!$D:$D,MATCH("P060042|I",'CoQ Register'!$S:$S,0)),"")</f>
        <v/>
      </c>
      <c r="T39" s="2" t="inlineStr">
        <is>
          <t>Conforms</t>
        </is>
      </c>
      <c r="U39" s="2" t="inlineStr">
        <is>
          <t>Conforms</t>
        </is>
      </c>
      <c r="V39" s="2" t="inlineStr">
        <is>
          <t>Conforms</t>
        </is>
      </c>
      <c r="W39" s="2" t="inlineStr">
        <is>
          <t>ППК26008, (21.01.2026) [CNP]</t>
        </is>
      </c>
      <c r="X39" s="2" t="inlineStr">
        <is>
          <t>—</t>
        </is>
      </c>
      <c r="Y39" s="2" t="inlineStr">
        <is>
          <t>—</t>
        </is>
      </c>
      <c r="Z39" s="2" t="inlineStr">
        <is>
          <t>—</t>
        </is>
      </c>
      <c r="AA39" s="2" t="inlineStr">
        <is>
          <t>P060042|I</t>
        </is>
      </c>
      <c r="AB39" s="7" t="inlineStr">
        <is>
          <t>registered — initial release, issued 03.06.2026</t>
        </is>
      </c>
    </row>
    <row r="40">
      <c r="A40" s="2" t="n">
        <v>39</v>
      </c>
      <c r="B40" s="3" t="inlineStr">
        <is>
          <t>iCoA-PP_26-039</t>
        </is>
      </c>
      <c r="C40" s="4" t="inlineStr">
        <is>
          <t>yes</t>
        </is>
      </c>
      <c r="D40" s="5">
        <f>IF(A40="","",IF(ISNUMBER(E40),MAX(DATE(2026,6,3),E40),DATE(2026,6,3)))</f>
        <v/>
      </c>
      <c r="E40" s="5">
        <f>IFERROR(INDEX('Batch Dates'!$F:$F,MATCH(J40,'Batch Dates'!$C:$C,0)),IFERROR(INDEX('Batch Dates'!$F:$F,MATCH(I40,'Batch Dates'!$B:$B,0)),""))</f>
        <v/>
      </c>
      <c r="F40" s="5">
        <f>IFERROR(INDEX('Batch Dates'!$G:$G,MATCH(J40,'Batch Dates'!$C:$C,0)),IFERROR(INDEX('Batch Dates'!$G:$G,MATCH(I40,'Batch Dates'!$B:$B,0)),""))</f>
        <v/>
      </c>
      <c r="G40" s="2" t="inlineStr">
        <is>
          <t>legacy</t>
        </is>
      </c>
      <c r="H40" s="2" t="inlineStr">
        <is>
          <t>initial release</t>
        </is>
      </c>
      <c r="I40" s="3" t="inlineStr">
        <is>
          <t>AB092501</t>
        </is>
      </c>
      <c r="J40" s="2" t="inlineStr">
        <is>
          <t>P060052</t>
        </is>
      </c>
      <c r="K40" s="2" t="inlineStr">
        <is>
          <t>Apple and Banana</t>
        </is>
      </c>
      <c r="L40" s="2" t="inlineStr">
        <is>
          <t>Ident A + Ident B + Foreign matter</t>
        </is>
      </c>
      <c r="M40" s="6" t="inlineStr">
        <is>
          <t>—</t>
        </is>
      </c>
      <c r="N40" s="2">
        <f>IFERROR(INDEX('CoQ Register'!$B:$B,MATCH("P060052|I",'CoQ Register'!$S:$S,0)),"—")</f>
        <v/>
      </c>
      <c r="O40" s="6" t="inlineStr">
        <is>
          <t>—</t>
        </is>
      </c>
      <c r="P40" s="2" t="inlineStr">
        <is>
          <t>20.02.2026</t>
        </is>
      </c>
      <c r="Q40" s="2" t="inlineStr">
        <is>
          <t>11.12.2025</t>
        </is>
      </c>
      <c r="R40" s="2" t="inlineStr">
        <is>
          <t>30.01.2026 (the issuance plan's basis: 20.02.2026)</t>
        </is>
      </c>
      <c r="S40" s="5">
        <f>IFERROR(INDEX('CoQ Register'!$D:$D,MATCH("P060052|I",'CoQ Register'!$S:$S,0)),"")</f>
        <v/>
      </c>
      <c r="T40" s="2" t="inlineStr">
        <is>
          <t>Conforms</t>
        </is>
      </c>
      <c r="U40" s="2" t="inlineStr">
        <is>
          <t>Conforms</t>
        </is>
      </c>
      <c r="V40" s="2" t="inlineStr">
        <is>
          <t>Conforms</t>
        </is>
      </c>
      <c r="W40" s="2" t="inlineStr">
        <is>
          <t>ППК26005, (21.01.2026) [CNP]</t>
        </is>
      </c>
      <c r="X40" s="2" t="inlineStr">
        <is>
          <t>—</t>
        </is>
      </c>
      <c r="Y40" s="2" t="inlineStr">
        <is>
          <t>—</t>
        </is>
      </c>
      <c r="Z40" s="2" t="inlineStr">
        <is>
          <t>—</t>
        </is>
      </c>
      <c r="AA40" s="2" t="inlineStr">
        <is>
          <t>P060052|I</t>
        </is>
      </c>
      <c r="AB40" s="7" t="inlineStr">
        <is>
          <t>registered — initial release, issued 03.06.2026</t>
        </is>
      </c>
    </row>
    <row r="41">
      <c r="A41" s="2" t="n">
        <v>40</v>
      </c>
      <c r="B41" s="3" t="inlineStr">
        <is>
          <t>iCoA-PP_26-040</t>
        </is>
      </c>
      <c r="C41" s="4" t="inlineStr">
        <is>
          <t>yes</t>
        </is>
      </c>
      <c r="D41" s="5">
        <f>IF(A41="","",IF(ISNUMBER(E41),MAX(DATE(2026,6,3),E41),DATE(2026,6,3)))</f>
        <v/>
      </c>
      <c r="E41" s="5">
        <f>IFERROR(INDEX('Batch Dates'!$F:$F,MATCH(J41,'Batch Dates'!$C:$C,0)),IFERROR(INDEX('Batch Dates'!$F:$F,MATCH(I41,'Batch Dates'!$B:$B,0)),""))</f>
        <v/>
      </c>
      <c r="F41" s="5">
        <f>IFERROR(INDEX('Batch Dates'!$G:$G,MATCH(J41,'Batch Dates'!$C:$C,0)),IFERROR(INDEX('Batch Dates'!$G:$G,MATCH(I41,'Batch Dates'!$B:$B,0)),""))</f>
        <v/>
      </c>
      <c r="G41" s="2" t="inlineStr">
        <is>
          <t>legacy</t>
        </is>
      </c>
      <c r="H41" s="2" t="inlineStr">
        <is>
          <t>initial release</t>
        </is>
      </c>
      <c r="I41" s="3" t="inlineStr">
        <is>
          <t>PM092501</t>
        </is>
      </c>
      <c r="J41" s="2" t="inlineStr">
        <is>
          <t>P060062</t>
        </is>
      </c>
      <c r="K41" s="2" t="inlineStr">
        <is>
          <t>Permanent Marker</t>
        </is>
      </c>
      <c r="L41" s="2" t="inlineStr">
        <is>
          <t>Ident A + Ident B + Foreign matter</t>
        </is>
      </c>
      <c r="M41" s="6" t="inlineStr">
        <is>
          <t>—</t>
        </is>
      </c>
      <c r="N41" s="2">
        <f>IFERROR(INDEX('CoQ Register'!$B:$B,MATCH("P060062|I",'CoQ Register'!$S:$S,0)),"—")</f>
        <v/>
      </c>
      <c r="O41" s="2" t="inlineStr">
        <is>
          <t>iCoA-PP-2026-0005</t>
        </is>
      </c>
      <c r="P41" s="2" t="inlineStr">
        <is>
          <t>30.01.2026</t>
        </is>
      </c>
      <c r="Q41" s="2" t="inlineStr">
        <is>
          <t>11.12.2025</t>
        </is>
      </c>
      <c r="R41" s="2" t="inlineStr">
        <is>
          <t>30.01.2026</t>
        </is>
      </c>
      <c r="S41" s="5">
        <f>IFERROR(INDEX('CoQ Register'!$D:$D,MATCH("P060062|I",'CoQ Register'!$S:$S,0)),"")</f>
        <v/>
      </c>
      <c r="T41" s="2" t="inlineStr">
        <is>
          <t>Conforms</t>
        </is>
      </c>
      <c r="U41" s="2" t="inlineStr">
        <is>
          <t>Conforms</t>
        </is>
      </c>
      <c r="V41" s="2" t="inlineStr">
        <is>
          <t>Conforms</t>
        </is>
      </c>
      <c r="W41" s="2" t="inlineStr">
        <is>
          <t>ППК26004, (21.01.2026) [CNP]</t>
        </is>
      </c>
      <c r="X41" s="2" t="inlineStr">
        <is>
          <t>—</t>
        </is>
      </c>
      <c r="Y41" s="2" t="inlineStr">
        <is>
          <t>—</t>
        </is>
      </c>
      <c r="Z41" s="2" t="inlineStr">
        <is>
          <t>—</t>
        </is>
      </c>
      <c r="AA41" s="2" t="inlineStr">
        <is>
          <t>P060062|I</t>
        </is>
      </c>
      <c r="AB41" s="7" t="inlineStr">
        <is>
          <t>registered — initial release, issued 03.06.2026</t>
        </is>
      </c>
    </row>
    <row r="42">
      <c r="A42" s="2" t="n">
        <v>41</v>
      </c>
      <c r="B42" s="3" t="inlineStr">
        <is>
          <t>iCoA-PP_26-041</t>
        </is>
      </c>
      <c r="C42" s="4" t="inlineStr">
        <is>
          <t>yes</t>
        </is>
      </c>
      <c r="D42" s="5">
        <f>IF(A42="","",IF(ISNUMBER(E42),MAX(DATE(2026,6,3),E42),DATE(2026,6,3)))</f>
        <v/>
      </c>
      <c r="E42" s="5">
        <f>IFERROR(INDEX('Batch Dates'!$F:$F,MATCH(J42,'Batch Dates'!$C:$C,0)),IFERROR(INDEX('Batch Dates'!$F:$F,MATCH(I42,'Batch Dates'!$B:$B,0)),""))</f>
        <v/>
      </c>
      <c r="F42" s="5">
        <f>IFERROR(INDEX('Batch Dates'!$G:$G,MATCH(J42,'Batch Dates'!$C:$C,0)),IFERROR(INDEX('Batch Dates'!$G:$G,MATCH(I42,'Batch Dates'!$B:$B,0)),""))</f>
        <v/>
      </c>
      <c r="G42" s="2" t="inlineStr">
        <is>
          <t>legacy</t>
        </is>
      </c>
      <c r="H42" s="2" t="inlineStr">
        <is>
          <t>initial release</t>
        </is>
      </c>
      <c r="I42" s="3" t="inlineStr">
        <is>
          <t>CJ092501</t>
        </is>
      </c>
      <c r="J42" s="2" t="inlineStr">
        <is>
          <t>P060072</t>
        </is>
      </c>
      <c r="K42" s="2" t="inlineStr">
        <is>
          <t>Cap Junky</t>
        </is>
      </c>
      <c r="L42" s="2" t="inlineStr">
        <is>
          <t>Ident A + Ident B + Foreign matter</t>
        </is>
      </c>
      <c r="M42" s="6" t="inlineStr">
        <is>
          <t>—</t>
        </is>
      </c>
      <c r="N42" s="2">
        <f>IFERROR(INDEX('CoQ Register'!$B:$B,MATCH("P060072|I",'CoQ Register'!$S:$S,0)),"—")</f>
        <v/>
      </c>
      <c r="O42" s="2" t="inlineStr">
        <is>
          <t>iCoA-PP-2026-0006</t>
        </is>
      </c>
      <c r="P42" s="2" t="inlineStr">
        <is>
          <t>02.02.2026</t>
        </is>
      </c>
      <c r="Q42" s="2" t="inlineStr">
        <is>
          <t>12.12.2025</t>
        </is>
      </c>
      <c r="R42" s="2" t="inlineStr">
        <is>
          <t>02.02.2026</t>
        </is>
      </c>
      <c r="S42" s="5">
        <f>IFERROR(INDEX('CoQ Register'!$D:$D,MATCH("P060072|I",'CoQ Register'!$S:$S,0)),"")</f>
        <v/>
      </c>
      <c r="T42" s="2" t="inlineStr">
        <is>
          <t>Conforms</t>
        </is>
      </c>
      <c r="U42" s="2" t="inlineStr">
        <is>
          <t>Conforms</t>
        </is>
      </c>
      <c r="V42" s="2" t="inlineStr">
        <is>
          <t>Conforms</t>
        </is>
      </c>
      <c r="W42" s="2" t="inlineStr">
        <is>
          <t>ППК26007, (21.01.2026) [CNP]</t>
        </is>
      </c>
      <c r="X42" s="2" t="inlineStr">
        <is>
          <t>—</t>
        </is>
      </c>
      <c r="Y42" s="2" t="inlineStr">
        <is>
          <t>—</t>
        </is>
      </c>
      <c r="Z42" s="2" t="inlineStr">
        <is>
          <t>—</t>
        </is>
      </c>
      <c r="AA42" s="2" t="inlineStr">
        <is>
          <t>P060072|I</t>
        </is>
      </c>
      <c r="AB42" s="7" t="inlineStr">
        <is>
          <t>registered — initial release, issued 03.06.2026</t>
        </is>
      </c>
    </row>
    <row r="43">
      <c r="A43" s="2" t="n">
        <v>42</v>
      </c>
      <c r="B43" s="3" t="inlineStr">
        <is>
          <t>iCoA-PP_26-042</t>
        </is>
      </c>
      <c r="C43" s="4" t="inlineStr">
        <is>
          <t>yes</t>
        </is>
      </c>
      <c r="D43" s="5">
        <f>IF(A43="","",IF(ISNUMBER(E43),MAX(DATE(2026,6,3),E43),DATE(2026,6,3)))</f>
        <v/>
      </c>
      <c r="E43" s="5">
        <f>IFERROR(INDEX('Batch Dates'!$F:$F,MATCH(J43,'Batch Dates'!$C:$C,0)),IFERROR(INDEX('Batch Dates'!$F:$F,MATCH(I43,'Batch Dates'!$B:$B,0)),""))</f>
        <v/>
      </c>
      <c r="F43" s="5">
        <f>IFERROR(INDEX('Batch Dates'!$G:$G,MATCH(J43,'Batch Dates'!$C:$C,0)),IFERROR(INDEX('Batch Dates'!$G:$G,MATCH(I43,'Batch Dates'!$B:$B,0)),""))</f>
        <v/>
      </c>
      <c r="G43" s="2" t="inlineStr">
        <is>
          <t>legacy</t>
        </is>
      </c>
      <c r="H43" s="2" t="inlineStr">
        <is>
          <t>initial release</t>
        </is>
      </c>
      <c r="I43" s="3" t="inlineStr">
        <is>
          <t>SJ0925021</t>
        </is>
      </c>
      <c r="J43" s="2" t="inlineStr">
        <is>
          <t>P060082</t>
        </is>
      </c>
      <c r="K43" s="2" t="inlineStr">
        <is>
          <t>Sleepy Joe</t>
        </is>
      </c>
      <c r="L43" s="2" t="inlineStr">
        <is>
          <t>Ident A + Ident B + Foreign matter</t>
        </is>
      </c>
      <c r="M43" s="6" t="inlineStr">
        <is>
          <t>—</t>
        </is>
      </c>
      <c r="N43" s="2">
        <f>IFERROR(INDEX('CoQ Register'!$B:$B,MATCH("P060082|I",'CoQ Register'!$S:$S,0)),"—")</f>
        <v/>
      </c>
      <c r="O43" s="2" t="inlineStr">
        <is>
          <t>iCoA-PP-2026-0007</t>
        </is>
      </c>
      <c r="P43" s="2" t="inlineStr">
        <is>
          <t>02.02.2026</t>
        </is>
      </c>
      <c r="Q43" s="2" t="inlineStr">
        <is>
          <t>11.12.2025 – 12.12.2025</t>
        </is>
      </c>
      <c r="R43" s="2" t="inlineStr">
        <is>
          <t>02.02.2026</t>
        </is>
      </c>
      <c r="S43" s="5">
        <f>IFERROR(INDEX('CoQ Register'!$D:$D,MATCH("P060082|I",'CoQ Register'!$S:$S,0)),"")</f>
        <v/>
      </c>
      <c r="T43" s="2" t="inlineStr">
        <is>
          <t>Conforms</t>
        </is>
      </c>
      <c r="U43" s="2" t="inlineStr">
        <is>
          <t>Conforms</t>
        </is>
      </c>
      <c r="V43" s="2" t="inlineStr">
        <is>
          <t>Conforms</t>
        </is>
      </c>
      <c r="W43" s="2" t="inlineStr">
        <is>
          <t>ППК26006, (21.01.2026) [CNP]</t>
        </is>
      </c>
      <c r="X43" s="2" t="inlineStr">
        <is>
          <t>—</t>
        </is>
      </c>
      <c r="Y43" s="2" t="inlineStr">
        <is>
          <t>—</t>
        </is>
      </c>
      <c r="Z43" s="2" t="inlineStr">
        <is>
          <t>—</t>
        </is>
      </c>
      <c r="AA43" s="2" t="inlineStr">
        <is>
          <t>P060082|I</t>
        </is>
      </c>
      <c r="AB43" s="7" t="inlineStr">
        <is>
          <t>registered — initial release, issued 03.06.2026</t>
        </is>
      </c>
    </row>
    <row r="44">
      <c r="A44" s="2" t="n">
        <v>43</v>
      </c>
      <c r="B44" s="3" t="inlineStr">
        <is>
          <t>iCoA-PP_26-043</t>
        </is>
      </c>
      <c r="C44" s="4" t="inlineStr">
        <is>
          <t>yes</t>
        </is>
      </c>
      <c r="D44" s="5">
        <f>IF(A44="","",IF(ISNUMBER(E44),MAX(DATE(2026,6,3),E44),DATE(2026,6,3)))</f>
        <v/>
      </c>
      <c r="E44" s="5">
        <f>IFERROR(INDEX('Batch Dates'!$F:$F,MATCH(J44,'Batch Dates'!$C:$C,0)),IFERROR(INDEX('Batch Dates'!$F:$F,MATCH(I44,'Batch Dates'!$B:$B,0)),""))</f>
        <v/>
      </c>
      <c r="F44" s="5">
        <f>IFERROR(INDEX('Batch Dates'!$G:$G,MATCH(J44,'Batch Dates'!$C:$C,0)),IFERROR(INDEX('Batch Dates'!$G:$G,MATCH(I44,'Batch Dates'!$B:$B,0)),""))</f>
        <v/>
      </c>
      <c r="G44" s="2" t="inlineStr">
        <is>
          <t>legacy</t>
        </is>
      </c>
      <c r="H44" s="2" t="inlineStr">
        <is>
          <t>initial release</t>
        </is>
      </c>
      <c r="I44" s="3" t="inlineStr">
        <is>
          <t>GP092501</t>
        </is>
      </c>
      <c r="J44" s="2" t="inlineStr">
        <is>
          <t>P060092</t>
        </is>
      </c>
      <c r="K44" s="2" t="inlineStr">
        <is>
          <t>Grape Pie</t>
        </is>
      </c>
      <c r="L44" s="2" t="inlineStr">
        <is>
          <t>Ident A + Ident B + Foreign matter</t>
        </is>
      </c>
      <c r="M44" s="6" t="inlineStr">
        <is>
          <t>—</t>
        </is>
      </c>
      <c r="N44" s="2">
        <f>IFERROR(INDEX('CoQ Register'!$B:$B,MATCH("P060092|I",'CoQ Register'!$S:$S,0)),"—")</f>
        <v/>
      </c>
      <c r="O44" s="2" t="inlineStr">
        <is>
          <t>iCoA-PP-2026-0008</t>
        </is>
      </c>
      <c r="P44" s="2" t="inlineStr">
        <is>
          <t>03.02.2026</t>
        </is>
      </c>
      <c r="Q44" s="2" t="inlineStr">
        <is>
          <t>16.12.2025 – 17.12.2025</t>
        </is>
      </c>
      <c r="R44" s="2" t="inlineStr">
        <is>
          <t>03.02.2026 – 09.02.2026</t>
        </is>
      </c>
      <c r="S44" s="5">
        <f>IFERROR(INDEX('CoQ Register'!$D:$D,MATCH("P060092|I",'CoQ Register'!$S:$S,0)),"")</f>
        <v/>
      </c>
      <c r="T44" s="2" t="inlineStr">
        <is>
          <t>Conforms</t>
        </is>
      </c>
      <c r="U44" s="2" t="inlineStr">
        <is>
          <t>Conforms</t>
        </is>
      </c>
      <c r="V44" s="2" t="inlineStr">
        <is>
          <t>Conforms</t>
        </is>
      </c>
      <c r="W44" s="2" t="inlineStr">
        <is>
          <t>ППК26009, (21.01.2026) [CNP]</t>
        </is>
      </c>
      <c r="X44" s="2" t="inlineStr">
        <is>
          <t>—</t>
        </is>
      </c>
      <c r="Y44" s="2" t="inlineStr">
        <is>
          <t>—</t>
        </is>
      </c>
      <c r="Z44" s="2" t="inlineStr">
        <is>
          <t>—</t>
        </is>
      </c>
      <c r="AA44" s="2" t="inlineStr">
        <is>
          <t>P060092|I</t>
        </is>
      </c>
      <c r="AB44" s="7" t="inlineStr">
        <is>
          <t>registered — initial release, issued 03.06.2026</t>
        </is>
      </c>
    </row>
    <row r="45">
      <c r="A45" s="2" t="n">
        <v>44</v>
      </c>
      <c r="B45" s="3" t="inlineStr">
        <is>
          <t>iCoA-PP_26-044</t>
        </is>
      </c>
      <c r="C45" s="4" t="inlineStr">
        <is>
          <t>yes</t>
        </is>
      </c>
      <c r="D45" s="5">
        <f>IF(A45="","",IF(ISNUMBER(E45),MAX(DATE(2026,6,3),E45),DATE(2026,6,3)))</f>
        <v/>
      </c>
      <c r="E45" s="5">
        <f>IFERROR(INDEX('Batch Dates'!$F:$F,MATCH(J45,'Batch Dates'!$C:$C,0)),IFERROR(INDEX('Batch Dates'!$F:$F,MATCH(I45,'Batch Dates'!$B:$B,0)),""))</f>
        <v/>
      </c>
      <c r="F45" s="5">
        <f>IFERROR(INDEX('Batch Dates'!$G:$G,MATCH(J45,'Batch Dates'!$C:$C,0)),IFERROR(INDEX('Batch Dates'!$G:$G,MATCH(I45,'Batch Dates'!$B:$B,0)),""))</f>
        <v/>
      </c>
      <c r="G45" s="2" t="inlineStr">
        <is>
          <t>legacy</t>
        </is>
      </c>
      <c r="H45" s="2" t="inlineStr">
        <is>
          <t>initial release</t>
        </is>
      </c>
      <c r="I45" s="3" t="inlineStr">
        <is>
          <t>WED102501</t>
        </is>
      </c>
      <c r="J45" s="2" t="inlineStr">
        <is>
          <t>P060102</t>
        </is>
      </c>
      <c r="K45" s="2" t="inlineStr">
        <is>
          <t>Wedding Cake</t>
        </is>
      </c>
      <c r="L45" s="2" t="inlineStr">
        <is>
          <t>Ident A + Ident B + Foreign matter</t>
        </is>
      </c>
      <c r="M45" s="6" t="inlineStr">
        <is>
          <t>—</t>
        </is>
      </c>
      <c r="N45" s="2">
        <f>IFERROR(INDEX('CoQ Register'!$B:$B,MATCH("P060102|I",'CoQ Register'!$S:$S,0)),"—")</f>
        <v/>
      </c>
      <c r="O45" s="6" t="inlineStr">
        <is>
          <t>—</t>
        </is>
      </c>
      <c r="P45" s="2" t="inlineStr">
        <is>
          <t>16.02.2026</t>
        </is>
      </c>
      <c r="Q45" s="2" t="inlineStr">
        <is>
          <t>08.01.2026</t>
        </is>
      </c>
      <c r="R45" s="2" t="inlineStr">
        <is>
          <t>16.02.2026</t>
        </is>
      </c>
      <c r="S45" s="5">
        <f>IFERROR(INDEX('CoQ Register'!$D:$D,MATCH("P060102|I",'CoQ Register'!$S:$S,0)),"")</f>
        <v/>
      </c>
      <c r="T45" s="2" t="inlineStr">
        <is>
          <t>Conforms</t>
        </is>
      </c>
      <c r="U45" s="2" t="inlineStr">
        <is>
          <t>Conforms</t>
        </is>
      </c>
      <c r="V45" s="2" t="inlineStr">
        <is>
          <t>Conforms</t>
        </is>
      </c>
      <c r="W45" s="2" t="inlineStr">
        <is>
          <t>— no cannabinoid certificate from the initial testing —</t>
        </is>
      </c>
      <c r="X45" s="2" t="inlineStr">
        <is>
          <t>—</t>
        </is>
      </c>
      <c r="Y45" s="2" t="inlineStr">
        <is>
          <t>—</t>
        </is>
      </c>
      <c r="Z45" s="2" t="inlineStr">
        <is>
          <t>—</t>
        </is>
      </c>
      <c r="AA45" s="2" t="inlineStr">
        <is>
          <t>P060102|I</t>
        </is>
      </c>
      <c r="AB45" s="7" t="inlineStr">
        <is>
          <t>registered — initial release, issued 03.06.2026</t>
        </is>
      </c>
    </row>
    <row r="46">
      <c r="A46" s="2" t="n">
        <v>45</v>
      </c>
      <c r="B46" s="3" t="inlineStr">
        <is>
          <t>iCoA-PP_26-045</t>
        </is>
      </c>
      <c r="C46" s="4" t="inlineStr">
        <is>
          <t>yes</t>
        </is>
      </c>
      <c r="D46" s="5">
        <f>IF(A46="","",IF(ISNUMBER(E46),MAX(DATE(2026,6,3),E46),DATE(2026,6,3)))</f>
        <v/>
      </c>
      <c r="E46" s="5">
        <f>IFERROR(INDEX('Batch Dates'!$F:$F,MATCH(J46,'Batch Dates'!$C:$C,0)),IFERROR(INDEX('Batch Dates'!$F:$F,MATCH(I46,'Batch Dates'!$B:$B,0)),""))</f>
        <v/>
      </c>
      <c r="F46" s="5">
        <f>IFERROR(INDEX('Batch Dates'!$G:$G,MATCH(J46,'Batch Dates'!$C:$C,0)),IFERROR(INDEX('Batch Dates'!$G:$G,MATCH(I46,'Batch Dates'!$B:$B,0)),""))</f>
        <v/>
      </c>
      <c r="G46" s="2" t="inlineStr">
        <is>
          <t>legacy</t>
        </is>
      </c>
      <c r="H46" s="2" t="inlineStr">
        <is>
          <t>initial release</t>
        </is>
      </c>
      <c r="I46" s="3" t="inlineStr">
        <is>
          <t>PUM102501</t>
        </is>
      </c>
      <c r="J46" s="2" t="inlineStr">
        <is>
          <t>P060112</t>
        </is>
      </c>
      <c r="K46" s="2" t="inlineStr">
        <is>
          <t>Pure Michigen</t>
        </is>
      </c>
      <c r="L46" s="2" t="inlineStr">
        <is>
          <t>Ident A + Ident B + Foreign matter</t>
        </is>
      </c>
      <c r="M46" s="6" t="inlineStr">
        <is>
          <t>—</t>
        </is>
      </c>
      <c r="N46" s="2">
        <f>IFERROR(INDEX('CoQ Register'!$B:$B,MATCH("P060112|I",'CoQ Register'!$S:$S,0)),"—")</f>
        <v/>
      </c>
      <c r="O46" s="2" t="inlineStr">
        <is>
          <t>iCoA-PP-2026-0009</t>
        </is>
      </c>
      <c r="P46" s="2" t="inlineStr">
        <is>
          <t>17.02.2026</t>
        </is>
      </c>
      <c r="Q46" s="2" t="inlineStr">
        <is>
          <t>08.01.2026 – 09.01.2026</t>
        </is>
      </c>
      <c r="R46" s="2" t="inlineStr">
        <is>
          <t>17.02.2026</t>
        </is>
      </c>
      <c r="S46" s="5">
        <f>IFERROR(INDEX('CoQ Register'!$D:$D,MATCH("P060112|I",'CoQ Register'!$S:$S,0)),"")</f>
        <v/>
      </c>
      <c r="T46" s="2" t="inlineStr">
        <is>
          <t>Conforms</t>
        </is>
      </c>
      <c r="U46" s="2" t="inlineStr">
        <is>
          <t>Conforms</t>
        </is>
      </c>
      <c r="V46" s="2" t="inlineStr">
        <is>
          <t>Conforms</t>
        </is>
      </c>
      <c r="W46" s="2" t="inlineStr">
        <is>
          <t>— no cannabinoid certificate from the initial testing —</t>
        </is>
      </c>
      <c r="X46" s="2" t="inlineStr">
        <is>
          <t>—</t>
        </is>
      </c>
      <c r="Y46" s="2" t="inlineStr">
        <is>
          <t>—</t>
        </is>
      </c>
      <c r="Z46" s="2" t="inlineStr">
        <is>
          <t>—</t>
        </is>
      </c>
      <c r="AA46" s="2" t="inlineStr">
        <is>
          <t>P060112|I</t>
        </is>
      </c>
      <c r="AB46" s="7" t="inlineStr">
        <is>
          <t>registered — initial release, issued 03.06.2026</t>
        </is>
      </c>
    </row>
    <row r="47">
      <c r="A47" s="2" t="n">
        <v>46</v>
      </c>
      <c r="B47" s="3" t="inlineStr">
        <is>
          <t>iCoA-PP_26-046</t>
        </is>
      </c>
      <c r="C47" s="4" t="inlineStr">
        <is>
          <t>yes</t>
        </is>
      </c>
      <c r="D47" s="5">
        <f>IF(A47="","",IF(ISNUMBER(E47),MAX(DATE(2026,6,3),E47),DATE(2026,6,3)))</f>
        <v/>
      </c>
      <c r="E47" s="5">
        <f>IFERROR(INDEX('Batch Dates'!$F:$F,MATCH(J47,'Batch Dates'!$C:$C,0)),IFERROR(INDEX('Batch Dates'!$F:$F,MATCH(I47,'Batch Dates'!$B:$B,0)),""))</f>
        <v/>
      </c>
      <c r="F47" s="5">
        <f>IFERROR(INDEX('Batch Dates'!$G:$G,MATCH(J47,'Batch Dates'!$C:$C,0)),IFERROR(INDEX('Batch Dates'!$G:$G,MATCH(I47,'Batch Dates'!$B:$B,0)),""))</f>
        <v/>
      </c>
      <c r="G47" s="2" t="inlineStr">
        <is>
          <t>legacy</t>
        </is>
      </c>
      <c r="H47" s="2" t="inlineStr">
        <is>
          <t>initial release</t>
        </is>
      </c>
      <c r="I47" s="3" t="inlineStr">
        <is>
          <t>ACC102501</t>
        </is>
      </c>
      <c r="J47" s="2" t="inlineStr">
        <is>
          <t>P060122</t>
        </is>
      </c>
      <c r="K47" s="2" t="inlineStr">
        <is>
          <t>Amnesia Core Cut</t>
        </is>
      </c>
      <c r="L47" s="2" t="inlineStr">
        <is>
          <t>Ident A + Ident B + Foreign matter</t>
        </is>
      </c>
      <c r="M47" s="6" t="inlineStr">
        <is>
          <t>—</t>
        </is>
      </c>
      <c r="N47" s="2">
        <f>IFERROR(INDEX('CoQ Register'!$B:$B,MATCH("P060122|I",'CoQ Register'!$S:$S,0)),"—")</f>
        <v/>
      </c>
      <c r="O47" s="2" t="inlineStr">
        <is>
          <t>iCoA-PP-2026-0010</t>
        </is>
      </c>
      <c r="P47" s="2" t="inlineStr">
        <is>
          <t>18.02.2026</t>
        </is>
      </c>
      <c r="Q47" s="2" t="inlineStr">
        <is>
          <t>09.01.2026</t>
        </is>
      </c>
      <c r="R47" s="2" t="inlineStr">
        <is>
          <t>18.02.2026 – 19.02.2026</t>
        </is>
      </c>
      <c r="S47" s="5">
        <f>IFERROR(INDEX('CoQ Register'!$D:$D,MATCH("P060122|I",'CoQ Register'!$S:$S,0)),"")</f>
        <v/>
      </c>
      <c r="T47" s="2" t="inlineStr">
        <is>
          <t>Conforms</t>
        </is>
      </c>
      <c r="U47" s="2" t="inlineStr">
        <is>
          <t>Conforms</t>
        </is>
      </c>
      <c r="V47" s="2" t="inlineStr">
        <is>
          <t>Conforms</t>
        </is>
      </c>
      <c r="W47" s="2" t="inlineStr">
        <is>
          <t>— no cannabinoid certificate from the initial testing —</t>
        </is>
      </c>
      <c r="X47" s="2" t="inlineStr">
        <is>
          <t>—</t>
        </is>
      </c>
      <c r="Y47" s="2" t="inlineStr">
        <is>
          <t>—</t>
        </is>
      </c>
      <c r="Z47" s="2" t="inlineStr">
        <is>
          <t>—</t>
        </is>
      </c>
      <c r="AA47" s="2" t="inlineStr">
        <is>
          <t>P060122|I</t>
        </is>
      </c>
      <c r="AB47" s="7" t="inlineStr">
        <is>
          <t>registered — initial release, issued 03.06.2026</t>
        </is>
      </c>
    </row>
    <row r="48">
      <c r="A48" s="2" t="n">
        <v>47</v>
      </c>
      <c r="B48" s="3" t="inlineStr">
        <is>
          <t>iCoA-PP_26-047</t>
        </is>
      </c>
      <c r="C48" s="4" t="inlineStr">
        <is>
          <t>yes</t>
        </is>
      </c>
      <c r="D48" s="5">
        <f>IF(A48="","",IF(ISNUMBER(E48),MAX(DATE(2026,6,3),E48),DATE(2026,6,3)))</f>
        <v/>
      </c>
      <c r="E48" s="5">
        <f>IFERROR(INDEX('Batch Dates'!$F:$F,MATCH(J48,'Batch Dates'!$C:$C,0)),IFERROR(INDEX('Batch Dates'!$F:$F,MATCH(I48,'Batch Dates'!$B:$B,0)),""))</f>
        <v/>
      </c>
      <c r="F48" s="5">
        <f>IFERROR(INDEX('Batch Dates'!$G:$G,MATCH(J48,'Batch Dates'!$C:$C,0)),IFERROR(INDEX('Batch Dates'!$G:$G,MATCH(I48,'Batch Dates'!$B:$B,0)),""))</f>
        <v/>
      </c>
      <c r="G48" s="2" t="inlineStr">
        <is>
          <t>legacy</t>
        </is>
      </c>
      <c r="H48" s="2" t="inlineStr">
        <is>
          <t>initial release</t>
        </is>
      </c>
      <c r="I48" s="3" t="inlineStr">
        <is>
          <t>CF102501</t>
        </is>
      </c>
      <c r="J48" s="2" t="inlineStr">
        <is>
          <t>P060132</t>
        </is>
      </c>
      <c r="K48" s="2" t="inlineStr">
        <is>
          <t>Chem Flyer</t>
        </is>
      </c>
      <c r="L48" s="2" t="inlineStr">
        <is>
          <t>Ident A + Ident B + Foreign matter</t>
        </is>
      </c>
      <c r="M48" s="6" t="inlineStr">
        <is>
          <t>—</t>
        </is>
      </c>
      <c r="N48" s="2">
        <f>IFERROR(INDEX('CoQ Register'!$B:$B,MATCH("P060132|I",'CoQ Register'!$S:$S,0)),"—")</f>
        <v/>
      </c>
      <c r="O48" s="2" t="inlineStr">
        <is>
          <t>iCoA-PP-2026-0011</t>
        </is>
      </c>
      <c r="P48" s="2" t="inlineStr">
        <is>
          <t>19.02.2026</t>
        </is>
      </c>
      <c r="Q48" s="2" t="inlineStr">
        <is>
          <t>09.01.2026</t>
        </is>
      </c>
      <c r="R48" s="2" t="inlineStr">
        <is>
          <t>19.02.2026 – 20.02.2026</t>
        </is>
      </c>
      <c r="S48" s="5">
        <f>IFERROR(INDEX('CoQ Register'!$D:$D,MATCH("P060132|I",'CoQ Register'!$S:$S,0)),"")</f>
        <v/>
      </c>
      <c r="T48" s="2" t="inlineStr">
        <is>
          <t>Conforms</t>
        </is>
      </c>
      <c r="U48" s="2" t="inlineStr">
        <is>
          <t>Conforms</t>
        </is>
      </c>
      <c r="V48" s="2" t="inlineStr">
        <is>
          <t>Conforms</t>
        </is>
      </c>
      <c r="W48" s="2" t="inlineStr">
        <is>
          <t>— no cannabinoid certificate from the initial testing —</t>
        </is>
      </c>
      <c r="X48" s="2" t="inlineStr">
        <is>
          <t>—</t>
        </is>
      </c>
      <c r="Y48" s="2" t="inlineStr">
        <is>
          <t>—</t>
        </is>
      </c>
      <c r="Z48" s="2" t="inlineStr">
        <is>
          <t>—</t>
        </is>
      </c>
      <c r="AA48" s="2" t="inlineStr">
        <is>
          <t>P060132|I</t>
        </is>
      </c>
      <c r="AB48" s="7" t="inlineStr">
        <is>
          <t>registered — initial release, issued 03.06.2026</t>
        </is>
      </c>
    </row>
    <row r="49">
      <c r="A49" s="2" t="n">
        <v>48</v>
      </c>
      <c r="B49" s="3" t="inlineStr">
        <is>
          <t>iCoA-PP_26-048</t>
        </is>
      </c>
      <c r="C49" s="4" t="inlineStr">
        <is>
          <t>yes</t>
        </is>
      </c>
      <c r="D49" s="5">
        <f>IF(A49="","",IF(ISNUMBER(E49),MAX(DATE(2026,6,3),E49),DATE(2026,6,3)))</f>
        <v/>
      </c>
      <c r="E49" s="5">
        <f>IFERROR(INDEX('Batch Dates'!$F:$F,MATCH(J49,'Batch Dates'!$C:$C,0)),IFERROR(INDEX('Batch Dates'!$F:$F,MATCH(I49,'Batch Dates'!$B:$B,0)),""))</f>
        <v/>
      </c>
      <c r="F49" s="5">
        <f>IFERROR(INDEX('Batch Dates'!$G:$G,MATCH(J49,'Batch Dates'!$C:$C,0)),IFERROR(INDEX('Batch Dates'!$G:$G,MATCH(I49,'Batch Dates'!$B:$B,0)),""))</f>
        <v/>
      </c>
      <c r="G49" s="2" t="inlineStr">
        <is>
          <t>legacy</t>
        </is>
      </c>
      <c r="H49" s="2" t="inlineStr">
        <is>
          <t>initial release</t>
        </is>
      </c>
      <c r="I49" s="3" t="inlineStr">
        <is>
          <t>GRC102501</t>
        </is>
      </c>
      <c r="J49" s="2" t="inlineStr">
        <is>
          <t>P060142</t>
        </is>
      </c>
      <c r="K49" s="2" t="inlineStr">
        <is>
          <t>Grapes And Cream</t>
        </is>
      </c>
      <c r="L49" s="2" t="inlineStr">
        <is>
          <t>Ident A + Ident B + Foreign matter</t>
        </is>
      </c>
      <c r="M49" s="6" t="inlineStr">
        <is>
          <t>—</t>
        </is>
      </c>
      <c r="N49" s="2">
        <f>IFERROR(INDEX('CoQ Register'!$B:$B,MATCH("P060142|I",'CoQ Register'!$S:$S,0)),"—")</f>
        <v/>
      </c>
      <c r="O49" s="6" t="inlineStr">
        <is>
          <t>—</t>
        </is>
      </c>
      <c r="P49" s="2" t="inlineStr">
        <is>
          <t>23.02.2026</t>
        </is>
      </c>
      <c r="Q49" s="2" t="inlineStr">
        <is>
          <t>09.01.2026</t>
        </is>
      </c>
      <c r="R49" s="2" t="inlineStr">
        <is>
          <t>23.02.2026</t>
        </is>
      </c>
      <c r="S49" s="5">
        <f>IFERROR(INDEX('CoQ Register'!$D:$D,MATCH("P060142|I",'CoQ Register'!$S:$S,0)),"")</f>
        <v/>
      </c>
      <c r="T49" s="2" t="inlineStr">
        <is>
          <t>Conforms</t>
        </is>
      </c>
      <c r="U49" s="2" t="inlineStr">
        <is>
          <t>Conforms</t>
        </is>
      </c>
      <c r="V49" s="2" t="inlineStr">
        <is>
          <t>Conforms</t>
        </is>
      </c>
      <c r="W49" s="2" t="inlineStr">
        <is>
          <t>— no cannabinoid certificate from the initial testing —</t>
        </is>
      </c>
      <c r="X49" s="2" t="inlineStr">
        <is>
          <t>—</t>
        </is>
      </c>
      <c r="Y49" s="2" t="inlineStr">
        <is>
          <t>—</t>
        </is>
      </c>
      <c r="Z49" s="2" t="inlineStr">
        <is>
          <t>—</t>
        </is>
      </c>
      <c r="AA49" s="2" t="inlineStr">
        <is>
          <t>P060142|I</t>
        </is>
      </c>
      <c r="AB49" s="7" t="inlineStr">
        <is>
          <t>registered — initial release, issued 03.06.2026</t>
        </is>
      </c>
    </row>
    <row r="50">
      <c r="A50" s="2" t="n">
        <v>49</v>
      </c>
      <c r="B50" s="3" t="inlineStr">
        <is>
          <t>iCoA-PP_26-049</t>
        </is>
      </c>
      <c r="C50" s="4" t="inlineStr">
        <is>
          <t>yes</t>
        </is>
      </c>
      <c r="D50" s="5">
        <f>IF(A50="","",IF(ISNUMBER(E50),MAX(DATE(2026,6,3),E50),DATE(2026,6,3)))</f>
        <v/>
      </c>
      <c r="E50" s="5">
        <f>IFERROR(INDEX('Batch Dates'!$F:$F,MATCH(J50,'Batch Dates'!$C:$C,0)),IFERROR(INDEX('Batch Dates'!$F:$F,MATCH(I50,'Batch Dates'!$B:$B,0)),""))</f>
        <v/>
      </c>
      <c r="F50" s="5">
        <f>IFERROR(INDEX('Batch Dates'!$G:$G,MATCH(J50,'Batch Dates'!$C:$C,0)),IFERROR(INDEX('Batch Dates'!$G:$G,MATCH(I50,'Batch Dates'!$B:$B,0)),""))</f>
        <v/>
      </c>
      <c r="G50" s="2" t="inlineStr">
        <is>
          <t>legacy</t>
        </is>
      </c>
      <c r="H50" s="2" t="inlineStr">
        <is>
          <t>initial release</t>
        </is>
      </c>
      <c r="I50" s="3" t="inlineStr">
        <is>
          <t>J31102501</t>
        </is>
      </c>
      <c r="J50" s="2" t="inlineStr">
        <is>
          <t>P060152</t>
        </is>
      </c>
      <c r="K50" s="2" t="inlineStr">
        <is>
          <t>Jokerz 31</t>
        </is>
      </c>
      <c r="L50" s="2" t="inlineStr">
        <is>
          <t>Ident A + Ident B + Foreign matter</t>
        </is>
      </c>
      <c r="M50" s="6" t="inlineStr">
        <is>
          <t>—</t>
        </is>
      </c>
      <c r="N50" s="2">
        <f>IFERROR(INDEX('CoQ Register'!$B:$B,MATCH("P060152|I",'CoQ Register'!$S:$S,0)),"—")</f>
        <v/>
      </c>
      <c r="O50" s="2" t="inlineStr">
        <is>
          <t>iCoA-PP-2026-0012</t>
        </is>
      </c>
      <c r="P50" s="2" t="inlineStr">
        <is>
          <t>05.03.2026</t>
        </is>
      </c>
      <c r="Q50" s="2" t="inlineStr">
        <is>
          <t>21.01.2026</t>
        </is>
      </c>
      <c r="R50" s="2" t="inlineStr">
        <is>
          <t>05.03.2026</t>
        </is>
      </c>
      <c r="S50" s="5">
        <f>IFERROR(INDEX('CoQ Register'!$D:$D,MATCH("P060152|I",'CoQ Register'!$S:$S,0)),"")</f>
        <v/>
      </c>
      <c r="T50" s="2" t="inlineStr">
        <is>
          <t>Conforms</t>
        </is>
      </c>
      <c r="U50" s="2" t="inlineStr">
        <is>
          <t>Conforms</t>
        </is>
      </c>
      <c r="V50" s="2" t="inlineStr">
        <is>
          <t>Conforms</t>
        </is>
      </c>
      <c r="W50" s="2" t="inlineStr">
        <is>
          <t>051-1-K-26, (04.03.2026) [FHM-K]</t>
        </is>
      </c>
      <c r="X50" s="2" t="inlineStr">
        <is>
          <t>—</t>
        </is>
      </c>
      <c r="Y50" s="2" t="inlineStr">
        <is>
          <t>—</t>
        </is>
      </c>
      <c r="Z50" s="2" t="inlineStr">
        <is>
          <t>—</t>
        </is>
      </c>
      <c r="AA50" s="2" t="inlineStr">
        <is>
          <t>P060152|I</t>
        </is>
      </c>
      <c r="AB50" s="7" t="inlineStr">
        <is>
          <t>registered — initial release, issued 03.06.2026</t>
        </is>
      </c>
    </row>
    <row r="51">
      <c r="A51" s="2" t="n">
        <v>50</v>
      </c>
      <c r="B51" s="3" t="inlineStr">
        <is>
          <t>iCoA-PP_26-050</t>
        </is>
      </c>
      <c r="C51" s="4" t="inlineStr">
        <is>
          <t>yes</t>
        </is>
      </c>
      <c r="D51" s="5">
        <f>IF(A51="","",IF(ISNUMBER(E51),MAX(DATE(2026,6,3),E51),DATE(2026,6,3)))</f>
        <v/>
      </c>
      <c r="E51" s="5">
        <f>IFERROR(INDEX('Batch Dates'!$F:$F,MATCH(J51,'Batch Dates'!$C:$C,0)),IFERROR(INDEX('Batch Dates'!$F:$F,MATCH(I51,'Batch Dates'!$B:$B,0)),""))</f>
        <v/>
      </c>
      <c r="F51" s="5">
        <f>IFERROR(INDEX('Batch Dates'!$G:$G,MATCH(J51,'Batch Dates'!$C:$C,0)),IFERROR(INDEX('Batch Dates'!$G:$G,MATCH(I51,'Batch Dates'!$B:$B,0)),""))</f>
        <v/>
      </c>
      <c r="G51" s="2" t="inlineStr">
        <is>
          <t>legacy</t>
        </is>
      </c>
      <c r="H51" s="2" t="inlineStr">
        <is>
          <t>initial release</t>
        </is>
      </c>
      <c r="I51" s="3" t="inlineStr">
        <is>
          <t>SJ102501</t>
        </is>
      </c>
      <c r="J51" s="2" t="inlineStr">
        <is>
          <t>P060162</t>
        </is>
      </c>
      <c r="K51" s="2" t="inlineStr">
        <is>
          <t>Sleepy Joe</t>
        </is>
      </c>
      <c r="L51" s="2" t="inlineStr">
        <is>
          <t>Ident A + Ident B + Foreign matter</t>
        </is>
      </c>
      <c r="M51" s="6" t="inlineStr">
        <is>
          <t>—</t>
        </is>
      </c>
      <c r="N51" s="2">
        <f>IFERROR(INDEX('CoQ Register'!$B:$B,MATCH("P060162|I",'CoQ Register'!$S:$S,0)),"—")</f>
        <v/>
      </c>
      <c r="O51" s="6" t="inlineStr">
        <is>
          <t>—</t>
        </is>
      </c>
      <c r="P51" s="2" t="inlineStr">
        <is>
          <t>04.03.2026</t>
        </is>
      </c>
      <c r="Q51" s="2" t="inlineStr">
        <is>
          <t>20.01.2026</t>
        </is>
      </c>
      <c r="R51" s="2" t="inlineStr">
        <is>
          <t>09.03.2026 (the issuance plan's basis: 04.03.2026)</t>
        </is>
      </c>
      <c r="S51" s="5">
        <f>IFERROR(INDEX('CoQ Register'!$D:$D,MATCH("P060162|I",'CoQ Register'!$S:$S,0)),"")</f>
        <v/>
      </c>
      <c r="T51" s="2" t="inlineStr">
        <is>
          <t>Conforms</t>
        </is>
      </c>
      <c r="U51" s="2" t="inlineStr">
        <is>
          <t>Conforms</t>
        </is>
      </c>
      <c r="V51" s="2" t="inlineStr">
        <is>
          <t>Conforms</t>
        </is>
      </c>
      <c r="W51" s="2" t="inlineStr">
        <is>
          <t>051-3-K-26, (04.03.2026) [FHM-K]</t>
        </is>
      </c>
      <c r="X51" s="2" t="inlineStr">
        <is>
          <t>—</t>
        </is>
      </c>
      <c r="Y51" s="2" t="inlineStr">
        <is>
          <t>—</t>
        </is>
      </c>
      <c r="Z51" s="2" t="inlineStr">
        <is>
          <t>—</t>
        </is>
      </c>
      <c r="AA51" s="2" t="inlineStr">
        <is>
          <t>P060162|I</t>
        </is>
      </c>
      <c r="AB51" s="7" t="inlineStr">
        <is>
          <t>registered — initial release, issued 03.06.2026</t>
        </is>
      </c>
    </row>
    <row r="52">
      <c r="A52" s="2" t="n">
        <v>51</v>
      </c>
      <c r="B52" s="3" t="inlineStr">
        <is>
          <t>iCoA-PP_26-051</t>
        </is>
      </c>
      <c r="C52" s="4" t="inlineStr">
        <is>
          <t>yes</t>
        </is>
      </c>
      <c r="D52" s="5">
        <f>IF(A52="","",IF(ISNUMBER(E52),MAX(DATE(2026,6,3),E52),DATE(2026,6,3)))</f>
        <v/>
      </c>
      <c r="E52" s="5">
        <f>IFERROR(INDEX('Batch Dates'!$F:$F,MATCH(J52,'Batch Dates'!$C:$C,0)),IFERROR(INDEX('Batch Dates'!$F:$F,MATCH(I52,'Batch Dates'!$B:$B,0)),""))</f>
        <v/>
      </c>
      <c r="F52" s="5">
        <f>IFERROR(INDEX('Batch Dates'!$G:$G,MATCH(J52,'Batch Dates'!$C:$C,0)),IFERROR(INDEX('Batch Dates'!$G:$G,MATCH(I52,'Batch Dates'!$B:$B,0)),""))</f>
        <v/>
      </c>
      <c r="G52" s="2" t="inlineStr">
        <is>
          <t>legacy</t>
        </is>
      </c>
      <c r="H52" s="2" t="inlineStr">
        <is>
          <t>initial release</t>
        </is>
      </c>
      <c r="I52" s="3" t="inlineStr">
        <is>
          <t>KC102501</t>
        </is>
      </c>
      <c r="J52" s="2" t="inlineStr">
        <is>
          <t>P060172</t>
        </is>
      </c>
      <c r="K52" s="2" t="inlineStr">
        <is>
          <t>Kush Crasher</t>
        </is>
      </c>
      <c r="L52" s="2" t="inlineStr">
        <is>
          <t>Ident A + Ident B + Foreign matter</t>
        </is>
      </c>
      <c r="M52" s="6" t="inlineStr">
        <is>
          <t>—</t>
        </is>
      </c>
      <c r="N52" s="2">
        <f>IFERROR(INDEX('CoQ Register'!$B:$B,MATCH("P060172|I",'CoQ Register'!$S:$S,0)),"—")</f>
        <v/>
      </c>
      <c r="O52" s="2" t="inlineStr">
        <is>
          <t>iCoA-PP-2026-0013</t>
        </is>
      </c>
      <c r="P52" s="2" t="inlineStr">
        <is>
          <t>12.03.2026</t>
        </is>
      </c>
      <c r="Q52" s="2" t="inlineStr">
        <is>
          <t>20.01.2026 – 21.01.2026</t>
        </is>
      </c>
      <c r="R52" s="2" t="inlineStr">
        <is>
          <t>12.03.2026</t>
        </is>
      </c>
      <c r="S52" s="5">
        <f>IFERROR(INDEX('CoQ Register'!$D:$D,MATCH("P060172|I",'CoQ Register'!$S:$S,0)),"")</f>
        <v/>
      </c>
      <c r="T52" s="2" t="inlineStr">
        <is>
          <t>Conforms</t>
        </is>
      </c>
      <c r="U52" s="2" t="inlineStr">
        <is>
          <t>Conforms</t>
        </is>
      </c>
      <c r="V52" s="2" t="inlineStr">
        <is>
          <t>Conforms</t>
        </is>
      </c>
      <c r="W52" s="2" t="inlineStr">
        <is>
          <t>051-4-K-26, (04.03.2026) [FHM-K]</t>
        </is>
      </c>
      <c r="X52" s="2" t="inlineStr">
        <is>
          <t>—</t>
        </is>
      </c>
      <c r="Y52" s="2" t="inlineStr">
        <is>
          <t>—</t>
        </is>
      </c>
      <c r="Z52" s="2" t="inlineStr">
        <is>
          <t>—</t>
        </is>
      </c>
      <c r="AA52" s="2" t="inlineStr">
        <is>
          <t>P060172|I</t>
        </is>
      </c>
      <c r="AB52" s="7" t="inlineStr">
        <is>
          <t>registered — initial release, issued 03.06.2026</t>
        </is>
      </c>
    </row>
    <row r="53">
      <c r="A53" s="2" t="n">
        <v>52</v>
      </c>
      <c r="B53" s="3" t="inlineStr">
        <is>
          <t>iCoA-PP_26-052</t>
        </is>
      </c>
      <c r="C53" s="4" t="inlineStr">
        <is>
          <t>yes</t>
        </is>
      </c>
      <c r="D53" s="5">
        <f>IF(A53="","",IF(ISNUMBER(E53),MAX(DATE(2026,6,3),E53),DATE(2026,6,3)))</f>
        <v/>
      </c>
      <c r="E53" s="5">
        <f>IFERROR(INDEX('Batch Dates'!$F:$F,MATCH(J53,'Batch Dates'!$C:$C,0)),IFERROR(INDEX('Batch Dates'!$F:$F,MATCH(I53,'Batch Dates'!$B:$B,0)),""))</f>
        <v/>
      </c>
      <c r="F53" s="5">
        <f>IFERROR(INDEX('Batch Dates'!$G:$G,MATCH(J53,'Batch Dates'!$C:$C,0)),IFERROR(INDEX('Batch Dates'!$G:$G,MATCH(I53,'Batch Dates'!$B:$B,0)),""))</f>
        <v/>
      </c>
      <c r="G53" s="2" t="inlineStr">
        <is>
          <t>legacy</t>
        </is>
      </c>
      <c r="H53" s="2" t="inlineStr">
        <is>
          <t>initial release</t>
        </is>
      </c>
      <c r="I53" s="3" t="inlineStr">
        <is>
          <t>GRC102501</t>
        </is>
      </c>
      <c r="J53" s="2" t="inlineStr">
        <is>
          <t>P060182</t>
        </is>
      </c>
      <c r="K53" s="2" t="inlineStr">
        <is>
          <t>Grapes And Cream</t>
        </is>
      </c>
      <c r="L53" s="2" t="inlineStr">
        <is>
          <t>Ident A + Ident B + Foreign matter</t>
        </is>
      </c>
      <c r="M53" s="6" t="inlineStr">
        <is>
          <t>—</t>
        </is>
      </c>
      <c r="N53" s="2">
        <f>IFERROR(INDEX('CoQ Register'!$B:$B,MATCH("P060182|I",'CoQ Register'!$S:$S,0)),"—")</f>
        <v/>
      </c>
      <c r="O53" s="2" t="inlineStr">
        <is>
          <t>iCoA-PP-2026-0014</t>
        </is>
      </c>
      <c r="P53" s="2" t="inlineStr">
        <is>
          <t>14.03.2026</t>
        </is>
      </c>
      <c r="Q53" s="2" t="inlineStr">
        <is>
          <t>20.01.2026</t>
        </is>
      </c>
      <c r="R53" s="2" t="inlineStr">
        <is>
          <t>14.03.2026</t>
        </is>
      </c>
      <c r="S53" s="5">
        <f>IFERROR(INDEX('CoQ Register'!$D:$D,MATCH("P060182|I",'CoQ Register'!$S:$S,0)),"")</f>
        <v/>
      </c>
      <c r="T53" s="2" t="inlineStr">
        <is>
          <t>Conforms</t>
        </is>
      </c>
      <c r="U53" s="2" t="inlineStr">
        <is>
          <t>Conforms</t>
        </is>
      </c>
      <c r="V53" s="2" t="inlineStr">
        <is>
          <t>Conforms</t>
        </is>
      </c>
      <c r="W53" s="2" t="inlineStr">
        <is>
          <t>051-6-K-26, (04.03.2026) [FHM-K]</t>
        </is>
      </c>
      <c r="X53" s="2" t="inlineStr">
        <is>
          <t>—</t>
        </is>
      </c>
      <c r="Y53" s="2" t="inlineStr">
        <is>
          <t>—</t>
        </is>
      </c>
      <c r="Z53" s="2" t="inlineStr">
        <is>
          <t>—</t>
        </is>
      </c>
      <c r="AA53" s="2" t="inlineStr">
        <is>
          <t>P060182|I</t>
        </is>
      </c>
      <c r="AB53" s="7" t="inlineStr">
        <is>
          <t>registered — initial release, issued 03.06.2026</t>
        </is>
      </c>
    </row>
    <row r="54">
      <c r="A54" s="2" t="n">
        <v>53</v>
      </c>
      <c r="B54" s="3" t="inlineStr">
        <is>
          <t>iCoA-PP_26-053</t>
        </is>
      </c>
      <c r="C54" s="4" t="inlineStr">
        <is>
          <t>yes</t>
        </is>
      </c>
      <c r="D54" s="5">
        <f>IF(A54="","",IF(ISNUMBER(E54),MAX(DATE(2026,6,3),E54),DATE(2026,6,3)))</f>
        <v/>
      </c>
      <c r="E54" s="5">
        <f>IFERROR(INDEX('Batch Dates'!$F:$F,MATCH(J54,'Batch Dates'!$C:$C,0)),IFERROR(INDEX('Batch Dates'!$F:$F,MATCH(I54,'Batch Dates'!$B:$B,0)),""))</f>
        <v/>
      </c>
      <c r="F54" s="5">
        <f>IFERROR(INDEX('Batch Dates'!$G:$G,MATCH(J54,'Batch Dates'!$C:$C,0)),IFERROR(INDEX('Batch Dates'!$G:$G,MATCH(I54,'Batch Dates'!$B:$B,0)),""))</f>
        <v/>
      </c>
      <c r="G54" s="2" t="inlineStr">
        <is>
          <t>legacy</t>
        </is>
      </c>
      <c r="H54" s="2" t="inlineStr">
        <is>
          <t>initial release</t>
        </is>
      </c>
      <c r="I54" s="3" t="inlineStr">
        <is>
          <t>SJ112501</t>
        </is>
      </c>
      <c r="J54" s="2" t="inlineStr">
        <is>
          <t>P060192</t>
        </is>
      </c>
      <c r="K54" s="2" t="inlineStr">
        <is>
          <t>Sleepy Joe</t>
        </is>
      </c>
      <c r="L54" s="2" t="inlineStr">
        <is>
          <t>Ident A + Ident B + Foreign matter</t>
        </is>
      </c>
      <c r="M54" s="6" t="inlineStr">
        <is>
          <t>—</t>
        </is>
      </c>
      <c r="N54" s="2">
        <f>IFERROR(INDEX('CoQ Register'!$B:$B,MATCH("P060192|I",'CoQ Register'!$S:$S,0)),"—")</f>
        <v/>
      </c>
      <c r="O54" s="6" t="inlineStr">
        <is>
          <t>—</t>
        </is>
      </c>
      <c r="P54" s="2" t="inlineStr">
        <is>
          <t>04.03.2026</t>
        </is>
      </c>
      <c r="Q54" s="2" t="inlineStr">
        <is>
          <t>26.01.2026 – 27.01.2026</t>
        </is>
      </c>
      <c r="R54" s="2" t="inlineStr">
        <is>
          <t>31.03.2026 (the issuance plan's basis: 04.03.2026)</t>
        </is>
      </c>
      <c r="S54" s="5">
        <f>IFERROR(INDEX('CoQ Register'!$D:$D,MATCH("P060192|I",'CoQ Register'!$S:$S,0)),"")</f>
        <v/>
      </c>
      <c r="T54" s="2" t="inlineStr">
        <is>
          <t>Conforms</t>
        </is>
      </c>
      <c r="U54" s="2" t="inlineStr">
        <is>
          <t>Conforms</t>
        </is>
      </c>
      <c r="V54" s="2" t="inlineStr">
        <is>
          <t>Conforms</t>
        </is>
      </c>
      <c r="W54" s="2" t="inlineStr">
        <is>
          <t>051-2-K-26, (04.03.2026) [FHM-K]</t>
        </is>
      </c>
      <c r="X54" s="2" t="inlineStr">
        <is>
          <t>—</t>
        </is>
      </c>
      <c r="Y54" s="2" t="inlineStr">
        <is>
          <t>—</t>
        </is>
      </c>
      <c r="Z54" s="2" t="inlineStr">
        <is>
          <t>—</t>
        </is>
      </c>
      <c r="AA54" s="2" t="inlineStr">
        <is>
          <t>P060192|I</t>
        </is>
      </c>
      <c r="AB54" s="7" t="inlineStr">
        <is>
          <t>registered — initial release, issued 03.06.2026</t>
        </is>
      </c>
    </row>
    <row r="55">
      <c r="A55" s="2" t="n">
        <v>54</v>
      </c>
      <c r="B55" s="3" t="inlineStr">
        <is>
          <t>iCoA-PP_26-054</t>
        </is>
      </c>
      <c r="C55" s="4" t="inlineStr">
        <is>
          <t>yes</t>
        </is>
      </c>
      <c r="D55" s="5">
        <f>IF(A55="","",IF(ISNUMBER(E55),MAX(DATE(2026,6,3),E55),DATE(2026,6,3)))</f>
        <v/>
      </c>
      <c r="E55" s="5">
        <f>IFERROR(INDEX('Batch Dates'!$F:$F,MATCH(J55,'Batch Dates'!$C:$C,0)),IFERROR(INDEX('Batch Dates'!$F:$F,MATCH(I55,'Batch Dates'!$B:$B,0)),""))</f>
        <v/>
      </c>
      <c r="F55" s="5">
        <f>IFERROR(INDEX('Batch Dates'!$G:$G,MATCH(J55,'Batch Dates'!$C:$C,0)),IFERROR(INDEX('Batch Dates'!$G:$G,MATCH(I55,'Batch Dates'!$B:$B,0)),""))</f>
        <v/>
      </c>
      <c r="G55" s="2" t="inlineStr">
        <is>
          <t>legacy</t>
        </is>
      </c>
      <c r="H55" s="2" t="inlineStr">
        <is>
          <t>initial release</t>
        </is>
      </c>
      <c r="I55" s="3" t="inlineStr">
        <is>
          <t>J31112501</t>
        </is>
      </c>
      <c r="J55" s="2" t="inlineStr">
        <is>
          <t>P060202</t>
        </is>
      </c>
      <c r="K55" s="2" t="inlineStr">
        <is>
          <t>Jokerz 31</t>
        </is>
      </c>
      <c r="L55" s="2" t="inlineStr">
        <is>
          <t>Ident A + Ident B + Foreign matter</t>
        </is>
      </c>
      <c r="M55" s="6" t="inlineStr">
        <is>
          <t>—</t>
        </is>
      </c>
      <c r="N55" s="2">
        <f>IFERROR(INDEX('CoQ Register'!$B:$B,MATCH("P060202|I",'CoQ Register'!$S:$S,0)),"—")</f>
        <v/>
      </c>
      <c r="O55" s="6" t="inlineStr">
        <is>
          <t>—</t>
        </is>
      </c>
      <c r="P55" s="2" t="inlineStr">
        <is>
          <t>09.04.2026</t>
        </is>
      </c>
      <c r="Q55" s="2" t="inlineStr">
        <is>
          <t>26.01.2026</t>
        </is>
      </c>
      <c r="R55" s="2" t="inlineStr">
        <is>
          <t>17.04.2026 (the issuance plan's basis: 09.04.2026)</t>
        </is>
      </c>
      <c r="S55" s="5">
        <f>IFERROR(INDEX('CoQ Register'!$D:$D,MATCH("P060202|I",'CoQ Register'!$S:$S,0)),"")</f>
        <v/>
      </c>
      <c r="T55" s="2" t="inlineStr">
        <is>
          <t>Conforms</t>
        </is>
      </c>
      <c r="U55" s="2" t="inlineStr">
        <is>
          <t>Conforms</t>
        </is>
      </c>
      <c r="V55" s="2" t="inlineStr">
        <is>
          <t>Conforms</t>
        </is>
      </c>
      <c r="W55" s="2" t="inlineStr">
        <is>
          <t>051-5-K-26, (04.03.2026) [FHM-K]</t>
        </is>
      </c>
      <c r="X55" s="2" t="inlineStr">
        <is>
          <t>—</t>
        </is>
      </c>
      <c r="Y55" s="2" t="inlineStr">
        <is>
          <t>—</t>
        </is>
      </c>
      <c r="Z55" s="2" t="inlineStr">
        <is>
          <t>—</t>
        </is>
      </c>
      <c r="AA55" s="2" t="inlineStr">
        <is>
          <t>P060202|I</t>
        </is>
      </c>
      <c r="AB55" s="7" t="inlineStr">
        <is>
          <t>registered — initial release, issued 03.06.2026</t>
        </is>
      </c>
    </row>
    <row r="56">
      <c r="A56" s="2" t="n">
        <v>55</v>
      </c>
      <c r="B56" s="3" t="inlineStr">
        <is>
          <t>iCoA-PP_26-055</t>
        </is>
      </c>
      <c r="C56" s="4" t="inlineStr">
        <is>
          <t>yes</t>
        </is>
      </c>
      <c r="D56" s="5">
        <f>IF(A56="","",IF(ISNUMBER(E56),MAX(DATE(2026,6,3),E56),DATE(2026,6,3)))</f>
        <v/>
      </c>
      <c r="E56" s="5">
        <f>IFERROR(INDEX('Batch Dates'!$F:$F,MATCH(J56,'Batch Dates'!$C:$C,0)),IFERROR(INDEX('Batch Dates'!$F:$F,MATCH(I56,'Batch Dates'!$B:$B,0)),""))</f>
        <v/>
      </c>
      <c r="F56" s="5">
        <f>IFERROR(INDEX('Batch Dates'!$G:$G,MATCH(J56,'Batch Dates'!$C:$C,0)),IFERROR(INDEX('Batch Dates'!$G:$G,MATCH(I56,'Batch Dates'!$B:$B,0)),""))</f>
        <v/>
      </c>
      <c r="G56" s="2" t="inlineStr">
        <is>
          <t>legacy</t>
        </is>
      </c>
      <c r="H56" s="2" t="inlineStr">
        <is>
          <t>initial release</t>
        </is>
      </c>
      <c r="I56" s="3" t="inlineStr">
        <is>
          <t>JD112501</t>
        </is>
      </c>
      <c r="J56" s="2" t="inlineStr">
        <is>
          <t>P060212</t>
        </is>
      </c>
      <c r="K56" s="2" t="inlineStr">
        <is>
          <t>Jelly Donuts</t>
        </is>
      </c>
      <c r="L56" s="2" t="inlineStr">
        <is>
          <t>Ident A + Ident B + Foreign matter</t>
        </is>
      </c>
      <c r="M56" s="6" t="inlineStr">
        <is>
          <t>—</t>
        </is>
      </c>
      <c r="N56" s="2">
        <f>IFERROR(INDEX('CoQ Register'!$B:$B,MATCH("P060212|I",'CoQ Register'!$S:$S,0)),"—")</f>
        <v/>
      </c>
      <c r="O56" s="2" t="inlineStr">
        <is>
          <t>iCoA-PP-2026-0015</t>
        </is>
      </c>
      <c r="P56" s="2" t="inlineStr">
        <is>
          <t>21.04.2026</t>
        </is>
      </c>
      <c r="Q56" s="2" t="inlineStr">
        <is>
          <t>25.03.2026</t>
        </is>
      </c>
      <c r="R56" s="2" t="inlineStr">
        <is>
          <t>21.04.2026</t>
        </is>
      </c>
      <c r="S56" s="5">
        <f>IFERROR(INDEX('CoQ Register'!$D:$D,MATCH("P060212|I",'CoQ Register'!$S:$S,0)),"")</f>
        <v/>
      </c>
      <c r="T56" s="2" t="inlineStr">
        <is>
          <t>Conforms</t>
        </is>
      </c>
      <c r="U56" s="2" t="inlineStr">
        <is>
          <t>Conforms</t>
        </is>
      </c>
      <c r="V56" s="2" t="inlineStr">
        <is>
          <t>Conforms</t>
        </is>
      </c>
      <c r="W56" s="2" t="inlineStr">
        <is>
          <t>ППК26063, (11.05.2026) [CNP]</t>
        </is>
      </c>
      <c r="X56" s="2" t="inlineStr">
        <is>
          <t>—</t>
        </is>
      </c>
      <c r="Y56" s="2" t="inlineStr">
        <is>
          <t>—</t>
        </is>
      </c>
      <c r="Z56" s="2" t="inlineStr">
        <is>
          <t>—</t>
        </is>
      </c>
      <c r="AA56" s="2" t="inlineStr">
        <is>
          <t>P060212|I</t>
        </is>
      </c>
      <c r="AB56" s="7" t="inlineStr">
        <is>
          <t>registered — initial release, issued 03.06.2026</t>
        </is>
      </c>
    </row>
    <row r="57">
      <c r="A57" s="2" t="n">
        <v>56</v>
      </c>
      <c r="B57" s="3" t="inlineStr">
        <is>
          <t>iCoA-PP_26-056</t>
        </is>
      </c>
      <c r="C57" s="4" t="inlineStr">
        <is>
          <t>yes</t>
        </is>
      </c>
      <c r="D57" s="5">
        <f>IF(A57="","",IF(ISNUMBER(E57),MAX(DATE(2026,6,3),E57),DATE(2026,6,3)))</f>
        <v/>
      </c>
      <c r="E57" s="5">
        <f>IFERROR(INDEX('Batch Dates'!$F:$F,MATCH(J57,'Batch Dates'!$C:$C,0)),IFERROR(INDEX('Batch Dates'!$F:$F,MATCH(I57,'Batch Dates'!$B:$B,0)),""))</f>
        <v/>
      </c>
      <c r="F57" s="5">
        <f>IFERROR(INDEX('Batch Dates'!$G:$G,MATCH(J57,'Batch Dates'!$C:$C,0)),IFERROR(INDEX('Batch Dates'!$G:$G,MATCH(I57,'Batch Dates'!$B:$B,0)),""))</f>
        <v/>
      </c>
      <c r="G57" s="2" t="inlineStr">
        <is>
          <t>legacy</t>
        </is>
      </c>
      <c r="H57" s="2" t="inlineStr">
        <is>
          <t>initial release</t>
        </is>
      </c>
      <c r="I57" s="3" t="inlineStr">
        <is>
          <t>OPM112501</t>
        </is>
      </c>
      <c r="J57" s="2" t="inlineStr">
        <is>
          <t>P060222</t>
        </is>
      </c>
      <c r="K57" s="2" t="inlineStr">
        <is>
          <t>Orange Punch Mimosa</t>
        </is>
      </c>
      <c r="L57" s="2" t="inlineStr">
        <is>
          <t>Ident A + Ident B + Foreign matter</t>
        </is>
      </c>
      <c r="M57" s="6" t="inlineStr">
        <is>
          <t>—</t>
        </is>
      </c>
      <c r="N57" s="2">
        <f>IFERROR(INDEX('CoQ Register'!$B:$B,MATCH("P060222|I",'CoQ Register'!$S:$S,0)),"—")</f>
        <v/>
      </c>
      <c r="O57" s="6" t="inlineStr">
        <is>
          <t>—</t>
        </is>
      </c>
      <c r="P57" s="2" t="inlineStr">
        <is>
          <t>05.03.2026</t>
        </is>
      </c>
      <c r="Q57" s="2" t="inlineStr">
        <is>
          <t>05.02.2026</t>
        </is>
      </c>
      <c r="R57" s="2" t="inlineStr">
        <is>
          <t>24.04.2026 (the issuance plan's basis: 05.03.2026)</t>
        </is>
      </c>
      <c r="S57" s="5">
        <f>IFERROR(INDEX('CoQ Register'!$D:$D,MATCH("P060222|I",'CoQ Register'!$S:$S,0)),"")</f>
        <v/>
      </c>
      <c r="T57" s="2" t="inlineStr">
        <is>
          <t>Conforms</t>
        </is>
      </c>
      <c r="U57" s="2" t="inlineStr">
        <is>
          <t>Conforms</t>
        </is>
      </c>
      <c r="V57" s="2" t="inlineStr">
        <is>
          <t>Conforms</t>
        </is>
      </c>
      <c r="W57" s="2" t="inlineStr">
        <is>
          <t>ППК26031, (05.03.2026) [CNP]</t>
        </is>
      </c>
      <c r="X57" s="2" t="inlineStr">
        <is>
          <t>—</t>
        </is>
      </c>
      <c r="Y57" s="2" t="inlineStr">
        <is>
          <t>—</t>
        </is>
      </c>
      <c r="Z57" s="2" t="inlineStr">
        <is>
          <t>—</t>
        </is>
      </c>
      <c r="AA57" s="2" t="inlineStr">
        <is>
          <t>P060222|I</t>
        </is>
      </c>
      <c r="AB57" s="7" t="inlineStr">
        <is>
          <t>registered — initial release, issued 03.06.2026</t>
        </is>
      </c>
    </row>
    <row r="58">
      <c r="A58" s="2" t="n">
        <v>57</v>
      </c>
      <c r="B58" s="3" t="inlineStr">
        <is>
          <t>iCoA-PP_26-057</t>
        </is>
      </c>
      <c r="C58" s="4" t="inlineStr">
        <is>
          <t>yes</t>
        </is>
      </c>
      <c r="D58" s="5">
        <f>IF(A58="","",IF(ISNUMBER(E58),MAX(DATE(2026,6,3),E58),DATE(2026,6,3)))</f>
        <v/>
      </c>
      <c r="E58" s="5">
        <f>IFERROR(INDEX('Batch Dates'!$F:$F,MATCH(J58,'Batch Dates'!$C:$C,0)),IFERROR(INDEX('Batch Dates'!$F:$F,MATCH(I58,'Batch Dates'!$B:$B,0)),""))</f>
        <v/>
      </c>
      <c r="F58" s="5">
        <f>IFERROR(INDEX('Batch Dates'!$G:$G,MATCH(J58,'Batch Dates'!$C:$C,0)),IFERROR(INDEX('Batch Dates'!$G:$G,MATCH(I58,'Batch Dates'!$B:$B,0)),""))</f>
        <v/>
      </c>
      <c r="G58" s="2" t="inlineStr">
        <is>
          <t>legacy</t>
        </is>
      </c>
      <c r="H58" s="2" t="inlineStr">
        <is>
          <t>initial release</t>
        </is>
      </c>
      <c r="I58" s="3" t="inlineStr">
        <is>
          <t>PM112501</t>
        </is>
      </c>
      <c r="J58" s="2" t="inlineStr">
        <is>
          <t>P060232</t>
        </is>
      </c>
      <c r="K58" s="2" t="inlineStr">
        <is>
          <t>Permanent Marker</t>
        </is>
      </c>
      <c r="L58" s="2" t="inlineStr">
        <is>
          <t>Ident A + Ident B + Foreign matter</t>
        </is>
      </c>
      <c r="M58" s="6" t="inlineStr">
        <is>
          <t>—</t>
        </is>
      </c>
      <c r="N58" s="2">
        <f>IFERROR(INDEX('CoQ Register'!$B:$B,MATCH("P060232|I",'CoQ Register'!$S:$S,0)),"—")</f>
        <v/>
      </c>
      <c r="O58" s="2" t="inlineStr">
        <is>
          <t>iCoA-PP-2026-0016</t>
        </is>
      </c>
      <c r="P58" s="2" t="inlineStr">
        <is>
          <t>27.04.2026</t>
        </is>
      </c>
      <c r="Q58" s="2" t="inlineStr">
        <is>
          <t>05.02.2026</t>
        </is>
      </c>
      <c r="R58" s="2" t="inlineStr">
        <is>
          <t>27.04.2026</t>
        </is>
      </c>
      <c r="S58" s="5">
        <f>IFERROR(INDEX('CoQ Register'!$D:$D,MATCH("P060232|I",'CoQ Register'!$S:$S,0)),"")</f>
        <v/>
      </c>
      <c r="T58" s="2" t="inlineStr">
        <is>
          <t>Conforms</t>
        </is>
      </c>
      <c r="U58" s="2" t="inlineStr">
        <is>
          <t>Conforms</t>
        </is>
      </c>
      <c r="V58" s="2" t="inlineStr">
        <is>
          <t>Conforms</t>
        </is>
      </c>
      <c r="W58" s="2" t="inlineStr">
        <is>
          <t>ППК26030, (05.03.2026) [CNP]</t>
        </is>
      </c>
      <c r="X58" s="2" t="inlineStr">
        <is>
          <t>—</t>
        </is>
      </c>
      <c r="Y58" s="2" t="inlineStr">
        <is>
          <t>—</t>
        </is>
      </c>
      <c r="Z58" s="2" t="inlineStr">
        <is>
          <t>—</t>
        </is>
      </c>
      <c r="AA58" s="2" t="inlineStr">
        <is>
          <t>P060232|I</t>
        </is>
      </c>
      <c r="AB58" s="7" t="inlineStr">
        <is>
          <t>registered — initial release, issued 03.06.2026</t>
        </is>
      </c>
    </row>
    <row r="59">
      <c r="A59" s="2" t="n">
        <v>58</v>
      </c>
      <c r="B59" s="3" t="inlineStr">
        <is>
          <t>iCoA-PP_26-058</t>
        </is>
      </c>
      <c r="C59" s="4" t="inlineStr">
        <is>
          <t>yes</t>
        </is>
      </c>
      <c r="D59" s="5">
        <f>IF(A59="","",IF(ISNUMBER(E59),MAX(DATE(2026,6,3),E59),DATE(2026,6,3)))</f>
        <v/>
      </c>
      <c r="E59" s="5">
        <f>IFERROR(INDEX('Batch Dates'!$F:$F,MATCH(J59,'Batch Dates'!$C:$C,0)),IFERROR(INDEX('Batch Dates'!$F:$F,MATCH(I59,'Batch Dates'!$B:$B,0)),""))</f>
        <v/>
      </c>
      <c r="F59" s="5">
        <f>IFERROR(INDEX('Batch Dates'!$G:$G,MATCH(J59,'Batch Dates'!$C:$C,0)),IFERROR(INDEX('Batch Dates'!$G:$G,MATCH(I59,'Batch Dates'!$B:$B,0)),""))</f>
        <v/>
      </c>
      <c r="G59" s="2" t="inlineStr">
        <is>
          <t>legacy</t>
        </is>
      </c>
      <c r="H59" s="2" t="inlineStr">
        <is>
          <t>initial release</t>
        </is>
      </c>
      <c r="I59" s="3" t="inlineStr">
        <is>
          <t>OPM122501</t>
        </is>
      </c>
      <c r="J59" s="2" t="inlineStr">
        <is>
          <t>P060242</t>
        </is>
      </c>
      <c r="K59" s="2" t="inlineStr">
        <is>
          <t>Orange Punch Mimosa</t>
        </is>
      </c>
      <c r="L59" s="2" t="inlineStr">
        <is>
          <t>Ident A + Ident B + Foreign matter</t>
        </is>
      </c>
      <c r="M59" s="6" t="inlineStr">
        <is>
          <t>—</t>
        </is>
      </c>
      <c r="N59" s="2">
        <f>IFERROR(INDEX('CoQ Register'!$B:$B,MATCH("P060242|I",'CoQ Register'!$S:$S,0)),"—")</f>
        <v/>
      </c>
      <c r="O59" s="2" t="inlineStr">
        <is>
          <t>iCoA-PP-2026-0017</t>
        </is>
      </c>
      <c r="P59" s="2" t="inlineStr">
        <is>
          <t>28.04.2026</t>
        </is>
      </c>
      <c r="Q59" s="2" t="inlineStr">
        <is>
          <t>11.03.2026</t>
        </is>
      </c>
      <c r="R59" s="2" t="inlineStr">
        <is>
          <t>28.04.2026</t>
        </is>
      </c>
      <c r="S59" s="5">
        <f>IFERROR(INDEX('CoQ Register'!$D:$D,MATCH("P060242|I",'CoQ Register'!$S:$S,0)),"")</f>
        <v/>
      </c>
      <c r="T59" s="2" t="inlineStr">
        <is>
          <t>Conforms</t>
        </is>
      </c>
      <c r="U59" s="2" t="inlineStr">
        <is>
          <t>Conforms</t>
        </is>
      </c>
      <c r="V59" s="2" t="inlineStr">
        <is>
          <t>Conforms</t>
        </is>
      </c>
      <c r="W59" s="2" t="inlineStr">
        <is>
          <t>100-4-K-26, (09.04.2026) [FHM-K]</t>
        </is>
      </c>
      <c r="X59" s="2" t="inlineStr">
        <is>
          <t>—</t>
        </is>
      </c>
      <c r="Y59" s="2" t="inlineStr">
        <is>
          <t>—</t>
        </is>
      </c>
      <c r="Z59" s="2" t="inlineStr">
        <is>
          <t>—</t>
        </is>
      </c>
      <c r="AA59" s="2" t="inlineStr">
        <is>
          <t>P060242|I</t>
        </is>
      </c>
      <c r="AB59" s="7" t="inlineStr">
        <is>
          <t>registered — initial release, issued 03.06.2026</t>
        </is>
      </c>
    </row>
    <row r="60">
      <c r="A60" s="2" t="n">
        <v>59</v>
      </c>
      <c r="B60" s="3" t="inlineStr">
        <is>
          <t>iCoA-PP_26-059</t>
        </is>
      </c>
      <c r="C60" s="4" t="inlineStr">
        <is>
          <t>yes</t>
        </is>
      </c>
      <c r="D60" s="5">
        <f>IF(A60="","",IF(ISNUMBER(E60),MAX(DATE(2026,6,3),E60),DATE(2026,6,3)))</f>
        <v/>
      </c>
      <c r="E60" s="5">
        <f>IFERROR(INDEX('Batch Dates'!$F:$F,MATCH(J60,'Batch Dates'!$C:$C,0)),IFERROR(INDEX('Batch Dates'!$F:$F,MATCH(I60,'Batch Dates'!$B:$B,0)),""))</f>
        <v/>
      </c>
      <c r="F60" s="5">
        <f>IFERROR(INDEX('Batch Dates'!$G:$G,MATCH(J60,'Batch Dates'!$C:$C,0)),IFERROR(INDEX('Batch Dates'!$G:$G,MATCH(I60,'Batch Dates'!$B:$B,0)),""))</f>
        <v/>
      </c>
      <c r="G60" s="2" t="inlineStr">
        <is>
          <t>legacy</t>
        </is>
      </c>
      <c r="H60" s="2" t="inlineStr">
        <is>
          <t>initial release</t>
        </is>
      </c>
      <c r="I60" s="3" t="inlineStr">
        <is>
          <t>GG112501</t>
        </is>
      </c>
      <c r="J60" s="2" t="inlineStr">
        <is>
          <t>P060252</t>
        </is>
      </c>
      <c r="K60" s="2" t="inlineStr">
        <is>
          <t>Gorilla Glue</t>
        </is>
      </c>
      <c r="L60" s="2" t="inlineStr">
        <is>
          <t>Ident A + Ident B + Foreign matter</t>
        </is>
      </c>
      <c r="M60" s="6" t="inlineStr">
        <is>
          <t>—</t>
        </is>
      </c>
      <c r="N60" s="2">
        <f>IFERROR(INDEX('CoQ Register'!$B:$B,MATCH("P060252|I",'CoQ Register'!$S:$S,0)),"—")</f>
        <v/>
      </c>
      <c r="O60" s="6" t="inlineStr">
        <is>
          <t>—</t>
        </is>
      </c>
      <c r="P60" s="2" t="inlineStr">
        <is>
          <t>11.05.2026</t>
        </is>
      </c>
      <c r="Q60" s="2" t="inlineStr">
        <is>
          <t>25.03.2026</t>
        </is>
      </c>
      <c r="R60" s="2" t="inlineStr">
        <is>
          <t>05.05.2026 (the issuance plan's basis: 11.05.2026)</t>
        </is>
      </c>
      <c r="S60" s="5">
        <f>IFERROR(INDEX('CoQ Register'!$D:$D,MATCH("P060252|I",'CoQ Register'!$S:$S,0)),"")</f>
        <v/>
      </c>
      <c r="T60" s="2" t="inlineStr">
        <is>
          <t>Conforms</t>
        </is>
      </c>
      <c r="U60" s="2" t="inlineStr">
        <is>
          <t>Conforms</t>
        </is>
      </c>
      <c r="V60" s="2" t="inlineStr">
        <is>
          <t>Conforms</t>
        </is>
      </c>
      <c r="W60" s="2" t="inlineStr">
        <is>
          <t>ППК26061, (11.05.2026) [CNP]</t>
        </is>
      </c>
      <c r="X60" s="2" t="inlineStr">
        <is>
          <t>—</t>
        </is>
      </c>
      <c r="Y60" s="2" t="inlineStr">
        <is>
          <t>—</t>
        </is>
      </c>
      <c r="Z60" s="2" t="inlineStr">
        <is>
          <t>—</t>
        </is>
      </c>
      <c r="AA60" s="2" t="inlineStr">
        <is>
          <t>P060252|I</t>
        </is>
      </c>
      <c r="AB60" s="7" t="inlineStr">
        <is>
          <t>registered — initial release, issued 03.06.2026</t>
        </is>
      </c>
    </row>
    <row r="61">
      <c r="A61" s="2" t="n">
        <v>60</v>
      </c>
      <c r="B61" s="3" t="inlineStr">
        <is>
          <t>iCoA-PP_26-060</t>
        </is>
      </c>
      <c r="C61" s="4" t="inlineStr">
        <is>
          <t>yes</t>
        </is>
      </c>
      <c r="D61" s="5">
        <f>IF(A61="","",IF(ISNUMBER(E61),MAX(DATE(2026,6,3),E61),DATE(2026,6,3)))</f>
        <v/>
      </c>
      <c r="E61" s="5">
        <f>IFERROR(INDEX('Batch Dates'!$F:$F,MATCH(J61,'Batch Dates'!$C:$C,0)),IFERROR(INDEX('Batch Dates'!$F:$F,MATCH(I61,'Batch Dates'!$B:$B,0)),""))</f>
        <v/>
      </c>
      <c r="F61" s="5">
        <f>IFERROR(INDEX('Batch Dates'!$G:$G,MATCH(J61,'Batch Dates'!$C:$C,0)),IFERROR(INDEX('Batch Dates'!$G:$G,MATCH(I61,'Batch Dates'!$B:$B,0)),""))</f>
        <v/>
      </c>
      <c r="G61" s="2" t="inlineStr">
        <is>
          <t>post-SOP</t>
        </is>
      </c>
      <c r="H61" s="2" t="inlineStr">
        <is>
          <t>initial release</t>
        </is>
      </c>
      <c r="I61" s="3" t="inlineStr">
        <is>
          <t>J31122501</t>
        </is>
      </c>
      <c r="J61" s="2" t="inlineStr">
        <is>
          <t>P060262</t>
        </is>
      </c>
      <c r="K61" s="2" t="inlineStr">
        <is>
          <t>Jokerz 31</t>
        </is>
      </c>
      <c r="L61" s="2" t="inlineStr">
        <is>
          <t>Ident A + Ident B + Foreign matter</t>
        </is>
      </c>
      <c r="M61" s="6" t="inlineStr">
        <is>
          <t>—</t>
        </is>
      </c>
      <c r="N61" s="2">
        <f>IFERROR(INDEX('CoQ Register'!$B:$B,MATCH("P060262|I",'CoQ Register'!$S:$S,0)),"—")</f>
        <v/>
      </c>
      <c r="O61" s="6" t="inlineStr">
        <is>
          <t>—</t>
        </is>
      </c>
      <c r="P61" s="2" t="inlineStr">
        <is>
          <t>23.04.2026</t>
        </is>
      </c>
      <c r="Q61" s="2" t="inlineStr">
        <is>
          <t>04.03.2026</t>
        </is>
      </c>
      <c r="R61" s="2" t="inlineStr">
        <is>
          <t>14.05.2026 (the issuance plan's basis: 23.04.2026)</t>
        </is>
      </c>
      <c r="S61" s="5">
        <f>IFERROR(INDEX('CoQ Register'!$D:$D,MATCH("P060262|I",'CoQ Register'!$S:$S,0)),"")</f>
        <v/>
      </c>
      <c r="T61" s="2" t="inlineStr">
        <is>
          <t>Conforms</t>
        </is>
      </c>
      <c r="U61" s="2" t="inlineStr">
        <is>
          <t>Conforms</t>
        </is>
      </c>
      <c r="V61" s="2" t="inlineStr">
        <is>
          <t>Conforms</t>
        </is>
      </c>
      <c r="W61" s="2" t="inlineStr">
        <is>
          <t>100-2-K-26, (09.04.2026) [FHM-K]</t>
        </is>
      </c>
      <c r="X61" s="2" t="inlineStr">
        <is>
          <t>—</t>
        </is>
      </c>
      <c r="Y61" s="2" t="inlineStr">
        <is>
          <t>—</t>
        </is>
      </c>
      <c r="Z61" s="2" t="inlineStr">
        <is>
          <t>—</t>
        </is>
      </c>
      <c r="AA61" s="2" t="inlineStr">
        <is>
          <t>P060262|I</t>
        </is>
      </c>
      <c r="AB61" s="7" t="inlineStr">
        <is>
          <t>registered — initial release, issued 03.06.2026</t>
        </is>
      </c>
    </row>
    <row r="62">
      <c r="A62" s="2" t="n">
        <v>61</v>
      </c>
      <c r="B62" s="3" t="inlineStr">
        <is>
          <t>iCoA-PP_26-061</t>
        </is>
      </c>
      <c r="C62" s="4" t="inlineStr">
        <is>
          <t>yes</t>
        </is>
      </c>
      <c r="D62" s="5">
        <f>IF(A62="","",IF(ISNUMBER(E62),MAX(DATE(2026,6,3),E62),DATE(2026,6,3)))</f>
        <v/>
      </c>
      <c r="E62" s="5">
        <f>IFERROR(INDEX('Batch Dates'!$F:$F,MATCH(J62,'Batch Dates'!$C:$C,0)),IFERROR(INDEX('Batch Dates'!$F:$F,MATCH(I62,'Batch Dates'!$B:$B,0)),""))</f>
        <v/>
      </c>
      <c r="F62" s="5">
        <f>IFERROR(INDEX('Batch Dates'!$G:$G,MATCH(J62,'Batch Dates'!$C:$C,0)),IFERROR(INDEX('Batch Dates'!$G:$G,MATCH(I62,'Batch Dates'!$B:$B,0)),""))</f>
        <v/>
      </c>
      <c r="G62" s="2" t="inlineStr">
        <is>
          <t>post-SOP</t>
        </is>
      </c>
      <c r="H62" s="2" t="inlineStr">
        <is>
          <t>initial release</t>
        </is>
      </c>
      <c r="I62" s="3" t="inlineStr">
        <is>
          <t>CC112501</t>
        </is>
      </c>
      <c r="J62" s="2" t="inlineStr">
        <is>
          <t>P060272</t>
        </is>
      </c>
      <c r="K62" s="2" t="inlineStr">
        <is>
          <t>Cash Cow</t>
        </is>
      </c>
      <c r="L62" s="2" t="inlineStr">
        <is>
          <t>Ident A + Ident B + Foreign matter</t>
        </is>
      </c>
      <c r="M62" s="6" t="inlineStr">
        <is>
          <t>—</t>
        </is>
      </c>
      <c r="N62" s="2">
        <f>IFERROR(INDEX('CoQ Register'!$B:$B,MATCH("P060272|I",'CoQ Register'!$S:$S,0)),"—")</f>
        <v/>
      </c>
      <c r="O62" s="6" t="inlineStr">
        <is>
          <t>—</t>
        </is>
      </c>
      <c r="P62" s="2" t="inlineStr">
        <is>
          <t>11.05.2026</t>
        </is>
      </c>
      <c r="Q62" s="2" t="inlineStr">
        <is>
          <t>25.03.2026</t>
        </is>
      </c>
      <c r="R62" s="2" t="inlineStr">
        <is>
          <t>18.05.2026 (the issuance plan's basis: 11.05.2026)</t>
        </is>
      </c>
      <c r="S62" s="5">
        <f>IFERROR(INDEX('CoQ Register'!$D:$D,MATCH("P060272|I",'CoQ Register'!$S:$S,0)),"")</f>
        <v/>
      </c>
      <c r="T62" s="2" t="inlineStr">
        <is>
          <t>Conforms</t>
        </is>
      </c>
      <c r="U62" s="2" t="inlineStr">
        <is>
          <t>Conforms</t>
        </is>
      </c>
      <c r="V62" s="2" t="inlineStr">
        <is>
          <t>Conforms</t>
        </is>
      </c>
      <c r="W62" s="2" t="inlineStr">
        <is>
          <t>ППК26068, (11.05.2026) [CNP]</t>
        </is>
      </c>
      <c r="X62" s="2" t="inlineStr">
        <is>
          <t>—</t>
        </is>
      </c>
      <c r="Y62" s="2" t="inlineStr">
        <is>
          <t>—</t>
        </is>
      </c>
      <c r="Z62" s="2" t="inlineStr">
        <is>
          <t>—</t>
        </is>
      </c>
      <c r="AA62" s="2" t="inlineStr">
        <is>
          <t>P060272|I</t>
        </is>
      </c>
      <c r="AB62" s="7" t="inlineStr">
        <is>
          <t>registered — initial release, issued 03.06.2026</t>
        </is>
      </c>
    </row>
    <row r="63">
      <c r="A63" s="2" t="n">
        <v>62</v>
      </c>
      <c r="B63" s="3" t="inlineStr">
        <is>
          <t>iCoA-PP_26-062</t>
        </is>
      </c>
      <c r="C63" s="4" t="inlineStr">
        <is>
          <t>yes</t>
        </is>
      </c>
      <c r="D63" s="5">
        <f>IF(A63="","",IF(ISNUMBER(E63),MAX(DATE(2026,6,3),E63),DATE(2026,6,3)))</f>
        <v/>
      </c>
      <c r="E63" s="5">
        <f>IFERROR(INDEX('Batch Dates'!$F:$F,MATCH(J63,'Batch Dates'!$C:$C,0)),IFERROR(INDEX('Batch Dates'!$F:$F,MATCH(I63,'Batch Dates'!$B:$B,0)),""))</f>
        <v/>
      </c>
      <c r="F63" s="5">
        <f>IFERROR(INDEX('Batch Dates'!$G:$G,MATCH(J63,'Batch Dates'!$C:$C,0)),IFERROR(INDEX('Batch Dates'!$G:$G,MATCH(I63,'Batch Dates'!$B:$B,0)),""))</f>
        <v/>
      </c>
      <c r="G63" s="2" t="inlineStr">
        <is>
          <t>post-SOP</t>
        </is>
      </c>
      <c r="H63" s="2" t="inlineStr">
        <is>
          <t>initial release</t>
        </is>
      </c>
      <c r="I63" s="3" t="inlineStr">
        <is>
          <t>SCR112501</t>
        </is>
      </c>
      <c r="J63" s="2" t="inlineStr">
        <is>
          <t>P060282</t>
        </is>
      </c>
      <c r="K63" s="2" t="inlineStr">
        <is>
          <t>Scrambler</t>
        </is>
      </c>
      <c r="L63" s="2" t="inlineStr">
        <is>
          <t>Ident A + Ident B + Foreign matter</t>
        </is>
      </c>
      <c r="M63" s="6" t="inlineStr">
        <is>
          <t>—</t>
        </is>
      </c>
      <c r="N63" s="2">
        <f>IFERROR(INDEX('CoQ Register'!$B:$B,MATCH("P060282|I",'CoQ Register'!$S:$S,0)),"—")</f>
        <v/>
      </c>
      <c r="O63" s="2" t="inlineStr">
        <is>
          <t>iCoA-PP-2026-0018</t>
        </is>
      </c>
      <c r="P63" s="2" t="inlineStr">
        <is>
          <t>18.05.2026</t>
        </is>
      </c>
      <c r="Q63" s="2" t="inlineStr">
        <is>
          <t>25.03.2026</t>
        </is>
      </c>
      <c r="R63" s="2" t="inlineStr">
        <is>
          <t>18.05.2026</t>
        </is>
      </c>
      <c r="S63" s="5">
        <f>IFERROR(INDEX('CoQ Register'!$D:$D,MATCH("P060282|I",'CoQ Register'!$S:$S,0)),"")</f>
        <v/>
      </c>
      <c r="T63" s="2" t="inlineStr">
        <is>
          <t>Conforms</t>
        </is>
      </c>
      <c r="U63" s="2" t="inlineStr">
        <is>
          <t>Conforms</t>
        </is>
      </c>
      <c r="V63" s="2" t="inlineStr">
        <is>
          <t>Conforms</t>
        </is>
      </c>
      <c r="W63" s="2" t="inlineStr">
        <is>
          <t>ППК26069, (11.05.2026) [CNP]</t>
        </is>
      </c>
      <c r="X63" s="2" t="inlineStr">
        <is>
          <t>—</t>
        </is>
      </c>
      <c r="Y63" s="2" t="inlineStr">
        <is>
          <t>—</t>
        </is>
      </c>
      <c r="Z63" s="2" t="inlineStr">
        <is>
          <t>—</t>
        </is>
      </c>
      <c r="AA63" s="2" t="inlineStr">
        <is>
          <t>P060282|I</t>
        </is>
      </c>
      <c r="AB63" s="7" t="inlineStr">
        <is>
          <t>registered — initial release, issued 03.06.2026</t>
        </is>
      </c>
    </row>
    <row r="64">
      <c r="A64" s="2" t="n">
        <v>63</v>
      </c>
      <c r="B64" s="3" t="inlineStr">
        <is>
          <t>iCoA-PP_26-063</t>
        </is>
      </c>
      <c r="C64" s="4" t="inlineStr">
        <is>
          <t>yes</t>
        </is>
      </c>
      <c r="D64" s="5">
        <f>IF(A64="","",IF(ISNUMBER(E64),MAX(DATE(2026,6,3),E64),DATE(2026,6,3)))</f>
        <v/>
      </c>
      <c r="E64" s="5">
        <f>IFERROR(INDEX('Batch Dates'!$F:$F,MATCH(J64,'Batch Dates'!$C:$C,0)),IFERROR(INDEX('Batch Dates'!$F:$F,MATCH(I64,'Batch Dates'!$B:$B,0)),""))</f>
        <v/>
      </c>
      <c r="F64" s="5">
        <f>IFERROR(INDEX('Batch Dates'!$G:$G,MATCH(J64,'Batch Dates'!$C:$C,0)),IFERROR(INDEX('Batch Dates'!$G:$G,MATCH(I64,'Batch Dates'!$B:$B,0)),""))</f>
        <v/>
      </c>
      <c r="G64" s="2" t="inlineStr">
        <is>
          <t>post-SOP</t>
        </is>
      </c>
      <c r="H64" s="2" t="inlineStr">
        <is>
          <t>initial release</t>
        </is>
      </c>
      <c r="I64" s="3" t="inlineStr">
        <is>
          <t>FB112501</t>
        </is>
      </c>
      <c r="J64" s="2" t="inlineStr">
        <is>
          <t>P060292</t>
        </is>
      </c>
      <c r="K64" s="2" t="inlineStr">
        <is>
          <t>Fat Bastard</t>
        </is>
      </c>
      <c r="L64" s="2" t="inlineStr">
        <is>
          <t>Ident A + Ident B + Foreign matter</t>
        </is>
      </c>
      <c r="M64" s="6" t="inlineStr">
        <is>
          <t>—</t>
        </is>
      </c>
      <c r="N64" s="2">
        <f>IFERROR(INDEX('CoQ Register'!$B:$B,MATCH("P060292|I",'CoQ Register'!$S:$S,0)),"—")</f>
        <v/>
      </c>
      <c r="O64" s="6" t="inlineStr">
        <is>
          <t>—</t>
        </is>
      </c>
      <c r="P64" s="2" t="inlineStr">
        <is>
          <t>11.05.2026</t>
        </is>
      </c>
      <c r="Q64" s="2" t="inlineStr">
        <is>
          <t>25.03.2026</t>
        </is>
      </c>
      <c r="R64" s="2" t="inlineStr">
        <is>
          <t>19.05.2026 (the issuance plan's basis: 11.05.2026)</t>
        </is>
      </c>
      <c r="S64" s="5">
        <f>IFERROR(INDEX('CoQ Register'!$D:$D,MATCH("P060292|I",'CoQ Register'!$S:$S,0)),"")</f>
        <v/>
      </c>
      <c r="T64" s="2" t="inlineStr">
        <is>
          <t>Conforms</t>
        </is>
      </c>
      <c r="U64" s="2" t="inlineStr">
        <is>
          <t>Conforms</t>
        </is>
      </c>
      <c r="V64" s="2" t="inlineStr">
        <is>
          <t>Conforms</t>
        </is>
      </c>
      <c r="W64" s="2" t="inlineStr">
        <is>
          <t>ППК26066, (11.05.2026) [CNP]</t>
        </is>
      </c>
      <c r="X64" s="2" t="inlineStr">
        <is>
          <t>—</t>
        </is>
      </c>
      <c r="Y64" s="2" t="inlineStr">
        <is>
          <t>—</t>
        </is>
      </c>
      <c r="Z64" s="2" t="inlineStr">
        <is>
          <t>—</t>
        </is>
      </c>
      <c r="AA64" s="2" t="inlineStr">
        <is>
          <t>P060292|I</t>
        </is>
      </c>
      <c r="AB64" s="7" t="inlineStr">
        <is>
          <t>registered — initial release, issued 03.06.2026</t>
        </is>
      </c>
    </row>
    <row r="65">
      <c r="A65" s="2" t="n">
        <v>64</v>
      </c>
      <c r="B65" s="3" t="inlineStr">
        <is>
          <t>iCoA-PP_26-064</t>
        </is>
      </c>
      <c r="C65" s="4" t="inlineStr">
        <is>
          <t>yes</t>
        </is>
      </c>
      <c r="D65" s="5">
        <f>IF(A65="","",IF(ISNUMBER(E65),MAX(DATE(2026,6,3),E65),DATE(2026,6,3)))</f>
        <v/>
      </c>
      <c r="E65" s="5">
        <f>IFERROR(INDEX('Batch Dates'!$F:$F,MATCH(J65,'Batch Dates'!$C:$C,0)),IFERROR(INDEX('Batch Dates'!$F:$F,MATCH(I65,'Batch Dates'!$B:$B,0)),""))</f>
        <v/>
      </c>
      <c r="F65" s="5">
        <f>IFERROR(INDEX('Batch Dates'!$G:$G,MATCH(J65,'Batch Dates'!$C:$C,0)),IFERROR(INDEX('Batch Dates'!$G:$G,MATCH(I65,'Batch Dates'!$B:$B,0)),""))</f>
        <v/>
      </c>
      <c r="G65" s="2" t="inlineStr">
        <is>
          <t>post-SOP</t>
        </is>
      </c>
      <c r="H65" s="2" t="inlineStr">
        <is>
          <t>initial release</t>
        </is>
      </c>
      <c r="I65" s="3" t="inlineStr">
        <is>
          <t>GG012601＊</t>
        </is>
      </c>
      <c r="J65" s="2" t="inlineStr">
        <is>
          <t>P060302</t>
        </is>
      </c>
      <c r="K65" s="2" t="inlineStr">
        <is>
          <t>Gorilla Glue</t>
        </is>
      </c>
      <c r="L65" s="2" t="inlineStr">
        <is>
          <t>Ident A + Ident B + Foreign matter</t>
        </is>
      </c>
      <c r="M65" s="6" t="inlineStr">
        <is>
          <t>—</t>
        </is>
      </c>
      <c r="N65" s="2">
        <f>IFERROR(INDEX('CoQ Register'!$B:$B,MATCH("P060302|I",'CoQ Register'!$S:$S,0)),"—")</f>
        <v/>
      </c>
      <c r="O65" s="6" t="inlineStr">
        <is>
          <t>—</t>
        </is>
      </c>
      <c r="P65" s="2" t="inlineStr">
        <is>
          <t>11.05.2026</t>
        </is>
      </c>
      <c r="Q65" s="2" t="inlineStr">
        <is>
          <t>27.03.2026</t>
        </is>
      </c>
      <c r="R65" s="2" t="inlineStr">
        <is>
          <t>20.05.2026 (the issuance plan's basis: 11.05.2026)</t>
        </is>
      </c>
      <c r="S65" s="5">
        <f>IFERROR(INDEX('CoQ Register'!$D:$D,MATCH("P060302|I",'CoQ Register'!$S:$S,0)),"")</f>
        <v/>
      </c>
      <c r="T65" s="2" t="inlineStr">
        <is>
          <t>Conforms</t>
        </is>
      </c>
      <c r="U65" s="2" t="inlineStr">
        <is>
          <t>Conforms</t>
        </is>
      </c>
      <c r="V65" s="2" t="inlineStr">
        <is>
          <t>Conforms</t>
        </is>
      </c>
      <c r="W65" s="2" t="inlineStr">
        <is>
          <t>ППК26062, (11.05.2026) [CNP]</t>
        </is>
      </c>
      <c r="X65" s="2" t="inlineStr">
        <is>
          <t>—</t>
        </is>
      </c>
      <c r="Y65" s="2" t="inlineStr">
        <is>
          <t>—</t>
        </is>
      </c>
      <c r="Z65" s="2" t="inlineStr">
        <is>
          <t>—</t>
        </is>
      </c>
      <c r="AA65" s="2" t="inlineStr">
        <is>
          <t>P060302|I</t>
        </is>
      </c>
      <c r="AB65" s="7" t="inlineStr">
        <is>
          <t>registered — initial release, issued 03.06.2026</t>
        </is>
      </c>
    </row>
    <row r="66">
      <c r="A66" s="2" t="n">
        <v>65</v>
      </c>
      <c r="B66" s="3" t="inlineStr">
        <is>
          <t>iCoA-PP_26-065</t>
        </is>
      </c>
      <c r="C66" s="4" t="inlineStr">
        <is>
          <t>yes</t>
        </is>
      </c>
      <c r="D66" s="5">
        <f>IF(A66="","",IF(ISNUMBER(E66),MAX(DATE(2026,6,3),E66),DATE(2026,6,3)))</f>
        <v/>
      </c>
      <c r="E66" s="5">
        <f>IFERROR(INDEX('Batch Dates'!$F:$F,MATCH(J66,'Batch Dates'!$C:$C,0)),IFERROR(INDEX('Batch Dates'!$F:$F,MATCH(I66,'Batch Dates'!$B:$B,0)),""))</f>
        <v/>
      </c>
      <c r="F66" s="5">
        <f>IFERROR(INDEX('Batch Dates'!$G:$G,MATCH(J66,'Batch Dates'!$C:$C,0)),IFERROR(INDEX('Batch Dates'!$G:$G,MATCH(I66,'Batch Dates'!$B:$B,0)),""))</f>
        <v/>
      </c>
      <c r="G66" s="2" t="inlineStr">
        <is>
          <t>post-SOP</t>
        </is>
      </c>
      <c r="H66" s="2" t="inlineStr">
        <is>
          <t>initial release</t>
        </is>
      </c>
      <c r="I66" s="3" t="inlineStr">
        <is>
          <t>JD012601＊</t>
        </is>
      </c>
      <c r="J66" s="2" t="inlineStr">
        <is>
          <t>P060312</t>
        </is>
      </c>
      <c r="K66" s="2" t="inlineStr">
        <is>
          <t>Jelly Donuts</t>
        </is>
      </c>
      <c r="L66" s="2" t="inlineStr">
        <is>
          <t>Ident A + Ident B + Foreign matter</t>
        </is>
      </c>
      <c r="M66" s="6" t="inlineStr">
        <is>
          <t>—</t>
        </is>
      </c>
      <c r="N66" s="2">
        <f>IFERROR(INDEX('CoQ Register'!$B:$B,MATCH("P060312|I",'CoQ Register'!$S:$S,0)),"—")</f>
        <v/>
      </c>
      <c r="O66" s="6" t="inlineStr">
        <is>
          <t>—</t>
        </is>
      </c>
      <c r="P66" s="2" t="inlineStr">
        <is>
          <t>11.05.2026</t>
        </is>
      </c>
      <c r="Q66" s="2" t="inlineStr">
        <is>
          <t>27.03.2026</t>
        </is>
      </c>
      <c r="R66" s="2" t="inlineStr">
        <is>
          <t>21.05.2026 (the issuance plan's basis: 11.05.2026)</t>
        </is>
      </c>
      <c r="S66" s="5">
        <f>IFERROR(INDEX('CoQ Register'!$D:$D,MATCH("P060312|I",'CoQ Register'!$S:$S,0)),"")</f>
        <v/>
      </c>
      <c r="T66" s="2" t="inlineStr">
        <is>
          <t>Conforms</t>
        </is>
      </c>
      <c r="U66" s="2" t="inlineStr">
        <is>
          <t>Conforms</t>
        </is>
      </c>
      <c r="V66" s="2" t="inlineStr">
        <is>
          <t>Conforms</t>
        </is>
      </c>
      <c r="W66" s="2" t="inlineStr">
        <is>
          <t>ППК26064, (11.05.2026) [CNP]</t>
        </is>
      </c>
      <c r="X66" s="2" t="inlineStr">
        <is>
          <t>—</t>
        </is>
      </c>
      <c r="Y66" s="2" t="inlineStr">
        <is>
          <t>—</t>
        </is>
      </c>
      <c r="Z66" s="2" t="inlineStr">
        <is>
          <t>—</t>
        </is>
      </c>
      <c r="AA66" s="2" t="inlineStr">
        <is>
          <t>P060312|I</t>
        </is>
      </c>
      <c r="AB66" s="7" t="inlineStr">
        <is>
          <t>registered — initial release, issued 03.06.2026</t>
        </is>
      </c>
    </row>
    <row r="67">
      <c r="A67" s="2" t="n">
        <v>66</v>
      </c>
      <c r="B67" s="3" t="inlineStr">
        <is>
          <t>iCoA-PP_26-066</t>
        </is>
      </c>
      <c r="C67" s="4" t="inlineStr">
        <is>
          <t>yes</t>
        </is>
      </c>
      <c r="D67" s="5">
        <f>IF(A67="","",IF(ISNUMBER(E67),MAX(DATE(2026,6,3),E67),DATE(2026,6,3)))</f>
        <v/>
      </c>
      <c r="E67" s="5">
        <f>IFERROR(INDEX('Batch Dates'!$F:$F,MATCH(J67,'Batch Dates'!$C:$C,0)),IFERROR(INDEX('Batch Dates'!$F:$F,MATCH(I67,'Batch Dates'!$B:$B,0)),""))</f>
        <v/>
      </c>
      <c r="F67" s="5">
        <f>IFERROR(INDEX('Batch Dates'!$G:$G,MATCH(J67,'Batch Dates'!$C:$C,0)),IFERROR(INDEX('Batch Dates'!$G:$G,MATCH(I67,'Batch Dates'!$B:$B,0)),""))</f>
        <v/>
      </c>
      <c r="G67" s="2" t="inlineStr">
        <is>
          <t>post-SOP</t>
        </is>
      </c>
      <c r="H67" s="2" t="inlineStr">
        <is>
          <t>initial release</t>
        </is>
      </c>
      <c r="I67" s="3" t="inlineStr">
        <is>
          <t>FB012601_1</t>
        </is>
      </c>
      <c r="J67" s="2" t="inlineStr">
        <is>
          <t>P060322</t>
        </is>
      </c>
      <c r="K67" s="2" t="inlineStr">
        <is>
          <t>Fat Bastard</t>
        </is>
      </c>
      <c r="L67" s="2" t="inlineStr">
        <is>
          <t>Ident A + Ident B + Foreign matter</t>
        </is>
      </c>
      <c r="M67" s="6" t="inlineStr">
        <is>
          <t>—</t>
        </is>
      </c>
      <c r="N67" s="2">
        <f>IFERROR(INDEX('CoQ Register'!$B:$B,MATCH("P060322|I",'CoQ Register'!$S:$S,0)),"—")</f>
        <v/>
      </c>
      <c r="O67" s="2" t="inlineStr">
        <is>
          <t>iCoA-PP-2026-0019</t>
        </is>
      </c>
      <c r="P67" s="2" t="inlineStr">
        <is>
          <t>22.05.2026</t>
        </is>
      </c>
      <c r="Q67" s="2" t="inlineStr">
        <is>
          <t>27.03.2026</t>
        </is>
      </c>
      <c r="R67" s="2" t="inlineStr">
        <is>
          <t>22.05.2026</t>
        </is>
      </c>
      <c r="S67" s="5">
        <f>IFERROR(INDEX('CoQ Register'!$D:$D,MATCH("P060322|I",'CoQ Register'!$S:$S,0)),"")</f>
        <v/>
      </c>
      <c r="T67" s="2" t="inlineStr">
        <is>
          <t>Conforms</t>
        </is>
      </c>
      <c r="U67" s="2" t="inlineStr">
        <is>
          <t>Conforms</t>
        </is>
      </c>
      <c r="V67" s="2" t="inlineStr">
        <is>
          <t>Conforms</t>
        </is>
      </c>
      <c r="W67" s="2" t="inlineStr">
        <is>
          <t>ППК26067, (11.05.2026) [CNP]</t>
        </is>
      </c>
      <c r="X67" s="2" t="inlineStr">
        <is>
          <t>—</t>
        </is>
      </c>
      <c r="Y67" s="2" t="inlineStr">
        <is>
          <t>—</t>
        </is>
      </c>
      <c r="Z67" s="2" t="inlineStr">
        <is>
          <t>—</t>
        </is>
      </c>
      <c r="AA67" s="2" t="inlineStr">
        <is>
          <t>P060322|I</t>
        </is>
      </c>
      <c r="AB67" s="7" t="inlineStr">
        <is>
          <t>registered — initial release, issued 03.06.2026</t>
        </is>
      </c>
    </row>
    <row r="68">
      <c r="A68" s="2" t="n">
        <v>67</v>
      </c>
      <c r="B68" s="3" t="inlineStr">
        <is>
          <t>iCoA-PP_26-067</t>
        </is>
      </c>
      <c r="C68" s="4" t="inlineStr">
        <is>
          <t>yes</t>
        </is>
      </c>
      <c r="D68" s="5">
        <f>IF(A68="","",IF(ISNUMBER(E68),MAX(DATE(2026,6,3),E68),DATE(2026,6,3)))</f>
        <v/>
      </c>
      <c r="E68" s="5">
        <f>IFERROR(INDEX('Batch Dates'!$F:$F,MATCH(J68,'Batch Dates'!$C:$C,0)),IFERROR(INDEX('Batch Dates'!$F:$F,MATCH(I68,'Batch Dates'!$B:$B,0)),""))</f>
        <v/>
      </c>
      <c r="F68" s="5">
        <f>IFERROR(INDEX('Batch Dates'!$G:$G,MATCH(J68,'Batch Dates'!$C:$C,0)),IFERROR(INDEX('Batch Dates'!$G:$G,MATCH(I68,'Batch Dates'!$B:$B,0)),""))</f>
        <v/>
      </c>
      <c r="G68" s="2" t="inlineStr">
        <is>
          <t>post-SOP</t>
        </is>
      </c>
      <c r="H68" s="2" t="inlineStr">
        <is>
          <t>initial release</t>
        </is>
      </c>
      <c r="I68" s="3" t="inlineStr">
        <is>
          <t>CC012601/1</t>
        </is>
      </c>
      <c r="J68" s="2" t="inlineStr">
        <is>
          <t>P060332</t>
        </is>
      </c>
      <c r="K68" s="2" t="inlineStr">
        <is>
          <t>Cash Cow</t>
        </is>
      </c>
      <c r="L68" s="2" t="inlineStr">
        <is>
          <t>Ident A + Ident B + Foreign matter</t>
        </is>
      </c>
      <c r="M68" s="6" t="inlineStr">
        <is>
          <t>—</t>
        </is>
      </c>
      <c r="N68" s="2">
        <f>IFERROR(INDEX('CoQ Register'!$B:$B,MATCH("P060332|I",'CoQ Register'!$S:$S,0)),"—")</f>
        <v/>
      </c>
      <c r="O68" s="6" t="inlineStr">
        <is>
          <t>—</t>
        </is>
      </c>
      <c r="P68" s="2" t="inlineStr">
        <is>
          <t>10.08.2026</t>
        </is>
      </c>
      <c r="Q68" s="2" t="inlineStr">
        <is>
          <t>16.04.2026</t>
        </is>
      </c>
      <c r="R68" s="2" t="inlineStr">
        <is>
          <t>22.05.2026 (the issuance plan's basis: 10.08.2026)</t>
        </is>
      </c>
      <c r="S68" s="5">
        <f>IFERROR(INDEX('CoQ Register'!$D:$D,MATCH("P060332|I",'CoQ Register'!$S:$S,0)),"")</f>
        <v/>
      </c>
      <c r="T68" s="2" t="inlineStr">
        <is>
          <t>Conforms</t>
        </is>
      </c>
      <c r="U68" s="2" t="inlineStr">
        <is>
          <t>Conforms</t>
        </is>
      </c>
      <c r="V68" s="2" t="inlineStr">
        <is>
          <t>Conforms</t>
        </is>
      </c>
      <c r="W68" s="2" t="inlineStr">
        <is>
          <t>— no cannabinoid certificate from the initial testing —</t>
        </is>
      </c>
      <c r="X68" s="2" t="inlineStr">
        <is>
          <t>—</t>
        </is>
      </c>
      <c r="Y68" s="2" t="inlineStr">
        <is>
          <t>—</t>
        </is>
      </c>
      <c r="Z68" s="2" t="inlineStr">
        <is>
          <t>—</t>
        </is>
      </c>
      <c r="AA68" s="2" t="inlineStr">
        <is>
          <t>P060332|I</t>
        </is>
      </c>
      <c r="AB68" s="7" t="inlineStr">
        <is>
          <t>registered — initial release, issued 03.06.2026</t>
        </is>
      </c>
    </row>
    <row r="69">
      <c r="A69" s="2" t="n">
        <v>68</v>
      </c>
      <c r="B69" s="3" t="inlineStr">
        <is>
          <t>iCoA-PP_26-068</t>
        </is>
      </c>
      <c r="C69" s="4" t="inlineStr">
        <is>
          <t>yes</t>
        </is>
      </c>
      <c r="D69" s="5">
        <f>IF(A69="","",IF(ISNUMBER(E69),MAX(DATE(2026,6,3),E69),DATE(2026,6,3)))</f>
        <v/>
      </c>
      <c r="E69" s="5">
        <f>IFERROR(INDEX('Batch Dates'!$F:$F,MATCH(J69,'Batch Dates'!$C:$C,0)),IFERROR(INDEX('Batch Dates'!$F:$F,MATCH(I69,'Batch Dates'!$B:$B,0)),""))</f>
        <v/>
      </c>
      <c r="F69" s="5">
        <f>IFERROR(INDEX('Batch Dates'!$G:$G,MATCH(J69,'Batch Dates'!$C:$C,0)),IFERROR(INDEX('Batch Dates'!$G:$G,MATCH(I69,'Batch Dates'!$B:$B,0)),""))</f>
        <v/>
      </c>
      <c r="G69" s="2" t="inlineStr">
        <is>
          <t>post-SOP</t>
        </is>
      </c>
      <c r="H69" s="2" t="inlineStr">
        <is>
          <t>initial release</t>
        </is>
      </c>
      <c r="I69" s="3" t="inlineStr">
        <is>
          <t>FB012603V</t>
        </is>
      </c>
      <c r="J69" s="2" t="inlineStr">
        <is>
          <t>P060392</t>
        </is>
      </c>
      <c r="K69" s="2" t="inlineStr">
        <is>
          <t>Fat Bastard</t>
        </is>
      </c>
      <c r="L69" s="2" t="inlineStr">
        <is>
          <t>Ident A + Ident B + Foreign matter</t>
        </is>
      </c>
      <c r="M69" s="2" t="inlineStr">
        <is>
          <t>A: ППК26110 / B: ППК26110 / FM: ППК26110</t>
        </is>
      </c>
      <c r="N69" s="2">
        <f>IFERROR(INDEX('CoQ Register'!$B:$B,MATCH("P060392|I",'CoQ Register'!$S:$S,0)),"—")</f>
        <v/>
      </c>
      <c r="O69" s="6" t="inlineStr">
        <is>
          <t>—</t>
        </is>
      </c>
      <c r="P69" s="2" t="inlineStr">
        <is>
          <t>30.06.2026</t>
        </is>
      </c>
      <c r="Q69" s="2" t="inlineStr">
        <is>
          <t>29.04.2026</t>
        </is>
      </c>
      <c r="R69" s="2" t="inlineStr">
        <is>
          <t>23.05.2026 (the issuance plan's basis: 30.06.2026)</t>
        </is>
      </c>
      <c r="S69" s="5">
        <f>IFERROR(INDEX('CoQ Register'!$D:$D,MATCH("P060392|I",'CoQ Register'!$S:$S,0)),"")</f>
        <v/>
      </c>
      <c r="T69" s="2" t="inlineStr">
        <is>
          <t>CNP ППК26110</t>
        </is>
      </c>
      <c r="U69" s="2" t="inlineStr">
        <is>
          <t>CNP ППК26110</t>
        </is>
      </c>
      <c r="V69" s="2" t="inlineStr">
        <is>
          <t>CNP ППК26110</t>
        </is>
      </c>
      <c r="W69" s="2" t="inlineStr">
        <is>
          <t>ППК26110, (30.06.2026) [CNP]</t>
        </is>
      </c>
      <c r="X69" s="2" t="inlineStr">
        <is>
          <t>—</t>
        </is>
      </c>
      <c r="Y69" s="2" t="inlineStr">
        <is>
          <t>—</t>
        </is>
      </c>
      <c r="Z69" s="2" t="inlineStr">
        <is>
          <t>—</t>
        </is>
      </c>
      <c r="AA69" s="2" t="inlineStr">
        <is>
          <t>P060392|I</t>
        </is>
      </c>
      <c r="AB69" s="7" t="inlineStr">
        <is>
          <t>registered — initial release, issued 03.06.2026</t>
        </is>
      </c>
    </row>
    <row r="70">
      <c r="A70" s="2" t="n">
        <v>69</v>
      </c>
      <c r="B70" s="3" t="inlineStr">
        <is>
          <t>iCoA-PP_26-069</t>
        </is>
      </c>
      <c r="C70" s="4" t="inlineStr">
        <is>
          <t>yes</t>
        </is>
      </c>
      <c r="D70" s="5">
        <f>IF(A70="","",IF(ISNUMBER(E70),MAX(DATE(2026,6,3),E70),DATE(2026,6,3)))</f>
        <v/>
      </c>
      <c r="E70" s="5">
        <f>IFERROR(INDEX('Batch Dates'!$F:$F,MATCH(J70,'Batch Dates'!$C:$C,0)),IFERROR(INDEX('Batch Dates'!$F:$F,MATCH(I70,'Batch Dates'!$B:$B,0)),""))</f>
        <v/>
      </c>
      <c r="F70" s="5">
        <f>IFERROR(INDEX('Batch Dates'!$G:$G,MATCH(J70,'Batch Dates'!$C:$C,0)),IFERROR(INDEX('Batch Dates'!$G:$G,MATCH(I70,'Batch Dates'!$B:$B,0)),""))</f>
        <v/>
      </c>
      <c r="G70" s="2" t="inlineStr">
        <is>
          <t>post-SOP</t>
        </is>
      </c>
      <c r="H70" s="2" t="inlineStr">
        <is>
          <t>initial release</t>
        </is>
      </c>
      <c r="I70" s="3" t="inlineStr">
        <is>
          <t>JD012603</t>
        </is>
      </c>
      <c r="J70" s="2" t="inlineStr">
        <is>
          <t>P060422</t>
        </is>
      </c>
      <c r="K70" s="2" t="inlineStr">
        <is>
          <t>Jelly Donuts</t>
        </is>
      </c>
      <c r="L70" s="2" t="inlineStr">
        <is>
          <t>Ident A + Ident B + Foreign matter</t>
        </is>
      </c>
      <c r="M70" s="2" t="inlineStr">
        <is>
          <t>A: ППК26111 / B: ППК26111 / FM: ППК26111</t>
        </is>
      </c>
      <c r="N70" s="2">
        <f>IFERROR(INDEX('CoQ Register'!$B:$B,MATCH("P060422|I",'CoQ Register'!$S:$S,0)),"—")</f>
        <v/>
      </c>
      <c r="O70" s="2" t="inlineStr">
        <is>
          <t>iCoA-PP-2026-0022</t>
        </is>
      </c>
      <c r="P70" s="2" t="inlineStr">
        <is>
          <t>23.05.2026</t>
        </is>
      </c>
      <c r="Q70" s="2" t="inlineStr">
        <is>
          <t>29.04.2026</t>
        </is>
      </c>
      <c r="R70" s="2" t="inlineStr">
        <is>
          <t>23.05.2026</t>
        </is>
      </c>
      <c r="S70" s="5">
        <f>IFERROR(INDEX('CoQ Register'!$D:$D,MATCH("P060422|I",'CoQ Register'!$S:$S,0)),"")</f>
        <v/>
      </c>
      <c r="T70" s="2" t="inlineStr">
        <is>
          <t>CNP ППК26111</t>
        </is>
      </c>
      <c r="U70" s="2" t="inlineStr">
        <is>
          <t>CNP ППК26111</t>
        </is>
      </c>
      <c r="V70" s="2" t="inlineStr">
        <is>
          <t>CNP ППК26111</t>
        </is>
      </c>
      <c r="W70" s="2" t="inlineStr">
        <is>
          <t>ППК26111, (30.06.2026) [CNP]</t>
        </is>
      </c>
      <c r="X70" s="2" t="inlineStr">
        <is>
          <t>—</t>
        </is>
      </c>
      <c r="Y70" s="2" t="inlineStr">
        <is>
          <t>—</t>
        </is>
      </c>
      <c r="Z70" s="2" t="inlineStr">
        <is>
          <t>—</t>
        </is>
      </c>
      <c r="AA70" s="2" t="inlineStr">
        <is>
          <t>P060422|I</t>
        </is>
      </c>
      <c r="AB70" s="7" t="inlineStr">
        <is>
          <t>registered — initial release, issued 03.06.2026</t>
        </is>
      </c>
    </row>
    <row r="71">
      <c r="A71" s="2" t="n">
        <v>70</v>
      </c>
      <c r="B71" s="3" t="inlineStr">
        <is>
          <t>iCoA-PP_26-070</t>
        </is>
      </c>
      <c r="C71" s="4" t="inlineStr">
        <is>
          <t>yes</t>
        </is>
      </c>
      <c r="D71" s="5">
        <f>IF(A71="","",IF(ISNUMBER(E71),MAX(DATE(2026,6,3),E71),DATE(2026,6,3)))</f>
        <v/>
      </c>
      <c r="E71" s="5">
        <f>IFERROR(INDEX('Batch Dates'!$F:$F,MATCH(J71,'Batch Dates'!$C:$C,0)),IFERROR(INDEX('Batch Dates'!$F:$F,MATCH(I71,'Batch Dates'!$B:$B,0)),""))</f>
        <v/>
      </c>
      <c r="F71" s="5">
        <f>IFERROR(INDEX('Batch Dates'!$G:$G,MATCH(J71,'Batch Dates'!$C:$C,0)),IFERROR(INDEX('Batch Dates'!$G:$G,MATCH(I71,'Batch Dates'!$B:$B,0)),""))</f>
        <v/>
      </c>
      <c r="G71" s="2" t="inlineStr">
        <is>
          <t>post-SOP</t>
        </is>
      </c>
      <c r="H71" s="2" t="inlineStr">
        <is>
          <t>initial release</t>
        </is>
      </c>
      <c r="I71" s="3" t="inlineStr">
        <is>
          <t>JD012603</t>
        </is>
      </c>
      <c r="J71" s="2" t="inlineStr">
        <is>
          <t>P060362</t>
        </is>
      </c>
      <c r="K71" s="2" t="inlineStr">
        <is>
          <t>Jelly Donuts</t>
        </is>
      </c>
      <c r="L71" s="2" t="inlineStr">
        <is>
          <t>Ident A + Ident B + Foreign matter</t>
        </is>
      </c>
      <c r="M71" s="2" t="inlineStr">
        <is>
          <t>A: ППК26111 / B: ППК26111 / FM: ППК26111</t>
        </is>
      </c>
      <c r="N71" s="2">
        <f>IFERROR(INDEX('CoQ Register'!$B:$B,MATCH("P060362|I",'CoQ Register'!$S:$S,0)),"—")</f>
        <v/>
      </c>
      <c r="O71" s="2" t="inlineStr">
        <is>
          <t>iCoA-PP-2026-0020</t>
        </is>
      </c>
      <c r="P71" s="2" t="inlineStr">
        <is>
          <t>23.05.2026</t>
        </is>
      </c>
      <c r="Q71" s="2" t="inlineStr">
        <is>
          <t>22.04.2026</t>
        </is>
      </c>
      <c r="R71" s="2" t="inlineStr">
        <is>
          <t>23.05.2026</t>
        </is>
      </c>
      <c r="S71" s="5">
        <f>IFERROR(INDEX('CoQ Register'!$D:$D,MATCH("P060362|I",'CoQ Register'!$S:$S,0)),"")</f>
        <v/>
      </c>
      <c r="T71" s="2" t="inlineStr">
        <is>
          <t>CNP ППК26111</t>
        </is>
      </c>
      <c r="U71" s="2" t="inlineStr">
        <is>
          <t>CNP ППК26111</t>
        </is>
      </c>
      <c r="V71" s="2" t="inlineStr">
        <is>
          <t>CNP ППК26111</t>
        </is>
      </c>
      <c r="W71" s="2" t="inlineStr">
        <is>
          <t>— no cannabinoid certificate from the initial testing —</t>
        </is>
      </c>
      <c r="X71" s="2" t="inlineStr">
        <is>
          <t>—</t>
        </is>
      </c>
      <c r="Y71" s="2" t="inlineStr">
        <is>
          <t>—</t>
        </is>
      </c>
      <c r="Z71" s="2" t="inlineStr">
        <is>
          <t>—</t>
        </is>
      </c>
      <c r="AA71" s="2" t="inlineStr">
        <is>
          <t>P060362|I</t>
        </is>
      </c>
      <c r="AB71" s="7" t="inlineStr">
        <is>
          <t>registered — initial release, issued 03.06.2026</t>
        </is>
      </c>
    </row>
    <row r="72">
      <c r="A72" s="2" t="n">
        <v>71</v>
      </c>
      <c r="B72" s="3" t="inlineStr">
        <is>
          <t>iCoA-PP_26-071</t>
        </is>
      </c>
      <c r="C72" s="4" t="inlineStr">
        <is>
          <t>yes</t>
        </is>
      </c>
      <c r="D72" s="5">
        <f>IF(A72="","",IF(ISNUMBER(E72),MAX(DATE(2026,6,3),E72),DATE(2026,6,3)))</f>
        <v/>
      </c>
      <c r="E72" s="5">
        <f>IFERROR(INDEX('Batch Dates'!$F:$F,MATCH(J72,'Batch Dates'!$C:$C,0)),IFERROR(INDEX('Batch Dates'!$F:$F,MATCH(I72,'Batch Dates'!$B:$B,0)),""))</f>
        <v/>
      </c>
      <c r="F72" s="5">
        <f>IFERROR(INDEX('Batch Dates'!$G:$G,MATCH(J72,'Batch Dates'!$C:$C,0)),IFERROR(INDEX('Batch Dates'!$G:$G,MATCH(I72,'Batch Dates'!$B:$B,0)),""))</f>
        <v/>
      </c>
      <c r="G72" s="2" t="inlineStr">
        <is>
          <t>post-SOP</t>
        </is>
      </c>
      <c r="H72" s="2" t="inlineStr">
        <is>
          <t>initial release</t>
        </is>
      </c>
      <c r="I72" s="3" t="inlineStr">
        <is>
          <t>FB012602*</t>
        </is>
      </c>
      <c r="J72" s="2" t="inlineStr">
        <is>
          <t>P060352</t>
        </is>
      </c>
      <c r="K72" s="2" t="inlineStr">
        <is>
          <t>Fat Bastard</t>
        </is>
      </c>
      <c r="L72" s="2" t="inlineStr">
        <is>
          <t>Ident A + Ident B + Foreign matter</t>
        </is>
      </c>
      <c r="M72" s="6" t="inlineStr">
        <is>
          <t>—</t>
        </is>
      </c>
      <c r="N72" s="2">
        <f>IFERROR(INDEX('CoQ Register'!$B:$B,MATCH("P060352|I",'CoQ Register'!$S:$S,0)),"—")</f>
        <v/>
      </c>
      <c r="O72" s="2" t="inlineStr">
        <is>
          <t>iCoA-PP-2026-0021</t>
        </is>
      </c>
      <c r="P72" s="2" t="inlineStr">
        <is>
          <t>23.05.2026</t>
        </is>
      </c>
      <c r="Q72" s="2" t="inlineStr">
        <is>
          <t>16.04.2026</t>
        </is>
      </c>
      <c r="R72" s="2" t="inlineStr">
        <is>
          <t>23.05.2026</t>
        </is>
      </c>
      <c r="S72" s="5">
        <f>IFERROR(INDEX('CoQ Register'!$D:$D,MATCH("P060352|I",'CoQ Register'!$S:$S,0)),"")</f>
        <v/>
      </c>
      <c r="T72" s="2" t="inlineStr">
        <is>
          <t>Conforms</t>
        </is>
      </c>
      <c r="U72" s="2" t="inlineStr">
        <is>
          <t>Conforms</t>
        </is>
      </c>
      <c r="V72" s="2" t="inlineStr">
        <is>
          <t>Conforms</t>
        </is>
      </c>
      <c r="W72" s="2" t="inlineStr">
        <is>
          <t>— no cannabinoid certificate from the initial testing —</t>
        </is>
      </c>
      <c r="X72" s="2" t="inlineStr">
        <is>
          <t>—</t>
        </is>
      </c>
      <c r="Y72" s="2" t="inlineStr">
        <is>
          <t>—</t>
        </is>
      </c>
      <c r="Z72" s="2" t="inlineStr">
        <is>
          <t>—</t>
        </is>
      </c>
      <c r="AA72" s="2" t="inlineStr">
        <is>
          <t>P060352|I</t>
        </is>
      </c>
      <c r="AB72" s="7" t="inlineStr">
        <is>
          <t>registered — initial release, issued 03.06.2026</t>
        </is>
      </c>
    </row>
    <row r="73">
      <c r="A73" s="2" t="n">
        <v>72</v>
      </c>
      <c r="B73" s="3" t="inlineStr">
        <is>
          <t>iCoA-PP_26-072</t>
        </is>
      </c>
      <c r="C73" s="4" t="inlineStr">
        <is>
          <t>yes</t>
        </is>
      </c>
      <c r="D73" s="5">
        <f>IF(A73="","",IF(ISNUMBER(E73),MAX(DATE(2026,6,3),E73),DATE(2026,6,3)))</f>
        <v/>
      </c>
      <c r="E73" s="5">
        <f>IFERROR(INDEX('Batch Dates'!$F:$F,MATCH(J73,'Batch Dates'!$C:$C,0)),IFERROR(INDEX('Batch Dates'!$F:$F,MATCH(I73,'Batch Dates'!$B:$B,0)),""))</f>
        <v/>
      </c>
      <c r="F73" s="5">
        <f>IFERROR(INDEX('Batch Dates'!$G:$G,MATCH(J73,'Batch Dates'!$C:$C,0)),IFERROR(INDEX('Batch Dates'!$G:$G,MATCH(I73,'Batch Dates'!$B:$B,0)),""))</f>
        <v/>
      </c>
      <c r="G73" s="2" t="inlineStr">
        <is>
          <t>post-SOP</t>
        </is>
      </c>
      <c r="H73" s="2" t="inlineStr">
        <is>
          <t>initial release</t>
        </is>
      </c>
      <c r="I73" s="3" t="inlineStr">
        <is>
          <t>CC012603</t>
        </is>
      </c>
      <c r="J73" s="2" t="inlineStr">
        <is>
          <t>P060372</t>
        </is>
      </c>
      <c r="K73" s="2" t="inlineStr">
        <is>
          <t>Cash Cow</t>
        </is>
      </c>
      <c r="L73" s="2" t="inlineStr">
        <is>
          <t>Ident A + Ident B + Foreign matter</t>
        </is>
      </c>
      <c r="M73" s="6" t="inlineStr">
        <is>
          <t>—</t>
        </is>
      </c>
      <c r="N73" s="2">
        <f>IFERROR(INDEX('CoQ Register'!$B:$B,MATCH("P060372|I",'CoQ Register'!$S:$S,0)),"—")</f>
        <v/>
      </c>
      <c r="O73" s="2" t="inlineStr">
        <is>
          <t>iCoA-PP-2026-0024</t>
        </is>
      </c>
      <c r="P73" s="2" t="inlineStr">
        <is>
          <t>24.05.2026</t>
        </is>
      </c>
      <c r="Q73" s="2" t="inlineStr">
        <is>
          <t>22.04.2026</t>
        </is>
      </c>
      <c r="R73" s="2" t="inlineStr">
        <is>
          <t>24.05.2026</t>
        </is>
      </c>
      <c r="S73" s="5">
        <f>IFERROR(INDEX('CoQ Register'!$D:$D,MATCH("P060372|I",'CoQ Register'!$S:$S,0)),"")</f>
        <v/>
      </c>
      <c r="T73" s="2" t="inlineStr">
        <is>
          <t>Conforms</t>
        </is>
      </c>
      <c r="U73" s="2" t="inlineStr">
        <is>
          <t>Conforms</t>
        </is>
      </c>
      <c r="V73" s="2" t="inlineStr">
        <is>
          <t>Conforms</t>
        </is>
      </c>
      <c r="W73" s="2" t="inlineStr">
        <is>
          <t>— no cannabinoid certificate from the initial testing —</t>
        </is>
      </c>
      <c r="X73" s="2" t="inlineStr">
        <is>
          <t>—</t>
        </is>
      </c>
      <c r="Y73" s="2" t="inlineStr">
        <is>
          <t>—</t>
        </is>
      </c>
      <c r="Z73" s="2" t="inlineStr">
        <is>
          <t>—</t>
        </is>
      </c>
      <c r="AA73" s="2" t="inlineStr">
        <is>
          <t>P060372|I</t>
        </is>
      </c>
      <c r="AB73" s="7" t="inlineStr">
        <is>
          <t>registered — initial release, issued 03.06.2026</t>
        </is>
      </c>
    </row>
    <row r="74">
      <c r="A74" s="2" t="n">
        <v>73</v>
      </c>
      <c r="B74" s="3" t="inlineStr">
        <is>
          <t>iCoA-PP_26-073</t>
        </is>
      </c>
      <c r="C74" s="4" t="inlineStr">
        <is>
          <t>yes</t>
        </is>
      </c>
      <c r="D74" s="5">
        <f>IF(A74="","",IF(ISNUMBER(E74),MAX(DATE(2026,6,3),E74),DATE(2026,6,3)))</f>
        <v/>
      </c>
      <c r="E74" s="5">
        <f>IFERROR(INDEX('Batch Dates'!$F:$F,MATCH(J74,'Batch Dates'!$C:$C,0)),IFERROR(INDEX('Batch Dates'!$F:$F,MATCH(I74,'Batch Dates'!$B:$B,0)),""))</f>
        <v/>
      </c>
      <c r="F74" s="5">
        <f>IFERROR(INDEX('Batch Dates'!$G:$G,MATCH(J74,'Batch Dates'!$C:$C,0)),IFERROR(INDEX('Batch Dates'!$G:$G,MATCH(I74,'Batch Dates'!$B:$B,0)),""))</f>
        <v/>
      </c>
      <c r="G74" s="2" t="inlineStr">
        <is>
          <t>post-SOP</t>
        </is>
      </c>
      <c r="H74" s="2" t="inlineStr">
        <is>
          <t>initial release</t>
        </is>
      </c>
      <c r="I74" s="3" t="inlineStr">
        <is>
          <t>GG012603</t>
        </is>
      </c>
      <c r="J74" s="2" t="inlineStr">
        <is>
          <t>P060402</t>
        </is>
      </c>
      <c r="K74" s="2" t="inlineStr">
        <is>
          <t>Gorilla Glue</t>
        </is>
      </c>
      <c r="L74" s="2" t="inlineStr">
        <is>
          <t>Ident A + Ident B + Foreign matter</t>
        </is>
      </c>
      <c r="M74" s="2" t="inlineStr">
        <is>
          <t>A: ППК26114 / B: ППК26114 / FM: ППК26114</t>
        </is>
      </c>
      <c r="N74" s="2">
        <f>IFERROR(INDEX('CoQ Register'!$B:$B,MATCH("P060402|I",'CoQ Register'!$S:$S,0)),"—")</f>
        <v/>
      </c>
      <c r="O74" s="2" t="inlineStr">
        <is>
          <t>iCoA-PP-2026-0023</t>
        </is>
      </c>
      <c r="P74" s="2" t="inlineStr">
        <is>
          <t>24.05.2026</t>
        </is>
      </c>
      <c r="Q74" s="2" t="inlineStr">
        <is>
          <t>04.05.2026</t>
        </is>
      </c>
      <c r="R74" s="2" t="inlineStr">
        <is>
          <t>24.05.2026</t>
        </is>
      </c>
      <c r="S74" s="5">
        <f>IFERROR(INDEX('CoQ Register'!$D:$D,MATCH("P060402|I",'CoQ Register'!$S:$S,0)),"")</f>
        <v/>
      </c>
      <c r="T74" s="2" t="inlineStr">
        <is>
          <t>CNP ППК26114</t>
        </is>
      </c>
      <c r="U74" s="2" t="inlineStr">
        <is>
          <t>CNP ППК26114</t>
        </is>
      </c>
      <c r="V74" s="2" t="inlineStr">
        <is>
          <t>CNP ППК26114</t>
        </is>
      </c>
      <c r="W74" s="2" t="inlineStr">
        <is>
          <t>ППК26114, (30.06.2026) [CNP]</t>
        </is>
      </c>
      <c r="X74" s="2" t="inlineStr">
        <is>
          <t>—</t>
        </is>
      </c>
      <c r="Y74" s="2" t="inlineStr">
        <is>
          <t>—</t>
        </is>
      </c>
      <c r="Z74" s="2" t="inlineStr">
        <is>
          <t>—</t>
        </is>
      </c>
      <c r="AA74" s="2" t="inlineStr">
        <is>
          <t>P060402|I</t>
        </is>
      </c>
      <c r="AB74" s="7" t="inlineStr">
        <is>
          <t>registered — initial release, issued 03.06.2026</t>
        </is>
      </c>
    </row>
    <row r="75">
      <c r="A75" s="2" t="n">
        <v>74</v>
      </c>
      <c r="B75" s="3" t="inlineStr">
        <is>
          <t>iCoA-PP_26-074</t>
        </is>
      </c>
      <c r="C75" s="4" t="inlineStr">
        <is>
          <t>yes</t>
        </is>
      </c>
      <c r="D75" s="5">
        <f>IF(A75="","",IF(ISNUMBER(E75),MAX(DATE(2026,6,3),E75),DATE(2026,6,3)))</f>
        <v/>
      </c>
      <c r="E75" s="5">
        <f>IFERROR(INDEX('Batch Dates'!$F:$F,MATCH(J75,'Batch Dates'!$C:$C,0)),IFERROR(INDEX('Batch Dates'!$F:$F,MATCH(I75,'Batch Dates'!$B:$B,0)),""))</f>
        <v/>
      </c>
      <c r="F75" s="5">
        <f>IFERROR(INDEX('Batch Dates'!$G:$G,MATCH(J75,'Batch Dates'!$C:$C,0)),IFERROR(INDEX('Batch Dates'!$G:$G,MATCH(I75,'Batch Dates'!$B:$B,0)),""))</f>
        <v/>
      </c>
      <c r="G75" s="2" t="inlineStr">
        <is>
          <t>post-SOP</t>
        </is>
      </c>
      <c r="H75" s="2" t="inlineStr">
        <is>
          <t>initial release</t>
        </is>
      </c>
      <c r="I75" s="3" t="inlineStr">
        <is>
          <t>JD012603</t>
        </is>
      </c>
      <c r="J75" s="2" t="inlineStr">
        <is>
          <t>P060412</t>
        </is>
      </c>
      <c r="K75" s="2" t="inlineStr">
        <is>
          <t>Jelly Donuts</t>
        </is>
      </c>
      <c r="L75" s="2" t="inlineStr">
        <is>
          <t>Ident A + Ident B + Foreign matter</t>
        </is>
      </c>
      <c r="M75" s="2" t="inlineStr">
        <is>
          <t>A: ППК26111 / B: ППК26111 / FM: ППК26111</t>
        </is>
      </c>
      <c r="N75" s="2">
        <f>IFERROR(INDEX('CoQ Register'!$B:$B,MATCH("P060412|I",'CoQ Register'!$S:$S,0)),"—")</f>
        <v/>
      </c>
      <c r="O75" s="2" t="inlineStr">
        <is>
          <t>iCoA-PP-2026-0025</t>
        </is>
      </c>
      <c r="P75" s="2" t="inlineStr">
        <is>
          <t>24.05.2026</t>
        </is>
      </c>
      <c r="Q75" s="2" t="inlineStr">
        <is>
          <t>04.05.2026</t>
        </is>
      </c>
      <c r="R75" s="2" t="inlineStr">
        <is>
          <t>24.05.2026</t>
        </is>
      </c>
      <c r="S75" s="5">
        <f>IFERROR(INDEX('CoQ Register'!$D:$D,MATCH("P060412|I",'CoQ Register'!$S:$S,0)),"")</f>
        <v/>
      </c>
      <c r="T75" s="2" t="inlineStr">
        <is>
          <t>CNP ППК26111</t>
        </is>
      </c>
      <c r="U75" s="2" t="inlineStr">
        <is>
          <t>CNP ППК26111</t>
        </is>
      </c>
      <c r="V75" s="2" t="inlineStr">
        <is>
          <t>CNP ППК26111</t>
        </is>
      </c>
      <c r="W75" s="2" t="inlineStr">
        <is>
          <t>ППК26113, (30.06.2026) [CNP]</t>
        </is>
      </c>
      <c r="X75" s="2" t="inlineStr">
        <is>
          <t>—</t>
        </is>
      </c>
      <c r="Y75" s="2" t="inlineStr">
        <is>
          <t>—</t>
        </is>
      </c>
      <c r="Z75" s="2" t="inlineStr">
        <is>
          <t>—</t>
        </is>
      </c>
      <c r="AA75" s="2" t="inlineStr">
        <is>
          <t>P060412|I</t>
        </is>
      </c>
      <c r="AB75" s="7" t="inlineStr">
        <is>
          <t>registered — initial release, issued 03.06.2026</t>
        </is>
      </c>
    </row>
    <row r="76">
      <c r="A76" s="2" t="n">
        <v>75</v>
      </c>
      <c r="B76" s="3" t="inlineStr">
        <is>
          <t>iCoA-PP_26-075</t>
        </is>
      </c>
      <c r="C76" s="4" t="inlineStr">
        <is>
          <t>yes</t>
        </is>
      </c>
      <c r="D76" s="5">
        <f>IF(A76="","",IF(ISNUMBER(E76),MAX(DATE(2026,6,3),E76),DATE(2026,6,3)))</f>
        <v/>
      </c>
      <c r="E76" s="5">
        <f>IFERROR(INDEX('Batch Dates'!$F:$F,MATCH(J76,'Batch Dates'!$C:$C,0)),IFERROR(INDEX('Batch Dates'!$F:$F,MATCH(I76,'Batch Dates'!$B:$B,0)),""))</f>
        <v/>
      </c>
      <c r="F76" s="5">
        <f>IFERROR(INDEX('Batch Dates'!$G:$G,MATCH(J76,'Batch Dates'!$C:$C,0)),IFERROR(INDEX('Batch Dates'!$G:$G,MATCH(I76,'Batch Dates'!$B:$B,0)),""))</f>
        <v/>
      </c>
      <c r="G76" s="2" t="inlineStr">
        <is>
          <t>post-SOP</t>
        </is>
      </c>
      <c r="H76" s="2" t="inlineStr">
        <is>
          <t>initial release</t>
        </is>
      </c>
      <c r="I76" s="3" t="inlineStr">
        <is>
          <t>SCR012603</t>
        </is>
      </c>
      <c r="J76" s="2" t="inlineStr">
        <is>
          <t>P060382</t>
        </is>
      </c>
      <c r="K76" s="2" t="inlineStr">
        <is>
          <t>Scrambler</t>
        </is>
      </c>
      <c r="L76" s="2" t="inlineStr">
        <is>
          <t>Ident A + Ident B + Foreign matter</t>
        </is>
      </c>
      <c r="M76" s="6" t="inlineStr">
        <is>
          <t>—</t>
        </is>
      </c>
      <c r="N76" s="2">
        <f>IFERROR(INDEX('CoQ Register'!$B:$B,MATCH("P060382|I",'CoQ Register'!$S:$S,0)),"—")</f>
        <v/>
      </c>
      <c r="O76" s="2" t="inlineStr">
        <is>
          <t>iCoA-PP-2026-0026</t>
        </is>
      </c>
      <c r="P76" s="2" t="inlineStr">
        <is>
          <t>25.05.2026</t>
        </is>
      </c>
      <c r="Q76" s="2" t="inlineStr">
        <is>
          <t>22.04.2026</t>
        </is>
      </c>
      <c r="R76" s="2" t="inlineStr">
        <is>
          <t>25.05.2026</t>
        </is>
      </c>
      <c r="S76" s="5">
        <f>IFERROR(INDEX('CoQ Register'!$D:$D,MATCH("P060382|I",'CoQ Register'!$S:$S,0)),"")</f>
        <v/>
      </c>
      <c r="T76" s="2" t="inlineStr">
        <is>
          <t>Conforms</t>
        </is>
      </c>
      <c r="U76" s="2" t="inlineStr">
        <is>
          <t>Conforms</t>
        </is>
      </c>
      <c r="V76" s="2" t="inlineStr">
        <is>
          <t>Conforms</t>
        </is>
      </c>
      <c r="W76" s="2" t="inlineStr">
        <is>
          <t>— no cannabinoid certificate from the initial testing —</t>
        </is>
      </c>
      <c r="X76" s="2" t="inlineStr">
        <is>
          <t>—</t>
        </is>
      </c>
      <c r="Y76" s="2" t="inlineStr">
        <is>
          <t>—</t>
        </is>
      </c>
      <c r="Z76" s="2" t="inlineStr">
        <is>
          <t>—</t>
        </is>
      </c>
      <c r="AA76" s="2" t="inlineStr">
        <is>
          <t>P060382|I</t>
        </is>
      </c>
      <c r="AB76" s="7" t="inlineStr">
        <is>
          <t>registered — initial release, issued 03.06.2026</t>
        </is>
      </c>
    </row>
    <row r="77">
      <c r="A77" s="2" t="n">
        <v>76</v>
      </c>
      <c r="B77" s="3" t="inlineStr">
        <is>
          <t>iCoA-PP_26-076</t>
        </is>
      </c>
      <c r="C77" s="4" t="inlineStr">
        <is>
          <t>yes</t>
        </is>
      </c>
      <c r="D77" s="5">
        <f>IF(A77="","",IF(ISNUMBER(E77),MAX(DATE(2026,6,3),E77),DATE(2026,6,3)))</f>
        <v/>
      </c>
      <c r="E77" s="5">
        <f>IFERROR(INDEX('Batch Dates'!$F:$F,MATCH(J77,'Batch Dates'!$C:$C,0)),IFERROR(INDEX('Batch Dates'!$F:$F,MATCH(I77,'Batch Dates'!$B:$B,0)),""))</f>
        <v/>
      </c>
      <c r="F77" s="5">
        <f>IFERROR(INDEX('Batch Dates'!$G:$G,MATCH(J77,'Batch Dates'!$C:$C,0)),IFERROR(INDEX('Batch Dates'!$G:$G,MATCH(I77,'Batch Dates'!$B:$B,0)),""))</f>
        <v/>
      </c>
      <c r="G77" s="2" t="inlineStr">
        <is>
          <t>post-SOP</t>
        </is>
      </c>
      <c r="H77" s="2" t="inlineStr">
        <is>
          <t>initial release</t>
        </is>
      </c>
      <c r="I77" s="3" t="inlineStr">
        <is>
          <t>SCR012601*</t>
        </is>
      </c>
      <c r="J77" s="2" t="inlineStr">
        <is>
          <t>P060342</t>
        </is>
      </c>
      <c r="K77" s="2" t="inlineStr">
        <is>
          <t>Scrambler</t>
        </is>
      </c>
      <c r="L77" s="2" t="inlineStr">
        <is>
          <t>Ident A + Ident B + Foreign matter</t>
        </is>
      </c>
      <c r="M77" s="6" t="inlineStr">
        <is>
          <t>—</t>
        </is>
      </c>
      <c r="N77" s="2">
        <f>IFERROR(INDEX('CoQ Register'!$B:$B,MATCH("P060342|I",'CoQ Register'!$S:$S,0)),"—")</f>
        <v/>
      </c>
      <c r="O77" s="6" t="inlineStr">
        <is>
          <t>—</t>
        </is>
      </c>
      <c r="P77" s="2" t="inlineStr">
        <is>
          <t>25.05.2026</t>
        </is>
      </c>
      <c r="Q77" s="2" t="inlineStr">
        <is>
          <t>16.04.2026</t>
        </is>
      </c>
      <c r="R77" s="2" t="inlineStr">
        <is>
          <t>25.05.2026</t>
        </is>
      </c>
      <c r="S77" s="5">
        <f>IFERROR(INDEX('CoQ Register'!$D:$D,MATCH("P060342|I",'CoQ Register'!$S:$S,0)),"")</f>
        <v/>
      </c>
      <c r="T77" s="2" t="inlineStr">
        <is>
          <t>Conforms</t>
        </is>
      </c>
      <c r="U77" s="2" t="inlineStr">
        <is>
          <t>Conforms</t>
        </is>
      </c>
      <c r="V77" s="2" t="inlineStr">
        <is>
          <t>Conforms</t>
        </is>
      </c>
      <c r="W77" s="2" t="inlineStr">
        <is>
          <t>— no cannabinoid certificate from the initial testing —</t>
        </is>
      </c>
      <c r="X77" s="2" t="inlineStr">
        <is>
          <t>—</t>
        </is>
      </c>
      <c r="Y77" s="2" t="inlineStr">
        <is>
          <t>—</t>
        </is>
      </c>
      <c r="Z77" s="2" t="inlineStr">
        <is>
          <t>—</t>
        </is>
      </c>
      <c r="AA77" s="2" t="inlineStr">
        <is>
          <t>P060342|I</t>
        </is>
      </c>
      <c r="AB77" s="7" t="inlineStr">
        <is>
          <t>registered — initial release, issued 03.06.2026</t>
        </is>
      </c>
    </row>
    <row r="78">
      <c r="A78" s="2" t="n">
        <v>77</v>
      </c>
      <c r="B78" s="3" t="inlineStr">
        <is>
          <t>iCoA-PP_26-077</t>
        </is>
      </c>
      <c r="C78" s="4" t="inlineStr">
        <is>
          <t>yes</t>
        </is>
      </c>
      <c r="D78" s="5" t="n">
        <v>46176</v>
      </c>
      <c r="E78" s="5" t="inlineStr">
        <is>
          <t>— not stated —</t>
        </is>
      </c>
      <c r="F78" s="5">
        <f>IFERROR(INDEX('Batch Dates'!$G:$G,MATCH(J78,'Batch Dates'!$C:$C,0)),IFERROR(INDEX('Batch Dates'!$G:$G,MATCH(I78,'Batch Dates'!$B:$B,0)),""))</f>
        <v/>
      </c>
      <c r="G78" s="2" t="inlineStr">
        <is>
          <t>legacy</t>
        </is>
      </c>
      <c r="H78" s="2" t="inlineStr">
        <is>
          <t>initial release</t>
        </is>
      </c>
      <c r="I78" s="3" t="inlineStr">
        <is>
          <t>BSS1024_01/1</t>
        </is>
      </c>
      <c r="J78" s="2" t="inlineStr">
        <is>
          <t>P050122</t>
        </is>
      </c>
      <c r="K78" s="2" t="inlineStr">
        <is>
          <t>Blue Sunset Sherbet</t>
        </is>
      </c>
      <c r="L78" s="2" t="inlineStr">
        <is>
          <t>Ident A + Ident B + Foreign matter</t>
        </is>
      </c>
      <c r="M78" s="6" t="inlineStr">
        <is>
          <t>—</t>
        </is>
      </c>
      <c r="N78" s="2">
        <f>IFERROR(INDEX('CoQ Register'!$B:$B,MATCH("P050122|I",'CoQ Register'!$S:$S,0)),"—")</f>
        <v/>
      </c>
      <c r="O78" s="6" t="inlineStr">
        <is>
          <t>—</t>
        </is>
      </c>
      <c r="P78" s="2" t="inlineStr">
        <is>
          <t>10.07.2025</t>
        </is>
      </c>
      <c r="Q78" s="2" t="inlineStr">
        <is>
          <t>04.06.2025 – 05.06.2025</t>
        </is>
      </c>
      <c r="R78" s="2" t="inlineStr">
        <is>
          <t>01.09.2025 – 09.09.2025 (the issuance plan's basis: 10.07.2025)</t>
        </is>
      </c>
      <c r="S78" s="5">
        <f>IFERROR(INDEX('CoQ Register'!$D:$D,MATCH("P050122|I",'CoQ Register'!$S:$S,0)),"")</f>
        <v/>
      </c>
      <c r="T78" s="2" t="inlineStr">
        <is>
          <t>Conforms</t>
        </is>
      </c>
      <c r="U78" s="2" t="inlineStr">
        <is>
          <t>Conforms</t>
        </is>
      </c>
      <c r="V78" s="2" t="inlineStr">
        <is>
          <t>Conforms</t>
        </is>
      </c>
      <c r="W78" s="2" t="inlineStr">
        <is>
          <t>ППК25176, (10.07.2025) [CNP]</t>
        </is>
      </c>
      <c r="X78" s="2" t="inlineStr">
        <is>
          <t>—</t>
        </is>
      </c>
      <c r="Y78" s="2" t="inlineStr">
        <is>
          <t>—</t>
        </is>
      </c>
      <c r="Z78" s="2" t="inlineStr">
        <is>
          <t>—</t>
        </is>
      </c>
      <c r="AA78" s="2" t="inlineStr">
        <is>
          <t>P050122|I</t>
        </is>
      </c>
      <c r="AB78" s="7" t="inlineStr">
        <is>
          <t>registered — initial release, issued 03.06.2026 · no packaging date on file — testing date not stated (owner, 15.09.2026: certified all the same)</t>
        </is>
      </c>
    </row>
    <row r="79">
      <c r="A79" s="2" t="n">
        <v>78</v>
      </c>
      <c r="B79" s="3" t="inlineStr">
        <is>
          <t>iCoA-PP_26-078</t>
        </is>
      </c>
      <c r="C79" s="4" t="inlineStr">
        <is>
          <t>yes</t>
        </is>
      </c>
      <c r="D79" s="5" t="n">
        <v>46176</v>
      </c>
      <c r="E79" s="5" t="inlineStr">
        <is>
          <t>— not stated —</t>
        </is>
      </c>
      <c r="F79" s="5">
        <f>IFERROR(INDEX('Batch Dates'!$G:$G,MATCH(J79,'Batch Dates'!$C:$C,0)),IFERROR(INDEX('Batch Dates'!$G:$G,MATCH(I79,'Batch Dates'!$B:$B,0)),""))</f>
        <v/>
      </c>
      <c r="G79" s="2" t="inlineStr">
        <is>
          <t>—</t>
        </is>
      </c>
      <c r="H79" s="2" t="inlineStr">
        <is>
          <t>initial release</t>
        </is>
      </c>
      <c r="I79" s="3" t="inlineStr">
        <is>
          <t>CC042601</t>
        </is>
      </c>
      <c r="J79" s="2" t="inlineStr">
        <is>
          <t>N/A — no P batch assigned</t>
        </is>
      </c>
      <c r="K79" s="2" t="inlineStr">
        <is>
          <t>Cash Cow</t>
        </is>
      </c>
      <c r="L79" s="2" t="inlineStr">
        <is>
          <t>Ident A + Ident B + Foreign matter</t>
        </is>
      </c>
      <c r="M79" s="6" t="inlineStr">
        <is>
          <t>—</t>
        </is>
      </c>
      <c r="N79" s="2">
        <f>IFERROR(INDEX('CoQ Register'!$B:$B,MATCH("CC042601|I",'CoQ Register'!$S:$S,0)),"—")</f>
        <v/>
      </c>
      <c r="O79" s="6" t="inlineStr">
        <is>
          <t>—</t>
        </is>
      </c>
      <c r="P79" s="2" t="inlineStr">
        <is>
          <t>—</t>
        </is>
      </c>
      <c r="Q79" s="2" t="inlineStr">
        <is>
          <t>— not on the list —</t>
        </is>
      </c>
      <c r="R79" s="2" t="inlineStr">
        <is>
          <t>— not on the list —</t>
        </is>
      </c>
      <c r="S79" s="5">
        <f>IFERROR(INDEX('CoQ Register'!$D:$D,MATCH("CC042601|I",'CoQ Register'!$S:$S,0)),"")</f>
        <v/>
      </c>
      <c r="T79" s="2" t="inlineStr">
        <is>
          <t>Conforms</t>
        </is>
      </c>
      <c r="U79" s="2" t="inlineStr">
        <is>
          <t>Conforms</t>
        </is>
      </c>
      <c r="V79" s="2" t="inlineStr">
        <is>
          <t>Conforms</t>
        </is>
      </c>
      <c r="W79" s="2" t="inlineStr">
        <is>
          <t>— no cannabinoid certificate from the initial testing —</t>
        </is>
      </c>
      <c r="X79" s="2" t="inlineStr">
        <is>
          <t>—</t>
        </is>
      </c>
      <c r="Y79" s="2" t="inlineStr">
        <is>
          <t>—</t>
        </is>
      </c>
      <c r="Z79" s="2" t="inlineStr">
        <is>
          <t>—</t>
        </is>
      </c>
      <c r="AA79" s="2" t="inlineStr">
        <is>
          <t>CC042601|I</t>
        </is>
      </c>
      <c r="AB79" s="7" t="inlineStr">
        <is>
          <t>registered — initial release, issued 03.06.2026 · no packaging date on file — testing date not stated (owner, 15.09.2026: certified all the same)</t>
        </is>
      </c>
    </row>
    <row r="80">
      <c r="A80" s="2" t="n">
        <v>79</v>
      </c>
      <c r="B80" s="3" t="inlineStr">
        <is>
          <t>iCoA-PP_26-079</t>
        </is>
      </c>
      <c r="C80" s="4" t="inlineStr">
        <is>
          <t>yes</t>
        </is>
      </c>
      <c r="D80" s="5" t="n">
        <v>46176</v>
      </c>
      <c r="E80" s="5" t="inlineStr">
        <is>
          <t>— not stated —</t>
        </is>
      </c>
      <c r="F80" s="5">
        <f>IFERROR(INDEX('Batch Dates'!$G:$G,MATCH(J80,'Batch Dates'!$C:$C,0)),IFERROR(INDEX('Batch Dates'!$G:$G,MATCH(I80,'Batch Dates'!$B:$B,0)),""))</f>
        <v/>
      </c>
      <c r="G80" s="2" t="inlineStr">
        <is>
          <t>—</t>
        </is>
      </c>
      <c r="H80" s="2" t="inlineStr">
        <is>
          <t>initial release</t>
        </is>
      </c>
      <c r="I80" s="3" t="inlineStr">
        <is>
          <t>FB042601</t>
        </is>
      </c>
      <c r="J80" s="2" t="inlineStr">
        <is>
          <t>N/A — no P batch assigned</t>
        </is>
      </c>
      <c r="K80" s="2" t="inlineStr">
        <is>
          <t>Fat Bastard</t>
        </is>
      </c>
      <c r="L80" s="2" t="inlineStr">
        <is>
          <t>Ident A + Ident B + Foreign matter</t>
        </is>
      </c>
      <c r="M80" s="6" t="inlineStr">
        <is>
          <t>—</t>
        </is>
      </c>
      <c r="N80" s="2">
        <f>IFERROR(INDEX('CoQ Register'!$B:$B,MATCH("FB042601|I",'CoQ Register'!$S:$S,0)),"—")</f>
        <v/>
      </c>
      <c r="O80" s="6" t="inlineStr">
        <is>
          <t>—</t>
        </is>
      </c>
      <c r="P80" s="2" t="inlineStr">
        <is>
          <t>—</t>
        </is>
      </c>
      <c r="Q80" s="2" t="inlineStr">
        <is>
          <t>— not on the list —</t>
        </is>
      </c>
      <c r="R80" s="2" t="inlineStr">
        <is>
          <t>— not on the list —</t>
        </is>
      </c>
      <c r="S80" s="5">
        <f>IFERROR(INDEX('CoQ Register'!$D:$D,MATCH("FB042601|I",'CoQ Register'!$S:$S,0)),"")</f>
        <v/>
      </c>
      <c r="T80" s="2" t="inlineStr">
        <is>
          <t>Conforms</t>
        </is>
      </c>
      <c r="U80" s="2" t="inlineStr">
        <is>
          <t>Conforms</t>
        </is>
      </c>
      <c r="V80" s="2" t="inlineStr">
        <is>
          <t>Conforms</t>
        </is>
      </c>
      <c r="W80" s="2" t="inlineStr">
        <is>
          <t>— no cannabinoid certificate from the initial testing —</t>
        </is>
      </c>
      <c r="X80" s="2" t="inlineStr">
        <is>
          <t>—</t>
        </is>
      </c>
      <c r="Y80" s="2" t="inlineStr">
        <is>
          <t>—</t>
        </is>
      </c>
      <c r="Z80" s="2" t="inlineStr">
        <is>
          <t>—</t>
        </is>
      </c>
      <c r="AA80" s="2" t="inlineStr">
        <is>
          <t>FB042601|I</t>
        </is>
      </c>
      <c r="AB80" s="7" t="inlineStr">
        <is>
          <t>registered — initial release, issued 03.06.2026 · no packaging date on file — testing date not stated (owner, 15.09.2026: certified all the same)</t>
        </is>
      </c>
    </row>
    <row r="81">
      <c r="A81" s="2" t="n">
        <v>80</v>
      </c>
      <c r="B81" s="3" t="inlineStr">
        <is>
          <t>iCoA-PP_26-080</t>
        </is>
      </c>
      <c r="C81" s="4" t="inlineStr">
        <is>
          <t>yes</t>
        </is>
      </c>
      <c r="D81" s="5" t="n">
        <v>46176</v>
      </c>
      <c r="E81" s="5" t="inlineStr">
        <is>
          <t>— not stated —</t>
        </is>
      </c>
      <c r="F81" s="5">
        <f>IFERROR(INDEX('Batch Dates'!$G:$G,MATCH(J81,'Batch Dates'!$C:$C,0)),IFERROR(INDEX('Batch Dates'!$G:$G,MATCH(I81,'Batch Dates'!$B:$B,0)),""))</f>
        <v/>
      </c>
      <c r="G81" s="2" t="inlineStr">
        <is>
          <t>legacy</t>
        </is>
      </c>
      <c r="H81" s="2" t="inlineStr">
        <is>
          <t>initial release</t>
        </is>
      </c>
      <c r="I81" s="3" t="inlineStr">
        <is>
          <t>OMP1024_01</t>
        </is>
      </c>
      <c r="J81" s="2" t="inlineStr">
        <is>
          <t>P050042</t>
        </is>
      </c>
      <c r="K81" s="2" t="inlineStr">
        <is>
          <t>Orange Punch Mimosa</t>
        </is>
      </c>
      <c r="L81" s="2" t="inlineStr">
        <is>
          <t>Ident A + Ident B + Foreign matter</t>
        </is>
      </c>
      <c r="M81" s="6" t="inlineStr">
        <is>
          <t>—</t>
        </is>
      </c>
      <c r="N81" s="2">
        <f>IFERROR(INDEX('CoQ Register'!$B:$B,MATCH("P050042|I",'CoQ Register'!$S:$S,0)),"—")</f>
        <v/>
      </c>
      <c r="O81" s="2" t="inlineStr">
        <is>
          <t>iCoA-PP-2025-0007</t>
        </is>
      </c>
      <c r="P81" s="2" t="inlineStr">
        <is>
          <t>20.06.2025</t>
        </is>
      </c>
      <c r="Q81" s="2" t="inlineStr">
        <is>
          <t>26.03.2025 – 27.03.2025</t>
        </is>
      </c>
      <c r="R81" s="2" t="inlineStr">
        <is>
          <t>20.06.2025</t>
        </is>
      </c>
      <c r="S81" s="5">
        <f>IFERROR(INDEX('CoQ Register'!$D:$D,MATCH("P050042|I",'CoQ Register'!$S:$S,0)),"")</f>
        <v/>
      </c>
      <c r="T81" s="2" t="inlineStr">
        <is>
          <t>Conforms</t>
        </is>
      </c>
      <c r="U81" s="2" t="inlineStr">
        <is>
          <t>Conforms</t>
        </is>
      </c>
      <c r="V81" s="2" t="inlineStr">
        <is>
          <t>Conforms</t>
        </is>
      </c>
      <c r="W81" s="2" t="inlineStr">
        <is>
          <t>ППК25117, (06.05.2025) [CNP]</t>
        </is>
      </c>
      <c r="X81" s="2" t="inlineStr">
        <is>
          <t>—</t>
        </is>
      </c>
      <c r="Y81" s="2" t="inlineStr">
        <is>
          <t>—</t>
        </is>
      </c>
      <c r="Z81" s="2" t="inlineStr">
        <is>
          <t>—</t>
        </is>
      </c>
      <c r="AA81" s="2" t="inlineStr">
        <is>
          <t>P050042|I</t>
        </is>
      </c>
      <c r="AB81" s="7" t="inlineStr">
        <is>
          <t>registered — initial release, issued 03.06.2026 · no packaging date on file — testing date not stated (owner, 15.09.2026: certified all the same)</t>
        </is>
      </c>
    </row>
    <row r="82">
      <c r="A82" s="2" t="n">
        <v>81</v>
      </c>
      <c r="B82" s="3" t="inlineStr">
        <is>
          <t>iCoA-PP_26-081</t>
        </is>
      </c>
      <c r="C82" s="4" t="inlineStr">
        <is>
          <t>yes</t>
        </is>
      </c>
      <c r="D82" s="5">
        <f>IF(A82="","",IF(ISNUMBER(E82),MAX(DATE(2026,6,3),E82),DATE(2026,6,3)))</f>
        <v/>
      </c>
      <c r="E82" s="5">
        <f>IFERROR(INDEX('Batch Dates'!$F:$F,MATCH(J82,'Batch Dates'!$C:$C,0)),IFERROR(INDEX('Batch Dates'!$F:$F,MATCH(I82,'Batch Dates'!$B:$B,0)),""))</f>
        <v/>
      </c>
      <c r="F82" s="5">
        <f>IFERROR(INDEX('Batch Dates'!$G:$G,MATCH(J82,'Batch Dates'!$C:$C,0)),IFERROR(INDEX('Batch Dates'!$G:$G,MATCH(I82,'Batch Dates'!$B:$B,0)),""))</f>
        <v/>
      </c>
      <c r="G82" s="2" t="inlineStr">
        <is>
          <t>post-SOP</t>
        </is>
      </c>
      <c r="H82" s="2" t="inlineStr">
        <is>
          <t>initial release</t>
        </is>
      </c>
      <c r="I82" s="3" t="inlineStr">
        <is>
          <t>FB012603</t>
        </is>
      </c>
      <c r="J82" s="2" t="inlineStr">
        <is>
          <t>P060432</t>
        </is>
      </c>
      <c r="K82" s="2" t="inlineStr">
        <is>
          <t>Fat Bastard</t>
        </is>
      </c>
      <c r="L82" s="2" t="inlineStr">
        <is>
          <t>Ident A + Ident B + Foreign matter</t>
        </is>
      </c>
      <c r="M82" s="2" t="inlineStr">
        <is>
          <t>A: ППК26112 / B: ППК26112 / FM: ППК26112</t>
        </is>
      </c>
      <c r="N82" s="2">
        <f>IFERROR(INDEX('CoQ Register'!$B:$B,MATCH("P060432|I",'CoQ Register'!$S:$S,0)),"—")</f>
        <v/>
      </c>
      <c r="O82" s="6" t="inlineStr">
        <is>
          <t>—</t>
        </is>
      </c>
      <c r="P82" s="2" t="inlineStr">
        <is>
          <t>30.06.2026</t>
        </is>
      </c>
      <c r="Q82" s="2" t="inlineStr">
        <is>
          <t>04.05.2026</t>
        </is>
      </c>
      <c r="R82" s="2" t="inlineStr">
        <is>
          <t>15.06.2026 (the issuance plan's basis: 30.06.2026)</t>
        </is>
      </c>
      <c r="S82" s="5">
        <f>IFERROR(INDEX('CoQ Register'!$D:$D,MATCH("P060432|I",'CoQ Register'!$S:$S,0)),"")</f>
        <v/>
      </c>
      <c r="T82" s="2" t="inlineStr">
        <is>
          <t>CNP ППК26112</t>
        </is>
      </c>
      <c r="U82" s="2" t="inlineStr">
        <is>
          <t>CNP ППК26112</t>
        </is>
      </c>
      <c r="V82" s="2" t="inlineStr">
        <is>
          <t>CNP ППК26112</t>
        </is>
      </c>
      <c r="W82" s="2" t="inlineStr">
        <is>
          <t>ППК26112, (30.06.2026) [CNP]</t>
        </is>
      </c>
      <c r="X82" s="2" t="inlineStr">
        <is>
          <t>—</t>
        </is>
      </c>
      <c r="Y82" s="2" t="inlineStr">
        <is>
          <t>—</t>
        </is>
      </c>
      <c r="Z82" s="2" t="inlineStr">
        <is>
          <t>—</t>
        </is>
      </c>
      <c r="AA82" s="2" t="inlineStr">
        <is>
          <t>P060432|I</t>
        </is>
      </c>
      <c r="AB82" s="7" t="inlineStr">
        <is>
          <t>registered — initial release, issued 15.06.2026</t>
        </is>
      </c>
    </row>
    <row r="83">
      <c r="A83" s="2" t="n">
        <v>82</v>
      </c>
      <c r="B83" s="3" t="inlineStr">
        <is>
          <t>iCoA-PP_26-082</t>
        </is>
      </c>
      <c r="C83" s="4" t="inlineStr">
        <is>
          <t>yes</t>
        </is>
      </c>
      <c r="D83" s="5">
        <f>IF(A83="","",IF(ISNUMBER(E83),MAX(DATE(2026,6,3),E83),DATE(2026,6,3)))</f>
        <v/>
      </c>
      <c r="E83" s="5">
        <f>IFERROR(INDEX('Batch Dates'!$F:$F,MATCH(J83,'Batch Dates'!$C:$C,0)),IFERROR(INDEX('Batch Dates'!$F:$F,MATCH(I83,'Batch Dates'!$B:$B,0)),""))</f>
        <v/>
      </c>
      <c r="F83" s="5">
        <f>IFERROR(INDEX('Batch Dates'!$G:$G,MATCH(J83,'Batch Dates'!$C:$C,0)),IFERROR(INDEX('Batch Dates'!$G:$G,MATCH(I83,'Batch Dates'!$B:$B,0)),""))</f>
        <v/>
      </c>
      <c r="G83" s="2" t="inlineStr">
        <is>
          <t>post-SOP</t>
        </is>
      </c>
      <c r="H83" s="2" t="inlineStr">
        <is>
          <t>initial release</t>
        </is>
      </c>
      <c r="I83" s="3" t="inlineStr">
        <is>
          <t>SCR022601</t>
        </is>
      </c>
      <c r="J83" s="2" t="inlineStr">
        <is>
          <t>P060442</t>
        </is>
      </c>
      <c r="K83" s="2" t="inlineStr">
        <is>
          <t>Scrambler</t>
        </is>
      </c>
      <c r="L83" s="2" t="inlineStr">
        <is>
          <t>Ident A + Ident B + Foreign matter</t>
        </is>
      </c>
      <c r="M83" s="2" t="inlineStr">
        <is>
          <t>A: ППК26116 / B: ППК26116 / FM: ППК26116</t>
        </is>
      </c>
      <c r="N83" s="2">
        <f>IFERROR(INDEX('CoQ Register'!$B:$B,MATCH("P060442|I",'CoQ Register'!$S:$S,0)),"—")</f>
        <v/>
      </c>
      <c r="O83" s="6" t="inlineStr">
        <is>
          <t>—</t>
        </is>
      </c>
      <c r="P83" s="2" t="inlineStr">
        <is>
          <t>06.07.2026</t>
        </is>
      </c>
      <c r="Q83" s="2" t="inlineStr">
        <is>
          <t>13.05.2026</t>
        </is>
      </c>
      <c r="R83" s="2" t="inlineStr">
        <is>
          <t>18.06.2026 (the issuance plan's basis: 06.07.2026)</t>
        </is>
      </c>
      <c r="S83" s="5">
        <f>IFERROR(INDEX('CoQ Register'!$D:$D,MATCH("P060442|I",'CoQ Register'!$S:$S,0)),"")</f>
        <v/>
      </c>
      <c r="T83" s="2" t="inlineStr">
        <is>
          <t>CNP ППК26116</t>
        </is>
      </c>
      <c r="U83" s="2" t="inlineStr">
        <is>
          <t>CNP ППК26116</t>
        </is>
      </c>
      <c r="V83" s="2" t="inlineStr">
        <is>
          <t>CNP ППК26116</t>
        </is>
      </c>
      <c r="W83" s="2" t="inlineStr">
        <is>
          <t>ППК26116, (06.07.2026) [CNP]</t>
        </is>
      </c>
      <c r="X83" s="2" t="inlineStr">
        <is>
          <t>—</t>
        </is>
      </c>
      <c r="Y83" s="2" t="inlineStr">
        <is>
          <t>—</t>
        </is>
      </c>
      <c r="Z83" s="2" t="inlineStr">
        <is>
          <t>—</t>
        </is>
      </c>
      <c r="AA83" s="2" t="inlineStr">
        <is>
          <t>P060442|I</t>
        </is>
      </c>
      <c r="AB83" s="7" t="inlineStr">
        <is>
          <t>registered — initial release, issued 18.06.2026</t>
        </is>
      </c>
    </row>
    <row r="84">
      <c r="A84" s="2" t="n">
        <v>83</v>
      </c>
      <c r="B84" s="3" t="inlineStr">
        <is>
          <t>iCoA-PP_26-083</t>
        </is>
      </c>
      <c r="C84" s="4" t="inlineStr">
        <is>
          <t>yes</t>
        </is>
      </c>
      <c r="D84" s="5">
        <f>IF(A84="","",IF(ISNUMBER(E84),MAX(DATE(2026,6,3),E84),DATE(2026,6,3)))</f>
        <v/>
      </c>
      <c r="E84" s="5">
        <f>IFERROR(INDEX('Batch Dates'!$F:$F,MATCH(J84,'Batch Dates'!$C:$C,0)),IFERROR(INDEX('Batch Dates'!$F:$F,MATCH(I84,'Batch Dates'!$B:$B,0)),""))</f>
        <v/>
      </c>
      <c r="F84" s="5">
        <f>IFERROR(INDEX('Batch Dates'!$G:$G,MATCH(J84,'Batch Dates'!$C:$C,0)),IFERROR(INDEX('Batch Dates'!$G:$G,MATCH(I84,'Batch Dates'!$B:$B,0)),""))</f>
        <v/>
      </c>
      <c r="G84" s="2" t="inlineStr">
        <is>
          <t>post-SOP</t>
        </is>
      </c>
      <c r="H84" s="2" t="inlineStr">
        <is>
          <t>initial release</t>
        </is>
      </c>
      <c r="I84" s="3" t="inlineStr">
        <is>
          <t>FB032601</t>
        </is>
      </c>
      <c r="J84" s="2" t="inlineStr">
        <is>
          <t>P060452</t>
        </is>
      </c>
      <c r="K84" s="2" t="inlineStr">
        <is>
          <t>Fat Bastard</t>
        </is>
      </c>
      <c r="L84" s="2" t="inlineStr">
        <is>
          <t>Ident A + Ident B + Foreign matter</t>
        </is>
      </c>
      <c r="M84" s="2" t="inlineStr">
        <is>
          <t>A: ППК26127 / B: ППК26127 / FM: ППК26127</t>
        </is>
      </c>
      <c r="N84" s="2">
        <f>IFERROR(INDEX('CoQ Register'!$B:$B,MATCH("P060452|I",'CoQ Register'!$S:$S,0)),"—")</f>
        <v/>
      </c>
      <c r="O84" s="6" t="inlineStr">
        <is>
          <t>—</t>
        </is>
      </c>
      <c r="P84" s="2" t="inlineStr">
        <is>
          <t>21.07.2026</t>
        </is>
      </c>
      <c r="Q84" s="2" t="inlineStr">
        <is>
          <t>02.06.2026</t>
        </is>
      </c>
      <c r="R84" s="2" t="inlineStr">
        <is>
          <t>29.06.2026 (the issuance plan's basis: 21.07.2026)</t>
        </is>
      </c>
      <c r="S84" s="5">
        <f>IFERROR(INDEX('CoQ Register'!$D:$D,MATCH("P060452|I",'CoQ Register'!$S:$S,0)),"")</f>
        <v/>
      </c>
      <c r="T84" s="2" t="inlineStr">
        <is>
          <t>CNP ППК26127</t>
        </is>
      </c>
      <c r="U84" s="2" t="inlineStr">
        <is>
          <t>CNP ППК26127</t>
        </is>
      </c>
      <c r="V84" s="2" t="inlineStr">
        <is>
          <t>CNP ППК26127</t>
        </is>
      </c>
      <c r="W84" s="2" t="inlineStr">
        <is>
          <t>ППК26127, (21.07.2026) [CNP]</t>
        </is>
      </c>
      <c r="X84" s="2" t="inlineStr">
        <is>
          <t>—</t>
        </is>
      </c>
      <c r="Y84" s="2" t="inlineStr">
        <is>
          <t>—</t>
        </is>
      </c>
      <c r="Z84" s="2" t="inlineStr">
        <is>
          <t>—</t>
        </is>
      </c>
      <c r="AA84" s="2" t="inlineStr">
        <is>
          <t>P060452|I</t>
        </is>
      </c>
      <c r="AB84" s="7" t="inlineStr">
        <is>
          <t>registered — initial release, issued 29.06.2026</t>
        </is>
      </c>
    </row>
    <row r="85">
      <c r="A85" s="2" t="n">
        <v>84</v>
      </c>
      <c r="B85" s="3" t="inlineStr">
        <is>
          <t>iCoA-PP_26-084</t>
        </is>
      </c>
      <c r="C85" s="4" t="inlineStr">
        <is>
          <t>yes</t>
        </is>
      </c>
      <c r="D85" s="5" t="n">
        <v>46209</v>
      </c>
      <c r="E85" s="5" t="inlineStr">
        <is>
          <t>— not stated —</t>
        </is>
      </c>
      <c r="F85" s="5">
        <f>IFERROR(INDEX('Batch Dates'!$G:$G,MATCH(J85,'Batch Dates'!$C:$C,0)),IFERROR(INDEX('Batch Dates'!$G:$G,MATCH(I85,'Batch Dates'!$B:$B,0)),""))</f>
        <v/>
      </c>
      <c r="G85" s="2" t="inlineStr">
        <is>
          <t>—</t>
        </is>
      </c>
      <c r="H85" s="2" t="inlineStr">
        <is>
          <t>initial release</t>
        </is>
      </c>
      <c r="I85" s="3" t="inlineStr">
        <is>
          <t>— not recorded — (P160012)</t>
        </is>
      </c>
      <c r="J85" s="2" t="inlineStr">
        <is>
          <t>P160012</t>
        </is>
      </c>
      <c r="K85" s="2" t="inlineStr">
        <is>
          <t>Grape Pie</t>
        </is>
      </c>
      <c r="L85" s="2" t="inlineStr">
        <is>
          <t>Ident A + Ident B + Foreign matter</t>
        </is>
      </c>
      <c r="M85" s="2" t="inlineStr">
        <is>
          <t>A: ППК26117 / B: ППК26117 / FM: ППК26117</t>
        </is>
      </c>
      <c r="N85" s="2">
        <f>IFERROR(INDEX('CoQ Register'!$B:$B,MATCH("P160012|I",'CoQ Register'!$S:$S,0)),"—")</f>
        <v/>
      </c>
      <c r="O85" s="6" t="inlineStr">
        <is>
          <t>—</t>
        </is>
      </c>
      <c r="P85" s="2" t="inlineStr">
        <is>
          <t>06.07.2026</t>
        </is>
      </c>
      <c r="Q85" s="2" t="inlineStr">
        <is>
          <t>— not on the list —</t>
        </is>
      </c>
      <c r="R85" s="2" t="inlineStr">
        <is>
          <t>— not on the list —</t>
        </is>
      </c>
      <c r="S85" s="5">
        <f>IFERROR(INDEX('CoQ Register'!$D:$D,MATCH("P160012|I",'CoQ Register'!$S:$S,0)),"")</f>
        <v/>
      </c>
      <c r="T85" s="2" t="inlineStr">
        <is>
          <t>CNP ППК26117</t>
        </is>
      </c>
      <c r="U85" s="2" t="inlineStr">
        <is>
          <t>CNP ППК26117</t>
        </is>
      </c>
      <c r="V85" s="2" t="inlineStr">
        <is>
          <t>CNP ППК26117</t>
        </is>
      </c>
      <c r="W85" s="2" t="inlineStr">
        <is>
          <t>ППК26117, (06.07.2026) [CNP]</t>
        </is>
      </c>
      <c r="X85" s="2" t="inlineStr">
        <is>
          <t>—</t>
        </is>
      </c>
      <c r="Y85" s="2" t="inlineStr">
        <is>
          <t>—</t>
        </is>
      </c>
      <c r="Z85" s="2" t="inlineStr">
        <is>
          <t>—</t>
        </is>
      </c>
      <c r="AA85" s="2" t="inlineStr">
        <is>
          <t>P160012|I</t>
        </is>
      </c>
      <c r="AB85" s="7" t="inlineStr">
        <is>
          <t>registered — initial release, issued 06.07.2026 · no packaging date on file — testing date not stated (owner, 15.09.2026: certified all the same)</t>
        </is>
      </c>
    </row>
    <row r="86">
      <c r="A86" s="2" t="n">
        <v>85</v>
      </c>
      <c r="B86" s="3" t="inlineStr">
        <is>
          <t>iCoA-PP_26-085</t>
        </is>
      </c>
      <c r="C86" s="4" t="inlineStr">
        <is>
          <t>yes</t>
        </is>
      </c>
      <c r="D86" s="5" t="n">
        <v>46209</v>
      </c>
      <c r="E86" s="5" t="inlineStr">
        <is>
          <t>— not stated —</t>
        </is>
      </c>
      <c r="F86" s="5">
        <f>IFERROR(INDEX('Batch Dates'!$G:$G,MATCH(J86,'Batch Dates'!$C:$C,0)),IFERROR(INDEX('Batch Dates'!$G:$G,MATCH(I86,'Batch Dates'!$B:$B,0)),""))</f>
        <v/>
      </c>
      <c r="G86" s="2" t="inlineStr">
        <is>
          <t>—</t>
        </is>
      </c>
      <c r="H86" s="2" t="inlineStr">
        <is>
          <t>initial release</t>
        </is>
      </c>
      <c r="I86" s="3" t="inlineStr">
        <is>
          <t>— not recorded — (P160022)</t>
        </is>
      </c>
      <c r="J86" s="2" t="inlineStr">
        <is>
          <t>P160022</t>
        </is>
      </c>
      <c r="K86" s="2" t="inlineStr">
        <is>
          <t>Grape Pie</t>
        </is>
      </c>
      <c r="L86" s="2" t="inlineStr">
        <is>
          <t>Ident A + Ident B + Foreign matter</t>
        </is>
      </c>
      <c r="M86" s="2" t="inlineStr">
        <is>
          <t>A: ППК26118 / B: ППК26118 / FM: ППК26118</t>
        </is>
      </c>
      <c r="N86" s="2">
        <f>IFERROR(INDEX('CoQ Register'!$B:$B,MATCH("P160022|I",'CoQ Register'!$S:$S,0)),"—")</f>
        <v/>
      </c>
      <c r="O86" s="6" t="inlineStr">
        <is>
          <t>—</t>
        </is>
      </c>
      <c r="P86" s="2" t="inlineStr">
        <is>
          <t>06.07.2026</t>
        </is>
      </c>
      <c r="Q86" s="2" t="inlineStr">
        <is>
          <t>— not on the list —</t>
        </is>
      </c>
      <c r="R86" s="2" t="inlineStr">
        <is>
          <t>— not on the list —</t>
        </is>
      </c>
      <c r="S86" s="5">
        <f>IFERROR(INDEX('CoQ Register'!$D:$D,MATCH("P160022|I",'CoQ Register'!$S:$S,0)),"")</f>
        <v/>
      </c>
      <c r="T86" s="2" t="inlineStr">
        <is>
          <t>CNP ППК26118</t>
        </is>
      </c>
      <c r="U86" s="2" t="inlineStr">
        <is>
          <t>CNP ППК26118</t>
        </is>
      </c>
      <c r="V86" s="2" t="inlineStr">
        <is>
          <t>CNP ППК26118</t>
        </is>
      </c>
      <c r="W86" s="2" t="inlineStr">
        <is>
          <t>ППК26118, (06.07.2026) [CNP]</t>
        </is>
      </c>
      <c r="X86" s="2" t="inlineStr">
        <is>
          <t>—</t>
        </is>
      </c>
      <c r="Y86" s="2" t="inlineStr">
        <is>
          <t>—</t>
        </is>
      </c>
      <c r="Z86" s="2" t="inlineStr">
        <is>
          <t>—</t>
        </is>
      </c>
      <c r="AA86" s="2" t="inlineStr">
        <is>
          <t>P160022|I</t>
        </is>
      </c>
      <c r="AB86" s="7" t="inlineStr">
        <is>
          <t>registered — initial release, issued 06.07.2026 · no packaging date on file — testing date not stated (owner, 15.09.2026: certified all the same)</t>
        </is>
      </c>
    </row>
    <row r="87">
      <c r="A87" s="2" t="n">
        <v>86</v>
      </c>
      <c r="B87" s="3" t="inlineStr">
        <is>
          <t>iCoA-PP_26-086</t>
        </is>
      </c>
      <c r="C87" s="4" t="inlineStr">
        <is>
          <t>yes</t>
        </is>
      </c>
      <c r="D87" s="5" t="n">
        <v>46209</v>
      </c>
      <c r="E87" s="5" t="inlineStr">
        <is>
          <t>— not stated —</t>
        </is>
      </c>
      <c r="F87" s="5">
        <f>IFERROR(INDEX('Batch Dates'!$G:$G,MATCH(J87,'Batch Dates'!$C:$C,0)),IFERROR(INDEX('Batch Dates'!$G:$G,MATCH(I87,'Batch Dates'!$B:$B,0)),""))</f>
        <v/>
      </c>
      <c r="G87" s="2" t="inlineStr">
        <is>
          <t>—</t>
        </is>
      </c>
      <c r="H87" s="2" t="inlineStr">
        <is>
          <t>initial release</t>
        </is>
      </c>
      <c r="I87" s="3" t="inlineStr">
        <is>
          <t>— not recorded — (P160032)</t>
        </is>
      </c>
      <c r="J87" s="2" t="inlineStr">
        <is>
          <t>P160032</t>
        </is>
      </c>
      <c r="K87" s="2" t="inlineStr">
        <is>
          <t>Grape Pie</t>
        </is>
      </c>
      <c r="L87" s="2" t="inlineStr">
        <is>
          <t>Ident A + Ident B + Foreign matter</t>
        </is>
      </c>
      <c r="M87" s="2" t="inlineStr">
        <is>
          <t>A: ППК26119 / B: ППК26119 / FM: ППК26119</t>
        </is>
      </c>
      <c r="N87" s="2">
        <f>IFERROR(INDEX('CoQ Register'!$B:$B,MATCH("P160032|I",'CoQ Register'!$S:$S,0)),"—")</f>
        <v/>
      </c>
      <c r="O87" s="6" t="inlineStr">
        <is>
          <t>—</t>
        </is>
      </c>
      <c r="P87" s="2" t="inlineStr">
        <is>
          <t>06.07.2026</t>
        </is>
      </c>
      <c r="Q87" s="2" t="inlineStr">
        <is>
          <t>— not on the list —</t>
        </is>
      </c>
      <c r="R87" s="2" t="inlineStr">
        <is>
          <t>— not on the list —</t>
        </is>
      </c>
      <c r="S87" s="5">
        <f>IFERROR(INDEX('CoQ Register'!$D:$D,MATCH("P160032|I",'CoQ Register'!$S:$S,0)),"")</f>
        <v/>
      </c>
      <c r="T87" s="2" t="inlineStr">
        <is>
          <t>CNP ППК26119</t>
        </is>
      </c>
      <c r="U87" s="2" t="inlineStr">
        <is>
          <t>CNP ППК26119</t>
        </is>
      </c>
      <c r="V87" s="2" t="inlineStr">
        <is>
          <t>CNP ППК26119</t>
        </is>
      </c>
      <c r="W87" s="2" t="inlineStr">
        <is>
          <t>ППК26119, (06.07.2026) [CNP]</t>
        </is>
      </c>
      <c r="X87" s="2" t="inlineStr">
        <is>
          <t>—</t>
        </is>
      </c>
      <c r="Y87" s="2" t="inlineStr">
        <is>
          <t>—</t>
        </is>
      </c>
      <c r="Z87" s="2" t="inlineStr">
        <is>
          <t>—</t>
        </is>
      </c>
      <c r="AA87" s="2" t="inlineStr">
        <is>
          <t>P160032|I</t>
        </is>
      </c>
      <c r="AB87" s="7" t="inlineStr">
        <is>
          <t>registered — initial release, issued 06.07.2026 · no packaging date on file — testing date not stated (owner, 15.09.2026: certified all the same)</t>
        </is>
      </c>
    </row>
    <row r="88">
      <c r="A88" s="2" t="n">
        <v>87</v>
      </c>
      <c r="B88" s="3" t="inlineStr">
        <is>
          <t>iCoA-PP_26-087</t>
        </is>
      </c>
      <c r="C88" s="4" t="inlineStr">
        <is>
          <t>yes</t>
        </is>
      </c>
      <c r="D88" s="5">
        <f>IF(A88="","",IF(ISNUMBER(E88),MAX(DATE(2026,6,3),E88),DATE(2026,6,3)))</f>
        <v/>
      </c>
      <c r="E88" s="5">
        <f>IFERROR(INDEX('Batch Dates'!$F:$F,MATCH(J88,'Batch Dates'!$C:$C,0)),IFERROR(INDEX('Batch Dates'!$F:$F,MATCH(I88,'Batch Dates'!$B:$B,0)),""))</f>
        <v/>
      </c>
      <c r="F88" s="5">
        <f>IFERROR(INDEX('Batch Dates'!$G:$G,MATCH(J88,'Batch Dates'!$C:$C,0)),IFERROR(INDEX('Batch Dates'!$G:$G,MATCH(I88,'Batch Dates'!$B:$B,0)),""))</f>
        <v/>
      </c>
      <c r="G88" s="2" t="inlineStr">
        <is>
          <t>post-SOP</t>
        </is>
      </c>
      <c r="H88" s="2" t="inlineStr">
        <is>
          <t>initial release</t>
        </is>
      </c>
      <c r="I88" s="3" t="inlineStr">
        <is>
          <t>GG032601</t>
        </is>
      </c>
      <c r="J88" s="2" t="inlineStr">
        <is>
          <t>P060462</t>
        </is>
      </c>
      <c r="K88" s="2" t="inlineStr">
        <is>
          <t>Gorilla Glue</t>
        </is>
      </c>
      <c r="L88" s="2" t="inlineStr">
        <is>
          <t>Ident A + Ident B + Foreign matter</t>
        </is>
      </c>
      <c r="M88" s="2" t="inlineStr">
        <is>
          <t>A: ППК26128 / B: ППК26128 / FM: ППК26128</t>
        </is>
      </c>
      <c r="N88" s="2">
        <f>IFERROR(INDEX('CoQ Register'!$B:$B,MATCH("P060462|I",'CoQ Register'!$S:$S,0)),"—")</f>
        <v/>
      </c>
      <c r="O88" s="6" t="inlineStr">
        <is>
          <t>—</t>
        </is>
      </c>
      <c r="P88" s="2" t="inlineStr">
        <is>
          <t>21.07.2026</t>
        </is>
      </c>
      <c r="Q88" s="2" t="inlineStr">
        <is>
          <t>16.06.2026</t>
        </is>
      </c>
      <c r="R88" s="2" t="inlineStr">
        <is>
          <t>16.07.2026 (the issuance plan's basis: 21.07.2026)</t>
        </is>
      </c>
      <c r="S88" s="5">
        <f>IFERROR(INDEX('CoQ Register'!$D:$D,MATCH("P060462|I",'CoQ Register'!$S:$S,0)),"")</f>
        <v/>
      </c>
      <c r="T88" s="2" t="inlineStr">
        <is>
          <t>CNP ППК26128</t>
        </is>
      </c>
      <c r="U88" s="2" t="inlineStr">
        <is>
          <t>CNP ППК26128</t>
        </is>
      </c>
      <c r="V88" s="2" t="inlineStr">
        <is>
          <t>CNP ППК26128</t>
        </is>
      </c>
      <c r="W88" s="2" t="inlineStr">
        <is>
          <t>ППК26128, (21.07.2026) [CNP]</t>
        </is>
      </c>
      <c r="X88" s="2" t="inlineStr">
        <is>
          <t>—</t>
        </is>
      </c>
      <c r="Y88" s="2" t="inlineStr">
        <is>
          <t>—</t>
        </is>
      </c>
      <c r="Z88" s="2" t="inlineStr">
        <is>
          <t>—</t>
        </is>
      </c>
      <c r="AA88" s="2" t="inlineStr">
        <is>
          <t>P060462|I</t>
        </is>
      </c>
      <c r="AB88" s="7" t="inlineStr">
        <is>
          <t>registered — initial release, issued 16.07.2026</t>
        </is>
      </c>
    </row>
    <row r="89">
      <c r="A89" s="2" t="n">
        <v>88</v>
      </c>
      <c r="B89" s="3" t="inlineStr">
        <is>
          <t>iCoA-PP_26-088</t>
        </is>
      </c>
      <c r="C89" s="4" t="inlineStr">
        <is>
          <t>yes</t>
        </is>
      </c>
      <c r="D89" s="5" t="n">
        <v>46230</v>
      </c>
      <c r="E89" s="5" t="n">
        <v>46224</v>
      </c>
      <c r="F89" s="5">
        <f>IFERROR(INDEX('Batch Dates'!$G:$G,MATCH(J89,'Batch Dates'!$C:$C,0)),IFERROR(INDEX('Batch Dates'!$G:$G,MATCH(I89,'Batch Dates'!$B:$B,0)),""))</f>
        <v/>
      </c>
      <c r="G89" s="2" t="inlineStr">
        <is>
          <t>legacy</t>
        </is>
      </c>
      <c r="H89" s="2" t="inlineStr">
        <is>
          <t>retest 1</t>
        </is>
      </c>
      <c r="I89" s="3" t="inlineStr">
        <is>
          <t>BG1024</t>
        </is>
      </c>
      <c r="J89" s="2" t="inlineStr">
        <is>
          <t>N/A — no P batch assigned</t>
        </is>
      </c>
      <c r="K89" s="2" t="inlineStr">
        <is>
          <t>Blue Gelato</t>
        </is>
      </c>
      <c r="L89" s="2" t="inlineStr">
        <is>
          <t>Ident A + Ident B + Foreign matter</t>
        </is>
      </c>
      <c r="M89" s="6" t="inlineStr">
        <is>
          <t>—</t>
        </is>
      </c>
      <c r="N89" s="2">
        <f>IFERROR(INDEX('CoQ Register'!$B:$B,MATCH("BG1024|R",'CoQ Register'!$S:$S,0)),"—")</f>
        <v/>
      </c>
      <c r="O89" s="6" t="inlineStr">
        <is>
          <t>—</t>
        </is>
      </c>
      <c r="P89" s="2" t="inlineStr">
        <is>
          <t>07.03.2026</t>
        </is>
      </c>
      <c r="Q89" s="2" t="inlineStr">
        <is>
          <t>21.01.2025</t>
        </is>
      </c>
      <c r="R89" s="2" t="inlineStr">
        <is>
          <t>07.03.2025</t>
        </is>
      </c>
      <c r="S89" s="5">
        <f>IFERROR(INDEX('CoQ Register'!$D:$D,MATCH("BG1024|R",'CoQ Register'!$S:$S,0)),"")</f>
        <v/>
      </c>
      <c r="T89" s="2" t="inlineStr">
        <is>
          <t>Conforms</t>
        </is>
      </c>
      <c r="U89" s="2" t="inlineStr">
        <is>
          <t>Conforms</t>
        </is>
      </c>
      <c r="V89" s="2" t="inlineStr">
        <is>
          <t>Conforms</t>
        </is>
      </c>
      <c r="W89" s="2" t="inlineStr">
        <is>
          <t>197-1-K-26, (07.08.2026) [FHM-K]</t>
        </is>
      </c>
      <c r="X89" s="2" t="inlineStr">
        <is>
          <t>197-1-K-26, (07.08.2026) [FHM-K]</t>
        </is>
      </c>
      <c r="Y89" s="2" t="inlineStr">
        <is>
          <t>197-1-M-26, (10.08.2026) [FHM-M]</t>
        </is>
      </c>
      <c r="Z89" s="2" t="inlineStr">
        <is>
          <t>#8, #9, #11, #12 from the initial testing</t>
        </is>
      </c>
      <c r="AA89" s="2" t="inlineStr">
        <is>
          <t>BG1024|R</t>
        </is>
      </c>
      <c r="AB89" s="7" t="inlineStr">
        <is>
          <t>registered — retest 1 · Tranche 1 (sampled 21–24.07.2026), tested 21.07.2026, issued 27.07.2026</t>
        </is>
      </c>
    </row>
    <row r="90">
      <c r="A90" s="2" t="n">
        <v>89</v>
      </c>
      <c r="B90" s="3" t="inlineStr">
        <is>
          <t>iCoA-PP_26-089</t>
        </is>
      </c>
      <c r="C90" s="4" t="inlineStr">
        <is>
          <t>yes</t>
        </is>
      </c>
      <c r="D90" s="5" t="n">
        <v>46230</v>
      </c>
      <c r="E90" s="5" t="n">
        <v>46224</v>
      </c>
      <c r="F90" s="5">
        <f>IFERROR(INDEX('Batch Dates'!$G:$G,MATCH(J90,'Batch Dates'!$C:$C,0)),IFERROR(INDEX('Batch Dates'!$G:$G,MATCH(I90,'Batch Dates'!$B:$B,0)),""))</f>
        <v/>
      </c>
      <c r="G90" s="2" t="inlineStr">
        <is>
          <t>legacy</t>
        </is>
      </c>
      <c r="H90" s="2" t="inlineStr">
        <is>
          <t>retest 1</t>
        </is>
      </c>
      <c r="I90" s="3" t="inlineStr">
        <is>
          <t>BSS1024</t>
        </is>
      </c>
      <c r="J90" s="2" t="inlineStr">
        <is>
          <t>N/A — no P batch assigned</t>
        </is>
      </c>
      <c r="K90" s="2" t="inlineStr">
        <is>
          <t>Blue Sunset Sherbet</t>
        </is>
      </c>
      <c r="L90" s="2" t="inlineStr">
        <is>
          <t>Ident A + Ident B + Foreign matter</t>
        </is>
      </c>
      <c r="M90" s="6" t="inlineStr">
        <is>
          <t>—</t>
        </is>
      </c>
      <c r="N90" s="2">
        <f>IFERROR(INDEX('CoQ Register'!$B:$B,MATCH("BSS1024|R",'CoQ Register'!$S:$S,0)),"—")</f>
        <v/>
      </c>
      <c r="O90" s="6" t="inlineStr">
        <is>
          <t>—</t>
        </is>
      </c>
      <c r="P90" s="2" t="inlineStr">
        <is>
          <t>04.03.2026</t>
        </is>
      </c>
      <c r="Q90" s="2" t="inlineStr">
        <is>
          <t>22.01.2025</t>
        </is>
      </c>
      <c r="R90" s="2" t="inlineStr">
        <is>
          <t>04.03.2025</t>
        </is>
      </c>
      <c r="S90" s="5">
        <f>IFERROR(INDEX('CoQ Register'!$D:$D,MATCH("BSS1024|R",'CoQ Register'!$S:$S,0)),"")</f>
        <v/>
      </c>
      <c r="T90" s="2" t="inlineStr">
        <is>
          <t>Conforms</t>
        </is>
      </c>
      <c r="U90" s="2" t="inlineStr">
        <is>
          <t>Conforms</t>
        </is>
      </c>
      <c r="V90" s="2" t="inlineStr">
        <is>
          <t>Conforms</t>
        </is>
      </c>
      <c r="W90" s="2" t="inlineStr">
        <is>
          <t>197-2-K-26, (07.08.2026) [FHM-K]</t>
        </is>
      </c>
      <c r="X90" s="2" t="inlineStr">
        <is>
          <t>197-2-K-26, (07.08.2026) [FHM-K]</t>
        </is>
      </c>
      <c r="Y90" s="2" t="inlineStr">
        <is>
          <t>197-2-M-26, (10.08.2026) [FHM-M]</t>
        </is>
      </c>
      <c r="Z90" s="2" t="inlineStr">
        <is>
          <t>#8, #9, #11, #12 from the initial testing</t>
        </is>
      </c>
      <c r="AA90" s="2" t="inlineStr">
        <is>
          <t>BSS1024|R</t>
        </is>
      </c>
      <c r="AB90" s="7" t="inlineStr">
        <is>
          <t>registered — retest 1 · Tranche 1 (sampled 21–24.07.2026), tested 21.07.2026, issued 27.07.2026</t>
        </is>
      </c>
    </row>
    <row r="91">
      <c r="A91" s="2" t="n">
        <v>90</v>
      </c>
      <c r="B91" s="3" t="inlineStr">
        <is>
          <t>iCoA-PP_26-090</t>
        </is>
      </c>
      <c r="C91" s="4" t="inlineStr">
        <is>
          <t>yes</t>
        </is>
      </c>
      <c r="D91" s="5" t="n">
        <v>46230</v>
      </c>
      <c r="E91" s="5" t="n">
        <v>46224</v>
      </c>
      <c r="F91" s="5">
        <f>IFERROR(INDEX('Batch Dates'!$G:$G,MATCH(J91,'Batch Dates'!$C:$C,0)),IFERROR(INDEX('Batch Dates'!$G:$G,MATCH(I91,'Batch Dates'!$B:$B,0)),""))</f>
        <v/>
      </c>
      <c r="G91" s="2" t="inlineStr">
        <is>
          <t>legacy</t>
        </is>
      </c>
      <c r="H91" s="2" t="inlineStr">
        <is>
          <t>retest 1</t>
        </is>
      </c>
      <c r="I91" s="3" t="inlineStr">
        <is>
          <t>CJ052501/01</t>
        </is>
      </c>
      <c r="J91" s="2" t="inlineStr">
        <is>
          <t>P050162</t>
        </is>
      </c>
      <c r="K91" s="2" t="inlineStr">
        <is>
          <t>Cap Junky</t>
        </is>
      </c>
      <c r="L91" s="2" t="inlineStr">
        <is>
          <t>Ident A + Ident B + Foreign matter</t>
        </is>
      </c>
      <c r="M91" s="6" t="inlineStr">
        <is>
          <t>—</t>
        </is>
      </c>
      <c r="N91" s="2">
        <f>IFERROR(INDEX('CoQ Register'!$B:$B,MATCH("P050162|R",'CoQ Register'!$S:$S,0)),"—")</f>
        <v/>
      </c>
      <c r="O91" s="6" t="inlineStr">
        <is>
          <t>—</t>
        </is>
      </c>
      <c r="P91" s="2" t="inlineStr">
        <is>
          <t>30.09.2026</t>
        </is>
      </c>
      <c r="Q91" s="2" t="inlineStr">
        <is>
          <t>20.08.2025</t>
        </is>
      </c>
      <c r="R91" s="2" t="inlineStr">
        <is>
          <t>30.09.2025 – 01.10.2025</t>
        </is>
      </c>
      <c r="S91" s="5">
        <f>IFERROR(INDEX('CoQ Register'!$D:$D,MATCH("P050162|R",'CoQ Register'!$S:$S,0)),"")</f>
        <v/>
      </c>
      <c r="T91" s="2" t="inlineStr">
        <is>
          <t>Conforms</t>
        </is>
      </c>
      <c r="U91" s="2" t="inlineStr">
        <is>
          <t>Conforms</t>
        </is>
      </c>
      <c r="V91" s="2" t="inlineStr">
        <is>
          <t>Conforms</t>
        </is>
      </c>
      <c r="W91" s="2" t="inlineStr">
        <is>
          <t>197-3-K-26, (07.08.2026) [FHM-K]</t>
        </is>
      </c>
      <c r="X91" s="2" t="inlineStr">
        <is>
          <t>197-3-K-26, (07.08.2026) [FHM-K]</t>
        </is>
      </c>
      <c r="Y91" s="2" t="inlineStr">
        <is>
          <t>197-3-M-26, (10.08.2026) [FHM-M]</t>
        </is>
      </c>
      <c r="Z91" s="2" t="inlineStr">
        <is>
          <t>#8, #9, #11, #12 from the initial testing</t>
        </is>
      </c>
      <c r="AA91" s="2" t="inlineStr">
        <is>
          <t>P050162|R</t>
        </is>
      </c>
      <c r="AB91" s="7" t="inlineStr">
        <is>
          <t>registered — retest 1 · Tranche 1 (sampled 21–24.07.2026), tested 21.07.2026, issued 27.07.2026</t>
        </is>
      </c>
    </row>
    <row r="92">
      <c r="A92" s="2" t="n">
        <v>91</v>
      </c>
      <c r="B92" s="3" t="inlineStr">
        <is>
          <t>iCoA-PP_26-091</t>
        </is>
      </c>
      <c r="C92" s="4" t="inlineStr">
        <is>
          <t>yes</t>
        </is>
      </c>
      <c r="D92" s="5" t="n">
        <v>46230</v>
      </c>
      <c r="E92" s="5" t="n">
        <v>46224</v>
      </c>
      <c r="F92" s="5">
        <f>IFERROR(INDEX('Batch Dates'!$G:$G,MATCH(J92,'Batch Dates'!$C:$C,0)),IFERROR(INDEX('Batch Dates'!$G:$G,MATCH(I92,'Batch Dates'!$B:$B,0)),""))</f>
        <v/>
      </c>
      <c r="G92" s="2" t="inlineStr">
        <is>
          <t>legacy</t>
        </is>
      </c>
      <c r="H92" s="2" t="inlineStr">
        <is>
          <t>retest 2</t>
        </is>
      </c>
      <c r="I92" s="3" t="inlineStr">
        <is>
          <t>CJ062501/2</t>
        </is>
      </c>
      <c r="J92" s="2" t="inlineStr">
        <is>
          <t>P050212</t>
        </is>
      </c>
      <c r="K92" s="2" t="inlineStr">
        <is>
          <t>Cap Junky</t>
        </is>
      </c>
      <c r="L92" s="2" t="inlineStr">
        <is>
          <t>Ident A + Ident B + Foreign matter</t>
        </is>
      </c>
      <c r="M92" s="6" t="inlineStr">
        <is>
          <t>—</t>
        </is>
      </c>
      <c r="N92" s="2">
        <f>IFERROR(INDEX('CoQ Register'!$B:$B,MATCH("P050212|R2",'CoQ Register'!$S:$S,0)),"—")</f>
        <v/>
      </c>
      <c r="O92" s="6" t="inlineStr">
        <is>
          <t>—</t>
        </is>
      </c>
      <c r="P92" s="2" t="inlineStr">
        <is>
          <t>24.01.2027</t>
        </is>
      </c>
      <c r="Q92" s="2" t="inlineStr">
        <is>
          <t>23.09.2025 – 24.09.2025</t>
        </is>
      </c>
      <c r="R92" s="2" t="inlineStr">
        <is>
          <t>18.11.2025 – 24.11.2025 (the issuance plan's basis: 24.01.2026)</t>
        </is>
      </c>
      <c r="S92" s="5">
        <f>IFERROR(INDEX('CoQ Register'!$D:$D,MATCH("P050212|R2",'CoQ Register'!$S:$S,0)),"")</f>
        <v/>
      </c>
      <c r="T92" s="2" t="inlineStr">
        <is>
          <t>Conforms</t>
        </is>
      </c>
      <c r="U92" s="2" t="inlineStr">
        <is>
          <t>Conforms</t>
        </is>
      </c>
      <c r="V92" s="2" t="inlineStr">
        <is>
          <t>Conforms</t>
        </is>
      </c>
      <c r="W92" s="2" t="inlineStr">
        <is>
          <t>197-4-K-26, (07.08.2026) [FHM-K]</t>
        </is>
      </c>
      <c r="X92" s="2" t="inlineStr">
        <is>
          <t>197-4-K-26, (07.08.2026) [FHM-K]</t>
        </is>
      </c>
      <c r="Y92" s="2" t="inlineStr">
        <is>
          <t>197-4-M-26, (10.08.2026) [FHM-M]</t>
        </is>
      </c>
      <c r="Z92" s="2" t="inlineStr">
        <is>
          <t>#8, #9, #11, #12 from the initial testing</t>
        </is>
      </c>
      <c r="AA92" s="2" t="inlineStr">
        <is>
          <t>P050212|R2</t>
        </is>
      </c>
      <c r="AB92" s="7" t="inlineStr">
        <is>
          <t>registered — retest 2 · Tranche 1 (sampled 21–24.07.2026), tested 21.07.2026, issued 27.07.2026</t>
        </is>
      </c>
    </row>
    <row r="93">
      <c r="A93" s="2" t="n">
        <v>92</v>
      </c>
      <c r="B93" s="3" t="inlineStr">
        <is>
          <t>iCoA-PP_26-092</t>
        </is>
      </c>
      <c r="C93" s="4" t="inlineStr">
        <is>
          <t>yes</t>
        </is>
      </c>
      <c r="D93" s="5" t="n">
        <v>46230</v>
      </c>
      <c r="E93" s="5" t="n">
        <v>46224</v>
      </c>
      <c r="F93" s="5">
        <f>IFERROR(INDEX('Batch Dates'!$G:$G,MATCH(J93,'Batch Dates'!$C:$C,0)),IFERROR(INDEX('Batch Dates'!$G:$G,MATCH(I93,'Batch Dates'!$B:$B,0)),""))</f>
        <v/>
      </c>
      <c r="G93" s="2" t="inlineStr">
        <is>
          <t>legacy</t>
        </is>
      </c>
      <c r="H93" s="2" t="inlineStr">
        <is>
          <t>retest 1</t>
        </is>
      </c>
      <c r="I93" s="3" t="inlineStr">
        <is>
          <t>CJ082501/2</t>
        </is>
      </c>
      <c r="J93" s="2" t="inlineStr">
        <is>
          <t>P060032</t>
        </is>
      </c>
      <c r="K93" s="2" t="inlineStr">
        <is>
          <t>Cap Junky</t>
        </is>
      </c>
      <c r="L93" s="2" t="inlineStr">
        <is>
          <t>Ident A + Ident B + Foreign matter</t>
        </is>
      </c>
      <c r="M93" s="6" t="inlineStr">
        <is>
          <t>—</t>
        </is>
      </c>
      <c r="N93" s="2">
        <f>IFERROR(INDEX('CoQ Register'!$B:$B,MATCH("P060032|R",'CoQ Register'!$S:$S,0)),"—")</f>
        <v/>
      </c>
      <c r="O93" s="6" t="inlineStr">
        <is>
          <t>—</t>
        </is>
      </c>
      <c r="P93" s="2" t="inlineStr">
        <is>
          <t>29.01.2027</t>
        </is>
      </c>
      <c r="Q93" s="2" t="inlineStr">
        <is>
          <t>10.12.2025</t>
        </is>
      </c>
      <c r="R93" s="2" t="inlineStr">
        <is>
          <t>29.01.2026</t>
        </is>
      </c>
      <c r="S93" s="5">
        <f>IFERROR(INDEX('CoQ Register'!$D:$D,MATCH("P060032|R",'CoQ Register'!$S:$S,0)),"")</f>
        <v/>
      </c>
      <c r="T93" s="2" t="inlineStr">
        <is>
          <t>Conforms</t>
        </is>
      </c>
      <c r="U93" s="2" t="inlineStr">
        <is>
          <t>Conforms</t>
        </is>
      </c>
      <c r="V93" s="2" t="inlineStr">
        <is>
          <t>Conforms</t>
        </is>
      </c>
      <c r="W93" s="2" t="inlineStr">
        <is>
          <t>197-5-K-26, (07.08.2026) [FHM-K]</t>
        </is>
      </c>
      <c r="X93" s="2" t="inlineStr">
        <is>
          <t>197-5-K-26, (07.08.2026) [FHM-K]</t>
        </is>
      </c>
      <c r="Y93" s="2" t="inlineStr">
        <is>
          <t>197-5-M-26, (10.08.2026) [FHM-M]</t>
        </is>
      </c>
      <c r="Z93" s="2" t="inlineStr">
        <is>
          <t>#8, #9, #11, #12 from the initial testing</t>
        </is>
      </c>
      <c r="AA93" s="2" t="inlineStr">
        <is>
          <t>P060032|R</t>
        </is>
      </c>
      <c r="AB93" s="7" t="inlineStr">
        <is>
          <t>registered — retest 1 · Tranche 1 (sampled 21–24.07.2026), tested 21.07.2026, issued 27.07.2026</t>
        </is>
      </c>
    </row>
    <row r="94">
      <c r="A94" s="2" t="n">
        <v>93</v>
      </c>
      <c r="B94" s="3" t="inlineStr">
        <is>
          <t>iCoA-PP_26-093</t>
        </is>
      </c>
      <c r="C94" s="4" t="inlineStr">
        <is>
          <t>yes</t>
        </is>
      </c>
      <c r="D94" s="5" t="n">
        <v>46230</v>
      </c>
      <c r="E94" s="5" t="n">
        <v>46224</v>
      </c>
      <c r="F94" s="5">
        <f>IFERROR(INDEX('Batch Dates'!$G:$G,MATCH(J94,'Batch Dates'!$C:$C,0)),IFERROR(INDEX('Batch Dates'!$G:$G,MATCH(I94,'Batch Dates'!$B:$B,0)),""))</f>
        <v/>
      </c>
      <c r="G94" s="2" t="inlineStr">
        <is>
          <t>post-SOP</t>
        </is>
      </c>
      <c r="H94" s="2" t="inlineStr">
        <is>
          <t>retest 1</t>
        </is>
      </c>
      <c r="I94" s="3" t="inlineStr">
        <is>
          <t>CC012601/1</t>
        </is>
      </c>
      <c r="J94" s="2" t="inlineStr">
        <is>
          <t>P060332</t>
        </is>
      </c>
      <c r="K94" s="2" t="inlineStr">
        <is>
          <t>Cash Cow</t>
        </is>
      </c>
      <c r="L94" s="2" t="inlineStr">
        <is>
          <t>Ident A + Ident B + Foreign matter</t>
        </is>
      </c>
      <c r="M94" s="6" t="inlineStr">
        <is>
          <t>—</t>
        </is>
      </c>
      <c r="N94" s="2">
        <f>IFERROR(INDEX('CoQ Register'!$B:$B,MATCH("P060332|R",'CoQ Register'!$S:$S,0)),"—")</f>
        <v/>
      </c>
      <c r="O94" s="6" t="inlineStr">
        <is>
          <t>—</t>
        </is>
      </c>
      <c r="P94" s="2" t="inlineStr">
        <is>
          <t>10.08.2027</t>
        </is>
      </c>
      <c r="Q94" s="2" t="inlineStr">
        <is>
          <t>16.04.2026</t>
        </is>
      </c>
      <c r="R94" s="2" t="inlineStr">
        <is>
          <t>22.05.2026 (the issuance plan's basis: 10.08.2026)</t>
        </is>
      </c>
      <c r="S94" s="5">
        <f>IFERROR(INDEX('CoQ Register'!$D:$D,MATCH("P060332|R",'CoQ Register'!$S:$S,0)),"")</f>
        <v/>
      </c>
      <c r="T94" s="2" t="inlineStr">
        <is>
          <t>Conforms</t>
        </is>
      </c>
      <c r="U94" s="2" t="inlineStr">
        <is>
          <t>Conforms</t>
        </is>
      </c>
      <c r="V94" s="2" t="inlineStr">
        <is>
          <t>Conforms</t>
        </is>
      </c>
      <c r="W94" s="2" t="inlineStr">
        <is>
          <t>197-6-K-26, (07.08.2026) [FHM-K]</t>
        </is>
      </c>
      <c r="X94" s="2" t="inlineStr">
        <is>
          <t>197-6-K-26, (07.08.2026) [FHM-K]</t>
        </is>
      </c>
      <c r="Y94" s="2" t="inlineStr">
        <is>
          <t>197-6-M-26, (10.08.2026) [FHM-M]</t>
        </is>
      </c>
      <c r="Z94" s="2" t="inlineStr">
        <is>
          <t>#8, #9, #11, #12 from the initial testing</t>
        </is>
      </c>
      <c r="AA94" s="2" t="inlineStr">
        <is>
          <t>P060332|R</t>
        </is>
      </c>
      <c r="AB94" s="7" t="inlineStr">
        <is>
          <t>registered — retest 1 · Tranche 1 (sampled 21–24.07.2026), tested 21.07.2026, issued 27.07.2026</t>
        </is>
      </c>
    </row>
    <row r="95">
      <c r="A95" s="2" t="n">
        <v>94</v>
      </c>
      <c r="B95" s="3" t="inlineStr">
        <is>
          <t>iCoA-PP_26-094</t>
        </is>
      </c>
      <c r="C95" s="4" t="inlineStr">
        <is>
          <t>yes</t>
        </is>
      </c>
      <c r="D95" s="5" t="n">
        <v>46230</v>
      </c>
      <c r="E95" s="5" t="n">
        <v>46225</v>
      </c>
      <c r="F95" s="5">
        <f>IFERROR(INDEX('Batch Dates'!$G:$G,MATCH(J95,'Batch Dates'!$C:$C,0)),IFERROR(INDEX('Batch Dates'!$G:$G,MATCH(I95,'Batch Dates'!$B:$B,0)),""))</f>
        <v/>
      </c>
      <c r="G95" s="2" t="inlineStr">
        <is>
          <t>legacy</t>
        </is>
      </c>
      <c r="H95" s="2" t="inlineStr">
        <is>
          <t>retest 1</t>
        </is>
      </c>
      <c r="I95" s="3" t="inlineStr">
        <is>
          <t>GG1024_01</t>
        </is>
      </c>
      <c r="J95" s="2" t="inlineStr">
        <is>
          <t>P050092</t>
        </is>
      </c>
      <c r="K95" s="2" t="inlineStr">
        <is>
          <t>Gorilla Glue</t>
        </is>
      </c>
      <c r="L95" s="2" t="inlineStr">
        <is>
          <t>Ident A + Ident B + Foreign matter</t>
        </is>
      </c>
      <c r="M95" s="6" t="inlineStr">
        <is>
          <t>—</t>
        </is>
      </c>
      <c r="N95" s="2">
        <f>IFERROR(INDEX('CoQ Register'!$B:$B,MATCH("P050092|R",'CoQ Register'!$S:$S,0)),"—")</f>
        <v/>
      </c>
      <c r="O95" s="6" t="inlineStr">
        <is>
          <t>—</t>
        </is>
      </c>
      <c r="P95" s="2" t="inlineStr">
        <is>
          <t>31.07.2026</t>
        </is>
      </c>
      <c r="Q95" s="2" t="inlineStr">
        <is>
          <t>17.03.2025 – 18.03.2025</t>
        </is>
      </c>
      <c r="R95" s="2" t="inlineStr">
        <is>
          <t>31.07.2025 – 05.08.2025</t>
        </is>
      </c>
      <c r="S95" s="5">
        <f>IFERROR(INDEX('CoQ Register'!$D:$D,MATCH("P050092|R",'CoQ Register'!$S:$S,0)),"")</f>
        <v/>
      </c>
      <c r="T95" s="2" t="inlineStr">
        <is>
          <t>Conforms</t>
        </is>
      </c>
      <c r="U95" s="2" t="inlineStr">
        <is>
          <t>Conforms</t>
        </is>
      </c>
      <c r="V95" s="2" t="inlineStr">
        <is>
          <t>Conforms</t>
        </is>
      </c>
      <c r="W95" s="2" t="inlineStr">
        <is>
          <t>197-9-K-26, (07.08.2026) [FHM-K]</t>
        </is>
      </c>
      <c r="X95" s="2" t="inlineStr">
        <is>
          <t>197-9-K-26, (07.08.2026) [FHM-K]</t>
        </is>
      </c>
      <c r="Y95" s="2" t="inlineStr">
        <is>
          <t>197-9-M-26, (10.08.2026) [FHM-M]</t>
        </is>
      </c>
      <c r="Z95" s="2" t="inlineStr">
        <is>
          <t>#8, #9, #11, #12 from the initial testing</t>
        </is>
      </c>
      <c r="AA95" s="2" t="inlineStr">
        <is>
          <t>P050092|R</t>
        </is>
      </c>
      <c r="AB95" s="7" t="inlineStr">
        <is>
          <t>registered — retest 1 · Tranche 1 (sampled 21–24.07.2026), tested 22.07.2026, issued 27.07.2026</t>
        </is>
      </c>
    </row>
    <row r="96">
      <c r="A96" s="2" t="n">
        <v>95</v>
      </c>
      <c r="B96" s="3" t="inlineStr">
        <is>
          <t>iCoA-PP_26-095</t>
        </is>
      </c>
      <c r="C96" s="4" t="inlineStr">
        <is>
          <t>yes</t>
        </is>
      </c>
      <c r="D96" s="5" t="n">
        <v>46230</v>
      </c>
      <c r="E96" s="5" t="n">
        <v>46225</v>
      </c>
      <c r="F96" s="5">
        <f>IFERROR(INDEX('Batch Dates'!$G:$G,MATCH(J96,'Batch Dates'!$C:$C,0)),IFERROR(INDEX('Batch Dates'!$G:$G,MATCH(I96,'Batch Dates'!$B:$B,0)),""))</f>
        <v/>
      </c>
      <c r="G96" s="2" t="inlineStr">
        <is>
          <t>legacy</t>
        </is>
      </c>
      <c r="H96" s="2" t="inlineStr">
        <is>
          <t>retest 1</t>
        </is>
      </c>
      <c r="I96" s="3" t="inlineStr">
        <is>
          <t>GP052501</t>
        </is>
      </c>
      <c r="J96" s="2" t="inlineStr">
        <is>
          <t>P050152</t>
        </is>
      </c>
      <c r="K96" s="2" t="inlineStr">
        <is>
          <t>Grape Pie</t>
        </is>
      </c>
      <c r="L96" s="2" t="inlineStr">
        <is>
          <t>Ident A + Ident B + Foreign matter</t>
        </is>
      </c>
      <c r="M96" s="6" t="inlineStr">
        <is>
          <t>—</t>
        </is>
      </c>
      <c r="N96" s="2">
        <f>IFERROR(INDEX('CoQ Register'!$B:$B,MATCH("P050152|R",'CoQ Register'!$S:$S,0)),"—")</f>
        <v/>
      </c>
      <c r="O96" s="6" t="inlineStr">
        <is>
          <t>—</t>
        </is>
      </c>
      <c r="P96" s="2" t="inlineStr">
        <is>
          <t>25.09.2026</t>
        </is>
      </c>
      <c r="Q96" s="2" t="inlineStr">
        <is>
          <t>— not given —</t>
        </is>
      </c>
      <c r="R96" s="2" t="inlineStr">
        <is>
          <t>25.09.2025</t>
        </is>
      </c>
      <c r="S96" s="5">
        <f>IFERROR(INDEX('CoQ Register'!$D:$D,MATCH("P050152|R",'CoQ Register'!$S:$S,0)),"")</f>
        <v/>
      </c>
      <c r="T96" s="2" t="inlineStr">
        <is>
          <t>Conforms</t>
        </is>
      </c>
      <c r="U96" s="2" t="inlineStr">
        <is>
          <t>Conforms</t>
        </is>
      </c>
      <c r="V96" s="2" t="inlineStr">
        <is>
          <t>Conforms</t>
        </is>
      </c>
      <c r="W96" s="2" t="inlineStr">
        <is>
          <t>197-10-K-26, (07.08.2026) [FHM-K]</t>
        </is>
      </c>
      <c r="X96" s="2" t="inlineStr">
        <is>
          <t>197-10-K-26, (07.08.2026) [FHM-K]</t>
        </is>
      </c>
      <c r="Y96" s="2" t="inlineStr">
        <is>
          <t>197-10-M-26, (10.08.2026) [FHM-M]</t>
        </is>
      </c>
      <c r="Z96" s="2" t="inlineStr">
        <is>
          <t>#8, #9, #11, #12 from the initial testing</t>
        </is>
      </c>
      <c r="AA96" s="2" t="inlineStr">
        <is>
          <t>P050152|R</t>
        </is>
      </c>
      <c r="AB96" s="7" t="inlineStr">
        <is>
          <t>registered — retest 1 · Tranche 1 (sampled 21–24.07.2026), tested 22.07.2026, issued 27.07.2026</t>
        </is>
      </c>
    </row>
    <row r="97">
      <c r="A97" s="2" t="n">
        <v>96</v>
      </c>
      <c r="B97" s="3" t="inlineStr">
        <is>
          <t>iCoA-PP_26-096</t>
        </is>
      </c>
      <c r="C97" s="4" t="inlineStr">
        <is>
          <t>yes</t>
        </is>
      </c>
      <c r="D97" s="5" t="n">
        <v>46230</v>
      </c>
      <c r="E97" s="5" t="n">
        <v>46225</v>
      </c>
      <c r="F97" s="5">
        <f>IFERROR(INDEX('Batch Dates'!$G:$G,MATCH(J97,'Batch Dates'!$C:$C,0)),IFERROR(INDEX('Batch Dates'!$G:$G,MATCH(I97,'Batch Dates'!$B:$B,0)),""))</f>
        <v/>
      </c>
      <c r="G97" s="2" t="inlineStr">
        <is>
          <t>legacy</t>
        </is>
      </c>
      <c r="H97" s="2" t="inlineStr">
        <is>
          <t>retest 5</t>
        </is>
      </c>
      <c r="I97" s="3" t="inlineStr">
        <is>
          <t>GP0824_02</t>
        </is>
      </c>
      <c r="J97" s="2" t="inlineStr">
        <is>
          <t>P050022</t>
        </is>
      </c>
      <c r="K97" s="2" t="inlineStr">
        <is>
          <t>Grape Pie</t>
        </is>
      </c>
      <c r="L97" s="2" t="inlineStr">
        <is>
          <t>Ident A + Ident B + Foreign matter</t>
        </is>
      </c>
      <c r="M97" s="6" t="inlineStr">
        <is>
          <t>—</t>
        </is>
      </c>
      <c r="N97" s="2">
        <f>IFERROR(INDEX('CoQ Register'!$B:$B,MATCH("P050022|R5",'CoQ Register'!$S:$S,0)),"—")</f>
        <v/>
      </c>
      <c r="O97" s="6" t="inlineStr">
        <is>
          <t>—</t>
        </is>
      </c>
      <c r="P97" s="2" t="inlineStr">
        <is>
          <t>03.06.2026</t>
        </is>
      </c>
      <c r="Q97" s="2" t="inlineStr">
        <is>
          <t>22.04.2025 – 23.04.2025</t>
        </is>
      </c>
      <c r="R97" s="2" t="inlineStr">
        <is>
          <t>03.06.2025 – 11.06.2025</t>
        </is>
      </c>
      <c r="S97" s="5">
        <f>IFERROR(INDEX('CoQ Register'!$D:$D,MATCH("P050022|R5",'CoQ Register'!$S:$S,0)),"")</f>
        <v/>
      </c>
      <c r="T97" s="2" t="inlineStr">
        <is>
          <t>Conforms</t>
        </is>
      </c>
      <c r="U97" s="2" t="inlineStr">
        <is>
          <t>Conforms</t>
        </is>
      </c>
      <c r="V97" s="2" t="inlineStr">
        <is>
          <t>Conforms</t>
        </is>
      </c>
      <c r="W97" s="2" t="inlineStr">
        <is>
          <t>197-11-K-26, (07.08.2026) [FHM-K]</t>
        </is>
      </c>
      <c r="X97" s="2" t="inlineStr">
        <is>
          <t>197-11-K-26, (07.08.2026) [FHM-K]</t>
        </is>
      </c>
      <c r="Y97" s="2" t="inlineStr">
        <is>
          <t>197-11-M-26, (10.08.2026) [FHM-M]</t>
        </is>
      </c>
      <c r="Z97" s="2" t="inlineStr">
        <is>
          <t>#8, #9, #11, #12 from the initial testing</t>
        </is>
      </c>
      <c r="AA97" s="2" t="inlineStr">
        <is>
          <t>P050022|R5</t>
        </is>
      </c>
      <c r="AB97" s="7" t="inlineStr">
        <is>
          <t>registered — retest 5 · Tranche 1 (sampled 21–24.07.2026), tested 22.07.2026, issued 27.07.2026</t>
        </is>
      </c>
    </row>
    <row r="98">
      <c r="A98" s="2" t="n">
        <v>97</v>
      </c>
      <c r="B98" s="3" t="inlineStr">
        <is>
          <t>iCoA-PP_26-097</t>
        </is>
      </c>
      <c r="C98" s="4" t="inlineStr">
        <is>
          <t>yes</t>
        </is>
      </c>
      <c r="D98" s="5" t="n">
        <v>46230</v>
      </c>
      <c r="E98" s="5" t="n">
        <v>46225</v>
      </c>
      <c r="F98" s="5">
        <f>IFERROR(INDEX('Batch Dates'!$G:$G,MATCH(J98,'Batch Dates'!$C:$C,0)),IFERROR(INDEX('Batch Dates'!$G:$G,MATCH(I98,'Batch Dates'!$B:$B,0)),""))</f>
        <v/>
      </c>
      <c r="G98" s="2" t="inlineStr">
        <is>
          <t>post-SOP</t>
        </is>
      </c>
      <c r="H98" s="2" t="inlineStr">
        <is>
          <t>retest 1</t>
        </is>
      </c>
      <c r="I98" s="3" t="inlineStr">
        <is>
          <t>FB012602*</t>
        </is>
      </c>
      <c r="J98" s="2" t="inlineStr">
        <is>
          <t>P060352</t>
        </is>
      </c>
      <c r="K98" s="2" t="inlineStr">
        <is>
          <t>Fat Bastard</t>
        </is>
      </c>
      <c r="L98" s="2" t="inlineStr">
        <is>
          <t>Ident A + Ident B + Foreign matter</t>
        </is>
      </c>
      <c r="M98" s="6" t="inlineStr">
        <is>
          <t>—</t>
        </is>
      </c>
      <c r="N98" s="2">
        <f>IFERROR(INDEX('CoQ Register'!$B:$B,MATCH("P060352|R",'CoQ Register'!$S:$S,0)),"—")</f>
        <v/>
      </c>
      <c r="O98" s="6" t="inlineStr">
        <is>
          <t>—</t>
        </is>
      </c>
      <c r="P98" s="2" t="inlineStr">
        <is>
          <t>23.05.2027</t>
        </is>
      </c>
      <c r="Q98" s="2" t="inlineStr">
        <is>
          <t>16.04.2026</t>
        </is>
      </c>
      <c r="R98" s="2" t="inlineStr">
        <is>
          <t>23.05.2026</t>
        </is>
      </c>
      <c r="S98" s="5">
        <f>IFERROR(INDEX('CoQ Register'!$D:$D,MATCH("P060352|R",'CoQ Register'!$S:$S,0)),"")</f>
        <v/>
      </c>
      <c r="T98" s="2" t="inlineStr">
        <is>
          <t>Conforms</t>
        </is>
      </c>
      <c r="U98" s="2" t="inlineStr">
        <is>
          <t>Conforms</t>
        </is>
      </c>
      <c r="V98" s="2" t="inlineStr">
        <is>
          <t>Conforms</t>
        </is>
      </c>
      <c r="W98" s="2" t="inlineStr">
        <is>
          <t>197-7-K-26, (07.08.2026) [FHM-K]</t>
        </is>
      </c>
      <c r="X98" s="2" t="inlineStr">
        <is>
          <t>197-7-K-26, (07.08.2026) [FHM-K]</t>
        </is>
      </c>
      <c r="Y98" s="2" t="inlineStr">
        <is>
          <t>197-7-M-26, (10.08.2026) [FHM-M]</t>
        </is>
      </c>
      <c r="Z98" s="2" t="inlineStr">
        <is>
          <t>#8, #9, #11, #12 from the initial testing</t>
        </is>
      </c>
      <c r="AA98" s="2" t="inlineStr">
        <is>
          <t>P060352|R</t>
        </is>
      </c>
      <c r="AB98" s="7" t="inlineStr">
        <is>
          <t>registered — retest 1 · Tranche 1 (sampled 21–24.07.2026), tested 22.07.2026, issued 27.07.2026</t>
        </is>
      </c>
    </row>
    <row r="99">
      <c r="A99" s="2" t="n">
        <v>98</v>
      </c>
      <c r="B99" s="3" t="inlineStr">
        <is>
          <t>iCoA-PP_26-098</t>
        </is>
      </c>
      <c r="C99" s="4" t="inlineStr">
        <is>
          <t>yes</t>
        </is>
      </c>
      <c r="D99" s="5" t="n">
        <v>46230</v>
      </c>
      <c r="E99" s="5" t="n">
        <v>46225</v>
      </c>
      <c r="F99" s="5">
        <f>IFERROR(INDEX('Batch Dates'!$G:$G,MATCH(J99,'Batch Dates'!$C:$C,0)),IFERROR(INDEX('Batch Dates'!$G:$G,MATCH(I99,'Batch Dates'!$B:$B,0)),""))</f>
        <v/>
      </c>
      <c r="G99" s="2" t="inlineStr">
        <is>
          <t>post-SOP</t>
        </is>
      </c>
      <c r="H99" s="2" t="inlineStr">
        <is>
          <t>retest 1</t>
        </is>
      </c>
      <c r="I99" s="3" t="inlineStr">
        <is>
          <t>GG012603</t>
        </is>
      </c>
      <c r="J99" s="2" t="inlineStr">
        <is>
          <t>P060402</t>
        </is>
      </c>
      <c r="K99" s="2" t="inlineStr">
        <is>
          <t>Gorilla Glue</t>
        </is>
      </c>
      <c r="L99" s="2" t="inlineStr">
        <is>
          <t>Ident A + Ident B + Foreign matter</t>
        </is>
      </c>
      <c r="M99" s="6" t="inlineStr">
        <is>
          <t>—</t>
        </is>
      </c>
      <c r="N99" s="2">
        <f>IFERROR(INDEX('CoQ Register'!$B:$B,MATCH("P060402|R",'CoQ Register'!$S:$S,0)),"—")</f>
        <v/>
      </c>
      <c r="O99" s="6" t="inlineStr">
        <is>
          <t>—</t>
        </is>
      </c>
      <c r="P99" s="2" t="inlineStr">
        <is>
          <t>24.05.2027</t>
        </is>
      </c>
      <c r="Q99" s="2" t="inlineStr">
        <is>
          <t>04.05.2026</t>
        </is>
      </c>
      <c r="R99" s="2" t="inlineStr">
        <is>
          <t>24.05.2026</t>
        </is>
      </c>
      <c r="S99" s="5">
        <f>IFERROR(INDEX('CoQ Register'!$D:$D,MATCH("P060402|R",'CoQ Register'!$S:$S,0)),"")</f>
        <v/>
      </c>
      <c r="T99" s="2" t="inlineStr">
        <is>
          <t>CNP ППК26114</t>
        </is>
      </c>
      <c r="U99" s="2" t="inlineStr">
        <is>
          <t>CNP ППК26114</t>
        </is>
      </c>
      <c r="V99" s="2" t="inlineStr">
        <is>
          <t>Conforms</t>
        </is>
      </c>
      <c r="W99" s="2" t="inlineStr">
        <is>
          <t>197-8-K-26, (07.08.2026) [FHM-K]</t>
        </is>
      </c>
      <c r="X99" s="2" t="inlineStr">
        <is>
          <t>197-8-K-26, (07.08.2026) [FHM-K]</t>
        </is>
      </c>
      <c r="Y99" s="2" t="inlineStr">
        <is>
          <t>197-8-M-26, (10.08.2026) [FHM-M]</t>
        </is>
      </c>
      <c r="Z99" s="2" t="inlineStr">
        <is>
          <t>#8, #9, #11, #12 from the initial testing</t>
        </is>
      </c>
      <c r="AA99" s="2" t="inlineStr">
        <is>
          <t>P060402|R</t>
        </is>
      </c>
      <c r="AB99" s="7" t="inlineStr">
        <is>
          <t>registered — retest 1 · Tranche 1 (sampled 21–24.07.2026), tested 22.07.2026, issued 27.07.2026</t>
        </is>
      </c>
    </row>
    <row r="100">
      <c r="A100" s="2" t="n">
        <v>99</v>
      </c>
      <c r="B100" s="3" t="inlineStr">
        <is>
          <t>iCoA-PP_26-099</t>
        </is>
      </c>
      <c r="C100" s="4" t="inlineStr">
        <is>
          <t>yes</t>
        </is>
      </c>
      <c r="D100" s="5" t="n">
        <v>46230</v>
      </c>
      <c r="E100" s="5" t="n">
        <v>46226</v>
      </c>
      <c r="F100" s="5">
        <f>IFERROR(INDEX('Batch Dates'!$G:$G,MATCH(J100,'Batch Dates'!$C:$C,0)),IFERROR(INDEX('Batch Dates'!$G:$G,MATCH(I100,'Batch Dates'!$B:$B,0)),""))</f>
        <v/>
      </c>
      <c r="G100" s="2" t="inlineStr">
        <is>
          <t>legacy</t>
        </is>
      </c>
      <c r="H100" s="2" t="inlineStr">
        <is>
          <t>retest 1</t>
        </is>
      </c>
      <c r="I100" s="3" t="inlineStr">
        <is>
          <t>GP082501/2</t>
        </is>
      </c>
      <c r="J100" s="2" t="inlineStr">
        <is>
          <t>P050322</t>
        </is>
      </c>
      <c r="K100" s="2" t="inlineStr">
        <is>
          <t>Grape Pie</t>
        </is>
      </c>
      <c r="L100" s="2" t="inlineStr">
        <is>
          <t>Ident A + Ident B + Foreign matter</t>
        </is>
      </c>
      <c r="M100" s="6" t="inlineStr">
        <is>
          <t>—</t>
        </is>
      </c>
      <c r="N100" s="2">
        <f>IFERROR(INDEX('CoQ Register'!$B:$B,MATCH("P050322|R",'CoQ Register'!$S:$S,0)),"—")</f>
        <v/>
      </c>
      <c r="O100" s="6" t="inlineStr">
        <is>
          <t>—</t>
        </is>
      </c>
      <c r="P100" s="2" t="inlineStr">
        <is>
          <t>26.12.2026</t>
        </is>
      </c>
      <c r="Q100" s="2" t="inlineStr">
        <is>
          <t>20.11.2025</t>
        </is>
      </c>
      <c r="R100" s="2" t="inlineStr">
        <is>
          <t>26.12.2025</t>
        </is>
      </c>
      <c r="S100" s="5">
        <f>IFERROR(INDEX('CoQ Register'!$D:$D,MATCH("P050322|R",'CoQ Register'!$S:$S,0)),"")</f>
        <v/>
      </c>
      <c r="T100" s="2" t="inlineStr">
        <is>
          <t>Conforms</t>
        </is>
      </c>
      <c r="U100" s="2" t="inlineStr">
        <is>
          <t>Conforms</t>
        </is>
      </c>
      <c r="V100" s="2" t="inlineStr">
        <is>
          <t>Conforms</t>
        </is>
      </c>
      <c r="W100" s="2" t="inlineStr">
        <is>
          <t>197-12-K-26, (07.08.2026) [FHM-K]</t>
        </is>
      </c>
      <c r="X100" s="2" t="inlineStr">
        <is>
          <t>197-12-K-26, (07.08.2026) [FHM-K]</t>
        </is>
      </c>
      <c r="Y100" s="2" t="inlineStr">
        <is>
          <t>197-12-M-26, (10.08.2026) [FHM-M]</t>
        </is>
      </c>
      <c r="Z100" s="2" t="inlineStr">
        <is>
          <t>#8, #9, #11, #12 from the initial testing</t>
        </is>
      </c>
      <c r="AA100" s="2" t="inlineStr">
        <is>
          <t>P050322|R</t>
        </is>
      </c>
      <c r="AB100" s="7" t="inlineStr">
        <is>
          <t>registered — retest 1 · Tranche 1 (sampled 21–24.07.2026), tested 23.07.2026, issued 27.07.2026</t>
        </is>
      </c>
    </row>
    <row r="101">
      <c r="A101" s="2" t="n">
        <v>100</v>
      </c>
      <c r="B101" s="3" t="inlineStr">
        <is>
          <t>iCoA-PP_26-100</t>
        </is>
      </c>
      <c r="C101" s="4" t="inlineStr">
        <is>
          <t>yes</t>
        </is>
      </c>
      <c r="D101" s="5" t="n">
        <v>46230</v>
      </c>
      <c r="E101" s="5" t="n">
        <v>46226</v>
      </c>
      <c r="F101" s="5">
        <f>IFERROR(INDEX('Batch Dates'!$G:$G,MATCH(J101,'Batch Dates'!$C:$C,0)),IFERROR(INDEX('Batch Dates'!$G:$G,MATCH(I101,'Batch Dates'!$B:$B,0)),""))</f>
        <v/>
      </c>
      <c r="G101" s="2" t="inlineStr">
        <is>
          <t>legacy</t>
        </is>
      </c>
      <c r="H101" s="2" t="inlineStr">
        <is>
          <t>retest 1</t>
        </is>
      </c>
      <c r="I101" s="3" t="inlineStr">
        <is>
          <t>HPA1024</t>
        </is>
      </c>
      <c r="J101" s="2" t="inlineStr">
        <is>
          <t>N/A — no P batch assigned</t>
        </is>
      </c>
      <c r="K101" s="2" t="inlineStr">
        <is>
          <t>High Pro Amnesia</t>
        </is>
      </c>
      <c r="L101" s="2" t="inlineStr">
        <is>
          <t>Ident A + Ident B + Foreign matter</t>
        </is>
      </c>
      <c r="M101" s="6" t="inlineStr">
        <is>
          <t>—</t>
        </is>
      </c>
      <c r="N101" s="2">
        <f>IFERROR(INDEX('CoQ Register'!$B:$B,MATCH("HPA1024|R",'CoQ Register'!$S:$S,0)),"—")</f>
        <v/>
      </c>
      <c r="O101" s="6" t="inlineStr">
        <is>
          <t>—</t>
        </is>
      </c>
      <c r="P101" s="2" t="inlineStr">
        <is>
          <t>11.04.2026</t>
        </is>
      </c>
      <c r="Q101" s="2" t="inlineStr">
        <is>
          <t>22.01.2025</t>
        </is>
      </c>
      <c r="R101" s="2" t="inlineStr">
        <is>
          <t>11.04.2025</t>
        </is>
      </c>
      <c r="S101" s="5">
        <f>IFERROR(INDEX('CoQ Register'!$D:$D,MATCH("HPA1024|R",'CoQ Register'!$S:$S,0)),"")</f>
        <v/>
      </c>
      <c r="T101" s="2" t="inlineStr">
        <is>
          <t>Conforms</t>
        </is>
      </c>
      <c r="U101" s="2" t="inlineStr">
        <is>
          <t>Conforms</t>
        </is>
      </c>
      <c r="V101" s="2" t="inlineStr">
        <is>
          <t>Conforms</t>
        </is>
      </c>
      <c r="W101" s="2" t="inlineStr">
        <is>
          <t>197-13-K-26, (07.08.2026) [FHM-K]</t>
        </is>
      </c>
      <c r="X101" s="2" t="inlineStr">
        <is>
          <t>197-13-K-26, (07.08.2026) [FHM-K]</t>
        </is>
      </c>
      <c r="Y101" s="2" t="inlineStr">
        <is>
          <t>197-13-M-26, (10.08.2026) [FHM-M]</t>
        </is>
      </c>
      <c r="Z101" s="2" t="inlineStr">
        <is>
          <t>#8, #9, #11, #12 from the initial testing</t>
        </is>
      </c>
      <c r="AA101" s="2" t="inlineStr">
        <is>
          <t>HPA1024|R</t>
        </is>
      </c>
      <c r="AB101" s="7" t="inlineStr">
        <is>
          <t>registered — retest 1 · Tranche 1 (sampled 21–24.07.2026), tested 23.07.2026, issued 27.07.2026</t>
        </is>
      </c>
    </row>
    <row r="102">
      <c r="A102" s="2" t="n">
        <v>101</v>
      </c>
      <c r="B102" s="3" t="inlineStr">
        <is>
          <t>iCoA-PP_26-101</t>
        </is>
      </c>
      <c r="C102" s="4" t="inlineStr">
        <is>
          <t>yes</t>
        </is>
      </c>
      <c r="D102" s="5" t="n">
        <v>46230</v>
      </c>
      <c r="E102" s="5" t="n">
        <v>46226</v>
      </c>
      <c r="F102" s="5">
        <f>IFERROR(INDEX('Batch Dates'!$G:$G,MATCH(J102,'Batch Dates'!$C:$C,0)),IFERROR(INDEX('Batch Dates'!$G:$G,MATCH(I102,'Batch Dates'!$B:$B,0)),""))</f>
        <v/>
      </c>
      <c r="G102" s="2" t="inlineStr">
        <is>
          <t>legacy</t>
        </is>
      </c>
      <c r="H102" s="2" t="inlineStr">
        <is>
          <t>retest 1</t>
        </is>
      </c>
      <c r="I102" s="3" t="inlineStr">
        <is>
          <t>HPA1024_01</t>
        </is>
      </c>
      <c r="J102" s="2" t="inlineStr">
        <is>
          <t>P050052</t>
        </is>
      </c>
      <c r="K102" s="2" t="inlineStr">
        <is>
          <t>High Pro Amnesia</t>
        </is>
      </c>
      <c r="L102" s="2" t="inlineStr">
        <is>
          <t>Ident A + Ident B + Foreign matter</t>
        </is>
      </c>
      <c r="M102" s="6" t="inlineStr">
        <is>
          <t>—</t>
        </is>
      </c>
      <c r="N102" s="2">
        <f>IFERROR(INDEX('CoQ Register'!$B:$B,MATCH("P050052|R",'CoQ Register'!$S:$S,0)),"—")</f>
        <v/>
      </c>
      <c r="O102" s="6" t="inlineStr">
        <is>
          <t>—</t>
        </is>
      </c>
      <c r="P102" s="2" t="inlineStr">
        <is>
          <t>27.06.2026</t>
        </is>
      </c>
      <c r="Q102" s="2" t="inlineStr">
        <is>
          <t>27.05.2025 – 28.05.2025</t>
        </is>
      </c>
      <c r="R102" s="2" t="inlineStr">
        <is>
          <t>27.06.2025 – 04.07.2025</t>
        </is>
      </c>
      <c r="S102" s="5">
        <f>IFERROR(INDEX('CoQ Register'!$D:$D,MATCH("P050052|R",'CoQ Register'!$S:$S,0)),"")</f>
        <v/>
      </c>
      <c r="T102" s="2" t="inlineStr">
        <is>
          <t>Conforms</t>
        </is>
      </c>
      <c r="U102" s="2" t="inlineStr">
        <is>
          <t>Conforms</t>
        </is>
      </c>
      <c r="V102" s="2" t="inlineStr">
        <is>
          <t>Conforms</t>
        </is>
      </c>
      <c r="W102" s="2" t="inlineStr">
        <is>
          <t>197-14-K-26, (07.08.2026) [FHM-K]</t>
        </is>
      </c>
      <c r="X102" s="2" t="inlineStr">
        <is>
          <t>197-14-K-26, (07.08.2026) [FHM-K]</t>
        </is>
      </c>
      <c r="Y102" s="2" t="inlineStr">
        <is>
          <t>197-14-M-26, (10.08.2026) [FHM-M]</t>
        </is>
      </c>
      <c r="Z102" s="2" t="inlineStr">
        <is>
          <t>#8, #9, #11, #12 from the initial testing</t>
        </is>
      </c>
      <c r="AA102" s="2" t="inlineStr">
        <is>
          <t>P050052|R</t>
        </is>
      </c>
      <c r="AB102" s="7" t="inlineStr">
        <is>
          <t>registered — retest 1 · Tranche 1 (sampled 21–24.07.2026), tested 23.07.2026, issued 27.07.2026</t>
        </is>
      </c>
    </row>
    <row r="103">
      <c r="A103" s="2" t="n">
        <v>102</v>
      </c>
      <c r="B103" s="3" t="inlineStr">
        <is>
          <t>iCoA-PP_26-102</t>
        </is>
      </c>
      <c r="C103" s="4" t="inlineStr">
        <is>
          <t>yes</t>
        </is>
      </c>
      <c r="D103" s="5" t="n">
        <v>46230</v>
      </c>
      <c r="E103" s="5" t="n">
        <v>46226</v>
      </c>
      <c r="F103" s="5">
        <f>IFERROR(INDEX('Batch Dates'!$G:$G,MATCH(J103,'Batch Dates'!$C:$C,0)),IFERROR(INDEX('Batch Dates'!$G:$G,MATCH(I103,'Batch Dates'!$B:$B,0)),""))</f>
        <v/>
      </c>
      <c r="G103" s="2" t="inlineStr">
        <is>
          <t>legacy</t>
        </is>
      </c>
      <c r="H103" s="2" t="inlineStr">
        <is>
          <t>retest 1</t>
        </is>
      </c>
      <c r="I103" s="3" t="inlineStr">
        <is>
          <t>J31102501</t>
        </is>
      </c>
      <c r="J103" s="2" t="inlineStr">
        <is>
          <t>P060152</t>
        </is>
      </c>
      <c r="K103" s="2" t="inlineStr">
        <is>
          <t>Jokerz 31</t>
        </is>
      </c>
      <c r="L103" s="2" t="inlineStr">
        <is>
          <t>Ident A + Ident B + Foreign matter</t>
        </is>
      </c>
      <c r="M103" s="6" t="inlineStr">
        <is>
          <t>—</t>
        </is>
      </c>
      <c r="N103" s="2">
        <f>IFERROR(INDEX('CoQ Register'!$B:$B,MATCH("P060152|R",'CoQ Register'!$S:$S,0)),"—")</f>
        <v/>
      </c>
      <c r="O103" s="6" t="inlineStr">
        <is>
          <t>—</t>
        </is>
      </c>
      <c r="P103" s="2" t="inlineStr">
        <is>
          <t>05.03.2027</t>
        </is>
      </c>
      <c r="Q103" s="2" t="inlineStr">
        <is>
          <t>21.01.2026</t>
        </is>
      </c>
      <c r="R103" s="2" t="inlineStr">
        <is>
          <t>05.03.2026</t>
        </is>
      </c>
      <c r="S103" s="5">
        <f>IFERROR(INDEX('CoQ Register'!$D:$D,MATCH("P060152|R",'CoQ Register'!$S:$S,0)),"")</f>
        <v/>
      </c>
      <c r="T103" s="2" t="inlineStr">
        <is>
          <t>Conforms</t>
        </is>
      </c>
      <c r="U103" s="2" t="inlineStr">
        <is>
          <t>Conforms</t>
        </is>
      </c>
      <c r="V103" s="2" t="inlineStr">
        <is>
          <t>Conforms</t>
        </is>
      </c>
      <c r="W103" s="2" t="inlineStr">
        <is>
          <t>197-16-K-26, (07.08.2026) [FHM-K]</t>
        </is>
      </c>
      <c r="X103" s="2" t="inlineStr">
        <is>
          <t>197-16-K-26, (07.08.2026) [FHM-K]</t>
        </is>
      </c>
      <c r="Y103" s="2" t="inlineStr">
        <is>
          <t>197-16-M-26, (10.08.2026) [FHM-M]</t>
        </is>
      </c>
      <c r="Z103" s="2" t="inlineStr">
        <is>
          <t>#8, #9, #11, #12 from the initial testing</t>
        </is>
      </c>
      <c r="AA103" s="2" t="inlineStr">
        <is>
          <t>P060152|R</t>
        </is>
      </c>
      <c r="AB103" s="7" t="inlineStr">
        <is>
          <t>registered — retest 1 · Tranche 1 (sampled 21–24.07.2026), tested 23.07.2026, issued 27.07.2026</t>
        </is>
      </c>
    </row>
    <row r="104">
      <c r="A104" s="2" t="n">
        <v>103</v>
      </c>
      <c r="B104" s="3" t="inlineStr">
        <is>
          <t>iCoA-PP_26-103</t>
        </is>
      </c>
      <c r="C104" s="4" t="inlineStr">
        <is>
          <t>yes</t>
        </is>
      </c>
      <c r="D104" s="5" t="n">
        <v>46230</v>
      </c>
      <c r="E104" s="5" t="n">
        <v>46226</v>
      </c>
      <c r="F104" s="5">
        <f>IFERROR(INDEX('Batch Dates'!$G:$G,MATCH(J104,'Batch Dates'!$C:$C,0)),IFERROR(INDEX('Batch Dates'!$G:$G,MATCH(I104,'Batch Dates'!$B:$B,0)),""))</f>
        <v/>
      </c>
      <c r="G104" s="2" t="inlineStr">
        <is>
          <t>legacy</t>
        </is>
      </c>
      <c r="H104" s="2" t="inlineStr">
        <is>
          <t>retest 1</t>
        </is>
      </c>
      <c r="I104" s="3" t="inlineStr">
        <is>
          <t>JD112501</t>
        </is>
      </c>
      <c r="J104" s="2" t="inlineStr">
        <is>
          <t>P060212</t>
        </is>
      </c>
      <c r="K104" s="2" t="inlineStr">
        <is>
          <t>Jelly Donuts</t>
        </is>
      </c>
      <c r="L104" s="2" t="inlineStr">
        <is>
          <t>Ident A + Ident B + Foreign matter</t>
        </is>
      </c>
      <c r="M104" s="6" t="inlineStr">
        <is>
          <t>—</t>
        </is>
      </c>
      <c r="N104" s="2">
        <f>IFERROR(INDEX('CoQ Register'!$B:$B,MATCH("P060212|R",'CoQ Register'!$S:$S,0)),"—")</f>
        <v/>
      </c>
      <c r="O104" s="6" t="inlineStr">
        <is>
          <t>—</t>
        </is>
      </c>
      <c r="P104" s="2" t="inlineStr">
        <is>
          <t>21.04.2027</t>
        </is>
      </c>
      <c r="Q104" s="2" t="inlineStr">
        <is>
          <t>25.03.2026</t>
        </is>
      </c>
      <c r="R104" s="2" t="inlineStr">
        <is>
          <t>21.04.2026</t>
        </is>
      </c>
      <c r="S104" s="5">
        <f>IFERROR(INDEX('CoQ Register'!$D:$D,MATCH("P060212|R",'CoQ Register'!$S:$S,0)),"")</f>
        <v/>
      </c>
      <c r="T104" s="2" t="inlineStr">
        <is>
          <t>Conforms</t>
        </is>
      </c>
      <c r="U104" s="2" t="inlineStr">
        <is>
          <t>Conforms</t>
        </is>
      </c>
      <c r="V104" s="2" t="inlineStr">
        <is>
          <t>Conforms</t>
        </is>
      </c>
      <c r="W104" s="2" t="inlineStr">
        <is>
          <t>197-15-K-26, (07.08.2026) [FHM-K]</t>
        </is>
      </c>
      <c r="X104" s="2" t="inlineStr">
        <is>
          <t>197-15-K-26, (07.08.2026) [FHM-K]</t>
        </is>
      </c>
      <c r="Y104" s="2" t="inlineStr">
        <is>
          <t>197-15-M-26, (10.08.2026) [FHM-M]</t>
        </is>
      </c>
      <c r="Z104" s="2" t="inlineStr">
        <is>
          <t>#8, #9, #11, #12 from the initial testing</t>
        </is>
      </c>
      <c r="AA104" s="2" t="inlineStr">
        <is>
          <t>P060212|R</t>
        </is>
      </c>
      <c r="AB104" s="7" t="inlineStr">
        <is>
          <t>registered — retest 1 · Tranche 1 (sampled 21–24.07.2026), tested 23.07.2026, issued 27.07.2026</t>
        </is>
      </c>
    </row>
    <row r="105">
      <c r="A105" s="2" t="n">
        <v>104</v>
      </c>
      <c r="B105" s="3" t="inlineStr">
        <is>
          <t>iCoA-PP_26-104</t>
        </is>
      </c>
      <c r="C105" s="4" t="inlineStr">
        <is>
          <t>yes</t>
        </is>
      </c>
      <c r="D105" s="5" t="n">
        <v>46230</v>
      </c>
      <c r="E105" s="5" t="n">
        <v>46227</v>
      </c>
      <c r="F105" s="5">
        <f>IFERROR(INDEX('Batch Dates'!$G:$G,MATCH(J105,'Batch Dates'!$C:$C,0)),IFERROR(INDEX('Batch Dates'!$G:$G,MATCH(I105,'Batch Dates'!$B:$B,0)),""))</f>
        <v/>
      </c>
      <c r="G105" s="2" t="inlineStr">
        <is>
          <t>legacy</t>
        </is>
      </c>
      <c r="H105" s="2" t="inlineStr">
        <is>
          <t>retest 1</t>
        </is>
      </c>
      <c r="I105" s="3" t="inlineStr">
        <is>
          <t>OPM1024</t>
        </is>
      </c>
      <c r="J105" s="2" t="inlineStr">
        <is>
          <t>N/A — no P batch assigned</t>
        </is>
      </c>
      <c r="K105" s="2" t="inlineStr">
        <is>
          <t>Orange Punch Mimosa</t>
        </is>
      </c>
      <c r="L105" s="2" t="inlineStr">
        <is>
          <t>Ident A + Ident B + Foreign matter</t>
        </is>
      </c>
      <c r="M105" s="6" t="inlineStr">
        <is>
          <t>—</t>
        </is>
      </c>
      <c r="N105" s="2">
        <f>IFERROR(INDEX('CoQ Register'!$B:$B,MATCH("OPM1024|R",'CoQ Register'!$S:$S,0)),"—")</f>
        <v/>
      </c>
      <c r="O105" s="6" t="inlineStr">
        <is>
          <t>—</t>
        </is>
      </c>
      <c r="P105" s="2" t="inlineStr">
        <is>
          <t>24.04.2026</t>
        </is>
      </c>
      <c r="Q105" s="2" t="inlineStr">
        <is>
          <t>21.01.2025</t>
        </is>
      </c>
      <c r="R105" s="2" t="inlineStr">
        <is>
          <t>24.04.2025 – 25.04.2025</t>
        </is>
      </c>
      <c r="S105" s="5">
        <f>IFERROR(INDEX('CoQ Register'!$D:$D,MATCH("OPM1024|R",'CoQ Register'!$S:$S,0)),"")</f>
        <v/>
      </c>
      <c r="T105" s="2" t="inlineStr">
        <is>
          <t>Conforms</t>
        </is>
      </c>
      <c r="U105" s="2" t="inlineStr">
        <is>
          <t>Conforms</t>
        </is>
      </c>
      <c r="V105" s="2" t="inlineStr">
        <is>
          <t>Conforms</t>
        </is>
      </c>
      <c r="W105" s="2" t="inlineStr">
        <is>
          <t>197-17-K-26, (07.08.2026) [FHM-K]</t>
        </is>
      </c>
      <c r="X105" s="2" t="inlineStr">
        <is>
          <t>197-17-K-26, (07.08.2026) [FHM-K]</t>
        </is>
      </c>
      <c r="Y105" s="2" t="inlineStr">
        <is>
          <t>197-17-M-26, (10.08.2026) [FHM-M]</t>
        </is>
      </c>
      <c r="Z105" s="2" t="inlineStr">
        <is>
          <t>#8, #9, #11, #12 from the initial testing</t>
        </is>
      </c>
      <c r="AA105" s="2" t="inlineStr">
        <is>
          <t>OPM1024|R</t>
        </is>
      </c>
      <c r="AB105" s="7" t="inlineStr">
        <is>
          <t>registered — retest 1 · Tranche 1 (sampled 21–24.07.2026), tested 24.07.2026, issued 27.07.2026</t>
        </is>
      </c>
    </row>
    <row r="106">
      <c r="A106" s="2" t="n">
        <v>105</v>
      </c>
      <c r="B106" s="3" t="inlineStr">
        <is>
          <t>iCoA-PP_26-105</t>
        </is>
      </c>
      <c r="C106" s="4" t="inlineStr">
        <is>
          <t>yes</t>
        </is>
      </c>
      <c r="D106" s="5" t="n">
        <v>46230</v>
      </c>
      <c r="E106" s="5" t="n">
        <v>46227</v>
      </c>
      <c r="F106" s="5">
        <f>IFERROR(INDEX('Batch Dates'!$G:$G,MATCH(J106,'Batch Dates'!$C:$C,0)),IFERROR(INDEX('Batch Dates'!$G:$G,MATCH(I106,'Batch Dates'!$B:$B,0)),""))</f>
        <v/>
      </c>
      <c r="G106" s="2" t="inlineStr">
        <is>
          <t>legacy</t>
        </is>
      </c>
      <c r="H106" s="2" t="inlineStr">
        <is>
          <t>retest 1</t>
        </is>
      </c>
      <c r="I106" s="3" t="inlineStr">
        <is>
          <t>OPM1024_02</t>
        </is>
      </c>
      <c r="J106" s="2" t="inlineStr">
        <is>
          <t>P050062</t>
        </is>
      </c>
      <c r="K106" s="2" t="inlineStr">
        <is>
          <t>Orange Punch Mimosa</t>
        </is>
      </c>
      <c r="L106" s="2" t="inlineStr">
        <is>
          <t>Ident A + Ident B + Foreign matter</t>
        </is>
      </c>
      <c r="M106" s="6" t="inlineStr">
        <is>
          <t>—</t>
        </is>
      </c>
      <c r="N106" s="2">
        <f>IFERROR(INDEX('CoQ Register'!$B:$B,MATCH("P050062|R",'CoQ Register'!$S:$S,0)),"—")</f>
        <v/>
      </c>
      <c r="O106" s="6" t="inlineStr">
        <is>
          <t>—</t>
        </is>
      </c>
      <c r="P106" s="2" t="inlineStr">
        <is>
          <t>04.07.2026</t>
        </is>
      </c>
      <c r="Q106" s="2" t="inlineStr">
        <is>
          <t>29.05.2025 – 30.05.2025</t>
        </is>
      </c>
      <c r="R106" s="2" t="inlineStr">
        <is>
          <t>04.07.2025 – 10.07.2025</t>
        </is>
      </c>
      <c r="S106" s="5">
        <f>IFERROR(INDEX('CoQ Register'!$D:$D,MATCH("P050062|R",'CoQ Register'!$S:$S,0)),"")</f>
        <v/>
      </c>
      <c r="T106" s="2" t="inlineStr">
        <is>
          <t>Conforms</t>
        </is>
      </c>
      <c r="U106" s="2" t="inlineStr">
        <is>
          <t>Conforms</t>
        </is>
      </c>
      <c r="V106" s="2" t="inlineStr">
        <is>
          <t>Conforms</t>
        </is>
      </c>
      <c r="W106" s="2" t="inlineStr">
        <is>
          <t>197-18-K-26, (07.08.2026) [FHM-K]</t>
        </is>
      </c>
      <c r="X106" s="2" t="inlineStr">
        <is>
          <t>197-18-K-26, (07.08.2026) [FHM-K]</t>
        </is>
      </c>
      <c r="Y106" s="2" t="inlineStr">
        <is>
          <t>197-18-M-26, (10.08.2026) [FHM-M]</t>
        </is>
      </c>
      <c r="Z106" s="2" t="inlineStr">
        <is>
          <t>#8, #9, #11, #12 from the initial testing</t>
        </is>
      </c>
      <c r="AA106" s="2" t="inlineStr">
        <is>
          <t>P050062|R</t>
        </is>
      </c>
      <c r="AB106" s="7" t="inlineStr">
        <is>
          <t>registered — retest 1 · Tranche 1 (sampled 21–24.07.2026), tested 24.07.2026, issued 27.07.2026</t>
        </is>
      </c>
    </row>
    <row r="107">
      <c r="A107" s="2" t="n">
        <v>106</v>
      </c>
      <c r="B107" s="3" t="inlineStr">
        <is>
          <t>iCoA-PP_26-106</t>
        </is>
      </c>
      <c r="C107" s="4" t="inlineStr">
        <is>
          <t>yes</t>
        </is>
      </c>
      <c r="D107" s="5" t="n">
        <v>46230</v>
      </c>
      <c r="E107" s="5" t="n">
        <v>46227</v>
      </c>
      <c r="F107" s="5">
        <f>IFERROR(INDEX('Batch Dates'!$G:$G,MATCH(J107,'Batch Dates'!$C:$C,0)),IFERROR(INDEX('Batch Dates'!$G:$G,MATCH(I107,'Batch Dates'!$B:$B,0)),""))</f>
        <v/>
      </c>
      <c r="G107" s="2" t="inlineStr">
        <is>
          <t>legacy</t>
        </is>
      </c>
      <c r="H107" s="2" t="inlineStr">
        <is>
          <t>retest 1</t>
        </is>
      </c>
      <c r="I107" s="3" t="inlineStr">
        <is>
          <t>OPM122501</t>
        </is>
      </c>
      <c r="J107" s="2" t="inlineStr">
        <is>
          <t>P060242</t>
        </is>
      </c>
      <c r="K107" s="2" t="inlineStr">
        <is>
          <t>Orange Punch Mimosa</t>
        </is>
      </c>
      <c r="L107" s="2" t="inlineStr">
        <is>
          <t>Ident A + Ident B + Foreign matter</t>
        </is>
      </c>
      <c r="M107" s="6" t="inlineStr">
        <is>
          <t>—</t>
        </is>
      </c>
      <c r="N107" s="2">
        <f>IFERROR(INDEX('CoQ Register'!$B:$B,MATCH("P060242|R",'CoQ Register'!$S:$S,0)),"—")</f>
        <v/>
      </c>
      <c r="O107" s="6" t="inlineStr">
        <is>
          <t>—</t>
        </is>
      </c>
      <c r="P107" s="2" t="inlineStr">
        <is>
          <t>28.04.2027</t>
        </is>
      </c>
      <c r="Q107" s="2" t="inlineStr">
        <is>
          <t>11.03.2026</t>
        </is>
      </c>
      <c r="R107" s="2" t="inlineStr">
        <is>
          <t>28.04.2026</t>
        </is>
      </c>
      <c r="S107" s="5">
        <f>IFERROR(INDEX('CoQ Register'!$D:$D,MATCH("P060242|R",'CoQ Register'!$S:$S,0)),"")</f>
        <v/>
      </c>
      <c r="T107" s="2" t="inlineStr">
        <is>
          <t>Conforms</t>
        </is>
      </c>
      <c r="U107" s="2" t="inlineStr">
        <is>
          <t>Conforms</t>
        </is>
      </c>
      <c r="V107" s="2" t="inlineStr">
        <is>
          <t>Conforms</t>
        </is>
      </c>
      <c r="W107" s="2" t="inlineStr">
        <is>
          <t>197-19-K-26, (07.08.2026) [FHM-K]</t>
        </is>
      </c>
      <c r="X107" s="2" t="inlineStr">
        <is>
          <t>197-19-K-26, (07.08.2026) [FHM-K]</t>
        </is>
      </c>
      <c r="Y107" s="2" t="inlineStr">
        <is>
          <t>197-19-M-26, (10.08.2026) [FHM-M]</t>
        </is>
      </c>
      <c r="Z107" s="2" t="inlineStr">
        <is>
          <t>#8, #9, #11, #12 from the initial testing</t>
        </is>
      </c>
      <c r="AA107" s="2" t="inlineStr">
        <is>
          <t>P060242|R</t>
        </is>
      </c>
      <c r="AB107" s="7" t="inlineStr">
        <is>
          <t>registered — retest 1 · Tranche 1 (sampled 21–24.07.2026), tested 24.07.2026, issued 27.07.2026</t>
        </is>
      </c>
    </row>
    <row r="108">
      <c r="A108" s="2" t="n">
        <v>107</v>
      </c>
      <c r="B108" s="3" t="inlineStr">
        <is>
          <t>iCoA-PP_26-107</t>
        </is>
      </c>
      <c r="C108" s="4" t="inlineStr">
        <is>
          <t>yes</t>
        </is>
      </c>
      <c r="D108" s="5" t="n">
        <v>46230</v>
      </c>
      <c r="E108" s="5" t="n">
        <v>46227</v>
      </c>
      <c r="F108" s="5">
        <f>IFERROR(INDEX('Batch Dates'!$G:$G,MATCH(J108,'Batch Dates'!$C:$C,0)),IFERROR(INDEX('Batch Dates'!$G:$G,MATCH(I108,'Batch Dates'!$B:$B,0)),""))</f>
        <v/>
      </c>
      <c r="G108" s="2" t="inlineStr">
        <is>
          <t>post-SOP</t>
        </is>
      </c>
      <c r="H108" s="2" t="inlineStr">
        <is>
          <t>retest 1</t>
        </is>
      </c>
      <c r="I108" s="3" t="inlineStr">
        <is>
          <t>SCR012603</t>
        </is>
      </c>
      <c r="J108" s="2" t="inlineStr">
        <is>
          <t>P060382</t>
        </is>
      </c>
      <c r="K108" s="2" t="inlineStr">
        <is>
          <t>Scrambler</t>
        </is>
      </c>
      <c r="L108" s="2" t="inlineStr">
        <is>
          <t>Ident A + Ident B + Foreign matter</t>
        </is>
      </c>
      <c r="M108" s="6" t="inlineStr">
        <is>
          <t>—</t>
        </is>
      </c>
      <c r="N108" s="2">
        <f>IFERROR(INDEX('CoQ Register'!$B:$B,MATCH("P060382|R",'CoQ Register'!$S:$S,0)),"—")</f>
        <v/>
      </c>
      <c r="O108" s="6" t="inlineStr">
        <is>
          <t>—</t>
        </is>
      </c>
      <c r="P108" s="2" t="inlineStr">
        <is>
          <t>25.05.2027</t>
        </is>
      </c>
      <c r="Q108" s="2" t="inlineStr">
        <is>
          <t>22.04.2026</t>
        </is>
      </c>
      <c r="R108" s="2" t="inlineStr">
        <is>
          <t>25.05.2026</t>
        </is>
      </c>
      <c r="S108" s="5">
        <f>IFERROR(INDEX('CoQ Register'!$D:$D,MATCH("P060382|R",'CoQ Register'!$S:$S,0)),"")</f>
        <v/>
      </c>
      <c r="T108" s="2" t="inlineStr">
        <is>
          <t>Conforms</t>
        </is>
      </c>
      <c r="U108" s="2" t="inlineStr">
        <is>
          <t>Conforms</t>
        </is>
      </c>
      <c r="V108" s="2" t="inlineStr">
        <is>
          <t>Conforms</t>
        </is>
      </c>
      <c r="W108" s="2" t="inlineStr">
        <is>
          <t>197-21-K-26, (07.08.2026) [FHM-K]</t>
        </is>
      </c>
      <c r="X108" s="2" t="inlineStr">
        <is>
          <t>197-21-K-26, (07.08.2026) [FHM-K]</t>
        </is>
      </c>
      <c r="Y108" s="2" t="inlineStr">
        <is>
          <t>197-21-M-26, (10.08.2026) [FHM-M]</t>
        </is>
      </c>
      <c r="Z108" s="2" t="inlineStr">
        <is>
          <t>#8, #9, #11, #12 from the initial testing</t>
        </is>
      </c>
      <c r="AA108" s="2" t="inlineStr">
        <is>
          <t>P060382|R</t>
        </is>
      </c>
      <c r="AB108" s="7" t="inlineStr">
        <is>
          <t>registered — retest 1 · Tranche 1 (sampled 21–24.07.2026), tested 24.07.2026, issued 27.07.2026</t>
        </is>
      </c>
    </row>
    <row r="109">
      <c r="A109" s="2" t="n">
        <v>108</v>
      </c>
      <c r="B109" s="3" t="inlineStr">
        <is>
          <t>iCoA-PP_26-108</t>
        </is>
      </c>
      <c r="C109" s="4" t="inlineStr">
        <is>
          <t>yes</t>
        </is>
      </c>
      <c r="D109" s="5" t="n">
        <v>46230</v>
      </c>
      <c r="E109" s="5" t="n">
        <v>46227</v>
      </c>
      <c r="F109" s="5">
        <f>IFERROR(INDEX('Batch Dates'!$G:$G,MATCH(J109,'Batch Dates'!$C:$C,0)),IFERROR(INDEX('Batch Dates'!$G:$G,MATCH(I109,'Batch Dates'!$B:$B,0)),""))</f>
        <v/>
      </c>
      <c r="G109" s="2" t="inlineStr">
        <is>
          <t>legacy</t>
        </is>
      </c>
      <c r="H109" s="2" t="inlineStr">
        <is>
          <t>retest 1</t>
        </is>
      </c>
      <c r="I109" s="3" t="inlineStr">
        <is>
          <t>PM092501</t>
        </is>
      </c>
      <c r="J109" s="2" t="inlineStr">
        <is>
          <t>P060062</t>
        </is>
      </c>
      <c r="K109" s="2" t="inlineStr">
        <is>
          <t>Permanent Marker</t>
        </is>
      </c>
      <c r="L109" s="2" t="inlineStr">
        <is>
          <t>Ident A + Ident B + Foreign matter</t>
        </is>
      </c>
      <c r="M109" s="6" t="inlineStr">
        <is>
          <t>—</t>
        </is>
      </c>
      <c r="N109" s="2">
        <f>IFERROR(INDEX('CoQ Register'!$B:$B,MATCH("P060062|R",'CoQ Register'!$S:$S,0)),"—")</f>
        <v/>
      </c>
      <c r="O109" s="6" t="inlineStr">
        <is>
          <t>—</t>
        </is>
      </c>
      <c r="P109" s="2" t="inlineStr">
        <is>
          <t>30.01.2027</t>
        </is>
      </c>
      <c r="Q109" s="2" t="inlineStr">
        <is>
          <t>11.12.2025</t>
        </is>
      </c>
      <c r="R109" s="2" t="inlineStr">
        <is>
          <t>30.01.2026</t>
        </is>
      </c>
      <c r="S109" s="5">
        <f>IFERROR(INDEX('CoQ Register'!$D:$D,MATCH("P060062|R",'CoQ Register'!$S:$S,0)),"")</f>
        <v/>
      </c>
      <c r="T109" s="2" t="inlineStr">
        <is>
          <t>Conforms</t>
        </is>
      </c>
      <c r="U109" s="2" t="inlineStr">
        <is>
          <t>Conforms</t>
        </is>
      </c>
      <c r="V109" s="2" t="inlineStr">
        <is>
          <t>Conforms</t>
        </is>
      </c>
      <c r="W109" s="2" t="inlineStr">
        <is>
          <t>197-20-K-26, (07.08.2026) [FHM-K]</t>
        </is>
      </c>
      <c r="X109" s="2" t="inlineStr">
        <is>
          <t>197-20-K-26, (07.08.2026) [FHM-K]</t>
        </is>
      </c>
      <c r="Y109" s="2" t="inlineStr">
        <is>
          <t>197-20-M-26, (10.08.2026) [FHM-M]</t>
        </is>
      </c>
      <c r="Z109" s="2" t="inlineStr">
        <is>
          <t>#8, #9, #11, #12 from the initial testing</t>
        </is>
      </c>
      <c r="AA109" s="2" t="inlineStr">
        <is>
          <t>P060062|R</t>
        </is>
      </c>
      <c r="AB109" s="7" t="inlineStr">
        <is>
          <t>registered — retest 1 · Tranche 1 (sampled 21–24.07.2026), tested 24.07.2026, issued 27.07.2026</t>
        </is>
      </c>
    </row>
    <row r="110">
      <c r="A110" s="2" t="n">
        <v>109</v>
      </c>
      <c r="B110" s="3" t="inlineStr">
        <is>
          <t>iCoA-PP_26-109</t>
        </is>
      </c>
      <c r="C110" s="4" t="inlineStr">
        <is>
          <t>yes</t>
        </is>
      </c>
      <c r="D110" s="5">
        <f>IF(A110="","",IF(ISNUMBER(E110),MAX(DATE(2026,6,3),E110),DATE(2026,6,3)))</f>
        <v/>
      </c>
      <c r="E110" s="5">
        <f>IFERROR(INDEX('Batch Dates'!$F:$F,MATCH(J110,'Batch Dates'!$C:$C,0)),IFERROR(INDEX('Batch Dates'!$F:$F,MATCH(I110,'Batch Dates'!$B:$B,0)),""))</f>
        <v/>
      </c>
      <c r="F110" s="5">
        <f>IFERROR(INDEX('Batch Dates'!$G:$G,MATCH(J110,'Batch Dates'!$C:$C,0)),IFERROR(INDEX('Batch Dates'!$G:$G,MATCH(I110,'Batch Dates'!$B:$B,0)),""))</f>
        <v/>
      </c>
      <c r="G110" s="2" t="inlineStr">
        <is>
          <t>post-SOP</t>
        </is>
      </c>
      <c r="H110" s="2" t="inlineStr">
        <is>
          <t>initial release</t>
        </is>
      </c>
      <c r="I110" s="3" t="inlineStr">
        <is>
          <t>JD022601</t>
        </is>
      </c>
      <c r="J110" s="2" t="inlineStr">
        <is>
          <t>P060482</t>
        </is>
      </c>
      <c r="K110" s="2" t="inlineStr">
        <is>
          <t>Jelly Donuts</t>
        </is>
      </c>
      <c r="L110" s="2" t="inlineStr">
        <is>
          <t>Ident A + Ident B + Foreign matter</t>
        </is>
      </c>
      <c r="M110" s="2" t="inlineStr">
        <is>
          <t>A: ППК26115 / B: ППК26115 / FM: ППК26115</t>
        </is>
      </c>
      <c r="N110" s="2">
        <f>IFERROR(INDEX('CoQ Register'!$B:$B,MATCH("P060482|I",'CoQ Register'!$S:$S,0)),"—")</f>
        <v/>
      </c>
      <c r="O110" s="6" t="inlineStr">
        <is>
          <t>—</t>
        </is>
      </c>
      <c r="P110" s="2" t="inlineStr">
        <is>
          <t>30.06.2026</t>
        </is>
      </c>
      <c r="Q110" s="2" t="inlineStr">
        <is>
          <t>18.05.2026</t>
        </is>
      </c>
      <c r="R110" s="2" t="inlineStr">
        <is>
          <t>05.08.2026 (the issuance plan's basis: 30.06.2026)</t>
        </is>
      </c>
      <c r="S110" s="5">
        <f>IFERROR(INDEX('CoQ Register'!$D:$D,MATCH("P060482|I",'CoQ Register'!$S:$S,0)),"")</f>
        <v/>
      </c>
      <c r="T110" s="2" t="inlineStr">
        <is>
          <t>CNP ППК26115</t>
        </is>
      </c>
      <c r="U110" s="2" t="inlineStr">
        <is>
          <t>CNP ППК26115</t>
        </is>
      </c>
      <c r="V110" s="2" t="inlineStr">
        <is>
          <t>CNP ППК26115</t>
        </is>
      </c>
      <c r="W110" s="2" t="inlineStr">
        <is>
          <t>ППК26115, (30.06.2026) [CNP]</t>
        </is>
      </c>
      <c r="X110" s="2" t="inlineStr">
        <is>
          <t>—</t>
        </is>
      </c>
      <c r="Y110" s="2" t="inlineStr">
        <is>
          <t>—</t>
        </is>
      </c>
      <c r="Z110" s="2" t="inlineStr">
        <is>
          <t>—</t>
        </is>
      </c>
      <c r="AA110" s="2" t="inlineStr">
        <is>
          <t>P060482|I</t>
        </is>
      </c>
      <c r="AB110" s="7" t="inlineStr">
        <is>
          <t>registered — initial release, issued 05.08.2026</t>
        </is>
      </c>
    </row>
    <row r="111">
      <c r="A111" s="2" t="n">
        <v>110</v>
      </c>
      <c r="B111" s="3" t="inlineStr">
        <is>
          <t>iCoA-PP_26-110</t>
        </is>
      </c>
      <c r="C111" s="4" t="inlineStr">
        <is>
          <t>yes</t>
        </is>
      </c>
      <c r="D111" s="5">
        <f>IF(A111="","",IF(ISNUMBER(E111),MAX(DATE(2026,6,3),E111),DATE(2026,6,3)))</f>
        <v/>
      </c>
      <c r="E111" s="5">
        <f>IFERROR(INDEX('Batch Dates'!$F:$F,MATCH(J111,'Batch Dates'!$C:$C,0)),IFERROR(INDEX('Batch Dates'!$F:$F,MATCH(I111,'Batch Dates'!$B:$B,0)),""))</f>
        <v/>
      </c>
      <c r="F111" s="5">
        <f>IFERROR(INDEX('Batch Dates'!$G:$G,MATCH(J111,'Batch Dates'!$C:$C,0)),IFERROR(INDEX('Batch Dates'!$G:$G,MATCH(I111,'Batch Dates'!$B:$B,0)),""))</f>
        <v/>
      </c>
      <c r="G111" s="2" t="inlineStr">
        <is>
          <t>post-SOP</t>
        </is>
      </c>
      <c r="H111" s="2" t="inlineStr">
        <is>
          <t>initial release</t>
        </is>
      </c>
      <c r="I111" s="3" t="inlineStr">
        <is>
          <t>JD042601</t>
        </is>
      </c>
      <c r="J111" s="2" t="inlineStr">
        <is>
          <t>P060492</t>
        </is>
      </c>
      <c r="K111" s="2" t="inlineStr">
        <is>
          <t>Jelly Donuts</t>
        </is>
      </c>
      <c r="L111" s="2" t="inlineStr">
        <is>
          <t>Ident A + Ident B + Foreign matter</t>
        </is>
      </c>
      <c r="M111" s="6" t="inlineStr">
        <is>
          <t>—</t>
        </is>
      </c>
      <c r="N111" s="2">
        <f>IFERROR(INDEX('CoQ Register'!$B:$B,MATCH("P060492|I",'CoQ Register'!$S:$S,0)),"—")</f>
        <v/>
      </c>
      <c r="O111" s="6" t="inlineStr">
        <is>
          <t>—</t>
        </is>
      </c>
      <c r="P111" s="2" t="inlineStr">
        <is>
          <t>13.08.2026</t>
        </is>
      </c>
      <c r="Q111" s="2" t="inlineStr">
        <is>
          <t>21.07.2026</t>
        </is>
      </c>
      <c r="R111" s="2" t="inlineStr">
        <is>
          <t>13.08.2026</t>
        </is>
      </c>
      <c r="S111" s="5">
        <f>IFERROR(INDEX('CoQ Register'!$D:$D,MATCH("P060492|I",'CoQ Register'!$S:$S,0)),"")</f>
        <v/>
      </c>
      <c r="T111" s="2" t="inlineStr">
        <is>
          <t>Conforms</t>
        </is>
      </c>
      <c r="U111" s="2" t="inlineStr">
        <is>
          <t>Conforms</t>
        </is>
      </c>
      <c r="V111" s="2" t="inlineStr">
        <is>
          <t>Conforms</t>
        </is>
      </c>
      <c r="W111" s="2" t="inlineStr">
        <is>
          <t>— no cannabinoid certificate from the initial testing —</t>
        </is>
      </c>
      <c r="X111" s="2" t="inlineStr">
        <is>
          <t>—</t>
        </is>
      </c>
      <c r="Y111" s="2" t="inlineStr">
        <is>
          <t>—</t>
        </is>
      </c>
      <c r="Z111" s="2" t="inlineStr">
        <is>
          <t>—</t>
        </is>
      </c>
      <c r="AA111" s="2" t="inlineStr">
        <is>
          <t>P060492|I</t>
        </is>
      </c>
      <c r="AB111" s="7" t="inlineStr">
        <is>
          <t>registered — initial release, issued 13.08.2026</t>
        </is>
      </c>
    </row>
    <row r="112">
      <c r="A112" s="2" t="n">
        <v>111</v>
      </c>
      <c r="B112" s="3" t="inlineStr">
        <is>
          <t>iCoA-PP_26-111</t>
        </is>
      </c>
      <c r="C112" s="4" t="inlineStr">
        <is>
          <t>yes</t>
        </is>
      </c>
      <c r="D112" s="5" t="n">
        <v>46251</v>
      </c>
      <c r="E112" s="5" t="n">
        <v>46246</v>
      </c>
      <c r="F112" s="5">
        <f>IFERROR(INDEX('Batch Dates'!$G:$G,MATCH(J112,'Batch Dates'!$C:$C,0)),IFERROR(INDEX('Batch Dates'!$G:$G,MATCH(I112,'Batch Dates'!$B:$B,0)),""))</f>
        <v/>
      </c>
      <c r="G112" s="2" t="inlineStr">
        <is>
          <t>legacy</t>
        </is>
      </c>
      <c r="H112" s="2" t="inlineStr">
        <is>
          <t>retest 1</t>
        </is>
      </c>
      <c r="I112" s="3" t="inlineStr">
        <is>
          <t>ACC102501</t>
        </is>
      </c>
      <c r="J112" s="2" t="inlineStr">
        <is>
          <t>P060122</t>
        </is>
      </c>
      <c r="K112" s="2" t="inlineStr">
        <is>
          <t>Amnesia Core Cut</t>
        </is>
      </c>
      <c r="L112" s="2" t="inlineStr">
        <is>
          <t>Ident A + Ident B + Foreign matter</t>
        </is>
      </c>
      <c r="M112" s="6" t="inlineStr">
        <is>
          <t>—</t>
        </is>
      </c>
      <c r="N112" s="2">
        <f>IFERROR(INDEX('CoQ Register'!$B:$B,MATCH("P060122|R",'CoQ Register'!$S:$S,0)),"—")</f>
        <v/>
      </c>
      <c r="O112" s="6" t="inlineStr">
        <is>
          <t>—</t>
        </is>
      </c>
      <c r="P112" s="2" t="inlineStr">
        <is>
          <t>18.02.2027</t>
        </is>
      </c>
      <c r="Q112" s="2" t="inlineStr">
        <is>
          <t>09.01.2026</t>
        </is>
      </c>
      <c r="R112" s="2" t="inlineStr">
        <is>
          <t>18.02.2026 – 19.02.2026</t>
        </is>
      </c>
      <c r="S112" s="5">
        <f>IFERROR(INDEX('CoQ Register'!$D:$D,MATCH("P060122|R",'CoQ Register'!$S:$S,0)),"")</f>
        <v/>
      </c>
      <c r="T112" s="2" t="inlineStr">
        <is>
          <t>Conforms</t>
        </is>
      </c>
      <c r="U112" s="2" t="inlineStr">
        <is>
          <t>Conforms</t>
        </is>
      </c>
      <c r="V112" s="2" t="inlineStr">
        <is>
          <t>Conforms</t>
        </is>
      </c>
      <c r="W112" s="2" t="inlineStr">
        <is>
          <t>220-1-K-26, (25.08.2026) [FHM-K]</t>
        </is>
      </c>
      <c r="X112" s="2" t="inlineStr">
        <is>
          <t>220-1-K-26, (25.08.2026) [FHM-K]</t>
        </is>
      </c>
      <c r="Y112" s="2" t="inlineStr">
        <is>
          <t>220-1-M-26, (11.09.2026) [FHM-M]</t>
        </is>
      </c>
      <c r="Z112" s="2" t="inlineStr">
        <is>
          <t>#8, #9, #11, #12 from the initial testing</t>
        </is>
      </c>
      <c r="AA112" s="2" t="inlineStr">
        <is>
          <t>P060122|R</t>
        </is>
      </c>
      <c r="AB112" s="7" t="inlineStr">
        <is>
          <t>registered — retest 1 · Tranche 2 (sampled 12–14.08.2026), tested 12.08.2026, issued 17.08.2026</t>
        </is>
      </c>
    </row>
    <row r="113">
      <c r="A113" s="2" t="n">
        <v>112</v>
      </c>
      <c r="B113" s="3" t="inlineStr">
        <is>
          <t>iCoA-PP_26-112</t>
        </is>
      </c>
      <c r="C113" s="4" t="inlineStr">
        <is>
          <t>yes</t>
        </is>
      </c>
      <c r="D113" s="5" t="n">
        <v>46251</v>
      </c>
      <c r="E113" s="5" t="n">
        <v>46246</v>
      </c>
      <c r="F113" s="5">
        <f>IFERROR(INDEX('Batch Dates'!$G:$G,MATCH(J113,'Batch Dates'!$C:$C,0)),IFERROR(INDEX('Batch Dates'!$G:$G,MATCH(I113,'Batch Dates'!$B:$B,0)),""))</f>
        <v/>
      </c>
      <c r="G113" s="2" t="inlineStr">
        <is>
          <t>legacy</t>
        </is>
      </c>
      <c r="H113" s="2" t="inlineStr">
        <is>
          <t>retest 1</t>
        </is>
      </c>
      <c r="I113" s="3" t="inlineStr">
        <is>
          <t>BSS052501</t>
        </is>
      </c>
      <c r="J113" s="2" t="inlineStr">
        <is>
          <t>P050192</t>
        </is>
      </c>
      <c r="K113" s="2" t="inlineStr">
        <is>
          <t>Blue Sunset Sherbet</t>
        </is>
      </c>
      <c r="L113" s="2" t="inlineStr">
        <is>
          <t>Ident A + Ident B + Foreign matter</t>
        </is>
      </c>
      <c r="M113" s="6" t="inlineStr">
        <is>
          <t>—</t>
        </is>
      </c>
      <c r="N113" s="2">
        <f>IFERROR(INDEX('CoQ Register'!$B:$B,MATCH("P050192|R",'CoQ Register'!$S:$S,0)),"—")</f>
        <v/>
      </c>
      <c r="O113" s="6" t="inlineStr">
        <is>
          <t>—</t>
        </is>
      </c>
      <c r="P113" s="2" t="inlineStr">
        <is>
          <t>10.10.2026</t>
        </is>
      </c>
      <c r="Q113" s="2" t="inlineStr">
        <is>
          <t>01.09.2025 – 03.09.2025</t>
        </is>
      </c>
      <c r="R113" s="2" t="inlineStr">
        <is>
          <t>10.10.2025 – 21.10.2025</t>
        </is>
      </c>
      <c r="S113" s="5">
        <f>IFERROR(INDEX('CoQ Register'!$D:$D,MATCH("P050192|R",'CoQ Register'!$S:$S,0)),"")</f>
        <v/>
      </c>
      <c r="T113" s="2" t="inlineStr">
        <is>
          <t>Conforms</t>
        </is>
      </c>
      <c r="U113" s="2" t="inlineStr">
        <is>
          <t>Conforms</t>
        </is>
      </c>
      <c r="V113" s="2" t="inlineStr">
        <is>
          <t>Conforms</t>
        </is>
      </c>
      <c r="W113" s="2" t="inlineStr">
        <is>
          <t>220-2-K-26, (25.08.2026) [FHM-K]</t>
        </is>
      </c>
      <c r="X113" s="2" t="inlineStr">
        <is>
          <t>220-2-K-26, (25.08.2026) [FHM-K]</t>
        </is>
      </c>
      <c r="Y113" s="2" t="inlineStr">
        <is>
          <t>220-2-M-26, (11.09.2026) [FHM-M]</t>
        </is>
      </c>
      <c r="Z113" s="2" t="inlineStr">
        <is>
          <t>#8, #9, #11, #12 from the initial testing</t>
        </is>
      </c>
      <c r="AA113" s="2" t="inlineStr">
        <is>
          <t>P050192|R</t>
        </is>
      </c>
      <c r="AB113" s="7" t="inlineStr">
        <is>
          <t>registered — retest 1 · Tranche 2 (sampled 12–14.08.2026), tested 12.08.2026, issued 17.08.2026</t>
        </is>
      </c>
    </row>
    <row r="114">
      <c r="A114" s="2" t="n">
        <v>113</v>
      </c>
      <c r="B114" s="3" t="inlineStr">
        <is>
          <t>iCoA-PP_26-113</t>
        </is>
      </c>
      <c r="C114" s="4" t="inlineStr">
        <is>
          <t>yes</t>
        </is>
      </c>
      <c r="D114" s="5" t="n">
        <v>46251</v>
      </c>
      <c r="E114" s="5" t="n">
        <v>46246</v>
      </c>
      <c r="F114" s="5">
        <f>IFERROR(INDEX('Batch Dates'!$G:$G,MATCH(J114,'Batch Dates'!$C:$C,0)),IFERROR(INDEX('Batch Dates'!$G:$G,MATCH(I114,'Batch Dates'!$B:$B,0)),""))</f>
        <v/>
      </c>
      <c r="G114" s="2" t="inlineStr">
        <is>
          <t>legacy</t>
        </is>
      </c>
      <c r="H114" s="2" t="inlineStr">
        <is>
          <t>retest 1</t>
        </is>
      </c>
      <c r="I114" s="3" t="inlineStr">
        <is>
          <t>CF102501</t>
        </is>
      </c>
      <c r="J114" s="2" t="inlineStr">
        <is>
          <t>P060132</t>
        </is>
      </c>
      <c r="K114" s="2" t="inlineStr">
        <is>
          <t>Chem Flyer</t>
        </is>
      </c>
      <c r="L114" s="2" t="inlineStr">
        <is>
          <t>Ident A + Ident B + Foreign matter</t>
        </is>
      </c>
      <c r="M114" s="6" t="inlineStr">
        <is>
          <t>—</t>
        </is>
      </c>
      <c r="N114" s="2">
        <f>IFERROR(INDEX('CoQ Register'!$B:$B,MATCH("P060132|R",'CoQ Register'!$S:$S,0)),"—")</f>
        <v/>
      </c>
      <c r="O114" s="6" t="inlineStr">
        <is>
          <t>—</t>
        </is>
      </c>
      <c r="P114" s="2" t="inlineStr">
        <is>
          <t>19.02.2027</t>
        </is>
      </c>
      <c r="Q114" s="2" t="inlineStr">
        <is>
          <t>09.01.2026</t>
        </is>
      </c>
      <c r="R114" s="2" t="inlineStr">
        <is>
          <t>19.02.2026 – 20.02.2026</t>
        </is>
      </c>
      <c r="S114" s="5">
        <f>IFERROR(INDEX('CoQ Register'!$D:$D,MATCH("P060132|R",'CoQ Register'!$S:$S,0)),"")</f>
        <v/>
      </c>
      <c r="T114" s="2" t="inlineStr">
        <is>
          <t>Conforms</t>
        </is>
      </c>
      <c r="U114" s="2" t="inlineStr">
        <is>
          <t>Conforms</t>
        </is>
      </c>
      <c r="V114" s="2" t="inlineStr">
        <is>
          <t>Conforms</t>
        </is>
      </c>
      <c r="W114" s="2" t="inlineStr">
        <is>
          <t>220-6-K-26, (25.08.2026) [FHM-K]</t>
        </is>
      </c>
      <c r="X114" s="2" t="inlineStr">
        <is>
          <t>220-6-K-26, (25.08.2026) [FHM-K]</t>
        </is>
      </c>
      <c r="Y114" s="2" t="inlineStr">
        <is>
          <t>220-6-M-26, (11.09.2026) [FHM-M]</t>
        </is>
      </c>
      <c r="Z114" s="2" t="inlineStr">
        <is>
          <t>#8, #9, #11, #12 from the initial testing</t>
        </is>
      </c>
      <c r="AA114" s="2" t="inlineStr">
        <is>
          <t>P060132|R</t>
        </is>
      </c>
      <c r="AB114" s="7" t="inlineStr">
        <is>
          <t>registered — retest 1 · Tranche 2 (sampled 12–14.08.2026), tested 12.08.2026, issued 17.08.2026</t>
        </is>
      </c>
    </row>
    <row r="115">
      <c r="A115" s="2" t="n">
        <v>114</v>
      </c>
      <c r="B115" s="3" t="inlineStr">
        <is>
          <t>iCoA-PP_26-114</t>
        </is>
      </c>
      <c r="C115" s="4" t="inlineStr">
        <is>
          <t>yes</t>
        </is>
      </c>
      <c r="D115" s="5" t="n">
        <v>46251</v>
      </c>
      <c r="E115" s="5" t="n">
        <v>46246</v>
      </c>
      <c r="F115" s="5">
        <f>IFERROR(INDEX('Batch Dates'!$G:$G,MATCH(J115,'Batch Dates'!$C:$C,0)),IFERROR(INDEX('Batch Dates'!$G:$G,MATCH(I115,'Batch Dates'!$B:$B,0)),""))</f>
        <v/>
      </c>
      <c r="G115" s="2" t="inlineStr">
        <is>
          <t>legacy</t>
        </is>
      </c>
      <c r="H115" s="2" t="inlineStr">
        <is>
          <t>retest 2</t>
        </is>
      </c>
      <c r="I115" s="3" t="inlineStr">
        <is>
          <t>CJ062501/1</t>
        </is>
      </c>
      <c r="J115" s="2" t="inlineStr">
        <is>
          <t>P050222</t>
        </is>
      </c>
      <c r="K115" s="2" t="inlineStr">
        <is>
          <t>Cap Junky</t>
        </is>
      </c>
      <c r="L115" s="2" t="inlineStr">
        <is>
          <t>Ident A + Ident B + Foreign matter</t>
        </is>
      </c>
      <c r="M115" s="6" t="inlineStr">
        <is>
          <t>—</t>
        </is>
      </c>
      <c r="N115" s="2">
        <f>IFERROR(INDEX('CoQ Register'!$B:$B,MATCH("P050222|R2",'CoQ Register'!$S:$S,0)),"—")</f>
        <v/>
      </c>
      <c r="O115" s="6" t="inlineStr">
        <is>
          <t>—</t>
        </is>
      </c>
      <c r="P115" s="2" t="inlineStr">
        <is>
          <t>24.11.2026</t>
        </is>
      </c>
      <c r="Q115" s="2" t="inlineStr">
        <is>
          <t>23.09.2025</t>
        </is>
      </c>
      <c r="R115" s="2" t="inlineStr">
        <is>
          <t>24.11.2025 – 25.11.2025</t>
        </is>
      </c>
      <c r="S115" s="5">
        <f>IFERROR(INDEX('CoQ Register'!$D:$D,MATCH("P050222|R2",'CoQ Register'!$S:$S,0)),"")</f>
        <v/>
      </c>
      <c r="T115" s="2" t="inlineStr">
        <is>
          <t>Conforms</t>
        </is>
      </c>
      <c r="U115" s="2" t="inlineStr">
        <is>
          <t>Conforms</t>
        </is>
      </c>
      <c r="V115" s="2" t="inlineStr">
        <is>
          <t>Conforms</t>
        </is>
      </c>
      <c r="W115" s="2" t="inlineStr">
        <is>
          <t>220-3-K-26, (25.08.2026) [FHM-K]</t>
        </is>
      </c>
      <c r="X115" s="2" t="inlineStr">
        <is>
          <t>220-3-K-26, (25.08.2026) [FHM-K]</t>
        </is>
      </c>
      <c r="Y115" s="2" t="inlineStr">
        <is>
          <t>220-3-M-26, (11.09.2026) [FHM-M]</t>
        </is>
      </c>
      <c r="Z115" s="2" t="inlineStr">
        <is>
          <t>#8, #9, #11, #12 from the initial testing</t>
        </is>
      </c>
      <c r="AA115" s="2" t="inlineStr">
        <is>
          <t>P050222|R2</t>
        </is>
      </c>
      <c r="AB115" s="7" t="inlineStr">
        <is>
          <t>registered — retest 2 · Tranche 2 (sampled 12–14.08.2026), tested 12.08.2026, issued 17.08.2026</t>
        </is>
      </c>
    </row>
    <row r="116">
      <c r="A116" s="2" t="n">
        <v>115</v>
      </c>
      <c r="B116" s="3" t="inlineStr">
        <is>
          <t>iCoA-PP_26-115</t>
        </is>
      </c>
      <c r="C116" s="4" t="inlineStr">
        <is>
          <t>yes</t>
        </is>
      </c>
      <c r="D116" s="5" t="n">
        <v>46251</v>
      </c>
      <c r="E116" s="5" t="n">
        <v>46246</v>
      </c>
      <c r="F116" s="5">
        <f>IFERROR(INDEX('Batch Dates'!$G:$G,MATCH(J116,'Batch Dates'!$C:$C,0)),IFERROR(INDEX('Batch Dates'!$G:$G,MATCH(I116,'Batch Dates'!$B:$B,0)),""))</f>
        <v/>
      </c>
      <c r="G116" s="2" t="inlineStr">
        <is>
          <t>legacy</t>
        </is>
      </c>
      <c r="H116" s="2" t="inlineStr">
        <is>
          <t>retest 1</t>
        </is>
      </c>
      <c r="I116" s="3" t="inlineStr">
        <is>
          <t>CJ082501/1</t>
        </is>
      </c>
      <c r="J116" s="2" t="inlineStr">
        <is>
          <t>P060022</t>
        </is>
      </c>
      <c r="K116" s="2" t="inlineStr">
        <is>
          <t>Cap Junky</t>
        </is>
      </c>
      <c r="L116" s="2" t="inlineStr">
        <is>
          <t>Ident A + Ident B + Foreign matter</t>
        </is>
      </c>
      <c r="M116" s="6" t="inlineStr">
        <is>
          <t>—</t>
        </is>
      </c>
      <c r="N116" s="2">
        <f>IFERROR(INDEX('CoQ Register'!$B:$B,MATCH("P060022|R",'CoQ Register'!$S:$S,0)),"—")</f>
        <v/>
      </c>
      <c r="O116" s="6" t="inlineStr">
        <is>
          <t>—</t>
        </is>
      </c>
      <c r="P116" s="2" t="inlineStr">
        <is>
          <t>16.01.2027</t>
        </is>
      </c>
      <c r="Q116" s="2" t="inlineStr">
        <is>
          <t>09.12.2025 – 10.12.2025</t>
        </is>
      </c>
      <c r="R116" s="2" t="inlineStr">
        <is>
          <t>16.01.2026</t>
        </is>
      </c>
      <c r="S116" s="5">
        <f>IFERROR(INDEX('CoQ Register'!$D:$D,MATCH("P060022|R",'CoQ Register'!$S:$S,0)),"")</f>
        <v/>
      </c>
      <c r="T116" s="2" t="inlineStr">
        <is>
          <t>Conforms</t>
        </is>
      </c>
      <c r="U116" s="2" t="inlineStr">
        <is>
          <t>Conforms</t>
        </is>
      </c>
      <c r="V116" s="2" t="inlineStr">
        <is>
          <t>Conforms</t>
        </is>
      </c>
      <c r="W116" s="2" t="inlineStr">
        <is>
          <t>220-4-K-26, (25.08.2026) [FHM-K]</t>
        </is>
      </c>
      <c r="X116" s="2" t="inlineStr">
        <is>
          <t>220-4-K-26, (25.08.2026) [FHM-K]</t>
        </is>
      </c>
      <c r="Y116" s="2" t="inlineStr">
        <is>
          <t>220-4-M-26, (11.09.2026) [FHM-M]</t>
        </is>
      </c>
      <c r="Z116" s="2" t="inlineStr">
        <is>
          <t>#8, #9, #11, #12 from the initial testing</t>
        </is>
      </c>
      <c r="AA116" s="2" t="inlineStr">
        <is>
          <t>P060022|R</t>
        </is>
      </c>
      <c r="AB116" s="7" t="inlineStr">
        <is>
          <t>registered — retest 1 · Tranche 2 (sampled 12–14.08.2026), tested 12.08.2026, issued 17.08.2026</t>
        </is>
      </c>
    </row>
    <row r="117">
      <c r="A117" s="2" t="n">
        <v>116</v>
      </c>
      <c r="B117" s="3" t="inlineStr">
        <is>
          <t>iCoA-PP_26-116</t>
        </is>
      </c>
      <c r="C117" s="4" t="inlineStr">
        <is>
          <t>yes</t>
        </is>
      </c>
      <c r="D117" s="5" t="n">
        <v>46251</v>
      </c>
      <c r="E117" s="5" t="n">
        <v>46246</v>
      </c>
      <c r="F117" s="5">
        <f>IFERROR(INDEX('Batch Dates'!$G:$G,MATCH(J117,'Batch Dates'!$C:$C,0)),IFERROR(INDEX('Batch Dates'!$G:$G,MATCH(I117,'Batch Dates'!$B:$B,0)),""))</f>
        <v/>
      </c>
      <c r="G117" s="2" t="inlineStr">
        <is>
          <t>legacy</t>
        </is>
      </c>
      <c r="H117" s="2" t="inlineStr">
        <is>
          <t>retest 1</t>
        </is>
      </c>
      <c r="I117" s="3" t="inlineStr">
        <is>
          <t>CJ092501</t>
        </is>
      </c>
      <c r="J117" s="2" t="inlineStr">
        <is>
          <t>P060072</t>
        </is>
      </c>
      <c r="K117" s="2" t="inlineStr">
        <is>
          <t>Cap Junky</t>
        </is>
      </c>
      <c r="L117" s="2" t="inlineStr">
        <is>
          <t>Ident A + Ident B + Foreign matter</t>
        </is>
      </c>
      <c r="M117" s="6" t="inlineStr">
        <is>
          <t>—</t>
        </is>
      </c>
      <c r="N117" s="2">
        <f>IFERROR(INDEX('CoQ Register'!$B:$B,MATCH("P060072|R",'CoQ Register'!$S:$S,0)),"—")</f>
        <v/>
      </c>
      <c r="O117" s="6" t="inlineStr">
        <is>
          <t>—</t>
        </is>
      </c>
      <c r="P117" s="2" t="inlineStr">
        <is>
          <t>02.02.2027</t>
        </is>
      </c>
      <c r="Q117" s="2" t="inlineStr">
        <is>
          <t>12.12.2025</t>
        </is>
      </c>
      <c r="R117" s="2" t="inlineStr">
        <is>
          <t>02.02.2026</t>
        </is>
      </c>
      <c r="S117" s="5">
        <f>IFERROR(INDEX('CoQ Register'!$D:$D,MATCH("P060072|R",'CoQ Register'!$S:$S,0)),"")</f>
        <v/>
      </c>
      <c r="T117" s="2" t="inlineStr">
        <is>
          <t>Conforms</t>
        </is>
      </c>
      <c r="U117" s="2" t="inlineStr">
        <is>
          <t>Conforms</t>
        </is>
      </c>
      <c r="V117" s="2" t="inlineStr">
        <is>
          <t>Conforms</t>
        </is>
      </c>
      <c r="W117" s="2" t="inlineStr">
        <is>
          <t>220-5-K-26, (25.08.2026) [FHM-K]</t>
        </is>
      </c>
      <c r="X117" s="2" t="inlineStr">
        <is>
          <t>220-5-K-26, (25.08.2026) [FHM-K]</t>
        </is>
      </c>
      <c r="Y117" s="2" t="inlineStr">
        <is>
          <t>220-5-M-26, (11.09.2026) [FHM-M]</t>
        </is>
      </c>
      <c r="Z117" s="2" t="inlineStr">
        <is>
          <t>#8, #9, #11, #12 from the initial testing</t>
        </is>
      </c>
      <c r="AA117" s="2" t="inlineStr">
        <is>
          <t>P060072|R</t>
        </is>
      </c>
      <c r="AB117" s="7" t="inlineStr">
        <is>
          <t>registered — retest 1 · Tranche 2 (sampled 12–14.08.2026), tested 12.08.2026, issued 17.08.2026</t>
        </is>
      </c>
    </row>
    <row r="118">
      <c r="A118" s="2" t="n">
        <v>117</v>
      </c>
      <c r="B118" s="3" t="inlineStr">
        <is>
          <t>iCoA-PP_26-117</t>
        </is>
      </c>
      <c r="C118" s="4" t="inlineStr">
        <is>
          <t>yes</t>
        </is>
      </c>
      <c r="D118" s="5" t="n">
        <v>46251</v>
      </c>
      <c r="E118" s="5" t="n">
        <v>46246</v>
      </c>
      <c r="F118" s="5">
        <f>IFERROR(INDEX('Batch Dates'!$G:$G,MATCH(J118,'Batch Dates'!$C:$C,0)),IFERROR(INDEX('Batch Dates'!$G:$G,MATCH(I118,'Batch Dates'!$B:$B,0)),""))</f>
        <v/>
      </c>
      <c r="G118" s="2" t="inlineStr">
        <is>
          <t>legacy</t>
        </is>
      </c>
      <c r="H118" s="2" t="inlineStr">
        <is>
          <t>retest 1</t>
        </is>
      </c>
      <c r="I118" s="3" t="inlineStr">
        <is>
          <t>CLE072501</t>
        </is>
      </c>
      <c r="J118" s="2" t="inlineStr">
        <is>
          <t>P050282</t>
        </is>
      </c>
      <c r="K118" s="2" t="inlineStr">
        <is>
          <t>Clemosa A Bud</t>
        </is>
      </c>
      <c r="L118" s="2" t="inlineStr">
        <is>
          <t>Ident A + Ident B + Foreign matter</t>
        </is>
      </c>
      <c r="M118" s="6" t="inlineStr">
        <is>
          <t>—</t>
        </is>
      </c>
      <c r="N118" s="2">
        <f>IFERROR(INDEX('CoQ Register'!$B:$B,MATCH("P050282|R",'CoQ Register'!$S:$S,0)),"—")</f>
        <v/>
      </c>
      <c r="O118" s="6" t="inlineStr">
        <is>
          <t>—</t>
        </is>
      </c>
      <c r="P118" s="2" t="inlineStr">
        <is>
          <t>03.12.2026</t>
        </is>
      </c>
      <c r="Q118" s="2" t="inlineStr">
        <is>
          <t>28.10.2025</t>
        </is>
      </c>
      <c r="R118" s="2" t="inlineStr">
        <is>
          <t>03.12.2025 – 04.12.2025</t>
        </is>
      </c>
      <c r="S118" s="5">
        <f>IFERROR(INDEX('CoQ Register'!$D:$D,MATCH("P050282|R",'CoQ Register'!$S:$S,0)),"")</f>
        <v/>
      </c>
      <c r="T118" s="2" t="inlineStr">
        <is>
          <t>Conforms</t>
        </is>
      </c>
      <c r="U118" s="2" t="inlineStr">
        <is>
          <t>Conforms</t>
        </is>
      </c>
      <c r="V118" s="2" t="inlineStr">
        <is>
          <t>Conforms</t>
        </is>
      </c>
      <c r="W118" s="2" t="inlineStr">
        <is>
          <t>220-7-K-26, (25.08.2026) [FHM-K]</t>
        </is>
      </c>
      <c r="X118" s="2" t="inlineStr">
        <is>
          <t>220-7-K-26, (25.08.2026) [FHM-K]</t>
        </is>
      </c>
      <c r="Y118" s="2" t="inlineStr">
        <is>
          <t>220-7-M-26, (11.09.2026) [FHM-M]</t>
        </is>
      </c>
      <c r="Z118" s="2" t="inlineStr">
        <is>
          <t>#8, #9, #11, #12 from the initial testing</t>
        </is>
      </c>
      <c r="AA118" s="2" t="inlineStr">
        <is>
          <t>P050282|R</t>
        </is>
      </c>
      <c r="AB118" s="7" t="inlineStr">
        <is>
          <t>registered — retest 1 · Tranche 2 (sampled 12–14.08.2026), tested 12.08.2026, issued 17.08.2026</t>
        </is>
      </c>
    </row>
    <row r="119">
      <c r="A119" s="2" t="n">
        <v>118</v>
      </c>
      <c r="B119" s="3" t="inlineStr">
        <is>
          <t>iCoA-PP_26-118</t>
        </is>
      </c>
      <c r="C119" s="4" t="inlineStr">
        <is>
          <t>yes</t>
        </is>
      </c>
      <c r="D119" s="5" t="n">
        <v>46251</v>
      </c>
      <c r="E119" s="5" t="n">
        <v>46246</v>
      </c>
      <c r="F119" s="5">
        <f>IFERROR(INDEX('Batch Dates'!$G:$G,MATCH(J119,'Batch Dates'!$C:$C,0)),IFERROR(INDEX('Batch Dates'!$G:$G,MATCH(I119,'Batch Dates'!$B:$B,0)),""))</f>
        <v/>
      </c>
      <c r="G119" s="2" t="inlineStr">
        <is>
          <t>post-SOP</t>
        </is>
      </c>
      <c r="H119" s="2" t="inlineStr">
        <is>
          <t>retest 1</t>
        </is>
      </c>
      <c r="I119" s="3" t="inlineStr">
        <is>
          <t>FB012601_1</t>
        </is>
      </c>
      <c r="J119" s="2" t="inlineStr">
        <is>
          <t>P060322</t>
        </is>
      </c>
      <c r="K119" s="2" t="inlineStr">
        <is>
          <t>Fat Bastard</t>
        </is>
      </c>
      <c r="L119" s="2" t="inlineStr">
        <is>
          <t>Ident A + Ident B + Foreign matter</t>
        </is>
      </c>
      <c r="M119" s="6" t="inlineStr">
        <is>
          <t>—</t>
        </is>
      </c>
      <c r="N119" s="2">
        <f>IFERROR(INDEX('CoQ Register'!$B:$B,MATCH("P060322|R",'CoQ Register'!$S:$S,0)),"—")</f>
        <v/>
      </c>
      <c r="O119" s="6" t="inlineStr">
        <is>
          <t>—</t>
        </is>
      </c>
      <c r="P119" s="2" t="inlineStr">
        <is>
          <t>22.05.2027</t>
        </is>
      </c>
      <c r="Q119" s="2" t="inlineStr">
        <is>
          <t>27.03.2026</t>
        </is>
      </c>
      <c r="R119" s="2" t="inlineStr">
        <is>
          <t>22.05.2026</t>
        </is>
      </c>
      <c r="S119" s="5">
        <f>IFERROR(INDEX('CoQ Register'!$D:$D,MATCH("P060322|R",'CoQ Register'!$S:$S,0)),"")</f>
        <v/>
      </c>
      <c r="T119" s="2" t="inlineStr">
        <is>
          <t>Conforms</t>
        </is>
      </c>
      <c r="U119" s="2" t="inlineStr">
        <is>
          <t>Conforms</t>
        </is>
      </c>
      <c r="V119" s="2" t="inlineStr">
        <is>
          <t>Conforms</t>
        </is>
      </c>
      <c r="W119" s="2" t="inlineStr">
        <is>
          <t>220-8-K-26, (25.08.2026) [FHM-K]</t>
        </is>
      </c>
      <c r="X119" s="2" t="inlineStr">
        <is>
          <t>220-8-K-26, (25.08.2026) [FHM-K]</t>
        </is>
      </c>
      <c r="Y119" s="2" t="inlineStr">
        <is>
          <t>220-8-M-26, (11.09.2026) [FHM-M]</t>
        </is>
      </c>
      <c r="Z119" s="2" t="inlineStr">
        <is>
          <t>#8, #9, #11, #12 from the initial testing</t>
        </is>
      </c>
      <c r="AA119" s="2" t="inlineStr">
        <is>
          <t>P060322|R</t>
        </is>
      </c>
      <c r="AB119" s="7" t="inlineStr">
        <is>
          <t>registered — retest 1 · Tranche 2 (sampled 12–14.08.2026), tested 12.08.2026, issued 17.08.2026</t>
        </is>
      </c>
    </row>
    <row r="120">
      <c r="A120" s="2" t="n">
        <v>119</v>
      </c>
      <c r="B120" s="3" t="inlineStr">
        <is>
          <t>iCoA-PP_26-119</t>
        </is>
      </c>
      <c r="C120" s="4" t="inlineStr">
        <is>
          <t>yes</t>
        </is>
      </c>
      <c r="D120" s="5" t="n">
        <v>46251</v>
      </c>
      <c r="E120" s="5" t="n">
        <v>46246</v>
      </c>
      <c r="F120" s="5">
        <f>IFERROR(INDEX('Batch Dates'!$G:$G,MATCH(J120,'Batch Dates'!$C:$C,0)),IFERROR(INDEX('Batch Dates'!$G:$G,MATCH(I120,'Batch Dates'!$B:$B,0)),""))</f>
        <v/>
      </c>
      <c r="G120" s="2" t="inlineStr">
        <is>
          <t>legacy</t>
        </is>
      </c>
      <c r="H120" s="2" t="inlineStr">
        <is>
          <t>retest 1</t>
        </is>
      </c>
      <c r="I120" s="3" t="inlineStr">
        <is>
          <t>GG1024</t>
        </is>
      </c>
      <c r="J120" s="2" t="inlineStr">
        <is>
          <t>N/A — no P batch assigned</t>
        </is>
      </c>
      <c r="K120" s="2" t="inlineStr">
        <is>
          <t>Gorilla Glue</t>
        </is>
      </c>
      <c r="L120" s="2" t="inlineStr">
        <is>
          <t>Ident A + Ident B + Foreign matter</t>
        </is>
      </c>
      <c r="M120" s="6" t="inlineStr">
        <is>
          <t>—</t>
        </is>
      </c>
      <c r="N120" s="2">
        <f>IFERROR(INDEX('CoQ Register'!$B:$B,MATCH("GG1024|R",'CoQ Register'!$S:$S,0)),"—")</f>
        <v/>
      </c>
      <c r="O120" s="6" t="inlineStr">
        <is>
          <t>—</t>
        </is>
      </c>
      <c r="P120" s="2" t="inlineStr">
        <is>
          <t>11.03.2026</t>
        </is>
      </c>
      <c r="Q120" s="2" t="inlineStr">
        <is>
          <t>20.01.2025</t>
        </is>
      </c>
      <c r="R120" s="2" t="inlineStr">
        <is>
          <t>11.03.2025</t>
        </is>
      </c>
      <c r="S120" s="5">
        <f>IFERROR(INDEX('CoQ Register'!$D:$D,MATCH("GG1024|R",'CoQ Register'!$S:$S,0)),"")</f>
        <v/>
      </c>
      <c r="T120" s="2" t="inlineStr">
        <is>
          <t>Conforms</t>
        </is>
      </c>
      <c r="U120" s="2" t="inlineStr">
        <is>
          <t>Conforms</t>
        </is>
      </c>
      <c r="V120" s="2" t="inlineStr">
        <is>
          <t>Conforms</t>
        </is>
      </c>
      <c r="W120" s="2" t="inlineStr">
        <is>
          <t>220-9-K-26, (25.08.2026) [FHM-K]</t>
        </is>
      </c>
      <c r="X120" s="2" t="inlineStr">
        <is>
          <t>220-9-K-26, (25.08.2026) [FHM-K]</t>
        </is>
      </c>
      <c r="Y120" s="2" t="inlineStr">
        <is>
          <t>220-9-M-26, (11.09.2026) [FHM-M]</t>
        </is>
      </c>
      <c r="Z120" s="2" t="inlineStr">
        <is>
          <t>#8, #9, #11, #12 from the initial testing</t>
        </is>
      </c>
      <c r="AA120" s="2" t="inlineStr">
        <is>
          <t>GG1024|R</t>
        </is>
      </c>
      <c r="AB120" s="7" t="inlineStr">
        <is>
          <t>registered — retest 1 · Tranche 2 (sampled 12–14.08.2026), tested 12.08.2026, issued 17.08.2026</t>
        </is>
      </c>
    </row>
    <row r="121">
      <c r="A121" s="2" t="n">
        <v>120</v>
      </c>
      <c r="B121" s="3" t="inlineStr">
        <is>
          <t>iCoA-PP_26-120</t>
        </is>
      </c>
      <c r="C121" s="4" t="inlineStr">
        <is>
          <t>yes</t>
        </is>
      </c>
      <c r="D121" s="5" t="n">
        <v>46251</v>
      </c>
      <c r="E121" s="5" t="n">
        <v>46246</v>
      </c>
      <c r="F121" s="5">
        <f>IFERROR(INDEX('Batch Dates'!$G:$G,MATCH(J121,'Batch Dates'!$C:$C,0)),IFERROR(INDEX('Batch Dates'!$G:$G,MATCH(I121,'Batch Dates'!$B:$B,0)),""))</f>
        <v/>
      </c>
      <c r="G121" s="2" t="inlineStr">
        <is>
          <t>legacy</t>
        </is>
      </c>
      <c r="H121" s="2" t="inlineStr">
        <is>
          <t>retest 1</t>
        </is>
      </c>
      <c r="I121" s="3" t="inlineStr">
        <is>
          <t>GP072501/2</t>
        </is>
      </c>
      <c r="J121" s="2" t="inlineStr">
        <is>
          <t>P050302</t>
        </is>
      </c>
      <c r="K121" s="2" t="inlineStr">
        <is>
          <t>Grape Pie</t>
        </is>
      </c>
      <c r="L121" s="2" t="inlineStr">
        <is>
          <t>Ident A + Ident B + Foreign matter</t>
        </is>
      </c>
      <c r="M121" s="6" t="inlineStr">
        <is>
          <t>—</t>
        </is>
      </c>
      <c r="N121" s="2">
        <f>IFERROR(INDEX('CoQ Register'!$B:$B,MATCH("P050302|R",'CoQ Register'!$S:$S,0)),"—")</f>
        <v/>
      </c>
      <c r="O121" s="6" t="inlineStr">
        <is>
          <t>—</t>
        </is>
      </c>
      <c r="P121" s="2" t="inlineStr">
        <is>
          <t>22.12.2026</t>
        </is>
      </c>
      <c r="Q121" s="2" t="inlineStr">
        <is>
          <t>13.11.2025</t>
        </is>
      </c>
      <c r="R121" s="2" t="inlineStr">
        <is>
          <t>22.12.2025</t>
        </is>
      </c>
      <c r="S121" s="5">
        <f>IFERROR(INDEX('CoQ Register'!$D:$D,MATCH("P050302|R",'CoQ Register'!$S:$S,0)),"")</f>
        <v/>
      </c>
      <c r="T121" s="2" t="inlineStr">
        <is>
          <t>Conforms</t>
        </is>
      </c>
      <c r="U121" s="2" t="inlineStr">
        <is>
          <t>Conforms</t>
        </is>
      </c>
      <c r="V121" s="2" t="inlineStr">
        <is>
          <t>Conforms</t>
        </is>
      </c>
      <c r="W121" s="2" t="inlineStr">
        <is>
          <t>220-10-K-26, (25.08.2026) [FHM-K]</t>
        </is>
      </c>
      <c r="X121" s="2" t="inlineStr">
        <is>
          <t>220-10-K-26, (25.08.2026) [FHM-K]</t>
        </is>
      </c>
      <c r="Y121" s="2" t="inlineStr">
        <is>
          <t>220-10-M-26, (11.09.2026) [FHM-M]</t>
        </is>
      </c>
      <c r="Z121" s="2" t="inlineStr">
        <is>
          <t>#8, #9, #11, #12 from the initial testing</t>
        </is>
      </c>
      <c r="AA121" s="2" t="inlineStr">
        <is>
          <t>P050302|R</t>
        </is>
      </c>
      <c r="AB121" s="7" t="inlineStr">
        <is>
          <t>registered — retest 1 · Tranche 2 (sampled 12–14.08.2026), tested 12.08.2026, issued 17.08.2026</t>
        </is>
      </c>
    </row>
    <row r="122">
      <c r="A122" s="2" t="n">
        <v>121</v>
      </c>
      <c r="B122" s="3" t="inlineStr">
        <is>
          <t>iCoA-PP_26-121</t>
        </is>
      </c>
      <c r="C122" s="4" t="inlineStr">
        <is>
          <t>yes</t>
        </is>
      </c>
      <c r="D122" s="5" t="n">
        <v>46251</v>
      </c>
      <c r="E122" s="5" t="n">
        <v>46246</v>
      </c>
      <c r="F122" s="5">
        <f>IFERROR(INDEX('Batch Dates'!$G:$G,MATCH(J122,'Batch Dates'!$C:$C,0)),IFERROR(INDEX('Batch Dates'!$G:$G,MATCH(I122,'Batch Dates'!$B:$B,0)),""))</f>
        <v/>
      </c>
      <c r="G122" s="2" t="inlineStr">
        <is>
          <t>legacy</t>
        </is>
      </c>
      <c r="H122" s="2" t="inlineStr">
        <is>
          <t>retest 4</t>
        </is>
      </c>
      <c r="I122" s="3" t="inlineStr">
        <is>
          <t>GP0824_03</t>
        </is>
      </c>
      <c r="J122" s="2" t="inlineStr">
        <is>
          <t>P050072</t>
        </is>
      </c>
      <c r="K122" s="2" t="inlineStr">
        <is>
          <t>Grape Pie</t>
        </is>
      </c>
      <c r="L122" s="2" t="inlineStr">
        <is>
          <t>Ident A + Ident B + Foreign matter</t>
        </is>
      </c>
      <c r="M122" s="6" t="inlineStr">
        <is>
          <t>—</t>
        </is>
      </c>
      <c r="N122" s="2">
        <f>IFERROR(INDEX('CoQ Register'!$B:$B,MATCH("P050072|R4",'CoQ Register'!$S:$S,0)),"—")</f>
        <v/>
      </c>
      <c r="O122" s="6" t="inlineStr">
        <is>
          <t>—</t>
        </is>
      </c>
      <c r="P122" s="2" t="inlineStr">
        <is>
          <t>14.07.2026</t>
        </is>
      </c>
      <c r="Q122" s="2" t="inlineStr">
        <is>
          <t>09.06.2025 – 10.06.2025</t>
        </is>
      </c>
      <c r="R122" s="2" t="inlineStr">
        <is>
          <t>14.07.2025 – 17.07.2025</t>
        </is>
      </c>
      <c r="S122" s="5">
        <f>IFERROR(INDEX('CoQ Register'!$D:$D,MATCH("P050072|R4",'CoQ Register'!$S:$S,0)),"")</f>
        <v/>
      </c>
      <c r="T122" s="2" t="inlineStr">
        <is>
          <t>Conforms</t>
        </is>
      </c>
      <c r="U122" s="2" t="inlineStr">
        <is>
          <t>Conforms</t>
        </is>
      </c>
      <c r="V122" s="2" t="inlineStr">
        <is>
          <t>Conforms</t>
        </is>
      </c>
      <c r="W122" s="2" t="inlineStr">
        <is>
          <t>220-11-K-26, (25.08.2026) [FHM-K]</t>
        </is>
      </c>
      <c r="X122" s="2" t="inlineStr">
        <is>
          <t>220-11-K-26, (25.08.2026) [FHM-K]</t>
        </is>
      </c>
      <c r="Y122" s="2" t="inlineStr">
        <is>
          <t>220-11-M-26, (11.09.2026) [FHM-M]</t>
        </is>
      </c>
      <c r="Z122" s="2" t="inlineStr">
        <is>
          <t>#8, #9, #11, #12 from the initial testing</t>
        </is>
      </c>
      <c r="AA122" s="2" t="inlineStr">
        <is>
          <t>P050072|R4</t>
        </is>
      </c>
      <c r="AB122" s="7" t="inlineStr">
        <is>
          <t>registered — retest 4 · Tranche 2 (sampled 12–14.08.2026), tested 12.08.2026, issued 17.08.2026</t>
        </is>
      </c>
    </row>
    <row r="123">
      <c r="A123" s="2" t="n">
        <v>122</v>
      </c>
      <c r="B123" s="3" t="inlineStr">
        <is>
          <t>iCoA-PP_26-122</t>
        </is>
      </c>
      <c r="C123" s="4" t="inlineStr">
        <is>
          <t>yes</t>
        </is>
      </c>
      <c r="D123" s="5" t="n">
        <v>46251</v>
      </c>
      <c r="E123" s="5" t="n">
        <v>46247</v>
      </c>
      <c r="F123" s="5">
        <f>IFERROR(INDEX('Batch Dates'!$G:$G,MATCH(J123,'Batch Dates'!$C:$C,0)),IFERROR(INDEX('Batch Dates'!$G:$G,MATCH(I123,'Batch Dates'!$B:$B,0)),""))</f>
        <v/>
      </c>
      <c r="G123" s="2" t="inlineStr">
        <is>
          <t>legacy</t>
        </is>
      </c>
      <c r="H123" s="2" t="inlineStr">
        <is>
          <t>retest 1</t>
        </is>
      </c>
      <c r="I123" s="3" t="inlineStr">
        <is>
          <t>GP082501/1</t>
        </is>
      </c>
      <c r="J123" s="2" t="inlineStr">
        <is>
          <t>P050312</t>
        </is>
      </c>
      <c r="K123" s="2" t="inlineStr">
        <is>
          <t>Grape Pie</t>
        </is>
      </c>
      <c r="L123" s="2" t="inlineStr">
        <is>
          <t>Ident A + Ident B + Foreign matter</t>
        </is>
      </c>
      <c r="M123" s="6" t="inlineStr">
        <is>
          <t>—</t>
        </is>
      </c>
      <c r="N123" s="2">
        <f>IFERROR(INDEX('CoQ Register'!$B:$B,MATCH("P050312|R",'CoQ Register'!$S:$S,0)),"—")</f>
        <v/>
      </c>
      <c r="O123" s="6" t="inlineStr">
        <is>
          <t>—</t>
        </is>
      </c>
      <c r="P123" s="2" t="inlineStr">
        <is>
          <t>23.12.2026</t>
        </is>
      </c>
      <c r="Q123" s="2" t="inlineStr">
        <is>
          <t>19.11.2025 – 20.11.2025</t>
        </is>
      </c>
      <c r="R123" s="2" t="inlineStr">
        <is>
          <t>23.12.2025 – 26.12.2025</t>
        </is>
      </c>
      <c r="S123" s="5">
        <f>IFERROR(INDEX('CoQ Register'!$D:$D,MATCH("P050312|R",'CoQ Register'!$S:$S,0)),"")</f>
        <v/>
      </c>
      <c r="T123" s="2" t="inlineStr">
        <is>
          <t>Conforms</t>
        </is>
      </c>
      <c r="U123" s="2" t="inlineStr">
        <is>
          <t>Conforms</t>
        </is>
      </c>
      <c r="V123" s="2" t="inlineStr">
        <is>
          <t>Conforms</t>
        </is>
      </c>
      <c r="W123" s="2" t="inlineStr">
        <is>
          <t>220-12-K-26, (25.08.2026) [FHM-K]</t>
        </is>
      </c>
      <c r="X123" s="2" t="inlineStr">
        <is>
          <t>220-12-K-26, (25.08.2026) [FHM-K]</t>
        </is>
      </c>
      <c r="Y123" s="2" t="inlineStr">
        <is>
          <t>220-12-M-26, (11.09.2026) [FHM-M]</t>
        </is>
      </c>
      <c r="Z123" s="2" t="inlineStr">
        <is>
          <t>#8, #9, #11, #12 from the initial testing</t>
        </is>
      </c>
      <c r="AA123" s="2" t="inlineStr">
        <is>
          <t>P050312|R</t>
        </is>
      </c>
      <c r="AB123" s="7" t="inlineStr">
        <is>
          <t>registered — retest 1 · Tranche 2 (sampled 12–14.08.2026), tested 13.08.2026, issued 17.08.2026</t>
        </is>
      </c>
    </row>
    <row r="124">
      <c r="A124" s="2" t="n">
        <v>123</v>
      </c>
      <c r="B124" s="3" t="inlineStr">
        <is>
          <t>iCoA-PP_26-123</t>
        </is>
      </c>
      <c r="C124" s="4" t="inlineStr">
        <is>
          <t>yes</t>
        </is>
      </c>
      <c r="D124" s="5" t="n">
        <v>46251</v>
      </c>
      <c r="E124" s="5" t="n">
        <v>46247</v>
      </c>
      <c r="F124" s="5">
        <f>IFERROR(INDEX('Batch Dates'!$G:$G,MATCH(J124,'Batch Dates'!$C:$C,0)),IFERROR(INDEX('Batch Dates'!$G:$G,MATCH(I124,'Batch Dates'!$B:$B,0)),""))</f>
        <v/>
      </c>
      <c r="G124" s="2" t="inlineStr">
        <is>
          <t>legacy</t>
        </is>
      </c>
      <c r="H124" s="2" t="inlineStr">
        <is>
          <t>retest 1</t>
        </is>
      </c>
      <c r="I124" s="3" t="inlineStr">
        <is>
          <t>GP092501</t>
        </is>
      </c>
      <c r="J124" s="2" t="inlineStr">
        <is>
          <t>P060092</t>
        </is>
      </c>
      <c r="K124" s="2" t="inlineStr">
        <is>
          <t>Grape Pie</t>
        </is>
      </c>
      <c r="L124" s="2" t="inlineStr">
        <is>
          <t>Ident A + Ident B + Foreign matter</t>
        </is>
      </c>
      <c r="M124" s="6" t="inlineStr">
        <is>
          <t>—</t>
        </is>
      </c>
      <c r="N124" s="2">
        <f>IFERROR(INDEX('CoQ Register'!$B:$B,MATCH("P060092|R",'CoQ Register'!$S:$S,0)),"—")</f>
        <v/>
      </c>
      <c r="O124" s="6" t="inlineStr">
        <is>
          <t>—</t>
        </is>
      </c>
      <c r="P124" s="2" t="inlineStr">
        <is>
          <t>03.02.2027</t>
        </is>
      </c>
      <c r="Q124" s="2" t="inlineStr">
        <is>
          <t>16.12.2025 – 17.12.2025</t>
        </is>
      </c>
      <c r="R124" s="2" t="inlineStr">
        <is>
          <t>03.02.2026 – 09.02.2026</t>
        </is>
      </c>
      <c r="S124" s="5">
        <f>IFERROR(INDEX('CoQ Register'!$D:$D,MATCH("P060092|R",'CoQ Register'!$S:$S,0)),"")</f>
        <v/>
      </c>
      <c r="T124" s="2" t="inlineStr">
        <is>
          <t>Conforms</t>
        </is>
      </c>
      <c r="U124" s="2" t="inlineStr">
        <is>
          <t>Conforms</t>
        </is>
      </c>
      <c r="V124" s="2" t="inlineStr">
        <is>
          <t>Conforms</t>
        </is>
      </c>
      <c r="W124" s="2" t="inlineStr">
        <is>
          <t>220-13-K-26, (25.08.2026) [FHM-K]</t>
        </is>
      </c>
      <c r="X124" s="2" t="inlineStr">
        <is>
          <t>220-13-K-26, (25.08.2026) [FHM-K]</t>
        </is>
      </c>
      <c r="Y124" s="2" t="inlineStr">
        <is>
          <t>220-13-M-26, (11.09.2026) [FHM-M]</t>
        </is>
      </c>
      <c r="Z124" s="2" t="inlineStr">
        <is>
          <t>#8, #9, #11, #12 from the initial testing</t>
        </is>
      </c>
      <c r="AA124" s="2" t="inlineStr">
        <is>
          <t>P060092|R</t>
        </is>
      </c>
      <c r="AB124" s="7" t="inlineStr">
        <is>
          <t>registered — retest 1 · Tranche 2 (sampled 12–14.08.2026), tested 13.08.2026, issued 17.08.2026</t>
        </is>
      </c>
    </row>
    <row r="125">
      <c r="A125" s="2" t="n">
        <v>124</v>
      </c>
      <c r="B125" s="3" t="inlineStr">
        <is>
          <t>iCoA-PP_26-124</t>
        </is>
      </c>
      <c r="C125" s="4" t="inlineStr">
        <is>
          <t>yes</t>
        </is>
      </c>
      <c r="D125" s="5" t="n">
        <v>46251</v>
      </c>
      <c r="E125" s="5" t="n">
        <v>46247</v>
      </c>
      <c r="F125" s="5">
        <f>IFERROR(INDEX('Batch Dates'!$G:$G,MATCH(J125,'Batch Dates'!$C:$C,0)),IFERROR(INDEX('Batch Dates'!$G:$G,MATCH(I125,'Batch Dates'!$B:$B,0)),""))</f>
        <v/>
      </c>
      <c r="G125" s="2" t="inlineStr">
        <is>
          <t>legacy</t>
        </is>
      </c>
      <c r="H125" s="2" t="inlineStr">
        <is>
          <t>retest 2</t>
        </is>
      </c>
      <c r="I125" s="3" t="inlineStr">
        <is>
          <t>GRC102501</t>
        </is>
      </c>
      <c r="J125" s="2" t="inlineStr">
        <is>
          <t>P060182</t>
        </is>
      </c>
      <c r="K125" s="2" t="inlineStr">
        <is>
          <t>Grapes And Cream</t>
        </is>
      </c>
      <c r="L125" s="2" t="inlineStr">
        <is>
          <t>Ident A + Ident B + Foreign matter</t>
        </is>
      </c>
      <c r="M125" s="6" t="inlineStr">
        <is>
          <t>—</t>
        </is>
      </c>
      <c r="N125" s="2">
        <f>IFERROR(INDEX('CoQ Register'!$B:$B,MATCH("P060182|R2",'CoQ Register'!$S:$S,0)),"—")</f>
        <v/>
      </c>
      <c r="O125" s="6" t="inlineStr">
        <is>
          <t>—</t>
        </is>
      </c>
      <c r="P125" s="2" t="inlineStr">
        <is>
          <t>14.03.2027</t>
        </is>
      </c>
      <c r="Q125" s="2" t="inlineStr">
        <is>
          <t>20.01.2026</t>
        </is>
      </c>
      <c r="R125" s="2" t="inlineStr">
        <is>
          <t>14.03.2026</t>
        </is>
      </c>
      <c r="S125" s="5">
        <f>IFERROR(INDEX('CoQ Register'!$D:$D,MATCH("P060182|R2",'CoQ Register'!$S:$S,0)),"")</f>
        <v/>
      </c>
      <c r="T125" s="2" t="inlineStr">
        <is>
          <t>Conforms</t>
        </is>
      </c>
      <c r="U125" s="2" t="inlineStr">
        <is>
          <t>Conforms</t>
        </is>
      </c>
      <c r="V125" s="2" t="inlineStr">
        <is>
          <t>Conforms</t>
        </is>
      </c>
      <c r="W125" s="2" t="inlineStr">
        <is>
          <t>220-14-K-26, (25.08.2026) [FHM-K]</t>
        </is>
      </c>
      <c r="X125" s="2" t="inlineStr">
        <is>
          <t>220-14-K-26, (25.08.2026) [FHM-K]</t>
        </is>
      </c>
      <c r="Y125" s="2" t="inlineStr">
        <is>
          <t>220-14-M-26, (11.09.2026) [FHM-M]</t>
        </is>
      </c>
      <c r="Z125" s="2" t="inlineStr">
        <is>
          <t>#8, #9, #11, #12 from the initial testing</t>
        </is>
      </c>
      <c r="AA125" s="2" t="inlineStr">
        <is>
          <t>P060182|R2</t>
        </is>
      </c>
      <c r="AB125" s="7" t="inlineStr">
        <is>
          <t>registered — retest 2 · Tranche 2 (sampled 12–14.08.2026), tested 13.08.2026, issued 17.08.2026</t>
        </is>
      </c>
    </row>
    <row r="126">
      <c r="A126" s="2" t="n">
        <v>125</v>
      </c>
      <c r="B126" s="3" t="inlineStr">
        <is>
          <t>iCoA-PP_26-125</t>
        </is>
      </c>
      <c r="C126" s="4" t="inlineStr">
        <is>
          <t>yes</t>
        </is>
      </c>
      <c r="D126" s="5" t="n">
        <v>46251</v>
      </c>
      <c r="E126" s="5" t="n">
        <v>46247</v>
      </c>
      <c r="F126" s="5">
        <f>IFERROR(INDEX('Batch Dates'!$G:$G,MATCH(J126,'Batch Dates'!$C:$C,0)),IFERROR(INDEX('Batch Dates'!$G:$G,MATCH(I126,'Batch Dates'!$B:$B,0)),""))</f>
        <v/>
      </c>
      <c r="G126" s="2" t="inlineStr">
        <is>
          <t>legacy</t>
        </is>
      </c>
      <c r="H126" s="2" t="inlineStr">
        <is>
          <t>retest 1</t>
        </is>
      </c>
      <c r="I126" s="3" t="inlineStr">
        <is>
          <t>HPA052501</t>
        </is>
      </c>
      <c r="J126" s="2" t="inlineStr">
        <is>
          <t>P050182</t>
        </is>
      </c>
      <c r="K126" s="2" t="inlineStr">
        <is>
          <t>High Pro Amnesia</t>
        </is>
      </c>
      <c r="L126" s="2" t="inlineStr">
        <is>
          <t>Ident A + Ident B + Foreign matter</t>
        </is>
      </c>
      <c r="M126" s="6" t="inlineStr">
        <is>
          <t>—</t>
        </is>
      </c>
      <c r="N126" s="2">
        <f>IFERROR(INDEX('CoQ Register'!$B:$B,MATCH("P050182|R",'CoQ Register'!$S:$S,0)),"—")</f>
        <v/>
      </c>
      <c r="O126" s="6" t="inlineStr">
        <is>
          <t>—</t>
        </is>
      </c>
      <c r="P126" s="2" t="inlineStr">
        <is>
          <t>03.10.2026</t>
        </is>
      </c>
      <c r="Q126" s="2" t="inlineStr">
        <is>
          <t>21.08.2025 – 23.08.2025</t>
        </is>
      </c>
      <c r="R126" s="2" t="inlineStr">
        <is>
          <t>03.10.2025 – 09.10.2025</t>
        </is>
      </c>
      <c r="S126" s="5">
        <f>IFERROR(INDEX('CoQ Register'!$D:$D,MATCH("P050182|R",'CoQ Register'!$S:$S,0)),"")</f>
        <v/>
      </c>
      <c r="T126" s="2" t="inlineStr">
        <is>
          <t>Conforms</t>
        </is>
      </c>
      <c r="U126" s="2" t="inlineStr">
        <is>
          <t>Conforms</t>
        </is>
      </c>
      <c r="V126" s="2" t="inlineStr">
        <is>
          <t>Conforms</t>
        </is>
      </c>
      <c r="W126" s="2" t="inlineStr">
        <is>
          <t>220-15-K-26, (25.08.2026) [FHM-K]</t>
        </is>
      </c>
      <c r="X126" s="2" t="inlineStr">
        <is>
          <t>220-15-K-26, (25.08.2026) [FHM-K]</t>
        </is>
      </c>
      <c r="Y126" s="2" t="inlineStr">
        <is>
          <t>220-15-M-26, (11.09.2026) [FHM-M]</t>
        </is>
      </c>
      <c r="Z126" s="2" t="inlineStr">
        <is>
          <t>#8, #9, #11, #12 from the initial testing</t>
        </is>
      </c>
      <c r="AA126" s="2" t="inlineStr">
        <is>
          <t>P050182|R</t>
        </is>
      </c>
      <c r="AB126" s="7" t="inlineStr">
        <is>
          <t>registered — retest 1 · Tranche 2 (sampled 12–14.08.2026), tested 13.08.2026, issued 17.08.2026</t>
        </is>
      </c>
    </row>
    <row r="127">
      <c r="A127" s="2" t="n">
        <v>126</v>
      </c>
      <c r="B127" s="3" t="inlineStr">
        <is>
          <t>iCoA-PP_26-126</t>
        </is>
      </c>
      <c r="C127" s="4" t="inlineStr">
        <is>
          <t>yes</t>
        </is>
      </c>
      <c r="D127" s="5" t="n">
        <v>46251</v>
      </c>
      <c r="E127" s="5" t="n">
        <v>46247</v>
      </c>
      <c r="F127" s="5">
        <f>IFERROR(INDEX('Batch Dates'!$G:$G,MATCH(J127,'Batch Dates'!$C:$C,0)),IFERROR(INDEX('Batch Dates'!$G:$G,MATCH(I127,'Batch Dates'!$B:$B,0)),""))</f>
        <v/>
      </c>
      <c r="G127" s="2" t="inlineStr">
        <is>
          <t>post-SOP</t>
        </is>
      </c>
      <c r="H127" s="2" t="inlineStr">
        <is>
          <t>retest 1</t>
        </is>
      </c>
      <c r="I127" s="3" t="inlineStr">
        <is>
          <t>JD012603</t>
        </is>
      </c>
      <c r="J127" s="2" t="inlineStr">
        <is>
          <t>P060412</t>
        </is>
      </c>
      <c r="K127" s="2" t="inlineStr">
        <is>
          <t>Jelly Donuts</t>
        </is>
      </c>
      <c r="L127" s="2" t="inlineStr">
        <is>
          <t>Ident A + Ident B + Foreign matter</t>
        </is>
      </c>
      <c r="M127" s="6" t="inlineStr">
        <is>
          <t>—</t>
        </is>
      </c>
      <c r="N127" s="2">
        <f>IFERROR(INDEX('CoQ Register'!$B:$B,MATCH("P060412|R",'CoQ Register'!$S:$S,0)),"—")</f>
        <v/>
      </c>
      <c r="O127" s="6" t="inlineStr">
        <is>
          <t>—</t>
        </is>
      </c>
      <c r="P127" s="2" t="inlineStr">
        <is>
          <t>24.05.2027</t>
        </is>
      </c>
      <c r="Q127" s="2" t="inlineStr">
        <is>
          <t>04.05.2026</t>
        </is>
      </c>
      <c r="R127" s="2" t="inlineStr">
        <is>
          <t>24.05.2026</t>
        </is>
      </c>
      <c r="S127" s="5">
        <f>IFERROR(INDEX('CoQ Register'!$D:$D,MATCH("P060412|R",'CoQ Register'!$S:$S,0)),"")</f>
        <v/>
      </c>
      <c r="T127" s="2" t="inlineStr">
        <is>
          <t>CNP ППК26111</t>
        </is>
      </c>
      <c r="U127" s="2" t="inlineStr">
        <is>
          <t>CNP ППК26111</t>
        </is>
      </c>
      <c r="V127" s="2" t="inlineStr">
        <is>
          <t>Conforms</t>
        </is>
      </c>
      <c r="W127" s="2" t="inlineStr">
        <is>
          <t>220-17-K-26, (26.08.2026) [FHM-K]</t>
        </is>
      </c>
      <c r="X127" s="2" t="inlineStr">
        <is>
          <t>220-17-K-26, (26.08.2026) [FHM-K]</t>
        </is>
      </c>
      <c r="Y127" s="2" t="inlineStr">
        <is>
          <t>220-17-M-26, (11.09.2026) [FHM-M]</t>
        </is>
      </c>
      <c r="Z127" s="2" t="inlineStr">
        <is>
          <t>#8, #9, #11, #12 from the initial testing</t>
        </is>
      </c>
      <c r="AA127" s="2" t="inlineStr">
        <is>
          <t>P060412|R</t>
        </is>
      </c>
      <c r="AB127" s="7" t="inlineStr">
        <is>
          <t>registered — retest 1 · Tranche 2 (sampled 12–14.08.2026), tested 13.08.2026, issued 17.08.2026</t>
        </is>
      </c>
    </row>
    <row r="128">
      <c r="A128" s="2" t="n">
        <v>127</v>
      </c>
      <c r="B128" s="3" t="inlineStr">
        <is>
          <t>iCoA-PP_26-127</t>
        </is>
      </c>
      <c r="C128" s="4" t="inlineStr">
        <is>
          <t>yes</t>
        </is>
      </c>
      <c r="D128" s="5" t="n">
        <v>46251</v>
      </c>
      <c r="E128" s="5" t="n">
        <v>46247</v>
      </c>
      <c r="F128" s="5">
        <f>IFERROR(INDEX('Batch Dates'!$G:$G,MATCH(J128,'Batch Dates'!$C:$C,0)),IFERROR(INDEX('Batch Dates'!$G:$G,MATCH(I128,'Batch Dates'!$B:$B,0)),""))</f>
        <v/>
      </c>
      <c r="G128" s="2" t="inlineStr">
        <is>
          <t>post-SOP</t>
        </is>
      </c>
      <c r="H128" s="2" t="inlineStr">
        <is>
          <t>retest 1</t>
        </is>
      </c>
      <c r="I128" s="3" t="inlineStr">
        <is>
          <t>JD012603</t>
        </is>
      </c>
      <c r="J128" s="2" t="inlineStr">
        <is>
          <t>P060422</t>
        </is>
      </c>
      <c r="K128" s="2" t="inlineStr">
        <is>
          <t>Jelly Donuts</t>
        </is>
      </c>
      <c r="L128" s="2" t="inlineStr">
        <is>
          <t>Ident A + Ident B + Foreign matter</t>
        </is>
      </c>
      <c r="M128" s="6" t="inlineStr">
        <is>
          <t>—</t>
        </is>
      </c>
      <c r="N128" s="2">
        <f>IFERROR(INDEX('CoQ Register'!$B:$B,MATCH("P060422|R",'CoQ Register'!$S:$S,0)),"—")</f>
        <v/>
      </c>
      <c r="O128" s="6" t="inlineStr">
        <is>
          <t>—</t>
        </is>
      </c>
      <c r="P128" s="2" t="inlineStr">
        <is>
          <t>23.05.2027</t>
        </is>
      </c>
      <c r="Q128" s="2" t="inlineStr">
        <is>
          <t>29.04.2026</t>
        </is>
      </c>
      <c r="R128" s="2" t="inlineStr">
        <is>
          <t>23.05.2026</t>
        </is>
      </c>
      <c r="S128" s="5">
        <f>IFERROR(INDEX('CoQ Register'!$D:$D,MATCH("P060422|R",'CoQ Register'!$S:$S,0)),"")</f>
        <v/>
      </c>
      <c r="T128" s="2" t="inlineStr">
        <is>
          <t>CNP ППК26111</t>
        </is>
      </c>
      <c r="U128" s="2" t="inlineStr">
        <is>
          <t>CNP ППК26111</t>
        </is>
      </c>
      <c r="V128" s="2" t="inlineStr">
        <is>
          <t>Conforms</t>
        </is>
      </c>
      <c r="W128" s="2" t="inlineStr">
        <is>
          <t>220-18-K-26, (26.08.2026) [FHM-K]</t>
        </is>
      </c>
      <c r="X128" s="2" t="inlineStr">
        <is>
          <t>220-18-K-26, (26.08.2026) [FHM-K]</t>
        </is>
      </c>
      <c r="Y128" s="2" t="inlineStr">
        <is>
          <t>220-18-M-26, (11.09.2026) [FHM-M]</t>
        </is>
      </c>
      <c r="Z128" s="2" t="inlineStr">
        <is>
          <t>#8, #9, #11, #12 from the initial testing</t>
        </is>
      </c>
      <c r="AA128" s="2" t="inlineStr">
        <is>
          <t>P060422|R</t>
        </is>
      </c>
      <c r="AB128" s="7" t="inlineStr">
        <is>
          <t>registered — retest 1 · Tranche 2 (sampled 12–14.08.2026), tested 13.08.2026, issued 17.08.2026</t>
        </is>
      </c>
    </row>
    <row r="129">
      <c r="A129" s="2" t="n">
        <v>128</v>
      </c>
      <c r="B129" s="3" t="inlineStr">
        <is>
          <t>iCoA-PP_26-128</t>
        </is>
      </c>
      <c r="C129" s="4" t="inlineStr">
        <is>
          <t>yes</t>
        </is>
      </c>
      <c r="D129" s="5" t="n">
        <v>46251</v>
      </c>
      <c r="E129" s="5" t="n">
        <v>46247</v>
      </c>
      <c r="F129" s="5">
        <f>IFERROR(INDEX('Batch Dates'!$G:$G,MATCH(J129,'Batch Dates'!$C:$C,0)),IFERROR(INDEX('Batch Dates'!$G:$G,MATCH(I129,'Batch Dates'!$B:$B,0)),""))</f>
        <v/>
      </c>
      <c r="G129" s="2" t="inlineStr">
        <is>
          <t>post-SOP</t>
        </is>
      </c>
      <c r="H129" s="2" t="inlineStr">
        <is>
          <t>retest 1</t>
        </is>
      </c>
      <c r="I129" s="3" t="inlineStr">
        <is>
          <t>JD012603</t>
        </is>
      </c>
      <c r="J129" s="2" t="inlineStr">
        <is>
          <t>P060362</t>
        </is>
      </c>
      <c r="K129" s="2" t="inlineStr">
        <is>
          <t>Jelly Donuts</t>
        </is>
      </c>
      <c r="L129" s="2" t="inlineStr">
        <is>
          <t>Ident A + Ident B + Foreign matter</t>
        </is>
      </c>
      <c r="M129" s="6" t="inlineStr">
        <is>
          <t>—</t>
        </is>
      </c>
      <c r="N129" s="2">
        <f>IFERROR(INDEX('CoQ Register'!$B:$B,MATCH("P060362|R",'CoQ Register'!$S:$S,0)),"—")</f>
        <v/>
      </c>
      <c r="O129" s="6" t="inlineStr">
        <is>
          <t>—</t>
        </is>
      </c>
      <c r="P129" s="2" t="inlineStr">
        <is>
          <t>23.05.2027</t>
        </is>
      </c>
      <c r="Q129" s="2" t="inlineStr">
        <is>
          <t>22.04.2026</t>
        </is>
      </c>
      <c r="R129" s="2" t="inlineStr">
        <is>
          <t>23.05.2026</t>
        </is>
      </c>
      <c r="S129" s="5">
        <f>IFERROR(INDEX('CoQ Register'!$D:$D,MATCH("P060362|R",'CoQ Register'!$S:$S,0)),"")</f>
        <v/>
      </c>
      <c r="T129" s="2" t="inlineStr">
        <is>
          <t>CNP ППК26111</t>
        </is>
      </c>
      <c r="U129" s="2" t="inlineStr">
        <is>
          <t>CNP ППК26111</t>
        </is>
      </c>
      <c r="V129" s="2" t="inlineStr">
        <is>
          <t>Conforms</t>
        </is>
      </c>
      <c r="W129" s="2" t="inlineStr">
        <is>
          <t>220-16-K-26, (25.08.2026) [FHM-K]</t>
        </is>
      </c>
      <c r="X129" s="2" t="inlineStr">
        <is>
          <t>220-16-K-26, (25.08.2026) [FHM-K]</t>
        </is>
      </c>
      <c r="Y129" s="2" t="inlineStr">
        <is>
          <t>220-16-M-26, (11.09.2026) [FHM-M]</t>
        </is>
      </c>
      <c r="Z129" s="2" t="inlineStr">
        <is>
          <t>#8, #9, #11, #12 from the initial testing</t>
        </is>
      </c>
      <c r="AA129" s="2" t="inlineStr">
        <is>
          <t>P060362|R</t>
        </is>
      </c>
      <c r="AB129" s="7" t="inlineStr">
        <is>
          <t>registered — retest 1 · Tranche 2 (sampled 12–14.08.2026), tested 13.08.2026, issued 17.08.2026</t>
        </is>
      </c>
    </row>
    <row r="130">
      <c r="A130" s="2" t="n">
        <v>129</v>
      </c>
      <c r="B130" s="3" t="inlineStr">
        <is>
          <t>iCoA-PP_26-129</t>
        </is>
      </c>
      <c r="C130" s="4" t="inlineStr">
        <is>
          <t>yes</t>
        </is>
      </c>
      <c r="D130" s="5" t="n">
        <v>46251</v>
      </c>
      <c r="E130" s="5" t="n">
        <v>46247</v>
      </c>
      <c r="F130" s="5">
        <f>IFERROR(INDEX('Batch Dates'!$G:$G,MATCH(J130,'Batch Dates'!$C:$C,0)),IFERROR(INDEX('Batch Dates'!$G:$G,MATCH(I130,'Batch Dates'!$B:$B,0)),""))</f>
        <v/>
      </c>
      <c r="G130" s="2" t="inlineStr">
        <is>
          <t>legacy</t>
        </is>
      </c>
      <c r="H130" s="2" t="inlineStr">
        <is>
          <t>retest 1</t>
        </is>
      </c>
      <c r="I130" s="3" t="inlineStr">
        <is>
          <t>KC102501</t>
        </is>
      </c>
      <c r="J130" s="2" t="inlineStr">
        <is>
          <t>P060172</t>
        </is>
      </c>
      <c r="K130" s="2" t="inlineStr">
        <is>
          <t>Kush Crasher</t>
        </is>
      </c>
      <c r="L130" s="2" t="inlineStr">
        <is>
          <t>Ident A + Ident B + Foreign matter</t>
        </is>
      </c>
      <c r="M130" s="6" t="inlineStr">
        <is>
          <t>—</t>
        </is>
      </c>
      <c r="N130" s="2">
        <f>IFERROR(INDEX('CoQ Register'!$B:$B,MATCH("P060172|R",'CoQ Register'!$S:$S,0)),"—")</f>
        <v/>
      </c>
      <c r="O130" s="6" t="inlineStr">
        <is>
          <t>—</t>
        </is>
      </c>
      <c r="P130" s="2" t="inlineStr">
        <is>
          <t>12.03.2027</t>
        </is>
      </c>
      <c r="Q130" s="2" t="inlineStr">
        <is>
          <t>20.01.2026 – 21.01.2026</t>
        </is>
      </c>
      <c r="R130" s="2" t="inlineStr">
        <is>
          <t>12.03.2026</t>
        </is>
      </c>
      <c r="S130" s="5">
        <f>IFERROR(INDEX('CoQ Register'!$D:$D,MATCH("P060172|R",'CoQ Register'!$S:$S,0)),"")</f>
        <v/>
      </c>
      <c r="T130" s="2" t="inlineStr">
        <is>
          <t>Conforms</t>
        </is>
      </c>
      <c r="U130" s="2" t="inlineStr">
        <is>
          <t>Conforms</t>
        </is>
      </c>
      <c r="V130" s="2" t="inlineStr">
        <is>
          <t>Conforms</t>
        </is>
      </c>
      <c r="W130" s="2" t="inlineStr">
        <is>
          <t>220-19-K-26, (26.08.2026) [FHM-K]</t>
        </is>
      </c>
      <c r="X130" s="2" t="inlineStr">
        <is>
          <t>220-19-K-26, (26.08.2026) [FHM-K]</t>
        </is>
      </c>
      <c r="Y130" s="2" t="inlineStr">
        <is>
          <t>220-19-M-26, (11.09.2026) [FHM-M]</t>
        </is>
      </c>
      <c r="Z130" s="2" t="inlineStr">
        <is>
          <t>#8, #9, #11, #12 from the initial testing</t>
        </is>
      </c>
      <c r="AA130" s="2" t="inlineStr">
        <is>
          <t>P060172|R</t>
        </is>
      </c>
      <c r="AB130" s="7" t="inlineStr">
        <is>
          <t>registered — retest 1 · Tranche 2 (sampled 12–14.08.2026), tested 13.08.2026, issued 17.08.2026</t>
        </is>
      </c>
    </row>
    <row r="131">
      <c r="A131" s="2" t="n">
        <v>130</v>
      </c>
      <c r="B131" s="3" t="inlineStr">
        <is>
          <t>iCoA-PP_26-130</t>
        </is>
      </c>
      <c r="C131" s="4" t="inlineStr">
        <is>
          <t>yes</t>
        </is>
      </c>
      <c r="D131" s="5" t="n">
        <v>46251</v>
      </c>
      <c r="E131" s="5" t="n">
        <v>46247</v>
      </c>
      <c r="F131" s="5">
        <f>IFERROR(INDEX('Batch Dates'!$G:$G,MATCH(J131,'Batch Dates'!$C:$C,0)),IFERROR(INDEX('Batch Dates'!$G:$G,MATCH(I131,'Batch Dates'!$B:$B,0)),""))</f>
        <v/>
      </c>
      <c r="G131" s="2" t="inlineStr">
        <is>
          <t>legacy</t>
        </is>
      </c>
      <c r="H131" s="2" t="inlineStr">
        <is>
          <t>retest 1</t>
        </is>
      </c>
      <c r="I131" s="3" t="inlineStr">
        <is>
          <t>MB0824_05</t>
        </is>
      </c>
      <c r="J131" s="2" t="inlineStr">
        <is>
          <t>P050112</t>
        </is>
      </c>
      <c r="K131" s="2" t="inlineStr">
        <is>
          <t>Motor Breath</t>
        </is>
      </c>
      <c r="L131" s="2" t="inlineStr">
        <is>
          <t>Ident A + Ident B + Foreign matter</t>
        </is>
      </c>
      <c r="M131" s="6" t="inlineStr">
        <is>
          <t>—</t>
        </is>
      </c>
      <c r="N131" s="2">
        <f>IFERROR(INDEX('CoQ Register'!$B:$B,MATCH("P050112|R",'CoQ Register'!$S:$S,0)),"—")</f>
        <v/>
      </c>
      <c r="O131" s="6" t="inlineStr">
        <is>
          <t>—</t>
        </is>
      </c>
      <c r="P131" s="2" t="inlineStr">
        <is>
          <t>25.08.2026</t>
        </is>
      </c>
      <c r="Q131" s="2" t="inlineStr">
        <is>
          <t>08.07.2025 – 09.07.2025</t>
        </is>
      </c>
      <c r="R131" s="2" t="inlineStr">
        <is>
          <t>25.08.2025 – 31.08.2025</t>
        </is>
      </c>
      <c r="S131" s="5">
        <f>IFERROR(INDEX('CoQ Register'!$D:$D,MATCH("P050112|R",'CoQ Register'!$S:$S,0)),"")</f>
        <v/>
      </c>
      <c r="T131" s="2" t="inlineStr">
        <is>
          <t>Conforms</t>
        </is>
      </c>
      <c r="U131" s="2" t="inlineStr">
        <is>
          <t>Conforms</t>
        </is>
      </c>
      <c r="V131" s="2" t="inlineStr">
        <is>
          <t>Conforms</t>
        </is>
      </c>
      <c r="W131" s="2" t="inlineStr">
        <is>
          <t>220-20-K-26, (26.08.2026) [FHM-K]</t>
        </is>
      </c>
      <c r="X131" s="2" t="inlineStr">
        <is>
          <t>220-20-K-26, (26.08.2026) [FHM-K]</t>
        </is>
      </c>
      <c r="Y131" s="2" t="inlineStr">
        <is>
          <t>220-20-M-26, (11.09.2026) [FHM-M]</t>
        </is>
      </c>
      <c r="Z131" s="2" t="inlineStr">
        <is>
          <t>#8, #9, #11, #12 from the initial testing</t>
        </is>
      </c>
      <c r="AA131" s="2" t="inlineStr">
        <is>
          <t>P050112|R</t>
        </is>
      </c>
      <c r="AB131" s="7" t="inlineStr">
        <is>
          <t>registered — retest 1 · Tranche 2 (sampled 12–14.08.2026), tested 13.08.2026, issued 17.08.2026</t>
        </is>
      </c>
    </row>
    <row r="132">
      <c r="A132" s="2" t="n">
        <v>131</v>
      </c>
      <c r="B132" s="3" t="inlineStr">
        <is>
          <t>iCoA-PP_26-131</t>
        </is>
      </c>
      <c r="C132" s="4" t="inlineStr">
        <is>
          <t>yes</t>
        </is>
      </c>
      <c r="D132" s="5" t="n">
        <v>46251</v>
      </c>
      <c r="E132" s="5" t="n">
        <v>46247</v>
      </c>
      <c r="F132" s="5">
        <f>IFERROR(INDEX('Batch Dates'!$G:$G,MATCH(J132,'Batch Dates'!$C:$C,0)),IFERROR(INDEX('Batch Dates'!$G:$G,MATCH(I132,'Batch Dates'!$B:$B,0)),""))</f>
        <v/>
      </c>
      <c r="G132" s="2" t="inlineStr">
        <is>
          <t>legacy</t>
        </is>
      </c>
      <c r="H132" s="2" t="inlineStr">
        <is>
          <t>retest 1</t>
        </is>
      </c>
      <c r="I132" s="3" t="inlineStr">
        <is>
          <t>OPM092501</t>
        </is>
      </c>
      <c r="J132" s="2" t="inlineStr">
        <is>
          <t>P060042</t>
        </is>
      </c>
      <c r="K132" s="2" t="inlineStr">
        <is>
          <t>Orange Punch Mimosa</t>
        </is>
      </c>
      <c r="L132" s="2" t="inlineStr">
        <is>
          <t>Ident A + Ident B + Foreign matter</t>
        </is>
      </c>
      <c r="M132" s="6" t="inlineStr">
        <is>
          <t>—</t>
        </is>
      </c>
      <c r="N132" s="2">
        <f>IFERROR(INDEX('CoQ Register'!$B:$B,MATCH("P060042|R",'CoQ Register'!$S:$S,0)),"—")</f>
        <v/>
      </c>
      <c r="O132" s="6" t="inlineStr">
        <is>
          <t>—</t>
        </is>
      </c>
      <c r="P132" s="2" t="inlineStr">
        <is>
          <t>29.01.2027</t>
        </is>
      </c>
      <c r="Q132" s="2" t="inlineStr">
        <is>
          <t>12.12.2025</t>
        </is>
      </c>
      <c r="R132" s="2" t="inlineStr">
        <is>
          <t>29.01.2026</t>
        </is>
      </c>
      <c r="S132" s="5">
        <f>IFERROR(INDEX('CoQ Register'!$D:$D,MATCH("P060042|R",'CoQ Register'!$S:$S,0)),"")</f>
        <v/>
      </c>
      <c r="T132" s="2" t="inlineStr">
        <is>
          <t>Conforms</t>
        </is>
      </c>
      <c r="U132" s="2" t="inlineStr">
        <is>
          <t>Conforms</t>
        </is>
      </c>
      <c r="V132" s="2" t="inlineStr">
        <is>
          <t>Conforms</t>
        </is>
      </c>
      <c r="W132" s="2" t="inlineStr">
        <is>
          <t>220-22-K-26, (26.08.2026) [FHM-K]</t>
        </is>
      </c>
      <c r="X132" s="2" t="inlineStr">
        <is>
          <t>220-22-K-26, (26.08.2026) [FHM-K]</t>
        </is>
      </c>
      <c r="Y132" s="2" t="inlineStr">
        <is>
          <t>220-22-M-26, (11.09.2026) [FHM-M]</t>
        </is>
      </c>
      <c r="Z132" s="2" t="inlineStr">
        <is>
          <t>#8, #9, #11, #12 from the initial testing</t>
        </is>
      </c>
      <c r="AA132" s="2" t="inlineStr">
        <is>
          <t>P060042|R</t>
        </is>
      </c>
      <c r="AB132" s="7" t="inlineStr">
        <is>
          <t>registered — retest 1 · Tranche 2 (sampled 12–14.08.2026), tested 13.08.2026, issued 17.08.2026</t>
        </is>
      </c>
    </row>
    <row r="133">
      <c r="A133" s="2" t="n">
        <v>132</v>
      </c>
      <c r="B133" s="3" t="inlineStr">
        <is>
          <t>iCoA-PP_26-132</t>
        </is>
      </c>
      <c r="C133" s="4" t="inlineStr">
        <is>
          <t>yes</t>
        </is>
      </c>
      <c r="D133" s="5" t="n">
        <v>46251</v>
      </c>
      <c r="E133" s="5" t="n">
        <v>46247</v>
      </c>
      <c r="F133" s="5">
        <f>IFERROR(INDEX('Batch Dates'!$G:$G,MATCH(J133,'Batch Dates'!$C:$C,0)),IFERROR(INDEX('Batch Dates'!$G:$G,MATCH(I133,'Batch Dates'!$B:$B,0)),""))</f>
        <v/>
      </c>
      <c r="G133" s="2" t="inlineStr">
        <is>
          <t>legacy</t>
        </is>
      </c>
      <c r="H133" s="2" t="inlineStr">
        <is>
          <t>retest 2</t>
        </is>
      </c>
      <c r="I133" s="3" t="inlineStr">
        <is>
          <t>OMP1024_01</t>
        </is>
      </c>
      <c r="J133" s="2" t="inlineStr">
        <is>
          <t>P050042</t>
        </is>
      </c>
      <c r="K133" s="2" t="inlineStr">
        <is>
          <t>Orange Punch Mimosa</t>
        </is>
      </c>
      <c r="L133" s="2" t="inlineStr">
        <is>
          <t>Ident A + Ident B + Foreign matter</t>
        </is>
      </c>
      <c r="M133" s="6" t="inlineStr">
        <is>
          <t>—</t>
        </is>
      </c>
      <c r="N133" s="2">
        <f>IFERROR(INDEX('CoQ Register'!$B:$B,MATCH("P050042|R2",'CoQ Register'!$S:$S,0)),"—")</f>
        <v/>
      </c>
      <c r="O133" s="6" t="inlineStr">
        <is>
          <t>—</t>
        </is>
      </c>
      <c r="P133" s="2" t="inlineStr">
        <is>
          <t>20.06.2026</t>
        </is>
      </c>
      <c r="Q133" s="2" t="inlineStr">
        <is>
          <t>26.03.2025 – 27.03.2025</t>
        </is>
      </c>
      <c r="R133" s="2" t="inlineStr">
        <is>
          <t>20.06.2025</t>
        </is>
      </c>
      <c r="S133" s="5">
        <f>IFERROR(INDEX('CoQ Register'!$D:$D,MATCH("P050042|R2",'CoQ Register'!$S:$S,0)),"")</f>
        <v/>
      </c>
      <c r="T133" s="2" t="inlineStr">
        <is>
          <t>Conforms</t>
        </is>
      </c>
      <c r="U133" s="2" t="inlineStr">
        <is>
          <t>Conforms</t>
        </is>
      </c>
      <c r="V133" s="2" t="inlineStr">
        <is>
          <t>Conforms</t>
        </is>
      </c>
      <c r="W133" s="2" t="inlineStr">
        <is>
          <t>220-21-K-26, (26.08.2026) [FHM-K]</t>
        </is>
      </c>
      <c r="X133" s="2" t="inlineStr">
        <is>
          <t>220-21-K-26, (26.08.2026) [FHM-K]</t>
        </is>
      </c>
      <c r="Y133" s="2" t="inlineStr">
        <is>
          <t>220-21-M-26, (11.09.2026) [FHM-M]</t>
        </is>
      </c>
      <c r="Z133" s="2" t="inlineStr">
        <is>
          <t>#8, #9, #11, #12 from the initial testing</t>
        </is>
      </c>
      <c r="AA133" s="2" t="inlineStr">
        <is>
          <t>P050042|R2</t>
        </is>
      </c>
      <c r="AB133" s="7" t="inlineStr">
        <is>
          <t>registered — retest 2 · Tranche 2 (sampled 12–14.08.2026), tested 13.08.2026, issued 17.08.2026</t>
        </is>
      </c>
    </row>
    <row r="134">
      <c r="A134" s="2" t="n">
        <v>133</v>
      </c>
      <c r="B134" s="3" t="inlineStr">
        <is>
          <t>iCoA-PP_26-133</t>
        </is>
      </c>
      <c r="C134" s="4" t="inlineStr">
        <is>
          <t>yes</t>
        </is>
      </c>
      <c r="D134" s="5" t="n">
        <v>46251</v>
      </c>
      <c r="E134" s="5" t="n">
        <v>46248</v>
      </c>
      <c r="F134" s="5">
        <f>IFERROR(INDEX('Batch Dates'!$G:$G,MATCH(J134,'Batch Dates'!$C:$C,0)),IFERROR(INDEX('Batch Dates'!$G:$G,MATCH(I134,'Batch Dates'!$B:$B,0)),""))</f>
        <v/>
      </c>
      <c r="G134" s="2" t="inlineStr">
        <is>
          <t>post-SOP</t>
        </is>
      </c>
      <c r="H134" s="2" t="inlineStr">
        <is>
          <t>retest 1</t>
        </is>
      </c>
      <c r="I134" s="3" t="inlineStr">
        <is>
          <t>CC012603</t>
        </is>
      </c>
      <c r="J134" s="2" t="inlineStr">
        <is>
          <t>P060372</t>
        </is>
      </c>
      <c r="K134" s="2" t="inlineStr">
        <is>
          <t>Cash Cow</t>
        </is>
      </c>
      <c r="L134" s="2" t="inlineStr">
        <is>
          <t>Ident A + Ident B + Foreign matter</t>
        </is>
      </c>
      <c r="M134" s="6" t="inlineStr">
        <is>
          <t>—</t>
        </is>
      </c>
      <c r="N134" s="2">
        <f>IFERROR(INDEX('CoQ Register'!$B:$B,MATCH("P060372|R",'CoQ Register'!$S:$S,0)),"—")</f>
        <v/>
      </c>
      <c r="O134" s="6" t="inlineStr">
        <is>
          <t>—</t>
        </is>
      </c>
      <c r="P134" s="2" t="inlineStr">
        <is>
          <t>24.05.2027</t>
        </is>
      </c>
      <c r="Q134" s="2" t="inlineStr">
        <is>
          <t>22.04.2026</t>
        </is>
      </c>
      <c r="R134" s="2" t="inlineStr">
        <is>
          <t>24.05.2026</t>
        </is>
      </c>
      <c r="S134" s="5">
        <f>IFERROR(INDEX('CoQ Register'!$D:$D,MATCH("P060372|R",'CoQ Register'!$S:$S,0)),"")</f>
        <v/>
      </c>
      <c r="T134" s="2" t="inlineStr">
        <is>
          <t>Conforms</t>
        </is>
      </c>
      <c r="U134" s="2" t="inlineStr">
        <is>
          <t>Conforms</t>
        </is>
      </c>
      <c r="V134" s="2" t="inlineStr">
        <is>
          <t>Conforms</t>
        </is>
      </c>
      <c r="W134" s="2" t="inlineStr">
        <is>
          <t>220-29-K-26, (26.08.2026) [FHM-K]</t>
        </is>
      </c>
      <c r="X134" s="2" t="inlineStr">
        <is>
          <t>220-29-K-26, (26.08.2026) [FHM-K]</t>
        </is>
      </c>
      <c r="Y134" s="2" t="inlineStr">
        <is>
          <t>220-29-M-26, (11.09.2026) [FHM-M]</t>
        </is>
      </c>
      <c r="Z134" s="2" t="inlineStr">
        <is>
          <t>#8, #9, #11, #12 from the initial testing</t>
        </is>
      </c>
      <c r="AA134" s="2" t="inlineStr">
        <is>
          <t>P060372|R</t>
        </is>
      </c>
      <c r="AB134" s="7" t="inlineStr">
        <is>
          <t>registered — retest 1 · Tranche 2 (sampled 12–14.08.2026), tested 14.08.2026, issued 17.08.2026</t>
        </is>
      </c>
    </row>
    <row r="135">
      <c r="A135" s="2" t="n">
        <v>134</v>
      </c>
      <c r="B135" s="3" t="inlineStr">
        <is>
          <t>iCoA-PP_26-134</t>
        </is>
      </c>
      <c r="C135" s="4" t="inlineStr">
        <is>
          <t>yes</t>
        </is>
      </c>
      <c r="D135" s="5" t="n">
        <v>46251</v>
      </c>
      <c r="E135" s="5" t="n">
        <v>46248</v>
      </c>
      <c r="F135" s="5">
        <f>IFERROR(INDEX('Batch Dates'!$G:$G,MATCH(J135,'Batch Dates'!$C:$C,0)),IFERROR(INDEX('Batch Dates'!$G:$G,MATCH(I135,'Batch Dates'!$B:$B,0)),""))</f>
        <v/>
      </c>
      <c r="G135" s="2" t="inlineStr">
        <is>
          <t>—</t>
        </is>
      </c>
      <c r="H135" s="2" t="inlineStr">
        <is>
          <t>retest 1</t>
        </is>
      </c>
      <c r="I135" s="3" t="inlineStr">
        <is>
          <t>CC042601</t>
        </is>
      </c>
      <c r="J135" s="2" t="inlineStr">
        <is>
          <t>N/A — no P batch assigned</t>
        </is>
      </c>
      <c r="K135" s="2" t="inlineStr">
        <is>
          <t>Cash Cow</t>
        </is>
      </c>
      <c r="L135" s="2" t="inlineStr">
        <is>
          <t>Ident A + Ident B + Foreign matter</t>
        </is>
      </c>
      <c r="M135" s="6" t="inlineStr">
        <is>
          <t>—</t>
        </is>
      </c>
      <c r="N135" s="2">
        <f>IFERROR(INDEX('CoQ Register'!$B:$B,MATCH("CC042601|R",'CoQ Register'!$S:$S,0)),"—")</f>
        <v/>
      </c>
      <c r="O135" s="6" t="inlineStr">
        <is>
          <t>—</t>
        </is>
      </c>
      <c r="P135" s="2" t="inlineStr">
        <is>
          <t>—</t>
        </is>
      </c>
      <c r="Q135" s="2" t="inlineStr">
        <is>
          <t>— not on the list —</t>
        </is>
      </c>
      <c r="R135" s="2" t="inlineStr">
        <is>
          <t>— not on the list —</t>
        </is>
      </c>
      <c r="S135" s="5">
        <f>IFERROR(INDEX('CoQ Register'!$D:$D,MATCH("CC042601|R",'CoQ Register'!$S:$S,0)),"")</f>
        <v/>
      </c>
      <c r="T135" s="2" t="inlineStr">
        <is>
          <t>Conforms</t>
        </is>
      </c>
      <c r="U135" s="2" t="inlineStr">
        <is>
          <t>Conforms</t>
        </is>
      </c>
      <c r="V135" s="2" t="inlineStr">
        <is>
          <t>Conforms</t>
        </is>
      </c>
      <c r="W135" s="2" t="inlineStr">
        <is>
          <t>220-32-K-26, (26.08.2026) [FHM-K]</t>
        </is>
      </c>
      <c r="X135" s="2" t="inlineStr">
        <is>
          <t>220-32-K-26, (26.08.2026) [FHM-K]</t>
        </is>
      </c>
      <c r="Y135" s="2" t="inlineStr">
        <is>
          <t>220-32-M-26, (11.09.2026) [FHM-M]</t>
        </is>
      </c>
      <c r="Z135" s="2" t="inlineStr">
        <is>
          <t>#8, #9, #11, #12 from the initial testing</t>
        </is>
      </c>
      <c r="AA135" s="2" t="inlineStr">
        <is>
          <t>CC042601|R</t>
        </is>
      </c>
      <c r="AB135" s="7" t="inlineStr">
        <is>
          <t>registered — retest 1 · Tranche 2 (sampled 12–14.08.2026), tested 14.08.2026, issued 17.08.2026</t>
        </is>
      </c>
    </row>
    <row r="136">
      <c r="A136" s="2" t="n">
        <v>135</v>
      </c>
      <c r="B136" s="3" t="inlineStr">
        <is>
          <t>iCoA-PP_26-135</t>
        </is>
      </c>
      <c r="C136" s="4" t="inlineStr">
        <is>
          <t>yes</t>
        </is>
      </c>
      <c r="D136" s="5" t="n">
        <v>46251</v>
      </c>
      <c r="E136" s="5" t="n">
        <v>46248</v>
      </c>
      <c r="F136" s="5">
        <f>IFERROR(INDEX('Batch Dates'!$G:$G,MATCH(J136,'Batch Dates'!$C:$C,0)),IFERROR(INDEX('Batch Dates'!$G:$G,MATCH(I136,'Batch Dates'!$B:$B,0)),""))</f>
        <v/>
      </c>
      <c r="G136" s="2" t="inlineStr">
        <is>
          <t>—</t>
        </is>
      </c>
      <c r="H136" s="2" t="inlineStr">
        <is>
          <t>retest 1</t>
        </is>
      </c>
      <c r="I136" s="3" t="inlineStr">
        <is>
          <t>FB042601</t>
        </is>
      </c>
      <c r="J136" s="2" t="inlineStr">
        <is>
          <t>N/A — no P batch assigned</t>
        </is>
      </c>
      <c r="K136" s="2" t="inlineStr">
        <is>
          <t>Fat Bastard</t>
        </is>
      </c>
      <c r="L136" s="2" t="inlineStr">
        <is>
          <t>Ident A + Ident B + Foreign matter</t>
        </is>
      </c>
      <c r="M136" s="6" t="inlineStr">
        <is>
          <t>—</t>
        </is>
      </c>
      <c r="N136" s="2">
        <f>IFERROR(INDEX('CoQ Register'!$B:$B,MATCH("FB042601|R",'CoQ Register'!$S:$S,0)),"—")</f>
        <v/>
      </c>
      <c r="O136" s="6" t="inlineStr">
        <is>
          <t>—</t>
        </is>
      </c>
      <c r="P136" s="2" t="inlineStr">
        <is>
          <t>—</t>
        </is>
      </c>
      <c r="Q136" s="2" t="inlineStr">
        <is>
          <t>— not on the list —</t>
        </is>
      </c>
      <c r="R136" s="2" t="inlineStr">
        <is>
          <t>— not on the list —</t>
        </is>
      </c>
      <c r="S136" s="5">
        <f>IFERROR(INDEX('CoQ Register'!$D:$D,MATCH("FB042601|R",'CoQ Register'!$S:$S,0)),"")</f>
        <v/>
      </c>
      <c r="T136" s="2" t="inlineStr">
        <is>
          <t>Conforms</t>
        </is>
      </c>
      <c r="U136" s="2" t="inlineStr">
        <is>
          <t>Conforms</t>
        </is>
      </c>
      <c r="V136" s="2" t="inlineStr">
        <is>
          <t>Conforms</t>
        </is>
      </c>
      <c r="W136" s="2" t="inlineStr">
        <is>
          <t>220-31-K-26, (26.08.2026) [FHM-K]</t>
        </is>
      </c>
      <c r="X136" s="2" t="inlineStr">
        <is>
          <t>220-31-K-26, (26.08.2026) [FHM-K]</t>
        </is>
      </c>
      <c r="Y136" s="2" t="inlineStr">
        <is>
          <t>220-31-M-26, (11.09.2026) [FHM-M]</t>
        </is>
      </c>
      <c r="Z136" s="2" t="inlineStr">
        <is>
          <t>#8, #9, #11, #12 from the initial testing</t>
        </is>
      </c>
      <c r="AA136" s="2" t="inlineStr">
        <is>
          <t>FB042601|R</t>
        </is>
      </c>
      <c r="AB136" s="7" t="inlineStr">
        <is>
          <t>registered — retest 1 · Tranche 2 (sampled 12–14.08.2026), tested 14.08.2026, issued 17.08.2026</t>
        </is>
      </c>
    </row>
    <row r="137">
      <c r="A137" s="2" t="n">
        <v>136</v>
      </c>
      <c r="B137" s="3" t="inlineStr">
        <is>
          <t>iCoA-PP_26-136</t>
        </is>
      </c>
      <c r="C137" s="4" t="inlineStr">
        <is>
          <t>yes</t>
        </is>
      </c>
      <c r="D137" s="5" t="n">
        <v>46251</v>
      </c>
      <c r="E137" s="5" t="n">
        <v>46248</v>
      </c>
      <c r="F137" s="5">
        <f>IFERROR(INDEX('Batch Dates'!$G:$G,MATCH(J137,'Batch Dates'!$C:$C,0)),IFERROR(INDEX('Batch Dates'!$G:$G,MATCH(I137,'Batch Dates'!$B:$B,0)),""))</f>
        <v/>
      </c>
      <c r="G137" s="2" t="inlineStr">
        <is>
          <t>post-SOP</t>
        </is>
      </c>
      <c r="H137" s="2" t="inlineStr">
        <is>
          <t>retest 1</t>
        </is>
      </c>
      <c r="I137" s="3" t="inlineStr">
        <is>
          <t>JD042601</t>
        </is>
      </c>
      <c r="J137" s="2" t="inlineStr">
        <is>
          <t>P060492</t>
        </is>
      </c>
      <c r="K137" s="2" t="inlineStr">
        <is>
          <t>Jelly Donuts</t>
        </is>
      </c>
      <c r="L137" s="2" t="inlineStr">
        <is>
          <t>Ident A + Ident B + Foreign matter</t>
        </is>
      </c>
      <c r="M137" s="6" t="inlineStr">
        <is>
          <t>—</t>
        </is>
      </c>
      <c r="N137" s="2">
        <f>IFERROR(INDEX('CoQ Register'!$B:$B,MATCH("P060492|R",'CoQ Register'!$S:$S,0)),"—")</f>
        <v/>
      </c>
      <c r="O137" s="6" t="inlineStr">
        <is>
          <t>—</t>
        </is>
      </c>
      <c r="P137" s="2" t="inlineStr">
        <is>
          <t>13.08.2027</t>
        </is>
      </c>
      <c r="Q137" s="2" t="inlineStr">
        <is>
          <t>21.07.2026</t>
        </is>
      </c>
      <c r="R137" s="2" t="inlineStr">
        <is>
          <t>13.08.2026</t>
        </is>
      </c>
      <c r="S137" s="5">
        <f>IFERROR(INDEX('CoQ Register'!$D:$D,MATCH("P060492|R",'CoQ Register'!$S:$S,0)),"")</f>
        <v/>
      </c>
      <c r="T137" s="2" t="inlineStr">
        <is>
          <t>Conforms</t>
        </is>
      </c>
      <c r="U137" s="2" t="inlineStr">
        <is>
          <t>Conforms</t>
        </is>
      </c>
      <c r="V137" s="2" t="inlineStr">
        <is>
          <t>Conforms</t>
        </is>
      </c>
      <c r="W137" s="2" t="inlineStr">
        <is>
          <t>220-30-K-26, (26.08.2026) [FHM-K]</t>
        </is>
      </c>
      <c r="X137" s="2" t="inlineStr">
        <is>
          <t>220-30-K-26, (26.08.2026) [FHM-K]</t>
        </is>
      </c>
      <c r="Y137" s="2" t="inlineStr">
        <is>
          <t>220-30-M-26, (11.09.2026) [FHM-M]</t>
        </is>
      </c>
      <c r="Z137" s="2" t="inlineStr">
        <is>
          <t>#8, #9, #11, #12 from the initial testing</t>
        </is>
      </c>
      <c r="AA137" s="2" t="inlineStr">
        <is>
          <t>P060492|R</t>
        </is>
      </c>
      <c r="AB137" s="7" t="inlineStr">
        <is>
          <t>registered — retest 1 · Tranche 2 (sampled 12–14.08.2026), tested 14.08.2026, issued 17.08.2026</t>
        </is>
      </c>
    </row>
    <row r="138">
      <c r="A138" s="2" t="n">
        <v>137</v>
      </c>
      <c r="B138" s="3" t="inlineStr">
        <is>
          <t>iCoA-PP_26-137</t>
        </is>
      </c>
      <c r="C138" s="4" t="inlineStr">
        <is>
          <t>yes</t>
        </is>
      </c>
      <c r="D138" s="5" t="n">
        <v>46251</v>
      </c>
      <c r="E138" s="5" t="n">
        <v>46248</v>
      </c>
      <c r="F138" s="5">
        <f>IFERROR(INDEX('Batch Dates'!$G:$G,MATCH(J138,'Batch Dates'!$C:$C,0)),IFERROR(INDEX('Batch Dates'!$G:$G,MATCH(I138,'Batch Dates'!$B:$B,0)),""))</f>
        <v/>
      </c>
      <c r="G138" s="2" t="inlineStr">
        <is>
          <t>legacy</t>
        </is>
      </c>
      <c r="H138" s="2" t="inlineStr">
        <is>
          <t>retest 1</t>
        </is>
      </c>
      <c r="I138" s="3" t="inlineStr">
        <is>
          <t>OPM1024_03</t>
        </is>
      </c>
      <c r="J138" s="2" t="inlineStr">
        <is>
          <t>P050082</t>
        </is>
      </c>
      <c r="K138" s="2" t="inlineStr">
        <is>
          <t>Orange Punch Mimosa</t>
        </is>
      </c>
      <c r="L138" s="2" t="inlineStr">
        <is>
          <t>Ident A + Ident B + Foreign matter</t>
        </is>
      </c>
      <c r="M138" s="6" t="inlineStr">
        <is>
          <t>—</t>
        </is>
      </c>
      <c r="N138" s="2">
        <f>IFERROR(INDEX('CoQ Register'!$B:$B,MATCH("P050082|R",'CoQ Register'!$S:$S,0)),"—")</f>
        <v/>
      </c>
      <c r="O138" s="6" t="inlineStr">
        <is>
          <t>—</t>
        </is>
      </c>
      <c r="P138" s="2" t="inlineStr">
        <is>
          <t>22.07.2026</t>
        </is>
      </c>
      <c r="Q138" s="2" t="inlineStr">
        <is>
          <t>01.07.2025 – 02.07.2025</t>
        </is>
      </c>
      <c r="R138" s="2" t="inlineStr">
        <is>
          <t>22.07.2025 – 30.07.2025</t>
        </is>
      </c>
      <c r="S138" s="5">
        <f>IFERROR(INDEX('CoQ Register'!$D:$D,MATCH("P050082|R",'CoQ Register'!$S:$S,0)),"")</f>
        <v/>
      </c>
      <c r="T138" s="2" t="inlineStr">
        <is>
          <t>Conforms</t>
        </is>
      </c>
      <c r="U138" s="2" t="inlineStr">
        <is>
          <t>Conforms</t>
        </is>
      </c>
      <c r="V138" s="2" t="inlineStr">
        <is>
          <t>Conforms</t>
        </is>
      </c>
      <c r="W138" s="2" t="inlineStr">
        <is>
          <t>220-23-K-26, (26.08.2026) [FHM-K]</t>
        </is>
      </c>
      <c r="X138" s="2" t="inlineStr">
        <is>
          <t>220-23-K-26, (26.08.2026) [FHM-K]</t>
        </is>
      </c>
      <c r="Y138" s="2" t="inlineStr">
        <is>
          <t>220-23-M-26, (11.09.2026) [FHM-M]</t>
        </is>
      </c>
      <c r="Z138" s="2" t="inlineStr">
        <is>
          <t>#8, #9, #11, #12 from the initial testing</t>
        </is>
      </c>
      <c r="AA138" s="2" t="inlineStr">
        <is>
          <t>P050082|R</t>
        </is>
      </c>
      <c r="AB138" s="7" t="inlineStr">
        <is>
          <t>registered — retest 1 · Tranche 2 (sampled 12–14.08.2026), tested 14.08.2026, issued 17.08.2026</t>
        </is>
      </c>
    </row>
    <row r="139">
      <c r="A139" s="2" t="n">
        <v>138</v>
      </c>
      <c r="B139" s="3" t="inlineStr">
        <is>
          <t>iCoA-PP_26-138</t>
        </is>
      </c>
      <c r="C139" s="4" t="inlineStr">
        <is>
          <t>yes</t>
        </is>
      </c>
      <c r="D139" s="5" t="n">
        <v>46251</v>
      </c>
      <c r="E139" s="5" t="n">
        <v>46248</v>
      </c>
      <c r="F139" s="5">
        <f>IFERROR(INDEX('Batch Dates'!$G:$G,MATCH(J139,'Batch Dates'!$C:$C,0)),IFERROR(INDEX('Batch Dates'!$G:$G,MATCH(I139,'Batch Dates'!$B:$B,0)),""))</f>
        <v/>
      </c>
      <c r="G139" s="2" t="inlineStr">
        <is>
          <t>legacy</t>
        </is>
      </c>
      <c r="H139" s="2" t="inlineStr">
        <is>
          <t>retest 1</t>
        </is>
      </c>
      <c r="I139" s="3" t="inlineStr">
        <is>
          <t>PM112501</t>
        </is>
      </c>
      <c r="J139" s="2" t="inlineStr">
        <is>
          <t>P060232</t>
        </is>
      </c>
      <c r="K139" s="2" t="inlineStr">
        <is>
          <t>Permanent Marker</t>
        </is>
      </c>
      <c r="L139" s="2" t="inlineStr">
        <is>
          <t>Ident A + Ident B + Foreign matter</t>
        </is>
      </c>
      <c r="M139" s="6" t="inlineStr">
        <is>
          <t>—</t>
        </is>
      </c>
      <c r="N139" s="2">
        <f>IFERROR(INDEX('CoQ Register'!$B:$B,MATCH("P060232|R",'CoQ Register'!$S:$S,0)),"—")</f>
        <v/>
      </c>
      <c r="O139" s="6" t="inlineStr">
        <is>
          <t>—</t>
        </is>
      </c>
      <c r="P139" s="2" t="inlineStr">
        <is>
          <t>27.04.2027</t>
        </is>
      </c>
      <c r="Q139" s="2" t="inlineStr">
        <is>
          <t>05.02.2026</t>
        </is>
      </c>
      <c r="R139" s="2" t="inlineStr">
        <is>
          <t>27.04.2026</t>
        </is>
      </c>
      <c r="S139" s="5">
        <f>IFERROR(INDEX('CoQ Register'!$D:$D,MATCH("P060232|R",'CoQ Register'!$S:$S,0)),"")</f>
        <v/>
      </c>
      <c r="T139" s="2" t="inlineStr">
        <is>
          <t>Conforms</t>
        </is>
      </c>
      <c r="U139" s="2" t="inlineStr">
        <is>
          <t>Conforms</t>
        </is>
      </c>
      <c r="V139" s="2" t="inlineStr">
        <is>
          <t>Conforms</t>
        </is>
      </c>
      <c r="W139" s="2" t="inlineStr">
        <is>
          <t>220-24-K-26, (26.08.2026) [FHM-K]</t>
        </is>
      </c>
      <c r="X139" s="2" t="inlineStr">
        <is>
          <t>220-24-K-26, (26.08.2026) [FHM-K]</t>
        </is>
      </c>
      <c r="Y139" s="2" t="inlineStr">
        <is>
          <t>220-24-M-26, (11.09.2026) [FHM-M]</t>
        </is>
      </c>
      <c r="Z139" s="2" t="inlineStr">
        <is>
          <t>#8, #9, #11, #12 from the initial testing</t>
        </is>
      </c>
      <c r="AA139" s="2" t="inlineStr">
        <is>
          <t>P060232|R</t>
        </is>
      </c>
      <c r="AB139" s="7" t="inlineStr">
        <is>
          <t>registered — retest 1 · Tranche 2 (sampled 12–14.08.2026), tested 14.08.2026, issued 17.08.2026</t>
        </is>
      </c>
    </row>
    <row r="140">
      <c r="A140" s="2" t="n">
        <v>139</v>
      </c>
      <c r="B140" s="3" t="inlineStr">
        <is>
          <t>iCoA-PP_26-139</t>
        </is>
      </c>
      <c r="C140" s="4" t="inlineStr">
        <is>
          <t>yes</t>
        </is>
      </c>
      <c r="D140" s="5" t="n">
        <v>46251</v>
      </c>
      <c r="E140" s="5" t="n">
        <v>46248</v>
      </c>
      <c r="F140" s="5">
        <f>IFERROR(INDEX('Batch Dates'!$G:$G,MATCH(J140,'Batch Dates'!$C:$C,0)),IFERROR(INDEX('Batch Dates'!$G:$G,MATCH(I140,'Batch Dates'!$B:$B,0)),""))</f>
        <v/>
      </c>
      <c r="G140" s="2" t="inlineStr">
        <is>
          <t>legacy</t>
        </is>
      </c>
      <c r="H140" s="2" t="inlineStr">
        <is>
          <t>retest 1</t>
        </is>
      </c>
      <c r="I140" s="3" t="inlineStr">
        <is>
          <t>PUM102501</t>
        </is>
      </c>
      <c r="J140" s="2" t="inlineStr">
        <is>
          <t>P060112</t>
        </is>
      </c>
      <c r="K140" s="2" t="inlineStr">
        <is>
          <t>Pure Michigen</t>
        </is>
      </c>
      <c r="L140" s="2" t="inlineStr">
        <is>
          <t>Ident A + Ident B + Foreign matter</t>
        </is>
      </c>
      <c r="M140" s="6" t="inlineStr">
        <is>
          <t>—</t>
        </is>
      </c>
      <c r="N140" s="2">
        <f>IFERROR(INDEX('CoQ Register'!$B:$B,MATCH("P060112|R",'CoQ Register'!$S:$S,0)),"—")</f>
        <v/>
      </c>
      <c r="O140" s="6" t="inlineStr">
        <is>
          <t>—</t>
        </is>
      </c>
      <c r="P140" s="2" t="inlineStr">
        <is>
          <t>17.02.2027</t>
        </is>
      </c>
      <c r="Q140" s="2" t="inlineStr">
        <is>
          <t>08.01.2026 – 09.01.2026</t>
        </is>
      </c>
      <c r="R140" s="2" t="inlineStr">
        <is>
          <t>17.02.2026</t>
        </is>
      </c>
      <c r="S140" s="5">
        <f>IFERROR(INDEX('CoQ Register'!$D:$D,MATCH("P060112|R",'CoQ Register'!$S:$S,0)),"")</f>
        <v/>
      </c>
      <c r="T140" s="2" t="inlineStr">
        <is>
          <t>Conforms</t>
        </is>
      </c>
      <c r="U140" s="2" t="inlineStr">
        <is>
          <t>Conforms</t>
        </is>
      </c>
      <c r="V140" s="2" t="inlineStr">
        <is>
          <t>Conforms</t>
        </is>
      </c>
      <c r="W140" s="2" t="inlineStr">
        <is>
          <t>220-25-K-26, (26.08.2026) [FHM-K]</t>
        </is>
      </c>
      <c r="X140" s="2" t="inlineStr">
        <is>
          <t>220-25-K-26, (26.08.2026) [FHM-K]</t>
        </is>
      </c>
      <c r="Y140" s="2" t="inlineStr">
        <is>
          <t>220-25-M-26, (11.09.2026) [FHM-M]</t>
        </is>
      </c>
      <c r="Z140" s="2" t="inlineStr">
        <is>
          <t>#8, #9, #11, #12 from the initial testing</t>
        </is>
      </c>
      <c r="AA140" s="2" t="inlineStr">
        <is>
          <t>P060112|R</t>
        </is>
      </c>
      <c r="AB140" s="7" t="inlineStr">
        <is>
          <t>registered — retest 1 · Tranche 2 (sampled 12–14.08.2026), tested 14.08.2026, issued 17.08.2026</t>
        </is>
      </c>
    </row>
    <row r="141">
      <c r="A141" s="2" t="n">
        <v>140</v>
      </c>
      <c r="B141" s="3" t="inlineStr">
        <is>
          <t>iCoA-PP_26-140</t>
        </is>
      </c>
      <c r="C141" s="4" t="inlineStr">
        <is>
          <t>yes</t>
        </is>
      </c>
      <c r="D141" s="5" t="n">
        <v>46251</v>
      </c>
      <c r="E141" s="5" t="n">
        <v>46248</v>
      </c>
      <c r="F141" s="5">
        <f>IFERROR(INDEX('Batch Dates'!$G:$G,MATCH(J141,'Batch Dates'!$C:$C,0)),IFERROR(INDEX('Batch Dates'!$G:$G,MATCH(I141,'Batch Dates'!$B:$B,0)),""))</f>
        <v/>
      </c>
      <c r="G141" s="2" t="inlineStr">
        <is>
          <t>post-SOP</t>
        </is>
      </c>
      <c r="H141" s="2" t="inlineStr">
        <is>
          <t>retest 1</t>
        </is>
      </c>
      <c r="I141" s="3" t="inlineStr">
        <is>
          <t>SCR112501</t>
        </is>
      </c>
      <c r="J141" s="2" t="inlineStr">
        <is>
          <t>P060282</t>
        </is>
      </c>
      <c r="K141" s="2" t="inlineStr">
        <is>
          <t>Scrambler</t>
        </is>
      </c>
      <c r="L141" s="2" t="inlineStr">
        <is>
          <t>Ident A + Ident B + Foreign matter</t>
        </is>
      </c>
      <c r="M141" s="6" t="inlineStr">
        <is>
          <t>—</t>
        </is>
      </c>
      <c r="N141" s="2">
        <f>IFERROR(INDEX('CoQ Register'!$B:$B,MATCH("P060282|R",'CoQ Register'!$S:$S,0)),"—")</f>
        <v/>
      </c>
      <c r="O141" s="6" t="inlineStr">
        <is>
          <t>—</t>
        </is>
      </c>
      <c r="P141" s="2" t="inlineStr">
        <is>
          <t>18.05.2027</t>
        </is>
      </c>
      <c r="Q141" s="2" t="inlineStr">
        <is>
          <t>25.03.2026</t>
        </is>
      </c>
      <c r="R141" s="2" t="inlineStr">
        <is>
          <t>18.05.2026</t>
        </is>
      </c>
      <c r="S141" s="5">
        <f>IFERROR(INDEX('CoQ Register'!$D:$D,MATCH("P060282|R",'CoQ Register'!$S:$S,0)),"")</f>
        <v/>
      </c>
      <c r="T141" s="2" t="inlineStr">
        <is>
          <t>Conforms</t>
        </is>
      </c>
      <c r="U141" s="2" t="inlineStr">
        <is>
          <t>Conforms</t>
        </is>
      </c>
      <c r="V141" s="2" t="inlineStr">
        <is>
          <t>Conforms</t>
        </is>
      </c>
      <c r="W141" s="2" t="inlineStr">
        <is>
          <t>220-26-K-26, (26.08.2026) [FHM-K]</t>
        </is>
      </c>
      <c r="X141" s="2" t="inlineStr">
        <is>
          <t>220-26-K-26, (26.08.2026) [FHM-K]</t>
        </is>
      </c>
      <c r="Y141" s="2" t="inlineStr">
        <is>
          <t>220-26-M-26, (11.09.2026) [FHM-M]</t>
        </is>
      </c>
      <c r="Z141" s="2" t="inlineStr">
        <is>
          <t>#8, #9, #11, #12 from the initial testing</t>
        </is>
      </c>
      <c r="AA141" s="2" t="inlineStr">
        <is>
          <t>P060282|R</t>
        </is>
      </c>
      <c r="AB141" s="7" t="inlineStr">
        <is>
          <t>registered — retest 1 · Tranche 2 (sampled 12–14.08.2026), tested 14.08.2026, issued 17.08.2026</t>
        </is>
      </c>
    </row>
    <row r="142">
      <c r="A142" s="2" t="n">
        <v>141</v>
      </c>
      <c r="B142" s="3" t="inlineStr">
        <is>
          <t>iCoA-PP_26-141</t>
        </is>
      </c>
      <c r="C142" s="4" t="inlineStr">
        <is>
          <t>yes</t>
        </is>
      </c>
      <c r="D142" s="5" t="n">
        <v>46251</v>
      </c>
      <c r="E142" s="5" t="n">
        <v>46248</v>
      </c>
      <c r="F142" s="5">
        <f>IFERROR(INDEX('Batch Dates'!$G:$G,MATCH(J142,'Batch Dates'!$C:$C,0)),IFERROR(INDEX('Batch Dates'!$G:$G,MATCH(I142,'Batch Dates'!$B:$B,0)),""))</f>
        <v/>
      </c>
      <c r="G142" s="2" t="inlineStr">
        <is>
          <t>legacy</t>
        </is>
      </c>
      <c r="H142" s="2" t="inlineStr">
        <is>
          <t>retest 1</t>
        </is>
      </c>
      <c r="I142" s="3" t="inlineStr">
        <is>
          <t>SJ0925021</t>
        </is>
      </c>
      <c r="J142" s="2" t="inlineStr">
        <is>
          <t>P060082</t>
        </is>
      </c>
      <c r="K142" s="2" t="inlineStr">
        <is>
          <t>Sleepy Joe</t>
        </is>
      </c>
      <c r="L142" s="2" t="inlineStr">
        <is>
          <t>Ident A + Ident B + Foreign matter</t>
        </is>
      </c>
      <c r="M142" s="6" t="inlineStr">
        <is>
          <t>—</t>
        </is>
      </c>
      <c r="N142" s="2">
        <f>IFERROR(INDEX('CoQ Register'!$B:$B,MATCH("P060082|R",'CoQ Register'!$S:$S,0)),"—")</f>
        <v/>
      </c>
      <c r="O142" s="6" t="inlineStr">
        <is>
          <t>—</t>
        </is>
      </c>
      <c r="P142" s="2" t="inlineStr">
        <is>
          <t>02.02.2027</t>
        </is>
      </c>
      <c r="Q142" s="2" t="inlineStr">
        <is>
          <t>11.12.2025 – 12.12.2025</t>
        </is>
      </c>
      <c r="R142" s="2" t="inlineStr">
        <is>
          <t>02.02.2026</t>
        </is>
      </c>
      <c r="S142" s="5">
        <f>IFERROR(INDEX('CoQ Register'!$D:$D,MATCH("P060082|R",'CoQ Register'!$S:$S,0)),"")</f>
        <v/>
      </c>
      <c r="T142" s="2" t="inlineStr">
        <is>
          <t>Conforms</t>
        </is>
      </c>
      <c r="U142" s="2" t="inlineStr">
        <is>
          <t>Conforms</t>
        </is>
      </c>
      <c r="V142" s="2" t="inlineStr">
        <is>
          <t>Conforms</t>
        </is>
      </c>
      <c r="W142" s="2" t="inlineStr">
        <is>
          <t>220-27-K-26, (26.08.2026) [FHM-K]</t>
        </is>
      </c>
      <c r="X142" s="2" t="inlineStr">
        <is>
          <t>220-27-K-26, (26.08.2026) [FHM-K]</t>
        </is>
      </c>
      <c r="Y142" s="2" t="inlineStr">
        <is>
          <t>220-27-M-26, (11.09.2026) [FHM-M]</t>
        </is>
      </c>
      <c r="Z142" s="2" t="inlineStr">
        <is>
          <t>#8, #9, #11, #12 from the initial testing</t>
        </is>
      </c>
      <c r="AA142" s="2" t="inlineStr">
        <is>
          <t>P060082|R</t>
        </is>
      </c>
      <c r="AB142" s="7" t="inlineStr">
        <is>
          <t>registered — retest 1 · Tranche 2 (sampled 12–14.08.2026), tested 14.08.2026, issued 17.08.2026</t>
        </is>
      </c>
    </row>
    <row r="143">
      <c r="A143" s="2" t="n">
        <v>142</v>
      </c>
      <c r="B143" s="3" t="inlineStr">
        <is>
          <t>iCoA-PP_26-142</t>
        </is>
      </c>
      <c r="C143" s="4" t="inlineStr">
        <is>
          <t>yes</t>
        </is>
      </c>
      <c r="D143" s="5" t="n">
        <v>46251</v>
      </c>
      <c r="E143" s="5" t="n">
        <v>46248</v>
      </c>
      <c r="F143" s="5">
        <f>IFERROR(INDEX('Batch Dates'!$G:$G,MATCH(J143,'Batch Dates'!$C:$C,0)),IFERROR(INDEX('Batch Dates'!$G:$G,MATCH(I143,'Batch Dates'!$B:$B,0)),""))</f>
        <v/>
      </c>
      <c r="G143" s="2" t="inlineStr">
        <is>
          <t>legacy</t>
        </is>
      </c>
      <c r="H143" s="2" t="inlineStr">
        <is>
          <t>retest 1</t>
        </is>
      </c>
      <c r="I143" s="3" t="inlineStr">
        <is>
          <t>WC082501</t>
        </is>
      </c>
      <c r="J143" s="2" t="inlineStr">
        <is>
          <t>P060012</t>
        </is>
      </c>
      <c r="K143" s="2" t="inlineStr">
        <is>
          <t>Wedding Crusher</t>
        </is>
      </c>
      <c r="L143" s="2" t="inlineStr">
        <is>
          <t>Ident A + Ident B + Foreign matter</t>
        </is>
      </c>
      <c r="M143" s="6" t="inlineStr">
        <is>
          <t>—</t>
        </is>
      </c>
      <c r="N143" s="2">
        <f>IFERROR(INDEX('CoQ Register'!$B:$B,MATCH("P060012|R",'CoQ Register'!$S:$S,0)),"—")</f>
        <v/>
      </c>
      <c r="O143" s="6" t="inlineStr">
        <is>
          <t>—</t>
        </is>
      </c>
      <c r="P143" s="2" t="inlineStr">
        <is>
          <t>13.01.2027</t>
        </is>
      </c>
      <c r="Q143" s="2" t="inlineStr">
        <is>
          <t>09.12.2025</t>
        </is>
      </c>
      <c r="R143" s="2" t="inlineStr">
        <is>
          <t>13.01.2026 – 14.01.2026</t>
        </is>
      </c>
      <c r="S143" s="5">
        <f>IFERROR(INDEX('CoQ Register'!$D:$D,MATCH("P060012|R",'CoQ Register'!$S:$S,0)),"")</f>
        <v/>
      </c>
      <c r="T143" s="2" t="inlineStr">
        <is>
          <t>Conforms</t>
        </is>
      </c>
      <c r="U143" s="2" t="inlineStr">
        <is>
          <t>Conforms</t>
        </is>
      </c>
      <c r="V143" s="2" t="inlineStr">
        <is>
          <t>Conforms</t>
        </is>
      </c>
      <c r="W143" s="2" t="inlineStr">
        <is>
          <t>220-28-K-26, (26.08.2026) [FHM-K]</t>
        </is>
      </c>
      <c r="X143" s="2" t="inlineStr">
        <is>
          <t>220-28-K-26, (26.08.2026) [FHM-K]</t>
        </is>
      </c>
      <c r="Y143" s="2" t="inlineStr">
        <is>
          <t>220-28-M-26, (11.09.2026) [FHM-M]</t>
        </is>
      </c>
      <c r="Z143" s="2" t="inlineStr">
        <is>
          <t>#8, #9, #11, #12 from the initial testing</t>
        </is>
      </c>
      <c r="AA143" s="2" t="inlineStr">
        <is>
          <t>P060012|R</t>
        </is>
      </c>
      <c r="AB143" s="7" t="inlineStr">
        <is>
          <t>registered — retest 1 · Tranche 2 (sampled 12–14.08.2026), tested 14.08.2026, issued 17.08.2026</t>
        </is>
      </c>
    </row>
    <row r="144">
      <c r="A144" s="2" t="n">
        <v>143</v>
      </c>
      <c r="B144" s="3" t="inlineStr">
        <is>
          <t>iCoA-PP_26-143</t>
        </is>
      </c>
      <c r="C144" s="4" t="inlineStr">
        <is>
          <t>yes</t>
        </is>
      </c>
      <c r="D144" s="5" t="n">
        <v>46258</v>
      </c>
      <c r="E144" s="5" t="n">
        <v>46253</v>
      </c>
      <c r="F144" s="5">
        <f>IFERROR(INDEX('Batch Dates'!$G:$G,MATCH(J144,'Batch Dates'!$C:$C,0)),IFERROR(INDEX('Batch Dates'!$G:$G,MATCH(I144,'Batch Dates'!$B:$B,0)),""))</f>
        <v/>
      </c>
      <c r="G144" s="2" t="inlineStr">
        <is>
          <t>legacy</t>
        </is>
      </c>
      <c r="H144" s="2" t="inlineStr">
        <is>
          <t>retest 2</t>
        </is>
      </c>
      <c r="I144" s="3" t="inlineStr">
        <is>
          <t>BSS1024_01/2</t>
        </is>
      </c>
      <c r="J144" s="2" t="inlineStr">
        <is>
          <t>P050142</t>
        </is>
      </c>
      <c r="K144" s="2" t="inlineStr">
        <is>
          <t>Blue Sunset Sherbet</t>
        </is>
      </c>
      <c r="L144" s="2" t="inlineStr">
        <is>
          <t>Ident A + Ident B + Foreign matter</t>
        </is>
      </c>
      <c r="M144" s="6" t="inlineStr">
        <is>
          <t>—</t>
        </is>
      </c>
      <c r="N144" s="2">
        <f>IFERROR(INDEX('CoQ Register'!$B:$B,MATCH("P050142|R2",'CoQ Register'!$S:$S,0)),"—")</f>
        <v/>
      </c>
      <c r="O144" s="6" t="inlineStr">
        <is>
          <t>—</t>
        </is>
      </c>
      <c r="P144" s="2" t="inlineStr">
        <is>
          <t>30.09.2026</t>
        </is>
      </c>
      <c r="Q144" s="2" t="inlineStr">
        <is>
          <t>— not given —</t>
        </is>
      </c>
      <c r="R144" s="2" t="inlineStr">
        <is>
          <t>30.09.2025</t>
        </is>
      </c>
      <c r="S144" s="5">
        <f>IFERROR(INDEX('CoQ Register'!$D:$D,MATCH("P050142|R2",'CoQ Register'!$S:$S,0)),"")</f>
        <v/>
      </c>
      <c r="T144" s="2" t="inlineStr">
        <is>
          <t>Conforms</t>
        </is>
      </c>
      <c r="U144" s="2" t="inlineStr">
        <is>
          <t>Conforms</t>
        </is>
      </c>
      <c r="V144" s="2" t="inlineStr">
        <is>
          <t>Conforms</t>
        </is>
      </c>
      <c r="W144" s="2" t="inlineStr">
        <is>
          <t>227-1-K-26, (11.09.2026) [FHM-K]</t>
        </is>
      </c>
      <c r="X144" s="2" t="inlineStr">
        <is>
          <t>227-1-K-26, (11.09.2026) [FHM-K]</t>
        </is>
      </c>
      <c r="Y144" s="2" t="inlineStr">
        <is>
          <t>— pending —</t>
        </is>
      </c>
      <c r="Z144" s="2" t="inlineStr">
        <is>
          <t>#8, #9, #11, #12 from the initial testing</t>
        </is>
      </c>
      <c r="AA144" s="2" t="inlineStr">
        <is>
          <t>P050142|R2</t>
        </is>
      </c>
      <c r="AB144" s="7" t="inlineStr">
        <is>
          <t>registered — retest 2 · Tranche 3 (sampled 19–21.08.2026), tested 19.08.2026, issued 24.08.2026</t>
        </is>
      </c>
    </row>
    <row r="145">
      <c r="A145" s="2" t="n">
        <v>144</v>
      </c>
      <c r="B145" s="3" t="inlineStr">
        <is>
          <t>iCoA-PP_26-144</t>
        </is>
      </c>
      <c r="C145" s="4" t="inlineStr">
        <is>
          <t>yes</t>
        </is>
      </c>
      <c r="D145" s="5" t="n">
        <v>46258</v>
      </c>
      <c r="E145" s="5" t="n">
        <v>46253</v>
      </c>
      <c r="F145" s="5">
        <f>IFERROR(INDEX('Batch Dates'!$G:$G,MATCH(J145,'Batch Dates'!$C:$C,0)),IFERROR(INDEX('Batch Dates'!$G:$G,MATCH(I145,'Batch Dates'!$B:$B,0)),""))</f>
        <v/>
      </c>
      <c r="G145" s="2" t="inlineStr">
        <is>
          <t>legacy</t>
        </is>
      </c>
      <c r="H145" s="2" t="inlineStr">
        <is>
          <t>retest 2</t>
        </is>
      </c>
      <c r="I145" s="3" t="inlineStr">
        <is>
          <t>GP0824_01</t>
        </is>
      </c>
      <c r="J145" s="2" t="inlineStr">
        <is>
          <t>P050102</t>
        </is>
      </c>
      <c r="K145" s="2" t="inlineStr">
        <is>
          <t>Grape Pie</t>
        </is>
      </c>
      <c r="L145" s="2" t="inlineStr">
        <is>
          <t>Ident A + Ident B + Foreign matter</t>
        </is>
      </c>
      <c r="M145" s="6" t="inlineStr">
        <is>
          <t>—</t>
        </is>
      </c>
      <c r="N145" s="2">
        <f>IFERROR(INDEX('CoQ Register'!$B:$B,MATCH("P050102|R2",'CoQ Register'!$S:$S,0)),"—")</f>
        <v/>
      </c>
      <c r="O145" s="6" t="inlineStr">
        <is>
          <t>—</t>
        </is>
      </c>
      <c r="P145" s="2" t="inlineStr">
        <is>
          <t>17.04.2026</t>
        </is>
      </c>
      <c r="Q145" s="2" t="inlineStr">
        <is>
          <t>20.03.2025 – 21.03.2025</t>
        </is>
      </c>
      <c r="R145" s="2" t="inlineStr">
        <is>
          <t>05.08.2025 – 07.08.2025 (the issuance plan's basis: 17.04.2025)</t>
        </is>
      </c>
      <c r="S145" s="5">
        <f>IFERROR(INDEX('CoQ Register'!$D:$D,MATCH("P050102|R2",'CoQ Register'!$S:$S,0)),"")</f>
        <v/>
      </c>
      <c r="T145" s="2" t="inlineStr">
        <is>
          <t>Conforms</t>
        </is>
      </c>
      <c r="U145" s="2" t="inlineStr">
        <is>
          <t>Conforms</t>
        </is>
      </c>
      <c r="V145" s="2" t="inlineStr">
        <is>
          <t>Conforms</t>
        </is>
      </c>
      <c r="W145" s="2" t="inlineStr">
        <is>
          <t>227-2-K-26, (11.09.2026) [FHM-K]</t>
        </is>
      </c>
      <c r="X145" s="2" t="inlineStr">
        <is>
          <t>227-2-K-26, (11.09.2026) [FHM-K]</t>
        </is>
      </c>
      <c r="Y145" s="2" t="inlineStr">
        <is>
          <t>— pending —</t>
        </is>
      </c>
      <c r="Z145" s="2" t="inlineStr">
        <is>
          <t>#8, #9, #11, #12 from the initial testing</t>
        </is>
      </c>
      <c r="AA145" s="2" t="inlineStr">
        <is>
          <t>P050102|R2</t>
        </is>
      </c>
      <c r="AB145" s="7" t="inlineStr">
        <is>
          <t>registered — retest 2 · Tranche 3 (sampled 19–21.08.2026), tested 19.08.2026, issued 24.08.2026</t>
        </is>
      </c>
    </row>
    <row r="146">
      <c r="A146" s="2" t="n">
        <v>145</v>
      </c>
      <c r="B146" s="3" t="inlineStr">
        <is>
          <t>iCoA-PP_26-145</t>
        </is>
      </c>
      <c r="C146" s="4" t="inlineStr">
        <is>
          <t>yes</t>
        </is>
      </c>
      <c r="D146" s="5" t="n">
        <v>46258</v>
      </c>
      <c r="E146" s="5" t="n">
        <v>46253</v>
      </c>
      <c r="F146" s="5">
        <f>IFERROR(INDEX('Batch Dates'!$G:$G,MATCH(J146,'Batch Dates'!$C:$C,0)),IFERROR(INDEX('Batch Dates'!$G:$G,MATCH(I146,'Batch Dates'!$B:$B,0)),""))</f>
        <v/>
      </c>
      <c r="G146" s="2" t="inlineStr">
        <is>
          <t>legacy</t>
        </is>
      </c>
      <c r="H146" s="2" t="inlineStr">
        <is>
          <t>retest 2</t>
        </is>
      </c>
      <c r="I146" s="3" t="inlineStr">
        <is>
          <t>OPM112501</t>
        </is>
      </c>
      <c r="J146" s="2" t="inlineStr">
        <is>
          <t>P060222</t>
        </is>
      </c>
      <c r="K146" s="2" t="inlineStr">
        <is>
          <t>Orange Punch Mimosa</t>
        </is>
      </c>
      <c r="L146" s="2" t="inlineStr">
        <is>
          <t>Ident A + Ident B + Foreign matter</t>
        </is>
      </c>
      <c r="M146" s="6" t="inlineStr">
        <is>
          <t>—</t>
        </is>
      </c>
      <c r="N146" s="2">
        <f>IFERROR(INDEX('CoQ Register'!$B:$B,MATCH("P060222|R2",'CoQ Register'!$S:$S,0)),"—")</f>
        <v/>
      </c>
      <c r="O146" s="6" t="inlineStr">
        <is>
          <t>—</t>
        </is>
      </c>
      <c r="P146" s="2" t="inlineStr">
        <is>
          <t>05.03.2027</t>
        </is>
      </c>
      <c r="Q146" s="2" t="inlineStr">
        <is>
          <t>05.02.2026</t>
        </is>
      </c>
      <c r="R146" s="2" t="inlineStr">
        <is>
          <t>24.04.2026 (the issuance plan's basis: 05.03.2026)</t>
        </is>
      </c>
      <c r="S146" s="5">
        <f>IFERROR(INDEX('CoQ Register'!$D:$D,MATCH("P060222|R2",'CoQ Register'!$S:$S,0)),"")</f>
        <v/>
      </c>
      <c r="T146" s="2" t="inlineStr">
        <is>
          <t>Conforms</t>
        </is>
      </c>
      <c r="U146" s="2" t="inlineStr">
        <is>
          <t>Conforms</t>
        </is>
      </c>
      <c r="V146" s="2" t="inlineStr">
        <is>
          <t>Conforms</t>
        </is>
      </c>
      <c r="W146" s="2" t="inlineStr">
        <is>
          <t>227-10-K-26, (11.09.2026) [FHM-K]</t>
        </is>
      </c>
      <c r="X146" s="2" t="inlineStr">
        <is>
          <t>227-10-K-26, (11.09.2026) [FHM-K]</t>
        </is>
      </c>
      <c r="Y146" s="2" t="inlineStr">
        <is>
          <t>— pending —</t>
        </is>
      </c>
      <c r="Z146" s="2" t="inlineStr">
        <is>
          <t>#8, #9, #11, #12 from the initial testing</t>
        </is>
      </c>
      <c r="AA146" s="2" t="inlineStr">
        <is>
          <t>P060222|R2</t>
        </is>
      </c>
      <c r="AB146" s="7" t="inlineStr">
        <is>
          <t>registered — retest 2 · Tranche 3 (sampled 19–21.08.2026), tested 19.08.2026, issued 24.08.2026</t>
        </is>
      </c>
    </row>
    <row r="147">
      <c r="A147" s="2" t="n">
        <v>146</v>
      </c>
      <c r="B147" s="3" t="inlineStr">
        <is>
          <t>iCoA-PP_26-146</t>
        </is>
      </c>
      <c r="C147" s="4" t="inlineStr">
        <is>
          <t>yes</t>
        </is>
      </c>
      <c r="D147" s="5" t="n">
        <v>46258</v>
      </c>
      <c r="E147" s="5" t="n">
        <v>46253</v>
      </c>
      <c r="F147" s="5">
        <f>IFERROR(INDEX('Batch Dates'!$G:$G,MATCH(J147,'Batch Dates'!$C:$C,0)),IFERROR(INDEX('Batch Dates'!$G:$G,MATCH(I147,'Batch Dates'!$B:$B,0)),""))</f>
        <v/>
      </c>
      <c r="G147" s="2" t="inlineStr">
        <is>
          <t>legacy</t>
        </is>
      </c>
      <c r="H147" s="2" t="inlineStr">
        <is>
          <t>retest 2</t>
        </is>
      </c>
      <c r="I147" s="3" t="inlineStr">
        <is>
          <t>PM072501</t>
        </is>
      </c>
      <c r="J147" s="2" t="inlineStr">
        <is>
          <t>P050272</t>
        </is>
      </c>
      <c r="K147" s="2" t="inlineStr">
        <is>
          <t>Permanent Marker</t>
        </is>
      </c>
      <c r="L147" s="2" t="inlineStr">
        <is>
          <t>Ident A + Ident B + Foreign matter</t>
        </is>
      </c>
      <c r="M147" s="6" t="inlineStr">
        <is>
          <t>—</t>
        </is>
      </c>
      <c r="N147" s="2">
        <f>IFERROR(INDEX('CoQ Register'!$B:$B,MATCH("P050272|R2",'CoQ Register'!$S:$S,0)),"—")</f>
        <v/>
      </c>
      <c r="O147" s="6" t="inlineStr">
        <is>
          <t>—</t>
        </is>
      </c>
      <c r="P147" s="2" t="inlineStr">
        <is>
          <t>21.01.2027</t>
        </is>
      </c>
      <c r="Q147" s="2" t="inlineStr">
        <is>
          <t>27.10.2025</t>
        </is>
      </c>
      <c r="R147" s="2" t="inlineStr">
        <is>
          <t>02.12.2025 – 03.12.2025 (the issuance plan's basis: 21.01.2026)</t>
        </is>
      </c>
      <c r="S147" s="5">
        <f>IFERROR(INDEX('CoQ Register'!$D:$D,MATCH("P050272|R2",'CoQ Register'!$S:$S,0)),"")</f>
        <v/>
      </c>
      <c r="T147" s="2" t="inlineStr">
        <is>
          <t>Conforms</t>
        </is>
      </c>
      <c r="U147" s="2" t="inlineStr">
        <is>
          <t>Conforms</t>
        </is>
      </c>
      <c r="V147" s="2" t="inlineStr">
        <is>
          <t>Conforms</t>
        </is>
      </c>
      <c r="W147" s="2" t="inlineStr">
        <is>
          <t>227-9-K-26, (11.09.2026) [FHM-K]</t>
        </is>
      </c>
      <c r="X147" s="2" t="inlineStr">
        <is>
          <t>227-9-K-26, (11.09.2026) [FHM-K]</t>
        </is>
      </c>
      <c r="Y147" s="2" t="inlineStr">
        <is>
          <t>— pending —</t>
        </is>
      </c>
      <c r="Z147" s="2" t="inlineStr">
        <is>
          <t>#8, #9, #11, #12 from the initial testing</t>
        </is>
      </c>
      <c r="AA147" s="2" t="inlineStr">
        <is>
          <t>P050272|R2</t>
        </is>
      </c>
      <c r="AB147" s="7" t="inlineStr">
        <is>
          <t>registered — retest 2 · Tranche 3 (sampled 19–21.08.2026), tested 19.08.2026, issued 24.08.2026</t>
        </is>
      </c>
    </row>
    <row r="148">
      <c r="A148" s="2" t="n">
        <v>147</v>
      </c>
      <c r="B148" s="3" t="inlineStr">
        <is>
          <t>iCoA-PP_26-147</t>
        </is>
      </c>
      <c r="C148" s="4" t="inlineStr">
        <is>
          <t>yes</t>
        </is>
      </c>
      <c r="D148" s="5" t="n">
        <v>46258</v>
      </c>
      <c r="E148" s="5" t="n">
        <v>46253</v>
      </c>
      <c r="F148" s="5">
        <f>IFERROR(INDEX('Batch Dates'!$G:$G,MATCH(J148,'Batch Dates'!$C:$C,0)),IFERROR(INDEX('Batch Dates'!$G:$G,MATCH(I148,'Batch Dates'!$B:$B,0)),""))</f>
        <v/>
      </c>
      <c r="G148" s="2" t="inlineStr">
        <is>
          <t>post-SOP</t>
        </is>
      </c>
      <c r="H148" s="2" t="inlineStr">
        <is>
          <t>retest 2</t>
        </is>
      </c>
      <c r="I148" s="3" t="inlineStr">
        <is>
          <t>SCR012601*</t>
        </is>
      </c>
      <c r="J148" s="2" t="inlineStr">
        <is>
          <t>P060342</t>
        </is>
      </c>
      <c r="K148" s="2" t="inlineStr">
        <is>
          <t>Scrambler</t>
        </is>
      </c>
      <c r="L148" s="2" t="inlineStr">
        <is>
          <t>Ident A + Ident B + Foreign matter</t>
        </is>
      </c>
      <c r="M148" s="6" t="inlineStr">
        <is>
          <t>—</t>
        </is>
      </c>
      <c r="N148" s="2">
        <f>IFERROR(INDEX('CoQ Register'!$B:$B,MATCH("P060342|R2",'CoQ Register'!$S:$S,0)),"—")</f>
        <v/>
      </c>
      <c r="O148" s="6" t="inlineStr">
        <is>
          <t>—</t>
        </is>
      </c>
      <c r="P148" s="2" t="inlineStr">
        <is>
          <t>25.05.2027</t>
        </is>
      </c>
      <c r="Q148" s="2" t="inlineStr">
        <is>
          <t>16.04.2026</t>
        </is>
      </c>
      <c r="R148" s="2" t="inlineStr">
        <is>
          <t>25.05.2026</t>
        </is>
      </c>
      <c r="S148" s="5">
        <f>IFERROR(INDEX('CoQ Register'!$D:$D,MATCH("P060342|R2",'CoQ Register'!$S:$S,0)),"")</f>
        <v/>
      </c>
      <c r="T148" s="2" t="inlineStr">
        <is>
          <t>Conforms</t>
        </is>
      </c>
      <c r="U148" s="2" t="inlineStr">
        <is>
          <t>Conforms</t>
        </is>
      </c>
      <c r="V148" s="2" t="inlineStr">
        <is>
          <t>Conforms</t>
        </is>
      </c>
      <c r="W148" s="2" t="inlineStr">
        <is>
          <t>227-8-K-26, (11.09.2026) [FHM-K]</t>
        </is>
      </c>
      <c r="X148" s="2" t="inlineStr">
        <is>
          <t>227-8-K-26, (11.09.2026) [FHM-K]</t>
        </is>
      </c>
      <c r="Y148" s="2" t="inlineStr">
        <is>
          <t>— pending —</t>
        </is>
      </c>
      <c r="Z148" s="2" t="inlineStr">
        <is>
          <t>#8, #9, #11, #12 from the initial testing</t>
        </is>
      </c>
      <c r="AA148" s="2" t="inlineStr">
        <is>
          <t>P060342|R2</t>
        </is>
      </c>
      <c r="AB148" s="7" t="inlineStr">
        <is>
          <t>registered — retest 2 · Tranche 3 (sampled 19–21.08.2026), tested 19.08.2026, issued 24.08.2026</t>
        </is>
      </c>
    </row>
    <row r="149">
      <c r="A149" s="2" t="n">
        <v>148</v>
      </c>
      <c r="B149" s="3" t="inlineStr">
        <is>
          <t>iCoA-PP_26-148</t>
        </is>
      </c>
      <c r="C149" s="4" t="inlineStr">
        <is>
          <t>yes</t>
        </is>
      </c>
      <c r="D149" s="5" t="n">
        <v>46258</v>
      </c>
      <c r="E149" s="5" t="n">
        <v>46253</v>
      </c>
      <c r="F149" s="5">
        <f>IFERROR(INDEX('Batch Dates'!$G:$G,MATCH(J149,'Batch Dates'!$C:$C,0)),IFERROR(INDEX('Batch Dates'!$G:$G,MATCH(I149,'Batch Dates'!$B:$B,0)),""))</f>
        <v/>
      </c>
      <c r="G149" s="2" t="inlineStr">
        <is>
          <t>post-SOP</t>
        </is>
      </c>
      <c r="H149" s="2" t="inlineStr">
        <is>
          <t>retest 2</t>
        </is>
      </c>
      <c r="I149" s="3" t="inlineStr">
        <is>
          <t>SCR022601</t>
        </is>
      </c>
      <c r="J149" s="2" t="inlineStr">
        <is>
          <t>P060442</t>
        </is>
      </c>
      <c r="K149" s="2" t="inlineStr">
        <is>
          <t>Scrambler</t>
        </is>
      </c>
      <c r="L149" s="2" t="inlineStr">
        <is>
          <t>Ident A + Ident B + Foreign matter</t>
        </is>
      </c>
      <c r="M149" s="6" t="inlineStr">
        <is>
          <t>—</t>
        </is>
      </c>
      <c r="N149" s="2">
        <f>IFERROR(INDEX('CoQ Register'!$B:$B,MATCH("P060442|R2",'CoQ Register'!$S:$S,0)),"—")</f>
        <v/>
      </c>
      <c r="O149" s="6" t="inlineStr">
        <is>
          <t>—</t>
        </is>
      </c>
      <c r="P149" s="2" t="inlineStr">
        <is>
          <t>06.07.2027</t>
        </is>
      </c>
      <c r="Q149" s="2" t="inlineStr">
        <is>
          <t>13.05.2026</t>
        </is>
      </c>
      <c r="R149" s="2" t="inlineStr">
        <is>
          <t>18.06.2026 (the issuance plan's basis: 06.07.2026)</t>
        </is>
      </c>
      <c r="S149" s="5">
        <f>IFERROR(INDEX('CoQ Register'!$D:$D,MATCH("P060442|R2",'CoQ Register'!$S:$S,0)),"")</f>
        <v/>
      </c>
      <c r="T149" s="2" t="inlineStr">
        <is>
          <t>CNP ППК26116</t>
        </is>
      </c>
      <c r="U149" s="2" t="inlineStr">
        <is>
          <t>CNP ППК26116</t>
        </is>
      </c>
      <c r="V149" s="2" t="inlineStr">
        <is>
          <t>Conforms</t>
        </is>
      </c>
      <c r="W149" s="2" t="inlineStr">
        <is>
          <t>227-7-K-26, (11.09.2026) [FHM-K]</t>
        </is>
      </c>
      <c r="X149" s="2" t="inlineStr">
        <is>
          <t>227-7-K-26, (11.09.2026) [FHM-K]</t>
        </is>
      </c>
      <c r="Y149" s="2" t="inlineStr">
        <is>
          <t>— pending —</t>
        </is>
      </c>
      <c r="Z149" s="2" t="inlineStr">
        <is>
          <t>#8, #9, #11, #12 from the initial testing</t>
        </is>
      </c>
      <c r="AA149" s="2" t="inlineStr">
        <is>
          <t>P060442|R2</t>
        </is>
      </c>
      <c r="AB149" s="7" t="inlineStr">
        <is>
          <t>registered — retest 2 · Tranche 3 (sampled 19–21.08.2026), tested 19.08.2026, issued 24.08.2026</t>
        </is>
      </c>
    </row>
    <row r="150">
      <c r="A150" s="2" t="n">
        <v>149</v>
      </c>
      <c r="B150" s="3" t="inlineStr">
        <is>
          <t>iCoA-PP_26-149</t>
        </is>
      </c>
      <c r="C150" s="4" t="inlineStr">
        <is>
          <t>yes</t>
        </is>
      </c>
      <c r="D150" s="5" t="n">
        <v>46258</v>
      </c>
      <c r="E150" s="5" t="n">
        <v>46253</v>
      </c>
      <c r="F150" s="5">
        <f>IFERROR(INDEX('Batch Dates'!$G:$G,MATCH(J150,'Batch Dates'!$C:$C,0)),IFERROR(INDEX('Batch Dates'!$G:$G,MATCH(I150,'Batch Dates'!$B:$B,0)),""))</f>
        <v/>
      </c>
      <c r="G150" s="2" t="inlineStr">
        <is>
          <t>legacy</t>
        </is>
      </c>
      <c r="H150" s="2" t="inlineStr">
        <is>
          <t>retest 2</t>
        </is>
      </c>
      <c r="I150" s="3" t="inlineStr">
        <is>
          <t>SJ102501</t>
        </is>
      </c>
      <c r="J150" s="2" t="inlineStr">
        <is>
          <t>P060162</t>
        </is>
      </c>
      <c r="K150" s="2" t="inlineStr">
        <is>
          <t>Sleepy Joe</t>
        </is>
      </c>
      <c r="L150" s="2" t="inlineStr">
        <is>
          <t>Ident A + Ident B + Foreign matter</t>
        </is>
      </c>
      <c r="M150" s="6" t="inlineStr">
        <is>
          <t>—</t>
        </is>
      </c>
      <c r="N150" s="2">
        <f>IFERROR(INDEX('CoQ Register'!$B:$B,MATCH("P060162|R2",'CoQ Register'!$S:$S,0)),"—")</f>
        <v/>
      </c>
      <c r="O150" s="6" t="inlineStr">
        <is>
          <t>—</t>
        </is>
      </c>
      <c r="P150" s="2" t="inlineStr">
        <is>
          <t>04.03.2027</t>
        </is>
      </c>
      <c r="Q150" s="2" t="inlineStr">
        <is>
          <t>20.01.2026</t>
        </is>
      </c>
      <c r="R150" s="2" t="inlineStr">
        <is>
          <t>09.03.2026 (the issuance plan's basis: 04.03.2026)</t>
        </is>
      </c>
      <c r="S150" s="5">
        <f>IFERROR(INDEX('CoQ Register'!$D:$D,MATCH("P060162|R2",'CoQ Register'!$S:$S,0)),"")</f>
        <v/>
      </c>
      <c r="T150" s="2" t="inlineStr">
        <is>
          <t>Conforms</t>
        </is>
      </c>
      <c r="U150" s="2" t="inlineStr">
        <is>
          <t>Conforms</t>
        </is>
      </c>
      <c r="V150" s="2" t="inlineStr">
        <is>
          <t>Conforms</t>
        </is>
      </c>
      <c r="W150" s="2" t="inlineStr">
        <is>
          <t>227-6-K-26, (11.09.2026) [FHM-K]</t>
        </is>
      </c>
      <c r="X150" s="2" t="inlineStr">
        <is>
          <t>227-6-K-26, (11.09.2026) [FHM-K]</t>
        </is>
      </c>
      <c r="Y150" s="2" t="inlineStr">
        <is>
          <t>— pending —</t>
        </is>
      </c>
      <c r="Z150" s="2" t="inlineStr">
        <is>
          <t>#8, #9, #11, #12 from the initial testing</t>
        </is>
      </c>
      <c r="AA150" s="2" t="inlineStr">
        <is>
          <t>P060162|R2</t>
        </is>
      </c>
      <c r="AB150" s="7" t="inlineStr">
        <is>
          <t>registered — retest 2 · Tranche 3 (sampled 19–21.08.2026), tested 19.08.2026, issued 24.08.2026</t>
        </is>
      </c>
    </row>
    <row r="151">
      <c r="A151" s="2" t="n">
        <v>150</v>
      </c>
      <c r="B151" s="3" t="inlineStr">
        <is>
          <t>iCoA-PP_26-150</t>
        </is>
      </c>
      <c r="C151" s="4" t="inlineStr">
        <is>
          <t>yes</t>
        </is>
      </c>
      <c r="D151" s="5" t="n">
        <v>46258</v>
      </c>
      <c r="E151" s="5" t="n">
        <v>46253</v>
      </c>
      <c r="F151" s="5">
        <f>IFERROR(INDEX('Batch Dates'!$G:$G,MATCH(J151,'Batch Dates'!$C:$C,0)),IFERROR(INDEX('Batch Dates'!$G:$G,MATCH(I151,'Batch Dates'!$B:$B,0)),""))</f>
        <v/>
      </c>
      <c r="G151" s="2" t="inlineStr">
        <is>
          <t>legacy</t>
        </is>
      </c>
      <c r="H151" s="2" t="inlineStr">
        <is>
          <t>retest 1</t>
        </is>
      </c>
      <c r="I151" s="3" t="inlineStr">
        <is>
          <t>SJ112501</t>
        </is>
      </c>
      <c r="J151" s="2" t="inlineStr">
        <is>
          <t>P060192</t>
        </is>
      </c>
      <c r="K151" s="2" t="inlineStr">
        <is>
          <t>Sleepy Joe</t>
        </is>
      </c>
      <c r="L151" s="2" t="inlineStr">
        <is>
          <t>Ident A + Ident B + Foreign matter</t>
        </is>
      </c>
      <c r="M151" s="6" t="inlineStr">
        <is>
          <t>—</t>
        </is>
      </c>
      <c r="N151" s="2">
        <f>IFERROR(INDEX('CoQ Register'!$B:$B,MATCH("P060192|R",'CoQ Register'!$S:$S,0)),"—")</f>
        <v/>
      </c>
      <c r="O151" s="6" t="inlineStr">
        <is>
          <t>—</t>
        </is>
      </c>
      <c r="P151" s="2" t="inlineStr">
        <is>
          <t>04.03.2027</t>
        </is>
      </c>
      <c r="Q151" s="2" t="inlineStr">
        <is>
          <t>26.01.2026 – 27.01.2026</t>
        </is>
      </c>
      <c r="R151" s="2" t="inlineStr">
        <is>
          <t>31.03.2026 (the issuance plan's basis: 04.03.2026)</t>
        </is>
      </c>
      <c r="S151" s="5">
        <f>IFERROR(INDEX('CoQ Register'!$D:$D,MATCH("P060192|R",'CoQ Register'!$S:$S,0)),"")</f>
        <v/>
      </c>
      <c r="T151" s="2" t="inlineStr">
        <is>
          <t>Conforms</t>
        </is>
      </c>
      <c r="U151" s="2" t="inlineStr">
        <is>
          <t>Conforms</t>
        </is>
      </c>
      <c r="V151" s="2" t="inlineStr">
        <is>
          <t>Conforms</t>
        </is>
      </c>
      <c r="W151" s="2" t="inlineStr">
        <is>
          <t>227-5-K-26, (11.09.2026) [FHM-K]</t>
        </is>
      </c>
      <c r="X151" s="2" t="inlineStr">
        <is>
          <t>227-5-K-26, (11.09.2026) [FHM-K]</t>
        </is>
      </c>
      <c r="Y151" s="2" t="inlineStr">
        <is>
          <t>— pending —</t>
        </is>
      </c>
      <c r="Z151" s="2" t="inlineStr">
        <is>
          <t>#8, #9, #11, #12 from the initial testing</t>
        </is>
      </c>
      <c r="AA151" s="2" t="inlineStr">
        <is>
          <t>P060192|R</t>
        </is>
      </c>
      <c r="AB151" s="7" t="inlineStr">
        <is>
          <t>registered — retest 1 · Tranche 3 (sampled 19–21.08.2026), tested 19.08.2026, issued 24.08.2026</t>
        </is>
      </c>
    </row>
    <row r="152">
      <c r="A152" s="2" t="n">
        <v>151</v>
      </c>
      <c r="B152" s="3" t="inlineStr">
        <is>
          <t>iCoA-PP_26-151</t>
        </is>
      </c>
      <c r="C152" s="4" t="inlineStr">
        <is>
          <t>yes</t>
        </is>
      </c>
      <c r="D152" s="5" t="n">
        <v>46258</v>
      </c>
      <c r="E152" s="5" t="n">
        <v>46253</v>
      </c>
      <c r="F152" s="5">
        <f>IFERROR(INDEX('Batch Dates'!$G:$G,MATCH(J152,'Batch Dates'!$C:$C,0)),IFERROR(INDEX('Batch Dates'!$G:$G,MATCH(I152,'Batch Dates'!$B:$B,0)),""))</f>
        <v/>
      </c>
      <c r="G152" s="2" t="inlineStr">
        <is>
          <t>legacy</t>
        </is>
      </c>
      <c r="H152" s="2" t="inlineStr">
        <is>
          <t>retest 2</t>
        </is>
      </c>
      <c r="I152" s="3" t="inlineStr">
        <is>
          <t>WC072501</t>
        </is>
      </c>
      <c r="J152" s="2" t="inlineStr">
        <is>
          <t>P050262</t>
        </is>
      </c>
      <c r="K152" s="2" t="inlineStr">
        <is>
          <t>Wedding Crusher</t>
        </is>
      </c>
      <c r="L152" s="2" t="inlineStr">
        <is>
          <t>Ident A + Ident B + Foreign matter</t>
        </is>
      </c>
      <c r="M152" s="6" t="inlineStr">
        <is>
          <t>—</t>
        </is>
      </c>
      <c r="N152" s="2">
        <f>IFERROR(INDEX('CoQ Register'!$B:$B,MATCH("P050262|R2",'CoQ Register'!$S:$S,0)),"—")</f>
        <v/>
      </c>
      <c r="O152" s="6" t="inlineStr">
        <is>
          <t>—</t>
        </is>
      </c>
      <c r="P152" s="2" t="inlineStr">
        <is>
          <t>02.12.2026</t>
        </is>
      </c>
      <c r="Q152" s="2" t="inlineStr">
        <is>
          <t>27.10.2025 – 28.10.2025</t>
        </is>
      </c>
      <c r="R152" s="2" t="inlineStr">
        <is>
          <t>01.12.2025 (the issuance plan's basis: 02.12.2025)</t>
        </is>
      </c>
      <c r="S152" s="5">
        <f>IFERROR(INDEX('CoQ Register'!$D:$D,MATCH("P050262|R2",'CoQ Register'!$S:$S,0)),"")</f>
        <v/>
      </c>
      <c r="T152" s="2" t="inlineStr">
        <is>
          <t>Conforms</t>
        </is>
      </c>
      <c r="U152" s="2" t="inlineStr">
        <is>
          <t>Conforms</t>
        </is>
      </c>
      <c r="V152" s="2" t="inlineStr">
        <is>
          <t>Conforms</t>
        </is>
      </c>
      <c r="W152" s="2" t="inlineStr">
        <is>
          <t>227-3-K-26, (11.09.2026) [FHM-K]</t>
        </is>
      </c>
      <c r="X152" s="2" t="inlineStr">
        <is>
          <t>227-3-K-26, (11.09.2026) [FHM-K]</t>
        </is>
      </c>
      <c r="Y152" s="2" t="inlineStr">
        <is>
          <t>— pending —</t>
        </is>
      </c>
      <c r="Z152" s="2" t="inlineStr">
        <is>
          <t>#8, #9, #11, #12 from the initial testing</t>
        </is>
      </c>
      <c r="AA152" s="2" t="inlineStr">
        <is>
          <t>P050262|R2</t>
        </is>
      </c>
      <c r="AB152" s="7" t="inlineStr">
        <is>
          <t>registered — retest 2 · Tranche 3 (sampled 19–21.08.2026), tested 19.08.2026, issued 24.08.2026</t>
        </is>
      </c>
    </row>
    <row r="153">
      <c r="A153" s="2" t="n">
        <v>152</v>
      </c>
      <c r="B153" s="3" t="inlineStr">
        <is>
          <t>iCoA-PP_26-152</t>
        </is>
      </c>
      <c r="C153" s="4" t="inlineStr">
        <is>
          <t>yes</t>
        </is>
      </c>
      <c r="D153" s="5" t="n">
        <v>46258</v>
      </c>
      <c r="E153" s="5" t="n">
        <v>46253</v>
      </c>
      <c r="F153" s="5">
        <f>IFERROR(INDEX('Batch Dates'!$G:$G,MATCH(J153,'Batch Dates'!$C:$C,0)),IFERROR(INDEX('Batch Dates'!$G:$G,MATCH(I153,'Batch Dates'!$B:$B,0)),""))</f>
        <v/>
      </c>
      <c r="G153" s="2" t="inlineStr">
        <is>
          <t>legacy</t>
        </is>
      </c>
      <c r="H153" s="2" t="inlineStr">
        <is>
          <t>retest 2</t>
        </is>
      </c>
      <c r="I153" s="3" t="inlineStr">
        <is>
          <t>WED102501</t>
        </is>
      </c>
      <c r="J153" s="2" t="inlineStr">
        <is>
          <t>P060102</t>
        </is>
      </c>
      <c r="K153" s="2" t="inlineStr">
        <is>
          <t>Wedding Cake</t>
        </is>
      </c>
      <c r="L153" s="2" t="inlineStr">
        <is>
          <t>Ident A + Ident B + Foreign matter</t>
        </is>
      </c>
      <c r="M153" s="6" t="inlineStr">
        <is>
          <t>—</t>
        </is>
      </c>
      <c r="N153" s="2">
        <f>IFERROR(INDEX('CoQ Register'!$B:$B,MATCH("P060102|R2",'CoQ Register'!$S:$S,0)),"—")</f>
        <v/>
      </c>
      <c r="O153" s="6" t="inlineStr">
        <is>
          <t>—</t>
        </is>
      </c>
      <c r="P153" s="2" t="inlineStr">
        <is>
          <t>16.02.2027</t>
        </is>
      </c>
      <c r="Q153" s="2" t="inlineStr">
        <is>
          <t>08.01.2026</t>
        </is>
      </c>
      <c r="R153" s="2" t="inlineStr">
        <is>
          <t>16.02.2026</t>
        </is>
      </c>
      <c r="S153" s="5">
        <f>IFERROR(INDEX('CoQ Register'!$D:$D,MATCH("P060102|R2",'CoQ Register'!$S:$S,0)),"")</f>
        <v/>
      </c>
      <c r="T153" s="2" t="inlineStr">
        <is>
          <t>Conforms</t>
        </is>
      </c>
      <c r="U153" s="2" t="inlineStr">
        <is>
          <t>Conforms</t>
        </is>
      </c>
      <c r="V153" s="2" t="inlineStr">
        <is>
          <t>Conforms</t>
        </is>
      </c>
      <c r="W153" s="2" t="inlineStr">
        <is>
          <t>227-4-K-26, (11.09.2026) [FHM-K]</t>
        </is>
      </c>
      <c r="X153" s="2" t="inlineStr">
        <is>
          <t>227-4-K-26, (11.09.2026) [FHM-K]</t>
        </is>
      </c>
      <c r="Y153" s="2" t="inlineStr">
        <is>
          <t>— pending —</t>
        </is>
      </c>
      <c r="Z153" s="2" t="inlineStr">
        <is>
          <t>#8, #9, #11, #12 from the initial testing</t>
        </is>
      </c>
      <c r="AA153" s="2" t="inlineStr">
        <is>
          <t>P060102|R2</t>
        </is>
      </c>
      <c r="AB153" s="7" t="inlineStr">
        <is>
          <t>registered — retest 2 · Tranche 3 (sampled 19–21.08.2026), tested 19.08.2026, issued 24.08.2026</t>
        </is>
      </c>
    </row>
    <row r="154">
      <c r="A154" s="2" t="n">
        <v>153</v>
      </c>
      <c r="B154" s="3" t="inlineStr">
        <is>
          <t>iCoA-PP_26-153</t>
        </is>
      </c>
      <c r="C154" s="4" t="inlineStr">
        <is>
          <t>yes</t>
        </is>
      </c>
      <c r="D154" s="5" t="n">
        <v>46258</v>
      </c>
      <c r="E154" s="5" t="n">
        <v>46254</v>
      </c>
      <c r="F154" s="5">
        <f>IFERROR(INDEX('Batch Dates'!$G:$G,MATCH(J154,'Batch Dates'!$C:$C,0)),IFERROR(INDEX('Batch Dates'!$G:$G,MATCH(I154,'Batch Dates'!$B:$B,0)),""))</f>
        <v/>
      </c>
      <c r="G154" s="2" t="inlineStr">
        <is>
          <t>legacy</t>
        </is>
      </c>
      <c r="H154" s="2" t="inlineStr">
        <is>
          <t>retest 2</t>
        </is>
      </c>
      <c r="I154" s="3" t="inlineStr">
        <is>
          <t>GG1024_02</t>
        </is>
      </c>
      <c r="J154" s="2" t="inlineStr">
        <is>
          <t>P050012</t>
        </is>
      </c>
      <c r="K154" s="2" t="inlineStr">
        <is>
          <t>Gorilla Glue</t>
        </is>
      </c>
      <c r="L154" s="2" t="inlineStr">
        <is>
          <t>Ident A + Ident B + Foreign matter</t>
        </is>
      </c>
      <c r="M154" s="6" t="inlineStr">
        <is>
          <t>—</t>
        </is>
      </c>
      <c r="N154" s="2">
        <f>IFERROR(INDEX('CoQ Register'!$B:$B,MATCH("P050012|R2",'CoQ Register'!$S:$S,0)),"—")</f>
        <v/>
      </c>
      <c r="O154" s="6" t="inlineStr">
        <is>
          <t>—</t>
        </is>
      </c>
      <c r="P154" s="2" t="inlineStr">
        <is>
          <t>30.05.2026</t>
        </is>
      </c>
      <c r="Q154" s="2" t="inlineStr">
        <is>
          <t>14.04.2025 – 15.04.2025</t>
        </is>
      </c>
      <c r="R154" s="2" t="inlineStr">
        <is>
          <t>11.06.2025 – 16.06.2025 (the issuance plan's basis: 30.05.2025)</t>
        </is>
      </c>
      <c r="S154" s="5">
        <f>IFERROR(INDEX('CoQ Register'!$D:$D,MATCH("P050012|R2",'CoQ Register'!$S:$S,0)),"")</f>
        <v/>
      </c>
      <c r="T154" s="2" t="inlineStr">
        <is>
          <t>Conforms</t>
        </is>
      </c>
      <c r="U154" s="2" t="inlineStr">
        <is>
          <t>Conforms</t>
        </is>
      </c>
      <c r="V154" s="2" t="inlineStr">
        <is>
          <t>Conforms</t>
        </is>
      </c>
      <c r="W154" s="2" t="inlineStr">
        <is>
          <t>227-19-K-26, (11.09.2026) [FHM-K]</t>
        </is>
      </c>
      <c r="X154" s="2" t="inlineStr">
        <is>
          <t>227-19-K-26, (11.09.2026) [FHM-K]</t>
        </is>
      </c>
      <c r="Y154" s="2" t="inlineStr">
        <is>
          <t>— pending —</t>
        </is>
      </c>
      <c r="Z154" s="2" t="inlineStr">
        <is>
          <t>#8, #9, #11, #12 from the initial testing</t>
        </is>
      </c>
      <c r="AA154" s="2" t="inlineStr">
        <is>
          <t>P050012|R2</t>
        </is>
      </c>
      <c r="AB154" s="7" t="inlineStr">
        <is>
          <t>registered — retest 2 · Tranche 3 (sampled 19–21.08.2026), tested 20.08.2026, issued 24.08.2026</t>
        </is>
      </c>
    </row>
    <row r="155">
      <c r="A155" s="2" t="n">
        <v>154</v>
      </c>
      <c r="B155" s="3" t="inlineStr">
        <is>
          <t>iCoA-PP_26-154</t>
        </is>
      </c>
      <c r="C155" s="4" t="inlineStr">
        <is>
          <t>yes</t>
        </is>
      </c>
      <c r="D155" s="5" t="n">
        <v>46258</v>
      </c>
      <c r="E155" s="5" t="n">
        <v>46254</v>
      </c>
      <c r="F155" s="5">
        <f>IFERROR(INDEX('Batch Dates'!$G:$G,MATCH(J155,'Batch Dates'!$C:$C,0)),IFERROR(INDEX('Batch Dates'!$G:$G,MATCH(I155,'Batch Dates'!$B:$B,0)),""))</f>
        <v/>
      </c>
      <c r="G155" s="2" t="inlineStr">
        <is>
          <t>legacy</t>
        </is>
      </c>
      <c r="H155" s="2" t="inlineStr">
        <is>
          <t>retest 2</t>
        </is>
      </c>
      <c r="I155" s="3" t="inlineStr">
        <is>
          <t>GG112501</t>
        </is>
      </c>
      <c r="J155" s="2" t="inlineStr">
        <is>
          <t>P060252</t>
        </is>
      </c>
      <c r="K155" s="2" t="inlineStr">
        <is>
          <t>Gorilla Glue</t>
        </is>
      </c>
      <c r="L155" s="2" t="inlineStr">
        <is>
          <t>Ident A + Ident B + Foreign matter</t>
        </is>
      </c>
      <c r="M155" s="6" t="inlineStr">
        <is>
          <t>—</t>
        </is>
      </c>
      <c r="N155" s="2">
        <f>IFERROR(INDEX('CoQ Register'!$B:$B,MATCH("P060252|R2",'CoQ Register'!$S:$S,0)),"—")</f>
        <v/>
      </c>
      <c r="O155" s="6" t="inlineStr">
        <is>
          <t>—</t>
        </is>
      </c>
      <c r="P155" s="2" t="inlineStr">
        <is>
          <t>11.05.2027</t>
        </is>
      </c>
      <c r="Q155" s="2" t="inlineStr">
        <is>
          <t>25.03.2026</t>
        </is>
      </c>
      <c r="R155" s="2" t="inlineStr">
        <is>
          <t>05.05.2026 (the issuance plan's basis: 11.05.2026)</t>
        </is>
      </c>
      <c r="S155" s="5">
        <f>IFERROR(INDEX('CoQ Register'!$D:$D,MATCH("P060252|R2",'CoQ Register'!$S:$S,0)),"")</f>
        <v/>
      </c>
      <c r="T155" s="2" t="inlineStr">
        <is>
          <t>Conforms</t>
        </is>
      </c>
      <c r="U155" s="2" t="inlineStr">
        <is>
          <t>Conforms</t>
        </is>
      </c>
      <c r="V155" s="2" t="inlineStr">
        <is>
          <t>Conforms</t>
        </is>
      </c>
      <c r="W155" s="2" t="inlineStr">
        <is>
          <t>227-20-K-26, (11.09.2026) [FHM-K]</t>
        </is>
      </c>
      <c r="X155" s="2" t="inlineStr">
        <is>
          <t>227-20-K-26, (11.09.2026) [FHM-K]</t>
        </is>
      </c>
      <c r="Y155" s="2" t="inlineStr">
        <is>
          <t>— pending —</t>
        </is>
      </c>
      <c r="Z155" s="2" t="inlineStr">
        <is>
          <t>#8, #9, #11, #12 from the initial testing</t>
        </is>
      </c>
      <c r="AA155" s="2" t="inlineStr">
        <is>
          <t>P060252|R2</t>
        </is>
      </c>
      <c r="AB155" s="7" t="inlineStr">
        <is>
          <t>registered — retest 2 · Tranche 3 (sampled 19–21.08.2026), tested 20.08.2026, issued 24.08.2026</t>
        </is>
      </c>
    </row>
    <row r="156">
      <c r="A156" s="2" t="n">
        <v>155</v>
      </c>
      <c r="B156" s="3" t="inlineStr">
        <is>
          <t>iCoA-PP_26-155</t>
        </is>
      </c>
      <c r="C156" s="4" t="inlineStr">
        <is>
          <t>yes</t>
        </is>
      </c>
      <c r="D156" s="5" t="n">
        <v>46258</v>
      </c>
      <c r="E156" s="5" t="n">
        <v>46254</v>
      </c>
      <c r="F156" s="5">
        <f>IFERROR(INDEX('Batch Dates'!$G:$G,MATCH(J156,'Batch Dates'!$C:$C,0)),IFERROR(INDEX('Batch Dates'!$G:$G,MATCH(I156,'Batch Dates'!$B:$B,0)),""))</f>
        <v/>
      </c>
      <c r="G156" s="2" t="inlineStr">
        <is>
          <t>legacy</t>
        </is>
      </c>
      <c r="H156" s="2" t="inlineStr">
        <is>
          <t>retest 5</t>
        </is>
      </c>
      <c r="I156" s="3" t="inlineStr">
        <is>
          <t>GP062501</t>
        </is>
      </c>
      <c r="J156" s="2" t="inlineStr">
        <is>
          <t>P050202</t>
        </is>
      </c>
      <c r="K156" s="2" t="inlineStr">
        <is>
          <t>Grape Pie</t>
        </is>
      </c>
      <c r="L156" s="2" t="inlineStr">
        <is>
          <t>Ident A + Ident B + Foreign matter</t>
        </is>
      </c>
      <c r="M156" s="6" t="inlineStr">
        <is>
          <t>—</t>
        </is>
      </c>
      <c r="N156" s="2">
        <f>IFERROR(INDEX('CoQ Register'!$B:$B,MATCH("P050202|R5",'CoQ Register'!$S:$S,0)),"—")</f>
        <v/>
      </c>
      <c r="O156" s="6" t="inlineStr">
        <is>
          <t>—</t>
        </is>
      </c>
      <c r="P156" s="2" t="inlineStr">
        <is>
          <t>11.05.2027</t>
        </is>
      </c>
      <c r="Q156" s="2" t="inlineStr">
        <is>
          <t>15.09.2025 – 17.09.2025</t>
        </is>
      </c>
      <c r="R156" s="2" t="inlineStr">
        <is>
          <t>30.10.2025 – 07.11.2025 (the issuance plan's basis: 11.05.2026)</t>
        </is>
      </c>
      <c r="S156" s="5">
        <f>IFERROR(INDEX('CoQ Register'!$D:$D,MATCH("P050202|R5",'CoQ Register'!$S:$S,0)),"")</f>
        <v/>
      </c>
      <c r="T156" s="2" t="inlineStr">
        <is>
          <t>Conforms</t>
        </is>
      </c>
      <c r="U156" s="2" t="inlineStr">
        <is>
          <t>Conforms</t>
        </is>
      </c>
      <c r="V156" s="2" t="inlineStr">
        <is>
          <t>Conforms</t>
        </is>
      </c>
      <c r="W156" s="2" t="inlineStr">
        <is>
          <t>227-18-K-26, (11.09.2026) [FHM-K]</t>
        </is>
      </c>
      <c r="X156" s="2" t="inlineStr">
        <is>
          <t>227-18-K-26, (11.09.2026) [FHM-K]</t>
        </is>
      </c>
      <c r="Y156" s="2" t="inlineStr">
        <is>
          <t>— pending —</t>
        </is>
      </c>
      <c r="Z156" s="2" t="inlineStr">
        <is>
          <t>#8, #9, #11, #12 from the initial testing</t>
        </is>
      </c>
      <c r="AA156" s="2" t="inlineStr">
        <is>
          <t>P050202|R5</t>
        </is>
      </c>
      <c r="AB156" s="7" t="inlineStr">
        <is>
          <t>registered — retest 5 · Tranche 3 (sampled 19–21.08.2026), tested 20.08.2026, issued 24.08.2026</t>
        </is>
      </c>
    </row>
    <row r="157">
      <c r="A157" s="2" t="n">
        <v>156</v>
      </c>
      <c r="B157" s="3" t="inlineStr">
        <is>
          <t>iCoA-PP_26-156</t>
        </is>
      </c>
      <c r="C157" s="4" t="inlineStr">
        <is>
          <t>yes</t>
        </is>
      </c>
      <c r="D157" s="5" t="n">
        <v>46258</v>
      </c>
      <c r="E157" s="5" t="n">
        <v>46254</v>
      </c>
      <c r="F157" s="5">
        <f>IFERROR(INDEX('Batch Dates'!$G:$G,MATCH(J157,'Batch Dates'!$C:$C,0)),IFERROR(INDEX('Batch Dates'!$G:$G,MATCH(I157,'Batch Dates'!$B:$B,0)),""))</f>
        <v/>
      </c>
      <c r="G157" s="2" t="inlineStr">
        <is>
          <t>legacy</t>
        </is>
      </c>
      <c r="H157" s="2" t="inlineStr">
        <is>
          <t>retest 2</t>
        </is>
      </c>
      <c r="I157" s="3" t="inlineStr">
        <is>
          <t>GP072501/1</t>
        </is>
      </c>
      <c r="J157" s="2" t="inlineStr">
        <is>
          <t>P050292</t>
        </is>
      </c>
      <c r="K157" s="2" t="inlineStr">
        <is>
          <t>Grape Pie</t>
        </is>
      </c>
      <c r="L157" s="2" t="inlineStr">
        <is>
          <t>Ident A + Ident B + Foreign matter</t>
        </is>
      </c>
      <c r="M157" s="6" t="inlineStr">
        <is>
          <t>—</t>
        </is>
      </c>
      <c r="N157" s="2">
        <f>IFERROR(INDEX('CoQ Register'!$B:$B,MATCH("P050292|R2",'CoQ Register'!$S:$S,0)),"—")</f>
        <v/>
      </c>
      <c r="O157" s="6" t="inlineStr">
        <is>
          <t>—</t>
        </is>
      </c>
      <c r="P157" s="2" t="inlineStr">
        <is>
          <t>21.01.2027</t>
        </is>
      </c>
      <c r="Q157" s="2" t="inlineStr">
        <is>
          <t>11.11.2025 – 13.11.2025</t>
        </is>
      </c>
      <c r="R157" s="2" t="inlineStr">
        <is>
          <t>15.12.2025 – 21.12.2025 (the issuance plan's basis: 21.01.2026)</t>
        </is>
      </c>
      <c r="S157" s="5">
        <f>IFERROR(INDEX('CoQ Register'!$D:$D,MATCH("P050292|R2",'CoQ Register'!$S:$S,0)),"")</f>
        <v/>
      </c>
      <c r="T157" s="2" t="inlineStr">
        <is>
          <t>Conforms</t>
        </is>
      </c>
      <c r="U157" s="2" t="inlineStr">
        <is>
          <t>Conforms</t>
        </is>
      </c>
      <c r="V157" s="2" t="inlineStr">
        <is>
          <t>Conforms</t>
        </is>
      </c>
      <c r="W157" s="2" t="inlineStr">
        <is>
          <t>227-17-K-26, (11.09.2026) [FHM-K]</t>
        </is>
      </c>
      <c r="X157" s="2" t="inlineStr">
        <is>
          <t>227-17-K-26, (11.09.2026) [FHM-K]</t>
        </is>
      </c>
      <c r="Y157" s="2" t="inlineStr">
        <is>
          <t>— pending —</t>
        </is>
      </c>
      <c r="Z157" s="2" t="inlineStr">
        <is>
          <t>#8, #9, #11, #12 from the initial testing</t>
        </is>
      </c>
      <c r="AA157" s="2" t="inlineStr">
        <is>
          <t>P050292|R2</t>
        </is>
      </c>
      <c r="AB157" s="7" t="inlineStr">
        <is>
          <t>registered — retest 2 · Tranche 3 (sampled 19–21.08.2026), tested 20.08.2026, issued 24.08.2026</t>
        </is>
      </c>
    </row>
    <row r="158">
      <c r="A158" s="2" t="n">
        <v>157</v>
      </c>
      <c r="B158" s="3" t="inlineStr">
        <is>
          <t>iCoA-PP_26-157</t>
        </is>
      </c>
      <c r="C158" s="4" t="inlineStr">
        <is>
          <t>yes</t>
        </is>
      </c>
      <c r="D158" s="5" t="n">
        <v>46258</v>
      </c>
      <c r="E158" s="5" t="n">
        <v>46254</v>
      </c>
      <c r="F158" s="5">
        <f>IFERROR(INDEX('Batch Dates'!$G:$G,MATCH(J158,'Batch Dates'!$C:$C,0)),IFERROR(INDEX('Batch Dates'!$G:$G,MATCH(I158,'Batch Dates'!$B:$B,0)),""))</f>
        <v/>
      </c>
      <c r="G158" s="2" t="inlineStr">
        <is>
          <t>legacy</t>
        </is>
      </c>
      <c r="H158" s="2" t="inlineStr">
        <is>
          <t>retest 2</t>
        </is>
      </c>
      <c r="I158" s="3" t="inlineStr">
        <is>
          <t>GRC102501</t>
        </is>
      </c>
      <c r="J158" s="2" t="inlineStr">
        <is>
          <t>P060142</t>
        </is>
      </c>
      <c r="K158" s="2" t="inlineStr">
        <is>
          <t>Grapes And Cream</t>
        </is>
      </c>
      <c r="L158" s="2" t="inlineStr">
        <is>
          <t>Ident A + Ident B + Foreign matter</t>
        </is>
      </c>
      <c r="M158" s="6" t="inlineStr">
        <is>
          <t>—</t>
        </is>
      </c>
      <c r="N158" s="2">
        <f>IFERROR(INDEX('CoQ Register'!$B:$B,MATCH("P060142|R2",'CoQ Register'!$S:$S,0)),"—")</f>
        <v/>
      </c>
      <c r="O158" s="6" t="inlineStr">
        <is>
          <t>—</t>
        </is>
      </c>
      <c r="P158" s="2" t="inlineStr">
        <is>
          <t>23.02.2027</t>
        </is>
      </c>
      <c r="Q158" s="2" t="inlineStr">
        <is>
          <t>09.01.2026</t>
        </is>
      </c>
      <c r="R158" s="2" t="inlineStr">
        <is>
          <t>23.02.2026</t>
        </is>
      </c>
      <c r="S158" s="5">
        <f>IFERROR(INDEX('CoQ Register'!$D:$D,MATCH("P060142|R2",'CoQ Register'!$S:$S,0)),"")</f>
        <v/>
      </c>
      <c r="T158" s="2" t="inlineStr">
        <is>
          <t>Conforms</t>
        </is>
      </c>
      <c r="U158" s="2" t="inlineStr">
        <is>
          <t>Conforms</t>
        </is>
      </c>
      <c r="V158" s="2" t="inlineStr">
        <is>
          <t>Conforms</t>
        </is>
      </c>
      <c r="W158" s="2" t="inlineStr">
        <is>
          <t>227-16-K-26, (11.09.2026) [FHM-K]</t>
        </is>
      </c>
      <c r="X158" s="2" t="inlineStr">
        <is>
          <t>227-16-K-26, (11.09.2026) [FHM-K]</t>
        </is>
      </c>
      <c r="Y158" s="2" t="inlineStr">
        <is>
          <t>— pending —</t>
        </is>
      </c>
      <c r="Z158" s="2" t="inlineStr">
        <is>
          <t>#8, #9, #11, #12 from the initial testing</t>
        </is>
      </c>
      <c r="AA158" s="2" t="inlineStr">
        <is>
          <t>P060142|R2</t>
        </is>
      </c>
      <c r="AB158" s="7" t="inlineStr">
        <is>
          <t>registered — retest 2 · Tranche 3 (sampled 19–21.08.2026), tested 20.08.2026, issued 24.08.2026</t>
        </is>
      </c>
    </row>
    <row r="159">
      <c r="A159" s="2" t="n">
        <v>158</v>
      </c>
      <c r="B159" s="3" t="inlineStr">
        <is>
          <t>iCoA-PP_26-158</t>
        </is>
      </c>
      <c r="C159" s="4" t="inlineStr">
        <is>
          <t>yes</t>
        </is>
      </c>
      <c r="D159" s="5" t="n">
        <v>46258</v>
      </c>
      <c r="E159" s="5" t="n">
        <v>46254</v>
      </c>
      <c r="F159" s="5">
        <f>IFERROR(INDEX('Batch Dates'!$G:$G,MATCH(J159,'Batch Dates'!$C:$C,0)),IFERROR(INDEX('Batch Dates'!$G:$G,MATCH(I159,'Batch Dates'!$B:$B,0)),""))</f>
        <v/>
      </c>
      <c r="G159" s="2" t="inlineStr">
        <is>
          <t>legacy</t>
        </is>
      </c>
      <c r="H159" s="2" t="inlineStr">
        <is>
          <t>retest 2</t>
        </is>
      </c>
      <c r="I159" s="3" t="inlineStr">
        <is>
          <t>J31112501</t>
        </is>
      </c>
      <c r="J159" s="2" t="inlineStr">
        <is>
          <t>P060202</t>
        </is>
      </c>
      <c r="K159" s="2" t="inlineStr">
        <is>
          <t>Jokerz 31</t>
        </is>
      </c>
      <c r="L159" s="2" t="inlineStr">
        <is>
          <t>Ident A + Ident B + Foreign matter</t>
        </is>
      </c>
      <c r="M159" s="6" t="inlineStr">
        <is>
          <t>—</t>
        </is>
      </c>
      <c r="N159" s="2">
        <f>IFERROR(INDEX('CoQ Register'!$B:$B,MATCH("P060202|R2",'CoQ Register'!$S:$S,0)),"—")</f>
        <v/>
      </c>
      <c r="O159" s="6" t="inlineStr">
        <is>
          <t>—</t>
        </is>
      </c>
      <c r="P159" s="2" t="inlineStr">
        <is>
          <t>09.04.2027</t>
        </is>
      </c>
      <c r="Q159" s="2" t="inlineStr">
        <is>
          <t>26.01.2026</t>
        </is>
      </c>
      <c r="R159" s="2" t="inlineStr">
        <is>
          <t>17.04.2026 (the issuance plan's basis: 09.04.2026)</t>
        </is>
      </c>
      <c r="S159" s="5">
        <f>IFERROR(INDEX('CoQ Register'!$D:$D,MATCH("P060202|R2",'CoQ Register'!$S:$S,0)),"")</f>
        <v/>
      </c>
      <c r="T159" s="2" t="inlineStr">
        <is>
          <t>Conforms</t>
        </is>
      </c>
      <c r="U159" s="2" t="inlineStr">
        <is>
          <t>Conforms</t>
        </is>
      </c>
      <c r="V159" s="2" t="inlineStr">
        <is>
          <t>Conforms</t>
        </is>
      </c>
      <c r="W159" s="2" t="inlineStr">
        <is>
          <t>227-14-K-26, (11.09.2026) [FHM-K]</t>
        </is>
      </c>
      <c r="X159" s="2" t="inlineStr">
        <is>
          <t>227-14-K-26, (11.09.2026) [FHM-K]</t>
        </is>
      </c>
      <c r="Y159" s="2" t="inlineStr">
        <is>
          <t>— pending —</t>
        </is>
      </c>
      <c r="Z159" s="2" t="inlineStr">
        <is>
          <t>#8, #9, #11, #12 from the initial testing</t>
        </is>
      </c>
      <c r="AA159" s="2" t="inlineStr">
        <is>
          <t>P060202|R2</t>
        </is>
      </c>
      <c r="AB159" s="7" t="inlineStr">
        <is>
          <t>registered — retest 2 · Tranche 3 (sampled 19–21.08.2026), tested 20.08.2026, issued 24.08.2026</t>
        </is>
      </c>
    </row>
    <row r="160">
      <c r="A160" s="2" t="n">
        <v>159</v>
      </c>
      <c r="B160" s="3" t="inlineStr">
        <is>
          <t>iCoA-PP_26-159</t>
        </is>
      </c>
      <c r="C160" s="4" t="inlineStr">
        <is>
          <t>yes</t>
        </is>
      </c>
      <c r="D160" s="5" t="n">
        <v>46258</v>
      </c>
      <c r="E160" s="5" t="n">
        <v>46254</v>
      </c>
      <c r="F160" s="5">
        <f>IFERROR(INDEX('Batch Dates'!$G:$G,MATCH(J160,'Batch Dates'!$C:$C,0)),IFERROR(INDEX('Batch Dates'!$G:$G,MATCH(I160,'Batch Dates'!$B:$B,0)),""))</f>
        <v/>
      </c>
      <c r="G160" s="2" t="inlineStr">
        <is>
          <t>post-SOP</t>
        </is>
      </c>
      <c r="H160" s="2" t="inlineStr">
        <is>
          <t>retest 2</t>
        </is>
      </c>
      <c r="I160" s="3" t="inlineStr">
        <is>
          <t>J31122501</t>
        </is>
      </c>
      <c r="J160" s="2" t="inlineStr">
        <is>
          <t>P060262</t>
        </is>
      </c>
      <c r="K160" s="2" t="inlineStr">
        <is>
          <t>Jokerz 31</t>
        </is>
      </c>
      <c r="L160" s="2" t="inlineStr">
        <is>
          <t>Ident A + Ident B + Foreign matter</t>
        </is>
      </c>
      <c r="M160" s="6" t="inlineStr">
        <is>
          <t>—</t>
        </is>
      </c>
      <c r="N160" s="2">
        <f>IFERROR(INDEX('CoQ Register'!$B:$B,MATCH("P060262|R2",'CoQ Register'!$S:$S,0)),"—")</f>
        <v/>
      </c>
      <c r="O160" s="6" t="inlineStr">
        <is>
          <t>—</t>
        </is>
      </c>
      <c r="P160" s="2" t="inlineStr">
        <is>
          <t>23.04.2027</t>
        </is>
      </c>
      <c r="Q160" s="2" t="inlineStr">
        <is>
          <t>04.03.2026</t>
        </is>
      </c>
      <c r="R160" s="2" t="inlineStr">
        <is>
          <t>14.05.2026 (the issuance plan's basis: 23.04.2026)</t>
        </is>
      </c>
      <c r="S160" s="5">
        <f>IFERROR(INDEX('CoQ Register'!$D:$D,MATCH("P060262|R2",'CoQ Register'!$S:$S,0)),"")</f>
        <v/>
      </c>
      <c r="T160" s="2" t="inlineStr">
        <is>
          <t>Conforms</t>
        </is>
      </c>
      <c r="U160" s="2" t="inlineStr">
        <is>
          <t>Conforms</t>
        </is>
      </c>
      <c r="V160" s="2" t="inlineStr">
        <is>
          <t>Conforms</t>
        </is>
      </c>
      <c r="W160" s="2" t="inlineStr">
        <is>
          <t>— retest assay not yet on file —</t>
        </is>
      </c>
      <c r="X160" s="2" t="inlineStr">
        <is>
          <t>— pending —</t>
        </is>
      </c>
      <c r="Y160" s="2" t="inlineStr">
        <is>
          <t>— pending —</t>
        </is>
      </c>
      <c r="Z160" s="2" t="inlineStr">
        <is>
          <t>#8, #9, #11, #12 from the initial testing</t>
        </is>
      </c>
      <c r="AA160" s="2" t="inlineStr">
        <is>
          <t>P060262|R2</t>
        </is>
      </c>
      <c r="AB160" s="7" t="inlineStr">
        <is>
          <t>registered — retest 2 · Tranche 3 (sampled 19–21.08.2026), tested 20.08.2026, issued 24.08.2026</t>
        </is>
      </c>
    </row>
    <row r="161">
      <c r="A161" s="2" t="n">
        <v>160</v>
      </c>
      <c r="B161" s="3" t="inlineStr">
        <is>
          <t>iCoA-PP_26-160</t>
        </is>
      </c>
      <c r="C161" s="4" t="inlineStr">
        <is>
          <t>yes</t>
        </is>
      </c>
      <c r="D161" s="5" t="n">
        <v>46258</v>
      </c>
      <c r="E161" s="5" t="n">
        <v>46254</v>
      </c>
      <c r="F161" s="5">
        <f>IFERROR(INDEX('Batch Dates'!$G:$G,MATCH(J161,'Batch Dates'!$C:$C,0)),IFERROR(INDEX('Batch Dates'!$G:$G,MATCH(I161,'Batch Dates'!$B:$B,0)),""))</f>
        <v/>
      </c>
      <c r="G161" s="2" t="inlineStr">
        <is>
          <t>post-SOP</t>
        </is>
      </c>
      <c r="H161" s="2" t="inlineStr">
        <is>
          <t>retest 2</t>
        </is>
      </c>
      <c r="I161" s="3" t="inlineStr">
        <is>
          <t>JD012601＊</t>
        </is>
      </c>
      <c r="J161" s="2" t="inlineStr">
        <is>
          <t>P060312</t>
        </is>
      </c>
      <c r="K161" s="2" t="inlineStr">
        <is>
          <t>Jelly Donuts</t>
        </is>
      </c>
      <c r="L161" s="2" t="inlineStr">
        <is>
          <t>Ident A + Ident B + Foreign matter</t>
        </is>
      </c>
      <c r="M161" s="6" t="inlineStr">
        <is>
          <t>—</t>
        </is>
      </c>
      <c r="N161" s="2">
        <f>IFERROR(INDEX('CoQ Register'!$B:$B,MATCH("P060312|R2",'CoQ Register'!$S:$S,0)),"—")</f>
        <v/>
      </c>
      <c r="O161" s="6" t="inlineStr">
        <is>
          <t>—</t>
        </is>
      </c>
      <c r="P161" s="2" t="inlineStr">
        <is>
          <t>11.05.2027</t>
        </is>
      </c>
      <c r="Q161" s="2" t="inlineStr">
        <is>
          <t>27.03.2026</t>
        </is>
      </c>
      <c r="R161" s="2" t="inlineStr">
        <is>
          <t>21.05.2026 (the issuance plan's basis: 11.05.2026)</t>
        </is>
      </c>
      <c r="S161" s="5">
        <f>IFERROR(INDEX('CoQ Register'!$D:$D,MATCH("P060312|R2",'CoQ Register'!$S:$S,0)),"")</f>
        <v/>
      </c>
      <c r="T161" s="2" t="inlineStr">
        <is>
          <t>Conforms</t>
        </is>
      </c>
      <c r="U161" s="2" t="inlineStr">
        <is>
          <t>Conforms</t>
        </is>
      </c>
      <c r="V161" s="2" t="inlineStr">
        <is>
          <t>Conforms</t>
        </is>
      </c>
      <c r="W161" s="2" t="inlineStr">
        <is>
          <t>227-15-K-26, (11.09.2026) [FHM-K]</t>
        </is>
      </c>
      <c r="X161" s="2" t="inlineStr">
        <is>
          <t>227-15-K-26, (11.09.2026) [FHM-K]</t>
        </is>
      </c>
      <c r="Y161" s="2" t="inlineStr">
        <is>
          <t>— pending —</t>
        </is>
      </c>
      <c r="Z161" s="2" t="inlineStr">
        <is>
          <t>#8, #9, #11, #12 from the initial testing</t>
        </is>
      </c>
      <c r="AA161" s="2" t="inlineStr">
        <is>
          <t>P060312|R2</t>
        </is>
      </c>
      <c r="AB161" s="7" t="inlineStr">
        <is>
          <t>registered — retest 2 · Tranche 3 (sampled 19–21.08.2026), tested 20.08.2026, issued 24.08.2026</t>
        </is>
      </c>
    </row>
    <row r="162">
      <c r="A162" s="2" t="n">
        <v>161</v>
      </c>
      <c r="B162" s="3" t="inlineStr">
        <is>
          <t>iCoA-PP_26-161</t>
        </is>
      </c>
      <c r="C162" s="4" t="inlineStr">
        <is>
          <t>yes</t>
        </is>
      </c>
      <c r="D162" s="5" t="n">
        <v>46258</v>
      </c>
      <c r="E162" s="5" t="n">
        <v>46254</v>
      </c>
      <c r="F162" s="5">
        <f>IFERROR(INDEX('Batch Dates'!$G:$G,MATCH(J162,'Batch Dates'!$C:$C,0)),IFERROR(INDEX('Batch Dates'!$G:$G,MATCH(I162,'Batch Dates'!$B:$B,0)),""))</f>
        <v/>
      </c>
      <c r="G162" s="2" t="inlineStr">
        <is>
          <t>legacy</t>
        </is>
      </c>
      <c r="H162" s="2" t="inlineStr">
        <is>
          <t>retest 2</t>
        </is>
      </c>
      <c r="I162" s="3" t="inlineStr">
        <is>
          <t>MB0824_04</t>
        </is>
      </c>
      <c r="J162" s="2" t="inlineStr">
        <is>
          <t>P050032</t>
        </is>
      </c>
      <c r="K162" s="2" t="inlineStr">
        <is>
          <t>Motor Breath</t>
        </is>
      </c>
      <c r="L162" s="2" t="inlineStr">
        <is>
          <t>Ident A + Ident B + Foreign matter</t>
        </is>
      </c>
      <c r="M162" s="6" t="inlineStr">
        <is>
          <t>—</t>
        </is>
      </c>
      <c r="N162" s="2">
        <f>IFERROR(INDEX('CoQ Register'!$B:$B,MATCH("P050032|R2",'CoQ Register'!$S:$S,0)),"—")</f>
        <v/>
      </c>
      <c r="O162" s="6" t="inlineStr">
        <is>
          <t>—</t>
        </is>
      </c>
      <c r="P162" s="2" t="inlineStr">
        <is>
          <t>07.05.2026</t>
        </is>
      </c>
      <c r="Q162" s="2" t="inlineStr">
        <is>
          <t>02.04.2025 – 03.04.2025</t>
        </is>
      </c>
      <c r="R162" s="2" t="inlineStr">
        <is>
          <t>16.06.2025 – 19.06.2025 (the issuance plan's basis: 07.05.2025)</t>
        </is>
      </c>
      <c r="S162" s="5">
        <f>IFERROR(INDEX('CoQ Register'!$D:$D,MATCH("P050032|R2",'CoQ Register'!$S:$S,0)),"")</f>
        <v/>
      </c>
      <c r="T162" s="2" t="inlineStr">
        <is>
          <t>Conforms</t>
        </is>
      </c>
      <c r="U162" s="2" t="inlineStr">
        <is>
          <t>Conforms</t>
        </is>
      </c>
      <c r="V162" s="2" t="inlineStr">
        <is>
          <t>Conforms</t>
        </is>
      </c>
      <c r="W162" s="2" t="inlineStr">
        <is>
          <t>227-12-K-26, (11.09.2026) [FHM-K]</t>
        </is>
      </c>
      <c r="X162" s="2" t="inlineStr">
        <is>
          <t>227-12-K-26, (11.09.2026) [FHM-K]</t>
        </is>
      </c>
      <c r="Y162" s="2" t="inlineStr">
        <is>
          <t>— pending —</t>
        </is>
      </c>
      <c r="Z162" s="2" t="inlineStr">
        <is>
          <t>#8, #9, #11, #12 from the initial testing</t>
        </is>
      </c>
      <c r="AA162" s="2" t="inlineStr">
        <is>
          <t>P050032|R2</t>
        </is>
      </c>
      <c r="AB162" s="7" t="inlineStr">
        <is>
          <t>registered — retest 2 · Tranche 3 (sampled 19–21.08.2026), tested 20.08.2026, issued 24.08.2026</t>
        </is>
      </c>
    </row>
    <row r="163">
      <c r="A163" s="2" t="n">
        <v>162</v>
      </c>
      <c r="B163" s="3" t="inlineStr">
        <is>
          <t>iCoA-PP_26-162</t>
        </is>
      </c>
      <c r="C163" s="4" t="inlineStr">
        <is>
          <t>yes</t>
        </is>
      </c>
      <c r="D163" s="5" t="n">
        <v>46258</v>
      </c>
      <c r="E163" s="5" t="n">
        <v>46254</v>
      </c>
      <c r="F163" s="5">
        <f>IFERROR(INDEX('Batch Dates'!$G:$G,MATCH(J163,'Batch Dates'!$C:$C,0)),IFERROR(INDEX('Batch Dates'!$G:$G,MATCH(I163,'Batch Dates'!$B:$B,0)),""))</f>
        <v/>
      </c>
      <c r="G163" s="2" t="inlineStr">
        <is>
          <t>legacy</t>
        </is>
      </c>
      <c r="H163" s="2" t="inlineStr">
        <is>
          <t>retest 2</t>
        </is>
      </c>
      <c r="I163" s="3" t="inlineStr">
        <is>
          <t>OPM052501</t>
        </is>
      </c>
      <c r="J163" s="2" t="inlineStr">
        <is>
          <t>P050132</t>
        </is>
      </c>
      <c r="K163" s="2" t="inlineStr">
        <is>
          <t>Orange Punch Mimosa</t>
        </is>
      </c>
      <c r="L163" s="2" t="inlineStr">
        <is>
          <t>Ident A + Ident B + Foreign matter</t>
        </is>
      </c>
      <c r="M163" s="6" t="inlineStr">
        <is>
          <t>—</t>
        </is>
      </c>
      <c r="N163" s="2">
        <f>IFERROR(INDEX('CoQ Register'!$B:$B,MATCH("P050132|R2",'CoQ Register'!$S:$S,0)),"—")</f>
        <v/>
      </c>
      <c r="O163" s="6" t="inlineStr">
        <is>
          <t>—</t>
        </is>
      </c>
      <c r="P163" s="2" t="inlineStr">
        <is>
          <t>05.09.2026</t>
        </is>
      </c>
      <c r="Q163" s="2" t="inlineStr">
        <is>
          <t>11.08.2025 – 13.08.2025</t>
        </is>
      </c>
      <c r="R163" s="2" t="inlineStr">
        <is>
          <t>09.09.2025 – 15.09.2025 (the issuance plan's basis: 05.09.2025)</t>
        </is>
      </c>
      <c r="S163" s="5">
        <f>IFERROR(INDEX('CoQ Register'!$D:$D,MATCH("P050132|R2",'CoQ Register'!$S:$S,0)),"")</f>
        <v/>
      </c>
      <c r="T163" s="2" t="inlineStr">
        <is>
          <t>Conforms</t>
        </is>
      </c>
      <c r="U163" s="2" t="inlineStr">
        <is>
          <t>Conforms</t>
        </is>
      </c>
      <c r="V163" s="2" t="inlineStr">
        <is>
          <t>Conforms</t>
        </is>
      </c>
      <c r="W163" s="2" t="inlineStr">
        <is>
          <t>227-11-K-26, (11.09.2026) [FHM-K]</t>
        </is>
      </c>
      <c r="X163" s="2" t="inlineStr">
        <is>
          <t>227-11-K-26, (11.09.2026) [FHM-K]</t>
        </is>
      </c>
      <c r="Y163" s="2" t="inlineStr">
        <is>
          <t>— pending —</t>
        </is>
      </c>
      <c r="Z163" s="2" t="inlineStr">
        <is>
          <t>#8, #9, #11, #12 from the initial testing</t>
        </is>
      </c>
      <c r="AA163" s="2" t="inlineStr">
        <is>
          <t>P050132|R2</t>
        </is>
      </c>
      <c r="AB163" s="7" t="inlineStr">
        <is>
          <t>registered — retest 2 · Tranche 3 (sampled 19–21.08.2026), tested 20.08.2026, issued 24.08.2026</t>
        </is>
      </c>
    </row>
    <row r="164">
      <c r="A164" s="2" t="n">
        <v>163</v>
      </c>
      <c r="B164" s="3" t="inlineStr">
        <is>
          <t>iCoA-PP_26-163</t>
        </is>
      </c>
      <c r="C164" s="4" t="inlineStr">
        <is>
          <t>yes</t>
        </is>
      </c>
      <c r="D164" s="5" t="n">
        <v>46258</v>
      </c>
      <c r="E164" s="5" t="n">
        <v>46255</v>
      </c>
      <c r="F164" s="5">
        <f>IFERROR(INDEX('Batch Dates'!$G:$G,MATCH(J164,'Batch Dates'!$C:$C,0)),IFERROR(INDEX('Batch Dates'!$G:$G,MATCH(I164,'Batch Dates'!$B:$B,0)),""))</f>
        <v/>
      </c>
      <c r="G164" s="2" t="inlineStr">
        <is>
          <t>legacy</t>
        </is>
      </c>
      <c r="H164" s="2" t="inlineStr">
        <is>
          <t>retest 2</t>
        </is>
      </c>
      <c r="I164" s="3" t="inlineStr">
        <is>
          <t>AB092501</t>
        </is>
      </c>
      <c r="J164" s="2" t="inlineStr">
        <is>
          <t>P060052</t>
        </is>
      </c>
      <c r="K164" s="2" t="inlineStr">
        <is>
          <t>Apple and Banana</t>
        </is>
      </c>
      <c r="L164" s="2" t="inlineStr">
        <is>
          <t>Ident A + Ident B + Foreign matter</t>
        </is>
      </c>
      <c r="M164" s="6" t="inlineStr">
        <is>
          <t>—</t>
        </is>
      </c>
      <c r="N164" s="2">
        <f>IFERROR(INDEX('CoQ Register'!$B:$B,MATCH("P060052|R2",'CoQ Register'!$S:$S,0)),"—")</f>
        <v/>
      </c>
      <c r="O164" s="6" t="inlineStr">
        <is>
          <t>—</t>
        </is>
      </c>
      <c r="P164" s="2" t="inlineStr">
        <is>
          <t>20.02.2027</t>
        </is>
      </c>
      <c r="Q164" s="2" t="inlineStr">
        <is>
          <t>11.12.2025</t>
        </is>
      </c>
      <c r="R164" s="2" t="inlineStr">
        <is>
          <t>30.01.2026 (the issuance plan's basis: 20.02.2026)</t>
        </is>
      </c>
      <c r="S164" s="5">
        <f>IFERROR(INDEX('CoQ Register'!$D:$D,MATCH("P060052|R2",'CoQ Register'!$S:$S,0)),"")</f>
        <v/>
      </c>
      <c r="T164" s="2" t="inlineStr">
        <is>
          <t>Conforms</t>
        </is>
      </c>
      <c r="U164" s="2" t="inlineStr">
        <is>
          <t>Conforms</t>
        </is>
      </c>
      <c r="V164" s="2" t="inlineStr">
        <is>
          <t>Conforms</t>
        </is>
      </c>
      <c r="W164" s="2" t="inlineStr">
        <is>
          <t>227-30-K-26, (11.09.2026) [FHM-K]</t>
        </is>
      </c>
      <c r="X164" s="2" t="inlineStr">
        <is>
          <t>227-30-K-26, (11.09.2026) [FHM-K]</t>
        </is>
      </c>
      <c r="Y164" s="2" t="inlineStr">
        <is>
          <t>— pending —</t>
        </is>
      </c>
      <c r="Z164" s="2" t="inlineStr">
        <is>
          <t>#8, #9, #11, #12 from the initial testing</t>
        </is>
      </c>
      <c r="AA164" s="2" t="inlineStr">
        <is>
          <t>P060052|R2</t>
        </is>
      </c>
      <c r="AB164" s="7" t="inlineStr">
        <is>
          <t>registered — retest 2 · Tranche 3 (sampled 19–21.08.2026), tested 21.08.2026, issued 24.08.2026</t>
        </is>
      </c>
    </row>
    <row r="165">
      <c r="A165" s="2" t="n">
        <v>164</v>
      </c>
      <c r="B165" s="3" t="inlineStr">
        <is>
          <t>iCoA-PP_26-164</t>
        </is>
      </c>
      <c r="C165" s="4" t="inlineStr">
        <is>
          <t>yes</t>
        </is>
      </c>
      <c r="D165" s="5" t="n">
        <v>46258</v>
      </c>
      <c r="E165" s="5" t="n">
        <v>46255</v>
      </c>
      <c r="F165" s="5">
        <f>IFERROR(INDEX('Batch Dates'!$G:$G,MATCH(J165,'Batch Dates'!$C:$C,0)),IFERROR(INDEX('Batch Dates'!$G:$G,MATCH(I165,'Batch Dates'!$B:$B,0)),""))</f>
        <v/>
      </c>
      <c r="G165" s="2" t="inlineStr">
        <is>
          <t>legacy</t>
        </is>
      </c>
      <c r="H165" s="2" t="inlineStr">
        <is>
          <t>retest 2</t>
        </is>
      </c>
      <c r="I165" s="3" t="inlineStr">
        <is>
          <t>BSS1024_01/1</t>
        </is>
      </c>
      <c r="J165" s="2" t="inlineStr">
        <is>
          <t>P050122</t>
        </is>
      </c>
      <c r="K165" s="2" t="inlineStr">
        <is>
          <t>Blue Sunset Sherbet</t>
        </is>
      </c>
      <c r="L165" s="2" t="inlineStr">
        <is>
          <t>Ident A + Ident B + Foreign matter</t>
        </is>
      </c>
      <c r="M165" s="6" t="inlineStr">
        <is>
          <t>—</t>
        </is>
      </c>
      <c r="N165" s="2">
        <f>IFERROR(INDEX('CoQ Register'!$B:$B,MATCH("P050122|R2",'CoQ Register'!$S:$S,0)),"—")</f>
        <v/>
      </c>
      <c r="O165" s="6" t="inlineStr">
        <is>
          <t>—</t>
        </is>
      </c>
      <c r="P165" s="2" t="inlineStr">
        <is>
          <t>10.07.2026</t>
        </is>
      </c>
      <c r="Q165" s="2" t="inlineStr">
        <is>
          <t>04.06.2025 – 05.06.2025</t>
        </is>
      </c>
      <c r="R165" s="2" t="inlineStr">
        <is>
          <t>01.09.2025 – 09.09.2025 (the issuance plan's basis: 10.07.2025)</t>
        </is>
      </c>
      <c r="S165" s="5">
        <f>IFERROR(INDEX('CoQ Register'!$D:$D,MATCH("P050122|R2",'CoQ Register'!$S:$S,0)),"")</f>
        <v/>
      </c>
      <c r="T165" s="2" t="inlineStr">
        <is>
          <t>Conforms</t>
        </is>
      </c>
      <c r="U165" s="2" t="inlineStr">
        <is>
          <t>Conforms</t>
        </is>
      </c>
      <c r="V165" s="2" t="inlineStr">
        <is>
          <t>Conforms</t>
        </is>
      </c>
      <c r="W165" s="2" t="inlineStr">
        <is>
          <t>227-29-K-26, (11.09.2026) [FHM-K]</t>
        </is>
      </c>
      <c r="X165" s="2" t="inlineStr">
        <is>
          <t>227-29-K-26, (11.09.2026) [FHM-K]</t>
        </is>
      </c>
      <c r="Y165" s="2" t="inlineStr">
        <is>
          <t>— pending —</t>
        </is>
      </c>
      <c r="Z165" s="2" t="inlineStr">
        <is>
          <t>#8, #9, #11, #12 from the initial testing</t>
        </is>
      </c>
      <c r="AA165" s="2" t="inlineStr">
        <is>
          <t>P050122|R2</t>
        </is>
      </c>
      <c r="AB165" s="7" t="inlineStr">
        <is>
          <t>registered — retest 2 · Tranche 3 (sampled 19–21.08.2026), tested 21.08.2026, issued 24.08.2026</t>
        </is>
      </c>
    </row>
    <row r="166">
      <c r="A166" s="2" t="n">
        <v>165</v>
      </c>
      <c r="B166" s="3" t="inlineStr">
        <is>
          <t>iCoA-PP_26-165</t>
        </is>
      </c>
      <c r="C166" s="4" t="inlineStr">
        <is>
          <t>yes</t>
        </is>
      </c>
      <c r="D166" s="5" t="n">
        <v>46258</v>
      </c>
      <c r="E166" s="5" t="n">
        <v>46255</v>
      </c>
      <c r="F166" s="5">
        <f>IFERROR(INDEX('Batch Dates'!$G:$G,MATCH(J166,'Batch Dates'!$C:$C,0)),IFERROR(INDEX('Batch Dates'!$G:$G,MATCH(I166,'Batch Dates'!$B:$B,0)),""))</f>
        <v/>
      </c>
      <c r="G166" s="2" t="inlineStr">
        <is>
          <t>post-SOP</t>
        </is>
      </c>
      <c r="H166" s="2" t="inlineStr">
        <is>
          <t>retest 2</t>
        </is>
      </c>
      <c r="I166" s="3" t="inlineStr">
        <is>
          <t>CC112501</t>
        </is>
      </c>
      <c r="J166" s="2" t="inlineStr">
        <is>
          <t>P060272</t>
        </is>
      </c>
      <c r="K166" s="2" t="inlineStr">
        <is>
          <t>Cash Cow</t>
        </is>
      </c>
      <c r="L166" s="2" t="inlineStr">
        <is>
          <t>Ident A + Ident B + Foreign matter</t>
        </is>
      </c>
      <c r="M166" s="6" t="inlineStr">
        <is>
          <t>—</t>
        </is>
      </c>
      <c r="N166" s="2">
        <f>IFERROR(INDEX('CoQ Register'!$B:$B,MATCH("P060272|R2",'CoQ Register'!$S:$S,0)),"—")</f>
        <v/>
      </c>
      <c r="O166" s="6" t="inlineStr">
        <is>
          <t>—</t>
        </is>
      </c>
      <c r="P166" s="2" t="inlineStr">
        <is>
          <t>11.05.2027</t>
        </is>
      </c>
      <c r="Q166" s="2" t="inlineStr">
        <is>
          <t>25.03.2026</t>
        </is>
      </c>
      <c r="R166" s="2" t="inlineStr">
        <is>
          <t>18.05.2026 (the issuance plan's basis: 11.05.2026)</t>
        </is>
      </c>
      <c r="S166" s="5">
        <f>IFERROR(INDEX('CoQ Register'!$D:$D,MATCH("P060272|R2",'CoQ Register'!$S:$S,0)),"")</f>
        <v/>
      </c>
      <c r="T166" s="2" t="inlineStr">
        <is>
          <t>Conforms</t>
        </is>
      </c>
      <c r="U166" s="2" t="inlineStr">
        <is>
          <t>Conforms</t>
        </is>
      </c>
      <c r="V166" s="2" t="inlineStr">
        <is>
          <t>Conforms</t>
        </is>
      </c>
      <c r="W166" s="2" t="inlineStr">
        <is>
          <t>227-25-K-26, (11.09.2026) [FHM-K]</t>
        </is>
      </c>
      <c r="X166" s="2" t="inlineStr">
        <is>
          <t>227-25-K-26, (11.09.2026) [FHM-K]</t>
        </is>
      </c>
      <c r="Y166" s="2" t="inlineStr">
        <is>
          <t>— pending —</t>
        </is>
      </c>
      <c r="Z166" s="2" t="inlineStr">
        <is>
          <t>#8, #9, #11, #12 from the initial testing</t>
        </is>
      </c>
      <c r="AA166" s="2" t="inlineStr">
        <is>
          <t>P060272|R2</t>
        </is>
      </c>
      <c r="AB166" s="7" t="inlineStr">
        <is>
          <t>registered — retest 2 · Tranche 3 (sampled 19–21.08.2026), tested 21.08.2026, issued 24.08.2026</t>
        </is>
      </c>
    </row>
    <row r="167">
      <c r="A167" s="2" t="n">
        <v>166</v>
      </c>
      <c r="B167" s="3" t="inlineStr">
        <is>
          <t>iCoA-PP_26-166</t>
        </is>
      </c>
      <c r="C167" s="4" t="inlineStr">
        <is>
          <t>yes</t>
        </is>
      </c>
      <c r="D167" s="5" t="n">
        <v>46258</v>
      </c>
      <c r="E167" s="5" t="n">
        <v>46255</v>
      </c>
      <c r="F167" s="5">
        <f>IFERROR(INDEX('Batch Dates'!$G:$G,MATCH(J167,'Batch Dates'!$C:$C,0)),IFERROR(INDEX('Batch Dates'!$G:$G,MATCH(I167,'Batch Dates'!$B:$B,0)),""))</f>
        <v/>
      </c>
      <c r="G167" s="2" t="inlineStr">
        <is>
          <t>legacy</t>
        </is>
      </c>
      <c r="H167" s="2" t="inlineStr">
        <is>
          <t>retest 2</t>
        </is>
      </c>
      <c r="I167" s="3" t="inlineStr">
        <is>
          <t>CJ052501/02</t>
        </is>
      </c>
      <c r="J167" s="2" t="inlineStr">
        <is>
          <t>P050172</t>
        </is>
      </c>
      <c r="K167" s="2" t="inlineStr">
        <is>
          <t>Cap Junky</t>
        </is>
      </c>
      <c r="L167" s="2" t="inlineStr">
        <is>
          <t>Ident A + Ident B + Foreign matter</t>
        </is>
      </c>
      <c r="M167" s="6" t="inlineStr">
        <is>
          <t>—</t>
        </is>
      </c>
      <c r="N167" s="2">
        <f>IFERROR(INDEX('CoQ Register'!$B:$B,MATCH("P050172|R2",'CoQ Register'!$S:$S,0)),"—")</f>
        <v/>
      </c>
      <c r="O167" s="6" t="inlineStr">
        <is>
          <t>—</t>
        </is>
      </c>
      <c r="P167" s="2" t="inlineStr">
        <is>
          <t>17.09.2026</t>
        </is>
      </c>
      <c r="Q167" s="2" t="inlineStr">
        <is>
          <t>20.08.2025</t>
        </is>
      </c>
      <c r="R167" s="2" t="inlineStr">
        <is>
          <t>01.10.2025 – 02.10.2025 (the issuance plan's basis: 17.09.2025)</t>
        </is>
      </c>
      <c r="S167" s="5">
        <f>IFERROR(INDEX('CoQ Register'!$D:$D,MATCH("P050172|R2",'CoQ Register'!$S:$S,0)),"")</f>
        <v/>
      </c>
      <c r="T167" s="2" t="inlineStr">
        <is>
          <t>Conforms</t>
        </is>
      </c>
      <c r="U167" s="2" t="inlineStr">
        <is>
          <t>Conforms</t>
        </is>
      </c>
      <c r="V167" s="2" t="inlineStr">
        <is>
          <t>Conforms</t>
        </is>
      </c>
      <c r="W167" s="2" t="inlineStr">
        <is>
          <t>227-28-K-26, (11.09.2026) [FHM-K]</t>
        </is>
      </c>
      <c r="X167" s="2" t="inlineStr">
        <is>
          <t>227-28-K-26, (11.09.2026) [FHM-K]</t>
        </is>
      </c>
      <c r="Y167" s="2" t="inlineStr">
        <is>
          <t>— pending —</t>
        </is>
      </c>
      <c r="Z167" s="2" t="inlineStr">
        <is>
          <t>#8, #9, #11, #12 from the initial testing</t>
        </is>
      </c>
      <c r="AA167" s="2" t="inlineStr">
        <is>
          <t>P050172|R2</t>
        </is>
      </c>
      <c r="AB167" s="7" t="inlineStr">
        <is>
          <t>registered — retest 2 · Tranche 3 (sampled 19–21.08.2026), tested 21.08.2026, issued 24.08.2026</t>
        </is>
      </c>
    </row>
    <row r="168">
      <c r="A168" s="2" t="n">
        <v>167</v>
      </c>
      <c r="B168" s="3" t="inlineStr">
        <is>
          <t>iCoA-PP_26-167</t>
        </is>
      </c>
      <c r="C168" s="4" t="inlineStr">
        <is>
          <t>yes</t>
        </is>
      </c>
      <c r="D168" s="5" t="n">
        <v>46258</v>
      </c>
      <c r="E168" s="5" t="n">
        <v>46255</v>
      </c>
      <c r="F168" s="5">
        <f>IFERROR(INDEX('Batch Dates'!$G:$G,MATCH(J168,'Batch Dates'!$C:$C,0)),IFERROR(INDEX('Batch Dates'!$G:$G,MATCH(I168,'Batch Dates'!$B:$B,0)),""))</f>
        <v/>
      </c>
      <c r="G168" s="2" t="inlineStr">
        <is>
          <t>legacy</t>
        </is>
      </c>
      <c r="H168" s="2" t="inlineStr">
        <is>
          <t>retest 2</t>
        </is>
      </c>
      <c r="I168" s="3" t="inlineStr">
        <is>
          <t>CJ072501</t>
        </is>
      </c>
      <c r="J168" s="2" t="inlineStr">
        <is>
          <t>P050252</t>
        </is>
      </c>
      <c r="K168" s="2" t="inlineStr">
        <is>
          <t>Cap Junky</t>
        </is>
      </c>
      <c r="L168" s="2" t="inlineStr">
        <is>
          <t>Ident A + Ident B + Foreign matter</t>
        </is>
      </c>
      <c r="M168" s="6" t="inlineStr">
        <is>
          <t>—</t>
        </is>
      </c>
      <c r="N168" s="2">
        <f>IFERROR(INDEX('CoQ Register'!$B:$B,MATCH("P050252|R2",'CoQ Register'!$S:$S,0)),"—")</f>
        <v/>
      </c>
      <c r="O168" s="6" t="inlineStr">
        <is>
          <t>—</t>
        </is>
      </c>
      <c r="P168" s="2" t="inlineStr">
        <is>
          <t>02.12.2026</t>
        </is>
      </c>
      <c r="Q168" s="2" t="inlineStr">
        <is>
          <t>27.10.2025</t>
        </is>
      </c>
      <c r="R168" s="2" t="inlineStr">
        <is>
          <t>27.11.2025 – 28.11.2025 (the issuance plan's basis: 02.12.2025)</t>
        </is>
      </c>
      <c r="S168" s="5">
        <f>IFERROR(INDEX('CoQ Register'!$D:$D,MATCH("P050252|R2",'CoQ Register'!$S:$S,0)),"")</f>
        <v/>
      </c>
      <c r="T168" s="2" t="inlineStr">
        <is>
          <t>Conforms</t>
        </is>
      </c>
      <c r="U168" s="2" t="inlineStr">
        <is>
          <t>Conforms</t>
        </is>
      </c>
      <c r="V168" s="2" t="inlineStr">
        <is>
          <t>Conforms</t>
        </is>
      </c>
      <c r="W168" s="2" t="inlineStr">
        <is>
          <t>227-27-K-26, (11.09.2026) [FHM-K]</t>
        </is>
      </c>
      <c r="X168" s="2" t="inlineStr">
        <is>
          <t>227-27-K-26, (11.09.2026) [FHM-K]</t>
        </is>
      </c>
      <c r="Y168" s="2" t="inlineStr">
        <is>
          <t>— pending —</t>
        </is>
      </c>
      <c r="Z168" s="2" t="inlineStr">
        <is>
          <t>#8, #9, #11, #12 from the initial testing</t>
        </is>
      </c>
      <c r="AA168" s="2" t="inlineStr">
        <is>
          <t>P050252|R2</t>
        </is>
      </c>
      <c r="AB168" s="7" t="inlineStr">
        <is>
          <t>registered — retest 2 · Tranche 3 (sampled 19–21.08.2026), tested 21.08.2026, issued 24.08.2026</t>
        </is>
      </c>
    </row>
    <row r="169">
      <c r="A169" s="2" t="n">
        <v>168</v>
      </c>
      <c r="B169" s="3" t="inlineStr">
        <is>
          <t>iCoA-PP_26-168</t>
        </is>
      </c>
      <c r="C169" s="4" t="inlineStr">
        <is>
          <t>yes</t>
        </is>
      </c>
      <c r="D169" s="5" t="n">
        <v>46258</v>
      </c>
      <c r="E169" s="5" t="n">
        <v>46255</v>
      </c>
      <c r="F169" s="5">
        <f>IFERROR(INDEX('Batch Dates'!$G:$G,MATCH(J169,'Batch Dates'!$C:$C,0)),IFERROR(INDEX('Batch Dates'!$G:$G,MATCH(I169,'Batch Dates'!$B:$B,0)),""))</f>
        <v/>
      </c>
      <c r="G169" s="2" t="inlineStr">
        <is>
          <t>legacy</t>
        </is>
      </c>
      <c r="H169" s="2" t="inlineStr">
        <is>
          <t>retest 2</t>
        </is>
      </c>
      <c r="I169" s="3" t="inlineStr">
        <is>
          <t>CJ1024</t>
        </is>
      </c>
      <c r="J169" s="2" t="inlineStr">
        <is>
          <t>N/A — no P batch assigned</t>
        </is>
      </c>
      <c r="K169" s="2" t="inlineStr">
        <is>
          <t>Cap Junky</t>
        </is>
      </c>
      <c r="L169" s="2" t="inlineStr">
        <is>
          <t>Ident A + Ident B + Foreign matter</t>
        </is>
      </c>
      <c r="M169" s="6" t="inlineStr">
        <is>
          <t>—</t>
        </is>
      </c>
      <c r="N169" s="2">
        <f>IFERROR(INDEX('CoQ Register'!$B:$B,MATCH("CJ1024|R2",'CoQ Register'!$S:$S,0)),"—")</f>
        <v/>
      </c>
      <c r="O169" s="6" t="inlineStr">
        <is>
          <t>—</t>
        </is>
      </c>
      <c r="P169" s="2" t="inlineStr">
        <is>
          <t>27.02.2026</t>
        </is>
      </c>
      <c r="Q169" s="2" t="inlineStr">
        <is>
          <t>20.01.2025</t>
        </is>
      </c>
      <c r="R169" s="2" t="inlineStr">
        <is>
          <t>03.03.2025 (the issuance plan's basis: 27.02.2025)</t>
        </is>
      </c>
      <c r="S169" s="5">
        <f>IFERROR(INDEX('CoQ Register'!$D:$D,MATCH("CJ1024|R2",'CoQ Register'!$S:$S,0)),"")</f>
        <v/>
      </c>
      <c r="T169" s="2" t="inlineStr">
        <is>
          <t>Conforms</t>
        </is>
      </c>
      <c r="U169" s="2" t="inlineStr">
        <is>
          <t>Conforms</t>
        </is>
      </c>
      <c r="V169" s="2" t="inlineStr">
        <is>
          <t>Conforms</t>
        </is>
      </c>
      <c r="W169" s="2" t="inlineStr">
        <is>
          <t>227-26-K-26, (11.09.2026) [FHM-K]</t>
        </is>
      </c>
      <c r="X169" s="2" t="inlineStr">
        <is>
          <t>227-26-K-26, (11.09.2026) [FHM-K]</t>
        </is>
      </c>
      <c r="Y169" s="2" t="inlineStr">
        <is>
          <t>— pending —</t>
        </is>
      </c>
      <c r="Z169" s="2" t="inlineStr">
        <is>
          <t>#8, #9, #11, #12 from the initial testing</t>
        </is>
      </c>
      <c r="AA169" s="2" t="inlineStr">
        <is>
          <t>CJ1024|R2</t>
        </is>
      </c>
      <c r="AB169" s="7" t="inlineStr">
        <is>
          <t>registered — retest 2 · Tranche 3 (sampled 19–21.08.2026), tested 21.08.2026, issued 24.08.2026</t>
        </is>
      </c>
    </row>
    <row r="170">
      <c r="A170" s="2" t="n">
        <v>169</v>
      </c>
      <c r="B170" s="3" t="inlineStr">
        <is>
          <t>iCoA-PP_26-169</t>
        </is>
      </c>
      <c r="C170" s="4" t="inlineStr">
        <is>
          <t>yes</t>
        </is>
      </c>
      <c r="D170" s="5" t="n">
        <v>46258</v>
      </c>
      <c r="E170" s="5" t="n">
        <v>46255</v>
      </c>
      <c r="F170" s="5">
        <f>IFERROR(INDEX('Batch Dates'!$G:$G,MATCH(J170,'Batch Dates'!$C:$C,0)),IFERROR(INDEX('Batch Dates'!$G:$G,MATCH(I170,'Batch Dates'!$B:$B,0)),""))</f>
        <v/>
      </c>
      <c r="G170" s="2" t="inlineStr">
        <is>
          <t>post-SOP</t>
        </is>
      </c>
      <c r="H170" s="2" t="inlineStr">
        <is>
          <t>retest 2</t>
        </is>
      </c>
      <c r="I170" s="3" t="inlineStr">
        <is>
          <t>FB012603</t>
        </is>
      </c>
      <c r="J170" s="2" t="inlineStr">
        <is>
          <t>P060432</t>
        </is>
      </c>
      <c r="K170" s="2" t="inlineStr">
        <is>
          <t>Fat Bastard</t>
        </is>
      </c>
      <c r="L170" s="2" t="inlineStr">
        <is>
          <t>Ident A + Ident B + Foreign matter</t>
        </is>
      </c>
      <c r="M170" s="6" t="inlineStr">
        <is>
          <t>—</t>
        </is>
      </c>
      <c r="N170" s="2">
        <f>IFERROR(INDEX('CoQ Register'!$B:$B,MATCH("P060432|R2",'CoQ Register'!$S:$S,0)),"—")</f>
        <v/>
      </c>
      <c r="O170" s="6" t="inlineStr">
        <is>
          <t>—</t>
        </is>
      </c>
      <c r="P170" s="2" t="inlineStr">
        <is>
          <t>30.06.2027</t>
        </is>
      </c>
      <c r="Q170" s="2" t="inlineStr">
        <is>
          <t>04.05.2026</t>
        </is>
      </c>
      <c r="R170" s="2" t="inlineStr">
        <is>
          <t>15.06.2026 (the issuance plan's basis: 30.06.2026)</t>
        </is>
      </c>
      <c r="S170" s="5">
        <f>IFERROR(INDEX('CoQ Register'!$D:$D,MATCH("P060432|R2",'CoQ Register'!$S:$S,0)),"")</f>
        <v/>
      </c>
      <c r="T170" s="2" t="inlineStr">
        <is>
          <t>CNP ППК26112</t>
        </is>
      </c>
      <c r="U170" s="2" t="inlineStr">
        <is>
          <t>CNP ППК26112</t>
        </is>
      </c>
      <c r="V170" s="2" t="inlineStr">
        <is>
          <t>Conforms</t>
        </is>
      </c>
      <c r="W170" s="2" t="inlineStr">
        <is>
          <t>227-24-K-26, (11.09.2026) [FHM-K]</t>
        </is>
      </c>
      <c r="X170" s="2" t="inlineStr">
        <is>
          <t>227-24-K-26, (11.09.2026) [FHM-K]</t>
        </is>
      </c>
      <c r="Y170" s="2" t="inlineStr">
        <is>
          <t>— pending —</t>
        </is>
      </c>
      <c r="Z170" s="2" t="inlineStr">
        <is>
          <t>#8, #9, #11, #12 from the initial testing</t>
        </is>
      </c>
      <c r="AA170" s="2" t="inlineStr">
        <is>
          <t>P060432|R2</t>
        </is>
      </c>
      <c r="AB170" s="7" t="inlineStr">
        <is>
          <t>registered — retest 2 · Tranche 3 (sampled 19–21.08.2026), tested 21.08.2026, issued 24.08.2026</t>
        </is>
      </c>
    </row>
    <row r="171">
      <c r="A171" s="2" t="n">
        <v>170</v>
      </c>
      <c r="B171" s="3" t="inlineStr">
        <is>
          <t>iCoA-PP_26-170</t>
        </is>
      </c>
      <c r="C171" s="4" t="inlineStr">
        <is>
          <t>yes</t>
        </is>
      </c>
      <c r="D171" s="5" t="n">
        <v>46258</v>
      </c>
      <c r="E171" s="5" t="n">
        <v>46255</v>
      </c>
      <c r="F171" s="5">
        <f>IFERROR(INDEX('Batch Dates'!$G:$G,MATCH(J171,'Batch Dates'!$C:$C,0)),IFERROR(INDEX('Batch Dates'!$G:$G,MATCH(I171,'Batch Dates'!$B:$B,0)),""))</f>
        <v/>
      </c>
      <c r="G171" s="2" t="inlineStr">
        <is>
          <t>post-SOP</t>
        </is>
      </c>
      <c r="H171" s="2" t="inlineStr">
        <is>
          <t>retest 2</t>
        </is>
      </c>
      <c r="I171" s="3" t="inlineStr">
        <is>
          <t>FB012603V</t>
        </is>
      </c>
      <c r="J171" s="2" t="inlineStr">
        <is>
          <t>P060392</t>
        </is>
      </c>
      <c r="K171" s="2" t="inlineStr">
        <is>
          <t>Fat Bastard</t>
        </is>
      </c>
      <c r="L171" s="2" t="inlineStr">
        <is>
          <t>Ident A + Ident B + Foreign matter</t>
        </is>
      </c>
      <c r="M171" s="6" t="inlineStr">
        <is>
          <t>—</t>
        </is>
      </c>
      <c r="N171" s="2">
        <f>IFERROR(INDEX('CoQ Register'!$B:$B,MATCH("P060392|R2",'CoQ Register'!$S:$S,0)),"—")</f>
        <v/>
      </c>
      <c r="O171" s="6" t="inlineStr">
        <is>
          <t>—</t>
        </is>
      </c>
      <c r="P171" s="2" t="inlineStr">
        <is>
          <t>30.06.2027</t>
        </is>
      </c>
      <c r="Q171" s="2" t="inlineStr">
        <is>
          <t>29.04.2026</t>
        </is>
      </c>
      <c r="R171" s="2" t="inlineStr">
        <is>
          <t>23.05.2026 (the issuance plan's basis: 30.06.2026)</t>
        </is>
      </c>
      <c r="S171" s="5">
        <f>IFERROR(INDEX('CoQ Register'!$D:$D,MATCH("P060392|R2",'CoQ Register'!$S:$S,0)),"")</f>
        <v/>
      </c>
      <c r="T171" s="2" t="inlineStr">
        <is>
          <t>CNP ППК26110</t>
        </is>
      </c>
      <c r="U171" s="2" t="inlineStr">
        <is>
          <t>CNP ППК26110</t>
        </is>
      </c>
      <c r="V171" s="2" t="inlineStr">
        <is>
          <t>Conforms</t>
        </is>
      </c>
      <c r="W171" s="2" t="inlineStr">
        <is>
          <t>227-23-K-26, (11.09.2026) [FHM-K]</t>
        </is>
      </c>
      <c r="X171" s="2" t="inlineStr">
        <is>
          <t>227-23-K-26, (11.09.2026) [FHM-K]</t>
        </is>
      </c>
      <c r="Y171" s="2" t="inlineStr">
        <is>
          <t>— pending —</t>
        </is>
      </c>
      <c r="Z171" s="2" t="inlineStr">
        <is>
          <t>#8, #9, #11, #12 from the initial testing</t>
        </is>
      </c>
      <c r="AA171" s="2" t="inlineStr">
        <is>
          <t>P060392|R2</t>
        </is>
      </c>
      <c r="AB171" s="7" t="inlineStr">
        <is>
          <t>registered — retest 2 · Tranche 3 (sampled 19–21.08.2026), tested 21.08.2026, issued 24.08.2026</t>
        </is>
      </c>
    </row>
    <row r="172">
      <c r="A172" s="2" t="n">
        <v>171</v>
      </c>
      <c r="B172" s="3" t="inlineStr">
        <is>
          <t>iCoA-PP_26-171</t>
        </is>
      </c>
      <c r="C172" s="4" t="inlineStr">
        <is>
          <t>yes</t>
        </is>
      </c>
      <c r="D172" s="5" t="n">
        <v>46258</v>
      </c>
      <c r="E172" s="5" t="n">
        <v>46255</v>
      </c>
      <c r="F172" s="5">
        <f>IFERROR(INDEX('Batch Dates'!$G:$G,MATCH(J172,'Batch Dates'!$C:$C,0)),IFERROR(INDEX('Batch Dates'!$G:$G,MATCH(I172,'Batch Dates'!$B:$B,0)),""))</f>
        <v/>
      </c>
      <c r="G172" s="2" t="inlineStr">
        <is>
          <t>post-SOP</t>
        </is>
      </c>
      <c r="H172" s="2" t="inlineStr">
        <is>
          <t>retest 2</t>
        </is>
      </c>
      <c r="I172" s="3" t="inlineStr">
        <is>
          <t>FB112501</t>
        </is>
      </c>
      <c r="J172" s="2" t="inlineStr">
        <is>
          <t>P060292</t>
        </is>
      </c>
      <c r="K172" s="2" t="inlineStr">
        <is>
          <t>Fat Bastard</t>
        </is>
      </c>
      <c r="L172" s="2" t="inlineStr">
        <is>
          <t>Ident A + Ident B + Foreign matter</t>
        </is>
      </c>
      <c r="M172" s="6" t="inlineStr">
        <is>
          <t>—</t>
        </is>
      </c>
      <c r="N172" s="2">
        <f>IFERROR(INDEX('CoQ Register'!$B:$B,MATCH("P060292|R2",'CoQ Register'!$S:$S,0)),"—")</f>
        <v/>
      </c>
      <c r="O172" s="6" t="inlineStr">
        <is>
          <t>—</t>
        </is>
      </c>
      <c r="P172" s="2" t="inlineStr">
        <is>
          <t>11.05.2027</t>
        </is>
      </c>
      <c r="Q172" s="2" t="inlineStr">
        <is>
          <t>25.03.2026</t>
        </is>
      </c>
      <c r="R172" s="2" t="inlineStr">
        <is>
          <t>19.05.2026 (the issuance plan's basis: 11.05.2026)</t>
        </is>
      </c>
      <c r="S172" s="5">
        <f>IFERROR(INDEX('CoQ Register'!$D:$D,MATCH("P060292|R2",'CoQ Register'!$S:$S,0)),"")</f>
        <v/>
      </c>
      <c r="T172" s="2" t="inlineStr">
        <is>
          <t>Conforms</t>
        </is>
      </c>
      <c r="U172" s="2" t="inlineStr">
        <is>
          <t>Conforms</t>
        </is>
      </c>
      <c r="V172" s="2" t="inlineStr">
        <is>
          <t>Conforms</t>
        </is>
      </c>
      <c r="W172" s="2" t="inlineStr">
        <is>
          <t>227-22-K-26, (11.09.2026) [FHM-K]</t>
        </is>
      </c>
      <c r="X172" s="2" t="inlineStr">
        <is>
          <t>227-22-K-26, (11.09.2026) [FHM-K]</t>
        </is>
      </c>
      <c r="Y172" s="2" t="inlineStr">
        <is>
          <t>— pending —</t>
        </is>
      </c>
      <c r="Z172" s="2" t="inlineStr">
        <is>
          <t>#8, #9, #11, #12 from the initial testing</t>
        </is>
      </c>
      <c r="AA172" s="2" t="inlineStr">
        <is>
          <t>P060292|R2</t>
        </is>
      </c>
      <c r="AB172" s="7" t="inlineStr">
        <is>
          <t>registered — retest 2 · Tranche 3 (sampled 19–21.08.2026), tested 21.08.2026, issued 24.08.2026</t>
        </is>
      </c>
    </row>
    <row r="173">
      <c r="A173" s="2" t="n">
        <v>172</v>
      </c>
      <c r="B173" s="3" t="inlineStr">
        <is>
          <t>iCoA-PP_26-172</t>
        </is>
      </c>
      <c r="C173" s="4" t="inlineStr">
        <is>
          <t>yes</t>
        </is>
      </c>
      <c r="D173" s="5" t="n">
        <v>46258</v>
      </c>
      <c r="E173" s="5" t="n">
        <v>46255</v>
      </c>
      <c r="F173" s="5">
        <f>IFERROR(INDEX('Batch Dates'!$G:$G,MATCH(J173,'Batch Dates'!$C:$C,0)),IFERROR(INDEX('Batch Dates'!$G:$G,MATCH(I173,'Batch Dates'!$B:$B,0)),""))</f>
        <v/>
      </c>
      <c r="G173" s="2" t="inlineStr">
        <is>
          <t>post-SOP</t>
        </is>
      </c>
      <c r="H173" s="2" t="inlineStr">
        <is>
          <t>retest 2</t>
        </is>
      </c>
      <c r="I173" s="3" t="inlineStr">
        <is>
          <t>GG012601＊</t>
        </is>
      </c>
      <c r="J173" s="2" t="inlineStr">
        <is>
          <t>P060302</t>
        </is>
      </c>
      <c r="K173" s="2" t="inlineStr">
        <is>
          <t>Gorilla Glue</t>
        </is>
      </c>
      <c r="L173" s="2" t="inlineStr">
        <is>
          <t>Ident A + Ident B + Foreign matter</t>
        </is>
      </c>
      <c r="M173" s="6" t="inlineStr">
        <is>
          <t>—</t>
        </is>
      </c>
      <c r="N173" s="2">
        <f>IFERROR(INDEX('CoQ Register'!$B:$B,MATCH("P060302|R2",'CoQ Register'!$S:$S,0)),"—")</f>
        <v/>
      </c>
      <c r="O173" s="6" t="inlineStr">
        <is>
          <t>—</t>
        </is>
      </c>
      <c r="P173" s="2" t="inlineStr">
        <is>
          <t>11.05.2027</t>
        </is>
      </c>
      <c r="Q173" s="2" t="inlineStr">
        <is>
          <t>27.03.2026</t>
        </is>
      </c>
      <c r="R173" s="2" t="inlineStr">
        <is>
          <t>20.05.2026 (the issuance plan's basis: 11.05.2026)</t>
        </is>
      </c>
      <c r="S173" s="5">
        <f>IFERROR(INDEX('CoQ Register'!$D:$D,MATCH("P060302|R2",'CoQ Register'!$S:$S,0)),"")</f>
        <v/>
      </c>
      <c r="T173" s="2" t="inlineStr">
        <is>
          <t>Conforms</t>
        </is>
      </c>
      <c r="U173" s="2" t="inlineStr">
        <is>
          <t>Conforms</t>
        </is>
      </c>
      <c r="V173" s="2" t="inlineStr">
        <is>
          <t>Conforms</t>
        </is>
      </c>
      <c r="W173" s="2" t="inlineStr">
        <is>
          <t>227-21-K-26, (11.09.2026) [FHM-K]</t>
        </is>
      </c>
      <c r="X173" s="2" t="inlineStr">
        <is>
          <t>227-21-K-26, (11.09.2026) [FHM-K]</t>
        </is>
      </c>
      <c r="Y173" s="2" t="inlineStr">
        <is>
          <t>— pending —</t>
        </is>
      </c>
      <c r="Z173" s="2" t="inlineStr">
        <is>
          <t>#8, #9, #11, #12 from the initial testing</t>
        </is>
      </c>
      <c r="AA173" s="2" t="inlineStr">
        <is>
          <t>P060302|R2</t>
        </is>
      </c>
      <c r="AB173" s="7" t="inlineStr">
        <is>
          <t>registered — retest 2 · Tranche 3 (sampled 19–21.08.2026), tested 21.08.2026, issued 24.08.2026</t>
        </is>
      </c>
    </row>
    <row r="174">
      <c r="A174" s="2" t="inlineStr"/>
      <c r="B174" s="3" t="inlineStr">
        <is>
          <t>— at issue —</t>
        </is>
      </c>
      <c r="C174" s="6" t="inlineStr">
        <is>
          <t>no</t>
        </is>
      </c>
      <c r="D174" s="5">
        <f>IF(A174="","",IF(ISNUMBER(E174),MAX(DATE(2026,6,3),E174),DATE(2026,6,3)))</f>
        <v/>
      </c>
      <c r="E174" s="5" t="inlineStr">
        <is>
          <t>— at the retest sampling —</t>
        </is>
      </c>
      <c r="F174" s="5">
        <f>IFERROR(INDEX('Batch Dates'!$G:$G,MATCH(J174,'Batch Dates'!$C:$C,0)),IFERROR(INDEX('Batch Dates'!$G:$G,MATCH(I174,'Batch Dates'!$B:$B,0)),""))</f>
        <v/>
      </c>
      <c r="G174" s="2" t="inlineStr">
        <is>
          <t>legacy</t>
        </is>
      </c>
      <c r="H174" s="2" t="inlineStr">
        <is>
          <t>retest — Tranche 1 (sampled 21–24.07.2026)</t>
        </is>
      </c>
      <c r="I174" s="3" t="inlineStr">
        <is>
          <t>GP0824_02</t>
        </is>
      </c>
      <c r="J174" s="2" t="inlineStr">
        <is>
          <t>P050022</t>
        </is>
      </c>
      <c r="K174" s="2" t="inlineStr">
        <is>
          <t>Grape Pie</t>
        </is>
      </c>
      <c r="L174" s="2" t="inlineStr">
        <is>
          <t>Ident A + Ident B + Foreign matter</t>
        </is>
      </c>
      <c r="M174" s="6" t="inlineStr">
        <is>
          <t>—</t>
        </is>
      </c>
      <c r="N174" s="2">
        <f>IFERROR(INDEX('CoQ Register'!$B:$B,MATCH("P050022|R",'CoQ Register'!$S:$S,0)),"—")</f>
        <v/>
      </c>
      <c r="O174" s="6" t="inlineStr">
        <is>
          <t>—</t>
        </is>
      </c>
      <c r="P174" s="2" t="inlineStr">
        <is>
          <t>03.06.2026</t>
        </is>
      </c>
      <c r="Q174" s="2" t="inlineStr">
        <is>
          <t>22.04.2025 – 23.04.2025</t>
        </is>
      </c>
      <c r="R174" s="2" t="inlineStr">
        <is>
          <t>03.06.2025 – 11.06.2025</t>
        </is>
      </c>
      <c r="S174" s="5">
        <f>IFERROR(INDEX('CoQ Register'!$D:$D,MATCH("P050022|R",'CoQ Register'!$S:$S,0)),"")</f>
        <v/>
      </c>
      <c r="T174" s="2" t="inlineStr">
        <is>
          <t>Conforms</t>
        </is>
      </c>
      <c r="U174" s="2" t="inlineStr">
        <is>
          <t>Conforms</t>
        </is>
      </c>
      <c r="V174" s="2" t="inlineStr">
        <is>
          <t>Conforms</t>
        </is>
      </c>
      <c r="W174" s="2" t="inlineStr">
        <is>
          <t>197-11-K-26, (07.08.2026) [FHM-K]</t>
        </is>
      </c>
      <c r="X174" s="2" t="inlineStr">
        <is>
          <t>197-11-K-26, (07.08.2026) [FHM-K]</t>
        </is>
      </c>
      <c r="Y174" s="2" t="inlineStr">
        <is>
          <t>197-11-M-26, (10.08.2026) [FHM-M]</t>
        </is>
      </c>
      <c r="Z174" s="2" t="inlineStr">
        <is>
          <t>#8, #9, #11, #12 from the initial testing</t>
        </is>
      </c>
      <c r="AA174" s="2" t="inlineStr">
        <is>
          <t>P050022|R</t>
        </is>
      </c>
      <c r="AB174" s="8" t="inlineStr">
        <is>
          <t>not yet issuable — sampled 22.07.2026 — the series numbers it</t>
        </is>
      </c>
    </row>
    <row r="175">
      <c r="A175" s="2" t="inlineStr"/>
      <c r="B175" s="3" t="inlineStr">
        <is>
          <t>— at issue —</t>
        </is>
      </c>
      <c r="C175" s="6" t="inlineStr">
        <is>
          <t>no</t>
        </is>
      </c>
      <c r="D175" s="5">
        <f>IF(A175="","",IF(ISNUMBER(E175),MAX(DATE(2026,6,3),E175),DATE(2026,6,3)))</f>
        <v/>
      </c>
      <c r="E175" s="5" t="inlineStr">
        <is>
          <t>— at the retest sampling —</t>
        </is>
      </c>
      <c r="F175" s="5">
        <f>IFERROR(INDEX('Batch Dates'!$G:$G,MATCH(J175,'Batch Dates'!$C:$C,0)),IFERROR(INDEX('Batch Dates'!$G:$G,MATCH(I175,'Batch Dates'!$B:$B,0)),""))</f>
        <v/>
      </c>
      <c r="G175" s="2" t="inlineStr">
        <is>
          <t>legacy</t>
        </is>
      </c>
      <c r="H175" s="2" t="inlineStr">
        <is>
          <t>retest — Tranche 2 (sampled 12–14.08.2026)</t>
        </is>
      </c>
      <c r="I175" s="3" t="inlineStr">
        <is>
          <t>OMP1024_01</t>
        </is>
      </c>
      <c r="J175" s="2" t="inlineStr">
        <is>
          <t>P050042</t>
        </is>
      </c>
      <c r="K175" s="2" t="inlineStr">
        <is>
          <t>Orange Punch Mimosa</t>
        </is>
      </c>
      <c r="L175" s="2" t="inlineStr">
        <is>
          <t>Ident A + Ident B + Foreign matter</t>
        </is>
      </c>
      <c r="M175" s="6" t="inlineStr">
        <is>
          <t>—</t>
        </is>
      </c>
      <c r="N175" s="2">
        <f>IFERROR(INDEX('CoQ Register'!$B:$B,MATCH("P050042|R",'CoQ Register'!$S:$S,0)),"—")</f>
        <v/>
      </c>
      <c r="O175" s="6" t="inlineStr">
        <is>
          <t>—</t>
        </is>
      </c>
      <c r="P175" s="2" t="inlineStr">
        <is>
          <t>20.06.2026</t>
        </is>
      </c>
      <c r="Q175" s="2" t="inlineStr">
        <is>
          <t>26.03.2025 – 27.03.2025</t>
        </is>
      </c>
      <c r="R175" s="2" t="inlineStr">
        <is>
          <t>20.06.2025</t>
        </is>
      </c>
      <c r="S175" s="5">
        <f>IFERROR(INDEX('CoQ Register'!$D:$D,MATCH("P050042|R",'CoQ Register'!$S:$S,0)),"")</f>
        <v/>
      </c>
      <c r="T175" s="2" t="inlineStr">
        <is>
          <t>Conforms</t>
        </is>
      </c>
      <c r="U175" s="2" t="inlineStr">
        <is>
          <t>Conforms</t>
        </is>
      </c>
      <c r="V175" s="2" t="inlineStr">
        <is>
          <t>Conforms</t>
        </is>
      </c>
      <c r="W175" s="2" t="inlineStr">
        <is>
          <t>220-21-K-26, (26.08.2026) [FHM-K]</t>
        </is>
      </c>
      <c r="X175" s="2" t="inlineStr">
        <is>
          <t>220-21-K-26, (26.08.2026) [FHM-K]</t>
        </is>
      </c>
      <c r="Y175" s="2" t="inlineStr">
        <is>
          <t>220-21-M-26, (11.09.2026) [FHM-M]</t>
        </is>
      </c>
      <c r="Z175" s="2" t="inlineStr">
        <is>
          <t>#8, #9, #11, #12 from the initial testing</t>
        </is>
      </c>
      <c r="AA175" s="2" t="inlineStr">
        <is>
          <t>P050042|R</t>
        </is>
      </c>
      <c r="AB175" s="8" t="inlineStr">
        <is>
          <t>not yet issuable — sampled 13.08.2026 — the series numbers it</t>
        </is>
      </c>
    </row>
    <row r="176">
      <c r="A176" s="2" t="inlineStr"/>
      <c r="B176" s="3" t="inlineStr">
        <is>
          <t>— at issue —</t>
        </is>
      </c>
      <c r="C176" s="6" t="inlineStr">
        <is>
          <t>no</t>
        </is>
      </c>
      <c r="D176" s="5">
        <f>IF(A176="","",IF(ISNUMBER(E176),MAX(DATE(2026,6,3),E176),DATE(2026,6,3)))</f>
        <v/>
      </c>
      <c r="E176" s="5" t="inlineStr">
        <is>
          <t>— at the retest sampling —</t>
        </is>
      </c>
      <c r="F176" s="5">
        <f>IFERROR(INDEX('Batch Dates'!$G:$G,MATCH(J176,'Batch Dates'!$C:$C,0)),IFERROR(INDEX('Batch Dates'!$G:$G,MATCH(I176,'Batch Dates'!$B:$B,0)),""))</f>
        <v/>
      </c>
      <c r="G176" s="2" t="inlineStr">
        <is>
          <t>legacy</t>
        </is>
      </c>
      <c r="H176" s="2" t="inlineStr">
        <is>
          <t>retest — Tranche 2 (sampled 12–14.08.2026)</t>
        </is>
      </c>
      <c r="I176" s="3" t="inlineStr">
        <is>
          <t>GP0824_03</t>
        </is>
      </c>
      <c r="J176" s="2" t="inlineStr">
        <is>
          <t>P050072</t>
        </is>
      </c>
      <c r="K176" s="2" t="inlineStr">
        <is>
          <t>Grape Pie</t>
        </is>
      </c>
      <c r="L176" s="2" t="inlineStr">
        <is>
          <t>Ident A + Ident B + Foreign matter</t>
        </is>
      </c>
      <c r="M176" s="6" t="inlineStr">
        <is>
          <t>—</t>
        </is>
      </c>
      <c r="N176" s="2">
        <f>IFERROR(INDEX('CoQ Register'!$B:$B,MATCH("P050072|R",'CoQ Register'!$S:$S,0)),"—")</f>
        <v/>
      </c>
      <c r="O176" s="6" t="inlineStr">
        <is>
          <t>—</t>
        </is>
      </c>
      <c r="P176" s="2" t="inlineStr">
        <is>
          <t>14.07.2026</t>
        </is>
      </c>
      <c r="Q176" s="2" t="inlineStr">
        <is>
          <t>09.06.2025 – 10.06.2025</t>
        </is>
      </c>
      <c r="R176" s="2" t="inlineStr">
        <is>
          <t>14.07.2025 – 17.07.2025</t>
        </is>
      </c>
      <c r="S176" s="5">
        <f>IFERROR(INDEX('CoQ Register'!$D:$D,MATCH("P050072|R",'CoQ Register'!$S:$S,0)),"")</f>
        <v/>
      </c>
      <c r="T176" s="2" t="inlineStr">
        <is>
          <t>Conforms</t>
        </is>
      </c>
      <c r="U176" s="2" t="inlineStr">
        <is>
          <t>Conforms</t>
        </is>
      </c>
      <c r="V176" s="2" t="inlineStr">
        <is>
          <t>Conforms</t>
        </is>
      </c>
      <c r="W176" s="2" t="inlineStr">
        <is>
          <t>220-11-K-26, (25.08.2026) [FHM-K]</t>
        </is>
      </c>
      <c r="X176" s="2" t="inlineStr">
        <is>
          <t>220-11-K-26, (25.08.2026) [FHM-K]</t>
        </is>
      </c>
      <c r="Y176" s="2" t="inlineStr">
        <is>
          <t>220-11-M-26, (11.09.2026) [FHM-M]</t>
        </is>
      </c>
      <c r="Z176" s="2" t="inlineStr">
        <is>
          <t>#8, #9, #11, #12 from the initial testing</t>
        </is>
      </c>
      <c r="AA176" s="2" t="inlineStr">
        <is>
          <t>P050072|R</t>
        </is>
      </c>
      <c r="AB176" s="8" t="inlineStr">
        <is>
          <t>not yet issuable — sampled 12.08.2026 — the series numbers it</t>
        </is>
      </c>
    </row>
    <row r="177">
      <c r="A177" s="2" t="inlineStr"/>
      <c r="B177" s="3" t="inlineStr">
        <is>
          <t>— at issue —</t>
        </is>
      </c>
      <c r="C177" s="6" t="inlineStr">
        <is>
          <t>no</t>
        </is>
      </c>
      <c r="D177" s="5">
        <f>IF(A177="","",IF(ISNUMBER(E177),MAX(DATE(2026,6,3),E177),DATE(2026,6,3)))</f>
        <v/>
      </c>
      <c r="E177" s="5" t="inlineStr">
        <is>
          <t>— at the retest sampling —</t>
        </is>
      </c>
      <c r="F177" s="5">
        <f>IFERROR(INDEX('Batch Dates'!$G:$G,MATCH(J177,'Batch Dates'!$C:$C,0)),IFERROR(INDEX('Batch Dates'!$G:$G,MATCH(I177,'Batch Dates'!$B:$B,0)),""))</f>
        <v/>
      </c>
      <c r="G177" s="2" t="inlineStr">
        <is>
          <t>legacy</t>
        </is>
      </c>
      <c r="H177" s="2" t="inlineStr">
        <is>
          <t>retest — Tranche 2 (sampled 12–14.08.2026)</t>
        </is>
      </c>
      <c r="I177" s="3" t="inlineStr">
        <is>
          <t>CJ062501/1</t>
        </is>
      </c>
      <c r="J177" s="2" t="inlineStr">
        <is>
          <t>P050222</t>
        </is>
      </c>
      <c r="K177" s="2" t="inlineStr">
        <is>
          <t>Cap Junky</t>
        </is>
      </c>
      <c r="L177" s="2" t="inlineStr">
        <is>
          <t>Ident A + Ident B + Foreign matter</t>
        </is>
      </c>
      <c r="M177" s="6" t="inlineStr">
        <is>
          <t>—</t>
        </is>
      </c>
      <c r="N177" s="2">
        <f>IFERROR(INDEX('CoQ Register'!$B:$B,MATCH("P050222|R",'CoQ Register'!$S:$S,0)),"—")</f>
        <v/>
      </c>
      <c r="O177" s="6" t="inlineStr">
        <is>
          <t>—</t>
        </is>
      </c>
      <c r="P177" s="2" t="inlineStr">
        <is>
          <t>24.11.2026</t>
        </is>
      </c>
      <c r="Q177" s="2" t="inlineStr">
        <is>
          <t>23.09.2025</t>
        </is>
      </c>
      <c r="R177" s="2" t="inlineStr">
        <is>
          <t>24.11.2025 – 25.11.2025</t>
        </is>
      </c>
      <c r="S177" s="5">
        <f>IFERROR(INDEX('CoQ Register'!$D:$D,MATCH("P050222|R",'CoQ Register'!$S:$S,0)),"")</f>
        <v/>
      </c>
      <c r="T177" s="2" t="inlineStr">
        <is>
          <t>Conforms</t>
        </is>
      </c>
      <c r="U177" s="2" t="inlineStr">
        <is>
          <t>Conforms</t>
        </is>
      </c>
      <c r="V177" s="2" t="inlineStr">
        <is>
          <t>Conforms</t>
        </is>
      </c>
      <c r="W177" s="2" t="inlineStr">
        <is>
          <t>220-3-K-26, (25.08.2026) [FHM-K]</t>
        </is>
      </c>
      <c r="X177" s="2" t="inlineStr">
        <is>
          <t>220-3-K-26, (25.08.2026) [FHM-K]</t>
        </is>
      </c>
      <c r="Y177" s="2" t="inlineStr">
        <is>
          <t>220-3-M-26, (11.09.2026) [FHM-M]</t>
        </is>
      </c>
      <c r="Z177" s="2" t="inlineStr">
        <is>
          <t>#8, #9, #11, #12 from the initial testing</t>
        </is>
      </c>
      <c r="AA177" s="2" t="inlineStr">
        <is>
          <t>P050222|R</t>
        </is>
      </c>
      <c r="AB177" s="8" t="inlineStr">
        <is>
          <t>not yet issuable — sampled 12.08.2026 — the series numbers it</t>
        </is>
      </c>
    </row>
    <row r="178">
      <c r="A178" s="2" t="inlineStr"/>
      <c r="B178" s="3" t="inlineStr">
        <is>
          <t>— at issue —</t>
        </is>
      </c>
      <c r="C178" s="6" t="inlineStr">
        <is>
          <t>no</t>
        </is>
      </c>
      <c r="D178" s="5">
        <f>IF(A178="","",IF(ISNUMBER(E178),MAX(DATE(2026,6,3),E178),DATE(2026,6,3)))</f>
        <v/>
      </c>
      <c r="E178" s="5" t="inlineStr">
        <is>
          <t>— at the retest sampling —</t>
        </is>
      </c>
      <c r="F178" s="5">
        <f>IFERROR(INDEX('Batch Dates'!$G:$G,MATCH(J178,'Batch Dates'!$C:$C,0)),IFERROR(INDEX('Batch Dates'!$G:$G,MATCH(I178,'Batch Dates'!$B:$B,0)),""))</f>
        <v/>
      </c>
      <c r="G178" s="2" t="inlineStr">
        <is>
          <t>legacy</t>
        </is>
      </c>
      <c r="H178" s="2" t="inlineStr">
        <is>
          <t>retest — Tranche 1 (sampled 21–24.07.2026)</t>
        </is>
      </c>
      <c r="I178" s="3" t="inlineStr">
        <is>
          <t>CJ062501/2</t>
        </is>
      </c>
      <c r="J178" s="2" t="inlineStr">
        <is>
          <t>P050212</t>
        </is>
      </c>
      <c r="K178" s="2" t="inlineStr">
        <is>
          <t>Cap Junky</t>
        </is>
      </c>
      <c r="L178" s="2" t="inlineStr">
        <is>
          <t>Ident A + Ident B + Foreign matter</t>
        </is>
      </c>
      <c r="M178" s="6" t="inlineStr">
        <is>
          <t>—</t>
        </is>
      </c>
      <c r="N178" s="2">
        <f>IFERROR(INDEX('CoQ Register'!$B:$B,MATCH("P050212|R",'CoQ Register'!$S:$S,0)),"—")</f>
        <v/>
      </c>
      <c r="O178" s="6" t="inlineStr">
        <is>
          <t>—</t>
        </is>
      </c>
      <c r="P178" s="2" t="inlineStr">
        <is>
          <t>24.01.2027</t>
        </is>
      </c>
      <c r="Q178" s="2" t="inlineStr">
        <is>
          <t>23.09.2025 – 24.09.2025</t>
        </is>
      </c>
      <c r="R178" s="2" t="inlineStr">
        <is>
          <t>18.11.2025 – 24.11.2025 (the issuance plan's basis: 24.01.2026)</t>
        </is>
      </c>
      <c r="S178" s="5">
        <f>IFERROR(INDEX('CoQ Register'!$D:$D,MATCH("P050212|R",'CoQ Register'!$S:$S,0)),"")</f>
        <v/>
      </c>
      <c r="T178" s="2" t="inlineStr">
        <is>
          <t>Conforms</t>
        </is>
      </c>
      <c r="U178" s="2" t="inlineStr">
        <is>
          <t>Conforms</t>
        </is>
      </c>
      <c r="V178" s="2" t="inlineStr">
        <is>
          <t>Conforms</t>
        </is>
      </c>
      <c r="W178" s="2" t="inlineStr">
        <is>
          <t>197-4-K-26, (07.08.2026) [FHM-K]</t>
        </is>
      </c>
      <c r="X178" s="2" t="inlineStr">
        <is>
          <t>197-4-K-26, (07.08.2026) [FHM-K]</t>
        </is>
      </c>
      <c r="Y178" s="2" t="inlineStr">
        <is>
          <t>197-4-M-26, (10.08.2026) [FHM-M]</t>
        </is>
      </c>
      <c r="Z178" s="2" t="inlineStr">
        <is>
          <t>#8, #9, #11, #12 from the initial testing</t>
        </is>
      </c>
      <c r="AA178" s="2" t="inlineStr">
        <is>
          <t>P050212|R</t>
        </is>
      </c>
      <c r="AB178" s="8" t="inlineStr">
        <is>
          <t>not yet issuable — sampled 21.07.2026 — the series numbers it</t>
        </is>
      </c>
    </row>
    <row r="179">
      <c r="A179" s="2" t="inlineStr"/>
      <c r="B179" s="3" t="inlineStr">
        <is>
          <t>— at issue —</t>
        </is>
      </c>
      <c r="C179" s="6" t="inlineStr">
        <is>
          <t>no</t>
        </is>
      </c>
      <c r="D179" s="5">
        <f>IF(A179="","",IF(ISNUMBER(E179),MAX(DATE(2026,6,3),E179),DATE(2026,6,3)))</f>
        <v/>
      </c>
      <c r="E179" s="5" t="inlineStr">
        <is>
          <t>— at the retest sampling —</t>
        </is>
      </c>
      <c r="F179" s="5">
        <f>IFERROR(INDEX('Batch Dates'!$G:$G,MATCH(J179,'Batch Dates'!$C:$C,0)),IFERROR(INDEX('Batch Dates'!$G:$G,MATCH(I179,'Batch Dates'!$B:$B,0)),""))</f>
        <v/>
      </c>
      <c r="G179" s="2" t="inlineStr">
        <is>
          <t>legacy</t>
        </is>
      </c>
      <c r="H179" s="2" t="inlineStr">
        <is>
          <t>retest — Tranche 2 (sampled 12–14.08.2026)</t>
        </is>
      </c>
      <c r="I179" s="3" t="inlineStr">
        <is>
          <t>GRC102501</t>
        </is>
      </c>
      <c r="J179" s="2" t="inlineStr">
        <is>
          <t>P060182</t>
        </is>
      </c>
      <c r="K179" s="2" t="inlineStr">
        <is>
          <t>Grapes And Cream</t>
        </is>
      </c>
      <c r="L179" s="2" t="inlineStr">
        <is>
          <t>Ident A + Ident B + Foreign matter</t>
        </is>
      </c>
      <c r="M179" s="6" t="inlineStr">
        <is>
          <t>—</t>
        </is>
      </c>
      <c r="N179" s="2">
        <f>IFERROR(INDEX('CoQ Register'!$B:$B,MATCH("P060182|R",'CoQ Register'!$S:$S,0)),"—")</f>
        <v/>
      </c>
      <c r="O179" s="6" t="inlineStr">
        <is>
          <t>—</t>
        </is>
      </c>
      <c r="P179" s="2" t="inlineStr">
        <is>
          <t>14.03.2027</t>
        </is>
      </c>
      <c r="Q179" s="2" t="inlineStr">
        <is>
          <t>20.01.2026</t>
        </is>
      </c>
      <c r="R179" s="2" t="inlineStr">
        <is>
          <t>14.03.2026</t>
        </is>
      </c>
      <c r="S179" s="5">
        <f>IFERROR(INDEX('CoQ Register'!$D:$D,MATCH("P060182|R",'CoQ Register'!$S:$S,0)),"")</f>
        <v/>
      </c>
      <c r="T179" s="2" t="inlineStr">
        <is>
          <t>Conforms</t>
        </is>
      </c>
      <c r="U179" s="2" t="inlineStr">
        <is>
          <t>Conforms</t>
        </is>
      </c>
      <c r="V179" s="2" t="inlineStr">
        <is>
          <t>Conforms</t>
        </is>
      </c>
      <c r="W179" s="2" t="inlineStr">
        <is>
          <t>220-14-K-26, (25.08.2026) [FHM-K]</t>
        </is>
      </c>
      <c r="X179" s="2" t="inlineStr">
        <is>
          <t>220-14-K-26, (25.08.2026) [FHM-K]</t>
        </is>
      </c>
      <c r="Y179" s="2" t="inlineStr">
        <is>
          <t>220-14-M-26, (11.09.2026) [FHM-M]</t>
        </is>
      </c>
      <c r="Z179" s="2" t="inlineStr">
        <is>
          <t>#8, #9, #11, #12 from the initial testing</t>
        </is>
      </c>
      <c r="AA179" s="2" t="inlineStr">
        <is>
          <t>P060182|R</t>
        </is>
      </c>
      <c r="AB179" s="8" t="inlineStr">
        <is>
          <t>not yet issuable — sampled 13.08.2026 — the series numbers it</t>
        </is>
      </c>
    </row>
    <row r="180">
      <c r="A180" s="2" t="inlineStr"/>
      <c r="B180" s="3" t="inlineStr">
        <is>
          <t>— at issue —</t>
        </is>
      </c>
      <c r="C180" s="6" t="inlineStr">
        <is>
          <t>no</t>
        </is>
      </c>
      <c r="D180" s="5">
        <f>IF(A180="","",IF(ISNUMBER(E180),MAX(DATE(2026,6,3),E180),DATE(2026,6,3)))</f>
        <v/>
      </c>
      <c r="E180" s="5" t="inlineStr">
        <is>
          <t>— at the retest sampling —</t>
        </is>
      </c>
      <c r="F180" s="5">
        <f>IFERROR(INDEX('Batch Dates'!$G:$G,MATCH(J180,'Batch Dates'!$C:$C,0)),IFERROR(INDEX('Batch Dates'!$G:$G,MATCH(I180,'Batch Dates'!$B:$B,0)),""))</f>
        <v/>
      </c>
      <c r="G180" s="2" t="inlineStr">
        <is>
          <t>legacy</t>
        </is>
      </c>
      <c r="H180" s="2" t="inlineStr">
        <is>
          <t>retest — Tranche 3 (sampled 19–21.08.2026)</t>
        </is>
      </c>
      <c r="I180" s="3" t="inlineStr">
        <is>
          <t>CJ1024</t>
        </is>
      </c>
      <c r="J180" s="2" t="inlineStr">
        <is>
          <t>N/A — no P batch assigned</t>
        </is>
      </c>
      <c r="K180" s="2" t="inlineStr">
        <is>
          <t>Cap Junky</t>
        </is>
      </c>
      <c r="L180" s="2" t="inlineStr">
        <is>
          <t>Ident A + Ident B + Foreign matter</t>
        </is>
      </c>
      <c r="M180" s="6" t="inlineStr">
        <is>
          <t>—</t>
        </is>
      </c>
      <c r="N180" s="2">
        <f>IFERROR(INDEX('CoQ Register'!$B:$B,MATCH("CJ1024|R",'CoQ Register'!$S:$S,0)),"—")</f>
        <v/>
      </c>
      <c r="O180" s="6" t="inlineStr">
        <is>
          <t>—</t>
        </is>
      </c>
      <c r="P180" s="2" t="inlineStr">
        <is>
          <t>27.02.2026</t>
        </is>
      </c>
      <c r="Q180" s="2" t="inlineStr">
        <is>
          <t>20.01.2025</t>
        </is>
      </c>
      <c r="R180" s="2" t="inlineStr">
        <is>
          <t>03.03.2025 (the issuance plan's basis: 27.02.2025)</t>
        </is>
      </c>
      <c r="S180" s="5">
        <f>IFERROR(INDEX('CoQ Register'!$D:$D,MATCH("CJ1024|R",'CoQ Register'!$S:$S,0)),"")</f>
        <v/>
      </c>
      <c r="T180" s="2" t="inlineStr">
        <is>
          <t>Conforms</t>
        </is>
      </c>
      <c r="U180" s="2" t="inlineStr">
        <is>
          <t>Conforms</t>
        </is>
      </c>
      <c r="V180" s="2" t="inlineStr">
        <is>
          <t>Conforms</t>
        </is>
      </c>
      <c r="W180" s="2" t="inlineStr">
        <is>
          <t>227-26-K-26, (11.09.2026) [FHM-K]</t>
        </is>
      </c>
      <c r="X180" s="2" t="inlineStr">
        <is>
          <t>227-26-K-26, (11.09.2026) [FHM-K]</t>
        </is>
      </c>
      <c r="Y180" s="2" t="inlineStr">
        <is>
          <t>— pending —</t>
        </is>
      </c>
      <c r="Z180" s="2" t="inlineStr">
        <is>
          <t>#8, #9, #11, #12 from the initial testing</t>
        </is>
      </c>
      <c r="AA180" s="2" t="inlineStr">
        <is>
          <t>CJ1024|R</t>
        </is>
      </c>
      <c r="AB180" s="8" t="inlineStr">
        <is>
          <t>not yet issuable — sampled 21.08.2026 — the series numbers it</t>
        </is>
      </c>
    </row>
    <row r="181">
      <c r="A181" s="2" t="inlineStr"/>
      <c r="B181" s="3" t="inlineStr">
        <is>
          <t>— at issue —</t>
        </is>
      </c>
      <c r="C181" s="6" t="inlineStr">
        <is>
          <t>no</t>
        </is>
      </c>
      <c r="D181" s="5">
        <f>IF(A181="","",IF(ISNUMBER(E181),MAX(DATE(2026,6,3),E181),DATE(2026,6,3)))</f>
        <v/>
      </c>
      <c r="E181" s="5" t="inlineStr">
        <is>
          <t>— at the retest sampling —</t>
        </is>
      </c>
      <c r="F181" s="5">
        <f>IFERROR(INDEX('Batch Dates'!$G:$G,MATCH(J181,'Batch Dates'!$C:$C,0)),IFERROR(INDEX('Batch Dates'!$G:$G,MATCH(I181,'Batch Dates'!$B:$B,0)),""))</f>
        <v/>
      </c>
      <c r="G181" s="2" t="inlineStr">
        <is>
          <t>legacy</t>
        </is>
      </c>
      <c r="H181" s="2" t="inlineStr">
        <is>
          <t>retest — Tranche 3 (sampled 19–21.08.2026)</t>
        </is>
      </c>
      <c r="I181" s="3" t="inlineStr">
        <is>
          <t>GP0824_01</t>
        </is>
      </c>
      <c r="J181" s="2" t="inlineStr">
        <is>
          <t>P050102</t>
        </is>
      </c>
      <c r="K181" s="2" t="inlineStr">
        <is>
          <t>Grape Pie</t>
        </is>
      </c>
      <c r="L181" s="2" t="inlineStr">
        <is>
          <t>Ident A + Ident B + Foreign matter</t>
        </is>
      </c>
      <c r="M181" s="6" t="inlineStr">
        <is>
          <t>—</t>
        </is>
      </c>
      <c r="N181" s="2">
        <f>IFERROR(INDEX('CoQ Register'!$B:$B,MATCH("P050102|R",'CoQ Register'!$S:$S,0)),"—")</f>
        <v/>
      </c>
      <c r="O181" s="6" t="inlineStr">
        <is>
          <t>—</t>
        </is>
      </c>
      <c r="P181" s="2" t="inlineStr">
        <is>
          <t>17.04.2026</t>
        </is>
      </c>
      <c r="Q181" s="2" t="inlineStr">
        <is>
          <t>20.03.2025 – 21.03.2025</t>
        </is>
      </c>
      <c r="R181" s="2" t="inlineStr">
        <is>
          <t>05.08.2025 – 07.08.2025 (the issuance plan's basis: 17.04.2025)</t>
        </is>
      </c>
      <c r="S181" s="5">
        <f>IFERROR(INDEX('CoQ Register'!$D:$D,MATCH("P050102|R",'CoQ Register'!$S:$S,0)),"")</f>
        <v/>
      </c>
      <c r="T181" s="2" t="inlineStr">
        <is>
          <t>Conforms</t>
        </is>
      </c>
      <c r="U181" s="2" t="inlineStr">
        <is>
          <t>Conforms</t>
        </is>
      </c>
      <c r="V181" s="2" t="inlineStr">
        <is>
          <t>Conforms</t>
        </is>
      </c>
      <c r="W181" s="2" t="inlineStr">
        <is>
          <t>227-2-K-26, (11.09.2026) [FHM-K]</t>
        </is>
      </c>
      <c r="X181" s="2" t="inlineStr">
        <is>
          <t>227-2-K-26, (11.09.2026) [FHM-K]</t>
        </is>
      </c>
      <c r="Y181" s="2" t="inlineStr">
        <is>
          <t>— pending —</t>
        </is>
      </c>
      <c r="Z181" s="2" t="inlineStr">
        <is>
          <t>#8, #9, #11, #12 from the initial testing</t>
        </is>
      </c>
      <c r="AA181" s="2" t="inlineStr">
        <is>
          <t>P050102|R</t>
        </is>
      </c>
      <c r="AB181" s="8" t="inlineStr">
        <is>
          <t>not yet issuable — sampled 19.08.2026 — the series numbers it</t>
        </is>
      </c>
    </row>
    <row r="182">
      <c r="A182" s="2" t="inlineStr"/>
      <c r="B182" s="3" t="inlineStr">
        <is>
          <t>— at issue —</t>
        </is>
      </c>
      <c r="C182" s="6" t="inlineStr">
        <is>
          <t>no</t>
        </is>
      </c>
      <c r="D182" s="5">
        <f>IF(A182="","",IF(ISNUMBER(E182),MAX(DATE(2026,6,3),E182),DATE(2026,6,3)))</f>
        <v/>
      </c>
      <c r="E182" s="5" t="inlineStr">
        <is>
          <t>— at the retest sampling —</t>
        </is>
      </c>
      <c r="F182" s="5">
        <f>IFERROR(INDEX('Batch Dates'!$G:$G,MATCH(J182,'Batch Dates'!$C:$C,0)),IFERROR(INDEX('Batch Dates'!$G:$G,MATCH(I182,'Batch Dates'!$B:$B,0)),""))</f>
        <v/>
      </c>
      <c r="G182" s="2" t="inlineStr">
        <is>
          <t>legacy</t>
        </is>
      </c>
      <c r="H182" s="2" t="inlineStr">
        <is>
          <t>retest — Tranche 3 (sampled 19–21.08.2026)</t>
        </is>
      </c>
      <c r="I182" s="3" t="inlineStr">
        <is>
          <t>MB0824_04</t>
        </is>
      </c>
      <c r="J182" s="2" t="inlineStr">
        <is>
          <t>P050032</t>
        </is>
      </c>
      <c r="K182" s="2" t="inlineStr">
        <is>
          <t>Motor Breath</t>
        </is>
      </c>
      <c r="L182" s="2" t="inlineStr">
        <is>
          <t>Ident A + Ident B + Foreign matter</t>
        </is>
      </c>
      <c r="M182" s="6" t="inlineStr">
        <is>
          <t>—</t>
        </is>
      </c>
      <c r="N182" s="2">
        <f>IFERROR(INDEX('CoQ Register'!$B:$B,MATCH("P050032|R",'CoQ Register'!$S:$S,0)),"—")</f>
        <v/>
      </c>
      <c r="O182" s="6" t="inlineStr">
        <is>
          <t>—</t>
        </is>
      </c>
      <c r="P182" s="2" t="inlineStr">
        <is>
          <t>07.05.2026</t>
        </is>
      </c>
      <c r="Q182" s="2" t="inlineStr">
        <is>
          <t>02.04.2025 – 03.04.2025</t>
        </is>
      </c>
      <c r="R182" s="2" t="inlineStr">
        <is>
          <t>16.06.2025 – 19.06.2025 (the issuance plan's basis: 07.05.2025)</t>
        </is>
      </c>
      <c r="S182" s="5">
        <f>IFERROR(INDEX('CoQ Register'!$D:$D,MATCH("P050032|R",'CoQ Register'!$S:$S,0)),"")</f>
        <v/>
      </c>
      <c r="T182" s="2" t="inlineStr">
        <is>
          <t>Conforms</t>
        </is>
      </c>
      <c r="U182" s="2" t="inlineStr">
        <is>
          <t>Conforms</t>
        </is>
      </c>
      <c r="V182" s="2" t="inlineStr">
        <is>
          <t>Conforms</t>
        </is>
      </c>
      <c r="W182" s="2" t="inlineStr">
        <is>
          <t>227-12-K-26, (11.09.2026) [FHM-K]</t>
        </is>
      </c>
      <c r="X182" s="2" t="inlineStr">
        <is>
          <t>227-12-K-26, (11.09.2026) [FHM-K]</t>
        </is>
      </c>
      <c r="Y182" s="2" t="inlineStr">
        <is>
          <t>— pending —</t>
        </is>
      </c>
      <c r="Z182" s="2" t="inlineStr">
        <is>
          <t>#8, #9, #11, #12 from the initial testing</t>
        </is>
      </c>
      <c r="AA182" s="2" t="inlineStr">
        <is>
          <t>P050032|R</t>
        </is>
      </c>
      <c r="AB182" s="8" t="inlineStr">
        <is>
          <t>not yet issuable — sampled 20.08.2026 — the series numbers it</t>
        </is>
      </c>
    </row>
    <row r="183">
      <c r="A183" s="2" t="inlineStr"/>
      <c r="B183" s="3" t="inlineStr">
        <is>
          <t>— at issue —</t>
        </is>
      </c>
      <c r="C183" s="6" t="inlineStr">
        <is>
          <t>no</t>
        </is>
      </c>
      <c r="D183" s="5">
        <f>IF(A183="","",IF(ISNUMBER(E183),MAX(DATE(2026,6,3),E183),DATE(2026,6,3)))</f>
        <v/>
      </c>
      <c r="E183" s="5" t="inlineStr">
        <is>
          <t>— at the retest sampling —</t>
        </is>
      </c>
      <c r="F183" s="5">
        <f>IFERROR(INDEX('Batch Dates'!$G:$G,MATCH(J183,'Batch Dates'!$C:$C,0)),IFERROR(INDEX('Batch Dates'!$G:$G,MATCH(I183,'Batch Dates'!$B:$B,0)),""))</f>
        <v/>
      </c>
      <c r="G183" s="2" t="inlineStr">
        <is>
          <t>legacy</t>
        </is>
      </c>
      <c r="H183" s="2" t="inlineStr">
        <is>
          <t>retest — Tranche 3 (sampled 19–21.08.2026)</t>
        </is>
      </c>
      <c r="I183" s="3" t="inlineStr">
        <is>
          <t>GG1024_02</t>
        </is>
      </c>
      <c r="J183" s="2" t="inlineStr">
        <is>
          <t>P050012</t>
        </is>
      </c>
      <c r="K183" s="2" t="inlineStr">
        <is>
          <t>Gorilla Glue</t>
        </is>
      </c>
      <c r="L183" s="2" t="inlineStr">
        <is>
          <t>Ident A + Ident B + Foreign matter</t>
        </is>
      </c>
      <c r="M183" s="6" t="inlineStr">
        <is>
          <t>—</t>
        </is>
      </c>
      <c r="N183" s="2">
        <f>IFERROR(INDEX('CoQ Register'!$B:$B,MATCH("P050012|R",'CoQ Register'!$S:$S,0)),"—")</f>
        <v/>
      </c>
      <c r="O183" s="6" t="inlineStr">
        <is>
          <t>—</t>
        </is>
      </c>
      <c r="P183" s="2" t="inlineStr">
        <is>
          <t>30.05.2026</t>
        </is>
      </c>
      <c r="Q183" s="2" t="inlineStr">
        <is>
          <t>14.04.2025 – 15.04.2025</t>
        </is>
      </c>
      <c r="R183" s="2" t="inlineStr">
        <is>
          <t>11.06.2025 – 16.06.2025 (the issuance plan's basis: 30.05.2025)</t>
        </is>
      </c>
      <c r="S183" s="5">
        <f>IFERROR(INDEX('CoQ Register'!$D:$D,MATCH("P050012|R",'CoQ Register'!$S:$S,0)),"")</f>
        <v/>
      </c>
      <c r="T183" s="2" t="inlineStr">
        <is>
          <t>Conforms</t>
        </is>
      </c>
      <c r="U183" s="2" t="inlineStr">
        <is>
          <t>Conforms</t>
        </is>
      </c>
      <c r="V183" s="2" t="inlineStr">
        <is>
          <t>Conforms</t>
        </is>
      </c>
      <c r="W183" s="2" t="inlineStr">
        <is>
          <t>227-19-K-26, (11.09.2026) [FHM-K]</t>
        </is>
      </c>
      <c r="X183" s="2" t="inlineStr">
        <is>
          <t>227-19-K-26, (11.09.2026) [FHM-K]</t>
        </is>
      </c>
      <c r="Y183" s="2" t="inlineStr">
        <is>
          <t>— pending —</t>
        </is>
      </c>
      <c r="Z183" s="2" t="inlineStr">
        <is>
          <t>#8, #9, #11, #12 from the initial testing</t>
        </is>
      </c>
      <c r="AA183" s="2" t="inlineStr">
        <is>
          <t>P050012|R</t>
        </is>
      </c>
      <c r="AB183" s="8" t="inlineStr">
        <is>
          <t>not yet issuable — sampled 20.08.2026 — the series numbers it</t>
        </is>
      </c>
    </row>
    <row r="184">
      <c r="A184" s="2" t="inlineStr"/>
      <c r="B184" s="3" t="inlineStr">
        <is>
          <t>— at issue —</t>
        </is>
      </c>
      <c r="C184" s="6" t="inlineStr">
        <is>
          <t>no</t>
        </is>
      </c>
      <c r="D184" s="5">
        <f>IF(A184="","",IF(ISNUMBER(E184),MAX(DATE(2026,6,3),E184),DATE(2026,6,3)))</f>
        <v/>
      </c>
      <c r="E184" s="5" t="inlineStr">
        <is>
          <t>— at the retest sampling —</t>
        </is>
      </c>
      <c r="F184" s="5">
        <f>IFERROR(INDEX('Batch Dates'!$G:$G,MATCH(J184,'Batch Dates'!$C:$C,0)),IFERROR(INDEX('Batch Dates'!$G:$G,MATCH(I184,'Batch Dates'!$B:$B,0)),""))</f>
        <v/>
      </c>
      <c r="G184" s="2" t="inlineStr">
        <is>
          <t>legacy</t>
        </is>
      </c>
      <c r="H184" s="2" t="inlineStr">
        <is>
          <t>retest — Tranche 3 (sampled 19–21.08.2026)</t>
        </is>
      </c>
      <c r="I184" s="3" t="inlineStr">
        <is>
          <t>BSS1024_01/1</t>
        </is>
      </c>
      <c r="J184" s="2" t="inlineStr">
        <is>
          <t>P050122</t>
        </is>
      </c>
      <c r="K184" s="2" t="inlineStr">
        <is>
          <t>Blue Sunset Sherbet</t>
        </is>
      </c>
      <c r="L184" s="2" t="inlineStr">
        <is>
          <t>Ident A + Ident B + Foreign matter</t>
        </is>
      </c>
      <c r="M184" s="6" t="inlineStr">
        <is>
          <t>—</t>
        </is>
      </c>
      <c r="N184" s="2">
        <f>IFERROR(INDEX('CoQ Register'!$B:$B,MATCH("P050122|R",'CoQ Register'!$S:$S,0)),"—")</f>
        <v/>
      </c>
      <c r="O184" s="6" t="inlineStr">
        <is>
          <t>—</t>
        </is>
      </c>
      <c r="P184" s="2" t="inlineStr">
        <is>
          <t>10.07.2026</t>
        </is>
      </c>
      <c r="Q184" s="2" t="inlineStr">
        <is>
          <t>04.06.2025 – 05.06.2025</t>
        </is>
      </c>
      <c r="R184" s="2" t="inlineStr">
        <is>
          <t>01.09.2025 – 09.09.2025 (the issuance plan's basis: 10.07.2025)</t>
        </is>
      </c>
      <c r="S184" s="5">
        <f>IFERROR(INDEX('CoQ Register'!$D:$D,MATCH("P050122|R",'CoQ Register'!$S:$S,0)),"")</f>
        <v/>
      </c>
      <c r="T184" s="2" t="inlineStr">
        <is>
          <t>Conforms</t>
        </is>
      </c>
      <c r="U184" s="2" t="inlineStr">
        <is>
          <t>Conforms</t>
        </is>
      </c>
      <c r="V184" s="2" t="inlineStr">
        <is>
          <t>Conforms</t>
        </is>
      </c>
      <c r="W184" s="2" t="inlineStr">
        <is>
          <t>227-29-K-26, (11.09.2026) [FHM-K]</t>
        </is>
      </c>
      <c r="X184" s="2" t="inlineStr">
        <is>
          <t>227-29-K-26, (11.09.2026) [FHM-K]</t>
        </is>
      </c>
      <c r="Y184" s="2" t="inlineStr">
        <is>
          <t>— pending —</t>
        </is>
      </c>
      <c r="Z184" s="2" t="inlineStr">
        <is>
          <t>#8, #9, #11, #12 from the initial testing</t>
        </is>
      </c>
      <c r="AA184" s="2" t="inlineStr">
        <is>
          <t>P050122|R</t>
        </is>
      </c>
      <c r="AB184" s="8" t="inlineStr">
        <is>
          <t>not yet issuable — sampled 21.08.2026 — the series numbers it</t>
        </is>
      </c>
    </row>
    <row r="185">
      <c r="A185" s="2" t="inlineStr"/>
      <c r="B185" s="3" t="inlineStr">
        <is>
          <t>— at issue —</t>
        </is>
      </c>
      <c r="C185" s="6" t="inlineStr">
        <is>
          <t>no</t>
        </is>
      </c>
      <c r="D185" s="5">
        <f>IF(A185="","",IF(ISNUMBER(E185),MAX(DATE(2026,6,3),E185),DATE(2026,6,3)))</f>
        <v/>
      </c>
      <c r="E185" s="5" t="inlineStr">
        <is>
          <t>— at the retest sampling —</t>
        </is>
      </c>
      <c r="F185" s="5">
        <f>IFERROR(INDEX('Batch Dates'!$G:$G,MATCH(J185,'Batch Dates'!$C:$C,0)),IFERROR(INDEX('Batch Dates'!$G:$G,MATCH(I185,'Batch Dates'!$B:$B,0)),""))</f>
        <v/>
      </c>
      <c r="G185" s="2" t="inlineStr">
        <is>
          <t>legacy</t>
        </is>
      </c>
      <c r="H185" s="2" t="inlineStr">
        <is>
          <t>retest — Tranche 3 (sampled 19–21.08.2026)</t>
        </is>
      </c>
      <c r="I185" s="3" t="inlineStr">
        <is>
          <t>OPM052501</t>
        </is>
      </c>
      <c r="J185" s="2" t="inlineStr">
        <is>
          <t>P050132</t>
        </is>
      </c>
      <c r="K185" s="2" t="inlineStr">
        <is>
          <t>Orange Punch Mimosa</t>
        </is>
      </c>
      <c r="L185" s="2" t="inlineStr">
        <is>
          <t>Ident A + Ident B + Foreign matter</t>
        </is>
      </c>
      <c r="M185" s="6" t="inlineStr">
        <is>
          <t>—</t>
        </is>
      </c>
      <c r="N185" s="2">
        <f>IFERROR(INDEX('CoQ Register'!$B:$B,MATCH("P050132|R",'CoQ Register'!$S:$S,0)),"—")</f>
        <v/>
      </c>
      <c r="O185" s="6" t="inlineStr">
        <is>
          <t>—</t>
        </is>
      </c>
      <c r="P185" s="2" t="inlineStr">
        <is>
          <t>05.09.2026</t>
        </is>
      </c>
      <c r="Q185" s="2" t="inlineStr">
        <is>
          <t>11.08.2025 – 13.08.2025</t>
        </is>
      </c>
      <c r="R185" s="2" t="inlineStr">
        <is>
          <t>09.09.2025 – 15.09.2025 (the issuance plan's basis: 05.09.2025)</t>
        </is>
      </c>
      <c r="S185" s="5">
        <f>IFERROR(INDEX('CoQ Register'!$D:$D,MATCH("P050132|R",'CoQ Register'!$S:$S,0)),"")</f>
        <v/>
      </c>
      <c r="T185" s="2" t="inlineStr">
        <is>
          <t>Conforms</t>
        </is>
      </c>
      <c r="U185" s="2" t="inlineStr">
        <is>
          <t>Conforms</t>
        </is>
      </c>
      <c r="V185" s="2" t="inlineStr">
        <is>
          <t>Conforms</t>
        </is>
      </c>
      <c r="W185" s="2" t="inlineStr">
        <is>
          <t>227-11-K-26, (11.09.2026) [FHM-K]</t>
        </is>
      </c>
      <c r="X185" s="2" t="inlineStr">
        <is>
          <t>227-11-K-26, (11.09.2026) [FHM-K]</t>
        </is>
      </c>
      <c r="Y185" s="2" t="inlineStr">
        <is>
          <t>— pending —</t>
        </is>
      </c>
      <c r="Z185" s="2" t="inlineStr">
        <is>
          <t>#8, #9, #11, #12 from the initial testing</t>
        </is>
      </c>
      <c r="AA185" s="2" t="inlineStr">
        <is>
          <t>P050132|R</t>
        </is>
      </c>
      <c r="AB185" s="8" t="inlineStr">
        <is>
          <t>not yet issuable — sampled 20.08.2026 — the series numbers it</t>
        </is>
      </c>
    </row>
    <row r="186">
      <c r="A186" s="2" t="inlineStr"/>
      <c r="B186" s="3" t="inlineStr">
        <is>
          <t>— at issue —</t>
        </is>
      </c>
      <c r="C186" s="6" t="inlineStr">
        <is>
          <t>no</t>
        </is>
      </c>
      <c r="D186" s="5">
        <f>IF(A186="","",IF(ISNUMBER(E186),MAX(DATE(2026,6,3),E186),DATE(2026,6,3)))</f>
        <v/>
      </c>
      <c r="E186" s="5" t="inlineStr">
        <is>
          <t>— at the retest sampling —</t>
        </is>
      </c>
      <c r="F186" s="5">
        <f>IFERROR(INDEX('Batch Dates'!$G:$G,MATCH(J186,'Batch Dates'!$C:$C,0)),IFERROR(INDEX('Batch Dates'!$G:$G,MATCH(I186,'Batch Dates'!$B:$B,0)),""))</f>
        <v/>
      </c>
      <c r="G186" s="2" t="inlineStr">
        <is>
          <t>legacy</t>
        </is>
      </c>
      <c r="H186" s="2" t="inlineStr">
        <is>
          <t>retest — Tranche 3 (sampled 19–21.08.2026)</t>
        </is>
      </c>
      <c r="I186" s="3" t="inlineStr">
        <is>
          <t>CJ052501/02</t>
        </is>
      </c>
      <c r="J186" s="2" t="inlineStr">
        <is>
          <t>P050172</t>
        </is>
      </c>
      <c r="K186" s="2" t="inlineStr">
        <is>
          <t>Cap Junky</t>
        </is>
      </c>
      <c r="L186" s="2" t="inlineStr">
        <is>
          <t>Ident A + Ident B + Foreign matter</t>
        </is>
      </c>
      <c r="M186" s="6" t="inlineStr">
        <is>
          <t>—</t>
        </is>
      </c>
      <c r="N186" s="2">
        <f>IFERROR(INDEX('CoQ Register'!$B:$B,MATCH("P050172|R",'CoQ Register'!$S:$S,0)),"—")</f>
        <v/>
      </c>
      <c r="O186" s="6" t="inlineStr">
        <is>
          <t>—</t>
        </is>
      </c>
      <c r="P186" s="2" t="inlineStr">
        <is>
          <t>17.09.2026</t>
        </is>
      </c>
      <c r="Q186" s="2" t="inlineStr">
        <is>
          <t>20.08.2025</t>
        </is>
      </c>
      <c r="R186" s="2" t="inlineStr">
        <is>
          <t>01.10.2025 – 02.10.2025 (the issuance plan's basis: 17.09.2025)</t>
        </is>
      </c>
      <c r="S186" s="5">
        <f>IFERROR(INDEX('CoQ Register'!$D:$D,MATCH("P050172|R",'CoQ Register'!$S:$S,0)),"")</f>
        <v/>
      </c>
      <c r="T186" s="2" t="inlineStr">
        <is>
          <t>Conforms</t>
        </is>
      </c>
      <c r="U186" s="2" t="inlineStr">
        <is>
          <t>Conforms</t>
        </is>
      </c>
      <c r="V186" s="2" t="inlineStr">
        <is>
          <t>Conforms</t>
        </is>
      </c>
      <c r="W186" s="2" t="inlineStr">
        <is>
          <t>227-28-K-26, (11.09.2026) [FHM-K]</t>
        </is>
      </c>
      <c r="X186" s="2" t="inlineStr">
        <is>
          <t>227-28-K-26, (11.09.2026) [FHM-K]</t>
        </is>
      </c>
      <c r="Y186" s="2" t="inlineStr">
        <is>
          <t>— pending —</t>
        </is>
      </c>
      <c r="Z186" s="2" t="inlineStr">
        <is>
          <t>#8, #9, #11, #12 from the initial testing</t>
        </is>
      </c>
      <c r="AA186" s="2" t="inlineStr">
        <is>
          <t>P050172|R</t>
        </is>
      </c>
      <c r="AB186" s="8" t="inlineStr">
        <is>
          <t>not yet issuable — sampled 21.08.2026 — the series numbers it</t>
        </is>
      </c>
    </row>
    <row r="187">
      <c r="A187" s="2" t="inlineStr"/>
      <c r="B187" s="3" t="inlineStr">
        <is>
          <t>— at issue —</t>
        </is>
      </c>
      <c r="C187" s="6" t="inlineStr">
        <is>
          <t>no</t>
        </is>
      </c>
      <c r="D187" s="5">
        <f>IF(A187="","",IF(ISNUMBER(E187),MAX(DATE(2026,6,3),E187),DATE(2026,6,3)))</f>
        <v/>
      </c>
      <c r="E187" s="5" t="inlineStr">
        <is>
          <t>— at the retest sampling —</t>
        </is>
      </c>
      <c r="F187" s="5">
        <f>IFERROR(INDEX('Batch Dates'!$G:$G,MATCH(J187,'Batch Dates'!$C:$C,0)),IFERROR(INDEX('Batch Dates'!$G:$G,MATCH(I187,'Batch Dates'!$B:$B,0)),""))</f>
        <v/>
      </c>
      <c r="G187" s="2" t="inlineStr">
        <is>
          <t>legacy</t>
        </is>
      </c>
      <c r="H187" s="2" t="inlineStr">
        <is>
          <t>retest — Tranche 3 (sampled 19–21.08.2026)</t>
        </is>
      </c>
      <c r="I187" s="3" t="inlineStr">
        <is>
          <t>BSS1024_01/2</t>
        </is>
      </c>
      <c r="J187" s="2" t="inlineStr">
        <is>
          <t>P050142</t>
        </is>
      </c>
      <c r="K187" s="2" t="inlineStr">
        <is>
          <t>Blue Sunset Sherbet</t>
        </is>
      </c>
      <c r="L187" s="2" t="inlineStr">
        <is>
          <t>Ident A + Ident B + Foreign matter</t>
        </is>
      </c>
      <c r="M187" s="6" t="inlineStr">
        <is>
          <t>—</t>
        </is>
      </c>
      <c r="N187" s="2">
        <f>IFERROR(INDEX('CoQ Register'!$B:$B,MATCH("P050142|R",'CoQ Register'!$S:$S,0)),"—")</f>
        <v/>
      </c>
      <c r="O187" s="6" t="inlineStr">
        <is>
          <t>—</t>
        </is>
      </c>
      <c r="P187" s="2" t="inlineStr">
        <is>
          <t>30.09.2026</t>
        </is>
      </c>
      <c r="Q187" s="2" t="inlineStr">
        <is>
          <t>— not given —</t>
        </is>
      </c>
      <c r="R187" s="2" t="inlineStr">
        <is>
          <t>30.09.2025</t>
        </is>
      </c>
      <c r="S187" s="5">
        <f>IFERROR(INDEX('CoQ Register'!$D:$D,MATCH("P050142|R",'CoQ Register'!$S:$S,0)),"")</f>
        <v/>
      </c>
      <c r="T187" s="2" t="inlineStr">
        <is>
          <t>Conforms</t>
        </is>
      </c>
      <c r="U187" s="2" t="inlineStr">
        <is>
          <t>Conforms</t>
        </is>
      </c>
      <c r="V187" s="2" t="inlineStr">
        <is>
          <t>Conforms</t>
        </is>
      </c>
      <c r="W187" s="2" t="inlineStr">
        <is>
          <t>227-1-K-26, (11.09.2026) [FHM-K]</t>
        </is>
      </c>
      <c r="X187" s="2" t="inlineStr">
        <is>
          <t>227-1-K-26, (11.09.2026) [FHM-K]</t>
        </is>
      </c>
      <c r="Y187" s="2" t="inlineStr">
        <is>
          <t>— pending —</t>
        </is>
      </c>
      <c r="Z187" s="2" t="inlineStr">
        <is>
          <t>#8, #9, #11, #12 from the initial testing</t>
        </is>
      </c>
      <c r="AA187" s="2" t="inlineStr">
        <is>
          <t>P050142|R</t>
        </is>
      </c>
      <c r="AB187" s="8" t="inlineStr">
        <is>
          <t>not yet issuable — sampled 19.08.2026 — the series numbers it</t>
        </is>
      </c>
    </row>
    <row r="188">
      <c r="A188" s="2" t="inlineStr"/>
      <c r="B188" s="3" t="inlineStr">
        <is>
          <t>— at issue —</t>
        </is>
      </c>
      <c r="C188" s="6" t="inlineStr">
        <is>
          <t>no</t>
        </is>
      </c>
      <c r="D188" s="5">
        <f>IF(A188="","",IF(ISNUMBER(E188),MAX(DATE(2026,6,3),E188),DATE(2026,6,3)))</f>
        <v/>
      </c>
      <c r="E188" s="5" t="inlineStr">
        <is>
          <t>— at the retest sampling —</t>
        </is>
      </c>
      <c r="F188" s="5">
        <f>IFERROR(INDEX('Batch Dates'!$G:$G,MATCH(J188,'Batch Dates'!$C:$C,0)),IFERROR(INDEX('Batch Dates'!$G:$G,MATCH(I188,'Batch Dates'!$B:$B,0)),""))</f>
        <v/>
      </c>
      <c r="G188" s="2" t="inlineStr">
        <is>
          <t>legacy</t>
        </is>
      </c>
      <c r="H188" s="2" t="inlineStr">
        <is>
          <t>retest — Tranche 3 (sampled 19–21.08.2026)</t>
        </is>
      </c>
      <c r="I188" s="3" t="inlineStr">
        <is>
          <t>CJ072501</t>
        </is>
      </c>
      <c r="J188" s="2" t="inlineStr">
        <is>
          <t>P050252</t>
        </is>
      </c>
      <c r="K188" s="2" t="inlineStr">
        <is>
          <t>Cap Junky</t>
        </is>
      </c>
      <c r="L188" s="2" t="inlineStr">
        <is>
          <t>Ident A + Ident B + Foreign matter</t>
        </is>
      </c>
      <c r="M188" s="6" t="inlineStr">
        <is>
          <t>—</t>
        </is>
      </c>
      <c r="N188" s="2">
        <f>IFERROR(INDEX('CoQ Register'!$B:$B,MATCH("P050252|R",'CoQ Register'!$S:$S,0)),"—")</f>
        <v/>
      </c>
      <c r="O188" s="6" t="inlineStr">
        <is>
          <t>—</t>
        </is>
      </c>
      <c r="P188" s="2" t="inlineStr">
        <is>
          <t>02.12.2026</t>
        </is>
      </c>
      <c r="Q188" s="2" t="inlineStr">
        <is>
          <t>27.10.2025</t>
        </is>
      </c>
      <c r="R188" s="2" t="inlineStr">
        <is>
          <t>27.11.2025 – 28.11.2025 (the issuance plan's basis: 02.12.2025)</t>
        </is>
      </c>
      <c r="S188" s="5">
        <f>IFERROR(INDEX('CoQ Register'!$D:$D,MATCH("P050252|R",'CoQ Register'!$S:$S,0)),"")</f>
        <v/>
      </c>
      <c r="T188" s="2" t="inlineStr">
        <is>
          <t>Conforms</t>
        </is>
      </c>
      <c r="U188" s="2" t="inlineStr">
        <is>
          <t>Conforms</t>
        </is>
      </c>
      <c r="V188" s="2" t="inlineStr">
        <is>
          <t>Conforms</t>
        </is>
      </c>
      <c r="W188" s="2" t="inlineStr">
        <is>
          <t>227-27-K-26, (11.09.2026) [FHM-K]</t>
        </is>
      </c>
      <c r="X188" s="2" t="inlineStr">
        <is>
          <t>227-27-K-26, (11.09.2026) [FHM-K]</t>
        </is>
      </c>
      <c r="Y188" s="2" t="inlineStr">
        <is>
          <t>— pending —</t>
        </is>
      </c>
      <c r="Z188" s="2" t="inlineStr">
        <is>
          <t>#8, #9, #11, #12 from the initial testing</t>
        </is>
      </c>
      <c r="AA188" s="2" t="inlineStr">
        <is>
          <t>P050252|R</t>
        </is>
      </c>
      <c r="AB188" s="8" t="inlineStr">
        <is>
          <t>not yet issuable — sampled 21.08.2026 — the series numbers it</t>
        </is>
      </c>
    </row>
    <row r="189">
      <c r="A189" s="2" t="inlineStr"/>
      <c r="B189" s="3" t="inlineStr">
        <is>
          <t>— at issue —</t>
        </is>
      </c>
      <c r="C189" s="6" t="inlineStr">
        <is>
          <t>no</t>
        </is>
      </c>
      <c r="D189" s="5">
        <f>IF(A189="","",IF(ISNUMBER(E189),MAX(DATE(2026,6,3),E189),DATE(2026,6,3)))</f>
        <v/>
      </c>
      <c r="E189" s="5" t="inlineStr">
        <is>
          <t>— at the retest sampling —</t>
        </is>
      </c>
      <c r="F189" s="5">
        <f>IFERROR(INDEX('Batch Dates'!$G:$G,MATCH(J189,'Batch Dates'!$C:$C,0)),IFERROR(INDEX('Batch Dates'!$G:$G,MATCH(I189,'Batch Dates'!$B:$B,0)),""))</f>
        <v/>
      </c>
      <c r="G189" s="2" t="inlineStr">
        <is>
          <t>legacy</t>
        </is>
      </c>
      <c r="H189" s="2" t="inlineStr">
        <is>
          <t>retest — Tranche 3 (sampled 19–21.08.2026)</t>
        </is>
      </c>
      <c r="I189" s="3" t="inlineStr">
        <is>
          <t>WC072501</t>
        </is>
      </c>
      <c r="J189" s="2" t="inlineStr">
        <is>
          <t>P050262</t>
        </is>
      </c>
      <c r="K189" s="2" t="inlineStr">
        <is>
          <t>Wedding Crusher</t>
        </is>
      </c>
      <c r="L189" s="2" t="inlineStr">
        <is>
          <t>Ident A + Ident B + Foreign matter</t>
        </is>
      </c>
      <c r="M189" s="6" t="inlineStr">
        <is>
          <t>—</t>
        </is>
      </c>
      <c r="N189" s="2">
        <f>IFERROR(INDEX('CoQ Register'!$B:$B,MATCH("P050262|R",'CoQ Register'!$S:$S,0)),"—")</f>
        <v/>
      </c>
      <c r="O189" s="6" t="inlineStr">
        <is>
          <t>—</t>
        </is>
      </c>
      <c r="P189" s="2" t="inlineStr">
        <is>
          <t>02.12.2026</t>
        </is>
      </c>
      <c r="Q189" s="2" t="inlineStr">
        <is>
          <t>27.10.2025 – 28.10.2025</t>
        </is>
      </c>
      <c r="R189" s="2" t="inlineStr">
        <is>
          <t>01.12.2025 (the issuance plan's basis: 02.12.2025)</t>
        </is>
      </c>
      <c r="S189" s="5">
        <f>IFERROR(INDEX('CoQ Register'!$D:$D,MATCH("P050262|R",'CoQ Register'!$S:$S,0)),"")</f>
        <v/>
      </c>
      <c r="T189" s="2" t="inlineStr">
        <is>
          <t>Conforms</t>
        </is>
      </c>
      <c r="U189" s="2" t="inlineStr">
        <is>
          <t>Conforms</t>
        </is>
      </c>
      <c r="V189" s="2" t="inlineStr">
        <is>
          <t>Conforms</t>
        </is>
      </c>
      <c r="W189" s="2" t="inlineStr">
        <is>
          <t>227-3-K-26, (11.09.2026) [FHM-K]</t>
        </is>
      </c>
      <c r="X189" s="2" t="inlineStr">
        <is>
          <t>227-3-K-26, (11.09.2026) [FHM-K]</t>
        </is>
      </c>
      <c r="Y189" s="2" t="inlineStr">
        <is>
          <t>— pending —</t>
        </is>
      </c>
      <c r="Z189" s="2" t="inlineStr">
        <is>
          <t>#8, #9, #11, #12 from the initial testing</t>
        </is>
      </c>
      <c r="AA189" s="2" t="inlineStr">
        <is>
          <t>P050262|R</t>
        </is>
      </c>
      <c r="AB189" s="8" t="inlineStr">
        <is>
          <t>not yet issuable — sampled 19.08.2026 — the series numbers it</t>
        </is>
      </c>
    </row>
    <row r="190">
      <c r="A190" s="2" t="inlineStr"/>
      <c r="B190" s="3" t="inlineStr">
        <is>
          <t>— at issue —</t>
        </is>
      </c>
      <c r="C190" s="6" t="inlineStr">
        <is>
          <t>no</t>
        </is>
      </c>
      <c r="D190" s="5">
        <f>IF(A190="","",IF(ISNUMBER(E190),MAX(DATE(2026,6,3),E190),DATE(2026,6,3)))</f>
        <v/>
      </c>
      <c r="E190" s="5" t="inlineStr">
        <is>
          <t>— at the retest sampling —</t>
        </is>
      </c>
      <c r="F190" s="5">
        <f>IFERROR(INDEX('Batch Dates'!$G:$G,MATCH(J190,'Batch Dates'!$C:$C,0)),IFERROR(INDEX('Batch Dates'!$G:$G,MATCH(I190,'Batch Dates'!$B:$B,0)),""))</f>
        <v/>
      </c>
      <c r="G190" s="2" t="inlineStr">
        <is>
          <t>legacy</t>
        </is>
      </c>
      <c r="H190" s="2" t="inlineStr">
        <is>
          <t>retest — Tranche 3 (sampled 19–21.08.2026)</t>
        </is>
      </c>
      <c r="I190" s="3" t="inlineStr">
        <is>
          <t>GP072501/1</t>
        </is>
      </c>
      <c r="J190" s="2" t="inlineStr">
        <is>
          <t>P050292</t>
        </is>
      </c>
      <c r="K190" s="2" t="inlineStr">
        <is>
          <t>Grape Pie</t>
        </is>
      </c>
      <c r="L190" s="2" t="inlineStr">
        <is>
          <t>Ident A + Ident B + Foreign matter</t>
        </is>
      </c>
      <c r="M190" s="6" t="inlineStr">
        <is>
          <t>—</t>
        </is>
      </c>
      <c r="N190" s="2">
        <f>IFERROR(INDEX('CoQ Register'!$B:$B,MATCH("P050292|R",'CoQ Register'!$S:$S,0)),"—")</f>
        <v/>
      </c>
      <c r="O190" s="6" t="inlineStr">
        <is>
          <t>—</t>
        </is>
      </c>
      <c r="P190" s="2" t="inlineStr">
        <is>
          <t>21.01.2027</t>
        </is>
      </c>
      <c r="Q190" s="2" t="inlineStr">
        <is>
          <t>11.11.2025 – 13.11.2025</t>
        </is>
      </c>
      <c r="R190" s="2" t="inlineStr">
        <is>
          <t>15.12.2025 – 21.12.2025 (the issuance plan's basis: 21.01.2026)</t>
        </is>
      </c>
      <c r="S190" s="5">
        <f>IFERROR(INDEX('CoQ Register'!$D:$D,MATCH("P050292|R",'CoQ Register'!$S:$S,0)),"")</f>
        <v/>
      </c>
      <c r="T190" s="2" t="inlineStr">
        <is>
          <t>Conforms</t>
        </is>
      </c>
      <c r="U190" s="2" t="inlineStr">
        <is>
          <t>Conforms</t>
        </is>
      </c>
      <c r="V190" s="2" t="inlineStr">
        <is>
          <t>Conforms</t>
        </is>
      </c>
      <c r="W190" s="2" t="inlineStr">
        <is>
          <t>227-17-K-26, (11.09.2026) [FHM-K]</t>
        </is>
      </c>
      <c r="X190" s="2" t="inlineStr">
        <is>
          <t>227-17-K-26, (11.09.2026) [FHM-K]</t>
        </is>
      </c>
      <c r="Y190" s="2" t="inlineStr">
        <is>
          <t>— pending —</t>
        </is>
      </c>
      <c r="Z190" s="2" t="inlineStr">
        <is>
          <t>#8, #9, #11, #12 from the initial testing</t>
        </is>
      </c>
      <c r="AA190" s="2" t="inlineStr">
        <is>
          <t>P050292|R</t>
        </is>
      </c>
      <c r="AB190" s="8" t="inlineStr">
        <is>
          <t>not yet issuable — sampled 20.08.2026 — the series numbers it</t>
        </is>
      </c>
    </row>
    <row r="191">
      <c r="A191" s="2" t="inlineStr"/>
      <c r="B191" s="3" t="inlineStr">
        <is>
          <t>— at issue —</t>
        </is>
      </c>
      <c r="C191" s="6" t="inlineStr">
        <is>
          <t>no</t>
        </is>
      </c>
      <c r="D191" s="5">
        <f>IF(A191="","",IF(ISNUMBER(E191),MAX(DATE(2026,6,3),E191),DATE(2026,6,3)))</f>
        <v/>
      </c>
      <c r="E191" s="5" t="inlineStr">
        <is>
          <t>— at the retest sampling —</t>
        </is>
      </c>
      <c r="F191" s="5">
        <f>IFERROR(INDEX('Batch Dates'!$G:$G,MATCH(J191,'Batch Dates'!$C:$C,0)),IFERROR(INDEX('Batch Dates'!$G:$G,MATCH(I191,'Batch Dates'!$B:$B,0)),""))</f>
        <v/>
      </c>
      <c r="G191" s="2" t="inlineStr">
        <is>
          <t>legacy</t>
        </is>
      </c>
      <c r="H191" s="2" t="inlineStr">
        <is>
          <t>retest — Tranche 3 (sampled 19–21.08.2026)</t>
        </is>
      </c>
      <c r="I191" s="3" t="inlineStr">
        <is>
          <t>PM072501</t>
        </is>
      </c>
      <c r="J191" s="2" t="inlineStr">
        <is>
          <t>P050272</t>
        </is>
      </c>
      <c r="K191" s="2" t="inlineStr">
        <is>
          <t>Permanent Marker</t>
        </is>
      </c>
      <c r="L191" s="2" t="inlineStr">
        <is>
          <t>Ident A + Ident B + Foreign matter</t>
        </is>
      </c>
      <c r="M191" s="6" t="inlineStr">
        <is>
          <t>—</t>
        </is>
      </c>
      <c r="N191" s="2">
        <f>IFERROR(INDEX('CoQ Register'!$B:$B,MATCH("P050272|R",'CoQ Register'!$S:$S,0)),"—")</f>
        <v/>
      </c>
      <c r="O191" s="6" t="inlineStr">
        <is>
          <t>—</t>
        </is>
      </c>
      <c r="P191" s="2" t="inlineStr">
        <is>
          <t>21.01.2027</t>
        </is>
      </c>
      <c r="Q191" s="2" t="inlineStr">
        <is>
          <t>27.10.2025</t>
        </is>
      </c>
      <c r="R191" s="2" t="inlineStr">
        <is>
          <t>02.12.2025 – 03.12.2025 (the issuance plan's basis: 21.01.2026)</t>
        </is>
      </c>
      <c r="S191" s="5">
        <f>IFERROR(INDEX('CoQ Register'!$D:$D,MATCH("P050272|R",'CoQ Register'!$S:$S,0)),"")</f>
        <v/>
      </c>
      <c r="T191" s="2" t="inlineStr">
        <is>
          <t>Conforms</t>
        </is>
      </c>
      <c r="U191" s="2" t="inlineStr">
        <is>
          <t>Conforms</t>
        </is>
      </c>
      <c r="V191" s="2" t="inlineStr">
        <is>
          <t>Conforms</t>
        </is>
      </c>
      <c r="W191" s="2" t="inlineStr">
        <is>
          <t>227-9-K-26, (11.09.2026) [FHM-K]</t>
        </is>
      </c>
      <c r="X191" s="2" t="inlineStr">
        <is>
          <t>227-9-K-26, (11.09.2026) [FHM-K]</t>
        </is>
      </c>
      <c r="Y191" s="2" t="inlineStr">
        <is>
          <t>— pending —</t>
        </is>
      </c>
      <c r="Z191" s="2" t="inlineStr">
        <is>
          <t>#8, #9, #11, #12 from the initial testing</t>
        </is>
      </c>
      <c r="AA191" s="2" t="inlineStr">
        <is>
          <t>P050272|R</t>
        </is>
      </c>
      <c r="AB191" s="8" t="inlineStr">
        <is>
          <t>not yet issuable — sampled 19.08.2026 — the series numbers it</t>
        </is>
      </c>
    </row>
    <row r="192">
      <c r="A192" s="2" t="inlineStr"/>
      <c r="B192" s="3" t="inlineStr">
        <is>
          <t>— at issue —</t>
        </is>
      </c>
      <c r="C192" s="6" t="inlineStr">
        <is>
          <t>no</t>
        </is>
      </c>
      <c r="D192" s="5">
        <f>IF(A192="","",IF(ISNUMBER(E192),MAX(DATE(2026,6,3),E192),DATE(2026,6,3)))</f>
        <v/>
      </c>
      <c r="E192" s="5" t="inlineStr">
        <is>
          <t>— at the retest sampling —</t>
        </is>
      </c>
      <c r="F192" s="5">
        <f>IFERROR(INDEX('Batch Dates'!$G:$G,MATCH(J192,'Batch Dates'!$C:$C,0)),IFERROR(INDEX('Batch Dates'!$G:$G,MATCH(I192,'Batch Dates'!$B:$B,0)),""))</f>
        <v/>
      </c>
      <c r="G192" s="2" t="inlineStr">
        <is>
          <t>legacy</t>
        </is>
      </c>
      <c r="H192" s="2" t="inlineStr">
        <is>
          <t>retest — Tranche 3 (sampled 19–21.08.2026)</t>
        </is>
      </c>
      <c r="I192" s="3" t="inlineStr">
        <is>
          <t>WED102501</t>
        </is>
      </c>
      <c r="J192" s="2" t="inlineStr">
        <is>
          <t>P060102</t>
        </is>
      </c>
      <c r="K192" s="2" t="inlineStr">
        <is>
          <t>Wedding Cake</t>
        </is>
      </c>
      <c r="L192" s="2" t="inlineStr">
        <is>
          <t>Ident A + Ident B + Foreign matter</t>
        </is>
      </c>
      <c r="M192" s="6" t="inlineStr">
        <is>
          <t>—</t>
        </is>
      </c>
      <c r="N192" s="2">
        <f>IFERROR(INDEX('CoQ Register'!$B:$B,MATCH("P060102|R",'CoQ Register'!$S:$S,0)),"—")</f>
        <v/>
      </c>
      <c r="O192" s="6" t="inlineStr">
        <is>
          <t>—</t>
        </is>
      </c>
      <c r="P192" s="2" t="inlineStr">
        <is>
          <t>16.02.2027</t>
        </is>
      </c>
      <c r="Q192" s="2" t="inlineStr">
        <is>
          <t>08.01.2026</t>
        </is>
      </c>
      <c r="R192" s="2" t="inlineStr">
        <is>
          <t>16.02.2026</t>
        </is>
      </c>
      <c r="S192" s="5">
        <f>IFERROR(INDEX('CoQ Register'!$D:$D,MATCH("P060102|R",'CoQ Register'!$S:$S,0)),"")</f>
        <v/>
      </c>
      <c r="T192" s="2" t="inlineStr">
        <is>
          <t>Conforms</t>
        </is>
      </c>
      <c r="U192" s="2" t="inlineStr">
        <is>
          <t>Conforms</t>
        </is>
      </c>
      <c r="V192" s="2" t="inlineStr">
        <is>
          <t>Conforms</t>
        </is>
      </c>
      <c r="W192" s="2" t="inlineStr">
        <is>
          <t>227-4-K-26, (11.09.2026) [FHM-K]</t>
        </is>
      </c>
      <c r="X192" s="2" t="inlineStr">
        <is>
          <t>227-4-K-26, (11.09.2026) [FHM-K]</t>
        </is>
      </c>
      <c r="Y192" s="2" t="inlineStr">
        <is>
          <t>— pending —</t>
        </is>
      </c>
      <c r="Z192" s="2" t="inlineStr">
        <is>
          <t>#8, #9, #11, #12 from the initial testing</t>
        </is>
      </c>
      <c r="AA192" s="2" t="inlineStr">
        <is>
          <t>P060102|R</t>
        </is>
      </c>
      <c r="AB192" s="8" t="inlineStr">
        <is>
          <t>not yet issuable — sampled 19.08.2026 — the series numbers it</t>
        </is>
      </c>
    </row>
    <row r="193">
      <c r="A193" s="2" t="inlineStr"/>
      <c r="B193" s="3" t="inlineStr">
        <is>
          <t>— at issue —</t>
        </is>
      </c>
      <c r="C193" s="6" t="inlineStr">
        <is>
          <t>no</t>
        </is>
      </c>
      <c r="D193" s="5">
        <f>IF(A193="","",IF(ISNUMBER(E193),MAX(DATE(2026,6,3),E193),DATE(2026,6,3)))</f>
        <v/>
      </c>
      <c r="E193" s="5" t="inlineStr">
        <is>
          <t>— at the retest sampling —</t>
        </is>
      </c>
      <c r="F193" s="5">
        <f>IFERROR(INDEX('Batch Dates'!$G:$G,MATCH(J193,'Batch Dates'!$C:$C,0)),IFERROR(INDEX('Batch Dates'!$G:$G,MATCH(I193,'Batch Dates'!$B:$B,0)),""))</f>
        <v/>
      </c>
      <c r="G193" s="2" t="inlineStr">
        <is>
          <t>legacy</t>
        </is>
      </c>
      <c r="H193" s="2" t="inlineStr">
        <is>
          <t>retest — Tranche 3 (sampled 19–21.08.2026)</t>
        </is>
      </c>
      <c r="I193" s="3" t="inlineStr">
        <is>
          <t>AB092501</t>
        </is>
      </c>
      <c r="J193" s="2" t="inlineStr">
        <is>
          <t>P060052</t>
        </is>
      </c>
      <c r="K193" s="2" t="inlineStr">
        <is>
          <t>Apple and Banana</t>
        </is>
      </c>
      <c r="L193" s="2" t="inlineStr">
        <is>
          <t>Ident A + Ident B + Foreign matter</t>
        </is>
      </c>
      <c r="M193" s="6" t="inlineStr">
        <is>
          <t>—</t>
        </is>
      </c>
      <c r="N193" s="2">
        <f>IFERROR(INDEX('CoQ Register'!$B:$B,MATCH("P060052|R",'CoQ Register'!$S:$S,0)),"—")</f>
        <v/>
      </c>
      <c r="O193" s="6" t="inlineStr">
        <is>
          <t>—</t>
        </is>
      </c>
      <c r="P193" s="2" t="inlineStr">
        <is>
          <t>20.02.2027</t>
        </is>
      </c>
      <c r="Q193" s="2" t="inlineStr">
        <is>
          <t>11.12.2025</t>
        </is>
      </c>
      <c r="R193" s="2" t="inlineStr">
        <is>
          <t>30.01.2026 (the issuance plan's basis: 20.02.2026)</t>
        </is>
      </c>
      <c r="S193" s="5">
        <f>IFERROR(INDEX('CoQ Register'!$D:$D,MATCH("P060052|R",'CoQ Register'!$S:$S,0)),"")</f>
        <v/>
      </c>
      <c r="T193" s="2" t="inlineStr">
        <is>
          <t>Conforms</t>
        </is>
      </c>
      <c r="U193" s="2" t="inlineStr">
        <is>
          <t>Conforms</t>
        </is>
      </c>
      <c r="V193" s="2" t="inlineStr">
        <is>
          <t>Conforms</t>
        </is>
      </c>
      <c r="W193" s="2" t="inlineStr">
        <is>
          <t>227-30-K-26, (11.09.2026) [FHM-K]</t>
        </is>
      </c>
      <c r="X193" s="2" t="inlineStr">
        <is>
          <t>227-30-K-26, (11.09.2026) [FHM-K]</t>
        </is>
      </c>
      <c r="Y193" s="2" t="inlineStr">
        <is>
          <t>— pending —</t>
        </is>
      </c>
      <c r="Z193" s="2" t="inlineStr">
        <is>
          <t>#8, #9, #11, #12 from the initial testing</t>
        </is>
      </c>
      <c r="AA193" s="2" t="inlineStr">
        <is>
          <t>P060052|R</t>
        </is>
      </c>
      <c r="AB193" s="8" t="inlineStr">
        <is>
          <t>not yet issuable — sampled 21.08.2026 — the series numbers it</t>
        </is>
      </c>
    </row>
    <row r="194">
      <c r="A194" s="2" t="inlineStr"/>
      <c r="B194" s="3" t="inlineStr">
        <is>
          <t>— at issue —</t>
        </is>
      </c>
      <c r="C194" s="6" t="inlineStr">
        <is>
          <t>no</t>
        </is>
      </c>
      <c r="D194" s="5">
        <f>IF(A194="","",IF(ISNUMBER(E194),MAX(DATE(2026,6,3),E194),DATE(2026,6,3)))</f>
        <v/>
      </c>
      <c r="E194" s="5" t="inlineStr">
        <is>
          <t>— at the retest sampling —</t>
        </is>
      </c>
      <c r="F194" s="5">
        <f>IFERROR(INDEX('Batch Dates'!$G:$G,MATCH(J194,'Batch Dates'!$C:$C,0)),IFERROR(INDEX('Batch Dates'!$G:$G,MATCH(I194,'Batch Dates'!$B:$B,0)),""))</f>
        <v/>
      </c>
      <c r="G194" s="2" t="inlineStr">
        <is>
          <t>legacy</t>
        </is>
      </c>
      <c r="H194" s="2" t="inlineStr">
        <is>
          <t>retest — Tranche 3 (sampled 19–21.08.2026)</t>
        </is>
      </c>
      <c r="I194" s="3" t="inlineStr">
        <is>
          <t>GRC102501</t>
        </is>
      </c>
      <c r="J194" s="2" t="inlineStr">
        <is>
          <t>P060142</t>
        </is>
      </c>
      <c r="K194" s="2" t="inlineStr">
        <is>
          <t>Grapes And Cream</t>
        </is>
      </c>
      <c r="L194" s="2" t="inlineStr">
        <is>
          <t>Ident A + Ident B + Foreign matter</t>
        </is>
      </c>
      <c r="M194" s="6" t="inlineStr">
        <is>
          <t>—</t>
        </is>
      </c>
      <c r="N194" s="2">
        <f>IFERROR(INDEX('CoQ Register'!$B:$B,MATCH("P060142|R",'CoQ Register'!$S:$S,0)),"—")</f>
        <v/>
      </c>
      <c r="O194" s="6" t="inlineStr">
        <is>
          <t>—</t>
        </is>
      </c>
      <c r="P194" s="2" t="inlineStr">
        <is>
          <t>23.02.2027</t>
        </is>
      </c>
      <c r="Q194" s="2" t="inlineStr">
        <is>
          <t>09.01.2026</t>
        </is>
      </c>
      <c r="R194" s="2" t="inlineStr">
        <is>
          <t>23.02.2026</t>
        </is>
      </c>
      <c r="S194" s="5">
        <f>IFERROR(INDEX('CoQ Register'!$D:$D,MATCH("P060142|R",'CoQ Register'!$S:$S,0)),"")</f>
        <v/>
      </c>
      <c r="T194" s="2" t="inlineStr">
        <is>
          <t>Conforms</t>
        </is>
      </c>
      <c r="U194" s="2" t="inlineStr">
        <is>
          <t>Conforms</t>
        </is>
      </c>
      <c r="V194" s="2" t="inlineStr">
        <is>
          <t>Conforms</t>
        </is>
      </c>
      <c r="W194" s="2" t="inlineStr">
        <is>
          <t>227-16-K-26, (11.09.2026) [FHM-K]</t>
        </is>
      </c>
      <c r="X194" s="2" t="inlineStr">
        <is>
          <t>227-16-K-26, (11.09.2026) [FHM-K]</t>
        </is>
      </c>
      <c r="Y194" s="2" t="inlineStr">
        <is>
          <t>— pending —</t>
        </is>
      </c>
      <c r="Z194" s="2" t="inlineStr">
        <is>
          <t>#8, #9, #11, #12 from the initial testing</t>
        </is>
      </c>
      <c r="AA194" s="2" t="inlineStr">
        <is>
          <t>P060142|R</t>
        </is>
      </c>
      <c r="AB194" s="8" t="inlineStr">
        <is>
          <t>not yet issuable — sampled 20.08.2026 — the series numbers it</t>
        </is>
      </c>
    </row>
    <row r="195">
      <c r="A195" s="2" t="inlineStr"/>
      <c r="B195" s="3" t="inlineStr">
        <is>
          <t>— at issue —</t>
        </is>
      </c>
      <c r="C195" s="6" t="inlineStr">
        <is>
          <t>no</t>
        </is>
      </c>
      <c r="D195" s="5">
        <f>IF(A195="","",IF(ISNUMBER(E195),MAX(DATE(2026,6,3),E195),DATE(2026,6,3)))</f>
        <v/>
      </c>
      <c r="E195" s="5" t="inlineStr">
        <is>
          <t>— at the retest sampling —</t>
        </is>
      </c>
      <c r="F195" s="5">
        <f>IFERROR(INDEX('Batch Dates'!$G:$G,MATCH(J195,'Batch Dates'!$C:$C,0)),IFERROR(INDEX('Batch Dates'!$G:$G,MATCH(I195,'Batch Dates'!$B:$B,0)),""))</f>
        <v/>
      </c>
      <c r="G195" s="2" t="inlineStr">
        <is>
          <t>legacy</t>
        </is>
      </c>
      <c r="H195" s="2" t="inlineStr">
        <is>
          <t>retest — Tranche 3 (sampled 19–21.08.2026)</t>
        </is>
      </c>
      <c r="I195" s="3" t="inlineStr">
        <is>
          <t>SJ102501</t>
        </is>
      </c>
      <c r="J195" s="2" t="inlineStr">
        <is>
          <t>P060162</t>
        </is>
      </c>
      <c r="K195" s="2" t="inlineStr">
        <is>
          <t>Sleepy Joe</t>
        </is>
      </c>
      <c r="L195" s="2" t="inlineStr">
        <is>
          <t>Ident A + Ident B + Foreign matter</t>
        </is>
      </c>
      <c r="M195" s="6" t="inlineStr">
        <is>
          <t>—</t>
        </is>
      </c>
      <c r="N195" s="2">
        <f>IFERROR(INDEX('CoQ Register'!$B:$B,MATCH("P060162|R",'CoQ Register'!$S:$S,0)),"—")</f>
        <v/>
      </c>
      <c r="O195" s="6" t="inlineStr">
        <is>
          <t>—</t>
        </is>
      </c>
      <c r="P195" s="2" t="inlineStr">
        <is>
          <t>04.03.2027</t>
        </is>
      </c>
      <c r="Q195" s="2" t="inlineStr">
        <is>
          <t>20.01.2026</t>
        </is>
      </c>
      <c r="R195" s="2" t="inlineStr">
        <is>
          <t>09.03.2026 (the issuance plan's basis: 04.03.2026)</t>
        </is>
      </c>
      <c r="S195" s="5">
        <f>IFERROR(INDEX('CoQ Register'!$D:$D,MATCH("P060162|R",'CoQ Register'!$S:$S,0)),"")</f>
        <v/>
      </c>
      <c r="T195" s="2" t="inlineStr">
        <is>
          <t>Conforms</t>
        </is>
      </c>
      <c r="U195" s="2" t="inlineStr">
        <is>
          <t>Conforms</t>
        </is>
      </c>
      <c r="V195" s="2" t="inlineStr">
        <is>
          <t>Conforms</t>
        </is>
      </c>
      <c r="W195" s="2" t="inlineStr">
        <is>
          <t>227-6-K-26, (11.09.2026) [FHM-K]</t>
        </is>
      </c>
      <c r="X195" s="2" t="inlineStr">
        <is>
          <t>227-6-K-26, (11.09.2026) [FHM-K]</t>
        </is>
      </c>
      <c r="Y195" s="2" t="inlineStr">
        <is>
          <t>— pending —</t>
        </is>
      </c>
      <c r="Z195" s="2" t="inlineStr">
        <is>
          <t>#8, #9, #11, #12 from the initial testing</t>
        </is>
      </c>
      <c r="AA195" s="2" t="inlineStr">
        <is>
          <t>P060162|R</t>
        </is>
      </c>
      <c r="AB195" s="8" t="inlineStr">
        <is>
          <t>not yet issuable — sampled 19.08.2026 — the series numbers it</t>
        </is>
      </c>
    </row>
    <row r="196">
      <c r="A196" s="2" t="inlineStr"/>
      <c r="B196" s="3" t="inlineStr">
        <is>
          <t>— at issue —</t>
        </is>
      </c>
      <c r="C196" s="6" t="inlineStr">
        <is>
          <t>no</t>
        </is>
      </c>
      <c r="D196" s="5">
        <f>IF(A196="","",IF(ISNUMBER(E196),MAX(DATE(2026,6,3),E196),DATE(2026,6,3)))</f>
        <v/>
      </c>
      <c r="E196" s="5" t="inlineStr">
        <is>
          <t>— at the retest sampling —</t>
        </is>
      </c>
      <c r="F196" s="5">
        <f>IFERROR(INDEX('Batch Dates'!$G:$G,MATCH(J196,'Batch Dates'!$C:$C,0)),IFERROR(INDEX('Batch Dates'!$G:$G,MATCH(I196,'Batch Dates'!$B:$B,0)),""))</f>
        <v/>
      </c>
      <c r="G196" s="2" t="inlineStr">
        <is>
          <t>legacy</t>
        </is>
      </c>
      <c r="H196" s="2" t="inlineStr">
        <is>
          <t>retest — Tranche 3 (sampled 19–21.08.2026)</t>
        </is>
      </c>
      <c r="I196" s="3" t="inlineStr">
        <is>
          <t>OPM112501</t>
        </is>
      </c>
      <c r="J196" s="2" t="inlineStr">
        <is>
          <t>P060222</t>
        </is>
      </c>
      <c r="K196" s="2" t="inlineStr">
        <is>
          <t>Orange Punch Mimosa</t>
        </is>
      </c>
      <c r="L196" s="2" t="inlineStr">
        <is>
          <t>Ident A + Ident B + Foreign matter</t>
        </is>
      </c>
      <c r="M196" s="6" t="inlineStr">
        <is>
          <t>—</t>
        </is>
      </c>
      <c r="N196" s="2">
        <f>IFERROR(INDEX('CoQ Register'!$B:$B,MATCH("P060222|R",'CoQ Register'!$S:$S,0)),"—")</f>
        <v/>
      </c>
      <c r="O196" s="6" t="inlineStr">
        <is>
          <t>—</t>
        </is>
      </c>
      <c r="P196" s="2" t="inlineStr">
        <is>
          <t>05.03.2027</t>
        </is>
      </c>
      <c r="Q196" s="2" t="inlineStr">
        <is>
          <t>05.02.2026</t>
        </is>
      </c>
      <c r="R196" s="2" t="inlineStr">
        <is>
          <t>24.04.2026 (the issuance plan's basis: 05.03.2026)</t>
        </is>
      </c>
      <c r="S196" s="5">
        <f>IFERROR(INDEX('CoQ Register'!$D:$D,MATCH("P060222|R",'CoQ Register'!$S:$S,0)),"")</f>
        <v/>
      </c>
      <c r="T196" s="2" t="inlineStr">
        <is>
          <t>Conforms</t>
        </is>
      </c>
      <c r="U196" s="2" t="inlineStr">
        <is>
          <t>Conforms</t>
        </is>
      </c>
      <c r="V196" s="2" t="inlineStr">
        <is>
          <t>Conforms</t>
        </is>
      </c>
      <c r="W196" s="2" t="inlineStr">
        <is>
          <t>227-10-K-26, (11.09.2026) [FHM-K]</t>
        </is>
      </c>
      <c r="X196" s="2" t="inlineStr">
        <is>
          <t>227-10-K-26, (11.09.2026) [FHM-K]</t>
        </is>
      </c>
      <c r="Y196" s="2" t="inlineStr">
        <is>
          <t>— pending —</t>
        </is>
      </c>
      <c r="Z196" s="2" t="inlineStr">
        <is>
          <t>#8, #9, #11, #12 from the initial testing</t>
        </is>
      </c>
      <c r="AA196" s="2" t="inlineStr">
        <is>
          <t>P060222|R</t>
        </is>
      </c>
      <c r="AB196" s="8" t="inlineStr">
        <is>
          <t>not yet issuable — sampled 19.08.2026 — the series numbers it</t>
        </is>
      </c>
    </row>
    <row r="197">
      <c r="A197" s="2" t="inlineStr"/>
      <c r="B197" s="3" t="inlineStr">
        <is>
          <t>— at issue —</t>
        </is>
      </c>
      <c r="C197" s="6" t="inlineStr">
        <is>
          <t>no</t>
        </is>
      </c>
      <c r="D197" s="5">
        <f>IF(A197="","",IF(ISNUMBER(E197),MAX(DATE(2026,6,3),E197),DATE(2026,6,3)))</f>
        <v/>
      </c>
      <c r="E197" s="5" t="inlineStr">
        <is>
          <t>— at the retest sampling —</t>
        </is>
      </c>
      <c r="F197" s="5">
        <f>IFERROR(INDEX('Batch Dates'!$G:$G,MATCH(J197,'Batch Dates'!$C:$C,0)),IFERROR(INDEX('Batch Dates'!$G:$G,MATCH(I197,'Batch Dates'!$B:$B,0)),""))</f>
        <v/>
      </c>
      <c r="G197" s="2" t="inlineStr">
        <is>
          <t>legacy</t>
        </is>
      </c>
      <c r="H197" s="2" t="inlineStr">
        <is>
          <t>retest — Tranche 3 (sampled 19–21.08.2026)</t>
        </is>
      </c>
      <c r="I197" s="3" t="inlineStr">
        <is>
          <t>J31112501</t>
        </is>
      </c>
      <c r="J197" s="2" t="inlineStr">
        <is>
          <t>P060202</t>
        </is>
      </c>
      <c r="K197" s="2" t="inlineStr">
        <is>
          <t>Jokerz 31</t>
        </is>
      </c>
      <c r="L197" s="2" t="inlineStr">
        <is>
          <t>Ident A + Ident B + Foreign matter</t>
        </is>
      </c>
      <c r="M197" s="6" t="inlineStr">
        <is>
          <t>—</t>
        </is>
      </c>
      <c r="N197" s="2">
        <f>IFERROR(INDEX('CoQ Register'!$B:$B,MATCH("P060202|R",'CoQ Register'!$S:$S,0)),"—")</f>
        <v/>
      </c>
      <c r="O197" s="6" t="inlineStr">
        <is>
          <t>—</t>
        </is>
      </c>
      <c r="P197" s="2" t="inlineStr">
        <is>
          <t>09.04.2027</t>
        </is>
      </c>
      <c r="Q197" s="2" t="inlineStr">
        <is>
          <t>26.01.2026</t>
        </is>
      </c>
      <c r="R197" s="2" t="inlineStr">
        <is>
          <t>17.04.2026 (the issuance plan's basis: 09.04.2026)</t>
        </is>
      </c>
      <c r="S197" s="5">
        <f>IFERROR(INDEX('CoQ Register'!$D:$D,MATCH("P060202|R",'CoQ Register'!$S:$S,0)),"")</f>
        <v/>
      </c>
      <c r="T197" s="2" t="inlineStr">
        <is>
          <t>Conforms</t>
        </is>
      </c>
      <c r="U197" s="2" t="inlineStr">
        <is>
          <t>Conforms</t>
        </is>
      </c>
      <c r="V197" s="2" t="inlineStr">
        <is>
          <t>Conforms</t>
        </is>
      </c>
      <c r="W197" s="2" t="inlineStr">
        <is>
          <t>227-14-K-26, (11.09.2026) [FHM-K]</t>
        </is>
      </c>
      <c r="X197" s="2" t="inlineStr">
        <is>
          <t>227-14-K-26, (11.09.2026) [FHM-K]</t>
        </is>
      </c>
      <c r="Y197" s="2" t="inlineStr">
        <is>
          <t>— pending —</t>
        </is>
      </c>
      <c r="Z197" s="2" t="inlineStr">
        <is>
          <t>#8, #9, #11, #12 from the initial testing</t>
        </is>
      </c>
      <c r="AA197" s="2" t="inlineStr">
        <is>
          <t>P060202|R</t>
        </is>
      </c>
      <c r="AB197" s="8" t="inlineStr">
        <is>
          <t>not yet issuable — sampled 20.08.2026 — the series numbers it</t>
        </is>
      </c>
    </row>
    <row r="198">
      <c r="A198" s="2" t="inlineStr"/>
      <c r="B198" s="3" t="inlineStr">
        <is>
          <t>— at issue —</t>
        </is>
      </c>
      <c r="C198" s="6" t="inlineStr">
        <is>
          <t>no</t>
        </is>
      </c>
      <c r="D198" s="5">
        <f>IF(A198="","",IF(ISNUMBER(E198),MAX(DATE(2026,6,3),E198),DATE(2026,6,3)))</f>
        <v/>
      </c>
      <c r="E198" s="5" t="inlineStr">
        <is>
          <t>— at the retest sampling —</t>
        </is>
      </c>
      <c r="F198" s="5">
        <f>IFERROR(INDEX('Batch Dates'!$G:$G,MATCH(J198,'Batch Dates'!$C:$C,0)),IFERROR(INDEX('Batch Dates'!$G:$G,MATCH(I198,'Batch Dates'!$B:$B,0)),""))</f>
        <v/>
      </c>
      <c r="G198" s="2" t="inlineStr">
        <is>
          <t>post-SOP</t>
        </is>
      </c>
      <c r="H198" s="2" t="inlineStr">
        <is>
          <t>retest — Tranche 3 (sampled 19–21.08.2026)</t>
        </is>
      </c>
      <c r="I198" s="3" t="inlineStr">
        <is>
          <t>J31122501</t>
        </is>
      </c>
      <c r="J198" s="2" t="inlineStr">
        <is>
          <t>P060262</t>
        </is>
      </c>
      <c r="K198" s="2" t="inlineStr">
        <is>
          <t>Jokerz 31</t>
        </is>
      </c>
      <c r="L198" s="2" t="inlineStr">
        <is>
          <t>Ident A + Ident B + Foreign matter</t>
        </is>
      </c>
      <c r="M198" s="6" t="inlineStr">
        <is>
          <t>—</t>
        </is>
      </c>
      <c r="N198" s="2">
        <f>IFERROR(INDEX('CoQ Register'!$B:$B,MATCH("P060262|R",'CoQ Register'!$S:$S,0)),"—")</f>
        <v/>
      </c>
      <c r="O198" s="6" t="inlineStr">
        <is>
          <t>—</t>
        </is>
      </c>
      <c r="P198" s="2" t="inlineStr">
        <is>
          <t>23.04.2027</t>
        </is>
      </c>
      <c r="Q198" s="2" t="inlineStr">
        <is>
          <t>04.03.2026</t>
        </is>
      </c>
      <c r="R198" s="2" t="inlineStr">
        <is>
          <t>14.05.2026 (the issuance plan's basis: 23.04.2026)</t>
        </is>
      </c>
      <c r="S198" s="5">
        <f>IFERROR(INDEX('CoQ Register'!$D:$D,MATCH("P060262|R",'CoQ Register'!$S:$S,0)),"")</f>
        <v/>
      </c>
      <c r="T198" s="2" t="inlineStr">
        <is>
          <t>Conforms</t>
        </is>
      </c>
      <c r="U198" s="2" t="inlineStr">
        <is>
          <t>Conforms</t>
        </is>
      </c>
      <c r="V198" s="2" t="inlineStr">
        <is>
          <t>Conforms</t>
        </is>
      </c>
      <c r="W198" s="2" t="inlineStr">
        <is>
          <t>— retest assay not yet on file —</t>
        </is>
      </c>
      <c r="X198" s="2" t="inlineStr">
        <is>
          <t>— pending —</t>
        </is>
      </c>
      <c r="Y198" s="2" t="inlineStr">
        <is>
          <t>— pending —</t>
        </is>
      </c>
      <c r="Z198" s="2" t="inlineStr">
        <is>
          <t>#8, #9, #11, #12 from the initial testing</t>
        </is>
      </c>
      <c r="AA198" s="2" t="inlineStr">
        <is>
          <t>P060262|R</t>
        </is>
      </c>
      <c r="AB198" s="8" t="inlineStr">
        <is>
          <t>not yet issuable — sampled 20.08.2026 — the series numbers it</t>
        </is>
      </c>
    </row>
    <row r="199">
      <c r="A199" s="2" t="inlineStr"/>
      <c r="B199" s="3" t="inlineStr">
        <is>
          <t>— at issue —</t>
        </is>
      </c>
      <c r="C199" s="6" t="inlineStr">
        <is>
          <t>no</t>
        </is>
      </c>
      <c r="D199" s="5">
        <f>IF(A199="","",IF(ISNUMBER(E199),MAX(DATE(2026,6,3),E199),DATE(2026,6,3)))</f>
        <v/>
      </c>
      <c r="E199" s="5" t="inlineStr">
        <is>
          <t>— at the retest sampling —</t>
        </is>
      </c>
      <c r="F199" s="5">
        <f>IFERROR(INDEX('Batch Dates'!$G:$G,MATCH(J199,'Batch Dates'!$C:$C,0)),IFERROR(INDEX('Batch Dates'!$G:$G,MATCH(I199,'Batch Dates'!$B:$B,0)),""))</f>
        <v/>
      </c>
      <c r="G199" s="2" t="inlineStr">
        <is>
          <t>post-SOP</t>
        </is>
      </c>
      <c r="H199" s="2" t="inlineStr">
        <is>
          <t>retest — Tranche 3 (sampled 19–21.08.2026)</t>
        </is>
      </c>
      <c r="I199" s="3" t="inlineStr">
        <is>
          <t>CC112501</t>
        </is>
      </c>
      <c r="J199" s="2" t="inlineStr">
        <is>
          <t>P060272</t>
        </is>
      </c>
      <c r="K199" s="2" t="inlineStr">
        <is>
          <t>Cash Cow</t>
        </is>
      </c>
      <c r="L199" s="2" t="inlineStr">
        <is>
          <t>Ident A + Ident B + Foreign matter</t>
        </is>
      </c>
      <c r="M199" s="6" t="inlineStr">
        <is>
          <t>—</t>
        </is>
      </c>
      <c r="N199" s="2">
        <f>IFERROR(INDEX('CoQ Register'!$B:$B,MATCH("P060272|R",'CoQ Register'!$S:$S,0)),"—")</f>
        <v/>
      </c>
      <c r="O199" s="6" t="inlineStr">
        <is>
          <t>—</t>
        </is>
      </c>
      <c r="P199" s="2" t="inlineStr">
        <is>
          <t>11.05.2027</t>
        </is>
      </c>
      <c r="Q199" s="2" t="inlineStr">
        <is>
          <t>25.03.2026</t>
        </is>
      </c>
      <c r="R199" s="2" t="inlineStr">
        <is>
          <t>18.05.2026 (the issuance plan's basis: 11.05.2026)</t>
        </is>
      </c>
      <c r="S199" s="5">
        <f>IFERROR(INDEX('CoQ Register'!$D:$D,MATCH("P060272|R",'CoQ Register'!$S:$S,0)),"")</f>
        <v/>
      </c>
      <c r="T199" s="2" t="inlineStr">
        <is>
          <t>Conforms</t>
        </is>
      </c>
      <c r="U199" s="2" t="inlineStr">
        <is>
          <t>Conforms</t>
        </is>
      </c>
      <c r="V199" s="2" t="inlineStr">
        <is>
          <t>Conforms</t>
        </is>
      </c>
      <c r="W199" s="2" t="inlineStr">
        <is>
          <t>227-25-K-26, (11.09.2026) [FHM-K]</t>
        </is>
      </c>
      <c r="X199" s="2" t="inlineStr">
        <is>
          <t>227-25-K-26, (11.09.2026) [FHM-K]</t>
        </is>
      </c>
      <c r="Y199" s="2" t="inlineStr">
        <is>
          <t>— pending —</t>
        </is>
      </c>
      <c r="Z199" s="2" t="inlineStr">
        <is>
          <t>#8, #9, #11, #12 from the initial testing</t>
        </is>
      </c>
      <c r="AA199" s="2" t="inlineStr">
        <is>
          <t>P060272|R</t>
        </is>
      </c>
      <c r="AB199" s="8" t="inlineStr">
        <is>
          <t>not yet issuable — sampled 21.08.2026 — the series numbers it</t>
        </is>
      </c>
    </row>
    <row r="200">
      <c r="A200" s="2" t="inlineStr"/>
      <c r="B200" s="3" t="inlineStr">
        <is>
          <t>— at issue —</t>
        </is>
      </c>
      <c r="C200" s="6" t="inlineStr">
        <is>
          <t>no</t>
        </is>
      </c>
      <c r="D200" s="5">
        <f>IF(A200="","",IF(ISNUMBER(E200),MAX(DATE(2026,6,3),E200),DATE(2026,6,3)))</f>
        <v/>
      </c>
      <c r="E200" s="5" t="inlineStr">
        <is>
          <t>— at the retest sampling —</t>
        </is>
      </c>
      <c r="F200" s="5">
        <f>IFERROR(INDEX('Batch Dates'!$G:$G,MATCH(J200,'Batch Dates'!$C:$C,0)),IFERROR(INDEX('Batch Dates'!$G:$G,MATCH(I200,'Batch Dates'!$B:$B,0)),""))</f>
        <v/>
      </c>
      <c r="G200" s="2" t="inlineStr">
        <is>
          <t>post-SOP</t>
        </is>
      </c>
      <c r="H200" s="2" t="inlineStr">
        <is>
          <t>retest — Tranche 3 (sampled 19–21.08.2026)</t>
        </is>
      </c>
      <c r="I200" s="3" t="inlineStr">
        <is>
          <t>FB112501</t>
        </is>
      </c>
      <c r="J200" s="2" t="inlineStr">
        <is>
          <t>P060292</t>
        </is>
      </c>
      <c r="K200" s="2" t="inlineStr">
        <is>
          <t>Fat Bastard</t>
        </is>
      </c>
      <c r="L200" s="2" t="inlineStr">
        <is>
          <t>Ident A + Ident B + Foreign matter</t>
        </is>
      </c>
      <c r="M200" s="6" t="inlineStr">
        <is>
          <t>—</t>
        </is>
      </c>
      <c r="N200" s="2">
        <f>IFERROR(INDEX('CoQ Register'!$B:$B,MATCH("P060292|R",'CoQ Register'!$S:$S,0)),"—")</f>
        <v/>
      </c>
      <c r="O200" s="6" t="inlineStr">
        <is>
          <t>—</t>
        </is>
      </c>
      <c r="P200" s="2" t="inlineStr">
        <is>
          <t>11.05.2027</t>
        </is>
      </c>
      <c r="Q200" s="2" t="inlineStr">
        <is>
          <t>25.03.2026</t>
        </is>
      </c>
      <c r="R200" s="2" t="inlineStr">
        <is>
          <t>19.05.2026 (the issuance plan's basis: 11.05.2026)</t>
        </is>
      </c>
      <c r="S200" s="5">
        <f>IFERROR(INDEX('CoQ Register'!$D:$D,MATCH("P060292|R",'CoQ Register'!$S:$S,0)),"")</f>
        <v/>
      </c>
      <c r="T200" s="2" t="inlineStr">
        <is>
          <t>Conforms</t>
        </is>
      </c>
      <c r="U200" s="2" t="inlineStr">
        <is>
          <t>Conforms</t>
        </is>
      </c>
      <c r="V200" s="2" t="inlineStr">
        <is>
          <t>Conforms</t>
        </is>
      </c>
      <c r="W200" s="2" t="inlineStr">
        <is>
          <t>227-22-K-26, (11.09.2026) [FHM-K]</t>
        </is>
      </c>
      <c r="X200" s="2" t="inlineStr">
        <is>
          <t>227-22-K-26, (11.09.2026) [FHM-K]</t>
        </is>
      </c>
      <c r="Y200" s="2" t="inlineStr">
        <is>
          <t>— pending —</t>
        </is>
      </c>
      <c r="Z200" s="2" t="inlineStr">
        <is>
          <t>#8, #9, #11, #12 from the initial testing</t>
        </is>
      </c>
      <c r="AA200" s="2" t="inlineStr">
        <is>
          <t>P060292|R</t>
        </is>
      </c>
      <c r="AB200" s="8" t="inlineStr">
        <is>
          <t>not yet issuable — sampled 21.08.2026 — the series numbers it</t>
        </is>
      </c>
    </row>
    <row r="201">
      <c r="A201" s="2" t="inlineStr"/>
      <c r="B201" s="3" t="inlineStr">
        <is>
          <t>— at issue —</t>
        </is>
      </c>
      <c r="C201" s="6" t="inlineStr">
        <is>
          <t>no</t>
        </is>
      </c>
      <c r="D201" s="5">
        <f>IF(A201="","",IF(ISNUMBER(E201),MAX(DATE(2026,6,3),E201),DATE(2026,6,3)))</f>
        <v/>
      </c>
      <c r="E201" s="5" t="inlineStr">
        <is>
          <t>— at the retest sampling —</t>
        </is>
      </c>
      <c r="F201" s="5">
        <f>IFERROR(INDEX('Batch Dates'!$G:$G,MATCH(J201,'Batch Dates'!$C:$C,0)),IFERROR(INDEX('Batch Dates'!$G:$G,MATCH(I201,'Batch Dates'!$B:$B,0)),""))</f>
        <v/>
      </c>
      <c r="G201" s="2" t="inlineStr">
        <is>
          <t>post-SOP</t>
        </is>
      </c>
      <c r="H201" s="2" t="inlineStr">
        <is>
          <t>retest — Tranche 3 (sampled 19–21.08.2026)</t>
        </is>
      </c>
      <c r="I201" s="3" t="inlineStr">
        <is>
          <t>GG012601＊</t>
        </is>
      </c>
      <c r="J201" s="2" t="inlineStr">
        <is>
          <t>P060302</t>
        </is>
      </c>
      <c r="K201" s="2" t="inlineStr">
        <is>
          <t>Gorilla Glue</t>
        </is>
      </c>
      <c r="L201" s="2" t="inlineStr">
        <is>
          <t>Ident A + Ident B + Foreign matter</t>
        </is>
      </c>
      <c r="M201" s="6" t="inlineStr">
        <is>
          <t>—</t>
        </is>
      </c>
      <c r="N201" s="2">
        <f>IFERROR(INDEX('CoQ Register'!$B:$B,MATCH("P060302|R",'CoQ Register'!$S:$S,0)),"—")</f>
        <v/>
      </c>
      <c r="O201" s="6" t="inlineStr">
        <is>
          <t>—</t>
        </is>
      </c>
      <c r="P201" s="2" t="inlineStr">
        <is>
          <t>11.05.2027</t>
        </is>
      </c>
      <c r="Q201" s="2" t="inlineStr">
        <is>
          <t>27.03.2026</t>
        </is>
      </c>
      <c r="R201" s="2" t="inlineStr">
        <is>
          <t>20.05.2026 (the issuance plan's basis: 11.05.2026)</t>
        </is>
      </c>
      <c r="S201" s="5">
        <f>IFERROR(INDEX('CoQ Register'!$D:$D,MATCH("P060302|R",'CoQ Register'!$S:$S,0)),"")</f>
        <v/>
      </c>
      <c r="T201" s="2" t="inlineStr">
        <is>
          <t>Conforms</t>
        </is>
      </c>
      <c r="U201" s="2" t="inlineStr">
        <is>
          <t>Conforms</t>
        </is>
      </c>
      <c r="V201" s="2" t="inlineStr">
        <is>
          <t>Conforms</t>
        </is>
      </c>
      <c r="W201" s="2" t="inlineStr">
        <is>
          <t>227-21-K-26, (11.09.2026) [FHM-K]</t>
        </is>
      </c>
      <c r="X201" s="2" t="inlineStr">
        <is>
          <t>227-21-K-26, (11.09.2026) [FHM-K]</t>
        </is>
      </c>
      <c r="Y201" s="2" t="inlineStr">
        <is>
          <t>— pending —</t>
        </is>
      </c>
      <c r="Z201" s="2" t="inlineStr">
        <is>
          <t>#8, #9, #11, #12 from the initial testing</t>
        </is>
      </c>
      <c r="AA201" s="2" t="inlineStr">
        <is>
          <t>P060302|R</t>
        </is>
      </c>
      <c r="AB201" s="8" t="inlineStr">
        <is>
          <t>not yet issuable — sampled 21.08.2026 — the series numbers it</t>
        </is>
      </c>
    </row>
    <row r="202">
      <c r="A202" s="2" t="inlineStr"/>
      <c r="B202" s="3" t="inlineStr">
        <is>
          <t>— at issue —</t>
        </is>
      </c>
      <c r="C202" s="6" t="inlineStr">
        <is>
          <t>no</t>
        </is>
      </c>
      <c r="D202" s="5">
        <f>IF(A202="","",IF(ISNUMBER(E202),MAX(DATE(2026,6,3),E202),DATE(2026,6,3)))</f>
        <v/>
      </c>
      <c r="E202" s="5" t="inlineStr">
        <is>
          <t>— at the retest sampling —</t>
        </is>
      </c>
      <c r="F202" s="5">
        <f>IFERROR(INDEX('Batch Dates'!$G:$G,MATCH(J202,'Batch Dates'!$C:$C,0)),IFERROR(INDEX('Batch Dates'!$G:$G,MATCH(I202,'Batch Dates'!$B:$B,0)),""))</f>
        <v/>
      </c>
      <c r="G202" s="2" t="inlineStr">
        <is>
          <t>legacy</t>
        </is>
      </c>
      <c r="H202" s="2" t="inlineStr">
        <is>
          <t>retest — Tranche 3 (sampled 19–21.08.2026)</t>
        </is>
      </c>
      <c r="I202" s="3" t="inlineStr">
        <is>
          <t>GG112501</t>
        </is>
      </c>
      <c r="J202" s="2" t="inlineStr">
        <is>
          <t>P060252</t>
        </is>
      </c>
      <c r="K202" s="2" t="inlineStr">
        <is>
          <t>Gorilla Glue</t>
        </is>
      </c>
      <c r="L202" s="2" t="inlineStr">
        <is>
          <t>Ident A + Ident B + Foreign matter</t>
        </is>
      </c>
      <c r="M202" s="6" t="inlineStr">
        <is>
          <t>—</t>
        </is>
      </c>
      <c r="N202" s="2">
        <f>IFERROR(INDEX('CoQ Register'!$B:$B,MATCH("P060252|R",'CoQ Register'!$S:$S,0)),"—")</f>
        <v/>
      </c>
      <c r="O202" s="6" t="inlineStr">
        <is>
          <t>—</t>
        </is>
      </c>
      <c r="P202" s="2" t="inlineStr">
        <is>
          <t>11.05.2027</t>
        </is>
      </c>
      <c r="Q202" s="2" t="inlineStr">
        <is>
          <t>25.03.2026</t>
        </is>
      </c>
      <c r="R202" s="2" t="inlineStr">
        <is>
          <t>05.05.2026 (the issuance plan's basis: 11.05.2026)</t>
        </is>
      </c>
      <c r="S202" s="5">
        <f>IFERROR(INDEX('CoQ Register'!$D:$D,MATCH("P060252|R",'CoQ Register'!$S:$S,0)),"")</f>
        <v/>
      </c>
      <c r="T202" s="2" t="inlineStr">
        <is>
          <t>Conforms</t>
        </is>
      </c>
      <c r="U202" s="2" t="inlineStr">
        <is>
          <t>Conforms</t>
        </is>
      </c>
      <c r="V202" s="2" t="inlineStr">
        <is>
          <t>Conforms</t>
        </is>
      </c>
      <c r="W202" s="2" t="inlineStr">
        <is>
          <t>227-20-K-26, (11.09.2026) [FHM-K]</t>
        </is>
      </c>
      <c r="X202" s="2" t="inlineStr">
        <is>
          <t>227-20-K-26, (11.09.2026) [FHM-K]</t>
        </is>
      </c>
      <c r="Y202" s="2" t="inlineStr">
        <is>
          <t>— pending —</t>
        </is>
      </c>
      <c r="Z202" s="2" t="inlineStr">
        <is>
          <t>#8, #9, #11, #12 from the initial testing</t>
        </is>
      </c>
      <c r="AA202" s="2" t="inlineStr">
        <is>
          <t>P060252|R</t>
        </is>
      </c>
      <c r="AB202" s="8" t="inlineStr">
        <is>
          <t>not yet issuable — sampled 20.08.2026 — the series numbers it</t>
        </is>
      </c>
    </row>
    <row r="203">
      <c r="A203" s="2" t="inlineStr"/>
      <c r="B203" s="3" t="inlineStr">
        <is>
          <t>— at issue —</t>
        </is>
      </c>
      <c r="C203" s="6" t="inlineStr">
        <is>
          <t>no</t>
        </is>
      </c>
      <c r="D203" s="5">
        <f>IF(A203="","",IF(ISNUMBER(E203),MAX(DATE(2026,6,3),E203),DATE(2026,6,3)))</f>
        <v/>
      </c>
      <c r="E203" s="5" t="inlineStr">
        <is>
          <t>— at the retest sampling —</t>
        </is>
      </c>
      <c r="F203" s="5">
        <f>IFERROR(INDEX('Batch Dates'!$G:$G,MATCH(J203,'Batch Dates'!$C:$C,0)),IFERROR(INDEX('Batch Dates'!$G:$G,MATCH(I203,'Batch Dates'!$B:$B,0)),""))</f>
        <v/>
      </c>
      <c r="G203" s="2" t="inlineStr">
        <is>
          <t>legacy</t>
        </is>
      </c>
      <c r="H203" s="2" t="inlineStr">
        <is>
          <t>retest — Tranche 3 (sampled 19–21.08.2026)</t>
        </is>
      </c>
      <c r="I203" s="3" t="inlineStr">
        <is>
          <t>GP062501</t>
        </is>
      </c>
      <c r="J203" s="2" t="inlineStr">
        <is>
          <t>P050202</t>
        </is>
      </c>
      <c r="K203" s="2" t="inlineStr">
        <is>
          <t>Grape Pie</t>
        </is>
      </c>
      <c r="L203" s="2" t="inlineStr">
        <is>
          <t>Ident A + Ident B + Foreign matter</t>
        </is>
      </c>
      <c r="M203" s="6" t="inlineStr">
        <is>
          <t>—</t>
        </is>
      </c>
      <c r="N203" s="2">
        <f>IFERROR(INDEX('CoQ Register'!$B:$B,MATCH("P050202|R",'CoQ Register'!$S:$S,0)),"—")</f>
        <v/>
      </c>
      <c r="O203" s="6" t="inlineStr">
        <is>
          <t>—</t>
        </is>
      </c>
      <c r="P203" s="2" t="inlineStr">
        <is>
          <t>11.05.2027</t>
        </is>
      </c>
      <c r="Q203" s="2" t="inlineStr">
        <is>
          <t>15.09.2025 – 17.09.2025</t>
        </is>
      </c>
      <c r="R203" s="2" t="inlineStr">
        <is>
          <t>30.10.2025 – 07.11.2025 (the issuance plan's basis: 11.05.2026)</t>
        </is>
      </c>
      <c r="S203" s="5">
        <f>IFERROR(INDEX('CoQ Register'!$D:$D,MATCH("P050202|R",'CoQ Register'!$S:$S,0)),"")</f>
        <v/>
      </c>
      <c r="T203" s="2" t="inlineStr">
        <is>
          <t>Conforms</t>
        </is>
      </c>
      <c r="U203" s="2" t="inlineStr">
        <is>
          <t>Conforms</t>
        </is>
      </c>
      <c r="V203" s="2" t="inlineStr">
        <is>
          <t>Conforms</t>
        </is>
      </c>
      <c r="W203" s="2" t="inlineStr">
        <is>
          <t>227-18-K-26, (11.09.2026) [FHM-K]</t>
        </is>
      </c>
      <c r="X203" s="2" t="inlineStr">
        <is>
          <t>227-18-K-26, (11.09.2026) [FHM-K]</t>
        </is>
      </c>
      <c r="Y203" s="2" t="inlineStr">
        <is>
          <t>— pending —</t>
        </is>
      </c>
      <c r="Z203" s="2" t="inlineStr">
        <is>
          <t>#8, #9, #11, #12 from the initial testing</t>
        </is>
      </c>
      <c r="AA203" s="2" t="inlineStr">
        <is>
          <t>P050202|R</t>
        </is>
      </c>
      <c r="AB203" s="8" t="inlineStr">
        <is>
          <t>not yet issuable — sampled 20.08.2026 — the series numbers it</t>
        </is>
      </c>
    </row>
    <row r="204">
      <c r="A204" s="2" t="inlineStr"/>
      <c r="B204" s="3" t="inlineStr">
        <is>
          <t>— at issue —</t>
        </is>
      </c>
      <c r="C204" s="6" t="inlineStr">
        <is>
          <t>no</t>
        </is>
      </c>
      <c r="D204" s="5">
        <f>IF(A204="","",IF(ISNUMBER(E204),MAX(DATE(2026,6,3),E204),DATE(2026,6,3)))</f>
        <v/>
      </c>
      <c r="E204" s="5" t="inlineStr">
        <is>
          <t>— at the retest sampling —</t>
        </is>
      </c>
      <c r="F204" s="5">
        <f>IFERROR(INDEX('Batch Dates'!$G:$G,MATCH(J204,'Batch Dates'!$C:$C,0)),IFERROR(INDEX('Batch Dates'!$G:$G,MATCH(I204,'Batch Dates'!$B:$B,0)),""))</f>
        <v/>
      </c>
      <c r="G204" s="2" t="inlineStr">
        <is>
          <t>post-SOP</t>
        </is>
      </c>
      <c r="H204" s="2" t="inlineStr">
        <is>
          <t>retest — Tranche 3 (sampled 19–21.08.2026)</t>
        </is>
      </c>
      <c r="I204" s="3" t="inlineStr">
        <is>
          <t>JD012601＊</t>
        </is>
      </c>
      <c r="J204" s="2" t="inlineStr">
        <is>
          <t>P060312</t>
        </is>
      </c>
      <c r="K204" s="2" t="inlineStr">
        <is>
          <t>Jelly Donuts</t>
        </is>
      </c>
      <c r="L204" s="2" t="inlineStr">
        <is>
          <t>Ident A + Ident B + Foreign matter</t>
        </is>
      </c>
      <c r="M204" s="6" t="inlineStr">
        <is>
          <t>—</t>
        </is>
      </c>
      <c r="N204" s="2">
        <f>IFERROR(INDEX('CoQ Register'!$B:$B,MATCH("P060312|R",'CoQ Register'!$S:$S,0)),"—")</f>
        <v/>
      </c>
      <c r="O204" s="6" t="inlineStr">
        <is>
          <t>—</t>
        </is>
      </c>
      <c r="P204" s="2" t="inlineStr">
        <is>
          <t>11.05.2027</t>
        </is>
      </c>
      <c r="Q204" s="2" t="inlineStr">
        <is>
          <t>27.03.2026</t>
        </is>
      </c>
      <c r="R204" s="2" t="inlineStr">
        <is>
          <t>21.05.2026 (the issuance plan's basis: 11.05.2026)</t>
        </is>
      </c>
      <c r="S204" s="5">
        <f>IFERROR(INDEX('CoQ Register'!$D:$D,MATCH("P060312|R",'CoQ Register'!$S:$S,0)),"")</f>
        <v/>
      </c>
      <c r="T204" s="2" t="inlineStr">
        <is>
          <t>Conforms</t>
        </is>
      </c>
      <c r="U204" s="2" t="inlineStr">
        <is>
          <t>Conforms</t>
        </is>
      </c>
      <c r="V204" s="2" t="inlineStr">
        <is>
          <t>Conforms</t>
        </is>
      </c>
      <c r="W204" s="2" t="inlineStr">
        <is>
          <t>227-15-K-26, (11.09.2026) [FHM-K]</t>
        </is>
      </c>
      <c r="X204" s="2" t="inlineStr">
        <is>
          <t>227-15-K-26, (11.09.2026) [FHM-K]</t>
        </is>
      </c>
      <c r="Y204" s="2" t="inlineStr">
        <is>
          <t>— pending —</t>
        </is>
      </c>
      <c r="Z204" s="2" t="inlineStr">
        <is>
          <t>#8, #9, #11, #12 from the initial testing</t>
        </is>
      </c>
      <c r="AA204" s="2" t="inlineStr">
        <is>
          <t>P060312|R</t>
        </is>
      </c>
      <c r="AB204" s="8" t="inlineStr">
        <is>
          <t>not yet issuable — sampled 20.08.2026 — the series numbers it</t>
        </is>
      </c>
    </row>
    <row r="205">
      <c r="A205" s="2" t="inlineStr"/>
      <c r="B205" s="3" t="inlineStr">
        <is>
          <t>— at issue —</t>
        </is>
      </c>
      <c r="C205" s="6" t="inlineStr">
        <is>
          <t>no</t>
        </is>
      </c>
      <c r="D205" s="5">
        <f>IF(A205="","",IF(ISNUMBER(E205),MAX(DATE(2026,6,3),E205),DATE(2026,6,3)))</f>
        <v/>
      </c>
      <c r="E205" s="5" t="inlineStr">
        <is>
          <t>— at the retest sampling —</t>
        </is>
      </c>
      <c r="F205" s="5">
        <f>IFERROR(INDEX('Batch Dates'!$G:$G,MATCH(J205,'Batch Dates'!$C:$C,0)),IFERROR(INDEX('Batch Dates'!$G:$G,MATCH(I205,'Batch Dates'!$B:$B,0)),""))</f>
        <v/>
      </c>
      <c r="G205" s="2" t="inlineStr">
        <is>
          <t>post-SOP</t>
        </is>
      </c>
      <c r="H205" s="2" t="inlineStr">
        <is>
          <t>retest — Tranche 3 (sampled 19–21.08.2026)</t>
        </is>
      </c>
      <c r="I205" s="3" t="inlineStr">
        <is>
          <t>SCR012601*</t>
        </is>
      </c>
      <c r="J205" s="2" t="inlineStr">
        <is>
          <t>P060342</t>
        </is>
      </c>
      <c r="K205" s="2" t="inlineStr">
        <is>
          <t>Scrambler</t>
        </is>
      </c>
      <c r="L205" s="2" t="inlineStr">
        <is>
          <t>Ident A + Ident B + Foreign matter</t>
        </is>
      </c>
      <c r="M205" s="6" t="inlineStr">
        <is>
          <t>—</t>
        </is>
      </c>
      <c r="N205" s="2">
        <f>IFERROR(INDEX('CoQ Register'!$B:$B,MATCH("P060342|R",'CoQ Register'!$S:$S,0)),"—")</f>
        <v/>
      </c>
      <c r="O205" s="6" t="inlineStr">
        <is>
          <t>—</t>
        </is>
      </c>
      <c r="P205" s="2" t="inlineStr">
        <is>
          <t>25.05.2027</t>
        </is>
      </c>
      <c r="Q205" s="2" t="inlineStr">
        <is>
          <t>16.04.2026</t>
        </is>
      </c>
      <c r="R205" s="2" t="inlineStr">
        <is>
          <t>25.05.2026</t>
        </is>
      </c>
      <c r="S205" s="5">
        <f>IFERROR(INDEX('CoQ Register'!$D:$D,MATCH("P060342|R",'CoQ Register'!$S:$S,0)),"")</f>
        <v/>
      </c>
      <c r="T205" s="2" t="inlineStr">
        <is>
          <t>Conforms</t>
        </is>
      </c>
      <c r="U205" s="2" t="inlineStr">
        <is>
          <t>Conforms</t>
        </is>
      </c>
      <c r="V205" s="2" t="inlineStr">
        <is>
          <t>Conforms</t>
        </is>
      </c>
      <c r="W205" s="2" t="inlineStr">
        <is>
          <t>227-8-K-26, (11.09.2026) [FHM-K]</t>
        </is>
      </c>
      <c r="X205" s="2" t="inlineStr">
        <is>
          <t>227-8-K-26, (11.09.2026) [FHM-K]</t>
        </is>
      </c>
      <c r="Y205" s="2" t="inlineStr">
        <is>
          <t>— pending —</t>
        </is>
      </c>
      <c r="Z205" s="2" t="inlineStr">
        <is>
          <t>#8, #9, #11, #12 from the initial testing</t>
        </is>
      </c>
      <c r="AA205" s="2" t="inlineStr">
        <is>
          <t>P060342|R</t>
        </is>
      </c>
      <c r="AB205" s="8" t="inlineStr">
        <is>
          <t>not yet issuable — sampled 19.08.2026 — the series numbers it</t>
        </is>
      </c>
    </row>
    <row r="206">
      <c r="A206" s="2" t="inlineStr"/>
      <c r="B206" s="3" t="inlineStr">
        <is>
          <t>— at issue —</t>
        </is>
      </c>
      <c r="C206" s="6" t="inlineStr">
        <is>
          <t>no</t>
        </is>
      </c>
      <c r="D206" s="5">
        <f>IF(A206="","",IF(ISNUMBER(E206),MAX(DATE(2026,6,3),E206),DATE(2026,6,3)))</f>
        <v/>
      </c>
      <c r="E206" s="5" t="inlineStr">
        <is>
          <t>— at the retest sampling —</t>
        </is>
      </c>
      <c r="F206" s="5">
        <f>IFERROR(INDEX('Batch Dates'!$G:$G,MATCH(J206,'Batch Dates'!$C:$C,0)),IFERROR(INDEX('Batch Dates'!$G:$G,MATCH(I206,'Batch Dates'!$B:$B,0)),""))</f>
        <v/>
      </c>
      <c r="G206" s="2" t="inlineStr">
        <is>
          <t>post-SOP</t>
        </is>
      </c>
      <c r="H206" s="2" t="inlineStr">
        <is>
          <t>retest — Tranche 3 (sampled 19–21.08.2026)</t>
        </is>
      </c>
      <c r="I206" s="3" t="inlineStr">
        <is>
          <t>FB012603</t>
        </is>
      </c>
      <c r="J206" s="2" t="inlineStr">
        <is>
          <t>P060432</t>
        </is>
      </c>
      <c r="K206" s="2" t="inlineStr">
        <is>
          <t>Fat Bastard</t>
        </is>
      </c>
      <c r="L206" s="2" t="inlineStr">
        <is>
          <t>Ident A + Ident B + Foreign matter</t>
        </is>
      </c>
      <c r="M206" s="6" t="inlineStr">
        <is>
          <t>—</t>
        </is>
      </c>
      <c r="N206" s="2">
        <f>IFERROR(INDEX('CoQ Register'!$B:$B,MATCH("P060432|R",'CoQ Register'!$S:$S,0)),"—")</f>
        <v/>
      </c>
      <c r="O206" s="6" t="inlineStr">
        <is>
          <t>—</t>
        </is>
      </c>
      <c r="P206" s="2" t="inlineStr">
        <is>
          <t>30.06.2027</t>
        </is>
      </c>
      <c r="Q206" s="2" t="inlineStr">
        <is>
          <t>04.05.2026</t>
        </is>
      </c>
      <c r="R206" s="2" t="inlineStr">
        <is>
          <t>15.06.2026 (the issuance plan's basis: 30.06.2026)</t>
        </is>
      </c>
      <c r="S206" s="5">
        <f>IFERROR(INDEX('CoQ Register'!$D:$D,MATCH("P060432|R",'CoQ Register'!$S:$S,0)),"")</f>
        <v/>
      </c>
      <c r="T206" s="2" t="inlineStr">
        <is>
          <t>CNP ППК26112</t>
        </is>
      </c>
      <c r="U206" s="2" t="inlineStr">
        <is>
          <t>CNP ППК26112</t>
        </is>
      </c>
      <c r="V206" s="2" t="inlineStr">
        <is>
          <t>Conforms</t>
        </is>
      </c>
      <c r="W206" s="2" t="inlineStr">
        <is>
          <t>227-24-K-26, (11.09.2026) [FHM-K]</t>
        </is>
      </c>
      <c r="X206" s="2" t="inlineStr">
        <is>
          <t>227-24-K-26, (11.09.2026) [FHM-K]</t>
        </is>
      </c>
      <c r="Y206" s="2" t="inlineStr">
        <is>
          <t>— pending —</t>
        </is>
      </c>
      <c r="Z206" s="2" t="inlineStr">
        <is>
          <t>#8, #9, #11, #12 from the initial testing</t>
        </is>
      </c>
      <c r="AA206" s="2" t="inlineStr">
        <is>
          <t>P060432|R</t>
        </is>
      </c>
      <c r="AB206" s="8" t="inlineStr">
        <is>
          <t>not yet issuable — sampled 21.08.2026 — the series numbers it</t>
        </is>
      </c>
    </row>
    <row r="207">
      <c r="A207" s="2" t="inlineStr"/>
      <c r="B207" s="3" t="inlineStr">
        <is>
          <t>— at issue —</t>
        </is>
      </c>
      <c r="C207" s="6" t="inlineStr">
        <is>
          <t>no</t>
        </is>
      </c>
      <c r="D207" s="5">
        <f>IF(A207="","",IF(ISNUMBER(E207),MAX(DATE(2026,6,3),E207),DATE(2026,6,3)))</f>
        <v/>
      </c>
      <c r="E207" s="5" t="inlineStr">
        <is>
          <t>— at the retest sampling —</t>
        </is>
      </c>
      <c r="F207" s="5">
        <f>IFERROR(INDEX('Batch Dates'!$G:$G,MATCH(J207,'Batch Dates'!$C:$C,0)),IFERROR(INDEX('Batch Dates'!$G:$G,MATCH(I207,'Batch Dates'!$B:$B,0)),""))</f>
        <v/>
      </c>
      <c r="G207" s="2" t="inlineStr">
        <is>
          <t>post-SOP</t>
        </is>
      </c>
      <c r="H207" s="2" t="inlineStr">
        <is>
          <t>retest — Tranche 3 (sampled 19–21.08.2026)</t>
        </is>
      </c>
      <c r="I207" s="3" t="inlineStr">
        <is>
          <t>FB012603V</t>
        </is>
      </c>
      <c r="J207" s="2" t="inlineStr">
        <is>
          <t>P060392</t>
        </is>
      </c>
      <c r="K207" s="2" t="inlineStr">
        <is>
          <t>Fat Bastard</t>
        </is>
      </c>
      <c r="L207" s="2" t="inlineStr">
        <is>
          <t>Ident A + Ident B + Foreign matter</t>
        </is>
      </c>
      <c r="M207" s="6" t="inlineStr">
        <is>
          <t>—</t>
        </is>
      </c>
      <c r="N207" s="2">
        <f>IFERROR(INDEX('CoQ Register'!$B:$B,MATCH("P060392|R",'CoQ Register'!$S:$S,0)),"—")</f>
        <v/>
      </c>
      <c r="O207" s="6" t="inlineStr">
        <is>
          <t>—</t>
        </is>
      </c>
      <c r="P207" s="2" t="inlineStr">
        <is>
          <t>30.06.2027</t>
        </is>
      </c>
      <c r="Q207" s="2" t="inlineStr">
        <is>
          <t>29.04.2026</t>
        </is>
      </c>
      <c r="R207" s="2" t="inlineStr">
        <is>
          <t>23.05.2026 (the issuance plan's basis: 30.06.2026)</t>
        </is>
      </c>
      <c r="S207" s="5">
        <f>IFERROR(INDEX('CoQ Register'!$D:$D,MATCH("P060392|R",'CoQ Register'!$S:$S,0)),"")</f>
        <v/>
      </c>
      <c r="T207" s="2" t="inlineStr">
        <is>
          <t>CNP ППК26110</t>
        </is>
      </c>
      <c r="U207" s="2" t="inlineStr">
        <is>
          <t>CNP ППК26110</t>
        </is>
      </c>
      <c r="V207" s="2" t="inlineStr">
        <is>
          <t>Conforms</t>
        </is>
      </c>
      <c r="W207" s="2" t="inlineStr">
        <is>
          <t>227-23-K-26, (11.09.2026) [FHM-K]</t>
        </is>
      </c>
      <c r="X207" s="2" t="inlineStr">
        <is>
          <t>227-23-K-26, (11.09.2026) [FHM-K]</t>
        </is>
      </c>
      <c r="Y207" s="2" t="inlineStr">
        <is>
          <t>— pending —</t>
        </is>
      </c>
      <c r="Z207" s="2" t="inlineStr">
        <is>
          <t>#8, #9, #11, #12 from the initial testing</t>
        </is>
      </c>
      <c r="AA207" s="2" t="inlineStr">
        <is>
          <t>P060392|R</t>
        </is>
      </c>
      <c r="AB207" s="8" t="inlineStr">
        <is>
          <t>not yet issuable — sampled 21.08.2026 — the series numbers it</t>
        </is>
      </c>
    </row>
    <row r="208">
      <c r="A208" s="2" t="inlineStr"/>
      <c r="B208" s="3" t="inlineStr">
        <is>
          <t>— at issue —</t>
        </is>
      </c>
      <c r="C208" s="6" t="inlineStr">
        <is>
          <t>no</t>
        </is>
      </c>
      <c r="D208" s="5">
        <f>IF(A208="","",IF(ISNUMBER(E208),MAX(DATE(2026,6,3),E208),DATE(2026,6,3)))</f>
        <v/>
      </c>
      <c r="E208" s="5" t="inlineStr">
        <is>
          <t>— at the retest sampling —</t>
        </is>
      </c>
      <c r="F208" s="5">
        <f>IFERROR(INDEX('Batch Dates'!$G:$G,MATCH(J208,'Batch Dates'!$C:$C,0)),IFERROR(INDEX('Batch Dates'!$G:$G,MATCH(I208,'Batch Dates'!$B:$B,0)),""))</f>
        <v/>
      </c>
      <c r="G208" s="2" t="inlineStr">
        <is>
          <t>post-SOP</t>
        </is>
      </c>
      <c r="H208" s="2" t="inlineStr">
        <is>
          <t>retest — Tranche 3 (sampled 19–21.08.2026)</t>
        </is>
      </c>
      <c r="I208" s="3" t="inlineStr">
        <is>
          <t>SCR022601</t>
        </is>
      </c>
      <c r="J208" s="2" t="inlineStr">
        <is>
          <t>P060442</t>
        </is>
      </c>
      <c r="K208" s="2" t="inlineStr">
        <is>
          <t>Scrambler</t>
        </is>
      </c>
      <c r="L208" s="2" t="inlineStr">
        <is>
          <t>Ident A + Ident B + Foreign matter</t>
        </is>
      </c>
      <c r="M208" s="6" t="inlineStr">
        <is>
          <t>—</t>
        </is>
      </c>
      <c r="N208" s="2">
        <f>IFERROR(INDEX('CoQ Register'!$B:$B,MATCH("P060442|R",'CoQ Register'!$S:$S,0)),"—")</f>
        <v/>
      </c>
      <c r="O208" s="6" t="inlineStr">
        <is>
          <t>—</t>
        </is>
      </c>
      <c r="P208" s="2" t="inlineStr">
        <is>
          <t>06.07.2027</t>
        </is>
      </c>
      <c r="Q208" s="2" t="inlineStr">
        <is>
          <t>13.05.2026</t>
        </is>
      </c>
      <c r="R208" s="2" t="inlineStr">
        <is>
          <t>18.06.2026 (the issuance plan's basis: 06.07.2026)</t>
        </is>
      </c>
      <c r="S208" s="5">
        <f>IFERROR(INDEX('CoQ Register'!$D:$D,MATCH("P060442|R",'CoQ Register'!$S:$S,0)),"")</f>
        <v/>
      </c>
      <c r="T208" s="2" t="inlineStr">
        <is>
          <t>CNP ППК26116</t>
        </is>
      </c>
      <c r="U208" s="2" t="inlineStr">
        <is>
          <t>CNP ППК26116</t>
        </is>
      </c>
      <c r="V208" s="2" t="inlineStr">
        <is>
          <t>Conforms</t>
        </is>
      </c>
      <c r="W208" s="2" t="inlineStr">
        <is>
          <t>227-7-K-26, (11.09.2026) [FHM-K]</t>
        </is>
      </c>
      <c r="X208" s="2" t="inlineStr">
        <is>
          <t>227-7-K-26, (11.09.2026) [FHM-K]</t>
        </is>
      </c>
      <c r="Y208" s="2" t="inlineStr">
        <is>
          <t>— pending —</t>
        </is>
      </c>
      <c r="Z208" s="2" t="inlineStr">
        <is>
          <t>#8, #9, #11, #12 from the initial testing</t>
        </is>
      </c>
      <c r="AA208" s="2" t="inlineStr">
        <is>
          <t>P060442|R</t>
        </is>
      </c>
      <c r="AB208" s="8" t="inlineStr">
        <is>
          <t>not yet issuable — sampled 19.08.2026 — the series numbers it</t>
        </is>
      </c>
    </row>
    <row r="209"/>
    <row r="210" ht="110" customHeight="1">
      <c r="A210" s="9" t="inlineStr">
        <is>
          <t>THE STANDING REGISTER OF INTERNAL CERTIFICATES OF ANALYSIS. Owner, 20.09.2026: "there should be one iCOA per COQ, retest and initial" — ONE PER CERTIFICATE OF QUALITY, so the series is 172 and matches the CoQ series one for one. This REPLACES the ruling of 10.09.2026 ("the register encompasses every internal certificate that exists or ever will" — one per testing round, whether or not a certificate of quality followed), under which the series was 215. The 43 rows withdrawn were every non-campaign retest and nothing else: all 89 release rounds and all 83 campaign retests were already cited by a certificate of quality, and all 43 of the rest by none, so the two descriptions pick out the same set. None of the 43 was ever printed — the issued fleet was 172 before this change and is 172 after. They were not the old in-house Certificates of Analysis, which are the 41 QCCoA 001/001v02 scans of 19.03.2025–20.02.2026 in _IN-HOUSE_PP, share no testing date with any of the 43, and are superseded through the CoQ Register's own "Supersedes (old in-house CoA)" column. 31 of the 43 were rounds raised by an external laboratory's certificate arriving on 31.08 or 01.09.2026, which is why their "retest 1" was dated AFTER the Tranche 3 "retest 2" of 19–21.08.2026 on the same lot, in 32 rows; that contradiction is gone with them, as are the 5 rows that gave one testing round several certificates under different labels. Each certificate carries identification A, identification B and foreign matter ALWAYS (performed in house, on the first day of packaging for the release round and at its own sampling for a retest), plus any determination whose only result in that round is an in-house record. Codes iCoA-PP_26-nnn, one series for the year of issue, in the order of issue: by issue date, then by when the work was done, then by batch — 03.06.2026 for anything that would otherwise predate the specification SOP, so the backlog shares one date and orders by packaging, as the CoQ series does. THE ROWS, THE NUMBER AND THE CODE ARE NOT COMPUTED HERE (11.09.2026): this sheet RENDERS icoa_register.py, which is the series, and writes its numbers as literal values. Two things were being decided twice and disagreed. The number used to be a formula over this sheet's own row order, so the first physical row took iCoA-PP_26-001 while its own certificate cited iCoA-PP_26-066 and none of the 49 comparable rows agreed; and the ROW SET was this sheet's issuance planning, so it printed 60 of the series' 95 codes, showed no retest certificate at all where the series issues 26 (its retest rows are one per lot per tranche — a lot with four retest rounds had one row standing for four certificates), and withheld nine more under "where a CNP certificate reports all three, no iCoA is needed", the note of 05.09.2026 that the ruling of 10.09.2026 replaced: the in-house laboratory performs those three whatever an external laboratory also reports, so the certificate exists and is registered. Which document the CERTIFICATE OF QUALITY cites for them is a separate question and is unchanged. Rows below the series are lots it does not carry — a retest that is planned but not yet sampled, a lot with no production record, and the starred lots, whose star batch_id.batch_key deliberately keeps because whether GG012601＊ is GG012601 is the Head of QC's to rule. They are unnumbered and say why. Inserting a row renumbers nothing. verify_workbook.py compares sheet and series on every run. FORMULAS remaining: a release round's testing date and packaging-complete date are looked up on Batch Dates by P batch (else by the batch as listed) and its issue date is the later of that testing date and 03.06.2026; a RETEST is dated at its own sampling day and issued on its campaign's day (sampling_dates.py, owner 15.09.2026: Tranche 1 sampled 21–24.07.2026 and issued 27.07.2026, Tranche 2 sampled 12–14.08.2026 and issued 17.08.2026, Tranche 3 sampled 19–21.08.2026 and issued 24.08.2026, each batch on the day its certificate number falls), which no sheet holds, so the series' dates are written as literals rather than guessed by a formula. A round whose packaging date the list does not hold is numbered all the same (owner, 15.09.2026: identification A, B and foreign matter are performed on every batch) and says its testing date is not stated. CoQ (register) is looked up on the CoQ Register by Key — the tracker's in-house cells cite this register by Key, so they follow it. Working days are Monday to Friday; public holidays are not applied.</t>
        </is>
      </c>
    </row>
  </sheetData>
  <mergeCells count="1">
    <mergeCell ref="A210:AB210"/>
  </mergeCell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AC17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9" customWidth="1" min="3" max="3"/>
    <col width="18" customWidth="1" min="4" max="4"/>
    <col width="14" customWidth="1" min="5" max="5"/>
    <col width="16" customWidth="1" min="6" max="6"/>
    <col width="22" customWidth="1" min="7" max="7"/>
    <col width="16" customWidth="1" min="8" max="8"/>
    <col width="14" customWidth="1" min="9" max="9"/>
    <col width="10" customWidth="1" min="10" max="10"/>
    <col width="20" customWidth="1" min="11" max="11"/>
    <col width="16" customWidth="1" min="12" max="12"/>
    <col width="12" customWidth="1" min="13" max="13"/>
    <col width="20" customWidth="1" min="14" max="14"/>
    <col width="34" customWidth="1" min="15" max="15"/>
    <col width="26" customWidth="1" min="16" max="16"/>
    <col width="26" customWidth="1" min="17" max="17"/>
    <col width="22" customWidth="1" min="18" max="18"/>
    <col width="14" customWidth="1" min="19" max="19"/>
    <col width="64" customWidth="1" min="20" max="20"/>
    <col width="20" customWidth="1" min="21" max="21"/>
    <col width="11" customWidth="1" min="22" max="22"/>
    <col width="20" customWidth="1" min="23" max="23"/>
    <col width="20" customWidth="1" min="24" max="24"/>
    <col width="16" customWidth="1" min="25" max="25"/>
    <col width="18" customWidth="1" min="26" max="26"/>
    <col width="22" customWidth="1" min="27" max="27"/>
    <col width="34" customWidth="1" min="28" max="28"/>
    <col width="36" customWidth="1" min="29" max="29"/>
  </cols>
  <sheetData>
    <row r="1" ht="22" customHeight="1">
      <c r="A1" s="1" t="inlineStr">
        <is>
          <t>No.</t>
        </is>
      </c>
      <c r="B1" s="1" t="inlineStr">
        <is>
          <t>CoQ code</t>
        </is>
      </c>
      <c r="C1" s="1" t="inlineStr">
        <is>
          <t>Issuable</t>
        </is>
      </c>
      <c r="D1" s="1" t="inlineStr">
        <is>
          <t>Issue date (planned)</t>
        </is>
      </c>
      <c r="E1" s="1" t="inlineStr">
        <is>
          <t>Rule date</t>
        </is>
      </c>
      <c r="F1" s="1" t="inlineStr">
        <is>
          <t>Latest eCoA cited (date)</t>
        </is>
      </c>
      <c r="G1" s="1" t="inlineStr">
        <is>
          <t>Latest eCoA cited (code)</t>
        </is>
      </c>
      <c r="H1" s="1" t="inlineStr">
        <is>
          <t>iCoA (register)</t>
        </is>
      </c>
      <c r="I1" s="1" t="inlineStr">
        <is>
          <t>iCoA issue date</t>
        </is>
      </c>
      <c r="J1" s="1" t="inlineStr">
        <is>
          <t>Group</t>
        </is>
      </c>
      <c r="K1" s="1" t="inlineStr">
        <is>
          <t>Series</t>
        </is>
      </c>
      <c r="L1" s="1" t="inlineStr">
        <is>
          <t>CU Batch</t>
        </is>
      </c>
      <c r="M1" s="1" t="inlineStr">
        <is>
          <t>P Batch</t>
        </is>
      </c>
      <c r="N1" s="1" t="inlineStr">
        <is>
          <t>Strain</t>
        </is>
      </c>
      <c r="O1" s="1" t="inlineStr">
        <is>
          <t>Ident C — eCoA (Total THC)</t>
        </is>
      </c>
      <c r="P1" s="1" t="inlineStr">
        <is>
          <t>CNP references</t>
        </is>
      </c>
      <c r="Q1" s="1" t="inlineStr">
        <is>
          <t>Supersedes (old in-house CoA)</t>
        </is>
      </c>
      <c r="R1" s="1" t="inlineStr">
        <is>
          <t>Plan reference (31.08.2026)</t>
        </is>
      </c>
      <c r="S1" s="1" t="inlineStr">
        <is>
          <t>Key</t>
        </is>
      </c>
      <c r="T1" s="1" t="inlineStr">
        <is>
          <t>Status</t>
        </is>
      </c>
      <c r="U1" s="1" t="inlineStr">
        <is>
          <t>Supersedes (initial CoQ)</t>
        </is>
      </c>
      <c r="V1" s="1" t="inlineStr">
        <is>
          <t>Total THC (%)</t>
        </is>
      </c>
      <c r="W1" s="1" t="inlineStr">
        <is>
          <t>THC certificate</t>
        </is>
      </c>
      <c r="X1" s="1" t="inlineStr">
        <is>
          <t>Grade nominal ± tol. (numeral)</t>
        </is>
      </c>
      <c r="Y1" s="1" t="inlineStr">
        <is>
          <t>Grade window</t>
        </is>
      </c>
      <c r="Z1" s="1" t="inlineStr">
        <is>
          <t>Product code</t>
        </is>
      </c>
      <c r="AA1" s="1" t="inlineStr">
        <is>
          <t>Specification code</t>
        </is>
      </c>
      <c r="AB1" s="1" t="inlineStr">
        <is>
          <t>Specification status</t>
        </is>
      </c>
      <c r="AC1" s="1" t="inlineStr">
        <is>
          <t>Grading note</t>
        </is>
      </c>
    </row>
    <row r="2">
      <c r="A2" s="2">
        <f>IF(OR(C2="yes",C2="allocated",C2="ruled"),COUNT(A$1:A1)+1,"")</f>
        <v/>
      </c>
      <c r="B2" s="3">
        <f>IF(A2&lt;&gt;"","CoQ-PP_26-"&amp;TEXT(A2,"000"),"— at issue —")</f>
        <v/>
      </c>
      <c r="C2" s="4" t="inlineStr">
        <is>
          <t>yes</t>
        </is>
      </c>
      <c r="D2" s="5">
        <f>IF(OR(A2="",C2="allocated",C2="ruled"),"",MAX(E2,IF(ISNUMBER(I2),I2,0),IFERROR(IF(ISNUMBER(INDEX('iCoA Register'!$F:$F,MATCH(S2,'iCoA Register'!$AA:$AA,0))),INDEX('iCoA Register'!$F:$F,MATCH(S2,'iCoA Register'!$AA:$AA,0)),0),0)))</f>
        <v/>
      </c>
      <c r="E2" s="5">
        <f>IF(ISNUMBER(F2),MAX(DATE(2026,6,6),F2+7),DATE(2026,6,6))</f>
        <v/>
      </c>
      <c r="F2" s="5" t="n">
        <v>45715</v>
      </c>
      <c r="G2" s="2" t="inlineStr">
        <is>
          <t>750-2025</t>
        </is>
      </c>
      <c r="H2" s="2">
        <f>IFERROR(INDEX('iCoA Register'!$B:$B,MATCH("CJ1024|I",'iCoA Register'!$AA:$AA,0)),"—")</f>
        <v/>
      </c>
      <c r="I2" s="5">
        <f>IFERROR(INDEX('iCoA Register'!$D:$D,MATCH("CJ1024|I",'iCoA Register'!$AA:$AA,0)),"")</f>
        <v/>
      </c>
      <c r="J2" s="2" t="inlineStr">
        <is>
          <t>legacy</t>
        </is>
      </c>
      <c r="K2" s="2" t="inlineStr">
        <is>
          <t>initial release</t>
        </is>
      </c>
      <c r="L2" s="3" t="inlineStr">
        <is>
          <t>CJ1024</t>
        </is>
      </c>
      <c r="M2" s="2" t="inlineStr">
        <is>
          <t>N/A — no P batch assigned</t>
        </is>
      </c>
      <c r="N2" s="2" t="inlineStr">
        <is>
          <t>Cap Junky</t>
        </is>
      </c>
      <c r="O2" s="2" t="inlineStr">
        <is>
          <t>ППК25052, (26.02.2025) [CNP]</t>
        </is>
      </c>
      <c r="P2" s="6" t="inlineStr">
        <is>
          <t>—</t>
        </is>
      </c>
      <c r="Q2" s="2" t="inlineStr">
        <is>
          <t>—</t>
        </is>
      </c>
      <c r="R2" s="2" t="inlineStr">
        <is>
          <t>(assigned on issue)</t>
        </is>
      </c>
      <c r="S2" s="2" t="inlineStr">
        <is>
          <t>CJ1024|I</t>
        </is>
      </c>
      <c r="T2" s="7" t="inlineStr">
        <is>
          <t>registered — legacy series, issued 06.06.2026</t>
        </is>
      </c>
      <c r="U2" s="2" t="inlineStr">
        <is>
          <t>n/a — initial certificate</t>
        </is>
      </c>
      <c r="V2" s="10" t="n">
        <v>23</v>
      </c>
      <c r="W2" s="2" t="inlineStr">
        <is>
          <t>ППК25052</t>
        </is>
      </c>
      <c r="X2" s="2" t="inlineStr">
        <is>
          <t>24.00 ± 2.40 (II)</t>
        </is>
      </c>
      <c r="Y2" s="2" t="inlineStr">
        <is>
          <t>21.60 – 26.39 %</t>
        </is>
      </c>
      <c r="Z2" s="2" t="inlineStr">
        <is>
          <t>CJ_THC24 : CBD1</t>
        </is>
      </c>
      <c r="AA2" s="2" t="inlineStr">
        <is>
          <t>QCSP_001_CJ-II_v.01</t>
        </is>
      </c>
      <c r="AB2" s="8" t="inlineStr">
        <is>
          <t>for review — replaces the issued QCSP_001_CJ-II_v.01 (was CJ_THC26 : CBD1, 25.01 – 26.99 %); now CJ_THC24 : CBD1 21.60 – 26.39 %</t>
        </is>
      </c>
      <c r="AC2" s="11" t="inlineStr"/>
    </row>
    <row r="3">
      <c r="A3" s="2">
        <f>IF(OR(C3="yes",C3="allocated",C3="ruled"),COUNT(A$1:A2)+1,"")</f>
        <v/>
      </c>
      <c r="B3" s="3">
        <f>IF(A3&lt;&gt;"","CoQ-PP_26-"&amp;TEXT(A3,"000"),"— at issue —")</f>
        <v/>
      </c>
      <c r="C3" s="4" t="inlineStr">
        <is>
          <t>yes</t>
        </is>
      </c>
      <c r="D3" s="5">
        <f>IF(OR(A3="",C3="allocated",C3="ruled"),"",MAX(E3,IF(ISNUMBER(I3),I3,0),IFERROR(IF(ISNUMBER(INDEX('iCoA Register'!$F:$F,MATCH(S3,'iCoA Register'!$AA:$AA,0))),INDEX('iCoA Register'!$F:$F,MATCH(S3,'iCoA Register'!$AA:$AA,0)),0),0)))</f>
        <v/>
      </c>
      <c r="E3" s="5">
        <f>IF(ISNUMBER(F3),MAX(DATE(2026,6,6),F3+7),DATE(2026,6,6))</f>
        <v/>
      </c>
      <c r="F3" s="5" t="n">
        <v>45715</v>
      </c>
      <c r="G3" s="2" t="inlineStr">
        <is>
          <t>751-2025</t>
        </is>
      </c>
      <c r="H3" s="2">
        <f>IFERROR(INDEX('iCoA Register'!$B:$B,MATCH("BSS1024|I",'iCoA Register'!$AA:$AA,0)),"—")</f>
        <v/>
      </c>
      <c r="I3" s="5">
        <f>IFERROR(INDEX('iCoA Register'!$D:$D,MATCH("BSS1024|I",'iCoA Register'!$AA:$AA,0)),"")</f>
        <v/>
      </c>
      <c r="J3" s="2" t="inlineStr">
        <is>
          <t>legacy</t>
        </is>
      </c>
      <c r="K3" s="2" t="inlineStr">
        <is>
          <t>initial release</t>
        </is>
      </c>
      <c r="L3" s="3" t="inlineStr">
        <is>
          <t>BSS1024</t>
        </is>
      </c>
      <c r="M3" s="2" t="inlineStr">
        <is>
          <t>N/A — no P batch assigned</t>
        </is>
      </c>
      <c r="N3" s="2" t="inlineStr">
        <is>
          <t>Blue Sunset Sherbet</t>
        </is>
      </c>
      <c r="O3" s="2" t="inlineStr">
        <is>
          <t>ППК25051, (26.02.2025) [CNP]</t>
        </is>
      </c>
      <c r="P3" s="6" t="inlineStr">
        <is>
          <t>—</t>
        </is>
      </c>
      <c r="Q3" s="2" t="inlineStr">
        <is>
          <t>—</t>
        </is>
      </c>
      <c r="R3" s="2" t="inlineStr">
        <is>
          <t>CoQ-PP-2025-0001</t>
        </is>
      </c>
      <c r="S3" s="2" t="inlineStr">
        <is>
          <t>BSS1024|I</t>
        </is>
      </c>
      <c r="T3" s="7" t="inlineStr">
        <is>
          <t>registered — legacy series, issued 06.06.2026</t>
        </is>
      </c>
      <c r="U3" s="2" t="inlineStr">
        <is>
          <t>n/a — initial certificate</t>
        </is>
      </c>
      <c r="V3" s="10" t="n">
        <v>21.03</v>
      </c>
      <c r="W3" s="2" t="inlineStr">
        <is>
          <t>ППК25051</t>
        </is>
      </c>
      <c r="X3" s="2" t="inlineStr">
        <is>
          <t>20.00 ± 1.89 (III)</t>
        </is>
      </c>
      <c r="Y3" s="2" t="inlineStr">
        <is>
          <t>18.11 – 21.88 %</t>
        </is>
      </c>
      <c r="Z3" s="2" t="inlineStr">
        <is>
          <t>BSS_THC20 : CBD1</t>
        </is>
      </c>
      <c r="AA3" s="2" t="inlineStr">
        <is>
          <t>QCSP_001_BSS-III_v.01</t>
        </is>
      </c>
      <c r="AB3" s="11" t="inlineStr">
        <is>
          <t>for review — new</t>
        </is>
      </c>
      <c r="AC3" s="11" t="inlineStr"/>
    </row>
    <row r="4">
      <c r="A4" s="2">
        <f>IF(OR(C4="yes",C4="allocated",C4="ruled"),COUNT(A$1:A3)+1,"")</f>
        <v/>
      </c>
      <c r="B4" s="3">
        <f>IF(A4&lt;&gt;"","CoQ-PP_26-"&amp;TEXT(A4,"000"),"— at issue —")</f>
        <v/>
      </c>
      <c r="C4" s="4" t="inlineStr">
        <is>
          <t>yes</t>
        </is>
      </c>
      <c r="D4" s="5">
        <f>IF(OR(A4="",C4="allocated",C4="ruled"),"",MAX(E4,IF(ISNUMBER(I4),I4,0),IFERROR(IF(ISNUMBER(INDEX('iCoA Register'!$F:$F,MATCH(S4,'iCoA Register'!$AA:$AA,0))),INDEX('iCoA Register'!$F:$F,MATCH(S4,'iCoA Register'!$AA:$AA,0)),0),0)))</f>
        <v/>
      </c>
      <c r="E4" s="5">
        <f>IF(ISNUMBER(F4),MAX(DATE(2026,6,6),F4+7),DATE(2026,6,6))</f>
        <v/>
      </c>
      <c r="F4" s="5" t="n">
        <v>45715</v>
      </c>
      <c r="G4" s="2" t="inlineStr">
        <is>
          <t>752-2025</t>
        </is>
      </c>
      <c r="H4" s="2">
        <f>IFERROR(INDEX('iCoA Register'!$B:$B,MATCH("BG1024|I",'iCoA Register'!$AA:$AA,0)),"—")</f>
        <v/>
      </c>
      <c r="I4" s="5">
        <f>IFERROR(INDEX('iCoA Register'!$D:$D,MATCH("BG1024|I",'iCoA Register'!$AA:$AA,0)),"")</f>
        <v/>
      </c>
      <c r="J4" s="2" t="inlineStr">
        <is>
          <t>legacy</t>
        </is>
      </c>
      <c r="K4" s="2" t="inlineStr">
        <is>
          <t>initial release</t>
        </is>
      </c>
      <c r="L4" s="3" t="inlineStr">
        <is>
          <t>BG1024</t>
        </is>
      </c>
      <c r="M4" s="2" t="inlineStr">
        <is>
          <t>N/A — no P batch assigned</t>
        </is>
      </c>
      <c r="N4" s="2" t="inlineStr">
        <is>
          <t>Blue Gelato</t>
        </is>
      </c>
      <c r="O4" s="2" t="inlineStr">
        <is>
          <t>ППК25050, (26.02.2025) [CNP]</t>
        </is>
      </c>
      <c r="P4" s="6" t="inlineStr">
        <is>
          <t>—</t>
        </is>
      </c>
      <c r="Q4" s="2" t="inlineStr">
        <is>
          <t>—</t>
        </is>
      </c>
      <c r="R4" s="2" t="inlineStr">
        <is>
          <t>CoQ-PP-2025-0002</t>
        </is>
      </c>
      <c r="S4" s="2" t="inlineStr">
        <is>
          <t>BG1024|I</t>
        </is>
      </c>
      <c r="T4" s="7" t="inlineStr">
        <is>
          <t>registered — legacy series, issued 06.06.2026</t>
        </is>
      </c>
      <c r="U4" s="2" t="inlineStr">
        <is>
          <t>n/a — initial certificate</t>
        </is>
      </c>
      <c r="V4" s="10" t="n">
        <v>21.8</v>
      </c>
      <c r="W4" s="2" t="inlineStr">
        <is>
          <t>ППК25050</t>
        </is>
      </c>
      <c r="X4" s="2" t="inlineStr">
        <is>
          <t>22.00 ± 2.20 (II)</t>
        </is>
      </c>
      <c r="Y4" s="2" t="inlineStr">
        <is>
          <t>19.80 – 24.19 %</t>
        </is>
      </c>
      <c r="Z4" s="2" t="inlineStr">
        <is>
          <t>BG_THC22 : CBD1</t>
        </is>
      </c>
      <c r="AA4" s="2" t="inlineStr">
        <is>
          <t>QCSP_001_BG-II_v.01</t>
        </is>
      </c>
      <c r="AB4" s="11" t="inlineStr">
        <is>
          <t>for review — new</t>
        </is>
      </c>
      <c r="AC4" s="11" t="inlineStr"/>
    </row>
    <row r="5">
      <c r="A5" s="2">
        <f>IF(OR(C5="yes",C5="allocated",C5="ruled"),COUNT(A$1:A4)+1,"")</f>
        <v/>
      </c>
      <c r="B5" s="3">
        <f>IF(A5&lt;&gt;"","CoQ-PP_26-"&amp;TEXT(A5,"000"),"— at issue —")</f>
        <v/>
      </c>
      <c r="C5" s="4" t="inlineStr">
        <is>
          <t>yes</t>
        </is>
      </c>
      <c r="D5" s="5">
        <f>IF(OR(A5="",C5="allocated",C5="ruled"),"",MAX(E5,IF(ISNUMBER(I5),I5,0),IFERROR(IF(ISNUMBER(INDEX('iCoA Register'!$F:$F,MATCH(S5,'iCoA Register'!$AA:$AA,0))),INDEX('iCoA Register'!$F:$F,MATCH(S5,'iCoA Register'!$AA:$AA,0)),0),0)))</f>
        <v/>
      </c>
      <c r="E5" s="5">
        <f>IF(ISNUMBER(F5),MAX(DATE(2026,6,6),F5+7),DATE(2026,6,6))</f>
        <v/>
      </c>
      <c r="F5" s="5" t="inlineStr">
        <is>
          <t>—</t>
        </is>
      </c>
      <c r="G5" s="2" t="inlineStr">
        <is>
          <t>—</t>
        </is>
      </c>
      <c r="H5" s="2">
        <f>IFERROR(INDEX('iCoA Register'!$B:$B,MATCH("GG1024|I",'iCoA Register'!$AA:$AA,0)),"—")</f>
        <v/>
      </c>
      <c r="I5" s="5">
        <f>IFERROR(INDEX('iCoA Register'!$D:$D,MATCH("GG1024|I",'iCoA Register'!$AA:$AA,0)),"")</f>
        <v/>
      </c>
      <c r="J5" s="2" t="inlineStr">
        <is>
          <t>legacy</t>
        </is>
      </c>
      <c r="K5" s="2" t="inlineStr">
        <is>
          <t>initial release</t>
        </is>
      </c>
      <c r="L5" s="3" t="inlineStr">
        <is>
          <t>GG1024</t>
        </is>
      </c>
      <c r="M5" s="2" t="inlineStr">
        <is>
          <t>N/A — no P batch assigned</t>
        </is>
      </c>
      <c r="N5" s="2" t="inlineStr">
        <is>
          <t>Gorilla Glue</t>
        </is>
      </c>
      <c r="O5" s="6" t="inlineStr">
        <is>
          <t>— no cannabinoid certificate from the initial testing —</t>
        </is>
      </c>
      <c r="P5" s="6" t="inlineStr">
        <is>
          <t>—</t>
        </is>
      </c>
      <c r="Q5" s="2" t="inlineStr">
        <is>
          <t>—</t>
        </is>
      </c>
      <c r="R5" s="2" t="inlineStr">
        <is>
          <t>CoQ-PP-2025-0003</t>
        </is>
      </c>
      <c r="S5" s="2" t="inlineStr">
        <is>
          <t>GG1024|I</t>
        </is>
      </c>
      <c r="T5" s="7" t="inlineStr">
        <is>
          <t>registered — legacy series, issued 06.06.2026 · initial certificate to locate: #3 (CNP), #4 (CNP), #5 (CNP), #6 (CNP), #8 (CNP), #9 (IJZ), #10 (CNP), #11 (CNP), #12 (CNP)</t>
        </is>
      </c>
      <c r="U5" s="2" t="inlineStr">
        <is>
          <t>n/a — initial certificate</t>
        </is>
      </c>
      <c r="V5" s="2" t="inlineStr">
        <is>
          <t>—</t>
        </is>
      </c>
      <c r="W5" s="2" t="inlineStr">
        <is>
          <t>—</t>
        </is>
      </c>
      <c r="X5" s="2" t="inlineStr">
        <is>
          <t>—</t>
        </is>
      </c>
      <c r="Y5" s="2" t="inlineStr">
        <is>
          <t>—</t>
        </is>
      </c>
      <c r="Z5" s="2" t="inlineStr">
        <is>
          <t>—</t>
        </is>
      </c>
      <c r="AA5" s="2" t="inlineStr">
        <is>
          <t>—</t>
        </is>
      </c>
      <c r="AB5" s="11" t="inlineStr">
        <is>
          <t>—</t>
        </is>
      </c>
      <c r="AC5" s="8" t="inlineStr">
        <is>
          <t>no Total THC result on this certificate</t>
        </is>
      </c>
    </row>
    <row r="6">
      <c r="A6" s="2">
        <f>IF(OR(C6="yes",C6="allocated",C6="ruled"),COUNT(A$1:A5)+1,"")</f>
        <v/>
      </c>
      <c r="B6" s="3">
        <f>IF(A6&lt;&gt;"","CoQ-PP_26-"&amp;TEXT(A6,"000"),"— at issue —")</f>
        <v/>
      </c>
      <c r="C6" s="4" t="inlineStr">
        <is>
          <t>yes</t>
        </is>
      </c>
      <c r="D6" s="5">
        <f>IF(OR(A6="",C6="allocated",C6="ruled"),"",MAX(E6,IF(ISNUMBER(I6),I6,0),IFERROR(IF(ISNUMBER(INDEX('iCoA Register'!$F:$F,MATCH(S6,'iCoA Register'!$AA:$AA,0))),INDEX('iCoA Register'!$F:$F,MATCH(S6,'iCoA Register'!$AA:$AA,0)),0),0)))</f>
        <v/>
      </c>
      <c r="E6" s="5">
        <f>IF(ISNUMBER(F6),MAX(DATE(2026,6,6),F6+7),DATE(2026,6,6))</f>
        <v/>
      </c>
      <c r="F6" s="5" t="inlineStr">
        <is>
          <t>—</t>
        </is>
      </c>
      <c r="G6" s="2" t="inlineStr">
        <is>
          <t>—</t>
        </is>
      </c>
      <c r="H6" s="2">
        <f>IFERROR(INDEX('iCoA Register'!$B:$B,MATCH("HPA1024|I",'iCoA Register'!$AA:$AA,0)),"—")</f>
        <v/>
      </c>
      <c r="I6" s="5">
        <f>IFERROR(INDEX('iCoA Register'!$D:$D,MATCH("HPA1024|I",'iCoA Register'!$AA:$AA,0)),"")</f>
        <v/>
      </c>
      <c r="J6" s="2" t="inlineStr">
        <is>
          <t>legacy</t>
        </is>
      </c>
      <c r="K6" s="2" t="inlineStr">
        <is>
          <t>initial release</t>
        </is>
      </c>
      <c r="L6" s="3" t="inlineStr">
        <is>
          <t>HPA1024</t>
        </is>
      </c>
      <c r="M6" s="2" t="inlineStr">
        <is>
          <t>N/A — no P batch assigned</t>
        </is>
      </c>
      <c r="N6" s="2" t="inlineStr">
        <is>
          <t>High Pro Amnesia</t>
        </is>
      </c>
      <c r="O6" s="6" t="inlineStr">
        <is>
          <t>— no cannabinoid certificate from the initial testing —</t>
        </is>
      </c>
      <c r="P6" s="6" t="inlineStr">
        <is>
          <t>—</t>
        </is>
      </c>
      <c r="Q6" s="2" t="inlineStr">
        <is>
          <t>—</t>
        </is>
      </c>
      <c r="R6" s="2" t="inlineStr">
        <is>
          <t>CoQ-PP-2025-0004</t>
        </is>
      </c>
      <c r="S6" s="2" t="inlineStr">
        <is>
          <t>HPA1024|I</t>
        </is>
      </c>
      <c r="T6" s="7" t="inlineStr">
        <is>
          <t>registered — legacy series, issued 06.06.2026 · initial certificate to locate: #3 (CNP), #4 (CNP), #5 (CNP), #6 (CNP), #8 (CNP), #9 (IJZ), #10 (CNP), #11 (CNP), #12 (CNP)</t>
        </is>
      </c>
      <c r="U6" s="2" t="inlineStr">
        <is>
          <t>n/a — initial certificate</t>
        </is>
      </c>
      <c r="V6" s="10" t="n">
        <v>14.97</v>
      </c>
      <c r="W6" s="2" t="inlineStr">
        <is>
          <t>iCoA-PP_26-005</t>
        </is>
      </c>
      <c r="X6" s="2" t="inlineStr">
        <is>
          <t>15.00 ± 1.20 (III)</t>
        </is>
      </c>
      <c r="Y6" s="2" t="inlineStr">
        <is>
          <t>13.80 – 16.19 %</t>
        </is>
      </c>
      <c r="Z6" s="2" t="inlineStr">
        <is>
          <t>HPA_THC15 : CBD1</t>
        </is>
      </c>
      <c r="AA6" s="2" t="inlineStr">
        <is>
          <t>QCSP_001_HPA-III_v.01</t>
        </is>
      </c>
      <c r="AB6" s="8" t="inlineStr">
        <is>
          <t>for review — replaces the issued QCSP_001_HPA-III_v.01 (was HPA_THC18 : CBD1, 17.00 – 19.00 %); now HPA_THC15 : CBD1 13.80 – 16.19 %</t>
        </is>
      </c>
      <c r="AC6" s="11" t="inlineStr"/>
    </row>
    <row r="7">
      <c r="A7" s="2">
        <f>IF(OR(C7="yes",C7="allocated",C7="ruled"),COUNT(A$1:A6)+1,"")</f>
        <v/>
      </c>
      <c r="B7" s="3">
        <f>IF(A7&lt;&gt;"","CoQ-PP_26-"&amp;TEXT(A7,"000"),"— at issue —")</f>
        <v/>
      </c>
      <c r="C7" s="4" t="inlineStr">
        <is>
          <t>yes</t>
        </is>
      </c>
      <c r="D7" s="5">
        <f>IF(OR(A7="",C7="allocated",C7="ruled"),"",MAX(E7,IF(ISNUMBER(I7),I7,0),IFERROR(IF(ISNUMBER(INDEX('iCoA Register'!$F:$F,MATCH(S7,'iCoA Register'!$AA:$AA,0))),INDEX('iCoA Register'!$F:$F,MATCH(S7,'iCoA Register'!$AA:$AA,0)),0),0)))</f>
        <v/>
      </c>
      <c r="E7" s="5">
        <f>IF(ISNUMBER(F7),MAX(DATE(2026,6,6),F7+7),DATE(2026,6,6))</f>
        <v/>
      </c>
      <c r="F7" s="5" t="inlineStr">
        <is>
          <t>—</t>
        </is>
      </c>
      <c r="G7" s="2" t="inlineStr">
        <is>
          <t>—</t>
        </is>
      </c>
      <c r="H7" s="2">
        <f>IFERROR(INDEX('iCoA Register'!$B:$B,MATCH("OPM1024|I",'iCoA Register'!$AA:$AA,0)),"—")</f>
        <v/>
      </c>
      <c r="I7" s="5">
        <f>IFERROR(INDEX('iCoA Register'!$D:$D,MATCH("OPM1024|I",'iCoA Register'!$AA:$AA,0)),"")</f>
        <v/>
      </c>
      <c r="J7" s="2" t="inlineStr">
        <is>
          <t>legacy</t>
        </is>
      </c>
      <c r="K7" s="2" t="inlineStr">
        <is>
          <t>initial release</t>
        </is>
      </c>
      <c r="L7" s="3" t="inlineStr">
        <is>
          <t>OPM1024</t>
        </is>
      </c>
      <c r="M7" s="2" t="inlineStr">
        <is>
          <t>N/A — no P batch assigned</t>
        </is>
      </c>
      <c r="N7" s="2" t="inlineStr">
        <is>
          <t>Orange Punch Mimosa</t>
        </is>
      </c>
      <c r="O7" s="6" t="inlineStr">
        <is>
          <t>— no cannabinoid certificate from the initial testing —</t>
        </is>
      </c>
      <c r="P7" s="6" t="inlineStr">
        <is>
          <t>—</t>
        </is>
      </c>
      <c r="Q7" s="2" t="inlineStr">
        <is>
          <t>—</t>
        </is>
      </c>
      <c r="R7" s="2" t="inlineStr">
        <is>
          <t>CoQ-PP-2025-0005</t>
        </is>
      </c>
      <c r="S7" s="2" t="inlineStr">
        <is>
          <t>OPM1024|I</t>
        </is>
      </c>
      <c r="T7" s="7" t="inlineStr">
        <is>
          <t>registered — legacy series, issued 06.06.2026 · initial certificate to locate: #3 (CNP), #4 (CNP), #5 (CNP), #6 (CNP), #8 (CNP), #9 (IJZ), #10 (CNP), #11 (CNP), #12 (CNP)</t>
        </is>
      </c>
      <c r="U7" s="2" t="inlineStr">
        <is>
          <t>n/a — initial certificate</t>
        </is>
      </c>
      <c r="V7" s="10" t="n">
        <v>19.96</v>
      </c>
      <c r="W7" s="2" t="inlineStr">
        <is>
          <t>iCoA-PP_26-006</t>
        </is>
      </c>
      <c r="X7" s="2" t="inlineStr">
        <is>
          <t>20.00 ± 1.40 (I)</t>
        </is>
      </c>
      <c r="Y7" s="2" t="inlineStr">
        <is>
          <t>18.60 – 21.39 %</t>
        </is>
      </c>
      <c r="Z7" s="2" t="inlineStr">
        <is>
          <t>OPM_THC20 : CBD1</t>
        </is>
      </c>
      <c r="AA7" s="2" t="inlineStr">
        <is>
          <t>QCSP_001_OPM-I_v.01</t>
        </is>
      </c>
      <c r="AB7" s="8" t="inlineStr">
        <is>
          <t>for review — replaces the issued QCSP_001_OPM-I_v.01 (was OPM_THC22 : CBD1, 19.81 – 24.19 %); now OPM_THC20 : CBD1 18.60 – 21.39 %</t>
        </is>
      </c>
      <c r="AC7" s="11" t="inlineStr"/>
    </row>
    <row r="8">
      <c r="A8" s="2">
        <f>IF(OR(C8="yes",C8="allocated",C8="ruled"),COUNT(A$1:A7)+1,"")</f>
        <v/>
      </c>
      <c r="B8" s="3">
        <f>IF(A8&lt;&gt;"","CoQ-PP_26-"&amp;TEXT(A8,"000"),"— at issue —")</f>
        <v/>
      </c>
      <c r="C8" s="4" t="inlineStr">
        <is>
          <t>yes</t>
        </is>
      </c>
      <c r="D8" s="5">
        <f>IF(OR(A8="",C8="allocated",C8="ruled"),"",MAX(E8,IF(ISNUMBER(I8),I8,0),IFERROR(IF(ISNUMBER(INDEX('iCoA Register'!$F:$F,MATCH(S8,'iCoA Register'!$AA:$AA,0))),INDEX('iCoA Register'!$F:$F,MATCH(S8,'iCoA Register'!$AA:$AA,0)),0),0)))</f>
        <v/>
      </c>
      <c r="E8" s="5">
        <f>IF(ISNUMBER(F8),MAX(DATE(2026,6,6),F8+7),DATE(2026,6,6))</f>
        <v/>
      </c>
      <c r="F8" s="5" t="n">
        <v>45807</v>
      </c>
      <c r="G8" s="2" t="inlineStr">
        <is>
          <t>2471-2025</t>
        </is>
      </c>
      <c r="H8" s="2">
        <f>IFERROR(INDEX('iCoA Register'!$B:$B,MATCH("P050022|I",'iCoA Register'!$AA:$AA,0)),"—")</f>
        <v/>
      </c>
      <c r="I8" s="5">
        <f>IFERROR(INDEX('iCoA Register'!$D:$D,MATCH("P050022|I",'iCoA Register'!$AA:$AA,0)),"")</f>
        <v/>
      </c>
      <c r="J8" s="2" t="inlineStr">
        <is>
          <t>legacy</t>
        </is>
      </c>
      <c r="K8" s="2" t="inlineStr">
        <is>
          <t>initial release</t>
        </is>
      </c>
      <c r="L8" s="3" t="inlineStr">
        <is>
          <t>GP0824_02</t>
        </is>
      </c>
      <c r="M8" s="2" t="inlineStr">
        <is>
          <t>P050022</t>
        </is>
      </c>
      <c r="N8" s="2" t="inlineStr">
        <is>
          <t>Grape Pie</t>
        </is>
      </c>
      <c r="O8" s="2" t="inlineStr">
        <is>
          <t>ППК25139, (22.05.2025) [CNP]</t>
        </is>
      </c>
      <c r="P8" s="6" t="inlineStr">
        <is>
          <t>—</t>
        </is>
      </c>
      <c r="Q8" s="2" t="inlineStr">
        <is>
          <t>—</t>
        </is>
      </c>
      <c r="R8" s="2" t="inlineStr">
        <is>
          <t>CoQ-PP-2025-0006</t>
        </is>
      </c>
      <c r="S8" s="2" t="inlineStr">
        <is>
          <t>P050022|I</t>
        </is>
      </c>
      <c r="T8" s="7" t="inlineStr">
        <is>
          <t>registered — legacy series, issued 06.06.2026</t>
        </is>
      </c>
      <c r="U8" s="2" t="inlineStr">
        <is>
          <t>n/a — initial certificate</t>
        </is>
      </c>
      <c r="V8" s="10" t="n">
        <v>23.79</v>
      </c>
      <c r="W8" s="2" t="inlineStr">
        <is>
          <t>ППК25139</t>
        </is>
      </c>
      <c r="X8" s="2" t="inlineStr">
        <is>
          <t>24.00 ± 2.00 (II)</t>
        </is>
      </c>
      <c r="Y8" s="2" t="inlineStr">
        <is>
          <t>22.00 – 25.99 %</t>
        </is>
      </c>
      <c r="Z8" s="2" t="inlineStr">
        <is>
          <t>GP_THC24 : CBD1</t>
        </is>
      </c>
      <c r="AA8" s="2" t="inlineStr">
        <is>
          <t>QCSP_001_GP-II_v.01</t>
        </is>
      </c>
      <c r="AB8" s="8" t="inlineStr">
        <is>
          <t>for review — replaces the issued QCSP_001_GP-II_v.01 (was GP_THC26 : CBD1, 25.40 – 26.60 %); now GP_THC24 : CBD1 22.00 – 25.99 %</t>
        </is>
      </c>
      <c r="AC8" s="11" t="inlineStr"/>
    </row>
    <row r="9">
      <c r="A9" s="2">
        <f>IF(OR(C9="yes",C9="allocated",C9="ruled"),COUNT(A$1:A8)+1,"")</f>
        <v/>
      </c>
      <c r="B9" s="3">
        <f>IF(A9&lt;&gt;"","CoQ-PP_26-"&amp;TEXT(A9,"000"),"— at issue —")</f>
        <v/>
      </c>
      <c r="C9" s="4" t="inlineStr">
        <is>
          <t>yes</t>
        </is>
      </c>
      <c r="D9" s="5">
        <f>IF(OR(A9="",C9="allocated",C9="ruled"),"",MAX(E9,IF(ISNUMBER(I9),I9,0),IFERROR(IF(ISNUMBER(INDEX('iCoA Register'!$F:$F,MATCH(S9,'iCoA Register'!$AA:$AA,0))),INDEX('iCoA Register'!$F:$F,MATCH(S9,'iCoA Register'!$AA:$AA,0)),0),0)))</f>
        <v/>
      </c>
      <c r="E9" s="5">
        <f>IF(ISNUMBER(F9),MAX(DATE(2026,6,6),F9+7),DATE(2026,6,6))</f>
        <v/>
      </c>
      <c r="F9" s="5" t="n">
        <v>45807</v>
      </c>
      <c r="G9" s="2" t="inlineStr">
        <is>
          <t>2472-2025</t>
        </is>
      </c>
      <c r="H9" s="2">
        <f>IFERROR(INDEX('iCoA Register'!$B:$B,MATCH("P050012|I",'iCoA Register'!$AA:$AA,0)),"—")</f>
        <v/>
      </c>
      <c r="I9" s="5">
        <f>IFERROR(INDEX('iCoA Register'!$D:$D,MATCH("P050012|I",'iCoA Register'!$AA:$AA,0)),"")</f>
        <v/>
      </c>
      <c r="J9" s="2" t="inlineStr">
        <is>
          <t>legacy</t>
        </is>
      </c>
      <c r="K9" s="2" t="inlineStr">
        <is>
          <t>initial release</t>
        </is>
      </c>
      <c r="L9" s="3" t="inlineStr">
        <is>
          <t>GG1024_02</t>
        </is>
      </c>
      <c r="M9" s="2" t="inlineStr">
        <is>
          <t>P050012</t>
        </is>
      </c>
      <c r="N9" s="2" t="inlineStr">
        <is>
          <t>Gorilla Glue</t>
        </is>
      </c>
      <c r="O9" s="2" t="inlineStr">
        <is>
          <t>ППК25140, (22.05.2025) [CNP]</t>
        </is>
      </c>
      <c r="P9" s="6" t="inlineStr">
        <is>
          <t>—</t>
        </is>
      </c>
      <c r="Q9" s="2" t="inlineStr">
        <is>
          <t>—</t>
        </is>
      </c>
      <c r="R9" s="2" t="inlineStr">
        <is>
          <t>(assigned on issue)</t>
        </is>
      </c>
      <c r="S9" s="2" t="inlineStr">
        <is>
          <t>P050012|I</t>
        </is>
      </c>
      <c r="T9" s="7" t="inlineStr">
        <is>
          <t>registered — legacy series, issued 06.06.2026</t>
        </is>
      </c>
      <c r="U9" s="2" t="inlineStr">
        <is>
          <t>n/a — initial certificate</t>
        </is>
      </c>
      <c r="V9" s="10" t="n">
        <v>15.95</v>
      </c>
      <c r="W9" s="2" t="inlineStr">
        <is>
          <t>ППК25140</t>
        </is>
      </c>
      <c r="X9" s="2" t="inlineStr">
        <is>
          <t>15.00 ± 1.23 (II)</t>
        </is>
      </c>
      <c r="Y9" s="2" t="inlineStr">
        <is>
          <t>13.77 – 16.22 %</t>
        </is>
      </c>
      <c r="Z9" s="2" t="inlineStr">
        <is>
          <t>GG_THC15 : CBD1</t>
        </is>
      </c>
      <c r="AA9" s="2" t="inlineStr">
        <is>
          <t>QCSP_001_GG-II_v.01</t>
        </is>
      </c>
      <c r="AB9" s="8" t="inlineStr">
        <is>
          <t>for review — replaces the issued QCSP_001_GG-II_v.01 (was GG_THC16 : CBD1, 15.00 – 17.00 %); now GG_THC15 : CBD1 13.77 – 16.22 %</t>
        </is>
      </c>
      <c r="AC9" s="11" t="inlineStr"/>
    </row>
    <row r="10">
      <c r="A10" s="2">
        <f>IF(OR(C10="yes",C10="allocated",C10="ruled"),COUNT(A$1:A9)+1,"")</f>
        <v/>
      </c>
      <c r="B10" s="3">
        <f>IF(A10&lt;&gt;"","CoQ-PP_26-"&amp;TEXT(A10,"000"),"— at issue —")</f>
        <v/>
      </c>
      <c r="C10" s="4" t="inlineStr">
        <is>
          <t>yes</t>
        </is>
      </c>
      <c r="D10" s="5">
        <f>IF(OR(A10="",C10="allocated",C10="ruled"),"",MAX(E10,IF(ISNUMBER(I10),I10,0),IFERROR(IF(ISNUMBER(INDEX('iCoA Register'!$F:$F,MATCH(S10,'iCoA Register'!$AA:$AA,0))),INDEX('iCoA Register'!$F:$F,MATCH(S10,'iCoA Register'!$AA:$AA,0)),0),0)))</f>
        <v/>
      </c>
      <c r="E10" s="5">
        <f>IF(ISNUMBER(F10),MAX(DATE(2026,6,6),F10+7),DATE(2026,6,6))</f>
        <v/>
      </c>
      <c r="F10" s="5" t="n">
        <v>45784</v>
      </c>
      <c r="G10" s="2" t="inlineStr">
        <is>
          <t>2157-2025</t>
        </is>
      </c>
      <c r="H10" s="2">
        <f>IFERROR(INDEX('iCoA Register'!$B:$B,MATCH("P050032|I",'iCoA Register'!$AA:$AA,0)),"—")</f>
        <v/>
      </c>
      <c r="I10" s="5">
        <f>IFERROR(INDEX('iCoA Register'!$D:$D,MATCH("P050032|I",'iCoA Register'!$AA:$AA,0)),"")</f>
        <v/>
      </c>
      <c r="J10" s="2" t="inlineStr">
        <is>
          <t>legacy</t>
        </is>
      </c>
      <c r="K10" s="2" t="inlineStr">
        <is>
          <t>initial release</t>
        </is>
      </c>
      <c r="L10" s="3" t="inlineStr">
        <is>
          <t>MB0824_04</t>
        </is>
      </c>
      <c r="M10" s="2" t="inlineStr">
        <is>
          <t>P050032</t>
        </is>
      </c>
      <c r="N10" s="2" t="inlineStr">
        <is>
          <t>Motor Breath</t>
        </is>
      </c>
      <c r="O10" s="2" t="inlineStr">
        <is>
          <t>ППК25118, (06.05.2025) [CNP]</t>
        </is>
      </c>
      <c r="P10" s="6" t="inlineStr">
        <is>
          <t>—</t>
        </is>
      </c>
      <c r="Q10" s="2" t="inlineStr">
        <is>
          <t>—</t>
        </is>
      </c>
      <c r="R10" s="2" t="inlineStr">
        <is>
          <t>(assigned on issue)</t>
        </is>
      </c>
      <c r="S10" s="2" t="inlineStr">
        <is>
          <t>P050032|I</t>
        </is>
      </c>
      <c r="T10" s="7" t="inlineStr">
        <is>
          <t>registered — legacy series, issued 06.06.2026</t>
        </is>
      </c>
      <c r="U10" s="2" t="inlineStr">
        <is>
          <t>n/a — initial certificate</t>
        </is>
      </c>
      <c r="V10" s="10" t="n">
        <v>18.67</v>
      </c>
      <c r="W10" s="2" t="inlineStr">
        <is>
          <t>ППК25118</t>
        </is>
      </c>
      <c r="X10" s="2" t="inlineStr">
        <is>
          <t>18.00 ± 1.80 (I)</t>
        </is>
      </c>
      <c r="Y10" s="2" t="inlineStr">
        <is>
          <t>16.20 – 19.79 %</t>
        </is>
      </c>
      <c r="Z10" s="2" t="inlineStr">
        <is>
          <t>MB_THC18 : CBD1</t>
        </is>
      </c>
      <c r="AA10" s="2" t="inlineStr">
        <is>
          <t>QCSP_001_MB-I_v.01</t>
        </is>
      </c>
      <c r="AB10" s="8" t="inlineStr">
        <is>
          <t>for review — replaces the issued QCSP_001_MB-I_v.01 (was MB_THC18 : CBD1, 16.20 – 19.80 %); now MB_THC18 : CBD1 16.20 – 19.79 %</t>
        </is>
      </c>
      <c r="AC10" s="11" t="inlineStr"/>
    </row>
    <row r="11">
      <c r="A11" s="2">
        <f>IF(OR(C11="yes",C11="allocated",C11="ruled"),COUNT(A$1:A10)+1,"")</f>
        <v/>
      </c>
      <c r="B11" s="3">
        <f>IF(A11&lt;&gt;"","CoQ-PP_26-"&amp;TEXT(A11,"000"),"— at issue —")</f>
        <v/>
      </c>
      <c r="C11" s="4" t="inlineStr">
        <is>
          <t>yes</t>
        </is>
      </c>
      <c r="D11" s="5">
        <f>IF(OR(A11="",C11="allocated",C11="ruled"),"",MAX(E11,IF(ISNUMBER(I11),I11,0),IFERROR(IF(ISNUMBER(INDEX('iCoA Register'!$F:$F,MATCH(S11,'iCoA Register'!$AA:$AA,0))),INDEX('iCoA Register'!$F:$F,MATCH(S11,'iCoA Register'!$AA:$AA,0)),0),0)))</f>
        <v/>
      </c>
      <c r="E11" s="5">
        <f>IF(ISNUMBER(F11),MAX(DATE(2026,6,6),F11+7),DATE(2026,6,6))</f>
        <v/>
      </c>
      <c r="F11" s="5" t="n">
        <v>45784</v>
      </c>
      <c r="G11" s="2" t="inlineStr">
        <is>
          <t>2156-2025</t>
        </is>
      </c>
      <c r="H11" s="2">
        <f>IFERROR(INDEX('iCoA Register'!$B:$B,MATCH("P050042|I",'iCoA Register'!$AA:$AA,0)),"—")</f>
        <v/>
      </c>
      <c r="I11" s="5">
        <f>IFERROR(INDEX('iCoA Register'!$D:$D,MATCH("P050042|I",'iCoA Register'!$AA:$AA,0)),"")</f>
        <v/>
      </c>
      <c r="J11" s="2" t="inlineStr">
        <is>
          <t>legacy</t>
        </is>
      </c>
      <c r="K11" s="2" t="inlineStr">
        <is>
          <t>initial release</t>
        </is>
      </c>
      <c r="L11" s="3" t="inlineStr">
        <is>
          <t>OMP1024_01</t>
        </is>
      </c>
      <c r="M11" s="2" t="inlineStr">
        <is>
          <t>P050042</t>
        </is>
      </c>
      <c r="N11" s="2" t="inlineStr">
        <is>
          <t>Orange Punch Mimosa</t>
        </is>
      </c>
      <c r="O11" s="2" t="inlineStr">
        <is>
          <t>ППК25117, (06.05.2025) [CNP]</t>
        </is>
      </c>
      <c r="P11" s="6" t="inlineStr">
        <is>
          <t>—</t>
        </is>
      </c>
      <c r="Q11" s="2" t="inlineStr">
        <is>
          <t>—</t>
        </is>
      </c>
      <c r="R11" s="2" t="inlineStr">
        <is>
          <t>CoQ-PP-2025-0007</t>
        </is>
      </c>
      <c r="S11" s="2" t="inlineStr">
        <is>
          <t>P050042|I</t>
        </is>
      </c>
      <c r="T11" s="7" t="inlineStr">
        <is>
          <t>registered — legacy series, issued 06.06.2026</t>
        </is>
      </c>
      <c r="U11" s="2" t="inlineStr">
        <is>
          <t>n/a — initial certificate</t>
        </is>
      </c>
      <c r="V11" s="10" t="n">
        <v>15.38</v>
      </c>
      <c r="W11" s="2" t="inlineStr">
        <is>
          <t>ППК25117</t>
        </is>
      </c>
      <c r="X11" s="2" t="inlineStr">
        <is>
          <t>14.00 ± 1.40 (III)</t>
        </is>
      </c>
      <c r="Y11" s="2" t="inlineStr">
        <is>
          <t>12.60 – 15.39 %</t>
        </is>
      </c>
      <c r="Z11" s="2" t="inlineStr">
        <is>
          <t>OPM_THC14 : CBD1</t>
        </is>
      </c>
      <c r="AA11" s="2" t="inlineStr">
        <is>
          <t>QCSP_001_OPM-III_v.01</t>
        </is>
      </c>
      <c r="AB11" s="11" t="inlineStr">
        <is>
          <t>for review — new</t>
        </is>
      </c>
      <c r="AC11" s="11" t="inlineStr"/>
    </row>
    <row r="12">
      <c r="A12" s="2">
        <f>IF(OR(C12="yes",C12="allocated",C12="ruled"),COUNT(A$1:A11)+1,"")</f>
        <v/>
      </c>
      <c r="B12" s="3">
        <f>IF(A12&lt;&gt;"","CoQ-PP_26-"&amp;TEXT(A12,"000"),"— at issue —")</f>
        <v/>
      </c>
      <c r="C12" s="4" t="inlineStr">
        <is>
          <t>yes</t>
        </is>
      </c>
      <c r="D12" s="5">
        <f>IF(OR(A12="",C12="allocated",C12="ruled"),"",MAX(E12,IF(ISNUMBER(I12),I12,0),IFERROR(IF(ISNUMBER(INDEX('iCoA Register'!$F:$F,MATCH(S12,'iCoA Register'!$AA:$AA,0))),INDEX('iCoA Register'!$F:$F,MATCH(S12,'iCoA Register'!$AA:$AA,0)),0),0)))</f>
        <v/>
      </c>
      <c r="E12" s="5">
        <f>IF(ISNUMBER(F12),MAX(DATE(2026,6,6),F12+7),DATE(2026,6,6))</f>
        <v/>
      </c>
      <c r="F12" s="5" t="n">
        <v>45832</v>
      </c>
      <c r="G12" s="2" t="inlineStr">
        <is>
          <t>ППК25155</t>
        </is>
      </c>
      <c r="H12" s="2">
        <f>IFERROR(INDEX('iCoA Register'!$B:$B,MATCH("P050052|I",'iCoA Register'!$AA:$AA,0)),"—")</f>
        <v/>
      </c>
      <c r="I12" s="5">
        <f>IFERROR(INDEX('iCoA Register'!$D:$D,MATCH("P050052|I",'iCoA Register'!$AA:$AA,0)),"")</f>
        <v/>
      </c>
      <c r="J12" s="2" t="inlineStr">
        <is>
          <t>legacy</t>
        </is>
      </c>
      <c r="K12" s="2" t="inlineStr">
        <is>
          <t>initial release</t>
        </is>
      </c>
      <c r="L12" s="3" t="inlineStr">
        <is>
          <t>HPA1024_01</t>
        </is>
      </c>
      <c r="M12" s="2" t="inlineStr">
        <is>
          <t>P050052</t>
        </is>
      </c>
      <c r="N12" s="2" t="inlineStr">
        <is>
          <t>High Pro Amnesia</t>
        </is>
      </c>
      <c r="O12" s="2" t="inlineStr">
        <is>
          <t>ППК25155, (24.06.2025) [CNP]</t>
        </is>
      </c>
      <c r="P12" s="6" t="inlineStr">
        <is>
          <t>—</t>
        </is>
      </c>
      <c r="Q12" s="2" t="inlineStr">
        <is>
          <t>—</t>
        </is>
      </c>
      <c r="R12" s="2" t="inlineStr">
        <is>
          <t>CoQ-PP-2025-0008</t>
        </is>
      </c>
      <c r="S12" s="2" t="inlineStr">
        <is>
          <t>P050052|I</t>
        </is>
      </c>
      <c r="T12" s="7" t="inlineStr">
        <is>
          <t>registered — legacy series, issued 06.06.2026</t>
        </is>
      </c>
      <c r="U12" s="2" t="inlineStr">
        <is>
          <t>n/a — initial certificate</t>
        </is>
      </c>
      <c r="V12" s="10" t="n">
        <v>22.43</v>
      </c>
      <c r="W12" s="2" t="inlineStr">
        <is>
          <t>ППК25155</t>
        </is>
      </c>
      <c r="X12" s="2" t="inlineStr">
        <is>
          <t>22.00 ± 2.20 (I)</t>
        </is>
      </c>
      <c r="Y12" s="2" t="inlineStr">
        <is>
          <t>19.80 – 24.19 %</t>
        </is>
      </c>
      <c r="Z12" s="2" t="inlineStr">
        <is>
          <t>HPA_THC22 : CBD1</t>
        </is>
      </c>
      <c r="AA12" s="2" t="inlineStr">
        <is>
          <t>QCSP_001_HPA-I_v.01</t>
        </is>
      </c>
      <c r="AB12" s="8" t="inlineStr">
        <is>
          <t>for review — replaces the issued QCSP_001_HPA-I_v.01 (was HPA_THC22 : CBD1, 21.00 – 23.00 %); now HPA_THC22 : CBD1 19.80 – 24.19 %</t>
        </is>
      </c>
      <c r="AC12" s="11" t="inlineStr"/>
    </row>
    <row r="13">
      <c r="A13" s="2">
        <f>IF(OR(C13="yes",C13="allocated",C13="ruled"),COUNT(A$1:A12)+1,"")</f>
        <v/>
      </c>
      <c r="B13" s="3">
        <f>IF(A13&lt;&gt;"","CoQ-PP_26-"&amp;TEXT(A13,"000"),"— at issue —")</f>
        <v/>
      </c>
      <c r="C13" s="4" t="inlineStr">
        <is>
          <t>yes</t>
        </is>
      </c>
      <c r="D13" s="5">
        <f>IF(OR(A13="",C13="allocated",C13="ruled"),"",MAX(E13,IF(ISNUMBER(I13),I13,0),IFERROR(IF(ISNUMBER(INDEX('iCoA Register'!$F:$F,MATCH(S13,'iCoA Register'!$AA:$AA,0))),INDEX('iCoA Register'!$F:$F,MATCH(S13,'iCoA Register'!$AA:$AA,0)),0),0)))</f>
        <v/>
      </c>
      <c r="E13" s="5">
        <f>IF(ISNUMBER(F13),MAX(DATE(2026,6,6),F13+7),DATE(2026,6,6))</f>
        <v/>
      </c>
      <c r="F13" s="5" t="n">
        <v>45832</v>
      </c>
      <c r="G13" s="2" t="inlineStr">
        <is>
          <t>ППК25154</t>
        </is>
      </c>
      <c r="H13" s="2">
        <f>IFERROR(INDEX('iCoA Register'!$B:$B,MATCH("P050062|I",'iCoA Register'!$AA:$AA,0)),"—")</f>
        <v/>
      </c>
      <c r="I13" s="5">
        <f>IFERROR(INDEX('iCoA Register'!$D:$D,MATCH("P050062|I",'iCoA Register'!$AA:$AA,0)),"")</f>
        <v/>
      </c>
      <c r="J13" s="2" t="inlineStr">
        <is>
          <t>legacy</t>
        </is>
      </c>
      <c r="K13" s="2" t="inlineStr">
        <is>
          <t>initial release</t>
        </is>
      </c>
      <c r="L13" s="3" t="inlineStr">
        <is>
          <t>OPM1024_02</t>
        </is>
      </c>
      <c r="M13" s="2" t="inlineStr">
        <is>
          <t>P050062</t>
        </is>
      </c>
      <c r="N13" s="2" t="inlineStr">
        <is>
          <t>Orange Punch Mimosa</t>
        </is>
      </c>
      <c r="O13" s="2" t="inlineStr">
        <is>
          <t>ППК25154, (24.06.2025) [CNP]</t>
        </is>
      </c>
      <c r="P13" s="6" t="inlineStr">
        <is>
          <t>—</t>
        </is>
      </c>
      <c r="Q13" s="2" t="inlineStr">
        <is>
          <t>—</t>
        </is>
      </c>
      <c r="R13" s="2" t="inlineStr">
        <is>
          <t>CoQ-PP-2025-0009</t>
        </is>
      </c>
      <c r="S13" s="2" t="inlineStr">
        <is>
          <t>P050062|I</t>
        </is>
      </c>
      <c r="T13" s="7" t="inlineStr">
        <is>
          <t>registered — legacy series, issued 06.06.2026</t>
        </is>
      </c>
      <c r="U13" s="2" t="inlineStr">
        <is>
          <t>n/a — initial certificate</t>
        </is>
      </c>
      <c r="V13" s="10" t="n">
        <v>18.27</v>
      </c>
      <c r="W13" s="2" t="inlineStr">
        <is>
          <t>ППК25154</t>
        </is>
      </c>
      <c r="X13" s="2" t="inlineStr">
        <is>
          <t>17.00 ± 1.60 (II)</t>
        </is>
      </c>
      <c r="Y13" s="2" t="inlineStr">
        <is>
          <t>15.40 – 18.59 %</t>
        </is>
      </c>
      <c r="Z13" s="2" t="inlineStr">
        <is>
          <t>OPM_THC17 : CBD1</t>
        </is>
      </c>
      <c r="AA13" s="2" t="inlineStr">
        <is>
          <t>QCSP_001_OPM-II_v.01</t>
        </is>
      </c>
      <c r="AB13" s="8" t="inlineStr">
        <is>
          <t>for review — replaces the issued QCSP_001_OPM-II_v.01 (was OPM_THC18 : CBD1, 16.20 – 19.80 %); now OPM_THC17 : CBD1 15.40 – 18.59 %</t>
        </is>
      </c>
      <c r="AC13" s="11" t="inlineStr"/>
    </row>
    <row r="14">
      <c r="A14" s="2">
        <f>IF(OR(C14="yes",C14="allocated",C14="ruled"),COUNT(A$1:A13)+1,"")</f>
        <v/>
      </c>
      <c r="B14" s="3">
        <f>IF(A14&lt;&gt;"","CoQ-PP_26-"&amp;TEXT(A14,"000"),"— at issue —")</f>
        <v/>
      </c>
      <c r="C14" s="4" t="inlineStr">
        <is>
          <t>yes</t>
        </is>
      </c>
      <c r="D14" s="5">
        <f>IF(OR(A14="",C14="allocated",C14="ruled"),"",MAX(E14,IF(ISNUMBER(I14),I14,0),IFERROR(IF(ISNUMBER(INDEX('iCoA Register'!$F:$F,MATCH(S14,'iCoA Register'!$AA:$AA,0))),INDEX('iCoA Register'!$F:$F,MATCH(S14,'iCoA Register'!$AA:$AA,0)),0),0)))</f>
        <v/>
      </c>
      <c r="E14" s="5">
        <f>IF(ISNUMBER(F14),MAX(DATE(2026,6,6),F14+7),DATE(2026,6,6))</f>
        <v/>
      </c>
      <c r="F14" s="5" t="n">
        <v>45848</v>
      </c>
      <c r="G14" s="2" t="inlineStr">
        <is>
          <t>ППК25175</t>
        </is>
      </c>
      <c r="H14" s="2">
        <f>IFERROR(INDEX('iCoA Register'!$B:$B,MATCH("P050072|I",'iCoA Register'!$AA:$AA,0)),"—")</f>
        <v/>
      </c>
      <c r="I14" s="5">
        <f>IFERROR(INDEX('iCoA Register'!$D:$D,MATCH("P050072|I",'iCoA Register'!$AA:$AA,0)),"")</f>
        <v/>
      </c>
      <c r="J14" s="2" t="inlineStr">
        <is>
          <t>legacy</t>
        </is>
      </c>
      <c r="K14" s="2" t="inlineStr">
        <is>
          <t>initial release</t>
        </is>
      </c>
      <c r="L14" s="3" t="inlineStr">
        <is>
          <t>GP0824_03</t>
        </is>
      </c>
      <c r="M14" s="2" t="inlineStr">
        <is>
          <t>P050072</t>
        </is>
      </c>
      <c r="N14" s="2" t="inlineStr">
        <is>
          <t>Grape Pie</t>
        </is>
      </c>
      <c r="O14" s="2" t="inlineStr">
        <is>
          <t>ППК25175, (10.07.2025) [CNP]</t>
        </is>
      </c>
      <c r="P14" s="6" t="inlineStr">
        <is>
          <t>—</t>
        </is>
      </c>
      <c r="Q14" s="2" t="inlineStr">
        <is>
          <t>—</t>
        </is>
      </c>
      <c r="R14" s="2" t="inlineStr">
        <is>
          <t>CoQ-PP-2025-0010</t>
        </is>
      </c>
      <c r="S14" s="2" t="inlineStr">
        <is>
          <t>P050072|I</t>
        </is>
      </c>
      <c r="T14" s="7" t="inlineStr">
        <is>
          <t>registered — legacy series, issued 06.06.2026</t>
        </is>
      </c>
      <c r="U14" s="2" t="inlineStr">
        <is>
          <t>n/a — initial certificate</t>
        </is>
      </c>
      <c r="V14" s="10" t="n">
        <v>25.45</v>
      </c>
      <c r="W14" s="2" t="inlineStr">
        <is>
          <t>ППК25175</t>
        </is>
      </c>
      <c r="X14" s="2" t="inlineStr">
        <is>
          <t>24.00 ± 2.00 (II)</t>
        </is>
      </c>
      <c r="Y14" s="2" t="inlineStr">
        <is>
          <t>22.00 – 25.99 %</t>
        </is>
      </c>
      <c r="Z14" s="2" t="inlineStr">
        <is>
          <t>GP_THC24 : CBD1</t>
        </is>
      </c>
      <c r="AA14" s="2" t="inlineStr">
        <is>
          <t>QCSP_001_GP-II_v.01</t>
        </is>
      </c>
      <c r="AB14" s="8" t="inlineStr">
        <is>
          <t>for review — replaces the issued QCSP_001_GP-II_v.01 (was GP_THC26 : CBD1, 25.40 – 26.60 %); now GP_THC24 : CBD1 22.00 – 25.99 %</t>
        </is>
      </c>
      <c r="AC14" s="11" t="inlineStr"/>
    </row>
    <row r="15">
      <c r="A15" s="2">
        <f>IF(OR(C15="yes",C15="allocated",C15="ruled"),COUNT(A$1:A14)+1,"")</f>
        <v/>
      </c>
      <c r="B15" s="3">
        <f>IF(A15&lt;&gt;"","CoQ-PP_26-"&amp;TEXT(A15,"000"),"— at issue —")</f>
        <v/>
      </c>
      <c r="C15" s="4" t="inlineStr">
        <is>
          <t>yes</t>
        </is>
      </c>
      <c r="D15" s="5">
        <f>IF(OR(A15="",C15="allocated",C15="ruled"),"",MAX(E15,IF(ISNUMBER(I15),I15,0),IFERROR(IF(ISNUMBER(INDEX('iCoA Register'!$F:$F,MATCH(S15,'iCoA Register'!$AA:$AA,0))),INDEX('iCoA Register'!$F:$F,MATCH(S15,'iCoA Register'!$AA:$AA,0)),0),0)))</f>
        <v/>
      </c>
      <c r="E15" s="5">
        <f>IF(ISNUMBER(F15),MAX(DATE(2026,6,6),F15+7),DATE(2026,6,6))</f>
        <v/>
      </c>
      <c r="F15" s="5" t="n">
        <v>45867</v>
      </c>
      <c r="G15" s="2" t="inlineStr">
        <is>
          <t>766-1375-25</t>
        </is>
      </c>
      <c r="H15" s="2">
        <f>IFERROR(INDEX('iCoA Register'!$B:$B,MATCH("P050082|I",'iCoA Register'!$AA:$AA,0)),"—")</f>
        <v/>
      </c>
      <c r="I15" s="5">
        <f>IFERROR(INDEX('iCoA Register'!$D:$D,MATCH("P050082|I",'iCoA Register'!$AA:$AA,0)),"")</f>
        <v/>
      </c>
      <c r="J15" s="2" t="inlineStr">
        <is>
          <t>legacy</t>
        </is>
      </c>
      <c r="K15" s="2" t="inlineStr">
        <is>
          <t>initial release</t>
        </is>
      </c>
      <c r="L15" s="3" t="inlineStr">
        <is>
          <t>OPM1024_03</t>
        </is>
      </c>
      <c r="M15" s="2" t="inlineStr">
        <is>
          <t>P050082</t>
        </is>
      </c>
      <c r="N15" s="2" t="inlineStr">
        <is>
          <t>Orange Punch Mimosa</t>
        </is>
      </c>
      <c r="O15" s="2" t="inlineStr">
        <is>
          <t>ППК25210, (28.07.2025) [CNP]</t>
        </is>
      </c>
      <c r="P15" s="6" t="inlineStr">
        <is>
          <t>—</t>
        </is>
      </c>
      <c r="Q15" s="2" t="inlineStr">
        <is>
          <t>—</t>
        </is>
      </c>
      <c r="R15" s="2" t="inlineStr">
        <is>
          <t>CoQ-PP-2025-0011</t>
        </is>
      </c>
      <c r="S15" s="2" t="inlineStr">
        <is>
          <t>P050082|I</t>
        </is>
      </c>
      <c r="T15" s="7" t="inlineStr">
        <is>
          <t>registered — legacy series, issued 06.06.2026</t>
        </is>
      </c>
      <c r="U15" s="2" t="inlineStr">
        <is>
          <t>n/a — initial certificate</t>
        </is>
      </c>
      <c r="V15" s="10" t="n">
        <v>16.55</v>
      </c>
      <c r="W15" s="2" t="inlineStr">
        <is>
          <t>ППК25210</t>
        </is>
      </c>
      <c r="X15" s="2" t="inlineStr">
        <is>
          <t>17.00 ± 1.60 (II)</t>
        </is>
      </c>
      <c r="Y15" s="2" t="inlineStr">
        <is>
          <t>15.40 – 18.59 %</t>
        </is>
      </c>
      <c r="Z15" s="2" t="inlineStr">
        <is>
          <t>OPM_THC17 : CBD1</t>
        </is>
      </c>
      <c r="AA15" s="2" t="inlineStr">
        <is>
          <t>QCSP_001_OPM-II_v.01</t>
        </is>
      </c>
      <c r="AB15" s="8" t="inlineStr">
        <is>
          <t>for review — replaces the issued QCSP_001_OPM-II_v.01 (was OPM_THC18 : CBD1, 16.20 – 19.80 %); now OPM_THC17 : CBD1 15.40 – 18.59 %</t>
        </is>
      </c>
      <c r="AC15" s="11" t="inlineStr"/>
    </row>
    <row r="16">
      <c r="A16" s="2">
        <f>IF(OR(C16="yes",C16="allocated",C16="ruled"),COUNT(A$1:A15)+1,"")</f>
        <v/>
      </c>
      <c r="B16" s="3">
        <f>IF(A16&lt;&gt;"","CoQ-PP_26-"&amp;TEXT(A16,"000"),"— at issue —")</f>
        <v/>
      </c>
      <c r="C16" s="4" t="inlineStr">
        <is>
          <t>yes</t>
        </is>
      </c>
      <c r="D16" s="5">
        <f>IF(OR(A16="",C16="allocated",C16="ruled"),"",MAX(E16,IF(ISNUMBER(I16),I16,0),IFERROR(IF(ISNUMBER(INDEX('iCoA Register'!$F:$F,MATCH(S16,'iCoA Register'!$AA:$AA,0))),INDEX('iCoA Register'!$F:$F,MATCH(S16,'iCoA Register'!$AA:$AA,0)),0),0)))</f>
        <v/>
      </c>
      <c r="E16" s="5">
        <f>IF(ISNUMBER(F16),MAX(DATE(2026,6,6),F16+7),DATE(2026,6,6))</f>
        <v/>
      </c>
      <c r="F16" s="5" t="n">
        <v>45764</v>
      </c>
      <c r="G16" s="2" t="inlineStr">
        <is>
          <t>ППК25104</t>
        </is>
      </c>
      <c r="H16" s="2">
        <f>IFERROR(INDEX('iCoA Register'!$B:$B,MATCH("P050092|I",'iCoA Register'!$AA:$AA,0)),"—")</f>
        <v/>
      </c>
      <c r="I16" s="5">
        <f>IFERROR(INDEX('iCoA Register'!$D:$D,MATCH("P050092|I",'iCoA Register'!$AA:$AA,0)),"")</f>
        <v/>
      </c>
      <c r="J16" s="2" t="inlineStr">
        <is>
          <t>legacy</t>
        </is>
      </c>
      <c r="K16" s="2" t="inlineStr">
        <is>
          <t>initial release</t>
        </is>
      </c>
      <c r="L16" s="3" t="inlineStr">
        <is>
          <t>GG1024_01</t>
        </is>
      </c>
      <c r="M16" s="2" t="inlineStr">
        <is>
          <t>P050092</t>
        </is>
      </c>
      <c r="N16" s="2" t="inlineStr">
        <is>
          <t>Gorilla Glue</t>
        </is>
      </c>
      <c r="O16" s="2" t="inlineStr">
        <is>
          <t>ППК25104, (17.04.2025) [CNP]</t>
        </is>
      </c>
      <c r="P16" s="6" t="inlineStr">
        <is>
          <t>—</t>
        </is>
      </c>
      <c r="Q16" s="2" t="inlineStr">
        <is>
          <t>—</t>
        </is>
      </c>
      <c r="R16" s="2" t="inlineStr">
        <is>
          <t>CoQ-PP-2025-0012</t>
        </is>
      </c>
      <c r="S16" s="2" t="inlineStr">
        <is>
          <t>P050092|I</t>
        </is>
      </c>
      <c r="T16" s="7" t="inlineStr">
        <is>
          <t>registered — legacy series, issued 06.06.2026</t>
        </is>
      </c>
      <c r="U16" s="2" t="inlineStr">
        <is>
          <t>n/a — initial certificate</t>
        </is>
      </c>
      <c r="V16" s="10" t="n">
        <v>17.22</v>
      </c>
      <c r="W16" s="2" t="inlineStr">
        <is>
          <t>ППК25104</t>
        </is>
      </c>
      <c r="X16" s="2" t="inlineStr">
        <is>
          <t>18.00 ± 1.77 (I)</t>
        </is>
      </c>
      <c r="Y16" s="2" t="inlineStr">
        <is>
          <t>16.23 – 19.76 %</t>
        </is>
      </c>
      <c r="Z16" s="2" t="inlineStr">
        <is>
          <t>GG_THC18 : CBD1</t>
        </is>
      </c>
      <c r="AA16" s="2" t="inlineStr">
        <is>
          <t>QCSP_001_GG-I_v.01</t>
        </is>
      </c>
      <c r="AB16" s="8" t="inlineStr">
        <is>
          <t>for review — replaces the issued QCSP_001_GG-I_v.01 (was GG_THC18 : CBD1, 17.01 – 18.99 %); now GG_THC18 : CBD1 16.23 – 19.76 %</t>
        </is>
      </c>
      <c r="AC16" s="11" t="inlineStr"/>
    </row>
    <row r="17">
      <c r="A17" s="2">
        <f>IF(OR(C17="yes",C17="allocated",C17="ruled"),COUNT(A$1:A16)+1,"")</f>
        <v/>
      </c>
      <c r="B17" s="3">
        <f>IF(A17&lt;&gt;"","CoQ-PP_26-"&amp;TEXT(A17,"000"),"— at issue —")</f>
        <v/>
      </c>
      <c r="C17" s="4" t="inlineStr">
        <is>
          <t>yes</t>
        </is>
      </c>
      <c r="D17" s="5">
        <f>IF(OR(A17="",C17="allocated",C17="ruled"),"",MAX(E17,IF(ISNUMBER(I17),I17,0),IFERROR(IF(ISNUMBER(INDEX('iCoA Register'!$F:$F,MATCH(S17,'iCoA Register'!$AA:$AA,0))),INDEX('iCoA Register'!$F:$F,MATCH(S17,'iCoA Register'!$AA:$AA,0)),0),0)))</f>
        <v/>
      </c>
      <c r="E17" s="5">
        <f>IF(ISNUMBER(F17),MAX(DATE(2026,6,6),F17+7),DATE(2026,6,6))</f>
        <v/>
      </c>
      <c r="F17" s="5" t="n">
        <v>45764</v>
      </c>
      <c r="G17" s="2" t="inlineStr">
        <is>
          <t>ППК25105</t>
        </is>
      </c>
      <c r="H17" s="2">
        <f>IFERROR(INDEX('iCoA Register'!$B:$B,MATCH("P050102|I",'iCoA Register'!$AA:$AA,0)),"—")</f>
        <v/>
      </c>
      <c r="I17" s="5">
        <f>IFERROR(INDEX('iCoA Register'!$D:$D,MATCH("P050102|I",'iCoA Register'!$AA:$AA,0)),"")</f>
        <v/>
      </c>
      <c r="J17" s="2" t="inlineStr">
        <is>
          <t>legacy</t>
        </is>
      </c>
      <c r="K17" s="2" t="inlineStr">
        <is>
          <t>initial release</t>
        </is>
      </c>
      <c r="L17" s="3" t="inlineStr">
        <is>
          <t>GP0824_01</t>
        </is>
      </c>
      <c r="M17" s="2" t="inlineStr">
        <is>
          <t>P050102</t>
        </is>
      </c>
      <c r="N17" s="2" t="inlineStr">
        <is>
          <t>Grape Pie</t>
        </is>
      </c>
      <c r="O17" s="2" t="inlineStr">
        <is>
          <t>ППК25105, (17.04.2025) [CNP]</t>
        </is>
      </c>
      <c r="P17" s="6" t="inlineStr">
        <is>
          <t>—</t>
        </is>
      </c>
      <c r="Q17" s="2" t="inlineStr">
        <is>
          <t>—</t>
        </is>
      </c>
      <c r="R17" s="2" t="inlineStr">
        <is>
          <t>(assigned on issue)</t>
        </is>
      </c>
      <c r="S17" s="2" t="inlineStr">
        <is>
          <t>P050102|I</t>
        </is>
      </c>
      <c r="T17" s="7" t="inlineStr">
        <is>
          <t>registered — legacy series, issued 06.06.2026</t>
        </is>
      </c>
      <c r="U17" s="2" t="inlineStr">
        <is>
          <t>n/a — initial certificate</t>
        </is>
      </c>
      <c r="V17" s="10" t="n">
        <v>20.79</v>
      </c>
      <c r="W17" s="2" t="inlineStr">
        <is>
          <t>ППК25105</t>
        </is>
      </c>
      <c r="X17" s="2" t="inlineStr">
        <is>
          <t>20.00 ± 2.00 (III)</t>
        </is>
      </c>
      <c r="Y17" s="2" t="inlineStr">
        <is>
          <t>18.00 – 21.99 %</t>
        </is>
      </c>
      <c r="Z17" s="2" t="inlineStr">
        <is>
          <t>GP_THC20 : CBD1</t>
        </is>
      </c>
      <c r="AA17" s="2" t="inlineStr">
        <is>
          <t>QCSP_001_GP-III_v.01</t>
        </is>
      </c>
      <c r="AB17" s="8" t="inlineStr">
        <is>
          <t>for review — replaces the issued QCSP_001_GP-III_v.01 (was GP_THC24 : CBD1, 22.61 – 25.39 %); now GP_THC20 : CBD1 18.00 – 21.99 %</t>
        </is>
      </c>
      <c r="AC17" s="11" t="inlineStr"/>
    </row>
    <row r="18">
      <c r="A18" s="2">
        <f>IF(OR(C18="yes",C18="allocated",C18="ruled"),COUNT(A$1:A17)+1,"")</f>
        <v/>
      </c>
      <c r="B18" s="3">
        <f>IF(A18&lt;&gt;"","CoQ-PP_26-"&amp;TEXT(A18,"000"),"— at issue —")</f>
        <v/>
      </c>
      <c r="C18" s="4" t="inlineStr">
        <is>
          <t>yes</t>
        </is>
      </c>
      <c r="D18" s="5">
        <f>IF(OR(A18="",C18="allocated",C18="ruled"),"",MAX(E18,IF(ISNUMBER(I18),I18,0),IFERROR(IF(ISNUMBER(INDEX('iCoA Register'!$F:$F,MATCH(S18,'iCoA Register'!$AA:$AA,0))),INDEX('iCoA Register'!$F:$F,MATCH(S18,'iCoA Register'!$AA:$AA,0)),0),0)))</f>
        <v/>
      </c>
      <c r="E18" s="5">
        <f>IF(ISNUMBER(F18),MAX(DATE(2026,6,6),F18+7),DATE(2026,6,6))</f>
        <v/>
      </c>
      <c r="F18" s="5" t="n">
        <v>45867</v>
      </c>
      <c r="G18" s="2" t="inlineStr">
        <is>
          <t>767-1376-25</t>
        </is>
      </c>
      <c r="H18" s="2">
        <f>IFERROR(INDEX('iCoA Register'!$B:$B,MATCH("P050112|I",'iCoA Register'!$AA:$AA,0)),"—")</f>
        <v/>
      </c>
      <c r="I18" s="5">
        <f>IFERROR(INDEX('iCoA Register'!$D:$D,MATCH("P050112|I",'iCoA Register'!$AA:$AA,0)),"")</f>
        <v/>
      </c>
      <c r="J18" s="2" t="inlineStr">
        <is>
          <t>legacy</t>
        </is>
      </c>
      <c r="K18" s="2" t="inlineStr">
        <is>
          <t>initial release</t>
        </is>
      </c>
      <c r="L18" s="3" t="inlineStr">
        <is>
          <t>MB0824_05</t>
        </is>
      </c>
      <c r="M18" s="2" t="inlineStr">
        <is>
          <t>P050112</t>
        </is>
      </c>
      <c r="N18" s="2" t="inlineStr">
        <is>
          <t>Motor Breath</t>
        </is>
      </c>
      <c r="O18" s="2" t="inlineStr">
        <is>
          <t>ППК25211, (28.07.2025) [CNP]</t>
        </is>
      </c>
      <c r="P18" s="6" t="inlineStr">
        <is>
          <t>—</t>
        </is>
      </c>
      <c r="Q18" s="2" t="inlineStr">
        <is>
          <t>—</t>
        </is>
      </c>
      <c r="R18" s="2" t="inlineStr">
        <is>
          <t>CoQ-PP-2025-0013</t>
        </is>
      </c>
      <c r="S18" s="2" t="inlineStr">
        <is>
          <t>P050112|I</t>
        </is>
      </c>
      <c r="T18" s="7" t="inlineStr">
        <is>
          <t>registered — legacy series, issued 06.06.2026</t>
        </is>
      </c>
      <c r="U18" s="2" t="inlineStr">
        <is>
          <t>n/a — initial certificate</t>
        </is>
      </c>
      <c r="V18" s="10" t="n">
        <v>16.82</v>
      </c>
      <c r="W18" s="2" t="inlineStr">
        <is>
          <t>ППК25211</t>
        </is>
      </c>
      <c r="X18" s="2" t="inlineStr">
        <is>
          <t>18.00 ± 1.80 (I)</t>
        </is>
      </c>
      <c r="Y18" s="2" t="inlineStr">
        <is>
          <t>16.20 – 19.79 %</t>
        </is>
      </c>
      <c r="Z18" s="2" t="inlineStr">
        <is>
          <t>MB_THC18 : CBD1</t>
        </is>
      </c>
      <c r="AA18" s="2" t="inlineStr">
        <is>
          <t>QCSP_001_MB-I_v.01</t>
        </is>
      </c>
      <c r="AB18" s="8" t="inlineStr">
        <is>
          <t>for review — replaces the issued QCSP_001_MB-I_v.01 (was MB_THC18 : CBD1, 16.20 – 19.80 %); now MB_THC18 : CBD1 16.20 – 19.79 %</t>
        </is>
      </c>
      <c r="AC18" s="11" t="inlineStr"/>
    </row>
    <row r="19">
      <c r="A19" s="2">
        <f>IF(OR(C19="yes",C19="allocated",C19="ruled"),COUNT(A$1:A18)+1,"")</f>
        <v/>
      </c>
      <c r="B19" s="3">
        <f>IF(A19&lt;&gt;"","CoQ-PP_26-"&amp;TEXT(A19,"000"),"— at issue —")</f>
        <v/>
      </c>
      <c r="C19" s="4" t="inlineStr">
        <is>
          <t>yes</t>
        </is>
      </c>
      <c r="D19" s="5">
        <f>IF(OR(A19="",C19="allocated",C19="ruled"),"",MAX(E19,IF(ISNUMBER(I19),I19,0),IFERROR(IF(ISNUMBER(INDEX('iCoA Register'!$F:$F,MATCH(S19,'iCoA Register'!$AA:$AA,0))),INDEX('iCoA Register'!$F:$F,MATCH(S19,'iCoA Register'!$AA:$AA,0)),0),0)))</f>
        <v/>
      </c>
      <c r="E19" s="5">
        <f>IF(ISNUMBER(F19),MAX(DATE(2026,6,6),F19+7),DATE(2026,6,6))</f>
        <v/>
      </c>
      <c r="F19" s="5" t="n">
        <v>45848</v>
      </c>
      <c r="G19" s="2" t="inlineStr">
        <is>
          <t>ППК25176</t>
        </is>
      </c>
      <c r="H19" s="2">
        <f>IFERROR(INDEX('iCoA Register'!$B:$B,MATCH("P050122|I",'iCoA Register'!$AA:$AA,0)),"—")</f>
        <v/>
      </c>
      <c r="I19" s="5">
        <f>IFERROR(INDEX('iCoA Register'!$D:$D,MATCH("P050122|I",'iCoA Register'!$AA:$AA,0)),"")</f>
        <v/>
      </c>
      <c r="J19" s="2" t="inlineStr">
        <is>
          <t>legacy</t>
        </is>
      </c>
      <c r="K19" s="2" t="inlineStr">
        <is>
          <t>initial release</t>
        </is>
      </c>
      <c r="L19" s="3" t="inlineStr">
        <is>
          <t>BSS1024_01/1</t>
        </is>
      </c>
      <c r="M19" s="2" t="inlineStr">
        <is>
          <t>P050122</t>
        </is>
      </c>
      <c r="N19" s="2" t="inlineStr">
        <is>
          <t>Blue Sunset Sherbet</t>
        </is>
      </c>
      <c r="O19" s="2" t="inlineStr">
        <is>
          <t>ППК25176, (10.07.2025) [CNP]</t>
        </is>
      </c>
      <c r="P19" s="6" t="inlineStr">
        <is>
          <t>—</t>
        </is>
      </c>
      <c r="Q19" s="2" t="inlineStr">
        <is>
          <t>—</t>
        </is>
      </c>
      <c r="R19" s="2" t="inlineStr">
        <is>
          <t>(assigned on issue)</t>
        </is>
      </c>
      <c r="S19" s="2" t="inlineStr">
        <is>
          <t>P050122|I</t>
        </is>
      </c>
      <c r="T19" s="7" t="inlineStr">
        <is>
          <t>registered — legacy series, issued 06.06.2026</t>
        </is>
      </c>
      <c r="U19" s="2" t="inlineStr">
        <is>
          <t>n/a — initial certificate</t>
        </is>
      </c>
      <c r="V19" s="10" t="n">
        <v>23.42</v>
      </c>
      <c r="W19" s="2" t="inlineStr">
        <is>
          <t>ППК25176</t>
        </is>
      </c>
      <c r="X19" s="2" t="inlineStr">
        <is>
          <t>24.00 ± 2.11 (II)</t>
        </is>
      </c>
      <c r="Y19" s="2" t="inlineStr">
        <is>
          <t>21.89 – 26.10 %</t>
        </is>
      </c>
      <c r="Z19" s="2" t="inlineStr">
        <is>
          <t>BSS_THC24 : CBD1</t>
        </is>
      </c>
      <c r="AA19" s="2" t="inlineStr">
        <is>
          <t>QCSP_001_BSS-II_v.01</t>
        </is>
      </c>
      <c r="AB19" s="8" t="inlineStr">
        <is>
          <t>for review — replaces the issued QCSP_001_BSS-II_v.01 (was BSS_THC20 : CBD1, 18.00 – 22.00 %); now BSS_THC24 : CBD1 21.89 – 26.10 %</t>
        </is>
      </c>
      <c r="AC19" s="11" t="inlineStr"/>
    </row>
    <row r="20">
      <c r="A20" s="2">
        <f>IF(OR(C20="yes",C20="allocated",C20="ruled"),COUNT(A$1:A19)+1,"")</f>
        <v/>
      </c>
      <c r="B20" s="3">
        <f>IF(A20&lt;&gt;"","CoQ-PP_26-"&amp;TEXT(A20,"000"),"— at issue —")</f>
        <v/>
      </c>
      <c r="C20" s="4" t="inlineStr">
        <is>
          <t>yes</t>
        </is>
      </c>
      <c r="D20" s="5">
        <f>IF(OR(A20="",C20="allocated",C20="ruled"),"",MAX(E20,IF(ISNUMBER(I20),I20,0),IFERROR(IF(ISNUMBER(INDEX('iCoA Register'!$F:$F,MATCH(S20,'iCoA Register'!$AA:$AA,0))),INDEX('iCoA Register'!$F:$F,MATCH(S20,'iCoA Register'!$AA:$AA,0)),0),0)))</f>
        <v/>
      </c>
      <c r="E20" s="5">
        <f>IF(ISNUMBER(F20),MAX(DATE(2026,6,6),F20+7),DATE(2026,6,6))</f>
        <v/>
      </c>
      <c r="F20" s="5" t="n">
        <v>45905</v>
      </c>
      <c r="G20" s="2" t="inlineStr">
        <is>
          <t>ППК25257</t>
        </is>
      </c>
      <c r="H20" s="2">
        <f>IFERROR(INDEX('iCoA Register'!$B:$B,MATCH("P050132|I",'iCoA Register'!$AA:$AA,0)),"—")</f>
        <v/>
      </c>
      <c r="I20" s="5">
        <f>IFERROR(INDEX('iCoA Register'!$D:$D,MATCH("P050132|I",'iCoA Register'!$AA:$AA,0)),"")</f>
        <v/>
      </c>
      <c r="J20" s="2" t="inlineStr">
        <is>
          <t>legacy</t>
        </is>
      </c>
      <c r="K20" s="2" t="inlineStr">
        <is>
          <t>initial release</t>
        </is>
      </c>
      <c r="L20" s="3" t="inlineStr">
        <is>
          <t>OPM052501</t>
        </is>
      </c>
      <c r="M20" s="2" t="inlineStr">
        <is>
          <t>P050132</t>
        </is>
      </c>
      <c r="N20" s="2" t="inlineStr">
        <is>
          <t>Orange Punch Mimosa</t>
        </is>
      </c>
      <c r="O20" s="2" t="inlineStr">
        <is>
          <t>ППК25257, (05.09.2025) [CNP]</t>
        </is>
      </c>
      <c r="P20" s="6" t="inlineStr">
        <is>
          <t>—</t>
        </is>
      </c>
      <c r="Q20" s="2" t="inlineStr">
        <is>
          <t>—</t>
        </is>
      </c>
      <c r="R20" s="2" t="inlineStr">
        <is>
          <t>(assigned on issue)</t>
        </is>
      </c>
      <c r="S20" s="2" t="inlineStr">
        <is>
          <t>P050132|I</t>
        </is>
      </c>
      <c r="T20" s="7" t="inlineStr">
        <is>
          <t>registered — legacy series, issued 06.06.2026</t>
        </is>
      </c>
      <c r="U20" s="2" t="inlineStr">
        <is>
          <t>n/a — initial certificate</t>
        </is>
      </c>
      <c r="V20" s="10" t="n">
        <v>14.16</v>
      </c>
      <c r="W20" s="2" t="inlineStr">
        <is>
          <t>ППК25257</t>
        </is>
      </c>
      <c r="X20" s="2" t="inlineStr">
        <is>
          <t>14.00 ± 1.40 (III)</t>
        </is>
      </c>
      <c r="Y20" s="2" t="inlineStr">
        <is>
          <t>12.60 – 15.39 %</t>
        </is>
      </c>
      <c r="Z20" s="2" t="inlineStr">
        <is>
          <t>OPM_THC14 : CBD1</t>
        </is>
      </c>
      <c r="AA20" s="2" t="inlineStr">
        <is>
          <t>QCSP_001_OPM-III_v.01</t>
        </is>
      </c>
      <c r="AB20" s="11" t="inlineStr">
        <is>
          <t>for review — new</t>
        </is>
      </c>
      <c r="AC20" s="11" t="inlineStr"/>
    </row>
    <row r="21">
      <c r="A21" s="2">
        <f>IF(OR(C21="yes",C21="allocated",C21="ruled"),COUNT(A$1:A20)+1,"")</f>
        <v/>
      </c>
      <c r="B21" s="3">
        <f>IF(A21&lt;&gt;"","CoQ-PP_26-"&amp;TEXT(A21,"000"),"— at issue —")</f>
        <v/>
      </c>
      <c r="C21" s="4" t="inlineStr">
        <is>
          <t>yes</t>
        </is>
      </c>
      <c r="D21" s="5">
        <f>IF(OR(A21="",C21="allocated",C21="ruled"),"",MAX(E21,IF(ISNUMBER(I21),I21,0),IFERROR(IF(ISNUMBER(INDEX('iCoA Register'!$F:$F,MATCH(S21,'iCoA Register'!$AA:$AA,0))),INDEX('iCoA Register'!$F:$F,MATCH(S21,'iCoA Register'!$AA:$AA,0)),0),0)))</f>
        <v/>
      </c>
      <c r="E21" s="5">
        <f>IF(ISNUMBER(F21),MAX(DATE(2026,6,6),F21+7),DATE(2026,6,6))</f>
        <v/>
      </c>
      <c r="F21" s="5" t="n">
        <v>45919</v>
      </c>
      <c r="G21" s="2" t="inlineStr">
        <is>
          <t>ППК25279</t>
        </is>
      </c>
      <c r="H21" s="2">
        <f>IFERROR(INDEX('iCoA Register'!$B:$B,MATCH("P050152|I",'iCoA Register'!$AA:$AA,0)),"—")</f>
        <v/>
      </c>
      <c r="I21" s="5">
        <f>IFERROR(INDEX('iCoA Register'!$D:$D,MATCH("P050152|I",'iCoA Register'!$AA:$AA,0)),"")</f>
        <v/>
      </c>
      <c r="J21" s="2" t="inlineStr">
        <is>
          <t>legacy</t>
        </is>
      </c>
      <c r="K21" s="2" t="inlineStr">
        <is>
          <t>initial release</t>
        </is>
      </c>
      <c r="L21" s="3" t="inlineStr">
        <is>
          <t>GP052501</t>
        </is>
      </c>
      <c r="M21" s="2" t="inlineStr">
        <is>
          <t>P050152</t>
        </is>
      </c>
      <c r="N21" s="2" t="inlineStr">
        <is>
          <t>Grape Pie</t>
        </is>
      </c>
      <c r="O21" s="2" t="inlineStr">
        <is>
          <t>ППК25279, (19.09.2025) [CNP]</t>
        </is>
      </c>
      <c r="P21" s="6" t="inlineStr">
        <is>
          <t>—</t>
        </is>
      </c>
      <c r="Q21" s="2" t="inlineStr">
        <is>
          <t>—</t>
        </is>
      </c>
      <c r="R21" s="2" t="inlineStr">
        <is>
          <t>CoQ-PP-2025-0014</t>
        </is>
      </c>
      <c r="S21" s="2" t="inlineStr">
        <is>
          <t>P050152|I</t>
        </is>
      </c>
      <c r="T21" s="7" t="inlineStr">
        <is>
          <t>registered — legacy series, issued 06.06.2026</t>
        </is>
      </c>
      <c r="U21" s="2" t="inlineStr">
        <is>
          <t>n/a — initial certificate</t>
        </is>
      </c>
      <c r="V21" s="10" t="n">
        <v>18.98</v>
      </c>
      <c r="W21" s="2" t="inlineStr">
        <is>
          <t>ППК25279</t>
        </is>
      </c>
      <c r="X21" s="2" t="inlineStr">
        <is>
          <t>20.00 ± 2.00 (III)</t>
        </is>
      </c>
      <c r="Y21" s="2" t="inlineStr">
        <is>
          <t>18.00 – 21.99 %</t>
        </is>
      </c>
      <c r="Z21" s="2" t="inlineStr">
        <is>
          <t>GP_THC20 : CBD1</t>
        </is>
      </c>
      <c r="AA21" s="2" t="inlineStr">
        <is>
          <t>QCSP_001_GP-III_v.01</t>
        </is>
      </c>
      <c r="AB21" s="8" t="inlineStr">
        <is>
          <t>for review — replaces the issued QCSP_001_GP-III_v.01 (was GP_THC24 : CBD1, 22.61 – 25.39 %); now GP_THC20 : CBD1 18.00 – 21.99 %</t>
        </is>
      </c>
      <c r="AC21" s="11" t="inlineStr"/>
    </row>
    <row r="22">
      <c r="A22" s="2">
        <f>IF(OR(C22="yes",C22="allocated",C22="ruled"),COUNT(A$1:A21)+1,"")</f>
        <v/>
      </c>
      <c r="B22" s="3">
        <f>IF(A22&lt;&gt;"","CoQ-PP_26-"&amp;TEXT(A22,"000"),"— at issue —")</f>
        <v/>
      </c>
      <c r="C22" s="4" t="inlineStr">
        <is>
          <t>yes</t>
        </is>
      </c>
      <c r="D22" s="5">
        <f>IF(OR(A22="",C22="allocated",C22="ruled"),"",MAX(E22,IF(ISNUMBER(I22),I22,0),IFERROR(IF(ISNUMBER(INDEX('iCoA Register'!$F:$F,MATCH(S22,'iCoA Register'!$AA:$AA,0))),INDEX('iCoA Register'!$F:$F,MATCH(S22,'iCoA Register'!$AA:$AA,0)),0),0)))</f>
        <v/>
      </c>
      <c r="E22" s="5">
        <f>IF(ISNUMBER(F22),MAX(DATE(2026,6,6),F22+7),DATE(2026,6,6))</f>
        <v/>
      </c>
      <c r="F22" s="5" t="inlineStr">
        <is>
          <t>—</t>
        </is>
      </c>
      <c r="G22" s="2" t="inlineStr">
        <is>
          <t>—</t>
        </is>
      </c>
      <c r="H22" s="2">
        <f>IFERROR(INDEX('iCoA Register'!$B:$B,MATCH("P050142|I",'iCoA Register'!$AA:$AA,0)),"—")</f>
        <v/>
      </c>
      <c r="I22" s="5">
        <f>IFERROR(INDEX('iCoA Register'!$D:$D,MATCH("P050142|I",'iCoA Register'!$AA:$AA,0)),"")</f>
        <v/>
      </c>
      <c r="J22" s="2" t="inlineStr">
        <is>
          <t>legacy</t>
        </is>
      </c>
      <c r="K22" s="2" t="inlineStr">
        <is>
          <t>initial release</t>
        </is>
      </c>
      <c r="L22" s="3" t="inlineStr">
        <is>
          <t>BSS1024_01/2</t>
        </is>
      </c>
      <c r="M22" s="2" t="inlineStr">
        <is>
          <t>P050142</t>
        </is>
      </c>
      <c r="N22" s="2" t="inlineStr">
        <is>
          <t>Blue Sunset Sherbet</t>
        </is>
      </c>
      <c r="O22" s="6" t="inlineStr">
        <is>
          <t>— no cannabinoid certificate from the initial testing —</t>
        </is>
      </c>
      <c r="P22" s="6" t="inlineStr">
        <is>
          <t>—</t>
        </is>
      </c>
      <c r="Q22" s="2" t="inlineStr">
        <is>
          <t>—</t>
        </is>
      </c>
      <c r="R22" s="2" t="inlineStr">
        <is>
          <t>(assigned on issue)</t>
        </is>
      </c>
      <c r="S22" s="2" t="inlineStr">
        <is>
          <t>P050142|I</t>
        </is>
      </c>
      <c r="T22" s="7" t="inlineStr">
        <is>
          <t>registered — legacy series, issued 06.06.2026 · initial certificate to locate: #3 (CNP), #4 (CNP), #5 (CNP), #6 (CNP), #8 (CNP), #9 (IJZ), #10 (CNP), #11 (CNP), #12 (CNP)</t>
        </is>
      </c>
      <c r="U22" s="2" t="inlineStr">
        <is>
          <t>n/a — initial certificate</t>
        </is>
      </c>
      <c r="V22" s="2" t="inlineStr">
        <is>
          <t>—</t>
        </is>
      </c>
      <c r="W22" s="2" t="inlineStr">
        <is>
          <t>—</t>
        </is>
      </c>
      <c r="X22" s="2" t="inlineStr">
        <is>
          <t>—</t>
        </is>
      </c>
      <c r="Y22" s="2" t="inlineStr">
        <is>
          <t>—</t>
        </is>
      </c>
      <c r="Z22" s="2" t="inlineStr">
        <is>
          <t>—</t>
        </is>
      </c>
      <c r="AA22" s="2" t="inlineStr">
        <is>
          <t>—</t>
        </is>
      </c>
      <c r="AB22" s="11" t="inlineStr">
        <is>
          <t>—</t>
        </is>
      </c>
      <c r="AC22" s="8" t="inlineStr">
        <is>
          <t>no Total THC result on this certificate</t>
        </is>
      </c>
    </row>
    <row r="23">
      <c r="A23" s="2">
        <f>IF(OR(C23="yes",C23="allocated",C23="ruled"),COUNT(A$1:A22)+1,"")</f>
        <v/>
      </c>
      <c r="B23" s="3">
        <f>IF(A23&lt;&gt;"","CoQ-PP_26-"&amp;TEXT(A23,"000"),"— at issue —")</f>
        <v/>
      </c>
      <c r="C23" s="4" t="inlineStr">
        <is>
          <t>yes</t>
        </is>
      </c>
      <c r="D23" s="5">
        <f>IF(OR(A23="",C23="allocated",C23="ruled"),"",MAX(E23,IF(ISNUMBER(I23),I23,0),IFERROR(IF(ISNUMBER(INDEX('iCoA Register'!$F:$F,MATCH(S23,'iCoA Register'!$AA:$AA,0))),INDEX('iCoA Register'!$F:$F,MATCH(S23,'iCoA Register'!$AA:$AA,0)),0),0)))</f>
        <v/>
      </c>
      <c r="E23" s="5">
        <f>IF(ISNUMBER(F23),MAX(DATE(2026,6,6),F23+7),DATE(2026,6,6))</f>
        <v/>
      </c>
      <c r="F23" s="5" t="n">
        <v>45917</v>
      </c>
      <c r="G23" s="2" t="inlineStr">
        <is>
          <t>ППК25280</t>
        </is>
      </c>
      <c r="H23" s="2">
        <f>IFERROR(INDEX('iCoA Register'!$B:$B,MATCH("P050162|I",'iCoA Register'!$AA:$AA,0)),"—")</f>
        <v/>
      </c>
      <c r="I23" s="5">
        <f>IFERROR(INDEX('iCoA Register'!$D:$D,MATCH("P050162|I",'iCoA Register'!$AA:$AA,0)),"")</f>
        <v/>
      </c>
      <c r="J23" s="2" t="inlineStr">
        <is>
          <t>legacy</t>
        </is>
      </c>
      <c r="K23" s="2" t="inlineStr">
        <is>
          <t>initial release</t>
        </is>
      </c>
      <c r="L23" s="3" t="inlineStr">
        <is>
          <t>CJ052501/01</t>
        </is>
      </c>
      <c r="M23" s="2" t="inlineStr">
        <is>
          <t>P050162</t>
        </is>
      </c>
      <c r="N23" s="2" t="inlineStr">
        <is>
          <t>Cap Junky</t>
        </is>
      </c>
      <c r="O23" s="2" t="inlineStr">
        <is>
          <t>ППК25280, (17.09.2025) [CNP]</t>
        </is>
      </c>
      <c r="P23" s="6" t="inlineStr">
        <is>
          <t>—</t>
        </is>
      </c>
      <c r="Q23" s="2" t="inlineStr">
        <is>
          <t>—</t>
        </is>
      </c>
      <c r="R23" s="2" t="inlineStr">
        <is>
          <t>CoQ-PP-2025-0015</t>
        </is>
      </c>
      <c r="S23" s="2" t="inlineStr">
        <is>
          <t>P050162|I</t>
        </is>
      </c>
      <c r="T23" s="7" t="inlineStr">
        <is>
          <t>registered — legacy series, issued 06.06.2026</t>
        </is>
      </c>
      <c r="U23" s="2" t="inlineStr">
        <is>
          <t>n/a — initial certificate</t>
        </is>
      </c>
      <c r="V23" s="10" t="n">
        <v>20.29</v>
      </c>
      <c r="W23" s="2" t="inlineStr">
        <is>
          <t>ППК25280</t>
        </is>
      </c>
      <c r="X23" s="2" t="inlineStr">
        <is>
          <t>20.00 ± 1.60 (III)</t>
        </is>
      </c>
      <c r="Y23" s="2" t="inlineStr">
        <is>
          <t>18.40 – 21.59 %</t>
        </is>
      </c>
      <c r="Z23" s="2" t="inlineStr">
        <is>
          <t>CJ_THC20 : CBD1</t>
        </is>
      </c>
      <c r="AA23" s="2" t="inlineStr">
        <is>
          <t>QCSP_001_CJ-III_v.01</t>
        </is>
      </c>
      <c r="AB23" s="8" t="inlineStr">
        <is>
          <t>for review — replaces the issued QCSP_001_CJ-III_v.01 (was CJ_THC24 : CBD1, 23.00 – 25.00 %); now CJ_THC20 : CBD1 18.40 – 21.59 %</t>
        </is>
      </c>
      <c r="AC23" s="11" t="inlineStr"/>
    </row>
    <row r="24">
      <c r="A24" s="2">
        <f>IF(OR(C24="yes",C24="allocated",C24="ruled"),COUNT(A$1:A23)+1,"")</f>
        <v/>
      </c>
      <c r="B24" s="3">
        <f>IF(A24&lt;&gt;"","CoQ-PP_26-"&amp;TEXT(A24,"000"),"— at issue —")</f>
        <v/>
      </c>
      <c r="C24" s="4" t="inlineStr">
        <is>
          <t>yes</t>
        </is>
      </c>
      <c r="D24" s="5">
        <f>IF(OR(A24="",C24="allocated",C24="ruled"),"",MAX(E24,IF(ISNUMBER(I24),I24,0),IFERROR(IF(ISNUMBER(INDEX('iCoA Register'!$F:$F,MATCH(S24,'iCoA Register'!$AA:$AA,0))),INDEX('iCoA Register'!$F:$F,MATCH(S24,'iCoA Register'!$AA:$AA,0)),0),0)))</f>
        <v/>
      </c>
      <c r="E24" s="5">
        <f>IF(ISNUMBER(F24),MAX(DATE(2026,6,6),F24+7),DATE(2026,6,6))</f>
        <v/>
      </c>
      <c r="F24" s="5" t="n">
        <v>45917</v>
      </c>
      <c r="G24" s="2" t="inlineStr">
        <is>
          <t>ППК25281</t>
        </is>
      </c>
      <c r="H24" s="2">
        <f>IFERROR(INDEX('iCoA Register'!$B:$B,MATCH("P050172|I",'iCoA Register'!$AA:$AA,0)),"—")</f>
        <v/>
      </c>
      <c r="I24" s="5">
        <f>IFERROR(INDEX('iCoA Register'!$D:$D,MATCH("P050172|I",'iCoA Register'!$AA:$AA,0)),"")</f>
        <v/>
      </c>
      <c r="J24" s="2" t="inlineStr">
        <is>
          <t>legacy</t>
        </is>
      </c>
      <c r="K24" s="2" t="inlineStr">
        <is>
          <t>initial release</t>
        </is>
      </c>
      <c r="L24" s="3" t="inlineStr">
        <is>
          <t>CJ052501/02</t>
        </is>
      </c>
      <c r="M24" s="2" t="inlineStr">
        <is>
          <t>P050172</t>
        </is>
      </c>
      <c r="N24" s="2" t="inlineStr">
        <is>
          <t>Cap Junky</t>
        </is>
      </c>
      <c r="O24" s="2" t="inlineStr">
        <is>
          <t>ППК25281, (17.09.2025) [CNP]</t>
        </is>
      </c>
      <c r="P24" s="6" t="inlineStr">
        <is>
          <t>—</t>
        </is>
      </c>
      <c r="Q24" s="2" t="inlineStr">
        <is>
          <t>—</t>
        </is>
      </c>
      <c r="R24" s="2" t="inlineStr">
        <is>
          <t>(assigned on issue)</t>
        </is>
      </c>
      <c r="S24" s="2" t="inlineStr">
        <is>
          <t>P050172|I</t>
        </is>
      </c>
      <c r="T24" s="7" t="inlineStr">
        <is>
          <t>registered — legacy series, issued 06.06.2026</t>
        </is>
      </c>
      <c r="U24" s="2" t="inlineStr">
        <is>
          <t>n/a — initial certificate</t>
        </is>
      </c>
      <c r="V24" s="10" t="n">
        <v>14.93</v>
      </c>
      <c r="W24" s="2" t="inlineStr">
        <is>
          <t>ППК25281</t>
        </is>
      </c>
      <c r="X24" s="2" t="inlineStr">
        <is>
          <t>14.00 ± 1.40 (V)</t>
        </is>
      </c>
      <c r="Y24" s="2" t="inlineStr">
        <is>
          <t>12.60 – 15.39 %</t>
        </is>
      </c>
      <c r="Z24" s="2" t="inlineStr">
        <is>
          <t>CJ_THC14 : CBD1</t>
        </is>
      </c>
      <c r="AA24" s="2" t="inlineStr">
        <is>
          <t>QCSP_001_CJ-V_v.01</t>
        </is>
      </c>
      <c r="AB24" s="11" t="inlineStr">
        <is>
          <t>for review — new</t>
        </is>
      </c>
      <c r="AC24" s="11" t="inlineStr"/>
    </row>
    <row r="25">
      <c r="A25" s="2">
        <f>IF(OR(C25="yes",C25="allocated",C25="ruled"),COUNT(A$1:A24)+1,"")</f>
        <v/>
      </c>
      <c r="B25" s="3">
        <f>IF(A25&lt;&gt;"","CoQ-PP_26-"&amp;TEXT(A25,"000"),"— at issue —")</f>
        <v/>
      </c>
      <c r="C25" s="4" t="inlineStr">
        <is>
          <t>yes</t>
        </is>
      </c>
      <c r="D25" s="5">
        <f>IF(OR(A25="",C25="allocated",C25="ruled"),"",MAX(E25,IF(ISNUMBER(I25),I25,0),IFERROR(IF(ISNUMBER(INDEX('iCoA Register'!$F:$F,MATCH(S25,'iCoA Register'!$AA:$AA,0))),INDEX('iCoA Register'!$F:$F,MATCH(S25,'iCoA Register'!$AA:$AA,0)),0),0)))</f>
        <v/>
      </c>
      <c r="E25" s="5">
        <f>IF(ISNUMBER(F25),MAX(DATE(2026,6,6),F25+7),DATE(2026,6,6))</f>
        <v/>
      </c>
      <c r="F25" s="5" t="n">
        <v>45919</v>
      </c>
      <c r="G25" s="2" t="inlineStr">
        <is>
          <t>ППК25278</t>
        </is>
      </c>
      <c r="H25" s="2">
        <f>IFERROR(INDEX('iCoA Register'!$B:$B,MATCH("P050182|I",'iCoA Register'!$AA:$AA,0)),"—")</f>
        <v/>
      </c>
      <c r="I25" s="5">
        <f>IFERROR(INDEX('iCoA Register'!$D:$D,MATCH("P050182|I",'iCoA Register'!$AA:$AA,0)),"")</f>
        <v/>
      </c>
      <c r="J25" s="2" t="inlineStr">
        <is>
          <t>legacy</t>
        </is>
      </c>
      <c r="K25" s="2" t="inlineStr">
        <is>
          <t>initial release</t>
        </is>
      </c>
      <c r="L25" s="3" t="inlineStr">
        <is>
          <t>HPA052501</t>
        </is>
      </c>
      <c r="M25" s="2" t="inlineStr">
        <is>
          <t>P050182</t>
        </is>
      </c>
      <c r="N25" s="2" t="inlineStr">
        <is>
          <t>High Pro Amnesia</t>
        </is>
      </c>
      <c r="O25" s="2" t="inlineStr">
        <is>
          <t>ППК25278, (19.09.2025) [CNP]</t>
        </is>
      </c>
      <c r="P25" s="6" t="inlineStr">
        <is>
          <t>—</t>
        </is>
      </c>
      <c r="Q25" s="2" t="inlineStr">
        <is>
          <t>—</t>
        </is>
      </c>
      <c r="R25" s="2" t="inlineStr">
        <is>
          <t>CoQ-PP-2025-0016</t>
        </is>
      </c>
      <c r="S25" s="2" t="inlineStr">
        <is>
          <t>P050182|I</t>
        </is>
      </c>
      <c r="T25" s="7" t="inlineStr">
        <is>
          <t>registered — legacy series, issued 06.06.2026</t>
        </is>
      </c>
      <c r="U25" s="2" t="inlineStr">
        <is>
          <t>n/a — initial certificate</t>
        </is>
      </c>
      <c r="V25" s="10" t="n">
        <v>20.39</v>
      </c>
      <c r="W25" s="2" t="inlineStr">
        <is>
          <t>ППК25278</t>
        </is>
      </c>
      <c r="X25" s="2" t="inlineStr">
        <is>
          <t>22.00 ± 2.20 (I)</t>
        </is>
      </c>
      <c r="Y25" s="2" t="inlineStr">
        <is>
          <t>19.80 – 24.19 %</t>
        </is>
      </c>
      <c r="Z25" s="2" t="inlineStr">
        <is>
          <t>HPA_THC22 : CBD1</t>
        </is>
      </c>
      <c r="AA25" s="2" t="inlineStr">
        <is>
          <t>QCSP_001_HPA-I_v.01</t>
        </is>
      </c>
      <c r="AB25" s="8" t="inlineStr">
        <is>
          <t>for review — replaces the issued QCSP_001_HPA-I_v.01 (was HPA_THC22 : CBD1, 21.00 – 23.00 %); now HPA_THC22 : CBD1 19.80 – 24.19 %</t>
        </is>
      </c>
      <c r="AC25" s="11" t="inlineStr"/>
    </row>
    <row r="26">
      <c r="A26" s="2">
        <f>IF(OR(C26="yes",C26="allocated",C26="ruled"),COUNT(A$1:A25)+1,"")</f>
        <v/>
      </c>
      <c r="B26" s="3">
        <f>IF(A26&lt;&gt;"","CoQ-PP_26-"&amp;TEXT(A26,"000"),"— at issue —")</f>
        <v/>
      </c>
      <c r="C26" s="4" t="inlineStr">
        <is>
          <t>yes</t>
        </is>
      </c>
      <c r="D26" s="5">
        <f>IF(OR(A26="",C26="allocated",C26="ruled"),"",MAX(E26,IF(ISNUMBER(I26),I26,0),IFERROR(IF(ISNUMBER(INDEX('iCoA Register'!$F:$F,MATCH(S26,'iCoA Register'!$AA:$AA,0))),INDEX('iCoA Register'!$F:$F,MATCH(S26,'iCoA Register'!$AA:$AA,0)),0),0)))</f>
        <v/>
      </c>
      <c r="E26" s="5">
        <f>IF(ISNUMBER(F26),MAX(DATE(2026,6,6),F26+7),DATE(2026,6,6))</f>
        <v/>
      </c>
      <c r="F26" s="5" t="n">
        <v>45992</v>
      </c>
      <c r="G26" s="2" t="inlineStr">
        <is>
          <t>5661-2025</t>
        </is>
      </c>
      <c r="H26" s="2">
        <f>IFERROR(INDEX('iCoA Register'!$B:$B,MATCH("P050192|I",'iCoA Register'!$AA:$AA,0)),"—")</f>
        <v/>
      </c>
      <c r="I26" s="5">
        <f>IFERROR(INDEX('iCoA Register'!$D:$D,MATCH("P050192|I",'iCoA Register'!$AA:$AA,0)),"")</f>
        <v/>
      </c>
      <c r="J26" s="2" t="inlineStr">
        <is>
          <t>legacy</t>
        </is>
      </c>
      <c r="K26" s="2" t="inlineStr">
        <is>
          <t>initial release</t>
        </is>
      </c>
      <c r="L26" s="3" t="inlineStr">
        <is>
          <t>BSS052501</t>
        </is>
      </c>
      <c r="M26" s="2" t="inlineStr">
        <is>
          <t>P050192</t>
        </is>
      </c>
      <c r="N26" s="2" t="inlineStr">
        <is>
          <t>Sleepy Joe</t>
        </is>
      </c>
      <c r="O26" s="2" t="inlineStr">
        <is>
          <t>NGP-QCG-SOP-024 F3, (28.11.2025) [NGP]</t>
        </is>
      </c>
      <c r="P26" s="6" t="inlineStr">
        <is>
          <t>—</t>
        </is>
      </c>
      <c r="Q26" s="2" t="inlineStr">
        <is>
          <t>PP CoA #017 of 04.12.2025</t>
        </is>
      </c>
      <c r="R26" s="2" t="inlineStr">
        <is>
          <t>CoQ-PP-2025-0017</t>
        </is>
      </c>
      <c r="S26" s="2" t="inlineStr">
        <is>
          <t>P050192|I</t>
        </is>
      </c>
      <c r="T26" s="7" t="inlineStr">
        <is>
          <t>registered — legacy series, issued 06.06.2026</t>
        </is>
      </c>
      <c r="U26" s="2" t="inlineStr">
        <is>
          <t>n/a — initial certificate</t>
        </is>
      </c>
      <c r="V26" s="10" t="n">
        <v>20.39</v>
      </c>
      <c r="W26" s="2" t="inlineStr">
        <is>
          <t>iCoA-PP_26-023</t>
        </is>
      </c>
      <c r="X26" s="2" t="inlineStr">
        <is>
          <t>20.00 ± 1.89 (III)</t>
        </is>
      </c>
      <c r="Y26" s="2" t="inlineStr">
        <is>
          <t>18.11 – 21.88 %</t>
        </is>
      </c>
      <c r="Z26" s="2" t="inlineStr">
        <is>
          <t>BSS_THC20 : CBD1</t>
        </is>
      </c>
      <c r="AA26" s="2" t="inlineStr">
        <is>
          <t>QCSP_001_BSS-III_v.01</t>
        </is>
      </c>
      <c r="AB26" s="11" t="inlineStr">
        <is>
          <t>for review — new</t>
        </is>
      </c>
      <c r="AC26" s="11" t="inlineStr"/>
    </row>
    <row r="27">
      <c r="A27" s="2">
        <f>IF(OR(C27="yes",C27="allocated",C27="ruled"),COUNT(A$1:A26)+1,"")</f>
        <v/>
      </c>
      <c r="B27" s="3">
        <f>IF(A27&lt;&gt;"","CoQ-PP_26-"&amp;TEXT(A27,"000"),"— at issue —")</f>
        <v/>
      </c>
      <c r="C27" s="4" t="inlineStr">
        <is>
          <t>yes</t>
        </is>
      </c>
      <c r="D27" s="5">
        <f>IF(OR(A27="",C27="allocated",C27="ruled"),"",MAX(E27,IF(ISNUMBER(I27),I27,0),IFERROR(IF(ISNUMBER(INDEX('iCoA Register'!$F:$F,MATCH(S27,'iCoA Register'!$AA:$AA,0))),INDEX('iCoA Register'!$F:$F,MATCH(S27,'iCoA Register'!$AA:$AA,0)),0),0)))</f>
        <v/>
      </c>
      <c r="E27" s="5">
        <f>IF(ISNUMBER(F27),MAX(DATE(2026,6,6),F27+7),DATE(2026,6,6))</f>
        <v/>
      </c>
      <c r="F27" s="5" t="n">
        <v>46086</v>
      </c>
      <c r="G27" s="2" t="inlineStr">
        <is>
          <t>ППК26036</t>
        </is>
      </c>
      <c r="H27" s="2">
        <f>IFERROR(INDEX('iCoA Register'!$B:$B,MATCH("P050202|I",'iCoA Register'!$AA:$AA,0)),"—")</f>
        <v/>
      </c>
      <c r="I27" s="5">
        <f>IFERROR(INDEX('iCoA Register'!$D:$D,MATCH("P050202|I",'iCoA Register'!$AA:$AA,0)),"")</f>
        <v/>
      </c>
      <c r="J27" s="2" t="inlineStr">
        <is>
          <t>legacy</t>
        </is>
      </c>
      <c r="K27" s="2" t="inlineStr">
        <is>
          <t>initial release</t>
        </is>
      </c>
      <c r="L27" s="3" t="inlineStr">
        <is>
          <t>GP062501</t>
        </is>
      </c>
      <c r="M27" s="2" t="inlineStr">
        <is>
          <t>P050202</t>
        </is>
      </c>
      <c r="N27" s="2" t="inlineStr">
        <is>
          <t>Grape Pie</t>
        </is>
      </c>
      <c r="O27" s="2" t="inlineStr">
        <is>
          <t>NGP-QCG-SOP-024 F3, (28.11.2025) [NGP]</t>
        </is>
      </c>
      <c r="P27" s="6" t="inlineStr">
        <is>
          <t>—</t>
        </is>
      </c>
      <c r="Q27" s="2" t="inlineStr">
        <is>
          <t>PP CoA #016 of 04.10.2025</t>
        </is>
      </c>
      <c r="R27" s="2" t="inlineStr">
        <is>
          <t>(assigned on issue)</t>
        </is>
      </c>
      <c r="S27" s="2" t="inlineStr">
        <is>
          <t>P050202|I</t>
        </is>
      </c>
      <c r="T27" s="7" t="inlineStr">
        <is>
          <t>registered — legacy series, issued 06.06.2026</t>
        </is>
      </c>
      <c r="U27" s="2" t="inlineStr">
        <is>
          <t>n/a — initial certificate</t>
        </is>
      </c>
      <c r="V27" s="10" t="n">
        <v>24.89</v>
      </c>
      <c r="W27" s="2" t="inlineStr">
        <is>
          <t>iCoA-PP_26-024</t>
        </is>
      </c>
      <c r="X27" s="2" t="inlineStr">
        <is>
          <t>24.00 ± 2.00 (II)</t>
        </is>
      </c>
      <c r="Y27" s="2" t="inlineStr">
        <is>
          <t>22.00 – 25.99 %</t>
        </is>
      </c>
      <c r="Z27" s="2" t="inlineStr">
        <is>
          <t>GP_THC24 : CBD1</t>
        </is>
      </c>
      <c r="AA27" s="2" t="inlineStr">
        <is>
          <t>QCSP_001_GP-II_v.01</t>
        </is>
      </c>
      <c r="AB27" s="8" t="inlineStr">
        <is>
          <t>for review — replaces the issued QCSP_001_GP-II_v.01 (was GP_THC26 : CBD1, 25.40 – 26.60 %); now GP_THC24 : CBD1 22.00 – 25.99 %</t>
        </is>
      </c>
      <c r="AC27" s="11" t="inlineStr"/>
    </row>
    <row r="28">
      <c r="A28" s="2">
        <f>IF(OR(C28="yes",C28="allocated",C28="ruled"),COUNT(A$1:A27)+1,"")</f>
        <v/>
      </c>
      <c r="B28" s="3">
        <f>IF(A28&lt;&gt;"","CoQ-PP_26-"&amp;TEXT(A28,"000"),"— at issue —")</f>
        <v/>
      </c>
      <c r="C28" s="4" t="inlineStr">
        <is>
          <t>yes</t>
        </is>
      </c>
      <c r="D28" s="5">
        <f>IF(OR(A28="",C28="allocated",C28="ruled"),"",MAX(E28,IF(ISNUMBER(I28),I28,0),IFERROR(IF(ISNUMBER(INDEX('iCoA Register'!$F:$F,MATCH(S28,'iCoA Register'!$AA:$AA,0))),INDEX('iCoA Register'!$F:$F,MATCH(S28,'iCoA Register'!$AA:$AA,0)),0),0)))</f>
        <v/>
      </c>
      <c r="E28" s="5">
        <f>IF(ISNUMBER(F28),MAX(DATE(2026,6,6),F28+7),DATE(2026,6,6))</f>
        <v/>
      </c>
      <c r="F28" s="5" t="n">
        <v>45954</v>
      </c>
      <c r="G28" s="2" t="inlineStr">
        <is>
          <t>4908-2025</t>
        </is>
      </c>
      <c r="H28" s="2">
        <f>IFERROR(INDEX('iCoA Register'!$B:$B,MATCH("P050212|I",'iCoA Register'!$AA:$AA,0)),"—")</f>
        <v/>
      </c>
      <c r="I28" s="5">
        <f>IFERROR(INDEX('iCoA Register'!$D:$D,MATCH("P050212|I",'iCoA Register'!$AA:$AA,0)),"")</f>
        <v/>
      </c>
      <c r="J28" s="2" t="inlineStr">
        <is>
          <t>legacy</t>
        </is>
      </c>
      <c r="K28" s="2" t="inlineStr">
        <is>
          <t>initial release</t>
        </is>
      </c>
      <c r="L28" s="3" t="inlineStr">
        <is>
          <t>CJ062501/2</t>
        </is>
      </c>
      <c r="M28" s="2" t="inlineStr">
        <is>
          <t>P050212</t>
        </is>
      </c>
      <c r="N28" s="2" t="inlineStr">
        <is>
          <t>Cap Junky</t>
        </is>
      </c>
      <c r="O28" s="2" t="inlineStr">
        <is>
          <t>ППК25322, (23.10.2025) [CNP]</t>
        </is>
      </c>
      <c r="P28" s="6" t="inlineStr">
        <is>
          <t>—</t>
        </is>
      </c>
      <c r="Q28" s="2" t="inlineStr">
        <is>
          <t>PP CoA #028 of 24.01.2026</t>
        </is>
      </c>
      <c r="R28" s="2" t="inlineStr">
        <is>
          <t>(assigned on issue)</t>
        </is>
      </c>
      <c r="S28" s="2" t="inlineStr">
        <is>
          <t>P050212|I</t>
        </is>
      </c>
      <c r="T28" s="7" t="inlineStr">
        <is>
          <t>registered — legacy series, issued 06.06.2026</t>
        </is>
      </c>
      <c r="U28" s="2" t="inlineStr">
        <is>
          <t>n/a — initial certificate</t>
        </is>
      </c>
      <c r="V28" s="10" t="n">
        <v>16.56</v>
      </c>
      <c r="W28" s="2" t="inlineStr">
        <is>
          <t>ППК25322</t>
        </is>
      </c>
      <c r="X28" s="2" t="inlineStr">
        <is>
          <t>17.00 ± 1.40 (IV)</t>
        </is>
      </c>
      <c r="Y28" s="2" t="inlineStr">
        <is>
          <t>15.60 – 18.39 %</t>
        </is>
      </c>
      <c r="Z28" s="2" t="inlineStr">
        <is>
          <t>CJ_THC17 : CBD1</t>
        </is>
      </c>
      <c r="AA28" s="2" t="inlineStr">
        <is>
          <t>QCSP_001_CJ-IV_v.01</t>
        </is>
      </c>
      <c r="AB28" s="8" t="inlineStr">
        <is>
          <t>for review — replaces the issued QCSP_001_CJ-IV_v.01 (was CJ_THC20 : CBD1, 18.00 – 22.00 %); now CJ_THC17 : CBD1 15.60 – 18.39 %</t>
        </is>
      </c>
      <c r="AC28" s="11" t="inlineStr"/>
    </row>
    <row r="29">
      <c r="A29" s="2">
        <f>IF(OR(C29="yes",C29="allocated",C29="ruled"),COUNT(A$1:A28)+1,"")</f>
        <v/>
      </c>
      <c r="B29" s="3">
        <f>IF(A29&lt;&gt;"","CoQ-PP_26-"&amp;TEXT(A29,"000"),"— at issue —")</f>
        <v/>
      </c>
      <c r="C29" s="4" t="inlineStr">
        <is>
          <t>yes</t>
        </is>
      </c>
      <c r="D29" s="5">
        <f>IF(OR(A29="",C29="allocated",C29="ruled"),"",MAX(E29,IF(ISNUMBER(I29),I29,0),IFERROR(IF(ISNUMBER(INDEX('iCoA Register'!$F:$F,MATCH(S29,'iCoA Register'!$AA:$AA,0))),INDEX('iCoA Register'!$F:$F,MATCH(S29,'iCoA Register'!$AA:$AA,0)),0),0)))</f>
        <v/>
      </c>
      <c r="E29" s="5">
        <f>IF(ISNUMBER(F29),MAX(DATE(2026,6,6),F29+7),DATE(2026,6,6))</f>
        <v/>
      </c>
      <c r="F29" s="5" t="n">
        <v>45992</v>
      </c>
      <c r="G29" s="2" t="inlineStr">
        <is>
          <t>1217-2168-25</t>
        </is>
      </c>
      <c r="H29" s="2">
        <f>IFERROR(INDEX('iCoA Register'!$B:$B,MATCH("P050222|I",'iCoA Register'!$AA:$AA,0)),"—")</f>
        <v/>
      </c>
      <c r="I29" s="5">
        <f>IFERROR(INDEX('iCoA Register'!$D:$D,MATCH("P050222|I",'iCoA Register'!$AA:$AA,0)),"")</f>
        <v/>
      </c>
      <c r="J29" s="2" t="inlineStr">
        <is>
          <t>legacy</t>
        </is>
      </c>
      <c r="K29" s="2" t="inlineStr">
        <is>
          <t>initial release</t>
        </is>
      </c>
      <c r="L29" s="3" t="inlineStr">
        <is>
          <t>CJ062501/1</t>
        </is>
      </c>
      <c r="M29" s="2" t="inlineStr">
        <is>
          <t>P050222</t>
        </is>
      </c>
      <c r="N29" s="2" t="inlineStr">
        <is>
          <t>Cap Junky</t>
        </is>
      </c>
      <c r="O29" s="2" t="inlineStr">
        <is>
          <t>ППК25321, (23.10.2025) [CNP]</t>
        </is>
      </c>
      <c r="P29" s="6" t="inlineStr">
        <is>
          <t>—</t>
        </is>
      </c>
      <c r="Q29" s="2" t="inlineStr">
        <is>
          <t>—</t>
        </is>
      </c>
      <c r="R29" s="2" t="inlineStr">
        <is>
          <t>CoQ-PP-2025-0018</t>
        </is>
      </c>
      <c r="S29" s="2" t="inlineStr">
        <is>
          <t>P050222|I</t>
        </is>
      </c>
      <c r="T29" s="7" t="inlineStr">
        <is>
          <t>registered — legacy series, issued 06.06.2026</t>
        </is>
      </c>
      <c r="U29" s="2" t="inlineStr">
        <is>
          <t>n/a — initial certificate</t>
        </is>
      </c>
      <c r="V29" s="10" t="n">
        <v>21.51</v>
      </c>
      <c r="W29" s="2" t="inlineStr">
        <is>
          <t>ППК25321</t>
        </is>
      </c>
      <c r="X29" s="2" t="inlineStr">
        <is>
          <t>20.00 ± 1.60 (III)</t>
        </is>
      </c>
      <c r="Y29" s="2" t="inlineStr">
        <is>
          <t>18.40 – 21.59 %</t>
        </is>
      </c>
      <c r="Z29" s="2" t="inlineStr">
        <is>
          <t>CJ_THC20 : CBD1</t>
        </is>
      </c>
      <c r="AA29" s="2" t="inlineStr">
        <is>
          <t>QCSP_001_CJ-III_v.01</t>
        </is>
      </c>
      <c r="AB29" s="8" t="inlineStr">
        <is>
          <t>for review — replaces the issued QCSP_001_CJ-III_v.01 (was CJ_THC24 : CBD1, 23.00 – 25.00 %); now CJ_THC20 : CBD1 18.40 – 21.59 %</t>
        </is>
      </c>
      <c r="AC29" s="11" t="inlineStr"/>
    </row>
    <row r="30">
      <c r="A30" s="2">
        <f>IF(OR(C30="yes",C30="allocated",C30="ruled"),COUNT(A$1:A29)+1,"")</f>
        <v/>
      </c>
      <c r="B30" s="3">
        <f>IF(A30&lt;&gt;"","CoQ-PP_26-"&amp;TEXT(A30,"000"),"— at issue —")</f>
        <v/>
      </c>
      <c r="C30" s="4" t="inlineStr">
        <is>
          <t>yes</t>
        </is>
      </c>
      <c r="D30" s="5">
        <f>IF(OR(A30="",C30="allocated",C30="ruled"),"",MAX(E30,IF(ISNUMBER(I30),I30,0),IFERROR(IF(ISNUMBER(INDEX('iCoA Register'!$F:$F,MATCH(S30,'iCoA Register'!$AA:$AA,0))),INDEX('iCoA Register'!$F:$F,MATCH(S30,'iCoA Register'!$AA:$AA,0)),0),0)))</f>
        <v/>
      </c>
      <c r="E30" s="5">
        <f>IF(ISNUMBER(F30),MAX(DATE(2026,6,6),F30+7),DATE(2026,6,6))</f>
        <v/>
      </c>
      <c r="F30" s="5" t="n">
        <v>45993</v>
      </c>
      <c r="G30" s="2" t="inlineStr">
        <is>
          <t>5697-2025</t>
        </is>
      </c>
      <c r="H30" s="2">
        <f>IFERROR(INDEX('iCoA Register'!$B:$B,MATCH("P050252|I",'iCoA Register'!$AA:$AA,0)),"—")</f>
        <v/>
      </c>
      <c r="I30" s="5">
        <f>IFERROR(INDEX('iCoA Register'!$D:$D,MATCH("P050252|I",'iCoA Register'!$AA:$AA,0)),"")</f>
        <v/>
      </c>
      <c r="J30" s="2" t="inlineStr">
        <is>
          <t>legacy</t>
        </is>
      </c>
      <c r="K30" s="2" t="inlineStr">
        <is>
          <t>initial release</t>
        </is>
      </c>
      <c r="L30" s="3" t="inlineStr">
        <is>
          <t>CJ072501</t>
        </is>
      </c>
      <c r="M30" s="2" t="inlineStr">
        <is>
          <t>P050252</t>
        </is>
      </c>
      <c r="N30" s="2" t="inlineStr">
        <is>
          <t>Cap Junky</t>
        </is>
      </c>
      <c r="O30" s="2" t="inlineStr">
        <is>
          <t>ППК25367, (28.11.2025) [CNP]</t>
        </is>
      </c>
      <c r="P30" s="6" t="inlineStr">
        <is>
          <t>—</t>
        </is>
      </c>
      <c r="Q30" s="2" t="inlineStr">
        <is>
          <t>—</t>
        </is>
      </c>
      <c r="R30" s="2" t="inlineStr">
        <is>
          <t>(assigned on issue)</t>
        </is>
      </c>
      <c r="S30" s="2" t="inlineStr">
        <is>
          <t>P050252|I</t>
        </is>
      </c>
      <c r="T30" s="7" t="inlineStr">
        <is>
          <t>registered — legacy series, issued 06.06.2026</t>
        </is>
      </c>
      <c r="U30" s="2" t="inlineStr">
        <is>
          <t>n/a — initial certificate</t>
        </is>
      </c>
      <c r="V30" s="10" t="n">
        <v>23.7</v>
      </c>
      <c r="W30" s="2" t="inlineStr">
        <is>
          <t>ППК25367</t>
        </is>
      </c>
      <c r="X30" s="2" t="inlineStr">
        <is>
          <t>24.00 ± 2.40 (II)</t>
        </is>
      </c>
      <c r="Y30" s="2" t="inlineStr">
        <is>
          <t>21.60 – 26.39 %</t>
        </is>
      </c>
      <c r="Z30" s="2" t="inlineStr">
        <is>
          <t>CJ_THC24 : CBD1</t>
        </is>
      </c>
      <c r="AA30" s="2" t="inlineStr">
        <is>
          <t>QCSP_001_CJ-II_v.01</t>
        </is>
      </c>
      <c r="AB30" s="8" t="inlineStr">
        <is>
          <t>for review — replaces the issued QCSP_001_CJ-II_v.01 (was CJ_THC26 : CBD1, 25.01 – 26.99 %); now CJ_THC24 : CBD1 21.60 – 26.39 %</t>
        </is>
      </c>
      <c r="AC30" s="11" t="inlineStr"/>
    </row>
    <row r="31">
      <c r="A31" s="2">
        <f>IF(OR(C31="yes",C31="allocated",C31="ruled"),COUNT(A$1:A30)+1,"")</f>
        <v/>
      </c>
      <c r="B31" s="3">
        <f>IF(A31&lt;&gt;"","CoQ-PP_26-"&amp;TEXT(A31,"000"),"— at issue —")</f>
        <v/>
      </c>
      <c r="C31" s="4" t="inlineStr">
        <is>
          <t>yes</t>
        </is>
      </c>
      <c r="D31" s="5">
        <f>IF(OR(A31="",C31="allocated",C31="ruled"),"",MAX(E31,IF(ISNUMBER(I31),I31,0),IFERROR(IF(ISNUMBER(INDEX('iCoA Register'!$F:$F,MATCH(S31,'iCoA Register'!$AA:$AA,0))),INDEX('iCoA Register'!$F:$F,MATCH(S31,'iCoA Register'!$AA:$AA,0)),0),0)))</f>
        <v/>
      </c>
      <c r="E31" s="5">
        <f>IF(ISNUMBER(F31),MAX(DATE(2026,6,6),F31+7),DATE(2026,6,6))</f>
        <v/>
      </c>
      <c r="F31" s="5" t="n">
        <v>45993</v>
      </c>
      <c r="G31" s="2" t="inlineStr">
        <is>
          <t>5699-2025</t>
        </is>
      </c>
      <c r="H31" s="2">
        <f>IFERROR(INDEX('iCoA Register'!$B:$B,MATCH("P050262|I",'iCoA Register'!$AA:$AA,0)),"—")</f>
        <v/>
      </c>
      <c r="I31" s="5">
        <f>IFERROR(INDEX('iCoA Register'!$D:$D,MATCH("P050262|I",'iCoA Register'!$AA:$AA,0)),"")</f>
        <v/>
      </c>
      <c r="J31" s="2" t="inlineStr">
        <is>
          <t>legacy</t>
        </is>
      </c>
      <c r="K31" s="2" t="inlineStr">
        <is>
          <t>initial release</t>
        </is>
      </c>
      <c r="L31" s="3" t="inlineStr">
        <is>
          <t>WC072501</t>
        </is>
      </c>
      <c r="M31" s="2" t="inlineStr">
        <is>
          <t>P050262</t>
        </is>
      </c>
      <c r="N31" s="2" t="inlineStr">
        <is>
          <t>Wedding Crusher</t>
        </is>
      </c>
      <c r="O31" s="2" t="inlineStr">
        <is>
          <t>ППК25369, (28.11.2025) [CNP]</t>
        </is>
      </c>
      <c r="P31" s="6" t="inlineStr">
        <is>
          <t>—</t>
        </is>
      </c>
      <c r="Q31" s="2" t="inlineStr">
        <is>
          <t>—</t>
        </is>
      </c>
      <c r="R31" s="2" t="inlineStr">
        <is>
          <t>(assigned on issue)</t>
        </is>
      </c>
      <c r="S31" s="2" t="inlineStr">
        <is>
          <t>P050262|I</t>
        </is>
      </c>
      <c r="T31" s="7" t="inlineStr">
        <is>
          <t>registered — legacy series, issued 06.06.2026</t>
        </is>
      </c>
      <c r="U31" s="2" t="inlineStr">
        <is>
          <t>n/a — initial certificate</t>
        </is>
      </c>
      <c r="V31" s="10" t="n">
        <v>22.11</v>
      </c>
      <c r="W31" s="2" t="inlineStr">
        <is>
          <t>ППК25369</t>
        </is>
      </c>
      <c r="X31" s="2" t="inlineStr">
        <is>
          <t>22.00 ± 1.40 (II)</t>
        </is>
      </c>
      <c r="Y31" s="2" t="inlineStr">
        <is>
          <t>20.60 – 23.39 %</t>
        </is>
      </c>
      <c r="Z31" s="2" t="inlineStr">
        <is>
          <t>WC_THC22 : CBD1</t>
        </is>
      </c>
      <c r="AA31" s="2" t="inlineStr">
        <is>
          <t>QCSP_001_WC-II_v.01</t>
        </is>
      </c>
      <c r="AB31" s="11" t="inlineStr">
        <is>
          <t>for review — new</t>
        </is>
      </c>
      <c r="AC31" s="11" t="inlineStr"/>
    </row>
    <row r="32">
      <c r="A32" s="2">
        <f>IF(OR(C32="yes",C32="allocated",C32="ruled"),COUNT(A$1:A31)+1,"")</f>
        <v/>
      </c>
      <c r="B32" s="3">
        <f>IF(A32&lt;&gt;"","CoQ-PP_26-"&amp;TEXT(A32,"000"),"— at issue —")</f>
        <v/>
      </c>
      <c r="C32" s="4" t="inlineStr">
        <is>
          <t>yes</t>
        </is>
      </c>
      <c r="D32" s="5">
        <f>IF(OR(A32="",C32="allocated",C32="ruled"),"",MAX(E32,IF(ISNUMBER(I32),I32,0),IFERROR(IF(ISNUMBER(INDEX('iCoA Register'!$F:$F,MATCH(S32,'iCoA Register'!$AA:$AA,0))),INDEX('iCoA Register'!$F:$F,MATCH(S32,'iCoA Register'!$AA:$AA,0)),0),0)))</f>
        <v/>
      </c>
      <c r="E32" s="5">
        <f>IF(ISNUMBER(F32),MAX(DATE(2026,6,6),F32+7),DATE(2026,6,6))</f>
        <v/>
      </c>
      <c r="F32" s="5" t="n">
        <v>45993</v>
      </c>
      <c r="G32" s="2" t="inlineStr">
        <is>
          <t>5698-2025</t>
        </is>
      </c>
      <c r="H32" s="2">
        <f>IFERROR(INDEX('iCoA Register'!$B:$B,MATCH("P050272|I",'iCoA Register'!$AA:$AA,0)),"—")</f>
        <v/>
      </c>
      <c r="I32" s="5">
        <f>IFERROR(INDEX('iCoA Register'!$D:$D,MATCH("P050272|I",'iCoA Register'!$AA:$AA,0)),"")</f>
        <v/>
      </c>
      <c r="J32" s="2" t="inlineStr">
        <is>
          <t>legacy</t>
        </is>
      </c>
      <c r="K32" s="2" t="inlineStr">
        <is>
          <t>initial release</t>
        </is>
      </c>
      <c r="L32" s="3" t="inlineStr">
        <is>
          <t>PM072501</t>
        </is>
      </c>
      <c r="M32" s="2" t="inlineStr">
        <is>
          <t>P050272</t>
        </is>
      </c>
      <c r="N32" s="2" t="inlineStr">
        <is>
          <t>Permanent Marker</t>
        </is>
      </c>
      <c r="O32" s="2" t="inlineStr">
        <is>
          <t>ППК25368, (28.11.2025) [CNP]</t>
        </is>
      </c>
      <c r="P32" s="6" t="inlineStr">
        <is>
          <t>—</t>
        </is>
      </c>
      <c r="Q32" s="2" t="inlineStr">
        <is>
          <t>PP CoA #026 of 21.01.2026</t>
        </is>
      </c>
      <c r="R32" s="2" t="inlineStr">
        <is>
          <t>(assigned on issue)</t>
        </is>
      </c>
      <c r="S32" s="2" t="inlineStr">
        <is>
          <t>P050272|I</t>
        </is>
      </c>
      <c r="T32" s="7" t="inlineStr">
        <is>
          <t>registered — legacy series, issued 06.06.2026</t>
        </is>
      </c>
      <c r="U32" s="2" t="inlineStr">
        <is>
          <t>n/a — initial certificate</t>
        </is>
      </c>
      <c r="V32" s="10" t="n">
        <v>10.01</v>
      </c>
      <c r="W32" s="2" t="inlineStr">
        <is>
          <t>ППК25368</t>
        </is>
      </c>
      <c r="X32" s="2" t="inlineStr">
        <is>
          <t>10.00 ± 1.00 (III)</t>
        </is>
      </c>
      <c r="Y32" s="2" t="inlineStr">
        <is>
          <t>9.00 – 10.99 %</t>
        </is>
      </c>
      <c r="Z32" s="2" t="inlineStr">
        <is>
          <t>PM_THC10 : CBD1</t>
        </is>
      </c>
      <c r="AA32" s="2" t="inlineStr">
        <is>
          <t>QCSP_001_PM-III_v.01</t>
        </is>
      </c>
      <c r="AB32" s="11" t="inlineStr">
        <is>
          <t>for review — new</t>
        </is>
      </c>
      <c r="AC32" s="11" t="inlineStr"/>
    </row>
    <row r="33">
      <c r="A33" s="2">
        <f>IF(OR(C33="yes",C33="allocated",C33="ruled"),COUNT(A$1:A32)+1,"")</f>
        <v/>
      </c>
      <c r="B33" s="3">
        <f>IF(A33&lt;&gt;"","CoQ-PP_26-"&amp;TEXT(A33,"000"),"— at issue —")</f>
        <v/>
      </c>
      <c r="C33" s="4" t="inlineStr">
        <is>
          <t>yes</t>
        </is>
      </c>
      <c r="D33" s="5">
        <f>IF(OR(A33="",C33="allocated",C33="ruled"),"",MAX(E33,IF(ISNUMBER(I33),I33,0),IFERROR(IF(ISNUMBER(INDEX('iCoA Register'!$F:$F,MATCH(S33,'iCoA Register'!$AA:$AA,0))),INDEX('iCoA Register'!$F:$F,MATCH(S33,'iCoA Register'!$AA:$AA,0)),0),0)))</f>
        <v/>
      </c>
      <c r="E33" s="5">
        <f>IF(ISNUMBER(F33),MAX(DATE(2026,6,6),F33+7),DATE(2026,6,6))</f>
        <v/>
      </c>
      <c r="F33" s="5" t="n">
        <v>45993</v>
      </c>
      <c r="G33" s="2" t="inlineStr">
        <is>
          <t>5700-2025</t>
        </is>
      </c>
      <c r="H33" s="2">
        <f>IFERROR(INDEX('iCoA Register'!$B:$B,MATCH("P050282|I",'iCoA Register'!$AA:$AA,0)),"—")</f>
        <v/>
      </c>
      <c r="I33" s="5">
        <f>IFERROR(INDEX('iCoA Register'!$D:$D,MATCH("P050282|I",'iCoA Register'!$AA:$AA,0)),"")</f>
        <v/>
      </c>
      <c r="J33" s="2" t="inlineStr">
        <is>
          <t>legacy</t>
        </is>
      </c>
      <c r="K33" s="2" t="inlineStr">
        <is>
          <t>initial release</t>
        </is>
      </c>
      <c r="L33" s="3" t="inlineStr">
        <is>
          <t>CLE072501</t>
        </is>
      </c>
      <c r="M33" s="2" t="inlineStr">
        <is>
          <t>P050282</t>
        </is>
      </c>
      <c r="N33" s="2" t="inlineStr">
        <is>
          <t>Clemosa A Bud</t>
        </is>
      </c>
      <c r="O33" s="2" t="inlineStr">
        <is>
          <t>ППК25370, (28.11.2025) [CNP]</t>
        </is>
      </c>
      <c r="P33" s="6" t="inlineStr">
        <is>
          <t>—</t>
        </is>
      </c>
      <c r="Q33" s="2" t="inlineStr">
        <is>
          <t>—</t>
        </is>
      </c>
      <c r="R33" s="2" t="inlineStr">
        <is>
          <t>CoQ-PP-2025-0019</t>
        </is>
      </c>
      <c r="S33" s="2" t="inlineStr">
        <is>
          <t>P050282|I</t>
        </is>
      </c>
      <c r="T33" s="7" t="inlineStr">
        <is>
          <t>registered — legacy series, issued 06.06.2026</t>
        </is>
      </c>
      <c r="U33" s="2" t="inlineStr">
        <is>
          <t>n/a — initial certificate</t>
        </is>
      </c>
      <c r="V33" s="10" t="n">
        <v>8.02</v>
      </c>
      <c r="W33" s="2" t="inlineStr">
        <is>
          <t>ППК25370</t>
        </is>
      </c>
      <c r="X33" s="2" t="inlineStr">
        <is>
          <t>8.00 ± 0.80 (I)</t>
        </is>
      </c>
      <c r="Y33" s="2" t="inlineStr">
        <is>
          <t>7.20 – 8.79 %</t>
        </is>
      </c>
      <c r="Z33" s="2" t="inlineStr">
        <is>
          <t>CLE_THC8 : CBD1</t>
        </is>
      </c>
      <c r="AA33" s="2" t="inlineStr">
        <is>
          <t>QCSP_001_CLE-I_v.01</t>
        </is>
      </c>
      <c r="AB33" s="8" t="inlineStr">
        <is>
          <t>for review — replaces the issued QCSP_001_CLE-I_v.01 (was CLE_THC8 : CBD1, 7.20 – 8.80 %); now CLE_THC8 : CBD1 7.20 – 8.79 %</t>
        </is>
      </c>
      <c r="AC33" s="11" t="inlineStr"/>
    </row>
    <row r="34">
      <c r="A34" s="2">
        <f>IF(OR(C34="yes",C34="allocated",C34="ruled"),COUNT(A$1:A33)+1,"")</f>
        <v/>
      </c>
      <c r="B34" s="3">
        <f>IF(A34&lt;&gt;"","CoQ-PP_26-"&amp;TEXT(A34,"000"),"— at issue —")</f>
        <v/>
      </c>
      <c r="C34" s="4" t="inlineStr">
        <is>
          <t>yes</t>
        </is>
      </c>
      <c r="D34" s="5">
        <f>IF(OR(A34="",C34="allocated",C34="ruled"),"",MAX(E34,IF(ISNUMBER(I34),I34,0),IFERROR(IF(ISNUMBER(INDEX('iCoA Register'!$F:$F,MATCH(S34,'iCoA Register'!$AA:$AA,0))),INDEX('iCoA Register'!$F:$F,MATCH(S34,'iCoA Register'!$AA:$AA,0)),0),0)))</f>
        <v/>
      </c>
      <c r="E34" s="5">
        <f>IF(ISNUMBER(F34),MAX(DATE(2026,6,6),F34+7),DATE(2026,6,6))</f>
        <v/>
      </c>
      <c r="F34" s="5" t="n">
        <v>46003</v>
      </c>
      <c r="G34" s="2" t="inlineStr">
        <is>
          <t>ППК25378</t>
        </is>
      </c>
      <c r="H34" s="2">
        <f>IFERROR(INDEX('iCoA Register'!$B:$B,MATCH("P050292|I",'iCoA Register'!$AA:$AA,0)),"—")</f>
        <v/>
      </c>
      <c r="I34" s="5">
        <f>IFERROR(INDEX('iCoA Register'!$D:$D,MATCH("P050292|I",'iCoA Register'!$AA:$AA,0)),"")</f>
        <v/>
      </c>
      <c r="J34" s="2" t="inlineStr">
        <is>
          <t>legacy</t>
        </is>
      </c>
      <c r="K34" s="2" t="inlineStr">
        <is>
          <t>initial release</t>
        </is>
      </c>
      <c r="L34" s="3" t="inlineStr">
        <is>
          <t>GP072501/1</t>
        </is>
      </c>
      <c r="M34" s="2" t="inlineStr">
        <is>
          <t>P050292</t>
        </is>
      </c>
      <c r="N34" s="2" t="inlineStr">
        <is>
          <t>Grape Pie</t>
        </is>
      </c>
      <c r="O34" s="2" t="inlineStr">
        <is>
          <t>ППК25378, (12.12.2025) [CNP]</t>
        </is>
      </c>
      <c r="P34" s="6" t="inlineStr">
        <is>
          <t>—</t>
        </is>
      </c>
      <c r="Q34" s="2" t="inlineStr">
        <is>
          <t>—</t>
        </is>
      </c>
      <c r="R34" s="2" t="inlineStr">
        <is>
          <t>(assigned on issue)</t>
        </is>
      </c>
      <c r="S34" s="2" t="inlineStr">
        <is>
          <t>P050292|I</t>
        </is>
      </c>
      <c r="T34" s="7" t="inlineStr">
        <is>
          <t>registered — legacy series, issued 06.06.2026</t>
        </is>
      </c>
      <c r="U34" s="2" t="inlineStr">
        <is>
          <t>n/a — initial certificate</t>
        </is>
      </c>
      <c r="V34" s="10" t="n">
        <v>21.36</v>
      </c>
      <c r="W34" s="2" t="inlineStr">
        <is>
          <t>ППК25378</t>
        </is>
      </c>
      <c r="X34" s="2" t="inlineStr">
        <is>
          <t>20.00 ± 2.00 (III)</t>
        </is>
      </c>
      <c r="Y34" s="2" t="inlineStr">
        <is>
          <t>18.00 – 21.99 %</t>
        </is>
      </c>
      <c r="Z34" s="2" t="inlineStr">
        <is>
          <t>GP_THC20 : CBD1</t>
        </is>
      </c>
      <c r="AA34" s="2" t="inlineStr">
        <is>
          <t>QCSP_001_GP-III_v.01</t>
        </is>
      </c>
      <c r="AB34" s="8" t="inlineStr">
        <is>
          <t>for review — replaces the issued QCSP_001_GP-III_v.01 (was GP_THC24 : CBD1, 22.61 – 25.39 %); now GP_THC20 : CBD1 18.00 – 21.99 %</t>
        </is>
      </c>
      <c r="AC34" s="11" t="inlineStr"/>
    </row>
    <row r="35">
      <c r="A35" s="2">
        <f>IF(OR(C35="yes",C35="allocated",C35="ruled"),COUNT(A$1:A34)+1,"")</f>
        <v/>
      </c>
      <c r="B35" s="3">
        <f>IF(A35&lt;&gt;"","CoQ-PP_26-"&amp;TEXT(A35,"000"),"— at issue —")</f>
        <v/>
      </c>
      <c r="C35" s="4" t="inlineStr">
        <is>
          <t>yes</t>
        </is>
      </c>
      <c r="D35" s="5">
        <f>IF(OR(A35="",C35="allocated",C35="ruled"),"",MAX(E35,IF(ISNUMBER(I35),I35,0),IFERROR(IF(ISNUMBER(INDEX('iCoA Register'!$F:$F,MATCH(S35,'iCoA Register'!$AA:$AA,0))),INDEX('iCoA Register'!$F:$F,MATCH(S35,'iCoA Register'!$AA:$AA,0)),0),0)))</f>
        <v/>
      </c>
      <c r="E35" s="5">
        <f>IF(ISNUMBER(F35),MAX(DATE(2026,6,6),F35+7),DATE(2026,6,6))</f>
        <v/>
      </c>
      <c r="F35" s="5" t="n">
        <v>46003</v>
      </c>
      <c r="G35" s="2" t="inlineStr">
        <is>
          <t>ППК25379</t>
        </is>
      </c>
      <c r="H35" s="2">
        <f>IFERROR(INDEX('iCoA Register'!$B:$B,MATCH("P050302|I",'iCoA Register'!$AA:$AA,0)),"—")</f>
        <v/>
      </c>
      <c r="I35" s="5">
        <f>IFERROR(INDEX('iCoA Register'!$D:$D,MATCH("P050302|I",'iCoA Register'!$AA:$AA,0)),"")</f>
        <v/>
      </c>
      <c r="J35" s="2" t="inlineStr">
        <is>
          <t>legacy</t>
        </is>
      </c>
      <c r="K35" s="2" t="inlineStr">
        <is>
          <t>initial release</t>
        </is>
      </c>
      <c r="L35" s="3" t="inlineStr">
        <is>
          <t>GP072501/2</t>
        </is>
      </c>
      <c r="M35" s="2" t="inlineStr">
        <is>
          <t>P050302</t>
        </is>
      </c>
      <c r="N35" s="2" t="inlineStr">
        <is>
          <t>Grape Pie</t>
        </is>
      </c>
      <c r="O35" s="2" t="inlineStr">
        <is>
          <t>ППК25379, (12.12.2025) [CNP]</t>
        </is>
      </c>
      <c r="P35" s="6" t="inlineStr">
        <is>
          <t>—</t>
        </is>
      </c>
      <c r="Q35" s="2" t="inlineStr">
        <is>
          <t>—</t>
        </is>
      </c>
      <c r="R35" s="2" t="inlineStr">
        <is>
          <t>CoQ-PP-2025-0020</t>
        </is>
      </c>
      <c r="S35" s="2" t="inlineStr">
        <is>
          <t>P050302|I</t>
        </is>
      </c>
      <c r="T35" s="7" t="inlineStr">
        <is>
          <t>registered — legacy series, issued 06.06.2026</t>
        </is>
      </c>
      <c r="U35" s="2" t="inlineStr">
        <is>
          <t>n/a — initial certificate</t>
        </is>
      </c>
      <c r="V35" s="10" t="n">
        <v>19.81</v>
      </c>
      <c r="W35" s="2" t="inlineStr">
        <is>
          <t>ППК25379</t>
        </is>
      </c>
      <c r="X35" s="2" t="inlineStr">
        <is>
          <t>20.00 ± 2.00 (III)</t>
        </is>
      </c>
      <c r="Y35" s="2" t="inlineStr">
        <is>
          <t>18.00 – 21.99 %</t>
        </is>
      </c>
      <c r="Z35" s="2" t="inlineStr">
        <is>
          <t>GP_THC20 : CBD1</t>
        </is>
      </c>
      <c r="AA35" s="2" t="inlineStr">
        <is>
          <t>QCSP_001_GP-III_v.01</t>
        </is>
      </c>
      <c r="AB35" s="8" t="inlineStr">
        <is>
          <t>for review — replaces the issued QCSP_001_GP-III_v.01 (was GP_THC24 : CBD1, 22.61 – 25.39 %); now GP_THC20 : CBD1 18.00 – 21.99 %</t>
        </is>
      </c>
      <c r="AC35" s="11" t="inlineStr"/>
    </row>
    <row r="36">
      <c r="A36" s="2">
        <f>IF(OR(C36="yes",C36="allocated",C36="ruled"),COUNT(A$1:A35)+1,"")</f>
        <v/>
      </c>
      <c r="B36" s="3">
        <f>IF(A36&lt;&gt;"","CoQ-PP_26-"&amp;TEXT(A36,"000"),"— at issue —")</f>
        <v/>
      </c>
      <c r="C36" s="4" t="inlineStr">
        <is>
          <t>yes</t>
        </is>
      </c>
      <c r="D36" s="5">
        <f>IF(OR(A36="",C36="allocated",C36="ruled"),"",MAX(E36,IF(ISNUMBER(I36),I36,0),IFERROR(IF(ISNUMBER(INDEX('iCoA Register'!$F:$F,MATCH(S36,'iCoA Register'!$AA:$AA,0))),INDEX('iCoA Register'!$F:$F,MATCH(S36,'iCoA Register'!$AA:$AA,0)),0),0)))</f>
        <v/>
      </c>
      <c r="E36" s="5">
        <f>IF(ISNUMBER(F36),MAX(DATE(2026,6,6),F36+7),DATE(2026,6,6))</f>
        <v/>
      </c>
      <c r="F36" s="5" t="n">
        <v>46003</v>
      </c>
      <c r="G36" s="2" t="inlineStr">
        <is>
          <t>ППК25380</t>
        </is>
      </c>
      <c r="H36" s="2">
        <f>IFERROR(INDEX('iCoA Register'!$B:$B,MATCH("P050312|I",'iCoA Register'!$AA:$AA,0)),"—")</f>
        <v/>
      </c>
      <c r="I36" s="5">
        <f>IFERROR(INDEX('iCoA Register'!$D:$D,MATCH("P050312|I",'iCoA Register'!$AA:$AA,0)),"")</f>
        <v/>
      </c>
      <c r="J36" s="2" t="inlineStr">
        <is>
          <t>legacy</t>
        </is>
      </c>
      <c r="K36" s="2" t="inlineStr">
        <is>
          <t>initial release</t>
        </is>
      </c>
      <c r="L36" s="3" t="inlineStr">
        <is>
          <t>GP082501/1</t>
        </is>
      </c>
      <c r="M36" s="2" t="inlineStr">
        <is>
          <t>P050312</t>
        </is>
      </c>
      <c r="N36" s="2" t="inlineStr">
        <is>
          <t>Grape Pie</t>
        </is>
      </c>
      <c r="O36" s="2" t="inlineStr">
        <is>
          <t>ППК25380, (12.12.2025) [CNP]</t>
        </is>
      </c>
      <c r="P36" s="6" t="inlineStr">
        <is>
          <t>—</t>
        </is>
      </c>
      <c r="Q36" s="2" t="inlineStr">
        <is>
          <t>—</t>
        </is>
      </c>
      <c r="R36" s="2" t="inlineStr">
        <is>
          <t>CoQ-PP-2025-0021</t>
        </is>
      </c>
      <c r="S36" s="2" t="inlineStr">
        <is>
          <t>P050312|I</t>
        </is>
      </c>
      <c r="T36" s="7" t="inlineStr">
        <is>
          <t>registered — legacy series, issued 06.06.2026</t>
        </is>
      </c>
      <c r="U36" s="2" t="inlineStr">
        <is>
          <t>n/a — initial certificate</t>
        </is>
      </c>
      <c r="V36" s="10" t="n">
        <v>21.29</v>
      </c>
      <c r="W36" s="2" t="inlineStr">
        <is>
          <t>ППК25380</t>
        </is>
      </c>
      <c r="X36" s="2" t="inlineStr">
        <is>
          <t>20.00 ± 2.00 (III)</t>
        </is>
      </c>
      <c r="Y36" s="2" t="inlineStr">
        <is>
          <t>18.00 – 21.99 %</t>
        </is>
      </c>
      <c r="Z36" s="2" t="inlineStr">
        <is>
          <t>GP_THC20 : CBD1</t>
        </is>
      </c>
      <c r="AA36" s="2" t="inlineStr">
        <is>
          <t>QCSP_001_GP-III_v.01</t>
        </is>
      </c>
      <c r="AB36" s="8" t="inlineStr">
        <is>
          <t>for review — replaces the issued QCSP_001_GP-III_v.01 (was GP_THC24 : CBD1, 22.61 – 25.39 %); now GP_THC20 : CBD1 18.00 – 21.99 %</t>
        </is>
      </c>
      <c r="AC36" s="11" t="inlineStr"/>
    </row>
    <row r="37">
      <c r="A37" s="2">
        <f>IF(OR(C37="yes",C37="allocated",C37="ruled"),COUNT(A$1:A36)+1,"")</f>
        <v/>
      </c>
      <c r="B37" s="3">
        <f>IF(A37&lt;&gt;"","CoQ-PP_26-"&amp;TEXT(A37,"000"),"— at issue —")</f>
        <v/>
      </c>
      <c r="C37" s="4" t="inlineStr">
        <is>
          <t>yes</t>
        </is>
      </c>
      <c r="D37" s="5">
        <f>IF(OR(A37="",C37="allocated",C37="ruled"),"",MAX(E37,IF(ISNUMBER(I37),I37,0),IFERROR(IF(ISNUMBER(INDEX('iCoA Register'!$F:$F,MATCH(S37,'iCoA Register'!$AA:$AA,0))),INDEX('iCoA Register'!$F:$F,MATCH(S37,'iCoA Register'!$AA:$AA,0)),0),0)))</f>
        <v/>
      </c>
      <c r="E37" s="5">
        <f>IF(ISNUMBER(F37),MAX(DATE(2026,6,6),F37+7),DATE(2026,6,6))</f>
        <v/>
      </c>
      <c r="F37" s="5" t="n">
        <v>46003</v>
      </c>
      <c r="G37" s="2" t="inlineStr">
        <is>
          <t>ППК25381</t>
        </is>
      </c>
      <c r="H37" s="2">
        <f>IFERROR(INDEX('iCoA Register'!$B:$B,MATCH("P050322|I",'iCoA Register'!$AA:$AA,0)),"—")</f>
        <v/>
      </c>
      <c r="I37" s="5">
        <f>IFERROR(INDEX('iCoA Register'!$D:$D,MATCH("P050322|I",'iCoA Register'!$AA:$AA,0)),"")</f>
        <v/>
      </c>
      <c r="J37" s="2" t="inlineStr">
        <is>
          <t>legacy</t>
        </is>
      </c>
      <c r="K37" s="2" t="inlineStr">
        <is>
          <t>initial release</t>
        </is>
      </c>
      <c r="L37" s="3" t="inlineStr">
        <is>
          <t>GP082501/2</t>
        </is>
      </c>
      <c r="M37" s="2" t="inlineStr">
        <is>
          <t>P050322</t>
        </is>
      </c>
      <c r="N37" s="2" t="inlineStr">
        <is>
          <t>Grape Pie</t>
        </is>
      </c>
      <c r="O37" s="2" t="inlineStr">
        <is>
          <t>ППК25381, (12.12.2025) [CNP]</t>
        </is>
      </c>
      <c r="P37" s="6" t="inlineStr">
        <is>
          <t>—</t>
        </is>
      </c>
      <c r="Q37" s="2" t="inlineStr">
        <is>
          <t>—</t>
        </is>
      </c>
      <c r="R37" s="2" t="inlineStr">
        <is>
          <t>CoQ-PP-2025-0022</t>
        </is>
      </c>
      <c r="S37" s="2" t="inlineStr">
        <is>
          <t>P050322|I</t>
        </is>
      </c>
      <c r="T37" s="7" t="inlineStr">
        <is>
          <t>registered — legacy series, issued 06.06.2026</t>
        </is>
      </c>
      <c r="U37" s="2" t="inlineStr">
        <is>
          <t>n/a — initial certificate</t>
        </is>
      </c>
      <c r="V37" s="10" t="n">
        <v>14.83</v>
      </c>
      <c r="W37" s="2" t="inlineStr">
        <is>
          <t>ППК25381</t>
        </is>
      </c>
      <c r="X37" s="2" t="inlineStr">
        <is>
          <t>16.00 ± 1.60 (IV)</t>
        </is>
      </c>
      <c r="Y37" s="2" t="inlineStr">
        <is>
          <t>14.40 – 17.59 %</t>
        </is>
      </c>
      <c r="Z37" s="2" t="inlineStr">
        <is>
          <t>GP_THC16 : CBD1</t>
        </is>
      </c>
      <c r="AA37" s="2" t="inlineStr">
        <is>
          <t>QCSP_001_GP-IV_v.01</t>
        </is>
      </c>
      <c r="AB37" s="8" t="inlineStr">
        <is>
          <t>for review — replaces the issued QCSP_001_GP-IV_v.01 (was GP_THC20 : CBD1, 18.00 – 22.00 %); now GP_THC16 : CBD1 14.40 – 17.59 %</t>
        </is>
      </c>
      <c r="AC37" s="11" t="inlineStr"/>
    </row>
    <row r="38">
      <c r="A38" s="2">
        <f>IF(OR(C38="yes",C38="allocated",C38="ruled"),COUNT(A$1:A37)+1,"")</f>
        <v/>
      </c>
      <c r="B38" s="3">
        <f>IF(A38&lt;&gt;"","CoQ-PP_26-"&amp;TEXT(A38,"000"),"— at issue —")</f>
        <v/>
      </c>
      <c r="C38" s="4" t="inlineStr">
        <is>
          <t>yes</t>
        </is>
      </c>
      <c r="D38" s="5">
        <f>IF(OR(A38="",C38="allocated",C38="ruled"),"",MAX(E38,IF(ISNUMBER(I38),I38,0),IFERROR(IF(ISNUMBER(INDEX('iCoA Register'!$F:$F,MATCH(S38,'iCoA Register'!$AA:$AA,0))),INDEX('iCoA Register'!$F:$F,MATCH(S38,'iCoA Register'!$AA:$AA,0)),0),0)))</f>
        <v/>
      </c>
      <c r="E38" s="5">
        <f>IF(ISNUMBER(F38),MAX(DATE(2026,6,6),F38+7),DATE(2026,6,6))</f>
        <v/>
      </c>
      <c r="F38" s="5" t="n">
        <v>46055</v>
      </c>
      <c r="G38" s="2" t="inlineStr">
        <is>
          <t>80-2026</t>
        </is>
      </c>
      <c r="H38" s="2">
        <f>IFERROR(INDEX('iCoA Register'!$B:$B,MATCH("P060012|I",'iCoA Register'!$AA:$AA,0)),"—")</f>
        <v/>
      </c>
      <c r="I38" s="5">
        <f>IFERROR(INDEX('iCoA Register'!$D:$D,MATCH("P060012|I",'iCoA Register'!$AA:$AA,0)),"")</f>
        <v/>
      </c>
      <c r="J38" s="2" t="inlineStr">
        <is>
          <t>legacy</t>
        </is>
      </c>
      <c r="K38" s="2" t="inlineStr">
        <is>
          <t>initial release</t>
        </is>
      </c>
      <c r="L38" s="3" t="inlineStr">
        <is>
          <t>WC082501</t>
        </is>
      </c>
      <c r="M38" s="2" t="inlineStr">
        <is>
          <t>P060012</t>
        </is>
      </c>
      <c r="N38" s="2" t="inlineStr">
        <is>
          <t>Wedding Crusher</t>
        </is>
      </c>
      <c r="O38" s="2" t="inlineStr">
        <is>
          <t>ППК26001, (21.01.2026) [CNP]</t>
        </is>
      </c>
      <c r="P38" s="6" t="inlineStr">
        <is>
          <t>—</t>
        </is>
      </c>
      <c r="Q38" s="2" t="inlineStr">
        <is>
          <t>PP CoA #035 of 20.02.2026</t>
        </is>
      </c>
      <c r="R38" s="2" t="inlineStr">
        <is>
          <t>CoQ-PP-2026-0001</t>
        </is>
      </c>
      <c r="S38" s="2" t="inlineStr">
        <is>
          <t>P060012|I</t>
        </is>
      </c>
      <c r="T38" s="7" t="inlineStr">
        <is>
          <t>registered — legacy series, issued 06.06.2026</t>
        </is>
      </c>
      <c r="U38" s="2" t="inlineStr">
        <is>
          <t>n/a — initial certificate</t>
        </is>
      </c>
      <c r="V38" s="10" t="n">
        <v>21.67</v>
      </c>
      <c r="W38" s="2" t="inlineStr">
        <is>
          <t>ППК26001</t>
        </is>
      </c>
      <c r="X38" s="2" t="inlineStr">
        <is>
          <t>22.00 ± 1.40 (II)</t>
        </is>
      </c>
      <c r="Y38" s="2" t="inlineStr">
        <is>
          <t>20.60 – 23.39 %</t>
        </is>
      </c>
      <c r="Z38" s="2" t="inlineStr">
        <is>
          <t>WC_THC22 : CBD1</t>
        </is>
      </c>
      <c r="AA38" s="2" t="inlineStr">
        <is>
          <t>QCSP_001_WC-II_v.01</t>
        </is>
      </c>
      <c r="AB38" s="11" t="inlineStr">
        <is>
          <t>for review — new</t>
        </is>
      </c>
      <c r="AC38" s="11" t="inlineStr"/>
    </row>
    <row r="39">
      <c r="A39" s="2">
        <f>IF(OR(C39="yes",C39="allocated",C39="ruled"),COUNT(A$1:A38)+1,"")</f>
        <v/>
      </c>
      <c r="B39" s="3">
        <f>IF(A39&lt;&gt;"","CoQ-PP_26-"&amp;TEXT(A39,"000"),"— at issue —")</f>
        <v/>
      </c>
      <c r="C39" s="4" t="inlineStr">
        <is>
          <t>yes</t>
        </is>
      </c>
      <c r="D39" s="5">
        <f>IF(OR(A39="",C39="allocated",C39="ruled"),"",MAX(E39,IF(ISNUMBER(I39),I39,0),IFERROR(IF(ISNUMBER(INDEX('iCoA Register'!$F:$F,MATCH(S39,'iCoA Register'!$AA:$AA,0))),INDEX('iCoA Register'!$F:$F,MATCH(S39,'iCoA Register'!$AA:$AA,0)),0),0)))</f>
        <v/>
      </c>
      <c r="E39" s="5">
        <f>IF(ISNUMBER(F39),MAX(DATE(2026,6,6),F39+7),DATE(2026,6,6))</f>
        <v/>
      </c>
      <c r="F39" s="5" t="n">
        <v>46055</v>
      </c>
      <c r="G39" s="2" t="inlineStr">
        <is>
          <t>81-2026</t>
        </is>
      </c>
      <c r="H39" s="2">
        <f>IFERROR(INDEX('iCoA Register'!$B:$B,MATCH("P060022|I",'iCoA Register'!$AA:$AA,0)),"—")</f>
        <v/>
      </c>
      <c r="I39" s="5">
        <f>IFERROR(INDEX('iCoA Register'!$D:$D,MATCH("P060022|I",'iCoA Register'!$AA:$AA,0)),"")</f>
        <v/>
      </c>
      <c r="J39" s="2" t="inlineStr">
        <is>
          <t>legacy</t>
        </is>
      </c>
      <c r="K39" s="2" t="inlineStr">
        <is>
          <t>initial release</t>
        </is>
      </c>
      <c r="L39" s="3" t="inlineStr">
        <is>
          <t>CJ082501/1</t>
        </is>
      </c>
      <c r="M39" s="2" t="inlineStr">
        <is>
          <t>P060022</t>
        </is>
      </c>
      <c r="N39" s="2" t="inlineStr">
        <is>
          <t>Cap Junky</t>
        </is>
      </c>
      <c r="O39" s="2" t="inlineStr">
        <is>
          <t>ППК26002, (21.01.2026) [CNP]</t>
        </is>
      </c>
      <c r="P39" s="6" t="inlineStr">
        <is>
          <t>—</t>
        </is>
      </c>
      <c r="Q39" s="2" t="inlineStr">
        <is>
          <t>PP CoA #041 of 20.02.2026</t>
        </is>
      </c>
      <c r="R39" s="2" t="inlineStr">
        <is>
          <t>CoQ-PP-2026-0002</t>
        </is>
      </c>
      <c r="S39" s="2" t="inlineStr">
        <is>
          <t>P060022|I</t>
        </is>
      </c>
      <c r="T39" s="7" t="inlineStr">
        <is>
          <t>registered — legacy series, issued 06.06.2026</t>
        </is>
      </c>
      <c r="U39" s="2" t="inlineStr">
        <is>
          <t>n/a — initial certificate</t>
        </is>
      </c>
      <c r="V39" s="10" t="n">
        <v>24.96</v>
      </c>
      <c r="W39" s="2" t="inlineStr">
        <is>
          <t>ППК26002</t>
        </is>
      </c>
      <c r="X39" s="2" t="inlineStr">
        <is>
          <t>24.00 ± 2.40 (II)</t>
        </is>
      </c>
      <c r="Y39" s="2" t="inlineStr">
        <is>
          <t>21.60 – 26.39 %</t>
        </is>
      </c>
      <c r="Z39" s="2" t="inlineStr">
        <is>
          <t>CJ_THC24 : CBD1</t>
        </is>
      </c>
      <c r="AA39" s="2" t="inlineStr">
        <is>
          <t>QCSP_001_CJ-II_v.01</t>
        </is>
      </c>
      <c r="AB39" s="8" t="inlineStr">
        <is>
          <t>for review — replaces the issued QCSP_001_CJ-II_v.01 (was CJ_THC26 : CBD1, 25.01 – 26.99 %); now CJ_THC24 : CBD1 21.60 – 26.39 %</t>
        </is>
      </c>
      <c r="AC39" s="11" t="inlineStr"/>
    </row>
    <row r="40">
      <c r="A40" s="2">
        <f>IF(OR(C40="yes",C40="allocated",C40="ruled"),COUNT(A$1:A39)+1,"")</f>
        <v/>
      </c>
      <c r="B40" s="3">
        <f>IF(A40&lt;&gt;"","CoQ-PP_26-"&amp;TEXT(A40,"000"),"— at issue —")</f>
        <v/>
      </c>
      <c r="C40" s="4" t="inlineStr">
        <is>
          <t>yes</t>
        </is>
      </c>
      <c r="D40" s="5">
        <f>IF(OR(A40="",C40="allocated",C40="ruled"),"",MAX(E40,IF(ISNUMBER(I40),I40,0),IFERROR(IF(ISNUMBER(INDEX('iCoA Register'!$F:$F,MATCH(S40,'iCoA Register'!$AA:$AA,0))),INDEX('iCoA Register'!$F:$F,MATCH(S40,'iCoA Register'!$AA:$AA,0)),0),0)))</f>
        <v/>
      </c>
      <c r="E40" s="5">
        <f>IF(ISNUMBER(F40),MAX(DATE(2026,6,6),F40+7),DATE(2026,6,6))</f>
        <v/>
      </c>
      <c r="F40" s="5" t="n">
        <v>46055</v>
      </c>
      <c r="G40" s="2" t="inlineStr">
        <is>
          <t>82-2026</t>
        </is>
      </c>
      <c r="H40" s="2">
        <f>IFERROR(INDEX('iCoA Register'!$B:$B,MATCH("P060032|I",'iCoA Register'!$AA:$AA,0)),"—")</f>
        <v/>
      </c>
      <c r="I40" s="5">
        <f>IFERROR(INDEX('iCoA Register'!$D:$D,MATCH("P060032|I",'iCoA Register'!$AA:$AA,0)),"")</f>
        <v/>
      </c>
      <c r="J40" s="2" t="inlineStr">
        <is>
          <t>legacy</t>
        </is>
      </c>
      <c r="K40" s="2" t="inlineStr">
        <is>
          <t>initial release</t>
        </is>
      </c>
      <c r="L40" s="3" t="inlineStr">
        <is>
          <t>CJ082501/2</t>
        </is>
      </c>
      <c r="M40" s="2" t="inlineStr">
        <is>
          <t>P060032</t>
        </is>
      </c>
      <c r="N40" s="2" t="inlineStr">
        <is>
          <t>Cap Junky</t>
        </is>
      </c>
      <c r="O40" s="2" t="inlineStr">
        <is>
          <t>ППК26003, (21.01.2026) [CNP]</t>
        </is>
      </c>
      <c r="P40" s="6" t="inlineStr">
        <is>
          <t>—</t>
        </is>
      </c>
      <c r="Q40" s="2" t="inlineStr">
        <is>
          <t>PP CoA #034 of 20.02.2026</t>
        </is>
      </c>
      <c r="R40" s="2" t="inlineStr">
        <is>
          <t>CoQ-PP-2026-0003</t>
        </is>
      </c>
      <c r="S40" s="2" t="inlineStr">
        <is>
          <t>P060032|I</t>
        </is>
      </c>
      <c r="T40" s="7" t="inlineStr">
        <is>
          <t>registered — legacy series, issued 06.06.2026</t>
        </is>
      </c>
      <c r="U40" s="2" t="inlineStr">
        <is>
          <t>n/a — initial certificate</t>
        </is>
      </c>
      <c r="V40" s="10" t="n">
        <v>20.84</v>
      </c>
      <c r="W40" s="2" t="inlineStr">
        <is>
          <t>ППК26003</t>
        </is>
      </c>
      <c r="X40" s="2" t="inlineStr">
        <is>
          <t>20.00 ± 1.60 (III)</t>
        </is>
      </c>
      <c r="Y40" s="2" t="inlineStr">
        <is>
          <t>18.40 – 21.59 %</t>
        </is>
      </c>
      <c r="Z40" s="2" t="inlineStr">
        <is>
          <t>CJ_THC20 : CBD1</t>
        </is>
      </c>
      <c r="AA40" s="2" t="inlineStr">
        <is>
          <t>QCSP_001_CJ-III_v.01</t>
        </is>
      </c>
      <c r="AB40" s="8" t="inlineStr">
        <is>
          <t>for review — replaces the issued QCSP_001_CJ-III_v.01 (was CJ_THC24 : CBD1, 23.00 – 25.00 %); now CJ_THC20 : CBD1 18.40 – 21.59 %</t>
        </is>
      </c>
      <c r="AC40" s="11" t="inlineStr"/>
    </row>
    <row r="41">
      <c r="A41" s="2">
        <f>IF(OR(C41="yes",C41="allocated",C41="ruled"),COUNT(A$1:A40)+1,"")</f>
        <v/>
      </c>
      <c r="B41" s="3">
        <f>IF(A41&lt;&gt;"","CoQ-PP_26-"&amp;TEXT(A41,"000"),"— at issue —")</f>
        <v/>
      </c>
      <c r="C41" s="4" t="inlineStr">
        <is>
          <t>yes</t>
        </is>
      </c>
      <c r="D41" s="5">
        <f>IF(OR(A41="",C41="allocated",C41="ruled"),"",MAX(E41,IF(ISNUMBER(I41),I41,0),IFERROR(IF(ISNUMBER(INDEX('iCoA Register'!$F:$F,MATCH(S41,'iCoA Register'!$AA:$AA,0))),INDEX('iCoA Register'!$F:$F,MATCH(S41,'iCoA Register'!$AA:$AA,0)),0),0)))</f>
        <v/>
      </c>
      <c r="E41" s="5">
        <f>IF(ISNUMBER(F41),MAX(DATE(2026,6,6),F41+7),DATE(2026,6,6))</f>
        <v/>
      </c>
      <c r="F41" s="5" t="n">
        <v>46056</v>
      </c>
      <c r="G41" s="2" t="inlineStr">
        <is>
          <t>87-2026</t>
        </is>
      </c>
      <c r="H41" s="2">
        <f>IFERROR(INDEX('iCoA Register'!$B:$B,MATCH("P060042|I",'iCoA Register'!$AA:$AA,0)),"—")</f>
        <v/>
      </c>
      <c r="I41" s="5">
        <f>IFERROR(INDEX('iCoA Register'!$D:$D,MATCH("P060042|I",'iCoA Register'!$AA:$AA,0)),"")</f>
        <v/>
      </c>
      <c r="J41" s="2" t="inlineStr">
        <is>
          <t>legacy</t>
        </is>
      </c>
      <c r="K41" s="2" t="inlineStr">
        <is>
          <t>initial release</t>
        </is>
      </c>
      <c r="L41" s="3" t="inlineStr">
        <is>
          <t>OPM092501</t>
        </is>
      </c>
      <c r="M41" s="2" t="inlineStr">
        <is>
          <t>P060042</t>
        </is>
      </c>
      <c r="N41" s="2" t="inlineStr">
        <is>
          <t>Orange Punch Mimosa</t>
        </is>
      </c>
      <c r="O41" s="2" t="inlineStr">
        <is>
          <t>ППК26008, (21.01.2026) [CNP]</t>
        </is>
      </c>
      <c r="P41" s="6" t="inlineStr">
        <is>
          <t>—</t>
        </is>
      </c>
      <c r="Q41" s="2" t="inlineStr">
        <is>
          <t>PP CoA #040 of 20.02.2026</t>
        </is>
      </c>
      <c r="R41" s="2" t="inlineStr">
        <is>
          <t>CoQ-PP-2026-0004</t>
        </is>
      </c>
      <c r="S41" s="2" t="inlineStr">
        <is>
          <t>P060042|I</t>
        </is>
      </c>
      <c r="T41" s="7" t="inlineStr">
        <is>
          <t>registered — legacy series, issued 06.06.2026</t>
        </is>
      </c>
      <c r="U41" s="2" t="inlineStr">
        <is>
          <t>n/a — initial certificate</t>
        </is>
      </c>
      <c r="V41" s="10" t="n">
        <v>9.43</v>
      </c>
      <c r="W41" s="2" t="inlineStr">
        <is>
          <t>ППК26008</t>
        </is>
      </c>
      <c r="X41" s="2" t="inlineStr">
        <is>
          <t>10.00 ± 1.00 (IV)</t>
        </is>
      </c>
      <c r="Y41" s="2" t="inlineStr">
        <is>
          <t>9.00 – 10.99 %</t>
        </is>
      </c>
      <c r="Z41" s="2" t="inlineStr">
        <is>
          <t>OPM_THC10 : CBD1</t>
        </is>
      </c>
      <c r="AA41" s="2" t="inlineStr">
        <is>
          <t>QCSP_001_OPM-IV_v.01</t>
        </is>
      </c>
      <c r="AB41" s="8" t="inlineStr">
        <is>
          <t>for review — replaces the issued QCSP_001_OPM-IV_v.01 (was OPM_THC10 : CBD1, 9.00 – 11.00 %); now OPM_THC10 : CBD1 9.00 – 10.99 %</t>
        </is>
      </c>
      <c r="AC41" s="11" t="inlineStr"/>
    </row>
    <row r="42">
      <c r="A42" s="2">
        <f>IF(OR(C42="yes",C42="allocated",C42="ruled"),COUNT(A$1:A41)+1,"")</f>
        <v/>
      </c>
      <c r="B42" s="3">
        <f>IF(A42&lt;&gt;"","CoQ-PP_26-"&amp;TEXT(A42,"000"),"— at issue —")</f>
        <v/>
      </c>
      <c r="C42" s="4" t="inlineStr">
        <is>
          <t>yes</t>
        </is>
      </c>
      <c r="D42" s="5">
        <f>IF(OR(A42="",C42="allocated",C42="ruled"),"",MAX(E42,IF(ISNUMBER(I42),I42,0),IFERROR(IF(ISNUMBER(INDEX('iCoA Register'!$F:$F,MATCH(S42,'iCoA Register'!$AA:$AA,0))),INDEX('iCoA Register'!$F:$F,MATCH(S42,'iCoA Register'!$AA:$AA,0)),0),0)))</f>
        <v/>
      </c>
      <c r="E42" s="5">
        <f>IF(ISNUMBER(F42),MAX(DATE(2026,6,6),F42+7),DATE(2026,6,6))</f>
        <v/>
      </c>
      <c r="F42" s="5" t="n">
        <v>46055</v>
      </c>
      <c r="G42" s="2" t="inlineStr">
        <is>
          <t>84-2026</t>
        </is>
      </c>
      <c r="H42" s="2">
        <f>IFERROR(INDEX('iCoA Register'!$B:$B,MATCH("P060052|I",'iCoA Register'!$AA:$AA,0)),"—")</f>
        <v/>
      </c>
      <c r="I42" s="5">
        <f>IFERROR(INDEX('iCoA Register'!$D:$D,MATCH("P060052|I",'iCoA Register'!$AA:$AA,0)),"")</f>
        <v/>
      </c>
      <c r="J42" s="2" t="inlineStr">
        <is>
          <t>legacy</t>
        </is>
      </c>
      <c r="K42" s="2" t="inlineStr">
        <is>
          <t>initial release</t>
        </is>
      </c>
      <c r="L42" s="3" t="inlineStr">
        <is>
          <t>AB092501</t>
        </is>
      </c>
      <c r="M42" s="2" t="inlineStr">
        <is>
          <t>P060052</t>
        </is>
      </c>
      <c r="N42" s="2" t="inlineStr">
        <is>
          <t>Apple and Banana</t>
        </is>
      </c>
      <c r="O42" s="2" t="inlineStr">
        <is>
          <t>ППК26005, (21.01.2026) [CNP]</t>
        </is>
      </c>
      <c r="P42" s="6" t="inlineStr">
        <is>
          <t>—</t>
        </is>
      </c>
      <c r="Q42" s="2" t="inlineStr">
        <is>
          <t>PP CoA #037 of 20.02.2026</t>
        </is>
      </c>
      <c r="R42" s="2" t="inlineStr">
        <is>
          <t>(assigned on issue)</t>
        </is>
      </c>
      <c r="S42" s="2" t="inlineStr">
        <is>
          <t>P060052|I</t>
        </is>
      </c>
      <c r="T42" s="7" t="inlineStr">
        <is>
          <t>registered — legacy series, issued 06.06.2026</t>
        </is>
      </c>
      <c r="U42" s="2" t="inlineStr">
        <is>
          <t>n/a — initial certificate</t>
        </is>
      </c>
      <c r="V42" s="10" t="n">
        <v>16.93</v>
      </c>
      <c r="W42" s="2" t="inlineStr">
        <is>
          <t>ППК26005</t>
        </is>
      </c>
      <c r="X42" s="2" t="inlineStr">
        <is>
          <t>18.00 ± 1.80 (II)</t>
        </is>
      </c>
      <c r="Y42" s="2" t="inlineStr">
        <is>
          <t>16.20 – 19.79 %</t>
        </is>
      </c>
      <c r="Z42" s="2" t="inlineStr">
        <is>
          <t>AB_THC18 : CBD1</t>
        </is>
      </c>
      <c r="AA42" s="2" t="inlineStr">
        <is>
          <t>QCSP_001_AB-II_v.01</t>
        </is>
      </c>
      <c r="AB42" s="11" t="inlineStr">
        <is>
          <t>for review — new</t>
        </is>
      </c>
      <c r="AC42" s="11" t="inlineStr"/>
    </row>
    <row r="43">
      <c r="A43" s="2">
        <f>IF(OR(C43="yes",C43="allocated",C43="ruled"),COUNT(A$1:A42)+1,"")</f>
        <v/>
      </c>
      <c r="B43" s="3">
        <f>IF(A43&lt;&gt;"","CoQ-PP_26-"&amp;TEXT(A43,"000"),"— at issue —")</f>
        <v/>
      </c>
      <c r="C43" s="4" t="inlineStr">
        <is>
          <t>yes</t>
        </is>
      </c>
      <c r="D43" s="5">
        <f>IF(OR(A43="",C43="allocated",C43="ruled"),"",MAX(E43,IF(ISNUMBER(I43),I43,0),IFERROR(IF(ISNUMBER(INDEX('iCoA Register'!$F:$F,MATCH(S43,'iCoA Register'!$AA:$AA,0))),INDEX('iCoA Register'!$F:$F,MATCH(S43,'iCoA Register'!$AA:$AA,0)),0),0)))</f>
        <v/>
      </c>
      <c r="E43" s="5">
        <f>IF(ISNUMBER(F43),MAX(DATE(2026,6,6),F43+7),DATE(2026,6,6))</f>
        <v/>
      </c>
      <c r="F43" s="5" t="n">
        <v>46055</v>
      </c>
      <c r="G43" s="2" t="inlineStr">
        <is>
          <t>83-2026</t>
        </is>
      </c>
      <c r="H43" s="2">
        <f>IFERROR(INDEX('iCoA Register'!$B:$B,MATCH("P060062|I",'iCoA Register'!$AA:$AA,0)),"—")</f>
        <v/>
      </c>
      <c r="I43" s="5">
        <f>IFERROR(INDEX('iCoA Register'!$D:$D,MATCH("P060062|I",'iCoA Register'!$AA:$AA,0)),"")</f>
        <v/>
      </c>
      <c r="J43" s="2" t="inlineStr">
        <is>
          <t>legacy</t>
        </is>
      </c>
      <c r="K43" s="2" t="inlineStr">
        <is>
          <t>initial release</t>
        </is>
      </c>
      <c r="L43" s="3" t="inlineStr">
        <is>
          <t>PM092501</t>
        </is>
      </c>
      <c r="M43" s="2" t="inlineStr">
        <is>
          <t>P060062</t>
        </is>
      </c>
      <c r="N43" s="2" t="inlineStr">
        <is>
          <t>Permanent Marker</t>
        </is>
      </c>
      <c r="O43" s="2" t="inlineStr">
        <is>
          <t>ППК26004, (21.01.2026) [CNP]</t>
        </is>
      </c>
      <c r="P43" s="6" t="inlineStr">
        <is>
          <t>—</t>
        </is>
      </c>
      <c r="Q43" s="2" t="inlineStr">
        <is>
          <t>PP CoA #036 of 20.02.2026</t>
        </is>
      </c>
      <c r="R43" s="2" t="inlineStr">
        <is>
          <t>CoQ-PP-2026-0005</t>
        </is>
      </c>
      <c r="S43" s="2" t="inlineStr">
        <is>
          <t>P060062|I</t>
        </is>
      </c>
      <c r="T43" s="7" t="inlineStr">
        <is>
          <t>registered — legacy series, issued 06.06.2026</t>
        </is>
      </c>
      <c r="U43" s="2" t="inlineStr">
        <is>
          <t>n/a — initial certificate</t>
        </is>
      </c>
      <c r="V43" s="10" t="n">
        <v>14.06</v>
      </c>
      <c r="W43" s="2" t="inlineStr">
        <is>
          <t>ППК26004</t>
        </is>
      </c>
      <c r="X43" s="2" t="inlineStr">
        <is>
          <t>14.00 ± 1.00 (I)</t>
        </is>
      </c>
      <c r="Y43" s="2" t="inlineStr">
        <is>
          <t>13.00 – 14.99 %</t>
        </is>
      </c>
      <c r="Z43" s="2" t="inlineStr">
        <is>
          <t>PM_THC14 : CBD1</t>
        </is>
      </c>
      <c r="AA43" s="2" t="inlineStr">
        <is>
          <t>QCSP_001_PM-I_v.01</t>
        </is>
      </c>
      <c r="AB43" s="8" t="inlineStr">
        <is>
          <t>for review — replaces the issued QCSP_001_PM-I_v.01 (was PM_THC12 : CBD1, 11.01 – 12.99 %); now PM_THC14 : CBD1 13.00 – 14.99 %</t>
        </is>
      </c>
      <c r="AC43" s="11" t="inlineStr"/>
    </row>
    <row r="44">
      <c r="A44" s="2">
        <f>IF(OR(C44="yes",C44="allocated",C44="ruled"),COUNT(A$1:A43)+1,"")</f>
        <v/>
      </c>
      <c r="B44" s="3">
        <f>IF(A44&lt;&gt;"","CoQ-PP_26-"&amp;TEXT(A44,"000"),"— at issue —")</f>
        <v/>
      </c>
      <c r="C44" s="4" t="inlineStr">
        <is>
          <t>yes</t>
        </is>
      </c>
      <c r="D44" s="5">
        <f>IF(OR(A44="",C44="allocated",C44="ruled"),"",MAX(E44,IF(ISNUMBER(I44),I44,0),IFERROR(IF(ISNUMBER(INDEX('iCoA Register'!$F:$F,MATCH(S44,'iCoA Register'!$AA:$AA,0))),INDEX('iCoA Register'!$F:$F,MATCH(S44,'iCoA Register'!$AA:$AA,0)),0),0)))</f>
        <v/>
      </c>
      <c r="E44" s="5">
        <f>IF(ISNUMBER(F44),MAX(DATE(2026,6,6),F44+7),DATE(2026,6,6))</f>
        <v/>
      </c>
      <c r="F44" s="5" t="n">
        <v>46055</v>
      </c>
      <c r="G44" s="2" t="inlineStr">
        <is>
          <t>86-2026</t>
        </is>
      </c>
      <c r="H44" s="2">
        <f>IFERROR(INDEX('iCoA Register'!$B:$B,MATCH("P060072|I",'iCoA Register'!$AA:$AA,0)),"—")</f>
        <v/>
      </c>
      <c r="I44" s="5">
        <f>IFERROR(INDEX('iCoA Register'!$D:$D,MATCH("P060072|I",'iCoA Register'!$AA:$AA,0)),"")</f>
        <v/>
      </c>
      <c r="J44" s="2" t="inlineStr">
        <is>
          <t>legacy</t>
        </is>
      </c>
      <c r="K44" s="2" t="inlineStr">
        <is>
          <t>initial release</t>
        </is>
      </c>
      <c r="L44" s="3" t="inlineStr">
        <is>
          <t>CJ092501</t>
        </is>
      </c>
      <c r="M44" s="2" t="inlineStr">
        <is>
          <t>P060072</t>
        </is>
      </c>
      <c r="N44" s="2" t="inlineStr">
        <is>
          <t>Cap Junky</t>
        </is>
      </c>
      <c r="O44" s="2" t="inlineStr">
        <is>
          <t>ППК26007, (21.01.2026) [CNP]</t>
        </is>
      </c>
      <c r="P44" s="6" t="inlineStr">
        <is>
          <t>—</t>
        </is>
      </c>
      <c r="Q44" s="2" t="inlineStr">
        <is>
          <t>PP CoA #039 of 20.02.2026</t>
        </is>
      </c>
      <c r="R44" s="2" t="inlineStr">
        <is>
          <t>CoQ-PP-2026-0006</t>
        </is>
      </c>
      <c r="S44" s="2" t="inlineStr">
        <is>
          <t>P060072|I</t>
        </is>
      </c>
      <c r="T44" s="7" t="inlineStr">
        <is>
          <t>registered — legacy series, issued 06.06.2026</t>
        </is>
      </c>
      <c r="U44" s="2" t="inlineStr">
        <is>
          <t>n/a — initial certificate</t>
        </is>
      </c>
      <c r="V44" s="10" t="n">
        <v>22.3</v>
      </c>
      <c r="W44" s="2" t="inlineStr">
        <is>
          <t>ППК26007</t>
        </is>
      </c>
      <c r="X44" s="2" t="inlineStr">
        <is>
          <t>24.00 ± 2.40 (II)</t>
        </is>
      </c>
      <c r="Y44" s="2" t="inlineStr">
        <is>
          <t>21.60 – 26.39 %</t>
        </is>
      </c>
      <c r="Z44" s="2" t="inlineStr">
        <is>
          <t>CJ_THC24 : CBD1</t>
        </is>
      </c>
      <c r="AA44" s="2" t="inlineStr">
        <is>
          <t>QCSP_001_CJ-II_v.01</t>
        </is>
      </c>
      <c r="AB44" s="8" t="inlineStr">
        <is>
          <t>for review — replaces the issued QCSP_001_CJ-II_v.01 (was CJ_THC26 : CBD1, 25.01 – 26.99 %); now CJ_THC24 : CBD1 21.60 – 26.39 %</t>
        </is>
      </c>
      <c r="AC44" s="11" t="inlineStr"/>
    </row>
    <row r="45">
      <c r="A45" s="2">
        <f>IF(OR(C45="yes",C45="allocated",C45="ruled"),COUNT(A$1:A44)+1,"")</f>
        <v/>
      </c>
      <c r="B45" s="3">
        <f>IF(A45&lt;&gt;"","CoQ-PP_26-"&amp;TEXT(A45,"000"),"— at issue —")</f>
        <v/>
      </c>
      <c r="C45" s="4" t="inlineStr">
        <is>
          <t>yes</t>
        </is>
      </c>
      <c r="D45" s="5">
        <f>IF(OR(A45="",C45="allocated",C45="ruled"),"",MAX(E45,IF(ISNUMBER(I45),I45,0),IFERROR(IF(ISNUMBER(INDEX('iCoA Register'!$F:$F,MATCH(S45,'iCoA Register'!$AA:$AA,0))),INDEX('iCoA Register'!$F:$F,MATCH(S45,'iCoA Register'!$AA:$AA,0)),0),0)))</f>
        <v/>
      </c>
      <c r="E45" s="5">
        <f>IF(ISNUMBER(F45),MAX(DATE(2026,6,6),F45+7),DATE(2026,6,6))</f>
        <v/>
      </c>
      <c r="F45" s="5" t="n">
        <v>46055</v>
      </c>
      <c r="G45" s="2" t="inlineStr">
        <is>
          <t>85-2026</t>
        </is>
      </c>
      <c r="H45" s="2">
        <f>IFERROR(INDEX('iCoA Register'!$B:$B,MATCH("P060082|I",'iCoA Register'!$AA:$AA,0)),"—")</f>
        <v/>
      </c>
      <c r="I45" s="5">
        <f>IFERROR(INDEX('iCoA Register'!$D:$D,MATCH("P060082|I",'iCoA Register'!$AA:$AA,0)),"")</f>
        <v/>
      </c>
      <c r="J45" s="2" t="inlineStr">
        <is>
          <t>legacy</t>
        </is>
      </c>
      <c r="K45" s="2" t="inlineStr">
        <is>
          <t>initial release</t>
        </is>
      </c>
      <c r="L45" s="3" t="inlineStr">
        <is>
          <t>SJ0925021</t>
        </is>
      </c>
      <c r="M45" s="2" t="inlineStr">
        <is>
          <t>P060082</t>
        </is>
      </c>
      <c r="N45" s="2" t="inlineStr">
        <is>
          <t>Sleepy Joe</t>
        </is>
      </c>
      <c r="O45" s="2" t="inlineStr">
        <is>
          <t>ППК26006, (21.01.2026) [CNP]</t>
        </is>
      </c>
      <c r="P45" s="6" t="inlineStr">
        <is>
          <t>—</t>
        </is>
      </c>
      <c r="Q45" s="2" t="inlineStr">
        <is>
          <t>PP CoA #038 of 20.02.2026</t>
        </is>
      </c>
      <c r="R45" s="2" t="inlineStr">
        <is>
          <t>CoQ-PP-2026-0007</t>
        </is>
      </c>
      <c r="S45" s="2" t="inlineStr">
        <is>
          <t>P060082|I</t>
        </is>
      </c>
      <c r="T45" s="7" t="inlineStr">
        <is>
          <t>registered — legacy series, issued 06.06.2026</t>
        </is>
      </c>
      <c r="U45" s="2" t="inlineStr">
        <is>
          <t>n/a — initial certificate</t>
        </is>
      </c>
      <c r="V45" s="10" t="n">
        <v>10.96</v>
      </c>
      <c r="W45" s="2" t="inlineStr">
        <is>
          <t>ППК26006</t>
        </is>
      </c>
      <c r="X45" s="2" t="inlineStr">
        <is>
          <t>10.00 ± 1.00 (II)</t>
        </is>
      </c>
      <c r="Y45" s="2" t="inlineStr">
        <is>
          <t>9.00 – 10.99 %</t>
        </is>
      </c>
      <c r="Z45" s="2" t="inlineStr">
        <is>
          <t>SJ_THC10 : CBD1</t>
        </is>
      </c>
      <c r="AA45" s="2" t="inlineStr">
        <is>
          <t>QCSP_001_SJ-II_v.01</t>
        </is>
      </c>
      <c r="AB45" s="8" t="inlineStr">
        <is>
          <t>for review — replaces the issued QCSP_001_SJ-II_v.01 (was SJ_THC10 : CBD1, 9.00 – 11.00 %); now SJ_THC10 : CBD1 9.00 – 10.99 %</t>
        </is>
      </c>
      <c r="AC45" s="11" t="inlineStr"/>
    </row>
    <row r="46">
      <c r="A46" s="2">
        <f>IF(OR(C46="yes",C46="allocated",C46="ruled"),COUNT(A$1:A45)+1,"")</f>
        <v/>
      </c>
      <c r="B46" s="3">
        <f>IF(A46&lt;&gt;"","CoQ-PP_26-"&amp;TEXT(A46,"000"),"— at issue —")</f>
        <v/>
      </c>
      <c r="C46" s="4" t="inlineStr">
        <is>
          <t>yes</t>
        </is>
      </c>
      <c r="D46" s="5">
        <f>IF(OR(A46="",C46="allocated",C46="ruled"),"",MAX(E46,IF(ISNUMBER(I46),I46,0),IFERROR(IF(ISNUMBER(INDEX('iCoA Register'!$F:$F,MATCH(S46,'iCoA Register'!$AA:$AA,0))),INDEX('iCoA Register'!$F:$F,MATCH(S46,'iCoA Register'!$AA:$AA,0)),0),0)))</f>
        <v/>
      </c>
      <c r="E46" s="5">
        <f>IF(ISNUMBER(F46),MAX(DATE(2026,6,6),F46+7),DATE(2026,6,6))</f>
        <v/>
      </c>
      <c r="F46" s="5" t="n">
        <v>46056</v>
      </c>
      <c r="G46" s="2" t="inlineStr">
        <is>
          <t>88-2026</t>
        </is>
      </c>
      <c r="H46" s="2">
        <f>IFERROR(INDEX('iCoA Register'!$B:$B,MATCH("P060092|I",'iCoA Register'!$AA:$AA,0)),"—")</f>
        <v/>
      </c>
      <c r="I46" s="5">
        <f>IFERROR(INDEX('iCoA Register'!$D:$D,MATCH("P060092|I",'iCoA Register'!$AA:$AA,0)),"")</f>
        <v/>
      </c>
      <c r="J46" s="2" t="inlineStr">
        <is>
          <t>legacy</t>
        </is>
      </c>
      <c r="K46" s="2" t="inlineStr">
        <is>
          <t>initial release</t>
        </is>
      </c>
      <c r="L46" s="3" t="inlineStr">
        <is>
          <t>GP092501</t>
        </is>
      </c>
      <c r="M46" s="2" t="inlineStr">
        <is>
          <t>P060092</t>
        </is>
      </c>
      <c r="N46" s="2" t="inlineStr">
        <is>
          <t>Grape Pie</t>
        </is>
      </c>
      <c r="O46" s="2" t="inlineStr">
        <is>
          <t>ППК26009, (21.01.2026) [CNP]</t>
        </is>
      </c>
      <c r="P46" s="6" t="inlineStr">
        <is>
          <t>—</t>
        </is>
      </c>
      <c r="Q46" s="2" t="inlineStr">
        <is>
          <t>PP CoA #033 of 20.02.2026</t>
        </is>
      </c>
      <c r="R46" s="2" t="inlineStr">
        <is>
          <t>CoQ-PP-2026-0008</t>
        </is>
      </c>
      <c r="S46" s="2" t="inlineStr">
        <is>
          <t>P060092|I</t>
        </is>
      </c>
      <c r="T46" s="7" t="inlineStr">
        <is>
          <t>registered — legacy series, issued 06.06.2026</t>
        </is>
      </c>
      <c r="U46" s="2" t="inlineStr">
        <is>
          <t>n/a — initial certificate</t>
        </is>
      </c>
      <c r="V46" s="10" t="n">
        <v>25.73</v>
      </c>
      <c r="W46" s="2" t="inlineStr">
        <is>
          <t>ППК26009</t>
        </is>
      </c>
      <c r="X46" s="2" t="inlineStr">
        <is>
          <t>24.00 ± 2.00 (II)</t>
        </is>
      </c>
      <c r="Y46" s="2" t="inlineStr">
        <is>
          <t>22.00 – 25.99 %</t>
        </is>
      </c>
      <c r="Z46" s="2" t="inlineStr">
        <is>
          <t>GP_THC24 : CBD1</t>
        </is>
      </c>
      <c r="AA46" s="2" t="inlineStr">
        <is>
          <t>QCSP_001_GP-II_v.01</t>
        </is>
      </c>
      <c r="AB46" s="8" t="inlineStr">
        <is>
          <t>for review — replaces the issued QCSP_001_GP-II_v.01 (was GP_THC26 : CBD1, 25.40 – 26.60 %); now GP_THC24 : CBD1 22.00 – 25.99 %</t>
        </is>
      </c>
      <c r="AC46" s="11" t="inlineStr"/>
    </row>
    <row r="47">
      <c r="A47" s="2">
        <f>IF(OR(C47="yes",C47="allocated",C47="ruled"),COUNT(A$1:A46)+1,"")</f>
        <v/>
      </c>
      <c r="B47" s="3">
        <f>IF(A47&lt;&gt;"","CoQ-PP_26-"&amp;TEXT(A47,"000"),"— at issue —")</f>
        <v/>
      </c>
      <c r="C47" s="4" t="inlineStr">
        <is>
          <t>yes</t>
        </is>
      </c>
      <c r="D47" s="5">
        <f>IF(OR(A47="",C47="allocated",C47="ruled"),"",MAX(E47,IF(ISNUMBER(I47),I47,0),IFERROR(IF(ISNUMBER(INDEX('iCoA Register'!$F:$F,MATCH(S47,'iCoA Register'!$AA:$AA,0))),INDEX('iCoA Register'!$F:$F,MATCH(S47,'iCoA Register'!$AA:$AA,0)),0),0)))</f>
        <v/>
      </c>
      <c r="E47" s="5">
        <f>IF(ISNUMBER(F47),MAX(DATE(2026,6,6),F47+7),DATE(2026,6,6))</f>
        <v/>
      </c>
      <c r="F47" s="5" t="n">
        <v>46065</v>
      </c>
      <c r="G47" s="2" t="inlineStr">
        <is>
          <t>031-3-ГС-26</t>
        </is>
      </c>
      <c r="H47" s="2">
        <f>IFERROR(INDEX('iCoA Register'!$B:$B,MATCH("P060102|I",'iCoA Register'!$AA:$AA,0)),"—")</f>
        <v/>
      </c>
      <c r="I47" s="5">
        <f>IFERROR(INDEX('iCoA Register'!$D:$D,MATCH("P060102|I",'iCoA Register'!$AA:$AA,0)),"")</f>
        <v/>
      </c>
      <c r="J47" s="2" t="inlineStr">
        <is>
          <t>legacy</t>
        </is>
      </c>
      <c r="K47" s="2" t="inlineStr">
        <is>
          <t>initial release</t>
        </is>
      </c>
      <c r="L47" s="3" t="inlineStr">
        <is>
          <t>WED102501</t>
        </is>
      </c>
      <c r="M47" s="2" t="inlineStr">
        <is>
          <t>P060102</t>
        </is>
      </c>
      <c r="N47" s="2" t="inlineStr">
        <is>
          <t>Wedding Cake</t>
        </is>
      </c>
      <c r="O47" s="6" t="inlineStr">
        <is>
          <t>— no cannabinoid certificate from the initial testing —</t>
        </is>
      </c>
      <c r="P47" s="6" t="inlineStr">
        <is>
          <t>—</t>
        </is>
      </c>
      <c r="Q47" s="2" t="inlineStr">
        <is>
          <t>—</t>
        </is>
      </c>
      <c r="R47" s="2" t="inlineStr">
        <is>
          <t>(assigned on issue)</t>
        </is>
      </c>
      <c r="S47" s="2" t="inlineStr">
        <is>
          <t>P060102|I</t>
        </is>
      </c>
      <c r="T47" s="7" t="inlineStr">
        <is>
          <t>registered — legacy series, issued 06.06.2026 · initial certificate to locate: #3 (CNP), #4 (CNP), #5 (CNP), #6 (CNP), #9 (IJZ), #10 (CNP), #11 (CNP), #12 (CNP)</t>
        </is>
      </c>
      <c r="U47" s="2" t="inlineStr">
        <is>
          <t>n/a — initial certificate</t>
        </is>
      </c>
      <c r="V47" s="2" t="inlineStr">
        <is>
          <t>—</t>
        </is>
      </c>
      <c r="W47" s="2" t="inlineStr">
        <is>
          <t>—</t>
        </is>
      </c>
      <c r="X47" s="2" t="inlineStr">
        <is>
          <t>—</t>
        </is>
      </c>
      <c r="Y47" s="2" t="inlineStr">
        <is>
          <t>—</t>
        </is>
      </c>
      <c r="Z47" s="2" t="inlineStr">
        <is>
          <t>—</t>
        </is>
      </c>
      <c r="AA47" s="2" t="inlineStr">
        <is>
          <t>—</t>
        </is>
      </c>
      <c r="AB47" s="11" t="inlineStr">
        <is>
          <t>—</t>
        </is>
      </c>
      <c r="AC47" s="8" t="inlineStr">
        <is>
          <t>no Total THC result on this certificate</t>
        </is>
      </c>
    </row>
    <row r="48">
      <c r="A48" s="2">
        <f>IF(OR(C48="yes",C48="allocated",C48="ruled"),COUNT(A$1:A47)+1,"")</f>
        <v/>
      </c>
      <c r="B48" s="3">
        <f>IF(A48&lt;&gt;"","CoQ-PP_26-"&amp;TEXT(A48,"000"),"— at issue —")</f>
        <v/>
      </c>
      <c r="C48" s="4" t="inlineStr">
        <is>
          <t>yes</t>
        </is>
      </c>
      <c r="D48" s="5">
        <f>IF(OR(A48="",C48="allocated",C48="ruled"),"",MAX(E48,IF(ISNUMBER(I48),I48,0),IFERROR(IF(ISNUMBER(INDEX('iCoA Register'!$F:$F,MATCH(S48,'iCoA Register'!$AA:$AA,0))),INDEX('iCoA Register'!$F:$F,MATCH(S48,'iCoA Register'!$AA:$AA,0)),0),0)))</f>
        <v/>
      </c>
      <c r="E48" s="5">
        <f>IF(ISNUMBER(F48),MAX(DATE(2026,6,6),F48+7),DATE(2026,6,6))</f>
        <v/>
      </c>
      <c r="F48" s="5" t="inlineStr">
        <is>
          <t>—</t>
        </is>
      </c>
      <c r="G48" s="2" t="inlineStr">
        <is>
          <t>—</t>
        </is>
      </c>
      <c r="H48" s="2">
        <f>IFERROR(INDEX('iCoA Register'!$B:$B,MATCH("P060112|I",'iCoA Register'!$AA:$AA,0)),"—")</f>
        <v/>
      </c>
      <c r="I48" s="5">
        <f>IFERROR(INDEX('iCoA Register'!$D:$D,MATCH("P060112|I",'iCoA Register'!$AA:$AA,0)),"")</f>
        <v/>
      </c>
      <c r="J48" s="2" t="inlineStr">
        <is>
          <t>legacy</t>
        </is>
      </c>
      <c r="K48" s="2" t="inlineStr">
        <is>
          <t>initial release</t>
        </is>
      </c>
      <c r="L48" s="3" t="inlineStr">
        <is>
          <t>PUM102501</t>
        </is>
      </c>
      <c r="M48" s="2" t="inlineStr">
        <is>
          <t>P060112</t>
        </is>
      </c>
      <c r="N48" s="2" t="inlineStr">
        <is>
          <t>Pure Michigen</t>
        </is>
      </c>
      <c r="O48" s="6" t="inlineStr">
        <is>
          <t>— no cannabinoid certificate from the initial testing —</t>
        </is>
      </c>
      <c r="P48" s="6" t="inlineStr">
        <is>
          <t>—</t>
        </is>
      </c>
      <c r="Q48" s="2" t="inlineStr">
        <is>
          <t>—</t>
        </is>
      </c>
      <c r="R48" s="2" t="inlineStr">
        <is>
          <t>CoQ-PP-2026-0009</t>
        </is>
      </c>
      <c r="S48" s="2" t="inlineStr">
        <is>
          <t>P060112|I</t>
        </is>
      </c>
      <c r="T48" s="7" t="inlineStr">
        <is>
          <t>registered — legacy series, issued 06.06.2026 · initial certificate to locate: #3 (CNP), #4 (CNP), #5 (CNP), #6 (CNP), #8 (CNP), #9 (IJZ), #10 (CNP), #11 (CNP), #12 (CNP)</t>
        </is>
      </c>
      <c r="U48" s="2" t="inlineStr">
        <is>
          <t>n/a — initial certificate</t>
        </is>
      </c>
      <c r="V48" s="2" t="inlineStr">
        <is>
          <t>—</t>
        </is>
      </c>
      <c r="W48" s="2" t="inlineStr">
        <is>
          <t>—</t>
        </is>
      </c>
      <c r="X48" s="2" t="inlineStr">
        <is>
          <t>—</t>
        </is>
      </c>
      <c r="Y48" s="2" t="inlineStr">
        <is>
          <t>—</t>
        </is>
      </c>
      <c r="Z48" s="2" t="inlineStr">
        <is>
          <t>—</t>
        </is>
      </c>
      <c r="AA48" s="2" t="inlineStr">
        <is>
          <t>—</t>
        </is>
      </c>
      <c r="AB48" s="11" t="inlineStr">
        <is>
          <t>—</t>
        </is>
      </c>
      <c r="AC48" s="8" t="inlineStr">
        <is>
          <t>no Total THC result on this certificate</t>
        </is>
      </c>
    </row>
    <row r="49">
      <c r="A49" s="2">
        <f>IF(OR(C49="yes",C49="allocated",C49="ruled"),COUNT(A$1:A48)+1,"")</f>
        <v/>
      </c>
      <c r="B49" s="3">
        <f>IF(A49&lt;&gt;"","CoQ-PP_26-"&amp;TEXT(A49,"000"),"— at issue —")</f>
        <v/>
      </c>
      <c r="C49" s="4" t="inlineStr">
        <is>
          <t>yes</t>
        </is>
      </c>
      <c r="D49" s="5">
        <f>IF(OR(A49="",C49="allocated",C49="ruled"),"",MAX(E49,IF(ISNUMBER(I49),I49,0),IFERROR(IF(ISNUMBER(INDEX('iCoA Register'!$F:$F,MATCH(S49,'iCoA Register'!$AA:$AA,0))),INDEX('iCoA Register'!$F:$F,MATCH(S49,'iCoA Register'!$AA:$AA,0)),0),0)))</f>
        <v/>
      </c>
      <c r="E49" s="5">
        <f>IF(ISNUMBER(F49),MAX(DATE(2026,6,6),F49+7),DATE(2026,6,6))</f>
        <v/>
      </c>
      <c r="F49" s="5" t="inlineStr">
        <is>
          <t>—</t>
        </is>
      </c>
      <c r="G49" s="2" t="inlineStr">
        <is>
          <t>—</t>
        </is>
      </c>
      <c r="H49" s="2">
        <f>IFERROR(INDEX('iCoA Register'!$B:$B,MATCH("P060122|I",'iCoA Register'!$AA:$AA,0)),"—")</f>
        <v/>
      </c>
      <c r="I49" s="5">
        <f>IFERROR(INDEX('iCoA Register'!$D:$D,MATCH("P060122|I",'iCoA Register'!$AA:$AA,0)),"")</f>
        <v/>
      </c>
      <c r="J49" s="2" t="inlineStr">
        <is>
          <t>legacy</t>
        </is>
      </c>
      <c r="K49" s="2" t="inlineStr">
        <is>
          <t>initial release</t>
        </is>
      </c>
      <c r="L49" s="3" t="inlineStr">
        <is>
          <t>ACC102501</t>
        </is>
      </c>
      <c r="M49" s="2" t="inlineStr">
        <is>
          <t>P060122</t>
        </is>
      </c>
      <c r="N49" s="2" t="inlineStr">
        <is>
          <t>Amnesia Core Cut</t>
        </is>
      </c>
      <c r="O49" s="6" t="inlineStr">
        <is>
          <t>— no cannabinoid certificate from the initial testing —</t>
        </is>
      </c>
      <c r="P49" s="6" t="inlineStr">
        <is>
          <t>—</t>
        </is>
      </c>
      <c r="Q49" s="2" t="inlineStr">
        <is>
          <t>—</t>
        </is>
      </c>
      <c r="R49" s="2" t="inlineStr">
        <is>
          <t>CoQ-PP-2026-0010</t>
        </is>
      </c>
      <c r="S49" s="2" t="inlineStr">
        <is>
          <t>P060122|I</t>
        </is>
      </c>
      <c r="T49" s="7" t="inlineStr">
        <is>
          <t>registered — legacy series, issued 06.06.2026 · initial certificate to locate: #3 (CNP), #4 (CNP), #5 (CNP), #6 (CNP), #8 (CNP), #9 (IJZ), #10 (CNP), #11 (CNP), #12 (CNP)</t>
        </is>
      </c>
      <c r="U49" s="2" t="inlineStr">
        <is>
          <t>n/a — initial certificate</t>
        </is>
      </c>
      <c r="V49" s="10" t="n">
        <v>12.91</v>
      </c>
      <c r="W49" s="2" t="inlineStr">
        <is>
          <t>031-5-К/26</t>
        </is>
      </c>
      <c r="X49" s="2" t="inlineStr">
        <is>
          <t>12.00 ± 1.20 (I)</t>
        </is>
      </c>
      <c r="Y49" s="2" t="inlineStr">
        <is>
          <t>10.80 – 13.19 %</t>
        </is>
      </c>
      <c r="Z49" s="2" t="inlineStr">
        <is>
          <t>ACC_THC12 : CBD1</t>
        </is>
      </c>
      <c r="AA49" s="2" t="inlineStr">
        <is>
          <t>QCSP_001_ACC-I_v.01</t>
        </is>
      </c>
      <c r="AB49" s="8" t="inlineStr">
        <is>
          <t>for review — replaces the issued QCSP_001_ACC-I_v.01 (was ACC_THC12 : CBD1, 10.80 – 13.20 %); now ACC_THC12 : CBD1 10.80 – 13.19 %</t>
        </is>
      </c>
      <c r="AC49" s="11" t="inlineStr"/>
    </row>
    <row r="50">
      <c r="A50" s="2">
        <f>IF(OR(C50="yes",C50="allocated",C50="ruled"),COUNT(A$1:A49)+1,"")</f>
        <v/>
      </c>
      <c r="B50" s="3">
        <f>IF(A50&lt;&gt;"","CoQ-PP_26-"&amp;TEXT(A50,"000"),"— at issue —")</f>
        <v/>
      </c>
      <c r="C50" s="4" t="inlineStr">
        <is>
          <t>yes</t>
        </is>
      </c>
      <c r="D50" s="5">
        <f>IF(OR(A50="",C50="allocated",C50="ruled"),"",MAX(E50,IF(ISNUMBER(I50),I50,0),IFERROR(IF(ISNUMBER(INDEX('iCoA Register'!$F:$F,MATCH(S50,'iCoA Register'!$AA:$AA,0))),INDEX('iCoA Register'!$F:$F,MATCH(S50,'iCoA Register'!$AA:$AA,0)),0),0)))</f>
        <v/>
      </c>
      <c r="E50" s="5">
        <f>IF(ISNUMBER(F50),MAX(DATE(2026,6,6),F50+7),DATE(2026,6,6))</f>
        <v/>
      </c>
      <c r="F50" s="5" t="inlineStr">
        <is>
          <t>—</t>
        </is>
      </c>
      <c r="G50" s="2" t="inlineStr">
        <is>
          <t>—</t>
        </is>
      </c>
      <c r="H50" s="2">
        <f>IFERROR(INDEX('iCoA Register'!$B:$B,MATCH("P060132|I",'iCoA Register'!$AA:$AA,0)),"—")</f>
        <v/>
      </c>
      <c r="I50" s="5">
        <f>IFERROR(INDEX('iCoA Register'!$D:$D,MATCH("P060132|I",'iCoA Register'!$AA:$AA,0)),"")</f>
        <v/>
      </c>
      <c r="J50" s="2" t="inlineStr">
        <is>
          <t>legacy</t>
        </is>
      </c>
      <c r="K50" s="2" t="inlineStr">
        <is>
          <t>initial release</t>
        </is>
      </c>
      <c r="L50" s="3" t="inlineStr">
        <is>
          <t>CF102501</t>
        </is>
      </c>
      <c r="M50" s="2" t="inlineStr">
        <is>
          <t>P060132</t>
        </is>
      </c>
      <c r="N50" s="2" t="inlineStr">
        <is>
          <t>Chem Flyer</t>
        </is>
      </c>
      <c r="O50" s="6" t="inlineStr">
        <is>
          <t>— no cannabinoid certificate from the initial testing —</t>
        </is>
      </c>
      <c r="P50" s="6" t="inlineStr">
        <is>
          <t>—</t>
        </is>
      </c>
      <c r="Q50" s="2" t="inlineStr">
        <is>
          <t>—</t>
        </is>
      </c>
      <c r="R50" s="2" t="inlineStr">
        <is>
          <t>CoQ-PP-2026-0011</t>
        </is>
      </c>
      <c r="S50" s="2" t="inlineStr">
        <is>
          <t>P060132|I</t>
        </is>
      </c>
      <c r="T50" s="7" t="inlineStr">
        <is>
          <t>registered — legacy series, issued 06.06.2026 · initial certificate to locate: #3 (CNP), #4 (CNP), #5 (CNP), #6 (CNP), #8 (CNP), #9 (IJZ), #10 (CNP), #11 (CNP), #12 (CNP)</t>
        </is>
      </c>
      <c r="U50" s="2" t="inlineStr">
        <is>
          <t>n/a — initial certificate</t>
        </is>
      </c>
      <c r="V50" s="10" t="n">
        <v>9.83</v>
      </c>
      <c r="W50" s="2" t="inlineStr">
        <is>
          <t>031-4-К/26</t>
        </is>
      </c>
      <c r="X50" s="2" t="inlineStr">
        <is>
          <t>10.00 ± 1.00 (I)</t>
        </is>
      </c>
      <c r="Y50" s="2" t="inlineStr">
        <is>
          <t>9.00 – 10.99 %</t>
        </is>
      </c>
      <c r="Z50" s="2" t="inlineStr">
        <is>
          <t>CF_THC10 : CBD1</t>
        </is>
      </c>
      <c r="AA50" s="2" t="inlineStr">
        <is>
          <t>QCSP_001_CF-I_v.01</t>
        </is>
      </c>
      <c r="AB50" s="8" t="inlineStr">
        <is>
          <t>for review — replaces the issued QCSP_001_CF-I_v.01 (was CF_THC10 : CBD1, 9.00 – 11.00 %); now CF_THC10 : CBD1 9.00 – 10.99 %</t>
        </is>
      </c>
      <c r="AC50" s="11" t="inlineStr"/>
    </row>
    <row r="51">
      <c r="A51" s="2">
        <f>IF(OR(C51="yes",C51="allocated",C51="ruled"),COUNT(A$1:A50)+1,"")</f>
        <v/>
      </c>
      <c r="B51" s="3">
        <f>IF(A51&lt;&gt;"","CoQ-PP_26-"&amp;TEXT(A51,"000"),"— at issue —")</f>
        <v/>
      </c>
      <c r="C51" s="4" t="inlineStr">
        <is>
          <t>yes</t>
        </is>
      </c>
      <c r="D51" s="5">
        <f>IF(OR(A51="",C51="allocated",C51="ruled"),"",MAX(E51,IF(ISNUMBER(I51),I51,0),IFERROR(IF(ISNUMBER(INDEX('iCoA Register'!$F:$F,MATCH(S51,'iCoA Register'!$AA:$AA,0))),INDEX('iCoA Register'!$F:$F,MATCH(S51,'iCoA Register'!$AA:$AA,0)),0),0)))</f>
        <v/>
      </c>
      <c r="E51" s="5">
        <f>IF(ISNUMBER(F51),MAX(DATE(2026,6,6),F51+7),DATE(2026,6,6))</f>
        <v/>
      </c>
      <c r="F51" s="5" t="inlineStr">
        <is>
          <t>—</t>
        </is>
      </c>
      <c r="G51" s="2" t="inlineStr">
        <is>
          <t>—</t>
        </is>
      </c>
      <c r="H51" s="2">
        <f>IFERROR(INDEX('iCoA Register'!$B:$B,MATCH("P060142|I",'iCoA Register'!$AA:$AA,0)),"—")</f>
        <v/>
      </c>
      <c r="I51" s="5">
        <f>IFERROR(INDEX('iCoA Register'!$D:$D,MATCH("P060142|I",'iCoA Register'!$AA:$AA,0)),"")</f>
        <v/>
      </c>
      <c r="J51" s="2" t="inlineStr">
        <is>
          <t>legacy</t>
        </is>
      </c>
      <c r="K51" s="2" t="inlineStr">
        <is>
          <t>initial release</t>
        </is>
      </c>
      <c r="L51" s="3" t="inlineStr">
        <is>
          <t>GRC102501</t>
        </is>
      </c>
      <c r="M51" s="2" t="inlineStr">
        <is>
          <t>P060142</t>
        </is>
      </c>
      <c r="N51" s="2" t="inlineStr">
        <is>
          <t>Grapes And Cream</t>
        </is>
      </c>
      <c r="O51" s="6" t="inlineStr">
        <is>
          <t>— no cannabinoid certificate from the initial testing —</t>
        </is>
      </c>
      <c r="P51" s="6" t="inlineStr">
        <is>
          <t>—</t>
        </is>
      </c>
      <c r="Q51" s="2" t="inlineStr">
        <is>
          <t>—</t>
        </is>
      </c>
      <c r="R51" s="2" t="inlineStr">
        <is>
          <t>(assigned on issue)</t>
        </is>
      </c>
      <c r="S51" s="2" t="inlineStr">
        <is>
          <t>P060142|I</t>
        </is>
      </c>
      <c r="T51" s="7" t="inlineStr">
        <is>
          <t>registered — legacy series, issued 06.06.2026 · initial certificate to locate: #3 (CNP), #4 (CNP), #5 (CNP), #6 (CNP), #8 (CNP), #9 (IJZ), #10 (CNP), #11 (CNP), #12 (CNP)</t>
        </is>
      </c>
      <c r="U51" s="2" t="inlineStr">
        <is>
          <t>n/a — initial certificate</t>
        </is>
      </c>
      <c r="V51" s="2" t="inlineStr">
        <is>
          <t>—</t>
        </is>
      </c>
      <c r="W51" s="2" t="inlineStr">
        <is>
          <t>—</t>
        </is>
      </c>
      <c r="X51" s="2" t="inlineStr">
        <is>
          <t>—</t>
        </is>
      </c>
      <c r="Y51" s="2" t="inlineStr">
        <is>
          <t>—</t>
        </is>
      </c>
      <c r="Z51" s="2" t="inlineStr">
        <is>
          <t>—</t>
        </is>
      </c>
      <c r="AA51" s="2" t="inlineStr">
        <is>
          <t>—</t>
        </is>
      </c>
      <c r="AB51" s="11" t="inlineStr">
        <is>
          <t>—</t>
        </is>
      </c>
      <c r="AC51" s="8" t="inlineStr">
        <is>
          <t>no Total THC result on this certificate</t>
        </is>
      </c>
    </row>
    <row r="52">
      <c r="A52" s="2">
        <f>IF(OR(C52="yes",C52="allocated",C52="ruled"),COUNT(A$1:A51)+1,"")</f>
        <v/>
      </c>
      <c r="B52" s="3">
        <f>IF(A52&lt;&gt;"","CoQ-PP_26-"&amp;TEXT(A52,"000"),"— at issue —")</f>
        <v/>
      </c>
      <c r="C52" s="4" t="inlineStr">
        <is>
          <t>yes</t>
        </is>
      </c>
      <c r="D52" s="5">
        <f>IF(OR(A52="",C52="allocated",C52="ruled"),"",MAX(E52,IF(ISNUMBER(I52),I52,0),IFERROR(IF(ISNUMBER(INDEX('iCoA Register'!$F:$F,MATCH(S52,'iCoA Register'!$AA:$AA,0))),INDEX('iCoA Register'!$F:$F,MATCH(S52,'iCoA Register'!$AA:$AA,0)),0),0)))</f>
        <v/>
      </c>
      <c r="E52" s="5">
        <f>IF(ISNUMBER(F52),MAX(DATE(2026,6,6),F52+7),DATE(2026,6,6))</f>
        <v/>
      </c>
      <c r="F52" s="5" t="n">
        <v>46083</v>
      </c>
      <c r="G52" s="2" t="inlineStr">
        <is>
          <t>051-1-LoD-26</t>
        </is>
      </c>
      <c r="H52" s="2">
        <f>IFERROR(INDEX('iCoA Register'!$B:$B,MATCH("P060152|I",'iCoA Register'!$AA:$AA,0)),"—")</f>
        <v/>
      </c>
      <c r="I52" s="5">
        <f>IFERROR(INDEX('iCoA Register'!$D:$D,MATCH("P060152|I",'iCoA Register'!$AA:$AA,0)),"")</f>
        <v/>
      </c>
      <c r="J52" s="2" t="inlineStr">
        <is>
          <t>legacy</t>
        </is>
      </c>
      <c r="K52" s="2" t="inlineStr">
        <is>
          <t>initial release</t>
        </is>
      </c>
      <c r="L52" s="3" t="inlineStr">
        <is>
          <t>J31102501</t>
        </is>
      </c>
      <c r="M52" s="2" t="inlineStr">
        <is>
          <t>P060152</t>
        </is>
      </c>
      <c r="N52" s="2" t="inlineStr">
        <is>
          <t>Jokerz 31</t>
        </is>
      </c>
      <c r="O52" s="2" t="inlineStr">
        <is>
          <t>051-1-K-26, (04.03.2026) [FHM-K]</t>
        </is>
      </c>
      <c r="P52" s="6" t="inlineStr">
        <is>
          <t>—</t>
        </is>
      </c>
      <c r="Q52" s="2" t="inlineStr">
        <is>
          <t>—</t>
        </is>
      </c>
      <c r="R52" s="2" t="inlineStr">
        <is>
          <t>CoQ-PP-2026-0012</t>
        </is>
      </c>
      <c r="S52" s="2" t="inlineStr">
        <is>
          <t>P060152|I</t>
        </is>
      </c>
      <c r="T52" s="7" t="inlineStr">
        <is>
          <t>registered — legacy series, issued 06.06.2026 · initial certificate to locate: #9 (IJZ), #10 (CNP), #11 (CNP), #12 (CNP)</t>
        </is>
      </c>
      <c r="U52" s="2" t="inlineStr">
        <is>
          <t>n/a — initial certificate</t>
        </is>
      </c>
      <c r="V52" s="10" t="n">
        <v>19.14</v>
      </c>
      <c r="W52" s="2" t="inlineStr">
        <is>
          <t>051-1-К/26</t>
        </is>
      </c>
      <c r="X52" s="2" t="inlineStr">
        <is>
          <t>18.00 ± 1.80 (III)</t>
        </is>
      </c>
      <c r="Y52" s="2" t="inlineStr">
        <is>
          <t>16.20 – 19.79 %</t>
        </is>
      </c>
      <c r="Z52" s="2" t="inlineStr">
        <is>
          <t>J31_THC18 : CBD1</t>
        </is>
      </c>
      <c r="AA52" s="2" t="inlineStr">
        <is>
          <t>QCSP_001_J31-III_v.01</t>
        </is>
      </c>
      <c r="AB52" s="11" t="inlineStr">
        <is>
          <t>for review — new</t>
        </is>
      </c>
      <c r="AC52" s="11" t="inlineStr"/>
    </row>
    <row r="53">
      <c r="A53" s="2">
        <f>IF(OR(C53="yes",C53="allocated",C53="ruled"),COUNT(A$1:A52)+1,"")</f>
        <v/>
      </c>
      <c r="B53" s="3">
        <f>IF(A53&lt;&gt;"","CoQ-PP_26-"&amp;TEXT(A53,"000"),"— at issue —")</f>
        <v/>
      </c>
      <c r="C53" s="4" t="inlineStr">
        <is>
          <t>yes</t>
        </is>
      </c>
      <c r="D53" s="5">
        <f>IF(OR(A53="",C53="allocated",C53="ruled"),"",MAX(E53,IF(ISNUMBER(I53),I53,0),IFERROR(IF(ISNUMBER(INDEX('iCoA Register'!$F:$F,MATCH(S53,'iCoA Register'!$AA:$AA,0))),INDEX('iCoA Register'!$F:$F,MATCH(S53,'iCoA Register'!$AA:$AA,0)),0),0)))</f>
        <v/>
      </c>
      <c r="E53" s="5">
        <f>IF(ISNUMBER(F53),MAX(DATE(2026,6,6),F53+7),DATE(2026,6,6))</f>
        <v/>
      </c>
      <c r="F53" s="5" t="n">
        <v>46083</v>
      </c>
      <c r="G53" s="2" t="inlineStr">
        <is>
          <t>051-3-LoD-26</t>
        </is>
      </c>
      <c r="H53" s="2">
        <f>IFERROR(INDEX('iCoA Register'!$B:$B,MATCH("P060162|I",'iCoA Register'!$AA:$AA,0)),"—")</f>
        <v/>
      </c>
      <c r="I53" s="5">
        <f>IFERROR(INDEX('iCoA Register'!$D:$D,MATCH("P060162|I",'iCoA Register'!$AA:$AA,0)),"")</f>
        <v/>
      </c>
      <c r="J53" s="2" t="inlineStr">
        <is>
          <t>legacy</t>
        </is>
      </c>
      <c r="K53" s="2" t="inlineStr">
        <is>
          <t>initial release</t>
        </is>
      </c>
      <c r="L53" s="3" t="inlineStr">
        <is>
          <t>SJ102501</t>
        </is>
      </c>
      <c r="M53" s="2" t="inlineStr">
        <is>
          <t>P060162</t>
        </is>
      </c>
      <c r="N53" s="2" t="inlineStr">
        <is>
          <t>Sleepy Joe</t>
        </is>
      </c>
      <c r="O53" s="2" t="inlineStr">
        <is>
          <t>051-3-K-26, (04.03.2026) [FHM-K]</t>
        </is>
      </c>
      <c r="P53" s="6" t="inlineStr">
        <is>
          <t>—</t>
        </is>
      </c>
      <c r="Q53" s="2" t="inlineStr">
        <is>
          <t>—</t>
        </is>
      </c>
      <c r="R53" s="2" t="inlineStr">
        <is>
          <t>(assigned on issue)</t>
        </is>
      </c>
      <c r="S53" s="2" t="inlineStr">
        <is>
          <t>P060162|I</t>
        </is>
      </c>
      <c r="T53" s="7" t="inlineStr">
        <is>
          <t>registered — legacy series, issued 06.06.2026 · initial certificate to locate: #9 (IJZ), #10 (CNP), #11 (CNP), #12 (CNP)</t>
        </is>
      </c>
      <c r="U53" s="2" t="inlineStr">
        <is>
          <t>n/a — initial certificate</t>
        </is>
      </c>
      <c r="V53" s="10" t="n">
        <v>11.2</v>
      </c>
      <c r="W53" s="2" t="inlineStr">
        <is>
          <t>051-3-К/26</t>
        </is>
      </c>
      <c r="X53" s="2" t="inlineStr">
        <is>
          <t>12.00 ± 1.00 (I)</t>
        </is>
      </c>
      <c r="Y53" s="2" t="inlineStr">
        <is>
          <t>11.00 – 12.99 %</t>
        </is>
      </c>
      <c r="Z53" s="2" t="inlineStr">
        <is>
          <t>SJ_THC12 : CBD1</t>
        </is>
      </c>
      <c r="AA53" s="2" t="inlineStr">
        <is>
          <t>QCSP_001_SJ-I_v.01</t>
        </is>
      </c>
      <c r="AB53" s="11" t="inlineStr">
        <is>
          <t>for review — new</t>
        </is>
      </c>
      <c r="AC53" s="11" t="inlineStr"/>
    </row>
    <row r="54">
      <c r="A54" s="2">
        <f>IF(OR(C54="yes",C54="allocated",C54="ruled"),COUNT(A$1:A53)+1,"")</f>
        <v/>
      </c>
      <c r="B54" s="3">
        <f>IF(A54&lt;&gt;"","CoQ-PP_26-"&amp;TEXT(A54,"000"),"— at issue —")</f>
        <v/>
      </c>
      <c r="C54" s="4" t="inlineStr">
        <is>
          <t>yes</t>
        </is>
      </c>
      <c r="D54" s="5">
        <f>IF(OR(A54="",C54="allocated",C54="ruled"),"",MAX(E54,IF(ISNUMBER(I54),I54,0),IFERROR(IF(ISNUMBER(INDEX('iCoA Register'!$F:$F,MATCH(S54,'iCoA Register'!$AA:$AA,0))),INDEX('iCoA Register'!$F:$F,MATCH(S54,'iCoA Register'!$AA:$AA,0)),0),0)))</f>
        <v/>
      </c>
      <c r="E54" s="5">
        <f>IF(ISNUMBER(F54),MAX(DATE(2026,6,6),F54+7),DATE(2026,6,6))</f>
        <v/>
      </c>
      <c r="F54" s="5" t="n">
        <v>46083</v>
      </c>
      <c r="G54" s="2" t="inlineStr">
        <is>
          <t>051-4-LoD-26</t>
        </is>
      </c>
      <c r="H54" s="2">
        <f>IFERROR(INDEX('iCoA Register'!$B:$B,MATCH("P060172|I",'iCoA Register'!$AA:$AA,0)),"—")</f>
        <v/>
      </c>
      <c r="I54" s="5">
        <f>IFERROR(INDEX('iCoA Register'!$D:$D,MATCH("P060172|I",'iCoA Register'!$AA:$AA,0)),"")</f>
        <v/>
      </c>
      <c r="J54" s="2" t="inlineStr">
        <is>
          <t>legacy</t>
        </is>
      </c>
      <c r="K54" s="2" t="inlineStr">
        <is>
          <t>initial release</t>
        </is>
      </c>
      <c r="L54" s="3" t="inlineStr">
        <is>
          <t>KC102501</t>
        </is>
      </c>
      <c r="M54" s="2" t="inlineStr">
        <is>
          <t>P060172</t>
        </is>
      </c>
      <c r="N54" s="2" t="inlineStr">
        <is>
          <t>Kush Crasher</t>
        </is>
      </c>
      <c r="O54" s="2" t="inlineStr">
        <is>
          <t>051-4-K-26, (04.03.2026) [FHM-K]</t>
        </is>
      </c>
      <c r="P54" s="6" t="inlineStr">
        <is>
          <t>—</t>
        </is>
      </c>
      <c r="Q54" s="2" t="inlineStr">
        <is>
          <t>—</t>
        </is>
      </c>
      <c r="R54" s="2" t="inlineStr">
        <is>
          <t>CoQ-PP-2026-0013</t>
        </is>
      </c>
      <c r="S54" s="2" t="inlineStr">
        <is>
          <t>P060172|I</t>
        </is>
      </c>
      <c r="T54" s="7" t="inlineStr">
        <is>
          <t>registered — legacy series, issued 06.06.2026 · initial certificate to locate: #9 (IJZ), #10 (CNP), #11 (CNP), #12 (CNP)</t>
        </is>
      </c>
      <c r="U54" s="2" t="inlineStr">
        <is>
          <t>n/a — initial certificate</t>
        </is>
      </c>
      <c r="V54" s="10" t="n">
        <v>17.04</v>
      </c>
      <c r="W54" s="2" t="inlineStr">
        <is>
          <t>051-4-К/26</t>
        </is>
      </c>
      <c r="X54" s="2" t="inlineStr">
        <is>
          <t>18.00 ± 1.80 (I)</t>
        </is>
      </c>
      <c r="Y54" s="2" t="inlineStr">
        <is>
          <t>16.20 – 19.79 %</t>
        </is>
      </c>
      <c r="Z54" s="2" t="inlineStr">
        <is>
          <t>KC_THC18 : CBD1</t>
        </is>
      </c>
      <c r="AA54" s="2" t="inlineStr">
        <is>
          <t>QCSP_001_KC-I_v.01</t>
        </is>
      </c>
      <c r="AB54" s="8" t="inlineStr">
        <is>
          <t>for review — replaces the issued QCSP_001_KC-I_v.01 (was KC_THC18 : CBD1, 16.20 – 19.80 %); now KC_THC18 : CBD1 16.20 – 19.79 %</t>
        </is>
      </c>
      <c r="AC54" s="11" t="inlineStr"/>
    </row>
    <row r="55">
      <c r="A55" s="2">
        <f>IF(OR(C55="yes",C55="allocated",C55="ruled"),COUNT(A$1:A54)+1,"")</f>
        <v/>
      </c>
      <c r="B55" s="3">
        <f>IF(A55&lt;&gt;"","CoQ-PP_26-"&amp;TEXT(A55,"000"),"— at issue —")</f>
        <v/>
      </c>
      <c r="C55" s="4" t="inlineStr">
        <is>
          <t>yes</t>
        </is>
      </c>
      <c r="D55" s="5">
        <f>IF(OR(A55="",C55="allocated",C55="ruled"),"",MAX(E55,IF(ISNUMBER(I55),I55,0),IFERROR(IF(ISNUMBER(INDEX('iCoA Register'!$F:$F,MATCH(S55,'iCoA Register'!$AA:$AA,0))),INDEX('iCoA Register'!$F:$F,MATCH(S55,'iCoA Register'!$AA:$AA,0)),0),0)))</f>
        <v/>
      </c>
      <c r="E55" s="5">
        <f>IF(ISNUMBER(F55),MAX(DATE(2026,6,6),F55+7),DATE(2026,6,6))</f>
        <v/>
      </c>
      <c r="F55" s="5" t="n">
        <v>46083</v>
      </c>
      <c r="G55" s="2" t="inlineStr">
        <is>
          <t>051-6-LoD-26</t>
        </is>
      </c>
      <c r="H55" s="2">
        <f>IFERROR(INDEX('iCoA Register'!$B:$B,MATCH("P060182|I",'iCoA Register'!$AA:$AA,0)),"—")</f>
        <v/>
      </c>
      <c r="I55" s="5">
        <f>IFERROR(INDEX('iCoA Register'!$D:$D,MATCH("P060182|I",'iCoA Register'!$AA:$AA,0)),"")</f>
        <v/>
      </c>
      <c r="J55" s="2" t="inlineStr">
        <is>
          <t>legacy</t>
        </is>
      </c>
      <c r="K55" s="2" t="inlineStr">
        <is>
          <t>initial release</t>
        </is>
      </c>
      <c r="L55" s="3" t="inlineStr">
        <is>
          <t>GRC102501</t>
        </is>
      </c>
      <c r="M55" s="2" t="inlineStr">
        <is>
          <t>P060182</t>
        </is>
      </c>
      <c r="N55" s="2" t="inlineStr">
        <is>
          <t>Grapes And Cream</t>
        </is>
      </c>
      <c r="O55" s="2" t="inlineStr">
        <is>
          <t>051-6-K-26, (04.03.2026) [FHM-K]</t>
        </is>
      </c>
      <c r="P55" s="6" t="inlineStr">
        <is>
          <t>—</t>
        </is>
      </c>
      <c r="Q55" s="2" t="inlineStr">
        <is>
          <t>—</t>
        </is>
      </c>
      <c r="R55" s="2" t="inlineStr">
        <is>
          <t>CoQ-PP-2026-0014</t>
        </is>
      </c>
      <c r="S55" s="2" t="inlineStr">
        <is>
          <t>P060182|I</t>
        </is>
      </c>
      <c r="T55" s="7" t="inlineStr">
        <is>
          <t>registered — legacy series, issued 06.06.2026 · initial certificate to locate: #9 (IJZ), #10 (CNP), #11 (CNP), #12 (CNP)</t>
        </is>
      </c>
      <c r="U55" s="2" t="inlineStr">
        <is>
          <t>n/a — initial certificate</t>
        </is>
      </c>
      <c r="V55" s="10" t="n">
        <v>11.53</v>
      </c>
      <c r="W55" s="2" t="inlineStr">
        <is>
          <t>051-6-К/26</t>
        </is>
      </c>
      <c r="X55" s="2" t="inlineStr">
        <is>
          <t>12.00 ± 1.00 (I)</t>
        </is>
      </c>
      <c r="Y55" s="2" t="inlineStr">
        <is>
          <t>11.00 – 12.99 %</t>
        </is>
      </c>
      <c r="Z55" s="2" t="inlineStr">
        <is>
          <t>GRC_THC12 : CBD1</t>
        </is>
      </c>
      <c r="AA55" s="2" t="inlineStr">
        <is>
          <t>QCSP_001_GRC-I_v.01</t>
        </is>
      </c>
      <c r="AB55" s="11" t="inlineStr">
        <is>
          <t>for review — new</t>
        </is>
      </c>
      <c r="AC55" s="11" t="inlineStr"/>
    </row>
    <row r="56">
      <c r="A56" s="2">
        <f>IF(OR(C56="yes",C56="allocated",C56="ruled"),COUNT(A$1:A55)+1,"")</f>
        <v/>
      </c>
      <c r="B56" s="3">
        <f>IF(A56&lt;&gt;"","CoQ-PP_26-"&amp;TEXT(A56,"000"),"— at issue —")</f>
        <v/>
      </c>
      <c r="C56" s="4" t="inlineStr">
        <is>
          <t>yes</t>
        </is>
      </c>
      <c r="D56" s="5">
        <f>IF(OR(A56="",C56="allocated",C56="ruled"),"",MAX(E56,IF(ISNUMBER(I56),I56,0),IFERROR(IF(ISNUMBER(INDEX('iCoA Register'!$F:$F,MATCH(S56,'iCoA Register'!$AA:$AA,0))),INDEX('iCoA Register'!$F:$F,MATCH(S56,'iCoA Register'!$AA:$AA,0)),0),0)))</f>
        <v/>
      </c>
      <c r="E56" s="5">
        <f>IF(ISNUMBER(F56),MAX(DATE(2026,6,6),F56+7),DATE(2026,6,6))</f>
        <v/>
      </c>
      <c r="F56" s="5" t="n">
        <v>46083</v>
      </c>
      <c r="G56" s="2" t="inlineStr">
        <is>
          <t>051-2-LoD-26</t>
        </is>
      </c>
      <c r="H56" s="2">
        <f>IFERROR(INDEX('iCoA Register'!$B:$B,MATCH("P060192|I",'iCoA Register'!$AA:$AA,0)),"—")</f>
        <v/>
      </c>
      <c r="I56" s="5">
        <f>IFERROR(INDEX('iCoA Register'!$D:$D,MATCH("P060192|I",'iCoA Register'!$AA:$AA,0)),"")</f>
        <v/>
      </c>
      <c r="J56" s="2" t="inlineStr">
        <is>
          <t>legacy</t>
        </is>
      </c>
      <c r="K56" s="2" t="inlineStr">
        <is>
          <t>initial release</t>
        </is>
      </c>
      <c r="L56" s="3" t="inlineStr">
        <is>
          <t>SJ112501</t>
        </is>
      </c>
      <c r="M56" s="2" t="inlineStr">
        <is>
          <t>P060192</t>
        </is>
      </c>
      <c r="N56" s="2" t="inlineStr">
        <is>
          <t>Sleepy Joe</t>
        </is>
      </c>
      <c r="O56" s="2" t="inlineStr">
        <is>
          <t>051-2-K-26, (04.03.2026) [FHM-K]</t>
        </is>
      </c>
      <c r="P56" s="6" t="inlineStr">
        <is>
          <t>—</t>
        </is>
      </c>
      <c r="Q56" s="2" t="inlineStr">
        <is>
          <t>—</t>
        </is>
      </c>
      <c r="R56" s="2" t="inlineStr">
        <is>
          <t>(assigned on issue)</t>
        </is>
      </c>
      <c r="S56" s="2" t="inlineStr">
        <is>
          <t>P060192|I</t>
        </is>
      </c>
      <c r="T56" s="7" t="inlineStr">
        <is>
          <t>registered — legacy series, issued 06.06.2026 · initial certificate to locate: #9 (IJZ), #10 (CNP), #11 (CNP), #12 (CNP)</t>
        </is>
      </c>
      <c r="U56" s="2" t="inlineStr">
        <is>
          <t>n/a — initial certificate</t>
        </is>
      </c>
      <c r="V56" s="10" t="n">
        <v>9.199999999999999</v>
      </c>
      <c r="W56" s="2" t="inlineStr">
        <is>
          <t>051-2-К/26</t>
        </is>
      </c>
      <c r="X56" s="2" t="inlineStr">
        <is>
          <t>10.00 ± 1.00 (II)</t>
        </is>
      </c>
      <c r="Y56" s="2" t="inlineStr">
        <is>
          <t>9.00 – 10.99 %</t>
        </is>
      </c>
      <c r="Z56" s="2" t="inlineStr">
        <is>
          <t>SJ_THC10 : CBD1</t>
        </is>
      </c>
      <c r="AA56" s="2" t="inlineStr">
        <is>
          <t>QCSP_001_SJ-II_v.01</t>
        </is>
      </c>
      <c r="AB56" s="8" t="inlineStr">
        <is>
          <t>for review — replaces the issued QCSP_001_SJ-II_v.01 (was SJ_THC10 : CBD1, 9.00 – 11.00 %); now SJ_THC10 : CBD1 9.00 – 10.99 %</t>
        </is>
      </c>
      <c r="AC56" s="11" t="inlineStr"/>
    </row>
    <row r="57">
      <c r="A57" s="2">
        <f>IF(OR(C57="yes",C57="allocated",C57="ruled"),COUNT(A$1:A56)+1,"")</f>
        <v/>
      </c>
      <c r="B57" s="3">
        <f>IF(A57&lt;&gt;"","CoQ-PP_26-"&amp;TEXT(A57,"000"),"— at issue —")</f>
        <v/>
      </c>
      <c r="C57" s="4" t="inlineStr">
        <is>
          <t>yes</t>
        </is>
      </c>
      <c r="D57" s="5">
        <f>IF(OR(A57="",C57="allocated",C57="ruled"),"",MAX(E57,IF(ISNUMBER(I57),I57,0),IFERROR(IF(ISNUMBER(INDEX('iCoA Register'!$F:$F,MATCH(S57,'iCoA Register'!$AA:$AA,0))),INDEX('iCoA Register'!$F:$F,MATCH(S57,'iCoA Register'!$AA:$AA,0)),0),0)))</f>
        <v/>
      </c>
      <c r="E57" s="5">
        <f>IF(ISNUMBER(F57),MAX(DATE(2026,6,6),F57+7),DATE(2026,6,6))</f>
        <v/>
      </c>
      <c r="F57" s="5" t="n">
        <v>46083</v>
      </c>
      <c r="G57" s="2" t="inlineStr">
        <is>
          <t>051-5-LoD-26</t>
        </is>
      </c>
      <c r="H57" s="2">
        <f>IFERROR(INDEX('iCoA Register'!$B:$B,MATCH("P060202|I",'iCoA Register'!$AA:$AA,0)),"—")</f>
        <v/>
      </c>
      <c r="I57" s="5">
        <f>IFERROR(INDEX('iCoA Register'!$D:$D,MATCH("P060202|I",'iCoA Register'!$AA:$AA,0)),"")</f>
        <v/>
      </c>
      <c r="J57" s="2" t="inlineStr">
        <is>
          <t>legacy</t>
        </is>
      </c>
      <c r="K57" s="2" t="inlineStr">
        <is>
          <t>initial release</t>
        </is>
      </c>
      <c r="L57" s="3" t="inlineStr">
        <is>
          <t>J31112501</t>
        </is>
      </c>
      <c r="M57" s="2" t="inlineStr">
        <is>
          <t>P060202</t>
        </is>
      </c>
      <c r="N57" s="2" t="inlineStr">
        <is>
          <t>Jokerz 31</t>
        </is>
      </c>
      <c r="O57" s="2" t="inlineStr">
        <is>
          <t>051-5-K-26, (04.03.2026) [FHM-K]</t>
        </is>
      </c>
      <c r="P57" s="6" t="inlineStr">
        <is>
          <t>—</t>
        </is>
      </c>
      <c r="Q57" s="2" t="inlineStr">
        <is>
          <t>—</t>
        </is>
      </c>
      <c r="R57" s="2" t="inlineStr">
        <is>
          <t>(assigned on issue)</t>
        </is>
      </c>
      <c r="S57" s="2" t="inlineStr">
        <is>
          <t>P060202|I</t>
        </is>
      </c>
      <c r="T57" s="7" t="inlineStr">
        <is>
          <t>registered — legacy series, issued 06.06.2026 · initial certificate to locate: #9 (IJZ), #10 (CNP), #11 (CNP), #12 (CNP)</t>
        </is>
      </c>
      <c r="U57" s="2" t="inlineStr">
        <is>
          <t>n/a — initial certificate</t>
        </is>
      </c>
      <c r="V57" s="10" t="n">
        <v>25.27</v>
      </c>
      <c r="W57" s="2" t="inlineStr">
        <is>
          <t>051-5-К/26</t>
        </is>
      </c>
      <c r="X57" s="2" t="inlineStr">
        <is>
          <t>26.00 ± 1.80 (I)</t>
        </is>
      </c>
      <c r="Y57" s="2" t="inlineStr">
        <is>
          <t>24.20 – 27.79 %</t>
        </is>
      </c>
      <c r="Z57" s="2" t="inlineStr">
        <is>
          <t>J31_THC26 : CBD1</t>
        </is>
      </c>
      <c r="AA57" s="2" t="inlineStr">
        <is>
          <t>QCSP_001_J31-I_v.01</t>
        </is>
      </c>
      <c r="AB57" s="11" t="inlineStr">
        <is>
          <t>for review — new</t>
        </is>
      </c>
      <c r="AC57" s="11" t="inlineStr"/>
    </row>
    <row r="58">
      <c r="A58" s="2">
        <f>IF(OR(C58="yes",C58="allocated",C58="ruled"),COUNT(A$1:A57)+1,"")</f>
        <v/>
      </c>
      <c r="B58" s="3">
        <f>IF(A58&lt;&gt;"","CoQ-PP_26-"&amp;TEXT(A58,"000"),"— at issue —")</f>
        <v/>
      </c>
      <c r="C58" s="4" t="inlineStr">
        <is>
          <t>yes</t>
        </is>
      </c>
      <c r="D58" s="5">
        <f>IF(OR(A58="",C58="allocated",C58="ruled"),"",MAX(E58,IF(ISNUMBER(I58),I58,0),IFERROR(IF(ISNUMBER(INDEX('iCoA Register'!$F:$F,MATCH(S58,'iCoA Register'!$AA:$AA,0))),INDEX('iCoA Register'!$F:$F,MATCH(S58,'iCoA Register'!$AA:$AA,0)),0),0)))</f>
        <v/>
      </c>
      <c r="E58" s="5">
        <f>IF(ISNUMBER(F58),MAX(DATE(2026,6,6),F58+7),DATE(2026,6,6))</f>
        <v/>
      </c>
      <c r="F58" s="5" t="n">
        <v>46153</v>
      </c>
      <c r="G58" s="2" t="inlineStr">
        <is>
          <t>ППК26063</t>
        </is>
      </c>
      <c r="H58" s="2">
        <f>IFERROR(INDEX('iCoA Register'!$B:$B,MATCH("P060212|I",'iCoA Register'!$AA:$AA,0)),"—")</f>
        <v/>
      </c>
      <c r="I58" s="5">
        <f>IFERROR(INDEX('iCoA Register'!$D:$D,MATCH("P060212|I",'iCoA Register'!$AA:$AA,0)),"")</f>
        <v/>
      </c>
      <c r="J58" s="2" t="inlineStr">
        <is>
          <t>legacy</t>
        </is>
      </c>
      <c r="K58" s="2" t="inlineStr">
        <is>
          <t>initial release</t>
        </is>
      </c>
      <c r="L58" s="3" t="inlineStr">
        <is>
          <t>JD112501</t>
        </is>
      </c>
      <c r="M58" s="2" t="inlineStr">
        <is>
          <t>P060212</t>
        </is>
      </c>
      <c r="N58" s="2" t="inlineStr">
        <is>
          <t>Jelly Donuts</t>
        </is>
      </c>
      <c r="O58" s="2" t="inlineStr">
        <is>
          <t>ППК26063, (11.05.2026) [CNP]</t>
        </is>
      </c>
      <c r="P58" s="6" t="inlineStr">
        <is>
          <t>—</t>
        </is>
      </c>
      <c r="Q58" s="2" t="inlineStr">
        <is>
          <t>—</t>
        </is>
      </c>
      <c r="R58" s="2" t="inlineStr">
        <is>
          <t>CoQ-PP-2026-0015</t>
        </is>
      </c>
      <c r="S58" s="2" t="inlineStr">
        <is>
          <t>P060212|I</t>
        </is>
      </c>
      <c r="T58" s="7" t="inlineStr">
        <is>
          <t>registered — legacy series, issued 06.06.2026</t>
        </is>
      </c>
      <c r="U58" s="2" t="inlineStr">
        <is>
          <t>n/a — initial certificate</t>
        </is>
      </c>
      <c r="V58" s="10" t="n">
        <v>19.64</v>
      </c>
      <c r="W58" s="2" t="inlineStr">
        <is>
          <t>ППК26063</t>
        </is>
      </c>
      <c r="X58" s="2" t="inlineStr">
        <is>
          <t>18.00 ± 1.80 (II)</t>
        </is>
      </c>
      <c r="Y58" s="2" t="inlineStr">
        <is>
          <t>16.20 – 19.79 %</t>
        </is>
      </c>
      <c r="Z58" s="2" t="inlineStr">
        <is>
          <t>JD_THC18 : CBD1</t>
        </is>
      </c>
      <c r="AA58" s="2" t="inlineStr">
        <is>
          <t>QCSP_001_JD-II_v.01</t>
        </is>
      </c>
      <c r="AB58" s="8" t="inlineStr">
        <is>
          <t>for review — replaces the issued QCSP_001_JD-II_v.01 (was JD_THC16 : CBD1, 14.91 – 17.09 %); now JD_THC18 : CBD1 16.20 – 19.79 %</t>
        </is>
      </c>
      <c r="AC58" s="11" t="inlineStr"/>
    </row>
    <row r="59">
      <c r="A59" s="2">
        <f>IF(OR(C59="yes",C59="allocated",C59="ruled"),COUNT(A$1:A58)+1,"")</f>
        <v/>
      </c>
      <c r="B59" s="3">
        <f>IF(A59&lt;&gt;"","CoQ-PP_26-"&amp;TEXT(A59,"000"),"— at issue —")</f>
        <v/>
      </c>
      <c r="C59" s="4" t="inlineStr">
        <is>
          <t>yes</t>
        </is>
      </c>
      <c r="D59" s="5">
        <f>IF(OR(A59="",C59="allocated",C59="ruled"),"",MAX(E59,IF(ISNUMBER(I59),I59,0),IFERROR(IF(ISNUMBER(INDEX('iCoA Register'!$F:$F,MATCH(S59,'iCoA Register'!$AA:$AA,0))),INDEX('iCoA Register'!$F:$F,MATCH(S59,'iCoA Register'!$AA:$AA,0)),0),0)))</f>
        <v/>
      </c>
      <c r="E59" s="5">
        <f>IF(ISNUMBER(F59),MAX(DATE(2026,6,6),F59+7),DATE(2026,6,6))</f>
        <v/>
      </c>
      <c r="F59" s="5" t="n">
        <v>46086</v>
      </c>
      <c r="G59" s="2" t="inlineStr">
        <is>
          <t>ППК26031</t>
        </is>
      </c>
      <c r="H59" s="2">
        <f>IFERROR(INDEX('iCoA Register'!$B:$B,MATCH("P060222|I",'iCoA Register'!$AA:$AA,0)),"—")</f>
        <v/>
      </c>
      <c r="I59" s="5">
        <f>IFERROR(INDEX('iCoA Register'!$D:$D,MATCH("P060222|I",'iCoA Register'!$AA:$AA,0)),"")</f>
        <v/>
      </c>
      <c r="J59" s="2" t="inlineStr">
        <is>
          <t>legacy</t>
        </is>
      </c>
      <c r="K59" s="2" t="inlineStr">
        <is>
          <t>initial release</t>
        </is>
      </c>
      <c r="L59" s="3" t="inlineStr">
        <is>
          <t>OPM112501</t>
        </is>
      </c>
      <c r="M59" s="2" t="inlineStr">
        <is>
          <t>P060222</t>
        </is>
      </c>
      <c r="N59" s="2" t="inlineStr">
        <is>
          <t>Orange Punch Mimosa</t>
        </is>
      </c>
      <c r="O59" s="2" t="inlineStr">
        <is>
          <t>ППК26031, (05.03.2026) [CNP]</t>
        </is>
      </c>
      <c r="P59" s="6" t="inlineStr">
        <is>
          <t>—</t>
        </is>
      </c>
      <c r="Q59" s="2" t="inlineStr">
        <is>
          <t>—</t>
        </is>
      </c>
      <c r="R59" s="2" t="inlineStr">
        <is>
          <t>(assigned on issue)</t>
        </is>
      </c>
      <c r="S59" s="2" t="inlineStr">
        <is>
          <t>P060222|I</t>
        </is>
      </c>
      <c r="T59" s="7" t="inlineStr">
        <is>
          <t>registered — legacy series, issued 06.06.2026 · initial certificate to locate: #9 (IJZ), #10 (CNP), #11 (CNP), #12 (CNP)</t>
        </is>
      </c>
      <c r="U59" s="2" t="inlineStr">
        <is>
          <t>n/a — initial certificate</t>
        </is>
      </c>
      <c r="V59" s="10" t="n">
        <v>8</v>
      </c>
      <c r="W59" s="2" t="inlineStr">
        <is>
          <t>ППК26031</t>
        </is>
      </c>
      <c r="X59" s="2" t="inlineStr">
        <is>
          <t>8.00 ± 0.80 (V)</t>
        </is>
      </c>
      <c r="Y59" s="2" t="inlineStr">
        <is>
          <t>7.20 – 8.79 %</t>
        </is>
      </c>
      <c r="Z59" s="2" t="inlineStr">
        <is>
          <t>OPM_THC8 : CBD1</t>
        </is>
      </c>
      <c r="AA59" s="2" t="inlineStr">
        <is>
          <t>QCSP_001_OPM-V_v.01</t>
        </is>
      </c>
      <c r="AB59" s="8" t="inlineStr">
        <is>
          <t>for review — replaces the issued QCSP_001_OPM-V_v.01 (was OPM_THC8 : CBD1, 7.20 – 8.80 %); now OPM_THC8 : CBD1 7.20 – 8.79 %</t>
        </is>
      </c>
      <c r="AC59" s="11" t="inlineStr"/>
    </row>
    <row r="60">
      <c r="A60" s="2">
        <f>IF(OR(C60="yes",C60="allocated",C60="ruled"),COUNT(A$1:A59)+1,"")</f>
        <v/>
      </c>
      <c r="B60" s="3">
        <f>IF(A60&lt;&gt;"","CoQ-PP_26-"&amp;TEXT(A60,"000"),"— at issue —")</f>
        <v/>
      </c>
      <c r="C60" s="4" t="inlineStr">
        <is>
          <t>yes</t>
        </is>
      </c>
      <c r="D60" s="5">
        <f>IF(OR(A60="",C60="allocated",C60="ruled"),"",MAX(E60,IF(ISNUMBER(I60),I60,0),IFERROR(IF(ISNUMBER(INDEX('iCoA Register'!$F:$F,MATCH(S60,'iCoA Register'!$AA:$AA,0))),INDEX('iCoA Register'!$F:$F,MATCH(S60,'iCoA Register'!$AA:$AA,0)),0),0)))</f>
        <v/>
      </c>
      <c r="E60" s="5">
        <f>IF(ISNUMBER(F60),MAX(DATE(2026,6,6),F60+7),DATE(2026,6,6))</f>
        <v/>
      </c>
      <c r="F60" s="5" t="n">
        <v>46086</v>
      </c>
      <c r="G60" s="2" t="inlineStr">
        <is>
          <t>ППК26030</t>
        </is>
      </c>
      <c r="H60" s="2">
        <f>IFERROR(INDEX('iCoA Register'!$B:$B,MATCH("P060232|I",'iCoA Register'!$AA:$AA,0)),"—")</f>
        <v/>
      </c>
      <c r="I60" s="5">
        <f>IFERROR(INDEX('iCoA Register'!$D:$D,MATCH("P060232|I",'iCoA Register'!$AA:$AA,0)),"")</f>
        <v/>
      </c>
      <c r="J60" s="2" t="inlineStr">
        <is>
          <t>legacy</t>
        </is>
      </c>
      <c r="K60" s="2" t="inlineStr">
        <is>
          <t>initial release</t>
        </is>
      </c>
      <c r="L60" s="3" t="inlineStr">
        <is>
          <t>PM112501</t>
        </is>
      </c>
      <c r="M60" s="2" t="inlineStr">
        <is>
          <t>P060232</t>
        </is>
      </c>
      <c r="N60" s="2" t="inlineStr">
        <is>
          <t>Permanent Marker</t>
        </is>
      </c>
      <c r="O60" s="2" t="inlineStr">
        <is>
          <t>ППК26030, (05.03.2026) [CNP]</t>
        </is>
      </c>
      <c r="P60" s="6" t="inlineStr">
        <is>
          <t>—</t>
        </is>
      </c>
      <c r="Q60" s="2" t="inlineStr">
        <is>
          <t>—</t>
        </is>
      </c>
      <c r="R60" s="2" t="inlineStr">
        <is>
          <t>CoQ-PP-2026-0016</t>
        </is>
      </c>
      <c r="S60" s="2" t="inlineStr">
        <is>
          <t>P060232|I</t>
        </is>
      </c>
      <c r="T60" s="7" t="inlineStr">
        <is>
          <t>registered — legacy series, issued 06.06.2026 · initial certificate to locate: #9 (IJZ), #10 (CNP), #11 (CNP), #12 (CNP)</t>
        </is>
      </c>
      <c r="U60" s="2" t="inlineStr">
        <is>
          <t>n/a — initial certificate</t>
        </is>
      </c>
      <c r="V60" s="10" t="n">
        <v>13.33</v>
      </c>
      <c r="W60" s="2" t="inlineStr">
        <is>
          <t>ППК26030</t>
        </is>
      </c>
      <c r="X60" s="2" t="inlineStr">
        <is>
          <t>14.00 ± 1.00 (I)</t>
        </is>
      </c>
      <c r="Y60" s="2" t="inlineStr">
        <is>
          <t>13.00 – 14.99 %</t>
        </is>
      </c>
      <c r="Z60" s="2" t="inlineStr">
        <is>
          <t>PM_THC14 : CBD1</t>
        </is>
      </c>
      <c r="AA60" s="2" t="inlineStr">
        <is>
          <t>QCSP_001_PM-I_v.01</t>
        </is>
      </c>
      <c r="AB60" s="8" t="inlineStr">
        <is>
          <t>for review — replaces the issued QCSP_001_PM-I_v.01 (was PM_THC12 : CBD1, 11.01 – 12.99 %); now PM_THC14 : CBD1 13.00 – 14.99 %</t>
        </is>
      </c>
      <c r="AC60" s="11" t="inlineStr"/>
    </row>
    <row r="61">
      <c r="A61" s="2">
        <f>IF(OR(C61="yes",C61="allocated",C61="ruled"),COUNT(A$1:A60)+1,"")</f>
        <v/>
      </c>
      <c r="B61" s="3">
        <f>IF(A61&lt;&gt;"","CoQ-PP_26-"&amp;TEXT(A61,"000"),"— at issue —")</f>
        <v/>
      </c>
      <c r="C61" s="4" t="inlineStr">
        <is>
          <t>yes</t>
        </is>
      </c>
      <c r="D61" s="5">
        <f>IF(OR(A61="",C61="allocated",C61="ruled"),"",MAX(E61,IF(ISNUMBER(I61),I61,0),IFERROR(IF(ISNUMBER(INDEX('iCoA Register'!$F:$F,MATCH(S61,'iCoA Register'!$AA:$AA,0))),INDEX('iCoA Register'!$F:$F,MATCH(S61,'iCoA Register'!$AA:$AA,0)),0),0)))</f>
        <v/>
      </c>
      <c r="E61" s="5">
        <f>IF(ISNUMBER(F61),MAX(DATE(2026,6,6),F61+7),DATE(2026,6,6))</f>
        <v/>
      </c>
      <c r="F61" s="5" t="n">
        <v>46135</v>
      </c>
      <c r="G61" s="2" t="inlineStr">
        <is>
          <t>1627-2026</t>
        </is>
      </c>
      <c r="H61" s="2">
        <f>IFERROR(INDEX('iCoA Register'!$B:$B,MATCH("P060242|I",'iCoA Register'!$AA:$AA,0)),"—")</f>
        <v/>
      </c>
      <c r="I61" s="5">
        <f>IFERROR(INDEX('iCoA Register'!$D:$D,MATCH("P060242|I",'iCoA Register'!$AA:$AA,0)),"")</f>
        <v/>
      </c>
      <c r="J61" s="2" t="inlineStr">
        <is>
          <t>legacy</t>
        </is>
      </c>
      <c r="K61" s="2" t="inlineStr">
        <is>
          <t>initial release</t>
        </is>
      </c>
      <c r="L61" s="3" t="inlineStr">
        <is>
          <t>OPM122501</t>
        </is>
      </c>
      <c r="M61" s="2" t="inlineStr">
        <is>
          <t>P060242</t>
        </is>
      </c>
      <c r="N61" s="2" t="inlineStr">
        <is>
          <t>Orange Punch Mimosa</t>
        </is>
      </c>
      <c r="O61" s="2" t="inlineStr">
        <is>
          <t>100-4-K-26, (09.04.2026) [FHM-K]</t>
        </is>
      </c>
      <c r="P61" s="6" t="inlineStr">
        <is>
          <t>—</t>
        </is>
      </c>
      <c r="Q61" s="2" t="inlineStr">
        <is>
          <t>—</t>
        </is>
      </c>
      <c r="R61" s="2" t="inlineStr">
        <is>
          <t>CoQ-PP-2026-0017</t>
        </is>
      </c>
      <c r="S61" s="2" t="inlineStr">
        <is>
          <t>P060242|I</t>
        </is>
      </c>
      <c r="T61" s="7" t="inlineStr">
        <is>
          <t>registered — legacy series, issued 06.06.2026</t>
        </is>
      </c>
      <c r="U61" s="2" t="inlineStr">
        <is>
          <t>n/a — initial certificate</t>
        </is>
      </c>
      <c r="V61" s="10" t="n">
        <v>8.09</v>
      </c>
      <c r="W61" s="2" t="inlineStr">
        <is>
          <t>100-4-К/26</t>
        </is>
      </c>
      <c r="X61" s="2" t="inlineStr">
        <is>
          <t>8.00 ± 0.80 (V)</t>
        </is>
      </c>
      <c r="Y61" s="2" t="inlineStr">
        <is>
          <t>7.20 – 8.79 %</t>
        </is>
      </c>
      <c r="Z61" s="2" t="inlineStr">
        <is>
          <t>OPM_THC8 : CBD1</t>
        </is>
      </c>
      <c r="AA61" s="2" t="inlineStr">
        <is>
          <t>QCSP_001_OPM-V_v.01</t>
        </is>
      </c>
      <c r="AB61" s="8" t="inlineStr">
        <is>
          <t>for review — replaces the issued QCSP_001_OPM-V_v.01 (was OPM_THC8 : CBD1, 7.20 – 8.80 %); now OPM_THC8 : CBD1 7.20 – 8.79 %</t>
        </is>
      </c>
      <c r="AC61" s="11" t="inlineStr"/>
    </row>
    <row r="62">
      <c r="A62" s="2">
        <f>IF(OR(C62="yes",C62="allocated",C62="ruled"),COUNT(A$1:A61)+1,"")</f>
        <v/>
      </c>
      <c r="B62" s="3">
        <f>IF(A62&lt;&gt;"","CoQ-PP_26-"&amp;TEXT(A62,"000"),"— at issue —")</f>
        <v/>
      </c>
      <c r="C62" s="4" t="inlineStr">
        <is>
          <t>yes</t>
        </is>
      </c>
      <c r="D62" s="5">
        <f>IF(OR(A62="",C62="allocated",C62="ruled"),"",MAX(E62,IF(ISNUMBER(I62),I62,0),IFERROR(IF(ISNUMBER(INDEX('iCoA Register'!$F:$F,MATCH(S62,'iCoA Register'!$AA:$AA,0))),INDEX('iCoA Register'!$F:$F,MATCH(S62,'iCoA Register'!$AA:$AA,0)),0),0)))</f>
        <v/>
      </c>
      <c r="E62" s="5">
        <f>IF(ISNUMBER(F62),MAX(DATE(2026,6,6),F62+7),DATE(2026,6,6))</f>
        <v/>
      </c>
      <c r="F62" s="5" t="n">
        <v>46153</v>
      </c>
      <c r="G62" s="2" t="inlineStr">
        <is>
          <t>ППК26061</t>
        </is>
      </c>
      <c r="H62" s="2">
        <f>IFERROR(INDEX('iCoA Register'!$B:$B,MATCH("P060252|I",'iCoA Register'!$AA:$AA,0)),"—")</f>
        <v/>
      </c>
      <c r="I62" s="5">
        <f>IFERROR(INDEX('iCoA Register'!$D:$D,MATCH("P060252|I",'iCoA Register'!$AA:$AA,0)),"")</f>
        <v/>
      </c>
      <c r="J62" s="2" t="inlineStr">
        <is>
          <t>legacy</t>
        </is>
      </c>
      <c r="K62" s="2" t="inlineStr">
        <is>
          <t>initial release</t>
        </is>
      </c>
      <c r="L62" s="3" t="inlineStr">
        <is>
          <t>GG112501</t>
        </is>
      </c>
      <c r="M62" s="2" t="inlineStr">
        <is>
          <t>P060252</t>
        </is>
      </c>
      <c r="N62" s="2" t="inlineStr">
        <is>
          <t>Gorilla Glue</t>
        </is>
      </c>
      <c r="O62" s="2" t="inlineStr">
        <is>
          <t>ППК26061, (11.05.2026) [CNP]</t>
        </is>
      </c>
      <c r="P62" s="6" t="inlineStr">
        <is>
          <t>—</t>
        </is>
      </c>
      <c r="Q62" s="2" t="inlineStr">
        <is>
          <t>—</t>
        </is>
      </c>
      <c r="R62" s="2" t="inlineStr">
        <is>
          <t>(assigned on issue)</t>
        </is>
      </c>
      <c r="S62" s="2" t="inlineStr">
        <is>
          <t>P060252|I</t>
        </is>
      </c>
      <c r="T62" s="7" t="inlineStr">
        <is>
          <t>registered — legacy series, issued 06.06.2026</t>
        </is>
      </c>
      <c r="U62" s="2" t="inlineStr">
        <is>
          <t>n/a — initial certificate</t>
        </is>
      </c>
      <c r="V62" s="10" t="n">
        <v>17.94</v>
      </c>
      <c r="W62" s="2" t="inlineStr">
        <is>
          <t>ППК26061</t>
        </is>
      </c>
      <c r="X62" s="2" t="inlineStr">
        <is>
          <t>18.00 ± 1.77 (I)</t>
        </is>
      </c>
      <c r="Y62" s="2" t="inlineStr">
        <is>
          <t>16.23 – 19.76 %</t>
        </is>
      </c>
      <c r="Z62" s="2" t="inlineStr">
        <is>
          <t>GG_THC18 : CBD1</t>
        </is>
      </c>
      <c r="AA62" s="2" t="inlineStr">
        <is>
          <t>QCSP_001_GG-I_v.01</t>
        </is>
      </c>
      <c r="AB62" s="8" t="inlineStr">
        <is>
          <t>for review — replaces the issued QCSP_001_GG-I_v.01 (was GG_THC18 : CBD1, 17.01 – 18.99 %); now GG_THC18 : CBD1 16.23 – 19.76 %</t>
        </is>
      </c>
      <c r="AC62" s="11" t="inlineStr"/>
    </row>
    <row r="63">
      <c r="A63" s="2">
        <f>IF(OR(C63="yes",C63="allocated",C63="ruled"),COUNT(A$1:A62)+1,"")</f>
        <v/>
      </c>
      <c r="B63" s="3">
        <f>IF(A63&lt;&gt;"","CoQ-PP_26-"&amp;TEXT(A63,"000"),"— at issue —")</f>
        <v/>
      </c>
      <c r="C63" s="4" t="inlineStr">
        <is>
          <t>yes</t>
        </is>
      </c>
      <c r="D63" s="5">
        <f>IF(OR(A63="",C63="allocated",C63="ruled"),"",MAX(E63,IF(ISNUMBER(I63),I63,0),IFERROR(IF(ISNUMBER(INDEX('iCoA Register'!$F:$F,MATCH(S63,'iCoA Register'!$AA:$AA,0))),INDEX('iCoA Register'!$F:$F,MATCH(S63,'iCoA Register'!$AA:$AA,0)),0),0)))</f>
        <v/>
      </c>
      <c r="E63" s="5">
        <f>IF(ISNUMBER(F63),MAX(DATE(2026,6,6),F63+7),DATE(2026,6,6))</f>
        <v/>
      </c>
      <c r="F63" s="5" t="n">
        <v>46135</v>
      </c>
      <c r="G63" s="2" t="inlineStr">
        <is>
          <t>1625-2026</t>
        </is>
      </c>
      <c r="H63" s="2">
        <f>IFERROR(INDEX('iCoA Register'!$B:$B,MATCH("P060262|I",'iCoA Register'!$AA:$AA,0)),"—")</f>
        <v/>
      </c>
      <c r="I63" s="5">
        <f>IFERROR(INDEX('iCoA Register'!$D:$D,MATCH("P060262|I",'iCoA Register'!$AA:$AA,0)),"")</f>
        <v/>
      </c>
      <c r="J63" s="2" t="inlineStr">
        <is>
          <t>post-SOP</t>
        </is>
      </c>
      <c r="K63" s="2" t="inlineStr">
        <is>
          <t>initial release</t>
        </is>
      </c>
      <c r="L63" s="3" t="inlineStr">
        <is>
          <t>J31122501</t>
        </is>
      </c>
      <c r="M63" s="2" t="inlineStr">
        <is>
          <t>P060262</t>
        </is>
      </c>
      <c r="N63" s="2" t="inlineStr">
        <is>
          <t>Jokerz 31</t>
        </is>
      </c>
      <c r="O63" s="2" t="inlineStr">
        <is>
          <t>100-2-K-26, (09.04.2026) [FHM-K]</t>
        </is>
      </c>
      <c r="P63" s="6" t="inlineStr">
        <is>
          <t>—</t>
        </is>
      </c>
      <c r="Q63" s="2" t="inlineStr">
        <is>
          <t>—</t>
        </is>
      </c>
      <c r="R63" s="2" t="inlineStr">
        <is>
          <t>(assigned on issue)</t>
        </is>
      </c>
      <c r="S63" s="2" t="inlineStr">
        <is>
          <t>P060262|I</t>
        </is>
      </c>
      <c r="T63" s="7" t="inlineStr">
        <is>
          <t>registered — rule date 30.04.2026 held to the legacy series day</t>
        </is>
      </c>
      <c r="U63" s="2" t="inlineStr">
        <is>
          <t>n/a — initial certificate</t>
        </is>
      </c>
      <c r="V63" s="10" t="n">
        <v>19.84</v>
      </c>
      <c r="W63" s="2" t="inlineStr">
        <is>
          <t>100-2-К/26</t>
        </is>
      </c>
      <c r="X63" s="2" t="inlineStr">
        <is>
          <t>22.00 ± 2.20 (II)</t>
        </is>
      </c>
      <c r="Y63" s="2" t="inlineStr">
        <is>
          <t>19.80 – 24.19 %</t>
        </is>
      </c>
      <c r="Z63" s="2" t="inlineStr">
        <is>
          <t>J31_THC22 : CBD1</t>
        </is>
      </c>
      <c r="AA63" s="2" t="inlineStr">
        <is>
          <t>QCSP_001_J31-II_v.01</t>
        </is>
      </c>
      <c r="AB63" s="8" t="inlineStr">
        <is>
          <t>for review — replaces the issued QCSP_001_J31-II_v.01 (was J31_THC18 : CBD1, 16.20 – 19.80 %); now J31_THC22 : CBD1 19.80 – 24.19 %</t>
        </is>
      </c>
      <c r="AC63" s="11" t="inlineStr"/>
    </row>
    <row r="64">
      <c r="A64" s="2">
        <f>IF(OR(C64="yes",C64="allocated",C64="ruled"),COUNT(A$1:A63)+1,"")</f>
        <v/>
      </c>
      <c r="B64" s="3">
        <f>IF(A64&lt;&gt;"","CoQ-PP_26-"&amp;TEXT(A64,"000"),"— at issue —")</f>
        <v/>
      </c>
      <c r="C64" s="4" t="inlineStr">
        <is>
          <t>yes</t>
        </is>
      </c>
      <c r="D64" s="5">
        <f>IF(OR(A64="",C64="allocated",C64="ruled"),"",MAX(E64,IF(ISNUMBER(I64),I64,0),IFERROR(IF(ISNUMBER(INDEX('iCoA Register'!$F:$F,MATCH(S64,'iCoA Register'!$AA:$AA,0))),INDEX('iCoA Register'!$F:$F,MATCH(S64,'iCoA Register'!$AA:$AA,0)),0),0)))</f>
        <v/>
      </c>
      <c r="E64" s="5">
        <f>IF(ISNUMBER(F64),MAX(DATE(2026,6,6),F64+7),DATE(2026,6,6))</f>
        <v/>
      </c>
      <c r="F64" s="5" t="n">
        <v>46153</v>
      </c>
      <c r="G64" s="2" t="inlineStr">
        <is>
          <t>ППК26068</t>
        </is>
      </c>
      <c r="H64" s="2">
        <f>IFERROR(INDEX('iCoA Register'!$B:$B,MATCH("P060272|I",'iCoA Register'!$AA:$AA,0)),"—")</f>
        <v/>
      </c>
      <c r="I64" s="5">
        <f>IFERROR(INDEX('iCoA Register'!$D:$D,MATCH("P060272|I",'iCoA Register'!$AA:$AA,0)),"")</f>
        <v/>
      </c>
      <c r="J64" s="2" t="inlineStr">
        <is>
          <t>post-SOP</t>
        </is>
      </c>
      <c r="K64" s="2" t="inlineStr">
        <is>
          <t>initial release</t>
        </is>
      </c>
      <c r="L64" s="3" t="inlineStr">
        <is>
          <t>CC112501</t>
        </is>
      </c>
      <c r="M64" s="2" t="inlineStr">
        <is>
          <t>P060272</t>
        </is>
      </c>
      <c r="N64" s="2" t="inlineStr">
        <is>
          <t>Cash Cow</t>
        </is>
      </c>
      <c r="O64" s="2" t="inlineStr">
        <is>
          <t>ППК26068, (11.05.2026) [CNP]</t>
        </is>
      </c>
      <c r="P64" s="6" t="inlineStr">
        <is>
          <t>—</t>
        </is>
      </c>
      <c r="Q64" s="2" t="inlineStr">
        <is>
          <t>—</t>
        </is>
      </c>
      <c r="R64" s="2" t="inlineStr">
        <is>
          <t>(assigned on issue)</t>
        </is>
      </c>
      <c r="S64" s="2" t="inlineStr">
        <is>
          <t>P060272|I</t>
        </is>
      </c>
      <c r="T64" s="7" t="inlineStr">
        <is>
          <t>registered — rule date 18.05.2026 held to the legacy series day</t>
        </is>
      </c>
      <c r="U64" s="2" t="inlineStr">
        <is>
          <t>n/a — initial certificate</t>
        </is>
      </c>
      <c r="V64" s="10" t="n">
        <v>13.35</v>
      </c>
      <c r="W64" s="2" t="inlineStr">
        <is>
          <t>ППК26068</t>
        </is>
      </c>
      <c r="X64" s="2" t="inlineStr">
        <is>
          <t>14.00 ± 1.35 (II)</t>
        </is>
      </c>
      <c r="Y64" s="2" t="inlineStr">
        <is>
          <t>12.65 – 15.34 %</t>
        </is>
      </c>
      <c r="Z64" s="2" t="inlineStr">
        <is>
          <t>CC_THC14 : CBD1</t>
        </is>
      </c>
      <c r="AA64" s="2" t="inlineStr">
        <is>
          <t>QCSP_001_CC-II_v.01</t>
        </is>
      </c>
      <c r="AB64" s="8" t="inlineStr">
        <is>
          <t>for review — replaces the issued QCSP_001_CC-II_v.01 (was CC_THC14 : CBD1, 12.60 – 15.40 %); now CC_THC14 : CBD1 12.65 – 15.34 %</t>
        </is>
      </c>
      <c r="AC64" s="11" t="inlineStr"/>
    </row>
    <row r="65">
      <c r="A65" s="2">
        <f>IF(OR(C65="yes",C65="allocated",C65="ruled"),COUNT(A$1:A64)+1,"")</f>
        <v/>
      </c>
      <c r="B65" s="3">
        <f>IF(A65&lt;&gt;"","CoQ-PP_26-"&amp;TEXT(A65,"000"),"— at issue —")</f>
        <v/>
      </c>
      <c r="C65" s="4" t="inlineStr">
        <is>
          <t>yes</t>
        </is>
      </c>
      <c r="D65" s="5">
        <f>IF(OR(A65="",C65="allocated",C65="ruled"),"",MAX(E65,IF(ISNUMBER(I65),I65,0),IFERROR(IF(ISNUMBER(INDEX('iCoA Register'!$F:$F,MATCH(S65,'iCoA Register'!$AA:$AA,0))),INDEX('iCoA Register'!$F:$F,MATCH(S65,'iCoA Register'!$AA:$AA,0)),0),0)))</f>
        <v/>
      </c>
      <c r="E65" s="5">
        <f>IF(ISNUMBER(F65),MAX(DATE(2026,6,6),F65+7),DATE(2026,6,6))</f>
        <v/>
      </c>
      <c r="F65" s="5" t="n">
        <v>46153</v>
      </c>
      <c r="G65" s="2" t="inlineStr">
        <is>
          <t>ППК26069</t>
        </is>
      </c>
      <c r="H65" s="2">
        <f>IFERROR(INDEX('iCoA Register'!$B:$B,MATCH("P060282|I",'iCoA Register'!$AA:$AA,0)),"—")</f>
        <v/>
      </c>
      <c r="I65" s="5">
        <f>IFERROR(INDEX('iCoA Register'!$D:$D,MATCH("P060282|I",'iCoA Register'!$AA:$AA,0)),"")</f>
        <v/>
      </c>
      <c r="J65" s="2" t="inlineStr">
        <is>
          <t>post-SOP</t>
        </is>
      </c>
      <c r="K65" s="2" t="inlineStr">
        <is>
          <t>initial release</t>
        </is>
      </c>
      <c r="L65" s="3" t="inlineStr">
        <is>
          <t>SCR112501</t>
        </is>
      </c>
      <c r="M65" s="2" t="inlineStr">
        <is>
          <t>P060282</t>
        </is>
      </c>
      <c r="N65" s="2" t="inlineStr">
        <is>
          <t>Scrambler</t>
        </is>
      </c>
      <c r="O65" s="2" t="inlineStr">
        <is>
          <t>ППК26069, (11.05.2026) [CNP]</t>
        </is>
      </c>
      <c r="P65" s="6" t="inlineStr">
        <is>
          <t>—</t>
        </is>
      </c>
      <c r="Q65" s="2" t="inlineStr">
        <is>
          <t>—</t>
        </is>
      </c>
      <c r="R65" s="2" t="inlineStr">
        <is>
          <t>CoQ-PP-2026-0018</t>
        </is>
      </c>
      <c r="S65" s="2" t="inlineStr">
        <is>
          <t>P060282|I</t>
        </is>
      </c>
      <c r="T65" s="7" t="inlineStr">
        <is>
          <t>registered — rule date 18.05.2026 held to the legacy series day</t>
        </is>
      </c>
      <c r="U65" s="2" t="inlineStr">
        <is>
          <t>n/a — initial certificate</t>
        </is>
      </c>
      <c r="V65" s="10" t="n">
        <v>17.13</v>
      </c>
      <c r="W65" s="2" t="inlineStr">
        <is>
          <t>ППК26069</t>
        </is>
      </c>
      <c r="X65" s="2" t="inlineStr">
        <is>
          <t>18.00 ± 1.80 (II)</t>
        </is>
      </c>
      <c r="Y65" s="2" t="inlineStr">
        <is>
          <t>16.20 – 19.79 %</t>
        </is>
      </c>
      <c r="Z65" s="2" t="inlineStr">
        <is>
          <t>SCR_THC18 : CBD1</t>
        </is>
      </c>
      <c r="AA65" s="2" t="inlineStr">
        <is>
          <t>QCSP_001_SCR-II_v.01</t>
        </is>
      </c>
      <c r="AB65" s="8" t="inlineStr">
        <is>
          <t>for review — replaces the issued QCSP_001_SCR-II_v.01 (was SCR_THC18 : CBD1, 16.20 – 19.80 %); now SCR_THC18 : CBD1 16.20 – 19.79 %</t>
        </is>
      </c>
      <c r="AC65" s="11" t="inlineStr"/>
    </row>
    <row r="66">
      <c r="A66" s="2">
        <f>IF(OR(C66="yes",C66="allocated",C66="ruled"),COUNT(A$1:A65)+1,"")</f>
        <v/>
      </c>
      <c r="B66" s="3">
        <f>IF(A66&lt;&gt;"","CoQ-PP_26-"&amp;TEXT(A66,"000"),"— at issue —")</f>
        <v/>
      </c>
      <c r="C66" s="4" t="inlineStr">
        <is>
          <t>yes</t>
        </is>
      </c>
      <c r="D66" s="5">
        <f>IF(OR(A66="",C66="allocated",C66="ruled"),"",MAX(E66,IF(ISNUMBER(I66),I66,0),IFERROR(IF(ISNUMBER(INDEX('iCoA Register'!$F:$F,MATCH(S66,'iCoA Register'!$AA:$AA,0))),INDEX('iCoA Register'!$F:$F,MATCH(S66,'iCoA Register'!$AA:$AA,0)),0),0)))</f>
        <v/>
      </c>
      <c r="E66" s="5">
        <f>IF(ISNUMBER(F66),MAX(DATE(2026,6,6),F66+7),DATE(2026,6,6))</f>
        <v/>
      </c>
      <c r="F66" s="5" t="n">
        <v>46153</v>
      </c>
      <c r="G66" s="2" t="inlineStr">
        <is>
          <t>ППК26066</t>
        </is>
      </c>
      <c r="H66" s="2">
        <f>IFERROR(INDEX('iCoA Register'!$B:$B,MATCH("P060292|I",'iCoA Register'!$AA:$AA,0)),"—")</f>
        <v/>
      </c>
      <c r="I66" s="5">
        <f>IFERROR(INDEX('iCoA Register'!$D:$D,MATCH("P060292|I",'iCoA Register'!$AA:$AA,0)),"")</f>
        <v/>
      </c>
      <c r="J66" s="2" t="inlineStr">
        <is>
          <t>post-SOP</t>
        </is>
      </c>
      <c r="K66" s="2" t="inlineStr">
        <is>
          <t>initial release</t>
        </is>
      </c>
      <c r="L66" s="3" t="inlineStr">
        <is>
          <t>FB112501</t>
        </is>
      </c>
      <c r="M66" s="2" t="inlineStr">
        <is>
          <t>P060292</t>
        </is>
      </c>
      <c r="N66" s="2" t="inlineStr">
        <is>
          <t>Fat Bastard</t>
        </is>
      </c>
      <c r="O66" s="2" t="inlineStr">
        <is>
          <t>ППК26066, (11.05.2026) [CNP]</t>
        </is>
      </c>
      <c r="P66" s="6" t="inlineStr">
        <is>
          <t>—</t>
        </is>
      </c>
      <c r="Q66" s="2" t="inlineStr">
        <is>
          <t>—</t>
        </is>
      </c>
      <c r="R66" s="2" t="inlineStr">
        <is>
          <t>(assigned on issue)</t>
        </is>
      </c>
      <c r="S66" s="2" t="inlineStr">
        <is>
          <t>P060292|I</t>
        </is>
      </c>
      <c r="T66" s="7" t="inlineStr">
        <is>
          <t>registered — rule date 18.05.2026 held to the legacy series day</t>
        </is>
      </c>
      <c r="U66" s="2" t="inlineStr">
        <is>
          <t>n/a — initial certificate</t>
        </is>
      </c>
      <c r="V66" s="10" t="n">
        <v>16.69</v>
      </c>
      <c r="W66" s="2" t="inlineStr">
        <is>
          <t>ППК26066</t>
        </is>
      </c>
      <c r="X66" s="2" t="inlineStr">
        <is>
          <t>18.00 ± 1.80 (II)</t>
        </is>
      </c>
      <c r="Y66" s="2" t="inlineStr">
        <is>
          <t>16.20 – 19.79 %</t>
        </is>
      </c>
      <c r="Z66" s="2" t="inlineStr">
        <is>
          <t>FB_THC18 : CBD1</t>
        </is>
      </c>
      <c r="AA66" s="2" t="inlineStr">
        <is>
          <t>QCSP_001_FB-II_v.01</t>
        </is>
      </c>
      <c r="AB66" s="8" t="inlineStr">
        <is>
          <t>for review — replaces the issued QCSP_001_FB-II_v.01 (was FB_THC18 : CBD1, 17.15 – 18.85 %); now FB_THC18 : CBD1 16.20 – 19.79 %</t>
        </is>
      </c>
      <c r="AC66" s="11" t="inlineStr"/>
    </row>
    <row r="67">
      <c r="A67" s="2">
        <f>IF(OR(C67="yes",C67="allocated",C67="ruled"),COUNT(A$1:A66)+1,"")</f>
        <v/>
      </c>
      <c r="B67" s="3">
        <f>IF(A67&lt;&gt;"","CoQ-PP_26-"&amp;TEXT(A67,"000"),"— at issue —")</f>
        <v/>
      </c>
      <c r="C67" s="4" t="inlineStr">
        <is>
          <t>yes</t>
        </is>
      </c>
      <c r="D67" s="5">
        <f>IF(OR(A67="",C67="allocated",C67="ruled"),"",MAX(E67,IF(ISNUMBER(I67),I67,0),IFERROR(IF(ISNUMBER(INDEX('iCoA Register'!$F:$F,MATCH(S67,'iCoA Register'!$AA:$AA,0))),INDEX('iCoA Register'!$F:$F,MATCH(S67,'iCoA Register'!$AA:$AA,0)),0),0)))</f>
        <v/>
      </c>
      <c r="E67" s="5">
        <f>IF(ISNUMBER(F67),MAX(DATE(2026,6,6),F67+7),DATE(2026,6,6))</f>
        <v/>
      </c>
      <c r="F67" s="5" t="n">
        <v>46153</v>
      </c>
      <c r="G67" s="2" t="inlineStr">
        <is>
          <t>ППК26062</t>
        </is>
      </c>
      <c r="H67" s="2">
        <f>IFERROR(INDEX('iCoA Register'!$B:$B,MATCH("P060302|I",'iCoA Register'!$AA:$AA,0)),"—")</f>
        <v/>
      </c>
      <c r="I67" s="5">
        <f>IFERROR(INDEX('iCoA Register'!$D:$D,MATCH("P060302|I",'iCoA Register'!$AA:$AA,0)),"")</f>
        <v/>
      </c>
      <c r="J67" s="2" t="inlineStr">
        <is>
          <t>post-SOP</t>
        </is>
      </c>
      <c r="K67" s="2" t="inlineStr">
        <is>
          <t>initial release</t>
        </is>
      </c>
      <c r="L67" s="3" t="inlineStr">
        <is>
          <t>GG012601＊</t>
        </is>
      </c>
      <c r="M67" s="2" t="inlineStr">
        <is>
          <t>P060302</t>
        </is>
      </c>
      <c r="N67" s="2" t="inlineStr">
        <is>
          <t>Gorilla Glue</t>
        </is>
      </c>
      <c r="O67" s="2" t="inlineStr">
        <is>
          <t>ППК26062, (11.05.2026) [CNP]</t>
        </is>
      </c>
      <c r="P67" s="6" t="inlineStr">
        <is>
          <t>—</t>
        </is>
      </c>
      <c r="Q67" s="2" t="inlineStr">
        <is>
          <t>—</t>
        </is>
      </c>
      <c r="R67" s="2" t="inlineStr">
        <is>
          <t>(assigned on issue)</t>
        </is>
      </c>
      <c r="S67" s="2" t="inlineStr">
        <is>
          <t>P060302|I</t>
        </is>
      </c>
      <c r="T67" s="7" t="inlineStr">
        <is>
          <t>registered — rule date 18.05.2026 held to the legacy series day</t>
        </is>
      </c>
      <c r="U67" s="2" t="inlineStr">
        <is>
          <t>n/a — initial certificate</t>
        </is>
      </c>
      <c r="V67" s="10" t="n">
        <v>15.35</v>
      </c>
      <c r="W67" s="2" t="inlineStr">
        <is>
          <t>ППК26062</t>
        </is>
      </c>
      <c r="X67" s="2" t="inlineStr">
        <is>
          <t>15.00 ± 1.23 (II)</t>
        </is>
      </c>
      <c r="Y67" s="2" t="inlineStr">
        <is>
          <t>13.77 – 16.22 %</t>
        </is>
      </c>
      <c r="Z67" s="2" t="inlineStr">
        <is>
          <t>GG_THC15 : CBD1</t>
        </is>
      </c>
      <c r="AA67" s="2" t="inlineStr">
        <is>
          <t>QCSP_001_GG-II_v.01</t>
        </is>
      </c>
      <c r="AB67" s="8" t="inlineStr">
        <is>
          <t>for review — replaces the issued QCSP_001_GG-II_v.01 (was GG_THC16 : CBD1, 15.00 – 17.00 %); now GG_THC15 : CBD1 13.77 – 16.22 %</t>
        </is>
      </c>
      <c r="AC67" s="11" t="inlineStr"/>
    </row>
    <row r="68">
      <c r="A68" s="2">
        <f>IF(OR(C68="yes",C68="allocated",C68="ruled"),COUNT(A$1:A67)+1,"")</f>
        <v/>
      </c>
      <c r="B68" s="3">
        <f>IF(A68&lt;&gt;"","CoQ-PP_26-"&amp;TEXT(A68,"000"),"— at issue —")</f>
        <v/>
      </c>
      <c r="C68" s="4" t="inlineStr">
        <is>
          <t>yes</t>
        </is>
      </c>
      <c r="D68" s="5">
        <f>IF(OR(A68="",C68="allocated",C68="ruled"),"",MAX(E68,IF(ISNUMBER(I68),I68,0),IFERROR(IF(ISNUMBER(INDEX('iCoA Register'!$F:$F,MATCH(S68,'iCoA Register'!$AA:$AA,0))),INDEX('iCoA Register'!$F:$F,MATCH(S68,'iCoA Register'!$AA:$AA,0)),0),0)))</f>
        <v/>
      </c>
      <c r="E68" s="5">
        <f>IF(ISNUMBER(F68),MAX(DATE(2026,6,6),F68+7),DATE(2026,6,6))</f>
        <v/>
      </c>
      <c r="F68" s="5" t="n">
        <v>46153</v>
      </c>
      <c r="G68" s="2" t="inlineStr">
        <is>
          <t>ППК26064</t>
        </is>
      </c>
      <c r="H68" s="2">
        <f>IFERROR(INDEX('iCoA Register'!$B:$B,MATCH("P060312|I",'iCoA Register'!$AA:$AA,0)),"—")</f>
        <v/>
      </c>
      <c r="I68" s="5">
        <f>IFERROR(INDEX('iCoA Register'!$D:$D,MATCH("P060312|I",'iCoA Register'!$AA:$AA,0)),"")</f>
        <v/>
      </c>
      <c r="J68" s="2" t="inlineStr">
        <is>
          <t>post-SOP</t>
        </is>
      </c>
      <c r="K68" s="2" t="inlineStr">
        <is>
          <t>initial release</t>
        </is>
      </c>
      <c r="L68" s="3" t="inlineStr">
        <is>
          <t>JD012601＊</t>
        </is>
      </c>
      <c r="M68" s="2" t="inlineStr">
        <is>
          <t>P060312</t>
        </is>
      </c>
      <c r="N68" s="2" t="inlineStr">
        <is>
          <t>Jelly Donuts</t>
        </is>
      </c>
      <c r="O68" s="2" t="inlineStr">
        <is>
          <t>ППК26064, (11.05.2026) [CNP]</t>
        </is>
      </c>
      <c r="P68" s="6" t="inlineStr">
        <is>
          <t>—</t>
        </is>
      </c>
      <c r="Q68" s="2" t="inlineStr">
        <is>
          <t>—</t>
        </is>
      </c>
      <c r="R68" s="2" t="inlineStr">
        <is>
          <t>(assigned on issue)</t>
        </is>
      </c>
      <c r="S68" s="2" t="inlineStr">
        <is>
          <t>P060312|I</t>
        </is>
      </c>
      <c r="T68" s="7" t="inlineStr">
        <is>
          <t>registered — rule date 18.05.2026 held to the legacy series day</t>
        </is>
      </c>
      <c r="U68" s="2" t="inlineStr">
        <is>
          <t>n/a — initial certificate</t>
        </is>
      </c>
      <c r="V68" s="10" t="n">
        <v>18.16</v>
      </c>
      <c r="W68" s="2" t="inlineStr">
        <is>
          <t>ППК26064</t>
        </is>
      </c>
      <c r="X68" s="2" t="inlineStr">
        <is>
          <t>18.00 ± 1.80 (II)</t>
        </is>
      </c>
      <c r="Y68" s="2" t="inlineStr">
        <is>
          <t>16.20 – 19.79 %</t>
        </is>
      </c>
      <c r="Z68" s="2" t="inlineStr">
        <is>
          <t>JD_THC18 : CBD1</t>
        </is>
      </c>
      <c r="AA68" s="2" t="inlineStr">
        <is>
          <t>QCSP_001_JD-II_v.01</t>
        </is>
      </c>
      <c r="AB68" s="8" t="inlineStr">
        <is>
          <t>for review — replaces the issued QCSP_001_JD-II_v.01 (was JD_THC16 : CBD1, 14.91 – 17.09 %); now JD_THC18 : CBD1 16.20 – 19.79 %</t>
        </is>
      </c>
      <c r="AC68" s="11" t="inlineStr"/>
    </row>
    <row r="69">
      <c r="A69" s="2">
        <f>IF(OR(C69="yes",C69="allocated",C69="ruled"),COUNT(A$1:A68)+1,"")</f>
        <v/>
      </c>
      <c r="B69" s="3">
        <f>IF(A69&lt;&gt;"","CoQ-PP_26-"&amp;TEXT(A69,"000"),"— at issue —")</f>
        <v/>
      </c>
      <c r="C69" s="4" t="inlineStr">
        <is>
          <t>yes</t>
        </is>
      </c>
      <c r="D69" s="5">
        <f>IF(OR(A69="",C69="allocated",C69="ruled"),"",MAX(E69,IF(ISNUMBER(I69),I69,0),IFERROR(IF(ISNUMBER(INDEX('iCoA Register'!$F:$F,MATCH(S69,'iCoA Register'!$AA:$AA,0))),INDEX('iCoA Register'!$F:$F,MATCH(S69,'iCoA Register'!$AA:$AA,0)),0),0)))</f>
        <v/>
      </c>
      <c r="E69" s="5">
        <f>IF(ISNUMBER(F69),MAX(DATE(2026,6,6),F69+7),DATE(2026,6,6))</f>
        <v/>
      </c>
      <c r="F69" s="5" t="inlineStr">
        <is>
          <t>—</t>
        </is>
      </c>
      <c r="G69" s="2" t="inlineStr">
        <is>
          <t>—</t>
        </is>
      </c>
      <c r="H69" s="2">
        <f>IFERROR(INDEX('iCoA Register'!$B:$B,MATCH("P060332|I",'iCoA Register'!$AA:$AA,0)),"—")</f>
        <v/>
      </c>
      <c r="I69" s="5">
        <f>IFERROR(INDEX('iCoA Register'!$D:$D,MATCH("P060332|I",'iCoA Register'!$AA:$AA,0)),"")</f>
        <v/>
      </c>
      <c r="J69" s="2" t="inlineStr">
        <is>
          <t>post-SOP</t>
        </is>
      </c>
      <c r="K69" s="2" t="inlineStr">
        <is>
          <t>initial release</t>
        </is>
      </c>
      <c r="L69" s="3" t="inlineStr">
        <is>
          <t>CC012601/1</t>
        </is>
      </c>
      <c r="M69" s="2" t="inlineStr">
        <is>
          <t>P060332</t>
        </is>
      </c>
      <c r="N69" s="2" t="inlineStr"/>
      <c r="O69" s="6" t="inlineStr">
        <is>
          <t>— no cannabinoid certificate from the initial testing —</t>
        </is>
      </c>
      <c r="P69" s="6" t="inlineStr">
        <is>
          <t>—</t>
        </is>
      </c>
      <c r="Q69" s="2" t="inlineStr">
        <is>
          <t>—</t>
        </is>
      </c>
      <c r="R69" s="2" t="inlineStr">
        <is>
          <t>(assigned on issue)</t>
        </is>
      </c>
      <c r="S69" s="2" t="inlineStr">
        <is>
          <t>P060332|I</t>
        </is>
      </c>
      <c r="T69" s="7" t="inlineStr">
        <is>
          <t>registered — provisional date: no initial certificate on file yet — the date follows the latest eCoA once located · initial certificate to locate: #3 (CNP), #4 (CNP), #5 (CNP), #6 (CNP), #8 (CNP), #9 (IJZ), #10 (CNP), #11 (CNP), #12 (CNP)</t>
        </is>
      </c>
      <c r="U69" s="2" t="inlineStr">
        <is>
          <t>n/a — initial certificate</t>
        </is>
      </c>
      <c r="V69" s="2" t="inlineStr">
        <is>
          <t>—</t>
        </is>
      </c>
      <c r="W69" s="2" t="inlineStr">
        <is>
          <t>—</t>
        </is>
      </c>
      <c r="X69" s="2" t="inlineStr">
        <is>
          <t>—</t>
        </is>
      </c>
      <c r="Y69" s="2" t="inlineStr">
        <is>
          <t>—</t>
        </is>
      </c>
      <c r="Z69" s="2" t="inlineStr">
        <is>
          <t>—</t>
        </is>
      </c>
      <c r="AA69" s="2" t="inlineStr">
        <is>
          <t>—</t>
        </is>
      </c>
      <c r="AB69" s="11" t="inlineStr">
        <is>
          <t>—</t>
        </is>
      </c>
      <c r="AC69" s="8" t="inlineStr">
        <is>
          <t>no Total THC result on this certificate</t>
        </is>
      </c>
    </row>
    <row r="70">
      <c r="A70" s="2">
        <f>IF(OR(C70="yes",C70="allocated",C70="ruled"),COUNT(A$1:A69)+1,"")</f>
        <v/>
      </c>
      <c r="B70" s="3">
        <f>IF(A70&lt;&gt;"","CoQ-PP_26-"&amp;TEXT(A70,"000"),"— at issue —")</f>
        <v/>
      </c>
      <c r="C70" s="4" t="inlineStr">
        <is>
          <t>yes</t>
        </is>
      </c>
      <c r="D70" s="5">
        <f>IF(OR(A70="",C70="allocated",C70="ruled"),"",MAX(E70,IF(ISNUMBER(I70),I70,0),IFERROR(IF(ISNUMBER(INDEX('iCoA Register'!$F:$F,MATCH(S70,'iCoA Register'!$AA:$AA,0))),INDEX('iCoA Register'!$F:$F,MATCH(S70,'iCoA Register'!$AA:$AA,0)),0),0)))</f>
        <v/>
      </c>
      <c r="E70" s="5">
        <f>IF(ISNUMBER(F70),MAX(DATE(2026,6,6),F70+7),DATE(2026,6,6))</f>
        <v/>
      </c>
      <c r="F70" s="5" t="n">
        <v>46153</v>
      </c>
      <c r="G70" s="2" t="inlineStr">
        <is>
          <t>ППК26067</t>
        </is>
      </c>
      <c r="H70" s="2">
        <f>IFERROR(INDEX('iCoA Register'!$B:$B,MATCH("P060322|I",'iCoA Register'!$AA:$AA,0)),"—")</f>
        <v/>
      </c>
      <c r="I70" s="5">
        <f>IFERROR(INDEX('iCoA Register'!$D:$D,MATCH("P060322|I",'iCoA Register'!$AA:$AA,0)),"")</f>
        <v/>
      </c>
      <c r="J70" s="2" t="inlineStr">
        <is>
          <t>post-SOP</t>
        </is>
      </c>
      <c r="K70" s="2" t="inlineStr">
        <is>
          <t>initial release</t>
        </is>
      </c>
      <c r="L70" s="3" t="inlineStr">
        <is>
          <t>FB012601_1</t>
        </is>
      </c>
      <c r="M70" s="2" t="inlineStr">
        <is>
          <t>P060322</t>
        </is>
      </c>
      <c r="N70" s="2" t="inlineStr">
        <is>
          <t>Fat Bastard</t>
        </is>
      </c>
      <c r="O70" s="2" t="inlineStr">
        <is>
          <t>ППК26067, (11.05.2026) [CNP]</t>
        </is>
      </c>
      <c r="P70" s="6" t="inlineStr">
        <is>
          <t>—</t>
        </is>
      </c>
      <c r="Q70" s="2" t="inlineStr">
        <is>
          <t>—</t>
        </is>
      </c>
      <c r="R70" s="2" t="inlineStr">
        <is>
          <t>CoQ-PP-2026-0019</t>
        </is>
      </c>
      <c r="S70" s="2" t="inlineStr">
        <is>
          <t>P060322|I</t>
        </is>
      </c>
      <c r="T70" s="7" t="inlineStr">
        <is>
          <t>registered — rule date 18.05.2026 held to the legacy series day</t>
        </is>
      </c>
      <c r="U70" s="2" t="inlineStr">
        <is>
          <t>n/a — initial certificate</t>
        </is>
      </c>
      <c r="V70" s="10" t="n">
        <v>14.68</v>
      </c>
      <c r="W70" s="2" t="inlineStr">
        <is>
          <t>ППК26067</t>
        </is>
      </c>
      <c r="X70" s="2" t="inlineStr">
        <is>
          <t>15.00 ± 1.20 (III)</t>
        </is>
      </c>
      <c r="Y70" s="2" t="inlineStr">
        <is>
          <t>13.80 – 16.19 %</t>
        </is>
      </c>
      <c r="Z70" s="2" t="inlineStr">
        <is>
          <t>FB_THC15 : CBD1</t>
        </is>
      </c>
      <c r="AA70" s="2" t="inlineStr">
        <is>
          <t>QCSP_001_FB-III_v.01</t>
        </is>
      </c>
      <c r="AB70" s="8" t="inlineStr">
        <is>
          <t>for review — replaces the issued QCSP_001_FB-III_v.01 (was FB_THC16 : CBD1, 14.86 – 17.14 %); now FB_THC15 : CBD1 13.80 – 16.19 %</t>
        </is>
      </c>
      <c r="AC70" s="11" t="inlineStr"/>
    </row>
    <row r="71">
      <c r="A71" s="2">
        <f>IF(OR(C71="yes",C71="allocated",C71="ruled"),COUNT(A$1:A70)+1,"")</f>
        <v/>
      </c>
      <c r="B71" s="3">
        <f>IF(A71&lt;&gt;"","CoQ-PP_26-"&amp;TEXT(A71,"000"),"— at issue —")</f>
        <v/>
      </c>
      <c r="C71" s="4" t="inlineStr">
        <is>
          <t>yes</t>
        </is>
      </c>
      <c r="D71" s="5">
        <f>IF(OR(A71="",C71="allocated",C71="ruled"),"",MAX(E71,IF(ISNUMBER(I71),I71,0),IFERROR(IF(ISNUMBER(INDEX('iCoA Register'!$F:$F,MATCH(S71,'iCoA Register'!$AA:$AA,0))),INDEX('iCoA Register'!$F:$F,MATCH(S71,'iCoA Register'!$AA:$AA,0)),0),0)))</f>
        <v/>
      </c>
      <c r="E71" s="5">
        <f>IF(ISNUMBER(F71),MAX(DATE(2026,6,6),F71+7),DATE(2026,6,6))</f>
        <v/>
      </c>
      <c r="F71" s="5" t="inlineStr">
        <is>
          <t>—</t>
        </is>
      </c>
      <c r="G71" s="2" t="inlineStr">
        <is>
          <t>—</t>
        </is>
      </c>
      <c r="H71" s="2">
        <f>IFERROR(INDEX('iCoA Register'!$B:$B,MATCH("P060352|I",'iCoA Register'!$AA:$AA,0)),"—")</f>
        <v/>
      </c>
      <c r="I71" s="5">
        <f>IFERROR(INDEX('iCoA Register'!$D:$D,MATCH("P060352|I",'iCoA Register'!$AA:$AA,0)),"")</f>
        <v/>
      </c>
      <c r="J71" s="2" t="inlineStr">
        <is>
          <t>post-SOP</t>
        </is>
      </c>
      <c r="K71" s="2" t="inlineStr">
        <is>
          <t>initial release</t>
        </is>
      </c>
      <c r="L71" s="3" t="inlineStr">
        <is>
          <t>FB012602*</t>
        </is>
      </c>
      <c r="M71" s="2" t="inlineStr">
        <is>
          <t>P060352</t>
        </is>
      </c>
      <c r="N71" s="2" t="inlineStr">
        <is>
          <t>Fat Bastard</t>
        </is>
      </c>
      <c r="O71" s="6" t="inlineStr">
        <is>
          <t>— no cannabinoid certificate from the initial testing —</t>
        </is>
      </c>
      <c r="P71" s="6" t="inlineStr">
        <is>
          <t>—</t>
        </is>
      </c>
      <c r="Q71" s="2" t="inlineStr">
        <is>
          <t>—</t>
        </is>
      </c>
      <c r="R71" s="2" t="inlineStr">
        <is>
          <t>CoQ-PP-2026-0021</t>
        </is>
      </c>
      <c r="S71" s="2" t="inlineStr">
        <is>
          <t>P060352|I</t>
        </is>
      </c>
      <c r="T71" s="7" t="inlineStr">
        <is>
          <t>registered — provisional date: no initial certificate on file yet — the date follows the latest eCoA once located · initial certificate to locate: #3 (CNP), #4 (CNP), #5 (CNP), #6 (CNP), #8 (CNP), #9 (IJZ), #10 (CNP), #11 (CNP), #12 (CNP)</t>
        </is>
      </c>
      <c r="U71" s="2" t="inlineStr">
        <is>
          <t>n/a — initial certificate</t>
        </is>
      </c>
      <c r="V71" s="2" t="inlineStr">
        <is>
          <t>—</t>
        </is>
      </c>
      <c r="W71" s="2" t="inlineStr">
        <is>
          <t>—</t>
        </is>
      </c>
      <c r="X71" s="2" t="inlineStr">
        <is>
          <t>—</t>
        </is>
      </c>
      <c r="Y71" s="2" t="inlineStr">
        <is>
          <t>—</t>
        </is>
      </c>
      <c r="Z71" s="2" t="inlineStr">
        <is>
          <t>—</t>
        </is>
      </c>
      <c r="AA71" s="2" t="inlineStr">
        <is>
          <t>—</t>
        </is>
      </c>
      <c r="AB71" s="11" t="inlineStr">
        <is>
          <t>—</t>
        </is>
      </c>
      <c r="AC71" s="8" t="inlineStr">
        <is>
          <t>no Total THC result on this certificate</t>
        </is>
      </c>
    </row>
    <row r="72">
      <c r="A72" s="2">
        <f>IF(OR(C72="yes",C72="allocated",C72="ruled"),COUNT(A$1:A71)+1,"")</f>
        <v/>
      </c>
      <c r="B72" s="3">
        <f>IF(A72&lt;&gt;"","CoQ-PP_26-"&amp;TEXT(A72,"000"),"— at issue —")</f>
        <v/>
      </c>
      <c r="C72" s="4" t="inlineStr">
        <is>
          <t>yes</t>
        </is>
      </c>
      <c r="D72" s="5">
        <f>IF(OR(A72="",C72="allocated",C72="ruled"),"",MAX(E72,IF(ISNUMBER(I72),I72,0),IFERROR(IF(ISNUMBER(INDEX('iCoA Register'!$F:$F,MATCH(S72,'iCoA Register'!$AA:$AA,0))),INDEX('iCoA Register'!$F:$F,MATCH(S72,'iCoA Register'!$AA:$AA,0)),0),0)))</f>
        <v/>
      </c>
      <c r="E72" s="5">
        <f>IF(ISNUMBER(F72),MAX(DATE(2026,6,6),F72+7),DATE(2026,6,6))</f>
        <v/>
      </c>
      <c r="F72" s="5" t="inlineStr">
        <is>
          <t>—</t>
        </is>
      </c>
      <c r="G72" s="2" t="inlineStr">
        <is>
          <t>—</t>
        </is>
      </c>
      <c r="H72" s="2">
        <f>IFERROR(INDEX('iCoA Register'!$B:$B,MATCH("P060362|I",'iCoA Register'!$AA:$AA,0)),"—")</f>
        <v/>
      </c>
      <c r="I72" s="5">
        <f>IFERROR(INDEX('iCoA Register'!$D:$D,MATCH("P060362|I",'iCoA Register'!$AA:$AA,0)),"")</f>
        <v/>
      </c>
      <c r="J72" s="2" t="inlineStr">
        <is>
          <t>post-SOP</t>
        </is>
      </c>
      <c r="K72" s="2" t="inlineStr">
        <is>
          <t>initial release</t>
        </is>
      </c>
      <c r="L72" s="3" t="inlineStr">
        <is>
          <t>JD012603</t>
        </is>
      </c>
      <c r="M72" s="2" t="inlineStr">
        <is>
          <t>P060362</t>
        </is>
      </c>
      <c r="N72" s="2" t="inlineStr">
        <is>
          <t>Jelly Donuts</t>
        </is>
      </c>
      <c r="O72" s="6" t="inlineStr">
        <is>
          <t>— no cannabinoid certificate from the initial testing —</t>
        </is>
      </c>
      <c r="P72" s="2" t="inlineStr">
        <is>
          <t>A: ППК26111 / B: ППК26111 / FM: ППК26111</t>
        </is>
      </c>
      <c r="Q72" s="2" t="inlineStr">
        <is>
          <t>—</t>
        </is>
      </c>
      <c r="R72" s="2" t="inlineStr">
        <is>
          <t>CoQ-PP-2026-0020</t>
        </is>
      </c>
      <c r="S72" s="2" t="inlineStr">
        <is>
          <t>P060362|I</t>
        </is>
      </c>
      <c r="T72" s="7" t="inlineStr">
        <is>
          <t>registered — provisional date: no initial certificate on file yet — the date follows the latest eCoA once located · initial certificate to locate: #1 (CNP), #2 (CNP), #3 (CNP), #4 (CNP), #5 (CNP), #6 (CNP), #7 (CNP), #8 (CNP), #9 (IJZ), #10 (CNP), #11 (CNP), #12 (CNP)</t>
        </is>
      </c>
      <c r="U72" s="2" t="inlineStr">
        <is>
          <t>n/a — initial certificate</t>
        </is>
      </c>
      <c r="V72" s="2" t="inlineStr">
        <is>
          <t>—</t>
        </is>
      </c>
      <c r="W72" s="2" t="inlineStr">
        <is>
          <t>—</t>
        </is>
      </c>
      <c r="X72" s="2" t="inlineStr">
        <is>
          <t>—</t>
        </is>
      </c>
      <c r="Y72" s="2" t="inlineStr">
        <is>
          <t>—</t>
        </is>
      </c>
      <c r="Z72" s="2" t="inlineStr">
        <is>
          <t>—</t>
        </is>
      </c>
      <c r="AA72" s="2" t="inlineStr">
        <is>
          <t>—</t>
        </is>
      </c>
      <c r="AB72" s="11" t="inlineStr">
        <is>
          <t>—</t>
        </is>
      </c>
      <c r="AC72" s="8" t="inlineStr">
        <is>
          <t>no Total THC result on this certificate</t>
        </is>
      </c>
    </row>
    <row r="73">
      <c r="A73" s="2">
        <f>IF(OR(C73="yes",C73="allocated",C73="ruled"),COUNT(A$1:A72)+1,"")</f>
        <v/>
      </c>
      <c r="B73" s="3">
        <f>IF(A73&lt;&gt;"","CoQ-PP_26-"&amp;TEXT(A73,"000"),"— at issue —")</f>
        <v/>
      </c>
      <c r="C73" s="4" t="inlineStr">
        <is>
          <t>yes</t>
        </is>
      </c>
      <c r="D73" s="5">
        <f>IF(OR(A73="",C73="allocated",C73="ruled"),"",MAX(E73,IF(ISNUMBER(I73),I73,0),IFERROR(IF(ISNUMBER(INDEX('iCoA Register'!$F:$F,MATCH(S73,'iCoA Register'!$AA:$AA,0))),INDEX('iCoA Register'!$F:$F,MATCH(S73,'iCoA Register'!$AA:$AA,0)),0),0)))</f>
        <v/>
      </c>
      <c r="E73" s="5">
        <f>IF(ISNUMBER(F73),MAX(DATE(2026,6,6),F73+7),DATE(2026,6,6))</f>
        <v/>
      </c>
      <c r="F73" s="5" t="inlineStr">
        <is>
          <t>—</t>
        </is>
      </c>
      <c r="G73" s="2" t="inlineStr">
        <is>
          <t>—</t>
        </is>
      </c>
      <c r="H73" s="2">
        <f>IFERROR(INDEX('iCoA Register'!$B:$B,MATCH("P060372|I",'iCoA Register'!$AA:$AA,0)),"—")</f>
        <v/>
      </c>
      <c r="I73" s="5">
        <f>IFERROR(INDEX('iCoA Register'!$D:$D,MATCH("P060372|I",'iCoA Register'!$AA:$AA,0)),"")</f>
        <v/>
      </c>
      <c r="J73" s="2" t="inlineStr">
        <is>
          <t>post-SOP</t>
        </is>
      </c>
      <c r="K73" s="2" t="inlineStr">
        <is>
          <t>initial release</t>
        </is>
      </c>
      <c r="L73" s="3" t="inlineStr">
        <is>
          <t>CC012603</t>
        </is>
      </c>
      <c r="M73" s="2" t="inlineStr">
        <is>
          <t>P060372</t>
        </is>
      </c>
      <c r="N73" s="2" t="inlineStr">
        <is>
          <t>Cash Cow</t>
        </is>
      </c>
      <c r="O73" s="6" t="inlineStr">
        <is>
          <t>— no cannabinoid certificate from the initial testing —</t>
        </is>
      </c>
      <c r="P73" s="6" t="inlineStr">
        <is>
          <t>—</t>
        </is>
      </c>
      <c r="Q73" s="2" t="inlineStr">
        <is>
          <t>—</t>
        </is>
      </c>
      <c r="R73" s="2" t="inlineStr">
        <is>
          <t>CoQ-PP-2026-0024</t>
        </is>
      </c>
      <c r="S73" s="2" t="inlineStr">
        <is>
          <t>P060372|I</t>
        </is>
      </c>
      <c r="T73" s="7" t="inlineStr">
        <is>
          <t>registered — provisional date: no initial certificate on file yet — the date follows the latest eCoA once located · initial certificate to locate: #3 (CNP), #4 (CNP), #5 (CNP), #6 (CNP), #8 (CNP), #9 (IJZ), #10 (CNP), #11 (CNP), #12 (CNP)</t>
        </is>
      </c>
      <c r="U73" s="2" t="inlineStr">
        <is>
          <t>n/a — initial certificate</t>
        </is>
      </c>
      <c r="V73" s="2" t="inlineStr">
        <is>
          <t>—</t>
        </is>
      </c>
      <c r="W73" s="2" t="inlineStr">
        <is>
          <t>—</t>
        </is>
      </c>
      <c r="X73" s="2" t="inlineStr">
        <is>
          <t>—</t>
        </is>
      </c>
      <c r="Y73" s="2" t="inlineStr">
        <is>
          <t>—</t>
        </is>
      </c>
      <c r="Z73" s="2" t="inlineStr">
        <is>
          <t>—</t>
        </is>
      </c>
      <c r="AA73" s="2" t="inlineStr">
        <is>
          <t>—</t>
        </is>
      </c>
      <c r="AB73" s="11" t="inlineStr">
        <is>
          <t>—</t>
        </is>
      </c>
      <c r="AC73" s="8" t="inlineStr">
        <is>
          <t>no Total THC result on this certificate</t>
        </is>
      </c>
    </row>
    <row r="74">
      <c r="A74" s="2">
        <f>IF(OR(C74="yes",C74="allocated",C74="ruled"),COUNT(A$1:A73)+1,"")</f>
        <v/>
      </c>
      <c r="B74" s="3">
        <f>IF(A74&lt;&gt;"","CoQ-PP_26-"&amp;TEXT(A74,"000"),"— at issue —")</f>
        <v/>
      </c>
      <c r="C74" s="4" t="inlineStr">
        <is>
          <t>yes</t>
        </is>
      </c>
      <c r="D74" s="5">
        <f>IF(OR(A74="",C74="allocated",C74="ruled"),"",MAX(E74,IF(ISNUMBER(I74),I74,0),IFERROR(IF(ISNUMBER(INDEX('iCoA Register'!$F:$F,MATCH(S74,'iCoA Register'!$AA:$AA,0))),INDEX('iCoA Register'!$F:$F,MATCH(S74,'iCoA Register'!$AA:$AA,0)),0),0)))</f>
        <v/>
      </c>
      <c r="E74" s="5">
        <f>IF(ISNUMBER(F74),MAX(DATE(2026,6,6),F74+7),DATE(2026,6,6))</f>
        <v/>
      </c>
      <c r="F74" s="5" t="inlineStr">
        <is>
          <t>—</t>
        </is>
      </c>
      <c r="G74" s="2" t="inlineStr">
        <is>
          <t>—</t>
        </is>
      </c>
      <c r="H74" s="2">
        <f>IFERROR(INDEX('iCoA Register'!$B:$B,MATCH("P060342|I",'iCoA Register'!$AA:$AA,0)),"—")</f>
        <v/>
      </c>
      <c r="I74" s="5">
        <f>IFERROR(INDEX('iCoA Register'!$D:$D,MATCH("P060342|I",'iCoA Register'!$AA:$AA,0)),"")</f>
        <v/>
      </c>
      <c r="J74" s="2" t="inlineStr">
        <is>
          <t>post-SOP</t>
        </is>
      </c>
      <c r="K74" s="2" t="inlineStr">
        <is>
          <t>initial release</t>
        </is>
      </c>
      <c r="L74" s="3" t="inlineStr">
        <is>
          <t>SCR012601*</t>
        </is>
      </c>
      <c r="M74" s="2" t="inlineStr">
        <is>
          <t>P060342</t>
        </is>
      </c>
      <c r="N74" s="2" t="inlineStr">
        <is>
          <t>Scrambler</t>
        </is>
      </c>
      <c r="O74" s="6" t="inlineStr">
        <is>
          <t>— no cannabinoid certificate from the initial testing —</t>
        </is>
      </c>
      <c r="P74" s="6" t="inlineStr">
        <is>
          <t>—</t>
        </is>
      </c>
      <c r="Q74" s="2" t="inlineStr">
        <is>
          <t>—</t>
        </is>
      </c>
      <c r="R74" s="2" t="inlineStr">
        <is>
          <t>(assigned on issue)</t>
        </is>
      </c>
      <c r="S74" s="2" t="inlineStr">
        <is>
          <t>P060342|I</t>
        </is>
      </c>
      <c r="T74" s="7" t="inlineStr">
        <is>
          <t>registered — provisional date: no initial certificate on file yet — the date follows the latest eCoA once located · initial certificate to locate: #3 (CNP), #4 (CNP), #5 (CNP), #6 (CNP), #8 (CNP), #9 (IJZ), #10 (CNP), #11 (CNP), #12 (CNP)</t>
        </is>
      </c>
      <c r="U74" s="2" t="inlineStr">
        <is>
          <t>n/a — initial certificate</t>
        </is>
      </c>
      <c r="V74" s="2" t="inlineStr">
        <is>
          <t>—</t>
        </is>
      </c>
      <c r="W74" s="2" t="inlineStr">
        <is>
          <t>—</t>
        </is>
      </c>
      <c r="X74" s="2" t="inlineStr">
        <is>
          <t>—</t>
        </is>
      </c>
      <c r="Y74" s="2" t="inlineStr">
        <is>
          <t>—</t>
        </is>
      </c>
      <c r="Z74" s="2" t="inlineStr">
        <is>
          <t>—</t>
        </is>
      </c>
      <c r="AA74" s="2" t="inlineStr">
        <is>
          <t>—</t>
        </is>
      </c>
      <c r="AB74" s="11" t="inlineStr">
        <is>
          <t>—</t>
        </is>
      </c>
      <c r="AC74" s="8" t="inlineStr">
        <is>
          <t>no Total THC result on this certificate</t>
        </is>
      </c>
    </row>
    <row r="75">
      <c r="A75" s="2">
        <f>IF(OR(C75="yes",C75="allocated",C75="ruled"),COUNT(A$1:A74)+1,"")</f>
        <v/>
      </c>
      <c r="B75" s="3">
        <f>IF(A75&lt;&gt;"","CoQ-PP_26-"&amp;TEXT(A75,"000"),"— at issue —")</f>
        <v/>
      </c>
      <c r="C75" s="4" t="inlineStr">
        <is>
          <t>yes</t>
        </is>
      </c>
      <c r="D75" s="5">
        <f>IF(OR(A75="",C75="allocated",C75="ruled"),"",MAX(E75,IF(ISNUMBER(I75),I75,0),IFERROR(IF(ISNUMBER(INDEX('iCoA Register'!$F:$F,MATCH(S75,'iCoA Register'!$AA:$AA,0))),INDEX('iCoA Register'!$F:$F,MATCH(S75,'iCoA Register'!$AA:$AA,0)),0),0)))</f>
        <v/>
      </c>
      <c r="E75" s="5">
        <f>IF(ISNUMBER(F75),MAX(DATE(2026,6,6),F75+7),DATE(2026,6,6))</f>
        <v/>
      </c>
      <c r="F75" s="5" t="inlineStr">
        <is>
          <t>—</t>
        </is>
      </c>
      <c r="G75" s="2" t="inlineStr">
        <is>
          <t>—</t>
        </is>
      </c>
      <c r="H75" s="2">
        <f>IFERROR(INDEX('iCoA Register'!$B:$B,MATCH("P060382|I",'iCoA Register'!$AA:$AA,0)),"—")</f>
        <v/>
      </c>
      <c r="I75" s="5">
        <f>IFERROR(INDEX('iCoA Register'!$D:$D,MATCH("P060382|I",'iCoA Register'!$AA:$AA,0)),"")</f>
        <v/>
      </c>
      <c r="J75" s="2" t="inlineStr">
        <is>
          <t>post-SOP</t>
        </is>
      </c>
      <c r="K75" s="2" t="inlineStr">
        <is>
          <t>initial release</t>
        </is>
      </c>
      <c r="L75" s="3" t="inlineStr">
        <is>
          <t>SCR012603</t>
        </is>
      </c>
      <c r="M75" s="2" t="inlineStr">
        <is>
          <t>P060382</t>
        </is>
      </c>
      <c r="N75" s="2" t="inlineStr">
        <is>
          <t>Scrambler</t>
        </is>
      </c>
      <c r="O75" s="6" t="inlineStr">
        <is>
          <t>— no cannabinoid certificate from the initial testing —</t>
        </is>
      </c>
      <c r="P75" s="6" t="inlineStr">
        <is>
          <t>—</t>
        </is>
      </c>
      <c r="Q75" s="2" t="inlineStr">
        <is>
          <t>—</t>
        </is>
      </c>
      <c r="R75" s="2" t="inlineStr">
        <is>
          <t>CoQ-PP-2026-0026</t>
        </is>
      </c>
      <c r="S75" s="2" t="inlineStr">
        <is>
          <t>P060382|I</t>
        </is>
      </c>
      <c r="T75" s="7" t="inlineStr">
        <is>
          <t>registered — provisional date: no initial certificate on file yet — the date follows the latest eCoA once located · initial certificate to locate: #3 (CNP), #4 (CNP), #5 (CNP), #6 (CNP), #8 (CNP), #9 (IJZ), #10 (CNP), #11 (CNP), #12 (CNP)</t>
        </is>
      </c>
      <c r="U75" s="2" t="inlineStr">
        <is>
          <t>n/a — initial certificate</t>
        </is>
      </c>
      <c r="V75" s="2" t="inlineStr">
        <is>
          <t>—</t>
        </is>
      </c>
      <c r="W75" s="2" t="inlineStr">
        <is>
          <t>—</t>
        </is>
      </c>
      <c r="X75" s="2" t="inlineStr">
        <is>
          <t>—</t>
        </is>
      </c>
      <c r="Y75" s="2" t="inlineStr">
        <is>
          <t>—</t>
        </is>
      </c>
      <c r="Z75" s="2" t="inlineStr">
        <is>
          <t>—</t>
        </is>
      </c>
      <c r="AA75" s="2" t="inlineStr">
        <is>
          <t>—</t>
        </is>
      </c>
      <c r="AB75" s="11" t="inlineStr">
        <is>
          <t>—</t>
        </is>
      </c>
      <c r="AC75" s="8" t="inlineStr">
        <is>
          <t>no Total THC result on this certificate</t>
        </is>
      </c>
    </row>
    <row r="76">
      <c r="A76" s="2">
        <f>IF(OR(C76="yes",C76="allocated",C76="ruled"),COUNT(A$1:A75)+1,"")</f>
        <v/>
      </c>
      <c r="B76" s="3">
        <f>IF(A76&lt;&gt;"","CoQ-PP_26-"&amp;TEXT(A76,"000"),"— at issue —")</f>
        <v/>
      </c>
      <c r="C76" s="4" t="inlineStr">
        <is>
          <t>yes</t>
        </is>
      </c>
      <c r="D76" s="5">
        <f>IF(OR(A76="",C76="allocated",C76="ruled"),"",MAX(E76,IF(ISNUMBER(I76),I76,0),IFERROR(IF(ISNUMBER(INDEX('iCoA Register'!$F:$F,MATCH(S76,'iCoA Register'!$AA:$AA,0))),INDEX('iCoA Register'!$F:$F,MATCH(S76,'iCoA Register'!$AA:$AA,0)),0),0)))</f>
        <v/>
      </c>
      <c r="E76" s="5">
        <f>IF(ISNUMBER(F76),MAX(DATE(2026,6,6),F76+7),DATE(2026,6,6))</f>
        <v/>
      </c>
      <c r="F76" s="5" t="n">
        <v>46203</v>
      </c>
      <c r="G76" s="2" t="inlineStr">
        <is>
          <t>ППК26110</t>
        </is>
      </c>
      <c r="H76" s="2">
        <f>IFERROR(INDEX('iCoA Register'!$B:$B,MATCH("P060392|I",'iCoA Register'!$AA:$AA,0)),"—")</f>
        <v/>
      </c>
      <c r="I76" s="5">
        <f>IFERROR(INDEX('iCoA Register'!$D:$D,MATCH("P060392|I",'iCoA Register'!$AA:$AA,0)),"")</f>
        <v/>
      </c>
      <c r="J76" s="2" t="inlineStr">
        <is>
          <t>post-SOP</t>
        </is>
      </c>
      <c r="K76" s="2" t="inlineStr">
        <is>
          <t>initial release</t>
        </is>
      </c>
      <c r="L76" s="3" t="inlineStr">
        <is>
          <t>FB012603V</t>
        </is>
      </c>
      <c r="M76" s="2" t="inlineStr">
        <is>
          <t>P060392</t>
        </is>
      </c>
      <c r="N76" s="2" t="inlineStr">
        <is>
          <t>Fat Bastard</t>
        </is>
      </c>
      <c r="O76" s="2" t="inlineStr">
        <is>
          <t>ППК26110, (30.06.2026) [CNP]</t>
        </is>
      </c>
      <c r="P76" s="2" t="inlineStr">
        <is>
          <t>A: ППК26110 / B: ППК26110 / FM: ППК26110</t>
        </is>
      </c>
      <c r="Q76" s="2" t="inlineStr">
        <is>
          <t>—</t>
        </is>
      </c>
      <c r="R76" s="2" t="inlineStr">
        <is>
          <t>(assigned on issue)</t>
        </is>
      </c>
      <c r="S76" s="2" t="inlineStr">
        <is>
          <t>P060392|I</t>
        </is>
      </c>
      <c r="T76" s="7" t="inlineStr">
        <is>
          <t>registered — first working day 7 days after the latest eCoA · initial certificate to locate: #9 (IJZ), #10 (CNP), #11 (CNP), #12 (CNP)</t>
        </is>
      </c>
      <c r="U76" s="2" t="inlineStr">
        <is>
          <t>n/a — initial certificate</t>
        </is>
      </c>
      <c r="V76" s="10" t="n">
        <v>18.29</v>
      </c>
      <c r="W76" s="2" t="inlineStr">
        <is>
          <t>ППК26110</t>
        </is>
      </c>
      <c r="X76" s="2" t="inlineStr">
        <is>
          <t>18.00 ± 1.80 (II)</t>
        </is>
      </c>
      <c r="Y76" s="2" t="inlineStr">
        <is>
          <t>16.20 – 19.79 %</t>
        </is>
      </c>
      <c r="Z76" s="2" t="inlineStr">
        <is>
          <t>FB_THC18 : CBD1</t>
        </is>
      </c>
      <c r="AA76" s="2" t="inlineStr">
        <is>
          <t>QCSP_001_FB-II_v.01</t>
        </is>
      </c>
      <c r="AB76" s="8" t="inlineStr">
        <is>
          <t>for review — replaces the issued QCSP_001_FB-II_v.01 (was FB_THC18 : CBD1, 17.15 – 18.85 %); now FB_THC18 : CBD1 16.20 – 19.79 %</t>
        </is>
      </c>
      <c r="AC76" s="11" t="inlineStr"/>
    </row>
    <row r="77">
      <c r="A77" s="2">
        <f>IF(OR(C77="yes",C77="allocated",C77="ruled"),COUNT(A$1:A76)+1,"")</f>
        <v/>
      </c>
      <c r="B77" s="3">
        <f>IF(A77&lt;&gt;"","CoQ-PP_26-"&amp;TEXT(A77,"000"),"— at issue —")</f>
        <v/>
      </c>
      <c r="C77" s="4" t="inlineStr">
        <is>
          <t>yes</t>
        </is>
      </c>
      <c r="D77" s="5">
        <f>IF(OR(A77="",C77="allocated",C77="ruled"),"",MAX(E77,IF(ISNUMBER(I77),I77,0),IFERROR(IF(ISNUMBER(INDEX('iCoA Register'!$F:$F,MATCH(S77,'iCoA Register'!$AA:$AA,0))),INDEX('iCoA Register'!$F:$F,MATCH(S77,'iCoA Register'!$AA:$AA,0)),0),0)))</f>
        <v/>
      </c>
      <c r="E77" s="5">
        <f>IF(ISNUMBER(F77),MAX(DATE(2026,6,6),F77+7),DATE(2026,6,6))</f>
        <v/>
      </c>
      <c r="F77" s="5" t="n">
        <v>46203</v>
      </c>
      <c r="G77" s="2" t="inlineStr">
        <is>
          <t>ППК26111</t>
        </is>
      </c>
      <c r="H77" s="2">
        <f>IFERROR(INDEX('iCoA Register'!$B:$B,MATCH("P060422|I",'iCoA Register'!$AA:$AA,0)),"—")</f>
        <v/>
      </c>
      <c r="I77" s="5">
        <f>IFERROR(INDEX('iCoA Register'!$D:$D,MATCH("P060422|I",'iCoA Register'!$AA:$AA,0)),"")</f>
        <v/>
      </c>
      <c r="J77" s="2" t="inlineStr">
        <is>
          <t>post-SOP</t>
        </is>
      </c>
      <c r="K77" s="2" t="inlineStr">
        <is>
          <t>initial release</t>
        </is>
      </c>
      <c r="L77" s="3" t="inlineStr">
        <is>
          <t>JD012603</t>
        </is>
      </c>
      <c r="M77" s="2" t="inlineStr">
        <is>
          <t>P060422</t>
        </is>
      </c>
      <c r="N77" s="2" t="inlineStr">
        <is>
          <t>Jelly Donuts</t>
        </is>
      </c>
      <c r="O77" s="2" t="inlineStr">
        <is>
          <t>ППК26111, (30.06.2026) [CNP]</t>
        </is>
      </c>
      <c r="P77" s="2" t="inlineStr">
        <is>
          <t>A: ППК26111 / B: ППК26111 / FM: ППК26111</t>
        </is>
      </c>
      <c r="Q77" s="2" t="inlineStr">
        <is>
          <t>—</t>
        </is>
      </c>
      <c r="R77" s="2" t="inlineStr">
        <is>
          <t>CoQ-PP-2026-0022</t>
        </is>
      </c>
      <c r="S77" s="2" t="inlineStr">
        <is>
          <t>P060422|I</t>
        </is>
      </c>
      <c r="T77" s="7" t="inlineStr">
        <is>
          <t>registered — first working day 7 days after the latest eCoA · initial certificate to locate: #9 (IJZ), #10 (CNP), #11 (CNP), #12 (CNP)</t>
        </is>
      </c>
      <c r="U77" s="2" t="inlineStr">
        <is>
          <t>n/a — initial certificate</t>
        </is>
      </c>
      <c r="V77" s="10" t="n">
        <v>15.16</v>
      </c>
      <c r="W77" s="2" t="inlineStr">
        <is>
          <t>ППК26111</t>
        </is>
      </c>
      <c r="X77" s="2" t="inlineStr">
        <is>
          <t>15.00 ± 1.20 (III)</t>
        </is>
      </c>
      <c r="Y77" s="2" t="inlineStr">
        <is>
          <t>13.80 – 16.19 %</t>
        </is>
      </c>
      <c r="Z77" s="2" t="inlineStr">
        <is>
          <t>JD_THC15 : CBD1</t>
        </is>
      </c>
      <c r="AA77" s="2" t="inlineStr">
        <is>
          <t>QCSP_001_JD-III_v.01</t>
        </is>
      </c>
      <c r="AB77" s="11" t="inlineStr">
        <is>
          <t>for review — new</t>
        </is>
      </c>
      <c r="AC77" s="11" t="inlineStr"/>
    </row>
    <row r="78">
      <c r="A78" s="2">
        <f>IF(OR(C78="yes",C78="allocated",C78="ruled"),COUNT(A$1:A77)+1,"")</f>
        <v/>
      </c>
      <c r="B78" s="3">
        <f>IF(A78&lt;&gt;"","CoQ-PP_26-"&amp;TEXT(A78,"000"),"— at issue —")</f>
        <v/>
      </c>
      <c r="C78" s="4" t="inlineStr">
        <is>
          <t>yes</t>
        </is>
      </c>
      <c r="D78" s="5">
        <f>IF(OR(A78="",C78="allocated",C78="ruled"),"",MAX(E78,IF(ISNUMBER(I78),I78,0),IFERROR(IF(ISNUMBER(INDEX('iCoA Register'!$F:$F,MATCH(S78,'iCoA Register'!$AA:$AA,0))),INDEX('iCoA Register'!$F:$F,MATCH(S78,'iCoA Register'!$AA:$AA,0)),0),0)))</f>
        <v/>
      </c>
      <c r="E78" s="5">
        <f>IF(ISNUMBER(F78),MAX(DATE(2026,6,6),F78+7),DATE(2026,6,6))</f>
        <v/>
      </c>
      <c r="F78" s="5" t="n">
        <v>46203</v>
      </c>
      <c r="G78" s="2" t="inlineStr">
        <is>
          <t>ППК26114</t>
        </is>
      </c>
      <c r="H78" s="2">
        <f>IFERROR(INDEX('iCoA Register'!$B:$B,MATCH("P060402|I",'iCoA Register'!$AA:$AA,0)),"—")</f>
        <v/>
      </c>
      <c r="I78" s="5">
        <f>IFERROR(INDEX('iCoA Register'!$D:$D,MATCH("P060402|I",'iCoA Register'!$AA:$AA,0)),"")</f>
        <v/>
      </c>
      <c r="J78" s="2" t="inlineStr">
        <is>
          <t>post-SOP</t>
        </is>
      </c>
      <c r="K78" s="2" t="inlineStr">
        <is>
          <t>initial release</t>
        </is>
      </c>
      <c r="L78" s="3" t="inlineStr">
        <is>
          <t>GG012603</t>
        </is>
      </c>
      <c r="M78" s="2" t="inlineStr">
        <is>
          <t>P060402</t>
        </is>
      </c>
      <c r="N78" s="2" t="inlineStr">
        <is>
          <t>Gorilla Glue</t>
        </is>
      </c>
      <c r="O78" s="2" t="inlineStr">
        <is>
          <t>ППК26114, (30.06.2026) [CNP]</t>
        </is>
      </c>
      <c r="P78" s="2" t="inlineStr">
        <is>
          <t>A: ППК26114 / B: ППК26114 / FM: ППК26114</t>
        </is>
      </c>
      <c r="Q78" s="2" t="inlineStr">
        <is>
          <t>—</t>
        </is>
      </c>
      <c r="R78" s="2" t="inlineStr">
        <is>
          <t>CoQ-PP-2026-0023</t>
        </is>
      </c>
      <c r="S78" s="2" t="inlineStr">
        <is>
          <t>P060402|I</t>
        </is>
      </c>
      <c r="T78" s="7" t="inlineStr">
        <is>
          <t>registered — first working day 7 days after the latest eCoA · initial certificate to locate: #9 (IJZ), #10 (CNP), #11 (CNP), #12 (CNP)</t>
        </is>
      </c>
      <c r="U78" s="2" t="inlineStr">
        <is>
          <t>n/a — initial certificate</t>
        </is>
      </c>
      <c r="V78" s="10" t="n">
        <v>17.59</v>
      </c>
      <c r="W78" s="2" t="inlineStr">
        <is>
          <t>ППК26114</t>
        </is>
      </c>
      <c r="X78" s="2" t="inlineStr">
        <is>
          <t>18.00 ± 1.77 (I)</t>
        </is>
      </c>
      <c r="Y78" s="2" t="inlineStr">
        <is>
          <t>16.23 – 19.76 %</t>
        </is>
      </c>
      <c r="Z78" s="2" t="inlineStr">
        <is>
          <t>GG_THC18 : CBD1</t>
        </is>
      </c>
      <c r="AA78" s="2" t="inlineStr">
        <is>
          <t>QCSP_001_GG-I_v.01</t>
        </is>
      </c>
      <c r="AB78" s="8" t="inlineStr">
        <is>
          <t>for review — replaces the issued QCSP_001_GG-I_v.01 (was GG_THC18 : CBD1, 17.01 – 18.99 %); now GG_THC18 : CBD1 16.23 – 19.76 %</t>
        </is>
      </c>
      <c r="AC78" s="11" t="inlineStr"/>
    </row>
    <row r="79">
      <c r="A79" s="2">
        <f>IF(OR(C79="yes",C79="allocated",C79="ruled"),COUNT(A$1:A78)+1,"")</f>
        <v/>
      </c>
      <c r="B79" s="3">
        <f>IF(A79&lt;&gt;"","CoQ-PP_26-"&amp;TEXT(A79,"000"),"— at issue —")</f>
        <v/>
      </c>
      <c r="C79" s="4" t="inlineStr">
        <is>
          <t>yes</t>
        </is>
      </c>
      <c r="D79" s="5">
        <f>IF(OR(A79="",C79="allocated",C79="ruled"),"",MAX(E79,IF(ISNUMBER(I79),I79,0),IFERROR(IF(ISNUMBER(INDEX('iCoA Register'!$F:$F,MATCH(S79,'iCoA Register'!$AA:$AA,0))),INDEX('iCoA Register'!$F:$F,MATCH(S79,'iCoA Register'!$AA:$AA,0)),0),0)))</f>
        <v/>
      </c>
      <c r="E79" s="5">
        <f>IF(ISNUMBER(F79),MAX(DATE(2026,6,6),F79+7),DATE(2026,6,6))</f>
        <v/>
      </c>
      <c r="F79" s="5" t="n">
        <v>46203</v>
      </c>
      <c r="G79" s="2" t="inlineStr">
        <is>
          <t>ППК26113</t>
        </is>
      </c>
      <c r="H79" s="2">
        <f>IFERROR(INDEX('iCoA Register'!$B:$B,MATCH("P060412|I",'iCoA Register'!$AA:$AA,0)),"—")</f>
        <v/>
      </c>
      <c r="I79" s="5">
        <f>IFERROR(INDEX('iCoA Register'!$D:$D,MATCH("P060412|I",'iCoA Register'!$AA:$AA,0)),"")</f>
        <v/>
      </c>
      <c r="J79" s="2" t="inlineStr">
        <is>
          <t>post-SOP</t>
        </is>
      </c>
      <c r="K79" s="2" t="inlineStr">
        <is>
          <t>initial release</t>
        </is>
      </c>
      <c r="L79" s="3" t="inlineStr">
        <is>
          <t>JD012603</t>
        </is>
      </c>
      <c r="M79" s="2" t="inlineStr">
        <is>
          <t>P060412</t>
        </is>
      </c>
      <c r="N79" s="2" t="inlineStr">
        <is>
          <t>Jelly Donuts</t>
        </is>
      </c>
      <c r="O79" s="2" t="inlineStr">
        <is>
          <t>ППК26113, (30.06.2026) [CNP]</t>
        </is>
      </c>
      <c r="P79" s="2" t="inlineStr">
        <is>
          <t>A: ППК26111 / B: ППК26111 / FM: ППК26111</t>
        </is>
      </c>
      <c r="Q79" s="2" t="inlineStr">
        <is>
          <t>—</t>
        </is>
      </c>
      <c r="R79" s="2" t="inlineStr">
        <is>
          <t>CoQ-PP-2026-0025</t>
        </is>
      </c>
      <c r="S79" s="2" t="inlineStr">
        <is>
          <t>P060412|I</t>
        </is>
      </c>
      <c r="T79" s="7" t="inlineStr">
        <is>
          <t>registered — first working day 7 days after the latest eCoA · initial certificate to locate: #1 (CNP), #7 (CNP), #9 (IJZ), #10 (CNP), #11 (CNP), #12 (CNP)</t>
        </is>
      </c>
      <c r="U79" s="2" t="inlineStr">
        <is>
          <t>n/a — initial certificate</t>
        </is>
      </c>
      <c r="V79" s="10" t="n">
        <v>20.54</v>
      </c>
      <c r="W79" s="2" t="inlineStr">
        <is>
          <t>ППК26113</t>
        </is>
      </c>
      <c r="X79" s="2" t="inlineStr">
        <is>
          <t>22.00 ± 2.20 (I)</t>
        </is>
      </c>
      <c r="Y79" s="2" t="inlineStr">
        <is>
          <t>19.80 – 24.19 %</t>
        </is>
      </c>
      <c r="Z79" s="2" t="inlineStr">
        <is>
          <t>JD_THC22 : CBD1</t>
        </is>
      </c>
      <c r="AA79" s="2" t="inlineStr">
        <is>
          <t>QCSP_001_JD-I_v.01</t>
        </is>
      </c>
      <c r="AB79" s="8" t="inlineStr">
        <is>
          <t>for review — replaces the issued QCSP_001_JD-I_v.01 (was JD_THC20 : CBD1, 18.00 – 22.00 %); now JD_THC22 : CBD1 19.80 – 24.19 %</t>
        </is>
      </c>
      <c r="AC79" s="11" t="inlineStr"/>
    </row>
    <row r="80">
      <c r="A80" s="2">
        <f>IF(OR(C80="yes",C80="allocated",C80="ruled"),COUNT(A$1:A79)+1,"")</f>
        <v/>
      </c>
      <c r="B80" s="3">
        <f>IF(A80&lt;&gt;"","CoQ-PP_26-"&amp;TEXT(A80,"000"),"— at issue —")</f>
        <v/>
      </c>
      <c r="C80" s="4" t="inlineStr">
        <is>
          <t>yes</t>
        </is>
      </c>
      <c r="D80" s="5">
        <f>IF(OR(A80="",C80="allocated",C80="ruled"),"",MAX(E80,IF(ISNUMBER(I80),I80,0),IFERROR(IF(ISNUMBER(INDEX('iCoA Register'!$F:$F,MATCH(S80,'iCoA Register'!$AA:$AA,0))),INDEX('iCoA Register'!$F:$F,MATCH(S80,'iCoA Register'!$AA:$AA,0)),0),0)))</f>
        <v/>
      </c>
      <c r="E80" s="5">
        <f>IF(ISNUMBER(F80),MAX(DATE(2026,6,6),F80+7),DATE(2026,6,6))</f>
        <v/>
      </c>
      <c r="F80" s="5" t="n">
        <v>46203</v>
      </c>
      <c r="G80" s="2" t="inlineStr">
        <is>
          <t>ППК26112</t>
        </is>
      </c>
      <c r="H80" s="2">
        <f>IFERROR(INDEX('iCoA Register'!$B:$B,MATCH("P060432|I",'iCoA Register'!$AA:$AA,0)),"—")</f>
        <v/>
      </c>
      <c r="I80" s="5">
        <f>IFERROR(INDEX('iCoA Register'!$D:$D,MATCH("P060432|I",'iCoA Register'!$AA:$AA,0)),"")</f>
        <v/>
      </c>
      <c r="J80" s="2" t="inlineStr">
        <is>
          <t>post-SOP</t>
        </is>
      </c>
      <c r="K80" s="2" t="inlineStr">
        <is>
          <t>initial release</t>
        </is>
      </c>
      <c r="L80" s="3" t="inlineStr">
        <is>
          <t>FB012603</t>
        </is>
      </c>
      <c r="M80" s="2" t="inlineStr">
        <is>
          <t>P060432</t>
        </is>
      </c>
      <c r="N80" s="2" t="inlineStr">
        <is>
          <t>Fat Bastard</t>
        </is>
      </c>
      <c r="O80" s="2" t="inlineStr">
        <is>
          <t>ППК26112, (30.06.2026) [CNP]</t>
        </is>
      </c>
      <c r="P80" s="2" t="inlineStr">
        <is>
          <t>A: ППК26112 / B: ППК26112 / FM: ППК26112</t>
        </is>
      </c>
      <c r="Q80" s="2" t="inlineStr">
        <is>
          <t>—</t>
        </is>
      </c>
      <c r="R80" s="2" t="inlineStr">
        <is>
          <t>(assigned on issue)</t>
        </is>
      </c>
      <c r="S80" s="2" t="inlineStr">
        <is>
          <t>P060432|I</t>
        </is>
      </c>
      <c r="T80" s="7" t="inlineStr">
        <is>
          <t>registered — first working day 7 days after the latest eCoA · initial certificate to locate: #9 (IJZ), #10 (CNP), #11 (CNP), #12 (CNP)</t>
        </is>
      </c>
      <c r="U80" s="2" t="inlineStr">
        <is>
          <t>n/a — initial certificate</t>
        </is>
      </c>
      <c r="V80" s="10" t="n">
        <v>20.83</v>
      </c>
      <c r="W80" s="2" t="inlineStr">
        <is>
          <t>ППК26112</t>
        </is>
      </c>
      <c r="X80" s="2" t="inlineStr">
        <is>
          <t>22.00 ± 2.20 (I)</t>
        </is>
      </c>
      <c r="Y80" s="2" t="inlineStr">
        <is>
          <t>19.80 – 24.19 %</t>
        </is>
      </c>
      <c r="Z80" s="2" t="inlineStr">
        <is>
          <t>FB_THC22 : CBD1</t>
        </is>
      </c>
      <c r="AA80" s="2" t="inlineStr">
        <is>
          <t>QCSP_001_FB-I_v.01</t>
        </is>
      </c>
      <c r="AB80" s="11" t="inlineStr">
        <is>
          <t>for review — new</t>
        </is>
      </c>
      <c r="AC80" s="11" t="inlineStr"/>
    </row>
    <row r="81">
      <c r="A81" s="2">
        <f>IF(OR(C81="yes",C81="allocated",C81="ruled"),COUNT(A$1:A80)+1,"")</f>
        <v/>
      </c>
      <c r="B81" s="3">
        <f>IF(A81&lt;&gt;"","CoQ-PP_26-"&amp;TEXT(A81,"000"),"— at issue —")</f>
        <v/>
      </c>
      <c r="C81" s="4" t="inlineStr">
        <is>
          <t>yes</t>
        </is>
      </c>
      <c r="D81" s="5">
        <f>IF(OR(A81="",C81="allocated",C81="ruled"),"",MAX(E81,IF(ISNUMBER(I81),I81,0),IFERROR(IF(ISNUMBER(INDEX('iCoA Register'!$F:$F,MATCH(S81,'iCoA Register'!$AA:$AA,0))),INDEX('iCoA Register'!$F:$F,MATCH(S81,'iCoA Register'!$AA:$AA,0)),0),0)))</f>
        <v/>
      </c>
      <c r="E81" s="5">
        <f>IF(ISNUMBER(F81),MAX(DATE(2026,6,6),F81+7),DATE(2026,6,6))</f>
        <v/>
      </c>
      <c r="F81" s="5" t="n">
        <v>46209</v>
      </c>
      <c r="G81" s="2" t="inlineStr">
        <is>
          <t>ППК26116</t>
        </is>
      </c>
      <c r="H81" s="2">
        <f>IFERROR(INDEX('iCoA Register'!$B:$B,MATCH("P060442|I",'iCoA Register'!$AA:$AA,0)),"—")</f>
        <v/>
      </c>
      <c r="I81" s="5">
        <f>IFERROR(INDEX('iCoA Register'!$D:$D,MATCH("P060442|I",'iCoA Register'!$AA:$AA,0)),"")</f>
        <v/>
      </c>
      <c r="J81" s="2" t="inlineStr">
        <is>
          <t>post-SOP</t>
        </is>
      </c>
      <c r="K81" s="2" t="inlineStr">
        <is>
          <t>initial release</t>
        </is>
      </c>
      <c r="L81" s="3" t="inlineStr">
        <is>
          <t>SCR022601</t>
        </is>
      </c>
      <c r="M81" s="2" t="inlineStr">
        <is>
          <t>P060442</t>
        </is>
      </c>
      <c r="N81" s="2" t="inlineStr">
        <is>
          <t>Scrambler</t>
        </is>
      </c>
      <c r="O81" s="2" t="inlineStr">
        <is>
          <t>ППК26116, (06.07.2026) [CNP]</t>
        </is>
      </c>
      <c r="P81" s="2" t="inlineStr">
        <is>
          <t>A: ППК26116 / B: ППК26116 / FM: ППК26116</t>
        </is>
      </c>
      <c r="Q81" s="2" t="inlineStr">
        <is>
          <t>—</t>
        </is>
      </c>
      <c r="R81" s="2" t="inlineStr">
        <is>
          <t>(assigned on issue)</t>
        </is>
      </c>
      <c r="S81" s="2" t="inlineStr">
        <is>
          <t>P060442|I</t>
        </is>
      </c>
      <c r="T81" s="7" t="inlineStr">
        <is>
          <t>registered — first working day 7 days after the latest eCoA · initial certificate to locate: #9 (IJZ), #10 (CNP), #11 (CNP), #12 (CNP)</t>
        </is>
      </c>
      <c r="U81" s="2" t="inlineStr">
        <is>
          <t>n/a — initial certificate</t>
        </is>
      </c>
      <c r="V81" s="10" t="n">
        <v>21.92</v>
      </c>
      <c r="W81" s="2" t="inlineStr">
        <is>
          <t>ППК26116</t>
        </is>
      </c>
      <c r="X81" s="2" t="inlineStr">
        <is>
          <t>22.00 ± 2.20 (I)</t>
        </is>
      </c>
      <c r="Y81" s="2" t="inlineStr">
        <is>
          <t>19.80 – 24.19 %</t>
        </is>
      </c>
      <c r="Z81" s="2" t="inlineStr">
        <is>
          <t>SCR_THC22 : CBD1</t>
        </is>
      </c>
      <c r="AA81" s="2" t="inlineStr">
        <is>
          <t>QCSP_001_SCR-I_v.01</t>
        </is>
      </c>
      <c r="AB81" s="11" t="inlineStr">
        <is>
          <t>for review — new</t>
        </is>
      </c>
      <c r="AC81" s="11" t="inlineStr"/>
    </row>
    <row r="82">
      <c r="A82" s="2">
        <f>IF(OR(C82="yes",C82="allocated",C82="ruled"),COUNT(A$1:A81)+1,"")</f>
        <v/>
      </c>
      <c r="B82" s="3">
        <f>IF(A82&lt;&gt;"","CoQ-PP_26-"&amp;TEXT(A82,"000"),"— at issue —")</f>
        <v/>
      </c>
      <c r="C82" s="4" t="inlineStr">
        <is>
          <t>yes</t>
        </is>
      </c>
      <c r="D82" s="5">
        <f>IF(OR(A82="",C82="allocated",C82="ruled"),"",MAX(E82,IF(ISNUMBER(I82),I82,0),IFERROR(IF(ISNUMBER(INDEX('iCoA Register'!$F:$F,MATCH(S82,'iCoA Register'!$AA:$AA,0))),INDEX('iCoA Register'!$F:$F,MATCH(S82,'iCoA Register'!$AA:$AA,0)),0),0)))</f>
        <v/>
      </c>
      <c r="E82" s="5">
        <f>IF(ISNUMBER(F82),MAX(DATE(2026,6,6),F82+7),DATE(2026,6,6))</f>
        <v/>
      </c>
      <c r="F82" s="5" t="n">
        <v>46224</v>
      </c>
      <c r="G82" s="2" t="inlineStr">
        <is>
          <t>ППК26127</t>
        </is>
      </c>
      <c r="H82" s="2">
        <f>IFERROR(INDEX('iCoA Register'!$B:$B,MATCH("P060452|I",'iCoA Register'!$AA:$AA,0)),"—")</f>
        <v/>
      </c>
      <c r="I82" s="5">
        <f>IFERROR(INDEX('iCoA Register'!$D:$D,MATCH("P060452|I",'iCoA Register'!$AA:$AA,0)),"")</f>
        <v/>
      </c>
      <c r="J82" s="2" t="inlineStr">
        <is>
          <t>post-SOP</t>
        </is>
      </c>
      <c r="K82" s="2" t="inlineStr">
        <is>
          <t>initial release</t>
        </is>
      </c>
      <c r="L82" s="3" t="inlineStr">
        <is>
          <t>FB032601</t>
        </is>
      </c>
      <c r="M82" s="2" t="inlineStr">
        <is>
          <t>P060452</t>
        </is>
      </c>
      <c r="N82" s="2" t="inlineStr">
        <is>
          <t>Fat Bastard</t>
        </is>
      </c>
      <c r="O82" s="2" t="inlineStr">
        <is>
          <t>ППК26127, (21.07.2026) [CNP]</t>
        </is>
      </c>
      <c r="P82" s="2" t="inlineStr">
        <is>
          <t>A: ППК26127 / B: ППК26127 / FM: ППК26127</t>
        </is>
      </c>
      <c r="Q82" s="2" t="inlineStr">
        <is>
          <t>—</t>
        </is>
      </c>
      <c r="R82" s="2" t="inlineStr">
        <is>
          <t>(assigned on issue)</t>
        </is>
      </c>
      <c r="S82" s="2" t="inlineStr">
        <is>
          <t>P060452|I</t>
        </is>
      </c>
      <c r="T82" s="7" t="inlineStr">
        <is>
          <t>registered — first working day 7 days after the latest eCoA · initial certificate to locate: #9 (IJZ), #10 (CNP), #11 (CNP), #12 (CNP)</t>
        </is>
      </c>
      <c r="U82" s="2" t="inlineStr">
        <is>
          <t>n/a — initial certificate</t>
        </is>
      </c>
      <c r="V82" s="10" t="n">
        <v>12.39</v>
      </c>
      <c r="W82" s="2" t="inlineStr">
        <is>
          <t>ППК26127</t>
        </is>
      </c>
      <c r="X82" s="2" t="inlineStr">
        <is>
          <t>12.00 ± 1.20 (IV)</t>
        </is>
      </c>
      <c r="Y82" s="2" t="inlineStr">
        <is>
          <t>10.80 – 13.19 %</t>
        </is>
      </c>
      <c r="Z82" s="2" t="inlineStr">
        <is>
          <t>FB_THC12 : CBD1</t>
        </is>
      </c>
      <c r="AA82" s="2" t="inlineStr">
        <is>
          <t>QCSP_001_FB-IV_v.01</t>
        </is>
      </c>
      <c r="AB82" s="11" t="inlineStr">
        <is>
          <t>for review — new</t>
        </is>
      </c>
      <c r="AC82" s="11" t="inlineStr"/>
    </row>
    <row r="83">
      <c r="A83" s="2">
        <f>IF(OR(C83="yes",C83="allocated",C83="ruled"),COUNT(A$1:A82)+1,"")</f>
        <v/>
      </c>
      <c r="B83" s="3">
        <f>IF(A83&lt;&gt;"","CoQ-PP_26-"&amp;TEXT(A83,"000"),"— at issue —")</f>
        <v/>
      </c>
      <c r="C83" s="4" t="inlineStr">
        <is>
          <t>yes</t>
        </is>
      </c>
      <c r="D83" s="5">
        <f>IF(OR(A83="",C83="allocated",C83="ruled"),"",MAX(E83,IF(ISNUMBER(I83),I83,0),IFERROR(IF(ISNUMBER(INDEX('iCoA Register'!$F:$F,MATCH(S83,'iCoA Register'!$AA:$AA,0))),INDEX('iCoA Register'!$F:$F,MATCH(S83,'iCoA Register'!$AA:$AA,0)),0),0)))</f>
        <v/>
      </c>
      <c r="E83" s="5">
        <f>IF(ISNUMBER(F83),MAX(DATE(2026,6,6),F83+7),DATE(2026,6,6))</f>
        <v/>
      </c>
      <c r="F83" s="5" t="n">
        <v>46224</v>
      </c>
      <c r="G83" s="2" t="inlineStr">
        <is>
          <t>ППК26128</t>
        </is>
      </c>
      <c r="H83" s="2">
        <f>IFERROR(INDEX('iCoA Register'!$B:$B,MATCH("P060462|I",'iCoA Register'!$AA:$AA,0)),"—")</f>
        <v/>
      </c>
      <c r="I83" s="5">
        <f>IFERROR(INDEX('iCoA Register'!$D:$D,MATCH("P060462|I",'iCoA Register'!$AA:$AA,0)),"")</f>
        <v/>
      </c>
      <c r="J83" s="2" t="inlineStr">
        <is>
          <t>post-SOP</t>
        </is>
      </c>
      <c r="K83" s="2" t="inlineStr">
        <is>
          <t>initial release</t>
        </is>
      </c>
      <c r="L83" s="3" t="inlineStr">
        <is>
          <t>GG032601</t>
        </is>
      </c>
      <c r="M83" s="2" t="inlineStr">
        <is>
          <t>P060462</t>
        </is>
      </c>
      <c r="N83" s="2" t="inlineStr">
        <is>
          <t>Gorilla Glue</t>
        </is>
      </c>
      <c r="O83" s="2" t="inlineStr">
        <is>
          <t>ППК26128, (21.07.2026) [CNP]</t>
        </is>
      </c>
      <c r="P83" s="2" t="inlineStr">
        <is>
          <t>A: ППК26128 / B: ППК26128 / FM: ППК26128</t>
        </is>
      </c>
      <c r="Q83" s="2" t="inlineStr">
        <is>
          <t>—</t>
        </is>
      </c>
      <c r="R83" s="2" t="inlineStr">
        <is>
          <t>(assigned on issue)</t>
        </is>
      </c>
      <c r="S83" s="2" t="inlineStr">
        <is>
          <t>P060462|I</t>
        </is>
      </c>
      <c r="T83" s="7" t="inlineStr">
        <is>
          <t>registered — first working day 7 days after the latest eCoA · initial certificate to locate: #9 (IJZ), #10 (CNP), #11 (CNP), #12 (CNP)</t>
        </is>
      </c>
      <c r="U83" s="2" t="inlineStr">
        <is>
          <t>n/a — initial certificate</t>
        </is>
      </c>
      <c r="V83" s="10" t="n">
        <v>18.98</v>
      </c>
      <c r="W83" s="2" t="inlineStr">
        <is>
          <t>ППК26128</t>
        </is>
      </c>
      <c r="X83" s="2" t="inlineStr">
        <is>
          <t>18.00 ± 1.77 (I)</t>
        </is>
      </c>
      <c r="Y83" s="2" t="inlineStr">
        <is>
          <t>16.23 – 19.76 %</t>
        </is>
      </c>
      <c r="Z83" s="2" t="inlineStr">
        <is>
          <t>GG_THC18 : CBD1</t>
        </is>
      </c>
      <c r="AA83" s="2" t="inlineStr">
        <is>
          <t>QCSP_001_GG-I_v.01</t>
        </is>
      </c>
      <c r="AB83" s="8" t="inlineStr">
        <is>
          <t>for review — replaces the issued QCSP_001_GG-I_v.01 (was GG_THC18 : CBD1, 17.01 – 18.99 %); now GG_THC18 : CBD1 16.23 – 19.76 %</t>
        </is>
      </c>
      <c r="AC83" s="11" t="inlineStr"/>
    </row>
    <row r="84">
      <c r="A84" s="2">
        <f>IF(OR(C84="yes",C84="allocated",C84="ruled"),COUNT(A$1:A83)+1,"")</f>
        <v/>
      </c>
      <c r="B84" s="3">
        <f>IF(A84&lt;&gt;"","CoQ-PP_26-"&amp;TEXT(A84,"000"),"— at issue —")</f>
        <v/>
      </c>
      <c r="C84" s="4" t="inlineStr">
        <is>
          <t>yes</t>
        </is>
      </c>
      <c r="D84" s="5">
        <f>IF(OR(A84="",C84="allocated",C84="ruled"),"",MAX(E84,IF(ISNUMBER(I84),I84,0),IFERROR(IF(ISNUMBER(INDEX('iCoA Register'!$F:$F,MATCH(S84,'iCoA Register'!$AA:$AA,0))),INDEX('iCoA Register'!$F:$F,MATCH(S84,'iCoA Register'!$AA:$AA,0)),0),0)))</f>
        <v/>
      </c>
      <c r="E84" s="5">
        <f>IF(ISNUMBER(F84),MAX(DATE(2026,6,6),F84+7),DATE(2026,6,6))</f>
        <v/>
      </c>
      <c r="F84" s="5" t="n">
        <v>46203</v>
      </c>
      <c r="G84" s="2" t="inlineStr">
        <is>
          <t>ППК26115</t>
        </is>
      </c>
      <c r="H84" s="2">
        <f>IFERROR(INDEX('iCoA Register'!$B:$B,MATCH("P060482|I",'iCoA Register'!$AA:$AA,0)),"—")</f>
        <v/>
      </c>
      <c r="I84" s="5">
        <f>IFERROR(INDEX('iCoA Register'!$D:$D,MATCH("P060482|I",'iCoA Register'!$AA:$AA,0)),"")</f>
        <v/>
      </c>
      <c r="J84" s="2" t="inlineStr">
        <is>
          <t>post-SOP</t>
        </is>
      </c>
      <c r="K84" s="2" t="inlineStr">
        <is>
          <t>initial release</t>
        </is>
      </c>
      <c r="L84" s="3" t="inlineStr">
        <is>
          <t>JD022601</t>
        </is>
      </c>
      <c r="M84" s="2" t="inlineStr">
        <is>
          <t>P060482</t>
        </is>
      </c>
      <c r="N84" s="2" t="inlineStr">
        <is>
          <t>Jelly Donuts</t>
        </is>
      </c>
      <c r="O84" s="2" t="inlineStr">
        <is>
          <t>ППК26115, (30.06.2026) [CNP]</t>
        </is>
      </c>
      <c r="P84" s="2" t="inlineStr">
        <is>
          <t>A: ППК26115 / B: ППК26115 / FM: ППК26115</t>
        </is>
      </c>
      <c r="Q84" s="2" t="inlineStr">
        <is>
          <t>—</t>
        </is>
      </c>
      <c r="R84" s="2" t="inlineStr">
        <is>
          <t>(assigned on issue)</t>
        </is>
      </c>
      <c r="S84" s="2" t="inlineStr">
        <is>
          <t>P060482|I</t>
        </is>
      </c>
      <c r="T84" s="7" t="inlineStr">
        <is>
          <t>registered — held to the packaging date · initial certificate to locate: #9 (IJZ), #10 (CNP), #11 (CNP), #12 (CNP)</t>
        </is>
      </c>
      <c r="U84" s="2" t="inlineStr">
        <is>
          <t>n/a — initial certificate</t>
        </is>
      </c>
      <c r="V84" s="10" t="n">
        <v>18.58</v>
      </c>
      <c r="W84" s="2" t="inlineStr">
        <is>
          <t>ППК26115</t>
        </is>
      </c>
      <c r="X84" s="2" t="inlineStr">
        <is>
          <t>18.00 ± 1.80 (II)</t>
        </is>
      </c>
      <c r="Y84" s="2" t="inlineStr">
        <is>
          <t>16.20 – 19.79 %</t>
        </is>
      </c>
      <c r="Z84" s="2" t="inlineStr">
        <is>
          <t>JD_THC18 : CBD1</t>
        </is>
      </c>
      <c r="AA84" s="2" t="inlineStr">
        <is>
          <t>QCSP_001_JD-II_v.01</t>
        </is>
      </c>
      <c r="AB84" s="8" t="inlineStr">
        <is>
          <t>for review — replaces the issued QCSP_001_JD-II_v.01 (was JD_THC16 : CBD1, 14.91 – 17.09 %); now JD_THC18 : CBD1 16.20 – 19.79 %</t>
        </is>
      </c>
      <c r="AC84" s="11" t="inlineStr"/>
    </row>
    <row r="85">
      <c r="A85" s="2">
        <f>IF(OR(C85="yes",C85="allocated",C85="ruled"),COUNT(A$1:A84)+1,"")</f>
        <v/>
      </c>
      <c r="B85" s="3">
        <f>IF(A85&lt;&gt;"","CoQ-PP_26-"&amp;TEXT(A85,"000"),"— at issue —")</f>
        <v/>
      </c>
      <c r="C85" s="4" t="inlineStr">
        <is>
          <t>yes</t>
        </is>
      </c>
      <c r="D85" s="5">
        <f>IF(OR(A85="",C85="allocated",C85="ruled"),"",MAX(E85,IF(ISNUMBER(I85),I85,0),IFERROR(IF(ISNUMBER(INDEX('iCoA Register'!$F:$F,MATCH(S85,'iCoA Register'!$AA:$AA,0))),INDEX('iCoA Register'!$F:$F,MATCH(S85,'iCoA Register'!$AA:$AA,0)),0),0)))</f>
        <v/>
      </c>
      <c r="E85" s="5">
        <f>IF(ISNUMBER(F85),MAX(DATE(2026,6,6),F85+7),DATE(2026,6,6))</f>
        <v/>
      </c>
      <c r="F85" s="5" t="inlineStr">
        <is>
          <t>—</t>
        </is>
      </c>
      <c r="G85" s="2" t="inlineStr">
        <is>
          <t>—</t>
        </is>
      </c>
      <c r="H85" s="2">
        <f>IFERROR(INDEX('iCoA Register'!$B:$B,MATCH("P060492|I",'iCoA Register'!$AA:$AA,0)),"—")</f>
        <v/>
      </c>
      <c r="I85" s="5">
        <f>IFERROR(INDEX('iCoA Register'!$D:$D,MATCH("P060492|I",'iCoA Register'!$AA:$AA,0)),"")</f>
        <v/>
      </c>
      <c r="J85" s="2" t="inlineStr">
        <is>
          <t>post-SOP</t>
        </is>
      </c>
      <c r="K85" s="2" t="inlineStr">
        <is>
          <t>initial release</t>
        </is>
      </c>
      <c r="L85" s="3" t="inlineStr">
        <is>
          <t>JD042601</t>
        </is>
      </c>
      <c r="M85" s="2" t="inlineStr">
        <is>
          <t>P060492</t>
        </is>
      </c>
      <c r="N85" s="2" t="inlineStr">
        <is>
          <t>Jelly Donuts</t>
        </is>
      </c>
      <c r="O85" s="6" t="inlineStr">
        <is>
          <t>— no cannabinoid certificate from the initial testing —</t>
        </is>
      </c>
      <c r="P85" s="6" t="inlineStr">
        <is>
          <t>—</t>
        </is>
      </c>
      <c r="Q85" s="2" t="inlineStr">
        <is>
          <t>—</t>
        </is>
      </c>
      <c r="R85" s="2" t="inlineStr">
        <is>
          <t>(assigned on issue)</t>
        </is>
      </c>
      <c r="S85" s="2" t="inlineStr">
        <is>
          <t>P060492|I</t>
        </is>
      </c>
      <c r="T85" s="7" t="inlineStr">
        <is>
          <t>registered — provisional date: no initial certificate on file yet — the date follows the latest eCoA once located · initial certificate to locate: #3 (CNP), #4 (CNP), #5 (CNP), #6 (CNP), #8 (CNP), #9 (IJZ), #10 (CNP), #11 (CNP), #12 (CNP)</t>
        </is>
      </c>
      <c r="U85" s="2" t="inlineStr">
        <is>
          <t>n/a — initial certificate</t>
        </is>
      </c>
      <c r="V85" s="2" t="inlineStr">
        <is>
          <t>—</t>
        </is>
      </c>
      <c r="W85" s="2" t="inlineStr">
        <is>
          <t>—</t>
        </is>
      </c>
      <c r="X85" s="2" t="inlineStr">
        <is>
          <t>—</t>
        </is>
      </c>
      <c r="Y85" s="2" t="inlineStr">
        <is>
          <t>—</t>
        </is>
      </c>
      <c r="Z85" s="2" t="inlineStr">
        <is>
          <t>—</t>
        </is>
      </c>
      <c r="AA85" s="2" t="inlineStr">
        <is>
          <t>—</t>
        </is>
      </c>
      <c r="AB85" s="11" t="inlineStr">
        <is>
          <t>—</t>
        </is>
      </c>
      <c r="AC85" s="8" t="inlineStr">
        <is>
          <t>no Total THC result on this certificate</t>
        </is>
      </c>
    </row>
    <row r="86">
      <c r="A86" s="2">
        <f>IF(OR(C86="yes",C86="allocated",C86="ruled"),COUNT(A$1:A85)+1,"")</f>
        <v/>
      </c>
      <c r="B86" s="3">
        <f>IF(A86&lt;&gt;"","CoQ-PP_26-"&amp;TEXT(A86,"000"),"— at issue —")</f>
        <v/>
      </c>
      <c r="C86" s="4" t="inlineStr">
        <is>
          <t>yes</t>
        </is>
      </c>
      <c r="D86" s="5">
        <f>IF(OR(A86="",C86="allocated",C86="ruled"),"",MAX(E86,IF(ISNUMBER(I86),I86,0),IFERROR(IF(ISNUMBER(INDEX('iCoA Register'!$F:$F,MATCH(S86,'iCoA Register'!$AA:$AA,0))),INDEX('iCoA Register'!$F:$F,MATCH(S86,'iCoA Register'!$AA:$AA,0)),0),0)))</f>
        <v/>
      </c>
      <c r="E86" s="5">
        <f>IF(ISNUMBER(F86),MAX(DATE(2026,6,6),F86+7),"— awaiting the retest certificates —")</f>
        <v/>
      </c>
      <c r="F86" s="5" t="n">
        <v>46244</v>
      </c>
      <c r="G86" s="2" t="inlineStr">
        <is>
          <t>197-1-M-26</t>
        </is>
      </c>
      <c r="H86" s="2">
        <f>IFERROR(INDEX('iCoA Register'!$B:$B,MATCH("BG1024|R",'iCoA Register'!$AA:$AA,0)),"—")</f>
        <v/>
      </c>
      <c r="I86" s="5">
        <f>IFERROR(INDEX('iCoA Register'!$D:$D,MATCH("BG1024|R",'iCoA Register'!$AA:$AA,0)),"")</f>
        <v/>
      </c>
      <c r="J86" s="2" t="inlineStr">
        <is>
          <t>legacy</t>
        </is>
      </c>
      <c r="K86" s="2" t="inlineStr">
        <is>
          <t>retest — Tranche 1 (sampled 21–24.07.2026)</t>
        </is>
      </c>
      <c r="L86" s="3" t="inlineStr">
        <is>
          <t>BG1024</t>
        </is>
      </c>
      <c r="M86" s="2" t="inlineStr">
        <is>
          <t>N/A — no P batch assigned</t>
        </is>
      </c>
      <c r="N86" s="2" t="inlineStr">
        <is>
          <t>Blue Gelato</t>
        </is>
      </c>
      <c r="O86" s="2" t="inlineStr">
        <is>
          <t>197-1-K-26, (07.08.2026) [FHM-K]</t>
        </is>
      </c>
      <c r="P86" s="6" t="inlineStr">
        <is>
          <t>—</t>
        </is>
      </c>
      <c r="Q86" s="2" t="inlineStr">
        <is>
          <t>—</t>
        </is>
      </c>
      <c r="R86" s="2" t="inlineStr">
        <is>
          <t>CoQ-PP-2026-0028</t>
        </is>
      </c>
      <c r="S86" s="2" t="inlineStr">
        <is>
          <t>BG1024|R</t>
        </is>
      </c>
      <c r="T86" s="7" t="inlineStr">
        <is>
          <t>registered — retest, Tranche 1 (sampled 21–24.07.2026), sampled 21.07.2026; issued 17.08.2026, 7 days after 197-1-M-26 of 10.08.2026; cites iCoA-PP_26-088 of 27.07.2026</t>
        </is>
      </c>
      <c r="U86" s="2">
        <f>IFERROR(INDEX('CoQ Register'!$B:$B,MATCH("BG1024|I",'CoQ Register'!$S:$S,0)),"— initial certificate not on the register —")</f>
        <v/>
      </c>
      <c r="V86" s="10" t="n">
        <v>26.14</v>
      </c>
      <c r="W86" s="2" t="inlineStr">
        <is>
          <t>197-1-К/26</t>
        </is>
      </c>
      <c r="X86" s="2" t="inlineStr">
        <is>
          <t>26.00 ± 1.80 (I)</t>
        </is>
      </c>
      <c r="Y86" s="2" t="inlineStr">
        <is>
          <t>24.20 – 27.79 %</t>
        </is>
      </c>
      <c r="Z86" s="2" t="inlineStr">
        <is>
          <t>BG_THC26 : CBD1</t>
        </is>
      </c>
      <c r="AA86" s="2" t="inlineStr">
        <is>
          <t>QCSP_001_BG-I_v.01</t>
        </is>
      </c>
      <c r="AB86" s="8" t="inlineStr">
        <is>
          <t>for review — replaces the issued QCSP_001_BG-I_v.01 (was BG_THC26 : CBD1, 23.40 – 28.60 %); now BG_THC26 : CBD1 24.20 – 27.79 %</t>
        </is>
      </c>
      <c r="AC86" s="11" t="inlineStr"/>
    </row>
    <row r="87">
      <c r="A87" s="2">
        <f>IF(OR(C87="yes",C87="allocated",C87="ruled"),COUNT(A$1:A86)+1,"")</f>
        <v/>
      </c>
      <c r="B87" s="3">
        <f>IF(A87&lt;&gt;"","CoQ-PP_26-"&amp;TEXT(A87,"000"),"— at issue —")</f>
        <v/>
      </c>
      <c r="C87" s="4" t="inlineStr">
        <is>
          <t>yes</t>
        </is>
      </c>
      <c r="D87" s="5">
        <f>IF(OR(A87="",C87="allocated",C87="ruled"),"",MAX(E87,IF(ISNUMBER(I87),I87,0),IFERROR(IF(ISNUMBER(INDEX('iCoA Register'!$F:$F,MATCH(S87,'iCoA Register'!$AA:$AA,0))),INDEX('iCoA Register'!$F:$F,MATCH(S87,'iCoA Register'!$AA:$AA,0)),0),0)))</f>
        <v/>
      </c>
      <c r="E87" s="5">
        <f>IF(ISNUMBER(F87),MAX(DATE(2026,6,6),F87+7),"— awaiting the retest certificates —")</f>
        <v/>
      </c>
      <c r="F87" s="5" t="n">
        <v>46244</v>
      </c>
      <c r="G87" s="2" t="inlineStr">
        <is>
          <t>197-2-M-26</t>
        </is>
      </c>
      <c r="H87" s="2">
        <f>IFERROR(INDEX('iCoA Register'!$B:$B,MATCH("BSS1024|R",'iCoA Register'!$AA:$AA,0)),"—")</f>
        <v/>
      </c>
      <c r="I87" s="5">
        <f>IFERROR(INDEX('iCoA Register'!$D:$D,MATCH("BSS1024|R",'iCoA Register'!$AA:$AA,0)),"")</f>
        <v/>
      </c>
      <c r="J87" s="2" t="inlineStr">
        <is>
          <t>legacy</t>
        </is>
      </c>
      <c r="K87" s="2" t="inlineStr">
        <is>
          <t>retest — Tranche 1 (sampled 21–24.07.2026)</t>
        </is>
      </c>
      <c r="L87" s="3" t="inlineStr">
        <is>
          <t>BSS1024</t>
        </is>
      </c>
      <c r="M87" s="2" t="inlineStr">
        <is>
          <t>N/A — no P batch assigned</t>
        </is>
      </c>
      <c r="N87" s="2" t="inlineStr">
        <is>
          <t>Blue Sunset Sherbet</t>
        </is>
      </c>
      <c r="O87" s="2" t="inlineStr">
        <is>
          <t>197-2-K-26, (07.08.2026) [FHM-K]</t>
        </is>
      </c>
      <c r="P87" s="6" t="inlineStr">
        <is>
          <t>—</t>
        </is>
      </c>
      <c r="Q87" s="2" t="inlineStr">
        <is>
          <t>—</t>
        </is>
      </c>
      <c r="R87" s="2" t="inlineStr">
        <is>
          <t>CoQ-PP-2026-0027</t>
        </is>
      </c>
      <c r="S87" s="2" t="inlineStr">
        <is>
          <t>BSS1024|R</t>
        </is>
      </c>
      <c r="T87" s="7" t="inlineStr">
        <is>
          <t>registered — retest, Tranche 1 (sampled 21–24.07.2026), sampled 21.07.2026; issued 17.08.2026, 7 days after 197-2-M-26 of 10.08.2026; cites iCoA-PP_26-089 of 27.07.2026</t>
        </is>
      </c>
      <c r="U87" s="2">
        <f>IFERROR(INDEX('CoQ Register'!$B:$B,MATCH("BSS1024|I",'CoQ Register'!$S:$S,0)),"— initial certificate not on the register —")</f>
        <v/>
      </c>
      <c r="V87" s="10" t="n">
        <v>25.01</v>
      </c>
      <c r="W87" s="2" t="inlineStr">
        <is>
          <t>197-2-К/26</t>
        </is>
      </c>
      <c r="X87" s="2" t="inlineStr">
        <is>
          <t>24.00 ± 2.11 (II)</t>
        </is>
      </c>
      <c r="Y87" s="2" t="inlineStr">
        <is>
          <t>21.89 – 26.10 %</t>
        </is>
      </c>
      <c r="Z87" s="2" t="inlineStr">
        <is>
          <t>BSS_THC24 : CBD1</t>
        </is>
      </c>
      <c r="AA87" s="2" t="inlineStr">
        <is>
          <t>QCSP_001_BSS-II_v.01</t>
        </is>
      </c>
      <c r="AB87" s="8" t="inlineStr">
        <is>
          <t>for review — replaces the issued QCSP_001_BSS-II_v.01 (was BSS_THC20 : CBD1, 18.00 – 22.00 %); now BSS_THC24 : CBD1 21.89 – 26.10 %</t>
        </is>
      </c>
      <c r="AC87" s="11" t="inlineStr"/>
    </row>
    <row r="88">
      <c r="A88" s="2">
        <f>IF(OR(C88="yes",C88="allocated",C88="ruled"),COUNT(A$1:A87)+1,"")</f>
        <v/>
      </c>
      <c r="B88" s="3">
        <f>IF(A88&lt;&gt;"","CoQ-PP_26-"&amp;TEXT(A88,"000"),"— at issue —")</f>
        <v/>
      </c>
      <c r="C88" s="4" t="inlineStr">
        <is>
          <t>yes</t>
        </is>
      </c>
      <c r="D88" s="5">
        <f>IF(OR(A88="",C88="allocated",C88="ruled"),"",MAX(E88,IF(ISNUMBER(I88),I88,0),IFERROR(IF(ISNUMBER(INDEX('iCoA Register'!$F:$F,MATCH(S88,'iCoA Register'!$AA:$AA,0))),INDEX('iCoA Register'!$F:$F,MATCH(S88,'iCoA Register'!$AA:$AA,0)),0),0)))</f>
        <v/>
      </c>
      <c r="E88" s="5">
        <f>IF(ISNUMBER(F88),MAX(DATE(2026,6,6),F88+7),"— awaiting the retest certificates —")</f>
        <v/>
      </c>
      <c r="F88" s="5" t="n">
        <v>46244</v>
      </c>
      <c r="G88" s="2" t="inlineStr">
        <is>
          <t>197-6-M-26</t>
        </is>
      </c>
      <c r="H88" s="2">
        <f>IFERROR(INDEX('iCoA Register'!$B:$B,MATCH("P060332|R",'iCoA Register'!$AA:$AA,0)),"—")</f>
        <v/>
      </c>
      <c r="I88" s="5">
        <f>IFERROR(INDEX('iCoA Register'!$D:$D,MATCH("P060332|R",'iCoA Register'!$AA:$AA,0)),"")</f>
        <v/>
      </c>
      <c r="J88" s="2" t="inlineStr">
        <is>
          <t>post-SOP</t>
        </is>
      </c>
      <c r="K88" s="2" t="inlineStr">
        <is>
          <t>retest — Tranche 1 (sampled 21–24.07.2026)</t>
        </is>
      </c>
      <c r="L88" s="3" t="inlineStr">
        <is>
          <t>CC012601/1</t>
        </is>
      </c>
      <c r="M88" s="2" t="inlineStr">
        <is>
          <t>P060332</t>
        </is>
      </c>
      <c r="N88" s="2" t="inlineStr"/>
      <c r="O88" s="2" t="inlineStr">
        <is>
          <t>197-6-K-26, (07.08.2026) [FHM-K]</t>
        </is>
      </c>
      <c r="P88" s="6" t="inlineStr">
        <is>
          <t>—</t>
        </is>
      </c>
      <c r="Q88" s="2" t="inlineStr">
        <is>
          <t>—</t>
        </is>
      </c>
      <c r="R88" s="2" t="inlineStr">
        <is>
          <t>CoQ reissue (assigned on issue)</t>
        </is>
      </c>
      <c r="S88" s="2" t="inlineStr">
        <is>
          <t>P060332|R</t>
        </is>
      </c>
      <c r="T88" s="7" t="inlineStr">
        <is>
          <t>registered — retest, Tranche 1 (sampled 21–24.07.2026), sampled 21.07.2026; issued 17.08.2026, 7 days after 197-6-M-26 of 10.08.2026; cites iCoA-PP_26-093 of 27.07.2026</t>
        </is>
      </c>
      <c r="U88" s="2">
        <f>IFERROR(INDEX('CoQ Register'!$B:$B,MATCH("P060332|I",'CoQ Register'!$S:$S,0)),"— initial certificate not on the register —")</f>
        <v/>
      </c>
      <c r="V88" s="10" t="n">
        <v>17.67</v>
      </c>
      <c r="W88" s="2" t="inlineStr">
        <is>
          <t>197-6-К/26</t>
        </is>
      </c>
      <c r="X88" s="2" t="inlineStr">
        <is>
          <t>17.00 ± 1.65 (I)</t>
        </is>
      </c>
      <c r="Y88" s="2" t="inlineStr">
        <is>
          <t>15.35 – 18.64 %</t>
        </is>
      </c>
      <c r="Z88" s="2" t="inlineStr">
        <is>
          <t>CC_THC17 : CBD1</t>
        </is>
      </c>
      <c r="AA88" s="2" t="inlineStr">
        <is>
          <t>QCSP_001_CC-I_v.01</t>
        </is>
      </c>
      <c r="AB88" s="11" t="inlineStr">
        <is>
          <t>for review — new</t>
        </is>
      </c>
      <c r="AC88" s="11" t="inlineStr"/>
    </row>
    <row r="89">
      <c r="A89" s="2">
        <f>IF(OR(C89="yes",C89="allocated",C89="ruled"),COUNT(A$1:A88)+1,"")</f>
        <v/>
      </c>
      <c r="B89" s="3">
        <f>IF(A89&lt;&gt;"","CoQ-PP_26-"&amp;TEXT(A89,"000"),"— at issue —")</f>
        <v/>
      </c>
      <c r="C89" s="4" t="inlineStr">
        <is>
          <t>yes</t>
        </is>
      </c>
      <c r="D89" s="5">
        <f>IF(OR(A89="",C89="allocated",C89="ruled"),"",MAX(E89,IF(ISNUMBER(I89),I89,0),IFERROR(IF(ISNUMBER(INDEX('iCoA Register'!$F:$F,MATCH(S89,'iCoA Register'!$AA:$AA,0))),INDEX('iCoA Register'!$F:$F,MATCH(S89,'iCoA Register'!$AA:$AA,0)),0),0)))</f>
        <v/>
      </c>
      <c r="E89" s="5">
        <f>IF(ISNUMBER(F89),MAX(DATE(2026,6,6),F89+7),"— awaiting the retest certificates —")</f>
        <v/>
      </c>
      <c r="F89" s="5" t="n">
        <v>46244</v>
      </c>
      <c r="G89" s="2" t="inlineStr">
        <is>
          <t>197-3-M-26</t>
        </is>
      </c>
      <c r="H89" s="2">
        <f>IFERROR(INDEX('iCoA Register'!$B:$B,MATCH("P050162|R",'iCoA Register'!$AA:$AA,0)),"—")</f>
        <v/>
      </c>
      <c r="I89" s="5">
        <f>IFERROR(INDEX('iCoA Register'!$D:$D,MATCH("P050162|R",'iCoA Register'!$AA:$AA,0)),"")</f>
        <v/>
      </c>
      <c r="J89" s="2" t="inlineStr">
        <is>
          <t>legacy</t>
        </is>
      </c>
      <c r="K89" s="2" t="inlineStr">
        <is>
          <t>retest — Tranche 1 (sampled 21–24.07.2026)</t>
        </is>
      </c>
      <c r="L89" s="3" t="inlineStr">
        <is>
          <t>CJ052501/01</t>
        </is>
      </c>
      <c r="M89" s="2" t="inlineStr">
        <is>
          <t>P050162</t>
        </is>
      </c>
      <c r="N89" s="2" t="inlineStr">
        <is>
          <t>Cap Junky</t>
        </is>
      </c>
      <c r="O89" s="2" t="inlineStr">
        <is>
          <t>197-3-K-26, (07.08.2026) [FHM-K]</t>
        </is>
      </c>
      <c r="P89" s="6" t="inlineStr">
        <is>
          <t>—</t>
        </is>
      </c>
      <c r="Q89" s="2" t="inlineStr">
        <is>
          <t>—</t>
        </is>
      </c>
      <c r="R89" s="2" t="inlineStr">
        <is>
          <t>CoQ reissue (assigned on issue)</t>
        </is>
      </c>
      <c r="S89" s="2" t="inlineStr">
        <is>
          <t>P050162|R</t>
        </is>
      </c>
      <c r="T89" s="7" t="inlineStr">
        <is>
          <t>registered — retest, Tranche 1 (sampled 21–24.07.2026), sampled 21.07.2026; issued 17.08.2026, 7 days after 197-3-M-26 of 10.08.2026; cites iCoA-PP_26-090 of 27.07.2026</t>
        </is>
      </c>
      <c r="U89" s="2">
        <f>IFERROR(INDEX('CoQ Register'!$B:$B,MATCH("P050162|I",'CoQ Register'!$S:$S,0)),"— initial certificate not on the register —")</f>
        <v/>
      </c>
      <c r="V89" s="10" t="n">
        <v>24.05</v>
      </c>
      <c r="W89" s="2" t="inlineStr">
        <is>
          <t>197-3-К/26</t>
        </is>
      </c>
      <c r="X89" s="2" t="inlineStr">
        <is>
          <t>24.00 ± 2.40 (II)</t>
        </is>
      </c>
      <c r="Y89" s="2" t="inlineStr">
        <is>
          <t>21.60 – 26.39 %</t>
        </is>
      </c>
      <c r="Z89" s="2" t="inlineStr">
        <is>
          <t>CJ_THC24 : CBD1</t>
        </is>
      </c>
      <c r="AA89" s="2" t="inlineStr">
        <is>
          <t>QCSP_001_CJ-II_v.01</t>
        </is>
      </c>
      <c r="AB89" s="8" t="inlineStr">
        <is>
          <t>for review — replaces the issued QCSP_001_CJ-II_v.01 (was CJ_THC26 : CBD1, 25.01 – 26.99 %); now CJ_THC24 : CBD1 21.60 – 26.39 %</t>
        </is>
      </c>
      <c r="AC89" s="11" t="inlineStr"/>
    </row>
    <row r="90">
      <c r="A90" s="2">
        <f>IF(OR(C90="yes",C90="allocated",C90="ruled"),COUNT(A$1:A89)+1,"")</f>
        <v/>
      </c>
      <c r="B90" s="3">
        <f>IF(A90&lt;&gt;"","CoQ-PP_26-"&amp;TEXT(A90,"000"),"— at issue —")</f>
        <v/>
      </c>
      <c r="C90" s="4" t="inlineStr">
        <is>
          <t>yes</t>
        </is>
      </c>
      <c r="D90" s="5">
        <f>IF(OR(A90="",C90="allocated",C90="ruled"),"",MAX(E90,IF(ISNUMBER(I90),I90,0),IFERROR(IF(ISNUMBER(INDEX('iCoA Register'!$F:$F,MATCH(S90,'iCoA Register'!$AA:$AA,0))),INDEX('iCoA Register'!$F:$F,MATCH(S90,'iCoA Register'!$AA:$AA,0)),0),0)))</f>
        <v/>
      </c>
      <c r="E90" s="5">
        <f>IF(ISNUMBER(F90),MAX(DATE(2026,6,6),F90+7),"— awaiting the retest certificates —")</f>
        <v/>
      </c>
      <c r="F90" s="5" t="n">
        <v>46244</v>
      </c>
      <c r="G90" s="2" t="inlineStr">
        <is>
          <t>197-5-M-26</t>
        </is>
      </c>
      <c r="H90" s="2">
        <f>IFERROR(INDEX('iCoA Register'!$B:$B,MATCH("P060032|R",'iCoA Register'!$AA:$AA,0)),"—")</f>
        <v/>
      </c>
      <c r="I90" s="5">
        <f>IFERROR(INDEX('iCoA Register'!$D:$D,MATCH("P060032|R",'iCoA Register'!$AA:$AA,0)),"")</f>
        <v/>
      </c>
      <c r="J90" s="2" t="inlineStr">
        <is>
          <t>legacy</t>
        </is>
      </c>
      <c r="K90" s="2" t="inlineStr">
        <is>
          <t>retest — Tranche 1 (sampled 21–24.07.2026)</t>
        </is>
      </c>
      <c r="L90" s="3" t="inlineStr">
        <is>
          <t>CJ082501/2</t>
        </is>
      </c>
      <c r="M90" s="2" t="inlineStr">
        <is>
          <t>P060032</t>
        </is>
      </c>
      <c r="N90" s="2" t="inlineStr">
        <is>
          <t>Cap Junky</t>
        </is>
      </c>
      <c r="O90" s="2" t="inlineStr">
        <is>
          <t>197-5-K-26, (07.08.2026) [FHM-K]</t>
        </is>
      </c>
      <c r="P90" s="6" t="inlineStr">
        <is>
          <t>—</t>
        </is>
      </c>
      <c r="Q90" s="2" t="inlineStr">
        <is>
          <t>—</t>
        </is>
      </c>
      <c r="R90" s="2" t="inlineStr">
        <is>
          <t>CoQ reissue (assigned on issue)</t>
        </is>
      </c>
      <c r="S90" s="2" t="inlineStr">
        <is>
          <t>P060032|R</t>
        </is>
      </c>
      <c r="T90" s="7" t="inlineStr">
        <is>
          <t>registered — retest, Tranche 1 (sampled 21–24.07.2026), sampled 21.07.2026; issued 17.08.2026, 7 days after 197-5-M-26 of 10.08.2026; cites iCoA-PP_26-092 of 27.07.2026</t>
        </is>
      </c>
      <c r="U90" s="2">
        <f>IFERROR(INDEX('CoQ Register'!$B:$B,MATCH("P060032|I",'CoQ Register'!$S:$S,0)),"— initial certificate not on the register —")</f>
        <v/>
      </c>
      <c r="V90" s="10" t="n">
        <v>18.29</v>
      </c>
      <c r="W90" s="2" t="inlineStr">
        <is>
          <t>197-5-К/26</t>
        </is>
      </c>
      <c r="X90" s="2" t="inlineStr">
        <is>
          <t>17.00 ± 1.40 (IV)</t>
        </is>
      </c>
      <c r="Y90" s="2" t="inlineStr">
        <is>
          <t>15.60 – 18.39 %</t>
        </is>
      </c>
      <c r="Z90" s="2" t="inlineStr">
        <is>
          <t>CJ_THC17 : CBD1</t>
        </is>
      </c>
      <c r="AA90" s="2" t="inlineStr">
        <is>
          <t>QCSP_001_CJ-IV_v.01</t>
        </is>
      </c>
      <c r="AB90" s="8" t="inlineStr">
        <is>
          <t>for review — replaces the issued QCSP_001_CJ-IV_v.01 (was CJ_THC20 : CBD1, 18.00 – 22.00 %); now CJ_THC17 : CBD1 15.60 – 18.39 %</t>
        </is>
      </c>
      <c r="AC90" s="11" t="inlineStr"/>
    </row>
    <row r="91">
      <c r="A91" s="2">
        <f>IF(OR(C91="yes",C91="allocated",C91="ruled"),COUNT(A$1:A90)+1,"")</f>
        <v/>
      </c>
      <c r="B91" s="3">
        <f>IF(A91&lt;&gt;"","CoQ-PP_26-"&amp;TEXT(A91,"000"),"— at issue —")</f>
        <v/>
      </c>
      <c r="C91" s="4" t="inlineStr">
        <is>
          <t>yes</t>
        </is>
      </c>
      <c r="D91" s="5">
        <f>IF(OR(A91="",C91="allocated",C91="ruled"),"",MAX(E91,IF(ISNUMBER(I91),I91,0),IFERROR(IF(ISNUMBER(INDEX('iCoA Register'!$F:$F,MATCH(S91,'iCoA Register'!$AA:$AA,0))),INDEX('iCoA Register'!$F:$F,MATCH(S91,'iCoA Register'!$AA:$AA,0)),0),0)))</f>
        <v/>
      </c>
      <c r="E91" s="5">
        <f>IF(ISNUMBER(F91),MAX(DATE(2026,6,6),F91+7),"— awaiting the retest certificates —")</f>
        <v/>
      </c>
      <c r="F91" s="5" t="n">
        <v>46244</v>
      </c>
      <c r="G91" s="2" t="inlineStr">
        <is>
          <t>197-7-M-26</t>
        </is>
      </c>
      <c r="H91" s="2">
        <f>IFERROR(INDEX('iCoA Register'!$B:$B,MATCH("P060352|R",'iCoA Register'!$AA:$AA,0)),"—")</f>
        <v/>
      </c>
      <c r="I91" s="5">
        <f>IFERROR(INDEX('iCoA Register'!$D:$D,MATCH("P060352|R",'iCoA Register'!$AA:$AA,0)),"")</f>
        <v/>
      </c>
      <c r="J91" s="2" t="inlineStr">
        <is>
          <t>post-SOP</t>
        </is>
      </c>
      <c r="K91" s="2" t="inlineStr">
        <is>
          <t>retest — Tranche 1 (sampled 21–24.07.2026)</t>
        </is>
      </c>
      <c r="L91" s="3" t="inlineStr">
        <is>
          <t>FB012602*</t>
        </is>
      </c>
      <c r="M91" s="2" t="inlineStr">
        <is>
          <t>P060352</t>
        </is>
      </c>
      <c r="N91" s="2" t="inlineStr">
        <is>
          <t>Fat Bastard</t>
        </is>
      </c>
      <c r="O91" s="2" t="inlineStr">
        <is>
          <t>197-7-K-26, (07.08.2026) [FHM-K]</t>
        </is>
      </c>
      <c r="P91" s="6" t="inlineStr">
        <is>
          <t>—</t>
        </is>
      </c>
      <c r="Q91" s="2" t="inlineStr">
        <is>
          <t>—</t>
        </is>
      </c>
      <c r="R91" s="2" t="inlineStr">
        <is>
          <t>CoQ reissue (assigned on issue)</t>
        </is>
      </c>
      <c r="S91" s="2" t="inlineStr">
        <is>
          <t>P060352|R</t>
        </is>
      </c>
      <c r="T91" s="7" t="inlineStr">
        <is>
          <t>registered — retest, Tranche 1 (sampled 21–24.07.2026), sampled 22.07.2026; issued 17.08.2026, 7 days after 197-7-M-26 of 10.08.2026; cites iCoA-PP_26-097 of 27.07.2026</t>
        </is>
      </c>
      <c r="U91" s="2">
        <f>IFERROR(INDEX('CoQ Register'!$B:$B,MATCH("P060352|I",'CoQ Register'!$S:$S,0)),"— initial certificate not on the register —")</f>
        <v/>
      </c>
      <c r="V91" s="10" t="n">
        <v>18.86</v>
      </c>
      <c r="W91" s="2" t="inlineStr">
        <is>
          <t>197-7-К/26</t>
        </is>
      </c>
      <c r="X91" s="2" t="inlineStr">
        <is>
          <t>18.00 ± 1.80 (II)</t>
        </is>
      </c>
      <c r="Y91" s="2" t="inlineStr">
        <is>
          <t>16.20 – 19.79 %</t>
        </is>
      </c>
      <c r="Z91" s="2" t="inlineStr">
        <is>
          <t>FB_THC18 : CBD1</t>
        </is>
      </c>
      <c r="AA91" s="2" t="inlineStr">
        <is>
          <t>QCSP_001_FB-II_v.01</t>
        </is>
      </c>
      <c r="AB91" s="8" t="inlineStr">
        <is>
          <t>for review — replaces the issued QCSP_001_FB-II_v.01 (was FB_THC18 : CBD1, 17.15 – 18.85 %); now FB_THC18 : CBD1 16.20 – 19.79 %</t>
        </is>
      </c>
      <c r="AC91" s="11" t="inlineStr"/>
    </row>
    <row r="92">
      <c r="A92" s="2">
        <f>IF(OR(C92="yes",C92="allocated",C92="ruled"),COUNT(A$1:A91)+1,"")</f>
        <v/>
      </c>
      <c r="B92" s="3">
        <f>IF(A92&lt;&gt;"","CoQ-PP_26-"&amp;TEXT(A92,"000"),"— at issue —")</f>
        <v/>
      </c>
      <c r="C92" s="4" t="inlineStr">
        <is>
          <t>yes</t>
        </is>
      </c>
      <c r="D92" s="5">
        <f>IF(OR(A92="",C92="allocated",C92="ruled"),"",MAX(E92,IF(ISNUMBER(I92),I92,0),IFERROR(IF(ISNUMBER(INDEX('iCoA Register'!$F:$F,MATCH(S92,'iCoA Register'!$AA:$AA,0))),INDEX('iCoA Register'!$F:$F,MATCH(S92,'iCoA Register'!$AA:$AA,0)),0),0)))</f>
        <v/>
      </c>
      <c r="E92" s="5">
        <f>IF(ISNUMBER(F92),MAX(DATE(2026,6,6),F92+7),"— awaiting the retest certificates —")</f>
        <v/>
      </c>
      <c r="F92" s="5" t="n">
        <v>46244</v>
      </c>
      <c r="G92" s="2" t="inlineStr">
        <is>
          <t>197-8-M-26</t>
        </is>
      </c>
      <c r="H92" s="2">
        <f>IFERROR(INDEX('iCoA Register'!$B:$B,MATCH("P060402|R",'iCoA Register'!$AA:$AA,0)),"—")</f>
        <v/>
      </c>
      <c r="I92" s="5">
        <f>IFERROR(INDEX('iCoA Register'!$D:$D,MATCH("P060402|R",'iCoA Register'!$AA:$AA,0)),"")</f>
        <v/>
      </c>
      <c r="J92" s="2" t="inlineStr">
        <is>
          <t>post-SOP</t>
        </is>
      </c>
      <c r="K92" s="2" t="inlineStr">
        <is>
          <t>retest — Tranche 1 (sampled 21–24.07.2026)</t>
        </is>
      </c>
      <c r="L92" s="3" t="inlineStr">
        <is>
          <t>GG012603</t>
        </is>
      </c>
      <c r="M92" s="2" t="inlineStr">
        <is>
          <t>P060402</t>
        </is>
      </c>
      <c r="N92" s="2" t="inlineStr">
        <is>
          <t>Gorilla Glue</t>
        </is>
      </c>
      <c r="O92" s="2" t="inlineStr">
        <is>
          <t>197-8-K-26, (07.08.2026) [FHM-K]</t>
        </is>
      </c>
      <c r="P92" s="6" t="inlineStr">
        <is>
          <t>—</t>
        </is>
      </c>
      <c r="Q92" s="2" t="inlineStr">
        <is>
          <t>—</t>
        </is>
      </c>
      <c r="R92" s="2" t="inlineStr">
        <is>
          <t>CoQ reissue (assigned on issue)</t>
        </is>
      </c>
      <c r="S92" s="2" t="inlineStr">
        <is>
          <t>P060402|R</t>
        </is>
      </c>
      <c r="T92" s="7" t="inlineStr">
        <is>
          <t>registered — retest, Tranche 1 (sampled 21–24.07.2026), sampled 22.07.2026; issued 17.08.2026, 7 days after 197-8-M-26 of 10.08.2026; cites iCoA-PP_26-098 of 27.07.2026</t>
        </is>
      </c>
      <c r="U92" s="2">
        <f>IFERROR(INDEX('CoQ Register'!$B:$B,MATCH("P060402|I",'CoQ Register'!$S:$S,0)),"— initial certificate not on the register —")</f>
        <v/>
      </c>
      <c r="V92" s="10" t="n">
        <v>16.7</v>
      </c>
      <c r="W92" s="2" t="inlineStr">
        <is>
          <t>197-8-К/26</t>
        </is>
      </c>
      <c r="X92" s="2" t="inlineStr">
        <is>
          <t>18.00 ± 1.77 (I)</t>
        </is>
      </c>
      <c r="Y92" s="2" t="inlineStr">
        <is>
          <t>16.23 – 19.76 %</t>
        </is>
      </c>
      <c r="Z92" s="2" t="inlineStr">
        <is>
          <t>GG_THC18 : CBD1</t>
        </is>
      </c>
      <c r="AA92" s="2" t="inlineStr">
        <is>
          <t>QCSP_001_GG-I_v.01</t>
        </is>
      </c>
      <c r="AB92" s="8" t="inlineStr">
        <is>
          <t>for review — replaces the issued QCSP_001_GG-I_v.01 (was GG_THC18 : CBD1, 17.01 – 18.99 %); now GG_THC18 : CBD1 16.23 – 19.76 %</t>
        </is>
      </c>
      <c r="AC92" s="11" t="inlineStr"/>
    </row>
    <row r="93">
      <c r="A93" s="2">
        <f>IF(OR(C93="yes",C93="allocated",C93="ruled"),COUNT(A$1:A92)+1,"")</f>
        <v/>
      </c>
      <c r="B93" s="3">
        <f>IF(A93&lt;&gt;"","CoQ-PP_26-"&amp;TEXT(A93,"000"),"— at issue —")</f>
        <v/>
      </c>
      <c r="C93" s="4" t="inlineStr">
        <is>
          <t>yes</t>
        </is>
      </c>
      <c r="D93" s="5">
        <f>IF(OR(A93="",C93="allocated",C93="ruled"),"",MAX(E93,IF(ISNUMBER(I93),I93,0),IFERROR(IF(ISNUMBER(INDEX('iCoA Register'!$F:$F,MATCH(S93,'iCoA Register'!$AA:$AA,0))),INDEX('iCoA Register'!$F:$F,MATCH(S93,'iCoA Register'!$AA:$AA,0)),0),0)))</f>
        <v/>
      </c>
      <c r="E93" s="5">
        <f>IF(ISNUMBER(F93),MAX(DATE(2026,6,6),F93+7),"— awaiting the retest certificates —")</f>
        <v/>
      </c>
      <c r="F93" s="5" t="n">
        <v>46244</v>
      </c>
      <c r="G93" s="2" t="inlineStr">
        <is>
          <t>197-9-M-26</t>
        </is>
      </c>
      <c r="H93" s="2">
        <f>IFERROR(INDEX('iCoA Register'!$B:$B,MATCH("P050092|R",'iCoA Register'!$AA:$AA,0)),"—")</f>
        <v/>
      </c>
      <c r="I93" s="5">
        <f>IFERROR(INDEX('iCoA Register'!$D:$D,MATCH("P050092|R",'iCoA Register'!$AA:$AA,0)),"")</f>
        <v/>
      </c>
      <c r="J93" s="2" t="inlineStr">
        <is>
          <t>legacy</t>
        </is>
      </c>
      <c r="K93" s="2" t="inlineStr">
        <is>
          <t>retest — Tranche 1 (sampled 21–24.07.2026)</t>
        </is>
      </c>
      <c r="L93" s="3" t="inlineStr">
        <is>
          <t>GG1024_01</t>
        </is>
      </c>
      <c r="M93" s="2" t="inlineStr">
        <is>
          <t>P050092</t>
        </is>
      </c>
      <c r="N93" s="2" t="inlineStr">
        <is>
          <t>Gorilla Glue</t>
        </is>
      </c>
      <c r="O93" s="2" t="inlineStr">
        <is>
          <t>197-9-K-26, (07.08.2026) [FHM-K]</t>
        </is>
      </c>
      <c r="P93" s="6" t="inlineStr">
        <is>
          <t>—</t>
        </is>
      </c>
      <c r="Q93" s="2" t="inlineStr">
        <is>
          <t>—</t>
        </is>
      </c>
      <c r="R93" s="2" t="inlineStr">
        <is>
          <t>CoQ-PP-2026-0038</t>
        </is>
      </c>
      <c r="S93" s="2" t="inlineStr">
        <is>
          <t>P050092|R</t>
        </is>
      </c>
      <c r="T93" s="7" t="inlineStr">
        <is>
          <t>registered — retest, Tranche 1 (sampled 21–24.07.2026), sampled 22.07.2026; issued 17.08.2026, 7 days after 197-9-M-26 of 10.08.2026; cites iCoA-PP_26-094 of 27.07.2026</t>
        </is>
      </c>
      <c r="U93" s="2">
        <f>IFERROR(INDEX('CoQ Register'!$B:$B,MATCH("P050092|I",'CoQ Register'!$S:$S,0)),"— initial certificate not on the register —")</f>
        <v/>
      </c>
      <c r="V93" s="10" t="n">
        <v>18.67</v>
      </c>
      <c r="W93" s="2" t="inlineStr">
        <is>
          <t>197-9-К/26</t>
        </is>
      </c>
      <c r="X93" s="2" t="inlineStr">
        <is>
          <t>18.00 ± 1.77 (I)</t>
        </is>
      </c>
      <c r="Y93" s="2" t="inlineStr">
        <is>
          <t>16.23 – 19.76 %</t>
        </is>
      </c>
      <c r="Z93" s="2" t="inlineStr">
        <is>
          <t>GG_THC18 : CBD1</t>
        </is>
      </c>
      <c r="AA93" s="2" t="inlineStr">
        <is>
          <t>QCSP_001_GG-I_v.01</t>
        </is>
      </c>
      <c r="AB93" s="8" t="inlineStr">
        <is>
          <t>for review — replaces the issued QCSP_001_GG-I_v.01 (was GG_THC18 : CBD1, 17.01 – 18.99 %); now GG_THC18 : CBD1 16.23 – 19.76 %</t>
        </is>
      </c>
      <c r="AC93" s="11" t="inlineStr"/>
    </row>
    <row r="94">
      <c r="A94" s="2">
        <f>IF(OR(C94="yes",C94="allocated",C94="ruled"),COUNT(A$1:A93)+1,"")</f>
        <v/>
      </c>
      <c r="B94" s="3">
        <f>IF(A94&lt;&gt;"","CoQ-PP_26-"&amp;TEXT(A94,"000"),"— at issue —")</f>
        <v/>
      </c>
      <c r="C94" s="4" t="inlineStr">
        <is>
          <t>yes</t>
        </is>
      </c>
      <c r="D94" s="5">
        <f>IF(OR(A94="",C94="allocated",C94="ruled"),"",MAX(E94,IF(ISNUMBER(I94),I94,0),IFERROR(IF(ISNUMBER(INDEX('iCoA Register'!$F:$F,MATCH(S94,'iCoA Register'!$AA:$AA,0))),INDEX('iCoA Register'!$F:$F,MATCH(S94,'iCoA Register'!$AA:$AA,0)),0),0)))</f>
        <v/>
      </c>
      <c r="E94" s="5">
        <f>IF(ISNUMBER(F94),MAX(DATE(2026,6,6),F94+7),"— awaiting the retest certificates —")</f>
        <v/>
      </c>
      <c r="F94" s="5" t="n">
        <v>46244</v>
      </c>
      <c r="G94" s="2" t="inlineStr">
        <is>
          <t>197-10-M-26</t>
        </is>
      </c>
      <c r="H94" s="2">
        <f>IFERROR(INDEX('iCoA Register'!$B:$B,MATCH("P050152|R",'iCoA Register'!$AA:$AA,0)),"—")</f>
        <v/>
      </c>
      <c r="I94" s="5">
        <f>IFERROR(INDEX('iCoA Register'!$D:$D,MATCH("P050152|R",'iCoA Register'!$AA:$AA,0)),"")</f>
        <v/>
      </c>
      <c r="J94" s="2" t="inlineStr">
        <is>
          <t>legacy</t>
        </is>
      </c>
      <c r="K94" s="2" t="inlineStr">
        <is>
          <t>retest — Tranche 1 (sampled 21–24.07.2026)</t>
        </is>
      </c>
      <c r="L94" s="3" t="inlineStr">
        <is>
          <t>GP052501</t>
        </is>
      </c>
      <c r="M94" s="2" t="inlineStr">
        <is>
          <t>P050152</t>
        </is>
      </c>
      <c r="N94" s="2" t="inlineStr">
        <is>
          <t>Grape Pie</t>
        </is>
      </c>
      <c r="O94" s="2" t="inlineStr">
        <is>
          <t>197-10-K-26, (07.08.2026) [FHM-K]</t>
        </is>
      </c>
      <c r="P94" s="6" t="inlineStr">
        <is>
          <t>—</t>
        </is>
      </c>
      <c r="Q94" s="2" t="inlineStr">
        <is>
          <t>—</t>
        </is>
      </c>
      <c r="R94" s="2" t="inlineStr">
        <is>
          <t>CoQ reissue (assigned on issue)</t>
        </is>
      </c>
      <c r="S94" s="2" t="inlineStr">
        <is>
          <t>P050152|R</t>
        </is>
      </c>
      <c r="T94" s="7" t="inlineStr">
        <is>
          <t>registered — retest, Tranche 1 (sampled 21–24.07.2026), sampled 22.07.2026; issued 17.08.2026, 7 days after 197-10-M-26 of 10.08.2026; cites iCoA-PP_26-095 of 27.07.2026</t>
        </is>
      </c>
      <c r="U94" s="2">
        <f>IFERROR(INDEX('CoQ Register'!$B:$B,MATCH("P050152|I",'CoQ Register'!$S:$S,0)),"— initial certificate not on the register —")</f>
        <v/>
      </c>
      <c r="V94" s="10" t="n">
        <v>18.52</v>
      </c>
      <c r="W94" s="2" t="inlineStr">
        <is>
          <t>197-10-К/26</t>
        </is>
      </c>
      <c r="X94" s="2" t="inlineStr">
        <is>
          <t>20.00 ± 2.00 (III)</t>
        </is>
      </c>
      <c r="Y94" s="2" t="inlineStr">
        <is>
          <t>18.00 – 21.99 %</t>
        </is>
      </c>
      <c r="Z94" s="2" t="inlineStr">
        <is>
          <t>GP_THC20 : CBD1</t>
        </is>
      </c>
      <c r="AA94" s="2" t="inlineStr">
        <is>
          <t>QCSP_001_GP-III_v.01</t>
        </is>
      </c>
      <c r="AB94" s="8" t="inlineStr">
        <is>
          <t>for review — replaces the issued QCSP_001_GP-III_v.01 (was GP_THC24 : CBD1, 22.61 – 25.39 %); now GP_THC20 : CBD1 18.00 – 21.99 %</t>
        </is>
      </c>
      <c r="AC94" s="11" t="inlineStr"/>
    </row>
    <row r="95">
      <c r="A95" s="2">
        <f>IF(OR(C95="yes",C95="allocated",C95="ruled"),COUNT(A$1:A94)+1,"")</f>
        <v/>
      </c>
      <c r="B95" s="3">
        <f>IF(A95&lt;&gt;"","CoQ-PP_26-"&amp;TEXT(A95,"000"),"— at issue —")</f>
        <v/>
      </c>
      <c r="C95" s="4" t="inlineStr">
        <is>
          <t>yes</t>
        </is>
      </c>
      <c r="D95" s="5">
        <f>IF(OR(A95="",C95="allocated",C95="ruled"),"",MAX(E95,IF(ISNUMBER(I95),I95,0),IFERROR(IF(ISNUMBER(INDEX('iCoA Register'!$F:$F,MATCH(S95,'iCoA Register'!$AA:$AA,0))),INDEX('iCoA Register'!$F:$F,MATCH(S95,'iCoA Register'!$AA:$AA,0)),0),0)))</f>
        <v/>
      </c>
      <c r="E95" s="5">
        <f>IF(ISNUMBER(F95),MAX(DATE(2026,6,6),F95+7),"— awaiting the retest certificates —")</f>
        <v/>
      </c>
      <c r="F95" s="5" t="n">
        <v>46244</v>
      </c>
      <c r="G95" s="2" t="inlineStr">
        <is>
          <t>197-11-M-26</t>
        </is>
      </c>
      <c r="H95" s="2">
        <f>IFERROR(INDEX('iCoA Register'!$B:$B,MATCH("P050022|R5",'iCoA Register'!$AA:$AA,0)),"—")</f>
        <v/>
      </c>
      <c r="I95" s="5">
        <f>IFERROR(INDEX('iCoA Register'!$D:$D,MATCH("P050022|R5",'iCoA Register'!$AA:$AA,0)),"")</f>
        <v/>
      </c>
      <c r="J95" s="2" t="inlineStr">
        <is>
          <t>legacy</t>
        </is>
      </c>
      <c r="K95" s="2" t="inlineStr">
        <is>
          <t>retest — Tranche 1 (sampled 21–24.07.2026)</t>
        </is>
      </c>
      <c r="L95" s="3" t="inlineStr">
        <is>
          <t>GP0824_02</t>
        </is>
      </c>
      <c r="M95" s="2" t="inlineStr">
        <is>
          <t>P050022</t>
        </is>
      </c>
      <c r="N95" s="2" t="inlineStr">
        <is>
          <t>Grape Pie</t>
        </is>
      </c>
      <c r="O95" s="2" t="inlineStr">
        <is>
          <t>197-11-K-26, (07.08.2026) [FHM-K]</t>
        </is>
      </c>
      <c r="P95" s="6" t="inlineStr">
        <is>
          <t>—</t>
        </is>
      </c>
      <c r="Q95" s="2" t="inlineStr">
        <is>
          <t>—</t>
        </is>
      </c>
      <c r="R95" s="2" t="inlineStr">
        <is>
          <t>CoQ-PP-2026-0032</t>
        </is>
      </c>
      <c r="S95" s="2" t="inlineStr">
        <is>
          <t>P050022|R5</t>
        </is>
      </c>
      <c r="T95" s="7" t="inlineStr">
        <is>
          <t>registered — retest, Tranche 1 (sampled 21–24.07.2026), sampled 22.07.2026; issued 17.08.2026, 7 days after 197-11-M-26 of 10.08.2026; cites the campaign iCoA of 27.07.2026</t>
        </is>
      </c>
      <c r="U95" s="2">
        <f>IFERROR(INDEX('CoQ Register'!$B:$B,MATCH("P050022|I",'CoQ Register'!$S:$S,0)),"— initial certificate not on the register —")</f>
        <v/>
      </c>
      <c r="V95" s="10" t="n">
        <v>22.61</v>
      </c>
      <c r="W95" s="2" t="inlineStr">
        <is>
          <t>197-11-К/26</t>
        </is>
      </c>
      <c r="X95" s="2" t="inlineStr">
        <is>
          <t>24.00 ± 2.00 (II)</t>
        </is>
      </c>
      <c r="Y95" s="2" t="inlineStr">
        <is>
          <t>22.00 – 25.99 %</t>
        </is>
      </c>
      <c r="Z95" s="2" t="inlineStr">
        <is>
          <t>GP_THC24 : CBD1</t>
        </is>
      </c>
      <c r="AA95" s="2" t="inlineStr">
        <is>
          <t>QCSP_001_GP-II_v.01</t>
        </is>
      </c>
      <c r="AB95" s="8" t="inlineStr">
        <is>
          <t>for review — replaces the issued QCSP_001_GP-II_v.01 (was GP_THC26 : CBD1, 25.40 – 26.60 %); now GP_THC24 : CBD1 22.00 – 25.99 %</t>
        </is>
      </c>
      <c r="AC95" s="11" t="inlineStr"/>
    </row>
    <row r="96">
      <c r="A96" s="2">
        <f>IF(OR(C96="yes",C96="allocated",C96="ruled"),COUNT(A$1:A95)+1,"")</f>
        <v/>
      </c>
      <c r="B96" s="3">
        <f>IF(A96&lt;&gt;"","CoQ-PP_26-"&amp;TEXT(A96,"000"),"— at issue —")</f>
        <v/>
      </c>
      <c r="C96" s="4" t="inlineStr">
        <is>
          <t>yes</t>
        </is>
      </c>
      <c r="D96" s="5">
        <f>IF(OR(A96="",C96="allocated",C96="ruled"),"",MAX(E96,IF(ISNUMBER(I96),I96,0),IFERROR(IF(ISNUMBER(INDEX('iCoA Register'!$F:$F,MATCH(S96,'iCoA Register'!$AA:$AA,0))),INDEX('iCoA Register'!$F:$F,MATCH(S96,'iCoA Register'!$AA:$AA,0)),0),0)))</f>
        <v/>
      </c>
      <c r="E96" s="5">
        <f>IF(ISNUMBER(F96),MAX(DATE(2026,6,6),F96+7),"— awaiting the retest certificates —")</f>
        <v/>
      </c>
      <c r="F96" s="5" t="n">
        <v>46244</v>
      </c>
      <c r="G96" s="2" t="inlineStr">
        <is>
          <t>197-12-M-26</t>
        </is>
      </c>
      <c r="H96" s="2">
        <f>IFERROR(INDEX('iCoA Register'!$B:$B,MATCH("P050322|R",'iCoA Register'!$AA:$AA,0)),"—")</f>
        <v/>
      </c>
      <c r="I96" s="5">
        <f>IFERROR(INDEX('iCoA Register'!$D:$D,MATCH("P050322|R",'iCoA Register'!$AA:$AA,0)),"")</f>
        <v/>
      </c>
      <c r="J96" s="2" t="inlineStr">
        <is>
          <t>legacy</t>
        </is>
      </c>
      <c r="K96" s="2" t="inlineStr">
        <is>
          <t>retest — Tranche 1 (sampled 21–24.07.2026)</t>
        </is>
      </c>
      <c r="L96" s="3" t="inlineStr">
        <is>
          <t>GP082501/2</t>
        </is>
      </c>
      <c r="M96" s="2" t="inlineStr">
        <is>
          <t>P050322</t>
        </is>
      </c>
      <c r="N96" s="2" t="inlineStr">
        <is>
          <t>Grape Pie</t>
        </is>
      </c>
      <c r="O96" s="2" t="inlineStr">
        <is>
          <t>197-12-K-26, (07.08.2026) [FHM-K]</t>
        </is>
      </c>
      <c r="P96" s="6" t="inlineStr">
        <is>
          <t>—</t>
        </is>
      </c>
      <c r="Q96" s="2" t="inlineStr">
        <is>
          <t>—</t>
        </is>
      </c>
      <c r="R96" s="2" t="inlineStr">
        <is>
          <t>CoQ reissue (assigned on issue)</t>
        </is>
      </c>
      <c r="S96" s="2" t="inlineStr">
        <is>
          <t>P050322|R</t>
        </is>
      </c>
      <c r="T96" s="7" t="inlineStr">
        <is>
          <t>registered — retest, Tranche 1 (sampled 21–24.07.2026), sampled 23.07.2026; issued 17.08.2026, 7 days after 197-12-M-26 of 10.08.2026; cites iCoA-PP_26-099 of 27.07.2026</t>
        </is>
      </c>
      <c r="U96" s="2">
        <f>IFERROR(INDEX('CoQ Register'!$B:$B,MATCH("P050322|I",'CoQ Register'!$S:$S,0)),"— initial certificate not on the register —")</f>
        <v/>
      </c>
      <c r="V96" s="10" t="n">
        <v>15.7</v>
      </c>
      <c r="W96" s="2" t="inlineStr">
        <is>
          <t>197-12-К/26</t>
        </is>
      </c>
      <c r="X96" s="2" t="inlineStr">
        <is>
          <t>16.00 ± 1.60 (IV)</t>
        </is>
      </c>
      <c r="Y96" s="2" t="inlineStr">
        <is>
          <t>14.40 – 17.59 %</t>
        </is>
      </c>
      <c r="Z96" s="2" t="inlineStr">
        <is>
          <t>GP_THC16 : CBD1</t>
        </is>
      </c>
      <c r="AA96" s="2" t="inlineStr">
        <is>
          <t>QCSP_001_GP-IV_v.01</t>
        </is>
      </c>
      <c r="AB96" s="8" t="inlineStr">
        <is>
          <t>for review — replaces the issued QCSP_001_GP-IV_v.01 (was GP_THC20 : CBD1, 18.00 – 22.00 %); now GP_THC16 : CBD1 14.40 – 17.59 %</t>
        </is>
      </c>
      <c r="AC96" s="11" t="inlineStr"/>
    </row>
    <row r="97">
      <c r="A97" s="2">
        <f>IF(OR(C97="yes",C97="allocated",C97="ruled"),COUNT(A$1:A96)+1,"")</f>
        <v/>
      </c>
      <c r="B97" s="3">
        <f>IF(A97&lt;&gt;"","CoQ-PP_26-"&amp;TEXT(A97,"000"),"— at issue —")</f>
        <v/>
      </c>
      <c r="C97" s="4" t="inlineStr">
        <is>
          <t>yes</t>
        </is>
      </c>
      <c r="D97" s="5">
        <f>IF(OR(A97="",C97="allocated",C97="ruled"),"",MAX(E97,IF(ISNUMBER(I97),I97,0),IFERROR(IF(ISNUMBER(INDEX('iCoA Register'!$F:$F,MATCH(S97,'iCoA Register'!$AA:$AA,0))),INDEX('iCoA Register'!$F:$F,MATCH(S97,'iCoA Register'!$AA:$AA,0)),0),0)))</f>
        <v/>
      </c>
      <c r="E97" s="5">
        <f>IF(ISNUMBER(F97),MAX(DATE(2026,6,6),F97+7),"— awaiting the retest certificates —")</f>
        <v/>
      </c>
      <c r="F97" s="5" t="n">
        <v>46244</v>
      </c>
      <c r="G97" s="2" t="inlineStr">
        <is>
          <t>197-13-M-26</t>
        </is>
      </c>
      <c r="H97" s="2">
        <f>IFERROR(INDEX('iCoA Register'!$B:$B,MATCH("HPA1024|R",'iCoA Register'!$AA:$AA,0)),"—")</f>
        <v/>
      </c>
      <c r="I97" s="5">
        <f>IFERROR(INDEX('iCoA Register'!$D:$D,MATCH("HPA1024|R",'iCoA Register'!$AA:$AA,0)),"")</f>
        <v/>
      </c>
      <c r="J97" s="2" t="inlineStr">
        <is>
          <t>legacy</t>
        </is>
      </c>
      <c r="K97" s="2" t="inlineStr">
        <is>
          <t>retest — Tranche 1 (sampled 21–24.07.2026)</t>
        </is>
      </c>
      <c r="L97" s="3" t="inlineStr">
        <is>
          <t>HPA1024</t>
        </is>
      </c>
      <c r="M97" s="2" t="inlineStr">
        <is>
          <t>N/A — no P batch assigned</t>
        </is>
      </c>
      <c r="N97" s="2" t="inlineStr">
        <is>
          <t>High Pro Amnesia</t>
        </is>
      </c>
      <c r="O97" s="2" t="inlineStr">
        <is>
          <t>197-13-K-26, (07.08.2026) [FHM-K]</t>
        </is>
      </c>
      <c r="P97" s="6" t="inlineStr">
        <is>
          <t>—</t>
        </is>
      </c>
      <c r="Q97" s="2" t="inlineStr">
        <is>
          <t>—</t>
        </is>
      </c>
      <c r="R97" s="2" t="inlineStr">
        <is>
          <t>CoQ-PP-2026-0030</t>
        </is>
      </c>
      <c r="S97" s="2" t="inlineStr">
        <is>
          <t>HPA1024|R</t>
        </is>
      </c>
      <c r="T97" s="7" t="inlineStr">
        <is>
          <t>registered — retest, Tranche 1 (sampled 21–24.07.2026), sampled 23.07.2026; issued 17.08.2026, 7 days after 197-13-M-26 of 10.08.2026; cites iCoA-PP_26-100 of 27.07.2026</t>
        </is>
      </c>
      <c r="U97" s="2">
        <f>IFERROR(INDEX('CoQ Register'!$B:$B,MATCH("HPA1024|I",'CoQ Register'!$S:$S,0)),"— initial certificate not on the register —")</f>
        <v/>
      </c>
      <c r="V97" s="10" t="n">
        <v>17.31</v>
      </c>
      <c r="W97" s="2" t="inlineStr">
        <is>
          <t>197-13-К/26</t>
        </is>
      </c>
      <c r="X97" s="2" t="inlineStr">
        <is>
          <t>18.00 ± 1.80 (II)</t>
        </is>
      </c>
      <c r="Y97" s="2" t="inlineStr">
        <is>
          <t>16.20 – 19.79 %</t>
        </is>
      </c>
      <c r="Z97" s="2" t="inlineStr">
        <is>
          <t>HPA_THC18 : CBD1</t>
        </is>
      </c>
      <c r="AA97" s="2" t="inlineStr">
        <is>
          <t>QCSP_001_HPA-II_v.01</t>
        </is>
      </c>
      <c r="AB97" s="8" t="inlineStr">
        <is>
          <t>for review — replaces the issued QCSP_001_HPA-II_v.01 (was HPA_THC20 : CBD1, 19.01 – 20.99 %); now HPA_THC18 : CBD1 16.20 – 19.79 %</t>
        </is>
      </c>
      <c r="AC97" s="11" t="inlineStr"/>
    </row>
    <row r="98">
      <c r="A98" s="2">
        <f>IF(OR(C98="yes",C98="allocated",C98="ruled"),COUNT(A$1:A97)+1,"")</f>
        <v/>
      </c>
      <c r="B98" s="3">
        <f>IF(A98&lt;&gt;"","CoQ-PP_26-"&amp;TEXT(A98,"000"),"— at issue —")</f>
        <v/>
      </c>
      <c r="C98" s="4" t="inlineStr">
        <is>
          <t>yes</t>
        </is>
      </c>
      <c r="D98" s="5">
        <f>IF(OR(A98="",C98="allocated",C98="ruled"),"",MAX(E98,IF(ISNUMBER(I98),I98,0),IFERROR(IF(ISNUMBER(INDEX('iCoA Register'!$F:$F,MATCH(S98,'iCoA Register'!$AA:$AA,0))),INDEX('iCoA Register'!$F:$F,MATCH(S98,'iCoA Register'!$AA:$AA,0)),0),0)))</f>
        <v/>
      </c>
      <c r="E98" s="5">
        <f>IF(ISNUMBER(F98),MAX(DATE(2026,6,6),F98+7),"— awaiting the retest certificates —")</f>
        <v/>
      </c>
      <c r="F98" s="5" t="n">
        <v>46244</v>
      </c>
      <c r="G98" s="2" t="inlineStr">
        <is>
          <t>197-14-M-26</t>
        </is>
      </c>
      <c r="H98" s="2">
        <f>IFERROR(INDEX('iCoA Register'!$B:$B,MATCH("P050052|R",'iCoA Register'!$AA:$AA,0)),"—")</f>
        <v/>
      </c>
      <c r="I98" s="5">
        <f>IFERROR(INDEX('iCoA Register'!$D:$D,MATCH("P050052|R",'iCoA Register'!$AA:$AA,0)),"")</f>
        <v/>
      </c>
      <c r="J98" s="2" t="inlineStr">
        <is>
          <t>legacy</t>
        </is>
      </c>
      <c r="K98" s="2" t="inlineStr">
        <is>
          <t>retest — Tranche 1 (sampled 21–24.07.2026)</t>
        </is>
      </c>
      <c r="L98" s="3" t="inlineStr">
        <is>
          <t>HPA1024_01</t>
        </is>
      </c>
      <c r="M98" s="2" t="inlineStr">
        <is>
          <t>P050052</t>
        </is>
      </c>
      <c r="N98" s="2" t="inlineStr">
        <is>
          <t>High Pro Amnesia</t>
        </is>
      </c>
      <c r="O98" s="2" t="inlineStr">
        <is>
          <t>197-14-K-26, (07.08.2026) [FHM-K]</t>
        </is>
      </c>
      <c r="P98" s="6" t="inlineStr">
        <is>
          <t>—</t>
        </is>
      </c>
      <c r="Q98" s="2" t="inlineStr">
        <is>
          <t>—</t>
        </is>
      </c>
      <c r="R98" s="2" t="inlineStr">
        <is>
          <t>CoQ-PP-2026-0034</t>
        </is>
      </c>
      <c r="S98" s="2" t="inlineStr">
        <is>
          <t>P050052|R</t>
        </is>
      </c>
      <c r="T98" s="7" t="inlineStr">
        <is>
          <t>registered — retest, Tranche 1 (sampled 21–24.07.2026), sampled 23.07.2026; issued 17.08.2026, 7 days after 197-14-M-26 of 10.08.2026; cites iCoA-PP_26-101 of 27.07.2026</t>
        </is>
      </c>
      <c r="U98" s="2">
        <f>IFERROR(INDEX('CoQ Register'!$B:$B,MATCH("P050052|I",'CoQ Register'!$S:$S,0)),"— initial certificate not on the register —")</f>
        <v/>
      </c>
      <c r="V98" s="10" t="n">
        <v>21.61</v>
      </c>
      <c r="W98" s="2" t="inlineStr">
        <is>
          <t>197-14-К/26</t>
        </is>
      </c>
      <c r="X98" s="2" t="inlineStr">
        <is>
          <t>22.00 ± 2.20 (I)</t>
        </is>
      </c>
      <c r="Y98" s="2" t="inlineStr">
        <is>
          <t>19.80 – 24.19 %</t>
        </is>
      </c>
      <c r="Z98" s="2" t="inlineStr">
        <is>
          <t>HPA_THC22 : CBD1</t>
        </is>
      </c>
      <c r="AA98" s="2" t="inlineStr">
        <is>
          <t>QCSP_001_HPA-I_v.01</t>
        </is>
      </c>
      <c r="AB98" s="8" t="inlineStr">
        <is>
          <t>for review — replaces the issued QCSP_001_HPA-I_v.01 (was HPA_THC22 : CBD1, 21.00 – 23.00 %); now HPA_THC22 : CBD1 19.80 – 24.19 %</t>
        </is>
      </c>
      <c r="AC98" s="11" t="inlineStr"/>
    </row>
    <row r="99">
      <c r="A99" s="2">
        <f>IF(OR(C99="yes",C99="allocated",C99="ruled"),COUNT(A$1:A98)+1,"")</f>
        <v/>
      </c>
      <c r="B99" s="3">
        <f>IF(A99&lt;&gt;"","CoQ-PP_26-"&amp;TEXT(A99,"000"),"— at issue —")</f>
        <v/>
      </c>
      <c r="C99" s="4" t="inlineStr">
        <is>
          <t>yes</t>
        </is>
      </c>
      <c r="D99" s="5">
        <f>IF(OR(A99="",C99="allocated",C99="ruled"),"",MAX(E99,IF(ISNUMBER(I99),I99,0),IFERROR(IF(ISNUMBER(INDEX('iCoA Register'!$F:$F,MATCH(S99,'iCoA Register'!$AA:$AA,0))),INDEX('iCoA Register'!$F:$F,MATCH(S99,'iCoA Register'!$AA:$AA,0)),0),0)))</f>
        <v/>
      </c>
      <c r="E99" s="5">
        <f>IF(ISNUMBER(F99),MAX(DATE(2026,6,6),F99+7),"— awaiting the retest certificates —")</f>
        <v/>
      </c>
      <c r="F99" s="5" t="n">
        <v>46244</v>
      </c>
      <c r="G99" s="2" t="inlineStr">
        <is>
          <t>197-16-M-26</t>
        </is>
      </c>
      <c r="H99" s="2">
        <f>IFERROR(INDEX('iCoA Register'!$B:$B,MATCH("P060152|R",'iCoA Register'!$AA:$AA,0)),"—")</f>
        <v/>
      </c>
      <c r="I99" s="5">
        <f>IFERROR(INDEX('iCoA Register'!$D:$D,MATCH("P060152|R",'iCoA Register'!$AA:$AA,0)),"")</f>
        <v/>
      </c>
      <c r="J99" s="2" t="inlineStr">
        <is>
          <t>legacy</t>
        </is>
      </c>
      <c r="K99" s="2" t="inlineStr">
        <is>
          <t>retest — Tranche 1 (sampled 21–24.07.2026)</t>
        </is>
      </c>
      <c r="L99" s="3" t="inlineStr">
        <is>
          <t>J31102501</t>
        </is>
      </c>
      <c r="M99" s="2" t="inlineStr">
        <is>
          <t>P060152</t>
        </is>
      </c>
      <c r="N99" s="2" t="inlineStr">
        <is>
          <t>Jokerz 31</t>
        </is>
      </c>
      <c r="O99" s="2" t="inlineStr">
        <is>
          <t>197-16-K-26, (07.08.2026) [FHM-K]</t>
        </is>
      </c>
      <c r="P99" s="6" t="inlineStr">
        <is>
          <t>—</t>
        </is>
      </c>
      <c r="Q99" s="2" t="inlineStr">
        <is>
          <t>—</t>
        </is>
      </c>
      <c r="R99" s="2" t="inlineStr">
        <is>
          <t>CoQ reissue (assigned on issue)</t>
        </is>
      </c>
      <c r="S99" s="2" t="inlineStr">
        <is>
          <t>P060152|R</t>
        </is>
      </c>
      <c r="T99" s="7" t="inlineStr">
        <is>
          <t>registered — retest, Tranche 1 (sampled 21–24.07.2026), sampled 23.07.2026; issued 17.08.2026, 7 days after 197-16-M-26 of 10.08.2026; cites iCoA-PP_26-102 of 27.07.2026</t>
        </is>
      </c>
      <c r="U99" s="2">
        <f>IFERROR(INDEX('CoQ Register'!$B:$B,MATCH("P060152|I",'CoQ Register'!$S:$S,0)),"— initial certificate not on the register —")</f>
        <v/>
      </c>
      <c r="V99" s="10" t="n">
        <v>17.32</v>
      </c>
      <c r="W99" s="2" t="inlineStr">
        <is>
          <t>197-16-К/26</t>
        </is>
      </c>
      <c r="X99" s="2" t="inlineStr">
        <is>
          <t>18.00 ± 1.80 (III)</t>
        </is>
      </c>
      <c r="Y99" s="2" t="inlineStr">
        <is>
          <t>16.20 – 19.79 %</t>
        </is>
      </c>
      <c r="Z99" s="2" t="inlineStr">
        <is>
          <t>J31_THC18 : CBD1</t>
        </is>
      </c>
      <c r="AA99" s="2" t="inlineStr">
        <is>
          <t>QCSP_001_J31-III_v.01</t>
        </is>
      </c>
      <c r="AB99" s="11" t="inlineStr">
        <is>
          <t>for review — new</t>
        </is>
      </c>
      <c r="AC99" s="11" t="inlineStr"/>
    </row>
    <row r="100">
      <c r="A100" s="2">
        <f>IF(OR(C100="yes",C100="allocated",C100="ruled"),COUNT(A$1:A99)+1,"")</f>
        <v/>
      </c>
      <c r="B100" s="3">
        <f>IF(A100&lt;&gt;"","CoQ-PP_26-"&amp;TEXT(A100,"000"),"— at issue —")</f>
        <v/>
      </c>
      <c r="C100" s="4" t="inlineStr">
        <is>
          <t>yes</t>
        </is>
      </c>
      <c r="D100" s="5">
        <f>IF(OR(A100="",C100="allocated",C100="ruled"),"",MAX(E100,IF(ISNUMBER(I100),I100,0),IFERROR(IF(ISNUMBER(INDEX('iCoA Register'!$F:$F,MATCH(S100,'iCoA Register'!$AA:$AA,0))),INDEX('iCoA Register'!$F:$F,MATCH(S100,'iCoA Register'!$AA:$AA,0)),0),0)))</f>
        <v/>
      </c>
      <c r="E100" s="5">
        <f>IF(ISNUMBER(F100),MAX(DATE(2026,6,6),F100+7),"— awaiting the retest certificates —")</f>
        <v/>
      </c>
      <c r="F100" s="5" t="n">
        <v>46244</v>
      </c>
      <c r="G100" s="2" t="inlineStr">
        <is>
          <t>197-15-M-26</t>
        </is>
      </c>
      <c r="H100" s="2">
        <f>IFERROR(INDEX('iCoA Register'!$B:$B,MATCH("P060212|R",'iCoA Register'!$AA:$AA,0)),"—")</f>
        <v/>
      </c>
      <c r="I100" s="5">
        <f>IFERROR(INDEX('iCoA Register'!$D:$D,MATCH("P060212|R",'iCoA Register'!$AA:$AA,0)),"")</f>
        <v/>
      </c>
      <c r="J100" s="2" t="inlineStr">
        <is>
          <t>legacy</t>
        </is>
      </c>
      <c r="K100" s="2" t="inlineStr">
        <is>
          <t>retest — Tranche 1 (sampled 21–24.07.2026)</t>
        </is>
      </c>
      <c r="L100" s="3" t="inlineStr">
        <is>
          <t>JD112501</t>
        </is>
      </c>
      <c r="M100" s="2" t="inlineStr">
        <is>
          <t>P060212</t>
        </is>
      </c>
      <c r="N100" s="2" t="inlineStr">
        <is>
          <t>Jelly Donuts</t>
        </is>
      </c>
      <c r="O100" s="2" t="inlineStr">
        <is>
          <t>197-15-K-26, (07.08.2026) [FHM-K]</t>
        </is>
      </c>
      <c r="P100" s="6" t="inlineStr">
        <is>
          <t>—</t>
        </is>
      </c>
      <c r="Q100" s="2" t="inlineStr">
        <is>
          <t>—</t>
        </is>
      </c>
      <c r="R100" s="2" t="inlineStr">
        <is>
          <t>CoQ reissue (assigned on issue)</t>
        </is>
      </c>
      <c r="S100" s="2" t="inlineStr">
        <is>
          <t>P060212|R</t>
        </is>
      </c>
      <c r="T100" s="7" t="inlineStr">
        <is>
          <t>registered — retest, Tranche 1 (sampled 21–24.07.2026), sampled 23.07.2026; issued 17.08.2026, 7 days after 197-15-M-26 of 10.08.2026; cites iCoA-PP_26-103 of 27.07.2026</t>
        </is>
      </c>
      <c r="U100" s="2">
        <f>IFERROR(INDEX('CoQ Register'!$B:$B,MATCH("P060212|I",'CoQ Register'!$S:$S,0)),"— initial certificate not on the register —")</f>
        <v/>
      </c>
      <c r="V100" s="10" t="n">
        <v>20.32</v>
      </c>
      <c r="W100" s="2" t="inlineStr">
        <is>
          <t>197-15-К/26</t>
        </is>
      </c>
      <c r="X100" s="2" t="inlineStr">
        <is>
          <t>22.00 ± 2.20 (I)</t>
        </is>
      </c>
      <c r="Y100" s="2" t="inlineStr">
        <is>
          <t>19.80 – 24.19 %</t>
        </is>
      </c>
      <c r="Z100" s="2" t="inlineStr">
        <is>
          <t>JD_THC22 : CBD1</t>
        </is>
      </c>
      <c r="AA100" s="2" t="inlineStr">
        <is>
          <t>QCSP_001_JD-I_v.01</t>
        </is>
      </c>
      <c r="AB100" s="8" t="inlineStr">
        <is>
          <t>for review — replaces the issued QCSP_001_JD-I_v.01 (was JD_THC20 : CBD1, 18.00 – 22.00 %); now JD_THC22 : CBD1 19.80 – 24.19 %</t>
        </is>
      </c>
      <c r="AC100" s="11" t="inlineStr"/>
    </row>
    <row r="101">
      <c r="A101" s="2">
        <f>IF(OR(C101="yes",C101="allocated",C101="ruled"),COUNT(A$1:A100)+1,"")</f>
        <v/>
      </c>
      <c r="B101" s="3">
        <f>IF(A101&lt;&gt;"","CoQ-PP_26-"&amp;TEXT(A101,"000"),"— at issue —")</f>
        <v/>
      </c>
      <c r="C101" s="4" t="inlineStr">
        <is>
          <t>yes</t>
        </is>
      </c>
      <c r="D101" s="5">
        <f>IF(OR(A101="",C101="allocated",C101="ruled"),"",MAX(E101,IF(ISNUMBER(I101),I101,0),IFERROR(IF(ISNUMBER(INDEX('iCoA Register'!$F:$F,MATCH(S101,'iCoA Register'!$AA:$AA,0))),INDEX('iCoA Register'!$F:$F,MATCH(S101,'iCoA Register'!$AA:$AA,0)),0),0)))</f>
        <v/>
      </c>
      <c r="E101" s="5">
        <f>IF(ISNUMBER(F101),MAX(DATE(2026,6,6),F101+7),"— awaiting the retest certificates —")</f>
        <v/>
      </c>
      <c r="F101" s="5" t="n">
        <v>46244</v>
      </c>
      <c r="G101" s="2" t="inlineStr">
        <is>
          <t>197-17-M-26</t>
        </is>
      </c>
      <c r="H101" s="2">
        <f>IFERROR(INDEX('iCoA Register'!$B:$B,MATCH("OPM1024|R",'iCoA Register'!$AA:$AA,0)),"—")</f>
        <v/>
      </c>
      <c r="I101" s="5">
        <f>IFERROR(INDEX('iCoA Register'!$D:$D,MATCH("OPM1024|R",'iCoA Register'!$AA:$AA,0)),"")</f>
        <v/>
      </c>
      <c r="J101" s="2" t="inlineStr">
        <is>
          <t>legacy</t>
        </is>
      </c>
      <c r="K101" s="2" t="inlineStr">
        <is>
          <t>retest — Tranche 1 (sampled 21–24.07.2026)</t>
        </is>
      </c>
      <c r="L101" s="3" t="inlineStr">
        <is>
          <t>OPM1024</t>
        </is>
      </c>
      <c r="M101" s="2" t="inlineStr">
        <is>
          <t>N/A — no P batch assigned</t>
        </is>
      </c>
      <c r="N101" s="2" t="inlineStr">
        <is>
          <t>Orange Punch Mimosa</t>
        </is>
      </c>
      <c r="O101" s="2" t="inlineStr">
        <is>
          <t>197-17-K-26, (07.08.2026) [FHM-K]</t>
        </is>
      </c>
      <c r="P101" s="6" t="inlineStr">
        <is>
          <t>—</t>
        </is>
      </c>
      <c r="Q101" s="2" t="inlineStr">
        <is>
          <t>—</t>
        </is>
      </c>
      <c r="R101" s="2" t="inlineStr">
        <is>
          <t>CoQ-PP-2026-0031</t>
        </is>
      </c>
      <c r="S101" s="2" t="inlineStr">
        <is>
          <t>OPM1024|R</t>
        </is>
      </c>
      <c r="T101" s="7" t="inlineStr">
        <is>
          <t>registered — retest, Tranche 1 (sampled 21–24.07.2026), sampled 24.07.2026; issued 17.08.2026, 7 days after 197-17-M-26 of 10.08.2026; cites iCoA-PP_26-104 of 27.07.2026</t>
        </is>
      </c>
      <c r="U101" s="2">
        <f>IFERROR(INDEX('CoQ Register'!$B:$B,MATCH("OPM1024|I",'CoQ Register'!$S:$S,0)),"— initial certificate not on the register —")</f>
        <v/>
      </c>
      <c r="V101" s="10" t="n">
        <v>20.03</v>
      </c>
      <c r="W101" s="2" t="inlineStr">
        <is>
          <t>197-17-К/26</t>
        </is>
      </c>
      <c r="X101" s="2" t="inlineStr">
        <is>
          <t>20.00 ± 1.40 (I)</t>
        </is>
      </c>
      <c r="Y101" s="2" t="inlineStr">
        <is>
          <t>18.60 – 21.39 %</t>
        </is>
      </c>
      <c r="Z101" s="2" t="inlineStr">
        <is>
          <t>OPM_THC20 : CBD1</t>
        </is>
      </c>
      <c r="AA101" s="2" t="inlineStr">
        <is>
          <t>QCSP_001_OPM-I_v.01</t>
        </is>
      </c>
      <c r="AB101" s="8" t="inlineStr">
        <is>
          <t>for review — replaces the issued QCSP_001_OPM-I_v.01 (was OPM_THC22 : CBD1, 19.81 – 24.19 %); now OPM_THC20 : CBD1 18.60 – 21.39 %</t>
        </is>
      </c>
      <c r="AC101" s="11" t="inlineStr"/>
    </row>
    <row r="102">
      <c r="A102" s="2">
        <f>IF(OR(C102="yes",C102="allocated",C102="ruled"),COUNT(A$1:A101)+1,"")</f>
        <v/>
      </c>
      <c r="B102" s="3">
        <f>IF(A102&lt;&gt;"","CoQ-PP_26-"&amp;TEXT(A102,"000"),"— at issue —")</f>
        <v/>
      </c>
      <c r="C102" s="4" t="inlineStr">
        <is>
          <t>yes</t>
        </is>
      </c>
      <c r="D102" s="5">
        <f>IF(OR(A102="",C102="allocated",C102="ruled"),"",MAX(E102,IF(ISNUMBER(I102),I102,0),IFERROR(IF(ISNUMBER(INDEX('iCoA Register'!$F:$F,MATCH(S102,'iCoA Register'!$AA:$AA,0))),INDEX('iCoA Register'!$F:$F,MATCH(S102,'iCoA Register'!$AA:$AA,0)),0),0)))</f>
        <v/>
      </c>
      <c r="E102" s="5">
        <f>IF(ISNUMBER(F102),MAX(DATE(2026,6,6),F102+7),"— awaiting the retest certificates —")</f>
        <v/>
      </c>
      <c r="F102" s="5" t="n">
        <v>46244</v>
      </c>
      <c r="G102" s="2" t="inlineStr">
        <is>
          <t>197-18-M-26</t>
        </is>
      </c>
      <c r="H102" s="2">
        <f>IFERROR(INDEX('iCoA Register'!$B:$B,MATCH("P050062|R",'iCoA Register'!$AA:$AA,0)),"—")</f>
        <v/>
      </c>
      <c r="I102" s="5">
        <f>IFERROR(INDEX('iCoA Register'!$D:$D,MATCH("P050062|R",'iCoA Register'!$AA:$AA,0)),"")</f>
        <v/>
      </c>
      <c r="J102" s="2" t="inlineStr">
        <is>
          <t>legacy</t>
        </is>
      </c>
      <c r="K102" s="2" t="inlineStr">
        <is>
          <t>retest — Tranche 1 (sampled 21–24.07.2026)</t>
        </is>
      </c>
      <c r="L102" s="3" t="inlineStr">
        <is>
          <t>OPM1024_02</t>
        </is>
      </c>
      <c r="M102" s="2" t="inlineStr">
        <is>
          <t>P050062</t>
        </is>
      </c>
      <c r="N102" s="2" t="inlineStr">
        <is>
          <t>Orange Punch Mimosa</t>
        </is>
      </c>
      <c r="O102" s="2" t="inlineStr">
        <is>
          <t>197-18-K-26, (07.08.2026) [FHM-K]</t>
        </is>
      </c>
      <c r="P102" s="6" t="inlineStr">
        <is>
          <t>—</t>
        </is>
      </c>
      <c r="Q102" s="2" t="inlineStr">
        <is>
          <t>—</t>
        </is>
      </c>
      <c r="R102" s="2" t="inlineStr">
        <is>
          <t>CoQ-PP-2026-0035</t>
        </is>
      </c>
      <c r="S102" s="2" t="inlineStr">
        <is>
          <t>P050062|R</t>
        </is>
      </c>
      <c r="T102" s="7" t="inlineStr">
        <is>
          <t>registered — retest, Tranche 1 (sampled 21–24.07.2026), sampled 24.07.2026; issued 17.08.2026, 7 days after 197-18-M-26 of 10.08.2026; cites iCoA-PP_26-105 of 27.07.2026</t>
        </is>
      </c>
      <c r="U102" s="2">
        <f>IFERROR(INDEX('CoQ Register'!$B:$B,MATCH("P050062|I",'CoQ Register'!$S:$S,0)),"— initial certificate not on the register —")</f>
        <v/>
      </c>
      <c r="V102" s="10" t="n">
        <v>18.04</v>
      </c>
      <c r="W102" s="2" t="inlineStr">
        <is>
          <t>197-18-К/26</t>
        </is>
      </c>
      <c r="X102" s="2" t="inlineStr">
        <is>
          <t>17.00 ± 1.60 (II)</t>
        </is>
      </c>
      <c r="Y102" s="2" t="inlineStr">
        <is>
          <t>15.40 – 18.59 %</t>
        </is>
      </c>
      <c r="Z102" s="2" t="inlineStr">
        <is>
          <t>OPM_THC17 : CBD1</t>
        </is>
      </c>
      <c r="AA102" s="2" t="inlineStr">
        <is>
          <t>QCSP_001_OPM-II_v.01</t>
        </is>
      </c>
      <c r="AB102" s="8" t="inlineStr">
        <is>
          <t>for review — replaces the issued QCSP_001_OPM-II_v.01 (was OPM_THC18 : CBD1, 16.20 – 19.80 %); now OPM_THC17 : CBD1 15.40 – 18.59 %</t>
        </is>
      </c>
      <c r="AC102" s="11" t="inlineStr"/>
    </row>
    <row r="103">
      <c r="A103" s="2">
        <f>IF(OR(C103="yes",C103="allocated",C103="ruled"),COUNT(A$1:A102)+1,"")</f>
        <v/>
      </c>
      <c r="B103" s="3">
        <f>IF(A103&lt;&gt;"","CoQ-PP_26-"&amp;TEXT(A103,"000"),"— at issue —")</f>
        <v/>
      </c>
      <c r="C103" s="4" t="inlineStr">
        <is>
          <t>yes</t>
        </is>
      </c>
      <c r="D103" s="5">
        <f>IF(OR(A103="",C103="allocated",C103="ruled"),"",MAX(E103,IF(ISNUMBER(I103),I103,0),IFERROR(IF(ISNUMBER(INDEX('iCoA Register'!$F:$F,MATCH(S103,'iCoA Register'!$AA:$AA,0))),INDEX('iCoA Register'!$F:$F,MATCH(S103,'iCoA Register'!$AA:$AA,0)),0),0)))</f>
        <v/>
      </c>
      <c r="E103" s="5">
        <f>IF(ISNUMBER(F103),MAX(DATE(2026,6,6),F103+7),"— awaiting the retest certificates —")</f>
        <v/>
      </c>
      <c r="F103" s="5" t="n">
        <v>46244</v>
      </c>
      <c r="G103" s="2" t="inlineStr">
        <is>
          <t>197-19-M-26</t>
        </is>
      </c>
      <c r="H103" s="2">
        <f>IFERROR(INDEX('iCoA Register'!$B:$B,MATCH("P060242|R",'iCoA Register'!$AA:$AA,0)),"—")</f>
        <v/>
      </c>
      <c r="I103" s="5">
        <f>IFERROR(INDEX('iCoA Register'!$D:$D,MATCH("P060242|R",'iCoA Register'!$AA:$AA,0)),"")</f>
        <v/>
      </c>
      <c r="J103" s="2" t="inlineStr">
        <is>
          <t>legacy</t>
        </is>
      </c>
      <c r="K103" s="2" t="inlineStr">
        <is>
          <t>retest — Tranche 1 (sampled 21–24.07.2026)</t>
        </is>
      </c>
      <c r="L103" s="3" t="inlineStr">
        <is>
          <t>OPM122501</t>
        </is>
      </c>
      <c r="M103" s="2" t="inlineStr">
        <is>
          <t>P060242</t>
        </is>
      </c>
      <c r="N103" s="2" t="inlineStr">
        <is>
          <t>Orange Punch Mimosa</t>
        </is>
      </c>
      <c r="O103" s="2" t="inlineStr">
        <is>
          <t>197-19-K-26, (07.08.2026) [FHM-K]</t>
        </is>
      </c>
      <c r="P103" s="6" t="inlineStr">
        <is>
          <t>—</t>
        </is>
      </c>
      <c r="Q103" s="2" t="inlineStr">
        <is>
          <t>—</t>
        </is>
      </c>
      <c r="R103" s="2" t="inlineStr">
        <is>
          <t>CoQ reissue (assigned on issue)</t>
        </is>
      </c>
      <c r="S103" s="2" t="inlineStr">
        <is>
          <t>P060242|R</t>
        </is>
      </c>
      <c r="T103" s="7" t="inlineStr">
        <is>
          <t>registered — retest, Tranche 1 (sampled 21–24.07.2026), sampled 24.07.2026; issued 17.08.2026, 7 days after 197-19-M-26 of 10.08.2026; cites iCoA-PP_26-106 of 27.07.2026</t>
        </is>
      </c>
      <c r="U103" s="2">
        <f>IFERROR(INDEX('CoQ Register'!$B:$B,MATCH("P060242|I",'CoQ Register'!$S:$S,0)),"— initial certificate not on the register —")</f>
        <v/>
      </c>
      <c r="V103" s="10" t="n">
        <v>7.91</v>
      </c>
      <c r="W103" s="2" t="inlineStr">
        <is>
          <t>197-19-К/26</t>
        </is>
      </c>
      <c r="X103" s="2" t="inlineStr">
        <is>
          <t>8.00 ± 0.80 (V)</t>
        </is>
      </c>
      <c r="Y103" s="2" t="inlineStr">
        <is>
          <t>7.20 – 8.79 %</t>
        </is>
      </c>
      <c r="Z103" s="2" t="inlineStr">
        <is>
          <t>OPM_THC8 : CBD1</t>
        </is>
      </c>
      <c r="AA103" s="2" t="inlineStr">
        <is>
          <t>QCSP_001_OPM-V_v.01</t>
        </is>
      </c>
      <c r="AB103" s="8" t="inlineStr">
        <is>
          <t>for review — replaces the issued QCSP_001_OPM-V_v.01 (was OPM_THC8 : CBD1, 7.20 – 8.80 %); now OPM_THC8 : CBD1 7.20 – 8.79 %</t>
        </is>
      </c>
      <c r="AC103" s="11" t="inlineStr"/>
    </row>
    <row r="104">
      <c r="A104" s="2">
        <f>IF(OR(C104="yes",C104="allocated",C104="ruled"),COUNT(A$1:A103)+1,"")</f>
        <v/>
      </c>
      <c r="B104" s="3">
        <f>IF(A104&lt;&gt;"","CoQ-PP_26-"&amp;TEXT(A104,"000"),"— at issue —")</f>
        <v/>
      </c>
      <c r="C104" s="4" t="inlineStr">
        <is>
          <t>yes</t>
        </is>
      </c>
      <c r="D104" s="5">
        <f>IF(OR(A104="",C104="allocated",C104="ruled"),"",MAX(E104,IF(ISNUMBER(I104),I104,0),IFERROR(IF(ISNUMBER(INDEX('iCoA Register'!$F:$F,MATCH(S104,'iCoA Register'!$AA:$AA,0))),INDEX('iCoA Register'!$F:$F,MATCH(S104,'iCoA Register'!$AA:$AA,0)),0),0)))</f>
        <v/>
      </c>
      <c r="E104" s="5">
        <f>IF(ISNUMBER(F104),MAX(DATE(2026,6,6),F104+7),"— awaiting the retest certificates —")</f>
        <v/>
      </c>
      <c r="F104" s="5" t="n">
        <v>46244</v>
      </c>
      <c r="G104" s="2" t="inlineStr">
        <is>
          <t>197-20-M-26</t>
        </is>
      </c>
      <c r="H104" s="2">
        <f>IFERROR(INDEX('iCoA Register'!$B:$B,MATCH("P060062|R",'iCoA Register'!$AA:$AA,0)),"—")</f>
        <v/>
      </c>
      <c r="I104" s="5">
        <f>IFERROR(INDEX('iCoA Register'!$D:$D,MATCH("P060062|R",'iCoA Register'!$AA:$AA,0)),"")</f>
        <v/>
      </c>
      <c r="J104" s="2" t="inlineStr">
        <is>
          <t>legacy</t>
        </is>
      </c>
      <c r="K104" s="2" t="inlineStr">
        <is>
          <t>retest — Tranche 1 (sampled 21–24.07.2026)</t>
        </is>
      </c>
      <c r="L104" s="3" t="inlineStr">
        <is>
          <t>PM092501</t>
        </is>
      </c>
      <c r="M104" s="2" t="inlineStr">
        <is>
          <t>P060062</t>
        </is>
      </c>
      <c r="N104" s="2" t="inlineStr">
        <is>
          <t>Permanent Marker</t>
        </is>
      </c>
      <c r="O104" s="2" t="inlineStr">
        <is>
          <t>197-20-K-26, (07.08.2026) [FHM-K]</t>
        </is>
      </c>
      <c r="P104" s="6" t="inlineStr">
        <is>
          <t>—</t>
        </is>
      </c>
      <c r="Q104" s="2" t="inlineStr">
        <is>
          <t>—</t>
        </is>
      </c>
      <c r="R104" s="2" t="inlineStr">
        <is>
          <t>CoQ reissue (assigned on issue)</t>
        </is>
      </c>
      <c r="S104" s="2" t="inlineStr">
        <is>
          <t>P060062|R</t>
        </is>
      </c>
      <c r="T104" s="7" t="inlineStr">
        <is>
          <t>registered — retest, Tranche 1 (sampled 21–24.07.2026), sampled 24.07.2026; issued 17.08.2026, 7 days after 197-20-M-26 of 10.08.2026; cites iCoA-PP_26-108 of 27.07.2026</t>
        </is>
      </c>
      <c r="U104" s="2">
        <f>IFERROR(INDEX('CoQ Register'!$B:$B,MATCH("P060062|I",'CoQ Register'!$S:$S,0)),"— initial certificate not on the register —")</f>
        <v/>
      </c>
      <c r="V104" s="10" t="n">
        <v>12.25</v>
      </c>
      <c r="W104" s="2" t="inlineStr">
        <is>
          <t>197-20-К/26</t>
        </is>
      </c>
      <c r="X104" s="2" t="inlineStr">
        <is>
          <t>12.00 ± 1.00 (II)</t>
        </is>
      </c>
      <c r="Y104" s="2" t="inlineStr">
        <is>
          <t>11.00 – 12.99 %</t>
        </is>
      </c>
      <c r="Z104" s="2" t="inlineStr">
        <is>
          <t>PM_THC12 : CBD1</t>
        </is>
      </c>
      <c r="AA104" s="2" t="inlineStr">
        <is>
          <t>QCSP_001_PM-II_v.01</t>
        </is>
      </c>
      <c r="AB104" s="8" t="inlineStr">
        <is>
          <t>for review — replaces the issued QCSP_001_PM-II_v.01 (was PM_THC10 : CBD1, 9.00 – 11.00 %); now PM_THC12 : CBD1 11.00 – 12.99 %</t>
        </is>
      </c>
      <c r="AC104" s="11" t="inlineStr"/>
    </row>
    <row r="105">
      <c r="A105" s="2">
        <f>IF(OR(C105="yes",C105="allocated",C105="ruled"),COUNT(A$1:A104)+1,"")</f>
        <v/>
      </c>
      <c r="B105" s="3">
        <f>IF(A105&lt;&gt;"","CoQ-PP_26-"&amp;TEXT(A105,"000"),"— at issue —")</f>
        <v/>
      </c>
      <c r="C105" s="4" t="inlineStr">
        <is>
          <t>yes</t>
        </is>
      </c>
      <c r="D105" s="5">
        <f>IF(OR(A105="",C105="allocated",C105="ruled"),"",MAX(E105,IF(ISNUMBER(I105),I105,0),IFERROR(IF(ISNUMBER(INDEX('iCoA Register'!$F:$F,MATCH(S105,'iCoA Register'!$AA:$AA,0))),INDEX('iCoA Register'!$F:$F,MATCH(S105,'iCoA Register'!$AA:$AA,0)),0),0)))</f>
        <v/>
      </c>
      <c r="E105" s="5">
        <f>IF(ISNUMBER(F105),MAX(DATE(2026,6,6),F105+7),"— awaiting the retest certificates —")</f>
        <v/>
      </c>
      <c r="F105" s="5" t="n">
        <v>46244</v>
      </c>
      <c r="G105" s="2" t="inlineStr">
        <is>
          <t>197-21-M-26</t>
        </is>
      </c>
      <c r="H105" s="2">
        <f>IFERROR(INDEX('iCoA Register'!$B:$B,MATCH("P060382|R",'iCoA Register'!$AA:$AA,0)),"—")</f>
        <v/>
      </c>
      <c r="I105" s="5">
        <f>IFERROR(INDEX('iCoA Register'!$D:$D,MATCH("P060382|R",'iCoA Register'!$AA:$AA,0)),"")</f>
        <v/>
      </c>
      <c r="J105" s="2" t="inlineStr">
        <is>
          <t>post-SOP</t>
        </is>
      </c>
      <c r="K105" s="2" t="inlineStr">
        <is>
          <t>retest — Tranche 1 (sampled 21–24.07.2026)</t>
        </is>
      </c>
      <c r="L105" s="3" t="inlineStr">
        <is>
          <t>SCR012603</t>
        </is>
      </c>
      <c r="M105" s="2" t="inlineStr">
        <is>
          <t>P060382</t>
        </is>
      </c>
      <c r="N105" s="2" t="inlineStr">
        <is>
          <t>Scrambler</t>
        </is>
      </c>
      <c r="O105" s="2" t="inlineStr">
        <is>
          <t>197-21-K-26, (07.08.2026) [FHM-K]</t>
        </is>
      </c>
      <c r="P105" s="6" t="inlineStr">
        <is>
          <t>—</t>
        </is>
      </c>
      <c r="Q105" s="2" t="inlineStr">
        <is>
          <t>—</t>
        </is>
      </c>
      <c r="R105" s="2" t="inlineStr">
        <is>
          <t>CoQ reissue (assigned on issue)</t>
        </is>
      </c>
      <c r="S105" s="2" t="inlineStr">
        <is>
          <t>P060382|R</t>
        </is>
      </c>
      <c r="T105" s="7" t="inlineStr">
        <is>
          <t>registered — retest, Tranche 1 (sampled 21–24.07.2026), sampled 24.07.2026; issued 17.08.2026, 7 days after 197-21-M-26 of 10.08.2026; cites iCoA-PP_26-107 of 27.07.2026</t>
        </is>
      </c>
      <c r="U105" s="2">
        <f>IFERROR(INDEX('CoQ Register'!$B:$B,MATCH("P060382|I",'CoQ Register'!$S:$S,0)),"— initial certificate not on the register —")</f>
        <v/>
      </c>
      <c r="V105" s="10" t="n">
        <v>17.84</v>
      </c>
      <c r="W105" s="2" t="inlineStr">
        <is>
          <t>197-21-К/26</t>
        </is>
      </c>
      <c r="X105" s="2" t="inlineStr">
        <is>
          <t>18.00 ± 1.80 (II)</t>
        </is>
      </c>
      <c r="Y105" s="2" t="inlineStr">
        <is>
          <t>16.20 – 19.79 %</t>
        </is>
      </c>
      <c r="Z105" s="2" t="inlineStr">
        <is>
          <t>SCR_THC18 : CBD1</t>
        </is>
      </c>
      <c r="AA105" s="2" t="inlineStr">
        <is>
          <t>QCSP_001_SCR-II_v.01</t>
        </is>
      </c>
      <c r="AB105" s="8" t="inlineStr">
        <is>
          <t>for review — replaces the issued QCSP_001_SCR-II_v.01 (was SCR_THC18 : CBD1, 16.20 – 19.80 %); now SCR_THC18 : CBD1 16.20 – 19.79 %</t>
        </is>
      </c>
      <c r="AC105" s="11" t="inlineStr"/>
    </row>
    <row r="106">
      <c r="A106" s="2">
        <f>IF(OR(C106="yes",C106="allocated",C106="ruled"),COUNT(A$1:A105)+1,"")</f>
        <v/>
      </c>
      <c r="B106" s="3">
        <f>IF(A106&lt;&gt;"","CoQ-PP_26-"&amp;TEXT(A106,"000"),"— at issue —")</f>
        <v/>
      </c>
      <c r="C106" s="4" t="inlineStr">
        <is>
          <t>yes</t>
        </is>
      </c>
      <c r="D106" s="5">
        <f>IF(OR(A106="",C106="allocated",C106="ruled"),"",MAX(E106,IF(ISNUMBER(I106),I106,0),IFERROR(IF(ISNUMBER(INDEX('iCoA Register'!$F:$F,MATCH(S106,'iCoA Register'!$AA:$AA,0))),INDEX('iCoA Register'!$F:$F,MATCH(S106,'iCoA Register'!$AA:$AA,0)),0),0)))</f>
        <v/>
      </c>
      <c r="E106" s="5">
        <f>IF(ISNUMBER(F106),MAX(DATE(2026,6,6),F106+7),"— awaiting the retest certificates —")</f>
        <v/>
      </c>
      <c r="F106" s="5" t="n">
        <v>46265</v>
      </c>
      <c r="G106" s="2" t="inlineStr">
        <is>
          <t>534-1065-26</t>
        </is>
      </c>
      <c r="H106" s="2">
        <f>IFERROR(INDEX('iCoA Register'!$B:$B,MATCH("P050212|R2",'iCoA Register'!$AA:$AA,0)),"—")</f>
        <v/>
      </c>
      <c r="I106" s="5">
        <f>IFERROR(INDEX('iCoA Register'!$D:$D,MATCH("P050212|R2",'iCoA Register'!$AA:$AA,0)),"")</f>
        <v/>
      </c>
      <c r="J106" s="2" t="inlineStr">
        <is>
          <t>legacy</t>
        </is>
      </c>
      <c r="K106" s="2" t="inlineStr">
        <is>
          <t>retest — Tranche 1 (sampled 21–24.07.2026)</t>
        </is>
      </c>
      <c r="L106" s="3" t="inlineStr">
        <is>
          <t>CJ062501/2</t>
        </is>
      </c>
      <c r="M106" s="2" t="inlineStr">
        <is>
          <t>P050212</t>
        </is>
      </c>
      <c r="N106" s="2" t="inlineStr">
        <is>
          <t>Cap Junky</t>
        </is>
      </c>
      <c r="O106" s="2" t="inlineStr">
        <is>
          <t>197-4-K-26, (07.08.2026) [FHM-K]</t>
        </is>
      </c>
      <c r="P106" s="6" t="inlineStr">
        <is>
          <t>—</t>
        </is>
      </c>
      <c r="Q106" s="2" t="inlineStr">
        <is>
          <t>—</t>
        </is>
      </c>
      <c r="R106" s="2" t="inlineStr">
        <is>
          <t>CoQ reissue (assigned on issue)</t>
        </is>
      </c>
      <c r="S106" s="2" t="inlineStr">
        <is>
          <t>P050212|R2</t>
        </is>
      </c>
      <c r="T106" s="7" t="inlineStr">
        <is>
          <t>registered — retest, Tranche 1 (sampled 21–24.07.2026), sampled 21.07.2026; issued 07.09.2026, 7 days after 534-1065-26 of 31.08.2026; cites the campaign iCoA of 27.07.2026</t>
        </is>
      </c>
      <c r="U106" s="2">
        <f>IFERROR(INDEX('CoQ Register'!$B:$B,MATCH("P050212|I",'CoQ Register'!$S:$S,0)),"— initial certificate not on the register —")</f>
        <v/>
      </c>
      <c r="V106" s="10" t="n">
        <v>18.91</v>
      </c>
      <c r="W106" s="2" t="inlineStr">
        <is>
          <t>197-4-К/26</t>
        </is>
      </c>
      <c r="X106" s="2" t="inlineStr">
        <is>
          <t>20.00 ± 1.60 (III)</t>
        </is>
      </c>
      <c r="Y106" s="2" t="inlineStr">
        <is>
          <t>18.40 – 21.59 %</t>
        </is>
      </c>
      <c r="Z106" s="2" t="inlineStr">
        <is>
          <t>CJ_THC20 : CBD1</t>
        </is>
      </c>
      <c r="AA106" s="2" t="inlineStr">
        <is>
          <t>QCSP_001_CJ-III_v.01</t>
        </is>
      </c>
      <c r="AB106" s="8" t="inlineStr">
        <is>
          <t>for review — replaces the issued QCSP_001_CJ-III_v.01 (was CJ_THC24 : CBD1, 23.00 – 25.00 %); now CJ_THC20 : CBD1 18.40 – 21.59 %</t>
        </is>
      </c>
      <c r="AC106" s="11" t="inlineStr"/>
    </row>
    <row r="107">
      <c r="A107" s="2">
        <f>IF(OR(C107="yes",C107="allocated",C107="ruled"),COUNT(A$1:A106)+1,"")</f>
        <v/>
      </c>
      <c r="B107" s="3">
        <f>IF(A107&lt;&gt;"","CoQ-PP_26-"&amp;TEXT(A107,"000"),"— at issue —")</f>
        <v/>
      </c>
      <c r="C107" s="4" t="inlineStr">
        <is>
          <t>yes</t>
        </is>
      </c>
      <c r="D107" s="5">
        <f>IF(OR(A107="",C107="allocated",C107="ruled"),"",MAX(E107,IF(ISNUMBER(I107),I107,0),IFERROR(IF(ISNUMBER(INDEX('iCoA Register'!$F:$F,MATCH(S107,'iCoA Register'!$AA:$AA,0))),INDEX('iCoA Register'!$F:$F,MATCH(S107,'iCoA Register'!$AA:$AA,0)),0),0)))</f>
        <v/>
      </c>
      <c r="E107" s="5">
        <f>IF(ISNUMBER(F107),MAX(DATE(2026,6,6),F107+7),"— awaiting the retest certificates —")</f>
        <v/>
      </c>
      <c r="F107" s="5" t="n">
        <v>46276</v>
      </c>
      <c r="G107" s="2" t="inlineStr">
        <is>
          <t>220-1-M-26</t>
        </is>
      </c>
      <c r="H107" s="2">
        <f>IFERROR(INDEX('iCoA Register'!$B:$B,MATCH("P060122|R",'iCoA Register'!$AA:$AA,0)),"—")</f>
        <v/>
      </c>
      <c r="I107" s="5">
        <f>IFERROR(INDEX('iCoA Register'!$D:$D,MATCH("P060122|R",'iCoA Register'!$AA:$AA,0)),"")</f>
        <v/>
      </c>
      <c r="J107" s="2" t="inlineStr">
        <is>
          <t>legacy</t>
        </is>
      </c>
      <c r="K107" s="2" t="inlineStr">
        <is>
          <t>retest — Tranche 2 (sampled 12–14.08.2026)</t>
        </is>
      </c>
      <c r="L107" s="3" t="inlineStr">
        <is>
          <t>ACC102501</t>
        </is>
      </c>
      <c r="M107" s="2" t="inlineStr">
        <is>
          <t>P060122</t>
        </is>
      </c>
      <c r="N107" s="2" t="inlineStr">
        <is>
          <t>Amnesia Core Cut</t>
        </is>
      </c>
      <c r="O107" s="2" t="inlineStr">
        <is>
          <t>220-1-K-26, (25.08.2026) [FHM-K]</t>
        </is>
      </c>
      <c r="P107" s="6" t="inlineStr">
        <is>
          <t>—</t>
        </is>
      </c>
      <c r="Q107" s="2" t="inlineStr">
        <is>
          <t>—</t>
        </is>
      </c>
      <c r="R107" s="2" t="inlineStr">
        <is>
          <t>CoQ reissue (assigned on issue)</t>
        </is>
      </c>
      <c r="S107" s="2" t="inlineStr">
        <is>
          <t>P060122|R</t>
        </is>
      </c>
      <c r="T107" s="7" t="inlineStr">
        <is>
          <t>registered — retest, Tranche 2 (sampled 12–14.08.2026), sampled 12.08.2026; issued 18.09.2026, 7 days after 220-1-M-26 of 11.09.2026; cites iCoA-PP_26-111 of 17.08.2026</t>
        </is>
      </c>
      <c r="U107" s="2">
        <f>IFERROR(INDEX('CoQ Register'!$B:$B,MATCH("P060122|I",'CoQ Register'!$S:$S,0)),"— initial certificate not on the register —")</f>
        <v/>
      </c>
      <c r="V107" s="10" t="n">
        <v>12.09</v>
      </c>
      <c r="W107" s="2" t="inlineStr">
        <is>
          <t>220-1-К/26</t>
        </is>
      </c>
      <c r="X107" s="2" t="inlineStr">
        <is>
          <t>12.00 ± 1.20 (I)</t>
        </is>
      </c>
      <c r="Y107" s="2" t="inlineStr">
        <is>
          <t>10.80 – 13.19 %</t>
        </is>
      </c>
      <c r="Z107" s="2" t="inlineStr">
        <is>
          <t>ACC_THC12 : CBD1</t>
        </is>
      </c>
      <c r="AA107" s="2" t="inlineStr">
        <is>
          <t>QCSP_001_ACC-I_v.01</t>
        </is>
      </c>
      <c r="AB107" s="8" t="inlineStr">
        <is>
          <t>for review — replaces the issued QCSP_001_ACC-I_v.01 (was ACC_THC12 : CBD1, 10.80 – 13.20 %); now ACC_THC12 : CBD1 10.80 – 13.19 %</t>
        </is>
      </c>
      <c r="AC107" s="11" t="inlineStr"/>
    </row>
    <row r="108">
      <c r="A108" s="2">
        <f>IF(OR(C108="yes",C108="allocated",C108="ruled"),COUNT(A$1:A107)+1,"")</f>
        <v/>
      </c>
      <c r="B108" s="3">
        <f>IF(A108&lt;&gt;"","CoQ-PP_26-"&amp;TEXT(A108,"000"),"— at issue —")</f>
        <v/>
      </c>
      <c r="C108" s="4" t="inlineStr">
        <is>
          <t>yes</t>
        </is>
      </c>
      <c r="D108" s="5">
        <f>IF(OR(A108="",C108="allocated",C108="ruled"),"",MAX(E108,IF(ISNUMBER(I108),I108,0),IFERROR(IF(ISNUMBER(INDEX('iCoA Register'!$F:$F,MATCH(S108,'iCoA Register'!$AA:$AA,0))),INDEX('iCoA Register'!$F:$F,MATCH(S108,'iCoA Register'!$AA:$AA,0)),0),0)))</f>
        <v/>
      </c>
      <c r="E108" s="5">
        <f>IF(ISNUMBER(F108),MAX(DATE(2026,6,6),F108+7),"— awaiting the retest certificates —")</f>
        <v/>
      </c>
      <c r="F108" s="5" t="n">
        <v>46276</v>
      </c>
      <c r="G108" s="2" t="inlineStr">
        <is>
          <t>220-2-M-26</t>
        </is>
      </c>
      <c r="H108" s="2">
        <f>IFERROR(INDEX('iCoA Register'!$B:$B,MATCH("P050192|R",'iCoA Register'!$AA:$AA,0)),"—")</f>
        <v/>
      </c>
      <c r="I108" s="5">
        <f>IFERROR(INDEX('iCoA Register'!$D:$D,MATCH("P050192|R",'iCoA Register'!$AA:$AA,0)),"")</f>
        <v/>
      </c>
      <c r="J108" s="2" t="inlineStr">
        <is>
          <t>legacy</t>
        </is>
      </c>
      <c r="K108" s="2" t="inlineStr">
        <is>
          <t>retest — Tranche 2 (sampled 12–14.08.2026)</t>
        </is>
      </c>
      <c r="L108" s="3" t="inlineStr">
        <is>
          <t>BSS052501</t>
        </is>
      </c>
      <c r="M108" s="2" t="inlineStr">
        <is>
          <t>P050192</t>
        </is>
      </c>
      <c r="N108" s="2" t="inlineStr">
        <is>
          <t>Sleepy Joe</t>
        </is>
      </c>
      <c r="O108" s="2" t="inlineStr">
        <is>
          <t>220-2-K-26, (25.08.2026) [FHM-K]</t>
        </is>
      </c>
      <c r="P108" s="6" t="inlineStr">
        <is>
          <t>—</t>
        </is>
      </c>
      <c r="Q108" s="2" t="inlineStr">
        <is>
          <t>—</t>
        </is>
      </c>
      <c r="R108" s="2" t="inlineStr">
        <is>
          <t>CoQ reissue (assigned on issue)</t>
        </is>
      </c>
      <c r="S108" s="2" t="inlineStr">
        <is>
          <t>P050192|R</t>
        </is>
      </c>
      <c r="T108" s="7" t="inlineStr">
        <is>
          <t>registered — retest, Tranche 2 (sampled 12–14.08.2026), sampled 12.08.2026; issued 18.09.2026, 7 days after 220-2-M-26 of 11.09.2026; cites iCoA-PP_26-112 of 17.08.2026</t>
        </is>
      </c>
      <c r="U108" s="2">
        <f>IFERROR(INDEX('CoQ Register'!$B:$B,MATCH("P050192|I",'CoQ Register'!$S:$S,0)),"— initial certificate not on the register —")</f>
        <v/>
      </c>
      <c r="V108" s="10" t="n">
        <v>20.52</v>
      </c>
      <c r="W108" s="2" t="inlineStr">
        <is>
          <t>220-2-К/26</t>
        </is>
      </c>
      <c r="X108" s="2" t="inlineStr">
        <is>
          <t>20.00 ± 1.89 (III)</t>
        </is>
      </c>
      <c r="Y108" s="2" t="inlineStr">
        <is>
          <t>18.11 – 21.88 %</t>
        </is>
      </c>
      <c r="Z108" s="2" t="inlineStr">
        <is>
          <t>BSS_THC20 : CBD1</t>
        </is>
      </c>
      <c r="AA108" s="2" t="inlineStr">
        <is>
          <t>QCSP_001_BSS-III_v.01</t>
        </is>
      </c>
      <c r="AB108" s="11" t="inlineStr">
        <is>
          <t>for review — new</t>
        </is>
      </c>
      <c r="AC108" s="11" t="inlineStr"/>
    </row>
    <row r="109">
      <c r="A109" s="2">
        <f>IF(OR(C109="yes",C109="allocated",C109="ruled"),COUNT(A$1:A108)+1,"")</f>
        <v/>
      </c>
      <c r="B109" s="3">
        <f>IF(A109&lt;&gt;"","CoQ-PP_26-"&amp;TEXT(A109,"000"),"— at issue —")</f>
        <v/>
      </c>
      <c r="C109" s="4" t="inlineStr">
        <is>
          <t>yes</t>
        </is>
      </c>
      <c r="D109" s="5">
        <f>IF(OR(A109="",C109="allocated",C109="ruled"),"",MAX(E109,IF(ISNUMBER(I109),I109,0),IFERROR(IF(ISNUMBER(INDEX('iCoA Register'!$F:$F,MATCH(S109,'iCoA Register'!$AA:$AA,0))),INDEX('iCoA Register'!$F:$F,MATCH(S109,'iCoA Register'!$AA:$AA,0)),0),0)))</f>
        <v/>
      </c>
      <c r="E109" s="5">
        <f>IF(ISNUMBER(F109),MAX(DATE(2026,6,6),F109+7),"— awaiting the retest certificates —")</f>
        <v/>
      </c>
      <c r="F109" s="5" t="n">
        <v>46276</v>
      </c>
      <c r="G109" s="2" t="inlineStr">
        <is>
          <t>220-29-M-26</t>
        </is>
      </c>
      <c r="H109" s="2">
        <f>IFERROR(INDEX('iCoA Register'!$B:$B,MATCH("P060372|R",'iCoA Register'!$AA:$AA,0)),"—")</f>
        <v/>
      </c>
      <c r="I109" s="5">
        <f>IFERROR(INDEX('iCoA Register'!$D:$D,MATCH("P060372|R",'iCoA Register'!$AA:$AA,0)),"")</f>
        <v/>
      </c>
      <c r="J109" s="2" t="inlineStr">
        <is>
          <t>post-SOP</t>
        </is>
      </c>
      <c r="K109" s="2" t="inlineStr">
        <is>
          <t>retest — Tranche 2 (sampled 12–14.08.2026)</t>
        </is>
      </c>
      <c r="L109" s="3" t="inlineStr">
        <is>
          <t>CC012603</t>
        </is>
      </c>
      <c r="M109" s="2" t="inlineStr">
        <is>
          <t>P060372</t>
        </is>
      </c>
      <c r="N109" s="2" t="inlineStr">
        <is>
          <t>Cash Cow</t>
        </is>
      </c>
      <c r="O109" s="2" t="inlineStr">
        <is>
          <t>220-29-K-26, (26.08.2026) [FHM-K]</t>
        </is>
      </c>
      <c r="P109" s="6" t="inlineStr">
        <is>
          <t>—</t>
        </is>
      </c>
      <c r="Q109" s="2" t="inlineStr">
        <is>
          <t>—</t>
        </is>
      </c>
      <c r="R109" s="2" t="inlineStr">
        <is>
          <t>CoQ reissue (assigned on issue)</t>
        </is>
      </c>
      <c r="S109" s="2" t="inlineStr">
        <is>
          <t>P060372|R</t>
        </is>
      </c>
      <c r="T109" s="7" t="inlineStr">
        <is>
          <t>registered — retest, Tranche 2 (sampled 12–14.08.2026), sampled 14.08.2026; issued 18.09.2026, 7 days after 220-29-M-26 of 11.09.2026; cites iCoA-PP_26-133 of 17.08.2026</t>
        </is>
      </c>
      <c r="U109" s="2">
        <f>IFERROR(INDEX('CoQ Register'!$B:$B,MATCH("P060372|I",'CoQ Register'!$S:$S,0)),"— initial certificate not on the register —")</f>
        <v/>
      </c>
      <c r="V109" s="10" t="n">
        <v>14.76</v>
      </c>
      <c r="W109" s="2" t="inlineStr">
        <is>
          <t>220-29-К/26</t>
        </is>
      </c>
      <c r="X109" s="2" t="inlineStr">
        <is>
          <t>14.00 ± 1.35 (II)</t>
        </is>
      </c>
      <c r="Y109" s="2" t="inlineStr">
        <is>
          <t>12.65 – 15.34 %</t>
        </is>
      </c>
      <c r="Z109" s="2" t="inlineStr">
        <is>
          <t>CC_THC14 : CBD1</t>
        </is>
      </c>
      <c r="AA109" s="2" t="inlineStr">
        <is>
          <t>QCSP_001_CC-II_v.01</t>
        </is>
      </c>
      <c r="AB109" s="8" t="inlineStr">
        <is>
          <t>for review — replaces the issued QCSP_001_CC-II_v.01 (was CC_THC14 : CBD1, 12.60 – 15.40 %); now CC_THC14 : CBD1 12.65 – 15.34 %</t>
        </is>
      </c>
      <c r="AC109" s="11" t="inlineStr"/>
    </row>
    <row r="110">
      <c r="A110" s="2">
        <f>IF(OR(C110="yes",C110="allocated",C110="ruled"),COUNT(A$1:A109)+1,"")</f>
        <v/>
      </c>
      <c r="B110" s="3">
        <f>IF(A110&lt;&gt;"","CoQ-PP_26-"&amp;TEXT(A110,"000"),"— at issue —")</f>
        <v/>
      </c>
      <c r="C110" s="4" t="inlineStr">
        <is>
          <t>yes</t>
        </is>
      </c>
      <c r="D110" s="5">
        <f>IF(OR(A110="",C110="allocated",C110="ruled"),"",MAX(E110,IF(ISNUMBER(I110),I110,0),IFERROR(IF(ISNUMBER(INDEX('iCoA Register'!$F:$F,MATCH(S110,'iCoA Register'!$AA:$AA,0))),INDEX('iCoA Register'!$F:$F,MATCH(S110,'iCoA Register'!$AA:$AA,0)),0),0)))</f>
        <v/>
      </c>
      <c r="E110" s="5">
        <f>IF(ISNUMBER(F110),MAX(DATE(2026,6,6),F110+7),"— awaiting the retest certificates —")</f>
        <v/>
      </c>
      <c r="F110" s="5" t="n">
        <v>46276</v>
      </c>
      <c r="G110" s="2" t="inlineStr">
        <is>
          <t>220-6-M-26</t>
        </is>
      </c>
      <c r="H110" s="2">
        <f>IFERROR(INDEX('iCoA Register'!$B:$B,MATCH("P060132|R",'iCoA Register'!$AA:$AA,0)),"—")</f>
        <v/>
      </c>
      <c r="I110" s="5">
        <f>IFERROR(INDEX('iCoA Register'!$D:$D,MATCH("P060132|R",'iCoA Register'!$AA:$AA,0)),"")</f>
        <v/>
      </c>
      <c r="J110" s="2" t="inlineStr">
        <is>
          <t>legacy</t>
        </is>
      </c>
      <c r="K110" s="2" t="inlineStr">
        <is>
          <t>retest — Tranche 2 (sampled 12–14.08.2026)</t>
        </is>
      </c>
      <c r="L110" s="3" t="inlineStr">
        <is>
          <t>CF102501</t>
        </is>
      </c>
      <c r="M110" s="2" t="inlineStr">
        <is>
          <t>P060132</t>
        </is>
      </c>
      <c r="N110" s="2" t="inlineStr">
        <is>
          <t>Chem Flyer</t>
        </is>
      </c>
      <c r="O110" s="2" t="inlineStr">
        <is>
          <t>220-6-K-26, (25.08.2026) [FHM-K]</t>
        </is>
      </c>
      <c r="P110" s="6" t="inlineStr">
        <is>
          <t>—</t>
        </is>
      </c>
      <c r="Q110" s="2" t="inlineStr">
        <is>
          <t>—</t>
        </is>
      </c>
      <c r="R110" s="2" t="inlineStr">
        <is>
          <t>CoQ reissue (assigned on issue)</t>
        </is>
      </c>
      <c r="S110" s="2" t="inlineStr">
        <is>
          <t>P060132|R</t>
        </is>
      </c>
      <c r="T110" s="7" t="inlineStr">
        <is>
          <t>registered — retest, Tranche 2 (sampled 12–14.08.2026), sampled 12.08.2026; issued 18.09.2026, 7 days after 220-6-M-26 of 11.09.2026; cites iCoA-PP_26-113 of 17.08.2026</t>
        </is>
      </c>
      <c r="U110" s="2">
        <f>IFERROR(INDEX('CoQ Register'!$B:$B,MATCH("P060132|I",'CoQ Register'!$S:$S,0)),"— initial certificate not on the register —")</f>
        <v/>
      </c>
      <c r="V110" s="10" t="n">
        <v>9.550000000000001</v>
      </c>
      <c r="W110" s="2" t="inlineStr">
        <is>
          <t>220-6-К/26</t>
        </is>
      </c>
      <c r="X110" s="2" t="inlineStr">
        <is>
          <t>10.00 ± 1.00 (I)</t>
        </is>
      </c>
      <c r="Y110" s="2" t="inlineStr">
        <is>
          <t>9.00 – 10.99 %</t>
        </is>
      </c>
      <c r="Z110" s="2" t="inlineStr">
        <is>
          <t>CF_THC10 : CBD1</t>
        </is>
      </c>
      <c r="AA110" s="2" t="inlineStr">
        <is>
          <t>QCSP_001_CF-I_v.01</t>
        </is>
      </c>
      <c r="AB110" s="8" t="inlineStr">
        <is>
          <t>for review — replaces the issued QCSP_001_CF-I_v.01 (was CF_THC10 : CBD1, 9.00 – 11.00 %); now CF_THC10 : CBD1 9.00 – 10.99 %</t>
        </is>
      </c>
      <c r="AC110" s="11" t="inlineStr"/>
    </row>
    <row r="111">
      <c r="A111" s="2">
        <f>IF(OR(C111="yes",C111="allocated",C111="ruled"),COUNT(A$1:A110)+1,"")</f>
        <v/>
      </c>
      <c r="B111" s="3">
        <f>IF(A111&lt;&gt;"","CoQ-PP_26-"&amp;TEXT(A111,"000"),"— at issue —")</f>
        <v/>
      </c>
      <c r="C111" s="4" t="inlineStr">
        <is>
          <t>yes</t>
        </is>
      </c>
      <c r="D111" s="5">
        <f>IF(OR(A111="",C111="allocated",C111="ruled"),"",MAX(E111,IF(ISNUMBER(I111),I111,0),IFERROR(IF(ISNUMBER(INDEX('iCoA Register'!$F:$F,MATCH(S111,'iCoA Register'!$AA:$AA,0))),INDEX('iCoA Register'!$F:$F,MATCH(S111,'iCoA Register'!$AA:$AA,0)),0),0)))</f>
        <v/>
      </c>
      <c r="E111" s="5">
        <f>IF(ISNUMBER(F111),MAX(DATE(2026,6,6),F111+7),"— awaiting the retest certificates —")</f>
        <v/>
      </c>
      <c r="F111" s="5" t="n">
        <v>46276</v>
      </c>
      <c r="G111" s="2" t="inlineStr">
        <is>
          <t>220-3-M-26</t>
        </is>
      </c>
      <c r="H111" s="2">
        <f>IFERROR(INDEX('iCoA Register'!$B:$B,MATCH("P050222|R2",'iCoA Register'!$AA:$AA,0)),"—")</f>
        <v/>
      </c>
      <c r="I111" s="5">
        <f>IFERROR(INDEX('iCoA Register'!$D:$D,MATCH("P050222|R2",'iCoA Register'!$AA:$AA,0)),"")</f>
        <v/>
      </c>
      <c r="J111" s="2" t="inlineStr">
        <is>
          <t>legacy</t>
        </is>
      </c>
      <c r="K111" s="2" t="inlineStr">
        <is>
          <t>retest — Tranche 2 (sampled 12–14.08.2026)</t>
        </is>
      </c>
      <c r="L111" s="3" t="inlineStr">
        <is>
          <t>CJ062501/1</t>
        </is>
      </c>
      <c r="M111" s="2" t="inlineStr">
        <is>
          <t>P050222</t>
        </is>
      </c>
      <c r="N111" s="2" t="inlineStr">
        <is>
          <t>Cap Junky</t>
        </is>
      </c>
      <c r="O111" s="2" t="inlineStr">
        <is>
          <t>220-3-K-26, (25.08.2026) [FHM-K]</t>
        </is>
      </c>
      <c r="P111" s="6" t="inlineStr">
        <is>
          <t>—</t>
        </is>
      </c>
      <c r="Q111" s="2" t="inlineStr">
        <is>
          <t>—</t>
        </is>
      </c>
      <c r="R111" s="2" t="inlineStr">
        <is>
          <t>CoQ reissue (assigned on issue)</t>
        </is>
      </c>
      <c r="S111" s="2" t="inlineStr">
        <is>
          <t>P050222|R2</t>
        </is>
      </c>
      <c r="T111" s="7" t="inlineStr">
        <is>
          <t>registered — retest, Tranche 2 (sampled 12–14.08.2026), sampled 12.08.2026; issued 18.09.2026, 7 days after 220-3-M-26 of 11.09.2026; cites the campaign iCoA of 17.08.2026</t>
        </is>
      </c>
      <c r="U111" s="2">
        <f>IFERROR(INDEX('CoQ Register'!$B:$B,MATCH("P050222|I",'CoQ Register'!$S:$S,0)),"— initial certificate not on the register —")</f>
        <v/>
      </c>
      <c r="V111" s="10" t="n">
        <v>24.8</v>
      </c>
      <c r="W111" s="2" t="inlineStr">
        <is>
          <t>220-3-К/26</t>
        </is>
      </c>
      <c r="X111" s="2" t="inlineStr">
        <is>
          <t>24.00 ± 2.40 (II)</t>
        </is>
      </c>
      <c r="Y111" s="2" t="inlineStr">
        <is>
          <t>21.60 – 26.39 %</t>
        </is>
      </c>
      <c r="Z111" s="2" t="inlineStr">
        <is>
          <t>CJ_THC24 : CBD1</t>
        </is>
      </c>
      <c r="AA111" s="2" t="inlineStr">
        <is>
          <t>QCSP_001_CJ-II_v.01</t>
        </is>
      </c>
      <c r="AB111" s="8" t="inlineStr">
        <is>
          <t>for review — replaces the issued QCSP_001_CJ-II_v.01 (was CJ_THC26 : CBD1, 25.01 – 26.99 %); now CJ_THC24 : CBD1 21.60 – 26.39 %</t>
        </is>
      </c>
      <c r="AC111" s="11" t="inlineStr"/>
    </row>
    <row r="112">
      <c r="A112" s="2">
        <f>IF(OR(C112="yes",C112="allocated",C112="ruled"),COUNT(A$1:A111)+1,"")</f>
        <v/>
      </c>
      <c r="B112" s="3">
        <f>IF(A112&lt;&gt;"","CoQ-PP_26-"&amp;TEXT(A112,"000"),"— at issue —")</f>
        <v/>
      </c>
      <c r="C112" s="4" t="inlineStr">
        <is>
          <t>yes</t>
        </is>
      </c>
      <c r="D112" s="5">
        <f>IF(OR(A112="",C112="allocated",C112="ruled"),"",MAX(E112,IF(ISNUMBER(I112),I112,0),IFERROR(IF(ISNUMBER(INDEX('iCoA Register'!$F:$F,MATCH(S112,'iCoA Register'!$AA:$AA,0))),INDEX('iCoA Register'!$F:$F,MATCH(S112,'iCoA Register'!$AA:$AA,0)),0),0)))</f>
        <v/>
      </c>
      <c r="E112" s="5">
        <f>IF(ISNUMBER(F112),MAX(DATE(2026,6,6),F112+7),"— awaiting the retest certificates —")</f>
        <v/>
      </c>
      <c r="F112" s="5" t="n">
        <v>46276</v>
      </c>
      <c r="G112" s="2" t="inlineStr">
        <is>
          <t>220-4-M-26</t>
        </is>
      </c>
      <c r="H112" s="2">
        <f>IFERROR(INDEX('iCoA Register'!$B:$B,MATCH("P060022|R",'iCoA Register'!$AA:$AA,0)),"—")</f>
        <v/>
      </c>
      <c r="I112" s="5">
        <f>IFERROR(INDEX('iCoA Register'!$D:$D,MATCH("P060022|R",'iCoA Register'!$AA:$AA,0)),"")</f>
        <v/>
      </c>
      <c r="J112" s="2" t="inlineStr">
        <is>
          <t>legacy</t>
        </is>
      </c>
      <c r="K112" s="2" t="inlineStr">
        <is>
          <t>retest — Tranche 2 (sampled 12–14.08.2026)</t>
        </is>
      </c>
      <c r="L112" s="3" t="inlineStr">
        <is>
          <t>CJ082501/1</t>
        </is>
      </c>
      <c r="M112" s="2" t="inlineStr">
        <is>
          <t>P060022</t>
        </is>
      </c>
      <c r="N112" s="2" t="inlineStr">
        <is>
          <t>Cap Junky</t>
        </is>
      </c>
      <c r="O112" s="2" t="inlineStr">
        <is>
          <t>220-4-K-26, (25.08.2026) [FHM-K]</t>
        </is>
      </c>
      <c r="P112" s="6" t="inlineStr">
        <is>
          <t>—</t>
        </is>
      </c>
      <c r="Q112" s="2" t="inlineStr">
        <is>
          <t>—</t>
        </is>
      </c>
      <c r="R112" s="2" t="inlineStr">
        <is>
          <t>CoQ reissue (assigned on issue)</t>
        </is>
      </c>
      <c r="S112" s="2" t="inlineStr">
        <is>
          <t>P060022|R</t>
        </is>
      </c>
      <c r="T112" s="7" t="inlineStr">
        <is>
          <t>registered — retest, Tranche 2 (sampled 12–14.08.2026), sampled 12.08.2026; issued 18.09.2026, 7 days after 220-4-M-26 of 11.09.2026; cites iCoA-PP_26-115 of 17.08.2026</t>
        </is>
      </c>
      <c r="U112" s="2">
        <f>IFERROR(INDEX('CoQ Register'!$B:$B,MATCH("P060022|I",'CoQ Register'!$S:$S,0)),"— initial certificate not on the register —")</f>
        <v/>
      </c>
      <c r="V112" s="10" t="n">
        <v>28.34</v>
      </c>
      <c r="W112" s="2" t="inlineStr">
        <is>
          <t>220-4-К/26</t>
        </is>
      </c>
      <c r="X112" s="2" t="inlineStr">
        <is>
          <t>28.00 ± 1.60 (I)</t>
        </is>
      </c>
      <c r="Y112" s="2" t="inlineStr">
        <is>
          <t>26.40 – 29.59 %</t>
        </is>
      </c>
      <c r="Z112" s="2" t="inlineStr">
        <is>
          <t>CJ_THC28 : CBD1</t>
        </is>
      </c>
      <c r="AA112" s="2" t="inlineStr">
        <is>
          <t>QCSP_001_CJ-I_v.01</t>
        </is>
      </c>
      <c r="AB112" s="8" t="inlineStr">
        <is>
          <t>for review — replaces the issued QCSP_001_CJ-I_v.01 (was CJ_THC28 : CBD1, 27.00 – 29.00 %); now CJ_THC28 : CBD1 26.40 – 29.59 %</t>
        </is>
      </c>
      <c r="AC112" s="11" t="inlineStr"/>
    </row>
    <row r="113">
      <c r="A113" s="2">
        <f>IF(OR(C113="yes",C113="allocated",C113="ruled"),COUNT(A$1:A112)+1,"")</f>
        <v/>
      </c>
      <c r="B113" s="3">
        <f>IF(A113&lt;&gt;"","CoQ-PP_26-"&amp;TEXT(A113,"000"),"— at issue —")</f>
        <v/>
      </c>
      <c r="C113" s="4" t="inlineStr">
        <is>
          <t>yes</t>
        </is>
      </c>
      <c r="D113" s="5">
        <f>IF(OR(A113="",C113="allocated",C113="ruled"),"",MAX(E113,IF(ISNUMBER(I113),I113,0),IFERROR(IF(ISNUMBER(INDEX('iCoA Register'!$F:$F,MATCH(S113,'iCoA Register'!$AA:$AA,0))),INDEX('iCoA Register'!$F:$F,MATCH(S113,'iCoA Register'!$AA:$AA,0)),0),0)))</f>
        <v/>
      </c>
      <c r="E113" s="5">
        <f>IF(ISNUMBER(F113),MAX(DATE(2026,6,6),F113+7),"— awaiting the retest certificates —")</f>
        <v/>
      </c>
      <c r="F113" s="5" t="n">
        <v>46276</v>
      </c>
      <c r="G113" s="2" t="inlineStr">
        <is>
          <t>220-5-M-26</t>
        </is>
      </c>
      <c r="H113" s="2">
        <f>IFERROR(INDEX('iCoA Register'!$B:$B,MATCH("P060072|R",'iCoA Register'!$AA:$AA,0)),"—")</f>
        <v/>
      </c>
      <c r="I113" s="5">
        <f>IFERROR(INDEX('iCoA Register'!$D:$D,MATCH("P060072|R",'iCoA Register'!$AA:$AA,0)),"")</f>
        <v/>
      </c>
      <c r="J113" s="2" t="inlineStr">
        <is>
          <t>legacy</t>
        </is>
      </c>
      <c r="K113" s="2" t="inlineStr">
        <is>
          <t>retest — Tranche 2 (sampled 12–14.08.2026)</t>
        </is>
      </c>
      <c r="L113" s="3" t="inlineStr">
        <is>
          <t>CJ092501</t>
        </is>
      </c>
      <c r="M113" s="2" t="inlineStr">
        <is>
          <t>P060072</t>
        </is>
      </c>
      <c r="N113" s="2" t="inlineStr">
        <is>
          <t>Cap Junky</t>
        </is>
      </c>
      <c r="O113" s="2" t="inlineStr">
        <is>
          <t>220-5-K-26, (25.08.2026) [FHM-K]</t>
        </is>
      </c>
      <c r="P113" s="6" t="inlineStr">
        <is>
          <t>—</t>
        </is>
      </c>
      <c r="Q113" s="2" t="inlineStr">
        <is>
          <t>—</t>
        </is>
      </c>
      <c r="R113" s="2" t="inlineStr">
        <is>
          <t>CoQ reissue (assigned on issue)</t>
        </is>
      </c>
      <c r="S113" s="2" t="inlineStr">
        <is>
          <t>P060072|R</t>
        </is>
      </c>
      <c r="T113" s="7" t="inlineStr">
        <is>
          <t>registered — retest, Tranche 2 (sampled 12–14.08.2026), sampled 12.08.2026; issued 18.09.2026, 7 days after 220-5-M-26 of 11.09.2026; cites iCoA-PP_26-116 of 17.08.2026</t>
        </is>
      </c>
      <c r="U113" s="2">
        <f>IFERROR(INDEX('CoQ Register'!$B:$B,MATCH("P060072|I",'CoQ Register'!$S:$S,0)),"— initial certificate not on the register —")</f>
        <v/>
      </c>
      <c r="V113" s="10" t="n">
        <v>25.65</v>
      </c>
      <c r="W113" s="2" t="inlineStr">
        <is>
          <t>220-5-К/26</t>
        </is>
      </c>
      <c r="X113" s="2" t="inlineStr">
        <is>
          <t>24.00 ± 2.40 (II)</t>
        </is>
      </c>
      <c r="Y113" s="2" t="inlineStr">
        <is>
          <t>21.60 – 26.39 %</t>
        </is>
      </c>
      <c r="Z113" s="2" t="inlineStr">
        <is>
          <t>CJ_THC24 : CBD1</t>
        </is>
      </c>
      <c r="AA113" s="2" t="inlineStr">
        <is>
          <t>QCSP_001_CJ-II_v.01</t>
        </is>
      </c>
      <c r="AB113" s="8" t="inlineStr">
        <is>
          <t>for review — replaces the issued QCSP_001_CJ-II_v.01 (was CJ_THC26 : CBD1, 25.01 – 26.99 %); now CJ_THC24 : CBD1 21.60 – 26.39 %</t>
        </is>
      </c>
      <c r="AC113" s="11" t="inlineStr"/>
    </row>
    <row r="114">
      <c r="A114" s="2">
        <f>IF(OR(C114="yes",C114="allocated",C114="ruled"),COUNT(A$1:A113)+1,"")</f>
        <v/>
      </c>
      <c r="B114" s="3">
        <f>IF(A114&lt;&gt;"","CoQ-PP_26-"&amp;TEXT(A114,"000"),"— at issue —")</f>
        <v/>
      </c>
      <c r="C114" s="4" t="inlineStr">
        <is>
          <t>yes</t>
        </is>
      </c>
      <c r="D114" s="5">
        <f>IF(OR(A114="",C114="allocated",C114="ruled"),"",MAX(E114,IF(ISNUMBER(I114),I114,0),IFERROR(IF(ISNUMBER(INDEX('iCoA Register'!$F:$F,MATCH(S114,'iCoA Register'!$AA:$AA,0))),INDEX('iCoA Register'!$F:$F,MATCH(S114,'iCoA Register'!$AA:$AA,0)),0),0)))</f>
        <v/>
      </c>
      <c r="E114" s="5">
        <f>IF(ISNUMBER(F114),MAX(DATE(2026,6,6),F114+7),"— awaiting the retest certificates —")</f>
        <v/>
      </c>
      <c r="F114" s="5" t="n">
        <v>46276</v>
      </c>
      <c r="G114" s="2" t="inlineStr">
        <is>
          <t>220-7-M-26</t>
        </is>
      </c>
      <c r="H114" s="2">
        <f>IFERROR(INDEX('iCoA Register'!$B:$B,MATCH("P050282|R",'iCoA Register'!$AA:$AA,0)),"—")</f>
        <v/>
      </c>
      <c r="I114" s="5">
        <f>IFERROR(INDEX('iCoA Register'!$D:$D,MATCH("P050282|R",'iCoA Register'!$AA:$AA,0)),"")</f>
        <v/>
      </c>
      <c r="J114" s="2" t="inlineStr">
        <is>
          <t>legacy</t>
        </is>
      </c>
      <c r="K114" s="2" t="inlineStr">
        <is>
          <t>retest — Tranche 2 (sampled 12–14.08.2026)</t>
        </is>
      </c>
      <c r="L114" s="3" t="inlineStr">
        <is>
          <t>CLE072501</t>
        </is>
      </c>
      <c r="M114" s="2" t="inlineStr">
        <is>
          <t>P050282</t>
        </is>
      </c>
      <c r="N114" s="2" t="inlineStr">
        <is>
          <t>Clemosa A Bud</t>
        </is>
      </c>
      <c r="O114" s="2" t="inlineStr">
        <is>
          <t>220-7-K-26, (25.08.2026) [FHM-K]</t>
        </is>
      </c>
      <c r="P114" s="6" t="inlineStr">
        <is>
          <t>—</t>
        </is>
      </c>
      <c r="Q114" s="2" t="inlineStr">
        <is>
          <t>—</t>
        </is>
      </c>
      <c r="R114" s="2" t="inlineStr">
        <is>
          <t>CoQ reissue (assigned on issue)</t>
        </is>
      </c>
      <c r="S114" s="2" t="inlineStr">
        <is>
          <t>P050282|R</t>
        </is>
      </c>
      <c r="T114" s="7" t="inlineStr">
        <is>
          <t>registered — retest, Tranche 2 (sampled 12–14.08.2026), sampled 12.08.2026; issued 18.09.2026, 7 days after 220-7-M-26 of 11.09.2026; cites iCoA-PP_26-117 of 17.08.2026</t>
        </is>
      </c>
      <c r="U114" s="2">
        <f>IFERROR(INDEX('CoQ Register'!$B:$B,MATCH("P050282|I",'CoQ Register'!$S:$S,0)),"— initial certificate not on the register —")</f>
        <v/>
      </c>
      <c r="V114" s="10" t="n">
        <v>8.65</v>
      </c>
      <c r="W114" s="2" t="inlineStr">
        <is>
          <t>220-7-К/26</t>
        </is>
      </c>
      <c r="X114" s="2" t="inlineStr">
        <is>
          <t>8.00 ± 0.80 (I)</t>
        </is>
      </c>
      <c r="Y114" s="2" t="inlineStr">
        <is>
          <t>7.20 – 8.79 %</t>
        </is>
      </c>
      <c r="Z114" s="2" t="inlineStr">
        <is>
          <t>CLE_THC8 : CBD1</t>
        </is>
      </c>
      <c r="AA114" s="2" t="inlineStr">
        <is>
          <t>QCSP_001_CLE-I_v.01</t>
        </is>
      </c>
      <c r="AB114" s="8" t="inlineStr">
        <is>
          <t>for review — replaces the issued QCSP_001_CLE-I_v.01 (was CLE_THC8 : CBD1, 7.20 – 8.80 %); now CLE_THC8 : CBD1 7.20 – 8.79 %</t>
        </is>
      </c>
      <c r="AC114" s="11" t="inlineStr"/>
    </row>
    <row r="115">
      <c r="A115" s="2">
        <f>IF(OR(C115="yes",C115="allocated",C115="ruled"),COUNT(A$1:A114)+1,"")</f>
        <v/>
      </c>
      <c r="B115" s="3">
        <f>IF(A115&lt;&gt;"","CoQ-PP_26-"&amp;TEXT(A115,"000"),"— at issue —")</f>
        <v/>
      </c>
      <c r="C115" s="4" t="inlineStr">
        <is>
          <t>yes</t>
        </is>
      </c>
      <c r="D115" s="5">
        <f>IF(OR(A115="",C115="allocated",C115="ruled"),"",MAX(E115,IF(ISNUMBER(I115),I115,0),IFERROR(IF(ISNUMBER(INDEX('iCoA Register'!$F:$F,MATCH(S115,'iCoA Register'!$AA:$AA,0))),INDEX('iCoA Register'!$F:$F,MATCH(S115,'iCoA Register'!$AA:$AA,0)),0),0)))</f>
        <v/>
      </c>
      <c r="E115" s="5">
        <f>IF(ISNUMBER(F115),MAX(DATE(2026,6,6),F115+7),"— awaiting the retest certificates —")</f>
        <v/>
      </c>
      <c r="F115" s="5" t="n">
        <v>46276</v>
      </c>
      <c r="G115" s="2" t="inlineStr">
        <is>
          <t>220-8-M-26</t>
        </is>
      </c>
      <c r="H115" s="2">
        <f>IFERROR(INDEX('iCoA Register'!$B:$B,MATCH("P060322|R",'iCoA Register'!$AA:$AA,0)),"—")</f>
        <v/>
      </c>
      <c r="I115" s="5">
        <f>IFERROR(INDEX('iCoA Register'!$D:$D,MATCH("P060322|R",'iCoA Register'!$AA:$AA,0)),"")</f>
        <v/>
      </c>
      <c r="J115" s="2" t="inlineStr">
        <is>
          <t>post-SOP</t>
        </is>
      </c>
      <c r="K115" s="2" t="inlineStr">
        <is>
          <t>retest — Tranche 2 (sampled 12–14.08.2026)</t>
        </is>
      </c>
      <c r="L115" s="3" t="inlineStr">
        <is>
          <t>FB012601_1</t>
        </is>
      </c>
      <c r="M115" s="2" t="inlineStr">
        <is>
          <t>P060322</t>
        </is>
      </c>
      <c r="N115" s="2" t="inlineStr">
        <is>
          <t>Fat Bastard</t>
        </is>
      </c>
      <c r="O115" s="2" t="inlineStr">
        <is>
          <t>220-8-K-26, (25.08.2026) [FHM-K]</t>
        </is>
      </c>
      <c r="P115" s="6" t="inlineStr">
        <is>
          <t>—</t>
        </is>
      </c>
      <c r="Q115" s="2" t="inlineStr">
        <is>
          <t>—</t>
        </is>
      </c>
      <c r="R115" s="2" t="inlineStr">
        <is>
          <t>CoQ reissue (assigned on issue)</t>
        </is>
      </c>
      <c r="S115" s="2" t="inlineStr">
        <is>
          <t>P060322|R</t>
        </is>
      </c>
      <c r="T115" s="7" t="inlineStr">
        <is>
          <t>registered — retest, Tranche 2 (sampled 12–14.08.2026), sampled 12.08.2026; issued 18.09.2026, 7 days after 220-8-M-26 of 11.09.2026; cites iCoA-PP_26-118 of 17.08.2026</t>
        </is>
      </c>
      <c r="U115" s="2">
        <f>IFERROR(INDEX('CoQ Register'!$B:$B,MATCH("P060322|I",'CoQ Register'!$S:$S,0)),"— initial certificate not on the register —")</f>
        <v/>
      </c>
      <c r="V115" s="10" t="n">
        <v>17.99</v>
      </c>
      <c r="W115" s="2" t="inlineStr">
        <is>
          <t>220-8-К/26</t>
        </is>
      </c>
      <c r="X115" s="2" t="inlineStr">
        <is>
          <t>18.00 ± 1.80 (II)</t>
        </is>
      </c>
      <c r="Y115" s="2" t="inlineStr">
        <is>
          <t>16.20 – 19.79 %</t>
        </is>
      </c>
      <c r="Z115" s="2" t="inlineStr">
        <is>
          <t>FB_THC18 : CBD1</t>
        </is>
      </c>
      <c r="AA115" s="2" t="inlineStr">
        <is>
          <t>QCSP_001_FB-II_v.01</t>
        </is>
      </c>
      <c r="AB115" s="8" t="inlineStr">
        <is>
          <t>for review — replaces the issued QCSP_001_FB-II_v.01 (was FB_THC18 : CBD1, 17.15 – 18.85 %); now FB_THC18 : CBD1 16.20 – 19.79 %</t>
        </is>
      </c>
      <c r="AC115" s="11" t="inlineStr"/>
    </row>
    <row r="116">
      <c r="A116" s="2">
        <f>IF(OR(C116="yes",C116="allocated",C116="ruled"),COUNT(A$1:A115)+1,"")</f>
        <v/>
      </c>
      <c r="B116" s="3">
        <f>IF(A116&lt;&gt;"","CoQ-PP_26-"&amp;TEXT(A116,"000"),"— at issue —")</f>
        <v/>
      </c>
      <c r="C116" s="4" t="inlineStr">
        <is>
          <t>yes</t>
        </is>
      </c>
      <c r="D116" s="5">
        <f>IF(OR(A116="",C116="allocated",C116="ruled"),"",MAX(E116,IF(ISNUMBER(I116),I116,0),IFERROR(IF(ISNUMBER(INDEX('iCoA Register'!$F:$F,MATCH(S116,'iCoA Register'!$AA:$AA,0))),INDEX('iCoA Register'!$F:$F,MATCH(S116,'iCoA Register'!$AA:$AA,0)),0),0)))</f>
        <v/>
      </c>
      <c r="E116" s="5">
        <f>IF(ISNUMBER(F116),MAX(DATE(2026,6,6),F116+7),"— awaiting the retest certificates —")</f>
        <v/>
      </c>
      <c r="F116" s="5" t="n">
        <v>46276</v>
      </c>
      <c r="G116" s="2" t="inlineStr">
        <is>
          <t>220-9-M-26</t>
        </is>
      </c>
      <c r="H116" s="2">
        <f>IFERROR(INDEX('iCoA Register'!$B:$B,MATCH("GG1024|R",'iCoA Register'!$AA:$AA,0)),"—")</f>
        <v/>
      </c>
      <c r="I116" s="5">
        <f>IFERROR(INDEX('iCoA Register'!$D:$D,MATCH("GG1024|R",'iCoA Register'!$AA:$AA,0)),"")</f>
        <v/>
      </c>
      <c r="J116" s="2" t="inlineStr">
        <is>
          <t>legacy</t>
        </is>
      </c>
      <c r="K116" s="2" t="inlineStr">
        <is>
          <t>retest — Tranche 2 (sampled 12–14.08.2026)</t>
        </is>
      </c>
      <c r="L116" s="3" t="inlineStr">
        <is>
          <t>GG1024</t>
        </is>
      </c>
      <c r="M116" s="2" t="inlineStr">
        <is>
          <t>N/A — no P batch assigned</t>
        </is>
      </c>
      <c r="N116" s="2" t="inlineStr">
        <is>
          <t>Gorilla Glue</t>
        </is>
      </c>
      <c r="O116" s="2" t="inlineStr">
        <is>
          <t>220-9-K-26, (25.08.2026) [FHM-K]</t>
        </is>
      </c>
      <c r="P116" s="6" t="inlineStr">
        <is>
          <t>—</t>
        </is>
      </c>
      <c r="Q116" s="2" t="inlineStr">
        <is>
          <t>—</t>
        </is>
      </c>
      <c r="R116" s="2" t="inlineStr">
        <is>
          <t>CoQ-PP-2026-0029</t>
        </is>
      </c>
      <c r="S116" s="2" t="inlineStr">
        <is>
          <t>GG1024|R</t>
        </is>
      </c>
      <c r="T116" s="7" t="inlineStr">
        <is>
          <t>registered — retest, Tranche 2 (sampled 12–14.08.2026), sampled 12.08.2026; issued 18.09.2026, 7 days after 220-9-M-26 of 11.09.2026; cites iCoA-PP_26-119 of 17.08.2026</t>
        </is>
      </c>
      <c r="U116" s="2">
        <f>IFERROR(INDEX('CoQ Register'!$B:$B,MATCH("GG1024|I",'CoQ Register'!$S:$S,0)),"— initial certificate not on the register —")</f>
        <v/>
      </c>
      <c r="V116" s="10" t="n">
        <v>15.51</v>
      </c>
      <c r="W116" s="2" t="inlineStr">
        <is>
          <t>220-9-К/26</t>
        </is>
      </c>
      <c r="X116" s="2" t="inlineStr">
        <is>
          <t>15.00 ± 1.23 (II)</t>
        </is>
      </c>
      <c r="Y116" s="2" t="inlineStr">
        <is>
          <t>13.77 – 16.22 %</t>
        </is>
      </c>
      <c r="Z116" s="2" t="inlineStr">
        <is>
          <t>GG_THC15 : CBD1</t>
        </is>
      </c>
      <c r="AA116" s="2" t="inlineStr">
        <is>
          <t>QCSP_001_GG-II_v.01</t>
        </is>
      </c>
      <c r="AB116" s="8" t="inlineStr">
        <is>
          <t>for review — replaces the issued QCSP_001_GG-II_v.01 (was GG_THC16 : CBD1, 15.00 – 17.00 %); now GG_THC15 : CBD1 13.77 – 16.22 %</t>
        </is>
      </c>
      <c r="AC116" s="11" t="inlineStr"/>
    </row>
    <row r="117">
      <c r="A117" s="2">
        <f>IF(OR(C117="yes",C117="allocated",C117="ruled"),COUNT(A$1:A116)+1,"")</f>
        <v/>
      </c>
      <c r="B117" s="3">
        <f>IF(A117&lt;&gt;"","CoQ-PP_26-"&amp;TEXT(A117,"000"),"— at issue —")</f>
        <v/>
      </c>
      <c r="C117" s="4" t="inlineStr">
        <is>
          <t>yes</t>
        </is>
      </c>
      <c r="D117" s="5">
        <f>IF(OR(A117="",C117="allocated",C117="ruled"),"",MAX(E117,IF(ISNUMBER(I117),I117,0),IFERROR(IF(ISNUMBER(INDEX('iCoA Register'!$F:$F,MATCH(S117,'iCoA Register'!$AA:$AA,0))),INDEX('iCoA Register'!$F:$F,MATCH(S117,'iCoA Register'!$AA:$AA,0)),0),0)))</f>
        <v/>
      </c>
      <c r="E117" s="5">
        <f>IF(ISNUMBER(F117),MAX(DATE(2026,6,6),F117+7),"— awaiting the retest certificates —")</f>
        <v/>
      </c>
      <c r="F117" s="5" t="n">
        <v>46276</v>
      </c>
      <c r="G117" s="2" t="inlineStr">
        <is>
          <t>220-10-M-26</t>
        </is>
      </c>
      <c r="H117" s="2">
        <f>IFERROR(INDEX('iCoA Register'!$B:$B,MATCH("P050302|R",'iCoA Register'!$AA:$AA,0)),"—")</f>
        <v/>
      </c>
      <c r="I117" s="5">
        <f>IFERROR(INDEX('iCoA Register'!$D:$D,MATCH("P050302|R",'iCoA Register'!$AA:$AA,0)),"")</f>
        <v/>
      </c>
      <c r="J117" s="2" t="inlineStr">
        <is>
          <t>legacy</t>
        </is>
      </c>
      <c r="K117" s="2" t="inlineStr">
        <is>
          <t>retest — Tranche 2 (sampled 12–14.08.2026)</t>
        </is>
      </c>
      <c r="L117" s="3" t="inlineStr">
        <is>
          <t>GP072501/2</t>
        </is>
      </c>
      <c r="M117" s="2" t="inlineStr">
        <is>
          <t>P050302</t>
        </is>
      </c>
      <c r="N117" s="2" t="inlineStr">
        <is>
          <t>Grape Pie</t>
        </is>
      </c>
      <c r="O117" s="2" t="inlineStr">
        <is>
          <t>220-10-K-26, (25.08.2026) [FHM-K]</t>
        </is>
      </c>
      <c r="P117" s="6" t="inlineStr">
        <is>
          <t>—</t>
        </is>
      </c>
      <c r="Q117" s="2" t="inlineStr">
        <is>
          <t>—</t>
        </is>
      </c>
      <c r="R117" s="2" t="inlineStr">
        <is>
          <t>CoQ reissue (assigned on issue)</t>
        </is>
      </c>
      <c r="S117" s="2" t="inlineStr">
        <is>
          <t>P050302|R</t>
        </is>
      </c>
      <c r="T117" s="7" t="inlineStr">
        <is>
          <t>registered — retest, Tranche 2 (sampled 12–14.08.2026), sampled 12.08.2026; issued 18.09.2026, 7 days after 220-10-M-26 of 11.09.2026; cites iCoA-PP_26-120 of 17.08.2026</t>
        </is>
      </c>
      <c r="U117" s="2">
        <f>IFERROR(INDEX('CoQ Register'!$B:$B,MATCH("P050302|I",'CoQ Register'!$S:$S,0)),"— initial certificate not on the register —")</f>
        <v/>
      </c>
      <c r="V117" s="10" t="n">
        <v>18.29</v>
      </c>
      <c r="W117" s="2" t="inlineStr">
        <is>
          <t>220-10-К/26</t>
        </is>
      </c>
      <c r="X117" s="2" t="inlineStr">
        <is>
          <t>20.00 ± 2.00 (III)</t>
        </is>
      </c>
      <c r="Y117" s="2" t="inlineStr">
        <is>
          <t>18.00 – 21.99 %</t>
        </is>
      </c>
      <c r="Z117" s="2" t="inlineStr">
        <is>
          <t>GP_THC20 : CBD1</t>
        </is>
      </c>
      <c r="AA117" s="2" t="inlineStr">
        <is>
          <t>QCSP_001_GP-III_v.01</t>
        </is>
      </c>
      <c r="AB117" s="8" t="inlineStr">
        <is>
          <t>for review — replaces the issued QCSP_001_GP-III_v.01 (was GP_THC24 : CBD1, 22.61 – 25.39 %); now GP_THC20 : CBD1 18.00 – 21.99 %</t>
        </is>
      </c>
      <c r="AC117" s="11" t="inlineStr"/>
    </row>
    <row r="118">
      <c r="A118" s="2">
        <f>IF(OR(C118="yes",C118="allocated",C118="ruled"),COUNT(A$1:A117)+1,"")</f>
        <v/>
      </c>
      <c r="B118" s="3">
        <f>IF(A118&lt;&gt;"","CoQ-PP_26-"&amp;TEXT(A118,"000"),"— at issue —")</f>
        <v/>
      </c>
      <c r="C118" s="4" t="inlineStr">
        <is>
          <t>yes</t>
        </is>
      </c>
      <c r="D118" s="5">
        <f>IF(OR(A118="",C118="allocated",C118="ruled"),"",MAX(E118,IF(ISNUMBER(I118),I118,0),IFERROR(IF(ISNUMBER(INDEX('iCoA Register'!$F:$F,MATCH(S118,'iCoA Register'!$AA:$AA,0))),INDEX('iCoA Register'!$F:$F,MATCH(S118,'iCoA Register'!$AA:$AA,0)),0),0)))</f>
        <v/>
      </c>
      <c r="E118" s="5">
        <f>IF(ISNUMBER(F118),MAX(DATE(2026,6,6),F118+7),"— awaiting the retest certificates —")</f>
        <v/>
      </c>
      <c r="F118" s="5" t="n">
        <v>46276</v>
      </c>
      <c r="G118" s="2" t="inlineStr">
        <is>
          <t>220-11-M-26</t>
        </is>
      </c>
      <c r="H118" s="2">
        <f>IFERROR(INDEX('iCoA Register'!$B:$B,MATCH("P050072|R4",'iCoA Register'!$AA:$AA,0)),"—")</f>
        <v/>
      </c>
      <c r="I118" s="5">
        <f>IFERROR(INDEX('iCoA Register'!$D:$D,MATCH("P050072|R4",'iCoA Register'!$AA:$AA,0)),"")</f>
        <v/>
      </c>
      <c r="J118" s="2" t="inlineStr">
        <is>
          <t>legacy</t>
        </is>
      </c>
      <c r="K118" s="2" t="inlineStr">
        <is>
          <t>retest — Tranche 2 (sampled 12–14.08.2026)</t>
        </is>
      </c>
      <c r="L118" s="3" t="inlineStr">
        <is>
          <t>GP0824_03</t>
        </is>
      </c>
      <c r="M118" s="2" t="inlineStr">
        <is>
          <t>P050072</t>
        </is>
      </c>
      <c r="N118" s="2" t="inlineStr">
        <is>
          <t>Grape Pie</t>
        </is>
      </c>
      <c r="O118" s="2" t="inlineStr">
        <is>
          <t>220-11-K-26, (25.08.2026) [FHM-K]</t>
        </is>
      </c>
      <c r="P118" s="6" t="inlineStr">
        <is>
          <t>—</t>
        </is>
      </c>
      <c r="Q118" s="2" t="inlineStr">
        <is>
          <t>—</t>
        </is>
      </c>
      <c r="R118" s="2" t="inlineStr">
        <is>
          <t>CoQ-PP-2026-0036</t>
        </is>
      </c>
      <c r="S118" s="2" t="inlineStr">
        <is>
          <t>P050072|R4</t>
        </is>
      </c>
      <c r="T118" s="7" t="inlineStr">
        <is>
          <t>registered — retest, Tranche 2 (sampled 12–14.08.2026), sampled 12.08.2026; issued 18.09.2026, 7 days after 220-11-M-26 of 11.09.2026; cites the campaign iCoA of 17.08.2026</t>
        </is>
      </c>
      <c r="U118" s="2">
        <f>IFERROR(INDEX('CoQ Register'!$B:$B,MATCH("P050072|I",'CoQ Register'!$S:$S,0)),"— initial certificate not on the register —")</f>
        <v/>
      </c>
      <c r="V118" s="10" t="n">
        <v>28.3</v>
      </c>
      <c r="W118" s="2" t="inlineStr">
        <is>
          <t>220-11-К/26</t>
        </is>
      </c>
      <c r="X118" s="2" t="inlineStr">
        <is>
          <t>28.00 ± 2.00 (I)</t>
        </is>
      </c>
      <c r="Y118" s="2" t="inlineStr">
        <is>
          <t>26.00 – 29.99 %</t>
        </is>
      </c>
      <c r="Z118" s="2" t="inlineStr">
        <is>
          <t>GP_THC28 : CBD1</t>
        </is>
      </c>
      <c r="AA118" s="2" t="inlineStr">
        <is>
          <t>QCSP_001_GP-I_v.01</t>
        </is>
      </c>
      <c r="AB118" s="8" t="inlineStr">
        <is>
          <t>for review — replaces the issued QCSP_001_GP-I_v.01 (was GP_THC28 : CBD1, 26.61 – 29.39 %); now GP_THC28 : CBD1 26.00 – 29.99 %</t>
        </is>
      </c>
      <c r="AC118" s="11" t="inlineStr"/>
    </row>
    <row r="119">
      <c r="A119" s="2">
        <f>IF(OR(C119="yes",C119="allocated",C119="ruled"),COUNT(A$1:A118)+1,"")</f>
        <v/>
      </c>
      <c r="B119" s="3">
        <f>IF(A119&lt;&gt;"","CoQ-PP_26-"&amp;TEXT(A119,"000"),"— at issue —")</f>
        <v/>
      </c>
      <c r="C119" s="4" t="inlineStr">
        <is>
          <t>yes</t>
        </is>
      </c>
      <c r="D119" s="5">
        <f>IF(OR(A119="",C119="allocated",C119="ruled"),"",MAX(E119,IF(ISNUMBER(I119),I119,0),IFERROR(IF(ISNUMBER(INDEX('iCoA Register'!$F:$F,MATCH(S119,'iCoA Register'!$AA:$AA,0))),INDEX('iCoA Register'!$F:$F,MATCH(S119,'iCoA Register'!$AA:$AA,0)),0),0)))</f>
        <v/>
      </c>
      <c r="E119" s="5">
        <f>IF(ISNUMBER(F119),MAX(DATE(2026,6,6),F119+7),"— awaiting the retest certificates —")</f>
        <v/>
      </c>
      <c r="F119" s="5" t="n">
        <v>46276</v>
      </c>
      <c r="G119" s="2" t="inlineStr">
        <is>
          <t>220-12-M-26</t>
        </is>
      </c>
      <c r="H119" s="2">
        <f>IFERROR(INDEX('iCoA Register'!$B:$B,MATCH("P050312|R",'iCoA Register'!$AA:$AA,0)),"—")</f>
        <v/>
      </c>
      <c r="I119" s="5">
        <f>IFERROR(INDEX('iCoA Register'!$D:$D,MATCH("P050312|R",'iCoA Register'!$AA:$AA,0)),"")</f>
        <v/>
      </c>
      <c r="J119" s="2" t="inlineStr">
        <is>
          <t>legacy</t>
        </is>
      </c>
      <c r="K119" s="2" t="inlineStr">
        <is>
          <t>retest — Tranche 2 (sampled 12–14.08.2026)</t>
        </is>
      </c>
      <c r="L119" s="3" t="inlineStr">
        <is>
          <t>GP082501/1</t>
        </is>
      </c>
      <c r="M119" s="2" t="inlineStr">
        <is>
          <t>P050312</t>
        </is>
      </c>
      <c r="N119" s="2" t="inlineStr">
        <is>
          <t>Grape Pie</t>
        </is>
      </c>
      <c r="O119" s="2" t="inlineStr">
        <is>
          <t>220-12-K-26, (25.08.2026) [FHM-K]</t>
        </is>
      </c>
      <c r="P119" s="6" t="inlineStr">
        <is>
          <t>—</t>
        </is>
      </c>
      <c r="Q119" s="2" t="inlineStr">
        <is>
          <t>—</t>
        </is>
      </c>
      <c r="R119" s="2" t="inlineStr">
        <is>
          <t>CoQ reissue (assigned on issue)</t>
        </is>
      </c>
      <c r="S119" s="2" t="inlineStr">
        <is>
          <t>P050312|R</t>
        </is>
      </c>
      <c r="T119" s="7" t="inlineStr">
        <is>
          <t>registered — retest, Tranche 2 (sampled 12–14.08.2026), sampled 13.08.2026; issued 18.09.2026, 7 days after 220-12-M-26 of 11.09.2026; cites iCoA-PP_26-122 of 17.08.2026</t>
        </is>
      </c>
      <c r="U119" s="2">
        <f>IFERROR(INDEX('CoQ Register'!$B:$B,MATCH("P050312|I",'CoQ Register'!$S:$S,0)),"— initial certificate not on the register —")</f>
        <v/>
      </c>
      <c r="V119" s="10" t="n">
        <v>25.13</v>
      </c>
      <c r="W119" s="2" t="inlineStr">
        <is>
          <t>220-12-К/26</t>
        </is>
      </c>
      <c r="X119" s="2" t="inlineStr">
        <is>
          <t>24.00 ± 2.00 (II)</t>
        </is>
      </c>
      <c r="Y119" s="2" t="inlineStr">
        <is>
          <t>22.00 – 25.99 %</t>
        </is>
      </c>
      <c r="Z119" s="2" t="inlineStr">
        <is>
          <t>GP_THC24 : CBD1</t>
        </is>
      </c>
      <c r="AA119" s="2" t="inlineStr">
        <is>
          <t>QCSP_001_GP-II_v.01</t>
        </is>
      </c>
      <c r="AB119" s="8" t="inlineStr">
        <is>
          <t>for review — replaces the issued QCSP_001_GP-II_v.01 (was GP_THC26 : CBD1, 25.40 – 26.60 %); now GP_THC24 : CBD1 22.00 – 25.99 %</t>
        </is>
      </c>
      <c r="AC119" s="11" t="inlineStr"/>
    </row>
    <row r="120">
      <c r="A120" s="2">
        <f>IF(OR(C120="yes",C120="allocated",C120="ruled"),COUNT(A$1:A119)+1,"")</f>
        <v/>
      </c>
      <c r="B120" s="3">
        <f>IF(A120&lt;&gt;"","CoQ-PP_26-"&amp;TEXT(A120,"000"),"— at issue —")</f>
        <v/>
      </c>
      <c r="C120" s="4" t="inlineStr">
        <is>
          <t>yes</t>
        </is>
      </c>
      <c r="D120" s="5">
        <f>IF(OR(A120="",C120="allocated",C120="ruled"),"",MAX(E120,IF(ISNUMBER(I120),I120,0),IFERROR(IF(ISNUMBER(INDEX('iCoA Register'!$F:$F,MATCH(S120,'iCoA Register'!$AA:$AA,0))),INDEX('iCoA Register'!$F:$F,MATCH(S120,'iCoA Register'!$AA:$AA,0)),0),0)))</f>
        <v/>
      </c>
      <c r="E120" s="5">
        <f>IF(ISNUMBER(F120),MAX(DATE(2026,6,6),F120+7),"— awaiting the retest certificates —")</f>
        <v/>
      </c>
      <c r="F120" s="5" t="n">
        <v>46276</v>
      </c>
      <c r="G120" s="2" t="inlineStr">
        <is>
          <t>220-13-M-26</t>
        </is>
      </c>
      <c r="H120" s="2">
        <f>IFERROR(INDEX('iCoA Register'!$B:$B,MATCH("P060092|R",'iCoA Register'!$AA:$AA,0)),"—")</f>
        <v/>
      </c>
      <c r="I120" s="5">
        <f>IFERROR(INDEX('iCoA Register'!$D:$D,MATCH("P060092|R",'iCoA Register'!$AA:$AA,0)),"")</f>
        <v/>
      </c>
      <c r="J120" s="2" t="inlineStr">
        <is>
          <t>legacy</t>
        </is>
      </c>
      <c r="K120" s="2" t="inlineStr">
        <is>
          <t>retest — Tranche 2 (sampled 12–14.08.2026)</t>
        </is>
      </c>
      <c r="L120" s="3" t="inlineStr">
        <is>
          <t>GP092501</t>
        </is>
      </c>
      <c r="M120" s="2" t="inlineStr">
        <is>
          <t>P060092</t>
        </is>
      </c>
      <c r="N120" s="2" t="inlineStr">
        <is>
          <t>Grape Pie</t>
        </is>
      </c>
      <c r="O120" s="2" t="inlineStr">
        <is>
          <t>220-13-K-26, (25.08.2026) [FHM-K]</t>
        </is>
      </c>
      <c r="P120" s="6" t="inlineStr">
        <is>
          <t>—</t>
        </is>
      </c>
      <c r="Q120" s="2" t="inlineStr">
        <is>
          <t>—</t>
        </is>
      </c>
      <c r="R120" s="2" t="inlineStr">
        <is>
          <t>CoQ reissue (assigned on issue)</t>
        </is>
      </c>
      <c r="S120" s="2" t="inlineStr">
        <is>
          <t>P060092|R</t>
        </is>
      </c>
      <c r="T120" s="7" t="inlineStr">
        <is>
          <t>registered — retest, Tranche 2 (sampled 12–14.08.2026), sampled 13.08.2026; issued 18.09.2026, 7 days after 220-13-M-26 of 11.09.2026; cites iCoA-PP_26-123 of 17.08.2026</t>
        </is>
      </c>
      <c r="U120" s="2">
        <f>IFERROR(INDEX('CoQ Register'!$B:$B,MATCH("P060092|I",'CoQ Register'!$S:$S,0)),"— initial certificate not on the register —")</f>
        <v/>
      </c>
      <c r="V120" s="10" t="n">
        <v>25.24</v>
      </c>
      <c r="W120" s="2" t="inlineStr">
        <is>
          <t>220-13-К/26</t>
        </is>
      </c>
      <c r="X120" s="2" t="inlineStr">
        <is>
          <t>24.00 ± 2.00 (II)</t>
        </is>
      </c>
      <c r="Y120" s="2" t="inlineStr">
        <is>
          <t>22.00 – 25.99 %</t>
        </is>
      </c>
      <c r="Z120" s="2" t="inlineStr">
        <is>
          <t>GP_THC24 : CBD1</t>
        </is>
      </c>
      <c r="AA120" s="2" t="inlineStr">
        <is>
          <t>QCSP_001_GP-II_v.01</t>
        </is>
      </c>
      <c r="AB120" s="8" t="inlineStr">
        <is>
          <t>for review — replaces the issued QCSP_001_GP-II_v.01 (was GP_THC26 : CBD1, 25.40 – 26.60 %); now GP_THC24 : CBD1 22.00 – 25.99 %</t>
        </is>
      </c>
      <c r="AC120" s="11" t="inlineStr"/>
    </row>
    <row r="121">
      <c r="A121" s="2">
        <f>IF(OR(C121="yes",C121="allocated",C121="ruled"),COUNT(A$1:A120)+1,"")</f>
        <v/>
      </c>
      <c r="B121" s="3">
        <f>IF(A121&lt;&gt;"","CoQ-PP_26-"&amp;TEXT(A121,"000"),"— at issue —")</f>
        <v/>
      </c>
      <c r="C121" s="4" t="inlineStr">
        <is>
          <t>yes</t>
        </is>
      </c>
      <c r="D121" s="5">
        <f>IF(OR(A121="",C121="allocated",C121="ruled"),"",MAX(E121,IF(ISNUMBER(I121),I121,0),IFERROR(IF(ISNUMBER(INDEX('iCoA Register'!$F:$F,MATCH(S121,'iCoA Register'!$AA:$AA,0))),INDEX('iCoA Register'!$F:$F,MATCH(S121,'iCoA Register'!$AA:$AA,0)),0),0)))</f>
        <v/>
      </c>
      <c r="E121" s="5">
        <f>IF(ISNUMBER(F121),MAX(DATE(2026,6,6),F121+7),"— awaiting the retest certificates —")</f>
        <v/>
      </c>
      <c r="F121" s="5" t="n">
        <v>46276</v>
      </c>
      <c r="G121" s="2" t="inlineStr">
        <is>
          <t>220-14-M-26</t>
        </is>
      </c>
      <c r="H121" s="2">
        <f>IFERROR(INDEX('iCoA Register'!$B:$B,MATCH("P060182|R2",'iCoA Register'!$AA:$AA,0)),"—")</f>
        <v/>
      </c>
      <c r="I121" s="5">
        <f>IFERROR(INDEX('iCoA Register'!$D:$D,MATCH("P060182|R2",'iCoA Register'!$AA:$AA,0)),"")</f>
        <v/>
      </c>
      <c r="J121" s="2" t="inlineStr">
        <is>
          <t>legacy</t>
        </is>
      </c>
      <c r="K121" s="2" t="inlineStr">
        <is>
          <t>retest — Tranche 2 (sampled 12–14.08.2026)</t>
        </is>
      </c>
      <c r="L121" s="3" t="inlineStr">
        <is>
          <t>GRC102501</t>
        </is>
      </c>
      <c r="M121" s="2" t="inlineStr">
        <is>
          <t>P060182</t>
        </is>
      </c>
      <c r="N121" s="2" t="inlineStr">
        <is>
          <t>Grapes And Cream</t>
        </is>
      </c>
      <c r="O121" s="2" t="inlineStr">
        <is>
          <t>220-14-K-26, (25.08.2026) [FHM-K]</t>
        </is>
      </c>
      <c r="P121" s="6" t="inlineStr">
        <is>
          <t>—</t>
        </is>
      </c>
      <c r="Q121" s="2" t="inlineStr">
        <is>
          <t>—</t>
        </is>
      </c>
      <c r="R121" s="2" t="inlineStr">
        <is>
          <t>CoQ reissue (assigned on issue)</t>
        </is>
      </c>
      <c r="S121" s="2" t="inlineStr">
        <is>
          <t>P060182|R2</t>
        </is>
      </c>
      <c r="T121" s="7" t="inlineStr">
        <is>
          <t>registered — retest, Tranche 2 (sampled 12–14.08.2026), sampled 13.08.2026; issued 18.09.2026, 7 days after 220-14-M-26 of 11.09.2026; cites the campaign iCoA of 17.08.2026</t>
        </is>
      </c>
      <c r="U121" s="2">
        <f>IFERROR(INDEX('CoQ Register'!$B:$B,MATCH("P060182|I",'CoQ Register'!$S:$S,0)),"— initial certificate not on the register —")</f>
        <v/>
      </c>
      <c r="V121" s="10" t="n">
        <v>9.800000000000001</v>
      </c>
      <c r="W121" s="2" t="inlineStr">
        <is>
          <t>220-14-К/26</t>
        </is>
      </c>
      <c r="X121" s="2" t="inlineStr">
        <is>
          <t>10.00 ± 1.00 (II)</t>
        </is>
      </c>
      <c r="Y121" s="2" t="inlineStr">
        <is>
          <t>9.00 – 10.99 %</t>
        </is>
      </c>
      <c r="Z121" s="2" t="inlineStr">
        <is>
          <t>GRC_THC10 : CBD1</t>
        </is>
      </c>
      <c r="AA121" s="2" t="inlineStr">
        <is>
          <t>QCSP_001_GRC-II_v.01</t>
        </is>
      </c>
      <c r="AB121" s="11" t="inlineStr">
        <is>
          <t>for review — new</t>
        </is>
      </c>
      <c r="AC121" s="11" t="inlineStr"/>
    </row>
    <row r="122">
      <c r="A122" s="2">
        <f>IF(OR(C122="yes",C122="allocated",C122="ruled"),COUNT(A$1:A121)+1,"")</f>
        <v/>
      </c>
      <c r="B122" s="3">
        <f>IF(A122&lt;&gt;"","CoQ-PP_26-"&amp;TEXT(A122,"000"),"— at issue —")</f>
        <v/>
      </c>
      <c r="C122" s="4" t="inlineStr">
        <is>
          <t>yes</t>
        </is>
      </c>
      <c r="D122" s="5">
        <f>IF(OR(A122="",C122="allocated",C122="ruled"),"",MAX(E122,IF(ISNUMBER(I122),I122,0),IFERROR(IF(ISNUMBER(INDEX('iCoA Register'!$F:$F,MATCH(S122,'iCoA Register'!$AA:$AA,0))),INDEX('iCoA Register'!$F:$F,MATCH(S122,'iCoA Register'!$AA:$AA,0)),0),0)))</f>
        <v/>
      </c>
      <c r="E122" s="5">
        <f>IF(ISNUMBER(F122),MAX(DATE(2026,6,6),F122+7),"— awaiting the retest certificates —")</f>
        <v/>
      </c>
      <c r="F122" s="5" t="n">
        <v>46276</v>
      </c>
      <c r="G122" s="2" t="inlineStr">
        <is>
          <t>220-15-M-26</t>
        </is>
      </c>
      <c r="H122" s="2">
        <f>IFERROR(INDEX('iCoA Register'!$B:$B,MATCH("P050182|R",'iCoA Register'!$AA:$AA,0)),"—")</f>
        <v/>
      </c>
      <c r="I122" s="5">
        <f>IFERROR(INDEX('iCoA Register'!$D:$D,MATCH("P050182|R",'iCoA Register'!$AA:$AA,0)),"")</f>
        <v/>
      </c>
      <c r="J122" s="2" t="inlineStr">
        <is>
          <t>legacy</t>
        </is>
      </c>
      <c r="K122" s="2" t="inlineStr">
        <is>
          <t>retest — Tranche 2 (sampled 12–14.08.2026)</t>
        </is>
      </c>
      <c r="L122" s="3" t="inlineStr">
        <is>
          <t>HPA052501</t>
        </is>
      </c>
      <c r="M122" s="2" t="inlineStr">
        <is>
          <t>P050182</t>
        </is>
      </c>
      <c r="N122" s="2" t="inlineStr">
        <is>
          <t>High Pro Amnesia</t>
        </is>
      </c>
      <c r="O122" s="2" t="inlineStr">
        <is>
          <t>220-15-K-26, (25.08.2026) [FHM-K]</t>
        </is>
      </c>
      <c r="P122" s="6" t="inlineStr">
        <is>
          <t>—</t>
        </is>
      </c>
      <c r="Q122" s="2" t="inlineStr">
        <is>
          <t>—</t>
        </is>
      </c>
      <c r="R122" s="2" t="inlineStr">
        <is>
          <t>CoQ reissue (assigned on issue)</t>
        </is>
      </c>
      <c r="S122" s="2" t="inlineStr">
        <is>
          <t>P050182|R</t>
        </is>
      </c>
      <c r="T122" s="7" t="inlineStr">
        <is>
          <t>registered — retest, Tranche 2 (sampled 12–14.08.2026), sampled 13.08.2026; issued 18.09.2026, 7 days after 220-15-M-26 of 11.09.2026; cites iCoA-PP_26-125 of 17.08.2026</t>
        </is>
      </c>
      <c r="U122" s="2">
        <f>IFERROR(INDEX('CoQ Register'!$B:$B,MATCH("P050182|I",'CoQ Register'!$S:$S,0)),"— initial certificate not on the register —")</f>
        <v/>
      </c>
      <c r="V122" s="10" t="n">
        <v>19.69</v>
      </c>
      <c r="W122" s="2" t="inlineStr">
        <is>
          <t>220-15-К/26</t>
        </is>
      </c>
      <c r="X122" s="2" t="inlineStr">
        <is>
          <t>18.00 ± 1.80 (II)</t>
        </is>
      </c>
      <c r="Y122" s="2" t="inlineStr">
        <is>
          <t>16.20 – 19.79 %</t>
        </is>
      </c>
      <c r="Z122" s="2" t="inlineStr">
        <is>
          <t>HPA_THC18 : CBD1</t>
        </is>
      </c>
      <c r="AA122" s="2" t="inlineStr">
        <is>
          <t>QCSP_001_HPA-II_v.01</t>
        </is>
      </c>
      <c r="AB122" s="8" t="inlineStr">
        <is>
          <t>for review — replaces the issued QCSP_001_HPA-II_v.01 (was HPA_THC20 : CBD1, 19.01 – 20.99 %); now HPA_THC18 : CBD1 16.20 – 19.79 %</t>
        </is>
      </c>
      <c r="AC122" s="11" t="inlineStr"/>
    </row>
    <row r="123">
      <c r="A123" s="2">
        <f>IF(OR(C123="yes",C123="allocated",C123="ruled"),COUNT(A$1:A122)+1,"")</f>
        <v/>
      </c>
      <c r="B123" s="3">
        <f>IF(A123&lt;&gt;"","CoQ-PP_26-"&amp;TEXT(A123,"000"),"— at issue —")</f>
        <v/>
      </c>
      <c r="C123" s="4" t="inlineStr">
        <is>
          <t>yes</t>
        </is>
      </c>
      <c r="D123" s="5">
        <f>IF(OR(A123="",C123="allocated",C123="ruled"),"",MAX(E123,IF(ISNUMBER(I123),I123,0),IFERROR(IF(ISNUMBER(INDEX('iCoA Register'!$F:$F,MATCH(S123,'iCoA Register'!$AA:$AA,0))),INDEX('iCoA Register'!$F:$F,MATCH(S123,'iCoA Register'!$AA:$AA,0)),0),0)))</f>
        <v/>
      </c>
      <c r="E123" s="5">
        <f>IF(ISNUMBER(F123),MAX(DATE(2026,6,6),F123+7),"— awaiting the retest certificates —")</f>
        <v/>
      </c>
      <c r="F123" s="5" t="n">
        <v>46276</v>
      </c>
      <c r="G123" s="2" t="inlineStr">
        <is>
          <t>220-16-M-26</t>
        </is>
      </c>
      <c r="H123" s="2">
        <f>IFERROR(INDEX('iCoA Register'!$B:$B,MATCH("P060362|R",'iCoA Register'!$AA:$AA,0)),"—")</f>
        <v/>
      </c>
      <c r="I123" s="5">
        <f>IFERROR(INDEX('iCoA Register'!$D:$D,MATCH("P060362|R",'iCoA Register'!$AA:$AA,0)),"")</f>
        <v/>
      </c>
      <c r="J123" s="2" t="inlineStr">
        <is>
          <t>post-SOP</t>
        </is>
      </c>
      <c r="K123" s="2" t="inlineStr">
        <is>
          <t>retest — Tranche 2 (sampled 12–14.08.2026)</t>
        </is>
      </c>
      <c r="L123" s="3" t="inlineStr">
        <is>
          <t>JD012603</t>
        </is>
      </c>
      <c r="M123" s="2" t="inlineStr">
        <is>
          <t>P060362</t>
        </is>
      </c>
      <c r="N123" s="2" t="inlineStr">
        <is>
          <t>Jelly Donuts</t>
        </is>
      </c>
      <c r="O123" s="2" t="inlineStr">
        <is>
          <t>220-16-K-26, (25.08.2026) [FHM-K]</t>
        </is>
      </c>
      <c r="P123" s="6" t="inlineStr">
        <is>
          <t>—</t>
        </is>
      </c>
      <c r="Q123" s="2" t="inlineStr">
        <is>
          <t>—</t>
        </is>
      </c>
      <c r="R123" s="2" t="inlineStr">
        <is>
          <t>CoQ reissue (assigned on issue)</t>
        </is>
      </c>
      <c r="S123" s="2" t="inlineStr">
        <is>
          <t>P060362|R</t>
        </is>
      </c>
      <c r="T123" s="7" t="inlineStr">
        <is>
          <t>registered — retest, Tranche 2 (sampled 12–14.08.2026), sampled 13.08.2026; issued 18.09.2026, 7 days after 220-16-M-26 of 11.09.2026; cites iCoA-PP_26-128 of 17.08.2026</t>
        </is>
      </c>
      <c r="U123" s="2">
        <f>IFERROR(INDEX('CoQ Register'!$B:$B,MATCH("P060362|I",'CoQ Register'!$S:$S,0)),"— initial certificate not on the register —")</f>
        <v/>
      </c>
      <c r="V123" s="10" t="n">
        <v>21.01</v>
      </c>
      <c r="W123" s="2" t="inlineStr">
        <is>
          <t>220-16-К/26</t>
        </is>
      </c>
      <c r="X123" s="2" t="inlineStr">
        <is>
          <t>22.00 ± 2.20 (I)</t>
        </is>
      </c>
      <c r="Y123" s="2" t="inlineStr">
        <is>
          <t>19.80 – 24.19 %</t>
        </is>
      </c>
      <c r="Z123" s="2" t="inlineStr">
        <is>
          <t>JD_THC22 : CBD1</t>
        </is>
      </c>
      <c r="AA123" s="2" t="inlineStr">
        <is>
          <t>QCSP_001_JD-I_v.01</t>
        </is>
      </c>
      <c r="AB123" s="8" t="inlineStr">
        <is>
          <t>for review — replaces the issued QCSP_001_JD-I_v.01 (was JD_THC20 : CBD1, 18.00 – 22.00 %); now JD_THC22 : CBD1 19.80 – 24.19 %</t>
        </is>
      </c>
      <c r="AC123" s="11" t="inlineStr"/>
    </row>
    <row r="124">
      <c r="A124" s="2">
        <f>IF(OR(C124="yes",C124="allocated",C124="ruled"),COUNT(A$1:A123)+1,"")</f>
        <v/>
      </c>
      <c r="B124" s="3">
        <f>IF(A124&lt;&gt;"","CoQ-PP_26-"&amp;TEXT(A124,"000"),"— at issue —")</f>
        <v/>
      </c>
      <c r="C124" s="4" t="inlineStr">
        <is>
          <t>yes</t>
        </is>
      </c>
      <c r="D124" s="5">
        <f>IF(OR(A124="",C124="allocated",C124="ruled"),"",MAX(E124,IF(ISNUMBER(I124),I124,0),IFERROR(IF(ISNUMBER(INDEX('iCoA Register'!$F:$F,MATCH(S124,'iCoA Register'!$AA:$AA,0))),INDEX('iCoA Register'!$F:$F,MATCH(S124,'iCoA Register'!$AA:$AA,0)),0),0)))</f>
        <v/>
      </c>
      <c r="E124" s="5">
        <f>IF(ISNUMBER(F124),MAX(DATE(2026,6,6),F124+7),"— awaiting the retest certificates —")</f>
        <v/>
      </c>
      <c r="F124" s="5" t="n">
        <v>46276</v>
      </c>
      <c r="G124" s="2" t="inlineStr">
        <is>
          <t>220-17-M-26</t>
        </is>
      </c>
      <c r="H124" s="2">
        <f>IFERROR(INDEX('iCoA Register'!$B:$B,MATCH("P060412|R",'iCoA Register'!$AA:$AA,0)),"—")</f>
        <v/>
      </c>
      <c r="I124" s="5">
        <f>IFERROR(INDEX('iCoA Register'!$D:$D,MATCH("P060412|R",'iCoA Register'!$AA:$AA,0)),"")</f>
        <v/>
      </c>
      <c r="J124" s="2" t="inlineStr">
        <is>
          <t>post-SOP</t>
        </is>
      </c>
      <c r="K124" s="2" t="inlineStr">
        <is>
          <t>retest — Tranche 2 (sampled 12–14.08.2026)</t>
        </is>
      </c>
      <c r="L124" s="3" t="inlineStr">
        <is>
          <t>JD012603</t>
        </is>
      </c>
      <c r="M124" s="2" t="inlineStr">
        <is>
          <t>P060412</t>
        </is>
      </c>
      <c r="N124" s="2" t="inlineStr">
        <is>
          <t>Jelly Donuts</t>
        </is>
      </c>
      <c r="O124" s="2" t="inlineStr">
        <is>
          <t>220-17-K-26, (26.08.2026) [FHM-K]</t>
        </is>
      </c>
      <c r="P124" s="6" t="inlineStr">
        <is>
          <t>—</t>
        </is>
      </c>
      <c r="Q124" s="2" t="inlineStr">
        <is>
          <t>—</t>
        </is>
      </c>
      <c r="R124" s="2" t="inlineStr">
        <is>
          <t>CoQ reissue (assigned on issue)</t>
        </is>
      </c>
      <c r="S124" s="2" t="inlineStr">
        <is>
          <t>P060412|R</t>
        </is>
      </c>
      <c r="T124" s="7" t="inlineStr">
        <is>
          <t>registered — retest, Tranche 2 (sampled 12–14.08.2026), sampled 13.08.2026; issued 18.09.2026, 7 days after 220-17-M-26 of 11.09.2026; cites iCoA-PP_26-126 of 17.08.2026</t>
        </is>
      </c>
      <c r="U124" s="2">
        <f>IFERROR(INDEX('CoQ Register'!$B:$B,MATCH("P060412|I",'CoQ Register'!$S:$S,0)),"— initial certificate not on the register —")</f>
        <v/>
      </c>
      <c r="V124" s="10" t="n">
        <v>14.43</v>
      </c>
      <c r="W124" s="2" t="inlineStr">
        <is>
          <t>220-17-К/26</t>
        </is>
      </c>
      <c r="X124" s="2" t="inlineStr">
        <is>
          <t>15.00 ± 1.20 (III)</t>
        </is>
      </c>
      <c r="Y124" s="2" t="inlineStr">
        <is>
          <t>13.80 – 16.19 %</t>
        </is>
      </c>
      <c r="Z124" s="2" t="inlineStr">
        <is>
          <t>JD_THC15 : CBD1</t>
        </is>
      </c>
      <c r="AA124" s="2" t="inlineStr">
        <is>
          <t>QCSP_001_JD-III_v.01</t>
        </is>
      </c>
      <c r="AB124" s="11" t="inlineStr">
        <is>
          <t>for review — new</t>
        </is>
      </c>
      <c r="AC124" s="11" t="inlineStr"/>
    </row>
    <row r="125">
      <c r="A125" s="2">
        <f>IF(OR(C125="yes",C125="allocated",C125="ruled"),COUNT(A$1:A124)+1,"")</f>
        <v/>
      </c>
      <c r="B125" s="3">
        <f>IF(A125&lt;&gt;"","CoQ-PP_26-"&amp;TEXT(A125,"000"),"— at issue —")</f>
        <v/>
      </c>
      <c r="C125" s="4" t="inlineStr">
        <is>
          <t>yes</t>
        </is>
      </c>
      <c r="D125" s="5">
        <f>IF(OR(A125="",C125="allocated",C125="ruled"),"",MAX(E125,IF(ISNUMBER(I125),I125,0),IFERROR(IF(ISNUMBER(INDEX('iCoA Register'!$F:$F,MATCH(S125,'iCoA Register'!$AA:$AA,0))),INDEX('iCoA Register'!$F:$F,MATCH(S125,'iCoA Register'!$AA:$AA,0)),0),0)))</f>
        <v/>
      </c>
      <c r="E125" s="5">
        <f>IF(ISNUMBER(F125),MAX(DATE(2026,6,6),F125+7),"— awaiting the retest certificates —")</f>
        <v/>
      </c>
      <c r="F125" s="5" t="n">
        <v>46276</v>
      </c>
      <c r="G125" s="2" t="inlineStr">
        <is>
          <t>220-18-M-26</t>
        </is>
      </c>
      <c r="H125" s="2">
        <f>IFERROR(INDEX('iCoA Register'!$B:$B,MATCH("P060422|R",'iCoA Register'!$AA:$AA,0)),"—")</f>
        <v/>
      </c>
      <c r="I125" s="5">
        <f>IFERROR(INDEX('iCoA Register'!$D:$D,MATCH("P060422|R",'iCoA Register'!$AA:$AA,0)),"")</f>
        <v/>
      </c>
      <c r="J125" s="2" t="inlineStr">
        <is>
          <t>post-SOP</t>
        </is>
      </c>
      <c r="K125" s="2" t="inlineStr">
        <is>
          <t>retest — Tranche 2 (sampled 12–14.08.2026)</t>
        </is>
      </c>
      <c r="L125" s="3" t="inlineStr">
        <is>
          <t>JD012603</t>
        </is>
      </c>
      <c r="M125" s="2" t="inlineStr">
        <is>
          <t>P060422</t>
        </is>
      </c>
      <c r="N125" s="2" t="inlineStr">
        <is>
          <t>Jelly Donuts</t>
        </is>
      </c>
      <c r="O125" s="2" t="inlineStr">
        <is>
          <t>220-18-K-26, (26.08.2026) [FHM-K]</t>
        </is>
      </c>
      <c r="P125" s="6" t="inlineStr">
        <is>
          <t>—</t>
        </is>
      </c>
      <c r="Q125" s="2" t="inlineStr">
        <is>
          <t>—</t>
        </is>
      </c>
      <c r="R125" s="2" t="inlineStr">
        <is>
          <t>CoQ reissue (assigned on issue)</t>
        </is>
      </c>
      <c r="S125" s="2" t="inlineStr">
        <is>
          <t>P060422|R</t>
        </is>
      </c>
      <c r="T125" s="7" t="inlineStr">
        <is>
          <t>registered — retest, Tranche 2 (sampled 12–14.08.2026), sampled 13.08.2026; issued 18.09.2026, 7 days after 220-18-M-26 of 11.09.2026; cites iCoA-PP_26-127 of 17.08.2026</t>
        </is>
      </c>
      <c r="U125" s="2">
        <f>IFERROR(INDEX('CoQ Register'!$B:$B,MATCH("P060422|I",'CoQ Register'!$S:$S,0)),"— initial certificate not on the register —")</f>
        <v/>
      </c>
      <c r="V125" s="10" t="n">
        <v>17.09</v>
      </c>
      <c r="W125" s="2" t="inlineStr">
        <is>
          <t>220-18-К/26</t>
        </is>
      </c>
      <c r="X125" s="2" t="inlineStr">
        <is>
          <t>18.00 ± 1.80 (II)</t>
        </is>
      </c>
      <c r="Y125" s="2" t="inlineStr">
        <is>
          <t>16.20 – 19.79 %</t>
        </is>
      </c>
      <c r="Z125" s="2" t="inlineStr">
        <is>
          <t>JD_THC18 : CBD1</t>
        </is>
      </c>
      <c r="AA125" s="2" t="inlineStr">
        <is>
          <t>QCSP_001_JD-II_v.01</t>
        </is>
      </c>
      <c r="AB125" s="8" t="inlineStr">
        <is>
          <t>for review — replaces the issued QCSP_001_JD-II_v.01 (was JD_THC16 : CBD1, 14.91 – 17.09 %); now JD_THC18 : CBD1 16.20 – 19.79 %</t>
        </is>
      </c>
      <c r="AC125" s="11" t="inlineStr"/>
    </row>
    <row r="126">
      <c r="A126" s="2">
        <f>IF(OR(C126="yes",C126="allocated",C126="ruled"),COUNT(A$1:A125)+1,"")</f>
        <v/>
      </c>
      <c r="B126" s="3">
        <f>IF(A126&lt;&gt;"","CoQ-PP_26-"&amp;TEXT(A126,"000"),"— at issue —")</f>
        <v/>
      </c>
      <c r="C126" s="4" t="inlineStr">
        <is>
          <t>yes</t>
        </is>
      </c>
      <c r="D126" s="5">
        <f>IF(OR(A126="",C126="allocated",C126="ruled"),"",MAX(E126,IF(ISNUMBER(I126),I126,0),IFERROR(IF(ISNUMBER(INDEX('iCoA Register'!$F:$F,MATCH(S126,'iCoA Register'!$AA:$AA,0))),INDEX('iCoA Register'!$F:$F,MATCH(S126,'iCoA Register'!$AA:$AA,0)),0),0)))</f>
        <v/>
      </c>
      <c r="E126" s="5">
        <f>IF(ISNUMBER(F126),MAX(DATE(2026,6,6),F126+7),"— awaiting the retest certificates —")</f>
        <v/>
      </c>
      <c r="F126" s="5" t="n">
        <v>46276</v>
      </c>
      <c r="G126" s="2" t="inlineStr">
        <is>
          <t>220-30-M-26</t>
        </is>
      </c>
      <c r="H126" s="2">
        <f>IFERROR(INDEX('iCoA Register'!$B:$B,MATCH("P060492|R",'iCoA Register'!$AA:$AA,0)),"—")</f>
        <v/>
      </c>
      <c r="I126" s="5">
        <f>IFERROR(INDEX('iCoA Register'!$D:$D,MATCH("P060492|R",'iCoA Register'!$AA:$AA,0)),"")</f>
        <v/>
      </c>
      <c r="J126" s="2" t="inlineStr">
        <is>
          <t>post-SOP</t>
        </is>
      </c>
      <c r="K126" s="2" t="inlineStr">
        <is>
          <t>retest — Tranche 2 (sampled 12–14.08.2026)</t>
        </is>
      </c>
      <c r="L126" s="3" t="inlineStr">
        <is>
          <t>JD042601</t>
        </is>
      </c>
      <c r="M126" s="2" t="inlineStr">
        <is>
          <t>P060492</t>
        </is>
      </c>
      <c r="N126" s="2" t="inlineStr">
        <is>
          <t>Jelly Donuts</t>
        </is>
      </c>
      <c r="O126" s="2" t="inlineStr">
        <is>
          <t>220-30-K-26, (26.08.2026) [FHM-K]</t>
        </is>
      </c>
      <c r="P126" s="6" t="inlineStr">
        <is>
          <t>—</t>
        </is>
      </c>
      <c r="Q126" s="2" t="inlineStr">
        <is>
          <t>—</t>
        </is>
      </c>
      <c r="R126" s="2" t="inlineStr">
        <is>
          <t>CoQ reissue (assigned on issue)</t>
        </is>
      </c>
      <c r="S126" s="2" t="inlineStr">
        <is>
          <t>P060492|R</t>
        </is>
      </c>
      <c r="T126" s="7" t="inlineStr">
        <is>
          <t>registered — retest, Tranche 2 (sampled 12–14.08.2026), sampled 14.08.2026; issued 18.09.2026, 7 days after 220-30-M-26 of 11.09.2026; cites iCoA-PP_26-136 of 17.08.2026</t>
        </is>
      </c>
      <c r="U126" s="2">
        <f>IFERROR(INDEX('CoQ Register'!$B:$B,MATCH("P060492|I",'CoQ Register'!$S:$S,0)),"— initial certificate not on the register —")</f>
        <v/>
      </c>
      <c r="V126" s="10" t="n">
        <v>14.89</v>
      </c>
      <c r="W126" s="2" t="inlineStr">
        <is>
          <t>220-30-К/26</t>
        </is>
      </c>
      <c r="X126" s="2" t="inlineStr">
        <is>
          <t>15.00 ± 1.20 (III)</t>
        </is>
      </c>
      <c r="Y126" s="2" t="inlineStr">
        <is>
          <t>13.80 – 16.19 %</t>
        </is>
      </c>
      <c r="Z126" s="2" t="inlineStr">
        <is>
          <t>JD_THC15 : CBD1</t>
        </is>
      </c>
      <c r="AA126" s="2" t="inlineStr">
        <is>
          <t>QCSP_001_JD-III_v.01</t>
        </is>
      </c>
      <c r="AB126" s="11" t="inlineStr">
        <is>
          <t>for review — new</t>
        </is>
      </c>
      <c r="AC126" s="11" t="inlineStr"/>
    </row>
    <row r="127">
      <c r="A127" s="2">
        <f>IF(OR(C127="yes",C127="allocated",C127="ruled"),COUNT(A$1:A126)+1,"")</f>
        <v/>
      </c>
      <c r="B127" s="3">
        <f>IF(A127&lt;&gt;"","CoQ-PP_26-"&amp;TEXT(A127,"000"),"— at issue —")</f>
        <v/>
      </c>
      <c r="C127" s="4" t="inlineStr">
        <is>
          <t>yes</t>
        </is>
      </c>
      <c r="D127" s="5">
        <f>IF(OR(A127="",C127="allocated",C127="ruled"),"",MAX(E127,IF(ISNUMBER(I127),I127,0),IFERROR(IF(ISNUMBER(INDEX('iCoA Register'!$F:$F,MATCH(S127,'iCoA Register'!$AA:$AA,0))),INDEX('iCoA Register'!$F:$F,MATCH(S127,'iCoA Register'!$AA:$AA,0)),0),0)))</f>
        <v/>
      </c>
      <c r="E127" s="5">
        <f>IF(ISNUMBER(F127),MAX(DATE(2026,6,6),F127+7),"— awaiting the retest certificates —")</f>
        <v/>
      </c>
      <c r="F127" s="5" t="n">
        <v>46276</v>
      </c>
      <c r="G127" s="2" t="inlineStr">
        <is>
          <t>220-19-M-26</t>
        </is>
      </c>
      <c r="H127" s="2">
        <f>IFERROR(INDEX('iCoA Register'!$B:$B,MATCH("P060172|R",'iCoA Register'!$AA:$AA,0)),"—")</f>
        <v/>
      </c>
      <c r="I127" s="5">
        <f>IFERROR(INDEX('iCoA Register'!$D:$D,MATCH("P060172|R",'iCoA Register'!$AA:$AA,0)),"")</f>
        <v/>
      </c>
      <c r="J127" s="2" t="inlineStr">
        <is>
          <t>legacy</t>
        </is>
      </c>
      <c r="K127" s="2" t="inlineStr">
        <is>
          <t>retest — Tranche 2 (sampled 12–14.08.2026)</t>
        </is>
      </c>
      <c r="L127" s="3" t="inlineStr">
        <is>
          <t>KC102501</t>
        </is>
      </c>
      <c r="M127" s="2" t="inlineStr">
        <is>
          <t>P060172</t>
        </is>
      </c>
      <c r="N127" s="2" t="inlineStr">
        <is>
          <t>Kush Crasher</t>
        </is>
      </c>
      <c r="O127" s="2" t="inlineStr">
        <is>
          <t>220-19-K-26, (26.08.2026) [FHM-K]</t>
        </is>
      </c>
      <c r="P127" s="6" t="inlineStr">
        <is>
          <t>—</t>
        </is>
      </c>
      <c r="Q127" s="2" t="inlineStr">
        <is>
          <t>—</t>
        </is>
      </c>
      <c r="R127" s="2" t="inlineStr">
        <is>
          <t>CoQ reissue (assigned on issue)</t>
        </is>
      </c>
      <c r="S127" s="2" t="inlineStr">
        <is>
          <t>P060172|R</t>
        </is>
      </c>
      <c r="T127" s="7" t="inlineStr">
        <is>
          <t>registered — retest, Tranche 2 (sampled 12–14.08.2026), sampled 13.08.2026; issued 18.09.2026, 7 days after 220-19-M-26 of 11.09.2026; cites iCoA-PP_26-129 of 17.08.2026</t>
        </is>
      </c>
      <c r="U127" s="2">
        <f>IFERROR(INDEX('CoQ Register'!$B:$B,MATCH("P060172|I",'CoQ Register'!$S:$S,0)),"— initial certificate not on the register —")</f>
        <v/>
      </c>
      <c r="V127" s="10" t="n">
        <v>17.06</v>
      </c>
      <c r="W127" s="2" t="inlineStr">
        <is>
          <t>220-19-К/26</t>
        </is>
      </c>
      <c r="X127" s="2" t="inlineStr">
        <is>
          <t>18.00 ± 1.80 (I)</t>
        </is>
      </c>
      <c r="Y127" s="2" t="inlineStr">
        <is>
          <t>16.20 – 19.79 %</t>
        </is>
      </c>
      <c r="Z127" s="2" t="inlineStr">
        <is>
          <t>KC_THC18 : CBD1</t>
        </is>
      </c>
      <c r="AA127" s="2" t="inlineStr">
        <is>
          <t>QCSP_001_KC-I_v.01</t>
        </is>
      </c>
      <c r="AB127" s="8" t="inlineStr">
        <is>
          <t>for review — replaces the issued QCSP_001_KC-I_v.01 (was KC_THC18 : CBD1, 16.20 – 19.80 %); now KC_THC18 : CBD1 16.20 – 19.79 %</t>
        </is>
      </c>
      <c r="AC127" s="11" t="inlineStr"/>
    </row>
    <row r="128">
      <c r="A128" s="2">
        <f>IF(OR(C128="yes",C128="allocated",C128="ruled"),COUNT(A$1:A127)+1,"")</f>
        <v/>
      </c>
      <c r="B128" s="3">
        <f>IF(A128&lt;&gt;"","CoQ-PP_26-"&amp;TEXT(A128,"000"),"— at issue —")</f>
        <v/>
      </c>
      <c r="C128" s="4" t="inlineStr">
        <is>
          <t>yes</t>
        </is>
      </c>
      <c r="D128" s="5">
        <f>IF(OR(A128="",C128="allocated",C128="ruled"),"",MAX(E128,IF(ISNUMBER(I128),I128,0),IFERROR(IF(ISNUMBER(INDEX('iCoA Register'!$F:$F,MATCH(S128,'iCoA Register'!$AA:$AA,0))),INDEX('iCoA Register'!$F:$F,MATCH(S128,'iCoA Register'!$AA:$AA,0)),0),0)))</f>
        <v/>
      </c>
      <c r="E128" s="5">
        <f>IF(ISNUMBER(F128),MAX(DATE(2026,6,6),F128+7),"— awaiting the retest certificates —")</f>
        <v/>
      </c>
      <c r="F128" s="5" t="n">
        <v>46276</v>
      </c>
      <c r="G128" s="2" t="inlineStr">
        <is>
          <t>220-20-M-26</t>
        </is>
      </c>
      <c r="H128" s="2">
        <f>IFERROR(INDEX('iCoA Register'!$B:$B,MATCH("P050112|R",'iCoA Register'!$AA:$AA,0)),"—")</f>
        <v/>
      </c>
      <c r="I128" s="5">
        <f>IFERROR(INDEX('iCoA Register'!$D:$D,MATCH("P050112|R",'iCoA Register'!$AA:$AA,0)),"")</f>
        <v/>
      </c>
      <c r="J128" s="2" t="inlineStr">
        <is>
          <t>legacy</t>
        </is>
      </c>
      <c r="K128" s="2" t="inlineStr">
        <is>
          <t>retest — Tranche 2 (sampled 12–14.08.2026)</t>
        </is>
      </c>
      <c r="L128" s="3" t="inlineStr">
        <is>
          <t>MB0824_05</t>
        </is>
      </c>
      <c r="M128" s="2" t="inlineStr">
        <is>
          <t>P050112</t>
        </is>
      </c>
      <c r="N128" s="2" t="inlineStr">
        <is>
          <t>Motor Breath</t>
        </is>
      </c>
      <c r="O128" s="2" t="inlineStr">
        <is>
          <t>220-20-K-26, (26.08.2026) [FHM-K]</t>
        </is>
      </c>
      <c r="P128" s="6" t="inlineStr">
        <is>
          <t>—</t>
        </is>
      </c>
      <c r="Q128" s="2" t="inlineStr">
        <is>
          <t>—</t>
        </is>
      </c>
      <c r="R128" s="2" t="inlineStr">
        <is>
          <t>CoQ-PP-2026-0039</t>
        </is>
      </c>
      <c r="S128" s="2" t="inlineStr">
        <is>
          <t>P050112|R</t>
        </is>
      </c>
      <c r="T128" s="7" t="inlineStr">
        <is>
          <t>registered — retest, Tranche 2 (sampled 12–14.08.2026), sampled 13.08.2026; issued 18.09.2026, 7 days after 220-20-M-26 of 11.09.2026; cites iCoA-PP_26-130 of 17.08.2026</t>
        </is>
      </c>
      <c r="U128" s="2">
        <f>IFERROR(INDEX('CoQ Register'!$B:$B,MATCH("P050112|I",'CoQ Register'!$S:$S,0)),"— initial certificate not on the register —")</f>
        <v/>
      </c>
      <c r="V128" s="10" t="n">
        <v>17.93</v>
      </c>
      <c r="W128" s="2" t="inlineStr">
        <is>
          <t>220-20-К/26</t>
        </is>
      </c>
      <c r="X128" s="2" t="inlineStr">
        <is>
          <t>18.00 ± 1.80 (I)</t>
        </is>
      </c>
      <c r="Y128" s="2" t="inlineStr">
        <is>
          <t>16.20 – 19.79 %</t>
        </is>
      </c>
      <c r="Z128" s="2" t="inlineStr">
        <is>
          <t>MB_THC18 : CBD1</t>
        </is>
      </c>
      <c r="AA128" s="2" t="inlineStr">
        <is>
          <t>QCSP_001_MB-I_v.01</t>
        </is>
      </c>
      <c r="AB128" s="8" t="inlineStr">
        <is>
          <t>for review — replaces the issued QCSP_001_MB-I_v.01 (was MB_THC18 : CBD1, 16.20 – 19.80 %); now MB_THC18 : CBD1 16.20 – 19.79 %</t>
        </is>
      </c>
      <c r="AC128" s="11" t="inlineStr"/>
    </row>
    <row r="129">
      <c r="A129" s="2">
        <f>IF(OR(C129="yes",C129="allocated",C129="ruled"),COUNT(A$1:A128)+1,"")</f>
        <v/>
      </c>
      <c r="B129" s="3">
        <f>IF(A129&lt;&gt;"","CoQ-PP_26-"&amp;TEXT(A129,"000"),"— at issue —")</f>
        <v/>
      </c>
      <c r="C129" s="4" t="inlineStr">
        <is>
          <t>yes</t>
        </is>
      </c>
      <c r="D129" s="5">
        <f>IF(OR(A129="",C129="allocated",C129="ruled"),"",MAX(E129,IF(ISNUMBER(I129),I129,0),IFERROR(IF(ISNUMBER(INDEX('iCoA Register'!$F:$F,MATCH(S129,'iCoA Register'!$AA:$AA,0))),INDEX('iCoA Register'!$F:$F,MATCH(S129,'iCoA Register'!$AA:$AA,0)),0),0)))</f>
        <v/>
      </c>
      <c r="E129" s="5">
        <f>IF(ISNUMBER(F129),MAX(DATE(2026,6,6),F129+7),"— awaiting the retest certificates —")</f>
        <v/>
      </c>
      <c r="F129" s="5" t="n">
        <v>46276</v>
      </c>
      <c r="G129" s="2" t="inlineStr">
        <is>
          <t>220-21-M-26</t>
        </is>
      </c>
      <c r="H129" s="2">
        <f>IFERROR(INDEX('iCoA Register'!$B:$B,MATCH("P050042|R2",'iCoA Register'!$AA:$AA,0)),"—")</f>
        <v/>
      </c>
      <c r="I129" s="5">
        <f>IFERROR(INDEX('iCoA Register'!$D:$D,MATCH("P050042|R2",'iCoA Register'!$AA:$AA,0)),"")</f>
        <v/>
      </c>
      <c r="J129" s="2" t="inlineStr">
        <is>
          <t>legacy</t>
        </is>
      </c>
      <c r="K129" s="2" t="inlineStr">
        <is>
          <t>retest — Tranche 2 (sampled 12–14.08.2026)</t>
        </is>
      </c>
      <c r="L129" s="3" t="inlineStr">
        <is>
          <t>OMP1024_01</t>
        </is>
      </c>
      <c r="M129" s="2" t="inlineStr">
        <is>
          <t>P050042</t>
        </is>
      </c>
      <c r="N129" s="2" t="inlineStr">
        <is>
          <t>Orange Punch Mimosa</t>
        </is>
      </c>
      <c r="O129" s="2" t="inlineStr">
        <is>
          <t>220-21-K-26, (26.08.2026) [FHM-K]</t>
        </is>
      </c>
      <c r="P129" s="6" t="inlineStr">
        <is>
          <t>—</t>
        </is>
      </c>
      <c r="Q129" s="2" t="inlineStr">
        <is>
          <t>—</t>
        </is>
      </c>
      <c r="R129" s="2" t="inlineStr">
        <is>
          <t>CoQ-PP-2026-0033</t>
        </is>
      </c>
      <c r="S129" s="2" t="inlineStr">
        <is>
          <t>P050042|R2</t>
        </is>
      </c>
      <c r="T129" s="7" t="inlineStr">
        <is>
          <t>registered — retest, Tranche 2 (sampled 12–14.08.2026), sampled 13.08.2026; issued 18.09.2026, 7 days after 220-21-M-26 of 11.09.2026; cites the campaign iCoA of 17.08.2026</t>
        </is>
      </c>
      <c r="U129" s="2">
        <f>IFERROR(INDEX('CoQ Register'!$B:$B,MATCH("P050042|I",'CoQ Register'!$S:$S,0)),"— initial certificate not on the register —")</f>
        <v/>
      </c>
      <c r="V129" s="10" t="n">
        <v>18.14</v>
      </c>
      <c r="W129" s="2" t="inlineStr">
        <is>
          <t>220-21-К/26</t>
        </is>
      </c>
      <c r="X129" s="2" t="inlineStr">
        <is>
          <t>17.00 ± 1.60 (II)</t>
        </is>
      </c>
      <c r="Y129" s="2" t="inlineStr">
        <is>
          <t>15.40 – 18.59 %</t>
        </is>
      </c>
      <c r="Z129" s="2" t="inlineStr">
        <is>
          <t>OPM_THC17 : CBD1</t>
        </is>
      </c>
      <c r="AA129" s="2" t="inlineStr">
        <is>
          <t>QCSP_001_OPM-II_v.01</t>
        </is>
      </c>
      <c r="AB129" s="8" t="inlineStr">
        <is>
          <t>for review — replaces the issued QCSP_001_OPM-II_v.01 (was OPM_THC18 : CBD1, 16.20 – 19.80 %); now OPM_THC17 : CBD1 15.40 – 18.59 %</t>
        </is>
      </c>
      <c r="AC129" s="11" t="inlineStr"/>
    </row>
    <row r="130">
      <c r="A130" s="2">
        <f>IF(OR(C130="yes",C130="allocated",C130="ruled"),COUNT(A$1:A129)+1,"")</f>
        <v/>
      </c>
      <c r="B130" s="3">
        <f>IF(A130&lt;&gt;"","CoQ-PP_26-"&amp;TEXT(A130,"000"),"— at issue —")</f>
        <v/>
      </c>
      <c r="C130" s="4" t="inlineStr">
        <is>
          <t>yes</t>
        </is>
      </c>
      <c r="D130" s="5">
        <f>IF(OR(A130="",C130="allocated",C130="ruled"),"",MAX(E130,IF(ISNUMBER(I130),I130,0),IFERROR(IF(ISNUMBER(INDEX('iCoA Register'!$F:$F,MATCH(S130,'iCoA Register'!$AA:$AA,0))),INDEX('iCoA Register'!$F:$F,MATCH(S130,'iCoA Register'!$AA:$AA,0)),0),0)))</f>
        <v/>
      </c>
      <c r="E130" s="5">
        <f>IF(ISNUMBER(F130),MAX(DATE(2026,6,6),F130+7),"— awaiting the retest certificates —")</f>
        <v/>
      </c>
      <c r="F130" s="5" t="n">
        <v>46276</v>
      </c>
      <c r="G130" s="2" t="inlineStr">
        <is>
          <t>220-22-M-26</t>
        </is>
      </c>
      <c r="H130" s="2">
        <f>IFERROR(INDEX('iCoA Register'!$B:$B,MATCH("P060042|R",'iCoA Register'!$AA:$AA,0)),"—")</f>
        <v/>
      </c>
      <c r="I130" s="5">
        <f>IFERROR(INDEX('iCoA Register'!$D:$D,MATCH("P060042|R",'iCoA Register'!$AA:$AA,0)),"")</f>
        <v/>
      </c>
      <c r="J130" s="2" t="inlineStr">
        <is>
          <t>legacy</t>
        </is>
      </c>
      <c r="K130" s="2" t="inlineStr">
        <is>
          <t>retest — Tranche 2 (sampled 12–14.08.2026)</t>
        </is>
      </c>
      <c r="L130" s="3" t="inlineStr">
        <is>
          <t>OPM092501</t>
        </is>
      </c>
      <c r="M130" s="2" t="inlineStr">
        <is>
          <t>P060042</t>
        </is>
      </c>
      <c r="N130" s="2" t="inlineStr">
        <is>
          <t>Orange Punch Mimosa</t>
        </is>
      </c>
      <c r="O130" s="2" t="inlineStr">
        <is>
          <t>220-22-K-26, (26.08.2026) [FHM-K]</t>
        </is>
      </c>
      <c r="P130" s="6" t="inlineStr">
        <is>
          <t>—</t>
        </is>
      </c>
      <c r="Q130" s="2" t="inlineStr">
        <is>
          <t>—</t>
        </is>
      </c>
      <c r="R130" s="2" t="inlineStr">
        <is>
          <t>CoQ reissue (assigned on issue)</t>
        </is>
      </c>
      <c r="S130" s="2" t="inlineStr">
        <is>
          <t>P060042|R</t>
        </is>
      </c>
      <c r="T130" s="7" t="inlineStr">
        <is>
          <t>registered — retest, Tranche 2 (sampled 12–14.08.2026), sampled 13.08.2026; issued 18.09.2026, 7 days after 220-22-M-26 of 11.09.2026; cites iCoA-PP_26-131 of 17.08.2026</t>
        </is>
      </c>
      <c r="U130" s="2">
        <f>IFERROR(INDEX('CoQ Register'!$B:$B,MATCH("P060042|I",'CoQ Register'!$S:$S,0)),"— initial certificate not on the register —")</f>
        <v/>
      </c>
      <c r="V130" s="10" t="n">
        <v>10.18</v>
      </c>
      <c r="W130" s="2" t="inlineStr">
        <is>
          <t>220-22-К/26</t>
        </is>
      </c>
      <c r="X130" s="2" t="inlineStr">
        <is>
          <t>10.00 ± 1.00 (IV)</t>
        </is>
      </c>
      <c r="Y130" s="2" t="inlineStr">
        <is>
          <t>9.00 – 10.99 %</t>
        </is>
      </c>
      <c r="Z130" s="2" t="inlineStr">
        <is>
          <t>OPM_THC10 : CBD1</t>
        </is>
      </c>
      <c r="AA130" s="2" t="inlineStr">
        <is>
          <t>QCSP_001_OPM-IV_v.01</t>
        </is>
      </c>
      <c r="AB130" s="8" t="inlineStr">
        <is>
          <t>for review — replaces the issued QCSP_001_OPM-IV_v.01 (was OPM_THC10 : CBD1, 9.00 – 11.00 %); now OPM_THC10 : CBD1 9.00 – 10.99 %</t>
        </is>
      </c>
      <c r="AC130" s="11" t="inlineStr"/>
    </row>
    <row r="131">
      <c r="A131" s="2">
        <f>IF(OR(C131="yes",C131="allocated",C131="ruled"),COUNT(A$1:A130)+1,"")</f>
        <v/>
      </c>
      <c r="B131" s="3">
        <f>IF(A131&lt;&gt;"","CoQ-PP_26-"&amp;TEXT(A131,"000"),"— at issue —")</f>
        <v/>
      </c>
      <c r="C131" s="4" t="inlineStr">
        <is>
          <t>yes</t>
        </is>
      </c>
      <c r="D131" s="5">
        <f>IF(OR(A131="",C131="allocated",C131="ruled"),"",MAX(E131,IF(ISNUMBER(I131),I131,0),IFERROR(IF(ISNUMBER(INDEX('iCoA Register'!$F:$F,MATCH(S131,'iCoA Register'!$AA:$AA,0))),INDEX('iCoA Register'!$F:$F,MATCH(S131,'iCoA Register'!$AA:$AA,0)),0),0)))</f>
        <v/>
      </c>
      <c r="E131" s="5">
        <f>IF(ISNUMBER(F131),MAX(DATE(2026,6,6),F131+7),"— awaiting the retest certificates —")</f>
        <v/>
      </c>
      <c r="F131" s="5" t="n">
        <v>46276</v>
      </c>
      <c r="G131" s="2" t="inlineStr">
        <is>
          <t>220-23-M-26</t>
        </is>
      </c>
      <c r="H131" s="2">
        <f>IFERROR(INDEX('iCoA Register'!$B:$B,MATCH("P050082|R",'iCoA Register'!$AA:$AA,0)),"—")</f>
        <v/>
      </c>
      <c r="I131" s="5">
        <f>IFERROR(INDEX('iCoA Register'!$D:$D,MATCH("P050082|R",'iCoA Register'!$AA:$AA,0)),"")</f>
        <v/>
      </c>
      <c r="J131" s="2" t="inlineStr">
        <is>
          <t>legacy</t>
        </is>
      </c>
      <c r="K131" s="2" t="inlineStr">
        <is>
          <t>retest — Tranche 2 (sampled 12–14.08.2026)</t>
        </is>
      </c>
      <c r="L131" s="3" t="inlineStr">
        <is>
          <t>OPM1024_03</t>
        </is>
      </c>
      <c r="M131" s="2" t="inlineStr">
        <is>
          <t>P050082</t>
        </is>
      </c>
      <c r="N131" s="2" t="inlineStr">
        <is>
          <t>Orange Punch Mimosa</t>
        </is>
      </c>
      <c r="O131" s="2" t="inlineStr">
        <is>
          <t>220-23-K-26, (26.08.2026) [FHM-K]</t>
        </is>
      </c>
      <c r="P131" s="6" t="inlineStr">
        <is>
          <t>—</t>
        </is>
      </c>
      <c r="Q131" s="2" t="inlineStr">
        <is>
          <t>—</t>
        </is>
      </c>
      <c r="R131" s="2" t="inlineStr">
        <is>
          <t>CoQ-PP-2026-0037</t>
        </is>
      </c>
      <c r="S131" s="2" t="inlineStr">
        <is>
          <t>P050082|R</t>
        </is>
      </c>
      <c r="T131" s="7" t="inlineStr">
        <is>
          <t>registered — retest, Tranche 2 (sampled 12–14.08.2026), sampled 14.08.2026; issued 18.09.2026, 7 days after 220-23-M-26 of 11.09.2026; cites iCoA-PP_26-137 of 17.08.2026</t>
        </is>
      </c>
      <c r="U131" s="2">
        <f>IFERROR(INDEX('CoQ Register'!$B:$B,MATCH("P050082|I",'CoQ Register'!$S:$S,0)),"— initial certificate not on the register —")</f>
        <v/>
      </c>
      <c r="V131" s="10" t="n">
        <v>19.3</v>
      </c>
      <c r="W131" s="2" t="inlineStr">
        <is>
          <t>220-23-К/26</t>
        </is>
      </c>
      <c r="X131" s="2" t="inlineStr">
        <is>
          <t>20.00 ± 1.40 (I)</t>
        </is>
      </c>
      <c r="Y131" s="2" t="inlineStr">
        <is>
          <t>18.60 – 21.39 %</t>
        </is>
      </c>
      <c r="Z131" s="2" t="inlineStr">
        <is>
          <t>OPM_THC20 : CBD1</t>
        </is>
      </c>
      <c r="AA131" s="2" t="inlineStr">
        <is>
          <t>QCSP_001_OPM-I_v.01</t>
        </is>
      </c>
      <c r="AB131" s="8" t="inlineStr">
        <is>
          <t>for review — replaces the issued QCSP_001_OPM-I_v.01 (was OPM_THC22 : CBD1, 19.81 – 24.19 %); now OPM_THC20 : CBD1 18.60 – 21.39 %</t>
        </is>
      </c>
      <c r="AC131" s="11" t="inlineStr"/>
    </row>
    <row r="132">
      <c r="A132" s="2">
        <f>IF(OR(C132="yes",C132="allocated",C132="ruled"),COUNT(A$1:A131)+1,"")</f>
        <v/>
      </c>
      <c r="B132" s="3">
        <f>IF(A132&lt;&gt;"","CoQ-PP_26-"&amp;TEXT(A132,"000"),"— at issue —")</f>
        <v/>
      </c>
      <c r="C132" s="4" t="inlineStr">
        <is>
          <t>yes</t>
        </is>
      </c>
      <c r="D132" s="5">
        <f>IF(OR(A132="",C132="allocated",C132="ruled"),"",MAX(E132,IF(ISNUMBER(I132),I132,0),IFERROR(IF(ISNUMBER(INDEX('iCoA Register'!$F:$F,MATCH(S132,'iCoA Register'!$AA:$AA,0))),INDEX('iCoA Register'!$F:$F,MATCH(S132,'iCoA Register'!$AA:$AA,0)),0),0)))</f>
        <v/>
      </c>
      <c r="E132" s="5">
        <f>IF(ISNUMBER(F132),MAX(DATE(2026,6,6),F132+7),"— awaiting the retest certificates —")</f>
        <v/>
      </c>
      <c r="F132" s="5" t="n">
        <v>46276</v>
      </c>
      <c r="G132" s="2" t="inlineStr">
        <is>
          <t>220-24-M-26</t>
        </is>
      </c>
      <c r="H132" s="2">
        <f>IFERROR(INDEX('iCoA Register'!$B:$B,MATCH("P060232|R",'iCoA Register'!$AA:$AA,0)),"—")</f>
        <v/>
      </c>
      <c r="I132" s="5">
        <f>IFERROR(INDEX('iCoA Register'!$D:$D,MATCH("P060232|R",'iCoA Register'!$AA:$AA,0)),"")</f>
        <v/>
      </c>
      <c r="J132" s="2" t="inlineStr">
        <is>
          <t>legacy</t>
        </is>
      </c>
      <c r="K132" s="2" t="inlineStr">
        <is>
          <t>retest — Tranche 2 (sampled 12–14.08.2026)</t>
        </is>
      </c>
      <c r="L132" s="3" t="inlineStr">
        <is>
          <t>PM112501</t>
        </is>
      </c>
      <c r="M132" s="2" t="inlineStr">
        <is>
          <t>P060232</t>
        </is>
      </c>
      <c r="N132" s="2" t="inlineStr">
        <is>
          <t>Permanent Marker</t>
        </is>
      </c>
      <c r="O132" s="2" t="inlineStr">
        <is>
          <t>220-24-K-26, (26.08.2026) [FHM-K]</t>
        </is>
      </c>
      <c r="P132" s="6" t="inlineStr">
        <is>
          <t>—</t>
        </is>
      </c>
      <c r="Q132" s="2" t="inlineStr">
        <is>
          <t>—</t>
        </is>
      </c>
      <c r="R132" s="2" t="inlineStr">
        <is>
          <t>CoQ reissue (assigned on issue)</t>
        </is>
      </c>
      <c r="S132" s="2" t="inlineStr">
        <is>
          <t>P060232|R</t>
        </is>
      </c>
      <c r="T132" s="7" t="inlineStr">
        <is>
          <t>registered — retest, Tranche 2 (sampled 12–14.08.2026), sampled 14.08.2026; issued 18.09.2026, 7 days after 220-24-M-26 of 11.09.2026; cites iCoA-PP_26-138 of 17.08.2026</t>
        </is>
      </c>
      <c r="U132" s="2">
        <f>IFERROR(INDEX('CoQ Register'!$B:$B,MATCH("P060232|I",'CoQ Register'!$S:$S,0)),"— initial certificate not on the register —")</f>
        <v/>
      </c>
      <c r="V132" s="10" t="n">
        <v>10.8</v>
      </c>
      <c r="W132" s="2" t="inlineStr">
        <is>
          <t>220-24-К/26</t>
        </is>
      </c>
      <c r="X132" s="2" t="inlineStr">
        <is>
          <t>10.00 ± 1.00 (III)</t>
        </is>
      </c>
      <c r="Y132" s="2" t="inlineStr">
        <is>
          <t>9.00 – 10.99 %</t>
        </is>
      </c>
      <c r="Z132" s="2" t="inlineStr">
        <is>
          <t>PM_THC10 : CBD1</t>
        </is>
      </c>
      <c r="AA132" s="2" t="inlineStr">
        <is>
          <t>QCSP_001_PM-III_v.01</t>
        </is>
      </c>
      <c r="AB132" s="11" t="inlineStr">
        <is>
          <t>for review — new</t>
        </is>
      </c>
      <c r="AC132" s="11" t="inlineStr"/>
    </row>
    <row r="133">
      <c r="A133" s="2">
        <f>IF(OR(C133="yes",C133="allocated",C133="ruled"),COUNT(A$1:A132)+1,"")</f>
        <v/>
      </c>
      <c r="B133" s="3">
        <f>IF(A133&lt;&gt;"","CoQ-PP_26-"&amp;TEXT(A133,"000"),"— at issue —")</f>
        <v/>
      </c>
      <c r="C133" s="4" t="inlineStr">
        <is>
          <t>yes</t>
        </is>
      </c>
      <c r="D133" s="5">
        <f>IF(OR(A133="",C133="allocated",C133="ruled"),"",MAX(E133,IF(ISNUMBER(I133),I133,0),IFERROR(IF(ISNUMBER(INDEX('iCoA Register'!$F:$F,MATCH(S133,'iCoA Register'!$AA:$AA,0))),INDEX('iCoA Register'!$F:$F,MATCH(S133,'iCoA Register'!$AA:$AA,0)),0),0)))</f>
        <v/>
      </c>
      <c r="E133" s="5">
        <f>IF(ISNUMBER(F133),MAX(DATE(2026,6,6),F133+7),"— awaiting the retest certificates —")</f>
        <v/>
      </c>
      <c r="F133" s="5" t="n">
        <v>46276</v>
      </c>
      <c r="G133" s="2" t="inlineStr">
        <is>
          <t>220-25-M-26</t>
        </is>
      </c>
      <c r="H133" s="2">
        <f>IFERROR(INDEX('iCoA Register'!$B:$B,MATCH("P060112|R",'iCoA Register'!$AA:$AA,0)),"—")</f>
        <v/>
      </c>
      <c r="I133" s="5">
        <f>IFERROR(INDEX('iCoA Register'!$D:$D,MATCH("P060112|R",'iCoA Register'!$AA:$AA,0)),"")</f>
        <v/>
      </c>
      <c r="J133" s="2" t="inlineStr">
        <is>
          <t>legacy</t>
        </is>
      </c>
      <c r="K133" s="2" t="inlineStr">
        <is>
          <t>retest — Tranche 2 (sampled 12–14.08.2026)</t>
        </is>
      </c>
      <c r="L133" s="3" t="inlineStr">
        <is>
          <t>PUM102501</t>
        </is>
      </c>
      <c r="M133" s="2" t="inlineStr">
        <is>
          <t>P060112</t>
        </is>
      </c>
      <c r="N133" s="2" t="inlineStr">
        <is>
          <t>Pure Michigen</t>
        </is>
      </c>
      <c r="O133" s="2" t="inlineStr">
        <is>
          <t>220-25-K-26, (26.08.2026) [FHM-K]</t>
        </is>
      </c>
      <c r="P133" s="6" t="inlineStr">
        <is>
          <t>—</t>
        </is>
      </c>
      <c r="Q133" s="2" t="inlineStr">
        <is>
          <t>—</t>
        </is>
      </c>
      <c r="R133" s="2" t="inlineStr">
        <is>
          <t>CoQ reissue (assigned on issue)</t>
        </is>
      </c>
      <c r="S133" s="2" t="inlineStr">
        <is>
          <t>P060112|R</t>
        </is>
      </c>
      <c r="T133" s="7" t="inlineStr">
        <is>
          <t>registered — retest, Tranche 2 (sampled 12–14.08.2026), sampled 14.08.2026; issued 18.09.2026, 7 days after 220-25-M-26 of 11.09.2026; cites iCoA-PP_26-139 of 17.08.2026</t>
        </is>
      </c>
      <c r="U133" s="2">
        <f>IFERROR(INDEX('CoQ Register'!$B:$B,MATCH("P060112|I",'CoQ Register'!$S:$S,0)),"— initial certificate not on the register —")</f>
        <v/>
      </c>
      <c r="V133" s="10" t="n">
        <v>13.95</v>
      </c>
      <c r="W133" s="2" t="inlineStr">
        <is>
          <t>220-25-К/26</t>
        </is>
      </c>
      <c r="X133" s="2" t="inlineStr">
        <is>
          <t>14.00 ± 1.40 (I)</t>
        </is>
      </c>
      <c r="Y133" s="2" t="inlineStr">
        <is>
          <t>12.60 – 15.39 %</t>
        </is>
      </c>
      <c r="Z133" s="2" t="inlineStr">
        <is>
          <t>PUM_THC14 : CBD1</t>
        </is>
      </c>
      <c r="AA133" s="2" t="inlineStr">
        <is>
          <t>QCSP_001_PUM-I_v.01</t>
        </is>
      </c>
      <c r="AB133" s="8" t="inlineStr">
        <is>
          <t>for review — replaces the issued QCSP_001_PUM-I_v.01 (was PUM_THC14 : CBD1, 12.60 – 15.40 %); now PUM_THC14 : CBD1 12.60 – 15.39 %</t>
        </is>
      </c>
      <c r="AC133" s="11" t="inlineStr"/>
    </row>
    <row r="134">
      <c r="A134" s="2">
        <f>IF(OR(C134="yes",C134="allocated",C134="ruled"),COUNT(A$1:A133)+1,"")</f>
        <v/>
      </c>
      <c r="B134" s="3">
        <f>IF(A134&lt;&gt;"","CoQ-PP_26-"&amp;TEXT(A134,"000"),"— at issue —")</f>
        <v/>
      </c>
      <c r="C134" s="4" t="inlineStr">
        <is>
          <t>yes</t>
        </is>
      </c>
      <c r="D134" s="5">
        <f>IF(OR(A134="",C134="allocated",C134="ruled"),"",MAX(E134,IF(ISNUMBER(I134),I134,0),IFERROR(IF(ISNUMBER(INDEX('iCoA Register'!$F:$F,MATCH(S134,'iCoA Register'!$AA:$AA,0))),INDEX('iCoA Register'!$F:$F,MATCH(S134,'iCoA Register'!$AA:$AA,0)),0),0)))</f>
        <v/>
      </c>
      <c r="E134" s="5">
        <f>IF(ISNUMBER(F134),MAX(DATE(2026,6,6),F134+7),"— awaiting the retest certificates —")</f>
        <v/>
      </c>
      <c r="F134" s="5" t="n">
        <v>46276</v>
      </c>
      <c r="G134" s="2" t="inlineStr">
        <is>
          <t>220-26-M-26</t>
        </is>
      </c>
      <c r="H134" s="2">
        <f>IFERROR(INDEX('iCoA Register'!$B:$B,MATCH("P060282|R",'iCoA Register'!$AA:$AA,0)),"—")</f>
        <v/>
      </c>
      <c r="I134" s="5">
        <f>IFERROR(INDEX('iCoA Register'!$D:$D,MATCH("P060282|R",'iCoA Register'!$AA:$AA,0)),"")</f>
        <v/>
      </c>
      <c r="J134" s="2" t="inlineStr">
        <is>
          <t>post-SOP</t>
        </is>
      </c>
      <c r="K134" s="2" t="inlineStr">
        <is>
          <t>retest — Tranche 2 (sampled 12–14.08.2026)</t>
        </is>
      </c>
      <c r="L134" s="3" t="inlineStr">
        <is>
          <t>SCR112501</t>
        </is>
      </c>
      <c r="M134" s="2" t="inlineStr">
        <is>
          <t>P060282</t>
        </is>
      </c>
      <c r="N134" s="2" t="inlineStr">
        <is>
          <t>Scrambler</t>
        </is>
      </c>
      <c r="O134" s="2" t="inlineStr">
        <is>
          <t>220-26-K-26, (26.08.2026) [FHM-K]</t>
        </is>
      </c>
      <c r="P134" s="6" t="inlineStr">
        <is>
          <t>—</t>
        </is>
      </c>
      <c r="Q134" s="2" t="inlineStr">
        <is>
          <t>—</t>
        </is>
      </c>
      <c r="R134" s="2" t="inlineStr">
        <is>
          <t>CoQ reissue (assigned on issue)</t>
        </is>
      </c>
      <c r="S134" s="2" t="inlineStr">
        <is>
          <t>P060282|R</t>
        </is>
      </c>
      <c r="T134" s="7" t="inlineStr">
        <is>
          <t>registered — retest, Tranche 2 (sampled 12–14.08.2026), sampled 14.08.2026; issued 18.09.2026, 7 days after 220-26-M-26 of 11.09.2026; cites iCoA-PP_26-140 of 17.08.2026</t>
        </is>
      </c>
      <c r="U134" s="2">
        <f>IFERROR(INDEX('CoQ Register'!$B:$B,MATCH("P060282|I",'CoQ Register'!$S:$S,0)),"— initial certificate not on the register —")</f>
        <v/>
      </c>
      <c r="V134" s="10" t="n">
        <v>19.73</v>
      </c>
      <c r="W134" s="2" t="inlineStr">
        <is>
          <t>220-26-К/26</t>
        </is>
      </c>
      <c r="X134" s="2" t="inlineStr">
        <is>
          <t>18.00 ± 1.80 (II)</t>
        </is>
      </c>
      <c r="Y134" s="2" t="inlineStr">
        <is>
          <t>16.20 – 19.79 %</t>
        </is>
      </c>
      <c r="Z134" s="2" t="inlineStr">
        <is>
          <t>SCR_THC18 : CBD1</t>
        </is>
      </c>
      <c r="AA134" s="2" t="inlineStr">
        <is>
          <t>QCSP_001_SCR-II_v.01</t>
        </is>
      </c>
      <c r="AB134" s="8" t="inlineStr">
        <is>
          <t>for review — replaces the issued QCSP_001_SCR-II_v.01 (was SCR_THC18 : CBD1, 16.20 – 19.80 %); now SCR_THC18 : CBD1 16.20 – 19.79 %</t>
        </is>
      </c>
      <c r="AC134" s="11" t="inlineStr"/>
    </row>
    <row r="135">
      <c r="A135" s="2">
        <f>IF(OR(C135="yes",C135="allocated",C135="ruled"),COUNT(A$1:A134)+1,"")</f>
        <v/>
      </c>
      <c r="B135" s="3">
        <f>IF(A135&lt;&gt;"","CoQ-PP_26-"&amp;TEXT(A135,"000"),"— at issue —")</f>
        <v/>
      </c>
      <c r="C135" s="4" t="inlineStr">
        <is>
          <t>yes</t>
        </is>
      </c>
      <c r="D135" s="5">
        <f>IF(OR(A135="",C135="allocated",C135="ruled"),"",MAX(E135,IF(ISNUMBER(I135),I135,0),IFERROR(IF(ISNUMBER(INDEX('iCoA Register'!$F:$F,MATCH(S135,'iCoA Register'!$AA:$AA,0))),INDEX('iCoA Register'!$F:$F,MATCH(S135,'iCoA Register'!$AA:$AA,0)),0),0)))</f>
        <v/>
      </c>
      <c r="E135" s="5">
        <f>IF(ISNUMBER(F135),MAX(DATE(2026,6,6),F135+7),"— awaiting the retest certificates —")</f>
        <v/>
      </c>
      <c r="F135" s="5" t="n">
        <v>46276</v>
      </c>
      <c r="G135" s="2" t="inlineStr">
        <is>
          <t>220-27-M-26</t>
        </is>
      </c>
      <c r="H135" s="2">
        <f>IFERROR(INDEX('iCoA Register'!$B:$B,MATCH("P060082|R",'iCoA Register'!$AA:$AA,0)),"—")</f>
        <v/>
      </c>
      <c r="I135" s="5">
        <f>IFERROR(INDEX('iCoA Register'!$D:$D,MATCH("P060082|R",'iCoA Register'!$AA:$AA,0)),"")</f>
        <v/>
      </c>
      <c r="J135" s="2" t="inlineStr">
        <is>
          <t>legacy</t>
        </is>
      </c>
      <c r="K135" s="2" t="inlineStr">
        <is>
          <t>retest — Tranche 2 (sampled 12–14.08.2026)</t>
        </is>
      </c>
      <c r="L135" s="3" t="inlineStr">
        <is>
          <t>SJ0925021</t>
        </is>
      </c>
      <c r="M135" s="2" t="inlineStr">
        <is>
          <t>P060082</t>
        </is>
      </c>
      <c r="N135" s="2" t="inlineStr">
        <is>
          <t>Sleepy Joe</t>
        </is>
      </c>
      <c r="O135" s="2" t="inlineStr">
        <is>
          <t>220-27-K-26, (26.08.2026) [FHM-K]</t>
        </is>
      </c>
      <c r="P135" s="6" t="inlineStr">
        <is>
          <t>—</t>
        </is>
      </c>
      <c r="Q135" s="2" t="inlineStr">
        <is>
          <t>—</t>
        </is>
      </c>
      <c r="R135" s="2" t="inlineStr">
        <is>
          <t>CoQ reissue (assigned on issue)</t>
        </is>
      </c>
      <c r="S135" s="2" t="inlineStr">
        <is>
          <t>P060082|R</t>
        </is>
      </c>
      <c r="T135" s="7" t="inlineStr">
        <is>
          <t>registered — retest, Tranche 2 (sampled 12–14.08.2026), sampled 14.08.2026; issued 18.09.2026, 7 days after 220-27-M-26 of 11.09.2026; cites iCoA-PP_26-141 of 17.08.2026</t>
        </is>
      </c>
      <c r="U135" s="2">
        <f>IFERROR(INDEX('CoQ Register'!$B:$B,MATCH("P060082|I",'CoQ Register'!$S:$S,0)),"— initial certificate not on the register —")</f>
        <v/>
      </c>
      <c r="V135" s="10" t="n">
        <v>10.39</v>
      </c>
      <c r="W135" s="2" t="inlineStr">
        <is>
          <t>220-27-К/26</t>
        </is>
      </c>
      <c r="X135" s="2" t="inlineStr">
        <is>
          <t>10.00 ± 1.00 (II)</t>
        </is>
      </c>
      <c r="Y135" s="2" t="inlineStr">
        <is>
          <t>9.00 – 10.99 %</t>
        </is>
      </c>
      <c r="Z135" s="2" t="inlineStr">
        <is>
          <t>SJ_THC10 : CBD1</t>
        </is>
      </c>
      <c r="AA135" s="2" t="inlineStr">
        <is>
          <t>QCSP_001_SJ-II_v.01</t>
        </is>
      </c>
      <c r="AB135" s="8" t="inlineStr">
        <is>
          <t>for review — replaces the issued QCSP_001_SJ-II_v.01 (was SJ_THC10 : CBD1, 9.00 – 11.00 %); now SJ_THC10 : CBD1 9.00 – 10.99 %</t>
        </is>
      </c>
      <c r="AC135" s="11" t="inlineStr"/>
    </row>
    <row r="136">
      <c r="A136" s="2">
        <f>IF(OR(C136="yes",C136="allocated",C136="ruled"),COUNT(A$1:A135)+1,"")</f>
        <v/>
      </c>
      <c r="B136" s="3">
        <f>IF(A136&lt;&gt;"","CoQ-PP_26-"&amp;TEXT(A136,"000"),"— at issue —")</f>
        <v/>
      </c>
      <c r="C136" s="4" t="inlineStr">
        <is>
          <t>yes</t>
        </is>
      </c>
      <c r="D136" s="5">
        <f>IF(OR(A136="",C136="allocated",C136="ruled"),"",MAX(E136,IF(ISNUMBER(I136),I136,0),IFERROR(IF(ISNUMBER(INDEX('iCoA Register'!$F:$F,MATCH(S136,'iCoA Register'!$AA:$AA,0))),INDEX('iCoA Register'!$F:$F,MATCH(S136,'iCoA Register'!$AA:$AA,0)),0),0)))</f>
        <v/>
      </c>
      <c r="E136" s="5">
        <f>IF(ISNUMBER(F136),MAX(DATE(2026,6,6),F136+7),"— awaiting the retest certificates —")</f>
        <v/>
      </c>
      <c r="F136" s="5" t="n">
        <v>46276</v>
      </c>
      <c r="G136" s="2" t="inlineStr">
        <is>
          <t>220-28-M-26</t>
        </is>
      </c>
      <c r="H136" s="2">
        <f>IFERROR(INDEX('iCoA Register'!$B:$B,MATCH("P060012|R",'iCoA Register'!$AA:$AA,0)),"—")</f>
        <v/>
      </c>
      <c r="I136" s="5">
        <f>IFERROR(INDEX('iCoA Register'!$D:$D,MATCH("P060012|R",'iCoA Register'!$AA:$AA,0)),"")</f>
        <v/>
      </c>
      <c r="J136" s="2" t="inlineStr">
        <is>
          <t>legacy</t>
        </is>
      </c>
      <c r="K136" s="2" t="inlineStr">
        <is>
          <t>retest — Tranche 2 (sampled 12–14.08.2026)</t>
        </is>
      </c>
      <c r="L136" s="3" t="inlineStr">
        <is>
          <t>WC082501</t>
        </is>
      </c>
      <c r="M136" s="2" t="inlineStr">
        <is>
          <t>P060012</t>
        </is>
      </c>
      <c r="N136" s="2" t="inlineStr">
        <is>
          <t>Wedding Crusher</t>
        </is>
      </c>
      <c r="O136" s="2" t="inlineStr">
        <is>
          <t>220-28-K-26, (26.08.2026) [FHM-K]</t>
        </is>
      </c>
      <c r="P136" s="6" t="inlineStr">
        <is>
          <t>—</t>
        </is>
      </c>
      <c r="Q136" s="2" t="inlineStr">
        <is>
          <t>—</t>
        </is>
      </c>
      <c r="R136" s="2" t="inlineStr">
        <is>
          <t>CoQ reissue (assigned on issue)</t>
        </is>
      </c>
      <c r="S136" s="2" t="inlineStr">
        <is>
          <t>P060012|R</t>
        </is>
      </c>
      <c r="T136" s="7" t="inlineStr">
        <is>
          <t>registered — retest, Tranche 2 (sampled 12–14.08.2026), sampled 14.08.2026; issued 18.09.2026, 7 days after 220-28-M-26 of 11.09.2026; cites iCoA-PP_26-142 of 17.08.2026</t>
        </is>
      </c>
      <c r="U136" s="2">
        <f>IFERROR(INDEX('CoQ Register'!$B:$B,MATCH("P060012|I",'CoQ Register'!$S:$S,0)),"— initial certificate not on the register —")</f>
        <v/>
      </c>
      <c r="V136" s="10" t="n">
        <v>23.48</v>
      </c>
      <c r="W136" s="2" t="inlineStr">
        <is>
          <t>220-28-К/26</t>
        </is>
      </c>
      <c r="X136" s="2" t="inlineStr">
        <is>
          <t>26.00 ± 2.60 (I)</t>
        </is>
      </c>
      <c r="Y136" s="2" t="inlineStr">
        <is>
          <t>23.40 – 28.59 %</t>
        </is>
      </c>
      <c r="Z136" s="2" t="inlineStr">
        <is>
          <t>WC_THC26 : CBD1</t>
        </is>
      </c>
      <c r="AA136" s="2" t="inlineStr">
        <is>
          <t>QCSP_001_WC-I_v.01</t>
        </is>
      </c>
      <c r="AB136" s="8" t="inlineStr">
        <is>
          <t>for review — replaces the issued QCSP_001_WC-I_v.01 (was WC_THC22 : CBD1, 19.80 – 24.20 %); now WC_THC26 : CBD1 23.40 – 28.59 %</t>
        </is>
      </c>
      <c r="AC136" s="11" t="inlineStr"/>
    </row>
    <row r="137">
      <c r="A137" s="2">
        <f>IF(OR(C137="yes",C137="allocated",C137="ruled"),COUNT(A$1:A136)+1,"")</f>
        <v/>
      </c>
      <c r="B137" s="3">
        <f>IF(A137&lt;&gt;"","CoQ-PP_26-"&amp;TEXT(A137,"000"),"— at issue —")</f>
        <v/>
      </c>
      <c r="C137" s="12" t="inlineStr">
        <is>
          <t>allocated</t>
        </is>
      </c>
      <c r="D137" s="5" t="inlineStr"/>
      <c r="E137" s="5" t="inlineStr">
        <is>
          <t>— the owner's date for all of Tranche 3 (15.09.2026), the 227-М certificates expected by 18.09.2026; provisional —</t>
        </is>
      </c>
      <c r="F137" s="5" t="n">
        <v>46276</v>
      </c>
      <c r="G137" s="2" t="inlineStr">
        <is>
          <t>227-30-K-26</t>
        </is>
      </c>
      <c r="H137" s="2">
        <f>IFERROR(INDEX('iCoA Register'!$B:$B,MATCH("P060052|R2",'iCoA Register'!$AA:$AA,0)),"—")</f>
        <v/>
      </c>
      <c r="I137" s="5">
        <f>IFERROR(INDEX('iCoA Register'!$D:$D,MATCH("P060052|R2",'iCoA Register'!$AA:$AA,0)),"")</f>
        <v/>
      </c>
      <c r="J137" s="2" t="inlineStr">
        <is>
          <t>legacy</t>
        </is>
      </c>
      <c r="K137" s="2" t="inlineStr">
        <is>
          <t>retest — Tranche 3 (sampled 19–21.08.2026)</t>
        </is>
      </c>
      <c r="L137" s="3" t="inlineStr">
        <is>
          <t>AB092501</t>
        </is>
      </c>
      <c r="M137" s="2" t="inlineStr">
        <is>
          <t>P060052</t>
        </is>
      </c>
      <c r="N137" s="2" t="inlineStr">
        <is>
          <t>Apple and Banana</t>
        </is>
      </c>
      <c r="O137" s="2" t="inlineStr">
        <is>
          <t>227-30-K-26, (11.09.2026) [FHM-K]</t>
        </is>
      </c>
      <c r="P137" s="6" t="inlineStr">
        <is>
          <t>—</t>
        </is>
      </c>
      <c r="Q137" s="2" t="inlineStr">
        <is>
          <t>—</t>
        </is>
      </c>
      <c r="R137" s="2" t="inlineStr">
        <is>
          <t>CoQ reissue (assigned on issue)</t>
        </is>
      </c>
      <c r="S137" s="2" t="inlineStr">
        <is>
          <t>P060052|R2</t>
        </is>
      </c>
      <c r="T137" s="13" t="inlineStr">
        <is>
          <t>allocated — code reserved 15.09.2026 for the Tranche 3 (sampled 19–21.08.2026) reissue (owner: every Tranche 3 retest parameter is tested at Farmahem and its certificates all issue on one date); sampled 21.08.2026, retest assay 227-30-K-26 on file, mycotoxins pending; issued on the owner's date once the 227-М certificate exists, after every Tranche 2 reissue; cites the campaign iCoA of 24.08.2026</t>
        </is>
      </c>
      <c r="U137" s="2">
        <f>IFERROR(INDEX('CoQ Register'!$B:$B,MATCH("P060052|I",'CoQ Register'!$S:$S,0)),"— initial certificate not on the register —")</f>
        <v/>
      </c>
      <c r="V137" s="10" t="n">
        <v>22.97</v>
      </c>
      <c r="W137" s="2" t="inlineStr">
        <is>
          <t>227-30-К/26</t>
        </is>
      </c>
      <c r="X137" s="2" t="inlineStr">
        <is>
          <t>22.00 ± 2.20 (I)</t>
        </is>
      </c>
      <c r="Y137" s="2" t="inlineStr">
        <is>
          <t>19.80 – 24.19 %</t>
        </is>
      </c>
      <c r="Z137" s="2" t="inlineStr">
        <is>
          <t>AB_THC22 : CBD1</t>
        </is>
      </c>
      <c r="AA137" s="2" t="inlineStr">
        <is>
          <t>QCSP_001_AB-I_v.01</t>
        </is>
      </c>
      <c r="AB137" s="11" t="inlineStr">
        <is>
          <t>for review — new</t>
        </is>
      </c>
      <c r="AC137" s="11" t="inlineStr"/>
    </row>
    <row r="138">
      <c r="A138" s="2">
        <f>IF(OR(C138="yes",C138="allocated",C138="ruled"),COUNT(A$1:A137)+1,"")</f>
        <v/>
      </c>
      <c r="B138" s="3">
        <f>IF(A138&lt;&gt;"","CoQ-PP_26-"&amp;TEXT(A138,"000"),"— at issue —")</f>
        <v/>
      </c>
      <c r="C138" s="12" t="inlineStr">
        <is>
          <t>allocated</t>
        </is>
      </c>
      <c r="D138" s="5" t="inlineStr"/>
      <c r="E138" s="5" t="inlineStr">
        <is>
          <t>— the owner's date for all of Tranche 3 (15.09.2026), the 227-М certificates expected by 18.09.2026; provisional —</t>
        </is>
      </c>
      <c r="F138" s="5" t="n">
        <v>46276</v>
      </c>
      <c r="G138" s="2" t="inlineStr">
        <is>
          <t>227-29-K-26</t>
        </is>
      </c>
      <c r="H138" s="2">
        <f>IFERROR(INDEX('iCoA Register'!$B:$B,MATCH("P050122|R2",'iCoA Register'!$AA:$AA,0)),"—")</f>
        <v/>
      </c>
      <c r="I138" s="5">
        <f>IFERROR(INDEX('iCoA Register'!$D:$D,MATCH("P050122|R2",'iCoA Register'!$AA:$AA,0)),"")</f>
        <v/>
      </c>
      <c r="J138" s="2" t="inlineStr">
        <is>
          <t>legacy</t>
        </is>
      </c>
      <c r="K138" s="2" t="inlineStr">
        <is>
          <t>retest — Tranche 3 (sampled 19–21.08.2026)</t>
        </is>
      </c>
      <c r="L138" s="3" t="inlineStr">
        <is>
          <t>BSS1024_01/1</t>
        </is>
      </c>
      <c r="M138" s="2" t="inlineStr">
        <is>
          <t>P050122</t>
        </is>
      </c>
      <c r="N138" s="2" t="inlineStr">
        <is>
          <t>Blue Sunset Sherbet</t>
        </is>
      </c>
      <c r="O138" s="2" t="inlineStr">
        <is>
          <t>227-29-K-26, (11.09.2026) [FHM-K]</t>
        </is>
      </c>
      <c r="P138" s="6" t="inlineStr">
        <is>
          <t>—</t>
        </is>
      </c>
      <c r="Q138" s="2" t="inlineStr">
        <is>
          <t>—</t>
        </is>
      </c>
      <c r="R138" s="2" t="inlineStr">
        <is>
          <t>CoQ reissue (assigned on issue)</t>
        </is>
      </c>
      <c r="S138" s="2" t="inlineStr">
        <is>
          <t>P050122|R2</t>
        </is>
      </c>
      <c r="T138" s="13" t="inlineStr">
        <is>
          <t>allocated — code reserved 15.09.2026 for the Tranche 3 (sampled 19–21.08.2026) reissue (owner: every Tranche 3 retest parameter is tested at Farmahem and its certificates all issue on one date); sampled 21.08.2026, retest assay 227-29-K-26 on file, mycotoxins pending; issued on the owner's date once the 227-М certificate exists, after every Tranche 2 reissue; cites the campaign iCoA of 24.08.2026</t>
        </is>
      </c>
      <c r="U138" s="2">
        <f>IFERROR(INDEX('CoQ Register'!$B:$B,MATCH("P050122|I",'CoQ Register'!$S:$S,0)),"— initial certificate not on the register —")</f>
        <v/>
      </c>
      <c r="V138" s="10" t="n">
        <v>26.1</v>
      </c>
      <c r="W138" s="2" t="inlineStr">
        <is>
          <t>227-29-К/26</t>
        </is>
      </c>
      <c r="X138" s="2" t="inlineStr">
        <is>
          <t>28.00 ± 1.93 (I)</t>
        </is>
      </c>
      <c r="Y138" s="2" t="inlineStr">
        <is>
          <t>26.07 – 29.92 %</t>
        </is>
      </c>
      <c r="Z138" s="2" t="inlineStr">
        <is>
          <t>BSS_THC28 : CBD1</t>
        </is>
      </c>
      <c r="AA138" s="2" t="inlineStr">
        <is>
          <t>QCSP_001_BSS-I_v.01</t>
        </is>
      </c>
      <c r="AB138" s="8" t="inlineStr">
        <is>
          <t>for review — replaces the issued QCSP_001_BSS-I_v.01 (was BSS_THC24 : CBD1, 22.01 – 25.99 %); now BSS_THC28 : CBD1 26.07 – 29.92 %</t>
        </is>
      </c>
      <c r="AC138" s="11" t="inlineStr"/>
    </row>
    <row r="139">
      <c r="A139" s="2">
        <f>IF(OR(C139="yes",C139="allocated",C139="ruled"),COUNT(A$1:A138)+1,"")</f>
        <v/>
      </c>
      <c r="B139" s="3">
        <f>IF(A139&lt;&gt;"","CoQ-PP_26-"&amp;TEXT(A139,"000"),"— at issue —")</f>
        <v/>
      </c>
      <c r="C139" s="12" t="inlineStr">
        <is>
          <t>allocated</t>
        </is>
      </c>
      <c r="D139" s="5" t="inlineStr"/>
      <c r="E139" s="5" t="inlineStr">
        <is>
          <t>— the owner's date for all of Tranche 3 (15.09.2026), the 227-М certificates expected by 18.09.2026; provisional —</t>
        </is>
      </c>
      <c r="F139" s="5" t="n">
        <v>46276</v>
      </c>
      <c r="G139" s="2" t="inlineStr">
        <is>
          <t>227-1-K-26</t>
        </is>
      </c>
      <c r="H139" s="2">
        <f>IFERROR(INDEX('iCoA Register'!$B:$B,MATCH("P050142|R2",'iCoA Register'!$AA:$AA,0)),"—")</f>
        <v/>
      </c>
      <c r="I139" s="5">
        <f>IFERROR(INDEX('iCoA Register'!$D:$D,MATCH("P050142|R2",'iCoA Register'!$AA:$AA,0)),"")</f>
        <v/>
      </c>
      <c r="J139" s="2" t="inlineStr">
        <is>
          <t>legacy</t>
        </is>
      </c>
      <c r="K139" s="2" t="inlineStr">
        <is>
          <t>retest — Tranche 3 (sampled 19–21.08.2026)</t>
        </is>
      </c>
      <c r="L139" s="3" t="inlineStr">
        <is>
          <t>BSS1024_01/2</t>
        </is>
      </c>
      <c r="M139" s="2" t="inlineStr">
        <is>
          <t>P050142</t>
        </is>
      </c>
      <c r="N139" s="2" t="inlineStr">
        <is>
          <t>Blue Sunset Sherbet</t>
        </is>
      </c>
      <c r="O139" s="2" t="inlineStr">
        <is>
          <t>227-1-K-26, (11.09.2026) [FHM-K]</t>
        </is>
      </c>
      <c r="P139" s="6" t="inlineStr">
        <is>
          <t>—</t>
        </is>
      </c>
      <c r="Q139" s="2" t="inlineStr">
        <is>
          <t>—</t>
        </is>
      </c>
      <c r="R139" s="2" t="inlineStr">
        <is>
          <t>CoQ reissue (assigned on issue)</t>
        </is>
      </c>
      <c r="S139" s="2" t="inlineStr">
        <is>
          <t>P050142|R2</t>
        </is>
      </c>
      <c r="T139" s="13" t="inlineStr">
        <is>
          <t>allocated — code reserved 15.09.2026 for the Tranche 3 (sampled 19–21.08.2026) reissue (owner: every Tranche 3 retest parameter is tested at Farmahem and its certificates all issue on one date); sampled 19.08.2026, retest assay 227-1-K-26 on file, mycotoxins pending; issued on the owner's date once the 227-М certificate exists, after every Tranche 2 reissue; cites the campaign iCoA of 24.08.2026</t>
        </is>
      </c>
      <c r="U139" s="2">
        <f>IFERROR(INDEX('CoQ Register'!$B:$B,MATCH("P050142|I",'CoQ Register'!$S:$S,0)),"— initial certificate not on the register —")</f>
        <v/>
      </c>
      <c r="V139" s="10" t="n">
        <v>26.69</v>
      </c>
      <c r="W139" s="2" t="inlineStr">
        <is>
          <t>227-1-К/26</t>
        </is>
      </c>
      <c r="X139" s="2" t="inlineStr">
        <is>
          <t>28.00 ± 1.93 (I)</t>
        </is>
      </c>
      <c r="Y139" s="2" t="inlineStr">
        <is>
          <t>26.07 – 29.92 %</t>
        </is>
      </c>
      <c r="Z139" s="2" t="inlineStr">
        <is>
          <t>BSS_THC28 : CBD1</t>
        </is>
      </c>
      <c r="AA139" s="2" t="inlineStr">
        <is>
          <t>QCSP_001_BSS-I_v.01</t>
        </is>
      </c>
      <c r="AB139" s="8" t="inlineStr">
        <is>
          <t>for review — replaces the issued QCSP_001_BSS-I_v.01 (was BSS_THC24 : CBD1, 22.01 – 25.99 %); now BSS_THC28 : CBD1 26.07 – 29.92 %</t>
        </is>
      </c>
      <c r="AC139" s="11" t="inlineStr"/>
    </row>
    <row r="140">
      <c r="A140" s="2">
        <f>IF(OR(C140="yes",C140="allocated",C140="ruled"),COUNT(A$1:A139)+1,"")</f>
        <v/>
      </c>
      <c r="B140" s="3">
        <f>IF(A140&lt;&gt;"","CoQ-PP_26-"&amp;TEXT(A140,"000"),"— at issue —")</f>
        <v/>
      </c>
      <c r="C140" s="12" t="inlineStr">
        <is>
          <t>allocated</t>
        </is>
      </c>
      <c r="D140" s="5" t="inlineStr"/>
      <c r="E140" s="5" t="inlineStr">
        <is>
          <t>— the owner's date for all of Tranche 3 (15.09.2026), the 227-М certificates expected by 18.09.2026; provisional —</t>
        </is>
      </c>
      <c r="F140" s="5" t="n">
        <v>46276</v>
      </c>
      <c r="G140" s="2" t="inlineStr">
        <is>
          <t>227-25-K-26</t>
        </is>
      </c>
      <c r="H140" s="2">
        <f>IFERROR(INDEX('iCoA Register'!$B:$B,MATCH("P060272|R2",'iCoA Register'!$AA:$AA,0)),"—")</f>
        <v/>
      </c>
      <c r="I140" s="5">
        <f>IFERROR(INDEX('iCoA Register'!$D:$D,MATCH("P060272|R2",'iCoA Register'!$AA:$AA,0)),"")</f>
        <v/>
      </c>
      <c r="J140" s="2" t="inlineStr">
        <is>
          <t>post-SOP</t>
        </is>
      </c>
      <c r="K140" s="2" t="inlineStr">
        <is>
          <t>retest — Tranche 3 (sampled 19–21.08.2026)</t>
        </is>
      </c>
      <c r="L140" s="3" t="inlineStr">
        <is>
          <t>CC112501</t>
        </is>
      </c>
      <c r="M140" s="2" t="inlineStr">
        <is>
          <t>P060272</t>
        </is>
      </c>
      <c r="N140" s="2" t="inlineStr">
        <is>
          <t>Cash Cow</t>
        </is>
      </c>
      <c r="O140" s="2" t="inlineStr">
        <is>
          <t>227-25-K-26, (11.09.2026) [FHM-K]</t>
        </is>
      </c>
      <c r="P140" s="6" t="inlineStr">
        <is>
          <t>—</t>
        </is>
      </c>
      <c r="Q140" s="2" t="inlineStr">
        <is>
          <t>—</t>
        </is>
      </c>
      <c r="R140" s="2" t="inlineStr">
        <is>
          <t>CoQ reissue (assigned on issue)</t>
        </is>
      </c>
      <c r="S140" s="2" t="inlineStr">
        <is>
          <t>P060272|R2</t>
        </is>
      </c>
      <c r="T140" s="13" t="inlineStr">
        <is>
          <t>allocated — code reserved 15.09.2026 for the Tranche 3 (sampled 19–21.08.2026) reissue (owner: every Tranche 3 retest parameter is tested at Farmahem and its certificates all issue on one date); sampled 21.08.2026, retest assay 227-25-K-26 on file, mycotoxins pending; issued on the owner's date once the 227-М certificate exists, after every Tranche 2 reissue; cites the campaign iCoA of 24.08.2026</t>
        </is>
      </c>
      <c r="U140" s="2">
        <f>IFERROR(INDEX('CoQ Register'!$B:$B,MATCH("P060272|I",'CoQ Register'!$S:$S,0)),"— initial certificate not on the register —")</f>
        <v/>
      </c>
      <c r="V140" s="10" t="n">
        <v>16.36</v>
      </c>
      <c r="W140" s="2" t="inlineStr">
        <is>
          <t>227-25-К/26</t>
        </is>
      </c>
      <c r="X140" s="2" t="inlineStr">
        <is>
          <t>17.00 ± 1.65 (I)</t>
        </is>
      </c>
      <c r="Y140" s="2" t="inlineStr">
        <is>
          <t>15.35 – 18.64 %</t>
        </is>
      </c>
      <c r="Z140" s="2" t="inlineStr">
        <is>
          <t>CC_THC17 : CBD1</t>
        </is>
      </c>
      <c r="AA140" s="2" t="inlineStr">
        <is>
          <t>QCSP_001_CC-I_v.01</t>
        </is>
      </c>
      <c r="AB140" s="11" t="inlineStr">
        <is>
          <t>for review — new</t>
        </is>
      </c>
      <c r="AC140" s="11" t="inlineStr"/>
    </row>
    <row r="141">
      <c r="A141" s="2">
        <f>IF(OR(C141="yes",C141="allocated",C141="ruled"),COUNT(A$1:A140)+1,"")</f>
        <v/>
      </c>
      <c r="B141" s="3">
        <f>IF(A141&lt;&gt;"","CoQ-PP_26-"&amp;TEXT(A141,"000"),"— at issue —")</f>
        <v/>
      </c>
      <c r="C141" s="12" t="inlineStr">
        <is>
          <t>allocated</t>
        </is>
      </c>
      <c r="D141" s="5" t="inlineStr"/>
      <c r="E141" s="5" t="inlineStr">
        <is>
          <t>— the owner's date for all of Tranche 3 (15.09.2026), the 227-М certificates expected by 18.09.2026; provisional —</t>
        </is>
      </c>
      <c r="F141" s="5" t="n">
        <v>46276</v>
      </c>
      <c r="G141" s="2" t="inlineStr">
        <is>
          <t>227-28-K-26</t>
        </is>
      </c>
      <c r="H141" s="2">
        <f>IFERROR(INDEX('iCoA Register'!$B:$B,MATCH("P050172|R2",'iCoA Register'!$AA:$AA,0)),"—")</f>
        <v/>
      </c>
      <c r="I141" s="5">
        <f>IFERROR(INDEX('iCoA Register'!$D:$D,MATCH("P050172|R2",'iCoA Register'!$AA:$AA,0)),"")</f>
        <v/>
      </c>
      <c r="J141" s="2" t="inlineStr">
        <is>
          <t>legacy</t>
        </is>
      </c>
      <c r="K141" s="2" t="inlineStr">
        <is>
          <t>retest — Tranche 3 (sampled 19–21.08.2026)</t>
        </is>
      </c>
      <c r="L141" s="3" t="inlineStr">
        <is>
          <t>CJ052501/02</t>
        </is>
      </c>
      <c r="M141" s="2" t="inlineStr">
        <is>
          <t>P050172</t>
        </is>
      </c>
      <c r="N141" s="2" t="inlineStr">
        <is>
          <t>Cap Junky</t>
        </is>
      </c>
      <c r="O141" s="2" t="inlineStr">
        <is>
          <t>227-28-K-26, (11.09.2026) [FHM-K]</t>
        </is>
      </c>
      <c r="P141" s="6" t="inlineStr">
        <is>
          <t>—</t>
        </is>
      </c>
      <c r="Q141" s="2" t="inlineStr">
        <is>
          <t>—</t>
        </is>
      </c>
      <c r="R141" s="2" t="inlineStr">
        <is>
          <t>CoQ reissue (assigned on issue)</t>
        </is>
      </c>
      <c r="S141" s="2" t="inlineStr">
        <is>
          <t>P050172|R2</t>
        </is>
      </c>
      <c r="T141" s="13" t="inlineStr">
        <is>
          <t>allocated — code reserved 15.09.2026 for the Tranche 3 (sampled 19–21.08.2026) reissue (owner: every Tranche 3 retest parameter is tested at Farmahem and its certificates all issue on one date); sampled 21.08.2026, retest assay 227-28-K-26 on file, mycotoxins pending; issued on the owner's date once the 227-М certificate exists, after every Tranche 2 reissue; cites the campaign iCoA of 24.08.2026</t>
        </is>
      </c>
      <c r="U141" s="2">
        <f>IFERROR(INDEX('CoQ Register'!$B:$B,MATCH("P050172|I",'CoQ Register'!$S:$S,0)),"— initial certificate not on the register —")</f>
        <v/>
      </c>
      <c r="V141" s="10" t="n">
        <v>21.3</v>
      </c>
      <c r="W141" s="2" t="inlineStr">
        <is>
          <t>227-28-К/26</t>
        </is>
      </c>
      <c r="X141" s="2" t="inlineStr">
        <is>
          <t>20.00 ± 1.60 (III)</t>
        </is>
      </c>
      <c r="Y141" s="2" t="inlineStr">
        <is>
          <t>18.40 – 21.59 %</t>
        </is>
      </c>
      <c r="Z141" s="2" t="inlineStr">
        <is>
          <t>CJ_THC20 : CBD1</t>
        </is>
      </c>
      <c r="AA141" s="2" t="inlineStr">
        <is>
          <t>QCSP_001_CJ-III_v.01</t>
        </is>
      </c>
      <c r="AB141" s="8" t="inlineStr">
        <is>
          <t>for review — replaces the issued QCSP_001_CJ-III_v.01 (was CJ_THC24 : CBD1, 23.00 – 25.00 %); now CJ_THC20 : CBD1 18.40 – 21.59 %</t>
        </is>
      </c>
      <c r="AC141" s="11" t="inlineStr"/>
    </row>
    <row r="142">
      <c r="A142" s="2">
        <f>IF(OR(C142="yes",C142="allocated",C142="ruled"),COUNT(A$1:A141)+1,"")</f>
        <v/>
      </c>
      <c r="B142" s="3">
        <f>IF(A142&lt;&gt;"","CoQ-PP_26-"&amp;TEXT(A142,"000"),"— at issue —")</f>
        <v/>
      </c>
      <c r="C142" s="12" t="inlineStr">
        <is>
          <t>allocated</t>
        </is>
      </c>
      <c r="D142" s="5" t="inlineStr"/>
      <c r="E142" s="5" t="inlineStr">
        <is>
          <t>— the owner's date for all of Tranche 3 (15.09.2026), the 227-М certificates expected by 18.09.2026; provisional —</t>
        </is>
      </c>
      <c r="F142" s="5" t="n">
        <v>46276</v>
      </c>
      <c r="G142" s="2" t="inlineStr">
        <is>
          <t>227-27-K-26</t>
        </is>
      </c>
      <c r="H142" s="2">
        <f>IFERROR(INDEX('iCoA Register'!$B:$B,MATCH("P050252|R2",'iCoA Register'!$AA:$AA,0)),"—")</f>
        <v/>
      </c>
      <c r="I142" s="5">
        <f>IFERROR(INDEX('iCoA Register'!$D:$D,MATCH("P050252|R2",'iCoA Register'!$AA:$AA,0)),"")</f>
        <v/>
      </c>
      <c r="J142" s="2" t="inlineStr">
        <is>
          <t>legacy</t>
        </is>
      </c>
      <c r="K142" s="2" t="inlineStr">
        <is>
          <t>retest — Tranche 3 (sampled 19–21.08.2026)</t>
        </is>
      </c>
      <c r="L142" s="3" t="inlineStr">
        <is>
          <t>CJ072501</t>
        </is>
      </c>
      <c r="M142" s="2" t="inlineStr">
        <is>
          <t>P050252</t>
        </is>
      </c>
      <c r="N142" s="2" t="inlineStr">
        <is>
          <t>Cap Junky</t>
        </is>
      </c>
      <c r="O142" s="2" t="inlineStr">
        <is>
          <t>227-27-K-26, (11.09.2026) [FHM-K]</t>
        </is>
      </c>
      <c r="P142" s="6" t="inlineStr">
        <is>
          <t>—</t>
        </is>
      </c>
      <c r="Q142" s="2" t="inlineStr">
        <is>
          <t>—</t>
        </is>
      </c>
      <c r="R142" s="2" t="inlineStr">
        <is>
          <t>CoQ reissue (assigned on issue)</t>
        </is>
      </c>
      <c r="S142" s="2" t="inlineStr">
        <is>
          <t>P050252|R2</t>
        </is>
      </c>
      <c r="T142" s="13" t="inlineStr">
        <is>
          <t>allocated — code reserved 15.09.2026 for the Tranche 3 (sampled 19–21.08.2026) reissue (owner: every Tranche 3 retest parameter is tested at Farmahem and its certificates all issue on one date); sampled 21.08.2026, retest assay 227-27-K-26 on file, mycotoxins pending; issued on the owner's date once the 227-М certificate exists, after every Tranche 2 reissue; cites the campaign iCoA of 24.08.2026</t>
        </is>
      </c>
      <c r="U142" s="2">
        <f>IFERROR(INDEX('CoQ Register'!$B:$B,MATCH("P050252|I",'CoQ Register'!$S:$S,0)),"— initial certificate not on the register —")</f>
        <v/>
      </c>
      <c r="V142" s="10" t="n">
        <v>28.18</v>
      </c>
      <c r="W142" s="2" t="inlineStr">
        <is>
          <t>227-27-К/26</t>
        </is>
      </c>
      <c r="X142" s="2" t="inlineStr">
        <is>
          <t>28.00 ± 1.60 (I)</t>
        </is>
      </c>
      <c r="Y142" s="2" t="inlineStr">
        <is>
          <t>26.40 – 29.59 %</t>
        </is>
      </c>
      <c r="Z142" s="2" t="inlineStr">
        <is>
          <t>CJ_THC28 : CBD1</t>
        </is>
      </c>
      <c r="AA142" s="2" t="inlineStr">
        <is>
          <t>QCSP_001_CJ-I_v.01</t>
        </is>
      </c>
      <c r="AB142" s="8" t="inlineStr">
        <is>
          <t>for review — replaces the issued QCSP_001_CJ-I_v.01 (was CJ_THC28 : CBD1, 27.00 – 29.00 %); now CJ_THC28 : CBD1 26.40 – 29.59 %</t>
        </is>
      </c>
      <c r="AC142" s="11" t="inlineStr"/>
    </row>
    <row r="143">
      <c r="A143" s="2">
        <f>IF(OR(C143="yes",C143="allocated",C143="ruled"),COUNT(A$1:A142)+1,"")</f>
        <v/>
      </c>
      <c r="B143" s="3">
        <f>IF(A143&lt;&gt;"","CoQ-PP_26-"&amp;TEXT(A143,"000"),"— at issue —")</f>
        <v/>
      </c>
      <c r="C143" s="12" t="inlineStr">
        <is>
          <t>allocated</t>
        </is>
      </c>
      <c r="D143" s="5" t="inlineStr"/>
      <c r="E143" s="5" t="inlineStr">
        <is>
          <t>— the owner's date for all of Tranche 3 (15.09.2026), the 227-М certificates expected by 18.09.2026; provisional —</t>
        </is>
      </c>
      <c r="F143" s="5" t="n">
        <v>46276</v>
      </c>
      <c r="G143" s="2" t="inlineStr">
        <is>
          <t>227-26-K-26</t>
        </is>
      </c>
      <c r="H143" s="2">
        <f>IFERROR(INDEX('iCoA Register'!$B:$B,MATCH("CJ1024|R2",'iCoA Register'!$AA:$AA,0)),"—")</f>
        <v/>
      </c>
      <c r="I143" s="5">
        <f>IFERROR(INDEX('iCoA Register'!$D:$D,MATCH("CJ1024|R2",'iCoA Register'!$AA:$AA,0)),"")</f>
        <v/>
      </c>
      <c r="J143" s="2" t="inlineStr">
        <is>
          <t>legacy</t>
        </is>
      </c>
      <c r="K143" s="2" t="inlineStr">
        <is>
          <t>retest — Tranche 3 (sampled 19–21.08.2026)</t>
        </is>
      </c>
      <c r="L143" s="3" t="inlineStr">
        <is>
          <t>CJ1024</t>
        </is>
      </c>
      <c r="M143" s="2" t="inlineStr">
        <is>
          <t>N/A — no P batch assigned</t>
        </is>
      </c>
      <c r="N143" s="2" t="inlineStr">
        <is>
          <t>Cap Junky</t>
        </is>
      </c>
      <c r="O143" s="2" t="inlineStr">
        <is>
          <t>227-26-K-26, (11.09.2026) [FHM-K]</t>
        </is>
      </c>
      <c r="P143" s="6" t="inlineStr">
        <is>
          <t>—</t>
        </is>
      </c>
      <c r="Q143" s="2" t="inlineStr">
        <is>
          <t>—</t>
        </is>
      </c>
      <c r="R143" s="2" t="inlineStr">
        <is>
          <t>CoQ reissue (assigned on issue)</t>
        </is>
      </c>
      <c r="S143" s="2" t="inlineStr">
        <is>
          <t>CJ1024|R2</t>
        </is>
      </c>
      <c r="T143" s="13" t="inlineStr">
        <is>
          <t>allocated — code reserved 15.09.2026 for the Tranche 3 (sampled 19–21.08.2026) reissue (owner: every Tranche 3 retest parameter is tested at Farmahem and its certificates all issue on one date); sampled 21.08.2026, retest assay 227-26-K-26 on file, mycotoxins pending; issued on the owner's date once the 227-М certificate exists, after every Tranche 2 reissue; cites the campaign iCoA of 24.08.2026</t>
        </is>
      </c>
      <c r="U143" s="2">
        <f>IFERROR(INDEX('CoQ Register'!$B:$B,MATCH("CJ1024|I",'CoQ Register'!$S:$S,0)),"— initial certificate not on the register —")</f>
        <v/>
      </c>
      <c r="V143" s="10" t="n">
        <v>28.12</v>
      </c>
      <c r="W143" s="2" t="inlineStr">
        <is>
          <t>227-26-К/26</t>
        </is>
      </c>
      <c r="X143" s="2" t="inlineStr">
        <is>
          <t>28.00 ± 1.60 (I)</t>
        </is>
      </c>
      <c r="Y143" s="2" t="inlineStr">
        <is>
          <t>26.40 – 29.59 %</t>
        </is>
      </c>
      <c r="Z143" s="2" t="inlineStr">
        <is>
          <t>CJ_THC28 : CBD1</t>
        </is>
      </c>
      <c r="AA143" s="2" t="inlineStr">
        <is>
          <t>QCSP_001_CJ-I_v.01</t>
        </is>
      </c>
      <c r="AB143" s="8" t="inlineStr">
        <is>
          <t>for review — replaces the issued QCSP_001_CJ-I_v.01 (was CJ_THC28 : CBD1, 27.00 – 29.00 %); now CJ_THC28 : CBD1 26.40 – 29.59 %</t>
        </is>
      </c>
      <c r="AC143" s="11" t="inlineStr"/>
    </row>
    <row r="144">
      <c r="A144" s="2">
        <f>IF(OR(C144="yes",C144="allocated",C144="ruled"),COUNT(A$1:A143)+1,"")</f>
        <v/>
      </c>
      <c r="B144" s="3">
        <f>IF(A144&lt;&gt;"","CoQ-PP_26-"&amp;TEXT(A144,"000"),"— at issue —")</f>
        <v/>
      </c>
      <c r="C144" s="12" t="inlineStr">
        <is>
          <t>allocated</t>
        </is>
      </c>
      <c r="D144" s="5" t="inlineStr"/>
      <c r="E144" s="5" t="inlineStr">
        <is>
          <t>— the owner's date for all of Tranche 3 (15.09.2026), the 227-М certificates expected by 18.09.2026; provisional —</t>
        </is>
      </c>
      <c r="F144" s="5" t="n">
        <v>46276</v>
      </c>
      <c r="G144" s="2" t="inlineStr">
        <is>
          <t>227-24-K-26</t>
        </is>
      </c>
      <c r="H144" s="2">
        <f>IFERROR(INDEX('iCoA Register'!$B:$B,MATCH("P060432|R2",'iCoA Register'!$AA:$AA,0)),"—")</f>
        <v/>
      </c>
      <c r="I144" s="5">
        <f>IFERROR(INDEX('iCoA Register'!$D:$D,MATCH("P060432|R2",'iCoA Register'!$AA:$AA,0)),"")</f>
        <v/>
      </c>
      <c r="J144" s="2" t="inlineStr">
        <is>
          <t>post-SOP</t>
        </is>
      </c>
      <c r="K144" s="2" t="inlineStr">
        <is>
          <t>retest — Tranche 3 (sampled 19–21.08.2026)</t>
        </is>
      </c>
      <c r="L144" s="3" t="inlineStr">
        <is>
          <t>FB012603</t>
        </is>
      </c>
      <c r="M144" s="2" t="inlineStr">
        <is>
          <t>P060432</t>
        </is>
      </c>
      <c r="N144" s="2" t="inlineStr">
        <is>
          <t>Fat Bastard</t>
        </is>
      </c>
      <c r="O144" s="2" t="inlineStr">
        <is>
          <t>227-24-K-26, (11.09.2026) [FHM-K]</t>
        </is>
      </c>
      <c r="P144" s="6" t="inlineStr">
        <is>
          <t>—</t>
        </is>
      </c>
      <c r="Q144" s="2" t="inlineStr">
        <is>
          <t>—</t>
        </is>
      </c>
      <c r="R144" s="2" t="inlineStr">
        <is>
          <t>CoQ reissue (assigned on issue)</t>
        </is>
      </c>
      <c r="S144" s="2" t="inlineStr">
        <is>
          <t>P060432|R2</t>
        </is>
      </c>
      <c r="T144" s="13" t="inlineStr">
        <is>
          <t>allocated — code reserved 15.09.2026 for the Tranche 3 (sampled 19–21.08.2026) reissue (owner: every Tranche 3 retest parameter is tested at Farmahem and its certificates all issue on one date); sampled 21.08.2026, retest assay 227-24-K-26 on file, mycotoxins pending; issued on the owner's date once the 227-М certificate exists, after every Tranche 2 reissue; cites the campaign iCoA of 24.08.2026</t>
        </is>
      </c>
      <c r="U144" s="2">
        <f>IFERROR(INDEX('CoQ Register'!$B:$B,MATCH("P060432|I",'CoQ Register'!$S:$S,0)),"— initial certificate not on the register —")</f>
        <v/>
      </c>
      <c r="V144" s="10" t="n">
        <v>20</v>
      </c>
      <c r="W144" s="2" t="inlineStr">
        <is>
          <t>227-24-К/26</t>
        </is>
      </c>
      <c r="X144" s="2" t="inlineStr">
        <is>
          <t>22.00 ± 2.20 (I)</t>
        </is>
      </c>
      <c r="Y144" s="2" t="inlineStr">
        <is>
          <t>19.80 – 24.19 %</t>
        </is>
      </c>
      <c r="Z144" s="2" t="inlineStr">
        <is>
          <t>FB_THC22 : CBD1</t>
        </is>
      </c>
      <c r="AA144" s="2" t="inlineStr">
        <is>
          <t>QCSP_001_FB-I_v.01</t>
        </is>
      </c>
      <c r="AB144" s="11" t="inlineStr">
        <is>
          <t>for review — new</t>
        </is>
      </c>
      <c r="AC144" s="11" t="inlineStr"/>
    </row>
    <row r="145">
      <c r="A145" s="2">
        <f>IF(OR(C145="yes",C145="allocated",C145="ruled"),COUNT(A$1:A144)+1,"")</f>
        <v/>
      </c>
      <c r="B145" s="3">
        <f>IF(A145&lt;&gt;"","CoQ-PP_26-"&amp;TEXT(A145,"000"),"— at issue —")</f>
        <v/>
      </c>
      <c r="C145" s="12" t="inlineStr">
        <is>
          <t>allocated</t>
        </is>
      </c>
      <c r="D145" s="5" t="inlineStr"/>
      <c r="E145" s="5" t="inlineStr">
        <is>
          <t>— the owner's date for all of Tranche 3 (15.09.2026), the 227-М certificates expected by 18.09.2026; provisional —</t>
        </is>
      </c>
      <c r="F145" s="5" t="n">
        <v>46276</v>
      </c>
      <c r="G145" s="2" t="inlineStr">
        <is>
          <t>227-23-K-26</t>
        </is>
      </c>
      <c r="H145" s="2">
        <f>IFERROR(INDEX('iCoA Register'!$B:$B,MATCH("P060392|R2",'iCoA Register'!$AA:$AA,0)),"—")</f>
        <v/>
      </c>
      <c r="I145" s="5">
        <f>IFERROR(INDEX('iCoA Register'!$D:$D,MATCH("P060392|R2",'iCoA Register'!$AA:$AA,0)),"")</f>
        <v/>
      </c>
      <c r="J145" s="2" t="inlineStr">
        <is>
          <t>post-SOP</t>
        </is>
      </c>
      <c r="K145" s="2" t="inlineStr">
        <is>
          <t>retest — Tranche 3 (sampled 19–21.08.2026)</t>
        </is>
      </c>
      <c r="L145" s="3" t="inlineStr">
        <is>
          <t>FB012603V</t>
        </is>
      </c>
      <c r="M145" s="2" t="inlineStr">
        <is>
          <t>P060392</t>
        </is>
      </c>
      <c r="N145" s="2" t="inlineStr">
        <is>
          <t>Fat Bastard</t>
        </is>
      </c>
      <c r="O145" s="2" t="inlineStr">
        <is>
          <t>227-23-K-26, (11.09.2026) [FHM-K]</t>
        </is>
      </c>
      <c r="P145" s="6" t="inlineStr">
        <is>
          <t>—</t>
        </is>
      </c>
      <c r="Q145" s="2" t="inlineStr">
        <is>
          <t>—</t>
        </is>
      </c>
      <c r="R145" s="2" t="inlineStr">
        <is>
          <t>CoQ reissue (assigned on issue)</t>
        </is>
      </c>
      <c r="S145" s="2" t="inlineStr">
        <is>
          <t>P060392|R2</t>
        </is>
      </c>
      <c r="T145" s="13" t="inlineStr">
        <is>
          <t>allocated — code reserved 15.09.2026 for the Tranche 3 (sampled 19–21.08.2026) reissue (owner: every Tranche 3 retest parameter is tested at Farmahem and its certificates all issue on one date); sampled 21.08.2026, retest assay 227-23-K-26 on file, mycotoxins pending; issued on the owner's date once the 227-М certificate exists, after every Tranche 2 reissue; cites the campaign iCoA of 24.08.2026</t>
        </is>
      </c>
      <c r="U145" s="2">
        <f>IFERROR(INDEX('CoQ Register'!$B:$B,MATCH("P060392|I",'CoQ Register'!$S:$S,0)),"— initial certificate not on the register —")</f>
        <v/>
      </c>
      <c r="V145" s="10" t="n">
        <v>19.31</v>
      </c>
      <c r="W145" s="2" t="inlineStr">
        <is>
          <t>227-23-К/26</t>
        </is>
      </c>
      <c r="X145" s="2" t="inlineStr">
        <is>
          <t>18.00 ± 1.80 (II)</t>
        </is>
      </c>
      <c r="Y145" s="2" t="inlineStr">
        <is>
          <t>16.20 – 19.79 %</t>
        </is>
      </c>
      <c r="Z145" s="2" t="inlineStr">
        <is>
          <t>FB_THC18 : CBD1</t>
        </is>
      </c>
      <c r="AA145" s="2" t="inlineStr">
        <is>
          <t>QCSP_001_FB-II_v.01</t>
        </is>
      </c>
      <c r="AB145" s="8" t="inlineStr">
        <is>
          <t>for review — replaces the issued QCSP_001_FB-II_v.01 (was FB_THC18 : CBD1, 17.15 – 18.85 %); now FB_THC18 : CBD1 16.20 – 19.79 %</t>
        </is>
      </c>
      <c r="AC145" s="11" t="inlineStr"/>
    </row>
    <row r="146">
      <c r="A146" s="2">
        <f>IF(OR(C146="yes",C146="allocated",C146="ruled"),COUNT(A$1:A145)+1,"")</f>
        <v/>
      </c>
      <c r="B146" s="3">
        <f>IF(A146&lt;&gt;"","CoQ-PP_26-"&amp;TEXT(A146,"000"),"— at issue —")</f>
        <v/>
      </c>
      <c r="C146" s="12" t="inlineStr">
        <is>
          <t>allocated</t>
        </is>
      </c>
      <c r="D146" s="5" t="inlineStr"/>
      <c r="E146" s="5" t="inlineStr">
        <is>
          <t>— the owner's date for all of Tranche 3 (15.09.2026), the 227-М certificates expected by 18.09.2026; provisional —</t>
        </is>
      </c>
      <c r="F146" s="5" t="n">
        <v>46276</v>
      </c>
      <c r="G146" s="2" t="inlineStr">
        <is>
          <t>227-22-K-26</t>
        </is>
      </c>
      <c r="H146" s="2">
        <f>IFERROR(INDEX('iCoA Register'!$B:$B,MATCH("P060292|R2",'iCoA Register'!$AA:$AA,0)),"—")</f>
        <v/>
      </c>
      <c r="I146" s="5">
        <f>IFERROR(INDEX('iCoA Register'!$D:$D,MATCH("P060292|R2",'iCoA Register'!$AA:$AA,0)),"")</f>
        <v/>
      </c>
      <c r="J146" s="2" t="inlineStr">
        <is>
          <t>post-SOP</t>
        </is>
      </c>
      <c r="K146" s="2" t="inlineStr">
        <is>
          <t>retest — Tranche 3 (sampled 19–21.08.2026)</t>
        </is>
      </c>
      <c r="L146" s="3" t="inlineStr">
        <is>
          <t>FB112501</t>
        </is>
      </c>
      <c r="M146" s="2" t="inlineStr">
        <is>
          <t>P060292</t>
        </is>
      </c>
      <c r="N146" s="2" t="inlineStr">
        <is>
          <t>Fat Bastard</t>
        </is>
      </c>
      <c r="O146" s="2" t="inlineStr">
        <is>
          <t>227-22-K-26, (11.09.2026) [FHM-K]</t>
        </is>
      </c>
      <c r="P146" s="6" t="inlineStr">
        <is>
          <t>—</t>
        </is>
      </c>
      <c r="Q146" s="2" t="inlineStr">
        <is>
          <t>—</t>
        </is>
      </c>
      <c r="R146" s="2" t="inlineStr">
        <is>
          <t>CoQ reissue (assigned on issue)</t>
        </is>
      </c>
      <c r="S146" s="2" t="inlineStr">
        <is>
          <t>P060292|R2</t>
        </is>
      </c>
      <c r="T146" s="13" t="inlineStr">
        <is>
          <t>allocated — code reserved 15.09.2026 for the Tranche 3 (sampled 19–21.08.2026) reissue (owner: every Tranche 3 retest parameter is tested at Farmahem and its certificates all issue on one date); sampled 21.08.2026, retest assay 227-22-K-26 on file, mycotoxins pending; issued on the owner's date once the 227-М certificate exists, after every Tranche 2 reissue; cites the campaign iCoA of 24.08.2026</t>
        </is>
      </c>
      <c r="U146" s="2">
        <f>IFERROR(INDEX('CoQ Register'!$B:$B,MATCH("P060292|I",'CoQ Register'!$S:$S,0)),"— initial certificate not on the register —")</f>
        <v/>
      </c>
      <c r="V146" s="10" t="n">
        <v>18.75</v>
      </c>
      <c r="W146" s="2" t="inlineStr">
        <is>
          <t>227-22-К/26</t>
        </is>
      </c>
      <c r="X146" s="2" t="inlineStr">
        <is>
          <t>18.00 ± 1.80 (II)</t>
        </is>
      </c>
      <c r="Y146" s="2" t="inlineStr">
        <is>
          <t>16.20 – 19.79 %</t>
        </is>
      </c>
      <c r="Z146" s="2" t="inlineStr">
        <is>
          <t>FB_THC18 : CBD1</t>
        </is>
      </c>
      <c r="AA146" s="2" t="inlineStr">
        <is>
          <t>QCSP_001_FB-II_v.01</t>
        </is>
      </c>
      <c r="AB146" s="8" t="inlineStr">
        <is>
          <t>for review — replaces the issued QCSP_001_FB-II_v.01 (was FB_THC18 : CBD1, 17.15 – 18.85 %); now FB_THC18 : CBD1 16.20 – 19.79 %</t>
        </is>
      </c>
      <c r="AC146" s="11" t="inlineStr"/>
    </row>
    <row r="147">
      <c r="A147" s="2">
        <f>IF(OR(C147="yes",C147="allocated",C147="ruled"),COUNT(A$1:A146)+1,"")</f>
        <v/>
      </c>
      <c r="B147" s="3">
        <f>IF(A147&lt;&gt;"","CoQ-PP_26-"&amp;TEXT(A147,"000"),"— at issue —")</f>
        <v/>
      </c>
      <c r="C147" s="12" t="inlineStr">
        <is>
          <t>allocated</t>
        </is>
      </c>
      <c r="D147" s="5" t="inlineStr"/>
      <c r="E147" s="5" t="inlineStr">
        <is>
          <t>— the owner's date for all of Tranche 3 (15.09.2026), the 227-М certificates expected by 18.09.2026; provisional —</t>
        </is>
      </c>
      <c r="F147" s="5" t="n">
        <v>46276</v>
      </c>
      <c r="G147" s="2" t="inlineStr">
        <is>
          <t>227-21-K-26</t>
        </is>
      </c>
      <c r="H147" s="2">
        <f>IFERROR(INDEX('iCoA Register'!$B:$B,MATCH("P060302|R2",'iCoA Register'!$AA:$AA,0)),"—")</f>
        <v/>
      </c>
      <c r="I147" s="5">
        <f>IFERROR(INDEX('iCoA Register'!$D:$D,MATCH("P060302|R2",'iCoA Register'!$AA:$AA,0)),"")</f>
        <v/>
      </c>
      <c r="J147" s="2" t="inlineStr">
        <is>
          <t>post-SOP</t>
        </is>
      </c>
      <c r="K147" s="2" t="inlineStr">
        <is>
          <t>retest — Tranche 3 (sampled 19–21.08.2026)</t>
        </is>
      </c>
      <c r="L147" s="3" t="inlineStr">
        <is>
          <t>GG012601＊</t>
        </is>
      </c>
      <c r="M147" s="2" t="inlineStr">
        <is>
          <t>P060302</t>
        </is>
      </c>
      <c r="N147" s="2" t="inlineStr">
        <is>
          <t>Gorilla Glue</t>
        </is>
      </c>
      <c r="O147" s="2" t="inlineStr">
        <is>
          <t>227-21-K-26, (11.09.2026) [FHM-K]</t>
        </is>
      </c>
      <c r="P147" s="6" t="inlineStr">
        <is>
          <t>—</t>
        </is>
      </c>
      <c r="Q147" s="2" t="inlineStr">
        <is>
          <t>—</t>
        </is>
      </c>
      <c r="R147" s="2" t="inlineStr">
        <is>
          <t>CoQ reissue (assigned on issue)</t>
        </is>
      </c>
      <c r="S147" s="2" t="inlineStr">
        <is>
          <t>P060302|R2</t>
        </is>
      </c>
      <c r="T147" s="13" t="inlineStr">
        <is>
          <t>allocated — code reserved 15.09.2026 for the Tranche 3 (sampled 19–21.08.2026) reissue (owner: every Tranche 3 retest parameter is tested at Farmahem and its certificates all issue on one date); sampled 21.08.2026, retest assay 227-21-K-26 on file, mycotoxins pending; issued on the owner's date once the 227-М certificate exists, after every Tranche 2 reissue; cites the campaign iCoA of 24.08.2026</t>
        </is>
      </c>
      <c r="U147" s="2">
        <f>IFERROR(INDEX('CoQ Register'!$B:$B,MATCH("P060302|I",'CoQ Register'!$S:$S,0)),"— initial certificate not on the register —")</f>
        <v/>
      </c>
      <c r="V147" s="10" t="n">
        <v>19.16</v>
      </c>
      <c r="W147" s="2" t="inlineStr">
        <is>
          <t>227-21-К/26</t>
        </is>
      </c>
      <c r="X147" s="2" t="inlineStr">
        <is>
          <t>18.00 ± 1.77 (I)</t>
        </is>
      </c>
      <c r="Y147" s="2" t="inlineStr">
        <is>
          <t>16.23 – 19.76 %</t>
        </is>
      </c>
      <c r="Z147" s="2" t="inlineStr">
        <is>
          <t>GG_THC18 : CBD1</t>
        </is>
      </c>
      <c r="AA147" s="2" t="inlineStr">
        <is>
          <t>QCSP_001_GG-I_v.01</t>
        </is>
      </c>
      <c r="AB147" s="8" t="inlineStr">
        <is>
          <t>for review — replaces the issued QCSP_001_GG-I_v.01 (was GG_THC18 : CBD1, 17.01 – 18.99 %); now GG_THC18 : CBD1 16.23 – 19.76 %</t>
        </is>
      </c>
      <c r="AC147" s="11" t="inlineStr"/>
    </row>
    <row r="148">
      <c r="A148" s="2">
        <f>IF(OR(C148="yes",C148="allocated",C148="ruled"),COUNT(A$1:A147)+1,"")</f>
        <v/>
      </c>
      <c r="B148" s="3">
        <f>IF(A148&lt;&gt;"","CoQ-PP_26-"&amp;TEXT(A148,"000"),"— at issue —")</f>
        <v/>
      </c>
      <c r="C148" s="12" t="inlineStr">
        <is>
          <t>allocated</t>
        </is>
      </c>
      <c r="D148" s="5" t="inlineStr"/>
      <c r="E148" s="5" t="inlineStr">
        <is>
          <t>— the owner's date for all of Tranche 3 (15.09.2026), the 227-М certificates expected by 18.09.2026; provisional —</t>
        </is>
      </c>
      <c r="F148" s="5" t="n">
        <v>46276</v>
      </c>
      <c r="G148" s="2" t="inlineStr">
        <is>
          <t>227-19-K-26</t>
        </is>
      </c>
      <c r="H148" s="2">
        <f>IFERROR(INDEX('iCoA Register'!$B:$B,MATCH("P050012|R2",'iCoA Register'!$AA:$AA,0)),"—")</f>
        <v/>
      </c>
      <c r="I148" s="5">
        <f>IFERROR(INDEX('iCoA Register'!$D:$D,MATCH("P050012|R2",'iCoA Register'!$AA:$AA,0)),"")</f>
        <v/>
      </c>
      <c r="J148" s="2" t="inlineStr">
        <is>
          <t>legacy</t>
        </is>
      </c>
      <c r="K148" s="2" t="inlineStr">
        <is>
          <t>retest — Tranche 3 (sampled 19–21.08.2026)</t>
        </is>
      </c>
      <c r="L148" s="3" t="inlineStr">
        <is>
          <t>GG1024_02</t>
        </is>
      </c>
      <c r="M148" s="2" t="inlineStr">
        <is>
          <t>P050012</t>
        </is>
      </c>
      <c r="N148" s="2" t="inlineStr">
        <is>
          <t>Gorilla Glue</t>
        </is>
      </c>
      <c r="O148" s="2" t="inlineStr">
        <is>
          <t>227-19-K-26, (11.09.2026) [FHM-K]</t>
        </is>
      </c>
      <c r="P148" s="6" t="inlineStr">
        <is>
          <t>—</t>
        </is>
      </c>
      <c r="Q148" s="2" t="inlineStr">
        <is>
          <t>—</t>
        </is>
      </c>
      <c r="R148" s="2" t="inlineStr">
        <is>
          <t>CoQ reissue (assigned on issue)</t>
        </is>
      </c>
      <c r="S148" s="2" t="inlineStr">
        <is>
          <t>P050012|R2</t>
        </is>
      </c>
      <c r="T148" s="13" t="inlineStr">
        <is>
          <t>allocated — code reserved 15.09.2026 for the Tranche 3 (sampled 19–21.08.2026) reissue (owner: every Tranche 3 retest parameter is tested at Farmahem and its certificates all issue on one date); sampled 20.08.2026, retest assay 227-19-K-26 on file, mycotoxins pending; issued on the owner's date once the 227-М certificate exists, after every Tranche 2 reissue; cites the campaign iCoA of 24.08.2026</t>
        </is>
      </c>
      <c r="U148" s="2">
        <f>IFERROR(INDEX('CoQ Register'!$B:$B,MATCH("P050012|I",'CoQ Register'!$S:$S,0)),"— initial certificate not on the register —")</f>
        <v/>
      </c>
      <c r="V148" s="10" t="n">
        <v>17.76</v>
      </c>
      <c r="W148" s="2" t="inlineStr">
        <is>
          <t>227-19-К/26</t>
        </is>
      </c>
      <c r="X148" s="2" t="inlineStr">
        <is>
          <t>18.00 ± 1.77 (I)</t>
        </is>
      </c>
      <c r="Y148" s="2" t="inlineStr">
        <is>
          <t>16.23 – 19.76 %</t>
        </is>
      </c>
      <c r="Z148" s="2" t="inlineStr">
        <is>
          <t>GG_THC18 : CBD1</t>
        </is>
      </c>
      <c r="AA148" s="2" t="inlineStr">
        <is>
          <t>QCSP_001_GG-I_v.01</t>
        </is>
      </c>
      <c r="AB148" s="8" t="inlineStr">
        <is>
          <t>for review — replaces the issued QCSP_001_GG-I_v.01 (was GG_THC18 : CBD1, 17.01 – 18.99 %); now GG_THC18 : CBD1 16.23 – 19.76 %</t>
        </is>
      </c>
      <c r="AC148" s="11" t="inlineStr"/>
    </row>
    <row r="149">
      <c r="A149" s="2">
        <f>IF(OR(C149="yes",C149="allocated",C149="ruled"),COUNT(A$1:A148)+1,"")</f>
        <v/>
      </c>
      <c r="B149" s="3">
        <f>IF(A149&lt;&gt;"","CoQ-PP_26-"&amp;TEXT(A149,"000"),"— at issue —")</f>
        <v/>
      </c>
      <c r="C149" s="12" t="inlineStr">
        <is>
          <t>allocated</t>
        </is>
      </c>
      <c r="D149" s="5" t="inlineStr"/>
      <c r="E149" s="5" t="inlineStr">
        <is>
          <t>— the owner's date for all of Tranche 3 (15.09.2026), the 227-М certificates expected by 18.09.2026; provisional —</t>
        </is>
      </c>
      <c r="F149" s="5" t="n">
        <v>46276</v>
      </c>
      <c r="G149" s="2" t="inlineStr">
        <is>
          <t>227-20-K-26</t>
        </is>
      </c>
      <c r="H149" s="2">
        <f>IFERROR(INDEX('iCoA Register'!$B:$B,MATCH("P060252|R2",'iCoA Register'!$AA:$AA,0)),"—")</f>
        <v/>
      </c>
      <c r="I149" s="5">
        <f>IFERROR(INDEX('iCoA Register'!$D:$D,MATCH("P060252|R2",'iCoA Register'!$AA:$AA,0)),"")</f>
        <v/>
      </c>
      <c r="J149" s="2" t="inlineStr">
        <is>
          <t>legacy</t>
        </is>
      </c>
      <c r="K149" s="2" t="inlineStr">
        <is>
          <t>retest — Tranche 3 (sampled 19–21.08.2026)</t>
        </is>
      </c>
      <c r="L149" s="3" t="inlineStr">
        <is>
          <t>GG112501</t>
        </is>
      </c>
      <c r="M149" s="2" t="inlineStr">
        <is>
          <t>P060252</t>
        </is>
      </c>
      <c r="N149" s="2" t="inlineStr">
        <is>
          <t>Gorilla Glue</t>
        </is>
      </c>
      <c r="O149" s="2" t="inlineStr">
        <is>
          <t>227-20-K-26, (11.09.2026) [FHM-K]</t>
        </is>
      </c>
      <c r="P149" s="6" t="inlineStr">
        <is>
          <t>—</t>
        </is>
      </c>
      <c r="Q149" s="2" t="inlineStr">
        <is>
          <t>—</t>
        </is>
      </c>
      <c r="R149" s="2" t="inlineStr">
        <is>
          <t>CoQ reissue (assigned on issue)</t>
        </is>
      </c>
      <c r="S149" s="2" t="inlineStr">
        <is>
          <t>P060252|R2</t>
        </is>
      </c>
      <c r="T149" s="13" t="inlineStr">
        <is>
          <t>allocated — code reserved 15.09.2026 for the Tranche 3 (sampled 19–21.08.2026) reissue (owner: every Tranche 3 retest parameter is tested at Farmahem and its certificates all issue on one date); sampled 20.08.2026, retest assay 227-20-K-26 on file, mycotoxins pending; issued on the owner's date once the 227-М certificate exists, after every Tranche 2 reissue; cites the campaign iCoA of 24.08.2026</t>
        </is>
      </c>
      <c r="U149" s="2">
        <f>IFERROR(INDEX('CoQ Register'!$B:$B,MATCH("P060252|I",'CoQ Register'!$S:$S,0)),"— initial certificate not on the register —")</f>
        <v/>
      </c>
      <c r="V149" s="10" t="n">
        <v>18.64</v>
      </c>
      <c r="W149" s="2" t="inlineStr">
        <is>
          <t>227-20-К/26</t>
        </is>
      </c>
      <c r="X149" s="2" t="inlineStr">
        <is>
          <t>18.00 ± 1.77 (I)</t>
        </is>
      </c>
      <c r="Y149" s="2" t="inlineStr">
        <is>
          <t>16.23 – 19.76 %</t>
        </is>
      </c>
      <c r="Z149" s="2" t="inlineStr">
        <is>
          <t>GG_THC18 : CBD1</t>
        </is>
      </c>
      <c r="AA149" s="2" t="inlineStr">
        <is>
          <t>QCSP_001_GG-I_v.01</t>
        </is>
      </c>
      <c r="AB149" s="8" t="inlineStr">
        <is>
          <t>for review — replaces the issued QCSP_001_GG-I_v.01 (was GG_THC18 : CBD1, 17.01 – 18.99 %); now GG_THC18 : CBD1 16.23 – 19.76 %</t>
        </is>
      </c>
      <c r="AC149" s="11" t="inlineStr"/>
    </row>
    <row r="150">
      <c r="A150" s="2">
        <f>IF(OR(C150="yes",C150="allocated",C150="ruled"),COUNT(A$1:A149)+1,"")</f>
        <v/>
      </c>
      <c r="B150" s="3">
        <f>IF(A150&lt;&gt;"","CoQ-PP_26-"&amp;TEXT(A150,"000"),"— at issue —")</f>
        <v/>
      </c>
      <c r="C150" s="12" t="inlineStr">
        <is>
          <t>allocated</t>
        </is>
      </c>
      <c r="D150" s="5" t="inlineStr"/>
      <c r="E150" s="5" t="inlineStr">
        <is>
          <t>— the owner's date for all of Tranche 3 (15.09.2026), the 227-М certificates expected by 18.09.2026; provisional —</t>
        </is>
      </c>
      <c r="F150" s="5" t="n">
        <v>46276</v>
      </c>
      <c r="G150" s="2" t="inlineStr">
        <is>
          <t>227-18-K-26</t>
        </is>
      </c>
      <c r="H150" s="2">
        <f>IFERROR(INDEX('iCoA Register'!$B:$B,MATCH("P050202|R5",'iCoA Register'!$AA:$AA,0)),"—")</f>
        <v/>
      </c>
      <c r="I150" s="5">
        <f>IFERROR(INDEX('iCoA Register'!$D:$D,MATCH("P050202|R5",'iCoA Register'!$AA:$AA,0)),"")</f>
        <v/>
      </c>
      <c r="J150" s="2" t="inlineStr">
        <is>
          <t>legacy</t>
        </is>
      </c>
      <c r="K150" s="2" t="inlineStr">
        <is>
          <t>retest — Tranche 3 (sampled 19–21.08.2026)</t>
        </is>
      </c>
      <c r="L150" s="3" t="inlineStr">
        <is>
          <t>GP062501</t>
        </is>
      </c>
      <c r="M150" s="2" t="inlineStr">
        <is>
          <t>P050202</t>
        </is>
      </c>
      <c r="N150" s="2" t="inlineStr">
        <is>
          <t>Grape Pie</t>
        </is>
      </c>
      <c r="O150" s="2" t="inlineStr">
        <is>
          <t>227-18-K-26, (11.09.2026) [FHM-K]</t>
        </is>
      </c>
      <c r="P150" s="6" t="inlineStr">
        <is>
          <t>—</t>
        </is>
      </c>
      <c r="Q150" s="2" t="inlineStr">
        <is>
          <t>—</t>
        </is>
      </c>
      <c r="R150" s="2" t="inlineStr">
        <is>
          <t>CoQ reissue (assigned on issue)</t>
        </is>
      </c>
      <c r="S150" s="2" t="inlineStr">
        <is>
          <t>P050202|R5</t>
        </is>
      </c>
      <c r="T150" s="13" t="inlineStr">
        <is>
          <t>allocated — code reserved 15.09.2026 for the Tranche 3 (sampled 19–21.08.2026) reissue (owner: every Tranche 3 retest parameter is tested at Farmahem and its certificates all issue on one date); sampled 20.08.2026, retest assay 227-18-K-26 on file, mycotoxins pending; issued on the owner's date once the 227-М certificate exists, after every Tranche 2 reissue; cites the campaign iCoA of 24.08.2026</t>
        </is>
      </c>
      <c r="U150" s="2">
        <f>IFERROR(INDEX('CoQ Register'!$B:$B,MATCH("P050202|I",'CoQ Register'!$S:$S,0)),"— initial certificate not on the register —")</f>
        <v/>
      </c>
      <c r="V150" s="10" t="n">
        <v>25.97</v>
      </c>
      <c r="W150" s="2" t="inlineStr">
        <is>
          <t>227-18-К/26</t>
        </is>
      </c>
      <c r="X150" s="2" t="inlineStr">
        <is>
          <t>24.00 ± 2.00 (II)</t>
        </is>
      </c>
      <c r="Y150" s="2" t="inlineStr">
        <is>
          <t>22.00 – 25.99 %</t>
        </is>
      </c>
      <c r="Z150" s="2" t="inlineStr">
        <is>
          <t>GP_THC24 : CBD1</t>
        </is>
      </c>
      <c r="AA150" s="2" t="inlineStr">
        <is>
          <t>QCSP_001_GP-II_v.01</t>
        </is>
      </c>
      <c r="AB150" s="8" t="inlineStr">
        <is>
          <t>for review — replaces the issued QCSP_001_GP-II_v.01 (was GP_THC26 : CBD1, 25.40 – 26.60 %); now GP_THC24 : CBD1 22.00 – 25.99 %</t>
        </is>
      </c>
      <c r="AC150" s="11" t="inlineStr"/>
    </row>
    <row r="151">
      <c r="A151" s="2">
        <f>IF(OR(C151="yes",C151="allocated",C151="ruled"),COUNT(A$1:A150)+1,"")</f>
        <v/>
      </c>
      <c r="B151" s="3">
        <f>IF(A151&lt;&gt;"","CoQ-PP_26-"&amp;TEXT(A151,"000"),"— at issue —")</f>
        <v/>
      </c>
      <c r="C151" s="12" t="inlineStr">
        <is>
          <t>allocated</t>
        </is>
      </c>
      <c r="D151" s="5" t="inlineStr"/>
      <c r="E151" s="5" t="inlineStr">
        <is>
          <t>— the owner's date for all of Tranche 3 (15.09.2026), the 227-М certificates expected by 18.09.2026; provisional —</t>
        </is>
      </c>
      <c r="F151" s="5" t="n">
        <v>46276</v>
      </c>
      <c r="G151" s="2" t="inlineStr">
        <is>
          <t>227-17-K-26</t>
        </is>
      </c>
      <c r="H151" s="2">
        <f>IFERROR(INDEX('iCoA Register'!$B:$B,MATCH("P050292|R2",'iCoA Register'!$AA:$AA,0)),"—")</f>
        <v/>
      </c>
      <c r="I151" s="5">
        <f>IFERROR(INDEX('iCoA Register'!$D:$D,MATCH("P050292|R2",'iCoA Register'!$AA:$AA,0)),"")</f>
        <v/>
      </c>
      <c r="J151" s="2" t="inlineStr">
        <is>
          <t>legacy</t>
        </is>
      </c>
      <c r="K151" s="2" t="inlineStr">
        <is>
          <t>retest — Tranche 3 (sampled 19–21.08.2026)</t>
        </is>
      </c>
      <c r="L151" s="3" t="inlineStr">
        <is>
          <t>GP072501/1</t>
        </is>
      </c>
      <c r="M151" s="2" t="inlineStr">
        <is>
          <t>P050292</t>
        </is>
      </c>
      <c r="N151" s="2" t="inlineStr">
        <is>
          <t>Grape Pie</t>
        </is>
      </c>
      <c r="O151" s="2" t="inlineStr">
        <is>
          <t>227-17-K-26, (11.09.2026) [FHM-K]</t>
        </is>
      </c>
      <c r="P151" s="6" t="inlineStr">
        <is>
          <t>—</t>
        </is>
      </c>
      <c r="Q151" s="2" t="inlineStr">
        <is>
          <t>—</t>
        </is>
      </c>
      <c r="R151" s="2" t="inlineStr">
        <is>
          <t>CoQ reissue (assigned on issue)</t>
        </is>
      </c>
      <c r="S151" s="2" t="inlineStr">
        <is>
          <t>P050292|R2</t>
        </is>
      </c>
      <c r="T151" s="13" t="inlineStr">
        <is>
          <t>allocated — code reserved 15.09.2026 for the Tranche 3 (sampled 19–21.08.2026) reissue (owner: every Tranche 3 retest parameter is tested at Farmahem and its certificates all issue on one date); sampled 20.08.2026, retest assay 227-17-K-26 on file, mycotoxins pending; issued on the owner's date once the 227-М certificate exists, after every Tranche 2 reissue; cites the campaign iCoA of 24.08.2026</t>
        </is>
      </c>
      <c r="U151" s="2">
        <f>IFERROR(INDEX('CoQ Register'!$B:$B,MATCH("P050292|I",'CoQ Register'!$S:$S,0)),"— initial certificate not on the register —")</f>
        <v/>
      </c>
      <c r="V151" s="10" t="n">
        <v>26.54</v>
      </c>
      <c r="W151" s="2" t="inlineStr">
        <is>
          <t>227-17-К/26</t>
        </is>
      </c>
      <c r="X151" s="2" t="inlineStr">
        <is>
          <t>28.00 ± 2.00 (I)</t>
        </is>
      </c>
      <c r="Y151" s="2" t="inlineStr">
        <is>
          <t>26.00 – 29.99 %</t>
        </is>
      </c>
      <c r="Z151" s="2" t="inlineStr">
        <is>
          <t>GP_THC28 : CBD1</t>
        </is>
      </c>
      <c r="AA151" s="2" t="inlineStr">
        <is>
          <t>QCSP_001_GP-I_v.01</t>
        </is>
      </c>
      <c r="AB151" s="8" t="inlineStr">
        <is>
          <t>for review — replaces the issued QCSP_001_GP-I_v.01 (was GP_THC28 : CBD1, 26.61 – 29.39 %); now GP_THC28 : CBD1 26.00 – 29.99 %</t>
        </is>
      </c>
      <c r="AC151" s="11" t="inlineStr"/>
    </row>
    <row r="152">
      <c r="A152" s="2">
        <f>IF(OR(C152="yes",C152="allocated",C152="ruled"),COUNT(A$1:A151)+1,"")</f>
        <v/>
      </c>
      <c r="B152" s="3">
        <f>IF(A152&lt;&gt;"","CoQ-PP_26-"&amp;TEXT(A152,"000"),"— at issue —")</f>
        <v/>
      </c>
      <c r="C152" s="12" t="inlineStr">
        <is>
          <t>allocated</t>
        </is>
      </c>
      <c r="D152" s="5" t="inlineStr"/>
      <c r="E152" s="5" t="inlineStr">
        <is>
          <t>— the owner's date for all of Tranche 3 (15.09.2026), the 227-М certificates expected by 18.09.2026; provisional —</t>
        </is>
      </c>
      <c r="F152" s="5" t="n">
        <v>46276</v>
      </c>
      <c r="G152" s="2" t="inlineStr">
        <is>
          <t>227-2-K-26</t>
        </is>
      </c>
      <c r="H152" s="2">
        <f>IFERROR(INDEX('iCoA Register'!$B:$B,MATCH("P050102|R2",'iCoA Register'!$AA:$AA,0)),"—")</f>
        <v/>
      </c>
      <c r="I152" s="5">
        <f>IFERROR(INDEX('iCoA Register'!$D:$D,MATCH("P050102|R2",'iCoA Register'!$AA:$AA,0)),"")</f>
        <v/>
      </c>
      <c r="J152" s="2" t="inlineStr">
        <is>
          <t>legacy</t>
        </is>
      </c>
      <c r="K152" s="2" t="inlineStr">
        <is>
          <t>retest — Tranche 3 (sampled 19–21.08.2026)</t>
        </is>
      </c>
      <c r="L152" s="3" t="inlineStr">
        <is>
          <t>GP0824_01</t>
        </is>
      </c>
      <c r="M152" s="2" t="inlineStr">
        <is>
          <t>P050102</t>
        </is>
      </c>
      <c r="N152" s="2" t="inlineStr">
        <is>
          <t>Grape Pie</t>
        </is>
      </c>
      <c r="O152" s="2" t="inlineStr">
        <is>
          <t>227-2-K-26, (11.09.2026) [FHM-K]</t>
        </is>
      </c>
      <c r="P152" s="6" t="inlineStr">
        <is>
          <t>—</t>
        </is>
      </c>
      <c r="Q152" s="2" t="inlineStr">
        <is>
          <t>—</t>
        </is>
      </c>
      <c r="R152" s="2" t="inlineStr">
        <is>
          <t>CoQ reissue (assigned on issue)</t>
        </is>
      </c>
      <c r="S152" s="2" t="inlineStr">
        <is>
          <t>P050102|R2</t>
        </is>
      </c>
      <c r="T152" s="13" t="inlineStr">
        <is>
          <t>allocated — code reserved 15.09.2026 for the Tranche 3 (sampled 19–21.08.2026) reissue (owner: every Tranche 3 retest parameter is tested at Farmahem and its certificates all issue on one date); sampled 19.08.2026, retest assay 227-2-K-26 on file, mycotoxins pending; issued on the owner's date once the 227-М certificate exists, after every Tranche 2 reissue; cites the campaign iCoA of 24.08.2026</t>
        </is>
      </c>
      <c r="U152" s="2">
        <f>IFERROR(INDEX('CoQ Register'!$B:$B,MATCH("P050102|I",'CoQ Register'!$S:$S,0)),"— initial certificate not on the register —")</f>
        <v/>
      </c>
      <c r="V152" s="10" t="n">
        <v>28.68</v>
      </c>
      <c r="W152" s="2" t="inlineStr">
        <is>
          <t>227-2-К/26</t>
        </is>
      </c>
      <c r="X152" s="2" t="inlineStr">
        <is>
          <t>28.00 ± 2.00 (I)</t>
        </is>
      </c>
      <c r="Y152" s="2" t="inlineStr">
        <is>
          <t>26.00 – 29.99 %</t>
        </is>
      </c>
      <c r="Z152" s="2" t="inlineStr">
        <is>
          <t>GP_THC28 : CBD1</t>
        </is>
      </c>
      <c r="AA152" s="2" t="inlineStr">
        <is>
          <t>QCSP_001_GP-I_v.01</t>
        </is>
      </c>
      <c r="AB152" s="8" t="inlineStr">
        <is>
          <t>for review — replaces the issued QCSP_001_GP-I_v.01 (was GP_THC28 : CBD1, 26.61 – 29.39 %); now GP_THC28 : CBD1 26.00 – 29.99 %</t>
        </is>
      </c>
      <c r="AC152" s="11" t="inlineStr"/>
    </row>
    <row r="153">
      <c r="A153" s="2">
        <f>IF(OR(C153="yes",C153="allocated",C153="ruled"),COUNT(A$1:A152)+1,"")</f>
        <v/>
      </c>
      <c r="B153" s="3">
        <f>IF(A153&lt;&gt;"","CoQ-PP_26-"&amp;TEXT(A153,"000"),"— at issue —")</f>
        <v/>
      </c>
      <c r="C153" s="12" t="inlineStr">
        <is>
          <t>allocated</t>
        </is>
      </c>
      <c r="D153" s="5" t="inlineStr"/>
      <c r="E153" s="5" t="inlineStr">
        <is>
          <t>— the owner's date for all of Tranche 3 (15.09.2026), the 227-М certificates expected by 18.09.2026; provisional —</t>
        </is>
      </c>
      <c r="F153" s="5" t="n">
        <v>46276</v>
      </c>
      <c r="G153" s="2" t="inlineStr">
        <is>
          <t>227-16-K-26</t>
        </is>
      </c>
      <c r="H153" s="2">
        <f>IFERROR(INDEX('iCoA Register'!$B:$B,MATCH("P060142|R2",'iCoA Register'!$AA:$AA,0)),"—")</f>
        <v/>
      </c>
      <c r="I153" s="5">
        <f>IFERROR(INDEX('iCoA Register'!$D:$D,MATCH("P060142|R2",'iCoA Register'!$AA:$AA,0)),"")</f>
        <v/>
      </c>
      <c r="J153" s="2" t="inlineStr">
        <is>
          <t>legacy</t>
        </is>
      </c>
      <c r="K153" s="2" t="inlineStr">
        <is>
          <t>retest — Tranche 3 (sampled 19–21.08.2026)</t>
        </is>
      </c>
      <c r="L153" s="3" t="inlineStr">
        <is>
          <t>GRC102501</t>
        </is>
      </c>
      <c r="M153" s="2" t="inlineStr">
        <is>
          <t>P060142</t>
        </is>
      </c>
      <c r="N153" s="2" t="inlineStr">
        <is>
          <t>Grapes And Cream</t>
        </is>
      </c>
      <c r="O153" s="2" t="inlineStr">
        <is>
          <t>227-16-K-26, (11.09.2026) [FHM-K]</t>
        </is>
      </c>
      <c r="P153" s="6" t="inlineStr">
        <is>
          <t>—</t>
        </is>
      </c>
      <c r="Q153" s="2" t="inlineStr">
        <is>
          <t>—</t>
        </is>
      </c>
      <c r="R153" s="2" t="inlineStr">
        <is>
          <t>CoQ reissue (assigned on issue)</t>
        </is>
      </c>
      <c r="S153" s="2" t="inlineStr">
        <is>
          <t>P060142|R2</t>
        </is>
      </c>
      <c r="T153" s="13" t="inlineStr">
        <is>
          <t>allocated — code reserved 15.09.2026 for the Tranche 3 (sampled 19–21.08.2026) reissue (owner: every Tranche 3 retest parameter is tested at Farmahem and its certificates all issue on one date); sampled 20.08.2026, retest assay 227-16-K-26 on file, mycotoxins pending; issued on the owner's date once the 227-М certificate exists, after every Tranche 2 reissue; cites the campaign iCoA of 24.08.2026</t>
        </is>
      </c>
      <c r="U153" s="2">
        <f>IFERROR(INDEX('CoQ Register'!$B:$B,MATCH("P060142|I",'CoQ Register'!$S:$S,0)),"— initial certificate not on the register —")</f>
        <v/>
      </c>
      <c r="V153" s="10" t="n">
        <v>7.5</v>
      </c>
      <c r="W153" s="2" t="inlineStr">
        <is>
          <t>227-16-К/26</t>
        </is>
      </c>
      <c r="X153" s="2" t="inlineStr">
        <is>
          <t>8.00 ± 0.80 (III)</t>
        </is>
      </c>
      <c r="Y153" s="2" t="inlineStr">
        <is>
          <t>7.20 – 8.79 %</t>
        </is>
      </c>
      <c r="Z153" s="2" t="inlineStr">
        <is>
          <t>GRC_THC8 : CBD1</t>
        </is>
      </c>
      <c r="AA153" s="2" t="inlineStr">
        <is>
          <t>QCSP_001_GRC-III_v.01</t>
        </is>
      </c>
      <c r="AB153" s="11" t="inlineStr">
        <is>
          <t>for review — new</t>
        </is>
      </c>
      <c r="AC153" s="11" t="inlineStr"/>
    </row>
    <row r="154">
      <c r="A154" s="2">
        <f>IF(OR(C154="yes",C154="allocated",C154="ruled"),COUNT(A$1:A153)+1,"")</f>
        <v/>
      </c>
      <c r="B154" s="3">
        <f>IF(A154&lt;&gt;"","CoQ-PP_26-"&amp;TEXT(A154,"000"),"— at issue —")</f>
        <v/>
      </c>
      <c r="C154" s="12" t="inlineStr">
        <is>
          <t>allocated</t>
        </is>
      </c>
      <c r="D154" s="5" t="inlineStr"/>
      <c r="E154" s="5" t="inlineStr">
        <is>
          <t>— the owner's date for all of Tranche 3 (15.09.2026), the 227-М certificates expected by 18.09.2026; provisional —</t>
        </is>
      </c>
      <c r="F154" s="5" t="n">
        <v>46276</v>
      </c>
      <c r="G154" s="2" t="inlineStr">
        <is>
          <t>227-14-K-26</t>
        </is>
      </c>
      <c r="H154" s="2">
        <f>IFERROR(INDEX('iCoA Register'!$B:$B,MATCH("P060202|R2",'iCoA Register'!$AA:$AA,0)),"—")</f>
        <v/>
      </c>
      <c r="I154" s="5">
        <f>IFERROR(INDEX('iCoA Register'!$D:$D,MATCH("P060202|R2",'iCoA Register'!$AA:$AA,0)),"")</f>
        <v/>
      </c>
      <c r="J154" s="2" t="inlineStr">
        <is>
          <t>legacy</t>
        </is>
      </c>
      <c r="K154" s="2" t="inlineStr">
        <is>
          <t>retest — Tranche 3 (sampled 19–21.08.2026)</t>
        </is>
      </c>
      <c r="L154" s="3" t="inlineStr">
        <is>
          <t>J31112501</t>
        </is>
      </c>
      <c r="M154" s="2" t="inlineStr">
        <is>
          <t>P060202</t>
        </is>
      </c>
      <c r="N154" s="2" t="inlineStr">
        <is>
          <t>Jokerz 31</t>
        </is>
      </c>
      <c r="O154" s="2" t="inlineStr">
        <is>
          <t>227-14-K-26, (11.09.2026) [FHM-K]</t>
        </is>
      </c>
      <c r="P154" s="6" t="inlineStr">
        <is>
          <t>—</t>
        </is>
      </c>
      <c r="Q154" s="2" t="inlineStr">
        <is>
          <t>—</t>
        </is>
      </c>
      <c r="R154" s="2" t="inlineStr">
        <is>
          <t>CoQ reissue (assigned on issue)</t>
        </is>
      </c>
      <c r="S154" s="2" t="inlineStr">
        <is>
          <t>P060202|R2</t>
        </is>
      </c>
      <c r="T154" s="13" t="inlineStr">
        <is>
          <t>allocated — code reserved 15.09.2026 for the Tranche 3 (sampled 19–21.08.2026) reissue (owner: every Tranche 3 retest parameter is tested at Farmahem and its certificates all issue on one date); sampled 20.08.2026, retest assay 227-14-K-26 on file, mycotoxins pending; issued on the owner's date once the 227-М certificate exists, after every Tranche 2 reissue; cites the campaign iCoA of 24.08.2026</t>
        </is>
      </c>
      <c r="U154" s="2">
        <f>IFERROR(INDEX('CoQ Register'!$B:$B,MATCH("P060202|I",'CoQ Register'!$S:$S,0)),"— initial certificate not on the register —")</f>
        <v/>
      </c>
      <c r="V154" s="10" t="n">
        <v>23.85</v>
      </c>
      <c r="W154" s="2" t="inlineStr">
        <is>
          <t>227-14-К/26</t>
        </is>
      </c>
      <c r="X154" s="2" t="inlineStr">
        <is>
          <t>22.00 ± 2.20 (II)</t>
        </is>
      </c>
      <c r="Y154" s="2" t="inlineStr">
        <is>
          <t>19.80 – 24.19 %</t>
        </is>
      </c>
      <c r="Z154" s="2" t="inlineStr">
        <is>
          <t>J31_THC22 : CBD1</t>
        </is>
      </c>
      <c r="AA154" s="2" t="inlineStr">
        <is>
          <t>QCSP_001_J31-II_v.01</t>
        </is>
      </c>
      <c r="AB154" s="8" t="inlineStr">
        <is>
          <t>for review — replaces the issued QCSP_001_J31-II_v.01 (was J31_THC18 : CBD1, 16.20 – 19.80 %); now J31_THC22 : CBD1 19.80 – 24.19 %</t>
        </is>
      </c>
      <c r="AC154" s="11" t="inlineStr"/>
    </row>
    <row r="155">
      <c r="A155" s="2">
        <f>IF(OR(C155="yes",C155="allocated",C155="ruled"),COUNT(A$1:A154)+1,"")</f>
        <v/>
      </c>
      <c r="B155" s="3">
        <f>IF(A155&lt;&gt;"","CoQ-PP_26-"&amp;TEXT(A155,"000"),"— at issue —")</f>
        <v/>
      </c>
      <c r="C155" s="12" t="inlineStr">
        <is>
          <t>allocated</t>
        </is>
      </c>
      <c r="D155" s="5" t="inlineStr"/>
      <c r="E155" s="5" t="inlineStr">
        <is>
          <t>— the owner's date for all of Tranche 3 (15.09.2026), the 227-М certificates expected by 18.09.2026; provisional —</t>
        </is>
      </c>
      <c r="F155" s="5" t="n">
        <v>46135</v>
      </c>
      <c r="G155" s="2" t="inlineStr">
        <is>
          <t>1628-2026</t>
        </is>
      </c>
      <c r="H155" s="2">
        <f>IFERROR(INDEX('iCoA Register'!$B:$B,MATCH("P060262|R2",'iCoA Register'!$AA:$AA,0)),"—")</f>
        <v/>
      </c>
      <c r="I155" s="5">
        <f>IFERROR(INDEX('iCoA Register'!$D:$D,MATCH("P060262|R2",'iCoA Register'!$AA:$AA,0)),"")</f>
        <v/>
      </c>
      <c r="J155" s="2" t="inlineStr">
        <is>
          <t>post-SOP</t>
        </is>
      </c>
      <c r="K155" s="2" t="inlineStr">
        <is>
          <t>retest — Tranche 3 (sampled 19–21.08.2026)</t>
        </is>
      </c>
      <c r="L155" s="3" t="inlineStr">
        <is>
          <t>J31122501</t>
        </is>
      </c>
      <c r="M155" s="2" t="inlineStr">
        <is>
          <t>P060262</t>
        </is>
      </c>
      <c r="N155" s="2" t="inlineStr">
        <is>
          <t>Jokerz 31</t>
        </is>
      </c>
      <c r="O155" s="6" t="inlineStr">
        <is>
          <t>— retest assay not yet on file —</t>
        </is>
      </c>
      <c r="P155" s="6" t="inlineStr">
        <is>
          <t>—</t>
        </is>
      </c>
      <c r="Q155" s="2" t="inlineStr">
        <is>
          <t>—</t>
        </is>
      </c>
      <c r="R155" s="2" t="inlineStr">
        <is>
          <t>CoQ reissue (assigned on issue)</t>
        </is>
      </c>
      <c r="S155" s="2" t="inlineStr">
        <is>
          <t>P060262|R2</t>
        </is>
      </c>
      <c r="T155" s="13" t="inlineStr">
        <is>
          <t>allocated — code reserved 15.09.2026 for the Tranche 3 (sampled 19–21.08.2026) reissue (owner: every Tranche 3 retest parameter is tested at Farmahem and its certificates all issue on one date); sampled 20.08.2026, retest assay — pending — on file, mycotoxins pending; issued on the owner's date once the 227-М certificate exists, after every Tranche 2 reissue; cites the campaign iCoA of 24.08.2026</t>
        </is>
      </c>
      <c r="U155" s="2">
        <f>IFERROR(INDEX('CoQ Register'!$B:$B,MATCH("P060262|I",'CoQ Register'!$S:$S,0)),"— initial certificate not on the register —")</f>
        <v/>
      </c>
      <c r="V155" s="10" t="n">
        <v>24.48</v>
      </c>
      <c r="W155" s="2" t="inlineStr">
        <is>
          <t>227-13-К/26</t>
        </is>
      </c>
      <c r="X155" s="2" t="inlineStr">
        <is>
          <t>26.00 ± 1.80 (I)</t>
        </is>
      </c>
      <c r="Y155" s="2" t="inlineStr">
        <is>
          <t>24.20 – 27.79 %</t>
        </is>
      </c>
      <c r="Z155" s="2" t="inlineStr">
        <is>
          <t>J31_THC26 : CBD1</t>
        </is>
      </c>
      <c r="AA155" s="2" t="inlineStr">
        <is>
          <t>QCSP_001_J31-I_v.01</t>
        </is>
      </c>
      <c r="AB155" s="11" t="inlineStr">
        <is>
          <t>for review — new</t>
        </is>
      </c>
      <c r="AC155" s="11" t="inlineStr"/>
    </row>
    <row r="156">
      <c r="A156" s="2">
        <f>IF(OR(C156="yes",C156="allocated",C156="ruled"),COUNT(A$1:A155)+1,"")</f>
        <v/>
      </c>
      <c r="B156" s="3">
        <f>IF(A156&lt;&gt;"","CoQ-PP_26-"&amp;TEXT(A156,"000"),"— at issue —")</f>
        <v/>
      </c>
      <c r="C156" s="12" t="inlineStr">
        <is>
          <t>allocated</t>
        </is>
      </c>
      <c r="D156" s="5" t="inlineStr"/>
      <c r="E156" s="5" t="inlineStr">
        <is>
          <t>— the owner's date for all of Tranche 3 (15.09.2026), the 227-М certificates expected by 18.09.2026; provisional —</t>
        </is>
      </c>
      <c r="F156" s="5" t="n">
        <v>46276</v>
      </c>
      <c r="G156" s="2" t="inlineStr">
        <is>
          <t>227-15-K-26</t>
        </is>
      </c>
      <c r="H156" s="2">
        <f>IFERROR(INDEX('iCoA Register'!$B:$B,MATCH("P060312|R2",'iCoA Register'!$AA:$AA,0)),"—")</f>
        <v/>
      </c>
      <c r="I156" s="5">
        <f>IFERROR(INDEX('iCoA Register'!$D:$D,MATCH("P060312|R2",'iCoA Register'!$AA:$AA,0)),"")</f>
        <v/>
      </c>
      <c r="J156" s="2" t="inlineStr">
        <is>
          <t>post-SOP</t>
        </is>
      </c>
      <c r="K156" s="2" t="inlineStr">
        <is>
          <t>retest — Tranche 3 (sampled 19–21.08.2026)</t>
        </is>
      </c>
      <c r="L156" s="3" t="inlineStr">
        <is>
          <t>JD012601＊</t>
        </is>
      </c>
      <c r="M156" s="2" t="inlineStr">
        <is>
          <t>P060312</t>
        </is>
      </c>
      <c r="N156" s="2" t="inlineStr">
        <is>
          <t>Jelly Donuts</t>
        </is>
      </c>
      <c r="O156" s="2" t="inlineStr">
        <is>
          <t>227-15-K-26, (11.09.2026) [FHM-K]</t>
        </is>
      </c>
      <c r="P156" s="6" t="inlineStr">
        <is>
          <t>—</t>
        </is>
      </c>
      <c r="Q156" s="2" t="inlineStr">
        <is>
          <t>—</t>
        </is>
      </c>
      <c r="R156" s="2" t="inlineStr">
        <is>
          <t>CoQ reissue (assigned on issue)</t>
        </is>
      </c>
      <c r="S156" s="2" t="inlineStr">
        <is>
          <t>P060312|R2</t>
        </is>
      </c>
      <c r="T156" s="13" t="inlineStr">
        <is>
          <t>allocated — code reserved 15.09.2026 for the Tranche 3 (sampled 19–21.08.2026) reissue (owner: every Tranche 3 retest parameter is tested at Farmahem and its certificates all issue on one date); sampled 20.08.2026, retest assay 227-15-K-26 on file, mycotoxins pending; issued on the owner's date once the 227-М certificate exists, after every Tranche 2 reissue; cites the campaign iCoA of 24.08.2026</t>
        </is>
      </c>
      <c r="U156" s="2">
        <f>IFERROR(INDEX('CoQ Register'!$B:$B,MATCH("P060312|I",'CoQ Register'!$S:$S,0)),"— initial certificate not on the register —")</f>
        <v/>
      </c>
      <c r="V156" s="10" t="n">
        <v>19.99</v>
      </c>
      <c r="W156" s="2" t="inlineStr">
        <is>
          <t>227-15-К/26</t>
        </is>
      </c>
      <c r="X156" s="2" t="inlineStr">
        <is>
          <t>22.00 ± 2.20 (I)</t>
        </is>
      </c>
      <c r="Y156" s="2" t="inlineStr">
        <is>
          <t>19.80 – 24.19 %</t>
        </is>
      </c>
      <c r="Z156" s="2" t="inlineStr">
        <is>
          <t>JD_THC22 : CBD1</t>
        </is>
      </c>
      <c r="AA156" s="2" t="inlineStr">
        <is>
          <t>QCSP_001_JD-I_v.01</t>
        </is>
      </c>
      <c r="AB156" s="8" t="inlineStr">
        <is>
          <t>for review — replaces the issued QCSP_001_JD-I_v.01 (was JD_THC20 : CBD1, 18.00 – 22.00 %); now JD_THC22 : CBD1 19.80 – 24.19 %</t>
        </is>
      </c>
      <c r="AC156" s="11" t="inlineStr"/>
    </row>
    <row r="157">
      <c r="A157" s="2">
        <f>IF(OR(C157="yes",C157="allocated",C157="ruled"),COUNT(A$1:A156)+1,"")</f>
        <v/>
      </c>
      <c r="B157" s="3">
        <f>IF(A157&lt;&gt;"","CoQ-PP_26-"&amp;TEXT(A157,"000"),"— at issue —")</f>
        <v/>
      </c>
      <c r="C157" s="12" t="inlineStr">
        <is>
          <t>allocated</t>
        </is>
      </c>
      <c r="D157" s="5" t="inlineStr"/>
      <c r="E157" s="5" t="inlineStr">
        <is>
          <t>— the owner's date for all of Tranche 3 (15.09.2026), the 227-М certificates expected by 18.09.2026; provisional —</t>
        </is>
      </c>
      <c r="F157" s="5" t="n">
        <v>46276</v>
      </c>
      <c r="G157" s="2" t="inlineStr">
        <is>
          <t>227-12-K-26</t>
        </is>
      </c>
      <c r="H157" s="2">
        <f>IFERROR(INDEX('iCoA Register'!$B:$B,MATCH("P050032|R2",'iCoA Register'!$AA:$AA,0)),"—")</f>
        <v/>
      </c>
      <c r="I157" s="5">
        <f>IFERROR(INDEX('iCoA Register'!$D:$D,MATCH("P050032|R2",'iCoA Register'!$AA:$AA,0)),"")</f>
        <v/>
      </c>
      <c r="J157" s="2" t="inlineStr">
        <is>
          <t>legacy</t>
        </is>
      </c>
      <c r="K157" s="2" t="inlineStr">
        <is>
          <t>retest — Tranche 3 (sampled 19–21.08.2026)</t>
        </is>
      </c>
      <c r="L157" s="3" t="inlineStr">
        <is>
          <t>MB0824_04</t>
        </is>
      </c>
      <c r="M157" s="2" t="inlineStr">
        <is>
          <t>P050032</t>
        </is>
      </c>
      <c r="N157" s="2" t="inlineStr">
        <is>
          <t>Motor Breath</t>
        </is>
      </c>
      <c r="O157" s="2" t="inlineStr">
        <is>
          <t>227-12-K-26, (11.09.2026) [FHM-K]</t>
        </is>
      </c>
      <c r="P157" s="6" t="inlineStr">
        <is>
          <t>—</t>
        </is>
      </c>
      <c r="Q157" s="2" t="inlineStr">
        <is>
          <t>—</t>
        </is>
      </c>
      <c r="R157" s="2" t="inlineStr">
        <is>
          <t>CoQ reissue (assigned on issue)</t>
        </is>
      </c>
      <c r="S157" s="2" t="inlineStr">
        <is>
          <t>P050032|R2</t>
        </is>
      </c>
      <c r="T157" s="13" t="inlineStr">
        <is>
          <t>allocated — code reserved 15.09.2026 for the Tranche 3 (sampled 19–21.08.2026) reissue (owner: every Tranche 3 retest parameter is tested at Farmahem and its certificates all issue on one date); sampled 20.08.2026, retest assay 227-12-K-26 on file, mycotoxins pending; issued on the owner's date once the 227-М certificate exists, after every Tranche 2 reissue; cites the campaign iCoA of 24.08.2026</t>
        </is>
      </c>
      <c r="U157" s="2">
        <f>IFERROR(INDEX('CoQ Register'!$B:$B,MATCH("P050032|I",'CoQ Register'!$S:$S,0)),"— initial certificate not on the register —")</f>
        <v/>
      </c>
      <c r="V157" s="10" t="n">
        <v>17.57</v>
      </c>
      <c r="W157" s="2" t="inlineStr">
        <is>
          <t>227-12-К/26</t>
        </is>
      </c>
      <c r="X157" s="2" t="inlineStr">
        <is>
          <t>18.00 ± 1.80 (I)</t>
        </is>
      </c>
      <c r="Y157" s="2" t="inlineStr">
        <is>
          <t>16.20 – 19.79 %</t>
        </is>
      </c>
      <c r="Z157" s="2" t="inlineStr">
        <is>
          <t>MB_THC18 : CBD1</t>
        </is>
      </c>
      <c r="AA157" s="2" t="inlineStr">
        <is>
          <t>QCSP_001_MB-I_v.01</t>
        </is>
      </c>
      <c r="AB157" s="8" t="inlineStr">
        <is>
          <t>for review — replaces the issued QCSP_001_MB-I_v.01 (was MB_THC18 : CBD1, 16.20 – 19.80 %); now MB_THC18 : CBD1 16.20 – 19.79 %</t>
        </is>
      </c>
      <c r="AC157" s="11" t="inlineStr"/>
    </row>
    <row r="158">
      <c r="A158" s="2">
        <f>IF(OR(C158="yes",C158="allocated",C158="ruled"),COUNT(A$1:A157)+1,"")</f>
        <v/>
      </c>
      <c r="B158" s="3">
        <f>IF(A158&lt;&gt;"","CoQ-PP_26-"&amp;TEXT(A158,"000"),"— at issue —")</f>
        <v/>
      </c>
      <c r="C158" s="12" t="inlineStr">
        <is>
          <t>allocated</t>
        </is>
      </c>
      <c r="D158" s="5" t="inlineStr"/>
      <c r="E158" s="5" t="inlineStr">
        <is>
          <t>— the owner's date for all of Tranche 3 (15.09.2026), the 227-М certificates expected by 18.09.2026; provisional —</t>
        </is>
      </c>
      <c r="F158" s="5" t="n">
        <v>46276</v>
      </c>
      <c r="G158" s="2" t="inlineStr">
        <is>
          <t>227-11-K-26</t>
        </is>
      </c>
      <c r="H158" s="2">
        <f>IFERROR(INDEX('iCoA Register'!$B:$B,MATCH("P050132|R2",'iCoA Register'!$AA:$AA,0)),"—")</f>
        <v/>
      </c>
      <c r="I158" s="5">
        <f>IFERROR(INDEX('iCoA Register'!$D:$D,MATCH("P050132|R2",'iCoA Register'!$AA:$AA,0)),"")</f>
        <v/>
      </c>
      <c r="J158" s="2" t="inlineStr">
        <is>
          <t>legacy</t>
        </is>
      </c>
      <c r="K158" s="2" t="inlineStr">
        <is>
          <t>retest — Tranche 3 (sampled 19–21.08.2026)</t>
        </is>
      </c>
      <c r="L158" s="3" t="inlineStr">
        <is>
          <t>OPM052501</t>
        </is>
      </c>
      <c r="M158" s="2" t="inlineStr">
        <is>
          <t>P050132</t>
        </is>
      </c>
      <c r="N158" s="2" t="inlineStr">
        <is>
          <t>Orange Punch Mimosa</t>
        </is>
      </c>
      <c r="O158" s="2" t="inlineStr">
        <is>
          <t>227-11-K-26, (11.09.2026) [FHM-K]</t>
        </is>
      </c>
      <c r="P158" s="6" t="inlineStr">
        <is>
          <t>—</t>
        </is>
      </c>
      <c r="Q158" s="2" t="inlineStr">
        <is>
          <t>—</t>
        </is>
      </c>
      <c r="R158" s="2" t="inlineStr">
        <is>
          <t>CoQ reissue (assigned on issue)</t>
        </is>
      </c>
      <c r="S158" s="2" t="inlineStr">
        <is>
          <t>P050132|R2</t>
        </is>
      </c>
      <c r="T158" s="13" t="inlineStr">
        <is>
          <t>allocated — code reserved 15.09.2026 for the Tranche 3 (sampled 19–21.08.2026) reissue (owner: every Tranche 3 retest parameter is tested at Farmahem and its certificates all issue on one date); sampled 20.08.2026, retest assay 227-11-K-26 on file, mycotoxins pending; issued on the owner's date once the 227-М certificate exists, after every Tranche 2 reissue; cites the campaign iCoA of 24.08.2026</t>
        </is>
      </c>
      <c r="U158" s="2">
        <f>IFERROR(INDEX('CoQ Register'!$B:$B,MATCH("P050132|I",'CoQ Register'!$S:$S,0)),"— initial certificate not on the register —")</f>
        <v/>
      </c>
      <c r="V158" s="10" t="n">
        <v>17.83</v>
      </c>
      <c r="W158" s="2" t="inlineStr">
        <is>
          <t>227-11-К/26</t>
        </is>
      </c>
      <c r="X158" s="2" t="inlineStr">
        <is>
          <t>17.00 ± 1.60 (II)</t>
        </is>
      </c>
      <c r="Y158" s="2" t="inlineStr">
        <is>
          <t>15.40 – 18.59 %</t>
        </is>
      </c>
      <c r="Z158" s="2" t="inlineStr">
        <is>
          <t>OPM_THC17 : CBD1</t>
        </is>
      </c>
      <c r="AA158" s="2" t="inlineStr">
        <is>
          <t>QCSP_001_OPM-II_v.01</t>
        </is>
      </c>
      <c r="AB158" s="8" t="inlineStr">
        <is>
          <t>for review — replaces the issued QCSP_001_OPM-II_v.01 (was OPM_THC18 : CBD1, 16.20 – 19.80 %); now OPM_THC17 : CBD1 15.40 – 18.59 %</t>
        </is>
      </c>
      <c r="AC158" s="11" t="inlineStr"/>
    </row>
    <row r="159">
      <c r="A159" s="2">
        <f>IF(OR(C159="yes",C159="allocated",C159="ruled"),COUNT(A$1:A158)+1,"")</f>
        <v/>
      </c>
      <c r="B159" s="3">
        <f>IF(A159&lt;&gt;"","CoQ-PP_26-"&amp;TEXT(A159,"000"),"— at issue —")</f>
        <v/>
      </c>
      <c r="C159" s="12" t="inlineStr">
        <is>
          <t>allocated</t>
        </is>
      </c>
      <c r="D159" s="5" t="inlineStr"/>
      <c r="E159" s="5" t="inlineStr">
        <is>
          <t>— the owner's date for all of Tranche 3 (15.09.2026), the 227-М certificates expected by 18.09.2026; provisional —</t>
        </is>
      </c>
      <c r="F159" s="5" t="n">
        <v>46276</v>
      </c>
      <c r="G159" s="2" t="inlineStr">
        <is>
          <t>227-10-K-26</t>
        </is>
      </c>
      <c r="H159" s="2">
        <f>IFERROR(INDEX('iCoA Register'!$B:$B,MATCH("P060222|R2",'iCoA Register'!$AA:$AA,0)),"—")</f>
        <v/>
      </c>
      <c r="I159" s="5">
        <f>IFERROR(INDEX('iCoA Register'!$D:$D,MATCH("P060222|R2",'iCoA Register'!$AA:$AA,0)),"")</f>
        <v/>
      </c>
      <c r="J159" s="2" t="inlineStr">
        <is>
          <t>legacy</t>
        </is>
      </c>
      <c r="K159" s="2" t="inlineStr">
        <is>
          <t>retest — Tranche 3 (sampled 19–21.08.2026)</t>
        </is>
      </c>
      <c r="L159" s="3" t="inlineStr">
        <is>
          <t>OPM112501</t>
        </is>
      </c>
      <c r="M159" s="2" t="inlineStr">
        <is>
          <t>P060222</t>
        </is>
      </c>
      <c r="N159" s="2" t="inlineStr">
        <is>
          <t>Orange Punch Mimosa</t>
        </is>
      </c>
      <c r="O159" s="2" t="inlineStr">
        <is>
          <t>227-10-K-26, (11.09.2026) [FHM-K]</t>
        </is>
      </c>
      <c r="P159" s="6" t="inlineStr">
        <is>
          <t>—</t>
        </is>
      </c>
      <c r="Q159" s="2" t="inlineStr">
        <is>
          <t>—</t>
        </is>
      </c>
      <c r="R159" s="2" t="inlineStr">
        <is>
          <t>CoQ reissue (assigned on issue)</t>
        </is>
      </c>
      <c r="S159" s="2" t="inlineStr">
        <is>
          <t>P060222|R2</t>
        </is>
      </c>
      <c r="T159" s="13" t="inlineStr">
        <is>
          <t>allocated — code reserved 15.09.2026 for the Tranche 3 (sampled 19–21.08.2026) reissue (owner: every Tranche 3 retest parameter is tested at Farmahem and its certificates all issue on one date); sampled 19.08.2026, retest assay 227-10-K-26 on file, mycotoxins pending; issued on the owner's date once the 227-М certificate exists, after every Tranche 2 reissue; cites the campaign iCoA of 24.08.2026</t>
        </is>
      </c>
      <c r="U159" s="2">
        <f>IFERROR(INDEX('CoQ Register'!$B:$B,MATCH("P060222|I",'CoQ Register'!$S:$S,0)),"— initial certificate not on the register —")</f>
        <v/>
      </c>
      <c r="V159" s="10" t="n">
        <v>9.73</v>
      </c>
      <c r="W159" s="2" t="inlineStr">
        <is>
          <t>227-10-К/26</t>
        </is>
      </c>
      <c r="X159" s="2" t="inlineStr">
        <is>
          <t>10.00 ± 1.00 (IV)</t>
        </is>
      </c>
      <c r="Y159" s="2" t="inlineStr">
        <is>
          <t>9.00 – 10.99 %</t>
        </is>
      </c>
      <c r="Z159" s="2" t="inlineStr">
        <is>
          <t>OPM_THC10 : CBD1</t>
        </is>
      </c>
      <c r="AA159" s="2" t="inlineStr">
        <is>
          <t>QCSP_001_OPM-IV_v.01</t>
        </is>
      </c>
      <c r="AB159" s="8" t="inlineStr">
        <is>
          <t>for review — replaces the issued QCSP_001_OPM-IV_v.01 (was OPM_THC10 : CBD1, 9.00 – 11.00 %); now OPM_THC10 : CBD1 9.00 – 10.99 %</t>
        </is>
      </c>
      <c r="AC159" s="11" t="inlineStr"/>
    </row>
    <row r="160">
      <c r="A160" s="2">
        <f>IF(OR(C160="yes",C160="allocated",C160="ruled"),COUNT(A$1:A159)+1,"")</f>
        <v/>
      </c>
      <c r="B160" s="3">
        <f>IF(A160&lt;&gt;"","CoQ-PP_26-"&amp;TEXT(A160,"000"),"— at issue —")</f>
        <v/>
      </c>
      <c r="C160" s="12" t="inlineStr">
        <is>
          <t>allocated</t>
        </is>
      </c>
      <c r="D160" s="5" t="inlineStr"/>
      <c r="E160" s="5" t="inlineStr">
        <is>
          <t>— the owner's date for all of Tranche 3 (15.09.2026), the 227-М certificates expected by 18.09.2026; provisional —</t>
        </is>
      </c>
      <c r="F160" s="5" t="n">
        <v>46276</v>
      </c>
      <c r="G160" s="2" t="inlineStr">
        <is>
          <t>227-9-K-26</t>
        </is>
      </c>
      <c r="H160" s="2">
        <f>IFERROR(INDEX('iCoA Register'!$B:$B,MATCH("P050272|R2",'iCoA Register'!$AA:$AA,0)),"—")</f>
        <v/>
      </c>
      <c r="I160" s="5">
        <f>IFERROR(INDEX('iCoA Register'!$D:$D,MATCH("P050272|R2",'iCoA Register'!$AA:$AA,0)),"")</f>
        <v/>
      </c>
      <c r="J160" s="2" t="inlineStr">
        <is>
          <t>legacy</t>
        </is>
      </c>
      <c r="K160" s="2" t="inlineStr">
        <is>
          <t>retest — Tranche 3 (sampled 19–21.08.2026)</t>
        </is>
      </c>
      <c r="L160" s="3" t="inlineStr">
        <is>
          <t>PM072501</t>
        </is>
      </c>
      <c r="M160" s="2" t="inlineStr">
        <is>
          <t>P050272</t>
        </is>
      </c>
      <c r="N160" s="2" t="inlineStr">
        <is>
          <t>Permanent Marker</t>
        </is>
      </c>
      <c r="O160" s="2" t="inlineStr">
        <is>
          <t>227-9-K-26, (11.09.2026) [FHM-K]</t>
        </is>
      </c>
      <c r="P160" s="6" t="inlineStr">
        <is>
          <t>—</t>
        </is>
      </c>
      <c r="Q160" s="2" t="inlineStr">
        <is>
          <t>—</t>
        </is>
      </c>
      <c r="R160" s="2" t="inlineStr">
        <is>
          <t>CoQ reissue (assigned on issue)</t>
        </is>
      </c>
      <c r="S160" s="2" t="inlineStr">
        <is>
          <t>P050272|R2</t>
        </is>
      </c>
      <c r="T160" s="13" t="inlineStr">
        <is>
          <t>allocated — code reserved 15.09.2026 for the Tranche 3 (sampled 19–21.08.2026) reissue (owner: every Tranche 3 retest parameter is tested at Farmahem and its certificates all issue on one date); sampled 19.08.2026, retest assay 227-9-K-26 on file, mycotoxins pending; issued on the owner's date once the 227-М certificate exists, after every Tranche 2 reissue; cites the campaign iCoA of 24.08.2026</t>
        </is>
      </c>
      <c r="U160" s="2">
        <f>IFERROR(INDEX('CoQ Register'!$B:$B,MATCH("P050272|I",'CoQ Register'!$S:$S,0)),"— initial certificate not on the register —")</f>
        <v/>
      </c>
      <c r="V160" s="10" t="n">
        <v>12.77</v>
      </c>
      <c r="W160" s="2" t="inlineStr">
        <is>
          <t>227-9-К/26</t>
        </is>
      </c>
      <c r="X160" s="2" t="inlineStr">
        <is>
          <t>12.00 ± 1.00 (II)</t>
        </is>
      </c>
      <c r="Y160" s="2" t="inlineStr">
        <is>
          <t>11.00 – 12.99 %</t>
        </is>
      </c>
      <c r="Z160" s="2" t="inlineStr">
        <is>
          <t>PM_THC12 : CBD1</t>
        </is>
      </c>
      <c r="AA160" s="2" t="inlineStr">
        <is>
          <t>QCSP_001_PM-II_v.01</t>
        </is>
      </c>
      <c r="AB160" s="8" t="inlineStr">
        <is>
          <t>for review — replaces the issued QCSP_001_PM-II_v.01 (was PM_THC10 : CBD1, 9.00 – 11.00 %); now PM_THC12 : CBD1 11.00 – 12.99 %</t>
        </is>
      </c>
      <c r="AC160" s="11" t="inlineStr"/>
    </row>
    <row r="161">
      <c r="A161" s="2">
        <f>IF(OR(C161="yes",C161="allocated",C161="ruled"),COUNT(A$1:A160)+1,"")</f>
        <v/>
      </c>
      <c r="B161" s="3">
        <f>IF(A161&lt;&gt;"","CoQ-PP_26-"&amp;TEXT(A161,"000"),"— at issue —")</f>
        <v/>
      </c>
      <c r="C161" s="12" t="inlineStr">
        <is>
          <t>allocated</t>
        </is>
      </c>
      <c r="D161" s="5" t="inlineStr"/>
      <c r="E161" s="5" t="inlineStr">
        <is>
          <t>— the owner's date for all of Tranche 3 (15.09.2026), the 227-М certificates expected by 18.09.2026; provisional —</t>
        </is>
      </c>
      <c r="F161" s="5" t="n">
        <v>46276</v>
      </c>
      <c r="G161" s="2" t="inlineStr">
        <is>
          <t>227-8-K-26</t>
        </is>
      </c>
      <c r="H161" s="2">
        <f>IFERROR(INDEX('iCoA Register'!$B:$B,MATCH("P060342|R2",'iCoA Register'!$AA:$AA,0)),"—")</f>
        <v/>
      </c>
      <c r="I161" s="5">
        <f>IFERROR(INDEX('iCoA Register'!$D:$D,MATCH("P060342|R2",'iCoA Register'!$AA:$AA,0)),"")</f>
        <v/>
      </c>
      <c r="J161" s="2" t="inlineStr">
        <is>
          <t>post-SOP</t>
        </is>
      </c>
      <c r="K161" s="2" t="inlineStr">
        <is>
          <t>retest — Tranche 3 (sampled 19–21.08.2026)</t>
        </is>
      </c>
      <c r="L161" s="3" t="inlineStr">
        <is>
          <t>SCR012601*</t>
        </is>
      </c>
      <c r="M161" s="2" t="inlineStr">
        <is>
          <t>P060342</t>
        </is>
      </c>
      <c r="N161" s="2" t="inlineStr">
        <is>
          <t>Scrambler</t>
        </is>
      </c>
      <c r="O161" s="2" t="inlineStr">
        <is>
          <t>227-8-K-26, (11.09.2026) [FHM-K]</t>
        </is>
      </c>
      <c r="P161" s="6" t="inlineStr">
        <is>
          <t>—</t>
        </is>
      </c>
      <c r="Q161" s="2" t="inlineStr">
        <is>
          <t>—</t>
        </is>
      </c>
      <c r="R161" s="2" t="inlineStr">
        <is>
          <t>CoQ reissue (assigned on issue)</t>
        </is>
      </c>
      <c r="S161" s="2" t="inlineStr">
        <is>
          <t>P060342|R2</t>
        </is>
      </c>
      <c r="T161" s="13" t="inlineStr">
        <is>
          <t>allocated — code reserved 15.09.2026 for the Tranche 3 (sampled 19–21.08.2026) reissue (owner: every Tranche 3 retest parameter is tested at Farmahem and its certificates all issue on one date); sampled 19.08.2026, retest assay 227-8-K-26 on file, mycotoxins pending; issued on the owner's date once the 227-М certificate exists, after every Tranche 2 reissue; cites the campaign iCoA of 24.08.2026</t>
        </is>
      </c>
      <c r="U161" s="2">
        <f>IFERROR(INDEX('CoQ Register'!$B:$B,MATCH("P060342|I",'CoQ Register'!$S:$S,0)),"— initial certificate not on the register —")</f>
        <v/>
      </c>
      <c r="V161" s="10" t="n">
        <v>22.4</v>
      </c>
      <c r="W161" s="2" t="inlineStr">
        <is>
          <t>227-8-К/26</t>
        </is>
      </c>
      <c r="X161" s="2" t="inlineStr">
        <is>
          <t>22.00 ± 2.20 (I)</t>
        </is>
      </c>
      <c r="Y161" s="2" t="inlineStr">
        <is>
          <t>19.80 – 24.19 %</t>
        </is>
      </c>
      <c r="Z161" s="2" t="inlineStr">
        <is>
          <t>SCR_THC22 : CBD1</t>
        </is>
      </c>
      <c r="AA161" s="2" t="inlineStr">
        <is>
          <t>QCSP_001_SCR-I_v.01</t>
        </is>
      </c>
      <c r="AB161" s="11" t="inlineStr">
        <is>
          <t>for review — new</t>
        </is>
      </c>
      <c r="AC161" s="11" t="inlineStr"/>
    </row>
    <row r="162">
      <c r="A162" s="2">
        <f>IF(OR(C162="yes",C162="allocated",C162="ruled"),COUNT(A$1:A161)+1,"")</f>
        <v/>
      </c>
      <c r="B162" s="3">
        <f>IF(A162&lt;&gt;"","CoQ-PP_26-"&amp;TEXT(A162,"000"),"— at issue —")</f>
        <v/>
      </c>
      <c r="C162" s="12" t="inlineStr">
        <is>
          <t>allocated</t>
        </is>
      </c>
      <c r="D162" s="5" t="inlineStr"/>
      <c r="E162" s="5" t="inlineStr">
        <is>
          <t>— the owner's date for all of Tranche 3 (15.09.2026), the 227-М certificates expected by 18.09.2026; provisional —</t>
        </is>
      </c>
      <c r="F162" s="5" t="n">
        <v>46276</v>
      </c>
      <c r="G162" s="2" t="inlineStr">
        <is>
          <t>227-7-K-26</t>
        </is>
      </c>
      <c r="H162" s="2">
        <f>IFERROR(INDEX('iCoA Register'!$B:$B,MATCH("P060442|R2",'iCoA Register'!$AA:$AA,0)),"—")</f>
        <v/>
      </c>
      <c r="I162" s="5">
        <f>IFERROR(INDEX('iCoA Register'!$D:$D,MATCH("P060442|R2",'iCoA Register'!$AA:$AA,0)),"")</f>
        <v/>
      </c>
      <c r="J162" s="2" t="inlineStr">
        <is>
          <t>post-SOP</t>
        </is>
      </c>
      <c r="K162" s="2" t="inlineStr">
        <is>
          <t>retest — Tranche 3 (sampled 19–21.08.2026)</t>
        </is>
      </c>
      <c r="L162" s="3" t="inlineStr">
        <is>
          <t>SCR022601</t>
        </is>
      </c>
      <c r="M162" s="2" t="inlineStr">
        <is>
          <t>P060442</t>
        </is>
      </c>
      <c r="N162" s="2" t="inlineStr">
        <is>
          <t>Scrambler</t>
        </is>
      </c>
      <c r="O162" s="2" t="inlineStr">
        <is>
          <t>227-7-K-26, (11.09.2026) [FHM-K]</t>
        </is>
      </c>
      <c r="P162" s="6" t="inlineStr">
        <is>
          <t>—</t>
        </is>
      </c>
      <c r="Q162" s="2" t="inlineStr">
        <is>
          <t>—</t>
        </is>
      </c>
      <c r="R162" s="2" t="inlineStr">
        <is>
          <t>CoQ reissue (assigned on issue)</t>
        </is>
      </c>
      <c r="S162" s="2" t="inlineStr">
        <is>
          <t>P060442|R2</t>
        </is>
      </c>
      <c r="T162" s="13" t="inlineStr">
        <is>
          <t>allocated — code reserved 15.09.2026 for the Tranche 3 (sampled 19–21.08.2026) reissue (owner: every Tranche 3 retest parameter is tested at Farmahem and its certificates all issue on one date); sampled 19.08.2026, retest assay 227-7-K-26 on file, mycotoxins pending; issued on the owner's date once the 227-М certificate exists, after every Tranche 2 reissue; cites the campaign iCoA of 24.08.2026</t>
        </is>
      </c>
      <c r="U162" s="2">
        <f>IFERROR(INDEX('CoQ Register'!$B:$B,MATCH("P060442|I",'CoQ Register'!$S:$S,0)),"— initial certificate not on the register —")</f>
        <v/>
      </c>
      <c r="V162" s="10" t="n">
        <v>16.68</v>
      </c>
      <c r="W162" s="2" t="inlineStr">
        <is>
          <t>227-7-К/26</t>
        </is>
      </c>
      <c r="X162" s="2" t="inlineStr">
        <is>
          <t>18.00 ± 1.80 (II)</t>
        </is>
      </c>
      <c r="Y162" s="2" t="inlineStr">
        <is>
          <t>16.20 – 19.79 %</t>
        </is>
      </c>
      <c r="Z162" s="2" t="inlineStr">
        <is>
          <t>SCR_THC18 : CBD1</t>
        </is>
      </c>
      <c r="AA162" s="2" t="inlineStr">
        <is>
          <t>QCSP_001_SCR-II_v.01</t>
        </is>
      </c>
      <c r="AB162" s="8" t="inlineStr">
        <is>
          <t>for review — replaces the issued QCSP_001_SCR-II_v.01 (was SCR_THC18 : CBD1, 16.20 – 19.80 %); now SCR_THC18 : CBD1 16.20 – 19.79 %</t>
        </is>
      </c>
      <c r="AC162" s="11" t="inlineStr"/>
    </row>
    <row r="163">
      <c r="A163" s="2">
        <f>IF(OR(C163="yes",C163="allocated",C163="ruled"),COUNT(A$1:A162)+1,"")</f>
        <v/>
      </c>
      <c r="B163" s="3">
        <f>IF(A163&lt;&gt;"","CoQ-PP_26-"&amp;TEXT(A163,"000"),"— at issue —")</f>
        <v/>
      </c>
      <c r="C163" s="12" t="inlineStr">
        <is>
          <t>allocated</t>
        </is>
      </c>
      <c r="D163" s="5" t="inlineStr"/>
      <c r="E163" s="5" t="inlineStr">
        <is>
          <t>— the owner's date for all of Tranche 3 (15.09.2026), the 227-М certificates expected by 18.09.2026; provisional —</t>
        </is>
      </c>
      <c r="F163" s="5" t="n">
        <v>46276</v>
      </c>
      <c r="G163" s="2" t="inlineStr">
        <is>
          <t>227-6-K-26</t>
        </is>
      </c>
      <c r="H163" s="2">
        <f>IFERROR(INDEX('iCoA Register'!$B:$B,MATCH("P060162|R2",'iCoA Register'!$AA:$AA,0)),"—")</f>
        <v/>
      </c>
      <c r="I163" s="5">
        <f>IFERROR(INDEX('iCoA Register'!$D:$D,MATCH("P060162|R2",'iCoA Register'!$AA:$AA,0)),"")</f>
        <v/>
      </c>
      <c r="J163" s="2" t="inlineStr">
        <is>
          <t>legacy</t>
        </is>
      </c>
      <c r="K163" s="2" t="inlineStr">
        <is>
          <t>retest — Tranche 3 (sampled 19–21.08.2026)</t>
        </is>
      </c>
      <c r="L163" s="3" t="inlineStr">
        <is>
          <t>SJ102501</t>
        </is>
      </c>
      <c r="M163" s="2" t="inlineStr">
        <is>
          <t>P060162</t>
        </is>
      </c>
      <c r="N163" s="2" t="inlineStr">
        <is>
          <t>Sleepy Joe</t>
        </is>
      </c>
      <c r="O163" s="2" t="inlineStr">
        <is>
          <t>227-6-K-26, (11.09.2026) [FHM-K]</t>
        </is>
      </c>
      <c r="P163" s="6" t="inlineStr">
        <is>
          <t>—</t>
        </is>
      </c>
      <c r="Q163" s="2" t="inlineStr">
        <is>
          <t>—</t>
        </is>
      </c>
      <c r="R163" s="2" t="inlineStr">
        <is>
          <t>CoQ reissue (assigned on issue)</t>
        </is>
      </c>
      <c r="S163" s="2" t="inlineStr">
        <is>
          <t>P060162|R2</t>
        </is>
      </c>
      <c r="T163" s="13" t="inlineStr">
        <is>
          <t>allocated — code reserved 15.09.2026 for the Tranche 3 (sampled 19–21.08.2026) reissue (owner: every Tranche 3 retest parameter is tested at Farmahem and its certificates all issue on one date); sampled 19.08.2026, retest assay 227-6-K-26 on file, mycotoxins pending; issued on the owner's date once the 227-М certificate exists, after every Tranche 2 reissue; cites the campaign iCoA of 24.08.2026</t>
        </is>
      </c>
      <c r="U163" s="2">
        <f>IFERROR(INDEX('CoQ Register'!$B:$B,MATCH("P060162|I",'CoQ Register'!$S:$S,0)),"— initial certificate not on the register —")</f>
        <v/>
      </c>
      <c r="V163" s="10" t="n">
        <v>10.61</v>
      </c>
      <c r="W163" s="2" t="inlineStr">
        <is>
          <t>227-6-К/26</t>
        </is>
      </c>
      <c r="X163" s="2" t="inlineStr">
        <is>
          <t>10.00 ± 1.00 (II)</t>
        </is>
      </c>
      <c r="Y163" s="2" t="inlineStr">
        <is>
          <t>9.00 – 10.99 %</t>
        </is>
      </c>
      <c r="Z163" s="2" t="inlineStr">
        <is>
          <t>SJ_THC10 : CBD1</t>
        </is>
      </c>
      <c r="AA163" s="2" t="inlineStr">
        <is>
          <t>QCSP_001_SJ-II_v.01</t>
        </is>
      </c>
      <c r="AB163" s="8" t="inlineStr">
        <is>
          <t>for review — replaces the issued QCSP_001_SJ-II_v.01 (was SJ_THC10 : CBD1, 9.00 – 11.00 %); now SJ_THC10 : CBD1 9.00 – 10.99 %</t>
        </is>
      </c>
      <c r="AC163" s="11" t="inlineStr"/>
    </row>
    <row r="164">
      <c r="A164" s="2">
        <f>IF(OR(C164="yes",C164="allocated",C164="ruled"),COUNT(A$1:A163)+1,"")</f>
        <v/>
      </c>
      <c r="B164" s="3">
        <f>IF(A164&lt;&gt;"","CoQ-PP_26-"&amp;TEXT(A164,"000"),"— at issue —")</f>
        <v/>
      </c>
      <c r="C164" s="12" t="inlineStr">
        <is>
          <t>allocated</t>
        </is>
      </c>
      <c r="D164" s="5" t="inlineStr"/>
      <c r="E164" s="5" t="inlineStr">
        <is>
          <t>— the owner's date for all of Tranche 3 (15.09.2026), the 227-М certificates expected by 18.09.2026; provisional —</t>
        </is>
      </c>
      <c r="F164" s="5" t="n">
        <v>46276</v>
      </c>
      <c r="G164" s="2" t="inlineStr">
        <is>
          <t>227-5-K-26</t>
        </is>
      </c>
      <c r="H164" s="2">
        <f>IFERROR(INDEX('iCoA Register'!$B:$B,MATCH("P060192|R",'iCoA Register'!$AA:$AA,0)),"—")</f>
        <v/>
      </c>
      <c r="I164" s="5">
        <f>IFERROR(INDEX('iCoA Register'!$D:$D,MATCH("P060192|R",'iCoA Register'!$AA:$AA,0)),"")</f>
        <v/>
      </c>
      <c r="J164" s="2" t="inlineStr">
        <is>
          <t>legacy</t>
        </is>
      </c>
      <c r="K164" s="2" t="inlineStr">
        <is>
          <t>retest — Tranche 3 (sampled 19–21.08.2026)</t>
        </is>
      </c>
      <c r="L164" s="3" t="inlineStr">
        <is>
          <t>SJ112501</t>
        </is>
      </c>
      <c r="M164" s="2" t="inlineStr">
        <is>
          <t>P060192</t>
        </is>
      </c>
      <c r="N164" s="2" t="inlineStr">
        <is>
          <t>Sleepy Joe</t>
        </is>
      </c>
      <c r="O164" s="2" t="inlineStr">
        <is>
          <t>227-5-K-26, (11.09.2026) [FHM-K]</t>
        </is>
      </c>
      <c r="P164" s="6" t="inlineStr">
        <is>
          <t>—</t>
        </is>
      </c>
      <c r="Q164" s="2" t="inlineStr">
        <is>
          <t>—</t>
        </is>
      </c>
      <c r="R164" s="2" t="inlineStr">
        <is>
          <t>CoQ reissue (assigned on issue)</t>
        </is>
      </c>
      <c r="S164" s="2" t="inlineStr">
        <is>
          <t>P060192|R</t>
        </is>
      </c>
      <c r="T164" s="13" t="inlineStr">
        <is>
          <t>allocated — code reserved 15.09.2026 for the Tranche 3 (sampled 19–21.08.2026) reissue (owner: every Tranche 3 retest parameter is tested at Farmahem and its certificates all issue on one date); sampled 19.08.2026, retest assay 227-5-K-26 on file, mycotoxins pending; issued on the owner's date once the 227-М certificate exists, after every Tranche 2 reissue; cites iCoA-PP_26-150 of 24.08.2026</t>
        </is>
      </c>
      <c r="U164" s="2">
        <f>IFERROR(INDEX('CoQ Register'!$B:$B,MATCH("P060192|I",'CoQ Register'!$S:$S,0)),"— initial certificate not on the register —")</f>
        <v/>
      </c>
      <c r="V164" s="10" t="n">
        <v>11.27</v>
      </c>
      <c r="W164" s="2" t="inlineStr">
        <is>
          <t>227-5-К/26</t>
        </is>
      </c>
      <c r="X164" s="2" t="inlineStr">
        <is>
          <t>12.00 ± 1.00 (I)</t>
        </is>
      </c>
      <c r="Y164" s="2" t="inlineStr">
        <is>
          <t>11.00 – 12.99 %</t>
        </is>
      </c>
      <c r="Z164" s="2" t="inlineStr">
        <is>
          <t>SJ_THC12 : CBD1</t>
        </is>
      </c>
      <c r="AA164" s="2" t="inlineStr">
        <is>
          <t>QCSP_001_SJ-I_v.01</t>
        </is>
      </c>
      <c r="AB164" s="11" t="inlineStr">
        <is>
          <t>for review — new</t>
        </is>
      </c>
      <c r="AC164" s="11" t="inlineStr"/>
    </row>
    <row r="165">
      <c r="A165" s="2">
        <f>IF(OR(C165="yes",C165="allocated",C165="ruled"),COUNT(A$1:A164)+1,"")</f>
        <v/>
      </c>
      <c r="B165" s="3">
        <f>IF(A165&lt;&gt;"","CoQ-PP_26-"&amp;TEXT(A165,"000"),"— at issue —")</f>
        <v/>
      </c>
      <c r="C165" s="12" t="inlineStr">
        <is>
          <t>allocated</t>
        </is>
      </c>
      <c r="D165" s="5" t="inlineStr"/>
      <c r="E165" s="5" t="inlineStr">
        <is>
          <t>— the owner's date for all of Tranche 3 (15.09.2026), the 227-М certificates expected by 18.09.2026; provisional —</t>
        </is>
      </c>
      <c r="F165" s="5" t="n">
        <v>46276</v>
      </c>
      <c r="G165" s="2" t="inlineStr">
        <is>
          <t>227-3-K-26</t>
        </is>
      </c>
      <c r="H165" s="2">
        <f>IFERROR(INDEX('iCoA Register'!$B:$B,MATCH("P050262|R2",'iCoA Register'!$AA:$AA,0)),"—")</f>
        <v/>
      </c>
      <c r="I165" s="5">
        <f>IFERROR(INDEX('iCoA Register'!$D:$D,MATCH("P050262|R2",'iCoA Register'!$AA:$AA,0)),"")</f>
        <v/>
      </c>
      <c r="J165" s="2" t="inlineStr">
        <is>
          <t>legacy</t>
        </is>
      </c>
      <c r="K165" s="2" t="inlineStr">
        <is>
          <t>retest — Tranche 3 (sampled 19–21.08.2026)</t>
        </is>
      </c>
      <c r="L165" s="3" t="inlineStr">
        <is>
          <t>WC072501</t>
        </is>
      </c>
      <c r="M165" s="2" t="inlineStr">
        <is>
          <t>P050262</t>
        </is>
      </c>
      <c r="N165" s="2" t="inlineStr">
        <is>
          <t>Wedding Crusher</t>
        </is>
      </c>
      <c r="O165" s="2" t="inlineStr">
        <is>
          <t>227-3-K-26, (11.09.2026) [FHM-K]</t>
        </is>
      </c>
      <c r="P165" s="6" t="inlineStr">
        <is>
          <t>—</t>
        </is>
      </c>
      <c r="Q165" s="2" t="inlineStr">
        <is>
          <t>—</t>
        </is>
      </c>
      <c r="R165" s="2" t="inlineStr">
        <is>
          <t>CoQ reissue (assigned on issue)</t>
        </is>
      </c>
      <c r="S165" s="2" t="inlineStr">
        <is>
          <t>P050262|R2</t>
        </is>
      </c>
      <c r="T165" s="13" t="inlineStr">
        <is>
          <t>allocated — code reserved 15.09.2026 for the Tranche 3 (sampled 19–21.08.2026) reissue (owner: every Tranche 3 retest parameter is tested at Farmahem and its certificates all issue on one date); sampled 19.08.2026, retest assay 227-3-K-26 on file, mycotoxins pending; issued on the owner's date once the 227-М certificate exists, after every Tranche 2 reissue; cites the campaign iCoA of 24.08.2026</t>
        </is>
      </c>
      <c r="U165" s="2">
        <f>IFERROR(INDEX('CoQ Register'!$B:$B,MATCH("P050262|I",'CoQ Register'!$S:$S,0)),"— initial certificate not on the register —")</f>
        <v/>
      </c>
      <c r="V165" s="10" t="n">
        <v>25.37</v>
      </c>
      <c r="W165" s="2" t="inlineStr">
        <is>
          <t>227-3-К/26</t>
        </is>
      </c>
      <c r="X165" s="2" t="inlineStr">
        <is>
          <t>26.00 ± 2.60 (I)</t>
        </is>
      </c>
      <c r="Y165" s="2" t="inlineStr">
        <is>
          <t>23.40 – 28.59 %</t>
        </is>
      </c>
      <c r="Z165" s="2" t="inlineStr">
        <is>
          <t>WC_THC26 : CBD1</t>
        </is>
      </c>
      <c r="AA165" s="2" t="inlineStr">
        <is>
          <t>QCSP_001_WC-I_v.01</t>
        </is>
      </c>
      <c r="AB165" s="8" t="inlineStr">
        <is>
          <t>for review — replaces the issued QCSP_001_WC-I_v.01 (was WC_THC22 : CBD1, 19.80 – 24.20 %); now WC_THC26 : CBD1 23.40 – 28.59 %</t>
        </is>
      </c>
      <c r="AC165" s="11" t="inlineStr"/>
    </row>
    <row r="166">
      <c r="A166" s="2">
        <f>IF(OR(C166="yes",C166="allocated",C166="ruled"),COUNT(A$1:A165)+1,"")</f>
        <v/>
      </c>
      <c r="B166" s="3">
        <f>IF(A166&lt;&gt;"","CoQ-PP_26-"&amp;TEXT(A166,"000"),"— at issue —")</f>
        <v/>
      </c>
      <c r="C166" s="12" t="inlineStr">
        <is>
          <t>allocated</t>
        </is>
      </c>
      <c r="D166" s="5" t="inlineStr"/>
      <c r="E166" s="5" t="inlineStr">
        <is>
          <t>— the owner's date for all of Tranche 3 (15.09.2026), the 227-М certificates expected by 18.09.2026; provisional —</t>
        </is>
      </c>
      <c r="F166" s="5" t="n">
        <v>46276</v>
      </c>
      <c r="G166" s="2" t="inlineStr">
        <is>
          <t>227-4-K-26</t>
        </is>
      </c>
      <c r="H166" s="2">
        <f>IFERROR(INDEX('iCoA Register'!$B:$B,MATCH("P060102|R2",'iCoA Register'!$AA:$AA,0)),"—")</f>
        <v/>
      </c>
      <c r="I166" s="5">
        <f>IFERROR(INDEX('iCoA Register'!$D:$D,MATCH("P060102|R2",'iCoA Register'!$AA:$AA,0)),"")</f>
        <v/>
      </c>
      <c r="J166" s="2" t="inlineStr">
        <is>
          <t>legacy</t>
        </is>
      </c>
      <c r="K166" s="2" t="inlineStr">
        <is>
          <t>retest — Tranche 3 (sampled 19–21.08.2026)</t>
        </is>
      </c>
      <c r="L166" s="3" t="inlineStr">
        <is>
          <t>WED102501</t>
        </is>
      </c>
      <c r="M166" s="2" t="inlineStr">
        <is>
          <t>P060102</t>
        </is>
      </c>
      <c r="N166" s="2" t="inlineStr">
        <is>
          <t>Wedding Cake</t>
        </is>
      </c>
      <c r="O166" s="2" t="inlineStr">
        <is>
          <t>227-4-K-26, (11.09.2026) [FHM-K]</t>
        </is>
      </c>
      <c r="P166" s="6" t="inlineStr">
        <is>
          <t>—</t>
        </is>
      </c>
      <c r="Q166" s="2" t="inlineStr">
        <is>
          <t>—</t>
        </is>
      </c>
      <c r="R166" s="2" t="inlineStr">
        <is>
          <t>CoQ reissue (assigned on issue)</t>
        </is>
      </c>
      <c r="S166" s="2" t="inlineStr">
        <is>
          <t>P060102|R2</t>
        </is>
      </c>
      <c r="T166" s="13" t="inlineStr">
        <is>
          <t>allocated — code reserved 15.09.2026 for the Tranche 3 (sampled 19–21.08.2026) reissue (owner: every Tranche 3 retest parameter is tested at Farmahem and its certificates all issue on one date); sampled 19.08.2026, retest assay 227-4-K-26 on file, mycotoxins pending; issued on the owner's date once the 227-М certificate exists, after every Tranche 2 reissue; cites the campaign iCoA of 24.08.2026</t>
        </is>
      </c>
      <c r="U166" s="2">
        <f>IFERROR(INDEX('CoQ Register'!$B:$B,MATCH("P060102|I",'CoQ Register'!$S:$S,0)),"— initial certificate not on the register —")</f>
        <v/>
      </c>
      <c r="V166" s="10" t="n">
        <v>25.15</v>
      </c>
      <c r="W166" s="2" t="inlineStr">
        <is>
          <t>227-4-К/26</t>
        </is>
      </c>
      <c r="X166" s="2" t="inlineStr">
        <is>
          <t>26.00 ± 2.60 (I)</t>
        </is>
      </c>
      <c r="Y166" s="2" t="inlineStr">
        <is>
          <t>23.40 – 28.59 %</t>
        </is>
      </c>
      <c r="Z166" s="2" t="inlineStr">
        <is>
          <t>WED_THC26 : CBD1</t>
        </is>
      </c>
      <c r="AA166" s="2" t="inlineStr">
        <is>
          <t>QCSP_001_WED-I_v.01</t>
        </is>
      </c>
      <c r="AB166" s="11" t="inlineStr">
        <is>
          <t>for review — new</t>
        </is>
      </c>
      <c r="AC166" s="11" t="inlineStr"/>
    </row>
    <row r="167">
      <c r="A167" s="2">
        <f>IF(OR(C167="yes",C167="allocated",C167="ruled"),COUNT(A$1:A166)+1,"")</f>
        <v/>
      </c>
      <c r="B167" s="3">
        <f>IF(A167&lt;&gt;"","CoQ-PP_26-"&amp;TEXT(A167,"000"),"— at issue —")</f>
        <v/>
      </c>
      <c r="C167" s="12" t="inlineStr">
        <is>
          <t>ruled</t>
        </is>
      </c>
      <c r="D167" s="5">
        <f>IF(OR(A167="",C167="allocated",C167="ruled"),"",MAX(E167,IF(ISNUMBER(I167),I167,0),IFERROR(IF(ISNUMBER(INDEX('iCoA Register'!$F:$F,MATCH(S167,'iCoA Register'!$AA:$AA,0))),INDEX('iCoA Register'!$F:$F,MATCH(S167,'iCoA Register'!$AA:$AA,0)),0),0)))</f>
        <v/>
      </c>
      <c r="E167" s="5">
        <f>IF(ISNUMBER(F167),MAX(DATE(2026,6,6),F167+7),DATE(2026,6,6))</f>
        <v/>
      </c>
      <c r="F167" s="5" t="inlineStr">
        <is>
          <t>—</t>
        </is>
      </c>
      <c r="G167" s="2" t="inlineStr">
        <is>
          <t>—</t>
        </is>
      </c>
      <c r="H167" s="2">
        <f>IFERROR(INDEX('iCoA Register'!$B:$B,MATCH("CC042601|I",'iCoA Register'!$AA:$AA,0)),"—")</f>
        <v/>
      </c>
      <c r="I167" s="5">
        <f>IFERROR(INDEX('iCoA Register'!$D:$D,MATCH("CC042601|I",'iCoA Register'!$AA:$AA,0)),"")</f>
        <v/>
      </c>
      <c r="J167" s="2" t="inlineStr">
        <is>
          <t>—</t>
        </is>
      </c>
      <c r="K167" s="2" t="inlineStr">
        <is>
          <t>initial release</t>
        </is>
      </c>
      <c r="L167" s="3" t="inlineStr">
        <is>
          <t>CC042601</t>
        </is>
      </c>
      <c r="M167" s="2" t="inlineStr">
        <is>
          <t>N/A — no P batch assigned</t>
        </is>
      </c>
      <c r="N167" s="2" t="inlineStr">
        <is>
          <t>Cash Cow</t>
        </is>
      </c>
      <c r="O167" s="6" t="inlineStr">
        <is>
          <t>— no cannabinoid certificate from the initial testing —</t>
        </is>
      </c>
      <c r="P167" s="6" t="inlineStr">
        <is>
          <t>—</t>
        </is>
      </c>
      <c r="Q167" s="2" t="inlineStr">
        <is>
          <t>—</t>
        </is>
      </c>
      <c r="R167" s="2" t="inlineStr">
        <is>
          <t>(assigned on issue)</t>
        </is>
      </c>
      <c r="S167" s="2" t="inlineStr">
        <is>
          <t>CC042601|I</t>
        </is>
      </c>
      <c r="T167" s="13" t="inlineStr">
        <is>
          <t>ruled — numbered on the Head of QC's instruction of 18.09.2026 ("assign codes if they're missing"); the list holds no packaging date for the lot, so the register could not date the certificate and had withheld the number; the date follows the packaging date once the list carries it</t>
        </is>
      </c>
      <c r="U167" s="2" t="inlineStr">
        <is>
          <t>n/a — initial certificate</t>
        </is>
      </c>
      <c r="V167" s="2" t="inlineStr">
        <is>
          <t>—</t>
        </is>
      </c>
      <c r="W167" s="2" t="inlineStr">
        <is>
          <t>—</t>
        </is>
      </c>
      <c r="X167" s="2" t="inlineStr">
        <is>
          <t>—</t>
        </is>
      </c>
      <c r="Y167" s="2" t="inlineStr">
        <is>
          <t>—</t>
        </is>
      </c>
      <c r="Z167" s="2" t="inlineStr">
        <is>
          <t>—</t>
        </is>
      </c>
      <c r="AA167" s="2" t="inlineStr">
        <is>
          <t>—</t>
        </is>
      </c>
      <c r="AB167" s="11" t="inlineStr">
        <is>
          <t>—</t>
        </is>
      </c>
      <c r="AC167" s="8" t="inlineStr">
        <is>
          <t>no Total THC result on this certificate</t>
        </is>
      </c>
    </row>
    <row r="168">
      <c r="A168" s="2">
        <f>IF(OR(C168="yes",C168="allocated",C168="ruled"),COUNT(A$1:A167)+1,"")</f>
        <v/>
      </c>
      <c r="B168" s="3">
        <f>IF(A168&lt;&gt;"","CoQ-PP_26-"&amp;TEXT(A168,"000"),"— at issue —")</f>
        <v/>
      </c>
      <c r="C168" s="12" t="inlineStr">
        <is>
          <t>ruled</t>
        </is>
      </c>
      <c r="D168" s="5">
        <f>IF(OR(A168="",C168="allocated",C168="ruled"),"",MAX(E168,IF(ISNUMBER(I168),I168,0),IFERROR(IF(ISNUMBER(INDEX('iCoA Register'!$F:$F,MATCH(S168,'iCoA Register'!$AA:$AA,0))),INDEX('iCoA Register'!$F:$F,MATCH(S168,'iCoA Register'!$AA:$AA,0)),0),0)))</f>
        <v/>
      </c>
      <c r="E168" s="5">
        <f>IF(ISNUMBER(F168),MAX(DATE(2026,6,6),F168+7),DATE(2026,6,6))</f>
        <v/>
      </c>
      <c r="F168" s="5" t="inlineStr">
        <is>
          <t>—</t>
        </is>
      </c>
      <c r="G168" s="2" t="inlineStr">
        <is>
          <t>—</t>
        </is>
      </c>
      <c r="H168" s="2">
        <f>IFERROR(INDEX('iCoA Register'!$B:$B,MATCH("FB042601|I",'iCoA Register'!$AA:$AA,0)),"—")</f>
        <v/>
      </c>
      <c r="I168" s="5">
        <f>IFERROR(INDEX('iCoA Register'!$D:$D,MATCH("FB042601|I",'iCoA Register'!$AA:$AA,0)),"")</f>
        <v/>
      </c>
      <c r="J168" s="2" t="inlineStr">
        <is>
          <t>—</t>
        </is>
      </c>
      <c r="K168" s="2" t="inlineStr">
        <is>
          <t>initial release</t>
        </is>
      </c>
      <c r="L168" s="3" t="inlineStr">
        <is>
          <t>FB042601</t>
        </is>
      </c>
      <c r="M168" s="2" t="inlineStr">
        <is>
          <t>N/A — no P batch assigned</t>
        </is>
      </c>
      <c r="N168" s="2" t="inlineStr">
        <is>
          <t>Fat Bastard</t>
        </is>
      </c>
      <c r="O168" s="6" t="inlineStr">
        <is>
          <t>— no cannabinoid certificate from the initial testing —</t>
        </is>
      </c>
      <c r="P168" s="6" t="inlineStr">
        <is>
          <t>—</t>
        </is>
      </c>
      <c r="Q168" s="2" t="inlineStr">
        <is>
          <t>—</t>
        </is>
      </c>
      <c r="R168" s="2" t="inlineStr">
        <is>
          <t>(assigned on issue)</t>
        </is>
      </c>
      <c r="S168" s="2" t="inlineStr">
        <is>
          <t>FB042601|I</t>
        </is>
      </c>
      <c r="T168" s="13" t="inlineStr">
        <is>
          <t>ruled — numbered on the Head of QC's instruction of 18.09.2026 ("assign codes if they're missing"); the list holds no packaging date for the lot, so the register could not date the certificate and had withheld the number; the date follows the packaging date once the list carries it</t>
        </is>
      </c>
      <c r="U168" s="2" t="inlineStr">
        <is>
          <t>n/a — initial certificate</t>
        </is>
      </c>
      <c r="V168" s="2" t="inlineStr">
        <is>
          <t>—</t>
        </is>
      </c>
      <c r="W168" s="2" t="inlineStr">
        <is>
          <t>—</t>
        </is>
      </c>
      <c r="X168" s="2" t="inlineStr">
        <is>
          <t>—</t>
        </is>
      </c>
      <c r="Y168" s="2" t="inlineStr">
        <is>
          <t>—</t>
        </is>
      </c>
      <c r="Z168" s="2" t="inlineStr">
        <is>
          <t>—</t>
        </is>
      </c>
      <c r="AA168" s="2" t="inlineStr">
        <is>
          <t>—</t>
        </is>
      </c>
      <c r="AB168" s="11" t="inlineStr">
        <is>
          <t>—</t>
        </is>
      </c>
      <c r="AC168" s="8" t="inlineStr">
        <is>
          <t>no Total THC result on this certificate</t>
        </is>
      </c>
    </row>
    <row r="169">
      <c r="A169" s="2">
        <f>IF(OR(C169="yes",C169="allocated",C169="ruled"),COUNT(A$1:A168)+1,"")</f>
        <v/>
      </c>
      <c r="B169" s="3">
        <f>IF(A169&lt;&gt;"","CoQ-PP_26-"&amp;TEXT(A169,"000"),"— at issue —")</f>
        <v/>
      </c>
      <c r="C169" s="12" t="inlineStr">
        <is>
          <t>ruled</t>
        </is>
      </c>
      <c r="D169" s="5">
        <f>IF(OR(A169="",C169="allocated",C169="ruled"),"",MAX(E169,IF(ISNUMBER(I169),I169,0),IFERROR(IF(ISNUMBER(INDEX('iCoA Register'!$F:$F,MATCH(S169,'iCoA Register'!$AA:$AA,0))),INDEX('iCoA Register'!$F:$F,MATCH(S169,'iCoA Register'!$AA:$AA,0)),0),0)))</f>
        <v/>
      </c>
      <c r="E169" s="5">
        <f>IF(ISNUMBER(F169),MAX(DATE(2026,6,6),F169+7),DATE(2026,6,6))</f>
        <v/>
      </c>
      <c r="F169" s="5" t="n">
        <v>46209</v>
      </c>
      <c r="G169" s="2" t="inlineStr">
        <is>
          <t>ППК26117</t>
        </is>
      </c>
      <c r="H169" s="2">
        <f>IFERROR(INDEX('iCoA Register'!$B:$B,MATCH("P160012|I",'iCoA Register'!$AA:$AA,0)),"—")</f>
        <v/>
      </c>
      <c r="I169" s="5">
        <f>IFERROR(INDEX('iCoA Register'!$D:$D,MATCH("P160012|I",'iCoA Register'!$AA:$AA,0)),"")</f>
        <v/>
      </c>
      <c r="J169" s="2" t="inlineStr">
        <is>
          <t>—</t>
        </is>
      </c>
      <c r="K169" s="2" t="inlineStr">
        <is>
          <t>initial release</t>
        </is>
      </c>
      <c r="L169" s="3" t="inlineStr">
        <is>
          <t>— not recorded — (P160012)</t>
        </is>
      </c>
      <c r="M169" s="2" t="inlineStr">
        <is>
          <t>P160012</t>
        </is>
      </c>
      <c r="N169" s="2" t="inlineStr"/>
      <c r="O169" s="2" t="inlineStr">
        <is>
          <t>ППК26117, (06.07.2026) [CNP]</t>
        </is>
      </c>
      <c r="P169" s="2" t="inlineStr">
        <is>
          <t>A: ППК26117 / B: ППК26117 / FM: ППК26117</t>
        </is>
      </c>
      <c r="Q169" s="2" t="inlineStr">
        <is>
          <t>—</t>
        </is>
      </c>
      <c r="R169" s="2" t="inlineStr">
        <is>
          <t>(assigned on issue)</t>
        </is>
      </c>
      <c r="S169" s="2" t="inlineStr">
        <is>
          <t>P160012|I</t>
        </is>
      </c>
      <c r="T169" s="13" t="inlineStr">
        <is>
          <t>ruled — numbered on the Head of QC's instruction of 18.09.2026 ("assign codes if they're missing"); the list holds no packaging date for the lot, so the register could not date the certificate and had withheld the number; the date follows the packaging date once the list carries it</t>
        </is>
      </c>
      <c r="U169" s="2" t="inlineStr">
        <is>
          <t>n/a — initial certificate</t>
        </is>
      </c>
      <c r="V169" s="10" t="n">
        <v>26.32</v>
      </c>
      <c r="W169" s="2" t="inlineStr">
        <is>
          <t>ППК26117</t>
        </is>
      </c>
      <c r="X169" s="2" t="inlineStr">
        <is>
          <t>—</t>
        </is>
      </c>
      <c r="Y169" s="2" t="inlineStr">
        <is>
          <t>—</t>
        </is>
      </c>
      <c r="Z169" s="2" t="inlineStr">
        <is>
          <t>—</t>
        </is>
      </c>
      <c r="AA169" s="2" t="inlineStr">
        <is>
          <t>—</t>
        </is>
      </c>
      <c r="AB169" s="11" t="inlineStr">
        <is>
          <t>—</t>
        </is>
      </c>
      <c r="AC169" s="8" t="inlineStr">
        <is>
          <t>strain not in the potency specification of 15.09.2026</t>
        </is>
      </c>
    </row>
    <row r="170">
      <c r="A170" s="2">
        <f>IF(OR(C170="yes",C170="allocated",C170="ruled"),COUNT(A$1:A169)+1,"")</f>
        <v/>
      </c>
      <c r="B170" s="3">
        <f>IF(A170&lt;&gt;"","CoQ-PP_26-"&amp;TEXT(A170,"000"),"— at issue —")</f>
        <v/>
      </c>
      <c r="C170" s="12" t="inlineStr">
        <is>
          <t>ruled</t>
        </is>
      </c>
      <c r="D170" s="5">
        <f>IF(OR(A170="",C170="allocated",C170="ruled"),"",MAX(E170,IF(ISNUMBER(I170),I170,0),IFERROR(IF(ISNUMBER(INDEX('iCoA Register'!$F:$F,MATCH(S170,'iCoA Register'!$AA:$AA,0))),INDEX('iCoA Register'!$F:$F,MATCH(S170,'iCoA Register'!$AA:$AA,0)),0),0)))</f>
        <v/>
      </c>
      <c r="E170" s="5">
        <f>IF(ISNUMBER(F170),MAX(DATE(2026,6,6),F170+7),DATE(2026,6,6))</f>
        <v/>
      </c>
      <c r="F170" s="5" t="n">
        <v>46209</v>
      </c>
      <c r="G170" s="2" t="inlineStr">
        <is>
          <t>ППК26118</t>
        </is>
      </c>
      <c r="H170" s="2">
        <f>IFERROR(INDEX('iCoA Register'!$B:$B,MATCH("P160022|I",'iCoA Register'!$AA:$AA,0)),"—")</f>
        <v/>
      </c>
      <c r="I170" s="5">
        <f>IFERROR(INDEX('iCoA Register'!$D:$D,MATCH("P160022|I",'iCoA Register'!$AA:$AA,0)),"")</f>
        <v/>
      </c>
      <c r="J170" s="2" t="inlineStr">
        <is>
          <t>—</t>
        </is>
      </c>
      <c r="K170" s="2" t="inlineStr">
        <is>
          <t>initial release</t>
        </is>
      </c>
      <c r="L170" s="3" t="inlineStr">
        <is>
          <t>— not recorded — (P160022)</t>
        </is>
      </c>
      <c r="M170" s="2" t="inlineStr">
        <is>
          <t>P160022</t>
        </is>
      </c>
      <c r="N170" s="2" t="inlineStr"/>
      <c r="O170" s="2" t="inlineStr">
        <is>
          <t>ППК26118, (06.07.2026) [CNP]</t>
        </is>
      </c>
      <c r="P170" s="2" t="inlineStr">
        <is>
          <t>A: ППК26118 / B: ППК26118 / FM: ППК26118</t>
        </is>
      </c>
      <c r="Q170" s="2" t="inlineStr">
        <is>
          <t>—</t>
        </is>
      </c>
      <c r="R170" s="2" t="inlineStr">
        <is>
          <t>(assigned on issue)</t>
        </is>
      </c>
      <c r="S170" s="2" t="inlineStr">
        <is>
          <t>P160022|I</t>
        </is>
      </c>
      <c r="T170" s="13" t="inlineStr">
        <is>
          <t>ruled — numbered on the Head of QC's instruction of 18.09.2026 ("assign codes if they're missing"); the list holds no packaging date for the lot, so the register could not date the certificate and had withheld the number; the date follows the packaging date once the list carries it</t>
        </is>
      </c>
      <c r="U170" s="2" t="inlineStr">
        <is>
          <t>n/a — initial certificate</t>
        </is>
      </c>
      <c r="V170" s="10" t="n">
        <v>25.72</v>
      </c>
      <c r="W170" s="2" t="inlineStr">
        <is>
          <t>ППК26118</t>
        </is>
      </c>
      <c r="X170" s="2" t="inlineStr">
        <is>
          <t>—</t>
        </is>
      </c>
      <c r="Y170" s="2" t="inlineStr">
        <is>
          <t>—</t>
        </is>
      </c>
      <c r="Z170" s="2" t="inlineStr">
        <is>
          <t>—</t>
        </is>
      </c>
      <c r="AA170" s="2" t="inlineStr">
        <is>
          <t>—</t>
        </is>
      </c>
      <c r="AB170" s="11" t="inlineStr">
        <is>
          <t>—</t>
        </is>
      </c>
      <c r="AC170" s="8" t="inlineStr">
        <is>
          <t>strain not in the potency specification of 15.09.2026</t>
        </is>
      </c>
    </row>
    <row r="171">
      <c r="A171" s="2">
        <f>IF(OR(C171="yes",C171="allocated",C171="ruled"),COUNT(A$1:A170)+1,"")</f>
        <v/>
      </c>
      <c r="B171" s="3">
        <f>IF(A171&lt;&gt;"","CoQ-PP_26-"&amp;TEXT(A171,"000"),"— at issue —")</f>
        <v/>
      </c>
      <c r="C171" s="12" t="inlineStr">
        <is>
          <t>ruled</t>
        </is>
      </c>
      <c r="D171" s="5">
        <f>IF(OR(A171="",C171="allocated",C171="ruled"),"",MAX(E171,IF(ISNUMBER(I171),I171,0),IFERROR(IF(ISNUMBER(INDEX('iCoA Register'!$F:$F,MATCH(S171,'iCoA Register'!$AA:$AA,0))),INDEX('iCoA Register'!$F:$F,MATCH(S171,'iCoA Register'!$AA:$AA,0)),0),0)))</f>
        <v/>
      </c>
      <c r="E171" s="5">
        <f>IF(ISNUMBER(F171),MAX(DATE(2026,6,6),F171+7),DATE(2026,6,6))</f>
        <v/>
      </c>
      <c r="F171" s="5" t="n">
        <v>46209</v>
      </c>
      <c r="G171" s="2" t="inlineStr">
        <is>
          <t>ППК26119</t>
        </is>
      </c>
      <c r="H171" s="2">
        <f>IFERROR(INDEX('iCoA Register'!$B:$B,MATCH("P160032|I",'iCoA Register'!$AA:$AA,0)),"—")</f>
        <v/>
      </c>
      <c r="I171" s="5">
        <f>IFERROR(INDEX('iCoA Register'!$D:$D,MATCH("P160032|I",'iCoA Register'!$AA:$AA,0)),"")</f>
        <v/>
      </c>
      <c r="J171" s="2" t="inlineStr">
        <is>
          <t>—</t>
        </is>
      </c>
      <c r="K171" s="2" t="inlineStr">
        <is>
          <t>initial release</t>
        </is>
      </c>
      <c r="L171" s="3" t="inlineStr">
        <is>
          <t>— not recorded — (P160032)</t>
        </is>
      </c>
      <c r="M171" s="2" t="inlineStr">
        <is>
          <t>P160032</t>
        </is>
      </c>
      <c r="N171" s="2" t="inlineStr"/>
      <c r="O171" s="2" t="inlineStr">
        <is>
          <t>ППК26119, (06.07.2026) [CNP]</t>
        </is>
      </c>
      <c r="P171" s="2" t="inlineStr">
        <is>
          <t>A: ППК26119 / B: ППК26119 / FM: ППК26119</t>
        </is>
      </c>
      <c r="Q171" s="2" t="inlineStr">
        <is>
          <t>—</t>
        </is>
      </c>
      <c r="R171" s="2" t="inlineStr">
        <is>
          <t>(assigned on issue)</t>
        </is>
      </c>
      <c r="S171" s="2" t="inlineStr">
        <is>
          <t>P160032|I</t>
        </is>
      </c>
      <c r="T171" s="13" t="inlineStr">
        <is>
          <t>ruled — numbered on the Head of QC's instruction of 18.09.2026 ("assign codes if they're missing"); the list holds no packaging date for the lot, so the register could not date the certificate and had withheld the number; the date follows the packaging date once the list carries it</t>
        </is>
      </c>
      <c r="U171" s="2" t="inlineStr">
        <is>
          <t>n/a — initial certificate</t>
        </is>
      </c>
      <c r="V171" s="10" t="n">
        <v>24.78</v>
      </c>
      <c r="W171" s="2" t="inlineStr">
        <is>
          <t>ППК26119</t>
        </is>
      </c>
      <c r="X171" s="2" t="inlineStr">
        <is>
          <t>—</t>
        </is>
      </c>
      <c r="Y171" s="2" t="inlineStr">
        <is>
          <t>—</t>
        </is>
      </c>
      <c r="Z171" s="2" t="inlineStr">
        <is>
          <t>—</t>
        </is>
      </c>
      <c r="AA171" s="2" t="inlineStr">
        <is>
          <t>—</t>
        </is>
      </c>
      <c r="AB171" s="11" t="inlineStr">
        <is>
          <t>—</t>
        </is>
      </c>
      <c r="AC171" s="8" t="inlineStr">
        <is>
          <t>strain not in the potency specification of 15.09.2026</t>
        </is>
      </c>
    </row>
    <row r="172">
      <c r="A172" s="2">
        <f>IF(OR(C172="yes",C172="allocated",C172="ruled"),COUNT(A$1:A171)+1,"")</f>
        <v/>
      </c>
      <c r="B172" s="3">
        <f>IF(A172&lt;&gt;"","CoQ-PP_26-"&amp;TEXT(A172,"000"),"— at issue —")</f>
        <v/>
      </c>
      <c r="C172" s="12" t="inlineStr">
        <is>
          <t>ruled</t>
        </is>
      </c>
      <c r="D172" s="5">
        <f>IF(OR(A172="",C172="allocated",C172="ruled"),"",MAX(E172,IF(ISNUMBER(I172),I172,0),IFERROR(IF(ISNUMBER(INDEX('iCoA Register'!$F:$F,MATCH(S172,'iCoA Register'!$AA:$AA,0))),INDEX('iCoA Register'!$F:$F,MATCH(S172,'iCoA Register'!$AA:$AA,0)),0),0)))</f>
        <v/>
      </c>
      <c r="E172" s="5">
        <f>IF(ISNUMBER(F172),MAX(DATE(2026,6,6),F172+7),"— awaiting the retest certificates —")</f>
        <v/>
      </c>
      <c r="F172" s="5" t="n">
        <v>46276</v>
      </c>
      <c r="G172" s="2" t="inlineStr">
        <is>
          <t>220-32-M-26</t>
        </is>
      </c>
      <c r="H172" s="2">
        <f>IFERROR(INDEX('iCoA Register'!$B:$B,MATCH("CC042601|R",'iCoA Register'!$AA:$AA,0)),"—")</f>
        <v/>
      </c>
      <c r="I172" s="5">
        <f>IFERROR(INDEX('iCoA Register'!$D:$D,MATCH("CC042601|R",'iCoA Register'!$AA:$AA,0)),"")</f>
        <v/>
      </c>
      <c r="J172" s="2" t="inlineStr">
        <is>
          <t>—</t>
        </is>
      </c>
      <c r="K172" s="2" t="inlineStr">
        <is>
          <t>retest — Tranche 2 (sampled 12–14.08.2026)</t>
        </is>
      </c>
      <c r="L172" s="3" t="inlineStr">
        <is>
          <t>CC042601</t>
        </is>
      </c>
      <c r="M172" s="2" t="inlineStr">
        <is>
          <t>N/A — no P batch assigned</t>
        </is>
      </c>
      <c r="N172" s="2" t="inlineStr">
        <is>
          <t>Cash Cow</t>
        </is>
      </c>
      <c r="O172" s="2" t="inlineStr">
        <is>
          <t>220-32-K-26, (26.08.2026) [FHM-K]</t>
        </is>
      </c>
      <c r="P172" s="6" t="inlineStr">
        <is>
          <t>—</t>
        </is>
      </c>
      <c r="Q172" s="2" t="inlineStr">
        <is>
          <t>—</t>
        </is>
      </c>
      <c r="R172" s="2" t="inlineStr">
        <is>
          <t>CoQ reissue (assigned on issue)</t>
        </is>
      </c>
      <c r="S172" s="2" t="inlineStr">
        <is>
          <t>CC042601|R</t>
        </is>
      </c>
      <c r="T172" s="13" t="inlineStr">
        <is>
          <t>ruled — numbered on the Head of QC's instruction of 18.09.2026 ("assign codes if they're missing"); the list holds no packaging date for the lot, so the register could not date the certificate and had withheld the number; the date follows the packaging date once the list carries it; a reissue, numbered after its release certificate — initial certificate withheld — due — retest assay and mycotoxins on file; iCoA tested 14.08.2026, issued 17.08.2026</t>
        </is>
      </c>
      <c r="U172" s="2">
        <f>IFERROR(INDEX('CoQ Register'!$B:$B,MATCH("CC042601|I",'CoQ Register'!$S:$S,0)),"— initial certificate not on the register —")</f>
        <v/>
      </c>
      <c r="V172" s="10" t="n">
        <v>14.9</v>
      </c>
      <c r="W172" s="2" t="inlineStr">
        <is>
          <t>220-32-К/26</t>
        </is>
      </c>
      <c r="X172" s="2" t="inlineStr">
        <is>
          <t>14.00 ± 1.35 (II)</t>
        </is>
      </c>
      <c r="Y172" s="2" t="inlineStr">
        <is>
          <t>12.65 – 15.34 %</t>
        </is>
      </c>
      <c r="Z172" s="2" t="inlineStr">
        <is>
          <t>CC_THC14 : CBD1</t>
        </is>
      </c>
      <c r="AA172" s="2" t="inlineStr">
        <is>
          <t>QCSP_001_CC-II_v.01</t>
        </is>
      </c>
      <c r="AB172" s="8" t="inlineStr">
        <is>
          <t>for review — replaces the issued QCSP_001_CC-II_v.01 (was CC_THC14 : CBD1, 12.60 – 15.40 %); now CC_THC14 : CBD1 12.65 – 15.34 %</t>
        </is>
      </c>
      <c r="AC172" s="11" t="inlineStr"/>
    </row>
    <row r="173">
      <c r="A173" s="2">
        <f>IF(OR(C173="yes",C173="allocated",C173="ruled"),COUNT(A$1:A172)+1,"")</f>
        <v/>
      </c>
      <c r="B173" s="3">
        <f>IF(A173&lt;&gt;"","CoQ-PP_26-"&amp;TEXT(A173,"000"),"— at issue —")</f>
        <v/>
      </c>
      <c r="C173" s="12" t="inlineStr">
        <is>
          <t>ruled</t>
        </is>
      </c>
      <c r="D173" s="5">
        <f>IF(OR(A173="",C173="allocated",C173="ruled"),"",MAX(E173,IF(ISNUMBER(I173),I173,0),IFERROR(IF(ISNUMBER(INDEX('iCoA Register'!$F:$F,MATCH(S173,'iCoA Register'!$AA:$AA,0))),INDEX('iCoA Register'!$F:$F,MATCH(S173,'iCoA Register'!$AA:$AA,0)),0),0)))</f>
        <v/>
      </c>
      <c r="E173" s="5">
        <f>IF(ISNUMBER(F173),MAX(DATE(2026,6,6),F173+7),"— awaiting the retest certificates —")</f>
        <v/>
      </c>
      <c r="F173" s="5" t="n">
        <v>46276</v>
      </c>
      <c r="G173" s="2" t="inlineStr">
        <is>
          <t>220-31-M-26</t>
        </is>
      </c>
      <c r="H173" s="2">
        <f>IFERROR(INDEX('iCoA Register'!$B:$B,MATCH("FB042601|R",'iCoA Register'!$AA:$AA,0)),"—")</f>
        <v/>
      </c>
      <c r="I173" s="5">
        <f>IFERROR(INDEX('iCoA Register'!$D:$D,MATCH("FB042601|R",'iCoA Register'!$AA:$AA,0)),"")</f>
        <v/>
      </c>
      <c r="J173" s="2" t="inlineStr">
        <is>
          <t>—</t>
        </is>
      </c>
      <c r="K173" s="2" t="inlineStr">
        <is>
          <t>retest — Tranche 2 (sampled 12–14.08.2026)</t>
        </is>
      </c>
      <c r="L173" s="3" t="inlineStr">
        <is>
          <t>FB042601</t>
        </is>
      </c>
      <c r="M173" s="2" t="inlineStr">
        <is>
          <t>N/A — no P batch assigned</t>
        </is>
      </c>
      <c r="N173" s="2" t="inlineStr">
        <is>
          <t>Fat Bastard</t>
        </is>
      </c>
      <c r="O173" s="2" t="inlineStr">
        <is>
          <t>220-31-K-26, (26.08.2026) [FHM-K]</t>
        </is>
      </c>
      <c r="P173" s="6" t="inlineStr">
        <is>
          <t>—</t>
        </is>
      </c>
      <c r="Q173" s="2" t="inlineStr">
        <is>
          <t>—</t>
        </is>
      </c>
      <c r="R173" s="2" t="inlineStr">
        <is>
          <t>CoQ reissue (assigned on issue)</t>
        </is>
      </c>
      <c r="S173" s="2" t="inlineStr">
        <is>
          <t>FB042601|R</t>
        </is>
      </c>
      <c r="T173" s="13" t="inlineStr">
        <is>
          <t>ruled — numbered on the Head of QC's instruction of 18.09.2026 ("assign codes if they're missing"); the list holds no packaging date for the lot, so the register could not date the certificate and had withheld the number; the date follows the packaging date once the list carries it; a reissue, numbered after its release certificate — initial certificate withheld — due — retest assay and mycotoxins on file; iCoA tested 14.08.2026, issued 17.08.2026</t>
        </is>
      </c>
      <c r="U173" s="2">
        <f>IFERROR(INDEX('CoQ Register'!$B:$B,MATCH("FB042601|I",'CoQ Register'!$S:$S,0)),"— initial certificate not on the register —")</f>
        <v/>
      </c>
      <c r="V173" s="10" t="n">
        <v>14.99</v>
      </c>
      <c r="W173" s="2" t="inlineStr">
        <is>
          <t>220-31-К/26</t>
        </is>
      </c>
      <c r="X173" s="2" t="inlineStr">
        <is>
          <t>15.00 ± 1.20 (III)</t>
        </is>
      </c>
      <c r="Y173" s="2" t="inlineStr">
        <is>
          <t>13.80 – 16.19 %</t>
        </is>
      </c>
      <c r="Z173" s="2" t="inlineStr">
        <is>
          <t>FB_THC15 : CBD1</t>
        </is>
      </c>
      <c r="AA173" s="2" t="inlineStr">
        <is>
          <t>QCSP_001_FB-III_v.01</t>
        </is>
      </c>
      <c r="AB173" s="8" t="inlineStr">
        <is>
          <t>for review — replaces the issued QCSP_001_FB-III_v.01 (was FB_THC16 : CBD1, 14.86 – 17.14 %); now FB_THC15 : CBD1 13.80 – 16.19 %</t>
        </is>
      </c>
      <c r="AC173" s="11" t="inlineStr"/>
    </row>
    <row r="174"/>
    <row r="175" ht="150" customHeight="1">
      <c r="A175" s="9" t="inlineStr">
        <is>
          <t>Head of QC, 05.09.2026: preliminary CoQ issuance register — codes CoQ-PP_26-nnn (nnn = 001 … 999), one series for the year of issue, in the order of issue. LEGACY lots (packed before the SOP floor of 11.05.2026, or holding an old in-house QCCoA 001 certificate, which the CoQ supersedes) are all issued on 06.06.2026, in chronological order of packaging; POST-SOP lots follow, each on the first working day 7 days after the latest eCoA the CoQ cites and never before 06.06.2026, so the legacy series keeps 001 onward. Every CoQ cites its lot's iCoA (identification A, B, foreign matter) and reports identification C as 'Conforms', referenced to the eCoA that covers Total THC. ADHERENCE (ISSUE_COQ_CONVENTIONS): a CoQ never precedes a document it cites — a legacy lot whose latest eCoA is dated after 06.06.2026 takes the post-SOP rule and is flagged in Status; a CoQ never precedes its iCoA; Head of QC, 05.09.2026 (evening): a production lot whose initial certificate for a determination is not on file keeps its planned CoQ and number — the initial testing exists at the Faculty of Pharmacy's Center for Natural Products (microbiology: IJZ) and the certificate is to be located (Work Order; Status names the determination); a certificate dated on or after 01.07.2026 is a retest document (the QP's campaign: Tranche 1, the first 21 lots, sampled July 2026; then Tranches 2 and 3) and never certifies the initial CoQ — a determination whose only certificate is a retest one is uncertified for the legacy CoQ and flagged; the IJZ-MB delivery of 25/26.08.2026 (certificates of 31.08 and 01.09.2026, 68 to 436 days after packaging) is one campaign sampling and every certificate in it is a retest document, for the post-SOP lots too; nothing is dated on a weekend. RETEST ROWS: the reissued CoQ carries the retest results (cannabinoids with identification C by Farmahem, mycotoxins) and, for every determination not retested, the initial certificate's result and document (owner, 15.09.2026); its rule date is 7 days after the latest retest certificate it cites, and it is numbered, in date order with the release series, once the retest assay, the mycotoxins and the campaign's internal certificate (sampled and issued per sampling_dates.py) all exist — Tranche 1 and Tranche 2 in this build (Tranche 2 since v30, its potency certificates of 25/26.08.2026 taken in on 15.09.2026). TRANCHE 3 (owner, 15.09.2026, evening): every Tranche 3 retest parameter is tested at Farmahem and its certificates all issue on one date, so the Tranche 3 reissues take their codes now — after the last Tranche 2 reissue, in the order the series gives them — with Issuable reading 'allocated' and the planned date the owner's: not yet set, all Tranche 3 certificates on one day, the 227-М mycotoxin certificates expected by 18.09.2026, provisional until they exist; the one code computed in advance, by the owner's ruling. After the numbered and the allocated rows, the batches the tranches do not cover — under production, under testing, or on no tranche list — are listed lot by lot; such a batch carries its release certificate and no retest row, because only the tranche batches are for sale and only they were retested at the QP's request (owner, 15.09.2026). RULED (Head of QC, 18.09.2026, "assign codes if they're missing"): the rows the register had withheld only for want of a packaging date on the list — CC042601 and FB042601, release and reissue, and P160012, P160022, P160032 — take their codes after the last allocated one, release certificates first, with Issuable reading 'ruled' and no planned date until the list carries the packaging date. FORMULAS: No. counts the rows whose Issuable is 'yes', 'allocated' or 'ruled'; No. and the code as on the iCoA Register; Rule date is 06.06.2026 for a legacy row whose latest eCoA is on or before it, else the first working day 7 days after the latest eCoA (not before 06.06.2026); the planned date is the latest of the rule date, the iCoA's date and the lot's last day of packaging; iCoA (register) and its date are looked up on the iCoA Register by Key. SUPERSEDES (initial CoQ): a reissue names the initial certificate of the same lot by the register's own code, looked up by Key, so it follows a renumbering; n/a on an initial certificate. POTENCY GRADING (owner, 15.09.2026): the Total THC result the certificate prints, the certificate it comes from, the grade of the Head of QC's potency specification of 15.09.2026 (Potency Grades tab) whose window it falls in — nominal ± tolerance, with the strain's grade numeral — and the product code {ABBR}_THC{nominal} : CBD1 and specification document code QCSP_001_{ABBR}-{numeral}_v.01 that follow — always v.01 (owner, 15.09.2026: the initially issued specifications were wrong and this is not the official issuing; the set goes for review), the status recording what the issued v.01 of the same strain and numeral printed. The numeral is SEQUENTIAL within the strain (owner, 15.09.2026): the grades of the specification of 15.09.2026 are numbered as that table lists them, frozen in potency_grades_2026-09-15.csv, and a grade defined later takes the strain's next numeral whatever its nominal — so -II is not lower or higher than -I, only later. A result in no window of its strain needs a specification of its own: the row says 'new specification required', names the nearest window and reserves the strain's next numeral for it; no grade is guessed. The latest eCoA cited is a value (the first credited certificate per determination dated before the retest campaign; for a retest row, the latest retest certificate), recomputed by the builder. Working days are Monday to Friday; public holidays are not applied. FLAGS: the legacy CoQ day 06.06.2026 is a Saturday — the owner's date, kept as given | P060272: post-SOP CoQ rule date 18.05.2026 precedes the legacy series day 06.06.2026 — held to it, so the legacy CoQs keep 001 onward | P060322: post-SOP CoQ rule date 18.05.2026 precedes the legacy series day 06.06.2026 — held to it, so the legacy CoQs keep 001 onward | P060432: no initial certificate for #9 — only the retest 537-1068-26 of 31.08.2026; the post-SOP CoQ cannot cite it (Head of QC to rule: report as not tested at initial testing, or wait for the reissue) | P060392: no initial certificate for #9 — only the retest 538-1069-26 of 31.08.2026; the post-SOP CoQ cannot cite it (Head of QC to rule: report as not tested at initial testing, or wait for the reissue) | P060292: post-SOP CoQ rule date 18.05.2026 precedes the legacy series day 06.06.2026 — held to it, so the legacy CoQs keep 001 onward | P060302: post-SOP CoQ rule date 18.05.2026 precedes the legacy series day 06.06.2026 — held to it, so the legacy CoQs keep 001 onward | P060402: no initial certificate for #10 — only the retest 197-8-M-26 of 10.08.2026; the post-SOP CoQ cannot cite it (Head of QC to rule: report as not tested at initial testing, or wait for the reissue) | GG1024: no initial certificate for #3, #4, #5, #6, #10 — only the retest 220-9-K-26 of 25.08.2026 / 220-9-M-26 of 11.09.2026; the legacy CoQ cannot cite it (Head of QC to rule: report as not tested at initial testing, or wait for the reissue) | P060142: no initial certificate for #3, #4, #5, #6, #9 — only the retest 227-16-K-26 of 11.09.2026 / 550-1081-26 of 01.09.2026; the legacy CoQ cannot cite it (Head of QC to rule: report as not tested at initial testing, or wait for the reissue) | P060182: no initial certificate for #10 — only the retest 220-14-M-26 of 11.09.2026; the legacy CoQ cannot cite it (Head of QC to rule: report as not tested at initial testing, or wait for the reissue) | HPA1024: no initial certificate for #3, #4, #5, #6, #8, #10 — only the retest 197-13-K-26 of 07.08.2026 / 197-13-M-26 of 10.08.2026; the legacy CoQ cannot cite it (Head of QC to rule: report as not tested at initial testing, or wait for the reissue) | P060152: no initial certificate for #10 — only the retest 197-16-M-26 of 10.08.2026; the legacy CoQ cannot cite it (Head of QC to rule: report as not tested at initial testing, or wait for the reissue) | P060202: no initial certificate for #9 — only the retest 547-1078-26 of 31.08.2026; the legacy CoQ cannot cite it (Head of QC to rule: report as not tested at initial testing, or wait for the reissue) | P060262: post-SOP CoQ rule date 30.04.2026 precedes the legacy series day 06.06.2026 — held to it, so the legacy CoQs keep 001 onward | P060312: post-SOP CoQ rule date 18.05.2026 precedes the legacy series day 06.06.2026 — held to it, so the legacy CoQs keep 001 onward | P060362: no initial certificate on file — the CoQ keeps its planned number with a provisional date 06.06.2026 | P060362: no initial certificate for #3, #4, #5, #6, #10 — only the retest 220-16-K-26 of 25.08.2026 / 220-16-M-26 of 11.09.2026; the post-SOP CoQ cannot cite it (Head of QC to rule: report as not tested at initial testing, or wait for the reissue) | P060412: no initial certificate for #10 — only the retest 220-17-M-26 of 11.09.2026; the post-SOP CoQ cannot cite it (Head of QC to rule: report as not tested at initial testing, or wait for the reissue) | P060422: no initial certificate for #10 — only the retest 220-18-M-26 of 11.09.2026; the post-SOP CoQ cannot cite it (Head of QC to rule: report as not tested at initial testing, or wait for the reissue) | P060482: CoQ rule date 07.07.2026 precedes the packaging of the lot (05.08.2026) — held to the packaging date | P060172: no initial certificate for #10 — only the retest 220-19-M-26 of 11.09.2026; the legacy CoQ cannot cite it (Head of QC to rule: report as not tested at initial testing, or wait for the reissue) | OPM1024: no initial certificate for #3, #4, #5, #6, #8, #10 — only the retest 197-17-K-26 of 07.08.2026 / 197-17-M-26 of 10.08.2026; the legacy CoQ cannot cite it (Head of QC to rule: report as not tested at initial testing, or wait for the reissue) | P060222: no initial certificate for #9 — only the retest 546-1077-26 of 31.08.2026; the legacy CoQ cannot cite it (Head of QC to rule: report as not tested at initial testing, or wait for the reissue) | P060332: no initial certificate on file — the CoQ keeps its planned number with a provisional date 06.06.2026 | P060332: no initial certificate for #3, #4, #5, #6, #8, #10 — only the retest 197-6-K-26 of 07.08.2026 / 197-6-M-26 of 10.08.2026; the post-SOP CoQ cannot cite it (Head of QC to rule: report as not tested at initial testing, or wait for the reissue) | P060352: no initial certificate on file — the CoQ keeps its planned number with a provisional date 06.06.2026 | P060352: no initial certificate for #3, #4, #5, #6, #8, #10 — only the retest 197-7-K-26 of 07.08.2026 / 197-7-M-26 of 10.08.2026; the post-SOP CoQ cannot cite it (Head of QC to rule: report as not tested at initial testing, or wait for the reissue) | P060382: no initial certificate on file — the CoQ keeps its planned number with a provisional date 06.06.2026 | P060382: no initial certificate for #3, #4, #5, #6, #8, #10 — only the retest 197-21-K-26 of 07.08.2026 / 197-21-M-26 of 10.08.2026; the post-SOP CoQ cannot cite it (Head of QC to rule: report as not tested at initial testing, or wait for the reissue) | P060232: no initial certificate for #10 — only the retest 220-24-M-26 of 11.09.2026; the legacy CoQ cannot cite it (Head of QC to rule: report as not tested at initial testing, or wait for the reissue) | P060442: no initial certificate for #9 — only the retest 536-1067-26 of 31.08.2026; the post-SOP CoQ cannot cite it (Head of QC to rule: report as not tested at initial testing, or wait for the reissue) | P060282: post-SOP CoQ rule date 18.05.2026 precedes the legacy series day 06.06.2026 — held to it, so the legacy CoQs keep 001 onward | P060162: no initial certificate for #9 — only the retest 549-1080-26 of 31.08.2026; the legacy CoQ cannot cite it (Head of QC to rule: report as not tested at initial testing, or wait for the reissue) | P050142: no initial certificate for #3, #4, #5, #6, #9 — only the retest 227-1-K-26 of 11.09.2026 / 559-1090-26 of 01.09.2026; the legacy CoQ cannot cite it (Head of QC to rule: report as not tested at initial testing, or wait for the reissue) | P060102: no initial certificate for #3, #4, #5, #6, #9 — only the retest 227-4-K-26 of 11.09.2026 / 551-1082-26 of 01.09.2026; the legacy CoQ cannot cite it (Head of QC to rule: report as not tested at initial testing, or wait for the reissue) | P060342: no initial certificate on file — the CoQ keeps its planned number with a provisional date 06.06.2026 | P060342: no initial certificate for #3, #4, #5, #6, #9 — only the retest 227-8-K-26 of 11.09.2026 / 539-1070-26 of 31.08.2026; the post-SOP CoQ cannot cite it (Head of QC to rule: report as not tested at initial testing, or wait for the reissue) | P060122: no initial certificate for #3, #4, #5, #6, #10 — only the retest 220-1-K-26 of 25.08.2026 / 220-1-M-26 of 11.09.2026; the legacy CoQ cannot cite it (Head of QC to rule: report as not tested at initial testing, or wait for the reissue) | P060132: no initial certificate for #3, #4, #5, #6, #10 — only the retest 220-6-K-26 of 25.08.2026 / 220-6-M-26 of 11.09.2026; the legacy CoQ cannot cite it (Head of QC to rule: report as not tested at initial testing, or wait for the reissue) | P060112: no initial certificate for #3, #4, #5, #6, #10 — only the retest 220-25-K-26 of 26.08.2026 / 220-25-M-26 of 11.09.2026; the legacy CoQ cannot cite it (Head of QC to rule: report as not tested at initial testing, or wait for the reissue) | P060372: no initial certificate on file — the CoQ keeps its planned number with a provisional date 06.06.2026 | P060372: no initial certificate for #3, #4, #5, #6, #10 — only the retest 220-29-K-26 of 26.08.2026 / 220-29-M-26 of 11.09.2026; the post-SOP CoQ cannot cite it (Head of QC to rule: report as not tested at initial testing, or wait for the reissue) | P060492: no initial certificate on file — the CoQ keeps its planned number with a provisional date 13.08.2026 | P060492: no initial certificate for #3, #4, #5, #6, #10 — only the retest 220-30-K-26 of 26.08.2026 / 220-30-M-26 of 11.09.2026; the post-SOP CoQ cannot cite it (Head of QC to rule: report as not tested at initial testing, or wait for the reissue) | FB042601: no initial certificate for #3, #4, #5, #6, #10 — only the retest 220-31-K-26 of 26.08.2026 / 220-31-M-26 of 11.09.2026; the — CoQ cannot cite it (Head of QC to rule: report as not tested at initial testing, or wait for the reissue) | CC042601: no initial certificate for #3, #4, #5, #6, #10 — only the retest 220-32-K-26 of 26.08.2026 / 220-32-M-26 of 11.09.2026; the — CoQ cannot cite it (Head of QC to rule: report as not tested at initial testing, or wait for the reissue)</t>
        </is>
      </c>
    </row>
  </sheetData>
  <mergeCells count="1">
    <mergeCell ref="A175:AC175"/>
  </mergeCell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J88"/>
  <sheetViews>
    <sheetView workbookViewId="0">
      <selection activeCell="A1" sqref="A1"/>
    </sheetView>
  </sheetViews>
  <sheetFormatPr baseColWidth="8" defaultRowHeight="15"/>
  <cols>
    <col width="6" customWidth="1" min="1" max="1"/>
    <col width="18" customWidth="1" min="2" max="2"/>
    <col width="12" customWidth="1" min="3" max="3"/>
    <col width="13" customWidth="1" min="4" max="4"/>
    <col width="13" customWidth="1" min="5" max="5"/>
    <col width="14" customWidth="1" min="6" max="6"/>
    <col width="14" customWidth="1" min="7" max="7"/>
    <col width="20" customWidth="1" min="8" max="8"/>
    <col width="16" customWidth="1" min="9" max="9"/>
    <col width="60" customWidth="1" min="10" max="10"/>
  </cols>
  <sheetData>
    <row r="1" ht="22" customHeight="1">
      <c r="A1" s="1" t="inlineStr">
        <is>
          <t>Seq</t>
        </is>
      </c>
      <c r="B1" s="1" t="inlineStr">
        <is>
          <t>Batch (as listed)</t>
        </is>
      </c>
      <c r="C1" s="1" t="inlineStr">
        <is>
          <t>P Batch</t>
        </is>
      </c>
      <c r="D1" s="1" t="inlineStr">
        <is>
          <t>Harvest from</t>
        </is>
      </c>
      <c r="E1" s="1" t="inlineStr">
        <is>
          <t>Harvest to</t>
        </is>
      </c>
      <c r="F1" s="1" t="inlineStr">
        <is>
          <t>Packaging from</t>
        </is>
      </c>
      <c r="G1" s="1" t="inlineStr">
        <is>
          <t>Packaging to</t>
        </is>
      </c>
      <c r="H1" s="1" t="inlineStr">
        <is>
          <t>iCoA basis (first day of packaging)</t>
        </is>
      </c>
      <c r="I1" s="1" t="inlineStr">
        <is>
          <t>Tracker lot</t>
        </is>
      </c>
      <c r="J1" s="1" t="inlineStr">
        <is>
          <t>Note</t>
        </is>
      </c>
    </row>
    <row r="2">
      <c r="A2" s="2" t="n">
        <v>1</v>
      </c>
      <c r="B2" s="3" t="inlineStr">
        <is>
          <t>CJ1024</t>
        </is>
      </c>
      <c r="C2" s="3" t="inlineStr"/>
      <c r="D2" s="5" t="n">
        <v>45677</v>
      </c>
      <c r="E2" s="5" t="n">
        <v>45677</v>
      </c>
      <c r="F2" s="5" t="n">
        <v>45719</v>
      </c>
      <c r="G2" s="5" t="n">
        <v>45719</v>
      </c>
      <c r="H2" s="5">
        <f>F2</f>
        <v/>
      </c>
      <c r="I2" s="2" t="inlineStr">
        <is>
          <t>CJ1024</t>
        </is>
      </c>
      <c r="J2" s="11" t="inlineStr">
        <is>
          <t>listed as 'CJ1024 - R&amp;D'</t>
        </is>
      </c>
    </row>
    <row r="3">
      <c r="A3" s="2" t="n">
        <v>2</v>
      </c>
      <c r="B3" s="3" t="inlineStr">
        <is>
          <t>GG1024</t>
        </is>
      </c>
      <c r="C3" s="3" t="inlineStr"/>
      <c r="D3" s="5" t="n">
        <v>45677</v>
      </c>
      <c r="E3" s="5" t="n">
        <v>45677</v>
      </c>
      <c r="F3" s="5" t="n">
        <v>45727</v>
      </c>
      <c r="G3" s="5" t="n">
        <v>45727</v>
      </c>
      <c r="H3" s="5">
        <f>F3</f>
        <v/>
      </c>
      <c r="I3" s="2" t="inlineStr">
        <is>
          <t>GG1024</t>
        </is>
      </c>
      <c r="J3" s="11" t="inlineStr">
        <is>
          <t>listed as 'GG1024- R&amp;D'</t>
        </is>
      </c>
    </row>
    <row r="4">
      <c r="A4" s="2" t="n">
        <v>3</v>
      </c>
      <c r="B4" s="3" t="inlineStr">
        <is>
          <t>OPM1024</t>
        </is>
      </c>
      <c r="C4" s="3" t="inlineStr"/>
      <c r="D4" s="5" t="n">
        <v>45678</v>
      </c>
      <c r="E4" s="5" t="n">
        <v>45678</v>
      </c>
      <c r="F4" s="5" t="n">
        <v>45771</v>
      </c>
      <c r="G4" s="5" t="n">
        <v>45772</v>
      </c>
      <c r="H4" s="5">
        <f>F4</f>
        <v/>
      </c>
      <c r="I4" s="2" t="inlineStr">
        <is>
          <t>OPM1024</t>
        </is>
      </c>
      <c r="J4" s="11" t="inlineStr">
        <is>
          <t>listed as 'OPM1024- R&amp;D'</t>
        </is>
      </c>
    </row>
    <row r="5">
      <c r="A5" s="2" t="n">
        <v>4</v>
      </c>
      <c r="B5" s="3" t="inlineStr">
        <is>
          <t>BG1024</t>
        </is>
      </c>
      <c r="C5" s="3" t="inlineStr"/>
      <c r="D5" s="5" t="n">
        <v>45678</v>
      </c>
      <c r="E5" s="5" t="n">
        <v>45678</v>
      </c>
      <c r="F5" s="5" t="n">
        <v>45723</v>
      </c>
      <c r="G5" s="5" t="n">
        <v>45723</v>
      </c>
      <c r="H5" s="5">
        <f>F5</f>
        <v/>
      </c>
      <c r="I5" s="2" t="inlineStr">
        <is>
          <t>BG1024</t>
        </is>
      </c>
      <c r="J5" s="11" t="inlineStr">
        <is>
          <t>listed as 'BG1024- R&amp;D'</t>
        </is>
      </c>
    </row>
    <row r="6">
      <c r="A6" s="2" t="n">
        <v>5</v>
      </c>
      <c r="B6" s="3" t="inlineStr">
        <is>
          <t>BSS1024</t>
        </is>
      </c>
      <c r="C6" s="3" t="inlineStr"/>
      <c r="D6" s="5" t="n">
        <v>45679</v>
      </c>
      <c r="E6" s="5" t="n">
        <v>45679</v>
      </c>
      <c r="F6" s="5" t="n">
        <v>45720</v>
      </c>
      <c r="G6" s="5" t="n">
        <v>45720</v>
      </c>
      <c r="H6" s="5">
        <f>F6</f>
        <v/>
      </c>
      <c r="I6" s="2" t="inlineStr">
        <is>
          <t>BSS1024</t>
        </is>
      </c>
      <c r="J6" s="11" t="inlineStr">
        <is>
          <t>listed as 'BSS1024- R&amp;D'</t>
        </is>
      </c>
    </row>
    <row r="7">
      <c r="A7" s="2" t="n">
        <v>6</v>
      </c>
      <c r="B7" s="3" t="inlineStr">
        <is>
          <t>HPA1024</t>
        </is>
      </c>
      <c r="C7" s="3" t="inlineStr"/>
      <c r="D7" s="5" t="n">
        <v>45679</v>
      </c>
      <c r="E7" s="5" t="n">
        <v>45679</v>
      </c>
      <c r="F7" s="5" t="n">
        <v>45758</v>
      </c>
      <c r="G7" s="5" t="n">
        <v>45758</v>
      </c>
      <c r="H7" s="5">
        <f>F7</f>
        <v/>
      </c>
      <c r="I7" s="2" t="inlineStr">
        <is>
          <t>HPA1024</t>
        </is>
      </c>
      <c r="J7" s="11" t="inlineStr">
        <is>
          <t>listed as 'HPA1024- R&amp;D'</t>
        </is>
      </c>
    </row>
    <row r="8">
      <c r="A8" s="2" t="n">
        <v>7</v>
      </c>
      <c r="B8" s="3" t="inlineStr">
        <is>
          <t>GG1024_01</t>
        </is>
      </c>
      <c r="C8" s="3" t="inlineStr">
        <is>
          <t>P050092</t>
        </is>
      </c>
      <c r="D8" s="5" t="n">
        <v>45733</v>
      </c>
      <c r="E8" s="5" t="n">
        <v>45734</v>
      </c>
      <c r="F8" s="5" t="n">
        <v>45869</v>
      </c>
      <c r="G8" s="5" t="n">
        <v>45874</v>
      </c>
      <c r="H8" s="5">
        <f>F8</f>
        <v/>
      </c>
      <c r="I8" s="2" t="inlineStr">
        <is>
          <t>GG1024_01</t>
        </is>
      </c>
      <c r="J8" s="11" t="inlineStr">
        <is>
          <t>packaging: year 2025 inferred (not printed)</t>
        </is>
      </c>
    </row>
    <row r="9">
      <c r="A9" s="2" t="n">
        <v>8</v>
      </c>
      <c r="B9" s="3" t="inlineStr">
        <is>
          <t>GP0824_01</t>
        </is>
      </c>
      <c r="C9" s="3" t="inlineStr">
        <is>
          <t>P050102</t>
        </is>
      </c>
      <c r="D9" s="5" t="n">
        <v>45736</v>
      </c>
      <c r="E9" s="5" t="n">
        <v>45737</v>
      </c>
      <c r="F9" s="5" t="n">
        <v>45874</v>
      </c>
      <c r="G9" s="5" t="n">
        <v>45876</v>
      </c>
      <c r="H9" s="5">
        <f>F9</f>
        <v/>
      </c>
      <c r="I9" s="2" t="inlineStr">
        <is>
          <t>GP0824_01</t>
        </is>
      </c>
      <c r="J9" s="11" t="inlineStr">
        <is>
          <t>packaging: year 2025 inferred (not printed)</t>
        </is>
      </c>
    </row>
    <row r="10">
      <c r="A10" s="2" t="n">
        <v>9</v>
      </c>
      <c r="B10" s="3" t="inlineStr">
        <is>
          <t>OMP1024_01</t>
        </is>
      </c>
      <c r="C10" s="3" t="inlineStr">
        <is>
          <t>P050042</t>
        </is>
      </c>
      <c r="D10" s="5" t="n">
        <v>45742</v>
      </c>
      <c r="E10" s="5" t="n">
        <v>45743</v>
      </c>
      <c r="F10" s="5" t="n">
        <v>45828</v>
      </c>
      <c r="G10" s="5" t="n">
        <v>45828</v>
      </c>
      <c r="H10" s="5">
        <f>F10</f>
        <v/>
      </c>
      <c r="I10" s="2" t="inlineStr">
        <is>
          <t>OMP1024_01</t>
        </is>
      </c>
      <c r="J10" s="11" t="inlineStr"/>
    </row>
    <row r="11">
      <c r="A11" s="2" t="n">
        <v>10</v>
      </c>
      <c r="B11" s="3" t="inlineStr">
        <is>
          <t>MB0824_04</t>
        </is>
      </c>
      <c r="C11" s="3" t="inlineStr">
        <is>
          <t>P050032</t>
        </is>
      </c>
      <c r="D11" s="5" t="n">
        <v>45749</v>
      </c>
      <c r="E11" s="5" t="n">
        <v>45750</v>
      </c>
      <c r="F11" s="5" t="n">
        <v>45824</v>
      </c>
      <c r="G11" s="5" t="n">
        <v>45827</v>
      </c>
      <c r="H11" s="5">
        <f>F11</f>
        <v/>
      </c>
      <c r="I11" s="2" t="inlineStr">
        <is>
          <t>MB0824_04</t>
        </is>
      </c>
      <c r="J11" s="11" t="inlineStr"/>
    </row>
    <row r="12">
      <c r="A12" s="2" t="n">
        <v>11</v>
      </c>
      <c r="B12" s="3" t="inlineStr">
        <is>
          <t>GG1024_02</t>
        </is>
      </c>
      <c r="C12" s="3" t="inlineStr">
        <is>
          <t>P050012</t>
        </is>
      </c>
      <c r="D12" s="5" t="n">
        <v>45761</v>
      </c>
      <c r="E12" s="5" t="n">
        <v>45762</v>
      </c>
      <c r="F12" s="5" t="n">
        <v>45819</v>
      </c>
      <c r="G12" s="5" t="n">
        <v>45824</v>
      </c>
      <c r="H12" s="5">
        <f>F12</f>
        <v/>
      </c>
      <c r="I12" s="2" t="inlineStr">
        <is>
          <t>GG1024_02</t>
        </is>
      </c>
      <c r="J12" s="11" t="inlineStr"/>
    </row>
    <row r="13">
      <c r="A13" s="2" t="n">
        <v>12</v>
      </c>
      <c r="B13" s="3" t="inlineStr">
        <is>
          <t>GP0824_02</t>
        </is>
      </c>
      <c r="C13" s="3" t="inlineStr">
        <is>
          <t>P050022</t>
        </is>
      </c>
      <c r="D13" s="5" t="n">
        <v>45769</v>
      </c>
      <c r="E13" s="5" t="n">
        <v>45770</v>
      </c>
      <c r="F13" s="5" t="n">
        <v>45811</v>
      </c>
      <c r="G13" s="5" t="n">
        <v>45819</v>
      </c>
      <c r="H13" s="5">
        <f>F13</f>
        <v/>
      </c>
      <c r="I13" s="2" t="inlineStr">
        <is>
          <t>GP0824_02</t>
        </is>
      </c>
      <c r="J13" s="11" t="inlineStr"/>
    </row>
    <row r="14">
      <c r="A14" s="2" t="n">
        <v>13</v>
      </c>
      <c r="B14" s="3" t="inlineStr">
        <is>
          <t>HPA1024_01</t>
        </is>
      </c>
      <c r="C14" s="3" t="inlineStr">
        <is>
          <t>P050052</t>
        </is>
      </c>
      <c r="D14" s="5" t="n">
        <v>45804</v>
      </c>
      <c r="E14" s="5" t="n">
        <v>45805</v>
      </c>
      <c r="F14" s="5" t="n">
        <v>45835</v>
      </c>
      <c r="G14" s="5" t="n">
        <v>45842</v>
      </c>
      <c r="H14" s="5">
        <f>F14</f>
        <v/>
      </c>
      <c r="I14" s="2" t="inlineStr">
        <is>
          <t>HPA1024_01</t>
        </is>
      </c>
      <c r="J14" s="11" t="inlineStr"/>
    </row>
    <row r="15">
      <c r="A15" s="2" t="n">
        <v>14</v>
      </c>
      <c r="B15" s="3" t="inlineStr">
        <is>
          <t>OPM1024_02</t>
        </is>
      </c>
      <c r="C15" s="3" t="inlineStr">
        <is>
          <t>P050062</t>
        </is>
      </c>
      <c r="D15" s="5" t="n">
        <v>45806</v>
      </c>
      <c r="E15" s="5" t="n">
        <v>45807</v>
      </c>
      <c r="F15" s="5" t="n">
        <v>45842</v>
      </c>
      <c r="G15" s="5" t="n">
        <v>45848</v>
      </c>
      <c r="H15" s="5">
        <f>F15</f>
        <v/>
      </c>
      <c r="I15" s="2" t="inlineStr">
        <is>
          <t>OPM1024_02</t>
        </is>
      </c>
      <c r="J15" s="11" t="inlineStr"/>
    </row>
    <row r="16">
      <c r="A16" s="2" t="n">
        <v>15</v>
      </c>
      <c r="B16" s="3" t="inlineStr">
        <is>
          <t>BSS1024_01/1</t>
        </is>
      </c>
      <c r="C16" s="3" t="inlineStr">
        <is>
          <t>P050122</t>
        </is>
      </c>
      <c r="D16" s="5" t="n">
        <v>45812</v>
      </c>
      <c r="E16" s="5" t="n">
        <v>45813</v>
      </c>
      <c r="F16" s="5" t="n">
        <v>45901</v>
      </c>
      <c r="G16" s="5" t="n">
        <v>45909</v>
      </c>
      <c r="H16" s="5">
        <f>F16</f>
        <v/>
      </c>
      <c r="I16" s="2" t="inlineStr">
        <is>
          <t>BSS1024_01/1</t>
        </is>
      </c>
      <c r="J16" s="11" t="inlineStr">
        <is>
          <t>packaging: year 2025 inferred (not printed)</t>
        </is>
      </c>
    </row>
    <row r="17">
      <c r="A17" s="2" t="n">
        <v>16</v>
      </c>
      <c r="B17" s="3" t="inlineStr">
        <is>
          <t>BSS1024_01/2</t>
        </is>
      </c>
      <c r="C17" s="3" t="inlineStr">
        <is>
          <t>P050142</t>
        </is>
      </c>
      <c r="D17" s="14" t="inlineStr">
        <is>
          <t>— not given —</t>
        </is>
      </c>
      <c r="E17" s="14" t="inlineStr">
        <is>
          <t>— not given —</t>
        </is>
      </c>
      <c r="F17" s="5" t="n">
        <v>45930</v>
      </c>
      <c r="G17" s="5" t="n">
        <v>45930</v>
      </c>
      <c r="H17" s="5">
        <f>F17</f>
        <v/>
      </c>
      <c r="I17" s="2" t="inlineStr">
        <is>
          <t>BSS1024_01/2</t>
        </is>
      </c>
      <c r="J17" s="11" t="inlineStr">
        <is>
          <t>harvest: no date given; packaging: year 2025 inferred (not printed)</t>
        </is>
      </c>
    </row>
    <row r="18">
      <c r="A18" s="2" t="n">
        <v>17</v>
      </c>
      <c r="B18" s="3" t="inlineStr">
        <is>
          <t>GP0824_03</t>
        </is>
      </c>
      <c r="C18" s="3" t="inlineStr">
        <is>
          <t>P050072</t>
        </is>
      </c>
      <c r="D18" s="5" t="n">
        <v>45817</v>
      </c>
      <c r="E18" s="5" t="n">
        <v>45818</v>
      </c>
      <c r="F18" s="5" t="n">
        <v>45852</v>
      </c>
      <c r="G18" s="5" t="n">
        <v>45855</v>
      </c>
      <c r="H18" s="5">
        <f>F18</f>
        <v/>
      </c>
      <c r="I18" s="2" t="inlineStr">
        <is>
          <t>GP0824_03</t>
        </is>
      </c>
      <c r="J18" s="11" t="inlineStr">
        <is>
          <t>packaging: year 2025 inferred (not printed)</t>
        </is>
      </c>
    </row>
    <row r="19">
      <c r="A19" s="2" t="n">
        <v>18</v>
      </c>
      <c r="B19" s="3" t="inlineStr">
        <is>
          <t>OPM1024_03</t>
        </is>
      </c>
      <c r="C19" s="3" t="inlineStr">
        <is>
          <t>P050082</t>
        </is>
      </c>
      <c r="D19" s="5" t="n">
        <v>45839</v>
      </c>
      <c r="E19" s="5" t="n">
        <v>45840</v>
      </c>
      <c r="F19" s="5" t="n">
        <v>45860</v>
      </c>
      <c r="G19" s="5" t="n">
        <v>45868</v>
      </c>
      <c r="H19" s="5">
        <f>F19</f>
        <v/>
      </c>
      <c r="I19" s="2" t="inlineStr">
        <is>
          <t>OPM1024_03</t>
        </is>
      </c>
      <c r="J19" s="11" t="inlineStr"/>
    </row>
    <row r="20">
      <c r="A20" s="2" t="n">
        <v>19</v>
      </c>
      <c r="B20" s="3" t="inlineStr">
        <is>
          <t>MB0824_05</t>
        </is>
      </c>
      <c r="C20" s="3" t="inlineStr">
        <is>
          <t>P050112</t>
        </is>
      </c>
      <c r="D20" s="5" t="n">
        <v>45846</v>
      </c>
      <c r="E20" s="5" t="n">
        <v>45847</v>
      </c>
      <c r="F20" s="5" t="n">
        <v>45894</v>
      </c>
      <c r="G20" s="5" t="n">
        <v>45900</v>
      </c>
      <c r="H20" s="5">
        <f>F20</f>
        <v/>
      </c>
      <c r="I20" s="2" t="inlineStr">
        <is>
          <t>MB0824_05</t>
        </is>
      </c>
      <c r="J20" s="11" t="inlineStr">
        <is>
          <t>packaging: year 2025 inferred (not printed)</t>
        </is>
      </c>
    </row>
    <row r="21">
      <c r="A21" s="2" t="n">
        <v>20</v>
      </c>
      <c r="B21" s="3" t="inlineStr">
        <is>
          <t>OPM052501</t>
        </is>
      </c>
      <c r="C21" s="3" t="inlineStr">
        <is>
          <t>P050132</t>
        </is>
      </c>
      <c r="D21" s="5" t="n">
        <v>45880</v>
      </c>
      <c r="E21" s="5" t="n">
        <v>45882</v>
      </c>
      <c r="F21" s="5" t="n">
        <v>45909</v>
      </c>
      <c r="G21" s="5" t="n">
        <v>45915</v>
      </c>
      <c r="H21" s="5">
        <f>F21</f>
        <v/>
      </c>
      <c r="I21" s="2" t="inlineStr">
        <is>
          <t>OPM052501</t>
        </is>
      </c>
      <c r="J21" s="11" t="inlineStr">
        <is>
          <t>packaging: year 2025 inferred (not printed)</t>
        </is>
      </c>
    </row>
    <row r="22">
      <c r="A22" s="2" t="n">
        <v>21</v>
      </c>
      <c r="B22" s="3" t="inlineStr">
        <is>
          <t>GP052501</t>
        </is>
      </c>
      <c r="C22" s="3" t="inlineStr">
        <is>
          <t>P050152</t>
        </is>
      </c>
      <c r="D22" s="14" t="inlineStr">
        <is>
          <t>— not given —</t>
        </is>
      </c>
      <c r="E22" s="14" t="inlineStr">
        <is>
          <t>— not given —</t>
        </is>
      </c>
      <c r="F22" s="5" t="n">
        <v>45925</v>
      </c>
      <c r="G22" s="5" t="n">
        <v>45925</v>
      </c>
      <c r="H22" s="5">
        <f>F22</f>
        <v/>
      </c>
      <c r="I22" s="2" t="inlineStr">
        <is>
          <t>GP052501</t>
        </is>
      </c>
      <c r="J22" s="11" t="inlineStr">
        <is>
          <t>harvest: no date given</t>
        </is>
      </c>
    </row>
    <row r="23">
      <c r="A23" s="2" t="n">
        <v>22</v>
      </c>
      <c r="B23" s="3" t="inlineStr">
        <is>
          <t>CJ052501/01</t>
        </is>
      </c>
      <c r="C23" s="3" t="inlineStr">
        <is>
          <t>P050162</t>
        </is>
      </c>
      <c r="D23" s="5" t="n">
        <v>45889</v>
      </c>
      <c r="E23" s="5" t="n">
        <v>45889</v>
      </c>
      <c r="F23" s="5" t="n">
        <v>45930</v>
      </c>
      <c r="G23" s="5" t="n">
        <v>45931</v>
      </c>
      <c r="H23" s="5">
        <f>F23</f>
        <v/>
      </c>
      <c r="I23" s="2" t="inlineStr">
        <is>
          <t>CJ052501/01</t>
        </is>
      </c>
      <c r="J23" s="11" t="inlineStr"/>
    </row>
    <row r="24">
      <c r="A24" s="2" t="n">
        <v>23</v>
      </c>
      <c r="B24" s="3" t="inlineStr">
        <is>
          <t>CJ052501/02</t>
        </is>
      </c>
      <c r="C24" s="3" t="inlineStr">
        <is>
          <t>P050172</t>
        </is>
      </c>
      <c r="D24" s="5" t="n">
        <v>45889</v>
      </c>
      <c r="E24" s="5" t="n">
        <v>45889</v>
      </c>
      <c r="F24" s="5" t="n">
        <v>45931</v>
      </c>
      <c r="G24" s="5" t="n">
        <v>45932</v>
      </c>
      <c r="H24" s="5">
        <f>F24</f>
        <v/>
      </c>
      <c r="I24" s="2" t="inlineStr">
        <is>
          <t>CJ052501/02</t>
        </is>
      </c>
      <c r="J24" s="11" t="inlineStr"/>
    </row>
    <row r="25">
      <c r="A25" s="2" t="n">
        <v>24</v>
      </c>
      <c r="B25" s="3" t="inlineStr">
        <is>
          <t>HPA052501</t>
        </is>
      </c>
      <c r="C25" s="3" t="inlineStr">
        <is>
          <t>P050182</t>
        </is>
      </c>
      <c r="D25" s="5" t="n">
        <v>45890</v>
      </c>
      <c r="E25" s="5" t="n">
        <v>45892</v>
      </c>
      <c r="F25" s="5" t="n">
        <v>45933</v>
      </c>
      <c r="G25" s="5" t="n">
        <v>45939</v>
      </c>
      <c r="H25" s="5">
        <f>F25</f>
        <v/>
      </c>
      <c r="I25" s="2" t="inlineStr">
        <is>
          <t>HPA052501</t>
        </is>
      </c>
      <c r="J25" s="11" t="inlineStr"/>
    </row>
    <row r="26">
      <c r="A26" s="2" t="n">
        <v>25</v>
      </c>
      <c r="B26" s="3" t="inlineStr">
        <is>
          <t>BSS052501</t>
        </is>
      </c>
      <c r="C26" s="3" t="inlineStr">
        <is>
          <t>P050192</t>
        </is>
      </c>
      <c r="D26" s="5" t="n">
        <v>45901</v>
      </c>
      <c r="E26" s="5" t="n">
        <v>45903</v>
      </c>
      <c r="F26" s="5" t="n">
        <v>45940</v>
      </c>
      <c r="G26" s="5" t="n">
        <v>45951</v>
      </c>
      <c r="H26" s="5">
        <f>F26</f>
        <v/>
      </c>
      <c r="I26" s="2" t="inlineStr">
        <is>
          <t>BSS052501</t>
        </is>
      </c>
      <c r="J26" s="11" t="inlineStr"/>
    </row>
    <row r="27">
      <c r="A27" s="2" t="n">
        <v>26</v>
      </c>
      <c r="B27" s="3" t="inlineStr">
        <is>
          <t>GP062501</t>
        </is>
      </c>
      <c r="C27" s="3" t="inlineStr">
        <is>
          <t>P050202</t>
        </is>
      </c>
      <c r="D27" s="5" t="n">
        <v>45915</v>
      </c>
      <c r="E27" s="5" t="n">
        <v>45917</v>
      </c>
      <c r="F27" s="5" t="n">
        <v>45960</v>
      </c>
      <c r="G27" s="5" t="n">
        <v>45968</v>
      </c>
      <c r="H27" s="5">
        <f>F27</f>
        <v/>
      </c>
      <c r="I27" s="2" t="inlineStr">
        <is>
          <t>GP062501</t>
        </is>
      </c>
      <c r="J27" s="11" t="inlineStr"/>
    </row>
    <row r="28">
      <c r="A28" s="2" t="n">
        <v>27</v>
      </c>
      <c r="B28" s="3" t="inlineStr">
        <is>
          <t>SC062501</t>
        </is>
      </c>
      <c r="C28" s="3" t="inlineStr">
        <is>
          <t>P050242</t>
        </is>
      </c>
      <c r="D28" s="5" t="n">
        <v>45917</v>
      </c>
      <c r="E28" s="5" t="n">
        <v>45917</v>
      </c>
      <c r="F28" s="5" t="n">
        <v>45988</v>
      </c>
      <c r="G28" s="5" t="n">
        <v>45988</v>
      </c>
      <c r="H28" s="5">
        <f>F28</f>
        <v/>
      </c>
      <c r="I28" s="6" t="inlineStr">
        <is>
          <t>— not on the tracker —</t>
        </is>
      </c>
      <c r="J28" s="11" t="inlineStr"/>
    </row>
    <row r="29">
      <c r="A29" s="2" t="n">
        <v>28</v>
      </c>
      <c r="B29" s="3" t="inlineStr">
        <is>
          <t>GOG062501</t>
        </is>
      </c>
      <c r="C29" s="3" t="inlineStr">
        <is>
          <t>P050232</t>
        </is>
      </c>
      <c r="D29" s="5" t="n">
        <v>45917</v>
      </c>
      <c r="E29" s="5" t="n">
        <v>45917</v>
      </c>
      <c r="F29" s="5" t="n">
        <v>45988</v>
      </c>
      <c r="G29" s="5" t="n">
        <v>45988</v>
      </c>
      <c r="H29" s="5">
        <f>F29</f>
        <v/>
      </c>
      <c r="I29" s="6" t="inlineStr">
        <is>
          <t>— not on the tracker —</t>
        </is>
      </c>
      <c r="J29" s="11" t="inlineStr"/>
    </row>
    <row r="30">
      <c r="A30" s="2" t="n">
        <v>29</v>
      </c>
      <c r="B30" s="3" t="inlineStr">
        <is>
          <t>CJ062501/1</t>
        </is>
      </c>
      <c r="C30" s="3" t="inlineStr">
        <is>
          <t>P050222</t>
        </is>
      </c>
      <c r="D30" s="5" t="n">
        <v>45923</v>
      </c>
      <c r="E30" s="5" t="n">
        <v>45923</v>
      </c>
      <c r="F30" s="5" t="n">
        <v>45985</v>
      </c>
      <c r="G30" s="5" t="n">
        <v>45986</v>
      </c>
      <c r="H30" s="5">
        <f>F30</f>
        <v/>
      </c>
      <c r="I30" s="2" t="inlineStr">
        <is>
          <t>CJ062501/1</t>
        </is>
      </c>
      <c r="J30" s="11" t="inlineStr"/>
    </row>
    <row r="31">
      <c r="A31" s="2" t="n">
        <v>30</v>
      </c>
      <c r="B31" s="3" t="inlineStr">
        <is>
          <t>CJ062501/2</t>
        </is>
      </c>
      <c r="C31" s="3" t="inlineStr">
        <is>
          <t>P050212</t>
        </is>
      </c>
      <c r="D31" s="5" t="n">
        <v>45923</v>
      </c>
      <c r="E31" s="5" t="n">
        <v>45924</v>
      </c>
      <c r="F31" s="5" t="n">
        <v>45979</v>
      </c>
      <c r="G31" s="5" t="n">
        <v>45985</v>
      </c>
      <c r="H31" s="5">
        <f>F31</f>
        <v/>
      </c>
      <c r="I31" s="2" t="inlineStr">
        <is>
          <t>CJ062501/2</t>
        </is>
      </c>
      <c r="J31" s="11" t="inlineStr"/>
    </row>
    <row r="32">
      <c r="A32" s="2" t="n">
        <v>31</v>
      </c>
      <c r="B32" s="3" t="inlineStr">
        <is>
          <t>CJ072501</t>
        </is>
      </c>
      <c r="C32" s="3" t="inlineStr">
        <is>
          <t>P050252</t>
        </is>
      </c>
      <c r="D32" s="5" t="n">
        <v>45957</v>
      </c>
      <c r="E32" s="5" t="n">
        <v>45957</v>
      </c>
      <c r="F32" s="5" t="n">
        <v>45988</v>
      </c>
      <c r="G32" s="5" t="n">
        <v>45989</v>
      </c>
      <c r="H32" s="5">
        <f>F32</f>
        <v/>
      </c>
      <c r="I32" s="2" t="inlineStr">
        <is>
          <t>CJ072501</t>
        </is>
      </c>
      <c r="J32" s="11" t="inlineStr"/>
    </row>
    <row r="33">
      <c r="A33" s="2" t="n">
        <v>32</v>
      </c>
      <c r="B33" s="3" t="inlineStr">
        <is>
          <t>PM072501</t>
        </is>
      </c>
      <c r="C33" s="3" t="inlineStr">
        <is>
          <t>P050272</t>
        </is>
      </c>
      <c r="D33" s="5" t="n">
        <v>45957</v>
      </c>
      <c r="E33" s="5" t="n">
        <v>45957</v>
      </c>
      <c r="F33" s="5" t="n">
        <v>45993</v>
      </c>
      <c r="G33" s="5" t="n">
        <v>45994</v>
      </c>
      <c r="H33" s="5">
        <f>F33</f>
        <v/>
      </c>
      <c r="I33" s="2" t="inlineStr">
        <is>
          <t>PM072501</t>
        </is>
      </c>
      <c r="J33" s="11" t="inlineStr"/>
    </row>
    <row r="34">
      <c r="A34" s="2" t="n">
        <v>33</v>
      </c>
      <c r="B34" s="3" t="inlineStr">
        <is>
          <t>WC072501</t>
        </is>
      </c>
      <c r="C34" s="3" t="inlineStr">
        <is>
          <t>P050262</t>
        </is>
      </c>
      <c r="D34" s="5" t="n">
        <v>45957</v>
      </c>
      <c r="E34" s="5" t="n">
        <v>45958</v>
      </c>
      <c r="F34" s="5" t="n">
        <v>45992</v>
      </c>
      <c r="G34" s="5" t="n">
        <v>45992</v>
      </c>
      <c r="H34" s="5">
        <f>F34</f>
        <v/>
      </c>
      <c r="I34" s="2" t="inlineStr">
        <is>
          <t>WC072501</t>
        </is>
      </c>
      <c r="J34" s="11" t="inlineStr"/>
    </row>
    <row r="35">
      <c r="A35" s="2" t="n">
        <v>34</v>
      </c>
      <c r="B35" s="3" t="inlineStr">
        <is>
          <t>CLE072501</t>
        </is>
      </c>
      <c r="C35" s="3" t="inlineStr">
        <is>
          <t>P050282</t>
        </is>
      </c>
      <c r="D35" s="5" t="n">
        <v>45958</v>
      </c>
      <c r="E35" s="5" t="n">
        <v>45958</v>
      </c>
      <c r="F35" s="5" t="n">
        <v>45994</v>
      </c>
      <c r="G35" s="5" t="n">
        <v>45995</v>
      </c>
      <c r="H35" s="5">
        <f>F35</f>
        <v/>
      </c>
      <c r="I35" s="2" t="inlineStr">
        <is>
          <t>CLE072501</t>
        </is>
      </c>
      <c r="J35" s="11" t="inlineStr"/>
    </row>
    <row r="36">
      <c r="A36" s="2" t="n">
        <v>35</v>
      </c>
      <c r="B36" s="3" t="inlineStr">
        <is>
          <t>GP072501/1</t>
        </is>
      </c>
      <c r="C36" s="3" t="inlineStr">
        <is>
          <t>P050292</t>
        </is>
      </c>
      <c r="D36" s="5" t="n">
        <v>45972</v>
      </c>
      <c r="E36" s="5" t="n">
        <v>45974</v>
      </c>
      <c r="F36" s="5" t="n">
        <v>46006</v>
      </c>
      <c r="G36" s="5" t="n">
        <v>46012</v>
      </c>
      <c r="H36" s="5">
        <f>F36</f>
        <v/>
      </c>
      <c r="I36" s="2" t="inlineStr">
        <is>
          <t>GP072501/1</t>
        </is>
      </c>
      <c r="J36" s="11" t="inlineStr">
        <is>
          <t>harvest: printed 11-13-11.2025, read as 11-13.11.2025</t>
        </is>
      </c>
    </row>
    <row r="37">
      <c r="A37" s="2" t="n">
        <v>36</v>
      </c>
      <c r="B37" s="3" t="inlineStr">
        <is>
          <t>GP072501/2</t>
        </is>
      </c>
      <c r="C37" s="3" t="inlineStr">
        <is>
          <t>P050302</t>
        </is>
      </c>
      <c r="D37" s="5" t="n">
        <v>45974</v>
      </c>
      <c r="E37" s="5" t="n">
        <v>45974</v>
      </c>
      <c r="F37" s="5" t="n">
        <v>46013</v>
      </c>
      <c r="G37" s="5" t="n">
        <v>46013</v>
      </c>
      <c r="H37" s="5">
        <f>F37</f>
        <v/>
      </c>
      <c r="I37" s="2" t="inlineStr">
        <is>
          <t>GP072501/2</t>
        </is>
      </c>
      <c r="J37" s="11" t="inlineStr"/>
    </row>
    <row r="38">
      <c r="A38" s="2" t="n">
        <v>37</v>
      </c>
      <c r="B38" s="3" t="inlineStr">
        <is>
          <t>GP082501/1</t>
        </is>
      </c>
      <c r="C38" s="3" t="inlineStr">
        <is>
          <t>P050312</t>
        </is>
      </c>
      <c r="D38" s="5" t="n">
        <v>45980</v>
      </c>
      <c r="E38" s="5" t="n">
        <v>45981</v>
      </c>
      <c r="F38" s="5" t="n">
        <v>46014</v>
      </c>
      <c r="G38" s="5" t="n">
        <v>46017</v>
      </c>
      <c r="H38" s="5">
        <f>F38</f>
        <v/>
      </c>
      <c r="I38" s="2" t="inlineStr">
        <is>
          <t>GP082501/1</t>
        </is>
      </c>
      <c r="J38" s="11" t="inlineStr"/>
    </row>
    <row r="39">
      <c r="A39" s="2" t="n">
        <v>38</v>
      </c>
      <c r="B39" s="3" t="inlineStr">
        <is>
          <t>GP082501/2</t>
        </is>
      </c>
      <c r="C39" s="3" t="inlineStr">
        <is>
          <t>P050322</t>
        </is>
      </c>
      <c r="D39" s="5" t="n">
        <v>45981</v>
      </c>
      <c r="E39" s="5" t="n">
        <v>45981</v>
      </c>
      <c r="F39" s="5" t="n">
        <v>46017</v>
      </c>
      <c r="G39" s="5" t="n">
        <v>46017</v>
      </c>
      <c r="H39" s="5">
        <f>F39</f>
        <v/>
      </c>
      <c r="I39" s="2" t="inlineStr">
        <is>
          <t>GP082501/2</t>
        </is>
      </c>
      <c r="J39" s="11" t="inlineStr"/>
    </row>
    <row r="40">
      <c r="A40" s="2" t="n">
        <v>39</v>
      </c>
      <c r="B40" s="3" t="inlineStr">
        <is>
          <t>WC082501</t>
        </is>
      </c>
      <c r="C40" s="3" t="inlineStr">
        <is>
          <t>P060012</t>
        </is>
      </c>
      <c r="D40" s="5" t="n">
        <v>46000</v>
      </c>
      <c r="E40" s="5" t="n">
        <v>46000</v>
      </c>
      <c r="F40" s="5" t="n">
        <v>46035</v>
      </c>
      <c r="G40" s="5" t="n">
        <v>46036</v>
      </c>
      <c r="H40" s="5">
        <f>F40</f>
        <v/>
      </c>
      <c r="I40" s="2" t="inlineStr">
        <is>
          <t>WC082501</t>
        </is>
      </c>
      <c r="J40" s="11" t="inlineStr"/>
    </row>
    <row r="41">
      <c r="A41" s="2" t="n">
        <v>40</v>
      </c>
      <c r="B41" s="3" t="inlineStr">
        <is>
          <t>CJ082501/1</t>
        </is>
      </c>
      <c r="C41" s="3" t="inlineStr">
        <is>
          <t>P060022</t>
        </is>
      </c>
      <c r="D41" s="5" t="n">
        <v>46000</v>
      </c>
      <c r="E41" s="5" t="n">
        <v>46001</v>
      </c>
      <c r="F41" s="5" t="n">
        <v>46038</v>
      </c>
      <c r="G41" s="5" t="n">
        <v>46038</v>
      </c>
      <c r="H41" s="5">
        <f>F41</f>
        <v/>
      </c>
      <c r="I41" s="2" t="inlineStr">
        <is>
          <t>CJ082501/1</t>
        </is>
      </c>
      <c r="J41" s="11" t="inlineStr"/>
    </row>
    <row r="42">
      <c r="A42" s="2" t="n">
        <v>41</v>
      </c>
      <c r="B42" s="3" t="inlineStr">
        <is>
          <t>CJ082501/2</t>
        </is>
      </c>
      <c r="C42" s="3" t="inlineStr">
        <is>
          <t>P060032</t>
        </is>
      </c>
      <c r="D42" s="5" t="n">
        <v>46001</v>
      </c>
      <c r="E42" s="5" t="n">
        <v>46001</v>
      </c>
      <c r="F42" s="5" t="n">
        <v>46051</v>
      </c>
      <c r="G42" s="5" t="n">
        <v>46051</v>
      </c>
      <c r="H42" s="5">
        <f>F42</f>
        <v/>
      </c>
      <c r="I42" s="2" t="inlineStr">
        <is>
          <t>CJ082501/2</t>
        </is>
      </c>
      <c r="J42" s="11" t="inlineStr"/>
    </row>
    <row r="43">
      <c r="A43" s="2" t="n">
        <v>42</v>
      </c>
      <c r="B43" s="3" t="inlineStr">
        <is>
          <t>PM092501</t>
        </is>
      </c>
      <c r="C43" s="3" t="inlineStr">
        <is>
          <t>P060062</t>
        </is>
      </c>
      <c r="D43" s="5" t="n">
        <v>46002</v>
      </c>
      <c r="E43" s="5" t="n">
        <v>46002</v>
      </c>
      <c r="F43" s="5" t="n">
        <v>46052</v>
      </c>
      <c r="G43" s="5" t="n">
        <v>46052</v>
      </c>
      <c r="H43" s="5">
        <f>F43</f>
        <v/>
      </c>
      <c r="I43" s="2" t="inlineStr">
        <is>
          <t>PM092501</t>
        </is>
      </c>
      <c r="J43" s="11" t="inlineStr"/>
    </row>
    <row r="44">
      <c r="A44" s="2" t="n">
        <v>43</v>
      </c>
      <c r="B44" s="3" t="inlineStr">
        <is>
          <t>AB092501</t>
        </is>
      </c>
      <c r="C44" s="3" t="inlineStr">
        <is>
          <t>P060052</t>
        </is>
      </c>
      <c r="D44" s="5" t="n">
        <v>46002</v>
      </c>
      <c r="E44" s="5" t="n">
        <v>46002</v>
      </c>
      <c r="F44" s="5" t="n">
        <v>46052</v>
      </c>
      <c r="G44" s="5" t="n">
        <v>46052</v>
      </c>
      <c r="H44" s="5">
        <f>F44</f>
        <v/>
      </c>
      <c r="I44" s="2" t="inlineStr">
        <is>
          <t>AB092501</t>
        </is>
      </c>
      <c r="J44" s="11" t="inlineStr"/>
    </row>
    <row r="45">
      <c r="A45" s="2" t="n">
        <v>44</v>
      </c>
      <c r="B45" s="3" t="inlineStr">
        <is>
          <t>SJ0925021</t>
        </is>
      </c>
      <c r="C45" s="3" t="inlineStr">
        <is>
          <t>P060082</t>
        </is>
      </c>
      <c r="D45" s="5" t="n">
        <v>46002</v>
      </c>
      <c r="E45" s="5" t="n">
        <v>46003</v>
      </c>
      <c r="F45" s="5" t="n">
        <v>46055</v>
      </c>
      <c r="G45" s="5" t="n">
        <v>46055</v>
      </c>
      <c r="H45" s="5">
        <f>F45</f>
        <v/>
      </c>
      <c r="I45" s="2" t="inlineStr">
        <is>
          <t>SJ0925021</t>
        </is>
      </c>
      <c r="J45" s="11" t="inlineStr"/>
    </row>
    <row r="46">
      <c r="A46" s="2" t="n">
        <v>45</v>
      </c>
      <c r="B46" s="3" t="inlineStr">
        <is>
          <t>CJ092501</t>
        </is>
      </c>
      <c r="C46" s="3" t="inlineStr">
        <is>
          <t>P060072</t>
        </is>
      </c>
      <c r="D46" s="5" t="n">
        <v>46003</v>
      </c>
      <c r="E46" s="5" t="n">
        <v>46003</v>
      </c>
      <c r="F46" s="5" t="n">
        <v>46055</v>
      </c>
      <c r="G46" s="5" t="n">
        <v>46055</v>
      </c>
      <c r="H46" s="5">
        <f>F46</f>
        <v/>
      </c>
      <c r="I46" s="2" t="inlineStr">
        <is>
          <t>CJ092501</t>
        </is>
      </c>
      <c r="J46" s="11" t="inlineStr"/>
    </row>
    <row r="47">
      <c r="A47" s="2" t="n">
        <v>46</v>
      </c>
      <c r="B47" s="3" t="inlineStr">
        <is>
          <t>OPM092501</t>
        </is>
      </c>
      <c r="C47" s="3" t="inlineStr">
        <is>
          <t>P060042</t>
        </is>
      </c>
      <c r="D47" s="5" t="n">
        <v>46003</v>
      </c>
      <c r="E47" s="5" t="n">
        <v>46003</v>
      </c>
      <c r="F47" s="5" t="n">
        <v>46051</v>
      </c>
      <c r="G47" s="5" t="n">
        <v>46051</v>
      </c>
      <c r="H47" s="5">
        <f>F47</f>
        <v/>
      </c>
      <c r="I47" s="2" t="inlineStr">
        <is>
          <t>OPM092501</t>
        </is>
      </c>
      <c r="J47" s="11" t="inlineStr"/>
    </row>
    <row r="48">
      <c r="A48" s="2" t="n">
        <v>47</v>
      </c>
      <c r="B48" s="3" t="inlineStr">
        <is>
          <t>GP092501</t>
        </is>
      </c>
      <c r="C48" s="3" t="inlineStr">
        <is>
          <t>P060092</t>
        </is>
      </c>
      <c r="D48" s="5" t="n">
        <v>46007</v>
      </c>
      <c r="E48" s="5" t="n">
        <v>46008</v>
      </c>
      <c r="F48" s="5" t="n">
        <v>46056</v>
      </c>
      <c r="G48" s="5" t="n">
        <v>46062</v>
      </c>
      <c r="H48" s="5">
        <f>F48</f>
        <v/>
      </c>
      <c r="I48" s="2" t="inlineStr">
        <is>
          <t>GP092501</t>
        </is>
      </c>
      <c r="J48" s="11" t="inlineStr"/>
    </row>
    <row r="49">
      <c r="A49" s="2" t="n">
        <v>48</v>
      </c>
      <c r="B49" s="3" t="inlineStr">
        <is>
          <t>ACC102501</t>
        </is>
      </c>
      <c r="C49" s="3" t="inlineStr">
        <is>
          <t>P060122</t>
        </is>
      </c>
      <c r="D49" s="5" t="n">
        <v>46031</v>
      </c>
      <c r="E49" s="5" t="n">
        <v>46031</v>
      </c>
      <c r="F49" s="5" t="n">
        <v>46071</v>
      </c>
      <c r="G49" s="5" t="n">
        <v>46072</v>
      </c>
      <c r="H49" s="5">
        <f>F49</f>
        <v/>
      </c>
      <c r="I49" s="2" t="inlineStr">
        <is>
          <t>ACC102501</t>
        </is>
      </c>
      <c r="J49" s="11" t="inlineStr"/>
    </row>
    <row r="50">
      <c r="A50" s="2" t="n">
        <v>49</v>
      </c>
      <c r="B50" s="3" t="inlineStr">
        <is>
          <t>PUM102501</t>
        </is>
      </c>
      <c r="C50" s="3" t="inlineStr">
        <is>
          <t>P060112</t>
        </is>
      </c>
      <c r="D50" s="5" t="n">
        <v>46030</v>
      </c>
      <c r="E50" s="5" t="n">
        <v>46031</v>
      </c>
      <c r="F50" s="5" t="n">
        <v>46070</v>
      </c>
      <c r="G50" s="5" t="n">
        <v>46070</v>
      </c>
      <c r="H50" s="5">
        <f>F50</f>
        <v/>
      </c>
      <c r="I50" s="2" t="inlineStr">
        <is>
          <t>PUM102501</t>
        </is>
      </c>
      <c r="J50" s="11" t="inlineStr"/>
    </row>
    <row r="51">
      <c r="A51" s="2" t="n">
        <v>50</v>
      </c>
      <c r="B51" s="3" t="inlineStr">
        <is>
          <t>GRC102501/1</t>
        </is>
      </c>
      <c r="C51" s="3" t="inlineStr">
        <is>
          <t>P060142</t>
        </is>
      </c>
      <c r="D51" s="5" t="n">
        <v>46031</v>
      </c>
      <c r="E51" s="5" t="n">
        <v>46031</v>
      </c>
      <c r="F51" s="5" t="n">
        <v>46076</v>
      </c>
      <c r="G51" s="5" t="n">
        <v>46076</v>
      </c>
      <c r="H51" s="5">
        <f>F51</f>
        <v/>
      </c>
      <c r="I51" s="2" t="inlineStr">
        <is>
          <t>GRC102501</t>
        </is>
      </c>
      <c r="J51" s="11" t="inlineStr"/>
    </row>
    <row r="52">
      <c r="A52" s="2" t="n">
        <v>51</v>
      </c>
      <c r="B52" s="3" t="inlineStr">
        <is>
          <t>WED102501</t>
        </is>
      </c>
      <c r="C52" s="3" t="inlineStr">
        <is>
          <t>P060102</t>
        </is>
      </c>
      <c r="D52" s="5" t="n">
        <v>46030</v>
      </c>
      <c r="E52" s="5" t="n">
        <v>46030</v>
      </c>
      <c r="F52" s="5" t="n">
        <v>46069</v>
      </c>
      <c r="G52" s="5" t="n">
        <v>46069</v>
      </c>
      <c r="H52" s="5">
        <f>F52</f>
        <v/>
      </c>
      <c r="I52" s="2" t="inlineStr">
        <is>
          <t>WED102501</t>
        </is>
      </c>
      <c r="J52" s="11" t="inlineStr"/>
    </row>
    <row r="53">
      <c r="A53" s="2" t="n">
        <v>52</v>
      </c>
      <c r="B53" s="3" t="inlineStr">
        <is>
          <t>CF102501</t>
        </is>
      </c>
      <c r="C53" s="3" t="inlineStr">
        <is>
          <t>P060132</t>
        </is>
      </c>
      <c r="D53" s="5" t="n">
        <v>46031</v>
      </c>
      <c r="E53" s="5" t="n">
        <v>46031</v>
      </c>
      <c r="F53" s="5" t="n">
        <v>46072</v>
      </c>
      <c r="G53" s="5" t="n">
        <v>46073</v>
      </c>
      <c r="H53" s="5">
        <f>F53</f>
        <v/>
      </c>
      <c r="I53" s="2" t="inlineStr">
        <is>
          <t>CF102501</t>
        </is>
      </c>
      <c r="J53" s="11" t="inlineStr"/>
    </row>
    <row r="54">
      <c r="A54" s="2" t="n">
        <v>53</v>
      </c>
      <c r="B54" s="3" t="inlineStr">
        <is>
          <t>GRC102501/2</t>
        </is>
      </c>
      <c r="C54" s="3" t="inlineStr">
        <is>
          <t>P060182</t>
        </is>
      </c>
      <c r="D54" s="5" t="n">
        <v>46042</v>
      </c>
      <c r="E54" s="5" t="n">
        <v>46042</v>
      </c>
      <c r="F54" s="5" t="n">
        <v>46095</v>
      </c>
      <c r="G54" s="5" t="n">
        <v>46095</v>
      </c>
      <c r="H54" s="5">
        <f>F54</f>
        <v/>
      </c>
      <c r="I54" s="2" t="inlineStr">
        <is>
          <t>GRC102501</t>
        </is>
      </c>
      <c r="J54" s="11" t="inlineStr"/>
    </row>
    <row r="55">
      <c r="A55" s="2" t="n">
        <v>54</v>
      </c>
      <c r="B55" s="3" t="inlineStr">
        <is>
          <t>SJ102501</t>
        </is>
      </c>
      <c r="C55" s="3" t="inlineStr">
        <is>
          <t>P060162</t>
        </is>
      </c>
      <c r="D55" s="5" t="n">
        <v>46042</v>
      </c>
      <c r="E55" s="5" t="n">
        <v>46042</v>
      </c>
      <c r="F55" s="5" t="n">
        <v>46090</v>
      </c>
      <c r="G55" s="5" t="n">
        <v>46090</v>
      </c>
      <c r="H55" s="5">
        <f>F55</f>
        <v/>
      </c>
      <c r="I55" s="2" t="inlineStr">
        <is>
          <t>SJ102501</t>
        </is>
      </c>
      <c r="J55" s="11" t="inlineStr"/>
    </row>
    <row r="56">
      <c r="A56" s="2" t="n">
        <v>55</v>
      </c>
      <c r="B56" s="3" t="inlineStr">
        <is>
          <t>KC102501</t>
        </is>
      </c>
      <c r="C56" s="3" t="inlineStr">
        <is>
          <t>P060172</t>
        </is>
      </c>
      <c r="D56" s="5" t="n">
        <v>46042</v>
      </c>
      <c r="E56" s="5" t="n">
        <v>46043</v>
      </c>
      <c r="F56" s="5" t="n">
        <v>46093</v>
      </c>
      <c r="G56" s="5" t="n">
        <v>46093</v>
      </c>
      <c r="H56" s="5">
        <f>F56</f>
        <v/>
      </c>
      <c r="I56" s="2" t="inlineStr">
        <is>
          <t>KC102501</t>
        </is>
      </c>
      <c r="J56" s="11" t="inlineStr"/>
    </row>
    <row r="57">
      <c r="A57" s="2" t="n">
        <v>56</v>
      </c>
      <c r="B57" s="3" t="inlineStr">
        <is>
          <t>J31102501</t>
        </is>
      </c>
      <c r="C57" s="3" t="inlineStr">
        <is>
          <t>P060152</t>
        </is>
      </c>
      <c r="D57" s="5" t="n">
        <v>46043</v>
      </c>
      <c r="E57" s="5" t="n">
        <v>46043</v>
      </c>
      <c r="F57" s="5" t="n">
        <v>46086</v>
      </c>
      <c r="G57" s="5" t="n">
        <v>46086</v>
      </c>
      <c r="H57" s="5">
        <f>F57</f>
        <v/>
      </c>
      <c r="I57" s="2" t="inlineStr">
        <is>
          <t>J31102501</t>
        </is>
      </c>
      <c r="J57" s="11" t="inlineStr"/>
    </row>
    <row r="58">
      <c r="A58" s="2" t="n">
        <v>57</v>
      </c>
      <c r="B58" s="3" t="inlineStr">
        <is>
          <t>J31112501</t>
        </is>
      </c>
      <c r="C58" s="3" t="inlineStr">
        <is>
          <t>P060202</t>
        </is>
      </c>
      <c r="D58" s="5" t="n">
        <v>46048</v>
      </c>
      <c r="E58" s="5" t="n">
        <v>46048</v>
      </c>
      <c r="F58" s="5" t="n">
        <v>46129</v>
      </c>
      <c r="G58" s="5" t="n">
        <v>46129</v>
      </c>
      <c r="H58" s="5">
        <f>F58</f>
        <v/>
      </c>
      <c r="I58" s="2" t="inlineStr">
        <is>
          <t>J31112501</t>
        </is>
      </c>
      <c r="J58" s="11" t="inlineStr"/>
    </row>
    <row r="59">
      <c r="A59" s="2" t="n">
        <v>58</v>
      </c>
      <c r="B59" s="3" t="inlineStr">
        <is>
          <t>SJ112501</t>
        </is>
      </c>
      <c r="C59" s="3" t="inlineStr">
        <is>
          <t>P060192</t>
        </is>
      </c>
      <c r="D59" s="5" t="n">
        <v>46048</v>
      </c>
      <c r="E59" s="5" t="n">
        <v>46049</v>
      </c>
      <c r="F59" s="5" t="n">
        <v>46112</v>
      </c>
      <c r="G59" s="5" t="n">
        <v>46112</v>
      </c>
      <c r="H59" s="5">
        <f>F59</f>
        <v/>
      </c>
      <c r="I59" s="2" t="inlineStr">
        <is>
          <t>SJ112501</t>
        </is>
      </c>
      <c r="J59" s="11" t="inlineStr"/>
    </row>
    <row r="60">
      <c r="A60" s="2" t="n">
        <v>59</v>
      </c>
      <c r="B60" s="3" t="inlineStr">
        <is>
          <t>OPM112501</t>
        </is>
      </c>
      <c r="C60" s="3" t="inlineStr">
        <is>
          <t>P060222</t>
        </is>
      </c>
      <c r="D60" s="5" t="n">
        <v>46058</v>
      </c>
      <c r="E60" s="5" t="n">
        <v>46058</v>
      </c>
      <c r="F60" s="5" t="n">
        <v>46136</v>
      </c>
      <c r="G60" s="5" t="n">
        <v>46136</v>
      </c>
      <c r="H60" s="5">
        <f>F60</f>
        <v/>
      </c>
      <c r="I60" s="2" t="inlineStr">
        <is>
          <t>OPM112501</t>
        </is>
      </c>
      <c r="J60" s="11" t="inlineStr"/>
    </row>
    <row r="61">
      <c r="A61" s="2" t="n">
        <v>60</v>
      </c>
      <c r="B61" s="3" t="inlineStr">
        <is>
          <t>PM112501</t>
        </is>
      </c>
      <c r="C61" s="3" t="inlineStr">
        <is>
          <t>P060232</t>
        </is>
      </c>
      <c r="D61" s="5" t="n">
        <v>46058</v>
      </c>
      <c r="E61" s="5" t="n">
        <v>46058</v>
      </c>
      <c r="F61" s="5" t="n">
        <v>46139</v>
      </c>
      <c r="G61" s="5" t="n">
        <v>46139</v>
      </c>
      <c r="H61" s="5">
        <f>F61</f>
        <v/>
      </c>
      <c r="I61" s="2" t="inlineStr">
        <is>
          <t>PM112501</t>
        </is>
      </c>
      <c r="J61" s="11" t="inlineStr"/>
    </row>
    <row r="62">
      <c r="A62" s="2" t="n">
        <v>61</v>
      </c>
      <c r="B62" s="3" t="inlineStr">
        <is>
          <t>JD112501</t>
        </is>
      </c>
      <c r="C62" s="3" t="inlineStr">
        <is>
          <t>P060212</t>
        </is>
      </c>
      <c r="D62" s="5" t="n">
        <v>46106</v>
      </c>
      <c r="E62" s="5" t="n">
        <v>46106</v>
      </c>
      <c r="F62" s="5" t="n">
        <v>46133</v>
      </c>
      <c r="G62" s="5" t="n">
        <v>46133</v>
      </c>
      <c r="H62" s="5">
        <f>F62</f>
        <v/>
      </c>
      <c r="I62" s="2" t="inlineStr">
        <is>
          <t>JD112501</t>
        </is>
      </c>
      <c r="J62" s="11" t="inlineStr"/>
    </row>
    <row r="63">
      <c r="A63" s="2" t="n">
        <v>62</v>
      </c>
      <c r="B63" s="3" t="inlineStr">
        <is>
          <t>OPM122501</t>
        </is>
      </c>
      <c r="C63" s="3" t="inlineStr">
        <is>
          <t>P060242</t>
        </is>
      </c>
      <c r="D63" s="5" t="n">
        <v>46092</v>
      </c>
      <c r="E63" s="5" t="n">
        <v>46092</v>
      </c>
      <c r="F63" s="5" t="n">
        <v>46140</v>
      </c>
      <c r="G63" s="5" t="n">
        <v>46140</v>
      </c>
      <c r="H63" s="5">
        <f>F63</f>
        <v/>
      </c>
      <c r="I63" s="2" t="inlineStr">
        <is>
          <t>OPM122501</t>
        </is>
      </c>
      <c r="J63" s="11" t="inlineStr"/>
    </row>
    <row r="64">
      <c r="A64" s="2" t="n">
        <v>63</v>
      </c>
      <c r="B64" s="3" t="inlineStr">
        <is>
          <t>GG112501</t>
        </is>
      </c>
      <c r="C64" s="3" t="inlineStr">
        <is>
          <t>P060252</t>
        </is>
      </c>
      <c r="D64" s="5" t="n">
        <v>46106</v>
      </c>
      <c r="E64" s="5" t="n">
        <v>46106</v>
      </c>
      <c r="F64" s="5" t="n">
        <v>46147</v>
      </c>
      <c r="G64" s="5" t="n">
        <v>46147</v>
      </c>
      <c r="H64" s="5">
        <f>F64</f>
        <v/>
      </c>
      <c r="I64" s="2" t="inlineStr">
        <is>
          <t>GG112501</t>
        </is>
      </c>
      <c r="J64" s="11" t="inlineStr"/>
    </row>
    <row r="65">
      <c r="A65" s="2" t="n">
        <v>64</v>
      </c>
      <c r="B65" s="3" t="inlineStr">
        <is>
          <t>J31122501</t>
        </is>
      </c>
      <c r="C65" s="3" t="inlineStr">
        <is>
          <t>P060262</t>
        </is>
      </c>
      <c r="D65" s="5" t="n">
        <v>46085</v>
      </c>
      <c r="E65" s="5" t="n">
        <v>46085</v>
      </c>
      <c r="F65" s="5" t="n">
        <v>46156</v>
      </c>
      <c r="G65" s="5" t="n">
        <v>46156</v>
      </c>
      <c r="H65" s="5">
        <f>F65</f>
        <v/>
      </c>
      <c r="I65" s="2" t="inlineStr">
        <is>
          <t>J31122501</t>
        </is>
      </c>
      <c r="J65" s="11" t="inlineStr"/>
    </row>
    <row r="66">
      <c r="A66" s="2" t="n">
        <v>65</v>
      </c>
      <c r="B66" s="3" t="inlineStr">
        <is>
          <t>CC112501</t>
        </is>
      </c>
      <c r="C66" s="3" t="inlineStr">
        <is>
          <t>P060272</t>
        </is>
      </c>
      <c r="D66" s="5" t="n">
        <v>46106</v>
      </c>
      <c r="E66" s="5" t="n">
        <v>46106</v>
      </c>
      <c r="F66" s="5" t="n">
        <v>46160</v>
      </c>
      <c r="G66" s="5" t="n">
        <v>46160</v>
      </c>
      <c r="H66" s="5">
        <f>F66</f>
        <v/>
      </c>
      <c r="I66" s="2" t="inlineStr">
        <is>
          <t>CC112501</t>
        </is>
      </c>
      <c r="J66" s="11" t="inlineStr"/>
    </row>
    <row r="67">
      <c r="A67" s="2" t="n">
        <v>66</v>
      </c>
      <c r="B67" s="3" t="inlineStr">
        <is>
          <t>SCR112501</t>
        </is>
      </c>
      <c r="C67" s="3" t="inlineStr">
        <is>
          <t>P060282</t>
        </is>
      </c>
      <c r="D67" s="5" t="n">
        <v>46106</v>
      </c>
      <c r="E67" s="5" t="n">
        <v>46106</v>
      </c>
      <c r="F67" s="5" t="n">
        <v>46160</v>
      </c>
      <c r="G67" s="5" t="n">
        <v>46160</v>
      </c>
      <c r="H67" s="5">
        <f>F67</f>
        <v/>
      </c>
      <c r="I67" s="2" t="inlineStr">
        <is>
          <t>SCR112501</t>
        </is>
      </c>
      <c r="J67" s="11" t="inlineStr"/>
    </row>
    <row r="68">
      <c r="A68" s="2" t="n">
        <v>67</v>
      </c>
      <c r="B68" s="3" t="inlineStr">
        <is>
          <t>FB112501</t>
        </is>
      </c>
      <c r="C68" s="3" t="inlineStr">
        <is>
          <t>P060292</t>
        </is>
      </c>
      <c r="D68" s="5" t="n">
        <v>46106</v>
      </c>
      <c r="E68" s="5" t="n">
        <v>46106</v>
      </c>
      <c r="F68" s="5" t="n">
        <v>46161</v>
      </c>
      <c r="G68" s="5" t="n">
        <v>46161</v>
      </c>
      <c r="H68" s="5">
        <f>F68</f>
        <v/>
      </c>
      <c r="I68" s="2" t="inlineStr">
        <is>
          <t>FB112501</t>
        </is>
      </c>
      <c r="J68" s="11" t="inlineStr"/>
    </row>
    <row r="69">
      <c r="A69" s="2" t="n">
        <v>68</v>
      </c>
      <c r="B69" s="3" t="inlineStr">
        <is>
          <t>GG012601*</t>
        </is>
      </c>
      <c r="C69" s="3" t="inlineStr">
        <is>
          <t>P060302</t>
        </is>
      </c>
      <c r="D69" s="5" t="n">
        <v>46108</v>
      </c>
      <c r="E69" s="5" t="n">
        <v>46108</v>
      </c>
      <c r="F69" s="5" t="n">
        <v>46162</v>
      </c>
      <c r="G69" s="5" t="n">
        <v>46162</v>
      </c>
      <c r="H69" s="5">
        <f>F69</f>
        <v/>
      </c>
      <c r="I69" s="2" t="inlineStr">
        <is>
          <t>GG012601＊</t>
        </is>
      </c>
      <c r="J69" s="11" t="inlineStr"/>
    </row>
    <row r="70">
      <c r="A70" s="2" t="n">
        <v>69</v>
      </c>
      <c r="B70" s="3" t="inlineStr">
        <is>
          <t>JD012601*</t>
        </is>
      </c>
      <c r="C70" s="3" t="inlineStr">
        <is>
          <t>P060312</t>
        </is>
      </c>
      <c r="D70" s="5" t="n">
        <v>46108</v>
      </c>
      <c r="E70" s="5" t="n">
        <v>46108</v>
      </c>
      <c r="F70" s="5" t="n">
        <v>46163</v>
      </c>
      <c r="G70" s="5" t="n">
        <v>46163</v>
      </c>
      <c r="H70" s="5">
        <f>F70</f>
        <v/>
      </c>
      <c r="I70" s="2" t="inlineStr">
        <is>
          <t>JD012601＊</t>
        </is>
      </c>
      <c r="J70" s="11" t="inlineStr"/>
    </row>
    <row r="71">
      <c r="A71" s="2" t="n">
        <v>70</v>
      </c>
      <c r="B71" s="3" t="inlineStr">
        <is>
          <t>FB012601/1</t>
        </is>
      </c>
      <c r="C71" s="3" t="inlineStr">
        <is>
          <t>P060322</t>
        </is>
      </c>
      <c r="D71" s="5" t="n">
        <v>46108</v>
      </c>
      <c r="E71" s="5" t="n">
        <v>46108</v>
      </c>
      <c r="F71" s="5" t="n">
        <v>46164</v>
      </c>
      <c r="G71" s="5" t="n">
        <v>46164</v>
      </c>
      <c r="H71" s="5">
        <f>F71</f>
        <v/>
      </c>
      <c r="I71" s="2" t="inlineStr">
        <is>
          <t>FB012601_1</t>
        </is>
      </c>
      <c r="J71" s="11" t="inlineStr"/>
    </row>
    <row r="72">
      <c r="A72" s="2" t="n">
        <v>71</v>
      </c>
      <c r="B72" s="3" t="inlineStr">
        <is>
          <t>CC012601/1</t>
        </is>
      </c>
      <c r="C72" s="3" t="inlineStr">
        <is>
          <t>P060332</t>
        </is>
      </c>
      <c r="D72" s="5" t="n">
        <v>46128</v>
      </c>
      <c r="E72" s="5" t="n">
        <v>46128</v>
      </c>
      <c r="F72" s="5" t="n">
        <v>46164</v>
      </c>
      <c r="G72" s="5" t="n">
        <v>46164</v>
      </c>
      <c r="H72" s="5">
        <f>F72</f>
        <v/>
      </c>
      <c r="I72" s="2" t="inlineStr">
        <is>
          <t>CC012601/1</t>
        </is>
      </c>
      <c r="J72" s="11" t="inlineStr"/>
    </row>
    <row r="73">
      <c r="A73" s="2" t="n">
        <v>72</v>
      </c>
      <c r="B73" s="3" t="inlineStr">
        <is>
          <t>SCR012601*</t>
        </is>
      </c>
      <c r="C73" s="3" t="inlineStr">
        <is>
          <t>P060342</t>
        </is>
      </c>
      <c r="D73" s="5" t="n">
        <v>46128</v>
      </c>
      <c r="E73" s="5" t="n">
        <v>46128</v>
      </c>
      <c r="F73" s="5" t="n">
        <v>46167</v>
      </c>
      <c r="G73" s="5" t="n">
        <v>46167</v>
      </c>
      <c r="H73" s="5">
        <f>F73</f>
        <v/>
      </c>
      <c r="I73" s="2" t="inlineStr">
        <is>
          <t>SCR012601*</t>
        </is>
      </c>
      <c r="J73" s="11" t="inlineStr"/>
    </row>
    <row r="74">
      <c r="A74" s="2" t="n">
        <v>73</v>
      </c>
      <c r="B74" s="3" t="inlineStr">
        <is>
          <t>FB012602*</t>
        </is>
      </c>
      <c r="C74" s="3" t="inlineStr">
        <is>
          <t>P060352</t>
        </is>
      </c>
      <c r="D74" s="5" t="n">
        <v>46128</v>
      </c>
      <c r="E74" s="5" t="n">
        <v>46128</v>
      </c>
      <c r="F74" s="5" t="n">
        <v>46165</v>
      </c>
      <c r="G74" s="5" t="n">
        <v>46165</v>
      </c>
      <c r="H74" s="5">
        <f>F74</f>
        <v/>
      </c>
      <c r="I74" s="2" t="inlineStr">
        <is>
          <t>FB012602*</t>
        </is>
      </c>
      <c r="J74" s="11" t="inlineStr"/>
    </row>
    <row r="75">
      <c r="A75" s="2" t="n">
        <v>74</v>
      </c>
      <c r="B75" s="3" t="inlineStr">
        <is>
          <t>JD012603/01</t>
        </is>
      </c>
      <c r="C75" s="3" t="inlineStr">
        <is>
          <t>P060362</t>
        </is>
      </c>
      <c r="D75" s="5" t="n">
        <v>46134</v>
      </c>
      <c r="E75" s="5" t="n">
        <v>46134</v>
      </c>
      <c r="F75" s="5" t="n">
        <v>46165</v>
      </c>
      <c r="G75" s="5" t="n">
        <v>46165</v>
      </c>
      <c r="H75" s="5">
        <f>F75</f>
        <v/>
      </c>
      <c r="I75" s="2" t="inlineStr">
        <is>
          <t>JD012603</t>
        </is>
      </c>
      <c r="J75" s="11" t="inlineStr"/>
    </row>
    <row r="76">
      <c r="A76" s="2" t="n">
        <v>75</v>
      </c>
      <c r="B76" s="3" t="inlineStr">
        <is>
          <t>CC012603</t>
        </is>
      </c>
      <c r="C76" s="3" t="inlineStr">
        <is>
          <t>P060372</t>
        </is>
      </c>
      <c r="D76" s="5" t="n">
        <v>46134</v>
      </c>
      <c r="E76" s="5" t="n">
        <v>46134</v>
      </c>
      <c r="F76" s="5" t="n">
        <v>46166</v>
      </c>
      <c r="G76" s="5" t="n">
        <v>46166</v>
      </c>
      <c r="H76" s="5">
        <f>F76</f>
        <v/>
      </c>
      <c r="I76" s="2" t="inlineStr">
        <is>
          <t>CC012603</t>
        </is>
      </c>
      <c r="J76" s="11" t="inlineStr"/>
    </row>
    <row r="77">
      <c r="A77" s="2" t="n">
        <v>76</v>
      </c>
      <c r="B77" s="3" t="inlineStr">
        <is>
          <t>SCR012603</t>
        </is>
      </c>
      <c r="C77" s="3" t="inlineStr">
        <is>
          <t>P060382</t>
        </is>
      </c>
      <c r="D77" s="5" t="n">
        <v>46134</v>
      </c>
      <c r="E77" s="5" t="n">
        <v>46134</v>
      </c>
      <c r="F77" s="5" t="n">
        <v>46167</v>
      </c>
      <c r="G77" s="5" t="n">
        <v>46167</v>
      </c>
      <c r="H77" s="5">
        <f>F77</f>
        <v/>
      </c>
      <c r="I77" s="2" t="inlineStr">
        <is>
          <t>SCR012603</t>
        </is>
      </c>
      <c r="J77" s="11" t="inlineStr"/>
    </row>
    <row r="78">
      <c r="A78" s="2" t="n">
        <v>77</v>
      </c>
      <c r="B78" s="3" t="inlineStr">
        <is>
          <t>FB012603V</t>
        </is>
      </c>
      <c r="C78" s="3" t="inlineStr">
        <is>
          <t>P060392</t>
        </is>
      </c>
      <c r="D78" s="5" t="n">
        <v>46141</v>
      </c>
      <c r="E78" s="5" t="n">
        <v>46141</v>
      </c>
      <c r="F78" s="5" t="n">
        <v>46165</v>
      </c>
      <c r="G78" s="5" t="n">
        <v>46165</v>
      </c>
      <c r="H78" s="5">
        <f>F78</f>
        <v/>
      </c>
      <c r="I78" s="2" t="inlineStr">
        <is>
          <t>FB012603V</t>
        </is>
      </c>
      <c r="J78" s="11" t="inlineStr"/>
    </row>
    <row r="79">
      <c r="A79" s="2" t="n">
        <v>78</v>
      </c>
      <c r="B79" s="3" t="inlineStr">
        <is>
          <t>GG012603</t>
        </is>
      </c>
      <c r="C79" s="3" t="inlineStr">
        <is>
          <t>P060402</t>
        </is>
      </c>
      <c r="D79" s="5" t="n">
        <v>46146</v>
      </c>
      <c r="E79" s="5" t="n">
        <v>46146</v>
      </c>
      <c r="F79" s="5" t="n">
        <v>46166</v>
      </c>
      <c r="G79" s="5" t="n">
        <v>46166</v>
      </c>
      <c r="H79" s="5">
        <f>F79</f>
        <v/>
      </c>
      <c r="I79" s="2" t="inlineStr">
        <is>
          <t>GG012603</t>
        </is>
      </c>
      <c r="J79" s="11" t="inlineStr"/>
    </row>
    <row r="80">
      <c r="A80" s="2" t="n">
        <v>79</v>
      </c>
      <c r="B80" s="3" t="inlineStr">
        <is>
          <t>JD012603/02</t>
        </is>
      </c>
      <c r="C80" s="3" t="inlineStr">
        <is>
          <t>P060412</t>
        </is>
      </c>
      <c r="D80" s="5" t="n">
        <v>46146</v>
      </c>
      <c r="E80" s="5" t="n">
        <v>46146</v>
      </c>
      <c r="F80" s="5" t="n">
        <v>46166</v>
      </c>
      <c r="G80" s="5" t="n">
        <v>46166</v>
      </c>
      <c r="H80" s="5">
        <f>F80</f>
        <v/>
      </c>
      <c r="I80" s="2" t="inlineStr">
        <is>
          <t>JD012603</t>
        </is>
      </c>
      <c r="J80" s="11" t="inlineStr"/>
    </row>
    <row r="81">
      <c r="A81" s="2" t="n">
        <v>80</v>
      </c>
      <c r="B81" s="3" t="inlineStr">
        <is>
          <t>JD012603/02V</t>
        </is>
      </c>
      <c r="C81" s="3" t="inlineStr">
        <is>
          <t>P060422</t>
        </is>
      </c>
      <c r="D81" s="5" t="n">
        <v>46141</v>
      </c>
      <c r="E81" s="5" t="n">
        <v>46141</v>
      </c>
      <c r="F81" s="5" t="n">
        <v>46165</v>
      </c>
      <c r="G81" s="5" t="n">
        <v>46165</v>
      </c>
      <c r="H81" s="5">
        <f>F81</f>
        <v/>
      </c>
      <c r="I81" s="2" t="inlineStr">
        <is>
          <t>JD012603</t>
        </is>
      </c>
      <c r="J81" s="11" t="inlineStr"/>
    </row>
    <row r="82">
      <c r="A82" s="2" t="n">
        <v>81</v>
      </c>
      <c r="B82" s="3" t="inlineStr">
        <is>
          <t>FB012603</t>
        </is>
      </c>
      <c r="C82" s="3" t="inlineStr">
        <is>
          <t>P060432</t>
        </is>
      </c>
      <c r="D82" s="5" t="n">
        <v>46146</v>
      </c>
      <c r="E82" s="5" t="n">
        <v>46146</v>
      </c>
      <c r="F82" s="5" t="n">
        <v>46188</v>
      </c>
      <c r="G82" s="5" t="n">
        <v>46188</v>
      </c>
      <c r="H82" s="5">
        <f>F82</f>
        <v/>
      </c>
      <c r="I82" s="2" t="inlineStr">
        <is>
          <t>FB012603</t>
        </is>
      </c>
      <c r="J82" s="11" t="inlineStr"/>
    </row>
    <row r="83">
      <c r="A83" s="2" t="n">
        <v>82</v>
      </c>
      <c r="B83" s="3" t="inlineStr">
        <is>
          <t>SCR022601</t>
        </is>
      </c>
      <c r="C83" s="3" t="inlineStr">
        <is>
          <t>P060442</t>
        </is>
      </c>
      <c r="D83" s="5" t="n">
        <v>46155</v>
      </c>
      <c r="E83" s="5" t="n">
        <v>46155</v>
      </c>
      <c r="F83" s="5" t="n">
        <v>46191</v>
      </c>
      <c r="G83" s="5" t="n">
        <v>46191</v>
      </c>
      <c r="H83" s="5">
        <f>F83</f>
        <v/>
      </c>
      <c r="I83" s="2" t="inlineStr">
        <is>
          <t>SCR022601</t>
        </is>
      </c>
      <c r="J83" s="11" t="inlineStr"/>
    </row>
    <row r="84">
      <c r="A84" s="2" t="n">
        <v>83</v>
      </c>
      <c r="B84" s="3" t="inlineStr">
        <is>
          <t>FB032601</t>
        </is>
      </c>
      <c r="C84" s="3" t="inlineStr">
        <is>
          <t>P060452</t>
        </is>
      </c>
      <c r="D84" s="5" t="n">
        <v>46175</v>
      </c>
      <c r="E84" s="5" t="n">
        <v>46175</v>
      </c>
      <c r="F84" s="5" t="n">
        <v>46202</v>
      </c>
      <c r="G84" s="5" t="n">
        <v>46202</v>
      </c>
      <c r="H84" s="5">
        <f>F84</f>
        <v/>
      </c>
      <c r="I84" s="2" t="inlineStr">
        <is>
          <t>FB032601</t>
        </is>
      </c>
      <c r="J84" s="11" t="inlineStr"/>
    </row>
    <row r="85">
      <c r="A85" s="2" t="n">
        <v>84</v>
      </c>
      <c r="B85" s="3" t="inlineStr">
        <is>
          <t>GG032601</t>
        </is>
      </c>
      <c r="C85" s="3" t="inlineStr">
        <is>
          <t>P060462</t>
        </is>
      </c>
      <c r="D85" s="5" t="n">
        <v>46189</v>
      </c>
      <c r="E85" s="5" t="n">
        <v>46189</v>
      </c>
      <c r="F85" s="5" t="n">
        <v>46219</v>
      </c>
      <c r="G85" s="5" t="n">
        <v>46219</v>
      </c>
      <c r="H85" s="5">
        <f>F85</f>
        <v/>
      </c>
      <c r="I85" s="2" t="inlineStr">
        <is>
          <t>GG032601</t>
        </is>
      </c>
      <c r="J85" s="11" t="inlineStr"/>
    </row>
    <row r="86">
      <c r="A86" s="2" t="n">
        <v>85</v>
      </c>
      <c r="B86" s="3" t="inlineStr">
        <is>
          <t>JD032601</t>
        </is>
      </c>
      <c r="C86" s="3" t="inlineStr">
        <is>
          <t>P060472</t>
        </is>
      </c>
      <c r="D86" s="5" t="n">
        <v>46197</v>
      </c>
      <c r="E86" s="5" t="n">
        <v>46197</v>
      </c>
      <c r="F86" s="5" t="n">
        <v>46224</v>
      </c>
      <c r="G86" s="5" t="n">
        <v>46224</v>
      </c>
      <c r="H86" s="5">
        <f>F86</f>
        <v/>
      </c>
      <c r="I86" s="6" t="inlineStr">
        <is>
          <t>— not on the tracker —</t>
        </is>
      </c>
      <c r="J86" s="11" t="inlineStr"/>
    </row>
    <row r="87">
      <c r="A87" s="2" t="n">
        <v>86</v>
      </c>
      <c r="B87" s="3" t="inlineStr">
        <is>
          <t>JD022601</t>
        </is>
      </c>
      <c r="C87" s="3" t="inlineStr">
        <is>
          <t>P060482</t>
        </is>
      </c>
      <c r="D87" s="5" t="n">
        <v>46160</v>
      </c>
      <c r="E87" s="5" t="n">
        <v>46160</v>
      </c>
      <c r="F87" s="5" t="n">
        <v>46239</v>
      </c>
      <c r="G87" s="5" t="n">
        <v>46239</v>
      </c>
      <c r="H87" s="5">
        <f>F87</f>
        <v/>
      </c>
      <c r="I87" s="2" t="inlineStr">
        <is>
          <t>JD022601</t>
        </is>
      </c>
      <c r="J87" s="11" t="inlineStr"/>
    </row>
    <row r="88">
      <c r="A88" s="2" t="n">
        <v>87</v>
      </c>
      <c r="B88" s="3" t="inlineStr">
        <is>
          <t>JD042601</t>
        </is>
      </c>
      <c r="C88" s="3" t="inlineStr">
        <is>
          <t>P060492</t>
        </is>
      </c>
      <c r="D88" s="5" t="n">
        <v>46224</v>
      </c>
      <c r="E88" s="5" t="n">
        <v>46224</v>
      </c>
      <c r="F88" s="5" t="n">
        <v>46247</v>
      </c>
      <c r="G88" s="5" t="n">
        <v>46247</v>
      </c>
      <c r="H88" s="5">
        <f>F88</f>
        <v/>
      </c>
      <c r="I88" s="2" t="inlineStr">
        <is>
          <t>JD042601</t>
        </is>
      </c>
      <c r="J88" s="11"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4"/>
  <sheetViews>
    <sheetView workbookViewId="0">
      <selection activeCell="A1" sqref="A1"/>
    </sheetView>
  </sheetViews>
  <sheetFormatPr baseColWidth="8" defaultRowHeight="15"/>
  <cols>
    <col width="120" customWidth="1" min="1" max="1"/>
  </cols>
  <sheetData>
    <row r="1">
      <c r="A1" s="15" t="inlineStr">
        <is>
          <t>iCoA and CoQ Issuance Registers — preliminary — built with CoQ Analysis Master v50 on 20.09.2026</t>
        </is>
      </c>
    </row>
    <row r="2" ht="150" customHeight="1">
      <c r="A2" s="16" t="inlineStr">
        <is>
          <t>THE STANDING REGISTER OF INTERNAL CERTIFICATES OF ANALYSIS. Owner, 20.09.2026: "there should be one iCOA per COQ, retest and initial" — ONE PER CERTIFICATE OF QUALITY, so the series is 172 and matches the CoQ series one for one. This REPLACES the ruling of 10.09.2026 ("the register encompasses every internal certificate that exists or ever will" — one per testing round, whether or not a certificate of quality followed), under which the series was 215. The 43 rows withdrawn were every non-campaign retest and nothing else: all 89 release rounds and all 83 campaign retests were already cited by a certificate of quality, and all 43 of the rest by none, so the two descriptions pick out the same set. None of the 43 was ever printed — the issued fleet was 172 before this change and is 172 after. They were not the old in-house Certificates of Analysis, which are the 41 QCCoA 001/001v02 scans of 19.03.2025–20.02.2026 in _IN-HOUSE_PP, share no testing date with any of the 43, and are superseded through the CoQ Register's own "Supersedes (old in-house CoA)" column. 31 of the 43 were rounds raised by an external laboratory's certificate arriving on 31.08 or 01.09.2026, which is why their "retest 1" was dated AFTER the Tranche 3 "retest 2" of 19–21.08.2026 on the same lot, in 32 rows; that contradiction is gone with them, as are the 5 rows that gave one testing round several certificates under different labels. Each certificate carries identification A, identification B and foreign matter ALWAYS (performed in house, on the first day of packaging for the release round and at its own sampling for a retest), plus any determination whose only result in that round is an in-house record. Codes iCoA-PP_26-nnn, one series for the year of issue, in the order of issue: by issue date, then by when the work was done, then by batch — 03.06.2026 for anything that would otherwise predate the specification SOP, so the backlog shares one date and orders by packaging, as the CoQ series does. THE ROWS, THE NUMBER AND THE CODE ARE NOT COMPUTED HERE (11.09.2026): this sheet RENDERS icoa_register.py, which is the series, and writes its numbers as literal values. Two things were being decided twice and disagreed. The number used to be a formula over this sheet's own row order, so the first physical row took iCoA-PP_26-001 while its own certificate cited iCoA-PP_26-066 and none of the 49 comparable rows agreed; and the ROW SET was this sheet's issuance planning, so it printed 60 of the series' 95 codes, showed no retest certificate at all where the series issues 26 (its retest rows are one per lot per tranche — a lot with four retest rounds had one row standing for four certificates), and withheld nine more under "where a CNP certificate reports all three, no iCoA is needed", the note of 05.09.2026 that the ruling of 10.09.2026 replaced: the in-house laboratory performs those three whatever an external laboratory also reports, so the certificate exists and is registered. Which document the CERTIFICATE OF QUALITY cites for them is a separate question and is unchanged. Rows below the series are lots it does not carry — a retest that is planned but not yet sampled, a lot with no production record, and the starred lots, whose star batch_id.batch_key deliberately keeps because whether GG012601＊ is GG012601 is the Head of QC's to rule. They are unnumbered and say why. Inserting a row renumbers nothing. verify_workbook.py compares sheet and series on every run. FORMULAS remaining: a release round's testing date and packaging-complete date are looked up on Batch Dates by P batch (else by the batch as listed) and its issue date is the later of that testing date and 03.06.2026; a RETEST is dated at its own sampling day and issued on its campaign's day (sampling_dates.py, owner 15.09.2026: Tranche 1 sampled 21–24.07.2026 and issued 27.07.2026, Tranche 2 sampled 12–14.08.2026 and issued 17.08.2026, Tranche 3 sampled 19–21.08.2026 and issued 24.08.2026, each batch on the day its certificate number falls), which no sheet holds, so the series' dates are written as literals rather than guessed by a formula. A round whose packaging date the list does not hold is numbered all the same (owner, 15.09.2026: identification A, B and foreign matter are performed on every batch) and says its testing date is not stated. CoQ (register) is looked up on the CoQ Register by Key — the tracker's in-house cells cite this register by Key, so they follow it. Working days are Monday to Friday; public holidays are not applied.</t>
        </is>
      </c>
    </row>
    <row r="3" ht="190" customHeight="1">
      <c r="A3" s="16" t="inlineStr">
        <is>
          <t>Head of QC, 05.09.2026: preliminary CoQ issuance register — codes CoQ-PP_26-nnn (nnn = 001 … 999), one series for the year of issue, in the order of issue. LEGACY lots (packed before the SOP floor of 11.05.2026, or holding an old in-house QCCoA 001 certificate, which the CoQ supersedes) are all issued on 06.06.2026, in chronological order of packaging; POST-SOP lots follow, each on the first working day 7 days after the latest eCoA the CoQ cites and never before 06.06.2026, so the legacy series keeps 001 onward. Every CoQ cites its lot's iCoA (identification A, B, foreign matter) and reports identification C as 'Conforms', referenced to the eCoA that covers Total THC. ADHERENCE (ISSUE_COQ_CONVENTIONS): a CoQ never precedes a document it cites — a legacy lot whose latest eCoA is dated after 06.06.2026 takes the post-SOP rule and is flagged in Status; a CoQ never precedes its iCoA; Head of QC, 05.09.2026 (evening): a production lot whose initial certificate for a determination is not on file keeps its planned CoQ and number — the initial testing exists at the Faculty of Pharmacy's Center for Natural Products (microbiology: IJZ) and the certificate is to be located (Work Order; Status names the determination); a certificate dated on or after 01.07.2026 is a retest document (the QP's campaign: Tranche 1, the first 21 lots, sampled July 2026; then Tranches 2 and 3) and never certifies the initial CoQ — a determination whose only certificate is a retest one is uncertified for the legacy CoQ and flagged; the IJZ-MB delivery of 25/26.08.2026 (certificates of 31.08 and 01.09.2026, 68 to 436 days after packaging) is one campaign sampling and every certificate in it is a retest document, for the post-SOP lots too; nothing is dated on a weekend. RETEST ROWS: the reissued CoQ carries the retest results (cannabinoids with identification C by Farmahem, mycotoxins) and, for every determination not retested, the initial certificate's result and document (owner, 15.09.2026); its rule date is 7 days after the latest retest certificate it cites, and it is numbered, in date order with the release series, once the retest assay, the mycotoxins and the campaign's internal certificate (sampled and issued per sampling_dates.py) all exist — Tranche 1 and Tranche 2 in this build (Tranche 2 since v30, its potency certificates of 25/26.08.2026 taken in on 15.09.2026). TRANCHE 3 (owner, 15.09.2026, evening): every Tranche 3 retest parameter is tested at Farmahem and its certificates all issue on one date, so the Tranche 3 reissues take their codes now — after the last Tranche 2 reissue, in the order the series gives them — with Issuable reading 'allocated' and the planned date the owner's: not yet set, all Tranche 3 certificates on one day, the 227-М mycotoxin certificates expected by 18.09.2026, provisional until they exist; the one code computed in advance, by the owner's ruling. After the numbered and the allocated rows, the batches the tranches do not cover — under production, under testing, or on no tranche list — are listed lot by lot; such a batch carries its release certificate and no retest row, because only the tranche batches are for sale and only they were retested at the QP's request (owner, 15.09.2026). RULED (Head of QC, 18.09.2026, "assign codes if they're missing"): the rows the register had withheld only for want of a packaging date on the list — CC042601 and FB042601, release and reissue, and P160012, P160022, P160032 — take their codes after the last allocated one, release certificates first, with Issuable reading 'ruled' and no planned date until the list carries the packaging date. FORMULAS: No. counts the rows whose Issuable is 'yes', 'allocated' or 'ruled'; No. and the code as on the iCoA Register; Rule date is 06.06.2026 for a legacy row whose latest eCoA is on or before it, else the first working day 7 days after the latest eCoA (not before 06.06.2026); the planned date is the latest of the rule date, the iCoA's date and the lot's last day of packaging; iCoA (register) and its date are looked up on the iCoA Register by Key. SUPERSEDES (initial CoQ): a reissue names the initial certificate of the same lot by the register's own code, looked up by Key, so it follows a renumbering; n/a on an initial certificate. POTENCY GRADING (owner, 15.09.2026): the Total THC result the certificate prints, the certificate it comes from, the grade of the Head of QC's potency specification of 15.09.2026 (Potency Grades tab) whose window it falls in — nominal ± tolerance, with the strain's grade numeral — and the product code {ABBR}_THC{nominal} : CBD1 and specification document code QCSP_001_{ABBR}-{numeral}_v.01 that follow — always v.01 (owner, 15.09.2026: the initially issued specifications were wrong and this is not the official issuing; the set goes for review), the status recording what the issued v.01 of the same strain and numeral printed. The numeral is SEQUENTIAL within the strain (owner, 15.09.2026): the grades of the specification of 15.09.2026 are numbered as that table lists them, frozen in potency_grades_2026-09-15.csv, and a grade defined later takes the strain's next numeral whatever its nominal — so -II is not lower or higher than -I, only later. A result in no window of its strain needs a specification of its own: the row says 'new specification required', names the nearest window and reserves the strain's next numeral for it; no grade is guessed. The latest eCoA cited is a value (the first credited certificate per determination dated before the retest campaign; for a retest row, the latest retest certificate), recomputed by the builder. Working days are Monday to Friday; public holidays are not applied. FLAGS: the legacy CoQ day 06.06.2026 is a Saturday — the owner's date, kept as given | P060272: post-SOP CoQ rule date 18.05.2026 precedes the legacy series day 06.06.2026 — held to it, so the legacy CoQs keep 001 onward | P060322: post-SOP CoQ rule date 18.05.2026 precedes the legacy series day 06.06.2026 — held to it, so the legacy CoQs keep 001 onward | P060432: no initial certificate for #9 — only the retest 537-1068-26 of 31.08.2026; the post-SOP CoQ cannot cite it (Head of QC to rule: report as not tested at initial testing, or wait for the reissue) | P060392: no initial certificate for #9 — only the retest 538-1069-26 of 31.08.2026; the post-SOP CoQ cannot cite it (Head of QC to rule: report as not tested at initial testing, or wait for the reissue) | P060292: post-SOP CoQ rule date 18.05.2026 precedes the legacy series day 06.06.2026 — held to it, so the legacy CoQs keep 001 onward | P060302: post-SOP CoQ rule date 18.05.2026 precedes the legacy series day 06.06.2026 — held to it, so the legacy CoQs keep 001 onward | P060402: no initial certificate for #10 — only the retest 197-8-M-26 of 10.08.2026; the post-SOP CoQ cannot cite it (Head of QC to rule: report as not tested at initial testing, or wait for the reissue) | GG1024: no initial certificate for #3, #4, #5, #6, #10 — only the retest 220-9-K-26 of 25.08.2026 / 220-9-M-26 of 11.09.2026; the legacy CoQ cannot cite it (Head of QC to rule: report as not tested at initial testing, or wait for the reissue) | P060142: no initial certificate for #3, #4, #5, #6, #9 — only the retest 227-16-K-26 of 11.09.2026 / 550-1081-26 of 01.09.2026; the legacy CoQ cannot cite it (Head of QC to rule: report as not tested at initial testing, or wait for the reissue) | P060182: no initial certificate for #10 — only the retest 220-14-M-26 of 11.09.2026; the legacy CoQ cannot cite it (Head of QC to rule: report as not tested at initial testing, or wait for the reissue) | HPA1024: no initial certificate for #3, #4, #5, #6, #8, #10 — only the retest 197-13-K-26 of 07.08.2026 / 197-13-M-26 of 10.08.2026; the legacy CoQ cannot cite it (Head of QC to rule: report as not tested at initial testing, or wait for the reissue) | P060152: no initial certificate for #10 — only the retest 197-16-M-26 of 10.08.2026; the legacy CoQ cannot cite it (Head of QC to rule: report as not tested at initial testing, or wait for the reissue) | P060202: no initial certificate for #9 — only the retest 547-1078-26 of 31.08.2026; the legacy CoQ cannot cite it (Head of QC to rule: report as not tested at initial testing, or wait for the reissue) | P060262: post-SOP CoQ rule date 30.04.2026 precedes the legacy series day 06.06.2026 — held to it, so the legacy CoQs keep 001 onward | P060312: post-SOP CoQ rule date 18.05.2026 precedes the legacy series day 06.06.2026 — held to it, so the legacy CoQs keep 001 onward | P060362: no initial certificate on file — the CoQ keeps its planned number with a provisional date 06.06.2026 | P060362: no initial certificate for #3, #4, #5, #6, #10 — only the retest 220-16-K-26 of 25.08.2026 / 220-16-M-26 of 11.09.2026; the post-SOP CoQ cannot cite it (Head of QC to rule: report as not tested at initial testing, or wait for the reissue) | P060412: no initial certificate for #10 — only the retest 220-17-M-26 of 11.09.2026; the post-SOP CoQ cannot cite it (Head of QC to rule: report as not tested at initial testing, or wait for the reissue) | P060422: no initial certificate for #10 — only the retest 220-18-M-26 of 11.09.2026; the post-SOP CoQ cannot cite it (Head of QC to rule: report as not tested at initial testing, or wait for the reissue) | P060482: CoQ rule date 07.07.2026 precedes the packaging of the lot (05.08.2026) — held to the packaging date | P060172: no initial certificate for #10 — only the retest 220-19-M-26 of 11.09.2026; the legacy CoQ cannot cite it (Head of QC to rule: report as not tested at initial testing, or wait for the reissue) | OPM1024: no initial certificate for #3, #4, #5, #6, #8, #10 — only the retest 197-17-K-26 of 07.08.2026 / 197-17-M-26 of 10.08.2026; the legacy CoQ cannot cite it (Head of QC to rule: report as not tested at initial testing, or wait for the reissue) | P060222: no initial certificate for #9 — only the retest 546-1077-26 of 31.08.2026; the legacy CoQ cannot cite it (Head of QC to rule: report as not tested at initial testing, or wait for the reissue) | P060332: no initial certificate on file — the CoQ keeps its planned number with a provisional date 06.06.2026 | P060332: no initial certificate for #3, #4, #5, #6, #8, #10 — only the retest 197-6-K-26 of 07.08.2026 / 197-6-M-26 of 10.08.2026; the post-SOP CoQ cannot cite it (Head of QC to rule: report as not tested at initial testing, or wait for the reissue) | P060352: no initial certificate on file — the CoQ keeps its planned number with a provisional date 06.06.2026 | P060352: no initial certificate for #3, #4, #5, #6, #8, #10 — only the retest 197-7-K-26 of 07.08.2026 / 197-7-M-26 of 10.08.2026; the post-SOP CoQ cannot cite it (Head of QC to rule: report as not tested at initial testing, or wait for the reissue) | P060382: no initial certificate on file — the CoQ keeps its planned number with a provisional date 06.06.2026 | P060382: no initial certificate for #3, #4, #5, #6, #8, #10 — only the retest 197-21-K-26 of 07.08.2026 / 197-21-M-26 of 10.08.2026; the post-SOP CoQ cannot cite it (Head of QC to rule: report as not tested at initial testing, or wait for the reissue) | P060232: no initial certificate for #10 — only the retest 220-24-M-26 of 11.09.2026; the legacy CoQ cannot cite it (Head of QC to rule: report as not tested at initial testing, or wait for the reissue) | P060442: no initial certificate for #9 — only the retest 536-1067-26 of 31.08.2026; the post-SOP CoQ cannot cite it (Head of QC to rule: report as not tested at initial testing, or wait for the reissue) | P060282: post-SOP CoQ rule date 18.05.2026 precedes the legacy series day 06.06.2026 — held to it, so the legacy CoQs keep 001 onward | P060162: no initial certificate for #9 — only the retest 549-1080-26 of 31.08.2026; the legacy CoQ cannot cite it (Head of QC to rule: report as not tested at initial testing, or wait for the reissue) | P050142: no initial certificate for #3, #4, #5, #6, #9 — only the retest 227-1-K-26 of 11.09.2026 / 559-1090-26 of 01.09.2026; the legacy CoQ cannot cite it (Head of QC to rule: report as not tested at initial testing, or wait for the reissue) | P060102: no initial certificate for #3, #4, #5, #6, #9 — only the retest 227-4-K-26 of 11.09.2026 / 551-1082-26 of 01.09.2026; the legacy CoQ cannot cite it (Head of QC to rule: report as not tested at initial testing, or wait for the reissue) | P060342: no initial certificate on file — the CoQ keeps its planned number with a provisional date 06.06.2026 | P060342: no initial certificate for #3, #4, #5, #6, #9 — only the retest 227-8-K-26 of 11.09.2026 / 539-1070-26 of 31.08.2026; the post-SOP CoQ cannot cite it (Head of QC to rule: report as not tested at initial testing, or wait for the reissue) | P060122: no initial certificate for #3, #4, #5, #6, #10 — only the retest 220-1-K-26 of 25.08.2026 / 220-1-M-26 of 11.09.2026; the legacy CoQ cannot cite it (Head of QC to rule: report as not tested at initial testing, or wait for the reissue) | P060132: no initial certificate for #3, #4, #5, #6, #10 — only the retest 220-6-K-26 of 25.08.2026 / 220-6-M-26 of 11.09.2026; the legacy CoQ cannot cite it (Head of QC to rule: report as not tested at initial testing, or wait for the reissue) | P060112: no initial certificate for #3, #4, #5, #6, #10 — only the retest 220-25-K-26 of 26.08.2026 / 220-25-M-26 of 11.09.2026; the legacy CoQ cannot cite it (Head of QC to rule: report as not tested at initial testing, or wait for the reissue) | P060372: no initial certificate on file — the CoQ keeps its planned number with a provisional date 06.06.2026 | P060372: no initial certificate for #3, #4, #5, #6, #10 — only the retest 220-29-K-26 of 26.08.2026 / 220-29-M-26 of 11.09.2026; the post-SOP CoQ cannot cite it (Head of QC to rule: report as not tested at initial testing, or wait for the reissue) | P060492: no initial certificate on file — the CoQ keeps its planned number with a provisional date 13.08.2026 | P060492: no initial certificate for #3, #4, #5, #6, #10 — only the retest 220-30-K-26 of 26.08.2026 / 220-30-M-26 of 11.09.2026; the post-SOP CoQ cannot cite it (Head of QC to rule: report as not tested at initial testing, or wait for the reissue) | FB042601: no initial certificate for #3, #4, #5, #6, #10 — only the retest 220-31-K-26 of 26.08.2026 / 220-31-M-26 of 11.09.2026; the — CoQ cannot cite it (Head of QC to rule: report as not tested at initial testing, or wait for the reissue) | CC042601: no initial certificate for #3, #4, #5, #6, #10 — only the retest 220-32-K-26 of 26.08.2026 / 220-32-M-26 of 11.09.2026; the — CoQ cannot cite it (Head of QC to rule: report as not tested at initial testing, or wait for the reissue)</t>
        </is>
      </c>
    </row>
    <row r="4">
      <c r="A4" s="16" t="inlineStr">
        <is>
          <t>Source: CoQ_Analysis_Master_v50.xlsx, sheets iCoA Register and Batch Dates; dates from the Head of QC's list of 04.09.2026; the issuance plan of 31.08.2026 for the plan references.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2026-09-20T15:33:45Z</dcterms:created>
  <dcterms:modified xmlns:dcterms="http://purl.org/dc/terms/" xmlns:xsi="http://www.w3.org/2001/XMLSchema-instance" xsi:type="dcterms:W3CDTF">2026-09-20T15:33:45Z</dcterms:modified>
</cp:coreProperties>
</file>