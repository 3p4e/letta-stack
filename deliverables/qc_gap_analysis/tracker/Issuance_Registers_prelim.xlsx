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2" headerRowCount="1">
  <autoFilter ref="A1:AB212"/>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GG012601＊</t>
        </is>
      </c>
      <c r="J75" s="2" t="inlineStr">
        <is>
          <t>P060302</t>
        </is>
      </c>
      <c r="K75" s="2" t="inlineStr">
        <is>
          <t>Gorilla Glue</t>
        </is>
      </c>
      <c r="L75" s="2" t="inlineStr">
        <is>
          <t>Ident A + Ident B + Foreign matter</t>
        </is>
      </c>
      <c r="M75" s="6" t="inlineStr">
        <is>
          <t>—</t>
        </is>
      </c>
      <c r="N75" s="2">
        <f>IFERROR(INDEX('CoQ Register'!$B:$B,MATCH("P060302|I",'CoQ Register'!$S:$S,0)),"—")</f>
        <v/>
      </c>
      <c r="O75" s="6" t="inlineStr">
        <is>
          <t>—</t>
        </is>
      </c>
      <c r="P75" s="2" t="inlineStr">
        <is>
          <t>11.05.2026</t>
        </is>
      </c>
      <c r="Q75" s="2" t="inlineStr">
        <is>
          <t>27.03.2026</t>
        </is>
      </c>
      <c r="R75" s="2" t="inlineStr">
        <is>
          <t>20.05.2026 (the issuance plan's basis: 11.05.2026)</t>
        </is>
      </c>
      <c r="S75" s="5">
        <f>IFERROR(INDEX('CoQ Register'!$D:$D,MATCH("P060302|I",'CoQ Register'!$S:$S,0)),"")</f>
        <v/>
      </c>
      <c r="T75" s="2" t="inlineStr">
        <is>
          <t>Conforms</t>
        </is>
      </c>
      <c r="U75" s="2" t="inlineStr">
        <is>
          <t>Conforms</t>
        </is>
      </c>
      <c r="V75" s="2" t="inlineStr">
        <is>
          <t>Conforms</t>
        </is>
      </c>
      <c r="W75" s="2" t="inlineStr">
        <is>
          <t>ППК26062, (11.05.2026) [CNP]</t>
        </is>
      </c>
      <c r="X75" s="2" t="inlineStr">
        <is>
          <t>—</t>
        </is>
      </c>
      <c r="Y75" s="2" t="inlineStr">
        <is>
          <t>—</t>
        </is>
      </c>
      <c r="Z75" s="2" t="inlineStr">
        <is>
          <t>—</t>
        </is>
      </c>
      <c r="AA75" s="2" t="inlineStr">
        <is>
          <t>P060302|I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JD012601＊</t>
        </is>
      </c>
      <c r="J76" s="2" t="inlineStr">
        <is>
          <t>P060312</t>
        </is>
      </c>
      <c r="K76" s="2" t="inlineStr">
        <is>
          <t>Jelly Donutz</t>
        </is>
      </c>
      <c r="L76" s="2" t="inlineStr">
        <is>
          <t>Ident A + Ident B + Foreign matter</t>
        </is>
      </c>
      <c r="M76" s="6" t="inlineStr">
        <is>
          <t>—</t>
        </is>
      </c>
      <c r="N76" s="2">
        <f>IFERROR(INDEX('CoQ Register'!$B:$B,MATCH("P060312|I",'CoQ Register'!$S:$S,0)),"—")</f>
        <v/>
      </c>
      <c r="O76" s="6" t="inlineStr">
        <is>
          <t>—</t>
        </is>
      </c>
      <c r="P76" s="2" t="inlineStr">
        <is>
          <t>11.05.2026</t>
        </is>
      </c>
      <c r="Q76" s="2" t="inlineStr">
        <is>
          <t>27.03.2026</t>
        </is>
      </c>
      <c r="R76" s="2" t="inlineStr">
        <is>
          <t>21.05.2026 (the issuance plan's basis: 11.05.2026)</t>
        </is>
      </c>
      <c r="S76" s="5">
        <f>IFERROR(INDEX('CoQ Register'!$D:$D,MATCH("P060312|I",'CoQ Register'!$S:$S,0)),"")</f>
        <v/>
      </c>
      <c r="T76" s="2" t="inlineStr">
        <is>
          <t>Conforms</t>
        </is>
      </c>
      <c r="U76" s="2" t="inlineStr">
        <is>
          <t>Conforms</t>
        </is>
      </c>
      <c r="V76" s="2" t="inlineStr">
        <is>
          <t>Conforms</t>
        </is>
      </c>
      <c r="W76" s="2" t="inlineStr">
        <is>
          <t>ППК26064, (11.05.2026) [CNP]</t>
        </is>
      </c>
      <c r="X76" s="2" t="inlineStr">
        <is>
          <t>—</t>
        </is>
      </c>
      <c r="Y76" s="2" t="inlineStr">
        <is>
          <t>—</t>
        </is>
      </c>
      <c r="Z76" s="2" t="inlineStr">
        <is>
          <t>—</t>
        </is>
      </c>
      <c r="AA76" s="2" t="inlineStr">
        <is>
          <t>P060312|I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FB012601_1</t>
        </is>
      </c>
      <c r="J77" s="2" t="inlineStr">
        <is>
          <t>P060322</t>
        </is>
      </c>
      <c r="K77" s="2" t="inlineStr">
        <is>
          <t>Fat Bastard</t>
        </is>
      </c>
      <c r="L77" s="2" t="inlineStr">
        <is>
          <t>Ident A + Ident B + Foreign matter</t>
        </is>
      </c>
      <c r="M77" s="6" t="inlineStr">
        <is>
          <t>—</t>
        </is>
      </c>
      <c r="N77" s="2">
        <f>IFERROR(INDEX('CoQ Register'!$B:$B,MATCH("P060322|I",'CoQ Register'!$S:$S,0)),"—")</f>
        <v/>
      </c>
      <c r="O77" s="2" t="inlineStr">
        <is>
          <t>iCoA-PP-2026-0019</t>
        </is>
      </c>
      <c r="P77" s="2" t="inlineStr">
        <is>
          <t>22.05.2026</t>
        </is>
      </c>
      <c r="Q77" s="2" t="inlineStr">
        <is>
          <t>27.03.2026</t>
        </is>
      </c>
      <c r="R77" s="2" t="inlineStr">
        <is>
          <t>22.05.2026</t>
        </is>
      </c>
      <c r="S77" s="5">
        <f>IFERROR(INDEX('CoQ Register'!$D:$D,MATCH("P060322|I",'CoQ Register'!$S:$S,0)),"")</f>
        <v/>
      </c>
      <c r="T77" s="2" t="inlineStr">
        <is>
          <t>Conforms</t>
        </is>
      </c>
      <c r="U77" s="2" t="inlineStr">
        <is>
          <t>Conforms</t>
        </is>
      </c>
      <c r="V77" s="2" t="inlineStr">
        <is>
          <t>Conforms</t>
        </is>
      </c>
      <c r="W77" s="2" t="inlineStr">
        <is>
          <t>ППК26067, (11.05.2026) [CNP]</t>
        </is>
      </c>
      <c r="X77" s="2" t="inlineStr">
        <is>
          <t>—</t>
        </is>
      </c>
      <c r="Y77" s="2" t="inlineStr">
        <is>
          <t>—</t>
        </is>
      </c>
      <c r="Z77" s="2" t="inlineStr">
        <is>
          <t>—</t>
        </is>
      </c>
      <c r="AA77" s="2" t="inlineStr">
        <is>
          <t>P060322|I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CC012601/1</t>
        </is>
      </c>
      <c r="J78" s="2" t="inlineStr">
        <is>
          <t>P060332</t>
        </is>
      </c>
      <c r="K78" s="2" t="inlineStr">
        <is>
          <t>Cash Cow</t>
        </is>
      </c>
      <c r="L78" s="2" t="inlineStr">
        <is>
          <t>Ident A + Ident B + Foreign matter</t>
        </is>
      </c>
      <c r="M78" s="6" t="inlineStr">
        <is>
          <t>—</t>
        </is>
      </c>
      <c r="N78" s="2">
        <f>IFERROR(INDEX('CoQ Register'!$B:$B,MATCH("P060332|I",'CoQ Register'!$S:$S,0)),"—")</f>
        <v/>
      </c>
      <c r="O78" s="6" t="inlineStr">
        <is>
          <t>—</t>
        </is>
      </c>
      <c r="P78" s="2" t="inlineStr">
        <is>
          <t>10.08.2026</t>
        </is>
      </c>
      <c r="Q78" s="2" t="inlineStr">
        <is>
          <t>16.04.2026</t>
        </is>
      </c>
      <c r="R78" s="2" t="inlineStr">
        <is>
          <t>22.05.2026 (the issuance plan's basis: 10.08.2026)</t>
        </is>
      </c>
      <c r="S78" s="5">
        <f>IFERROR(INDEX('CoQ Register'!$D:$D,MATCH("P060332|I",'CoQ Register'!$S:$S,0)),"")</f>
        <v/>
      </c>
      <c r="T78" s="2" t="inlineStr">
        <is>
          <t>Conforms</t>
        </is>
      </c>
      <c r="U78" s="2" t="inlineStr">
        <is>
          <t>Conforms</t>
        </is>
      </c>
      <c r="V78" s="2" t="inlineStr">
        <is>
          <t>Conforms</t>
        </is>
      </c>
      <c r="W78" s="2" t="inlineStr">
        <is>
          <t>— no cannabinoid certificate from the initial testing —</t>
        </is>
      </c>
      <c r="X78" s="2" t="inlineStr">
        <is>
          <t>—</t>
        </is>
      </c>
      <c r="Y78" s="2" t="inlineStr">
        <is>
          <t>—</t>
        </is>
      </c>
      <c r="Z78" s="2" t="inlineStr">
        <is>
          <t>—</t>
        </is>
      </c>
      <c r="AA78" s="2" t="inlineStr">
        <is>
          <t>P060332|I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FB012603V</t>
        </is>
      </c>
      <c r="J79" s="2" t="inlineStr">
        <is>
          <t>P060392</t>
        </is>
      </c>
      <c r="K79" s="2" t="inlineStr">
        <is>
          <t>Fat Bastard</t>
        </is>
      </c>
      <c r="L79" s="2" t="inlineStr">
        <is>
          <t>Ident A + Ident B + Foreign matter</t>
        </is>
      </c>
      <c r="M79" s="2" t="inlineStr">
        <is>
          <t>A: ППК26110 / B: ППК26110 / FM: ППК26110</t>
        </is>
      </c>
      <c r="N79" s="2">
        <f>IFERROR(INDEX('CoQ Register'!$B:$B,MATCH("P060392|I",'CoQ Register'!$S:$S,0)),"—")</f>
        <v/>
      </c>
      <c r="O79" s="6" t="inlineStr">
        <is>
          <t>—</t>
        </is>
      </c>
      <c r="P79" s="2" t="inlineStr">
        <is>
          <t>30.06.2026</t>
        </is>
      </c>
      <c r="Q79" s="2" t="inlineStr">
        <is>
          <t>29.04.2026</t>
        </is>
      </c>
      <c r="R79" s="2" t="inlineStr">
        <is>
          <t>23.05.2026 (the issuance plan's basis: 30.06.2026)</t>
        </is>
      </c>
      <c r="S79" s="5">
        <f>IFERROR(INDEX('CoQ Register'!$D:$D,MATCH("P060392|I",'CoQ Register'!$S:$S,0)),"")</f>
        <v/>
      </c>
      <c r="T79" s="2" t="inlineStr">
        <is>
          <t>CNP ППК26110</t>
        </is>
      </c>
      <c r="U79" s="2" t="inlineStr">
        <is>
          <t>CNP ППК26110</t>
        </is>
      </c>
      <c r="V79" s="2" t="inlineStr">
        <is>
          <t>CNP ППК26110</t>
        </is>
      </c>
      <c r="W79" s="2" t="inlineStr">
        <is>
          <t>ППК26110, (30.06.2026) [CNP]</t>
        </is>
      </c>
      <c r="X79" s="2" t="inlineStr">
        <is>
          <t>—</t>
        </is>
      </c>
      <c r="Y79" s="2" t="inlineStr">
        <is>
          <t>—</t>
        </is>
      </c>
      <c r="Z79" s="2" t="inlineStr">
        <is>
          <t>—</t>
        </is>
      </c>
      <c r="AA79" s="2" t="inlineStr">
        <is>
          <t>P060392|I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JD012603</t>
        </is>
      </c>
      <c r="J80" s="2" t="inlineStr">
        <is>
          <t>P060422</t>
        </is>
      </c>
      <c r="K80" s="2" t="inlineStr">
        <is>
          <t>Jelly Donutz</t>
        </is>
      </c>
      <c r="L80" s="2" t="inlineStr">
        <is>
          <t>Ident A + Ident B + Foreign matter</t>
        </is>
      </c>
      <c r="M80" s="2" t="inlineStr">
        <is>
          <t>A: ППК26111 / B: ППК26111 / FM: ППК26111</t>
        </is>
      </c>
      <c r="N80" s="2">
        <f>IFERROR(INDEX('CoQ Register'!$B:$B,MATCH("P060422|I",'CoQ Register'!$S:$S,0)),"—")</f>
        <v/>
      </c>
      <c r="O80" s="2" t="inlineStr">
        <is>
          <t>iCoA-PP-2026-0022</t>
        </is>
      </c>
      <c r="P80" s="2" t="inlineStr">
        <is>
          <t>23.05.2026</t>
        </is>
      </c>
      <c r="Q80" s="2" t="inlineStr">
        <is>
          <t>29.04.2026</t>
        </is>
      </c>
      <c r="R80" s="2" t="inlineStr">
        <is>
          <t>23.05.2026</t>
        </is>
      </c>
      <c r="S80" s="5">
        <f>IFERROR(INDEX('CoQ Register'!$D:$D,MATCH("P060422|I",'CoQ Register'!$S:$S,0)),"")</f>
        <v/>
      </c>
      <c r="T80" s="2" t="inlineStr">
        <is>
          <t>CNP ППК26111</t>
        </is>
      </c>
      <c r="U80" s="2" t="inlineStr">
        <is>
          <t>CNP ППК26111</t>
        </is>
      </c>
      <c r="V80" s="2" t="inlineStr">
        <is>
          <t>CNP ППК26111</t>
        </is>
      </c>
      <c r="W80" s="2" t="inlineStr">
        <is>
          <t>ППК26111, (30.06.2026) [CNP]</t>
        </is>
      </c>
      <c r="X80" s="2" t="inlineStr">
        <is>
          <t>—</t>
        </is>
      </c>
      <c r="Y80" s="2" t="inlineStr">
        <is>
          <t>—</t>
        </is>
      </c>
      <c r="Z80" s="2" t="inlineStr">
        <is>
          <t>—</t>
        </is>
      </c>
      <c r="AA80" s="2" t="inlineStr">
        <is>
          <t>P060422|I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JD012603</t>
        </is>
      </c>
      <c r="J81" s="2" t="inlineStr">
        <is>
          <t>P060362</t>
        </is>
      </c>
      <c r="K81" s="2" t="inlineStr">
        <is>
          <t>Jelly Donutz</t>
        </is>
      </c>
      <c r="L81" s="2" t="inlineStr">
        <is>
          <t>Ident A + Ident B + Foreign matter</t>
        </is>
      </c>
      <c r="M81" s="2" t="inlineStr">
        <is>
          <t>A: ППК26111 / B: ППК26111 / FM: ППК26111</t>
        </is>
      </c>
      <c r="N81" s="2">
        <f>IFERROR(INDEX('CoQ Register'!$B:$B,MATCH("P060362|I",'CoQ Register'!$S:$S,0)),"—")</f>
        <v/>
      </c>
      <c r="O81" s="2" t="inlineStr">
        <is>
          <t>iCoA-PP-2026-0020</t>
        </is>
      </c>
      <c r="P81" s="2" t="inlineStr">
        <is>
          <t>23.05.2026</t>
        </is>
      </c>
      <c r="Q81" s="2" t="inlineStr">
        <is>
          <t>22.04.2026</t>
        </is>
      </c>
      <c r="R81" s="2" t="inlineStr">
        <is>
          <t>23.05.2026</t>
        </is>
      </c>
      <c r="S81" s="5">
        <f>IFERROR(INDEX('CoQ Register'!$D:$D,MATCH("P060362|I",'CoQ Register'!$S:$S,0)),"")</f>
        <v/>
      </c>
      <c r="T81" s="2" t="inlineStr">
        <is>
          <t>CNP ППК26111</t>
        </is>
      </c>
      <c r="U81" s="2" t="inlineStr">
        <is>
          <t>CNP ППК26111</t>
        </is>
      </c>
      <c r="V81" s="2" t="inlineStr">
        <is>
          <t>CNP ППК26111</t>
        </is>
      </c>
      <c r="W81" s="2" t="inlineStr">
        <is>
          <t>— no cannabinoid certificate from the initial testing —</t>
        </is>
      </c>
      <c r="X81" s="2" t="inlineStr">
        <is>
          <t>—</t>
        </is>
      </c>
      <c r="Y81" s="2" t="inlineStr">
        <is>
          <t>—</t>
        </is>
      </c>
      <c r="Z81" s="2" t="inlineStr">
        <is>
          <t>—</t>
        </is>
      </c>
      <c r="AA81" s="2" t="inlineStr">
        <is>
          <t>P060362|I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FB012602*</t>
        </is>
      </c>
      <c r="J82" s="2" t="inlineStr">
        <is>
          <t>P060352</t>
        </is>
      </c>
      <c r="K82" s="2" t="inlineStr">
        <is>
          <t>Fat Bastard</t>
        </is>
      </c>
      <c r="L82" s="2" t="inlineStr">
        <is>
          <t>Ident A + Ident B + Foreign matter</t>
        </is>
      </c>
      <c r="M82" s="6" t="inlineStr">
        <is>
          <t>—</t>
        </is>
      </c>
      <c r="N82" s="2">
        <f>IFERROR(INDEX('CoQ Register'!$B:$B,MATCH("P060352|I",'CoQ Register'!$S:$S,0)),"—")</f>
        <v/>
      </c>
      <c r="O82" s="2" t="inlineStr">
        <is>
          <t>iCoA-PP-2026-0021</t>
        </is>
      </c>
      <c r="P82" s="2" t="inlineStr">
        <is>
          <t>23.05.2026</t>
        </is>
      </c>
      <c r="Q82" s="2" t="inlineStr">
        <is>
          <t>16.04.2026</t>
        </is>
      </c>
      <c r="R82" s="2" t="inlineStr">
        <is>
          <t>23.05.2026</t>
        </is>
      </c>
      <c r="S82" s="5">
        <f>IFERROR(INDEX('CoQ Register'!$D:$D,MATCH("P060352|I",'CoQ Register'!$S:$S,0)),"")</f>
        <v/>
      </c>
      <c r="T82" s="2" t="inlineStr">
        <is>
          <t>Conforms</t>
        </is>
      </c>
      <c r="U82" s="2" t="inlineStr">
        <is>
          <t>Conforms</t>
        </is>
      </c>
      <c r="V82" s="2" t="inlineStr">
        <is>
          <t>Conforms</t>
        </is>
      </c>
      <c r="W82" s="2" t="inlineStr">
        <is>
          <t>— no cannabinoid certificate from the initial testing —</t>
        </is>
      </c>
      <c r="X82" s="2" t="inlineStr">
        <is>
          <t>—</t>
        </is>
      </c>
      <c r="Y82" s="2" t="inlineStr">
        <is>
          <t>—</t>
        </is>
      </c>
      <c r="Z82" s="2" t="inlineStr">
        <is>
          <t>—</t>
        </is>
      </c>
      <c r="AA82" s="2" t="inlineStr">
        <is>
          <t>P060352|I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CC012603</t>
        </is>
      </c>
      <c r="J83" s="2" t="inlineStr">
        <is>
          <t>P060372</t>
        </is>
      </c>
      <c r="K83" s="2" t="inlineStr">
        <is>
          <t>Cash Cow</t>
        </is>
      </c>
      <c r="L83" s="2" t="inlineStr">
        <is>
          <t>Ident A + Ident B + Foreign matter</t>
        </is>
      </c>
      <c r="M83" s="6" t="inlineStr">
        <is>
          <t>—</t>
        </is>
      </c>
      <c r="N83" s="2">
        <f>IFERROR(INDEX('CoQ Register'!$B:$B,MATCH("P060372|I",'CoQ Register'!$S:$S,0)),"—")</f>
        <v/>
      </c>
      <c r="O83" s="2" t="inlineStr">
        <is>
          <t>iCoA-PP-2026-0024</t>
        </is>
      </c>
      <c r="P83" s="2" t="inlineStr">
        <is>
          <t>24.05.2026</t>
        </is>
      </c>
      <c r="Q83" s="2" t="inlineStr">
        <is>
          <t>22.04.2026</t>
        </is>
      </c>
      <c r="R83" s="2" t="inlineStr">
        <is>
          <t>24.05.2026</t>
        </is>
      </c>
      <c r="S83" s="5">
        <f>IFERROR(INDEX('CoQ Register'!$D:$D,MATCH("P060372|I",'CoQ Register'!$S:$S,0)),"")</f>
        <v/>
      </c>
      <c r="T83" s="2" t="inlineStr">
        <is>
          <t>Conforms</t>
        </is>
      </c>
      <c r="U83" s="2" t="inlineStr">
        <is>
          <t>Conforms</t>
        </is>
      </c>
      <c r="V83" s="2" t="inlineStr">
        <is>
          <t>Conforms</t>
        </is>
      </c>
      <c r="W83" s="2" t="inlineStr">
        <is>
          <t>— no cannabinoid certificate from the initial testing —</t>
        </is>
      </c>
      <c r="X83" s="2" t="inlineStr">
        <is>
          <t>—</t>
        </is>
      </c>
      <c r="Y83" s="2" t="inlineStr">
        <is>
          <t>—</t>
        </is>
      </c>
      <c r="Z83" s="2" t="inlineStr">
        <is>
          <t>—</t>
        </is>
      </c>
      <c r="AA83" s="2" t="inlineStr">
        <is>
          <t>P060372|I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GG012603</t>
        </is>
      </c>
      <c r="J84" s="2" t="inlineStr">
        <is>
          <t>P060402</t>
        </is>
      </c>
      <c r="K84" s="2" t="inlineStr">
        <is>
          <t>Gorilla Glue</t>
        </is>
      </c>
      <c r="L84" s="2" t="inlineStr">
        <is>
          <t>Ident A + Ident B + Foreign matter</t>
        </is>
      </c>
      <c r="M84" s="2" t="inlineStr">
        <is>
          <t>A: ППК26114 / B: ППК26114 / FM: ППК26114</t>
        </is>
      </c>
      <c r="N84" s="2">
        <f>IFERROR(INDEX('CoQ Register'!$B:$B,MATCH("P060402|I",'CoQ Register'!$S:$S,0)),"—")</f>
        <v/>
      </c>
      <c r="O84" s="2" t="inlineStr">
        <is>
          <t>iCoA-PP-2026-0023</t>
        </is>
      </c>
      <c r="P84" s="2" t="inlineStr">
        <is>
          <t>24.05.2026</t>
        </is>
      </c>
      <c r="Q84" s="2" t="inlineStr">
        <is>
          <t>04.05.2026</t>
        </is>
      </c>
      <c r="R84" s="2" t="inlineStr">
        <is>
          <t>24.05.2026</t>
        </is>
      </c>
      <c r="S84" s="5">
        <f>IFERROR(INDEX('CoQ Register'!$D:$D,MATCH("P060402|I",'CoQ Register'!$S:$S,0)),"")</f>
        <v/>
      </c>
      <c r="T84" s="2" t="inlineStr">
        <is>
          <t>CNP ППК26114</t>
        </is>
      </c>
      <c r="U84" s="2" t="inlineStr">
        <is>
          <t>CNP ППК26114</t>
        </is>
      </c>
      <c r="V84" s="2" t="inlineStr">
        <is>
          <t>CNP ППК26114</t>
        </is>
      </c>
      <c r="W84" s="2" t="inlineStr">
        <is>
          <t>ППК26114, (30.06.2026) [CNP]</t>
        </is>
      </c>
      <c r="X84" s="2" t="inlineStr">
        <is>
          <t>—</t>
        </is>
      </c>
      <c r="Y84" s="2" t="inlineStr">
        <is>
          <t>—</t>
        </is>
      </c>
      <c r="Z84" s="2" t="inlineStr">
        <is>
          <t>—</t>
        </is>
      </c>
      <c r="AA84" s="2" t="inlineStr">
        <is>
          <t>P060402|I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JD012603</t>
        </is>
      </c>
      <c r="J85" s="2" t="inlineStr">
        <is>
          <t>P060412</t>
        </is>
      </c>
      <c r="K85" s="2" t="inlineStr">
        <is>
          <t>Jelly Donutz</t>
        </is>
      </c>
      <c r="L85" s="2" t="inlineStr">
        <is>
          <t>Ident A + Ident B + Foreign matter</t>
        </is>
      </c>
      <c r="M85" s="2" t="inlineStr">
        <is>
          <t>A: ППК26111 / B: ППК26111 / FM: ППК26111</t>
        </is>
      </c>
      <c r="N85" s="2">
        <f>IFERROR(INDEX('CoQ Register'!$B:$B,MATCH("P060412|I",'CoQ Register'!$S:$S,0)),"—")</f>
        <v/>
      </c>
      <c r="O85" s="2" t="inlineStr">
        <is>
          <t>iCoA-PP-2026-0025</t>
        </is>
      </c>
      <c r="P85" s="2" t="inlineStr">
        <is>
          <t>24.05.2026</t>
        </is>
      </c>
      <c r="Q85" s="2" t="inlineStr">
        <is>
          <t>04.05.2026</t>
        </is>
      </c>
      <c r="R85" s="2" t="inlineStr">
        <is>
          <t>24.05.2026</t>
        </is>
      </c>
      <c r="S85" s="5">
        <f>IFERROR(INDEX('CoQ Register'!$D:$D,MATCH("P060412|I",'CoQ Register'!$S:$S,0)),"")</f>
        <v/>
      </c>
      <c r="T85" s="2" t="inlineStr">
        <is>
          <t>CNP ППК26111</t>
        </is>
      </c>
      <c r="U85" s="2" t="inlineStr">
        <is>
          <t>CNP ППК26111</t>
        </is>
      </c>
      <c r="V85" s="2" t="inlineStr">
        <is>
          <t>CNP ППК26111</t>
        </is>
      </c>
      <c r="W85" s="2" t="inlineStr">
        <is>
          <t>ППК26113, (30.06.2026) [CNP]</t>
        </is>
      </c>
      <c r="X85" s="2" t="inlineStr">
        <is>
          <t>—</t>
        </is>
      </c>
      <c r="Y85" s="2" t="inlineStr">
        <is>
          <t>—</t>
        </is>
      </c>
      <c r="Z85" s="2" t="inlineStr">
        <is>
          <t>—</t>
        </is>
      </c>
      <c r="AA85" s="2" t="inlineStr">
        <is>
          <t>P060412|I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SCR012603</t>
        </is>
      </c>
      <c r="J86" s="2" t="inlineStr">
        <is>
          <t>P060382</t>
        </is>
      </c>
      <c r="K86" s="2" t="inlineStr">
        <is>
          <t>Scrambler</t>
        </is>
      </c>
      <c r="L86" s="2" t="inlineStr">
        <is>
          <t>Ident A + Ident B + Foreign matter</t>
        </is>
      </c>
      <c r="M86" s="6" t="inlineStr">
        <is>
          <t>—</t>
        </is>
      </c>
      <c r="N86" s="2">
        <f>IFERROR(INDEX('CoQ Register'!$B:$B,MATCH("P060382|I",'CoQ Register'!$S:$S,0)),"—")</f>
        <v/>
      </c>
      <c r="O86" s="2" t="inlineStr">
        <is>
          <t>iCoA-PP-2026-0026</t>
        </is>
      </c>
      <c r="P86" s="2" t="inlineStr">
        <is>
          <t>25.05.2026</t>
        </is>
      </c>
      <c r="Q86" s="2" t="inlineStr">
        <is>
          <t>22.04.2026</t>
        </is>
      </c>
      <c r="R86" s="2" t="inlineStr">
        <is>
          <t>25.05.2026</t>
        </is>
      </c>
      <c r="S86" s="5">
        <f>IFERROR(INDEX('CoQ Register'!$D:$D,MATCH("P060382|I",'CoQ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P060382|I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SCR012601*</t>
        </is>
      </c>
      <c r="J87" s="2" t="inlineStr">
        <is>
          <t>P060342</t>
        </is>
      </c>
      <c r="K87" s="2" t="inlineStr">
        <is>
          <t>Scrambler</t>
        </is>
      </c>
      <c r="L87" s="2" t="inlineStr">
        <is>
          <t>Ident A + Ident B + Foreign matter</t>
        </is>
      </c>
      <c r="M87" s="6" t="inlineStr">
        <is>
          <t>—</t>
        </is>
      </c>
      <c r="N87" s="2">
        <f>IFERROR(INDEX('CoQ Register'!$B:$B,MATCH("P060342|I",'CoQ Register'!$S:$S,0)),"—")</f>
        <v/>
      </c>
      <c r="O87" s="6" t="inlineStr">
        <is>
          <t>—</t>
        </is>
      </c>
      <c r="P87" s="2" t="inlineStr">
        <is>
          <t>25.05.2026</t>
        </is>
      </c>
      <c r="Q87" s="2" t="inlineStr">
        <is>
          <t>16.04.2026</t>
        </is>
      </c>
      <c r="R87" s="2" t="inlineStr">
        <is>
          <t>25.05.2026</t>
        </is>
      </c>
      <c r="S87" s="5">
        <f>IFERROR(INDEX('CoQ Register'!$D:$D,MATCH("P060342|I",'CoQ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P060342|I</t>
        </is>
      </c>
      <c r="AB87" s="7" t="inlineStr">
        <is>
          <t>registered — initial release, issued 03.06.2026</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legacy</t>
        </is>
      </c>
      <c r="H88" s="2" t="inlineStr">
        <is>
          <t>initial release</t>
        </is>
      </c>
      <c r="I88" s="3" t="inlineStr">
        <is>
          <t>BSS1024_01/1</t>
        </is>
      </c>
      <c r="J88" s="2" t="inlineStr">
        <is>
          <t>P050122</t>
        </is>
      </c>
      <c r="K88" s="2" t="inlineStr">
        <is>
          <t>Blue Sunset Sherbet</t>
        </is>
      </c>
      <c r="L88" s="2" t="inlineStr">
        <is>
          <t>Ident A + Ident B + Foreign matter</t>
        </is>
      </c>
      <c r="M88" s="6" t="inlineStr">
        <is>
          <t>—</t>
        </is>
      </c>
      <c r="N88" s="2">
        <f>IFERROR(INDEX('CoQ Register'!$B:$B,MATCH("P050122|I",'CoQ Register'!$S:$S,0)),"—")</f>
        <v/>
      </c>
      <c r="O88" s="6" t="inlineStr">
        <is>
          <t>—</t>
        </is>
      </c>
      <c r="P88" s="2" t="inlineStr">
        <is>
          <t>10.07.2025</t>
        </is>
      </c>
      <c r="Q88" s="2" t="inlineStr">
        <is>
          <t>04.06.2025 – 05.06.2025</t>
        </is>
      </c>
      <c r="R88" s="2" t="inlineStr">
        <is>
          <t>01.09.2025 – 09.09.2025 (the issuance plan's basis: 10.07.2025)</t>
        </is>
      </c>
      <c r="S88" s="5">
        <f>IFERROR(INDEX('CoQ Register'!$D:$D,MATCH("P050122|I",'CoQ Register'!$S:$S,0)),"")</f>
        <v/>
      </c>
      <c r="T88" s="2" t="inlineStr">
        <is>
          <t>Conforms</t>
        </is>
      </c>
      <c r="U88" s="2" t="inlineStr">
        <is>
          <t>Conforms</t>
        </is>
      </c>
      <c r="V88" s="2" t="inlineStr">
        <is>
          <t>Conforms</t>
        </is>
      </c>
      <c r="W88" s="2" t="inlineStr">
        <is>
          <t>ППК25176, (10.07.2025) [CNP]</t>
        </is>
      </c>
      <c r="X88" s="2" t="inlineStr">
        <is>
          <t>—</t>
        </is>
      </c>
      <c r="Y88" s="2" t="inlineStr">
        <is>
          <t>—</t>
        </is>
      </c>
      <c r="Z88" s="2" t="inlineStr">
        <is>
          <t>—</t>
        </is>
      </c>
      <c r="AA88" s="2" t="inlineStr">
        <is>
          <t>P050122|I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t>
        </is>
      </c>
      <c r="H89" s="2" t="inlineStr">
        <is>
          <t>initial release</t>
        </is>
      </c>
      <c r="I89" s="3" t="inlineStr">
        <is>
          <t>CC042601</t>
        </is>
      </c>
      <c r="J89" s="2" t="inlineStr">
        <is>
          <t>N/A — no P batch assigned</t>
        </is>
      </c>
      <c r="K89" s="2" t="inlineStr">
        <is>
          <t>Cash Cow</t>
        </is>
      </c>
      <c r="L89" s="2" t="inlineStr">
        <is>
          <t>Ident A + Ident B + Foreign matter</t>
        </is>
      </c>
      <c r="M89" s="6" t="inlineStr">
        <is>
          <t>—</t>
        </is>
      </c>
      <c r="N89" s="2">
        <f>IFERROR(INDEX('CoQ Register'!$B:$B,MATCH("CC042601|I",'CoQ Register'!$S:$S,0)),"—")</f>
        <v/>
      </c>
      <c r="O89" s="6" t="inlineStr">
        <is>
          <t>—</t>
        </is>
      </c>
      <c r="P89" s="2" t="inlineStr">
        <is>
          <t>—</t>
        </is>
      </c>
      <c r="Q89" s="2" t="inlineStr">
        <is>
          <t>— not on the list —</t>
        </is>
      </c>
      <c r="R89" s="2" t="inlineStr">
        <is>
          <t>— not on the list —</t>
        </is>
      </c>
      <c r="S89" s="5">
        <f>IFERROR(INDEX('CoQ Register'!$D:$D,MATCH("CC042601|I",'CoQ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CC042601|I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t>
        </is>
      </c>
      <c r="H90" s="2" t="inlineStr">
        <is>
          <t>initial release</t>
        </is>
      </c>
      <c r="I90" s="3" t="inlineStr">
        <is>
          <t>FB042601</t>
        </is>
      </c>
      <c r="J90" s="2" t="inlineStr">
        <is>
          <t>N/A — no P batch assigned</t>
        </is>
      </c>
      <c r="K90" s="2" t="inlineStr">
        <is>
          <t>Fat Bastard</t>
        </is>
      </c>
      <c r="L90" s="2" t="inlineStr">
        <is>
          <t>Ident A + Ident B + Foreign matter</t>
        </is>
      </c>
      <c r="M90" s="6" t="inlineStr">
        <is>
          <t>—</t>
        </is>
      </c>
      <c r="N90" s="2">
        <f>IFERROR(INDEX('CoQ Register'!$B:$B,MATCH("FB042601|I",'CoQ Register'!$S:$S,0)),"—")</f>
        <v/>
      </c>
      <c r="O90" s="6" t="inlineStr">
        <is>
          <t>—</t>
        </is>
      </c>
      <c r="P90" s="2" t="inlineStr">
        <is>
          <t>—</t>
        </is>
      </c>
      <c r="Q90" s="2" t="inlineStr">
        <is>
          <t>— not on the list —</t>
        </is>
      </c>
      <c r="R90" s="2" t="inlineStr">
        <is>
          <t>— not on the list —</t>
        </is>
      </c>
      <c r="S90" s="5">
        <f>IFERROR(INDEX('CoQ Register'!$D:$D,MATCH("FB042601|I",'CoQ Register'!$S:$S,0)),"")</f>
        <v/>
      </c>
      <c r="T90" s="2" t="inlineStr">
        <is>
          <t>Conforms</t>
        </is>
      </c>
      <c r="U90" s="2" t="inlineStr">
        <is>
          <t>Conforms</t>
        </is>
      </c>
      <c r="V90" s="2" t="inlineStr">
        <is>
          <t>Conforms</t>
        </is>
      </c>
      <c r="W90" s="2" t="inlineStr">
        <is>
          <t>— no cannabinoid certificate from the initial testing —</t>
        </is>
      </c>
      <c r="X90" s="2" t="inlineStr">
        <is>
          <t>—</t>
        </is>
      </c>
      <c r="Y90" s="2" t="inlineStr">
        <is>
          <t>—</t>
        </is>
      </c>
      <c r="Z90" s="2" t="inlineStr">
        <is>
          <t>—</t>
        </is>
      </c>
      <c r="AA90" s="2" t="inlineStr">
        <is>
          <t>FB042601|I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legacy</t>
        </is>
      </c>
      <c r="H91" s="2" t="inlineStr">
        <is>
          <t>initial release</t>
        </is>
      </c>
      <c r="I91" s="3" t="inlineStr">
        <is>
          <t>OMP1024_01</t>
        </is>
      </c>
      <c r="J91" s="2" t="inlineStr">
        <is>
          <t>P050042</t>
        </is>
      </c>
      <c r="K91" s="2" t="inlineStr">
        <is>
          <t>Orange Punch Mimosa</t>
        </is>
      </c>
      <c r="L91" s="2" t="inlineStr">
        <is>
          <t>Ident A + Ident B + Foreign matter</t>
        </is>
      </c>
      <c r="M91" s="6" t="inlineStr">
        <is>
          <t>—</t>
        </is>
      </c>
      <c r="N91" s="2">
        <f>IFERROR(INDEX('CoQ Register'!$B:$B,MATCH("P050042|I",'CoQ Register'!$S:$S,0)),"—")</f>
        <v/>
      </c>
      <c r="O91" s="2" t="inlineStr">
        <is>
          <t>iCoA-PP-2025-0007</t>
        </is>
      </c>
      <c r="P91" s="2" t="inlineStr">
        <is>
          <t>20.06.2025</t>
        </is>
      </c>
      <c r="Q91" s="2" t="inlineStr">
        <is>
          <t>26.03.2025 – 27.03.2025</t>
        </is>
      </c>
      <c r="R91" s="2" t="inlineStr">
        <is>
          <t>20.06.2025</t>
        </is>
      </c>
      <c r="S91" s="5">
        <f>IFERROR(INDEX('CoQ Register'!$D:$D,MATCH("P050042|I",'CoQ Register'!$S:$S,0)),"")</f>
        <v/>
      </c>
      <c r="T91" s="2" t="inlineStr">
        <is>
          <t>Conforms</t>
        </is>
      </c>
      <c r="U91" s="2" t="inlineStr">
        <is>
          <t>Conforms</t>
        </is>
      </c>
      <c r="V91" s="2" t="inlineStr">
        <is>
          <t>Conforms</t>
        </is>
      </c>
      <c r="W91" s="2" t="inlineStr">
        <is>
          <t>ППК25117, (06.05.2025) [CNP]</t>
        </is>
      </c>
      <c r="X91" s="2" t="inlineStr">
        <is>
          <t>—</t>
        </is>
      </c>
      <c r="Y91" s="2" t="inlineStr">
        <is>
          <t>—</t>
        </is>
      </c>
      <c r="Z91" s="2" t="inlineStr">
        <is>
          <t>—</t>
        </is>
      </c>
      <c r="AA91" s="2" t="inlineStr">
        <is>
          <t>P050042|I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25.05.2027</t>
        </is>
      </c>
      <c r="Q158" s="2" t="inlineStr">
        <is>
          <t>16.04.2026</t>
        </is>
      </c>
      <c r="R158" s="2" t="inlineStr">
        <is>
          <t>25.05.2026</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25.05.2027</t>
        </is>
      </c>
      <c r="Q194" s="2" t="inlineStr">
        <is>
          <t>16.04.2026</t>
        </is>
      </c>
      <c r="R194" s="2" t="inlineStr">
        <is>
          <t>25.05.2026</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row r="214" ht="110" customHeight="1">
      <c r="A214"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4:AB214"/>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iCoA-PP_26-024</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PP CoA #027 / 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PP CoA #018 / 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PP CoA #019 / 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PP CoA #020 / 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PP CoA #021 / 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Donutz</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Donutz</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Donutz</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Donutz</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Donutz</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Donutz</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iCoA-PP_26-098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iCoA-PP_26-099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iCoA-PP_26-103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iCoA-PP_26-100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197-4-M-26</t>
        </is>
      </c>
      <c r="H90" s="2">
        <f>IFERROR(INDEX('iCoA Register'!$B:$B,MATCH("P050212|R",'iCoA Register'!$AA:$AA,0)),"—")</f>
        <v/>
      </c>
      <c r="I90" s="5">
        <f>IFERROR(INDEX('iCoA Register'!$D:$D,MATCH("P050212|R",'iCoA Register'!$AA:$AA,0)),"")</f>
        <v/>
      </c>
      <c r="J90" s="2" t="inlineStr">
        <is>
          <t>legacy</t>
        </is>
      </c>
      <c r="K90" s="2" t="inlineStr">
        <is>
          <t>retest — Tranche 1 (sampled 21–24.07.2026)</t>
        </is>
      </c>
      <c r="L90" s="3" t="inlineStr">
        <is>
          <t>CJ062501/2</t>
        </is>
      </c>
      <c r="M90" s="2" t="inlineStr">
        <is>
          <t>P050212</t>
        </is>
      </c>
      <c r="N90" s="2" t="inlineStr">
        <is>
          <t>Cap Junky</t>
        </is>
      </c>
      <c r="O90" s="2" t="inlineStr">
        <is>
          <t>197-4-K-26, (07.08.2026) [FHM-K]</t>
        </is>
      </c>
      <c r="P90" s="6" t="inlineStr">
        <is>
          <t>—</t>
        </is>
      </c>
      <c r="Q90" s="2" t="inlineStr">
        <is>
          <t>—</t>
        </is>
      </c>
      <c r="R90" s="2" t="inlineStr">
        <is>
          <t>CoQ reissue (assigned on issue)</t>
        </is>
      </c>
      <c r="S90" s="2" t="inlineStr">
        <is>
          <t>P050212|R</t>
        </is>
      </c>
      <c r="T90" s="7" t="inlineStr">
        <is>
          <t>registered — retest, Tranche 1 (sampled 21–24.07.2026), sampled 21.07.2026; issued 17.08.2026, 7 days after 197-4-M-26 of 10.08.2026; cites iCoA-PP_26-101 of 27.07.2026</t>
        </is>
      </c>
      <c r="U90" s="2">
        <f>IFERROR(INDEX('CoQ Register'!$B:$B,MATCH("P050212|I",'CoQ Register'!$S:$S,0)),"— initial certificate not on the register —")</f>
        <v/>
      </c>
      <c r="V90" s="9" t="n">
        <v>18.91</v>
      </c>
      <c r="W90" s="2" t="inlineStr">
        <is>
          <t>197-4-К/26</t>
        </is>
      </c>
      <c r="X90" s="2" t="inlineStr">
        <is>
          <t>20.00 ± 1.60 (III)</t>
        </is>
      </c>
      <c r="Y90" s="2" t="inlineStr">
        <is>
          <t>18.40 – 21.59 %</t>
        </is>
      </c>
      <c r="Z90" s="2" t="inlineStr">
        <is>
          <t>CJ_THC20 : CBD1</t>
        </is>
      </c>
      <c r="AA90" s="2" t="inlineStr">
        <is>
          <t>QCSP_001_CJ-III_v.01</t>
        </is>
      </c>
      <c r="AB90" s="10" t="inlineStr">
        <is>
          <t>for review — replaces the issued QCSP_001_CJ-III_v.01 (was CJ_THC24 : CBD1, 23.00 – 25.00 %); now CJ_THC20 : CBD1 18.40 – 21.59 %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197-5-M-26</t>
        </is>
      </c>
      <c r="H91" s="2">
        <f>IFERROR(INDEX('iCoA Register'!$B:$B,MATCH("P060032|R",'iCoA Register'!$AA:$AA,0)),"—")</f>
        <v/>
      </c>
      <c r="I91" s="5">
        <f>IFERROR(INDEX('iCoA Register'!$D:$D,MATCH("P060032|R",'iCoA Register'!$AA:$AA,0)),"")</f>
        <v/>
      </c>
      <c r="J91" s="2" t="inlineStr">
        <is>
          <t>legacy</t>
        </is>
      </c>
      <c r="K91" s="2" t="inlineStr">
        <is>
          <t>retest — Tranche 1 (sampled 21–24.07.2026)</t>
        </is>
      </c>
      <c r="L91" s="3" t="inlineStr">
        <is>
          <t>CJ082501/2</t>
        </is>
      </c>
      <c r="M91" s="2" t="inlineStr">
        <is>
          <t>P060032</t>
        </is>
      </c>
      <c r="N91" s="2" t="inlineStr">
        <is>
          <t>Cap Junky</t>
        </is>
      </c>
      <c r="O91" s="2" t="inlineStr">
        <is>
          <t>197-5-K-26, (07.08.2026) [FHM-K]</t>
        </is>
      </c>
      <c r="P91" s="6" t="inlineStr">
        <is>
          <t>—</t>
        </is>
      </c>
      <c r="Q91" s="2" t="inlineStr">
        <is>
          <t>—</t>
        </is>
      </c>
      <c r="R91" s="2" t="inlineStr">
        <is>
          <t>CoQ reissue (assigned on issue)</t>
        </is>
      </c>
      <c r="S91" s="2" t="inlineStr">
        <is>
          <t>P060032|R</t>
        </is>
      </c>
      <c r="T91" s="7" t="inlineStr">
        <is>
          <t>registered — retest, Tranche 1 (sampled 21–24.07.2026), sampled 21.07.2026; issued 17.08.2026, 7 days after 197-5-M-26 of 10.08.2026; cites iCoA-PP_26-102 of 27.07.2026</t>
        </is>
      </c>
      <c r="U91" s="2">
        <f>IFERROR(INDEX('CoQ Register'!$B:$B,MATCH("P060032|I",'CoQ Register'!$S:$S,0)),"— initial certificate not on the register —")</f>
        <v/>
      </c>
      <c r="V91" s="9" t="n">
        <v>18.29</v>
      </c>
      <c r="W91" s="2" t="inlineStr">
        <is>
          <t>197-5-К/26</t>
        </is>
      </c>
      <c r="X91" s="2" t="inlineStr">
        <is>
          <t>17.00 ± 1.40 (IV)</t>
        </is>
      </c>
      <c r="Y91" s="2" t="inlineStr">
        <is>
          <t>15.60 – 18.39 %</t>
        </is>
      </c>
      <c r="Z91" s="2" t="inlineStr">
        <is>
          <t>CJ_THC17 : CBD1</t>
        </is>
      </c>
      <c r="AA91" s="2" t="inlineStr">
        <is>
          <t>QCSP_001_CJ-IV_v.01</t>
        </is>
      </c>
      <c r="AB91" s="10" t="inlineStr">
        <is>
          <t>for review — replaces the issued QCSP_001_CJ-IV_v.01 (was CJ_THC20 : CBD1, 18.00 – 22.00 %); now CJ_THC17 : CBD1 15.60 – 18.39 %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197-7-M-26</t>
        </is>
      </c>
      <c r="H92" s="2">
        <f>IFERROR(INDEX('iCoA Register'!$B:$B,MATCH("P060352|R",'iCoA Register'!$AA:$AA,0)),"—")</f>
        <v/>
      </c>
      <c r="I92" s="5">
        <f>IFERROR(INDEX('iCoA Register'!$D:$D,MATCH("P060352|R",'iCoA Register'!$AA:$AA,0)),"")</f>
        <v/>
      </c>
      <c r="J92" s="2" t="inlineStr">
        <is>
          <t>post-SOP</t>
        </is>
      </c>
      <c r="K92" s="2" t="inlineStr">
        <is>
          <t>retest — Tranche 1 (sampled 21–24.07.2026)</t>
        </is>
      </c>
      <c r="L92" s="3" t="inlineStr">
        <is>
          <t>FB012602*</t>
        </is>
      </c>
      <c r="M92" s="2" t="inlineStr">
        <is>
          <t>P060352</t>
        </is>
      </c>
      <c r="N92" s="2" t="inlineStr">
        <is>
          <t>Fat Bastard</t>
        </is>
      </c>
      <c r="O92" s="2" t="inlineStr">
        <is>
          <t>197-7-K-26, (07.08.2026) [FHM-K]</t>
        </is>
      </c>
      <c r="P92" s="6" t="inlineStr">
        <is>
          <t>—</t>
        </is>
      </c>
      <c r="Q92" s="2" t="inlineStr">
        <is>
          <t>—</t>
        </is>
      </c>
      <c r="R92" s="2" t="inlineStr">
        <is>
          <t>CoQ reissue (assigned on issue)</t>
        </is>
      </c>
      <c r="S92" s="2" t="inlineStr">
        <is>
          <t>P060352|R</t>
        </is>
      </c>
      <c r="T92" s="7" t="inlineStr">
        <is>
          <t>registered — retest, Tranche 1 (sampled 21–24.07.2026), sampled 22.07.2026; issued 17.08.2026, 7 days after 197-7-M-26 of 10.08.2026; cites iCoA-PP_26-107 of 27.07.2026</t>
        </is>
      </c>
      <c r="U92" s="2">
        <f>IFERROR(INDEX('CoQ Register'!$B:$B,MATCH("P060352|I",'CoQ Register'!$S:$S,0)),"— initial certificate not on the register —")</f>
        <v/>
      </c>
      <c r="V92" s="9" t="n">
        <v>18.86</v>
      </c>
      <c r="W92" s="2" t="inlineStr">
        <is>
          <t>197-7-К/26</t>
        </is>
      </c>
      <c r="X92" s="2" t="inlineStr">
        <is>
          <t>18.00 ± 1.80 (II)</t>
        </is>
      </c>
      <c r="Y92" s="2" t="inlineStr">
        <is>
          <t>16.20 – 19.79 %</t>
        </is>
      </c>
      <c r="Z92" s="2" t="inlineStr">
        <is>
          <t>FB_THC18 : CBD1</t>
        </is>
      </c>
      <c r="AA92" s="2" t="inlineStr">
        <is>
          <t>QCSP_001_FB-II_v.01</t>
        </is>
      </c>
      <c r="AB92" s="10" t="inlineStr">
        <is>
          <t>for review — replaces the issued QCSP_001_FB-II_v.01 (was FB_THC18 : CBD1, 17.15 – 18.85 %); now FB_THC18 : CBD1 16.20 – 19.79 %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197-8-M-26</t>
        </is>
      </c>
      <c r="H93" s="2">
        <f>IFERROR(INDEX('iCoA Register'!$B:$B,MATCH("P060402|R",'iCoA Register'!$AA:$AA,0)),"—")</f>
        <v/>
      </c>
      <c r="I93" s="5">
        <f>IFERROR(INDEX('iCoA Register'!$D:$D,MATCH("P060402|R",'iCoA Register'!$AA:$AA,0)),"")</f>
        <v/>
      </c>
      <c r="J93" s="2" t="inlineStr">
        <is>
          <t>post-SOP</t>
        </is>
      </c>
      <c r="K93" s="2" t="inlineStr">
        <is>
          <t>retest — Tranche 1 (sampled 21–24.07.2026)</t>
        </is>
      </c>
      <c r="L93" s="3" t="inlineStr">
        <is>
          <t>GG012603</t>
        </is>
      </c>
      <c r="M93" s="2" t="inlineStr">
        <is>
          <t>P060402</t>
        </is>
      </c>
      <c r="N93" s="2" t="inlineStr">
        <is>
          <t>Gorilla Glue</t>
        </is>
      </c>
      <c r="O93" s="2" t="inlineStr">
        <is>
          <t>197-8-K-26, (07.08.2026) [FHM-K]</t>
        </is>
      </c>
      <c r="P93" s="6" t="inlineStr">
        <is>
          <t>—</t>
        </is>
      </c>
      <c r="Q93" s="2" t="inlineStr">
        <is>
          <t>—</t>
        </is>
      </c>
      <c r="R93" s="2" t="inlineStr">
        <is>
          <t>CoQ reissue (assigned on issue)</t>
        </is>
      </c>
      <c r="S93" s="2" t="inlineStr">
        <is>
          <t>P060402|R</t>
        </is>
      </c>
      <c r="T93" s="7" t="inlineStr">
        <is>
          <t>registered — retest, Tranche 1 (sampled 21–24.07.2026), sampled 22.07.2026; issued 17.08.2026, 7 days after 197-8-M-26 of 10.08.2026; cites iCoA-PP_26-108 of 27.07.2026</t>
        </is>
      </c>
      <c r="U93" s="2">
        <f>IFERROR(INDEX('CoQ Register'!$B:$B,MATCH("P060402|I",'CoQ Register'!$S:$S,0)),"— initial certificate not on the register —")</f>
        <v/>
      </c>
      <c r="V93" s="9" t="n">
        <v>16.7</v>
      </c>
      <c r="W93" s="2" t="inlineStr">
        <is>
          <t>197-8-К/26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197-9-M-26</t>
        </is>
      </c>
      <c r="H94" s="2">
        <f>IFERROR(INDEX('iCoA Register'!$B:$B,MATCH("P050092|R",'iCoA Register'!$AA:$AA,0)),"—")</f>
        <v/>
      </c>
      <c r="I94" s="5">
        <f>IFERROR(INDEX('iCoA Register'!$D:$D,MATCH("P050092|R",'iCoA Register'!$AA:$AA,0)),"")</f>
        <v/>
      </c>
      <c r="J94" s="2" t="inlineStr">
        <is>
          <t>legacy</t>
        </is>
      </c>
      <c r="K94" s="2" t="inlineStr">
        <is>
          <t>retest — Tranche 1 (sampled 21–24.07.2026)</t>
        </is>
      </c>
      <c r="L94" s="3" t="inlineStr">
        <is>
          <t>GG1024_01</t>
        </is>
      </c>
      <c r="M94" s="2" t="inlineStr">
        <is>
          <t>P050092</t>
        </is>
      </c>
      <c r="N94" s="2" t="inlineStr">
        <is>
          <t>Gorilla Glue</t>
        </is>
      </c>
      <c r="O94" s="2" t="inlineStr">
        <is>
          <t>197-9-K-26, (07.08.2026) [FHM-K]</t>
        </is>
      </c>
      <c r="P94" s="6" t="inlineStr">
        <is>
          <t>—</t>
        </is>
      </c>
      <c r="Q94" s="2" t="inlineStr">
        <is>
          <t>—</t>
        </is>
      </c>
      <c r="R94" s="2" t="inlineStr">
        <is>
          <t>CoQ-PP-2026-0038</t>
        </is>
      </c>
      <c r="S94" s="2" t="inlineStr">
        <is>
          <t>P050092|R</t>
        </is>
      </c>
      <c r="T94" s="7" t="inlineStr">
        <is>
          <t>registered — retest, Tranche 1 (sampled 21–24.07.2026), sampled 22.07.2026; issued 17.08.2026, 7 days after 197-9-M-26 of 10.08.2026; cites iCoA-PP_26-104 of 27.07.2026</t>
        </is>
      </c>
      <c r="U94" s="2">
        <f>IFERROR(INDEX('CoQ Register'!$B:$B,MATCH("P050092|I",'CoQ Register'!$S:$S,0)),"— initial certificate not on the register —")</f>
        <v/>
      </c>
      <c r="V94" s="9" t="n">
        <v>18.67</v>
      </c>
      <c r="W94" s="2" t="inlineStr">
        <is>
          <t>197-9-К/26</t>
        </is>
      </c>
      <c r="X94" s="2" t="inlineStr">
        <is>
          <t>18.00 ± 1.77 (I)</t>
        </is>
      </c>
      <c r="Y94" s="2" t="inlineStr">
        <is>
          <t>16.23 – 19.76 %</t>
        </is>
      </c>
      <c r="Z94" s="2" t="inlineStr">
        <is>
          <t>GG_THC18 : CBD1</t>
        </is>
      </c>
      <c r="AA94" s="2" t="inlineStr">
        <is>
          <t>QCSP_001_GG-I_v.01</t>
        </is>
      </c>
      <c r="AB94" s="10" t="inlineStr">
        <is>
          <t>for review — replaces the issued QCSP_001_GG-I_v.01 (was GG_THC18 : CBD1, 17.01 – 18.99 %); now GG_THC18 : CBD1 16.23 – 19.76 %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197-10-M-26</t>
        </is>
      </c>
      <c r="H95" s="2">
        <f>IFERROR(INDEX('iCoA Register'!$B:$B,MATCH("P050152|R",'iCoA Register'!$AA:$AA,0)),"—")</f>
        <v/>
      </c>
      <c r="I95" s="5">
        <f>IFERROR(INDEX('iCoA Register'!$D:$D,MATCH("P050152|R",'iCoA Register'!$AA:$AA,0)),"")</f>
        <v/>
      </c>
      <c r="J95" s="2" t="inlineStr">
        <is>
          <t>legacy</t>
        </is>
      </c>
      <c r="K95" s="2" t="inlineStr">
        <is>
          <t>retest — Tranche 1 (sampled 21–24.07.2026)</t>
        </is>
      </c>
      <c r="L95" s="3" t="inlineStr">
        <is>
          <t>GP052501</t>
        </is>
      </c>
      <c r="M95" s="2" t="inlineStr">
        <is>
          <t>P050152</t>
        </is>
      </c>
      <c r="N95" s="2" t="inlineStr">
        <is>
          <t>Grape Pie</t>
        </is>
      </c>
      <c r="O95" s="2" t="inlineStr">
        <is>
          <t>197-10-K-26, (07.08.2026) [FHM-K]</t>
        </is>
      </c>
      <c r="P95" s="6" t="inlineStr">
        <is>
          <t>—</t>
        </is>
      </c>
      <c r="Q95" s="2" t="inlineStr">
        <is>
          <t>—</t>
        </is>
      </c>
      <c r="R95" s="2" t="inlineStr">
        <is>
          <t>CoQ reissue (assigned on issue)</t>
        </is>
      </c>
      <c r="S95" s="2" t="inlineStr">
        <is>
          <t>P050152|R</t>
        </is>
      </c>
      <c r="T95" s="7" t="inlineStr">
        <is>
          <t>registered — retest, Tranche 1 (sampled 21–24.07.2026), sampled 22.07.2026; issued 17.08.2026, 7 days after 197-10-M-26 of 10.08.2026; cites iCoA-PP_26-105 of 27.07.2026</t>
        </is>
      </c>
      <c r="U95" s="2">
        <f>IFERROR(INDEX('CoQ Register'!$B:$B,MATCH("P050152|I",'CoQ Register'!$S:$S,0)),"— initial certificate not on the register —")</f>
        <v/>
      </c>
      <c r="V95" s="9" t="n">
        <v>18.52</v>
      </c>
      <c r="W95" s="2" t="inlineStr">
        <is>
          <t>197-10-К/26</t>
        </is>
      </c>
      <c r="X95" s="2" t="inlineStr">
        <is>
          <t>20.00 ± 2.00 (III)</t>
        </is>
      </c>
      <c r="Y95" s="2" t="inlineStr">
        <is>
          <t>18.00 – 21.99 %</t>
        </is>
      </c>
      <c r="Z95" s="2" t="inlineStr">
        <is>
          <t>GP_THC20 : CBD1</t>
        </is>
      </c>
      <c r="AA95" s="2" t="inlineStr">
        <is>
          <t>QCSP_001_GP-III_v.01</t>
        </is>
      </c>
      <c r="AB95" s="10" t="inlineStr">
        <is>
          <t>for review — replaces the issued QCSP_001_GP-III_v.01 (was GP_THC24 : CBD1, 22.61 – 25.39 %); now GP_THC20 : CBD1 18.00 – 21.99 %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197-11-M-26</t>
        </is>
      </c>
      <c r="H96" s="2">
        <f>IFERROR(INDEX('iCoA Register'!$B:$B,MATCH("P050022|R5",'iCoA Register'!$AA:$AA,0)),"—")</f>
        <v/>
      </c>
      <c r="I96" s="5">
        <f>IFERROR(INDEX('iCoA Register'!$D:$D,MATCH("P050022|R5",'iCoA Register'!$AA:$AA,0)),"")</f>
        <v/>
      </c>
      <c r="J96" s="2" t="inlineStr">
        <is>
          <t>legacy</t>
        </is>
      </c>
      <c r="K96" s="2" t="inlineStr">
        <is>
          <t>retest — Tranche 1 (sampled 21–24.07.2026)</t>
        </is>
      </c>
      <c r="L96" s="3" t="inlineStr">
        <is>
          <t>GP0824_02</t>
        </is>
      </c>
      <c r="M96" s="2" t="inlineStr">
        <is>
          <t>P050022</t>
        </is>
      </c>
      <c r="N96" s="2" t="inlineStr">
        <is>
          <t>Grape Pie</t>
        </is>
      </c>
      <c r="O96" s="2" t="inlineStr">
        <is>
          <t>197-11-K-26, (07.08.2026) [FHM-K]</t>
        </is>
      </c>
      <c r="P96" s="6" t="inlineStr">
        <is>
          <t>—</t>
        </is>
      </c>
      <c r="Q96" s="2" t="inlineStr">
        <is>
          <t>—</t>
        </is>
      </c>
      <c r="R96" s="2" t="inlineStr">
        <is>
          <t>CoQ-PP-2026-0032</t>
        </is>
      </c>
      <c r="S96" s="2" t="inlineStr">
        <is>
          <t>P050022|R5</t>
        </is>
      </c>
      <c r="T96" s="7" t="inlineStr">
        <is>
          <t>registered — retest, Tranche 1 (sampled 21–24.07.2026), sampled 22.07.2026; issued 17.08.2026, 7 days after 197-11-M-26 of 10.08.2026; cites the campaign iCoA of 27.07.2026</t>
        </is>
      </c>
      <c r="U96" s="2">
        <f>IFERROR(INDEX('CoQ Register'!$B:$B,MATCH("P050022|I",'CoQ Register'!$S:$S,0)),"— initial certificate not on the register —")</f>
        <v/>
      </c>
      <c r="V96" s="9" t="n">
        <v>22.61</v>
      </c>
      <c r="W96" s="2" t="inlineStr">
        <is>
          <t>197-11-К/26</t>
        </is>
      </c>
      <c r="X96" s="2" t="inlineStr">
        <is>
          <t>24.00 ± 2.00 (II)</t>
        </is>
      </c>
      <c r="Y96" s="2" t="inlineStr">
        <is>
          <t>22.00 – 25.99 %</t>
        </is>
      </c>
      <c r="Z96" s="2" t="inlineStr">
        <is>
          <t>GP_THC24 : CBD1</t>
        </is>
      </c>
      <c r="AA96" s="2" t="inlineStr">
        <is>
          <t>QCSP_001_GP-II_v.01</t>
        </is>
      </c>
      <c r="AB96" s="10" t="inlineStr">
        <is>
          <t>for review — replaces the issued QCSP_001_GP-II_v.01 (was GP_THC26 : CBD1, 25.40 – 26.60 %); now GP_THC24 : CBD1 22.00 – 25.99 %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197-12-M-26</t>
        </is>
      </c>
      <c r="H97" s="2">
        <f>IFERROR(INDEX('iCoA Register'!$B:$B,MATCH("P050322|R",'iCoA Register'!$AA:$AA,0)),"—")</f>
        <v/>
      </c>
      <c r="I97" s="5">
        <f>IFERROR(INDEX('iCoA Register'!$D:$D,MATCH("P050322|R",'iCoA Register'!$AA:$AA,0)),"")</f>
        <v/>
      </c>
      <c r="J97" s="2" t="inlineStr">
        <is>
          <t>legacy</t>
        </is>
      </c>
      <c r="K97" s="2" t="inlineStr">
        <is>
          <t>retest — Tranche 1 (sampled 21–24.07.2026)</t>
        </is>
      </c>
      <c r="L97" s="3" t="inlineStr">
        <is>
          <t>GP082501/2</t>
        </is>
      </c>
      <c r="M97" s="2" t="inlineStr">
        <is>
          <t>P050322</t>
        </is>
      </c>
      <c r="N97" s="2" t="inlineStr">
        <is>
          <t>Grape Pie</t>
        </is>
      </c>
      <c r="O97" s="2" t="inlineStr">
        <is>
          <t>197-12-K-26, (07.08.2026) [FHM-K]</t>
        </is>
      </c>
      <c r="P97" s="6" t="inlineStr">
        <is>
          <t>—</t>
        </is>
      </c>
      <c r="Q97" s="2" t="inlineStr">
        <is>
          <t>—</t>
        </is>
      </c>
      <c r="R97" s="2" t="inlineStr">
        <is>
          <t>CoQ reissue (assigned on issue)</t>
        </is>
      </c>
      <c r="S97" s="2" t="inlineStr">
        <is>
          <t>P050322|R</t>
        </is>
      </c>
      <c r="T97" s="7" t="inlineStr">
        <is>
          <t>registered — retest, Tranche 1 (sampled 21–24.07.2026), sampled 23.07.2026; issued 17.08.2026, 7 days after 197-12-M-26 of 10.08.2026; cites iCoA-PP_26-109 of 27.07.2026</t>
        </is>
      </c>
      <c r="U97" s="2">
        <f>IFERROR(INDEX('CoQ Register'!$B:$B,MATCH("P050322|I",'CoQ Register'!$S:$S,0)),"— initial certificate not on the register —")</f>
        <v/>
      </c>
      <c r="V97" s="9" t="n">
        <v>15.7</v>
      </c>
      <c r="W97" s="2" t="inlineStr">
        <is>
          <t>197-12-К/26</t>
        </is>
      </c>
      <c r="X97" s="2" t="inlineStr">
        <is>
          <t>16.00 ± 1.60 (IV)</t>
        </is>
      </c>
      <c r="Y97" s="2" t="inlineStr">
        <is>
          <t>14.40 – 17.59 %</t>
        </is>
      </c>
      <c r="Z97" s="2" t="inlineStr">
        <is>
          <t>GP_THC16 : CBD1</t>
        </is>
      </c>
      <c r="AA97" s="2" t="inlineStr">
        <is>
          <t>QCSP_001_GP-IV_v.01</t>
        </is>
      </c>
      <c r="AB97" s="10" t="inlineStr">
        <is>
          <t>for review — replaces the issued QCSP_001_GP-IV_v.01 (was GP_THC20 : CBD1, 18.00 – 22.00 %); now GP_THC16 : CBD1 14.40 – 17.59 %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197-13-M-26</t>
        </is>
      </c>
      <c r="H98" s="2">
        <f>IFERROR(INDEX('iCoA Register'!$B:$B,MATCH("HPA1024|R",'iCoA Register'!$AA:$AA,0)),"—")</f>
        <v/>
      </c>
      <c r="I98" s="5">
        <f>IFERROR(INDEX('iCoA Register'!$D:$D,MATCH("HPA1024|R",'iCoA Register'!$AA:$AA,0)),"")</f>
        <v/>
      </c>
      <c r="J98" s="2" t="inlineStr">
        <is>
          <t>legacy</t>
        </is>
      </c>
      <c r="K98" s="2" t="inlineStr">
        <is>
          <t>retest — Tranche 1 (sampled 21–24.07.2026)</t>
        </is>
      </c>
      <c r="L98" s="3" t="inlineStr">
        <is>
          <t>HPA1024</t>
        </is>
      </c>
      <c r="M98" s="2" t="inlineStr">
        <is>
          <t>N/A — no P batch assigned</t>
        </is>
      </c>
      <c r="N98" s="2" t="inlineStr">
        <is>
          <t>High Pro Amnesia</t>
        </is>
      </c>
      <c r="O98" s="2" t="inlineStr">
        <is>
          <t>197-13-K-26, (07.08.2026) [FHM-K]</t>
        </is>
      </c>
      <c r="P98" s="6" t="inlineStr">
        <is>
          <t>—</t>
        </is>
      </c>
      <c r="Q98" s="2" t="inlineStr">
        <is>
          <t>—</t>
        </is>
      </c>
      <c r="R98" s="2" t="inlineStr">
        <is>
          <t>CoQ-PP-2026-0030</t>
        </is>
      </c>
      <c r="S98" s="2" t="inlineStr">
        <is>
          <t>HPA1024|R</t>
        </is>
      </c>
      <c r="T98" s="7" t="inlineStr">
        <is>
          <t>registered — retest, Tranche 1 (sampled 21–24.07.2026), sampled 23.07.2026; issued 17.08.2026, 7 days after 197-13-M-26 of 10.08.2026; cites iCoA-PP_26-110 of 27.07.2026</t>
        </is>
      </c>
      <c r="U98" s="2">
        <f>IFERROR(INDEX('CoQ Register'!$B:$B,MATCH("HPA1024|I",'CoQ Register'!$S:$S,0)),"— initial certificate not on the register —")</f>
        <v/>
      </c>
      <c r="V98" s="9" t="n">
        <v>17.31</v>
      </c>
      <c r="W98" s="2" t="inlineStr">
        <is>
          <t>197-13-К/26</t>
        </is>
      </c>
      <c r="X98" s="2" t="inlineStr">
        <is>
          <t>18.00 ± 1.80 (II)</t>
        </is>
      </c>
      <c r="Y98" s="2" t="inlineStr">
        <is>
          <t>16.20 – 19.79 %</t>
        </is>
      </c>
      <c r="Z98" s="2" t="inlineStr">
        <is>
          <t>HPA_THC18 : CBD1</t>
        </is>
      </c>
      <c r="AA98" s="2" t="inlineStr">
        <is>
          <t>QCSP_001_HPA-II_v.01</t>
        </is>
      </c>
      <c r="AB98" s="10" t="inlineStr">
        <is>
          <t>for review — replaces the issued QCSP_001_HPA-II_v.01 (was HPA_THC20 : CBD1, 19.01 – 20.99 %); now HPA_THC18 : CBD1 16.20 – 19.79 %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197-14-M-26</t>
        </is>
      </c>
      <c r="H99" s="2">
        <f>IFERROR(INDEX('iCoA Register'!$B:$B,MATCH("P050052|R",'iCoA Register'!$AA:$AA,0)),"—")</f>
        <v/>
      </c>
      <c r="I99" s="5">
        <f>IFERROR(INDEX('iCoA Register'!$D:$D,MATCH("P050052|R",'iCoA Register'!$AA:$AA,0)),"")</f>
        <v/>
      </c>
      <c r="J99" s="2" t="inlineStr">
        <is>
          <t>legacy</t>
        </is>
      </c>
      <c r="K99" s="2" t="inlineStr">
        <is>
          <t>retest — Tranche 1 (sampled 21–24.07.2026)</t>
        </is>
      </c>
      <c r="L99" s="3" t="inlineStr">
        <is>
          <t>HPA1024_01</t>
        </is>
      </c>
      <c r="M99" s="2" t="inlineStr">
        <is>
          <t>P050052</t>
        </is>
      </c>
      <c r="N99" s="2" t="inlineStr">
        <is>
          <t>High Pro Amnesia</t>
        </is>
      </c>
      <c r="O99" s="2" t="inlineStr">
        <is>
          <t>197-14-K-26, (07.08.2026) [FHM-K]</t>
        </is>
      </c>
      <c r="P99" s="6" t="inlineStr">
        <is>
          <t>—</t>
        </is>
      </c>
      <c r="Q99" s="2" t="inlineStr">
        <is>
          <t>—</t>
        </is>
      </c>
      <c r="R99" s="2" t="inlineStr">
        <is>
          <t>CoQ-PP-2026-0034</t>
        </is>
      </c>
      <c r="S99" s="2" t="inlineStr">
        <is>
          <t>P050052|R</t>
        </is>
      </c>
      <c r="T99" s="7" t="inlineStr">
        <is>
          <t>registered — retest, Tranche 1 (sampled 21–24.07.2026), sampled 23.07.2026; issued 17.08.2026, 7 days after 197-14-M-26 of 10.08.2026; cites iCoA-PP_26-111 of 27.07.2026</t>
        </is>
      </c>
      <c r="U99" s="2">
        <f>IFERROR(INDEX('CoQ Register'!$B:$B,MATCH("P050052|I",'CoQ Register'!$S:$S,0)),"— initial certificate not on the register —")</f>
        <v/>
      </c>
      <c r="V99" s="9" t="n">
        <v>21.61</v>
      </c>
      <c r="W99" s="2" t="inlineStr">
        <is>
          <t>197-14-К/26</t>
        </is>
      </c>
      <c r="X99" s="2" t="inlineStr">
        <is>
          <t>22.00 ± 2.20 (I)</t>
        </is>
      </c>
      <c r="Y99" s="2" t="inlineStr">
        <is>
          <t>19.80 – 24.19 %</t>
        </is>
      </c>
      <c r="Z99" s="2" t="inlineStr">
        <is>
          <t>HPA_THC22 : CBD1</t>
        </is>
      </c>
      <c r="AA99" s="2" t="inlineStr">
        <is>
          <t>QCSP_001_HPA-I_v.01</t>
        </is>
      </c>
      <c r="AB99" s="10" t="inlineStr">
        <is>
          <t>for review — replaces the issued QCSP_001_HPA-I_v.01 (was HPA_THC22 : CBD1, 21.00 – 23.00 %); now HPA_THC22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197-16-M-26</t>
        </is>
      </c>
      <c r="H100" s="2">
        <f>IFERROR(INDEX('iCoA Register'!$B:$B,MATCH("P060152|R",'iCoA Register'!$AA:$AA,0)),"—")</f>
        <v/>
      </c>
      <c r="I100" s="5">
        <f>IFERROR(INDEX('iCoA Register'!$D:$D,MATCH("P060152|R",'iCoA Register'!$AA:$AA,0)),"")</f>
        <v/>
      </c>
      <c r="J100" s="2" t="inlineStr">
        <is>
          <t>legacy</t>
        </is>
      </c>
      <c r="K100" s="2" t="inlineStr">
        <is>
          <t>retest — Tranche 1 (sampled 21–24.07.2026)</t>
        </is>
      </c>
      <c r="L100" s="3" t="inlineStr">
        <is>
          <t>J31102501</t>
        </is>
      </c>
      <c r="M100" s="2" t="inlineStr">
        <is>
          <t>P060152</t>
        </is>
      </c>
      <c r="N100" s="2" t="inlineStr">
        <is>
          <t>Jokerz 31</t>
        </is>
      </c>
      <c r="O100" s="2" t="inlineStr">
        <is>
          <t>197-16-K-26, (07.08.2026) [FHM-K]</t>
        </is>
      </c>
      <c r="P100" s="6" t="inlineStr">
        <is>
          <t>—</t>
        </is>
      </c>
      <c r="Q100" s="2" t="inlineStr">
        <is>
          <t>—</t>
        </is>
      </c>
      <c r="R100" s="2" t="inlineStr">
        <is>
          <t>CoQ reissue (assigned on issue)</t>
        </is>
      </c>
      <c r="S100" s="2" t="inlineStr">
        <is>
          <t>P060152|R</t>
        </is>
      </c>
      <c r="T100" s="7" t="inlineStr">
        <is>
          <t>registered — retest, Tranche 1 (sampled 21–24.07.2026), sampled 23.07.2026; issued 17.08.2026, 7 days after 197-16-M-26 of 10.08.2026; cites iCoA-PP_26-112 of 27.07.2026</t>
        </is>
      </c>
      <c r="U100" s="2">
        <f>IFERROR(INDEX('CoQ Register'!$B:$B,MATCH("P060152|I",'CoQ Register'!$S:$S,0)),"— initial certificate not on the register —")</f>
        <v/>
      </c>
      <c r="V100" s="9" t="n">
        <v>17.32</v>
      </c>
      <c r="W100" s="2" t="inlineStr">
        <is>
          <t>197-16-К/26</t>
        </is>
      </c>
      <c r="X100" s="2" t="inlineStr">
        <is>
          <t>18.00 ± 1.80 (III)</t>
        </is>
      </c>
      <c r="Y100" s="2" t="inlineStr">
        <is>
          <t>16.20 – 19.79 %</t>
        </is>
      </c>
      <c r="Z100" s="2" t="inlineStr">
        <is>
          <t>J31_THC18 : CBD1</t>
        </is>
      </c>
      <c r="AA100" s="2" t="inlineStr">
        <is>
          <t>QCSP_001_J31-III_v.01</t>
        </is>
      </c>
      <c r="AB100" s="11" t="inlineStr">
        <is>
          <t>for review — new</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197-15-M-26</t>
        </is>
      </c>
      <c r="H101" s="2">
        <f>IFERROR(INDEX('iCoA Register'!$B:$B,MATCH("P060212|R",'iCoA Register'!$AA:$AA,0)),"—")</f>
        <v/>
      </c>
      <c r="I101" s="5">
        <f>IFERROR(INDEX('iCoA Register'!$D:$D,MATCH("P060212|R",'iCoA Register'!$AA:$AA,0)),"")</f>
        <v/>
      </c>
      <c r="J101" s="2" t="inlineStr">
        <is>
          <t>legacy</t>
        </is>
      </c>
      <c r="K101" s="2" t="inlineStr">
        <is>
          <t>retest — Tranche 1 (sampled 21–24.07.2026)</t>
        </is>
      </c>
      <c r="L101" s="3" t="inlineStr">
        <is>
          <t>JD112501</t>
        </is>
      </c>
      <c r="M101" s="2" t="inlineStr">
        <is>
          <t>P060212</t>
        </is>
      </c>
      <c r="N101" s="2" t="inlineStr">
        <is>
          <t>Jelly Donutz</t>
        </is>
      </c>
      <c r="O101" s="2" t="inlineStr">
        <is>
          <t>197-15-K-26, (07.08.2026) [FHM-K]</t>
        </is>
      </c>
      <c r="P101" s="6" t="inlineStr">
        <is>
          <t>—</t>
        </is>
      </c>
      <c r="Q101" s="2" t="inlineStr">
        <is>
          <t>—</t>
        </is>
      </c>
      <c r="R101" s="2" t="inlineStr">
        <is>
          <t>CoQ reissue (assigned on issue)</t>
        </is>
      </c>
      <c r="S101" s="2" t="inlineStr">
        <is>
          <t>P060212|R</t>
        </is>
      </c>
      <c r="T101" s="7" t="inlineStr">
        <is>
          <t>registered — retest, Tranche 1 (sampled 21–24.07.2026), sampled 23.07.2026; issued 17.08.2026, 7 days after 197-15-M-26 of 10.08.2026; cites iCoA-PP_26-113 of 27.07.2026</t>
        </is>
      </c>
      <c r="U101" s="2">
        <f>IFERROR(INDEX('CoQ Register'!$B:$B,MATCH("P060212|I",'CoQ Register'!$S:$S,0)),"— initial certificate not on the register —")</f>
        <v/>
      </c>
      <c r="V101" s="9" t="n">
        <v>20.32</v>
      </c>
      <c r="W101" s="2" t="inlineStr">
        <is>
          <t>197-15-К/26</t>
        </is>
      </c>
      <c r="X101" s="2" t="inlineStr">
        <is>
          <t>22.00 ± 2.20 (I)</t>
        </is>
      </c>
      <c r="Y101" s="2" t="inlineStr">
        <is>
          <t>19.80 – 24.19 %</t>
        </is>
      </c>
      <c r="Z101" s="2" t="inlineStr">
        <is>
          <t>JD_THC22 : CBD1</t>
        </is>
      </c>
      <c r="AA101" s="2" t="inlineStr">
        <is>
          <t>QCSP_001_JD-I_v.01</t>
        </is>
      </c>
      <c r="AB101" s="10" t="inlineStr">
        <is>
          <t>for review — replaces the issued QCSP_001_JD-I_v.01 (was JD_THC20 : CBD1, 18.00 – 22.00 %); now JD_THC22 : CBD1 19.80 – 24.19 %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197-17-M-26</t>
        </is>
      </c>
      <c r="H102" s="2">
        <f>IFERROR(INDEX('iCoA Register'!$B:$B,MATCH("OPM1024|R",'iCoA Register'!$AA:$AA,0)),"—")</f>
        <v/>
      </c>
      <c r="I102" s="5">
        <f>IFERROR(INDEX('iCoA Register'!$D:$D,MATCH("OPM1024|R",'iCoA Register'!$AA:$AA,0)),"")</f>
        <v/>
      </c>
      <c r="J102" s="2" t="inlineStr">
        <is>
          <t>legacy</t>
        </is>
      </c>
      <c r="K102" s="2" t="inlineStr">
        <is>
          <t>retest — Tranche 1 (sampled 21–24.07.2026)</t>
        </is>
      </c>
      <c r="L102" s="3" t="inlineStr">
        <is>
          <t>OPM1024</t>
        </is>
      </c>
      <c r="M102" s="2" t="inlineStr">
        <is>
          <t>N/A — no P batch assigned</t>
        </is>
      </c>
      <c r="N102" s="2" t="inlineStr">
        <is>
          <t>Orange Punch Mimosa</t>
        </is>
      </c>
      <c r="O102" s="2" t="inlineStr">
        <is>
          <t>197-17-K-26, (07.08.2026) [FHM-K]</t>
        </is>
      </c>
      <c r="P102" s="6" t="inlineStr">
        <is>
          <t>—</t>
        </is>
      </c>
      <c r="Q102" s="2" t="inlineStr">
        <is>
          <t>—</t>
        </is>
      </c>
      <c r="R102" s="2" t="inlineStr">
        <is>
          <t>CoQ-PP-2026-0031</t>
        </is>
      </c>
      <c r="S102" s="2" t="inlineStr">
        <is>
          <t>OPM1024|R</t>
        </is>
      </c>
      <c r="T102" s="7" t="inlineStr">
        <is>
          <t>registered — retest, Tranche 1 (sampled 21–24.07.2026), sampled 24.07.2026; issued 17.08.2026, 7 days after 197-17-M-26 of 10.08.2026; cites iCoA-PP_26-114 of 27.07.2026</t>
        </is>
      </c>
      <c r="U102" s="2">
        <f>IFERROR(INDEX('CoQ Register'!$B:$B,MATCH("OPM1024|I",'CoQ Register'!$S:$S,0)),"— initial certificate not on the register —")</f>
        <v/>
      </c>
      <c r="V102" s="9" t="n">
        <v>20.03</v>
      </c>
      <c r="W102" s="2" t="inlineStr">
        <is>
          <t>197-17-К/26</t>
        </is>
      </c>
      <c r="X102" s="2" t="inlineStr">
        <is>
          <t>20.00 ± 1.40 (I)</t>
        </is>
      </c>
      <c r="Y102" s="2" t="inlineStr">
        <is>
          <t>18.60 – 21.39 %</t>
        </is>
      </c>
      <c r="Z102" s="2" t="inlineStr">
        <is>
          <t>OPM_THC20 : CBD1</t>
        </is>
      </c>
      <c r="AA102" s="2" t="inlineStr">
        <is>
          <t>QCSP_001_OPM-I_v.01</t>
        </is>
      </c>
      <c r="AB102" s="10" t="inlineStr">
        <is>
          <t>for review — replaces the issued QCSP_001_OPM-I_v.01 (was OPM_THC22 : CBD1, 19.81 – 24.19 %); now OPM_THC20 : CBD1 18.60 – 21.39 %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197-18-M-26</t>
        </is>
      </c>
      <c r="H103" s="2">
        <f>IFERROR(INDEX('iCoA Register'!$B:$B,MATCH("P050062|R",'iCoA Register'!$AA:$AA,0)),"—")</f>
        <v/>
      </c>
      <c r="I103" s="5">
        <f>IFERROR(INDEX('iCoA Register'!$D:$D,MATCH("P050062|R",'iCoA Register'!$AA:$AA,0)),"")</f>
        <v/>
      </c>
      <c r="J103" s="2" t="inlineStr">
        <is>
          <t>legacy</t>
        </is>
      </c>
      <c r="K103" s="2" t="inlineStr">
        <is>
          <t>retest — Tranche 1 (sampled 21–24.07.2026)</t>
        </is>
      </c>
      <c r="L103" s="3" t="inlineStr">
        <is>
          <t>OPM1024_02</t>
        </is>
      </c>
      <c r="M103" s="2" t="inlineStr">
        <is>
          <t>P050062</t>
        </is>
      </c>
      <c r="N103" s="2" t="inlineStr">
        <is>
          <t>Orange Punch Mimosa</t>
        </is>
      </c>
      <c r="O103" s="2" t="inlineStr">
        <is>
          <t>197-18-K-26, (07.08.2026) [FHM-K]</t>
        </is>
      </c>
      <c r="P103" s="6" t="inlineStr">
        <is>
          <t>—</t>
        </is>
      </c>
      <c r="Q103" s="2" t="inlineStr">
        <is>
          <t>—</t>
        </is>
      </c>
      <c r="R103" s="2" t="inlineStr">
        <is>
          <t>CoQ-PP-2026-0035</t>
        </is>
      </c>
      <c r="S103" s="2" t="inlineStr">
        <is>
          <t>P050062|R</t>
        </is>
      </c>
      <c r="T103" s="7" t="inlineStr">
        <is>
          <t>registered — retest, Tranche 1 (sampled 21–24.07.2026), sampled 24.07.2026; issued 17.08.2026, 7 days after 197-18-M-26 of 10.08.2026; cites iCoA-PP_26-115 of 27.07.2026</t>
        </is>
      </c>
      <c r="U103" s="2">
        <f>IFERROR(INDEX('CoQ Register'!$B:$B,MATCH("P050062|I",'CoQ Register'!$S:$S,0)),"— initial certificate not on the register —")</f>
        <v/>
      </c>
      <c r="V103" s="9" t="n">
        <v>18.04</v>
      </c>
      <c r="W103" s="2" t="inlineStr">
        <is>
          <t>197-18-К/26</t>
        </is>
      </c>
      <c r="X103" s="2" t="inlineStr">
        <is>
          <t>17.00 ± 1.60 (II)</t>
        </is>
      </c>
      <c r="Y103" s="2" t="inlineStr">
        <is>
          <t>15.40 – 18.59 %</t>
        </is>
      </c>
      <c r="Z103" s="2" t="inlineStr">
        <is>
          <t>OPM_THC17 : CBD1</t>
        </is>
      </c>
      <c r="AA103" s="2" t="inlineStr">
        <is>
          <t>QCSP_001_OPM-II_v.01</t>
        </is>
      </c>
      <c r="AB103" s="10" t="inlineStr">
        <is>
          <t>for review — replaces the issued QCSP_001_OPM-II_v.01 (was OPM_THC18 : CBD1, 16.20 – 19.80 %); now OPM_THC17 : CBD1 15.40 – 18.59 %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197-19-M-26</t>
        </is>
      </c>
      <c r="H104" s="2">
        <f>IFERROR(INDEX('iCoA Register'!$B:$B,MATCH("P060242|R",'iCoA Register'!$AA:$AA,0)),"—")</f>
        <v/>
      </c>
      <c r="I104" s="5">
        <f>IFERROR(INDEX('iCoA Register'!$D:$D,MATCH("P060242|R",'iCoA Register'!$AA:$AA,0)),"")</f>
        <v/>
      </c>
      <c r="J104" s="2" t="inlineStr">
        <is>
          <t>legacy</t>
        </is>
      </c>
      <c r="K104" s="2" t="inlineStr">
        <is>
          <t>retest — Tranche 1 (sampled 21–24.07.2026)</t>
        </is>
      </c>
      <c r="L104" s="3" t="inlineStr">
        <is>
          <t>OPM122501</t>
        </is>
      </c>
      <c r="M104" s="2" t="inlineStr">
        <is>
          <t>P060242</t>
        </is>
      </c>
      <c r="N104" s="2" t="inlineStr">
        <is>
          <t>Orange Punch Mimosa</t>
        </is>
      </c>
      <c r="O104" s="2" t="inlineStr">
        <is>
          <t>197-19-K-26, (07.08.2026) [FHM-K]</t>
        </is>
      </c>
      <c r="P104" s="6" t="inlineStr">
        <is>
          <t>—</t>
        </is>
      </c>
      <c r="Q104" s="2" t="inlineStr">
        <is>
          <t>—</t>
        </is>
      </c>
      <c r="R104" s="2" t="inlineStr">
        <is>
          <t>CoQ reissue (assigned on issue)</t>
        </is>
      </c>
      <c r="S104" s="2" t="inlineStr">
        <is>
          <t>P060242|R</t>
        </is>
      </c>
      <c r="T104" s="7" t="inlineStr">
        <is>
          <t>registered — retest, Tranche 1 (sampled 21–24.07.2026), sampled 24.07.2026; issued 17.08.2026, 7 days after 197-19-M-26 of 10.08.2026; cites iCoA-PP_26-116 of 27.07.2026</t>
        </is>
      </c>
      <c r="U104" s="2">
        <f>IFERROR(INDEX('CoQ Register'!$B:$B,MATCH("P060242|I",'CoQ Register'!$S:$S,0)),"— initial certificate not on the register —")</f>
        <v/>
      </c>
      <c r="V104" s="9" t="n">
        <v>7.91</v>
      </c>
      <c r="W104" s="2" t="inlineStr">
        <is>
          <t>197-19-К/26</t>
        </is>
      </c>
      <c r="X104" s="2" t="inlineStr">
        <is>
          <t>8.00 ± 0.80 (V)</t>
        </is>
      </c>
      <c r="Y104" s="2" t="inlineStr">
        <is>
          <t>7.20 – 8.79 %</t>
        </is>
      </c>
      <c r="Z104" s="2" t="inlineStr">
        <is>
          <t>OPM_THC8 : CBD1</t>
        </is>
      </c>
      <c r="AA104" s="2" t="inlineStr">
        <is>
          <t>QCSP_001_OPM-V_v.01</t>
        </is>
      </c>
      <c r="AB104" s="10" t="inlineStr">
        <is>
          <t>for review — replaces the issued QCSP_001_OPM-V_v.01 (was OPM_THC8 : CBD1, 7.20 – 8.80 %); now OPM_THC8 : CBD1 7.20 – 8.79 %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197-20-M-26</t>
        </is>
      </c>
      <c r="H105" s="2">
        <f>IFERROR(INDEX('iCoA Register'!$B:$B,MATCH("P060062|R",'iCoA Register'!$AA:$AA,0)),"—")</f>
        <v/>
      </c>
      <c r="I105" s="5">
        <f>IFERROR(INDEX('iCoA Register'!$D:$D,MATCH("P060062|R",'iCoA Register'!$AA:$AA,0)),"")</f>
        <v/>
      </c>
      <c r="J105" s="2" t="inlineStr">
        <is>
          <t>legacy</t>
        </is>
      </c>
      <c r="K105" s="2" t="inlineStr">
        <is>
          <t>retest — Tranche 1 (sampled 21–24.07.2026)</t>
        </is>
      </c>
      <c r="L105" s="3" t="inlineStr">
        <is>
          <t>PM092501</t>
        </is>
      </c>
      <c r="M105" s="2" t="inlineStr">
        <is>
          <t>P060062</t>
        </is>
      </c>
      <c r="N105" s="2" t="inlineStr">
        <is>
          <t>Permanent Market</t>
        </is>
      </c>
      <c r="O105" s="2" t="inlineStr">
        <is>
          <t>197-20-K-26, (07.08.2026) [FHM-K]</t>
        </is>
      </c>
      <c r="P105" s="6" t="inlineStr">
        <is>
          <t>—</t>
        </is>
      </c>
      <c r="Q105" s="2" t="inlineStr">
        <is>
          <t>—</t>
        </is>
      </c>
      <c r="R105" s="2" t="inlineStr">
        <is>
          <t>CoQ reissue (assigned on issue)</t>
        </is>
      </c>
      <c r="S105" s="2" t="inlineStr">
        <is>
          <t>P060062|R</t>
        </is>
      </c>
      <c r="T105" s="7" t="inlineStr">
        <is>
          <t>registered — retest, Tranche 1 (sampled 21–24.07.2026), sampled 24.07.2026; issued 17.08.2026, 7 days after 197-20-M-26 of 10.08.2026; cites iCoA-PP_26-118 of 27.07.2026</t>
        </is>
      </c>
      <c r="U105" s="2">
        <f>IFERROR(INDEX('CoQ Register'!$B:$B,MATCH("P060062|I",'CoQ Register'!$S:$S,0)),"— initial certificate not on the register —")</f>
        <v/>
      </c>
      <c r="V105" s="9" t="n">
        <v>12.25</v>
      </c>
      <c r="W105" s="2" t="inlineStr">
        <is>
          <t>197-20-К/26</t>
        </is>
      </c>
      <c r="X105" s="2" t="inlineStr">
        <is>
          <t>12.00 ± 1.00 (II)</t>
        </is>
      </c>
      <c r="Y105" s="2" t="inlineStr">
        <is>
          <t>11.00 – 12.99 %</t>
        </is>
      </c>
      <c r="Z105" s="2" t="inlineStr">
        <is>
          <t>PM_THC12 : CBD1</t>
        </is>
      </c>
      <c r="AA105" s="2" t="inlineStr">
        <is>
          <t>QCSP_001_PM-II_v.01</t>
        </is>
      </c>
      <c r="AB105" s="10" t="inlineStr">
        <is>
          <t>for review — replaces the issued QCSP_001_PM-II_v.01 (was PM_THC10 : CBD1, 9.00 – 11.00 %); now PM_THC12 : CBD1 11.00 – 12.99 %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46244</v>
      </c>
      <c r="G106" s="2" t="inlineStr">
        <is>
          <t>197-21-M-26</t>
        </is>
      </c>
      <c r="H106" s="2">
        <f>IFERROR(INDEX('iCoA Register'!$B:$B,MATCH("P060382|R",'iCoA Register'!$AA:$AA,0)),"—")</f>
        <v/>
      </c>
      <c r="I106" s="5">
        <f>IFERROR(INDEX('iCoA Register'!$D:$D,MATCH("P060382|R",'iCoA Register'!$AA:$AA,0)),"")</f>
        <v/>
      </c>
      <c r="J106" s="2" t="inlineStr">
        <is>
          <t>post-SOP</t>
        </is>
      </c>
      <c r="K106" s="2" t="inlineStr">
        <is>
          <t>retest — Tranche 1 (sampled 21–24.07.2026)</t>
        </is>
      </c>
      <c r="L106" s="3" t="inlineStr">
        <is>
          <t>SCR012603</t>
        </is>
      </c>
      <c r="M106" s="2" t="inlineStr">
        <is>
          <t>P060382</t>
        </is>
      </c>
      <c r="N106" s="2" t="inlineStr">
        <is>
          <t>Scrambler</t>
        </is>
      </c>
      <c r="O106" s="2" t="inlineStr">
        <is>
          <t>197-21-K-26, (07.08.2026) [FHM-K]</t>
        </is>
      </c>
      <c r="P106" s="6" t="inlineStr">
        <is>
          <t>—</t>
        </is>
      </c>
      <c r="Q106" s="2" t="inlineStr">
        <is>
          <t>—</t>
        </is>
      </c>
      <c r="R106" s="2" t="inlineStr">
        <is>
          <t>CoQ reissue (assigned on issue)</t>
        </is>
      </c>
      <c r="S106" s="2" t="inlineStr">
        <is>
          <t>P060382|R</t>
        </is>
      </c>
      <c r="T106" s="7" t="inlineStr">
        <is>
          <t>registered — retest, Tranche 1 (sampled 21–24.07.2026), sampled 24.07.2026; issued 17.08.2026, 7 days after 197-21-M-26 of 10.08.2026; cites iCoA-PP_26-117 of 27.07.2026</t>
        </is>
      </c>
      <c r="U106" s="2">
        <f>IFERROR(INDEX('CoQ Register'!$B:$B,MATCH("P060382|I",'CoQ Register'!$S:$S,0)),"— initial certificate not on the register —")</f>
        <v/>
      </c>
      <c r="V106" s="9" t="n">
        <v>17.84</v>
      </c>
      <c r="W106" s="2" t="inlineStr">
        <is>
          <t>197-21-К/26</t>
        </is>
      </c>
      <c r="X106" s="2" t="inlineStr">
        <is>
          <t>18.00 ± 1.80 (II)</t>
        </is>
      </c>
      <c r="Y106" s="2" t="inlineStr">
        <is>
          <t>16.20 – 19.79 %</t>
        </is>
      </c>
      <c r="Z106" s="2" t="inlineStr">
        <is>
          <t>SCR_THC18 : CBD1</t>
        </is>
      </c>
      <c r="AA106" s="2" t="inlineStr">
        <is>
          <t>QCSP_001_SCR-II_v.01</t>
        </is>
      </c>
      <c r="AB106" s="10" t="inlineStr">
        <is>
          <t>for review — replaces the issued QCSP_001_SCR-II_v.01 (was SCR_THC18 : CBD1, 16.20 – 19.80 %); now SCR_THC18 : CBD1 16.20 – 19.79 %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iCoA-PP_26-121 of 17.08.2026</t>
        </is>
      </c>
      <c r="U107" s="2">
        <f>IFERROR(INDEX('CoQ Register'!$B:$B,MATCH("P060122|I",'CoQ Register'!$S:$S,0)),"— initial certificate not on the register —")</f>
        <v/>
      </c>
      <c r="V107" s="9" t="n">
        <v>12.09</v>
      </c>
      <c r="W107" s="2" t="inlineStr">
        <is>
          <t>220-1-К/26</t>
        </is>
      </c>
      <c r="X107" s="2" t="inlineStr">
        <is>
          <t>12.00 ± 0.95 (I)</t>
        </is>
      </c>
      <c r="Y107" s="2" t="inlineStr">
        <is>
          <t>11.05 – 12.94 %</t>
        </is>
      </c>
      <c r="Z107" s="2" t="inlineStr">
        <is>
          <t>ACC_THC12 : CBD1</t>
        </is>
      </c>
      <c r="AA107" s="2" t="inlineStr">
        <is>
          <t>QCSP_001_ACC-I_v.01</t>
        </is>
      </c>
      <c r="AB107" s="10" t="inlineStr">
        <is>
          <t>for review — replaces the issued QCSP_001_ACC-I_v.01 (was ACC_THC12 : CBD1, 10.80 – 13.20 %); now ACC_THC12 : CBD1 11.05 – 12.94 %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iCoA-PP_26-122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iCoA-PP_26-143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iCoA-PP_26-123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Register'!$B:$B,MATCH("P050222|R",'iCoA Register'!$AA:$AA,0)),"—")</f>
        <v/>
      </c>
      <c r="I111" s="5">
        <f>IFERROR(INDEX('iCoA Register'!$D:$D,MATCH("P050222|R",'iCoA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t>
        </is>
      </c>
      <c r="T111" s="7" t="inlineStr">
        <is>
          <t>registered — retest, Tranche 2 (sampled 12–14.08.2026), sampled 12.08.2026; issued 18.09.2026, 7 days after 220-3-M-26 of 11.09.2026; cites iCoA-PP_26-124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iCoA-PP_26-125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iCoA-PP_26-126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iCoA-PP_26-127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iCoA-PP_26-128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iCoA-PP_26-129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iCoA-PP_26-130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iCoA-PP_26-132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iCoA-PP_26-133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Register'!$B:$B,MATCH("P060182|R",'iCoA Register'!$AA:$AA,0)),"—")</f>
        <v/>
      </c>
      <c r="I121" s="5">
        <f>IFERROR(INDEX('iCoA Register'!$D:$D,MATCH("P060182|R",'iCoA Register'!$AA:$AA,0)),"")</f>
        <v/>
      </c>
      <c r="J121" s="2" t="inlineStr">
        <is>
          <t>legacy</t>
        </is>
      </c>
      <c r="K121" s="2" t="inlineStr">
        <is>
          <t>retest — Tranche 2 (sampled 12–14.08.2026)</t>
        </is>
      </c>
      <c r="L121" s="3" t="inlineStr">
        <is>
          <t>GRC102501</t>
        </is>
      </c>
      <c r="M121" s="2" t="inlineStr">
        <is>
          <t>P060182</t>
        </is>
      </c>
      <c r="N121" s="2" t="inlineStr">
        <is>
          <t>Graps &amp; Creme</t>
        </is>
      </c>
      <c r="O121" s="2" t="inlineStr">
        <is>
          <t>220-14-K-26, (25.08.2026) [FHM-K]</t>
        </is>
      </c>
      <c r="P121" s="6" t="inlineStr">
        <is>
          <t>—</t>
        </is>
      </c>
      <c r="Q121" s="2" t="inlineStr">
        <is>
          <t>—</t>
        </is>
      </c>
      <c r="R121" s="2" t="inlineStr">
        <is>
          <t>CoQ reissue (assigned on issue)</t>
        </is>
      </c>
      <c r="S121" s="2" t="inlineStr">
        <is>
          <t>P060182|R</t>
        </is>
      </c>
      <c r="T121" s="7" t="inlineStr">
        <is>
          <t>registered — retest, Tranche 2 (sampled 12–14.08.2026), sampled 13.08.2026; issued 18.09.2026, 7 days after 220-14-M-26 of 11.09.2026; cites iCoA-PP_26-134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iCoA-PP_26-135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Donutz</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iCoA-PP_26-138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Donutz</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iCoA-PP_26-136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Donutz</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iCoA-PP_26-137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Donutz</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iCoA-PP_26-146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iCoA-PP_26-139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iCoA-PP_26-140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Register'!$B:$B,MATCH("P050042|R",'iCoA Register'!$AA:$AA,0)),"—")</f>
        <v/>
      </c>
      <c r="I129" s="5">
        <f>IFERROR(INDEX('iCoA Register'!$D:$D,MATCH("P050042|R",'iCoA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t>
        </is>
      </c>
      <c r="T129" s="7" t="inlineStr">
        <is>
          <t>registered — retest, Tranche 2 (sampled 12–14.08.2026), sampled 13.08.2026; issued 18.09.2026, 7 days after 220-21-M-26 of 11.09.2026; cites iCoA-PP_26-142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iCoA-PP_26-141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iCoA-PP_26-147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iCoA-PP_26-148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iCoA-PP_26-149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iCoA-PP_26-150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iCoA-PP_26-151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iCoA-PP_26-152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Graps &amp; Creme</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Donutz</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t>
        </is>
      </c>
      <c r="Y166" s="2" t="inlineStr">
        <is>
          <t>—</t>
        </is>
      </c>
      <c r="Z166" s="2" t="inlineStr">
        <is>
          <t>—</t>
        </is>
      </c>
      <c r="AA166" s="2" t="inlineStr">
        <is>
          <t>—</t>
        </is>
      </c>
      <c r="AB166" s="11" t="inlineStr">
        <is>
          <t>—</t>
        </is>
      </c>
      <c r="AC166" s="10" t="inlineStr">
        <is>
          <t>strain not in the potency specification of 15.09.2026</t>
        </is>
      </c>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v39 on 16.09.2026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CoQ_Analysis_Master_v39.xlsx,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2026-09-16T09:27:56Z</dcterms:created>
  <dcterms:modified xsi:type="dcterms:W3CDTF">2026-09-16T09:27:56Z</dcterms:modified>
</cp:coreProperties>
</file>