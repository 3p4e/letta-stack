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IF(A2="","",IF(G2="legacy",DATE(2026,5,15),IF(ISNUMBER(F2),(F2+5)+CHOOSE(WEEKDAY(F2+5,2),0,0,0,0,0,2,1),"")))</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f>IF(C3="yes",COUNT(A$1:A2)+1,"")</f>
        <v/>
      </c>
      <c r="B3" s="3">
        <f>IF(A3&lt;&gt;"","iCoA-PP_26-"&amp;TEXT(A3,"000"),IF(C3="n/a","not needed","— at issue —"))</f>
        <v/>
      </c>
      <c r="C3" s="4" t="inlineStr">
        <is>
          <t>yes</t>
        </is>
      </c>
      <c r="D3" s="5">
        <f>IF(A3="","",IF(G3="legacy",DATE(2026,5,15),IF(ISNUMBER(F3),(F3+5)+CHOOSE(WEEKDAY(F3+5,2),0,0,0,0,0,2,1),"")))</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f>IF(C4="yes",COUNT(A$1:A3)+1,"")</f>
        <v/>
      </c>
      <c r="B4" s="3">
        <f>IF(A4&lt;&gt;"","iCoA-PP_26-"&amp;TEXT(A4,"000"),IF(C4="n/a","not needed","— at issue —"))</f>
        <v/>
      </c>
      <c r="C4" s="4" t="inlineStr">
        <is>
          <t>yes</t>
        </is>
      </c>
      <c r="D4" s="5">
        <f>IF(A4="","",IF(G4="legacy",DATE(2026,5,15),IF(ISNUMBER(F4),(F4+5)+CHOOSE(WEEKDAY(F4+5,2),0,0,0,0,0,2,1),"")))</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f>IF(C5="yes",COUNT(A$1:A4)+1,"")</f>
        <v/>
      </c>
      <c r="B5" s="3">
        <f>IF(A5&lt;&gt;"","iCoA-PP_26-"&amp;TEXT(A5,"000"),IF(C5="n/a","not needed","— at issue —"))</f>
        <v/>
      </c>
      <c r="C5" s="4" t="inlineStr">
        <is>
          <t>yes</t>
        </is>
      </c>
      <c r="D5" s="5">
        <f>IF(A5="","",IF(G5="legacy",DATE(2026,5,15),IF(ISNUMBER(F5),(F5+5)+CHOOSE(WEEKDAY(F5+5,2),0,0,0,0,0,2,1),"")))</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GG1024|I</t>
        </is>
      </c>
      <c r="Q5" s="7" t="inlineStr">
        <is>
          <t>registered — issued with the legacy series on 15.05.2026</t>
        </is>
      </c>
    </row>
    <row r="6">
      <c r="A6" s="2">
        <f>IF(C6="yes",COUNT(A$1:A5)+1,"")</f>
        <v/>
      </c>
      <c r="B6" s="3">
        <f>IF(A6&lt;&gt;"","iCoA-PP_26-"&amp;TEXT(A6,"000"),IF(C6="n/a","not needed","— at issue —"))</f>
        <v/>
      </c>
      <c r="C6" s="4" t="inlineStr">
        <is>
          <t>yes</t>
        </is>
      </c>
      <c r="D6" s="5">
        <f>IF(A6="","",IF(G6="legacy",DATE(2026,5,15),IF(ISNUMBER(F6),(F6+5)+CHOOSE(WEEKDAY(F6+5,2),0,0,0,0,0,2,1),"")))</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HighProAmnesia</t>
        </is>
      </c>
      <c r="L6" s="2" t="inlineStr">
        <is>
          <t>Ident A + Ident B + Foreign matter</t>
        </is>
      </c>
      <c r="M6" s="6" t="inlineStr">
        <is>
          <t>—</t>
        </is>
      </c>
      <c r="N6" s="2">
        <f>IFERROR(INDEX('CoQ Register'!$B:$B,MATCH("HPA1024|I",'CoQ Register'!$S:$S,0)),"—")</f>
        <v/>
      </c>
      <c r="O6" s="2" t="inlineStr">
        <is>
          <t>iCoA-PP-2025-0004</t>
        </is>
      </c>
      <c r="P6" s="2" t="inlineStr">
        <is>
          <t>HPA1024|I</t>
        </is>
      </c>
      <c r="Q6" s="7" t="inlineStr">
        <is>
          <t>registered — issued with the legacy series on 15.05.2026</t>
        </is>
      </c>
    </row>
    <row r="7">
      <c r="A7" s="2">
        <f>IF(C7="yes",COUNT(A$1:A6)+1,"")</f>
        <v/>
      </c>
      <c r="B7" s="3">
        <f>IF(A7&lt;&gt;"","iCoA-PP_26-"&amp;TEXT(A7,"000"),IF(C7="n/a","not needed","— at issue —"))</f>
        <v/>
      </c>
      <c r="C7" s="4" t="inlineStr">
        <is>
          <t>yes</t>
        </is>
      </c>
      <c r="D7" s="5">
        <f>IF(A7="","",IF(G7="legacy",DATE(2026,5,15),IF(ISNUMBER(F7),(F7+5)+CHOOSE(WEEKDAY(F7+5,2),0,0,0,0,0,2,1),"")))</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OrangePunchMimosa</t>
        </is>
      </c>
      <c r="L7" s="2" t="inlineStr">
        <is>
          <t>Ident A + Ident B + Foreign matter</t>
        </is>
      </c>
      <c r="M7" s="6" t="inlineStr">
        <is>
          <t>—</t>
        </is>
      </c>
      <c r="N7" s="2">
        <f>IFERROR(INDEX('CoQ Register'!$B:$B,MATCH("OPM1024|I",'CoQ Register'!$S:$S,0)),"—")</f>
        <v/>
      </c>
      <c r="O7" s="2" t="inlineStr">
        <is>
          <t>iCoA-PP-2025-0005</t>
        </is>
      </c>
      <c r="P7" s="2" t="inlineStr">
        <is>
          <t>OPM1024|I</t>
        </is>
      </c>
      <c r="Q7" s="7" t="inlineStr">
        <is>
          <t>registered — issued with the legacy series on 15.05.2026</t>
        </is>
      </c>
    </row>
    <row r="8">
      <c r="A8" s="2">
        <f>IF(C8="yes",COUNT(A$1:A7)+1,"")</f>
        <v/>
      </c>
      <c r="B8" s="3">
        <f>IF(A8&lt;&gt;"","iCoA-PP_26-"&amp;TEXT(A8,"000"),IF(C8="n/a","not needed","— at issue —"))</f>
        <v/>
      </c>
      <c r="C8" s="4" t="inlineStr">
        <is>
          <t>yes</t>
        </is>
      </c>
      <c r="D8" s="5">
        <f>IF(A8="","",IF(G8="legacy",DATE(2026,5,15),IF(ISNUMBER(F8),(F8+5)+CHOOSE(WEEKDAY(F8+5,2),0,0,0,0,0,2,1),"")))</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P050022|I</t>
        </is>
      </c>
      <c r="Q8" s="7" t="inlineStr">
        <is>
          <t>registered — issued with the legacy series on 15.05.2026</t>
        </is>
      </c>
    </row>
    <row r="9">
      <c r="A9" s="2">
        <f>IF(C9="yes",COUNT(A$1:A8)+1,"")</f>
        <v/>
      </c>
      <c r="B9" s="3">
        <f>IF(A9&lt;&gt;"","iCoA-PP_26-"&amp;TEXT(A9,"000"),IF(C9="n/a","not needed","— at issue —"))</f>
        <v/>
      </c>
      <c r="C9" s="4" t="inlineStr">
        <is>
          <t>yes</t>
        </is>
      </c>
      <c r="D9" s="5">
        <f>IF(A9="","",IF(G9="legacy",DATE(2026,5,15),IF(ISNUMBER(F9),(F9+5)+CHOOSE(WEEKDAY(F9+5,2),0,0,0,0,0,2,1),"")))</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P050012|I</t>
        </is>
      </c>
      <c r="Q9" s="7" t="inlineStr">
        <is>
          <t>registered — issued with the legacy series on 15.05.2026</t>
        </is>
      </c>
    </row>
    <row r="10">
      <c r="A10" s="2">
        <f>IF(C10="yes",COUNT(A$1:A9)+1,"")</f>
        <v/>
      </c>
      <c r="B10" s="3">
        <f>IF(A10&lt;&gt;"","iCoA-PP_26-"&amp;TEXT(A10,"000"),IF(C10="n/a","not needed","— at issue —"))</f>
        <v/>
      </c>
      <c r="C10" s="4" t="inlineStr">
        <is>
          <t>yes</t>
        </is>
      </c>
      <c r="D10" s="5">
        <f>IF(A10="","",IF(G10="legacy",DATE(2026,5,15),IF(ISNUMBER(F10),(F10+5)+CHOOSE(WEEKDAY(F10+5,2),0,0,0,0,0,2,1),"")))</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P050032|I</t>
        </is>
      </c>
      <c r="Q10" s="7" t="inlineStr">
        <is>
          <t>registered — issued with the legacy series on 15.05.2026</t>
        </is>
      </c>
    </row>
    <row r="11">
      <c r="A11" s="2">
        <f>IF(C11="yes",COUNT(A$1:A10)+1,"")</f>
        <v/>
      </c>
      <c r="B11" s="3">
        <f>IF(A11&lt;&gt;"","iCoA-PP_26-"&amp;TEXT(A11,"000"),IF(C11="n/a","not needed","— at issue —"))</f>
        <v/>
      </c>
      <c r="C11" s="4" t="inlineStr">
        <is>
          <t>yes</t>
        </is>
      </c>
      <c r="D11" s="5">
        <f>IF(A11="","",IF(G11="legacy",DATE(2026,5,15),IF(ISNUMBER(F11),(F11+5)+CHOOSE(WEEKDAY(F11+5,2),0,0,0,0,0,2,1),"")))</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OMP1024_01</t>
        </is>
      </c>
      <c r="J11" s="2" t="inlineStr">
        <is>
          <t>P050042</t>
        </is>
      </c>
      <c r="K11" s="2" t="inlineStr">
        <is>
          <t>Orange Punch Mimosa</t>
        </is>
      </c>
      <c r="L11" s="2" t="inlineStr">
        <is>
          <t>Ident A + Ident B + Foreign matter</t>
        </is>
      </c>
      <c r="M11" s="6" t="inlineStr">
        <is>
          <t>—</t>
        </is>
      </c>
      <c r="N11" s="2">
        <f>IFERROR(INDEX('CoQ Register'!$B:$B,MATCH("P050042|I",'CoQ Register'!$S:$S,0)),"—")</f>
        <v/>
      </c>
      <c r="O11" s="2" t="inlineStr">
        <is>
          <t>iCoA-PP-2025-0007</t>
        </is>
      </c>
      <c r="P11" s="2" t="inlineStr">
        <is>
          <t>P050042|I</t>
        </is>
      </c>
      <c r="Q11" s="7" t="inlineStr">
        <is>
          <t>registered — issued with the legacy series on 15.05.2026</t>
        </is>
      </c>
    </row>
    <row r="12">
      <c r="A12" s="2">
        <f>IF(C12="yes",COUNT(A$1:A11)+1,"")</f>
        <v/>
      </c>
      <c r="B12" s="3">
        <f>IF(A12&lt;&gt;"","iCoA-PP_26-"&amp;TEXT(A12,"000"),IF(C12="n/a","not needed","— at issue —"))</f>
        <v/>
      </c>
      <c r="C12" s="4" t="inlineStr">
        <is>
          <t>yes</t>
        </is>
      </c>
      <c r="D12" s="5">
        <f>IF(A12="","",IF(G12="legacy",DATE(2026,5,15),IF(ISNUMBER(F12),(F12+5)+CHOOSE(WEEKDAY(F12+5,2),0,0,0,0,0,2,1),"")))</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P050052|I</t>
        </is>
      </c>
      <c r="Q12" s="7" t="inlineStr">
        <is>
          <t>registered — issued with the legacy series on 15.05.2026</t>
        </is>
      </c>
    </row>
    <row r="13">
      <c r="A13" s="2">
        <f>IF(C13="yes",COUNT(A$1:A12)+1,"")</f>
        <v/>
      </c>
      <c r="B13" s="3">
        <f>IF(A13&lt;&gt;"","iCoA-PP_26-"&amp;TEXT(A13,"000"),IF(C13="n/a","not needed","— at issue —"))</f>
        <v/>
      </c>
      <c r="C13" s="4" t="inlineStr">
        <is>
          <t>yes</t>
        </is>
      </c>
      <c r="D13" s="5">
        <f>IF(A13="","",IF(G13="legacy",DATE(2026,5,15),IF(ISNUMBER(F13),(F13+5)+CHOOSE(WEEKDAY(F13+5,2),0,0,0,0,0,2,1),"")))</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P050062|I</t>
        </is>
      </c>
      <c r="Q13" s="7" t="inlineStr">
        <is>
          <t>registered — issued with the legacy series on 15.05.2026</t>
        </is>
      </c>
    </row>
    <row r="14">
      <c r="A14" s="2">
        <f>IF(C14="yes",COUNT(A$1:A13)+1,"")</f>
        <v/>
      </c>
      <c r="B14" s="3">
        <f>IF(A14&lt;&gt;"","iCoA-PP_26-"&amp;TEXT(A14,"000"),IF(C14="n/a","not needed","— at issue —"))</f>
        <v/>
      </c>
      <c r="C14" s="4" t="inlineStr">
        <is>
          <t>yes</t>
        </is>
      </c>
      <c r="D14" s="5">
        <f>IF(A14="","",IF(G14="legacy",DATE(2026,5,15),IF(ISNUMBER(F14),(F14+5)+CHOOSE(WEEKDAY(F14+5,2),0,0,0,0,0,2,1),"")))</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P050072|I</t>
        </is>
      </c>
      <c r="Q14" s="7" t="inlineStr">
        <is>
          <t>registered — issued with the legacy series on 15.05.2026</t>
        </is>
      </c>
    </row>
    <row r="15">
      <c r="A15" s="2">
        <f>IF(C15="yes",COUNT(A$1:A14)+1,"")</f>
        <v/>
      </c>
      <c r="B15" s="3">
        <f>IF(A15&lt;&gt;"","iCoA-PP_26-"&amp;TEXT(A15,"000"),IF(C15="n/a","not needed","— at issue —"))</f>
        <v/>
      </c>
      <c r="C15" s="4" t="inlineStr">
        <is>
          <t>yes</t>
        </is>
      </c>
      <c r="D15" s="5">
        <f>IF(A15="","",IF(G15="legacy",DATE(2026,5,15),IF(ISNUMBER(F15),(F15+5)+CHOOSE(WEEKDAY(F15+5,2),0,0,0,0,0,2,1),"")))</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P050082|I</t>
        </is>
      </c>
      <c r="Q15" s="7" t="inlineStr">
        <is>
          <t>registered — issued with the legacy series on 15.05.2026</t>
        </is>
      </c>
    </row>
    <row r="16">
      <c r="A16" s="2">
        <f>IF(C16="yes",COUNT(A$1:A15)+1,"")</f>
        <v/>
      </c>
      <c r="B16" s="3">
        <f>IF(A16&lt;&gt;"","iCoA-PP_26-"&amp;TEXT(A16,"000"),IF(C16="n/a","not needed","— at issue —"))</f>
        <v/>
      </c>
      <c r="C16" s="4" t="inlineStr">
        <is>
          <t>yes</t>
        </is>
      </c>
      <c r="D16" s="5">
        <f>IF(A16="","",IF(G16="legacy",DATE(2026,5,15),IF(ISNUMBER(F16),(F16+5)+CHOOSE(WEEKDAY(F16+5,2),0,0,0,0,0,2,1),"")))</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P050092|I</t>
        </is>
      </c>
      <c r="Q16" s="7" t="inlineStr">
        <is>
          <t>registered — issued with the legacy series on 15.05.2026</t>
        </is>
      </c>
    </row>
    <row r="17">
      <c r="A17" s="2">
        <f>IF(C17="yes",COUNT(A$1:A16)+1,"")</f>
        <v/>
      </c>
      <c r="B17" s="3">
        <f>IF(A17&lt;&gt;"","iCoA-PP_26-"&amp;TEXT(A17,"000"),IF(C17="n/a","not needed","— at issue —"))</f>
        <v/>
      </c>
      <c r="C17" s="4" t="inlineStr">
        <is>
          <t>yes</t>
        </is>
      </c>
      <c r="D17" s="5">
        <f>IF(A17="","",IF(G17="legacy",DATE(2026,5,15),IF(ISNUMBER(F17),(F17+5)+CHOOSE(WEEKDAY(F17+5,2),0,0,0,0,0,2,1),"")))</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P050102|I</t>
        </is>
      </c>
      <c r="Q17" s="7" t="inlineStr">
        <is>
          <t>registered — issued with the legacy series on 15.05.2026</t>
        </is>
      </c>
    </row>
    <row r="18">
      <c r="A18" s="2">
        <f>IF(C18="yes",COUNT(A$1:A17)+1,"")</f>
        <v/>
      </c>
      <c r="B18" s="3">
        <f>IF(A18&lt;&gt;"","iCoA-PP_26-"&amp;TEXT(A18,"000"),IF(C18="n/a","not needed","— at issue —"))</f>
        <v/>
      </c>
      <c r="C18" s="4" t="inlineStr">
        <is>
          <t>yes</t>
        </is>
      </c>
      <c r="D18" s="5">
        <f>IF(A18="","",IF(G18="legacy",DATE(2026,5,15),IF(ISNUMBER(F18),(F18+5)+CHOOSE(WEEKDAY(F18+5,2),0,0,0,0,0,2,1),"")))</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P050112|I</t>
        </is>
      </c>
      <c r="Q18" s="7" t="inlineStr">
        <is>
          <t>registered — issued with the legacy series on 15.05.2026</t>
        </is>
      </c>
    </row>
    <row r="19">
      <c r="A19" s="2">
        <f>IF(C19="yes",COUNT(A$1:A18)+1,"")</f>
        <v/>
      </c>
      <c r="B19" s="3">
        <f>IF(A19&lt;&gt;"","iCoA-PP_26-"&amp;TEXT(A19,"000"),IF(C19="n/a","not needed","— at issue —"))</f>
        <v/>
      </c>
      <c r="C19" s="4" t="inlineStr">
        <is>
          <t>yes</t>
        </is>
      </c>
      <c r="D19" s="5">
        <f>IF(A19="","",IF(G19="legacy",DATE(2026,5,15),IF(ISNUMBER(F19),(F19+5)+CHOOSE(WEEKDAY(F19+5,2),0,0,0,0,0,2,1),"")))</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BSS1024_01/1</t>
        </is>
      </c>
      <c r="J19" s="2" t="inlineStr">
        <is>
          <t>P050122</t>
        </is>
      </c>
      <c r="K19" s="2" t="inlineStr">
        <is>
          <t>Blue Sunset Sherbet</t>
        </is>
      </c>
      <c r="L19" s="2" t="inlineStr">
        <is>
          <t>Ident A + Ident B + Foreign matter</t>
        </is>
      </c>
      <c r="M19" s="6" t="inlineStr">
        <is>
          <t>—</t>
        </is>
      </c>
      <c r="N19" s="2">
        <f>IFERROR(INDEX('CoQ Register'!$B:$B,MATCH("P050122|I",'CoQ Register'!$S:$S,0)),"—")</f>
        <v/>
      </c>
      <c r="O19" s="6" t="inlineStr">
        <is>
          <t>—</t>
        </is>
      </c>
      <c r="P19" s="2" t="inlineStr">
        <is>
          <t>P050122|I</t>
        </is>
      </c>
      <c r="Q19" s="7" t="inlineStr">
        <is>
          <t>registered — issued with the legacy series on 15.05.2026</t>
        </is>
      </c>
    </row>
    <row r="20">
      <c r="A20" s="2">
        <f>IF(C20="yes",COUNT(A$1:A19)+1,"")</f>
        <v/>
      </c>
      <c r="B20" s="3">
        <f>IF(A20&lt;&gt;"","iCoA-PP_26-"&amp;TEXT(A20,"000"),IF(C20="n/a","not needed","— at issue —"))</f>
        <v/>
      </c>
      <c r="C20" s="4" t="inlineStr">
        <is>
          <t>yes</t>
        </is>
      </c>
      <c r="D20" s="5">
        <f>IF(A20="","",IF(G20="legacy",DATE(2026,5,15),IF(ISNUMBER(F20),(F20+5)+CHOOSE(WEEKDAY(F20+5,2),0,0,0,0,0,2,1),"")))</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OPM052501</t>
        </is>
      </c>
      <c r="J20" s="2" t="inlineStr">
        <is>
          <t>P050132</t>
        </is>
      </c>
      <c r="K20" s="2" t="inlineStr">
        <is>
          <t>Orange Punch Mimosa</t>
        </is>
      </c>
      <c r="L20" s="2" t="inlineStr">
        <is>
          <t>Ident A + Ident B + Foreign matter</t>
        </is>
      </c>
      <c r="M20" s="6" t="inlineStr">
        <is>
          <t>—</t>
        </is>
      </c>
      <c r="N20" s="2">
        <f>IFERROR(INDEX('CoQ Register'!$B:$B,MATCH("P050132|I",'CoQ Register'!$S:$S,0)),"—")</f>
        <v/>
      </c>
      <c r="O20" s="6" t="inlineStr">
        <is>
          <t>—</t>
        </is>
      </c>
      <c r="P20" s="2" t="inlineStr">
        <is>
          <t>P050132|I</t>
        </is>
      </c>
      <c r="Q20" s="7" t="inlineStr">
        <is>
          <t>registered — issued with the legacy series on 15.05.2026</t>
        </is>
      </c>
    </row>
    <row r="21">
      <c r="A21" s="2">
        <f>IF(C21="yes",COUNT(A$1:A20)+1,"")</f>
        <v/>
      </c>
      <c r="B21" s="3">
        <f>IF(A21&lt;&gt;"","iCoA-PP_26-"&amp;TEXT(A21,"000"),IF(C21="n/a","not needed","— at issue —"))</f>
        <v/>
      </c>
      <c r="C21" s="4" t="inlineStr">
        <is>
          <t>yes</t>
        </is>
      </c>
      <c r="D21" s="5">
        <f>IF(A21="","",IF(G21="legacy",DATE(2026,5,15),IF(ISNUMBER(F21),(F21+5)+CHOOSE(WEEKDAY(F21+5,2),0,0,0,0,0,2,1),"")))</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GP052501</t>
        </is>
      </c>
      <c r="J21" s="2" t="inlineStr">
        <is>
          <t>P050152</t>
        </is>
      </c>
      <c r="K21" s="2" t="inlineStr">
        <is>
          <t>Grape Pie</t>
        </is>
      </c>
      <c r="L21" s="2" t="inlineStr">
        <is>
          <t>Ident A + Ident B + Foreign matter</t>
        </is>
      </c>
      <c r="M21" s="6" t="inlineStr">
        <is>
          <t>—</t>
        </is>
      </c>
      <c r="N21" s="2">
        <f>IFERROR(INDEX('CoQ Register'!$B:$B,MATCH("P050152|I",'CoQ Register'!$S:$S,0)),"—")</f>
        <v/>
      </c>
      <c r="O21" s="2" t="inlineStr">
        <is>
          <t>iCoA-PP-2025-0014</t>
        </is>
      </c>
      <c r="P21" s="2" t="inlineStr">
        <is>
          <t>P050152|I</t>
        </is>
      </c>
      <c r="Q21" s="7" t="inlineStr">
        <is>
          <t>registered — issued with the legacy series on 15.05.2026</t>
        </is>
      </c>
    </row>
    <row r="22">
      <c r="A22" s="2">
        <f>IF(C22="yes",COUNT(A$1:A21)+1,"")</f>
        <v/>
      </c>
      <c r="B22" s="3">
        <f>IF(A22&lt;&gt;"","iCoA-PP_26-"&amp;TEXT(A22,"000"),IF(C22="n/a","not needed","— at issue —"))</f>
        <v/>
      </c>
      <c r="C22" s="4" t="inlineStr">
        <is>
          <t>yes</t>
        </is>
      </c>
      <c r="D22" s="5">
        <f>IF(A22="","",IF(G22="legacy",DATE(2026,5,15),IF(ISNUMBER(F22),(F22+5)+CHOOSE(WEEKDAY(F22+5,2),0,0,0,0,0,2,1),"")))</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BSS1024_01/2</t>
        </is>
      </c>
      <c r="J22" s="2" t="inlineStr">
        <is>
          <t>P050142</t>
        </is>
      </c>
      <c r="K22" s="2" t="inlineStr">
        <is>
          <t>Blue Sunset Sherbet</t>
        </is>
      </c>
      <c r="L22" s="2" t="inlineStr">
        <is>
          <t>Ident A + Ident B + Foreign matter</t>
        </is>
      </c>
      <c r="M22" s="6" t="inlineStr">
        <is>
          <t>—</t>
        </is>
      </c>
      <c r="N22" s="2">
        <f>IFERROR(INDEX('CoQ Register'!$B:$B,MATCH("P050142|I",'CoQ Register'!$S:$S,0)),"—")</f>
        <v/>
      </c>
      <c r="O22" s="6" t="inlineStr">
        <is>
          <t>—</t>
        </is>
      </c>
      <c r="P22" s="2" t="inlineStr">
        <is>
          <t>P050142|I</t>
        </is>
      </c>
      <c r="Q22" s="7" t="inlineStr">
        <is>
          <t>registered — issued with the legacy series on 15.05.2026</t>
        </is>
      </c>
    </row>
    <row r="23">
      <c r="A23" s="2">
        <f>IF(C23="yes",COUNT(A$1:A22)+1,"")</f>
        <v/>
      </c>
      <c r="B23" s="3">
        <f>IF(A23&lt;&gt;"","iCoA-PP_26-"&amp;TEXT(A23,"000"),IF(C23="n/a","not needed","— at issue —"))</f>
        <v/>
      </c>
      <c r="C23" s="4" t="inlineStr">
        <is>
          <t>yes</t>
        </is>
      </c>
      <c r="D23" s="5">
        <f>IF(A23="","",IF(G23="legacy",DATE(2026,5,15),IF(ISNUMBER(F23),(F23+5)+CHOOSE(WEEKDAY(F23+5,2),0,0,0,0,0,2,1),"")))</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CJ052501/01</t>
        </is>
      </c>
      <c r="J23" s="2" t="inlineStr">
        <is>
          <t>P050162</t>
        </is>
      </c>
      <c r="K23" s="2" t="inlineStr">
        <is>
          <t>Cup Junky</t>
        </is>
      </c>
      <c r="L23" s="2" t="inlineStr">
        <is>
          <t>Ident A + Ident B + Foreign matter</t>
        </is>
      </c>
      <c r="M23" s="6" t="inlineStr">
        <is>
          <t>—</t>
        </is>
      </c>
      <c r="N23" s="2">
        <f>IFERROR(INDEX('CoQ Register'!$B:$B,MATCH("P050162|I",'CoQ Register'!$S:$S,0)),"—")</f>
        <v/>
      </c>
      <c r="O23" s="2" t="inlineStr">
        <is>
          <t>iCoA-PP-2025-0015</t>
        </is>
      </c>
      <c r="P23" s="2" t="inlineStr">
        <is>
          <t>P050162|I</t>
        </is>
      </c>
      <c r="Q23" s="7" t="inlineStr">
        <is>
          <t>registered — issued with the legacy series on 15.05.2026</t>
        </is>
      </c>
    </row>
    <row r="24">
      <c r="A24" s="2">
        <f>IF(C24="yes",COUNT(A$1:A23)+1,"")</f>
        <v/>
      </c>
      <c r="B24" s="3">
        <f>IF(A24&lt;&gt;"","iCoA-PP_26-"&amp;TEXT(A24,"000"),IF(C24="n/a","not needed","— at issue —"))</f>
        <v/>
      </c>
      <c r="C24" s="4" t="inlineStr">
        <is>
          <t>yes</t>
        </is>
      </c>
      <c r="D24" s="5">
        <f>IF(A24="","",IF(G24="legacy",DATE(2026,5,15),IF(ISNUMBER(F24),(F24+5)+CHOOSE(WEEKDAY(F24+5,2),0,0,0,0,0,2,1),"")))</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CJ052501/02</t>
        </is>
      </c>
      <c r="J24" s="2" t="inlineStr">
        <is>
          <t>P050172</t>
        </is>
      </c>
      <c r="K24" s="2" t="inlineStr">
        <is>
          <t>Cap Junky</t>
        </is>
      </c>
      <c r="L24" s="2" t="inlineStr">
        <is>
          <t>Ident A + Ident B + Foreign matter</t>
        </is>
      </c>
      <c r="M24" s="6" t="inlineStr">
        <is>
          <t>—</t>
        </is>
      </c>
      <c r="N24" s="2">
        <f>IFERROR(INDEX('CoQ Register'!$B:$B,MATCH("P050172|I",'CoQ Register'!$S:$S,0)),"—")</f>
        <v/>
      </c>
      <c r="O24" s="6" t="inlineStr">
        <is>
          <t>—</t>
        </is>
      </c>
      <c r="P24" s="2" t="inlineStr">
        <is>
          <t>P050172|I</t>
        </is>
      </c>
      <c r="Q24" s="7" t="inlineStr">
        <is>
          <t>registered — issued with the legacy series on 15.05.2026</t>
        </is>
      </c>
    </row>
    <row r="25">
      <c r="A25" s="2">
        <f>IF(C25="yes",COUNT(A$1:A24)+1,"")</f>
        <v/>
      </c>
      <c r="B25" s="3">
        <f>IF(A25&lt;&gt;"","iCoA-PP_26-"&amp;TEXT(A25,"000"),IF(C25="n/a","not needed","— at issue —"))</f>
        <v/>
      </c>
      <c r="C25" s="4" t="inlineStr">
        <is>
          <t>yes</t>
        </is>
      </c>
      <c r="D25" s="5">
        <f>IF(A25="","",IF(G25="legacy",DATE(2026,5,15),IF(ISNUMBER(F25),(F25+5)+CHOOSE(WEEKDAY(F25+5,2),0,0,0,0,0,2,1),"")))</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HPA052501</t>
        </is>
      </c>
      <c r="J25" s="2" t="inlineStr">
        <is>
          <t>P050182</t>
        </is>
      </c>
      <c r="K25" s="2" t="inlineStr">
        <is>
          <t>High Pro Amnesia</t>
        </is>
      </c>
      <c r="L25" s="2" t="inlineStr">
        <is>
          <t>Ident A + Ident B + Foreign matter</t>
        </is>
      </c>
      <c r="M25" s="6" t="inlineStr">
        <is>
          <t>—</t>
        </is>
      </c>
      <c r="N25" s="2">
        <f>IFERROR(INDEX('CoQ Register'!$B:$B,MATCH("P050182|I",'CoQ Register'!$S:$S,0)),"—")</f>
        <v/>
      </c>
      <c r="O25" s="2" t="inlineStr">
        <is>
          <t>iCoA-PP-2025-0016</t>
        </is>
      </c>
      <c r="P25" s="2" t="inlineStr">
        <is>
          <t>P050182|I</t>
        </is>
      </c>
      <c r="Q25" s="7" t="inlineStr">
        <is>
          <t>registered — issued with the legacy series on 15.05.2026</t>
        </is>
      </c>
    </row>
    <row r="26">
      <c r="A26" s="2">
        <f>IF(C26="yes",COUNT(A$1:A25)+1,"")</f>
        <v/>
      </c>
      <c r="B26" s="3">
        <f>IF(A26&lt;&gt;"","iCoA-PP_26-"&amp;TEXT(A26,"000"),IF(C26="n/a","not needed","— at issue —"))</f>
        <v/>
      </c>
      <c r="C26" s="4" t="inlineStr">
        <is>
          <t>yes</t>
        </is>
      </c>
      <c r="D26" s="5">
        <f>IF(A26="","",IF(G26="legacy",DATE(2026,5,15),IF(ISNUMBER(F26),(F26+5)+CHOOSE(WEEKDAY(F26+5,2),0,0,0,0,0,2,1),"")))</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BSS052501</t>
        </is>
      </c>
      <c r="J26" s="2" t="inlineStr">
        <is>
          <t>P050192</t>
        </is>
      </c>
      <c r="K26" s="2" t="inlineStr">
        <is>
          <t>Sleepy Joe</t>
        </is>
      </c>
      <c r="L26" s="2" t="inlineStr">
        <is>
          <t>Ident A + Ident B + Foreign matter</t>
        </is>
      </c>
      <c r="M26" s="6" t="inlineStr">
        <is>
          <t>—</t>
        </is>
      </c>
      <c r="N26" s="2">
        <f>IFERROR(INDEX('CoQ Register'!$B:$B,MATCH("P050192|I",'CoQ Register'!$S:$S,0)),"—")</f>
        <v/>
      </c>
      <c r="O26" s="2" t="inlineStr">
        <is>
          <t>iCoA-PP-2025-0017</t>
        </is>
      </c>
      <c r="P26" s="2" t="inlineStr">
        <is>
          <t>P050192|I</t>
        </is>
      </c>
      <c r="Q26" s="7" t="inlineStr">
        <is>
          <t>registered — issued with the legacy series on 15.05.2026</t>
        </is>
      </c>
    </row>
    <row r="27">
      <c r="A27" s="2">
        <f>IF(C27="yes",COUNT(A$1:A26)+1,"")</f>
        <v/>
      </c>
      <c r="B27" s="3">
        <f>IF(A27&lt;&gt;"","iCoA-PP_26-"&amp;TEXT(A27,"000"),IF(C27="n/a","not needed","— at issue —"))</f>
        <v/>
      </c>
      <c r="C27" s="4" t="inlineStr">
        <is>
          <t>yes</t>
        </is>
      </c>
      <c r="D27" s="5">
        <f>IF(A27="","",IF(G27="legacy",DATE(2026,5,15),IF(ISNUMBER(F27),(F27+5)+CHOOSE(WEEKDAY(F27+5,2),0,0,0,0,0,2,1),"")))</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GP062501</t>
        </is>
      </c>
      <c r="J27" s="2" t="inlineStr">
        <is>
          <t>P050202</t>
        </is>
      </c>
      <c r="K27" s="2" t="inlineStr">
        <is>
          <t>Grape Pie</t>
        </is>
      </c>
      <c r="L27" s="2" t="inlineStr">
        <is>
          <t>Ident A + Ident B + Foreign matter</t>
        </is>
      </c>
      <c r="M27" s="6" t="inlineStr">
        <is>
          <t>—</t>
        </is>
      </c>
      <c r="N27" s="2">
        <f>IFERROR(INDEX('CoQ Register'!$B:$B,MATCH("P050202|I",'CoQ Register'!$S:$S,0)),"—")</f>
        <v/>
      </c>
      <c r="O27" s="6" t="inlineStr">
        <is>
          <t>—</t>
        </is>
      </c>
      <c r="P27" s="2" t="inlineStr">
        <is>
          <t>P050202|I</t>
        </is>
      </c>
      <c r="Q27" s="7" t="inlineStr">
        <is>
          <t>registered — issued with the legacy series on 15.05.2026</t>
        </is>
      </c>
    </row>
    <row r="28">
      <c r="A28" s="2">
        <f>IF(C28="yes",COUNT(A$1:A27)+1,"")</f>
        <v/>
      </c>
      <c r="B28" s="3">
        <f>IF(A28&lt;&gt;"","iCoA-PP_26-"&amp;TEXT(A28,"000"),IF(C28="n/a","not needed","— at issue —"))</f>
        <v/>
      </c>
      <c r="C28" s="4" t="inlineStr">
        <is>
          <t>yes</t>
        </is>
      </c>
      <c r="D28" s="5">
        <f>IF(A28="","",IF(G28="legacy",DATE(2026,5,15),IF(ISNUMBER(F28),(F28+5)+CHOOSE(WEEKDAY(F28+5,2),0,0,0,0,0,2,1),"")))</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CJ062501/2</t>
        </is>
      </c>
      <c r="J28" s="2" t="inlineStr">
        <is>
          <t>P050212</t>
        </is>
      </c>
      <c r="K28" s="2" t="inlineStr">
        <is>
          <t>Cap Junkie</t>
        </is>
      </c>
      <c r="L28" s="2" t="inlineStr">
        <is>
          <t>Ident A + Ident B + Foreign matter</t>
        </is>
      </c>
      <c r="M28" s="6" t="inlineStr">
        <is>
          <t>—</t>
        </is>
      </c>
      <c r="N28" s="2">
        <f>IFERROR(INDEX('CoQ Register'!$B:$B,MATCH("P050212|I",'CoQ Register'!$S:$S,0)),"—")</f>
        <v/>
      </c>
      <c r="O28" s="6" t="inlineStr">
        <is>
          <t>—</t>
        </is>
      </c>
      <c r="P28" s="2" t="inlineStr">
        <is>
          <t>P050212|I</t>
        </is>
      </c>
      <c r="Q28" s="7" t="inlineStr">
        <is>
          <t>registered — issued with the legacy series on 15.05.2026</t>
        </is>
      </c>
    </row>
    <row r="29">
      <c r="A29" s="2">
        <f>IF(C29="yes",COUNT(A$1:A28)+1,"")</f>
        <v/>
      </c>
      <c r="B29" s="3">
        <f>IF(A29&lt;&gt;"","iCoA-PP_26-"&amp;TEXT(A29,"000"),IF(C29="n/a","not needed","— at issue —"))</f>
        <v/>
      </c>
      <c r="C29" s="4" t="inlineStr">
        <is>
          <t>yes</t>
        </is>
      </c>
      <c r="D29" s="5">
        <f>IF(A29="","",IF(G29="legacy",DATE(2026,5,15),IF(ISNUMBER(F29),(F29+5)+CHOOSE(WEEKDAY(F29+5,2),0,0,0,0,0,2,1),"")))</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CJ062501/1</t>
        </is>
      </c>
      <c r="J29" s="2" t="inlineStr">
        <is>
          <t>P050222</t>
        </is>
      </c>
      <c r="K29" s="2" t="inlineStr">
        <is>
          <t>Cap Junkie</t>
        </is>
      </c>
      <c r="L29" s="2" t="inlineStr">
        <is>
          <t>Ident A + Ident B + Foreign matter</t>
        </is>
      </c>
      <c r="M29" s="6" t="inlineStr">
        <is>
          <t>—</t>
        </is>
      </c>
      <c r="N29" s="2">
        <f>IFERROR(INDEX('CoQ Register'!$B:$B,MATCH("P050222|I",'CoQ Register'!$S:$S,0)),"—")</f>
        <v/>
      </c>
      <c r="O29" s="2" t="inlineStr">
        <is>
          <t>iCoA-PP-2025-0018</t>
        </is>
      </c>
      <c r="P29" s="2" t="inlineStr">
        <is>
          <t>P050222|I</t>
        </is>
      </c>
      <c r="Q29" s="7" t="inlineStr">
        <is>
          <t>registered — issued with the legacy series on 15.05.2026</t>
        </is>
      </c>
    </row>
    <row r="30">
      <c r="A30" s="2">
        <f>IF(C30="yes",COUNT(A$1:A29)+1,"")</f>
        <v/>
      </c>
      <c r="B30" s="3">
        <f>IF(A30&lt;&gt;"","iCoA-PP_26-"&amp;TEXT(A30,"000"),IF(C30="n/a","not needed","— at issue —"))</f>
        <v/>
      </c>
      <c r="C30" s="4" t="inlineStr">
        <is>
          <t>yes</t>
        </is>
      </c>
      <c r="D30" s="5">
        <f>IF(A30="","",IF(G30="legacy",DATE(2026,5,15),IF(ISNUMBER(F30),(F30+5)+CHOOSE(WEEKDAY(F30+5,2),0,0,0,0,0,2,1),"")))</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CJ072501</t>
        </is>
      </c>
      <c r="J30" s="2" t="inlineStr">
        <is>
          <t>P050252</t>
        </is>
      </c>
      <c r="K30" s="2" t="inlineStr">
        <is>
          <t>Cap Junky</t>
        </is>
      </c>
      <c r="L30" s="2" t="inlineStr">
        <is>
          <t>Ident A + Ident B + Foreign matter</t>
        </is>
      </c>
      <c r="M30" s="6" t="inlineStr">
        <is>
          <t>—</t>
        </is>
      </c>
      <c r="N30" s="2">
        <f>IFERROR(INDEX('CoQ Register'!$B:$B,MATCH("P050252|I",'CoQ Register'!$S:$S,0)),"—")</f>
        <v/>
      </c>
      <c r="O30" s="6" t="inlineStr">
        <is>
          <t>—</t>
        </is>
      </c>
      <c r="P30" s="2" t="inlineStr">
        <is>
          <t>P050252|I</t>
        </is>
      </c>
      <c r="Q30" s="7" t="inlineStr">
        <is>
          <t>registered — issued with the legacy series on 15.05.2026</t>
        </is>
      </c>
    </row>
    <row r="31">
      <c r="A31" s="2">
        <f>IF(C31="yes",COUNT(A$1:A30)+1,"")</f>
        <v/>
      </c>
      <c r="B31" s="3">
        <f>IF(A31&lt;&gt;"","iCoA-PP_26-"&amp;TEXT(A31,"000"),IF(C31="n/a","not needed","— at issue —"))</f>
        <v/>
      </c>
      <c r="C31" s="4" t="inlineStr">
        <is>
          <t>yes</t>
        </is>
      </c>
      <c r="D31" s="5">
        <f>IF(A31="","",IF(G31="legacy",DATE(2026,5,15),IF(ISNUMBER(F31),(F31+5)+CHOOSE(WEEKDAY(F31+5,2),0,0,0,0,0,2,1),"")))</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WC072501</t>
        </is>
      </c>
      <c r="J31" s="2" t="inlineStr">
        <is>
          <t>P050262</t>
        </is>
      </c>
      <c r="K31" s="2" t="inlineStr">
        <is>
          <t>Wedding Crusher</t>
        </is>
      </c>
      <c r="L31" s="2" t="inlineStr">
        <is>
          <t>Ident A + Ident B + Foreign matter</t>
        </is>
      </c>
      <c r="M31" s="6" t="inlineStr">
        <is>
          <t>—</t>
        </is>
      </c>
      <c r="N31" s="2">
        <f>IFERROR(INDEX('CoQ Register'!$B:$B,MATCH("P050262|I",'CoQ Register'!$S:$S,0)),"—")</f>
        <v/>
      </c>
      <c r="O31" s="6" t="inlineStr">
        <is>
          <t>—</t>
        </is>
      </c>
      <c r="P31" s="2" t="inlineStr">
        <is>
          <t>P050262|I</t>
        </is>
      </c>
      <c r="Q31" s="7" t="inlineStr">
        <is>
          <t>registered — issued with the legacy series on 15.05.2026</t>
        </is>
      </c>
    </row>
    <row r="32">
      <c r="A32" s="2">
        <f>IF(C32="yes",COUNT(A$1:A31)+1,"")</f>
        <v/>
      </c>
      <c r="B32" s="3">
        <f>IF(A32&lt;&gt;"","iCoA-PP_26-"&amp;TEXT(A32,"000"),IF(C32="n/a","not needed","— at issue —"))</f>
        <v/>
      </c>
      <c r="C32" s="4" t="inlineStr">
        <is>
          <t>yes</t>
        </is>
      </c>
      <c r="D32" s="5">
        <f>IF(A32="","",IF(G32="legacy",DATE(2026,5,15),IF(ISNUMBER(F32),(F32+5)+CHOOSE(WEEKDAY(F32+5,2),0,0,0,0,0,2,1),"")))</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PM072501</t>
        </is>
      </c>
      <c r="J32" s="2" t="inlineStr">
        <is>
          <t>P050272</t>
        </is>
      </c>
      <c r="K32" s="2" t="inlineStr">
        <is>
          <t>Permanent Marker</t>
        </is>
      </c>
      <c r="L32" s="2" t="inlineStr">
        <is>
          <t>Ident A + Ident B + Foreign matter</t>
        </is>
      </c>
      <c r="M32" s="6" t="inlineStr">
        <is>
          <t>—</t>
        </is>
      </c>
      <c r="N32" s="2">
        <f>IFERROR(INDEX('CoQ Register'!$B:$B,MATCH("P050272|I",'CoQ Register'!$S:$S,0)),"—")</f>
        <v/>
      </c>
      <c r="O32" s="6" t="inlineStr">
        <is>
          <t>—</t>
        </is>
      </c>
      <c r="P32" s="2" t="inlineStr">
        <is>
          <t>P050272|I</t>
        </is>
      </c>
      <c r="Q32" s="7" t="inlineStr">
        <is>
          <t>registered — issued with the legacy series on 15.05.2026</t>
        </is>
      </c>
    </row>
    <row r="33">
      <c r="A33" s="2">
        <f>IF(C33="yes",COUNT(A$1:A32)+1,"")</f>
        <v/>
      </c>
      <c r="B33" s="3">
        <f>IF(A33&lt;&gt;"","iCoA-PP_26-"&amp;TEXT(A33,"000"),IF(C33="n/a","not needed","— at issue —"))</f>
        <v/>
      </c>
      <c r="C33" s="4" t="inlineStr">
        <is>
          <t>yes</t>
        </is>
      </c>
      <c r="D33" s="5">
        <f>IF(A33="","",IF(G33="legacy",DATE(2026,5,15),IF(ISNUMBER(F33),(F33+5)+CHOOSE(WEEKDAY(F33+5,2),0,0,0,0,0,2,1),"")))</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CLE072501</t>
        </is>
      </c>
      <c r="J33" s="2" t="inlineStr">
        <is>
          <t>P050282</t>
        </is>
      </c>
      <c r="K33" s="2" t="inlineStr">
        <is>
          <t>Clemosa a bud</t>
        </is>
      </c>
      <c r="L33" s="2" t="inlineStr">
        <is>
          <t>Ident A + Ident B + Foreign matter</t>
        </is>
      </c>
      <c r="M33" s="6" t="inlineStr">
        <is>
          <t>—</t>
        </is>
      </c>
      <c r="N33" s="2">
        <f>IFERROR(INDEX('CoQ Register'!$B:$B,MATCH("P050282|I",'CoQ Register'!$S:$S,0)),"—")</f>
        <v/>
      </c>
      <c r="O33" s="2" t="inlineStr">
        <is>
          <t>iCoA-PP-2025-0019</t>
        </is>
      </c>
      <c r="P33" s="2" t="inlineStr">
        <is>
          <t>P050282|I</t>
        </is>
      </c>
      <c r="Q33" s="7" t="inlineStr">
        <is>
          <t>registered — issued with the legacy series on 15.05.2026</t>
        </is>
      </c>
    </row>
    <row r="34">
      <c r="A34" s="2">
        <f>IF(C34="yes",COUNT(A$1:A33)+1,"")</f>
        <v/>
      </c>
      <c r="B34" s="3">
        <f>IF(A34&lt;&gt;"","iCoA-PP_26-"&amp;TEXT(A34,"000"),IF(C34="n/a","not needed","— at issue —"))</f>
        <v/>
      </c>
      <c r="C34" s="4" t="inlineStr">
        <is>
          <t>yes</t>
        </is>
      </c>
      <c r="D34" s="5">
        <f>IF(A34="","",IF(G34="legacy",DATE(2026,5,15),IF(ISNUMBER(F34),(F34+5)+CHOOSE(WEEKDAY(F34+5,2),0,0,0,0,0,2,1),"")))</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GP072501/1</t>
        </is>
      </c>
      <c r="J34" s="2" t="inlineStr">
        <is>
          <t>P050292</t>
        </is>
      </c>
      <c r="K34" s="2" t="inlineStr">
        <is>
          <t>Grape Pie</t>
        </is>
      </c>
      <c r="L34" s="2" t="inlineStr">
        <is>
          <t>Ident A + Ident B + Foreign matter</t>
        </is>
      </c>
      <c r="M34" s="6" t="inlineStr">
        <is>
          <t>—</t>
        </is>
      </c>
      <c r="N34" s="2">
        <f>IFERROR(INDEX('CoQ Register'!$B:$B,MATCH("P050292|I",'CoQ Register'!$S:$S,0)),"—")</f>
        <v/>
      </c>
      <c r="O34" s="6" t="inlineStr">
        <is>
          <t>—</t>
        </is>
      </c>
      <c r="P34" s="2" t="inlineStr">
        <is>
          <t>P050292|I</t>
        </is>
      </c>
      <c r="Q34" s="7" t="inlineStr">
        <is>
          <t>registered — issued with the legacy series on 15.05.2026</t>
        </is>
      </c>
    </row>
    <row r="35">
      <c r="A35" s="2">
        <f>IF(C35="yes",COUNT(A$1:A34)+1,"")</f>
        <v/>
      </c>
      <c r="B35" s="3">
        <f>IF(A35&lt;&gt;"","iCoA-PP_26-"&amp;TEXT(A35,"000"),IF(C35="n/a","not needed","— at issue —"))</f>
        <v/>
      </c>
      <c r="C35" s="4" t="inlineStr">
        <is>
          <t>yes</t>
        </is>
      </c>
      <c r="D35" s="5">
        <f>IF(A35="","",IF(G35="legacy",DATE(2026,5,15),IF(ISNUMBER(F35),(F35+5)+CHOOSE(WEEKDAY(F35+5,2),0,0,0,0,0,2,1),"")))</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GP072501/2</t>
        </is>
      </c>
      <c r="J35" s="2" t="inlineStr">
        <is>
          <t>P050302</t>
        </is>
      </c>
      <c r="K35" s="2" t="inlineStr">
        <is>
          <t>Grape Pie</t>
        </is>
      </c>
      <c r="L35" s="2" t="inlineStr">
        <is>
          <t>Ident A + Ident B + Foreign matter</t>
        </is>
      </c>
      <c r="M35" s="6" t="inlineStr">
        <is>
          <t>—</t>
        </is>
      </c>
      <c r="N35" s="2">
        <f>IFERROR(INDEX('CoQ Register'!$B:$B,MATCH("P050302|I",'CoQ Register'!$S:$S,0)),"—")</f>
        <v/>
      </c>
      <c r="O35" s="2" t="inlineStr">
        <is>
          <t>iCoA-PP-2025-0020</t>
        </is>
      </c>
      <c r="P35" s="2" t="inlineStr">
        <is>
          <t>P050302|I</t>
        </is>
      </c>
      <c r="Q35" s="7" t="inlineStr">
        <is>
          <t>registered — issued with the legacy series on 15.05.2026</t>
        </is>
      </c>
    </row>
    <row r="36">
      <c r="A36" s="2">
        <f>IF(C36="yes",COUNT(A$1:A35)+1,"")</f>
        <v/>
      </c>
      <c r="B36" s="3">
        <f>IF(A36&lt;&gt;"","iCoA-PP_26-"&amp;TEXT(A36,"000"),IF(C36="n/a","not needed","— at issue —"))</f>
        <v/>
      </c>
      <c r="C36" s="4" t="inlineStr">
        <is>
          <t>yes</t>
        </is>
      </c>
      <c r="D36" s="5">
        <f>IF(A36="","",IF(G36="legacy",DATE(2026,5,15),IF(ISNUMBER(F36),(F36+5)+CHOOSE(WEEKDAY(F36+5,2),0,0,0,0,0,2,1),"")))</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GP082501/1</t>
        </is>
      </c>
      <c r="J36" s="2" t="inlineStr">
        <is>
          <t>P050312</t>
        </is>
      </c>
      <c r="K36" s="2" t="inlineStr">
        <is>
          <t>Grape Pie</t>
        </is>
      </c>
      <c r="L36" s="2" t="inlineStr">
        <is>
          <t>Ident A + Ident B + Foreign matter</t>
        </is>
      </c>
      <c r="M36" s="6" t="inlineStr">
        <is>
          <t>—</t>
        </is>
      </c>
      <c r="N36" s="2">
        <f>IFERROR(INDEX('CoQ Register'!$B:$B,MATCH("P050312|I",'CoQ Register'!$S:$S,0)),"—")</f>
        <v/>
      </c>
      <c r="O36" s="2" t="inlineStr">
        <is>
          <t>iCoA-PP-2025-0021</t>
        </is>
      </c>
      <c r="P36" s="2" t="inlineStr">
        <is>
          <t>P050312|I</t>
        </is>
      </c>
      <c r="Q36" s="7" t="inlineStr">
        <is>
          <t>registered — issued with the legacy series on 15.05.2026</t>
        </is>
      </c>
    </row>
    <row r="37">
      <c r="A37" s="2">
        <f>IF(C37="yes",COUNT(A$1:A36)+1,"")</f>
        <v/>
      </c>
      <c r="B37" s="3">
        <f>IF(A37&lt;&gt;"","iCoA-PP_26-"&amp;TEXT(A37,"000"),IF(C37="n/a","not needed","— at issue —"))</f>
        <v/>
      </c>
      <c r="C37" s="4" t="inlineStr">
        <is>
          <t>yes</t>
        </is>
      </c>
      <c r="D37" s="5">
        <f>IF(A37="","",IF(G37="legacy",DATE(2026,5,15),IF(ISNUMBER(F37),(F37+5)+CHOOSE(WEEKDAY(F37+5,2),0,0,0,0,0,2,1),"")))</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GP082501/2</t>
        </is>
      </c>
      <c r="J37" s="2" t="inlineStr">
        <is>
          <t>P050322</t>
        </is>
      </c>
      <c r="K37" s="2" t="inlineStr">
        <is>
          <t>Grape Pie</t>
        </is>
      </c>
      <c r="L37" s="2" t="inlineStr">
        <is>
          <t>Ident A + Ident B + Foreign matter</t>
        </is>
      </c>
      <c r="M37" s="6" t="inlineStr">
        <is>
          <t>—</t>
        </is>
      </c>
      <c r="N37" s="2">
        <f>IFERROR(INDEX('CoQ Register'!$B:$B,MATCH("P050322|I",'CoQ Register'!$S:$S,0)),"—")</f>
        <v/>
      </c>
      <c r="O37" s="2" t="inlineStr">
        <is>
          <t>iCoA-PP-2025-0022</t>
        </is>
      </c>
      <c r="P37" s="2" t="inlineStr">
        <is>
          <t>P050322|I</t>
        </is>
      </c>
      <c r="Q37" s="7" t="inlineStr">
        <is>
          <t>registered — issued with the legacy series on 15.05.2026</t>
        </is>
      </c>
    </row>
    <row r="38">
      <c r="A38" s="2">
        <f>IF(C38="yes",COUNT(A$1:A37)+1,"")</f>
        <v/>
      </c>
      <c r="B38" s="3">
        <f>IF(A38&lt;&gt;"","iCoA-PP_26-"&amp;TEXT(A38,"000"),IF(C38="n/a","not needed","— at issue —"))</f>
        <v/>
      </c>
      <c r="C38" s="4" t="inlineStr">
        <is>
          <t>yes</t>
        </is>
      </c>
      <c r="D38" s="5">
        <f>IF(A38="","",IF(G38="legacy",DATE(2026,5,15),IF(ISNUMBER(F38),(F38+5)+CHOOSE(WEEKDAY(F38+5,2),0,0,0,0,0,2,1),"")))</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WC082501</t>
        </is>
      </c>
      <c r="J38" s="2" t="inlineStr">
        <is>
          <t>P060012</t>
        </is>
      </c>
      <c r="K38" s="2" t="inlineStr">
        <is>
          <t>Wedding Crasher</t>
        </is>
      </c>
      <c r="L38" s="2" t="inlineStr">
        <is>
          <t>Ident A + Ident B + Foreign matter</t>
        </is>
      </c>
      <c r="M38" s="6" t="inlineStr">
        <is>
          <t>—</t>
        </is>
      </c>
      <c r="N38" s="2">
        <f>IFERROR(INDEX('CoQ Register'!$B:$B,MATCH("P060012|I",'CoQ Register'!$S:$S,0)),"—")</f>
        <v/>
      </c>
      <c r="O38" s="2" t="inlineStr">
        <is>
          <t>iCoA-PP-2026-0001</t>
        </is>
      </c>
      <c r="P38" s="2" t="inlineStr">
        <is>
          <t>P060012|I</t>
        </is>
      </c>
      <c r="Q38" s="7" t="inlineStr">
        <is>
          <t>registered — issued with the legacy series on 15.05.2026</t>
        </is>
      </c>
    </row>
    <row r="39">
      <c r="A39" s="2">
        <f>IF(C39="yes",COUNT(A$1:A38)+1,"")</f>
        <v/>
      </c>
      <c r="B39" s="3">
        <f>IF(A39&lt;&gt;"","iCoA-PP_26-"&amp;TEXT(A39,"000"),IF(C39="n/a","not needed","— at issue —"))</f>
        <v/>
      </c>
      <c r="C39" s="4" t="inlineStr">
        <is>
          <t>yes</t>
        </is>
      </c>
      <c r="D39" s="5">
        <f>IF(A39="","",IF(G39="legacy",DATE(2026,5,15),IF(ISNUMBER(F39),(F39+5)+CHOOSE(WEEKDAY(F39+5,2),0,0,0,0,0,2,1),"")))</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CJ082501/1</t>
        </is>
      </c>
      <c r="J39" s="2" t="inlineStr">
        <is>
          <t>P060022</t>
        </is>
      </c>
      <c r="K39" s="2" t="inlineStr">
        <is>
          <t>Cap Junky</t>
        </is>
      </c>
      <c r="L39" s="2" t="inlineStr">
        <is>
          <t>Ident A + Ident B + Foreign matter</t>
        </is>
      </c>
      <c r="M39" s="6" t="inlineStr">
        <is>
          <t>—</t>
        </is>
      </c>
      <c r="N39" s="2">
        <f>IFERROR(INDEX('CoQ Register'!$B:$B,MATCH("P060022|I",'CoQ Register'!$S:$S,0)),"—")</f>
        <v/>
      </c>
      <c r="O39" s="2" t="inlineStr">
        <is>
          <t>iCoA-PP-2026-0002</t>
        </is>
      </c>
      <c r="P39" s="2" t="inlineStr">
        <is>
          <t>P060022|I</t>
        </is>
      </c>
      <c r="Q39" s="7" t="inlineStr">
        <is>
          <t>registered — issued with the legacy series on 15.05.2026</t>
        </is>
      </c>
    </row>
    <row r="40">
      <c r="A40" s="2">
        <f>IF(C40="yes",COUNT(A$1:A39)+1,"")</f>
        <v/>
      </c>
      <c r="B40" s="3">
        <f>IF(A40&lt;&gt;"","iCoA-PP_26-"&amp;TEXT(A40,"000"),IF(C40="n/a","not needed","— at issue —"))</f>
        <v/>
      </c>
      <c r="C40" s="4" t="inlineStr">
        <is>
          <t>yes</t>
        </is>
      </c>
      <c r="D40" s="5">
        <f>IF(A40="","",IF(G40="legacy",DATE(2026,5,15),IF(ISNUMBER(F40),(F40+5)+CHOOSE(WEEKDAY(F40+5,2),0,0,0,0,0,2,1),"")))</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CJ082501/2</t>
        </is>
      </c>
      <c r="J40" s="2" t="inlineStr">
        <is>
          <t>P060032</t>
        </is>
      </c>
      <c r="K40" s="2" t="inlineStr">
        <is>
          <t>Cap Junky</t>
        </is>
      </c>
      <c r="L40" s="2" t="inlineStr">
        <is>
          <t>Ident A + Ident B + Foreign matter</t>
        </is>
      </c>
      <c r="M40" s="6" t="inlineStr">
        <is>
          <t>—</t>
        </is>
      </c>
      <c r="N40" s="2">
        <f>IFERROR(INDEX('CoQ Register'!$B:$B,MATCH("P060032|I",'CoQ Register'!$S:$S,0)),"—")</f>
        <v/>
      </c>
      <c r="O40" s="2" t="inlineStr">
        <is>
          <t>iCoA-PP-2026-0003</t>
        </is>
      </c>
      <c r="P40" s="2" t="inlineStr">
        <is>
          <t>P060032|I</t>
        </is>
      </c>
      <c r="Q40" s="7" t="inlineStr">
        <is>
          <t>registered — issued with the legacy series on 15.05.2026</t>
        </is>
      </c>
    </row>
    <row r="41">
      <c r="A41" s="2">
        <f>IF(C41="yes",COUNT(A$1:A40)+1,"")</f>
        <v/>
      </c>
      <c r="B41" s="3">
        <f>IF(A41&lt;&gt;"","iCoA-PP_26-"&amp;TEXT(A41,"000"),IF(C41="n/a","not needed","— at issue —"))</f>
        <v/>
      </c>
      <c r="C41" s="4" t="inlineStr">
        <is>
          <t>yes</t>
        </is>
      </c>
      <c r="D41" s="5">
        <f>IF(A41="","",IF(G41="legacy",DATE(2026,5,15),IF(ISNUMBER(F41),(F41+5)+CHOOSE(WEEKDAY(F41+5,2),0,0,0,0,0,2,1),"")))</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OPM092501</t>
        </is>
      </c>
      <c r="J41" s="2" t="inlineStr">
        <is>
          <t>P060042</t>
        </is>
      </c>
      <c r="K41" s="2" t="inlineStr">
        <is>
          <t>Orange Punch Mimosa</t>
        </is>
      </c>
      <c r="L41" s="2" t="inlineStr">
        <is>
          <t>Ident A + Ident B + Foreign matter</t>
        </is>
      </c>
      <c r="M41" s="6" t="inlineStr">
        <is>
          <t>—</t>
        </is>
      </c>
      <c r="N41" s="2">
        <f>IFERROR(INDEX('CoQ Register'!$B:$B,MATCH("P060042|I",'CoQ Register'!$S:$S,0)),"—")</f>
        <v/>
      </c>
      <c r="O41" s="2" t="inlineStr">
        <is>
          <t>iCoA-PP-2026-0004</t>
        </is>
      </c>
      <c r="P41" s="2" t="inlineStr">
        <is>
          <t>P060042|I</t>
        </is>
      </c>
      <c r="Q41" s="7" t="inlineStr">
        <is>
          <t>registered — issued with the legacy series on 15.05.2026</t>
        </is>
      </c>
    </row>
    <row r="42">
      <c r="A42" s="2">
        <f>IF(C42="yes",COUNT(A$1:A41)+1,"")</f>
        <v/>
      </c>
      <c r="B42" s="3">
        <f>IF(A42&lt;&gt;"","iCoA-PP_26-"&amp;TEXT(A42,"000"),IF(C42="n/a","not needed","— at issue —"))</f>
        <v/>
      </c>
      <c r="C42" s="4" t="inlineStr">
        <is>
          <t>yes</t>
        </is>
      </c>
      <c r="D42" s="5">
        <f>IF(A42="","",IF(G42="legacy",DATE(2026,5,15),IF(ISNUMBER(F42),(F42+5)+CHOOSE(WEEKDAY(F42+5,2),0,0,0,0,0,2,1),"")))</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AB092501</t>
        </is>
      </c>
      <c r="J42" s="2" t="inlineStr">
        <is>
          <t>P060052</t>
        </is>
      </c>
      <c r="K42" s="2" t="inlineStr">
        <is>
          <t>Apple and Banana</t>
        </is>
      </c>
      <c r="L42" s="2" t="inlineStr">
        <is>
          <t>Ident A + Ident B + Foreign matter</t>
        </is>
      </c>
      <c r="M42" s="6" t="inlineStr">
        <is>
          <t>—</t>
        </is>
      </c>
      <c r="N42" s="2">
        <f>IFERROR(INDEX('CoQ Register'!$B:$B,MATCH("P060052|I",'CoQ Register'!$S:$S,0)),"—")</f>
        <v/>
      </c>
      <c r="O42" s="6" t="inlineStr">
        <is>
          <t>—</t>
        </is>
      </c>
      <c r="P42" s="2" t="inlineStr">
        <is>
          <t>P060052|I</t>
        </is>
      </c>
      <c r="Q42" s="7" t="inlineStr">
        <is>
          <t>registered — issued with the legacy series on 15.05.2026</t>
        </is>
      </c>
    </row>
    <row r="43">
      <c r="A43" s="2">
        <f>IF(C43="yes",COUNT(A$1:A42)+1,"")</f>
        <v/>
      </c>
      <c r="B43" s="3">
        <f>IF(A43&lt;&gt;"","iCoA-PP_26-"&amp;TEXT(A43,"000"),IF(C43="n/a","not needed","— at issue —"))</f>
        <v/>
      </c>
      <c r="C43" s="4" t="inlineStr">
        <is>
          <t>yes</t>
        </is>
      </c>
      <c r="D43" s="5">
        <f>IF(A43="","",IF(G43="legacy",DATE(2026,5,15),IF(ISNUMBER(F43),(F43+5)+CHOOSE(WEEKDAY(F43+5,2),0,0,0,0,0,2,1),"")))</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PM092501</t>
        </is>
      </c>
      <c r="J43" s="2" t="inlineStr">
        <is>
          <t>P060062</t>
        </is>
      </c>
      <c r="K43" s="2" t="inlineStr">
        <is>
          <t>Permanent Market</t>
        </is>
      </c>
      <c r="L43" s="2" t="inlineStr">
        <is>
          <t>Ident A + Ident B + Foreign matter</t>
        </is>
      </c>
      <c r="M43" s="6" t="inlineStr">
        <is>
          <t>—</t>
        </is>
      </c>
      <c r="N43" s="2">
        <f>IFERROR(INDEX('CoQ Register'!$B:$B,MATCH("P060062|I",'CoQ Register'!$S:$S,0)),"—")</f>
        <v/>
      </c>
      <c r="O43" s="2" t="inlineStr">
        <is>
          <t>iCoA-PP-2026-0005</t>
        </is>
      </c>
      <c r="P43" s="2" t="inlineStr">
        <is>
          <t>P060062|I</t>
        </is>
      </c>
      <c r="Q43" s="7" t="inlineStr">
        <is>
          <t>registered — issued with the legacy series on 15.05.2026</t>
        </is>
      </c>
    </row>
    <row r="44">
      <c r="A44" s="2">
        <f>IF(C44="yes",COUNT(A$1:A43)+1,"")</f>
        <v/>
      </c>
      <c r="B44" s="3">
        <f>IF(A44&lt;&gt;"","iCoA-PP_26-"&amp;TEXT(A44,"000"),IF(C44="n/a","not needed","— at issue —"))</f>
        <v/>
      </c>
      <c r="C44" s="4" t="inlineStr">
        <is>
          <t>yes</t>
        </is>
      </c>
      <c r="D44" s="5">
        <f>IF(A44="","",IF(G44="legacy",DATE(2026,5,15),IF(ISNUMBER(F44),(F44+5)+CHOOSE(WEEKDAY(F44+5,2),0,0,0,0,0,2,1),"")))</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CJ092501</t>
        </is>
      </c>
      <c r="J44" s="2" t="inlineStr">
        <is>
          <t>P060072</t>
        </is>
      </c>
      <c r="K44" s="2" t="inlineStr">
        <is>
          <t>Cap Junky</t>
        </is>
      </c>
      <c r="L44" s="2" t="inlineStr">
        <is>
          <t>Ident A + Ident B + Foreign matter</t>
        </is>
      </c>
      <c r="M44" s="6" t="inlineStr">
        <is>
          <t>—</t>
        </is>
      </c>
      <c r="N44" s="2">
        <f>IFERROR(INDEX('CoQ Register'!$B:$B,MATCH("P060072|I",'CoQ Register'!$S:$S,0)),"—")</f>
        <v/>
      </c>
      <c r="O44" s="2" t="inlineStr">
        <is>
          <t>iCoA-PP-2026-0006</t>
        </is>
      </c>
      <c r="P44" s="2" t="inlineStr">
        <is>
          <t>P060072|I</t>
        </is>
      </c>
      <c r="Q44" s="7" t="inlineStr">
        <is>
          <t>registered — issued with the legacy series on 15.05.2026</t>
        </is>
      </c>
    </row>
    <row r="45">
      <c r="A45" s="2">
        <f>IF(C45="yes",COUNT(A$1:A44)+1,"")</f>
        <v/>
      </c>
      <c r="B45" s="3">
        <f>IF(A45&lt;&gt;"","iCoA-PP_26-"&amp;TEXT(A45,"000"),IF(C45="n/a","not needed","— at issue —"))</f>
        <v/>
      </c>
      <c r="C45" s="4" t="inlineStr">
        <is>
          <t>yes</t>
        </is>
      </c>
      <c r="D45" s="5">
        <f>IF(A45="","",IF(G45="legacy",DATE(2026,5,15),IF(ISNUMBER(F45),(F45+5)+CHOOSE(WEEKDAY(F45+5,2),0,0,0,0,0,2,1),"")))</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SJ0925021</t>
        </is>
      </c>
      <c r="J45" s="2" t="inlineStr">
        <is>
          <t>P060082</t>
        </is>
      </c>
      <c r="K45" s="2" t="inlineStr"/>
      <c r="L45" s="2" t="inlineStr">
        <is>
          <t>Ident A + Ident B + Foreign matter</t>
        </is>
      </c>
      <c r="M45" s="6" t="inlineStr">
        <is>
          <t>—</t>
        </is>
      </c>
      <c r="N45" s="2">
        <f>IFERROR(INDEX('CoQ Register'!$B:$B,MATCH("P060082|I",'CoQ Register'!$S:$S,0)),"—")</f>
        <v/>
      </c>
      <c r="O45" s="2" t="inlineStr">
        <is>
          <t>iCoA-PP-2026-0007</t>
        </is>
      </c>
      <c r="P45" s="2" t="inlineStr">
        <is>
          <t>P060082|I</t>
        </is>
      </c>
      <c r="Q45" s="7" t="inlineStr">
        <is>
          <t>registered — issued with the legacy series on 15.05.2026</t>
        </is>
      </c>
    </row>
    <row r="46">
      <c r="A46" s="2">
        <f>IF(C46="yes",COUNT(A$1:A45)+1,"")</f>
        <v/>
      </c>
      <c r="B46" s="3">
        <f>IF(A46&lt;&gt;"","iCoA-PP_26-"&amp;TEXT(A46,"000"),IF(C46="n/a","not needed","— at issue —"))</f>
        <v/>
      </c>
      <c r="C46" s="4" t="inlineStr">
        <is>
          <t>yes</t>
        </is>
      </c>
      <c r="D46" s="5">
        <f>IF(A46="","",IF(G46="legacy",DATE(2026,5,15),IF(ISNUMBER(F46),(F46+5)+CHOOSE(WEEKDAY(F46+5,2),0,0,0,0,0,2,1),"")))</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GP092501</t>
        </is>
      </c>
      <c r="J46" s="2" t="inlineStr">
        <is>
          <t>P060092</t>
        </is>
      </c>
      <c r="K46" s="2" t="inlineStr">
        <is>
          <t>Grape Pie</t>
        </is>
      </c>
      <c r="L46" s="2" t="inlineStr">
        <is>
          <t>Ident A + Ident B + Foreign matter</t>
        </is>
      </c>
      <c r="M46" s="6" t="inlineStr">
        <is>
          <t>—</t>
        </is>
      </c>
      <c r="N46" s="2">
        <f>IFERROR(INDEX('CoQ Register'!$B:$B,MATCH("P060092|I",'CoQ Register'!$S:$S,0)),"—")</f>
        <v/>
      </c>
      <c r="O46" s="2" t="inlineStr">
        <is>
          <t>iCoA-PP-2026-0008</t>
        </is>
      </c>
      <c r="P46" s="2" t="inlineStr">
        <is>
          <t>P060092|I</t>
        </is>
      </c>
      <c r="Q46" s="7" t="inlineStr">
        <is>
          <t>registered — issued with the legacy series on 15.05.2026</t>
        </is>
      </c>
    </row>
    <row r="47">
      <c r="A47" s="2">
        <f>IF(C47="yes",COUNT(A$1:A46)+1,"")</f>
        <v/>
      </c>
      <c r="B47" s="3">
        <f>IF(A47&lt;&gt;"","iCoA-PP_26-"&amp;TEXT(A47,"000"),IF(C47="n/a","not needed","— at issue —"))</f>
        <v/>
      </c>
      <c r="C47" s="4" t="inlineStr">
        <is>
          <t>yes</t>
        </is>
      </c>
      <c r="D47" s="5">
        <f>IF(A47="","",IF(G47="legacy",DATE(2026,5,15),IF(ISNUMBER(F47),(F47+5)+CHOOSE(WEEKDAY(F47+5,2),0,0,0,0,0,2,1),"")))</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WED102501</t>
        </is>
      </c>
      <c r="J47" s="2" t="inlineStr">
        <is>
          <t>P060102</t>
        </is>
      </c>
      <c r="K47" s="2" t="inlineStr">
        <is>
          <t>Wedding Cake</t>
        </is>
      </c>
      <c r="L47" s="2" t="inlineStr">
        <is>
          <t>Ident A + Ident B + Foreign matter</t>
        </is>
      </c>
      <c r="M47" s="6" t="inlineStr">
        <is>
          <t>—</t>
        </is>
      </c>
      <c r="N47" s="2">
        <f>IFERROR(INDEX('CoQ Register'!$B:$B,MATCH("P060102|I",'CoQ Register'!$S:$S,0)),"—")</f>
        <v/>
      </c>
      <c r="O47" s="6" t="inlineStr">
        <is>
          <t>—</t>
        </is>
      </c>
      <c r="P47" s="2" t="inlineStr">
        <is>
          <t>P060102|I</t>
        </is>
      </c>
      <c r="Q47" s="7" t="inlineStr">
        <is>
          <t>registered — issued with the legacy series on 15.05.2026</t>
        </is>
      </c>
    </row>
    <row r="48">
      <c r="A48" s="2">
        <f>IF(C48="yes",COUNT(A$1:A47)+1,"")</f>
        <v/>
      </c>
      <c r="B48" s="3">
        <f>IF(A48&lt;&gt;"","iCoA-PP_26-"&amp;TEXT(A48,"000"),IF(C48="n/a","not needed","— at issue —"))</f>
        <v/>
      </c>
      <c r="C48" s="4" t="inlineStr">
        <is>
          <t>yes</t>
        </is>
      </c>
      <c r="D48" s="5">
        <f>IF(A48="","",IF(G48="legacy",DATE(2026,5,15),IF(ISNUMBER(F48),(F48+5)+CHOOSE(WEEKDAY(F48+5,2),0,0,0,0,0,2,1),"")))</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P060142</t>
        </is>
      </c>
      <c r="K48" s="2" t="inlineStr">
        <is>
          <t>Graps &amp; Creme</t>
        </is>
      </c>
      <c r="L48" s="2" t="inlineStr">
        <is>
          <t>Ident A + Ident B + Foreign matter</t>
        </is>
      </c>
      <c r="M48" s="6" t="inlineStr">
        <is>
          <t>—</t>
        </is>
      </c>
      <c r="N48" s="2">
        <f>IFERROR(INDEX('CoQ Register'!$B:$B,MATCH("P060142|I",'CoQ Register'!$S:$S,0)),"—")</f>
        <v/>
      </c>
      <c r="O48" s="6" t="inlineStr">
        <is>
          <t>—</t>
        </is>
      </c>
      <c r="P48" s="2" t="inlineStr">
        <is>
          <t>P060142|I</t>
        </is>
      </c>
      <c r="Q48" s="7" t="inlineStr">
        <is>
          <t>registered — issued with the legacy series on 15.05.2026</t>
        </is>
      </c>
    </row>
    <row r="49">
      <c r="A49" s="2">
        <f>IF(C49="yes",COUNT(A$1:A48)+1,"")</f>
        <v/>
      </c>
      <c r="B49" s="3">
        <f>IF(A49&lt;&gt;"","iCoA-PP_26-"&amp;TEXT(A49,"000"),IF(C49="n/a","not needed","— at issue —"))</f>
        <v/>
      </c>
      <c r="C49" s="4" t="inlineStr">
        <is>
          <t>yes</t>
        </is>
      </c>
      <c r="D49" s="5">
        <f>IF(A49="","",IF(G49="legacy",DATE(2026,5,15),IF(ISNUMBER(F49),(F49+5)+CHOOSE(WEEKDAY(F49+5,2),0,0,0,0,0,2,1),"")))</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J31102501</t>
        </is>
      </c>
      <c r="J49" s="2" t="inlineStr">
        <is>
          <t>P060152</t>
        </is>
      </c>
      <c r="K49" s="2" t="inlineStr">
        <is>
          <t>Jokerz 31</t>
        </is>
      </c>
      <c r="L49" s="2" t="inlineStr">
        <is>
          <t>Ident A + Ident B + Foreign matter</t>
        </is>
      </c>
      <c r="M49" s="6" t="inlineStr">
        <is>
          <t>—</t>
        </is>
      </c>
      <c r="N49" s="2">
        <f>IFERROR(INDEX('CoQ Register'!$B:$B,MATCH("P060152|I",'CoQ Register'!$S:$S,0)),"—")</f>
        <v/>
      </c>
      <c r="O49" s="2" t="inlineStr">
        <is>
          <t>iCoA-PP-2026-0012</t>
        </is>
      </c>
      <c r="P49" s="2" t="inlineStr">
        <is>
          <t>P060152|I</t>
        </is>
      </c>
      <c r="Q49" s="7" t="inlineStr">
        <is>
          <t>registered — issued with the legacy series on 15.05.2026</t>
        </is>
      </c>
    </row>
    <row r="50">
      <c r="A50" s="2">
        <f>IF(C50="yes",COUNT(A$1:A49)+1,"")</f>
        <v/>
      </c>
      <c r="B50" s="3">
        <f>IF(A50&lt;&gt;"","iCoA-PP_26-"&amp;TEXT(A50,"000"),IF(C50="n/a","not needed","— at issue —"))</f>
        <v/>
      </c>
      <c r="C50" s="4" t="inlineStr">
        <is>
          <t>yes</t>
        </is>
      </c>
      <c r="D50" s="5">
        <f>IF(A50="","",IF(G50="legacy",DATE(2026,5,15),IF(ISNUMBER(F50),(F50+5)+CHOOSE(WEEKDAY(F50+5,2),0,0,0,0,0,2,1),"")))</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SJ102501</t>
        </is>
      </c>
      <c r="J50" s="2" t="inlineStr">
        <is>
          <t>P060162</t>
        </is>
      </c>
      <c r="K50" s="2" t="inlineStr">
        <is>
          <t>Sleepy Joe</t>
        </is>
      </c>
      <c r="L50" s="2" t="inlineStr">
        <is>
          <t>Ident A + Ident B + Foreign matter</t>
        </is>
      </c>
      <c r="M50" s="6" t="inlineStr">
        <is>
          <t>—</t>
        </is>
      </c>
      <c r="N50" s="2">
        <f>IFERROR(INDEX('CoQ Register'!$B:$B,MATCH("P060162|I",'CoQ Register'!$S:$S,0)),"—")</f>
        <v/>
      </c>
      <c r="O50" s="6" t="inlineStr">
        <is>
          <t>—</t>
        </is>
      </c>
      <c r="P50" s="2" t="inlineStr">
        <is>
          <t>P060162|I</t>
        </is>
      </c>
      <c r="Q50" s="7" t="inlineStr">
        <is>
          <t>registered — issued with the legacy series on 15.05.2026</t>
        </is>
      </c>
    </row>
    <row r="51">
      <c r="A51" s="2">
        <f>IF(C51="yes",COUNT(A$1:A50)+1,"")</f>
        <v/>
      </c>
      <c r="B51" s="3">
        <f>IF(A51&lt;&gt;"","iCoA-PP_26-"&amp;TEXT(A51,"000"),IF(C51="n/a","not needed","— at issue —"))</f>
        <v/>
      </c>
      <c r="C51" s="4" t="inlineStr">
        <is>
          <t>yes</t>
        </is>
      </c>
      <c r="D51" s="5">
        <f>IF(A51="","",IF(G51="legacy",DATE(2026,5,15),IF(ISNUMBER(F51),(F51+5)+CHOOSE(WEEKDAY(F51+5,2),0,0,0,0,0,2,1),"")))</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KC102501</t>
        </is>
      </c>
      <c r="J51" s="2" t="inlineStr">
        <is>
          <t>P060172</t>
        </is>
      </c>
      <c r="K51" s="2" t="inlineStr">
        <is>
          <t>Kush Crasher</t>
        </is>
      </c>
      <c r="L51" s="2" t="inlineStr">
        <is>
          <t>Ident A + Ident B + Foreign matter</t>
        </is>
      </c>
      <c r="M51" s="6" t="inlineStr">
        <is>
          <t>—</t>
        </is>
      </c>
      <c r="N51" s="2">
        <f>IFERROR(INDEX('CoQ Register'!$B:$B,MATCH("P060172|I",'CoQ Register'!$S:$S,0)),"—")</f>
        <v/>
      </c>
      <c r="O51" s="2" t="inlineStr">
        <is>
          <t>iCoA-PP-2026-0013</t>
        </is>
      </c>
      <c r="P51" s="2" t="inlineStr">
        <is>
          <t>P060172|I</t>
        </is>
      </c>
      <c r="Q51" s="7" t="inlineStr">
        <is>
          <t>registered — issued with the legacy series on 15.05.2026</t>
        </is>
      </c>
    </row>
    <row r="52">
      <c r="A52" s="2">
        <f>IF(C52="yes",COUNT(A$1:A51)+1,"")</f>
        <v/>
      </c>
      <c r="B52" s="3">
        <f>IF(A52&lt;&gt;"","iCoA-PP_26-"&amp;TEXT(A52,"000"),IF(C52="n/a","not needed","— at issue —"))</f>
        <v/>
      </c>
      <c r="C52" s="4" t="inlineStr">
        <is>
          <t>yes</t>
        </is>
      </c>
      <c r="D52" s="5">
        <f>IF(A52="","",IF(G52="legacy",DATE(2026,5,15),IF(ISNUMBER(F52),(F52+5)+CHOOSE(WEEKDAY(F52+5,2),0,0,0,0,0,2,1),"")))</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GRC102501</t>
        </is>
      </c>
      <c r="J52" s="2" t="inlineStr">
        <is>
          <t>P060182</t>
        </is>
      </c>
      <c r="K52" s="2" t="inlineStr">
        <is>
          <t>Graps &amp; Creme</t>
        </is>
      </c>
      <c r="L52" s="2" t="inlineStr">
        <is>
          <t>Ident A + Ident B + Foreign matter</t>
        </is>
      </c>
      <c r="M52" s="6" t="inlineStr">
        <is>
          <t>—</t>
        </is>
      </c>
      <c r="N52" s="2">
        <f>IFERROR(INDEX('CoQ Register'!$B:$B,MATCH("P060182|I",'CoQ Register'!$S:$S,0)),"—")</f>
        <v/>
      </c>
      <c r="O52" s="2" t="inlineStr">
        <is>
          <t>iCoA-PP-2026-0014</t>
        </is>
      </c>
      <c r="P52" s="2" t="inlineStr">
        <is>
          <t>P060182|I</t>
        </is>
      </c>
      <c r="Q52" s="7" t="inlineStr">
        <is>
          <t>registered — issued with the legacy series on 15.05.2026</t>
        </is>
      </c>
    </row>
    <row r="53">
      <c r="A53" s="2">
        <f>IF(C53="yes",COUNT(A$1:A52)+1,"")</f>
        <v/>
      </c>
      <c r="B53" s="3">
        <f>IF(A53&lt;&gt;"","iCoA-PP_26-"&amp;TEXT(A53,"000"),IF(C53="n/a","not needed","— at issue —"))</f>
        <v/>
      </c>
      <c r="C53" s="4" t="inlineStr">
        <is>
          <t>yes</t>
        </is>
      </c>
      <c r="D53" s="5">
        <f>IF(A53="","",IF(G53="legacy",DATE(2026,5,15),IF(ISNUMBER(F53),(F53+5)+CHOOSE(WEEKDAY(F53+5,2),0,0,0,0,0,2,1),"")))</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SJ112501</t>
        </is>
      </c>
      <c r="J53" s="2" t="inlineStr">
        <is>
          <t>P060192</t>
        </is>
      </c>
      <c r="K53" s="2" t="inlineStr">
        <is>
          <t>Sleepy Joy</t>
        </is>
      </c>
      <c r="L53" s="2" t="inlineStr">
        <is>
          <t>Ident A + Ident B + Foreign matter</t>
        </is>
      </c>
      <c r="M53" s="6" t="inlineStr">
        <is>
          <t>—</t>
        </is>
      </c>
      <c r="N53" s="2">
        <f>IFERROR(INDEX('CoQ Register'!$B:$B,MATCH("P060192|I",'CoQ Register'!$S:$S,0)),"—")</f>
        <v/>
      </c>
      <c r="O53" s="6" t="inlineStr">
        <is>
          <t>—</t>
        </is>
      </c>
      <c r="P53" s="2" t="inlineStr">
        <is>
          <t>P060192|I</t>
        </is>
      </c>
      <c r="Q53" s="7" t="inlineStr">
        <is>
          <t>registered — issued with the legacy series on 15.05.2026</t>
        </is>
      </c>
    </row>
    <row r="54">
      <c r="A54" s="2">
        <f>IF(C54="yes",COUNT(A$1:A53)+1,"")</f>
        <v/>
      </c>
      <c r="B54" s="3">
        <f>IF(A54&lt;&gt;"","iCoA-PP_26-"&amp;TEXT(A54,"000"),IF(C54="n/a","not needed","— at issue —"))</f>
        <v/>
      </c>
      <c r="C54" s="4" t="inlineStr">
        <is>
          <t>yes</t>
        </is>
      </c>
      <c r="D54" s="5">
        <f>IF(A54="","",IF(G54="legacy",DATE(2026,5,15),IF(ISNUMBER(F54),(F54+5)+CHOOSE(WEEKDAY(F54+5,2),0,0,0,0,0,2,1),"")))</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J31112501</t>
        </is>
      </c>
      <c r="J54" s="2" t="inlineStr">
        <is>
          <t>P060202</t>
        </is>
      </c>
      <c r="K54" s="2" t="inlineStr">
        <is>
          <t>Jokerz 31</t>
        </is>
      </c>
      <c r="L54" s="2" t="inlineStr">
        <is>
          <t>Ident A + Ident B + Foreign matter</t>
        </is>
      </c>
      <c r="M54" s="6" t="inlineStr">
        <is>
          <t>—</t>
        </is>
      </c>
      <c r="N54" s="2">
        <f>IFERROR(INDEX('CoQ Register'!$B:$B,MATCH("P060202|I",'CoQ Register'!$S:$S,0)),"—")</f>
        <v/>
      </c>
      <c r="O54" s="6" t="inlineStr">
        <is>
          <t>—</t>
        </is>
      </c>
      <c r="P54" s="2" t="inlineStr">
        <is>
          <t>P060202|I</t>
        </is>
      </c>
      <c r="Q54" s="7" t="inlineStr">
        <is>
          <t>registered — issued with the legacy series on 15.05.2026</t>
        </is>
      </c>
    </row>
    <row r="55">
      <c r="A55" s="2">
        <f>IF(C55="yes",COUNT(A$1:A54)+1,"")</f>
        <v/>
      </c>
      <c r="B55" s="3">
        <f>IF(A55&lt;&gt;"","iCoA-PP_26-"&amp;TEXT(A55,"000"),IF(C55="n/a","not needed","— at issue —"))</f>
        <v/>
      </c>
      <c r="C55" s="4" t="inlineStr">
        <is>
          <t>yes</t>
        </is>
      </c>
      <c r="D55" s="5">
        <f>IF(A55="","",IF(G55="legacy",DATE(2026,5,15),IF(ISNUMBER(F55),(F55+5)+CHOOSE(WEEKDAY(F55+5,2),0,0,0,0,0,2,1),"")))</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JD112501</t>
        </is>
      </c>
      <c r="J55" s="2" t="inlineStr">
        <is>
          <t>P060212</t>
        </is>
      </c>
      <c r="K55" s="2" t="inlineStr">
        <is>
          <t>Jelly Donutz</t>
        </is>
      </c>
      <c r="L55" s="2" t="inlineStr">
        <is>
          <t>Ident A + Ident B + Foreign matter</t>
        </is>
      </c>
      <c r="M55" s="6" t="inlineStr">
        <is>
          <t>—</t>
        </is>
      </c>
      <c r="N55" s="2">
        <f>IFERROR(INDEX('CoQ Register'!$B:$B,MATCH("P060212|I",'CoQ Register'!$S:$S,0)),"—")</f>
        <v/>
      </c>
      <c r="O55" s="2" t="inlineStr">
        <is>
          <t>iCoA-PP-2026-0015</t>
        </is>
      </c>
      <c r="P55" s="2" t="inlineStr">
        <is>
          <t>P060212|I</t>
        </is>
      </c>
      <c r="Q55" s="7" t="inlineStr">
        <is>
          <t>registered — issued with the legacy series on 15.05.2026</t>
        </is>
      </c>
    </row>
    <row r="56">
      <c r="A56" s="2">
        <f>IF(C56="yes",COUNT(A$1:A55)+1,"")</f>
        <v/>
      </c>
      <c r="B56" s="3">
        <f>IF(A56&lt;&gt;"","iCoA-PP_26-"&amp;TEXT(A56,"000"),IF(C56="n/a","not needed","— at issue —"))</f>
        <v/>
      </c>
      <c r="C56" s="4" t="inlineStr">
        <is>
          <t>yes</t>
        </is>
      </c>
      <c r="D56" s="5">
        <f>IF(A56="","",IF(G56="legacy",DATE(2026,5,15),IF(ISNUMBER(F56),(F56+5)+CHOOSE(WEEKDAY(F56+5,2),0,0,0,0,0,2,1),"")))</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OPM112501</t>
        </is>
      </c>
      <c r="J56" s="2" t="inlineStr">
        <is>
          <t>P060222</t>
        </is>
      </c>
      <c r="K56" s="2" t="inlineStr">
        <is>
          <t>Orange Punch Mimosa</t>
        </is>
      </c>
      <c r="L56" s="2" t="inlineStr">
        <is>
          <t>Ident A + Ident B + Foreign matter</t>
        </is>
      </c>
      <c r="M56" s="6" t="inlineStr">
        <is>
          <t>—</t>
        </is>
      </c>
      <c r="N56" s="2">
        <f>IFERROR(INDEX('CoQ Register'!$B:$B,MATCH("P060222|I",'CoQ Register'!$S:$S,0)),"—")</f>
        <v/>
      </c>
      <c r="O56" s="6" t="inlineStr">
        <is>
          <t>—</t>
        </is>
      </c>
      <c r="P56" s="2" t="inlineStr">
        <is>
          <t>P060222|I</t>
        </is>
      </c>
      <c r="Q56" s="7" t="inlineStr">
        <is>
          <t>registered — issued with the legacy series on 15.05.2026</t>
        </is>
      </c>
    </row>
    <row r="57">
      <c r="A57" s="2">
        <f>IF(C57="yes",COUNT(A$1:A56)+1,"")</f>
        <v/>
      </c>
      <c r="B57" s="3">
        <f>IF(A57&lt;&gt;"","iCoA-PP_26-"&amp;TEXT(A57,"000"),IF(C57="n/a","not needed","— at issue —"))</f>
        <v/>
      </c>
      <c r="C57" s="4" t="inlineStr">
        <is>
          <t>yes</t>
        </is>
      </c>
      <c r="D57" s="5">
        <f>IF(A57="","",IF(G57="legacy",DATE(2026,5,15),IF(ISNUMBER(F57),(F57+5)+CHOOSE(WEEKDAY(F57+5,2),0,0,0,0,0,2,1),"")))</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PM112501</t>
        </is>
      </c>
      <c r="J57" s="2" t="inlineStr">
        <is>
          <t>P060232</t>
        </is>
      </c>
      <c r="K57" s="2" t="inlineStr">
        <is>
          <t>Permanent Market</t>
        </is>
      </c>
      <c r="L57" s="2" t="inlineStr">
        <is>
          <t>Ident A + Ident B + Foreign matter</t>
        </is>
      </c>
      <c r="M57" s="6" t="inlineStr">
        <is>
          <t>—</t>
        </is>
      </c>
      <c r="N57" s="2">
        <f>IFERROR(INDEX('CoQ Register'!$B:$B,MATCH("P060232|I",'CoQ Register'!$S:$S,0)),"—")</f>
        <v/>
      </c>
      <c r="O57" s="2" t="inlineStr">
        <is>
          <t>iCoA-PP-2026-0016</t>
        </is>
      </c>
      <c r="P57" s="2" t="inlineStr">
        <is>
          <t>P060232|I</t>
        </is>
      </c>
      <c r="Q57" s="7" t="inlineStr">
        <is>
          <t>registered — issued with the legacy series on 15.05.2026</t>
        </is>
      </c>
    </row>
    <row r="58">
      <c r="A58" s="2">
        <f>IF(C58="yes",COUNT(A$1:A57)+1,"")</f>
        <v/>
      </c>
      <c r="B58" s="3">
        <f>IF(A58&lt;&gt;"","iCoA-PP_26-"&amp;TEXT(A58,"000"),IF(C58="n/a","not needed","— at issue —"))</f>
        <v/>
      </c>
      <c r="C58" s="4" t="inlineStr">
        <is>
          <t>yes</t>
        </is>
      </c>
      <c r="D58" s="5">
        <f>IF(A58="","",IF(G58="legacy",DATE(2026,5,15),IF(ISNUMBER(F58),(F58+5)+CHOOSE(WEEKDAY(F58+5,2),0,0,0,0,0,2,1),"")))</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OPM122501</t>
        </is>
      </c>
      <c r="J58" s="2" t="inlineStr">
        <is>
          <t>P060242</t>
        </is>
      </c>
      <c r="K58" s="2" t="inlineStr">
        <is>
          <t>Orange Punch Mimosa</t>
        </is>
      </c>
      <c r="L58" s="2" t="inlineStr">
        <is>
          <t>Ident A + Ident B + Foreign matter</t>
        </is>
      </c>
      <c r="M58" s="6" t="inlineStr">
        <is>
          <t>—</t>
        </is>
      </c>
      <c r="N58" s="2">
        <f>IFERROR(INDEX('CoQ Register'!$B:$B,MATCH("P060242|I",'CoQ Register'!$S:$S,0)),"—")</f>
        <v/>
      </c>
      <c r="O58" s="2" t="inlineStr">
        <is>
          <t>iCoA-PP-2026-0017</t>
        </is>
      </c>
      <c r="P58" s="2" t="inlineStr">
        <is>
          <t>P060242|I</t>
        </is>
      </c>
      <c r="Q58" s="7" t="inlineStr">
        <is>
          <t>registered — issued with the legacy series on 15.05.2026</t>
        </is>
      </c>
    </row>
    <row r="59">
      <c r="A59" s="2">
        <f>IF(C59="yes",COUNT(A$1:A58)+1,"")</f>
        <v/>
      </c>
      <c r="B59" s="3">
        <f>IF(A59&lt;&gt;"","iCoA-PP_26-"&amp;TEXT(A59,"000"),IF(C59="n/a","not needed","— at issue —"))</f>
        <v/>
      </c>
      <c r="C59" s="4" t="inlineStr">
        <is>
          <t>yes</t>
        </is>
      </c>
      <c r="D59" s="5">
        <f>IF(A59="","",IF(G59="legacy",DATE(2026,5,15),IF(ISNUMBER(F59),(F59+5)+CHOOSE(WEEKDAY(F59+5,2),0,0,0,0,0,2,1),"")))</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GG112501</t>
        </is>
      </c>
      <c r="J59" s="2" t="inlineStr">
        <is>
          <t>P060252</t>
        </is>
      </c>
      <c r="K59" s="2" t="inlineStr">
        <is>
          <t>Gorilla Glue</t>
        </is>
      </c>
      <c r="L59" s="2" t="inlineStr">
        <is>
          <t>Ident A + Ident B + Foreign matter</t>
        </is>
      </c>
      <c r="M59" s="6" t="inlineStr">
        <is>
          <t>—</t>
        </is>
      </c>
      <c r="N59" s="2">
        <f>IFERROR(INDEX('CoQ Register'!$B:$B,MATCH("P060252|I",'CoQ Register'!$S:$S,0)),"—")</f>
        <v/>
      </c>
      <c r="O59" s="6" t="inlineStr">
        <is>
          <t>—</t>
        </is>
      </c>
      <c r="P59" s="2" t="inlineStr">
        <is>
          <t>P060252|I</t>
        </is>
      </c>
      <c r="Q59" s="7" t="inlineStr">
        <is>
          <t>registered — issued with the legacy series on 15.05.2026</t>
        </is>
      </c>
    </row>
    <row r="60">
      <c r="A60" s="2">
        <f>IF(C60="yes",COUNT(A$1:A59)+1,"")</f>
        <v/>
      </c>
      <c r="B60" s="3">
        <f>IF(A60&lt;&gt;"","iCoA-PP_26-"&amp;TEXT(A60,"000"),IF(C60="n/a","not needed","— at issue —"))</f>
        <v/>
      </c>
      <c r="C60" s="4" t="inlineStr">
        <is>
          <t>yes</t>
        </is>
      </c>
      <c r="D60" s="5">
        <f>IF(A60="","",IF(G60="legacy",DATE(2026,5,15),IF(ISNUMBER(F60),(F60+5)+CHOOSE(WEEKDAY(F60+5,2),0,0,0,0,0,2,1),"")))</f>
        <v/>
      </c>
      <c r="E60" s="5">
        <f>IFERROR(INDEX('Batch Dates'!$F:$F,MATCH(J60,'Batch Dates'!$C:$C,0)),IFERROR(INDEX('Batch Dates'!$F:$F,MATCH(I60,'Batch Dates'!$B:$B,0)),""))</f>
        <v/>
      </c>
      <c r="F60" s="5">
        <f>IFERROR(INDEX('Batch Dates'!$G:$G,MATCH(J60,'Batch Dates'!$C:$C,0)),IFERROR(INDEX('Batch Dates'!$G:$G,MATCH(I60,'Batch Dates'!$B:$B,0)),""))</f>
        <v/>
      </c>
      <c r="G60" s="2" t="inlineStr">
        <is>
          <t>post-SOP</t>
        </is>
      </c>
      <c r="H60" s="2" t="inlineStr">
        <is>
          <t>initial release</t>
        </is>
      </c>
      <c r="I60" s="3" t="inlineStr">
        <is>
          <t>J31122501</t>
        </is>
      </c>
      <c r="J60" s="2" t="inlineStr">
        <is>
          <t>P060262</t>
        </is>
      </c>
      <c r="K60" s="2" t="inlineStr">
        <is>
          <t>Jokerz 31</t>
        </is>
      </c>
      <c r="L60" s="2" t="inlineStr">
        <is>
          <t>Ident A + Ident B + Foreign matter</t>
        </is>
      </c>
      <c r="M60" s="6" t="inlineStr">
        <is>
          <t>—</t>
        </is>
      </c>
      <c r="N60" s="2">
        <f>IFERROR(INDEX('CoQ Register'!$B:$B,MATCH("P060262|I",'CoQ Register'!$S:$S,0)),"—")</f>
        <v/>
      </c>
      <c r="O60" s="6" t="inlineStr">
        <is>
          <t>—</t>
        </is>
      </c>
      <c r="P60" s="2" t="inlineStr">
        <is>
          <t>P060262|I</t>
        </is>
      </c>
      <c r="Q60" s="7" t="inlineStr">
        <is>
          <t>registered — first working day 5 days after packaging</t>
        </is>
      </c>
    </row>
    <row r="61">
      <c r="A61" s="2">
        <f>IF(C61="yes",COUNT(A$1:A60)+1,"")</f>
        <v/>
      </c>
      <c r="B61" s="3">
        <f>IF(A61&lt;&gt;"","iCoA-PP_26-"&amp;TEXT(A61,"000"),IF(C61="n/a","not needed","— at issue —"))</f>
        <v/>
      </c>
      <c r="C61" s="4" t="inlineStr">
        <is>
          <t>yes</t>
        </is>
      </c>
      <c r="D61" s="5">
        <f>IF(A61="","",IF(G61="legacy",DATE(2026,5,15),IF(ISNUMBER(F61),(F61+5)+CHOOSE(WEEKDAY(F61+5,2),0,0,0,0,0,2,1),"")))</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CC112501</t>
        </is>
      </c>
      <c r="J61" s="2" t="inlineStr">
        <is>
          <t>P060272</t>
        </is>
      </c>
      <c r="K61" s="2" t="inlineStr">
        <is>
          <t>Cash Cow</t>
        </is>
      </c>
      <c r="L61" s="2" t="inlineStr">
        <is>
          <t>Ident A + Ident B + Foreign matter</t>
        </is>
      </c>
      <c r="M61" s="6" t="inlineStr">
        <is>
          <t>—</t>
        </is>
      </c>
      <c r="N61" s="2">
        <f>IFERROR(INDEX('CoQ Register'!$B:$B,MATCH("P060272|I",'CoQ Register'!$S:$S,0)),"—")</f>
        <v/>
      </c>
      <c r="O61" s="6" t="inlineStr">
        <is>
          <t>—</t>
        </is>
      </c>
      <c r="P61" s="2" t="inlineStr">
        <is>
          <t>P060272|I</t>
        </is>
      </c>
      <c r="Q61" s="7" t="inlineStr">
        <is>
          <t>registered — first working day 5 days after packaging</t>
        </is>
      </c>
    </row>
    <row r="62">
      <c r="A62" s="2">
        <f>IF(C62="yes",COUNT(A$1:A61)+1,"")</f>
        <v/>
      </c>
      <c r="B62" s="3">
        <f>IF(A62&lt;&gt;"","iCoA-PP_26-"&amp;TEXT(A62,"000"),IF(C62="n/a","not needed","— at issue —"))</f>
        <v/>
      </c>
      <c r="C62" s="4" t="inlineStr">
        <is>
          <t>yes</t>
        </is>
      </c>
      <c r="D62" s="5">
        <f>IF(A62="","",IF(G62="legacy",DATE(2026,5,15),IF(ISNUMBER(F62),(F62+5)+CHOOSE(WEEKDAY(F62+5,2),0,0,0,0,0,2,1),"")))</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SCR112501</t>
        </is>
      </c>
      <c r="J62" s="2" t="inlineStr">
        <is>
          <t>P060282</t>
        </is>
      </c>
      <c r="K62" s="2" t="inlineStr">
        <is>
          <t>Scrambler</t>
        </is>
      </c>
      <c r="L62" s="2" t="inlineStr">
        <is>
          <t>Ident A + Ident B + Foreign matter</t>
        </is>
      </c>
      <c r="M62" s="6" t="inlineStr">
        <is>
          <t>—</t>
        </is>
      </c>
      <c r="N62" s="2">
        <f>IFERROR(INDEX('CoQ Register'!$B:$B,MATCH("P060282|I",'CoQ Register'!$S:$S,0)),"—")</f>
        <v/>
      </c>
      <c r="O62" s="2" t="inlineStr">
        <is>
          <t>iCoA-PP-2026-0018</t>
        </is>
      </c>
      <c r="P62" s="2" t="inlineStr">
        <is>
          <t>P060282|I</t>
        </is>
      </c>
      <c r="Q62" s="7" t="inlineStr">
        <is>
          <t>registered — first working day 5 days after packaging</t>
        </is>
      </c>
    </row>
    <row r="63">
      <c r="A63" s="2">
        <f>IF(C63="yes",COUNT(A$1:A62)+1,"")</f>
        <v/>
      </c>
      <c r="B63" s="3">
        <f>IF(A63&lt;&gt;"","iCoA-PP_26-"&amp;TEXT(A63,"000"),IF(C63="n/a","not needed","— at issue —"))</f>
        <v/>
      </c>
      <c r="C63" s="4" t="inlineStr">
        <is>
          <t>yes</t>
        </is>
      </c>
      <c r="D63" s="5">
        <f>IF(A63="","",IF(G63="legacy",DATE(2026,5,15),IF(ISNUMBER(F63),(F63+5)+CHOOSE(WEEKDAY(F63+5,2),0,0,0,0,0,2,1),"")))</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FB112501</t>
        </is>
      </c>
      <c r="J63" s="2" t="inlineStr">
        <is>
          <t>P060292</t>
        </is>
      </c>
      <c r="K63" s="2" t="inlineStr">
        <is>
          <t>Fat Bastard</t>
        </is>
      </c>
      <c r="L63" s="2" t="inlineStr">
        <is>
          <t>Ident A + Ident B + Foreign matter</t>
        </is>
      </c>
      <c r="M63" s="6" t="inlineStr">
        <is>
          <t>—</t>
        </is>
      </c>
      <c r="N63" s="2">
        <f>IFERROR(INDEX('CoQ Register'!$B:$B,MATCH("P060292|I",'CoQ Register'!$S:$S,0)),"—")</f>
        <v/>
      </c>
      <c r="O63" s="6" t="inlineStr">
        <is>
          <t>—</t>
        </is>
      </c>
      <c r="P63" s="2" t="inlineStr">
        <is>
          <t>P060292|I</t>
        </is>
      </c>
      <c r="Q63" s="7" t="inlineStr">
        <is>
          <t>registered — first working day 5 days after packaging</t>
        </is>
      </c>
    </row>
    <row r="64">
      <c r="A64" s="2">
        <f>IF(C64="yes",COUNT(A$1:A63)+1,"")</f>
        <v/>
      </c>
      <c r="B64" s="3">
        <f>IF(A64&lt;&gt;"","iCoA-PP_26-"&amp;TEXT(A64,"000"),IF(C64="n/a","not needed","— at issue —"))</f>
        <v/>
      </c>
      <c r="C64" s="4" t="inlineStr">
        <is>
          <t>yes</t>
        </is>
      </c>
      <c r="D64" s="5">
        <f>IF(A64="","",IF(G64="legacy",DATE(2026,5,15),IF(ISNUMBER(F64),(F64+5)+CHOOSE(WEEKDAY(F64+5,2),0,0,0,0,0,2,1),"")))</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GG012601＊</t>
        </is>
      </c>
      <c r="J64" s="2" t="inlineStr">
        <is>
          <t>P060302</t>
        </is>
      </c>
      <c r="K64" s="2" t="inlineStr">
        <is>
          <t>Gorilla Glue</t>
        </is>
      </c>
      <c r="L64" s="2" t="inlineStr">
        <is>
          <t>Ident A + Ident B + Foreign matter</t>
        </is>
      </c>
      <c r="M64" s="6" t="inlineStr">
        <is>
          <t>—</t>
        </is>
      </c>
      <c r="N64" s="2">
        <f>IFERROR(INDEX('CoQ Register'!$B:$B,MATCH("P060302|I",'CoQ Register'!$S:$S,0)),"—")</f>
        <v/>
      </c>
      <c r="O64" s="6" t="inlineStr">
        <is>
          <t>—</t>
        </is>
      </c>
      <c r="P64" s="2" t="inlineStr">
        <is>
          <t>P060302|I</t>
        </is>
      </c>
      <c r="Q64" s="7" t="inlineStr">
        <is>
          <t>registered — first working day 5 days after packaging</t>
        </is>
      </c>
    </row>
    <row r="65">
      <c r="A65" s="2">
        <f>IF(C65="yes",COUNT(A$1:A64)+1,"")</f>
        <v/>
      </c>
      <c r="B65" s="3">
        <f>IF(A65&lt;&gt;"","iCoA-PP_26-"&amp;TEXT(A65,"000"),IF(C65="n/a","not needed","— at issue —"))</f>
        <v/>
      </c>
      <c r="C65" s="4" t="inlineStr">
        <is>
          <t>yes</t>
        </is>
      </c>
      <c r="D65" s="5">
        <f>IF(A65="","",IF(G65="legacy",DATE(2026,5,15),IF(ISNUMBER(F65),(F65+5)+CHOOSE(WEEKDAY(F65+5,2),0,0,0,0,0,2,1),"")))</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JD012601＊</t>
        </is>
      </c>
      <c r="J65" s="2" t="inlineStr">
        <is>
          <t>P060312</t>
        </is>
      </c>
      <c r="K65" s="2" t="inlineStr">
        <is>
          <t>Jelly Donutz</t>
        </is>
      </c>
      <c r="L65" s="2" t="inlineStr">
        <is>
          <t>Ident A + Ident B + Foreign matter</t>
        </is>
      </c>
      <c r="M65" s="6" t="inlineStr">
        <is>
          <t>—</t>
        </is>
      </c>
      <c r="N65" s="2">
        <f>IFERROR(INDEX('CoQ Register'!$B:$B,MATCH("P060312|I",'CoQ Register'!$S:$S,0)),"—")</f>
        <v/>
      </c>
      <c r="O65" s="6" t="inlineStr">
        <is>
          <t>—</t>
        </is>
      </c>
      <c r="P65" s="2" t="inlineStr">
        <is>
          <t>P060312|I</t>
        </is>
      </c>
      <c r="Q65" s="7" t="inlineStr">
        <is>
          <t>registered — first working day 5 days after packaging</t>
        </is>
      </c>
    </row>
    <row r="66">
      <c r="A66" s="2">
        <f>IF(C66="yes",COUNT(A$1:A65)+1,"")</f>
        <v/>
      </c>
      <c r="B66" s="3">
        <f>IF(A66&lt;&gt;"","iCoA-PP_26-"&amp;TEXT(A66,"000"),IF(C66="n/a","not needed","— at issue —"))</f>
        <v/>
      </c>
      <c r="C66" s="4" t="inlineStr">
        <is>
          <t>yes</t>
        </is>
      </c>
      <c r="D66" s="5">
        <f>IF(A66="","",IF(G66="legacy",DATE(2026,5,15),IF(ISNUMBER(F66),(F66+5)+CHOOSE(WEEKDAY(F66+5,2),0,0,0,0,0,2,1),"")))</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CC012601/1</t>
        </is>
      </c>
      <c r="J66" s="2" t="inlineStr">
        <is>
          <t>P060332</t>
        </is>
      </c>
      <c r="K66" s="2" t="inlineStr"/>
      <c r="L66" s="2" t="inlineStr">
        <is>
          <t>Ident A + Ident B + Foreign matter</t>
        </is>
      </c>
      <c r="M66" s="6" t="inlineStr">
        <is>
          <t>—</t>
        </is>
      </c>
      <c r="N66" s="2">
        <f>IFERROR(INDEX('CoQ Register'!$B:$B,MATCH("P060332|I",'CoQ Register'!$S:$S,0)),"—")</f>
        <v/>
      </c>
      <c r="O66" s="6" t="inlineStr">
        <is>
          <t>—</t>
        </is>
      </c>
      <c r="P66" s="2" t="inlineStr">
        <is>
          <t>P060332|I</t>
        </is>
      </c>
      <c r="Q66" s="7" t="inlineStr">
        <is>
          <t>registered — first working day 5 days after packaging</t>
        </is>
      </c>
    </row>
    <row r="67">
      <c r="A67" s="2">
        <f>IF(C67="yes",COUNT(A$1:A66)+1,"")</f>
        <v/>
      </c>
      <c r="B67" s="3">
        <f>IF(A67&lt;&gt;"","iCoA-PP_26-"&amp;TEXT(A67,"000"),IF(C67="n/a","not needed","— at issue —"))</f>
        <v/>
      </c>
      <c r="C67" s="4" t="inlineStr">
        <is>
          <t>yes</t>
        </is>
      </c>
      <c r="D67" s="5">
        <f>IF(A67="","",IF(G67="legacy",DATE(2026,5,15),IF(ISNUMBER(F67),(F67+5)+CHOOSE(WEEKDAY(F67+5,2),0,0,0,0,0,2,1),"")))</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P060322|I</t>
        </is>
      </c>
      <c r="Q67" s="7" t="inlineStr">
        <is>
          <t>registered — first working day 5 days after packaging</t>
        </is>
      </c>
    </row>
    <row r="68">
      <c r="A68" s="2">
        <f>IF(C68="yes",COUNT(A$1:A67)+1,"")</f>
        <v/>
      </c>
      <c r="B68" s="3">
        <f>IF(A68&lt;&gt;"","iCoA-PP_26-"&amp;TEXT(A68,"000"),IF(C68="n/a","not needed","— at issue —"))</f>
        <v/>
      </c>
      <c r="C68" s="4" t="inlineStr">
        <is>
          <t>yes</t>
        </is>
      </c>
      <c r="D68" s="5">
        <f>IF(A68="","",IF(G68="legacy",DATE(2026,5,15),IF(ISNUMBER(F68),(F68+5)+CHOOSE(WEEKDAY(F68+5,2),0,0,0,0,0,2,1),"")))</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FB012602*</t>
        </is>
      </c>
      <c r="J68" s="2" t="inlineStr">
        <is>
          <t>P060352</t>
        </is>
      </c>
      <c r="K68" s="2" t="inlineStr">
        <is>
          <t>Fat Bastard</t>
        </is>
      </c>
      <c r="L68" s="2" t="inlineStr">
        <is>
          <t>Ident A + Ident B + Foreign matter</t>
        </is>
      </c>
      <c r="M68" s="6" t="inlineStr">
        <is>
          <t>—</t>
        </is>
      </c>
      <c r="N68" s="2">
        <f>IFERROR(INDEX('CoQ Register'!$B:$B,MATCH("P060352|I",'CoQ Register'!$S:$S,0)),"—")</f>
        <v/>
      </c>
      <c r="O68" s="2" t="inlineStr">
        <is>
          <t>iCoA-PP-2026-0021</t>
        </is>
      </c>
      <c r="P68" s="2" t="inlineStr">
        <is>
          <t>P060352|I</t>
        </is>
      </c>
      <c r="Q68" s="7" t="inlineStr">
        <is>
          <t>registered — first working day 5 days after packaging</t>
        </is>
      </c>
    </row>
    <row r="69">
      <c r="A69" s="2">
        <f>IF(C69="yes",COUNT(A$1:A68)+1,"")</f>
        <v/>
      </c>
      <c r="B69" s="3">
        <f>IF(A69&lt;&gt;"","iCoA-PP_26-"&amp;TEXT(A69,"000"),IF(C69="n/a","not needed","— at issue —"))</f>
        <v/>
      </c>
      <c r="C69" s="4" t="inlineStr">
        <is>
          <t>yes</t>
        </is>
      </c>
      <c r="D69" s="5">
        <f>IF(A69="","",IF(G69="legacy",DATE(2026,5,15),IF(ISNUMBER(F69),(F69+5)+CHOOSE(WEEKDAY(F69+5,2),0,0,0,0,0,2,1),"")))</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SCR012601*</t>
        </is>
      </c>
      <c r="J69" s="2" t="inlineStr">
        <is>
          <t>P060342</t>
        </is>
      </c>
      <c r="K69" s="2" t="inlineStr">
        <is>
          <t>Scrambler</t>
        </is>
      </c>
      <c r="L69" s="2" t="inlineStr">
        <is>
          <t>Ident A + Ident B + Foreign matter</t>
        </is>
      </c>
      <c r="M69" s="6" t="inlineStr">
        <is>
          <t>—</t>
        </is>
      </c>
      <c r="N69" s="2">
        <f>IFERROR(INDEX('CoQ Register'!$B:$B,MATCH("P060342|I",'CoQ Register'!$S:$S,0)),"—")</f>
        <v/>
      </c>
      <c r="O69" s="6" t="inlineStr">
        <is>
          <t>—</t>
        </is>
      </c>
      <c r="P69" s="2" t="inlineStr">
        <is>
          <t>P060342|I</t>
        </is>
      </c>
      <c r="Q69" s="7" t="inlineStr">
        <is>
          <t>registered — first working day 5 days after packaging</t>
        </is>
      </c>
    </row>
    <row r="70">
      <c r="A70" s="2">
        <f>IF(C70="yes",COUNT(A$1:A69)+1,"")</f>
        <v/>
      </c>
      <c r="B70" s="3">
        <f>IF(A70&lt;&gt;"","iCoA-PP_26-"&amp;TEXT(A70,"000"),IF(C70="n/a","not needed","— at issue —"))</f>
        <v/>
      </c>
      <c r="C70" s="4" t="inlineStr">
        <is>
          <t>yes</t>
        </is>
      </c>
      <c r="D70" s="5">
        <f>IF(A70="","",IF(G70="legacy",DATE(2026,5,15),IF(ISNUMBER(F70),(F70+5)+CHOOSE(WEEKDAY(F70+5,2),0,0,0,0,0,2,1),"")))</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SCR012603</t>
        </is>
      </c>
      <c r="J70" s="2" t="inlineStr">
        <is>
          <t>P060382</t>
        </is>
      </c>
      <c r="K70" s="2" t="inlineStr">
        <is>
          <t>Scrambler</t>
        </is>
      </c>
      <c r="L70" s="2" t="inlineStr">
        <is>
          <t>Ident A + Ident B + Foreign matter</t>
        </is>
      </c>
      <c r="M70" s="6" t="inlineStr">
        <is>
          <t>—</t>
        </is>
      </c>
      <c r="N70" s="2">
        <f>IFERROR(INDEX('CoQ Register'!$B:$B,MATCH("P060382|I",'CoQ Register'!$S:$S,0)),"—")</f>
        <v/>
      </c>
      <c r="O70" s="2" t="inlineStr">
        <is>
          <t>iCoA-PP-2026-0026</t>
        </is>
      </c>
      <c r="P70" s="2" t="inlineStr">
        <is>
          <t>P060382|I</t>
        </is>
      </c>
      <c r="Q70" s="7" t="inlineStr">
        <is>
          <t>registered — first working day 5 days after packaging</t>
        </is>
      </c>
    </row>
    <row r="71">
      <c r="A71" s="2">
        <f>IF(C71="yes",COUNT(A$1:A70)+1,"")</f>
        <v/>
      </c>
      <c r="B71" s="3">
        <f>IF(A71&lt;&gt;"","iCoA-PP_26-"&amp;TEXT(A71,"000"),IF(C71="n/a","not needed","— at issue —"))</f>
        <v/>
      </c>
      <c r="C71" s="2" t="inlineStr">
        <is>
          <t>n/a</t>
        </is>
      </c>
      <c r="D71" s="5">
        <f>IF(A71="","",IF(G71="legacy",DATE(2026,5,15),IF(ISNUMBER(F71),(F71+5)+CHOOSE(WEEKDAY(F71+5,2),0,0,0,0,0,2,1),"")))</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FB012603V</t>
        </is>
      </c>
      <c r="J71" s="2" t="inlineStr">
        <is>
          <t>P060392</t>
        </is>
      </c>
      <c r="K71" s="2" t="inlineStr">
        <is>
          <t>Fat Bastard</t>
        </is>
      </c>
      <c r="L71" s="2" t="inlineStr">
        <is>
          <t>— all three on the CNP certificate —</t>
        </is>
      </c>
      <c r="M71" s="2" t="inlineStr">
        <is>
          <t>A: ППК26110 / B: ППК26110 / FM: ППК26110</t>
        </is>
      </c>
      <c r="N71" s="2">
        <f>IFERROR(INDEX('CoQ Register'!$B:$B,MATCH("P060392|I",'CoQ Register'!$S:$S,0)),"—")</f>
        <v/>
      </c>
      <c r="O71" s="6" t="inlineStr">
        <is>
          <t>—</t>
        </is>
      </c>
      <c r="P71" s="2" t="inlineStr">
        <is>
          <t>P060392|I</t>
        </is>
      </c>
      <c r="Q71" s="8" t="inlineStr">
        <is>
          <t>not needed — CNP covers A, B and foreign matter</t>
        </is>
      </c>
    </row>
    <row r="72">
      <c r="A72" s="2">
        <f>IF(C72="yes",COUNT(A$1:A71)+1,"")</f>
        <v/>
      </c>
      <c r="B72" s="3">
        <f>IF(A72&lt;&gt;"","iCoA-PP_26-"&amp;TEXT(A72,"000"),IF(C72="n/a","not needed","— at issue —"))</f>
        <v/>
      </c>
      <c r="C72" s="2" t="inlineStr">
        <is>
          <t>n/a</t>
        </is>
      </c>
      <c r="D72" s="5">
        <f>IF(A72="","",IF(G72="legacy",DATE(2026,5,15),IF(ISNUMBER(F72),(F72+5)+CHOOSE(WEEKDAY(F72+5,2),0,0,0,0,0,2,1),"")))</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JD012603</t>
        </is>
      </c>
      <c r="J72" s="2" t="inlineStr">
        <is>
          <t>P060362</t>
        </is>
      </c>
      <c r="K72" s="2" t="inlineStr"/>
      <c r="L72" s="2" t="inlineStr">
        <is>
          <t>— all three on the CNP certificate —</t>
        </is>
      </c>
      <c r="M72" s="2" t="inlineStr">
        <is>
          <t>A: ППК26111 / B: ППК26111 / FM: ППК26111</t>
        </is>
      </c>
      <c r="N72" s="2">
        <f>IFERROR(INDEX('CoQ Register'!$B:$B,MATCH("P060362|I",'CoQ Register'!$S:$S,0)),"—")</f>
        <v/>
      </c>
      <c r="O72" s="2" t="inlineStr">
        <is>
          <t>iCoA-PP-2026-0020</t>
        </is>
      </c>
      <c r="P72" s="2" t="inlineStr">
        <is>
          <t>P060362|I</t>
        </is>
      </c>
      <c r="Q72" s="8" t="inlineStr">
        <is>
          <t>not needed — CNP covers A, B and foreign matter</t>
        </is>
      </c>
    </row>
    <row r="73">
      <c r="A73" s="2">
        <f>IF(C73="yes",COUNT(A$1:A72)+1,"")</f>
        <v/>
      </c>
      <c r="B73" s="3">
        <f>IF(A73&lt;&gt;"","iCoA-PP_26-"&amp;TEXT(A73,"000"),IF(C73="n/a","not needed","— at issue —"))</f>
        <v/>
      </c>
      <c r="C73" s="2" t="inlineStr">
        <is>
          <t>n/a</t>
        </is>
      </c>
      <c r="D73" s="5">
        <f>IF(A73="","",IF(G73="legacy",DATE(2026,5,15),IF(ISNUMBER(F73),(F73+5)+CHOOSE(WEEKDAY(F73+5,2),0,0,0,0,0,2,1),"")))</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P060422</t>
        </is>
      </c>
      <c r="K73" s="2" t="inlineStr"/>
      <c r="L73" s="2" t="inlineStr">
        <is>
          <t>— all three on the CNP certificate —</t>
        </is>
      </c>
      <c r="M73" s="2" t="inlineStr">
        <is>
          <t>A: ППК26111 / B: ППК26111 / FM: ППК26111</t>
        </is>
      </c>
      <c r="N73" s="2">
        <f>IFERROR(INDEX('CoQ Register'!$B:$B,MATCH("P060422|I",'CoQ Register'!$S:$S,0)),"—")</f>
        <v/>
      </c>
      <c r="O73" s="2" t="inlineStr">
        <is>
          <t>iCoA-PP-2026-0022</t>
        </is>
      </c>
      <c r="P73" s="2" t="inlineStr">
        <is>
          <t>P060422|I</t>
        </is>
      </c>
      <c r="Q73" s="8" t="inlineStr">
        <is>
          <t>not needed — CNP covers A, B and foreign matter</t>
        </is>
      </c>
    </row>
    <row r="74">
      <c r="A74" s="2">
        <f>IF(C74="yes",COUNT(A$1:A73)+1,"")</f>
        <v/>
      </c>
      <c r="B74" s="3">
        <f>IF(A74&lt;&gt;"","iCoA-PP_26-"&amp;TEXT(A74,"000"),IF(C74="n/a","not needed","— at issue —"))</f>
        <v/>
      </c>
      <c r="C74" s="2" t="inlineStr">
        <is>
          <t>n/a</t>
        </is>
      </c>
      <c r="D74" s="5">
        <f>IF(A74="","",IF(G74="legacy",DATE(2026,5,15),IF(ISNUMBER(F74),(F74+5)+CHOOSE(WEEKDAY(F74+5,2),0,0,0,0,0,2,1),"")))</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GorillaGlue</t>
        </is>
      </c>
      <c r="L74" s="2" t="inlineStr">
        <is>
          <t>— all three on the CNP certificate —</t>
        </is>
      </c>
      <c r="M74" s="2" t="inlineStr">
        <is>
          <t>A: ППК26114 / B: ППК26114 / FM: ППК26114</t>
        </is>
      </c>
      <c r="N74" s="2">
        <f>IFERROR(INDEX('CoQ Register'!$B:$B,MATCH("P060402|I",'CoQ Register'!$S:$S,0)),"—")</f>
        <v/>
      </c>
      <c r="O74" s="2" t="inlineStr">
        <is>
          <t>iCoA-PP-2026-0023</t>
        </is>
      </c>
      <c r="P74" s="2" t="inlineStr">
        <is>
          <t>P060402|I</t>
        </is>
      </c>
      <c r="Q74" s="8" t="inlineStr">
        <is>
          <t>not needed — CNP covers A, B and foreign matter</t>
        </is>
      </c>
    </row>
    <row r="75">
      <c r="A75" s="2">
        <f>IF(C75="yes",COUNT(A$1:A74)+1,"")</f>
        <v/>
      </c>
      <c r="B75" s="3">
        <f>IF(A75&lt;&gt;"","iCoA-PP_26-"&amp;TEXT(A75,"000"),IF(C75="n/a","not needed","— at issue —"))</f>
        <v/>
      </c>
      <c r="C75" s="2" t="inlineStr">
        <is>
          <t>n/a</t>
        </is>
      </c>
      <c r="D75" s="5">
        <f>IF(A75="","",IF(G75="legacy",DATE(2026,5,15),IF(ISNUMBER(F75),(F75+5)+CHOOSE(WEEKDAY(F75+5,2),0,0,0,0,0,2,1),"")))</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c r="L75" s="2" t="inlineStr">
        <is>
          <t>— all three on the CNP certificate —</t>
        </is>
      </c>
      <c r="M75" s="2" t="inlineStr">
        <is>
          <t>A: ППК26111 / B: ППК26111 / FM: ППК26111</t>
        </is>
      </c>
      <c r="N75" s="2">
        <f>IFERROR(INDEX('CoQ Register'!$B:$B,MATCH("P060412|I",'CoQ Register'!$S:$S,0)),"—")</f>
        <v/>
      </c>
      <c r="O75" s="2" t="inlineStr">
        <is>
          <t>iCoA-PP-2026-0025</t>
        </is>
      </c>
      <c r="P75" s="2" t="inlineStr">
        <is>
          <t>P060412|I</t>
        </is>
      </c>
      <c r="Q75" s="8" t="inlineStr">
        <is>
          <t>not needed — CNP covers A, B and foreign matter</t>
        </is>
      </c>
    </row>
    <row r="76">
      <c r="A76" s="2">
        <f>IF(C76="yes",COUNT(A$1:A75)+1,"")</f>
        <v/>
      </c>
      <c r="B76" s="3">
        <f>IF(A76&lt;&gt;"","iCoA-PP_26-"&amp;TEXT(A76,"000"),IF(C76="n/a","not needed","— at issue —"))</f>
        <v/>
      </c>
      <c r="C76" s="2" t="inlineStr">
        <is>
          <t>n/a</t>
        </is>
      </c>
      <c r="D76" s="5">
        <f>IF(A76="","",IF(G76="legacy",DATE(2026,5,15),IF(ISNUMBER(F76),(F76+5)+CHOOSE(WEEKDAY(F76+5,2),0,0,0,0,0,2,1),"")))</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 all three on the CNP certificate —</t>
        </is>
      </c>
      <c r="M76" s="2" t="inlineStr">
        <is>
          <t>A: ППК26112 / B: ППК26112 / FM: ППК26112</t>
        </is>
      </c>
      <c r="N76" s="2">
        <f>IFERROR(INDEX('CoQ Register'!$B:$B,MATCH("P060432|I",'CoQ Register'!$S:$S,0)),"—")</f>
        <v/>
      </c>
      <c r="O76" s="6" t="inlineStr">
        <is>
          <t>—</t>
        </is>
      </c>
      <c r="P76" s="2" t="inlineStr">
        <is>
          <t>P060432|I</t>
        </is>
      </c>
      <c r="Q76" s="8" t="inlineStr">
        <is>
          <t>not needed — CNP covers A, B and foreign matter</t>
        </is>
      </c>
    </row>
    <row r="77">
      <c r="A77" s="2">
        <f>IF(C77="yes",COUNT(A$1:A76)+1,"")</f>
        <v/>
      </c>
      <c r="B77" s="3">
        <f>IF(A77&lt;&gt;"","iCoA-PP_26-"&amp;TEXT(A77,"000"),IF(C77="n/a","not needed","— at issue —"))</f>
        <v/>
      </c>
      <c r="C77" s="2" t="inlineStr">
        <is>
          <t>n/a</t>
        </is>
      </c>
      <c r="D77" s="5">
        <f>IF(A77="","",IF(G77="legacy",DATE(2026,5,15),IF(ISNUMBER(F77),(F77+5)+CHOOSE(WEEKDAY(F77+5,2),0,0,0,0,0,2,1),"")))</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 all three on the CNP certificate —</t>
        </is>
      </c>
      <c r="M77" s="2" t="inlineStr">
        <is>
          <t>A: ППК26116 / B: ППК26116 / FM: ППК26116</t>
        </is>
      </c>
      <c r="N77" s="2">
        <f>IFERROR(INDEX('CoQ Register'!$B:$B,MATCH("P060442|I",'CoQ Register'!$S:$S,0)),"—")</f>
        <v/>
      </c>
      <c r="O77" s="6" t="inlineStr">
        <is>
          <t>—</t>
        </is>
      </c>
      <c r="P77" s="2" t="inlineStr">
        <is>
          <t>P060442|I</t>
        </is>
      </c>
      <c r="Q77" s="8" t="inlineStr">
        <is>
          <t>not needed — CNP covers A, B and foreign matter</t>
        </is>
      </c>
    </row>
    <row r="78">
      <c r="A78" s="2">
        <f>IF(C78="yes",COUNT(A$1:A77)+1,"")</f>
        <v/>
      </c>
      <c r="B78" s="3">
        <f>IF(A78&lt;&gt;"","iCoA-PP_26-"&amp;TEXT(A78,"000"),IF(C78="n/a","not needed","— at issue —"))</f>
        <v/>
      </c>
      <c r="C78" s="2" t="inlineStr">
        <is>
          <t>n/a</t>
        </is>
      </c>
      <c r="D78" s="5">
        <f>IF(A78="","",IF(G78="legacy",DATE(2026,5,15),IF(ISNUMBER(F78),(F78+5)+CHOOSE(WEEKDAY(F78+5,2),0,0,0,0,0,2,1),"")))</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 all three on the CNP certificate —</t>
        </is>
      </c>
      <c r="M78" s="2" t="inlineStr">
        <is>
          <t>A: ППК26127 / B: ППК26127 / FM: ППК26127</t>
        </is>
      </c>
      <c r="N78" s="2">
        <f>IFERROR(INDEX('CoQ Register'!$B:$B,MATCH("P060452|I",'CoQ Register'!$S:$S,0)),"—")</f>
        <v/>
      </c>
      <c r="O78" s="6" t="inlineStr">
        <is>
          <t>—</t>
        </is>
      </c>
      <c r="P78" s="2" t="inlineStr">
        <is>
          <t>P060452|I</t>
        </is>
      </c>
      <c r="Q78" s="8" t="inlineStr">
        <is>
          <t>not needed — CNP covers A, B and foreign matter</t>
        </is>
      </c>
    </row>
    <row r="79">
      <c r="A79" s="2">
        <f>IF(C79="yes",COUNT(A$1:A78)+1,"")</f>
        <v/>
      </c>
      <c r="B79" s="3">
        <f>IF(A79&lt;&gt;"","iCoA-PP_26-"&amp;TEXT(A79,"000"),IF(C79="n/a","not needed","— at issue —"))</f>
        <v/>
      </c>
      <c r="C79" s="2" t="inlineStr">
        <is>
          <t>n/a</t>
        </is>
      </c>
      <c r="D79" s="5">
        <f>IF(A79="","",IF(G79="legacy",DATE(2026,5,15),IF(ISNUMBER(F79),(F79+5)+CHOOSE(WEEKDAY(F79+5,2),0,0,0,0,0,2,1),"")))</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 all three on the CNP certificate —</t>
        </is>
      </c>
      <c r="M79" s="2" t="inlineStr">
        <is>
          <t>A: ППК26128 / B: ППК26128 / FM: ППК26128</t>
        </is>
      </c>
      <c r="N79" s="2">
        <f>IFERROR(INDEX('CoQ Register'!$B:$B,MATCH("P060462|I",'CoQ Register'!$S:$S,0)),"—")</f>
        <v/>
      </c>
      <c r="O79" s="6" t="inlineStr">
        <is>
          <t>—</t>
        </is>
      </c>
      <c r="P79" s="2" t="inlineStr">
        <is>
          <t>P060462|I</t>
        </is>
      </c>
      <c r="Q79" s="8" t="inlineStr">
        <is>
          <t>not needed — CNP covers A, B and foreign matter</t>
        </is>
      </c>
    </row>
    <row r="80">
      <c r="A80" s="2">
        <f>IF(C80="yes",COUNT(A$1:A79)+1,"")</f>
        <v/>
      </c>
      <c r="B80" s="3">
        <f>IF(A80&lt;&gt;"","iCoA-PP_26-"&amp;TEXT(A80,"000"),IF(C80="n/a","not needed","— at issue —"))</f>
        <v/>
      </c>
      <c r="C80" s="2" t="inlineStr">
        <is>
          <t>n/a</t>
        </is>
      </c>
      <c r="D80" s="5">
        <f>IF(A80="","",IF(G80="legacy",DATE(2026,5,15),IF(ISNUMBER(F80),(F80+5)+CHOOSE(WEEKDAY(F80+5,2),0,0,0,0,0,2,1),"")))</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 all three on the CNP certificate —</t>
        </is>
      </c>
      <c r="M80" s="2" t="inlineStr">
        <is>
          <t>A: ППК26115 / B: ППК26115 / FM: ППК26115</t>
        </is>
      </c>
      <c r="N80" s="2">
        <f>IFERROR(INDEX('CoQ Register'!$B:$B,MATCH("P060482|I",'CoQ Register'!$S:$S,0)),"—")</f>
        <v/>
      </c>
      <c r="O80" s="6" t="inlineStr">
        <is>
          <t>—</t>
        </is>
      </c>
      <c r="P80" s="2" t="inlineStr">
        <is>
          <t>P060482|I</t>
        </is>
      </c>
      <c r="Q80" s="8" t="inlineStr">
        <is>
          <t>not needed — CNP covers A, B and foreign matter</t>
        </is>
      </c>
    </row>
    <row r="81">
      <c r="A81" s="2">
        <f>IF(C81="yes",COUNT(A$1:A80)+1,"")</f>
        <v/>
      </c>
      <c r="B81" s="3">
        <f>IF(A81&lt;&gt;"","iCoA-PP_26-"&amp;TEXT(A81,"000"),IF(C81="n/a","not needed","— at issue —"))</f>
        <v/>
      </c>
      <c r="C81" s="2" t="inlineStr">
        <is>
          <t>n/a</t>
        </is>
      </c>
      <c r="D81" s="5">
        <f>IF(A81="","",IF(G81="legacy",DATE(2026,5,15),IF(ISNUMBER(F81),(F81+5)+CHOOSE(WEEKDAY(F81+5,2),0,0,0,0,0,2,1),"")))</f>
        <v/>
      </c>
      <c r="E81" s="5">
        <f>IFERROR(INDEX('Batch Dates'!$F:$F,MATCH(J81,'Batch Dates'!$C:$C,0)),IFERROR(INDEX('Batch Dates'!$F:$F,MATCH(I81,'Batch Dates'!$B:$B,0)),""))</f>
        <v/>
      </c>
      <c r="F81" s="5">
        <f>IFERROR(INDEX('Batch Dates'!$G:$G,MATCH(J81,'Batch Dates'!$C:$C,0)),IFERROR(INDEX('Batch Dates'!$G:$G,MATCH(I81,'Batch Dates'!$B:$B,0)),""))</f>
        <v/>
      </c>
      <c r="G81" s="2" t="inlineStr">
        <is>
          <t>—</t>
        </is>
      </c>
      <c r="H81" s="2" t="inlineStr">
        <is>
          <t>initial release</t>
        </is>
      </c>
      <c r="I81" s="3" t="inlineStr">
        <is>
          <t>— not recorded —</t>
        </is>
      </c>
      <c r="J81" s="2" t="inlineStr">
        <is>
          <t>P160012</t>
        </is>
      </c>
      <c r="K81" s="2" t="inlineStr"/>
      <c r="L81" s="2" t="inlineStr">
        <is>
          <t>— all three on the CNP certificate —</t>
        </is>
      </c>
      <c r="M81" s="2" t="inlineStr">
        <is>
          <t>A: ППК26117 / B: ППК26117 / FM: ППК26117</t>
        </is>
      </c>
      <c r="N81" s="2">
        <f>IFERROR(INDEX('CoQ Register'!$B:$B,MATCH("P160012|I",'CoQ Register'!$S:$S,0)),"—")</f>
        <v/>
      </c>
      <c r="O81" s="6" t="inlineStr">
        <is>
          <t>—</t>
        </is>
      </c>
      <c r="P81" s="2" t="inlineStr">
        <is>
          <t>P160012|I</t>
        </is>
      </c>
      <c r="Q81" s="8" t="inlineStr">
        <is>
          <t>not needed — CNP covers A, B and foreign matter</t>
        </is>
      </c>
    </row>
    <row r="82">
      <c r="A82" s="2">
        <f>IF(C82="yes",COUNT(A$1:A81)+1,"")</f>
        <v/>
      </c>
      <c r="B82" s="3">
        <f>IF(A82&lt;&gt;"","iCoA-PP_26-"&amp;TEXT(A82,"000"),IF(C82="n/a","not needed","— at issue —"))</f>
        <v/>
      </c>
      <c r="C82" s="2" t="inlineStr">
        <is>
          <t>n/a</t>
        </is>
      </c>
      <c r="D82" s="5">
        <f>IF(A82="","",IF(G82="legacy",DATE(2026,5,15),IF(ISNUMBER(F82),(F82+5)+CHOOSE(WEEKDAY(F82+5,2),0,0,0,0,0,2,1),"")))</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t>
        </is>
      </c>
      <c r="J82" s="2" t="inlineStr">
        <is>
          <t>P160022</t>
        </is>
      </c>
      <c r="K82" s="2" t="inlineStr"/>
      <c r="L82" s="2" t="inlineStr">
        <is>
          <t>— all three on the CNP certificate —</t>
        </is>
      </c>
      <c r="M82" s="2" t="inlineStr">
        <is>
          <t>A: ППК26118 / B: ППК26118 / FM: ППК26118</t>
        </is>
      </c>
      <c r="N82" s="2">
        <f>IFERROR(INDEX('CoQ Register'!$B:$B,MATCH("P160022|I",'CoQ Register'!$S:$S,0)),"—")</f>
        <v/>
      </c>
      <c r="O82" s="6" t="inlineStr">
        <is>
          <t>—</t>
        </is>
      </c>
      <c r="P82" s="2" t="inlineStr">
        <is>
          <t>P160022|I</t>
        </is>
      </c>
      <c r="Q82" s="8" t="inlineStr">
        <is>
          <t>not needed — CNP covers A, B and foreign matter</t>
        </is>
      </c>
    </row>
    <row r="83">
      <c r="A83" s="2">
        <f>IF(C83="yes",COUNT(A$1:A82)+1,"")</f>
        <v/>
      </c>
      <c r="B83" s="3">
        <f>IF(A83&lt;&gt;"","iCoA-PP_26-"&amp;TEXT(A83,"000"),IF(C83="n/a","not needed","— at issue —"))</f>
        <v/>
      </c>
      <c r="C83" s="2" t="inlineStr">
        <is>
          <t>n/a</t>
        </is>
      </c>
      <c r="D83" s="5">
        <f>IF(A83="","",IF(G83="legacy",DATE(2026,5,15),IF(ISNUMBER(F83),(F83+5)+CHOOSE(WEEKDAY(F83+5,2),0,0,0,0,0,2,1),"")))</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t>
        </is>
      </c>
      <c r="J83" s="2" t="inlineStr">
        <is>
          <t>P160032</t>
        </is>
      </c>
      <c r="K83" s="2" t="inlineStr"/>
      <c r="L83" s="2" t="inlineStr">
        <is>
          <t>— all three on the CNP certificate —</t>
        </is>
      </c>
      <c r="M83" s="2" t="inlineStr">
        <is>
          <t>A: ППК26119 / B: ППК26119 / FM: ППК26119</t>
        </is>
      </c>
      <c r="N83" s="2">
        <f>IFERROR(INDEX('CoQ Register'!$B:$B,MATCH("P160032|I",'CoQ Register'!$S:$S,0)),"—")</f>
        <v/>
      </c>
      <c r="O83" s="6" t="inlineStr">
        <is>
          <t>—</t>
        </is>
      </c>
      <c r="P83" s="2" t="inlineStr">
        <is>
          <t>P160032|I</t>
        </is>
      </c>
      <c r="Q83" s="8" t="inlineStr">
        <is>
          <t>not needed — CNP covers A, B and foreign matter</t>
        </is>
      </c>
    </row>
    <row r="84">
      <c r="A84" s="2">
        <f>IF(C84="yes",COUNT(A$1:A83)+1,"")</f>
        <v/>
      </c>
      <c r="B84" s="3">
        <f>IF(A84&lt;&gt;"","iCoA-PP_26-"&amp;TEXT(A84,"000"),IF(C84="n/a","not needed","— at issue —"))</f>
        <v/>
      </c>
      <c r="C84" s="6" t="inlineStr">
        <is>
          <t>no</t>
        </is>
      </c>
      <c r="D84" s="5">
        <f>IF(A84="","",IF(G84="legacy",DATE(2026,5,15),IF(ISNUMBER(F84),(F84+5)+CHOOSE(WEEKDAY(F84+5,2),0,0,0,0,0,2,1),"")))</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JD112501＊</t>
        </is>
      </c>
      <c r="J84" s="2" t="inlineStr">
        <is>
          <t>N/A — no P batch assigned</t>
        </is>
      </c>
      <c r="K84" s="2" t="inlineStr">
        <is>
          <t>Jelly Donutz</t>
        </is>
      </c>
      <c r="L84" s="2" t="inlineStr">
        <is>
          <t>Ident A + Ident B + Foreign matter</t>
        </is>
      </c>
      <c r="M84" s="6" t="inlineStr">
        <is>
          <t>—</t>
        </is>
      </c>
      <c r="N84" s="2">
        <f>IFERROR(INDEX('CoQ Register'!$B:$B,MATCH("JD112501|I",'CoQ Register'!$S:$S,0)),"—")</f>
        <v/>
      </c>
      <c r="O84" s="2" t="inlineStr">
        <is>
          <t>iCoA-PP-2026-0015</t>
        </is>
      </c>
      <c r="P84" s="2" t="inlineStr">
        <is>
          <t>JD112501|I</t>
        </is>
      </c>
      <c r="Q84" s="9" t="inlineStr">
        <is>
          <t>not yet issuable — no packaging date on the list</t>
        </is>
      </c>
    </row>
    <row r="85">
      <c r="A85" s="2">
        <f>IF(C85="yes",COUNT(A$1:A84)+1,"")</f>
        <v/>
      </c>
      <c r="B85" s="3">
        <f>IF(A85&lt;&gt;"","iCoA-PP_26-"&amp;TEXT(A85,"000"),IF(C85="n/a","not needed","— at issue —"))</f>
        <v/>
      </c>
      <c r="C85" s="6" t="inlineStr">
        <is>
          <t>no</t>
        </is>
      </c>
      <c r="D85" s="5">
        <f>IF(A85="","",IF(G85="legacy",DATE(2026,5,15),IF(ISNUMBER(F85),(F85+5)+CHOOSE(WEEKDAY(F85+5,2),0,0,0,0,0,2,1),"")))</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IF(A86="","",IF(G86="legacy",DATE(2026,5,15),IF(ISNUMBER(F86),(F86+5)+CHOOSE(WEEKDAY(F86+5,2),0,0,0,0,0,2,1),"")))</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IF(A87="","",IF(G87="legacy",DATE(2026,5,15),IF(ISNUMBER(F87),(F87+5)+CHOOSE(WEEKDAY(F87+5,2),0,0,0,0,0,2,1),"")))</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IF(A88="","",IF(G88="legacy",DATE(2026,5,15),IF(ISNUMBER(F88),(F88+5)+CHOOSE(WEEKDAY(F88+5,2),0,0,0,0,0,2,1),"")))</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IF(A89="","",IF(G89="legacy",DATE(2026,5,15),IF(ISNUMBER(F89),(F89+5)+CHOOSE(WEEKDAY(F89+5,2),0,0,0,0,0,2,1),"")))</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IF(A90="","",IF(G90="legacy",DATE(2026,5,15),IF(ISNUMBER(F90),(F90+5)+CHOOSE(WEEKDAY(F90+5,2),0,0,0,0,0,2,1),"")))</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IF(A91="","",IF(G91="legacy",DATE(2026,5,15),IF(ISNUMBER(F91),(F91+5)+CHOOSE(WEEKDAY(F91+5,2),0,0,0,0,0,2,1),"")))</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IF(A92="","",IF(G92="legacy",DATE(2026,5,15),IF(ISNUMBER(F92),(F92+5)+CHOOSE(WEEKDAY(F92+5,2),0,0,0,0,0,2,1),"")))</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IF(A93="","",IF(G93="legacy",DATE(2026,5,15),IF(ISNUMBER(F93),(F93+5)+CHOOSE(WEEKDAY(F93+5,2),0,0,0,0,0,2,1),"")))</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IF(A94="","",IF(G94="legacy",DATE(2026,5,15),IF(ISNUMBER(F94),(F94+5)+CHOOSE(WEEKDAY(F94+5,2),0,0,0,0,0,2,1),"")))</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IF(A95="","",IF(G95="legacy",DATE(2026,5,15),IF(ISNUMBER(F95),(F95+5)+CHOOSE(WEEKDAY(F95+5,2),0,0,0,0,0,2,1),"")))</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IF(A96="","",IF(G96="legacy",DATE(2026,5,15),IF(ISNUMBER(F96),(F96+5)+CHOOSE(WEEKDAY(F96+5,2),0,0,0,0,0,2,1),"")))</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IF(A97="","",IF(G97="legacy",DATE(2026,5,15),IF(ISNUMBER(F97),(F97+5)+CHOOSE(WEEKDAY(F97+5,2),0,0,0,0,0,2,1),"")))</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IF(A98="","",IF(G98="legacy",DATE(2026,5,15),IF(ISNUMBER(F98),(F98+5)+CHOOSE(WEEKDAY(F98+5,2),0,0,0,0,0,2,1),"")))</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IF(A99="","",IF(G99="legacy",DATE(2026,5,15),IF(ISNUMBER(F99),(F99+5)+CHOOSE(WEEKDAY(F99+5,2),0,0,0,0,0,2,1),"")))</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IF(A100="","",IF(G100="legacy",DATE(2026,5,15),IF(ISNUMBER(F100),(F100+5)+CHOOSE(WEEKDAY(F100+5,2),0,0,0,0,0,2,1),"")))</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IF(A101="","",IF(G101="legacy",DATE(2026,5,15),IF(ISNUMBER(F101),(F101+5)+CHOOSE(WEEKDAY(F101+5,2),0,0,0,0,0,2,1),"")))</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IF(A102="","",IF(G102="legacy",DATE(2026,5,15),IF(ISNUMBER(F102),(F102+5)+CHOOSE(WEEKDAY(F102+5,2),0,0,0,0,0,2,1),"")))</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IF(A103="","",IF(G103="legacy",DATE(2026,5,15),IF(ISNUMBER(F103),(F103+5)+CHOOSE(WEEKDAY(F103+5,2),0,0,0,0,0,2,1),"")))</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IF(A104="","",IF(G104="legacy",DATE(2026,5,15),IF(ISNUMBER(F104),(F104+5)+CHOOSE(WEEKDAY(F104+5,2),0,0,0,0,0,2,1),"")))</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IF(A105="","",IF(G105="legacy",DATE(2026,5,15),IF(ISNUMBER(F105),(F105+5)+CHOOSE(WEEKDAY(F105+5,2),0,0,0,0,0,2,1),"")))</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IF(A106="","",IF(G106="legacy",DATE(2026,5,15),IF(ISNUMBER(F106),(F106+5)+CHOOSE(WEEKDAY(F106+5,2),0,0,0,0,0,2,1),"")))</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IF(A107="","",IF(G107="legacy",DATE(2026,5,15),IF(ISNUMBER(F107),(F107+5)+CHOOSE(WEEKDAY(F107+5,2),0,0,0,0,0,2,1),"")))</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IF(A108="","",IF(G108="legacy",DATE(2026,5,15),IF(ISNUMBER(F108),(F108+5)+CHOOSE(WEEKDAY(F108+5,2),0,0,0,0,0,2,1),"")))</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IF(A109="","",IF(G109="legacy",DATE(2026,5,15),IF(ISNUMBER(F109),(F109+5)+CHOOSE(WEEKDAY(F109+5,2),0,0,0,0,0,2,1),"")))</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IF(A110="","",IF(G110="legacy",DATE(2026,5,15),IF(ISNUMBER(F110),(F110+5)+CHOOSE(WEEKDAY(F110+5,2),0,0,0,0,0,2,1),"")))</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IF(A111="","",IF(G111="legacy",DATE(2026,5,15),IF(ISNUMBER(F111),(F111+5)+CHOOSE(WEEKDAY(F111+5,2),0,0,0,0,0,2,1),"")))</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IF(A112="","",IF(G112="legacy",DATE(2026,5,15),IF(ISNUMBER(F112),(F112+5)+CHOOSE(WEEKDAY(F112+5,2),0,0,0,0,0,2,1),"")))</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IF(A113="","",IF(G113="legacy",DATE(2026,5,15),IF(ISNUMBER(F113),(F113+5)+CHOOSE(WEEKDAY(F113+5,2),0,0,0,0,0,2,1),"")))</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IF(A114="","",IF(G114="legacy",DATE(2026,5,15),IF(ISNUMBER(F114),(F114+5)+CHOOSE(WEEKDAY(F114+5,2),0,0,0,0,0,2,1),"")))</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IF(A115="","",IF(G115="legacy",DATE(2026,5,15),IF(ISNUMBER(F115),(F115+5)+CHOOSE(WEEKDAY(F115+5,2),0,0,0,0,0,2,1),"")))</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IF(A116="","",IF(G116="legacy",DATE(2026,5,15),IF(ISNUMBER(F116),(F116+5)+CHOOSE(WEEKDAY(F116+5,2),0,0,0,0,0,2,1),"")))</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IF(A117="","",IF(G117="legacy",DATE(2026,5,15),IF(ISNUMBER(F117),(F117+5)+CHOOSE(WEEKDAY(F117+5,2),0,0,0,0,0,2,1),"")))</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IF(A118="","",IF(G118="legacy",DATE(2026,5,15),IF(ISNUMBER(F118),(F118+5)+CHOOSE(WEEKDAY(F118+5,2),0,0,0,0,0,2,1),"")))</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IF(A119="","",IF(G119="legacy",DATE(2026,5,15),IF(ISNUMBER(F119),(F119+5)+CHOOSE(WEEKDAY(F119+5,2),0,0,0,0,0,2,1),"")))</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IF(A120="","",IF(G120="legacy",DATE(2026,5,15),IF(ISNUMBER(F120),(F120+5)+CHOOSE(WEEKDAY(F120+5,2),0,0,0,0,0,2,1),"")))</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IF(A121="","",IF(G121="legacy",DATE(2026,5,15),IF(ISNUMBER(F121),(F121+5)+CHOOSE(WEEKDAY(F121+5,2),0,0,0,0,0,2,1),"")))</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IF(A122="","",IF(G122="legacy",DATE(2026,5,15),IF(ISNUMBER(F122),(F122+5)+CHOOSE(WEEKDAY(F122+5,2),0,0,0,0,0,2,1),"")))</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IF(A123="","",IF(G123="legacy",DATE(2026,5,15),IF(ISNUMBER(F123),(F123+5)+CHOOSE(WEEKDAY(F123+5,2),0,0,0,0,0,2,1),"")))</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IF(A124="","",IF(G124="legacy",DATE(2026,5,15),IF(ISNUMBER(F124),(F124+5)+CHOOSE(WEEKDAY(F124+5,2),0,0,0,0,0,2,1),"")))</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IF(A125="","",IF(G125="legacy",DATE(2026,5,15),IF(ISNUMBER(F125),(F125+5)+CHOOSE(WEEKDAY(F125+5,2),0,0,0,0,0,2,1),"")))</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IF(A126="","",IF(G126="legacy",DATE(2026,5,15),IF(ISNUMBER(F126),(F126+5)+CHOOSE(WEEKDAY(F126+5,2),0,0,0,0,0,2,1),"")))</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IF(A127="","",IF(G127="legacy",DATE(2026,5,15),IF(ISNUMBER(F127),(F127+5)+CHOOSE(WEEKDAY(F127+5,2),0,0,0,0,0,2,1),"")))</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IF(A128="","",IF(G128="legacy",DATE(2026,5,15),IF(ISNUMBER(F128),(F128+5)+CHOOSE(WEEKDAY(F128+5,2),0,0,0,0,0,2,1),"")))</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IF(A129="","",IF(G129="legacy",DATE(2026,5,15),IF(ISNUMBER(F129),(F129+5)+CHOOSE(WEEKDAY(F129+5,2),0,0,0,0,0,2,1),"")))</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IF(A130="","",IF(G130="legacy",DATE(2026,5,15),IF(ISNUMBER(F130),(F130+5)+CHOOSE(WEEKDAY(F130+5,2),0,0,0,0,0,2,1),"")))</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IF(A131="","",IF(G131="legacy",DATE(2026,5,15),IF(ISNUMBER(F131),(F131+5)+CHOOSE(WEEKDAY(F131+5,2),0,0,0,0,0,2,1),"")))</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IF(A132="","",IF(G132="legacy",DATE(2026,5,15),IF(ISNUMBER(F132),(F132+5)+CHOOSE(WEEKDAY(F132+5,2),0,0,0,0,0,2,1),"")))</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IF(A133="","",IF(G133="legacy",DATE(2026,5,15),IF(ISNUMBER(F133),(F133+5)+CHOOSE(WEEKDAY(F133+5,2),0,0,0,0,0,2,1),"")))</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IF(A134="","",IF(G134="legacy",DATE(2026,5,15),IF(ISNUMBER(F134),(F134+5)+CHOOSE(WEEKDAY(F134+5,2),0,0,0,0,0,2,1),"")))</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IF(A135="","",IF(G135="legacy",DATE(2026,5,15),IF(ISNUMBER(F135),(F135+5)+CHOOSE(WEEKDAY(F135+5,2),0,0,0,0,0,2,1),"")))</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IF(A136="","",IF(G136="legacy",DATE(2026,5,15),IF(ISNUMBER(F136),(F136+5)+CHOOSE(WEEKDAY(F136+5,2),0,0,0,0,0,2,1),"")))</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IF(A137="","",IF(G137="legacy",DATE(2026,5,15),IF(ISNUMBER(F137),(F137+5)+CHOOSE(WEEKDAY(F137+5,2),0,0,0,0,0,2,1),"")))</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IF(A138="","",IF(G138="legacy",DATE(2026,5,15),IF(ISNUMBER(F138),(F138+5)+CHOOSE(WEEKDAY(F138+5,2),0,0,0,0,0,2,1),"")))</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IF(A139="","",IF(G139="legacy",DATE(2026,5,15),IF(ISNUMBER(F139),(F139+5)+CHOOSE(WEEKDAY(F139+5,2),0,0,0,0,0,2,1),"")))</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IF(A140="","",IF(G140="legacy",DATE(2026,5,15),IF(ISNUMBER(F140),(F140+5)+CHOOSE(WEEKDAY(F140+5,2),0,0,0,0,0,2,1),"")))</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IF(A141="","",IF(G141="legacy",DATE(2026,5,15),IF(ISNUMBER(F141),(F141+5)+CHOOSE(WEEKDAY(F141+5,2),0,0,0,0,0,2,1),"")))</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IF(A142="","",IF(G142="legacy",DATE(2026,5,15),IF(ISNUMBER(F142),(F142+5)+CHOOSE(WEEKDAY(F142+5,2),0,0,0,0,0,2,1),"")))</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IF(A143="","",IF(G143="legacy",DATE(2026,5,15),IF(ISNUMBER(F143),(F143+5)+CHOOSE(WEEKDAY(F143+5,2),0,0,0,0,0,2,1),"")))</f>
        <v/>
      </c>
      <c r="E143" s="5" t="inlineStr">
        <is>
          <t>at retest sampling</t>
        </is>
      </c>
      <c r="F143" s="5">
        <f>IFERROR(INDEX('Batch Dates'!$G:$G,MATCH(J143,'Batch Dates'!$C:$C,0)),IFERROR(INDEX('Batch Dates'!$G:$G,MATCH(I143,'Batch Dates'!$B:$B,0)),""))</f>
        <v/>
      </c>
      <c r="G143" s="2" t="inlineStr">
        <is>
          <t>—</t>
        </is>
      </c>
      <c r="H143" s="2" t="inlineStr">
        <is>
          <t>retest — not yet sampled</t>
        </is>
      </c>
      <c r="I143" s="3" t="inlineStr">
        <is>
          <t>JD112501＊</t>
        </is>
      </c>
      <c r="J143" s="2" t="inlineStr">
        <is>
          <t>N/A — no P batch assigned</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IF(A144="","",IF(G144="legacy",DATE(2026,5,15),IF(ISNUMBER(F144),(F144+5)+CHOOSE(WEEKDAY(F144+5,2),0,0,0,0,0,2,1),"")))</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IF(A145="","",IF(G145="legacy",DATE(2026,5,15),IF(ISNUMBER(F145),(F145+5)+CHOOSE(WEEKDAY(F145+5,2),0,0,0,0,0,2,1),"")))</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IF(A146="","",IF(G146="legacy",DATE(2026,5,15),IF(ISNUMBER(F146),(F146+5)+CHOOSE(WEEKDAY(F146+5,2),0,0,0,0,0,2,1),"")))</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IF(A147="","",IF(G147="legacy",DATE(2026,5,15),IF(ISNUMBER(F147),(F147+5)+CHOOSE(WEEKDAY(F147+5,2),0,0,0,0,0,2,1),"")))</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IF(A148="","",IF(G148="legacy",DATE(2026,5,15),IF(ISNUMBER(F148),(F148+5)+CHOOSE(WEEKDAY(F148+5,2),0,0,0,0,0,2,1),"")))</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IF(A149="","",IF(G149="legacy",DATE(2026,5,15),IF(ISNUMBER(F149),(F149+5)+CHOOSE(WEEKDAY(F149+5,2),0,0,0,0,0,2,1),"")))</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IF(A150="","",IF(G150="legacy",DATE(2026,5,15),IF(ISNUMBER(F150),(F150+5)+CHOOSE(WEEKDAY(F150+5,2),0,0,0,0,0,2,1),"")))</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IF(A151="","",IF(G151="legacy",DATE(2026,5,15),IF(ISNUMBER(F151),(F151+5)+CHOOSE(WEEKDAY(F151+5,2),0,0,0,0,0,2,1),"")))</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IF(A152="","",IF(G152="legacy",DATE(2026,5,15),IF(ISNUMBER(F152),(F152+5)+CHOOSE(WEEKDAY(F152+5,2),0,0,0,0,0,2,1),"")))</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IF(A153="","",IF(G153="legacy",DATE(2026,5,15),IF(ISNUMBER(F153),(F153+5)+CHOOSE(WEEKDAY(F153+5,2),0,0,0,0,0,2,1),"")))</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IF(A154="","",IF(G154="legacy",DATE(2026,5,15),IF(ISNUMBER(F154),(F154+5)+CHOOSE(WEEKDAY(F154+5,2),0,0,0,0,0,2,1),"")))</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IF(A155="","",IF(G155="legacy",DATE(2026,5,15),IF(ISNUMBER(F155),(F155+5)+CHOOSE(WEEKDAY(F155+5,2),0,0,0,0,0,2,1),"")))</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IF(A156="","",IF(G156="legacy",DATE(2026,5,15),IF(ISNUMBER(F156),(F156+5)+CHOOSE(WEEKDAY(F156+5,2),0,0,0,0,0,2,1),"")))</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IF(A157="","",IF(G157="legacy",DATE(2026,5,15),IF(ISNUMBER(F157),(F157+5)+CHOOSE(WEEKDAY(F157+5,2),0,0,0,0,0,2,1),"")))</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IF(A158="","",IF(G158="legacy",DATE(2026,5,15),IF(ISNUMBER(F158),(F158+5)+CHOOSE(WEEKDAY(F158+5,2),0,0,0,0,0,2,1),"")))</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Register'!$P:$P,0)))+CHOOSE(WEEKDAY(INDEX('iCoA Register'!$F:$F,MATCH(S2,'iCoA Register'!$P:$P,0)),2),0,0,0,0,0,2,1),0),0)))</f>
        <v/>
      </c>
      <c r="E2" s="5">
        <f>IF(ISNUMBER(F2),IF(AND(J2="legacy",F2&lt;=DATE(2026,5,27)),DATE(2026,5,27),MAX(DATE(2026,5,27),(F2+7)+CHOOSE(WEEKDAY(F2+7,2),0,0,0,0,0,2,1))),IF(J2="legacy",DATE(2026,5,27),""))</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Register'!$P:$P,0)))+CHOOSE(WEEKDAY(INDEX('iCoA Register'!$F:$F,MATCH(S3,'iCoA Register'!$P:$P,0)),2),0,0,0,0,0,2,1),0),0)))</f>
        <v/>
      </c>
      <c r="E3" s="5">
        <f>IF(ISNUMBER(F3),IF(AND(J3="legacy",F3&lt;=DATE(2026,5,27)),DATE(2026,5,27),MAX(DATE(2026,5,27),(F3+7)+CHOOSE(WEEKDAY(F3+7,2),0,0,0,0,0,2,1))),IF(J3="legacy",DATE(2026,5,27),""))</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Register'!$P:$P,0)))+CHOOSE(WEEKDAY(INDEX('iCoA Register'!$F:$F,MATCH(S4,'iCoA Register'!$P:$P,0)),2),0,0,0,0,0,2,1),0),0)))</f>
        <v/>
      </c>
      <c r="E4" s="5">
        <f>IF(ISNUMBER(F4),IF(AND(J4="legacy",F4&lt;=DATE(2026,5,27)),DATE(2026,5,27),MAX(DATE(2026,5,27),(F4+7)+CHOOSE(WEEKDAY(F4+7,2),0,0,0,0,0,2,1))),IF(J4="legacy",DATE(2026,5,27),""))</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Register'!$P:$P,0)))+CHOOSE(WEEKDAY(INDEX('iCoA Register'!$F:$F,MATCH(S5,'iCoA Register'!$P:$P,0)),2),0,0,0,0,0,2,1),0),0)))</f>
        <v/>
      </c>
      <c r="E5" s="5">
        <f>IF(ISNUMBER(F5),IF(AND(J5="legacy",F5&lt;=DATE(2026,5,27)),DATE(2026,5,27),MAX(DATE(2026,5,27),(F5+7)+CHOOSE(WEEKDAY(F5+7,2),0,0,0,0,0,2,1))),IF(J5="legacy",DATE(2026,5,27),""))</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Register'!$P:$P,0)))+CHOOSE(WEEKDAY(INDEX('iCoA Register'!$F:$F,MATCH(S6,'iCoA Register'!$P:$P,0)),2),0,0,0,0,0,2,1),0),0)))</f>
        <v/>
      </c>
      <c r="E6" s="5">
        <f>IF(ISNUMBER(F6),IF(AND(J6="legacy",F6&lt;=DATE(2026,5,27)),DATE(2026,5,27),MAX(DATE(2026,5,27),(F6+7)+CHOOSE(WEEKDAY(F6+7,2),0,0,0,0,0,2,1))),IF(J6="legacy",DATE(2026,5,27),""))</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Register'!$P:$P,0)))+CHOOSE(WEEKDAY(INDEX('iCoA Register'!$F:$F,MATCH(S7,'iCoA Register'!$P:$P,0)),2),0,0,0,0,0,2,1),0),0)))</f>
        <v/>
      </c>
      <c r="E7" s="5">
        <f>IF(ISNUMBER(F7),IF(AND(J7="legacy",F7&lt;=DATE(2026,5,27)),DATE(2026,5,27),MAX(DATE(2026,5,27),(F7+7)+CHOOSE(WEEKDAY(F7+7,2),0,0,0,0,0,2,1))),IF(J7="legacy",DATE(2026,5,27),""))</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row>
    <row r="8">
      <c r="A8" s="2">
        <f>IF(C8="yes",COUNT(A$1:A7)+1,"")</f>
        <v/>
      </c>
      <c r="B8" s="3">
        <f>IF(A8&lt;&gt;"","CoQ-PP_26-"&amp;TEXT(A8,"000"),"— at issue —")</f>
        <v/>
      </c>
      <c r="C8" s="4" t="inlineStr">
        <is>
          <t>yes</t>
        </is>
      </c>
      <c r="D8" s="5">
        <f>IF(A8="","",MAX(E8,IF(ISNUMBER(I8),I8,0),IFERROR(IF(ISNUMBER(INDEX('iCoA Register'!$F:$F,MATCH(S8,'iCoA Register'!$P:$P,0))),(INDEX('iCoA Register'!$F:$F,MATCH(S8,'iCoA Register'!$P:$P,0)))+CHOOSE(WEEKDAY(INDEX('iCoA Register'!$F:$F,MATCH(S8,'iCoA Register'!$P:$P,0)),2),0,0,0,0,0,2,1),0),0)))</f>
        <v/>
      </c>
      <c r="E8" s="5">
        <f>IF(ISNUMBER(F8),IF(AND(J8="legacy",F8&lt;=DATE(2026,5,27)),DATE(2026,5,27),MAX(DATE(2026,5,27),(F8+7)+CHOOSE(WEEKDAY(F8+7,2),0,0,0,0,0,2,1))),IF(J8="legacy",DATE(2026,5,27),""))</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Register'!$P:$P,0)))+CHOOSE(WEEKDAY(INDEX('iCoA Register'!$F:$F,MATCH(S9,'iCoA Register'!$P:$P,0)),2),0,0,0,0,0,2,1),0),0)))</f>
        <v/>
      </c>
      <c r="E9" s="5">
        <f>IF(ISNUMBER(F9),IF(AND(J9="legacy",F9&lt;=DATE(2026,5,27)),DATE(2026,5,27),MAX(DATE(2026,5,27),(F9+7)+CHOOSE(WEEKDAY(F9+7,2),0,0,0,0,0,2,1))),IF(J9="legacy",DATE(2026,5,27),""))</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Register'!$P:$P,0)))+CHOOSE(WEEKDAY(INDEX('iCoA Register'!$F:$F,MATCH(S10,'iCoA Register'!$P:$P,0)),2),0,0,0,0,0,2,1),0),0)))</f>
        <v/>
      </c>
      <c r="E10" s="5">
        <f>IF(ISNUMBER(F10),IF(AND(J10="legacy",F10&lt;=DATE(2026,5,27)),DATE(2026,5,27),MAX(DATE(2026,5,27),(F10+7)+CHOOSE(WEEKDAY(F10+7,2),0,0,0,0,0,2,1))),IF(J10="legacy",DATE(2026,5,27),""))</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Register'!$P:$P,0)))+CHOOSE(WEEKDAY(INDEX('iCoA Register'!$F:$F,MATCH(S11,'iCoA Register'!$P:$P,0)),2),0,0,0,0,0,2,1),0),0)))</f>
        <v/>
      </c>
      <c r="E11" s="5">
        <f>IF(ISNUMBER(F11),IF(AND(J11="legacy",F11&lt;=DATE(2026,5,27)),DATE(2026,5,27),MAX(DATE(2026,5,27),(F11+7)+CHOOSE(WEEKDAY(F11+7,2),0,0,0,0,0,2,1))),IF(J11="legacy",DATE(2026,5,27),""))</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Register'!$P:$P,0)))+CHOOSE(WEEKDAY(INDEX('iCoA Register'!$F:$F,MATCH(S12,'iCoA Register'!$P:$P,0)),2),0,0,0,0,0,2,1),0),0)))</f>
        <v/>
      </c>
      <c r="E12" s="5">
        <f>IF(ISNUMBER(F12),IF(AND(J12="legacy",F12&lt;=DATE(2026,5,27)),DATE(2026,5,27),MAX(DATE(2026,5,27),(F12+7)+CHOOSE(WEEKDAY(F12+7,2),0,0,0,0,0,2,1))),IF(J12="legacy",DATE(2026,5,27),""))</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Register'!$P:$P,0)))+CHOOSE(WEEKDAY(INDEX('iCoA Register'!$F:$F,MATCH(S13,'iCoA Register'!$P:$P,0)),2),0,0,0,0,0,2,1),0),0)))</f>
        <v/>
      </c>
      <c r="E13" s="5">
        <f>IF(ISNUMBER(F13),IF(AND(J13="legacy",F13&lt;=DATE(2026,5,27)),DATE(2026,5,27),MAX(DATE(2026,5,27),(F13+7)+CHOOSE(WEEKDAY(F13+7,2),0,0,0,0,0,2,1))),IF(J13="legacy",DATE(2026,5,27),""))</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Register'!$P:$P,0)))+CHOOSE(WEEKDAY(INDEX('iCoA Register'!$F:$F,MATCH(S14,'iCoA Register'!$P:$P,0)),2),0,0,0,0,0,2,1),0),0)))</f>
        <v/>
      </c>
      <c r="E14" s="5">
        <f>IF(ISNUMBER(F14),IF(AND(J14="legacy",F14&lt;=DATE(2026,5,27)),DATE(2026,5,27),MAX(DATE(2026,5,27),(F14+7)+CHOOSE(WEEKDAY(F14+7,2),0,0,0,0,0,2,1))),IF(J14="legacy",DATE(2026,5,27),""))</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Register'!$P:$P,0)))+CHOOSE(WEEKDAY(INDEX('iCoA Register'!$F:$F,MATCH(S15,'iCoA Register'!$P:$P,0)),2),0,0,0,0,0,2,1),0),0)))</f>
        <v/>
      </c>
      <c r="E15" s="5">
        <f>IF(ISNUMBER(F15),IF(AND(J15="legacy",F15&lt;=DATE(2026,5,27)),DATE(2026,5,27),MAX(DATE(2026,5,27),(F15+7)+CHOOSE(WEEKDAY(F15+7,2),0,0,0,0,0,2,1))),IF(J15="legacy",DATE(2026,5,27),""))</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Register'!$P:$P,0)))+CHOOSE(WEEKDAY(INDEX('iCoA Register'!$F:$F,MATCH(S16,'iCoA Register'!$P:$P,0)),2),0,0,0,0,0,2,1),0),0)))</f>
        <v/>
      </c>
      <c r="E16" s="5">
        <f>IF(ISNUMBER(F16),IF(AND(J16="legacy",F16&lt;=DATE(2026,5,27)),DATE(2026,5,27),MAX(DATE(2026,5,27),(F16+7)+CHOOSE(WEEKDAY(F16+7,2),0,0,0,0,0,2,1))),IF(J16="legacy",DATE(2026,5,27),""))</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Register'!$P:$P,0)))+CHOOSE(WEEKDAY(INDEX('iCoA Register'!$F:$F,MATCH(S17,'iCoA Register'!$P:$P,0)),2),0,0,0,0,0,2,1),0),0)))</f>
        <v/>
      </c>
      <c r="E17" s="5">
        <f>IF(ISNUMBER(F17),IF(AND(J17="legacy",F17&lt;=DATE(2026,5,27)),DATE(2026,5,27),MAX(DATE(2026,5,27),(F17+7)+CHOOSE(WEEKDAY(F17+7,2),0,0,0,0,0,2,1))),IF(J17="legacy",DATE(2026,5,27),""))</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Register'!$P:$P,0)))+CHOOSE(WEEKDAY(INDEX('iCoA Register'!$F:$F,MATCH(S18,'iCoA Register'!$P:$P,0)),2),0,0,0,0,0,2,1),0),0)))</f>
        <v/>
      </c>
      <c r="E18" s="5">
        <f>IF(ISNUMBER(F18),IF(AND(J18="legacy",F18&lt;=DATE(2026,5,27)),DATE(2026,5,27),MAX(DATE(2026,5,27),(F18+7)+CHOOSE(WEEKDAY(F18+7,2),0,0,0,0,0,2,1))),IF(J18="legacy",DATE(2026,5,27),""))</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Register'!$P:$P,0)))+CHOOSE(WEEKDAY(INDEX('iCoA Register'!$F:$F,MATCH(S19,'iCoA Register'!$P:$P,0)),2),0,0,0,0,0,2,1),0),0)))</f>
        <v/>
      </c>
      <c r="E19" s="5">
        <f>IF(ISNUMBER(F19),IF(AND(J19="legacy",F19&lt;=DATE(2026,5,27)),DATE(2026,5,27),MAX(DATE(2026,5,27),(F19+7)+CHOOSE(WEEKDAY(F19+7,2),0,0,0,0,0,2,1))),IF(J19="legacy",DATE(2026,5,27),""))</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Register'!$P:$P,0)))+CHOOSE(WEEKDAY(INDEX('iCoA Register'!$F:$F,MATCH(S20,'iCoA Register'!$P:$P,0)),2),0,0,0,0,0,2,1),0),0)))</f>
        <v/>
      </c>
      <c r="E20" s="5">
        <f>IF(ISNUMBER(F20),IF(AND(J20="legacy",F20&lt;=DATE(2026,5,27)),DATE(2026,5,27),MAX(DATE(2026,5,27),(F20+7)+CHOOSE(WEEKDAY(F20+7,2),0,0,0,0,0,2,1))),IF(J20="legacy",DATE(2026,5,27),""))</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Register'!$P:$P,0)))+CHOOSE(WEEKDAY(INDEX('iCoA Register'!$F:$F,MATCH(S21,'iCoA Register'!$P:$P,0)),2),0,0,0,0,0,2,1),0),0)))</f>
        <v/>
      </c>
      <c r="E21" s="5">
        <f>IF(ISNUMBER(F21),IF(AND(J21="legacy",F21&lt;=DATE(2026,5,27)),DATE(2026,5,27),MAX(DATE(2026,5,27),(F21+7)+CHOOSE(WEEKDAY(F21+7,2),0,0,0,0,0,2,1))),IF(J21="legacy",DATE(2026,5,27),""))</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Register'!$P:$P,0)))+CHOOSE(WEEKDAY(INDEX('iCoA Register'!$F:$F,MATCH(S22,'iCoA Register'!$P:$P,0)),2),0,0,0,0,0,2,1),0),0)))</f>
        <v/>
      </c>
      <c r="E22" s="5">
        <f>IF(ISNUMBER(F22),IF(AND(J22="legacy",F22&lt;=DATE(2026,5,27)),DATE(2026,5,27),MAX(DATE(2026,5,27),(F22+7)+CHOOSE(WEEKDAY(F22+7,2),0,0,0,0,0,2,1))),IF(J22="legacy",DATE(2026,5,27),""))</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#3 (CNP), #4 (CNP), #5 (CNP), #6 (CNP), #8 (CNP), #9 (IJZ), #10 (CNP), #11 (CNP), #12 (CNP)</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Register'!$P:$P,0)))+CHOOSE(WEEKDAY(INDEX('iCoA Register'!$F:$F,MATCH(S23,'iCoA Register'!$P:$P,0)),2),0,0,0,0,0,2,1),0),0)))</f>
        <v/>
      </c>
      <c r="E23" s="5">
        <f>IF(ISNUMBER(F23),IF(AND(J23="legacy",F23&lt;=DATE(2026,5,27)),DATE(2026,5,27),MAX(DATE(2026,5,27),(F23+7)+CHOOSE(WEEKDAY(F23+7,2),0,0,0,0,0,2,1))),IF(J23="legacy",DATE(2026,5,27),""))</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Register'!$P:$P,0)))+CHOOSE(WEEKDAY(INDEX('iCoA Register'!$F:$F,MATCH(S24,'iCoA Register'!$P:$P,0)),2),0,0,0,0,0,2,1),0),0)))</f>
        <v/>
      </c>
      <c r="E24" s="5">
        <f>IF(ISNUMBER(F24),IF(AND(J24="legacy",F24&lt;=DATE(2026,5,27)),DATE(2026,5,27),MAX(DATE(2026,5,27),(F24+7)+CHOOSE(WEEKDAY(F24+7,2),0,0,0,0,0,2,1))),IF(J24="legacy",DATE(2026,5,27),""))</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Register'!$P:$P,0)))+CHOOSE(WEEKDAY(INDEX('iCoA Register'!$F:$F,MATCH(S25,'iCoA Register'!$P:$P,0)),2),0,0,0,0,0,2,1),0),0)))</f>
        <v/>
      </c>
      <c r="E25" s="5">
        <f>IF(ISNUMBER(F25),IF(AND(J25="legacy",F25&lt;=DATE(2026,5,27)),DATE(2026,5,27),MAX(DATE(2026,5,27),(F25+7)+CHOOSE(WEEKDAY(F25+7,2),0,0,0,0,0,2,1))),IF(J25="legacy",DATE(2026,5,27),""))</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Register'!$P:$P,0)))+CHOOSE(WEEKDAY(INDEX('iCoA Register'!$F:$F,MATCH(S26,'iCoA Register'!$P:$P,0)),2),0,0,0,0,0,2,1),0),0)))</f>
        <v/>
      </c>
      <c r="E26" s="5">
        <f>IF(ISNUMBER(F26),IF(AND(J26="legacy",F26&lt;=DATE(2026,5,27)),DATE(2026,5,27),MAX(DATE(2026,5,27),(F26+7)+CHOOSE(WEEKDAY(F26+7,2),0,0,0,0,0,2,1))),IF(J26="legacy",DATE(2026,5,27),""))</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Register'!$P:$P,0)))+CHOOSE(WEEKDAY(INDEX('iCoA Register'!$F:$F,MATCH(S27,'iCoA Register'!$P:$P,0)),2),0,0,0,0,0,2,1),0),0)))</f>
        <v/>
      </c>
      <c r="E27" s="5">
        <f>IF(ISNUMBER(F27),IF(AND(J27="legacy",F27&lt;=DATE(2026,5,27)),DATE(2026,5,27),MAX(DATE(2026,5,27),(F27+7)+CHOOSE(WEEKDAY(F27+7,2),0,0,0,0,0,2,1))),IF(J27="legacy",DATE(2026,5,27),""))</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Register'!$P:$P,0)))+CHOOSE(WEEKDAY(INDEX('iCoA Register'!$F:$F,MATCH(S28,'iCoA Register'!$P:$P,0)),2),0,0,0,0,0,2,1),0),0)))</f>
        <v/>
      </c>
      <c r="E28" s="5">
        <f>IF(ISNUMBER(F28),IF(AND(J28="legacy",F28&lt;=DATE(2026,5,27)),DATE(2026,5,27),MAX(DATE(2026,5,27),(F28+7)+CHOOSE(WEEKDAY(F28+7,2),0,0,0,0,0,2,1))),IF(J28="legacy",DATE(2026,5,27),""))</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Register'!$P:$P,0)))+CHOOSE(WEEKDAY(INDEX('iCoA Register'!$F:$F,MATCH(S29,'iCoA Register'!$P:$P,0)),2),0,0,0,0,0,2,1),0),0)))</f>
        <v/>
      </c>
      <c r="E29" s="5">
        <f>IF(ISNUMBER(F29),IF(AND(J29="legacy",F29&lt;=DATE(2026,5,27)),DATE(2026,5,27),MAX(DATE(2026,5,27),(F29+7)+CHOOSE(WEEKDAY(F29+7,2),0,0,0,0,0,2,1))),IF(J29="legacy",DATE(2026,5,27),""))</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Register'!$P:$P,0)))+CHOOSE(WEEKDAY(INDEX('iCoA Register'!$F:$F,MATCH(S30,'iCoA Register'!$P:$P,0)),2),0,0,0,0,0,2,1),0),0)))</f>
        <v/>
      </c>
      <c r="E30" s="5">
        <f>IF(ISNUMBER(F30),IF(AND(J30="legacy",F30&lt;=DATE(2026,5,27)),DATE(2026,5,27),MAX(DATE(2026,5,27),(F30+7)+CHOOSE(WEEKDAY(F30+7,2),0,0,0,0,0,2,1))),IF(J30="legacy",DATE(2026,5,27),""))</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Register'!$P:$P,0)))+CHOOSE(WEEKDAY(INDEX('iCoA Register'!$F:$F,MATCH(S31,'iCoA Register'!$P:$P,0)),2),0,0,0,0,0,2,1),0),0)))</f>
        <v/>
      </c>
      <c r="E31" s="5">
        <f>IF(ISNUMBER(F31),IF(AND(J31="legacy",F31&lt;=DATE(2026,5,27)),DATE(2026,5,27),MAX(DATE(2026,5,27),(F31+7)+CHOOSE(WEEKDAY(F31+7,2),0,0,0,0,0,2,1))),IF(J31="legacy",DATE(2026,5,27),""))</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Register'!$P:$P,0)))+CHOOSE(WEEKDAY(INDEX('iCoA Register'!$F:$F,MATCH(S32,'iCoA Register'!$P:$P,0)),2),0,0,0,0,0,2,1),0),0)))</f>
        <v/>
      </c>
      <c r="E32" s="5">
        <f>IF(ISNUMBER(F32),IF(AND(J32="legacy",F32&lt;=DATE(2026,5,27)),DATE(2026,5,27),MAX(DATE(2026,5,27),(F32+7)+CHOOSE(WEEKDAY(F32+7,2),0,0,0,0,0,2,1))),IF(J32="legacy",DATE(2026,5,27),""))</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Register'!$P:$P,0)))+CHOOSE(WEEKDAY(INDEX('iCoA Register'!$F:$F,MATCH(S33,'iCoA Register'!$P:$P,0)),2),0,0,0,0,0,2,1),0),0)))</f>
        <v/>
      </c>
      <c r="E33" s="5">
        <f>IF(ISNUMBER(F33),IF(AND(J33="legacy",F33&lt;=DATE(2026,5,27)),DATE(2026,5,27),MAX(DATE(2026,5,27),(F33+7)+CHOOSE(WEEKDAY(F33+7,2),0,0,0,0,0,2,1))),IF(J33="legacy",DATE(2026,5,27),""))</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Register'!$P:$P,0)))+CHOOSE(WEEKDAY(INDEX('iCoA Register'!$F:$F,MATCH(S34,'iCoA Register'!$P:$P,0)),2),0,0,0,0,0,2,1),0),0)))</f>
        <v/>
      </c>
      <c r="E34" s="5">
        <f>IF(ISNUMBER(F34),IF(AND(J34="legacy",F34&lt;=DATE(2026,5,27)),DATE(2026,5,27),MAX(DATE(2026,5,27),(F34+7)+CHOOSE(WEEKDAY(F34+7,2),0,0,0,0,0,2,1))),IF(J34="legacy",DATE(2026,5,27),""))</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Register'!$P:$P,0)))+CHOOSE(WEEKDAY(INDEX('iCoA Register'!$F:$F,MATCH(S35,'iCoA Register'!$P:$P,0)),2),0,0,0,0,0,2,1),0),0)))</f>
        <v/>
      </c>
      <c r="E35" s="5">
        <f>IF(ISNUMBER(F35),IF(AND(J35="legacy",F35&lt;=DATE(2026,5,27)),DATE(2026,5,27),MAX(DATE(2026,5,27),(F35+7)+CHOOSE(WEEKDAY(F35+7,2),0,0,0,0,0,2,1))),IF(J35="legacy",DATE(2026,5,27),""))</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Register'!$P:$P,0)))+CHOOSE(WEEKDAY(INDEX('iCoA Register'!$F:$F,MATCH(S36,'iCoA Register'!$P:$P,0)),2),0,0,0,0,0,2,1),0),0)))</f>
        <v/>
      </c>
      <c r="E36" s="5">
        <f>IF(ISNUMBER(F36),IF(AND(J36="legacy",F36&lt;=DATE(2026,5,27)),DATE(2026,5,27),MAX(DATE(2026,5,27),(F36+7)+CHOOSE(WEEKDAY(F36+7,2),0,0,0,0,0,2,1))),IF(J36="legacy",DATE(2026,5,27),""))</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Register'!$P:$P,0)))+CHOOSE(WEEKDAY(INDEX('iCoA Register'!$F:$F,MATCH(S37,'iCoA Register'!$P:$P,0)),2),0,0,0,0,0,2,1),0),0)))</f>
        <v/>
      </c>
      <c r="E37" s="5">
        <f>IF(ISNUMBER(F37),IF(AND(J37="legacy",F37&lt;=DATE(2026,5,27)),DATE(2026,5,27),MAX(DATE(2026,5,27),(F37+7)+CHOOSE(WEEKDAY(F37+7,2),0,0,0,0,0,2,1))),IF(J37="legacy",DATE(2026,5,27),""))</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Register'!$P:$P,0)))+CHOOSE(WEEKDAY(INDEX('iCoA Register'!$F:$F,MATCH(S38,'iCoA Register'!$P:$P,0)),2),0,0,0,0,0,2,1),0),0)))</f>
        <v/>
      </c>
      <c r="E38" s="5">
        <f>IF(ISNUMBER(F38),IF(AND(J38="legacy",F38&lt;=DATE(2026,5,27)),DATE(2026,5,27),MAX(DATE(2026,5,27),(F38+7)+CHOOSE(WEEKDAY(F38+7,2),0,0,0,0,0,2,1))),IF(J38="legacy",DATE(2026,5,27),""))</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Register'!$P:$P,0)))+CHOOSE(WEEKDAY(INDEX('iCoA Register'!$F:$F,MATCH(S39,'iCoA Register'!$P:$P,0)),2),0,0,0,0,0,2,1),0),0)))</f>
        <v/>
      </c>
      <c r="E39" s="5">
        <f>IF(ISNUMBER(F39),IF(AND(J39="legacy",F39&lt;=DATE(2026,5,27)),DATE(2026,5,27),MAX(DATE(2026,5,27),(F39+7)+CHOOSE(WEEKDAY(F39+7,2),0,0,0,0,0,2,1))),IF(J39="legacy",DATE(2026,5,27),""))</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Register'!$P:$P,0)))+CHOOSE(WEEKDAY(INDEX('iCoA Register'!$F:$F,MATCH(S40,'iCoA Register'!$P:$P,0)),2),0,0,0,0,0,2,1),0),0)))</f>
        <v/>
      </c>
      <c r="E40" s="5">
        <f>IF(ISNUMBER(F40),IF(AND(J40="legacy",F40&lt;=DATE(2026,5,27)),DATE(2026,5,27),MAX(DATE(2026,5,27),(F40+7)+CHOOSE(WEEKDAY(F40+7,2),0,0,0,0,0,2,1))),IF(J40="legacy",DATE(2026,5,27),""))</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Register'!$P:$P,0)))+CHOOSE(WEEKDAY(INDEX('iCoA Register'!$F:$F,MATCH(S41,'iCoA Register'!$P:$P,0)),2),0,0,0,0,0,2,1),0),0)))</f>
        <v/>
      </c>
      <c r="E41" s="5">
        <f>IF(ISNUMBER(F41),IF(AND(J41="legacy",F41&lt;=DATE(2026,5,27)),DATE(2026,5,27),MAX(DATE(2026,5,27),(F41+7)+CHOOSE(WEEKDAY(F41+7,2),0,0,0,0,0,2,1))),IF(J41="legacy",DATE(2026,5,27),""))</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Register'!$P:$P,0)))+CHOOSE(WEEKDAY(INDEX('iCoA Register'!$F:$F,MATCH(S42,'iCoA Register'!$P:$P,0)),2),0,0,0,0,0,2,1),0),0)))</f>
        <v/>
      </c>
      <c r="E42" s="5">
        <f>IF(ISNUMBER(F42),IF(AND(J42="legacy",F42&lt;=DATE(2026,5,27)),DATE(2026,5,27),MAX(DATE(2026,5,27),(F42+7)+CHOOSE(WEEKDAY(F42+7,2),0,0,0,0,0,2,1))),IF(J42="legacy",DATE(2026,5,27),""))</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Register'!$P:$P,0)))+CHOOSE(WEEKDAY(INDEX('iCoA Register'!$F:$F,MATCH(S43,'iCoA Register'!$P:$P,0)),2),0,0,0,0,0,2,1),0),0)))</f>
        <v/>
      </c>
      <c r="E43" s="5">
        <f>IF(ISNUMBER(F43),IF(AND(J43="legacy",F43&lt;=DATE(2026,5,27)),DATE(2026,5,27),MAX(DATE(2026,5,27),(F43+7)+CHOOSE(WEEKDAY(F43+7,2),0,0,0,0,0,2,1))),IF(J43="legacy",DATE(2026,5,27),""))</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Register'!$P:$P,0)))+CHOOSE(WEEKDAY(INDEX('iCoA Register'!$F:$F,MATCH(S44,'iCoA Register'!$P:$P,0)),2),0,0,0,0,0,2,1),0),0)))</f>
        <v/>
      </c>
      <c r="E44" s="5">
        <f>IF(ISNUMBER(F44),IF(AND(J44="legacy",F44&lt;=DATE(2026,5,27)),DATE(2026,5,27),MAX(DATE(2026,5,27),(F44+7)+CHOOSE(WEEKDAY(F44+7,2),0,0,0,0,0,2,1))),IF(J44="legacy",DATE(2026,5,27),""))</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Register'!$P:$P,0)))+CHOOSE(WEEKDAY(INDEX('iCoA Register'!$F:$F,MATCH(S45,'iCoA Register'!$P:$P,0)),2),0,0,0,0,0,2,1),0),0)))</f>
        <v/>
      </c>
      <c r="E45" s="5">
        <f>IF(ISNUMBER(F45),IF(AND(J45="legacy",F45&lt;=DATE(2026,5,27)),DATE(2026,5,27),MAX(DATE(2026,5,27),(F45+7)+CHOOSE(WEEKDAY(F45+7,2),0,0,0,0,0,2,1))),IF(J45="legacy",DATE(2026,5,27),""))</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Register'!$P:$P,0)))+CHOOSE(WEEKDAY(INDEX('iCoA Register'!$F:$F,MATCH(S46,'iCoA Register'!$P:$P,0)),2),0,0,0,0,0,2,1),0),0)))</f>
        <v/>
      </c>
      <c r="E46" s="5">
        <f>IF(ISNUMBER(F46),IF(AND(J46="legacy",F46&lt;=DATE(2026,5,27)),DATE(2026,5,27),MAX(DATE(2026,5,27),(F46+7)+CHOOSE(WEEKDAY(F46+7,2),0,0,0,0,0,2,1))),IF(J46="legacy",DATE(2026,5,27),""))</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Register'!$P:$P,0)))+CHOOSE(WEEKDAY(INDEX('iCoA Register'!$F:$F,MATCH(S47,'iCoA Register'!$P:$P,0)),2),0,0,0,0,0,2,1),0),0)))</f>
        <v/>
      </c>
      <c r="E47" s="5">
        <f>IF(ISNUMBER(F47),IF(AND(J47="legacy",F47&lt;=DATE(2026,5,27)),DATE(2026,5,27),MAX(DATE(2026,5,27),(F47+7)+CHOOSE(WEEKDAY(F47+7,2),0,0,0,0,0,2,1))),IF(J47="legacy",DATE(2026,5,27),""))</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#3 (CNP), #4 (CNP), #5 (CNP), #6 (CNP), #8 (CNP),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Register'!$P:$P,0)))+CHOOSE(WEEKDAY(INDEX('iCoA Register'!$F:$F,MATCH(S48,'iCoA Register'!$P:$P,0)),2),0,0,0,0,0,2,1),0),0)))</f>
        <v/>
      </c>
      <c r="E48" s="5">
        <f>IF(ISNUMBER(F48),IF(AND(J48="legacy",F48&lt;=DATE(2026,5,27)),DATE(2026,5,27),MAX(DATE(2026,5,27),(F48+7)+CHOOSE(WEEKDAY(F48+7,2),0,0,0,0,0,2,1))),IF(J48="legacy",DATE(2026,5,27),""))</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Register'!$P:$P,0)))+CHOOSE(WEEKDAY(INDEX('iCoA Register'!$F:$F,MATCH(S49,'iCoA Register'!$P:$P,0)),2),0,0,0,0,0,2,1),0),0)))</f>
        <v/>
      </c>
      <c r="E49" s="5">
        <f>IF(ISNUMBER(F49),IF(AND(J49="legacy",F49&lt;=DATE(2026,5,27)),DATE(2026,5,27),MAX(DATE(2026,5,27),(F49+7)+CHOOSE(WEEKDAY(F49+7,2),0,0,0,0,0,2,1))),IF(J49="legacy",DATE(2026,5,27),""))</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#9 (IJZ), #10 (CNP), #11 (CNP), #12 (CNP)</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Register'!$P:$P,0)))+CHOOSE(WEEKDAY(INDEX('iCoA Register'!$F:$F,MATCH(S50,'iCoA Register'!$P:$P,0)),2),0,0,0,0,0,2,1),0),0)))</f>
        <v/>
      </c>
      <c r="E50" s="5">
        <f>IF(ISNUMBER(F50),IF(AND(J50="legacy",F50&lt;=DATE(2026,5,27)),DATE(2026,5,27),MAX(DATE(2026,5,27),(F50+7)+CHOOSE(WEEKDAY(F50+7,2),0,0,0,0,0,2,1))),IF(J50="legacy",DATE(2026,5,27),""))</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Register'!$P:$P,0)))+CHOOSE(WEEKDAY(INDEX('iCoA Register'!$F:$F,MATCH(S51,'iCoA Register'!$P:$P,0)),2),0,0,0,0,0,2,1),0),0)))</f>
        <v/>
      </c>
      <c r="E51" s="5">
        <f>IF(ISNUMBER(F51),IF(AND(J51="legacy",F51&lt;=DATE(2026,5,27)),DATE(2026,5,27),MAX(DATE(2026,5,27),(F51+7)+CHOOSE(WEEKDAY(F51+7,2),0,0,0,0,0,2,1))),IF(J51="legacy",DATE(2026,5,27),""))</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Register'!$P:$P,0)))+CHOOSE(WEEKDAY(INDEX('iCoA Register'!$F:$F,MATCH(S52,'iCoA Register'!$P:$P,0)),2),0,0,0,0,0,2,1),0),0)))</f>
        <v/>
      </c>
      <c r="E52" s="5">
        <f>IF(ISNUMBER(F52),IF(AND(J52="legacy",F52&lt;=DATE(2026,5,27)),DATE(2026,5,27),MAX(DATE(2026,5,27),(F52+7)+CHOOSE(WEEKDAY(F52+7,2),0,0,0,0,0,2,1))),IF(J52="legacy",DATE(2026,5,27),""))</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#9 (IJZ), #10 (CNP), #11 (CNP), #12 (CNP)</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Register'!$P:$P,0)))+CHOOSE(WEEKDAY(INDEX('iCoA Register'!$F:$F,MATCH(S53,'iCoA Register'!$P:$P,0)),2),0,0,0,0,0,2,1),0),0)))</f>
        <v/>
      </c>
      <c r="E53" s="5">
        <f>IF(ISNUMBER(F53),IF(AND(J53="legacy",F53&lt;=DATE(2026,5,27)),DATE(2026,5,27),MAX(DATE(2026,5,27),(F53+7)+CHOOSE(WEEKDAY(F53+7,2),0,0,0,0,0,2,1))),IF(J53="legacy",DATE(2026,5,27),""))</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#9 (IJZ), #10 (CNP), #11 (CNP), #12 (CNP)</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Register'!$P:$P,0)))+CHOOSE(WEEKDAY(INDEX('iCoA Register'!$F:$F,MATCH(S54,'iCoA Register'!$P:$P,0)),2),0,0,0,0,0,2,1),0),0)))</f>
        <v/>
      </c>
      <c r="E54" s="5">
        <f>IF(ISNUMBER(F54),IF(AND(J54="legacy",F54&lt;=DATE(2026,5,27)),DATE(2026,5,27),MAX(DATE(2026,5,27),(F54+7)+CHOOSE(WEEKDAY(F54+7,2),0,0,0,0,0,2,1))),IF(J54="legacy",DATE(2026,5,27),""))</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#9 (IJZ), #10 (CNP), #11 (CNP), #12 (CNP)</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Register'!$P:$P,0)))+CHOOSE(WEEKDAY(INDEX('iCoA Register'!$F:$F,MATCH(S55,'iCoA Register'!$P:$P,0)),2),0,0,0,0,0,2,1),0),0)))</f>
        <v/>
      </c>
      <c r="E55" s="5">
        <f>IF(ISNUMBER(F55),IF(AND(J55="legacy",F55&lt;=DATE(2026,5,27)),DATE(2026,5,27),MAX(DATE(2026,5,27),(F55+7)+CHOOSE(WEEKDAY(F55+7,2),0,0,0,0,0,2,1))),IF(J55="legacy",DATE(2026,5,27),""))</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Register'!$P:$P,0)))+CHOOSE(WEEKDAY(INDEX('iCoA Register'!$F:$F,MATCH(S56,'iCoA Register'!$P:$P,0)),2),0,0,0,0,0,2,1),0),0)))</f>
        <v/>
      </c>
      <c r="E56" s="5">
        <f>IF(ISNUMBER(F56),IF(AND(J56="legacy",F56&lt;=DATE(2026,5,27)),DATE(2026,5,27),MAX(DATE(2026,5,27),(F56+7)+CHOOSE(WEEKDAY(F56+7,2),0,0,0,0,0,2,1))),IF(J56="legacy",DATE(2026,5,27),""))</f>
        <v/>
      </c>
      <c r="F56" s="5" t="n">
        <v>46086</v>
      </c>
      <c r="G56" s="2" t="inlineStr">
        <is>
          <t>ППК26031</t>
        </is>
      </c>
      <c r="H56" s="2">
        <f>IFERROR(INDEX('iCoA Register'!$B:$B,MATCH("P060222|I",'iCoA Register'!$P:$P,0)),"—")</f>
        <v/>
      </c>
      <c r="I56" s="5">
        <f>IFERROR(INDEX('iCoA Register'!$D:$D,MATCH("P060222|I",'iCoA Register'!$P:$P,0)),"")</f>
        <v/>
      </c>
      <c r="J56" s="2" t="inlineStr">
        <is>
          <t>legacy</t>
        </is>
      </c>
      <c r="K56" s="2" t="inlineStr">
        <is>
          <t>initial release</t>
        </is>
      </c>
      <c r="L56" s="3" t="inlineStr">
        <is>
          <t>OPM112501</t>
        </is>
      </c>
      <c r="M56" s="2" t="inlineStr">
        <is>
          <t>P060222</t>
        </is>
      </c>
      <c r="N56" s="2" t="inlineStr">
        <is>
          <t>Orange Punch Mimosa</t>
        </is>
      </c>
      <c r="O56" s="2" t="inlineStr">
        <is>
          <t>ППК26031, (05.03.2026) [CNP]</t>
        </is>
      </c>
      <c r="P56" s="6" t="inlineStr">
        <is>
          <t>—</t>
        </is>
      </c>
      <c r="Q56" s="2" t="inlineStr">
        <is>
          <t>—</t>
        </is>
      </c>
      <c r="R56" s="2" t="inlineStr">
        <is>
          <t>(assigned on issue)</t>
        </is>
      </c>
      <c r="S56" s="2" t="inlineStr">
        <is>
          <t>P060222|I</t>
        </is>
      </c>
      <c r="T56" s="7" t="inlineStr">
        <is>
          <t>registered — legacy series, issued 27.05.2026 · initial certificate to locate: #9 (IJZ), #10 (CNP), #11 (CNP), #12 (CNP)</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Register'!$P:$P,0)))+CHOOSE(WEEKDAY(INDEX('iCoA Register'!$F:$F,MATCH(S57,'iCoA Register'!$P:$P,0)),2),0,0,0,0,0,2,1),0),0)))</f>
        <v/>
      </c>
      <c r="E57" s="5">
        <f>IF(ISNUMBER(F57),IF(AND(J57="legacy",F57&lt;=DATE(2026,5,27)),DATE(2026,5,27),MAX(DATE(2026,5,27),(F57+7)+CHOOSE(WEEKDAY(F57+7,2),0,0,0,0,0,2,1))),IF(J57="legacy",DATE(2026,5,27),""))</f>
        <v/>
      </c>
      <c r="F57" s="5" t="n">
        <v>46086</v>
      </c>
      <c r="G57" s="2" t="inlineStr">
        <is>
          <t>ППК26030</t>
        </is>
      </c>
      <c r="H57" s="2">
        <f>IFERROR(INDEX('iCoA Register'!$B:$B,MATCH("P060232|I",'iCoA Register'!$P:$P,0)),"—")</f>
        <v/>
      </c>
      <c r="I57" s="5">
        <f>IFERROR(INDEX('iCoA Register'!$D:$D,MATCH("P060232|I",'iCoA Register'!$P:$P,0)),"")</f>
        <v/>
      </c>
      <c r="J57" s="2" t="inlineStr">
        <is>
          <t>legacy</t>
        </is>
      </c>
      <c r="K57" s="2" t="inlineStr">
        <is>
          <t>initial release</t>
        </is>
      </c>
      <c r="L57" s="3" t="inlineStr">
        <is>
          <t>PM112501</t>
        </is>
      </c>
      <c r="M57" s="2" t="inlineStr">
        <is>
          <t>P060232</t>
        </is>
      </c>
      <c r="N57" s="2" t="inlineStr">
        <is>
          <t>Permanent Market</t>
        </is>
      </c>
      <c r="O57" s="2" t="inlineStr">
        <is>
          <t>ППК26030, (05.03.2026) [CNP]</t>
        </is>
      </c>
      <c r="P57" s="6" t="inlineStr">
        <is>
          <t>—</t>
        </is>
      </c>
      <c r="Q57" s="2" t="inlineStr">
        <is>
          <t>—</t>
        </is>
      </c>
      <c r="R57" s="2" t="inlineStr">
        <is>
          <t>CoQ-PP-2026-0016</t>
        </is>
      </c>
      <c r="S57" s="2" t="inlineStr">
        <is>
          <t>P060232|I</t>
        </is>
      </c>
      <c r="T57" s="7" t="inlineStr">
        <is>
          <t>registered — legacy series, issued 27.05.2026 · initial certificate to locate: #9 (IJZ), #10 (CNP), #11 (CNP), #12 (CNP)</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Register'!$P:$P,0)))+CHOOSE(WEEKDAY(INDEX('iCoA Register'!$F:$F,MATCH(S58,'iCoA Register'!$P:$P,0)),2),0,0,0,0,0,2,1),0),0)))</f>
        <v/>
      </c>
      <c r="E58" s="5">
        <f>IF(ISNUMBER(F58),IF(AND(J58="legacy",F58&lt;=DATE(2026,5,27)),DATE(2026,5,27),MAX(DATE(2026,5,27),(F58+7)+CHOOSE(WEEKDAY(F58+7,2),0,0,0,0,0,2,1))),IF(J58="legacy",DATE(2026,5,27),""))</f>
        <v/>
      </c>
      <c r="F58" s="5" t="n">
        <v>46135</v>
      </c>
      <c r="G58" s="2" t="inlineStr">
        <is>
          <t>1627-2026</t>
        </is>
      </c>
      <c r="H58" s="2">
        <f>IFERROR(INDEX('iCoA Register'!$B:$B,MATCH("P060242|I",'iCoA Register'!$P:$P,0)),"—")</f>
        <v/>
      </c>
      <c r="I58" s="5">
        <f>IFERROR(INDEX('iCoA Register'!$D:$D,MATCH("P060242|I",'iCoA Register'!$P:$P,0)),"")</f>
        <v/>
      </c>
      <c r="J58" s="2" t="inlineStr">
        <is>
          <t>legacy</t>
        </is>
      </c>
      <c r="K58" s="2" t="inlineStr">
        <is>
          <t>initial release</t>
        </is>
      </c>
      <c r="L58" s="3" t="inlineStr">
        <is>
          <t>OPM122501</t>
        </is>
      </c>
      <c r="M58" s="2" t="inlineStr">
        <is>
          <t>P060242</t>
        </is>
      </c>
      <c r="N58" s="2" t="inlineStr">
        <is>
          <t>Orange Punch Mimosa</t>
        </is>
      </c>
      <c r="O58" s="2" t="inlineStr">
        <is>
          <t>100-4-K-26, (09.04.2026) [FHM-K]</t>
        </is>
      </c>
      <c r="P58" s="6" t="inlineStr">
        <is>
          <t>—</t>
        </is>
      </c>
      <c r="Q58" s="2" t="inlineStr">
        <is>
          <t>—</t>
        </is>
      </c>
      <c r="R58" s="2" t="inlineStr">
        <is>
          <t>CoQ-PP-2026-0017</t>
        </is>
      </c>
      <c r="S58" s="2" t="inlineStr">
        <is>
          <t>P060242|I</t>
        </is>
      </c>
      <c r="T58" s="7" t="inlineStr">
        <is>
          <t>registered — legacy series, issued 27.05.2026</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Register'!$P:$P,0)))+CHOOSE(WEEKDAY(INDEX('iCoA Register'!$F:$F,MATCH(S59,'iCoA Register'!$P:$P,0)),2),0,0,0,0,0,2,1),0),0)))</f>
        <v/>
      </c>
      <c r="E59" s="5">
        <f>IF(ISNUMBER(F59),IF(AND(J59="legacy",F59&lt;=DATE(2026,5,27)),DATE(2026,5,27),MAX(DATE(2026,5,27),(F59+7)+CHOOSE(WEEKDAY(F59+7,2),0,0,0,0,0,2,1))),IF(J59="legacy",DATE(2026,5,27),""))</f>
        <v/>
      </c>
      <c r="F59" s="5" t="n">
        <v>46153</v>
      </c>
      <c r="G59" s="2" t="inlineStr">
        <is>
          <t>ППК26061</t>
        </is>
      </c>
      <c r="H59" s="2">
        <f>IFERROR(INDEX('iCoA Register'!$B:$B,MATCH("P060252|I",'iCoA Register'!$P:$P,0)),"—")</f>
        <v/>
      </c>
      <c r="I59" s="5">
        <f>IFERROR(INDEX('iCoA Register'!$D:$D,MATCH("P060252|I",'iCoA Register'!$P:$P,0)),"")</f>
        <v/>
      </c>
      <c r="J59" s="2" t="inlineStr">
        <is>
          <t>legacy</t>
        </is>
      </c>
      <c r="K59" s="2" t="inlineStr">
        <is>
          <t>initial release</t>
        </is>
      </c>
      <c r="L59" s="3" t="inlineStr">
        <is>
          <t>GG112501</t>
        </is>
      </c>
      <c r="M59" s="2" t="inlineStr">
        <is>
          <t>P060252</t>
        </is>
      </c>
      <c r="N59" s="2" t="inlineStr">
        <is>
          <t>Gorilla Glue</t>
        </is>
      </c>
      <c r="O59" s="2" t="inlineStr">
        <is>
          <t>ППК26061, (11.05.2026) [CNP]</t>
        </is>
      </c>
      <c r="P59" s="6" t="inlineStr">
        <is>
          <t>—</t>
        </is>
      </c>
      <c r="Q59" s="2" t="inlineStr">
        <is>
          <t>—</t>
        </is>
      </c>
      <c r="R59" s="2" t="inlineStr">
        <is>
          <t>(assigned on issue)</t>
        </is>
      </c>
      <c r="S59" s="2" t="inlineStr">
        <is>
          <t>P060252|I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Register'!$P:$P,0)))+CHOOSE(WEEKDAY(INDEX('iCoA Register'!$F:$F,MATCH(S60,'iCoA Register'!$P:$P,0)),2),0,0,0,0,0,2,1),0),0)))</f>
        <v/>
      </c>
      <c r="E60" s="5">
        <f>IF(ISNUMBER(F60),IF(AND(J60="legacy",F60&lt;=DATE(2026,5,27)),DATE(2026,5,27),MAX(DATE(2026,5,27),(F60+7)+CHOOSE(WEEKDAY(F60+7,2),0,0,0,0,0,2,1))),IF(J60="legacy",DATE(2026,5,27),""))</f>
        <v/>
      </c>
      <c r="F60" s="5" t="n">
        <v>46135</v>
      </c>
      <c r="G60" s="2" t="inlineStr">
        <is>
          <t>1625-2026</t>
        </is>
      </c>
      <c r="H60" s="2">
        <f>IFERROR(INDEX('iCoA Register'!$B:$B,MATCH("P060262|I",'iCoA Register'!$P:$P,0)),"—")</f>
        <v/>
      </c>
      <c r="I60" s="5">
        <f>IFERROR(INDEX('iCoA Register'!$D:$D,MATCH("P060262|I",'iCoA Register'!$P:$P,0)),"")</f>
        <v/>
      </c>
      <c r="J60" s="2" t="inlineStr">
        <is>
          <t>post-SOP</t>
        </is>
      </c>
      <c r="K60" s="2" t="inlineStr">
        <is>
          <t>initial release</t>
        </is>
      </c>
      <c r="L60" s="3" t="inlineStr">
        <is>
          <t>J31122501</t>
        </is>
      </c>
      <c r="M60" s="2" t="inlineStr">
        <is>
          <t>P060262</t>
        </is>
      </c>
      <c r="N60" s="2" t="inlineStr">
        <is>
          <t>Jokerz 31</t>
        </is>
      </c>
      <c r="O60" s="2" t="inlineStr">
        <is>
          <t>100-2-K-26, (09.04.2026) [FHM-K]</t>
        </is>
      </c>
      <c r="P60" s="6" t="inlineStr">
        <is>
          <t>—</t>
        </is>
      </c>
      <c r="Q60" s="2" t="inlineStr">
        <is>
          <t>—</t>
        </is>
      </c>
      <c r="R60" s="2" t="inlineStr">
        <is>
          <t>(assigned on issue)</t>
        </is>
      </c>
      <c r="S60" s="2" t="inlineStr">
        <is>
          <t>P060262|I</t>
        </is>
      </c>
      <c r="T60" s="7" t="inlineStr">
        <is>
          <t>registered — rule date 30.04.2026 held to the legacy series day</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Register'!$P:$P,0)))+CHOOSE(WEEKDAY(INDEX('iCoA Register'!$F:$F,MATCH(S61,'iCoA Register'!$P:$P,0)),2),0,0,0,0,0,2,1),0),0)))</f>
        <v/>
      </c>
      <c r="E61" s="5">
        <f>IF(ISNUMBER(F61),IF(AND(J61="legacy",F61&lt;=DATE(2026,5,27)),DATE(2026,5,27),MAX(DATE(2026,5,27),(F61+7)+CHOOSE(WEEKDAY(F61+7,2),0,0,0,0,0,2,1))),IF(J61="legacy",DATE(2026,5,27),""))</f>
        <v/>
      </c>
      <c r="F61" s="5" t="n">
        <v>46153</v>
      </c>
      <c r="G61" s="2" t="inlineStr">
        <is>
          <t>ППК26068</t>
        </is>
      </c>
      <c r="H61" s="2">
        <f>IFERROR(INDEX('iCoA Register'!$B:$B,MATCH("P060272|I",'iCoA Register'!$P:$P,0)),"—")</f>
        <v/>
      </c>
      <c r="I61" s="5">
        <f>IFERROR(INDEX('iCoA Register'!$D:$D,MATCH("P060272|I",'iCoA Register'!$P:$P,0)),"")</f>
        <v/>
      </c>
      <c r="J61" s="2" t="inlineStr">
        <is>
          <t>post-SOP</t>
        </is>
      </c>
      <c r="K61" s="2" t="inlineStr">
        <is>
          <t>initial release</t>
        </is>
      </c>
      <c r="L61" s="3" t="inlineStr">
        <is>
          <t>CC112501</t>
        </is>
      </c>
      <c r="M61" s="2" t="inlineStr">
        <is>
          <t>P060272</t>
        </is>
      </c>
      <c r="N61" s="2" t="inlineStr">
        <is>
          <t>Cash Cow</t>
        </is>
      </c>
      <c r="O61" s="2" t="inlineStr">
        <is>
          <t>ППК26068, (11.05.2026) [CNP]</t>
        </is>
      </c>
      <c r="P61" s="6" t="inlineStr">
        <is>
          <t>—</t>
        </is>
      </c>
      <c r="Q61" s="2" t="inlineStr">
        <is>
          <t>—</t>
        </is>
      </c>
      <c r="R61" s="2" t="inlineStr">
        <is>
          <t>(assigned on issue)</t>
        </is>
      </c>
      <c r="S61" s="2" t="inlineStr">
        <is>
          <t>P060272|I</t>
        </is>
      </c>
      <c r="T61" s="7" t="inlineStr">
        <is>
          <t>registered — rule date 18.05.2026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Register'!$P:$P,0)))+CHOOSE(WEEKDAY(INDEX('iCoA Register'!$F:$F,MATCH(S62,'iCoA Register'!$P:$P,0)),2),0,0,0,0,0,2,1),0),0)))</f>
        <v/>
      </c>
      <c r="E62" s="5">
        <f>IF(ISNUMBER(F62),IF(AND(J62="legacy",F62&lt;=DATE(2026,5,27)),DATE(2026,5,27),MAX(DATE(2026,5,27),(F62+7)+CHOOSE(WEEKDAY(F62+7,2),0,0,0,0,0,2,1))),IF(J62="legacy",DATE(2026,5,27),""))</f>
        <v/>
      </c>
      <c r="F62" s="5" t="n">
        <v>46153</v>
      </c>
      <c r="G62" s="2" t="inlineStr">
        <is>
          <t>ППК26069</t>
        </is>
      </c>
      <c r="H62" s="2">
        <f>IFERROR(INDEX('iCoA Register'!$B:$B,MATCH("P060282|I",'iCoA Register'!$P:$P,0)),"—")</f>
        <v/>
      </c>
      <c r="I62" s="5">
        <f>IFERROR(INDEX('iCoA Register'!$D:$D,MATCH("P060282|I",'iCoA Register'!$P:$P,0)),"")</f>
        <v/>
      </c>
      <c r="J62" s="2" t="inlineStr">
        <is>
          <t>post-SOP</t>
        </is>
      </c>
      <c r="K62" s="2" t="inlineStr">
        <is>
          <t>initial release</t>
        </is>
      </c>
      <c r="L62" s="3" t="inlineStr">
        <is>
          <t>SCR112501</t>
        </is>
      </c>
      <c r="M62" s="2" t="inlineStr">
        <is>
          <t>P060282</t>
        </is>
      </c>
      <c r="N62" s="2" t="inlineStr">
        <is>
          <t>Scrambler</t>
        </is>
      </c>
      <c r="O62" s="2" t="inlineStr">
        <is>
          <t>ППК26069, (11.05.2026) [CNP]</t>
        </is>
      </c>
      <c r="P62" s="6" t="inlineStr">
        <is>
          <t>—</t>
        </is>
      </c>
      <c r="Q62" s="2" t="inlineStr">
        <is>
          <t>—</t>
        </is>
      </c>
      <c r="R62" s="2" t="inlineStr">
        <is>
          <t>CoQ-PP-2026-0018</t>
        </is>
      </c>
      <c r="S62" s="2" t="inlineStr">
        <is>
          <t>P060282|I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Register'!$P:$P,0)))+CHOOSE(WEEKDAY(INDEX('iCoA Register'!$F:$F,MATCH(S63,'iCoA Register'!$P:$P,0)),2),0,0,0,0,0,2,1),0),0)))</f>
        <v/>
      </c>
      <c r="E63" s="5">
        <f>IF(ISNUMBER(F63),IF(AND(J63="legacy",F63&lt;=DATE(2026,5,27)),DATE(2026,5,27),MAX(DATE(2026,5,27),(F63+7)+CHOOSE(WEEKDAY(F63+7,2),0,0,0,0,0,2,1))),IF(J63="legacy",DATE(2026,5,27),""))</f>
        <v/>
      </c>
      <c r="F63" s="5" t="n">
        <v>46153</v>
      </c>
      <c r="G63" s="2" t="inlineStr">
        <is>
          <t>ППК26066</t>
        </is>
      </c>
      <c r="H63" s="2">
        <f>IFERROR(INDEX('iCoA Register'!$B:$B,MATCH("P060292|I",'iCoA Register'!$P:$P,0)),"—")</f>
        <v/>
      </c>
      <c r="I63" s="5">
        <f>IFERROR(INDEX('iCoA Register'!$D:$D,MATCH("P060292|I",'iCoA Register'!$P:$P,0)),"")</f>
        <v/>
      </c>
      <c r="J63" s="2" t="inlineStr">
        <is>
          <t>post-SOP</t>
        </is>
      </c>
      <c r="K63" s="2" t="inlineStr">
        <is>
          <t>initial release</t>
        </is>
      </c>
      <c r="L63" s="3" t="inlineStr">
        <is>
          <t>FB112501</t>
        </is>
      </c>
      <c r="M63" s="2" t="inlineStr">
        <is>
          <t>P060292</t>
        </is>
      </c>
      <c r="N63" s="2" t="inlineStr">
        <is>
          <t>Fat Bastard</t>
        </is>
      </c>
      <c r="O63" s="2" t="inlineStr">
        <is>
          <t>ППК26066, (11.05.2026) [CNP]</t>
        </is>
      </c>
      <c r="P63" s="6" t="inlineStr">
        <is>
          <t>—</t>
        </is>
      </c>
      <c r="Q63" s="2" t="inlineStr">
        <is>
          <t>—</t>
        </is>
      </c>
      <c r="R63" s="2" t="inlineStr">
        <is>
          <t>(assigned on issue)</t>
        </is>
      </c>
      <c r="S63" s="2" t="inlineStr">
        <is>
          <t>P060292|I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Register'!$P:$P,0)))+CHOOSE(WEEKDAY(INDEX('iCoA Register'!$F:$F,MATCH(S64,'iCoA Register'!$P:$P,0)),2),0,0,0,0,0,2,1),0),0)))</f>
        <v/>
      </c>
      <c r="E64" s="5">
        <f>IF(ISNUMBER(F64),IF(AND(J64="legacy",F64&lt;=DATE(2026,5,27)),DATE(2026,5,27),MAX(DATE(2026,5,27),(F64+7)+CHOOSE(WEEKDAY(F64+7,2),0,0,0,0,0,2,1))),IF(J64="legacy",DATE(2026,5,27),""))</f>
        <v/>
      </c>
      <c r="F64" s="5" t="n">
        <v>46153</v>
      </c>
      <c r="G64" s="2" t="inlineStr">
        <is>
          <t>ППК26062</t>
        </is>
      </c>
      <c r="H64" s="2">
        <f>IFERROR(INDEX('iCoA Register'!$B:$B,MATCH("P060302|I",'iCoA Register'!$P:$P,0)),"—")</f>
        <v/>
      </c>
      <c r="I64" s="5">
        <f>IFERROR(INDEX('iCoA Register'!$D:$D,MATCH("P060302|I",'iCoA Register'!$P:$P,0)),"")</f>
        <v/>
      </c>
      <c r="J64" s="2" t="inlineStr">
        <is>
          <t>post-SOP</t>
        </is>
      </c>
      <c r="K64" s="2" t="inlineStr">
        <is>
          <t>initial release</t>
        </is>
      </c>
      <c r="L64" s="3" t="inlineStr">
        <is>
          <t>GG012601＊</t>
        </is>
      </c>
      <c r="M64" s="2" t="inlineStr">
        <is>
          <t>P060302</t>
        </is>
      </c>
      <c r="N64" s="2" t="inlineStr">
        <is>
          <t>Gorilla Glue</t>
        </is>
      </c>
      <c r="O64" s="2" t="inlineStr">
        <is>
          <t>ППК26062, (11.05.2026) [CNP]</t>
        </is>
      </c>
      <c r="P64" s="6" t="inlineStr">
        <is>
          <t>—</t>
        </is>
      </c>
      <c r="Q64" s="2" t="inlineStr">
        <is>
          <t>—</t>
        </is>
      </c>
      <c r="R64" s="2" t="inlineStr">
        <is>
          <t>(assigned on issue)</t>
        </is>
      </c>
      <c r="S64" s="2" t="inlineStr">
        <is>
          <t>P060302|I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Register'!$P:$P,0)))+CHOOSE(WEEKDAY(INDEX('iCoA Register'!$F:$F,MATCH(S65,'iCoA Register'!$P:$P,0)),2),0,0,0,0,0,2,1),0),0)))</f>
        <v/>
      </c>
      <c r="E65" s="5">
        <f>IF(ISNUMBER(F65),IF(AND(J65="legacy",F65&lt;=DATE(2026,5,27)),DATE(2026,5,27),MAX(DATE(2026,5,27),(F65+7)+CHOOSE(WEEKDAY(F65+7,2),0,0,0,0,0,2,1))),IF(J65="legacy",DATE(2026,5,27),""))</f>
        <v/>
      </c>
      <c r="F65" s="5" t="n">
        <v>46153</v>
      </c>
      <c r="G65" s="2" t="inlineStr">
        <is>
          <t>ППК26064</t>
        </is>
      </c>
      <c r="H65" s="2">
        <f>IFERROR(INDEX('iCoA Register'!$B:$B,MATCH("P060312|I",'iCoA Register'!$P:$P,0)),"—")</f>
        <v/>
      </c>
      <c r="I65" s="5">
        <f>IFERROR(INDEX('iCoA Register'!$D:$D,MATCH("P060312|I",'iCoA Register'!$P:$P,0)),"")</f>
        <v/>
      </c>
      <c r="J65" s="2" t="inlineStr">
        <is>
          <t>post-SOP</t>
        </is>
      </c>
      <c r="K65" s="2" t="inlineStr">
        <is>
          <t>initial release</t>
        </is>
      </c>
      <c r="L65" s="3" t="inlineStr">
        <is>
          <t>JD012601＊</t>
        </is>
      </c>
      <c r="M65" s="2" t="inlineStr">
        <is>
          <t>P060312</t>
        </is>
      </c>
      <c r="N65" s="2" t="inlineStr">
        <is>
          <t>Jelly Donutz</t>
        </is>
      </c>
      <c r="O65" s="2" t="inlineStr">
        <is>
          <t>ППК26064, (11.05.2026) [CNP]</t>
        </is>
      </c>
      <c r="P65" s="6" t="inlineStr">
        <is>
          <t>—</t>
        </is>
      </c>
      <c r="Q65" s="2" t="inlineStr">
        <is>
          <t>—</t>
        </is>
      </c>
      <c r="R65" s="2" t="inlineStr">
        <is>
          <t>(assigned on issue)</t>
        </is>
      </c>
      <c r="S65" s="2" t="inlineStr">
        <is>
          <t>P060312|I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Register'!$P:$P,0)))+CHOOSE(WEEKDAY(INDEX('iCoA Register'!$F:$F,MATCH(S66,'iCoA Register'!$P:$P,0)),2),0,0,0,0,0,2,1),0),0)))</f>
        <v/>
      </c>
      <c r="E66" s="5">
        <f>IF(ISNUMBER(F66),IF(AND(J66="legacy",F66&lt;=DATE(2026,5,27)),DATE(2026,5,27),MAX(DATE(2026,5,27),(F66+7)+CHOOSE(WEEKDAY(F66+7,2),0,0,0,0,0,2,1))),IF(J66="legacy",DATE(2026,5,27),""))</f>
        <v/>
      </c>
      <c r="F66" s="5" t="inlineStr">
        <is>
          <t>—</t>
        </is>
      </c>
      <c r="G66" s="2" t="inlineStr">
        <is>
          <t>—</t>
        </is>
      </c>
      <c r="H66" s="2">
        <f>IFERROR(INDEX('iCoA Register'!$B:$B,MATCH("P060332|I",'iCoA Register'!$P:$P,0)),"—")</f>
        <v/>
      </c>
      <c r="I66" s="5">
        <f>IFERROR(INDEX('iCoA Register'!$D:$D,MATCH("P060332|I",'iCoA Register'!$P:$P,0)),"")</f>
        <v/>
      </c>
      <c r="J66" s="2" t="inlineStr">
        <is>
          <t>post-SOP</t>
        </is>
      </c>
      <c r="K66" s="2" t="inlineStr">
        <is>
          <t>initial release</t>
        </is>
      </c>
      <c r="L66" s="3" t="inlineStr">
        <is>
          <t>CC012601/1</t>
        </is>
      </c>
      <c r="M66" s="2" t="inlineStr">
        <is>
          <t>P060332</t>
        </is>
      </c>
      <c r="N66" s="2" t="inlineStr"/>
      <c r="O66" s="6" t="inlineStr">
        <is>
          <t>— no cannabinoid certificate from the initial testing —</t>
        </is>
      </c>
      <c r="P66" s="6" t="inlineStr">
        <is>
          <t>—</t>
        </is>
      </c>
      <c r="Q66" s="2" t="inlineStr">
        <is>
          <t>—</t>
        </is>
      </c>
      <c r="R66" s="2" t="inlineStr">
        <is>
          <t>— not in the issuance plan —</t>
        </is>
      </c>
      <c r="S66" s="2" t="inlineStr">
        <is>
          <t>P060332|I</t>
        </is>
      </c>
      <c r="T66" s="7" t="inlineStr">
        <is>
          <t>registered — provisional date: no initial certificate on file yet — the date follows the latest eCoA once located · initial certificate to locate: #3 (CNP), #4 (CNP), #5 (CNP), #6 (CNP), #8 (CNP),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Register'!$P:$P,0)))+CHOOSE(WEEKDAY(INDEX('iCoA Register'!$F:$F,MATCH(S67,'iCoA Register'!$P:$P,0)),2),0,0,0,0,0,2,1),0),0)))</f>
        <v/>
      </c>
      <c r="E67" s="5">
        <f>IF(ISNUMBER(F67),IF(AND(J67="legacy",F67&lt;=DATE(2026,5,27)),DATE(2026,5,27),MAX(DATE(2026,5,27),(F67+7)+CHOOSE(WEEKDAY(F67+7,2),0,0,0,0,0,2,1))),IF(J67="legacy",DATE(2026,5,27),""))</f>
        <v/>
      </c>
      <c r="F67" s="5" t="n">
        <v>46153</v>
      </c>
      <c r="G67" s="2" t="inlineStr">
        <is>
          <t>ППК26067</t>
        </is>
      </c>
      <c r="H67" s="2">
        <f>IFERROR(INDEX('iCoA Register'!$B:$B,MATCH("P060322|I",'iCoA Register'!$P:$P,0)),"—")</f>
        <v/>
      </c>
      <c r="I67" s="5">
        <f>IFERROR(INDEX('iCoA Register'!$D:$D,MATCH("P060322|I",'iCoA Register'!$P:$P,0)),"")</f>
        <v/>
      </c>
      <c r="J67" s="2" t="inlineStr">
        <is>
          <t>post-SOP</t>
        </is>
      </c>
      <c r="K67" s="2" t="inlineStr">
        <is>
          <t>initial release</t>
        </is>
      </c>
      <c r="L67" s="3" t="inlineStr">
        <is>
          <t>FB012601_1</t>
        </is>
      </c>
      <c r="M67" s="2" t="inlineStr">
        <is>
          <t>P060322</t>
        </is>
      </c>
      <c r="N67" s="2" t="inlineStr">
        <is>
          <t>Fat Bastard</t>
        </is>
      </c>
      <c r="O67" s="2" t="inlineStr">
        <is>
          <t>ППК26067, (11.05.2026) [CNP]</t>
        </is>
      </c>
      <c r="P67" s="6" t="inlineStr">
        <is>
          <t>—</t>
        </is>
      </c>
      <c r="Q67" s="2" t="inlineStr">
        <is>
          <t>—</t>
        </is>
      </c>
      <c r="R67" s="2" t="inlineStr">
        <is>
          <t>CoQ-PP-2026-0019</t>
        </is>
      </c>
      <c r="S67" s="2" t="inlineStr">
        <is>
          <t>P060322|I</t>
        </is>
      </c>
      <c r="T67" s="7" t="inlineStr">
        <is>
          <t>registered — rule date 18.05.2026 held to the legacy series day</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Register'!$P:$P,0)))+CHOOSE(WEEKDAY(INDEX('iCoA Register'!$F:$F,MATCH(S68,'iCoA Register'!$P:$P,0)),2),0,0,0,0,0,2,1),0),0)))</f>
        <v/>
      </c>
      <c r="E68" s="5">
        <f>IF(ISNUMBER(F68),IF(AND(J68="legacy",F68&lt;=DATE(2026,5,27)),DATE(2026,5,27),MAX(DATE(2026,5,27),(F68+7)+CHOOSE(WEEKDAY(F68+7,2),0,0,0,0,0,2,1))),IF(J68="legacy",DATE(2026,5,27),""))</f>
        <v/>
      </c>
      <c r="F68" s="5" t="inlineStr">
        <is>
          <t>—</t>
        </is>
      </c>
      <c r="G68" s="2" t="inlineStr">
        <is>
          <t>—</t>
        </is>
      </c>
      <c r="H68" s="2">
        <f>IFERROR(INDEX('iCoA Register'!$B:$B,MATCH("P060352|I",'iCoA Register'!$P:$P,0)),"—")</f>
        <v/>
      </c>
      <c r="I68" s="5">
        <f>IFERROR(INDEX('iCoA Register'!$D:$D,MATCH("P060352|I",'iCoA Register'!$P:$P,0)),"")</f>
        <v/>
      </c>
      <c r="J68" s="2" t="inlineStr">
        <is>
          <t>post-SOP</t>
        </is>
      </c>
      <c r="K68" s="2" t="inlineStr">
        <is>
          <t>initial release</t>
        </is>
      </c>
      <c r="L68" s="3" t="inlineStr">
        <is>
          <t>FB012602*</t>
        </is>
      </c>
      <c r="M68" s="2" t="inlineStr">
        <is>
          <t>P060352</t>
        </is>
      </c>
      <c r="N68" s="2" t="inlineStr">
        <is>
          <t>Fat Bastard</t>
        </is>
      </c>
      <c r="O68" s="6" t="inlineStr">
        <is>
          <t>— no cannabinoid certificate from the initial testing —</t>
        </is>
      </c>
      <c r="P68" s="6" t="inlineStr">
        <is>
          <t>—</t>
        </is>
      </c>
      <c r="Q68" s="2" t="inlineStr">
        <is>
          <t>—</t>
        </is>
      </c>
      <c r="R68" s="2" t="inlineStr">
        <is>
          <t>CoQ-PP-2026-0021</t>
        </is>
      </c>
      <c r="S68" s="2" t="inlineStr">
        <is>
          <t>P060352|I</t>
        </is>
      </c>
      <c r="T68" s="7" t="inlineStr">
        <is>
          <t>registered — provisional date: no initial certificate on file yet — the date follows the latest eCoA once located · initial certificate to locate: #3 (CNP), #4 (CNP), #5 (CNP), #6 (CNP), #8 (CNP),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Register'!$P:$P,0)))+CHOOSE(WEEKDAY(INDEX('iCoA Register'!$F:$F,MATCH(S69,'iCoA Register'!$P:$P,0)),2),0,0,0,0,0,2,1),0),0)))</f>
        <v/>
      </c>
      <c r="E69" s="5">
        <f>IF(ISNUMBER(F69),IF(AND(J69="legacy",F69&lt;=DATE(2026,5,27)),DATE(2026,5,27),MAX(DATE(2026,5,27),(F69+7)+CHOOSE(WEEKDAY(F69+7,2),0,0,0,0,0,2,1))),IF(J69="legacy",DATE(2026,5,27),""))</f>
        <v/>
      </c>
      <c r="F69" s="5" t="inlineStr">
        <is>
          <t>—</t>
        </is>
      </c>
      <c r="G69" s="2" t="inlineStr">
        <is>
          <t>—</t>
        </is>
      </c>
      <c r="H69" s="2">
        <f>IFERROR(INDEX('iCoA Register'!$B:$B,MATCH("P060342|I",'iCoA Register'!$P:$P,0)),"—")</f>
        <v/>
      </c>
      <c r="I69" s="5">
        <f>IFERROR(INDEX('iCoA Register'!$D:$D,MATCH("P060342|I",'iCoA Register'!$P:$P,0)),"")</f>
        <v/>
      </c>
      <c r="J69" s="2" t="inlineStr">
        <is>
          <t>post-SOP</t>
        </is>
      </c>
      <c r="K69" s="2" t="inlineStr">
        <is>
          <t>initial release</t>
        </is>
      </c>
      <c r="L69" s="3" t="inlineStr">
        <is>
          <t>SCR012601*</t>
        </is>
      </c>
      <c r="M69" s="2" t="inlineStr">
        <is>
          <t>P060342</t>
        </is>
      </c>
      <c r="N69" s="2" t="inlineStr">
        <is>
          <t>Scrambler</t>
        </is>
      </c>
      <c r="O69" s="6" t="inlineStr">
        <is>
          <t>— no cannabinoid certificate from the initial testing —</t>
        </is>
      </c>
      <c r="P69" s="6" t="inlineStr">
        <is>
          <t>—</t>
        </is>
      </c>
      <c r="Q69" s="2" t="inlineStr">
        <is>
          <t>—</t>
        </is>
      </c>
      <c r="R69" s="2" t="inlineStr">
        <is>
          <t>— not in the issuance plan —</t>
        </is>
      </c>
      <c r="S69" s="2" t="inlineStr">
        <is>
          <t>P060342|I</t>
        </is>
      </c>
      <c r="T69" s="7" t="inlineStr">
        <is>
          <t>registered — provisional date: no initial certificate on file yet — the date follows the latest eCoA once located · initial certificate to locate: #3 (CNP), #4 (CNP), #5 (CNP), #6 (CNP), #8 (CNP),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Register'!$P:$P,0)))+CHOOSE(WEEKDAY(INDEX('iCoA Register'!$F:$F,MATCH(S70,'iCoA Register'!$P:$P,0)),2),0,0,0,0,0,2,1),0),0)))</f>
        <v/>
      </c>
      <c r="E70" s="5">
        <f>IF(ISNUMBER(F70),IF(AND(J70="legacy",F70&lt;=DATE(2026,5,27)),DATE(2026,5,27),MAX(DATE(2026,5,27),(F70+7)+CHOOSE(WEEKDAY(F70+7,2),0,0,0,0,0,2,1))),IF(J70="legacy",DATE(2026,5,27),""))</f>
        <v/>
      </c>
      <c r="F70" s="5" t="inlineStr">
        <is>
          <t>—</t>
        </is>
      </c>
      <c r="G70" s="2" t="inlineStr">
        <is>
          <t>—</t>
        </is>
      </c>
      <c r="H70" s="2">
        <f>IFERROR(INDEX('iCoA Register'!$B:$B,MATCH("P060382|I",'iCoA Register'!$P:$P,0)),"—")</f>
        <v/>
      </c>
      <c r="I70" s="5">
        <f>IFERROR(INDEX('iCoA Register'!$D:$D,MATCH("P060382|I",'iCoA Register'!$P:$P,0)),"")</f>
        <v/>
      </c>
      <c r="J70" s="2" t="inlineStr">
        <is>
          <t>post-SOP</t>
        </is>
      </c>
      <c r="K70" s="2" t="inlineStr">
        <is>
          <t>initial release</t>
        </is>
      </c>
      <c r="L70" s="3" t="inlineStr">
        <is>
          <t>SCR012603</t>
        </is>
      </c>
      <c r="M70" s="2" t="inlineStr">
        <is>
          <t>P060382</t>
        </is>
      </c>
      <c r="N70" s="2" t="inlineStr">
        <is>
          <t>Scrambler</t>
        </is>
      </c>
      <c r="O70" s="6" t="inlineStr">
        <is>
          <t>— no cannabinoid certificate from the initial testing —</t>
        </is>
      </c>
      <c r="P70" s="6" t="inlineStr">
        <is>
          <t>—</t>
        </is>
      </c>
      <c r="Q70" s="2" t="inlineStr">
        <is>
          <t>—</t>
        </is>
      </c>
      <c r="R70" s="2" t="inlineStr">
        <is>
          <t>CoQ-PP-2026-0026</t>
        </is>
      </c>
      <c r="S70" s="2" t="inlineStr">
        <is>
          <t>P060382|I</t>
        </is>
      </c>
      <c r="T70" s="7" t="inlineStr">
        <is>
          <t>registered — provisional date: no initial certificate on file yet — the date follows the latest eCoA once located · initial certificate to locate: #3 (CNP), #4 (CNP), #5 (CNP), #6 (CNP), #8 (CNP),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Register'!$P:$P,0)))+CHOOSE(WEEKDAY(INDEX('iCoA Register'!$F:$F,MATCH(S71,'iCoA Register'!$P:$P,0)),2),0,0,0,0,0,2,1),0),0)))</f>
        <v/>
      </c>
      <c r="E71" s="5">
        <f>IF(ISNUMBER(F71),IF(AND(J71="legacy",F71&lt;=DATE(2026,5,27)),DATE(2026,5,27),MAX(DATE(2026,5,27),(F71+7)+CHOOSE(WEEKDAY(F71+7,2),0,0,0,0,0,2,1))),IF(J71="legacy",DATE(2026,5,27),""))</f>
        <v/>
      </c>
      <c r="F71" s="5" t="n">
        <v>46203</v>
      </c>
      <c r="G71" s="2" t="inlineStr">
        <is>
          <t>ППК26110</t>
        </is>
      </c>
      <c r="H71" s="2">
        <f>IFERROR(INDEX('iCoA Register'!$B:$B,MATCH("P060392|I",'iCoA Register'!$P:$P,0)),"—")</f>
        <v/>
      </c>
      <c r="I71" s="5">
        <f>IFERROR(INDEX('iCoA Register'!$D:$D,MATCH("P060392|I",'iCoA Register'!$P:$P,0)),"")</f>
        <v/>
      </c>
      <c r="J71" s="2" t="inlineStr">
        <is>
          <t>post-SOP</t>
        </is>
      </c>
      <c r="K71" s="2" t="inlineStr">
        <is>
          <t>initial release</t>
        </is>
      </c>
      <c r="L71" s="3" t="inlineStr">
        <is>
          <t>FB012603V</t>
        </is>
      </c>
      <c r="M71" s="2" t="inlineStr">
        <is>
          <t>P060392</t>
        </is>
      </c>
      <c r="N71" s="2" t="inlineStr">
        <is>
          <t>Fat Bastard</t>
        </is>
      </c>
      <c r="O71" s="2" t="inlineStr">
        <is>
          <t>ППК26110, (30.06.2026) [CNP]</t>
        </is>
      </c>
      <c r="P71" s="2" t="inlineStr">
        <is>
          <t>A: ППК26110 / B: ППК26110 / FM: ППК26110</t>
        </is>
      </c>
      <c r="Q71" s="2" t="inlineStr">
        <is>
          <t>—</t>
        </is>
      </c>
      <c r="R71" s="2" t="inlineStr">
        <is>
          <t>(assigned on issue)</t>
        </is>
      </c>
      <c r="S71" s="2" t="inlineStr">
        <is>
          <t>P060392|I</t>
        </is>
      </c>
      <c r="T71" s="7" t="inlineStr">
        <is>
          <t>registered — first working day 7 days after the latest eCoA · initial certificate to locate: #9 (IJZ), #10 (CNP), #11 (CNP), #12 (CNP)</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Register'!$P:$P,0)))+CHOOSE(WEEKDAY(INDEX('iCoA Register'!$F:$F,MATCH(S72,'iCoA Register'!$P:$P,0)),2),0,0,0,0,0,2,1),0),0)))</f>
        <v/>
      </c>
      <c r="E72" s="5">
        <f>IF(ISNUMBER(F72),IF(AND(J72="legacy",F72&lt;=DATE(2026,5,27)),DATE(2026,5,27),MAX(DATE(2026,5,27),(F72+7)+CHOOSE(WEEKDAY(F72+7,2),0,0,0,0,0,2,1))),IF(J72="legacy",DATE(2026,5,27),""))</f>
        <v/>
      </c>
      <c r="F72" s="5" t="n">
        <v>46203</v>
      </c>
      <c r="G72" s="2" t="inlineStr">
        <is>
          <t>ППК26111</t>
        </is>
      </c>
      <c r="H72" s="2">
        <f>IFERROR(INDEX('iCoA Register'!$B:$B,MATCH("P060362|I",'iCoA Register'!$P:$P,0)),"—")</f>
        <v/>
      </c>
      <c r="I72" s="5">
        <f>IFERROR(INDEX('iCoA Register'!$D:$D,MATCH("P060362|I",'iCoA Register'!$P:$P,0)),"")</f>
        <v/>
      </c>
      <c r="J72" s="2" t="inlineStr">
        <is>
          <t>post-SOP</t>
        </is>
      </c>
      <c r="K72" s="2" t="inlineStr">
        <is>
          <t>initial release</t>
        </is>
      </c>
      <c r="L72" s="3" t="inlineStr">
        <is>
          <t>JD012603</t>
        </is>
      </c>
      <c r="M72" s="2" t="inlineStr">
        <is>
          <t>P060362</t>
        </is>
      </c>
      <c r="N72" s="2" t="inlineStr"/>
      <c r="O72" s="2" t="inlineStr">
        <is>
          <t>ППК26111, (30.06.2026) [CNP]</t>
        </is>
      </c>
      <c r="P72" s="2" t="inlineStr">
        <is>
          <t>A: ППК26111 / B: ППК26111 / FM: ППК26111</t>
        </is>
      </c>
      <c r="Q72" s="2" t="inlineStr">
        <is>
          <t>—</t>
        </is>
      </c>
      <c r="R72" s="2" t="inlineStr">
        <is>
          <t>CoQ-PP-2026-0020</t>
        </is>
      </c>
      <c r="S72" s="2" t="inlineStr">
        <is>
          <t>P060362|I</t>
        </is>
      </c>
      <c r="T72" s="7" t="inlineStr">
        <is>
          <t>registered — first working day 7 days after the latest eCoA · initial certificate to locate: #9 (IJZ), #10 (CNP), #11 (CNP), #12 (CNP)</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Register'!$P:$P,0)))+CHOOSE(WEEKDAY(INDEX('iCoA Register'!$F:$F,MATCH(S73,'iCoA Register'!$P:$P,0)),2),0,0,0,0,0,2,1),0),0)))</f>
        <v/>
      </c>
      <c r="E73" s="5">
        <f>IF(ISNUMBER(F73),IF(AND(J73="legacy",F73&lt;=DATE(2026,5,27)),DATE(2026,5,27),MAX(DATE(2026,5,27),(F73+7)+CHOOSE(WEEKDAY(F73+7,2),0,0,0,0,0,2,1))),IF(J73="legacy",DATE(2026,5,27),""))</f>
        <v/>
      </c>
      <c r="F73" s="5" t="n">
        <v>46203</v>
      </c>
      <c r="G73" s="2" t="inlineStr">
        <is>
          <t>ППК26111</t>
        </is>
      </c>
      <c r="H73" s="2">
        <f>IFERROR(INDEX('iCoA Register'!$B:$B,MATCH("P060422|I",'iCoA Register'!$P:$P,0)),"—")</f>
        <v/>
      </c>
      <c r="I73" s="5">
        <f>IFERROR(INDEX('iCoA Register'!$D:$D,MATCH("P060422|I",'iCoA Register'!$P:$P,0)),"")</f>
        <v/>
      </c>
      <c r="J73" s="2" t="inlineStr">
        <is>
          <t>post-SOP</t>
        </is>
      </c>
      <c r="K73" s="2" t="inlineStr">
        <is>
          <t>initial release</t>
        </is>
      </c>
      <c r="L73" s="3" t="inlineStr">
        <is>
          <t>JD012603</t>
        </is>
      </c>
      <c r="M73" s="2" t="inlineStr">
        <is>
          <t>P060422</t>
        </is>
      </c>
      <c r="N73" s="2" t="inlineStr"/>
      <c r="O73" s="2" t="inlineStr">
        <is>
          <t>ППК26111, (30.06.2026) [CNP]</t>
        </is>
      </c>
      <c r="P73" s="2" t="inlineStr">
        <is>
          <t>A: ППК26111 / B: ППК26111 / FM: ППК26111</t>
        </is>
      </c>
      <c r="Q73" s="2" t="inlineStr">
        <is>
          <t>—</t>
        </is>
      </c>
      <c r="R73" s="2" t="inlineStr">
        <is>
          <t>CoQ-PP-2026-0022</t>
        </is>
      </c>
      <c r="S73" s="2" t="inlineStr">
        <is>
          <t>P060422|I</t>
        </is>
      </c>
      <c r="T73" s="7" t="inlineStr">
        <is>
          <t>registered — first working day 7 days after the latest eCoA · initial certificate to locate: #9 (IJZ), #10 (CNP), #11 (CNP), #12 (CNP)</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Register'!$P:$P,0)))+CHOOSE(WEEKDAY(INDEX('iCoA Register'!$F:$F,MATCH(S74,'iCoA Register'!$P:$P,0)),2),0,0,0,0,0,2,1),0),0)))</f>
        <v/>
      </c>
      <c r="E74" s="5">
        <f>IF(ISNUMBER(F74),IF(AND(J74="legacy",F74&lt;=DATE(2026,5,27)),DATE(2026,5,27),MAX(DATE(2026,5,27),(F74+7)+CHOOSE(WEEKDAY(F74+7,2),0,0,0,0,0,2,1))),IF(J74="legacy",DATE(2026,5,27),""))</f>
        <v/>
      </c>
      <c r="F74" s="5" t="n">
        <v>46203</v>
      </c>
      <c r="G74" s="2" t="inlineStr">
        <is>
          <t>ППК26114</t>
        </is>
      </c>
      <c r="H74" s="2">
        <f>IFERROR(INDEX('iCoA Register'!$B:$B,MATCH("P060402|I",'iCoA Register'!$P:$P,0)),"—")</f>
        <v/>
      </c>
      <c r="I74" s="5">
        <f>IFERROR(INDEX('iCoA Register'!$D:$D,MATCH("P060402|I",'iCoA Register'!$P:$P,0)),"")</f>
        <v/>
      </c>
      <c r="J74" s="2" t="inlineStr">
        <is>
          <t>post-SOP</t>
        </is>
      </c>
      <c r="K74" s="2" t="inlineStr">
        <is>
          <t>initial release</t>
        </is>
      </c>
      <c r="L74" s="3" t="inlineStr">
        <is>
          <t>GG012603</t>
        </is>
      </c>
      <c r="M74" s="2" t="inlineStr">
        <is>
          <t>P060402</t>
        </is>
      </c>
      <c r="N74" s="2" t="inlineStr">
        <is>
          <t>GorillaGlue</t>
        </is>
      </c>
      <c r="O74" s="2" t="inlineStr">
        <is>
          <t>ППК26114, (30.06.2026) [CNP]</t>
        </is>
      </c>
      <c r="P74" s="2" t="inlineStr">
        <is>
          <t>A: ППК26114 / B: ППК26114 / FM: ППК26114</t>
        </is>
      </c>
      <c r="Q74" s="2" t="inlineStr">
        <is>
          <t>—</t>
        </is>
      </c>
      <c r="R74" s="2" t="inlineStr">
        <is>
          <t>CoQ-PP-2026-0023</t>
        </is>
      </c>
      <c r="S74" s="2" t="inlineStr">
        <is>
          <t>P060402|I</t>
        </is>
      </c>
      <c r="T74" s="7" t="inlineStr">
        <is>
          <t>registered — first working day 7 days after the latest eCoA · initial certificate to locate: #9 (IJZ), #10 (CNP), #11 (CNP), #12 (CNP)</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Register'!$P:$P,0)))+CHOOSE(WEEKDAY(INDEX('iCoA Register'!$F:$F,MATCH(S75,'iCoA Register'!$P:$P,0)),2),0,0,0,0,0,2,1),0),0)))</f>
        <v/>
      </c>
      <c r="E75" s="5">
        <f>IF(ISNUMBER(F75),IF(AND(J75="legacy",F75&lt;=DATE(2026,5,27)),DATE(2026,5,27),MAX(DATE(2026,5,27),(F75+7)+CHOOSE(WEEKDAY(F75+7,2),0,0,0,0,0,2,1))),IF(J75="legacy",DATE(2026,5,27),""))</f>
        <v/>
      </c>
      <c r="F75" s="5" t="n">
        <v>46203</v>
      </c>
      <c r="G75" s="2" t="inlineStr">
        <is>
          <t>ППК26111</t>
        </is>
      </c>
      <c r="H75" s="2">
        <f>IFERROR(INDEX('iCoA Register'!$B:$B,MATCH("P060412|I",'iCoA Register'!$P:$P,0)),"—")</f>
        <v/>
      </c>
      <c r="I75" s="5">
        <f>IFERROR(INDEX('iCoA Register'!$D:$D,MATCH("P060412|I",'iCoA Register'!$P:$P,0)),"")</f>
        <v/>
      </c>
      <c r="J75" s="2" t="inlineStr">
        <is>
          <t>post-SOP</t>
        </is>
      </c>
      <c r="K75" s="2" t="inlineStr">
        <is>
          <t>initial release</t>
        </is>
      </c>
      <c r="L75" s="3" t="inlineStr">
        <is>
          <t>JD012603</t>
        </is>
      </c>
      <c r="M75" s="2" t="inlineStr">
        <is>
          <t>P060412</t>
        </is>
      </c>
      <c r="N75" s="2" t="inlineStr"/>
      <c r="O75" s="2" t="inlineStr">
        <is>
          <t>ППК26111, (30.06.2026) [CNP]</t>
        </is>
      </c>
      <c r="P75" s="2" t="inlineStr">
        <is>
          <t>A: ППК26111 / B: ППК26111 / FM: ППК26111</t>
        </is>
      </c>
      <c r="Q75" s="2" t="inlineStr">
        <is>
          <t>—</t>
        </is>
      </c>
      <c r="R75" s="2" t="inlineStr">
        <is>
          <t>CoQ-PP-2026-0025</t>
        </is>
      </c>
      <c r="S75" s="2" t="inlineStr">
        <is>
          <t>P060412|I</t>
        </is>
      </c>
      <c r="T75" s="7" t="inlineStr">
        <is>
          <t>registered — first working day 7 days after the latest eCoA · initial certificate to locate: #9 (IJZ), #10 (CNP), #11 (CNP), #12 (CNP)</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Register'!$P:$P,0)))+CHOOSE(WEEKDAY(INDEX('iCoA Register'!$F:$F,MATCH(S76,'iCoA Register'!$P:$P,0)),2),0,0,0,0,0,2,1),0),0)))</f>
        <v/>
      </c>
      <c r="E76" s="5">
        <f>IF(ISNUMBER(F76),IF(AND(J76="legacy",F76&lt;=DATE(2026,5,27)),DATE(2026,5,27),MAX(DATE(2026,5,27),(F76+7)+CHOOSE(WEEKDAY(F76+7,2),0,0,0,0,0,2,1))),IF(J76="legacy",DATE(2026,5,27),""))</f>
        <v/>
      </c>
      <c r="F76" s="5" t="n">
        <v>46203</v>
      </c>
      <c r="G76" s="2" t="inlineStr">
        <is>
          <t>ППК26112</t>
        </is>
      </c>
      <c r="H76" s="2">
        <f>IFERROR(INDEX('iCoA Register'!$B:$B,MATCH("P060432|I",'iCoA Register'!$P:$P,0)),"—")</f>
        <v/>
      </c>
      <c r="I76" s="5">
        <f>IFERROR(INDEX('iCoA Register'!$D:$D,MATCH("P060432|I",'iCoA Register'!$P:$P,0)),"")</f>
        <v/>
      </c>
      <c r="J76" s="2" t="inlineStr">
        <is>
          <t>post-SOP</t>
        </is>
      </c>
      <c r="K76" s="2" t="inlineStr">
        <is>
          <t>initial release</t>
        </is>
      </c>
      <c r="L76" s="3" t="inlineStr">
        <is>
          <t>FB012603</t>
        </is>
      </c>
      <c r="M76" s="2" t="inlineStr">
        <is>
          <t>P060432</t>
        </is>
      </c>
      <c r="N76" s="2" t="inlineStr">
        <is>
          <t>Fat Bastard</t>
        </is>
      </c>
      <c r="O76" s="2" t="inlineStr">
        <is>
          <t>ППК26112, (30.06.2026) [CNP]</t>
        </is>
      </c>
      <c r="P76" s="2" t="inlineStr">
        <is>
          <t>A: ППК26112 / B: ППК26112 / FM: ППК26112</t>
        </is>
      </c>
      <c r="Q76" s="2" t="inlineStr">
        <is>
          <t>—</t>
        </is>
      </c>
      <c r="R76" s="2" t="inlineStr">
        <is>
          <t>(assigned on issue)</t>
        </is>
      </c>
      <c r="S76" s="2" t="inlineStr">
        <is>
          <t>P060432|I</t>
        </is>
      </c>
      <c r="T76" s="7" t="inlineStr">
        <is>
          <t>registered — first working day 7 days after the latest eCoA · initial certificate to locate: #9 (IJZ), #10 (CNP), #11 (CNP), #12 (CNP)</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Register'!$P:$P,0)))+CHOOSE(WEEKDAY(INDEX('iCoA Register'!$F:$F,MATCH(S77,'iCoA Register'!$P:$P,0)),2),0,0,0,0,0,2,1),0),0)))</f>
        <v/>
      </c>
      <c r="E77" s="5">
        <f>IF(ISNUMBER(F77),IF(AND(J77="legacy",F77&lt;=DATE(2026,5,27)),DATE(2026,5,27),MAX(DATE(2026,5,27),(F77+7)+CHOOSE(WEEKDAY(F77+7,2),0,0,0,0,0,2,1))),IF(J77="legacy",DATE(2026,5,27),""))</f>
        <v/>
      </c>
      <c r="F77" s="5" t="n">
        <v>46209</v>
      </c>
      <c r="G77" s="2" t="inlineStr">
        <is>
          <t>ППК26116</t>
        </is>
      </c>
      <c r="H77" s="2">
        <f>IFERROR(INDEX('iCoA Register'!$B:$B,MATCH("P060442|I",'iCoA Register'!$P:$P,0)),"—")</f>
        <v/>
      </c>
      <c r="I77" s="5">
        <f>IFERROR(INDEX('iCoA Register'!$D:$D,MATCH("P060442|I",'iCoA Register'!$P:$P,0)),"")</f>
        <v/>
      </c>
      <c r="J77" s="2" t="inlineStr">
        <is>
          <t>post-SOP</t>
        </is>
      </c>
      <c r="K77" s="2" t="inlineStr">
        <is>
          <t>initial release</t>
        </is>
      </c>
      <c r="L77" s="3" t="inlineStr">
        <is>
          <t>SCR022601</t>
        </is>
      </c>
      <c r="M77" s="2" t="inlineStr">
        <is>
          <t>P060442</t>
        </is>
      </c>
      <c r="N77" s="2" t="inlineStr">
        <is>
          <t>Scrambler</t>
        </is>
      </c>
      <c r="O77" s="2" t="inlineStr">
        <is>
          <t>ППК26116, (06.07.2026) [CNP]</t>
        </is>
      </c>
      <c r="P77" s="2" t="inlineStr">
        <is>
          <t>A: ППК26116 / B: ППК26116 / FM: ППК26116</t>
        </is>
      </c>
      <c r="Q77" s="2" t="inlineStr">
        <is>
          <t>—</t>
        </is>
      </c>
      <c r="R77" s="2" t="inlineStr">
        <is>
          <t>(assigned on issue)</t>
        </is>
      </c>
      <c r="S77" s="2" t="inlineStr">
        <is>
          <t>P060442|I</t>
        </is>
      </c>
      <c r="T77" s="7" t="inlineStr">
        <is>
          <t>registered — first working day 7 days after the latest eCoA · initial certificate to locate: #9 (IJZ), #10 (CNP), #11 (CNP), #12 (CNP)</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Register'!$P:$P,0)))+CHOOSE(WEEKDAY(INDEX('iCoA Register'!$F:$F,MATCH(S78,'iCoA Register'!$P:$P,0)),2),0,0,0,0,0,2,1),0),0)))</f>
        <v/>
      </c>
      <c r="E78" s="5">
        <f>IF(ISNUMBER(F78),IF(AND(J78="legacy",F78&lt;=DATE(2026,5,27)),DATE(2026,5,27),MAX(DATE(2026,5,27),(F78+7)+CHOOSE(WEEKDAY(F78+7,2),0,0,0,0,0,2,1))),IF(J78="legacy",DATE(2026,5,27),""))</f>
        <v/>
      </c>
      <c r="F78" s="5" t="n">
        <v>46224</v>
      </c>
      <c r="G78" s="2" t="inlineStr">
        <is>
          <t>ППК26127</t>
        </is>
      </c>
      <c r="H78" s="2">
        <f>IFERROR(INDEX('iCoA Register'!$B:$B,MATCH("P060452|I",'iCoA Register'!$P:$P,0)),"—")</f>
        <v/>
      </c>
      <c r="I78" s="5">
        <f>IFERROR(INDEX('iCoA Register'!$D:$D,MATCH("P060452|I",'iCoA Register'!$P:$P,0)),"")</f>
        <v/>
      </c>
      <c r="J78" s="2" t="inlineStr">
        <is>
          <t>post-SOP</t>
        </is>
      </c>
      <c r="K78" s="2" t="inlineStr">
        <is>
          <t>initial release</t>
        </is>
      </c>
      <c r="L78" s="3" t="inlineStr">
        <is>
          <t>FB032601</t>
        </is>
      </c>
      <c r="M78" s="2" t="inlineStr">
        <is>
          <t>P060452</t>
        </is>
      </c>
      <c r="N78" s="2" t="inlineStr">
        <is>
          <t>FatBastard</t>
        </is>
      </c>
      <c r="O78" s="2" t="inlineStr">
        <is>
          <t>ППК26127, (21.07.2026) [CNP]</t>
        </is>
      </c>
      <c r="P78" s="2" t="inlineStr">
        <is>
          <t>A: ППК26127 / B: ППК26127 / FM: ППК26127</t>
        </is>
      </c>
      <c r="Q78" s="2" t="inlineStr">
        <is>
          <t>—</t>
        </is>
      </c>
      <c r="R78" s="2" t="inlineStr">
        <is>
          <t>(assigned on issue)</t>
        </is>
      </c>
      <c r="S78" s="2" t="inlineStr">
        <is>
          <t>P060452|I</t>
        </is>
      </c>
      <c r="T78" s="7" t="inlineStr">
        <is>
          <t>registered — first working day 7 days after the latest eCoA · initial certificate to locate: #9 (IJZ), #10 (CNP), #11 (CNP), #12 (CNP)</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Register'!$P:$P,0)))+CHOOSE(WEEKDAY(INDEX('iCoA Register'!$F:$F,MATCH(S79,'iCoA Register'!$P:$P,0)),2),0,0,0,0,0,2,1),0),0)))</f>
        <v/>
      </c>
      <c r="E79" s="5">
        <f>IF(ISNUMBER(F79),IF(AND(J79="legacy",F79&lt;=DATE(2026,5,27)),DATE(2026,5,27),MAX(DATE(2026,5,27),(F79+7)+CHOOSE(WEEKDAY(F79+7,2),0,0,0,0,0,2,1))),IF(J79="legacy",DATE(2026,5,27),""))</f>
        <v/>
      </c>
      <c r="F79" s="5" t="n">
        <v>46224</v>
      </c>
      <c r="G79" s="2" t="inlineStr">
        <is>
          <t>ППК26128</t>
        </is>
      </c>
      <c r="H79" s="2">
        <f>IFERROR(INDEX('iCoA Register'!$B:$B,MATCH("P060462|I",'iCoA Register'!$P:$P,0)),"—")</f>
        <v/>
      </c>
      <c r="I79" s="5">
        <f>IFERROR(INDEX('iCoA Register'!$D:$D,MATCH("P060462|I",'iCoA Register'!$P:$P,0)),"")</f>
        <v/>
      </c>
      <c r="J79" s="2" t="inlineStr">
        <is>
          <t>post-SOP</t>
        </is>
      </c>
      <c r="K79" s="2" t="inlineStr">
        <is>
          <t>initial release</t>
        </is>
      </c>
      <c r="L79" s="3" t="inlineStr">
        <is>
          <t>GG032601</t>
        </is>
      </c>
      <c r="M79" s="2" t="inlineStr">
        <is>
          <t>P060462</t>
        </is>
      </c>
      <c r="N79" s="2" t="inlineStr">
        <is>
          <t>GorillaGlue</t>
        </is>
      </c>
      <c r="O79" s="2" t="inlineStr">
        <is>
          <t>ППК26128, (21.07.2026) [CNP]</t>
        </is>
      </c>
      <c r="P79" s="2" t="inlineStr">
        <is>
          <t>A: ППК26128 / B: ППК26128 / FM: ППК26128</t>
        </is>
      </c>
      <c r="Q79" s="2" t="inlineStr">
        <is>
          <t>—</t>
        </is>
      </c>
      <c r="R79" s="2" t="inlineStr">
        <is>
          <t>(assigned on issue)</t>
        </is>
      </c>
      <c r="S79" s="2" t="inlineStr">
        <is>
          <t>P060462|I</t>
        </is>
      </c>
      <c r="T79" s="7" t="inlineStr">
        <is>
          <t>registered — first working day 7 days after the latest eCoA · initial certificate to locate: #9 (IJZ), #10 (CNP), #11 (CNP), #12 (CNP)</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Register'!$P:$P,0)))+CHOOSE(WEEKDAY(INDEX('iCoA Register'!$F:$F,MATCH(S80,'iCoA Register'!$P:$P,0)),2),0,0,0,0,0,2,1),0),0)))</f>
        <v/>
      </c>
      <c r="E80" s="5">
        <f>IF(ISNUMBER(F80),IF(AND(J80="legacy",F80&lt;=DATE(2026,5,27)),DATE(2026,5,27),MAX(DATE(2026,5,27),(F80+7)+CHOOSE(WEEKDAY(F80+7,2),0,0,0,0,0,2,1))),IF(J80="legacy",DATE(2026,5,27),""))</f>
        <v/>
      </c>
      <c r="F80" s="5" t="n">
        <v>46203</v>
      </c>
      <c r="G80" s="2" t="inlineStr">
        <is>
          <t>ППК26115</t>
        </is>
      </c>
      <c r="H80" s="2">
        <f>IFERROR(INDEX('iCoA Register'!$B:$B,MATCH("P060482|I",'iCoA Register'!$P:$P,0)),"—")</f>
        <v/>
      </c>
      <c r="I80" s="5">
        <f>IFERROR(INDEX('iCoA Register'!$D:$D,MATCH("P060482|I",'iCoA Register'!$P:$P,0)),"")</f>
        <v/>
      </c>
      <c r="J80" s="2" t="inlineStr">
        <is>
          <t>post-SOP</t>
        </is>
      </c>
      <c r="K80" s="2" t="inlineStr">
        <is>
          <t>initial release</t>
        </is>
      </c>
      <c r="L80" s="3" t="inlineStr">
        <is>
          <t>JD022601</t>
        </is>
      </c>
      <c r="M80" s="2" t="inlineStr">
        <is>
          <t>P060482</t>
        </is>
      </c>
      <c r="N80" s="2" t="inlineStr">
        <is>
          <t>JellyDonutz</t>
        </is>
      </c>
      <c r="O80" s="2" t="inlineStr">
        <is>
          <t>ППК26115, (30.06.2026) [CNP]</t>
        </is>
      </c>
      <c r="P80" s="2" t="inlineStr">
        <is>
          <t>A: ППК26115 / B: ППК26115 / FM: ППК26115</t>
        </is>
      </c>
      <c r="Q80" s="2" t="inlineStr">
        <is>
          <t>—</t>
        </is>
      </c>
      <c r="R80" s="2" t="inlineStr">
        <is>
          <t>(assigned on issue)</t>
        </is>
      </c>
      <c r="S80" s="2" t="inlineStr">
        <is>
          <t>P060482|I</t>
        </is>
      </c>
      <c r="T80" s="7" t="inlineStr">
        <is>
          <t>registered — held to the packaging date · initial certificate to locate: #9 (IJZ), #10 (CNP), #11 (CNP), #12 (CNP)</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Register'!$P:$P,0)))+CHOOSE(WEEKDAY(INDEX('iCoA Register'!$F:$F,MATCH(S81,'iCoA Register'!$P:$P,0)),2),0,0,0,0,0,2,1),0),0)))</f>
        <v/>
      </c>
      <c r="E81" s="5">
        <f>IF(ISNUMBER(F81),IF(AND(J81="legacy",F81&lt;=DATE(2026,5,27)),DATE(2026,5,27),MAX(DATE(2026,5,27),(F81+7)+CHOOSE(WEEKDAY(F81+7,2),0,0,0,0,0,2,1))),IF(J81="legacy",DATE(2026,5,27),""))</f>
        <v/>
      </c>
      <c r="F81" s="5" t="n">
        <v>46153</v>
      </c>
      <c r="G81" s="2" t="inlineStr">
        <is>
          <t>ППК26065</t>
        </is>
      </c>
      <c r="H81" s="2">
        <f>IFERROR(INDEX('iCoA Register'!$B:$B,MATCH("JD112501|I",'iCoA Register'!$P:$P,0)),"—")</f>
        <v/>
      </c>
      <c r="I81" s="5">
        <f>IFERROR(INDEX('iCoA Register'!$D:$D,MATCH("JD112501|I",'iCoA Register'!$P:$P,0)),"")</f>
        <v/>
      </c>
      <c r="J81" s="2" t="inlineStr">
        <is>
          <t>—</t>
        </is>
      </c>
      <c r="K81" s="2" t="inlineStr">
        <is>
          <t>initial release</t>
        </is>
      </c>
      <c r="L81" s="3" t="inlineStr">
        <is>
          <t>JD112501＊</t>
        </is>
      </c>
      <c r="M81" s="2" t="inlineStr">
        <is>
          <t>N/A — no P batch assigned</t>
        </is>
      </c>
      <c r="N81" s="2" t="inlineStr">
        <is>
          <t>Jelly Donutz</t>
        </is>
      </c>
      <c r="O81" s="2" t="inlineStr">
        <is>
          <t>ППК26065, (11.05.2026) [CNP]</t>
        </is>
      </c>
      <c r="P81" s="6" t="inlineStr">
        <is>
          <t>—</t>
        </is>
      </c>
      <c r="Q81" s="2" t="inlineStr">
        <is>
          <t>—</t>
        </is>
      </c>
      <c r="R81" s="2" t="inlineStr">
        <is>
          <t>CoQ-PP-2026-0015</t>
        </is>
      </c>
      <c r="S81" s="2" t="inlineStr">
        <is>
          <t>JD112501|I</t>
        </is>
      </c>
      <c r="T81" s="9" t="inlineStr">
        <is>
          <t>not yet issuable — no packaging date on the list</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Register'!$P:$P,0)))+CHOOSE(WEEKDAY(INDEX('iCoA Register'!$F:$F,MATCH(S82,'iCoA Register'!$P:$P,0)),2),0,0,0,0,0,2,1),0),0)))</f>
        <v/>
      </c>
      <c r="E82" s="5">
        <f>IF(ISNUMBER(F82),IF(AND(J82="legacy",F82&lt;=DATE(2026,5,27)),DATE(2026,5,27),MAX(DATE(2026,5,27),(F82+7)+CHOOSE(WEEKDAY(F82+7,2),0,0,0,0,0,2,1))),IF(J82="legacy",DATE(2026,5,27),""))</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Register'!$P:$P,0)))+CHOOSE(WEEKDAY(INDEX('iCoA Register'!$F:$F,MATCH(S83,'iCoA Register'!$P:$P,0)),2),0,0,0,0,0,2,1),0),0)))</f>
        <v/>
      </c>
      <c r="E83" s="5">
        <f>IF(ISNUMBER(F83),IF(AND(J83="legacy",F83&lt;=DATE(2026,5,27)),DATE(2026,5,27),MAX(DATE(2026,5,27),(F83+7)+CHOOSE(WEEKDAY(F83+7,2),0,0,0,0,0,2,1))),IF(J83="legacy",DATE(2026,5,27),""))</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Register'!$P:$P,0)))+CHOOSE(WEEKDAY(INDEX('iCoA Register'!$F:$F,MATCH(S84,'iCoA Register'!$P:$P,0)),2),0,0,0,0,0,2,1),0),0)))</f>
        <v/>
      </c>
      <c r="E84" s="5">
        <f>IF(ISNUMBER(F84),IF(AND(J84="legacy",F84&lt;=DATE(2026,5,27)),DATE(2026,5,27),MAX(DATE(2026,5,27),(F84+7)+CHOOSE(WEEKDAY(F84+7,2),0,0,0,0,0,2,1))),IF(J84="legacy",DATE(2026,5,27),""))</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Register'!$P:$P,0)))+CHOOSE(WEEKDAY(INDEX('iCoA Register'!$F:$F,MATCH(S85,'iCoA Register'!$P:$P,0)),2),0,0,0,0,0,2,1),0),0)))</f>
        <v/>
      </c>
      <c r="E85" s="5">
        <f>IF(ISNUMBER(F85),MAX(DATE(2026,5,27),(F85+7)+CHOOSE(WEEKDAY(F85+7,2),0,0,0,0,0,2,1)),"at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Register'!$P:$P,0)))+CHOOSE(WEEKDAY(INDEX('iCoA Register'!$F:$F,MATCH(S86,'iCoA Register'!$P:$P,0)),2),0,0,0,0,0,2,1),0),0)))</f>
        <v/>
      </c>
      <c r="E86" s="5">
        <f>IF(ISNUMBER(F86),MAX(DATE(2026,5,27),(F86+7)+CHOOSE(WEEKDAY(F86+7,2),0,0,0,0,0,2,1)),"at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Register'!$P:$P,0)))+CHOOSE(WEEKDAY(INDEX('iCoA Register'!$F:$F,MATCH(S87,'iCoA Register'!$P:$P,0)),2),0,0,0,0,0,2,1),0),0)))</f>
        <v/>
      </c>
      <c r="E87" s="5">
        <f>IF(ISNUMBER(F87),MAX(DATE(2026,5,27),(F87+7)+CHOOSE(WEEKDAY(F87+7,2),0,0,0,0,0,2,1)),"at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Register'!$P:$P,0)))+CHOOSE(WEEKDAY(INDEX('iCoA Register'!$F:$F,MATCH(S88,'iCoA Register'!$P:$P,0)),2),0,0,0,0,0,2,1),0),0)))</f>
        <v/>
      </c>
      <c r="E88" s="5">
        <f>IF(ISNUMBER(F88),MAX(DATE(2026,5,27),(F88+7)+CHOOSE(WEEKDAY(F88+7,2),0,0,0,0,0,2,1)),"at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Register'!$P:$P,0)))+CHOOSE(WEEKDAY(INDEX('iCoA Register'!$F:$F,MATCH(S89,'iCoA Register'!$P:$P,0)),2),0,0,0,0,0,2,1),0),0)))</f>
        <v/>
      </c>
      <c r="E89" s="5">
        <f>IF(ISNUMBER(F89),MAX(DATE(2026,5,27),(F89+7)+CHOOSE(WEEKDAY(F89+7,2),0,0,0,0,0,2,1)),"at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Register'!$P:$P,0)))+CHOOSE(WEEKDAY(INDEX('iCoA Register'!$F:$F,MATCH(S90,'iCoA Register'!$P:$P,0)),2),0,0,0,0,0,2,1),0),0)))</f>
        <v/>
      </c>
      <c r="E90" s="5">
        <f>IF(ISNUMBER(F90),MAX(DATE(2026,5,27),(F90+7)+CHOOSE(WEEKDAY(F90+7,2),0,0,0,0,0,2,1)),"at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Register'!$P:$P,0)))+CHOOSE(WEEKDAY(INDEX('iCoA Register'!$F:$F,MATCH(S91,'iCoA Register'!$P:$P,0)),2),0,0,0,0,0,2,1),0),0)))</f>
        <v/>
      </c>
      <c r="E91" s="5">
        <f>IF(ISNUMBER(F91),MAX(DATE(2026,5,27),(F91+7)+CHOOSE(WEEKDAY(F91+7,2),0,0,0,0,0,2,1)),"at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Register'!$P:$P,0)))+CHOOSE(WEEKDAY(INDEX('iCoA Register'!$F:$F,MATCH(S92,'iCoA Register'!$P:$P,0)),2),0,0,0,0,0,2,1),0),0)))</f>
        <v/>
      </c>
      <c r="E92" s="5">
        <f>IF(ISNUMBER(F92),MAX(DATE(2026,5,27),(F92+7)+CHOOSE(WEEKDAY(F92+7,2),0,0,0,0,0,2,1)),"at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Register'!$P:$P,0)))+CHOOSE(WEEKDAY(INDEX('iCoA Register'!$F:$F,MATCH(S93,'iCoA Register'!$P:$P,0)),2),0,0,0,0,0,2,1),0),0)))</f>
        <v/>
      </c>
      <c r="E93" s="5">
        <f>IF(ISNUMBER(F93),MAX(DATE(2026,5,27),(F93+7)+CHOOSE(WEEKDAY(F93+7,2),0,0,0,0,0,2,1)),"at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Register'!$P:$P,0)))+CHOOSE(WEEKDAY(INDEX('iCoA Register'!$F:$F,MATCH(S94,'iCoA Register'!$P:$P,0)),2),0,0,0,0,0,2,1),0),0)))</f>
        <v/>
      </c>
      <c r="E94" s="5">
        <f>IF(ISNUMBER(F94),MAX(DATE(2026,5,27),(F94+7)+CHOOSE(WEEKDAY(F94+7,2),0,0,0,0,0,2,1)),"at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Register'!$P:$P,0)))+CHOOSE(WEEKDAY(INDEX('iCoA Register'!$F:$F,MATCH(S95,'iCoA Register'!$P:$P,0)),2),0,0,0,0,0,2,1),0),0)))</f>
        <v/>
      </c>
      <c r="E95" s="5">
        <f>IF(ISNUMBER(F95),MAX(DATE(2026,5,27),(F95+7)+CHOOSE(WEEKDAY(F95+7,2),0,0,0,0,0,2,1)),"at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Register'!$P:$P,0)))+CHOOSE(WEEKDAY(INDEX('iCoA Register'!$F:$F,MATCH(S96,'iCoA Register'!$P:$P,0)),2),0,0,0,0,0,2,1),0),0)))</f>
        <v/>
      </c>
      <c r="E96" s="5">
        <f>IF(ISNUMBER(F96),MAX(DATE(2026,5,27),(F96+7)+CHOOSE(WEEKDAY(F96+7,2),0,0,0,0,0,2,1)),"at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Register'!$P:$P,0)))+CHOOSE(WEEKDAY(INDEX('iCoA Register'!$F:$F,MATCH(S97,'iCoA Register'!$P:$P,0)),2),0,0,0,0,0,2,1),0),0)))</f>
        <v/>
      </c>
      <c r="E97" s="5">
        <f>IF(ISNUMBER(F97),MAX(DATE(2026,5,27),(F97+7)+CHOOSE(WEEKDAY(F97+7,2),0,0,0,0,0,2,1)),"at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Register'!$P:$P,0)))+CHOOSE(WEEKDAY(INDEX('iCoA Register'!$F:$F,MATCH(S98,'iCoA Register'!$P:$P,0)),2),0,0,0,0,0,2,1),0),0)))</f>
        <v/>
      </c>
      <c r="E98" s="5">
        <f>IF(ISNUMBER(F98),MAX(DATE(2026,5,27),(F98+7)+CHOOSE(WEEKDAY(F98+7,2),0,0,0,0,0,2,1)),"at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Register'!$P:$P,0)))+CHOOSE(WEEKDAY(INDEX('iCoA Register'!$F:$F,MATCH(S99,'iCoA Register'!$P:$P,0)),2),0,0,0,0,0,2,1),0),0)))</f>
        <v/>
      </c>
      <c r="E99" s="5">
        <f>IF(ISNUMBER(F99),MAX(DATE(2026,5,27),(F99+7)+CHOOSE(WEEKDAY(F99+7,2),0,0,0,0,0,2,1)),"at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Register'!$P:$P,0)))+CHOOSE(WEEKDAY(INDEX('iCoA Register'!$F:$F,MATCH(S100,'iCoA Register'!$P:$P,0)),2),0,0,0,0,0,2,1),0),0)))</f>
        <v/>
      </c>
      <c r="E100" s="5">
        <f>IF(ISNUMBER(F100),MAX(DATE(2026,5,27),(F100+7)+CHOOSE(WEEKDAY(F100+7,2),0,0,0,0,0,2,1)),"at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Register'!$P:$P,0)))+CHOOSE(WEEKDAY(INDEX('iCoA Register'!$F:$F,MATCH(S101,'iCoA Register'!$P:$P,0)),2),0,0,0,0,0,2,1),0),0)))</f>
        <v/>
      </c>
      <c r="E101" s="5">
        <f>IF(ISNUMBER(F101),MAX(DATE(2026,5,27),(F101+7)+CHOOSE(WEEKDAY(F101+7,2),0,0,0,0,0,2,1)),"at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Register'!$P:$P,0)))+CHOOSE(WEEKDAY(INDEX('iCoA Register'!$F:$F,MATCH(S102,'iCoA Register'!$P:$P,0)),2),0,0,0,0,0,2,1),0),0)))</f>
        <v/>
      </c>
      <c r="E102" s="5">
        <f>IF(ISNUMBER(F102),MAX(DATE(2026,5,27),(F102+7)+CHOOSE(WEEKDAY(F102+7,2),0,0,0,0,0,2,1)),"at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Register'!$P:$P,0)))+CHOOSE(WEEKDAY(INDEX('iCoA Register'!$F:$F,MATCH(S103,'iCoA Register'!$P:$P,0)),2),0,0,0,0,0,2,1),0),0)))</f>
        <v/>
      </c>
      <c r="E103" s="5">
        <f>IF(ISNUMBER(F103),MAX(DATE(2026,5,27),(F103+7)+CHOOSE(WEEKDAY(F103+7,2),0,0,0,0,0,2,1)),"at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Register'!$P:$P,0)))+CHOOSE(WEEKDAY(INDEX('iCoA Register'!$F:$F,MATCH(S104,'iCoA Register'!$P:$P,0)),2),0,0,0,0,0,2,1),0),0)))</f>
        <v/>
      </c>
      <c r="E104" s="5">
        <f>IF(ISNUMBER(F104),MAX(DATE(2026,5,27),(F104+7)+CHOOSE(WEEKDAY(F104+7,2),0,0,0,0,0,2,1)),"at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Register'!$P:$P,0)))+CHOOSE(WEEKDAY(INDEX('iCoA Register'!$F:$F,MATCH(S105,'iCoA Register'!$P:$P,0)),2),0,0,0,0,0,2,1),0),0)))</f>
        <v/>
      </c>
      <c r="E105" s="5">
        <f>IF(ISNUMBER(F105),MAX(DATE(2026,5,27),(F105+7)+CHOOSE(WEEKDAY(F105+7,2),0,0,0,0,0,2,1)),"at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Register'!$P:$P,0)))+CHOOSE(WEEKDAY(INDEX('iCoA Register'!$F:$F,MATCH(S106,'iCoA Register'!$P:$P,0)),2),0,0,0,0,0,2,1),0),0)))</f>
        <v/>
      </c>
      <c r="E106" s="5">
        <f>IF(ISNUMBER(F106),MAX(DATE(2026,5,27),(F106+7)+CHOOSE(WEEKDAY(F106+7,2),0,0,0,0,0,2,1)),"at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Register'!$P:$P,0)))+CHOOSE(WEEKDAY(INDEX('iCoA Register'!$F:$F,MATCH(S107,'iCoA Register'!$P:$P,0)),2),0,0,0,0,0,2,1),0),0)))</f>
        <v/>
      </c>
      <c r="E107" s="5">
        <f>IF(ISNUMBER(F107),MAX(DATE(2026,5,27),(F107+7)+CHOOSE(WEEKDAY(F107+7,2),0,0,0,0,0,2,1)),"at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Register'!$P:$P,0)))+CHOOSE(WEEKDAY(INDEX('iCoA Register'!$F:$F,MATCH(S108,'iCoA Register'!$P:$P,0)),2),0,0,0,0,0,2,1),0),0)))</f>
        <v/>
      </c>
      <c r="E108" s="5">
        <f>IF(ISNUMBER(F108),MAX(DATE(2026,5,27),(F108+7)+CHOOSE(WEEKDAY(F108+7,2),0,0,0,0,0,2,1)),"at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Register'!$P:$P,0)))+CHOOSE(WEEKDAY(INDEX('iCoA Register'!$F:$F,MATCH(S109,'iCoA Register'!$P:$P,0)),2),0,0,0,0,0,2,1),0),0)))</f>
        <v/>
      </c>
      <c r="E109" s="5">
        <f>IF(ISNUMBER(F109),MAX(DATE(2026,5,27),(F109+7)+CHOOSE(WEEKDAY(F109+7,2),0,0,0,0,0,2,1)),"at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Register'!$P:$P,0)))+CHOOSE(WEEKDAY(INDEX('iCoA Register'!$F:$F,MATCH(S110,'iCoA Register'!$P:$P,0)),2),0,0,0,0,0,2,1),0),0)))</f>
        <v/>
      </c>
      <c r="E110" s="5">
        <f>IF(ISNUMBER(F110),MAX(DATE(2026,5,27),(F110+7)+CHOOSE(WEEKDAY(F110+7,2),0,0,0,0,0,2,1)),"at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Register'!$P:$P,0)))+CHOOSE(WEEKDAY(INDEX('iCoA Register'!$F:$F,MATCH(S111,'iCoA Register'!$P:$P,0)),2),0,0,0,0,0,2,1),0),0)))</f>
        <v/>
      </c>
      <c r="E111" s="5">
        <f>IF(ISNUMBER(F111),MAX(DATE(2026,5,27),(F111+7)+CHOOSE(WEEKDAY(F111+7,2),0,0,0,0,0,2,1)),"at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Register'!$P:$P,0)))+CHOOSE(WEEKDAY(INDEX('iCoA Register'!$F:$F,MATCH(S112,'iCoA Register'!$P:$P,0)),2),0,0,0,0,0,2,1),0),0)))</f>
        <v/>
      </c>
      <c r="E112" s="5">
        <f>IF(ISNUMBER(F112),MAX(DATE(2026,5,27),(F112+7)+CHOOSE(WEEKDAY(F112+7,2),0,0,0,0,0,2,1)),"at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Register'!$P:$P,0)))+CHOOSE(WEEKDAY(INDEX('iCoA Register'!$F:$F,MATCH(S113,'iCoA Register'!$P:$P,0)),2),0,0,0,0,0,2,1),0),0)))</f>
        <v/>
      </c>
      <c r="E113" s="5">
        <f>IF(ISNUMBER(F113),MAX(DATE(2026,5,27),(F113+7)+CHOOSE(WEEKDAY(F113+7,2),0,0,0,0,0,2,1)),"at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Register'!$P:$P,0)))+CHOOSE(WEEKDAY(INDEX('iCoA Register'!$F:$F,MATCH(S114,'iCoA Register'!$P:$P,0)),2),0,0,0,0,0,2,1),0),0)))</f>
        <v/>
      </c>
      <c r="E114" s="5">
        <f>IF(ISNUMBER(F114),MAX(DATE(2026,5,27),(F114+7)+CHOOSE(WEEKDAY(F114+7,2),0,0,0,0,0,2,1)),"at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Register'!$P:$P,0)))+CHOOSE(WEEKDAY(INDEX('iCoA Register'!$F:$F,MATCH(S115,'iCoA Register'!$P:$P,0)),2),0,0,0,0,0,2,1),0),0)))</f>
        <v/>
      </c>
      <c r="E115" s="5">
        <f>IF(ISNUMBER(F115),MAX(DATE(2026,5,27),(F115+7)+CHOOSE(WEEKDAY(F115+7,2),0,0,0,0,0,2,1)),"at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Register'!$P:$P,0)))+CHOOSE(WEEKDAY(INDEX('iCoA Register'!$F:$F,MATCH(S116,'iCoA Register'!$P:$P,0)),2),0,0,0,0,0,2,1),0),0)))</f>
        <v/>
      </c>
      <c r="E116" s="5">
        <f>IF(ISNUMBER(F116),MAX(DATE(2026,5,27),(F116+7)+CHOOSE(WEEKDAY(F116+7,2),0,0,0,0,0,2,1)),"at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Register'!$P:$P,0)))+CHOOSE(WEEKDAY(INDEX('iCoA Register'!$F:$F,MATCH(S117,'iCoA Register'!$P:$P,0)),2),0,0,0,0,0,2,1),0),0)))</f>
        <v/>
      </c>
      <c r="E117" s="5">
        <f>IF(ISNUMBER(F117),MAX(DATE(2026,5,27),(F117+7)+CHOOSE(WEEKDAY(F117+7,2),0,0,0,0,0,2,1)),"at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Register'!$P:$P,0)))+CHOOSE(WEEKDAY(INDEX('iCoA Register'!$F:$F,MATCH(S118,'iCoA Register'!$P:$P,0)),2),0,0,0,0,0,2,1),0),0)))</f>
        <v/>
      </c>
      <c r="E118" s="5">
        <f>IF(ISNUMBER(F118),MAX(DATE(2026,5,27),(F118+7)+CHOOSE(WEEKDAY(F118+7,2),0,0,0,0,0,2,1)),"at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Register'!$P:$P,0)))+CHOOSE(WEEKDAY(INDEX('iCoA Register'!$F:$F,MATCH(S119,'iCoA Register'!$P:$P,0)),2),0,0,0,0,0,2,1),0),0)))</f>
        <v/>
      </c>
      <c r="E119" s="5">
        <f>IF(ISNUMBER(F119),MAX(DATE(2026,5,27),(F119+7)+CHOOSE(WEEKDAY(F119+7,2),0,0,0,0,0,2,1)),"at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Register'!$P:$P,0)))+CHOOSE(WEEKDAY(INDEX('iCoA Register'!$F:$F,MATCH(S120,'iCoA Register'!$P:$P,0)),2),0,0,0,0,0,2,1),0),0)))</f>
        <v/>
      </c>
      <c r="E120" s="5">
        <f>IF(ISNUMBER(F120),MAX(DATE(2026,5,27),(F120+7)+CHOOSE(WEEKDAY(F120+7,2),0,0,0,0,0,2,1)),"at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Register'!$P:$P,0)))+CHOOSE(WEEKDAY(INDEX('iCoA Register'!$F:$F,MATCH(S121,'iCoA Register'!$P:$P,0)),2),0,0,0,0,0,2,1),0),0)))</f>
        <v/>
      </c>
      <c r="E121" s="5">
        <f>IF(ISNUMBER(F121),MAX(DATE(2026,5,27),(F121+7)+CHOOSE(WEEKDAY(F121+7,2),0,0,0,0,0,2,1)),"at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Register'!$P:$P,0)))+CHOOSE(WEEKDAY(INDEX('iCoA Register'!$F:$F,MATCH(S122,'iCoA Register'!$P:$P,0)),2),0,0,0,0,0,2,1),0),0)))</f>
        <v/>
      </c>
      <c r="E122" s="5">
        <f>IF(ISNUMBER(F122),MAX(DATE(2026,5,27),(F122+7)+CHOOSE(WEEKDAY(F122+7,2),0,0,0,0,0,2,1)),"at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Register'!$P:$P,0)))+CHOOSE(WEEKDAY(INDEX('iCoA Register'!$F:$F,MATCH(S123,'iCoA Register'!$P:$P,0)),2),0,0,0,0,0,2,1),0),0)))</f>
        <v/>
      </c>
      <c r="E123" s="5">
        <f>IF(ISNUMBER(F123),MAX(DATE(2026,5,27),(F123+7)+CHOOSE(WEEKDAY(F123+7,2),0,0,0,0,0,2,1)),"at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Register'!$P:$P,0)))+CHOOSE(WEEKDAY(INDEX('iCoA Register'!$F:$F,MATCH(S124,'iCoA Register'!$P:$P,0)),2),0,0,0,0,0,2,1),0),0)))</f>
        <v/>
      </c>
      <c r="E124" s="5">
        <f>IF(ISNUMBER(F124),MAX(DATE(2026,5,27),(F124+7)+CHOOSE(WEEKDAY(F124+7,2),0,0,0,0,0,2,1)),"at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Register'!$P:$P,0)))+CHOOSE(WEEKDAY(INDEX('iCoA Register'!$F:$F,MATCH(S125,'iCoA Register'!$P:$P,0)),2),0,0,0,0,0,2,1),0),0)))</f>
        <v/>
      </c>
      <c r="E125" s="5">
        <f>IF(ISNUMBER(F125),MAX(DATE(2026,5,27),(F125+7)+CHOOSE(WEEKDAY(F125+7,2),0,0,0,0,0,2,1)),"at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Register'!$P:$P,0)))+CHOOSE(WEEKDAY(INDEX('iCoA Register'!$F:$F,MATCH(S126,'iCoA Register'!$P:$P,0)),2),0,0,0,0,0,2,1),0),0)))</f>
        <v/>
      </c>
      <c r="E126" s="5">
        <f>IF(ISNUMBER(F126),MAX(DATE(2026,5,27),(F126+7)+CHOOSE(WEEKDAY(F126+7,2),0,0,0,0,0,2,1)),"at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Register'!$P:$P,0)))+CHOOSE(WEEKDAY(INDEX('iCoA Register'!$F:$F,MATCH(S127,'iCoA Register'!$P:$P,0)),2),0,0,0,0,0,2,1),0),0)))</f>
        <v/>
      </c>
      <c r="E127" s="5">
        <f>IF(ISNUMBER(F127),MAX(DATE(2026,5,27),(F127+7)+CHOOSE(WEEKDAY(F127+7,2),0,0,0,0,0,2,1)),"at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Register'!$P:$P,0)))+CHOOSE(WEEKDAY(INDEX('iCoA Register'!$F:$F,MATCH(S128,'iCoA Register'!$P:$P,0)),2),0,0,0,0,0,2,1),0),0)))</f>
        <v/>
      </c>
      <c r="E128" s="5">
        <f>IF(ISNUMBER(F128),MAX(DATE(2026,5,27),(F128+7)+CHOOSE(WEEKDAY(F128+7,2),0,0,0,0,0,2,1)),"at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Register'!$P:$P,0)))+CHOOSE(WEEKDAY(INDEX('iCoA Register'!$F:$F,MATCH(S129,'iCoA Register'!$P:$P,0)),2),0,0,0,0,0,2,1),0),0)))</f>
        <v/>
      </c>
      <c r="E129" s="5">
        <f>IF(ISNUMBER(F129),MAX(DATE(2026,5,27),(F129+7)+CHOOSE(WEEKDAY(F129+7,2),0,0,0,0,0,2,1)),"at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Register'!$P:$P,0)))+CHOOSE(WEEKDAY(INDEX('iCoA Register'!$F:$F,MATCH(S130,'iCoA Register'!$P:$P,0)),2),0,0,0,0,0,2,1),0),0)))</f>
        <v/>
      </c>
      <c r="E130" s="5">
        <f>IF(ISNUMBER(F130),MAX(DATE(2026,5,27),(F130+7)+CHOOSE(WEEKDAY(F130+7,2),0,0,0,0,0,2,1)),"at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Register'!$P:$P,0)))+CHOOSE(WEEKDAY(INDEX('iCoA Register'!$F:$F,MATCH(S131,'iCoA Register'!$P:$P,0)),2),0,0,0,0,0,2,1),0),0)))</f>
        <v/>
      </c>
      <c r="E131" s="5">
        <f>IF(ISNUMBER(F131),MAX(DATE(2026,5,27),(F131+7)+CHOOSE(WEEKDAY(F131+7,2),0,0,0,0,0,2,1)),"at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Register'!$P:$P,0)))+CHOOSE(WEEKDAY(INDEX('iCoA Register'!$F:$F,MATCH(S132,'iCoA Register'!$P:$P,0)),2),0,0,0,0,0,2,1),0),0)))</f>
        <v/>
      </c>
      <c r="E132" s="5">
        <f>IF(ISNUMBER(F132),MAX(DATE(2026,5,27),(F132+7)+CHOOSE(WEEKDAY(F132+7,2),0,0,0,0,0,2,1)),"at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Register'!$P:$P,0)))+CHOOSE(WEEKDAY(INDEX('iCoA Register'!$F:$F,MATCH(S133,'iCoA Register'!$P:$P,0)),2),0,0,0,0,0,2,1),0),0)))</f>
        <v/>
      </c>
      <c r="E133" s="5">
        <f>IF(ISNUMBER(F133),MAX(DATE(2026,5,27),(F133+7)+CHOOSE(WEEKDAY(F133+7,2),0,0,0,0,0,2,1)),"at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Register'!$P:$P,0)))+CHOOSE(WEEKDAY(INDEX('iCoA Register'!$F:$F,MATCH(S134,'iCoA Register'!$P:$P,0)),2),0,0,0,0,0,2,1),0),0)))</f>
        <v/>
      </c>
      <c r="E134" s="5">
        <f>IF(ISNUMBER(F134),MAX(DATE(2026,5,27),(F134+7)+CHOOSE(WEEKDAY(F134+7,2),0,0,0,0,0,2,1)),"at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Register'!$P:$P,0)))+CHOOSE(WEEKDAY(INDEX('iCoA Register'!$F:$F,MATCH(S135,'iCoA Register'!$P:$P,0)),2),0,0,0,0,0,2,1),0),0)))</f>
        <v/>
      </c>
      <c r="E135" s="5">
        <f>IF(ISNUMBER(F135),MAX(DATE(2026,5,27),(F135+7)+CHOOSE(WEEKDAY(F135+7,2),0,0,0,0,0,2,1)),"at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Register'!$P:$P,0)))+CHOOSE(WEEKDAY(INDEX('iCoA Register'!$F:$F,MATCH(S136,'iCoA Register'!$P:$P,0)),2),0,0,0,0,0,2,1),0),0)))</f>
        <v/>
      </c>
      <c r="E136" s="5">
        <f>IF(ISNUMBER(F136),MAX(DATE(2026,5,27),(F136+7)+CHOOSE(WEEKDAY(F136+7,2),0,0,0,0,0,2,1)),"at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Register'!$P:$P,0)))+CHOOSE(WEEKDAY(INDEX('iCoA Register'!$F:$F,MATCH(S137,'iCoA Register'!$P:$P,0)),2),0,0,0,0,0,2,1),0),0)))</f>
        <v/>
      </c>
      <c r="E137" s="5">
        <f>IF(ISNUMBER(F137),MAX(DATE(2026,5,27),(F137+7)+CHOOSE(WEEKDAY(F137+7,2),0,0,0,0,0,2,1)),"at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Register'!$P:$P,0)))+CHOOSE(WEEKDAY(INDEX('iCoA Register'!$F:$F,MATCH(S138,'iCoA Register'!$P:$P,0)),2),0,0,0,0,0,2,1),0),0)))</f>
        <v/>
      </c>
      <c r="E138" s="5">
        <f>IF(ISNUMBER(F138),MAX(DATE(2026,5,27),(F138+7)+CHOOSE(WEEKDAY(F138+7,2),0,0,0,0,0,2,1)),"at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Register'!$P:$P,0)))+CHOOSE(WEEKDAY(INDEX('iCoA Register'!$F:$F,MATCH(S139,'iCoA Register'!$P:$P,0)),2),0,0,0,0,0,2,1),0),0)))</f>
        <v/>
      </c>
      <c r="E139" s="5">
        <f>IF(ISNUMBER(F139),MAX(DATE(2026,5,27),(F139+7)+CHOOSE(WEEKDAY(F139+7,2),0,0,0,0,0,2,1)),"at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Register'!$P:$P,0)))+CHOOSE(WEEKDAY(INDEX('iCoA Register'!$F:$F,MATCH(S140,'iCoA Register'!$P:$P,0)),2),0,0,0,0,0,2,1),0),0)))</f>
        <v/>
      </c>
      <c r="E140" s="5">
        <f>IF(ISNUMBER(F140),MAX(DATE(2026,5,27),(F140+7)+CHOOSE(WEEKDAY(F140+7,2),0,0,0,0,0,2,1)),"at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Register'!$P:$P,0)))+CHOOSE(WEEKDAY(INDEX('iCoA Register'!$F:$F,MATCH(S141,'iCoA Register'!$P:$P,0)),2),0,0,0,0,0,2,1),0),0)))</f>
        <v/>
      </c>
      <c r="E141" s="5">
        <f>IF(ISNUMBER(F141),MAX(DATE(2026,5,27),(F141+7)+CHOOSE(WEEKDAY(F141+7,2),0,0,0,0,0,2,1)),"at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Register'!$P:$P,0)))+CHOOSE(WEEKDAY(INDEX('iCoA Register'!$F:$F,MATCH(S142,'iCoA Register'!$P:$P,0)),2),0,0,0,0,0,2,1),0),0)))</f>
        <v/>
      </c>
      <c r="E142" s="5">
        <f>IF(ISNUMBER(F142),MAX(DATE(2026,5,27),(F142+7)+CHOOSE(WEEKDAY(F142+7,2),0,0,0,0,0,2,1)),"at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Register'!$P:$P,0)))+CHOOSE(WEEKDAY(INDEX('iCoA Register'!$F:$F,MATCH(S143,'iCoA Register'!$P:$P,0)),2),0,0,0,0,0,2,1),0),0)))</f>
        <v/>
      </c>
      <c r="E143" s="5">
        <f>IF(ISNUMBER(F143),MAX(DATE(2026,5,27),(F143+7)+CHOOSE(WEEKDAY(F143+7,2),0,0,0,0,0,2,1)),"at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Register'!$P:$P,0)))+CHOOSE(WEEKDAY(INDEX('iCoA Register'!$F:$F,MATCH(S144,'iCoA Register'!$P:$P,0)),2),0,0,0,0,0,2,1),0),0)))</f>
        <v/>
      </c>
      <c r="E144" s="5">
        <f>IF(ISNUMBER(F144),MAX(DATE(2026,5,27),(F144+7)+CHOOSE(WEEKDAY(F144+7,2),0,0,0,0,0,2,1)),"at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Register'!$P:$P,0)))+CHOOSE(WEEKDAY(INDEX('iCoA Register'!$F:$F,MATCH(S145,'iCoA Register'!$P:$P,0)),2),0,0,0,0,0,2,1),0),0)))</f>
        <v/>
      </c>
      <c r="E145" s="5">
        <f>IF(ISNUMBER(F145),MAX(DATE(2026,5,27),(F145+7)+CHOOSE(WEEKDAY(F145+7,2),0,0,0,0,0,2,1)),"at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Register'!$P:$P,0)))+CHOOSE(WEEKDAY(INDEX('iCoA Register'!$F:$F,MATCH(S146,'iCoA Register'!$P:$P,0)),2),0,0,0,0,0,2,1),0),0)))</f>
        <v/>
      </c>
      <c r="E146" s="5">
        <f>IF(ISNUMBER(F146),MAX(DATE(2026,5,27),(F146+7)+CHOOSE(WEEKDAY(F146+7,2),0,0,0,0,0,2,1)),"at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Register'!$P:$P,0)))+CHOOSE(WEEKDAY(INDEX('iCoA Register'!$F:$F,MATCH(S147,'iCoA Register'!$P:$P,0)),2),0,0,0,0,0,2,1),0),0)))</f>
        <v/>
      </c>
      <c r="E147" s="5">
        <f>IF(ISNUMBER(F147),MAX(DATE(2026,5,27),(F147+7)+CHOOSE(WEEKDAY(F147+7,2),0,0,0,0,0,2,1)),"at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Register'!$P:$P,0)))+CHOOSE(WEEKDAY(INDEX('iCoA Register'!$F:$F,MATCH(S148,'iCoA Register'!$P:$P,0)),2),0,0,0,0,0,2,1),0),0)))</f>
        <v/>
      </c>
      <c r="E148" s="5">
        <f>IF(ISNUMBER(F148),MAX(DATE(2026,5,27),(F148+7)+CHOOSE(WEEKDAY(F148+7,2),0,0,0,0,0,2,1)),"at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Register'!$P:$P,0)))+CHOOSE(WEEKDAY(INDEX('iCoA Register'!$F:$F,MATCH(S149,'iCoA Register'!$P:$P,0)),2),0,0,0,0,0,2,1),0),0)))</f>
        <v/>
      </c>
      <c r="E149" s="5">
        <f>IF(ISNUMBER(F149),MAX(DATE(2026,5,27),(F149+7)+CHOOSE(WEEKDAY(F149+7,2),0,0,0,0,0,2,1)),"at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Register'!$P:$P,0)))+CHOOSE(WEEKDAY(INDEX('iCoA Register'!$F:$F,MATCH(S150,'iCoA Register'!$P:$P,0)),2),0,0,0,0,0,2,1),0),0)))</f>
        <v/>
      </c>
      <c r="E150" s="5">
        <f>IF(ISNUMBER(F150),MAX(DATE(2026,5,27),(F150+7)+CHOOSE(WEEKDAY(F150+7,2),0,0,0,0,0,2,1)),"at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Register'!$P:$P,0)))+CHOOSE(WEEKDAY(INDEX('iCoA Register'!$F:$F,MATCH(S151,'iCoA Register'!$P:$P,0)),2),0,0,0,0,0,2,1),0),0)))</f>
        <v/>
      </c>
      <c r="E151" s="5">
        <f>IF(ISNUMBER(F151),MAX(DATE(2026,5,27),(F151+7)+CHOOSE(WEEKDAY(F151+7,2),0,0,0,0,0,2,1)),"at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Register'!$P:$P,0)))+CHOOSE(WEEKDAY(INDEX('iCoA Register'!$F:$F,MATCH(S152,'iCoA Register'!$P:$P,0)),2),0,0,0,0,0,2,1),0),0)))</f>
        <v/>
      </c>
      <c r="E152" s="5">
        <f>IF(ISNUMBER(F152),MAX(DATE(2026,5,27),(F152+7)+CHOOSE(WEEKDAY(F152+7,2),0,0,0,0,0,2,1)),"at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Register'!$P:$P,0)))+CHOOSE(WEEKDAY(INDEX('iCoA Register'!$F:$F,MATCH(S153,'iCoA Register'!$P:$P,0)),2),0,0,0,0,0,2,1),0),0)))</f>
        <v/>
      </c>
      <c r="E153" s="5">
        <f>IF(ISNUMBER(F153),MAX(DATE(2026,5,27),(F153+7)+CHOOSE(WEEKDAY(F153+7,2),0,0,0,0,0,2,1)),"at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Register'!$P:$P,0)))+CHOOSE(WEEKDAY(INDEX('iCoA Register'!$F:$F,MATCH(S154,'iCoA Register'!$P:$P,0)),2),0,0,0,0,0,2,1),0),0)))</f>
        <v/>
      </c>
      <c r="E154" s="5">
        <f>IF(ISNUMBER(F154),MAX(DATE(2026,5,27),(F154+7)+CHOOSE(WEEKDAY(F154+7,2),0,0,0,0,0,2,1)),"at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Register'!$P:$P,0)))+CHOOSE(WEEKDAY(INDEX('iCoA Register'!$F:$F,MATCH(S155,'iCoA Register'!$P:$P,0)),2),0,0,0,0,0,2,1),0),0)))</f>
        <v/>
      </c>
      <c r="E155" s="5">
        <f>IF(ISNUMBER(F155),MAX(DATE(2026,5,27),(F155+7)+CHOOSE(WEEKDAY(F155+7,2),0,0,0,0,0,2,1)),"at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Register'!$P:$P,0)))+CHOOSE(WEEKDAY(INDEX('iCoA Register'!$F:$F,MATCH(S156,'iCoA Register'!$P:$P,0)),2),0,0,0,0,0,2,1),0),0)))</f>
        <v/>
      </c>
      <c r="E156" s="5">
        <f>IF(ISNUMBER(F156),MAX(DATE(2026,5,27),(F156+7)+CHOOSE(WEEKDAY(F156+7,2),0,0,0,0,0,2,1)),"at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Register'!$P:$P,0)))+CHOOSE(WEEKDAY(INDEX('iCoA Register'!$F:$F,MATCH(S157,'iCoA Register'!$P:$P,0)),2),0,0,0,0,0,2,1),0),0)))</f>
        <v/>
      </c>
      <c r="E157" s="5">
        <f>IF(ISNUMBER(F157),MAX(DATE(2026,5,27),(F157+7)+CHOOSE(WEEKDAY(F157+7,2),0,0,0,0,0,2,1)),"at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Register'!$P:$P,0)))+CHOOSE(WEEKDAY(INDEX('iCoA Register'!$F:$F,MATCH(S158,'iCoA Register'!$P:$P,0)),2),0,0,0,0,0,2,1),0),0)))</f>
        <v/>
      </c>
      <c r="E158" s="5">
        <f>IF(ISNUMBER(F158),MAX(DATE(2026,5,27),(F158+7)+CHOOSE(WEEKDAY(F158+7,2),0,0,0,0,0,2,1)),"at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BSS1024_01/2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v21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row r="4">
      <c r="A4" s="13" t="inlineStr">
        <is>
          <t>Source: CoQ_Analysis_Master_v21.xlsx,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2026-09-10T16:25:13Z</dcterms:created>
  <dcterms:modified xsi:type="dcterms:W3CDTF">2026-09-10T16:25:14Z</dcterms:modified>
</cp:coreProperties>
</file>