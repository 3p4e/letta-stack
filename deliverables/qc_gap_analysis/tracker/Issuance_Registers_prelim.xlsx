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Crusher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Marker</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Crusher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Marker</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Joe</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Grapes And Cream</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Grapes And Cream</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Joe</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Grapes And Cream</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Joe</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Donuts</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Marker</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Donuts</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Donuts</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Donuts</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Donuts</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IF(A89="","",IF(ISNUMBER(E89),MAX(DATE(2026,6,3),E89),DATE(2026,6,3)))</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2</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Register'!$B:$B,MATCH("P050212|R2",'CoQ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Register'!$D:$D,MATCH("P050212|R2",'CoQ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P050212|R2</t>
        </is>
      </c>
      <c r="AB104" s="7" t="inlineStr">
        <is>
          <t>registered — retest 2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Donuts</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Marker</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Donuts</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Donuts</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2</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Register'!$B:$B,MATCH("P050222|R2",'CoQ Register'!$S:$S,0)),"—")</f>
        <v/>
      </c>
      <c r="O127" s="6" t="inlineStr">
        <is>
          <t>—</t>
        </is>
      </c>
      <c r="P127" s="2" t="inlineStr">
        <is>
          <t>24.11.2026</t>
        </is>
      </c>
      <c r="Q127" s="2" t="inlineStr">
        <is>
          <t>23.09.2025</t>
        </is>
      </c>
      <c r="R127" s="2" t="inlineStr">
        <is>
          <t>24.11.2025 – 25.11.2025</t>
        </is>
      </c>
      <c r="S127" s="5">
        <f>IFERROR(INDEX('CoQ Register'!$D:$D,MATCH("P050222|R2",'CoQ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P050222|R2</t>
        </is>
      </c>
      <c r="AB127" s="7" t="inlineStr">
        <is>
          <t>registered — retest 2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Grapes And Cream</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Donuts</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Donuts</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Donuts</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Donuts</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Marker</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Joe</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Crusher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Marker</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Joe</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Joe</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Crusher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Grapes And Cream</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Donuts</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legacy</t>
        </is>
      </c>
      <c r="H187" s="2" t="inlineStr">
        <is>
          <t>retest 1</t>
        </is>
      </c>
      <c r="I187" s="3" t="inlineStr">
        <is>
          <t>CJ062501/1</t>
        </is>
      </c>
      <c r="J187" s="2" t="inlineStr">
        <is>
          <t>P050222</t>
        </is>
      </c>
      <c r="K187" s="2" t="inlineStr">
        <is>
          <t>Cap Junky</t>
        </is>
      </c>
      <c r="L187" s="2" t="inlineStr">
        <is>
          <t>Ident A + Ident B + Foreign matter</t>
        </is>
      </c>
      <c r="M187" s="6" t="inlineStr">
        <is>
          <t>—</t>
        </is>
      </c>
      <c r="N187" s="2">
        <f>IFERROR(INDEX('CoQ Register'!$B:$B,MATCH("P050222|R",'CoQ Register'!$S:$S,0)),"—")</f>
        <v/>
      </c>
      <c r="O187" s="6" t="inlineStr">
        <is>
          <t>—</t>
        </is>
      </c>
      <c r="P187" s="2" t="inlineStr">
        <is>
          <t>24.11.2026</t>
        </is>
      </c>
      <c r="Q187" s="2" t="inlineStr">
        <is>
          <t>23.09.2025</t>
        </is>
      </c>
      <c r="R187" s="2" t="inlineStr">
        <is>
          <t>24.11.2025 – 25.11.2025</t>
        </is>
      </c>
      <c r="S187" s="5">
        <f>IFERROR(INDEX('CoQ Register'!$D:$D,MATCH("P050222|R",'CoQ Register'!$S:$S,0)),"")</f>
        <v/>
      </c>
      <c r="T187" s="2" t="inlineStr">
        <is>
          <t>Conforms</t>
        </is>
      </c>
      <c r="U187" s="2" t="inlineStr">
        <is>
          <t>Conforms</t>
        </is>
      </c>
      <c r="V187" s="2" t="inlineStr">
        <is>
          <t>Conforms</t>
        </is>
      </c>
      <c r="W187" s="2" t="inlineStr">
        <is>
          <t>220-3-K-26, (25.08.2026) [FHM-K]</t>
        </is>
      </c>
      <c r="X187" s="2" t="inlineStr">
        <is>
          <t>220-3-K-26, (25.08.2026) [FHM-K]</t>
        </is>
      </c>
      <c r="Y187" s="2" t="inlineStr">
        <is>
          <t>220-3-M-26, (11.09.2026) [FHM-M]</t>
        </is>
      </c>
      <c r="Z187" s="2" t="inlineStr">
        <is>
          <t>#8, #9, #11, #12 from the initial testing</t>
        </is>
      </c>
      <c r="AA187" s="2" t="inlineStr">
        <is>
          <t>P050222|R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legacy</t>
        </is>
      </c>
      <c r="H188" s="2" t="inlineStr">
        <is>
          <t>retest 1</t>
        </is>
      </c>
      <c r="I188" s="3" t="inlineStr">
        <is>
          <t>CJ062501/2</t>
        </is>
      </c>
      <c r="J188" s="2" t="inlineStr">
        <is>
          <t>P050212</t>
        </is>
      </c>
      <c r="K188" s="2" t="inlineStr">
        <is>
          <t>Cap Junky</t>
        </is>
      </c>
      <c r="L188" s="2" t="inlineStr">
        <is>
          <t>Ident A + Ident B + Foreign matter</t>
        </is>
      </c>
      <c r="M188" s="6" t="inlineStr">
        <is>
          <t>—</t>
        </is>
      </c>
      <c r="N188" s="2">
        <f>IFERROR(INDEX('CoQ Register'!$B:$B,MATCH("P050212|R",'CoQ Register'!$S:$S,0)),"—")</f>
        <v/>
      </c>
      <c r="O188" s="6" t="inlineStr">
        <is>
          <t>—</t>
        </is>
      </c>
      <c r="P188" s="2" t="inlineStr">
        <is>
          <t>24.01.2027</t>
        </is>
      </c>
      <c r="Q188" s="2" t="inlineStr">
        <is>
          <t>23.09.2025 – 24.09.2025</t>
        </is>
      </c>
      <c r="R188" s="2" t="inlineStr">
        <is>
          <t>18.11.2025 – 24.11.2025 (the issuance plan's basis: 24.01.2026)</t>
        </is>
      </c>
      <c r="S188" s="5">
        <f>IFERROR(INDEX('CoQ Register'!$D:$D,MATCH("P050212|R",'CoQ Register'!$S:$S,0)),"")</f>
        <v/>
      </c>
      <c r="T188" s="2" t="inlineStr">
        <is>
          <t>Conforms</t>
        </is>
      </c>
      <c r="U188" s="2" t="inlineStr">
        <is>
          <t>Conforms</t>
        </is>
      </c>
      <c r="V188" s="2" t="inlineStr">
        <is>
          <t>Conforms</t>
        </is>
      </c>
      <c r="W188" s="2" t="inlineStr">
        <is>
          <t>197-4-K-26, (07.08.2026) [FHM-K]</t>
        </is>
      </c>
      <c r="X188" s="2" t="inlineStr">
        <is>
          <t>197-4-K-26, (07.08.2026) [FHM-K]</t>
        </is>
      </c>
      <c r="Y188" s="2" t="inlineStr">
        <is>
          <t>197-4-M-26, (10.08.2026) [FHM-M]</t>
        </is>
      </c>
      <c r="Z188" s="2" t="inlineStr">
        <is>
          <t>#8, #9, #11, #12 from the initial testing</t>
        </is>
      </c>
      <c r="AA188" s="2" t="inlineStr">
        <is>
          <t>P050212|R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FB012603</t>
        </is>
      </c>
      <c r="J189" s="2" t="inlineStr">
        <is>
          <t>P060432</t>
        </is>
      </c>
      <c r="K189" s="2" t="inlineStr">
        <is>
          <t>Fat Bastard</t>
        </is>
      </c>
      <c r="L189" s="2" t="inlineStr">
        <is>
          <t>Ident A + Ident B + Foreign matter</t>
        </is>
      </c>
      <c r="M189" s="6" t="inlineStr">
        <is>
          <t>—</t>
        </is>
      </c>
      <c r="N189" s="2">
        <f>IFERROR(INDEX('CoQ Register'!$B:$B,MATCH("P060432|R",'CoQ Register'!$S:$S,0)),"—")</f>
        <v/>
      </c>
      <c r="O189" s="6" t="inlineStr">
        <is>
          <t>—</t>
        </is>
      </c>
      <c r="P189" s="2" t="inlineStr">
        <is>
          <t>30.06.2027</t>
        </is>
      </c>
      <c r="Q189" s="2" t="inlineStr">
        <is>
          <t>04.05.2026</t>
        </is>
      </c>
      <c r="R189" s="2" t="inlineStr">
        <is>
          <t>15.06.2026 (the issuance plan's basis: 30.06.2026)</t>
        </is>
      </c>
      <c r="S189" s="5">
        <f>IFERROR(INDEX('CoQ Register'!$D:$D,MATCH("P060432|R",'CoQ Register'!$S:$S,0)),"")</f>
        <v/>
      </c>
      <c r="T189" s="2" t="inlineStr">
        <is>
          <t>CNP ППК26112</t>
        </is>
      </c>
      <c r="U189" s="2" t="inlineStr">
        <is>
          <t>CNP ППК26112</t>
        </is>
      </c>
      <c r="V189" s="2" t="inlineStr">
        <is>
          <t>Conforms</t>
        </is>
      </c>
      <c r="W189" s="2" t="inlineStr">
        <is>
          <t>227-24-K-26, (11.09.2026) [FHM-K]</t>
        </is>
      </c>
      <c r="X189" s="2" t="inlineStr">
        <is>
          <t>227-24-K-26, (11.09.2026) [FHM-K]</t>
        </is>
      </c>
      <c r="Y189" s="2" t="inlineStr">
        <is>
          <t>— pending —</t>
        </is>
      </c>
      <c r="Z189" s="2" t="inlineStr">
        <is>
          <t>#8, #9, #11, #12 from the initial testing</t>
        </is>
      </c>
      <c r="AA189" s="2" t="inlineStr">
        <is>
          <t>P060432|R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FB012603V</t>
        </is>
      </c>
      <c r="J190" s="2" t="inlineStr">
        <is>
          <t>P060392</t>
        </is>
      </c>
      <c r="K190" s="2" t="inlineStr">
        <is>
          <t>Fat Bastard</t>
        </is>
      </c>
      <c r="L190" s="2" t="inlineStr">
        <is>
          <t>Ident A + Ident B + Foreign matter</t>
        </is>
      </c>
      <c r="M190" s="6" t="inlineStr">
        <is>
          <t>—</t>
        </is>
      </c>
      <c r="N190" s="2">
        <f>IFERROR(INDEX('CoQ Register'!$B:$B,MATCH("P060392|R",'CoQ Register'!$S:$S,0)),"—")</f>
        <v/>
      </c>
      <c r="O190" s="6" t="inlineStr">
        <is>
          <t>—</t>
        </is>
      </c>
      <c r="P190" s="2" t="inlineStr">
        <is>
          <t>30.06.2027</t>
        </is>
      </c>
      <c r="Q190" s="2" t="inlineStr">
        <is>
          <t>29.04.2026</t>
        </is>
      </c>
      <c r="R190" s="2" t="inlineStr">
        <is>
          <t>23.05.2026 (the issuance plan's basis: 30.06.2026)</t>
        </is>
      </c>
      <c r="S190" s="5">
        <f>IFERROR(INDEX('CoQ Register'!$D:$D,MATCH("P060392|R",'CoQ Register'!$S:$S,0)),"")</f>
        <v/>
      </c>
      <c r="T190" s="2" t="inlineStr">
        <is>
          <t>CNP ППК26110</t>
        </is>
      </c>
      <c r="U190" s="2" t="inlineStr">
        <is>
          <t>CNP ППК26110</t>
        </is>
      </c>
      <c r="V190" s="2" t="inlineStr">
        <is>
          <t>Conforms</t>
        </is>
      </c>
      <c r="W190" s="2" t="inlineStr">
        <is>
          <t>227-23-K-26, (11.09.2026) [FHM-K]</t>
        </is>
      </c>
      <c r="X190" s="2" t="inlineStr">
        <is>
          <t>227-23-K-26, (11.09.2026) [FHM-K]</t>
        </is>
      </c>
      <c r="Y190" s="2" t="inlineStr">
        <is>
          <t>— pending —</t>
        </is>
      </c>
      <c r="Z190" s="2" t="inlineStr">
        <is>
          <t>#8, #9, #11, #12 from the initial testing</t>
        </is>
      </c>
      <c r="AA190" s="2" t="inlineStr">
        <is>
          <t>P060392|R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FB112501</t>
        </is>
      </c>
      <c r="J191" s="2" t="inlineStr">
        <is>
          <t>P060292</t>
        </is>
      </c>
      <c r="K191" s="2" t="inlineStr">
        <is>
          <t>Fat Bastard</t>
        </is>
      </c>
      <c r="L191" s="2" t="inlineStr">
        <is>
          <t>Ident A + Ident B + Foreign matter</t>
        </is>
      </c>
      <c r="M191" s="6" t="inlineStr">
        <is>
          <t>—</t>
        </is>
      </c>
      <c r="N191" s="2">
        <f>IFERROR(INDEX('CoQ Register'!$B:$B,MATCH("P060292|R",'CoQ Register'!$S:$S,0)),"—")</f>
        <v/>
      </c>
      <c r="O191" s="6" t="inlineStr">
        <is>
          <t>—</t>
        </is>
      </c>
      <c r="P191" s="2" t="inlineStr">
        <is>
          <t>11.05.2027</t>
        </is>
      </c>
      <c r="Q191" s="2" t="inlineStr">
        <is>
          <t>25.03.2026</t>
        </is>
      </c>
      <c r="R191" s="2" t="inlineStr">
        <is>
          <t>19.05.2026 (the issuance plan's basis: 11.05.2026)</t>
        </is>
      </c>
      <c r="S191" s="5">
        <f>IFERROR(INDEX('CoQ Register'!$D:$D,MATCH("P060292|R",'CoQ Register'!$S:$S,0)),"")</f>
        <v/>
      </c>
      <c r="T191" s="2" t="inlineStr">
        <is>
          <t>Conforms</t>
        </is>
      </c>
      <c r="U191" s="2" t="inlineStr">
        <is>
          <t>Conforms</t>
        </is>
      </c>
      <c r="V191" s="2" t="inlineStr">
        <is>
          <t>Conforms</t>
        </is>
      </c>
      <c r="W191" s="2" t="inlineStr">
        <is>
          <t>227-22-K-26, (11.09.2026) [FHM-K]</t>
        </is>
      </c>
      <c r="X191" s="2" t="inlineStr">
        <is>
          <t>227-22-K-26, (11.09.2026) [FHM-K]</t>
        </is>
      </c>
      <c r="Y191" s="2" t="inlineStr">
        <is>
          <t>— pending —</t>
        </is>
      </c>
      <c r="Z191" s="2" t="inlineStr">
        <is>
          <t>#8, #9, #11, #12 from the initial testing</t>
        </is>
      </c>
      <c r="AA191" s="2" t="inlineStr">
        <is>
          <t>P060292|R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GG012601＊</t>
        </is>
      </c>
      <c r="J192" s="2" t="inlineStr">
        <is>
          <t>P060302</t>
        </is>
      </c>
      <c r="K192" s="2" t="inlineStr">
        <is>
          <t>Gorilla Glue</t>
        </is>
      </c>
      <c r="L192" s="2" t="inlineStr">
        <is>
          <t>Ident A + Ident B + Foreign matter</t>
        </is>
      </c>
      <c r="M192" s="6" t="inlineStr">
        <is>
          <t>—</t>
        </is>
      </c>
      <c r="N192" s="2">
        <f>IFERROR(INDEX('CoQ Register'!$B:$B,MATCH("P060302|R",'CoQ Register'!$S:$S,0)),"—")</f>
        <v/>
      </c>
      <c r="O192" s="6" t="inlineStr">
        <is>
          <t>—</t>
        </is>
      </c>
      <c r="P192" s="2" t="inlineStr">
        <is>
          <t>11.05.2027</t>
        </is>
      </c>
      <c r="Q192" s="2" t="inlineStr">
        <is>
          <t>27.03.2026</t>
        </is>
      </c>
      <c r="R192" s="2" t="inlineStr">
        <is>
          <t>20.05.2026 (the issuance plan's basis: 11.05.2026)</t>
        </is>
      </c>
      <c r="S192" s="5">
        <f>IFERROR(INDEX('CoQ Register'!$D:$D,MATCH("P060302|R",'CoQ Register'!$S:$S,0)),"")</f>
        <v/>
      </c>
      <c r="T192" s="2" t="inlineStr">
        <is>
          <t>Conforms</t>
        </is>
      </c>
      <c r="U192" s="2" t="inlineStr">
        <is>
          <t>Conforms</t>
        </is>
      </c>
      <c r="V192" s="2" t="inlineStr">
        <is>
          <t>Conforms</t>
        </is>
      </c>
      <c r="W192" s="2" t="inlineStr">
        <is>
          <t>227-21-K-26, (11.09.2026) [FHM-K]</t>
        </is>
      </c>
      <c r="X192" s="2" t="inlineStr">
        <is>
          <t>227-21-K-26, (11.09.2026) [FHM-K]</t>
        </is>
      </c>
      <c r="Y192" s="2" t="inlineStr">
        <is>
          <t>— pending —</t>
        </is>
      </c>
      <c r="Z192" s="2" t="inlineStr">
        <is>
          <t>#8, #9, #11, #12 from the initial testing</t>
        </is>
      </c>
      <c r="AA192" s="2" t="inlineStr">
        <is>
          <t>P060302|R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GG112501</t>
        </is>
      </c>
      <c r="J193" s="2" t="inlineStr">
        <is>
          <t>P060252</t>
        </is>
      </c>
      <c r="K193" s="2" t="inlineStr">
        <is>
          <t>Gorilla Glue</t>
        </is>
      </c>
      <c r="L193" s="2" t="inlineStr">
        <is>
          <t>Ident A + Ident B + Foreign matter</t>
        </is>
      </c>
      <c r="M193" s="6" t="inlineStr">
        <is>
          <t>—</t>
        </is>
      </c>
      <c r="N193" s="2">
        <f>IFERROR(INDEX('CoQ Register'!$B:$B,MATCH("P060252|R",'CoQ Register'!$S:$S,0)),"—")</f>
        <v/>
      </c>
      <c r="O193" s="6" t="inlineStr">
        <is>
          <t>—</t>
        </is>
      </c>
      <c r="P193" s="2" t="inlineStr">
        <is>
          <t>11.05.2027</t>
        </is>
      </c>
      <c r="Q193" s="2" t="inlineStr">
        <is>
          <t>25.03.2026</t>
        </is>
      </c>
      <c r="R193" s="2" t="inlineStr">
        <is>
          <t>05.05.2026 (the issuance plan's basis: 11.05.2026)</t>
        </is>
      </c>
      <c r="S193" s="5">
        <f>IFERROR(INDEX('CoQ Register'!$D:$D,MATCH("P060252|R",'CoQ Register'!$S:$S,0)),"")</f>
        <v/>
      </c>
      <c r="T193" s="2" t="inlineStr">
        <is>
          <t>Conforms</t>
        </is>
      </c>
      <c r="U193" s="2" t="inlineStr">
        <is>
          <t>Conforms</t>
        </is>
      </c>
      <c r="V193" s="2" t="inlineStr">
        <is>
          <t>Conforms</t>
        </is>
      </c>
      <c r="W193" s="2" t="inlineStr">
        <is>
          <t>227-20-K-26, (11.09.2026) [FHM-K]</t>
        </is>
      </c>
      <c r="X193" s="2" t="inlineStr">
        <is>
          <t>227-20-K-26, (11.09.2026) [FHM-K]</t>
        </is>
      </c>
      <c r="Y193" s="2" t="inlineStr">
        <is>
          <t>— pending —</t>
        </is>
      </c>
      <c r="Z193" s="2" t="inlineStr">
        <is>
          <t>#8, #9, #11, #12 from the initial testing</t>
        </is>
      </c>
      <c r="AA193" s="2" t="inlineStr">
        <is>
          <t>P060252|R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legacy</t>
        </is>
      </c>
      <c r="H194" s="2" t="inlineStr">
        <is>
          <t>retest 1</t>
        </is>
      </c>
      <c r="I194" s="3" t="inlineStr">
        <is>
          <t>J31112501</t>
        </is>
      </c>
      <c r="J194" s="2" t="inlineStr">
        <is>
          <t>P060202</t>
        </is>
      </c>
      <c r="K194" s="2" t="inlineStr">
        <is>
          <t>Jokerz 31</t>
        </is>
      </c>
      <c r="L194" s="2" t="inlineStr">
        <is>
          <t>Ident A + Ident B + Foreign matter</t>
        </is>
      </c>
      <c r="M194" s="6" t="inlineStr">
        <is>
          <t>—</t>
        </is>
      </c>
      <c r="N194" s="2">
        <f>IFERROR(INDEX('CoQ Register'!$B:$B,MATCH("P060202|R",'CoQ Register'!$S:$S,0)),"—")</f>
        <v/>
      </c>
      <c r="O194" s="6" t="inlineStr">
        <is>
          <t>—</t>
        </is>
      </c>
      <c r="P194" s="2" t="inlineStr">
        <is>
          <t>09.04.2027</t>
        </is>
      </c>
      <c r="Q194" s="2" t="inlineStr">
        <is>
          <t>26.01.2026</t>
        </is>
      </c>
      <c r="R194" s="2" t="inlineStr">
        <is>
          <t>17.04.2026 (the issuance plan's basis: 09.04.2026)</t>
        </is>
      </c>
      <c r="S194" s="5">
        <f>IFERROR(INDEX('CoQ Register'!$D:$D,MATCH("P060202|R",'CoQ Register'!$S:$S,0)),"")</f>
        <v/>
      </c>
      <c r="T194" s="2" t="inlineStr">
        <is>
          <t>Conforms</t>
        </is>
      </c>
      <c r="U194" s="2" t="inlineStr">
        <is>
          <t>Conforms</t>
        </is>
      </c>
      <c r="V194" s="2" t="inlineStr">
        <is>
          <t>Conforms</t>
        </is>
      </c>
      <c r="W194" s="2" t="inlineStr">
        <is>
          <t>227-14-K-26, (11.09.2026) [FHM-K]</t>
        </is>
      </c>
      <c r="X194" s="2" t="inlineStr">
        <is>
          <t>227-14-K-26, (11.09.2026) [FHM-K]</t>
        </is>
      </c>
      <c r="Y194" s="2" t="inlineStr">
        <is>
          <t>— pending —</t>
        </is>
      </c>
      <c r="Z194" s="2" t="inlineStr">
        <is>
          <t>#8, #9, #11, #12 from the initial testing</t>
        </is>
      </c>
      <c r="AA194" s="2" t="inlineStr">
        <is>
          <t>P060202|R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J31122501</t>
        </is>
      </c>
      <c r="J195" s="2" t="inlineStr">
        <is>
          <t>P060262</t>
        </is>
      </c>
      <c r="K195" s="2" t="inlineStr">
        <is>
          <t>Jokerz 31</t>
        </is>
      </c>
      <c r="L195" s="2" t="inlineStr">
        <is>
          <t>Ident A + Ident B + Foreign matter</t>
        </is>
      </c>
      <c r="M195" s="6" t="inlineStr">
        <is>
          <t>—</t>
        </is>
      </c>
      <c r="N195" s="2">
        <f>IFERROR(INDEX('CoQ Register'!$B:$B,MATCH("P060262|R",'CoQ Register'!$S:$S,0)),"—")</f>
        <v/>
      </c>
      <c r="O195" s="6" t="inlineStr">
        <is>
          <t>—</t>
        </is>
      </c>
      <c r="P195" s="2" t="inlineStr">
        <is>
          <t>23.04.2027</t>
        </is>
      </c>
      <c r="Q195" s="2" t="inlineStr">
        <is>
          <t>04.03.2026</t>
        </is>
      </c>
      <c r="R195" s="2" t="inlineStr">
        <is>
          <t>14.05.2026 (the issuance plan's basis: 23.04.2026)</t>
        </is>
      </c>
      <c r="S195" s="5">
        <f>IFERROR(INDEX('CoQ Register'!$D:$D,MATCH("P060262|R",'CoQ Register'!$S:$S,0)),"")</f>
        <v/>
      </c>
      <c r="T195" s="2" t="inlineStr">
        <is>
          <t>Conforms</t>
        </is>
      </c>
      <c r="U195" s="2" t="inlineStr">
        <is>
          <t>Conforms</t>
        </is>
      </c>
      <c r="V195" s="2" t="inlineStr">
        <is>
          <t>Conforms</t>
        </is>
      </c>
      <c r="W195" s="2" t="inlineStr">
        <is>
          <t>— retest assay not yet on file —</t>
        </is>
      </c>
      <c r="X195" s="2" t="inlineStr">
        <is>
          <t>— pending —</t>
        </is>
      </c>
      <c r="Y195" s="2" t="inlineStr">
        <is>
          <t>— pending —</t>
        </is>
      </c>
      <c r="Z195" s="2" t="inlineStr">
        <is>
          <t>#8, #9, #11, #12 from the initial testing</t>
        </is>
      </c>
      <c r="AA195" s="2" t="inlineStr">
        <is>
          <t>P060262|R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JD012601＊</t>
        </is>
      </c>
      <c r="J196" s="2" t="inlineStr">
        <is>
          <t>P060312</t>
        </is>
      </c>
      <c r="K196" s="2" t="inlineStr">
        <is>
          <t>Jelly Donuts</t>
        </is>
      </c>
      <c r="L196" s="2" t="inlineStr">
        <is>
          <t>Ident A + Ident B + Foreign matter</t>
        </is>
      </c>
      <c r="M196" s="6" t="inlineStr">
        <is>
          <t>—</t>
        </is>
      </c>
      <c r="N196" s="2">
        <f>IFERROR(INDEX('CoQ Register'!$B:$B,MATCH("P060312|R",'CoQ Register'!$S:$S,0)),"—")</f>
        <v/>
      </c>
      <c r="O196" s="6" t="inlineStr">
        <is>
          <t>—</t>
        </is>
      </c>
      <c r="P196" s="2" t="inlineStr">
        <is>
          <t>11.05.2027</t>
        </is>
      </c>
      <c r="Q196" s="2" t="inlineStr">
        <is>
          <t>27.03.2026</t>
        </is>
      </c>
      <c r="R196" s="2" t="inlineStr">
        <is>
          <t>21.05.2026 (the issuance plan's basis: 11.05.2026)</t>
        </is>
      </c>
      <c r="S196" s="5">
        <f>IFERROR(INDEX('CoQ Register'!$D:$D,MATCH("P060312|R",'CoQ Register'!$S:$S,0)),"")</f>
        <v/>
      </c>
      <c r="T196" s="2" t="inlineStr">
        <is>
          <t>Conforms</t>
        </is>
      </c>
      <c r="U196" s="2" t="inlineStr">
        <is>
          <t>Conforms</t>
        </is>
      </c>
      <c r="V196" s="2" t="inlineStr">
        <is>
          <t>Conforms</t>
        </is>
      </c>
      <c r="W196" s="2" t="inlineStr">
        <is>
          <t>227-15-K-26, (11.09.2026) [FHM-K]</t>
        </is>
      </c>
      <c r="X196" s="2" t="inlineStr">
        <is>
          <t>227-15-K-26, (11.09.2026) [FHM-K]</t>
        </is>
      </c>
      <c r="Y196" s="2" t="inlineStr">
        <is>
          <t>— pending —</t>
        </is>
      </c>
      <c r="Z196" s="2" t="inlineStr">
        <is>
          <t>#8, #9, #11, #12 from the initial testing</t>
        </is>
      </c>
      <c r="AA196" s="2" t="inlineStr">
        <is>
          <t>P060312|R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legacy</t>
        </is>
      </c>
      <c r="H197" s="2" t="inlineStr">
        <is>
          <t>retest 1</t>
        </is>
      </c>
      <c r="I197" s="3" t="inlineStr">
        <is>
          <t>OPM112501</t>
        </is>
      </c>
      <c r="J197" s="2" t="inlineStr">
        <is>
          <t>P060222</t>
        </is>
      </c>
      <c r="K197" s="2" t="inlineStr">
        <is>
          <t>Orange Punch Mimosa</t>
        </is>
      </c>
      <c r="L197" s="2" t="inlineStr">
        <is>
          <t>Ident A + Ident B + Foreign matter</t>
        </is>
      </c>
      <c r="M197" s="6" t="inlineStr">
        <is>
          <t>—</t>
        </is>
      </c>
      <c r="N197" s="2">
        <f>IFERROR(INDEX('CoQ Register'!$B:$B,MATCH("P060222|R",'CoQ Register'!$S:$S,0)),"—")</f>
        <v/>
      </c>
      <c r="O197" s="6" t="inlineStr">
        <is>
          <t>—</t>
        </is>
      </c>
      <c r="P197" s="2" t="inlineStr">
        <is>
          <t>05.03.2027</t>
        </is>
      </c>
      <c r="Q197" s="2" t="inlineStr">
        <is>
          <t>05.02.2026</t>
        </is>
      </c>
      <c r="R197" s="2" t="inlineStr">
        <is>
          <t>24.04.2026 (the issuance plan's basis: 05.03.2026)</t>
        </is>
      </c>
      <c r="S197" s="5">
        <f>IFERROR(INDEX('CoQ Register'!$D:$D,MATCH("P060222|R",'CoQ Register'!$S:$S,0)),"")</f>
        <v/>
      </c>
      <c r="T197" s="2" t="inlineStr">
        <is>
          <t>Conforms</t>
        </is>
      </c>
      <c r="U197" s="2" t="inlineStr">
        <is>
          <t>Conforms</t>
        </is>
      </c>
      <c r="V197" s="2" t="inlineStr">
        <is>
          <t>Conforms</t>
        </is>
      </c>
      <c r="W197" s="2" t="inlineStr">
        <is>
          <t>227-10-K-26, (11.09.2026) [FHM-K]</t>
        </is>
      </c>
      <c r="X197" s="2" t="inlineStr">
        <is>
          <t>227-10-K-26, (11.09.2026) [FHM-K]</t>
        </is>
      </c>
      <c r="Y197" s="2" t="inlineStr">
        <is>
          <t>— pending —</t>
        </is>
      </c>
      <c r="Z197" s="2" t="inlineStr">
        <is>
          <t>#8, #9, #11, #12 from the initial testing</t>
        </is>
      </c>
      <c r="AA197" s="2" t="inlineStr">
        <is>
          <t>P060222|R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post-SOP</t>
        </is>
      </c>
      <c r="H198" s="2" t="inlineStr">
        <is>
          <t>retest 1</t>
        </is>
      </c>
      <c r="I198" s="3" t="inlineStr">
        <is>
          <t>SCR012601*</t>
        </is>
      </c>
      <c r="J198" s="2" t="inlineStr">
        <is>
          <t>P060342</t>
        </is>
      </c>
      <c r="K198" s="2" t="inlineStr">
        <is>
          <t>Scrambler</t>
        </is>
      </c>
      <c r="L198" s="2" t="inlineStr">
        <is>
          <t>Ident A + Ident B + Foreign matter</t>
        </is>
      </c>
      <c r="M198" s="6" t="inlineStr">
        <is>
          <t>—</t>
        </is>
      </c>
      <c r="N198" s="2">
        <f>IFERROR(INDEX('CoQ Register'!$B:$B,MATCH("P060342|R",'CoQ Register'!$S:$S,0)),"—")</f>
        <v/>
      </c>
      <c r="O198" s="6" t="inlineStr">
        <is>
          <t>—</t>
        </is>
      </c>
      <c r="P198" s="2" t="inlineStr">
        <is>
          <t>25.05.2027</t>
        </is>
      </c>
      <c r="Q198" s="2" t="inlineStr">
        <is>
          <t>16.04.2026</t>
        </is>
      </c>
      <c r="R198" s="2" t="inlineStr">
        <is>
          <t>25.05.2026</t>
        </is>
      </c>
      <c r="S198" s="5">
        <f>IFERROR(INDEX('CoQ Register'!$D:$D,MATCH("P060342|R",'CoQ Register'!$S:$S,0)),"")</f>
        <v/>
      </c>
      <c r="T198" s="2" t="inlineStr">
        <is>
          <t>Conforms</t>
        </is>
      </c>
      <c r="U198" s="2" t="inlineStr">
        <is>
          <t>Conforms</t>
        </is>
      </c>
      <c r="V198" s="2" t="inlineStr">
        <is>
          <t>Conforms</t>
        </is>
      </c>
      <c r="W198" s="2" t="inlineStr">
        <is>
          <t>227-8-K-26, (11.09.2026) [FHM-K]</t>
        </is>
      </c>
      <c r="X198" s="2" t="inlineStr">
        <is>
          <t>227-8-K-26, (11.09.2026) [FHM-K]</t>
        </is>
      </c>
      <c r="Y198" s="2" t="inlineStr">
        <is>
          <t>— pending —</t>
        </is>
      </c>
      <c r="Z198" s="2" t="inlineStr">
        <is>
          <t>#8, #9, #11, #12 from the initial testing</t>
        </is>
      </c>
      <c r="AA198" s="2" t="inlineStr">
        <is>
          <t>P060342|R</t>
        </is>
      </c>
      <c r="AB198" s="7" t="inlineStr">
        <is>
          <t>registered — retest 1, issued 31.08.2026</t>
        </is>
      </c>
    </row>
    <row r="199">
      <c r="A199" s="2" t="n">
        <v>198</v>
      </c>
      <c r="B199" s="3" t="inlineStr">
        <is>
          <t>iCoA-PP_26-198</t>
        </is>
      </c>
      <c r="C199" s="4" t="inlineStr">
        <is>
          <t>yes</t>
        </is>
      </c>
      <c r="D199" s="5" t="n">
        <v>46265</v>
      </c>
      <c r="E199" s="5" t="n">
        <v>46265</v>
      </c>
      <c r="F199" s="5">
        <f>IFERROR(INDEX('Batch Dates'!$G:$G,MATCH(J199,'Batch Dates'!$C:$C,0)),IFERROR(INDEX('Batch Dates'!$G:$G,MATCH(I199,'Batch Dates'!$B:$B,0)),""))</f>
        <v/>
      </c>
      <c r="G199" s="2" t="inlineStr">
        <is>
          <t>post-SOP</t>
        </is>
      </c>
      <c r="H199" s="2" t="inlineStr">
        <is>
          <t>retest 1</t>
        </is>
      </c>
      <c r="I199" s="3" t="inlineStr">
        <is>
          <t>SCR022601</t>
        </is>
      </c>
      <c r="J199" s="2" t="inlineStr">
        <is>
          <t>P060442</t>
        </is>
      </c>
      <c r="K199" s="2" t="inlineStr">
        <is>
          <t>Scrambler</t>
        </is>
      </c>
      <c r="L199" s="2" t="inlineStr">
        <is>
          <t>Ident A + Ident B + Foreign matter</t>
        </is>
      </c>
      <c r="M199" s="6" t="inlineStr">
        <is>
          <t>—</t>
        </is>
      </c>
      <c r="N199" s="2">
        <f>IFERROR(INDEX('CoQ Register'!$B:$B,MATCH("P060442|R",'CoQ Register'!$S:$S,0)),"—")</f>
        <v/>
      </c>
      <c r="O199" s="6" t="inlineStr">
        <is>
          <t>—</t>
        </is>
      </c>
      <c r="P199" s="2" t="inlineStr">
        <is>
          <t>06.07.2027</t>
        </is>
      </c>
      <c r="Q199" s="2" t="inlineStr">
        <is>
          <t>13.05.2026</t>
        </is>
      </c>
      <c r="R199" s="2" t="inlineStr">
        <is>
          <t>18.06.2026 (the issuance plan's basis: 06.07.2026)</t>
        </is>
      </c>
      <c r="S199" s="5">
        <f>IFERROR(INDEX('CoQ Register'!$D:$D,MATCH("P060442|R",'CoQ Register'!$S:$S,0)),"")</f>
        <v/>
      </c>
      <c r="T199" s="2" t="inlineStr">
        <is>
          <t>CNP ППК26116</t>
        </is>
      </c>
      <c r="U199" s="2" t="inlineStr">
        <is>
          <t>CNP ППК26116</t>
        </is>
      </c>
      <c r="V199" s="2" t="inlineStr">
        <is>
          <t>Conforms</t>
        </is>
      </c>
      <c r="W199" s="2" t="inlineStr">
        <is>
          <t>227-7-K-26, (11.09.2026) [FHM-K]</t>
        </is>
      </c>
      <c r="X199" s="2" t="inlineStr">
        <is>
          <t>227-7-K-26, (11.09.2026) [FHM-K]</t>
        </is>
      </c>
      <c r="Y199" s="2" t="inlineStr">
        <is>
          <t>— pending —</t>
        </is>
      </c>
      <c r="Z199" s="2" t="inlineStr">
        <is>
          <t>#8, #9, #11, #12 from the initial testing</t>
        </is>
      </c>
      <c r="AA199" s="2" t="inlineStr">
        <is>
          <t>P060442|R</t>
        </is>
      </c>
      <c r="AB199" s="7" t="inlineStr">
        <is>
          <t>registered — retest 1, issued 31.08.2026</t>
        </is>
      </c>
    </row>
    <row r="200">
      <c r="A200" s="2" t="n">
        <v>199</v>
      </c>
      <c r="B200" s="3" t="inlineStr">
        <is>
          <t>iCoA-PP_26-199</t>
        </is>
      </c>
      <c r="C200" s="4" t="inlineStr">
        <is>
          <t>yes</t>
        </is>
      </c>
      <c r="D200" s="5" t="n">
        <v>46265</v>
      </c>
      <c r="E200" s="5" t="n">
        <v>46265</v>
      </c>
      <c r="F200" s="5">
        <f>IFERROR(INDEX('Batch Dates'!$G:$G,MATCH(J200,'Batch Dates'!$C:$C,0)),IFERROR(INDEX('Batch Dates'!$G:$G,MATCH(I200,'Batch Dates'!$B:$B,0)),""))</f>
        <v/>
      </c>
      <c r="G200" s="2" t="inlineStr">
        <is>
          <t>legacy</t>
        </is>
      </c>
      <c r="H200" s="2" t="inlineStr">
        <is>
          <t>retest 1</t>
        </is>
      </c>
      <c r="I200" s="3" t="inlineStr">
        <is>
          <t>SJ102501</t>
        </is>
      </c>
      <c r="J200" s="2" t="inlineStr">
        <is>
          <t>P060162</t>
        </is>
      </c>
      <c r="K200" s="2" t="inlineStr">
        <is>
          <t>Sleepy Joe</t>
        </is>
      </c>
      <c r="L200" s="2" t="inlineStr">
        <is>
          <t>Ident A + Ident B + Foreign matter</t>
        </is>
      </c>
      <c r="M200" s="6" t="inlineStr">
        <is>
          <t>—</t>
        </is>
      </c>
      <c r="N200" s="2">
        <f>IFERROR(INDEX('CoQ Register'!$B:$B,MATCH("P060162|R",'CoQ Register'!$S:$S,0)),"—")</f>
        <v/>
      </c>
      <c r="O200" s="6" t="inlineStr">
        <is>
          <t>—</t>
        </is>
      </c>
      <c r="P200" s="2" t="inlineStr">
        <is>
          <t>04.03.2027</t>
        </is>
      </c>
      <c r="Q200" s="2" t="inlineStr">
        <is>
          <t>20.01.2026</t>
        </is>
      </c>
      <c r="R200" s="2" t="inlineStr">
        <is>
          <t>09.03.2026 (the issuance plan's basis: 04.03.2026)</t>
        </is>
      </c>
      <c r="S200" s="5">
        <f>IFERROR(INDEX('CoQ Register'!$D:$D,MATCH("P060162|R",'CoQ Register'!$S:$S,0)),"")</f>
        <v/>
      </c>
      <c r="T200" s="2" t="inlineStr">
        <is>
          <t>Conforms</t>
        </is>
      </c>
      <c r="U200" s="2" t="inlineStr">
        <is>
          <t>Conforms</t>
        </is>
      </c>
      <c r="V200" s="2" t="inlineStr">
        <is>
          <t>Conforms</t>
        </is>
      </c>
      <c r="W200" s="2" t="inlineStr">
        <is>
          <t>227-6-K-26, (11.09.2026) [FHM-K]</t>
        </is>
      </c>
      <c r="X200" s="2" t="inlineStr">
        <is>
          <t>227-6-K-26, (11.09.2026) [FHM-K]</t>
        </is>
      </c>
      <c r="Y200" s="2" t="inlineStr">
        <is>
          <t>— pending —</t>
        </is>
      </c>
      <c r="Z200" s="2" t="inlineStr">
        <is>
          <t>#8, #9, #11, #12 from the initial testing</t>
        </is>
      </c>
      <c r="AA200" s="2" t="inlineStr">
        <is>
          <t>P060162|R</t>
        </is>
      </c>
      <c r="AB200" s="7" t="inlineStr">
        <is>
          <t>registered — retest 1, issued 31.08.2026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AB092501</t>
        </is>
      </c>
      <c r="J201" s="2" t="inlineStr">
        <is>
          <t>P060052</t>
        </is>
      </c>
      <c r="K201" s="2" t="inlineStr">
        <is>
          <t>Apple and Banana</t>
        </is>
      </c>
      <c r="L201" s="2" t="inlineStr">
        <is>
          <t>Ident A + Ident B + Foreign matter</t>
        </is>
      </c>
      <c r="M201" s="6" t="inlineStr">
        <is>
          <t>—</t>
        </is>
      </c>
      <c r="N201" s="2">
        <f>IFERROR(INDEX('CoQ Register'!$B:$B,MATCH("P060052|R",'CoQ Register'!$S:$S,0)),"—")</f>
        <v/>
      </c>
      <c r="O201" s="6" t="inlineStr">
        <is>
          <t>—</t>
        </is>
      </c>
      <c r="P201" s="2" t="inlineStr">
        <is>
          <t>20.02.2027</t>
        </is>
      </c>
      <c r="Q201" s="2" t="inlineStr">
        <is>
          <t>11.12.2025</t>
        </is>
      </c>
      <c r="R201" s="2" t="inlineStr">
        <is>
          <t>30.01.2026 (the issuance plan's basis: 20.02.2026)</t>
        </is>
      </c>
      <c r="S201" s="5">
        <f>IFERROR(INDEX('CoQ Register'!$D:$D,MATCH("P060052|R",'CoQ Register'!$S:$S,0)),"")</f>
        <v/>
      </c>
      <c r="T201" s="2" t="inlineStr">
        <is>
          <t>Conforms</t>
        </is>
      </c>
      <c r="U201" s="2" t="inlineStr">
        <is>
          <t>Conforms</t>
        </is>
      </c>
      <c r="V201" s="2" t="inlineStr">
        <is>
          <t>Conforms</t>
        </is>
      </c>
      <c r="W201" s="2" t="inlineStr">
        <is>
          <t>227-30-K-26, (11.09.2026) [FHM-K]</t>
        </is>
      </c>
      <c r="X201" s="2" t="inlineStr">
        <is>
          <t>227-30-K-26, (11.09.2026) [FHM-K]</t>
        </is>
      </c>
      <c r="Y201" s="2" t="inlineStr">
        <is>
          <t>— pending —</t>
        </is>
      </c>
      <c r="Z201" s="2" t="inlineStr">
        <is>
          <t>#8, #9, #11, #12 from the initial testing</t>
        </is>
      </c>
      <c r="AA201" s="2" t="inlineStr">
        <is>
          <t>P060052|R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BSS1024_01/1</t>
        </is>
      </c>
      <c r="J202" s="2" t="inlineStr">
        <is>
          <t>P050122</t>
        </is>
      </c>
      <c r="K202" s="2" t="inlineStr">
        <is>
          <t>Blue Sunset Sherbet</t>
        </is>
      </c>
      <c r="L202" s="2" t="inlineStr">
        <is>
          <t>Ident A + Ident B + Foreign matter</t>
        </is>
      </c>
      <c r="M202" s="6" t="inlineStr">
        <is>
          <t>—</t>
        </is>
      </c>
      <c r="N202" s="2">
        <f>IFERROR(INDEX('CoQ Register'!$B:$B,MATCH("P050122|R",'CoQ Register'!$S:$S,0)),"—")</f>
        <v/>
      </c>
      <c r="O202" s="6" t="inlineStr">
        <is>
          <t>—</t>
        </is>
      </c>
      <c r="P202" s="2" t="inlineStr">
        <is>
          <t>10.07.2026</t>
        </is>
      </c>
      <c r="Q202" s="2" t="inlineStr">
        <is>
          <t>04.06.2025 – 05.06.2025</t>
        </is>
      </c>
      <c r="R202" s="2" t="inlineStr">
        <is>
          <t>01.09.2025 – 09.09.2025 (the issuance plan's basis: 10.07.2025)</t>
        </is>
      </c>
      <c r="S202" s="5">
        <f>IFERROR(INDEX('CoQ Register'!$D:$D,MATCH("P050122|R",'CoQ Register'!$S:$S,0)),"")</f>
        <v/>
      </c>
      <c r="T202" s="2" t="inlineStr">
        <is>
          <t>Conforms</t>
        </is>
      </c>
      <c r="U202" s="2" t="inlineStr">
        <is>
          <t>Conforms</t>
        </is>
      </c>
      <c r="V202" s="2" t="inlineStr">
        <is>
          <t>Conforms</t>
        </is>
      </c>
      <c r="W202" s="2" t="inlineStr">
        <is>
          <t>227-29-K-26, (11.09.2026) [FHM-K]</t>
        </is>
      </c>
      <c r="X202" s="2" t="inlineStr">
        <is>
          <t>227-29-K-26, (11.09.2026) [FHM-K]</t>
        </is>
      </c>
      <c r="Y202" s="2" t="inlineStr">
        <is>
          <t>— pending —</t>
        </is>
      </c>
      <c r="Z202" s="2" t="inlineStr">
        <is>
          <t>#8, #9, #11, #12 from the initial testing</t>
        </is>
      </c>
      <c r="AA202" s="2" t="inlineStr">
        <is>
          <t>P050122|R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BSS1024_01/2</t>
        </is>
      </c>
      <c r="J203" s="2" t="inlineStr">
        <is>
          <t>P050142</t>
        </is>
      </c>
      <c r="K203" s="2" t="inlineStr">
        <is>
          <t>Blue Sunset Sherbet</t>
        </is>
      </c>
      <c r="L203" s="2" t="inlineStr">
        <is>
          <t>Ident A + Ident B + Foreign matter</t>
        </is>
      </c>
      <c r="M203" s="6" t="inlineStr">
        <is>
          <t>—</t>
        </is>
      </c>
      <c r="N203" s="2">
        <f>IFERROR(INDEX('CoQ Register'!$B:$B,MATCH("P050142|R",'CoQ Register'!$S:$S,0)),"—")</f>
        <v/>
      </c>
      <c r="O203" s="6" t="inlineStr">
        <is>
          <t>—</t>
        </is>
      </c>
      <c r="P203" s="2" t="inlineStr">
        <is>
          <t>30.09.2026</t>
        </is>
      </c>
      <c r="Q203" s="2" t="inlineStr">
        <is>
          <t>— not given —</t>
        </is>
      </c>
      <c r="R203" s="2" t="inlineStr">
        <is>
          <t>30.09.2025</t>
        </is>
      </c>
      <c r="S203" s="5">
        <f>IFERROR(INDEX('CoQ Register'!$D:$D,MATCH("P050142|R",'CoQ Register'!$S:$S,0)),"")</f>
        <v/>
      </c>
      <c r="T203" s="2" t="inlineStr">
        <is>
          <t>Conforms</t>
        </is>
      </c>
      <c r="U203" s="2" t="inlineStr">
        <is>
          <t>Conforms</t>
        </is>
      </c>
      <c r="V203" s="2" t="inlineStr">
        <is>
          <t>Conforms</t>
        </is>
      </c>
      <c r="W203" s="2" t="inlineStr">
        <is>
          <t>227-1-K-26, (11.09.2026) [FHM-K]</t>
        </is>
      </c>
      <c r="X203" s="2" t="inlineStr">
        <is>
          <t>227-1-K-26, (11.09.2026) [FHM-K]</t>
        </is>
      </c>
      <c r="Y203" s="2" t="inlineStr">
        <is>
          <t>— pending —</t>
        </is>
      </c>
      <c r="Z203" s="2" t="inlineStr">
        <is>
          <t>#8, #9, #11, #12 from the initial testing</t>
        </is>
      </c>
      <c r="AA203" s="2" t="inlineStr">
        <is>
          <t>P050142|R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CJ052501/02</t>
        </is>
      </c>
      <c r="J204" s="2" t="inlineStr">
        <is>
          <t>P050172</t>
        </is>
      </c>
      <c r="K204" s="2" t="inlineStr">
        <is>
          <t>Cap Junky</t>
        </is>
      </c>
      <c r="L204" s="2" t="inlineStr">
        <is>
          <t>Ident A + Ident B + Foreign matter</t>
        </is>
      </c>
      <c r="M204" s="6" t="inlineStr">
        <is>
          <t>—</t>
        </is>
      </c>
      <c r="N204" s="2">
        <f>IFERROR(INDEX('CoQ Register'!$B:$B,MATCH("P050172|R",'CoQ Register'!$S:$S,0)),"—")</f>
        <v/>
      </c>
      <c r="O204" s="6" t="inlineStr">
        <is>
          <t>—</t>
        </is>
      </c>
      <c r="P204" s="2" t="inlineStr">
        <is>
          <t>17.09.2026</t>
        </is>
      </c>
      <c r="Q204" s="2" t="inlineStr">
        <is>
          <t>20.08.2025</t>
        </is>
      </c>
      <c r="R204" s="2" t="inlineStr">
        <is>
          <t>01.10.2025 – 02.10.2025 (the issuance plan's basis: 17.09.2025)</t>
        </is>
      </c>
      <c r="S204" s="5">
        <f>IFERROR(INDEX('CoQ Register'!$D:$D,MATCH("P050172|R",'CoQ Register'!$S:$S,0)),"")</f>
        <v/>
      </c>
      <c r="T204" s="2" t="inlineStr">
        <is>
          <t>Conforms</t>
        </is>
      </c>
      <c r="U204" s="2" t="inlineStr">
        <is>
          <t>Conforms</t>
        </is>
      </c>
      <c r="V204" s="2" t="inlineStr">
        <is>
          <t>Conforms</t>
        </is>
      </c>
      <c r="W204" s="2" t="inlineStr">
        <is>
          <t>227-28-K-26, (11.09.2026) [FHM-K]</t>
        </is>
      </c>
      <c r="X204" s="2" t="inlineStr">
        <is>
          <t>227-28-K-26, (11.09.2026) [FHM-K]</t>
        </is>
      </c>
      <c r="Y204" s="2" t="inlineStr">
        <is>
          <t>— pending —</t>
        </is>
      </c>
      <c r="Z204" s="2" t="inlineStr">
        <is>
          <t>#8, #9, #11, #12 from the initial testing</t>
        </is>
      </c>
      <c r="AA204" s="2" t="inlineStr">
        <is>
          <t>P050172|R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CJ072501</t>
        </is>
      </c>
      <c r="J205" s="2" t="inlineStr">
        <is>
          <t>P050252</t>
        </is>
      </c>
      <c r="K205" s="2" t="inlineStr">
        <is>
          <t>Cap Junky</t>
        </is>
      </c>
      <c r="L205" s="2" t="inlineStr">
        <is>
          <t>Ident A + Ident B + Foreign matter</t>
        </is>
      </c>
      <c r="M205" s="6" t="inlineStr">
        <is>
          <t>—</t>
        </is>
      </c>
      <c r="N205" s="2">
        <f>IFERROR(INDEX('CoQ Register'!$B:$B,MATCH("P050252|R",'CoQ Register'!$S:$S,0)),"—")</f>
        <v/>
      </c>
      <c r="O205" s="6" t="inlineStr">
        <is>
          <t>—</t>
        </is>
      </c>
      <c r="P205" s="2" t="inlineStr">
        <is>
          <t>02.12.2026</t>
        </is>
      </c>
      <c r="Q205" s="2" t="inlineStr">
        <is>
          <t>27.10.2025</t>
        </is>
      </c>
      <c r="R205" s="2" t="inlineStr">
        <is>
          <t>27.11.2025 – 28.11.2025 (the issuance plan's basis: 02.12.2025)</t>
        </is>
      </c>
      <c r="S205" s="5">
        <f>IFERROR(INDEX('CoQ Register'!$D:$D,MATCH("P050252|R",'CoQ Register'!$S:$S,0)),"")</f>
        <v/>
      </c>
      <c r="T205" s="2" t="inlineStr">
        <is>
          <t>Conforms</t>
        </is>
      </c>
      <c r="U205" s="2" t="inlineStr">
        <is>
          <t>Conforms</t>
        </is>
      </c>
      <c r="V205" s="2" t="inlineStr">
        <is>
          <t>Conforms</t>
        </is>
      </c>
      <c r="W205" s="2" t="inlineStr">
        <is>
          <t>227-27-K-26, (11.09.2026) [FHM-K]</t>
        </is>
      </c>
      <c r="X205" s="2" t="inlineStr">
        <is>
          <t>227-27-K-26, (11.09.2026) [FHM-K]</t>
        </is>
      </c>
      <c r="Y205" s="2" t="inlineStr">
        <is>
          <t>— pending —</t>
        </is>
      </c>
      <c r="Z205" s="2" t="inlineStr">
        <is>
          <t>#8, #9, #11, #12 from the initial testing</t>
        </is>
      </c>
      <c r="AA205" s="2" t="inlineStr">
        <is>
          <t>P050252|R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CJ1024</t>
        </is>
      </c>
      <c r="J206" s="2" t="inlineStr">
        <is>
          <t>N/A — no P batch assigned</t>
        </is>
      </c>
      <c r="K206" s="2" t="inlineStr">
        <is>
          <t>Cap Junky</t>
        </is>
      </c>
      <c r="L206" s="2" t="inlineStr">
        <is>
          <t>Ident A + Ident B + Foreign matter</t>
        </is>
      </c>
      <c r="M206" s="6" t="inlineStr">
        <is>
          <t>—</t>
        </is>
      </c>
      <c r="N206" s="2">
        <f>IFERROR(INDEX('CoQ Register'!$B:$B,MATCH("CJ1024|R",'CoQ Register'!$S:$S,0)),"—")</f>
        <v/>
      </c>
      <c r="O206" s="6" t="inlineStr">
        <is>
          <t>—</t>
        </is>
      </c>
      <c r="P206" s="2" t="inlineStr">
        <is>
          <t>27.02.2026</t>
        </is>
      </c>
      <c r="Q206" s="2" t="inlineStr">
        <is>
          <t>20.01.2025</t>
        </is>
      </c>
      <c r="R206" s="2" t="inlineStr">
        <is>
          <t>03.03.2025 (the issuance plan's basis: 27.02.2025)</t>
        </is>
      </c>
      <c r="S206" s="5">
        <f>IFERROR(INDEX('CoQ Register'!$D:$D,MATCH("CJ1024|R",'CoQ Register'!$S:$S,0)),"")</f>
        <v/>
      </c>
      <c r="T206" s="2" t="inlineStr">
        <is>
          <t>Conforms</t>
        </is>
      </c>
      <c r="U206" s="2" t="inlineStr">
        <is>
          <t>Conforms</t>
        </is>
      </c>
      <c r="V206" s="2" t="inlineStr">
        <is>
          <t>Conforms</t>
        </is>
      </c>
      <c r="W206" s="2" t="inlineStr">
        <is>
          <t>227-26-K-26, (11.09.2026) [FHM-K]</t>
        </is>
      </c>
      <c r="X206" s="2" t="inlineStr">
        <is>
          <t>227-26-K-26, (11.09.2026) [FHM-K]</t>
        </is>
      </c>
      <c r="Y206" s="2" t="inlineStr">
        <is>
          <t>— pending —</t>
        </is>
      </c>
      <c r="Z206" s="2" t="inlineStr">
        <is>
          <t>#8, #9, #11, #12 from the initial testing</t>
        </is>
      </c>
      <c r="AA206" s="2" t="inlineStr">
        <is>
          <t>CJ1024|R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GG1024_02</t>
        </is>
      </c>
      <c r="J207" s="2" t="inlineStr">
        <is>
          <t>P050012</t>
        </is>
      </c>
      <c r="K207" s="2" t="inlineStr">
        <is>
          <t>Gorilla Glue</t>
        </is>
      </c>
      <c r="L207" s="2" t="inlineStr">
        <is>
          <t>Ident A + Ident B + Foreign matter</t>
        </is>
      </c>
      <c r="M207" s="6" t="inlineStr">
        <is>
          <t>—</t>
        </is>
      </c>
      <c r="N207" s="2">
        <f>IFERROR(INDEX('CoQ Register'!$B:$B,MATCH("P050012|R",'CoQ Register'!$S:$S,0)),"—")</f>
        <v/>
      </c>
      <c r="O207" s="6" t="inlineStr">
        <is>
          <t>—</t>
        </is>
      </c>
      <c r="P207" s="2" t="inlineStr">
        <is>
          <t>30.05.2026</t>
        </is>
      </c>
      <c r="Q207" s="2" t="inlineStr">
        <is>
          <t>14.04.2025 – 15.04.2025</t>
        </is>
      </c>
      <c r="R207" s="2" t="inlineStr">
        <is>
          <t>11.06.2025 – 16.06.2025 (the issuance plan's basis: 30.05.2025)</t>
        </is>
      </c>
      <c r="S207" s="5">
        <f>IFERROR(INDEX('CoQ Register'!$D:$D,MATCH("P050012|R",'CoQ Register'!$S:$S,0)),"")</f>
        <v/>
      </c>
      <c r="T207" s="2" t="inlineStr">
        <is>
          <t>Conforms</t>
        </is>
      </c>
      <c r="U207" s="2" t="inlineStr">
        <is>
          <t>Conforms</t>
        </is>
      </c>
      <c r="V207" s="2" t="inlineStr">
        <is>
          <t>Conforms</t>
        </is>
      </c>
      <c r="W207" s="2" t="inlineStr">
        <is>
          <t>227-19-K-26, (11.09.2026) [FHM-K]</t>
        </is>
      </c>
      <c r="X207" s="2" t="inlineStr">
        <is>
          <t>227-19-K-26, (11.09.2026) [FHM-K]</t>
        </is>
      </c>
      <c r="Y207" s="2" t="inlineStr">
        <is>
          <t>— pending —</t>
        </is>
      </c>
      <c r="Z207" s="2" t="inlineStr">
        <is>
          <t>#8, #9, #11, #12 from the initial testing</t>
        </is>
      </c>
      <c r="AA207" s="2" t="inlineStr">
        <is>
          <t>P050012|R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2</t>
        </is>
      </c>
      <c r="I208" s="3" t="inlineStr">
        <is>
          <t>GP062501</t>
        </is>
      </c>
      <c r="J208" s="2" t="inlineStr">
        <is>
          <t>P050202</t>
        </is>
      </c>
      <c r="K208" s="2" t="inlineStr">
        <is>
          <t>Grape Pie</t>
        </is>
      </c>
      <c r="L208" s="2" t="inlineStr">
        <is>
          <t>Ident A + Ident B + Foreign matter</t>
        </is>
      </c>
      <c r="M208" s="6" t="inlineStr">
        <is>
          <t>—</t>
        </is>
      </c>
      <c r="N208" s="2">
        <f>IFERROR(INDEX('CoQ Register'!$B:$B,MATCH("P050202|R2",'CoQ Register'!$S:$S,0)),"—")</f>
        <v/>
      </c>
      <c r="O208" s="6" t="inlineStr">
        <is>
          <t>—</t>
        </is>
      </c>
      <c r="P208" s="2" t="inlineStr">
        <is>
          <t>11.05.2027</t>
        </is>
      </c>
      <c r="Q208" s="2" t="inlineStr">
        <is>
          <t>15.09.2025 – 17.09.2025</t>
        </is>
      </c>
      <c r="R208" s="2" t="inlineStr">
        <is>
          <t>30.10.2025 – 07.11.2025 (the issuance plan's basis: 11.05.2026)</t>
        </is>
      </c>
      <c r="S208" s="5">
        <f>IFERROR(INDEX('CoQ Register'!$D:$D,MATCH("P050202|R2",'CoQ Register'!$S:$S,0)),"")</f>
        <v/>
      </c>
      <c r="T208" s="2" t="inlineStr">
        <is>
          <t>Conforms</t>
        </is>
      </c>
      <c r="U208" s="2" t="inlineStr">
        <is>
          <t>Conforms</t>
        </is>
      </c>
      <c r="V208" s="2" t="inlineStr">
        <is>
          <t>Conforms</t>
        </is>
      </c>
      <c r="W208" s="2" t="inlineStr">
        <is>
          <t>227-18-K-26, (11.09.2026) [FHM-K]</t>
        </is>
      </c>
      <c r="X208" s="2" t="inlineStr">
        <is>
          <t>227-18-K-26, (11.09.2026) [FHM-K]</t>
        </is>
      </c>
      <c r="Y208" s="2" t="inlineStr">
        <is>
          <t>— pending —</t>
        </is>
      </c>
      <c r="Z208" s="2" t="inlineStr">
        <is>
          <t>#8, #9, #11, #12 from the initial testing</t>
        </is>
      </c>
      <c r="AA208" s="2" t="inlineStr">
        <is>
          <t>P050202|R2</t>
        </is>
      </c>
      <c r="AB208" s="7" t="inlineStr">
        <is>
          <t>registered — retest 2,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GP072501/1</t>
        </is>
      </c>
      <c r="J209" s="2" t="inlineStr">
        <is>
          <t>P050292</t>
        </is>
      </c>
      <c r="K209" s="2" t="inlineStr">
        <is>
          <t>Grape Pie</t>
        </is>
      </c>
      <c r="L209" s="2" t="inlineStr">
        <is>
          <t>Ident A + Ident B + Foreign matter</t>
        </is>
      </c>
      <c r="M209" s="6" t="inlineStr">
        <is>
          <t>—</t>
        </is>
      </c>
      <c r="N209" s="2">
        <f>IFERROR(INDEX('CoQ Register'!$B:$B,MATCH("P050292|R",'CoQ Register'!$S:$S,0)),"—")</f>
        <v/>
      </c>
      <c r="O209" s="6" t="inlineStr">
        <is>
          <t>—</t>
        </is>
      </c>
      <c r="P209" s="2" t="inlineStr">
        <is>
          <t>21.01.2027</t>
        </is>
      </c>
      <c r="Q209" s="2" t="inlineStr">
        <is>
          <t>11.11.2025 – 13.11.2025</t>
        </is>
      </c>
      <c r="R209" s="2" t="inlineStr">
        <is>
          <t>15.12.2025 – 21.12.2025 (the issuance plan's basis: 21.01.2026)</t>
        </is>
      </c>
      <c r="S209" s="5">
        <f>IFERROR(INDEX('CoQ Register'!$D:$D,MATCH("P050292|R",'CoQ Register'!$S:$S,0)),"")</f>
        <v/>
      </c>
      <c r="T209" s="2" t="inlineStr">
        <is>
          <t>Conforms</t>
        </is>
      </c>
      <c r="U209" s="2" t="inlineStr">
        <is>
          <t>Conforms</t>
        </is>
      </c>
      <c r="V209" s="2" t="inlineStr">
        <is>
          <t>Conforms</t>
        </is>
      </c>
      <c r="W209" s="2" t="inlineStr">
        <is>
          <t>227-17-K-26, (11.09.2026) [FHM-K]</t>
        </is>
      </c>
      <c r="X209" s="2" t="inlineStr">
        <is>
          <t>227-17-K-26, (11.09.2026) [FHM-K]</t>
        </is>
      </c>
      <c r="Y209" s="2" t="inlineStr">
        <is>
          <t>— pending —</t>
        </is>
      </c>
      <c r="Z209" s="2" t="inlineStr">
        <is>
          <t>#8, #9, #11, #12 from the initial testing</t>
        </is>
      </c>
      <c r="AA209" s="2" t="inlineStr">
        <is>
          <t>P050292|R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GP0824_01</t>
        </is>
      </c>
      <c r="J210" s="2" t="inlineStr">
        <is>
          <t>P050102</t>
        </is>
      </c>
      <c r="K210" s="2" t="inlineStr">
        <is>
          <t>Grape Pie</t>
        </is>
      </c>
      <c r="L210" s="2" t="inlineStr">
        <is>
          <t>Ident A + Ident B + Foreign matter</t>
        </is>
      </c>
      <c r="M210" s="6" t="inlineStr">
        <is>
          <t>—</t>
        </is>
      </c>
      <c r="N210" s="2">
        <f>IFERROR(INDEX('CoQ Register'!$B:$B,MATCH("P050102|R",'CoQ Register'!$S:$S,0)),"—")</f>
        <v/>
      </c>
      <c r="O210" s="6" t="inlineStr">
        <is>
          <t>—</t>
        </is>
      </c>
      <c r="P210" s="2" t="inlineStr">
        <is>
          <t>17.04.2026</t>
        </is>
      </c>
      <c r="Q210" s="2" t="inlineStr">
        <is>
          <t>20.03.2025 – 21.03.2025</t>
        </is>
      </c>
      <c r="R210" s="2" t="inlineStr">
        <is>
          <t>05.08.2025 – 07.08.2025 (the issuance plan's basis: 17.04.2025)</t>
        </is>
      </c>
      <c r="S210" s="5">
        <f>IFERROR(INDEX('CoQ Register'!$D:$D,MATCH("P050102|R",'CoQ Register'!$S:$S,0)),"")</f>
        <v/>
      </c>
      <c r="T210" s="2" t="inlineStr">
        <is>
          <t>Conforms</t>
        </is>
      </c>
      <c r="U210" s="2" t="inlineStr">
        <is>
          <t>Conforms</t>
        </is>
      </c>
      <c r="V210" s="2" t="inlineStr">
        <is>
          <t>Conforms</t>
        </is>
      </c>
      <c r="W210" s="2" t="inlineStr">
        <is>
          <t>227-2-K-26, (11.09.2026) [FHM-K]</t>
        </is>
      </c>
      <c r="X210" s="2" t="inlineStr">
        <is>
          <t>227-2-K-26, (11.09.2026) [FHM-K]</t>
        </is>
      </c>
      <c r="Y210" s="2" t="inlineStr">
        <is>
          <t>— pending —</t>
        </is>
      </c>
      <c r="Z210" s="2" t="inlineStr">
        <is>
          <t>#8, #9, #11, #12 from the initial testing</t>
        </is>
      </c>
      <c r="AA210" s="2" t="inlineStr">
        <is>
          <t>P050102|R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GRC102501</t>
        </is>
      </c>
      <c r="J211" s="2" t="inlineStr">
        <is>
          <t>P060142</t>
        </is>
      </c>
      <c r="K211" s="2" t="inlineStr">
        <is>
          <t>Grapes And Cream</t>
        </is>
      </c>
      <c r="L211" s="2" t="inlineStr">
        <is>
          <t>Ident A + Ident B + Foreign matter</t>
        </is>
      </c>
      <c r="M211" s="6" t="inlineStr">
        <is>
          <t>—</t>
        </is>
      </c>
      <c r="N211" s="2">
        <f>IFERROR(INDEX('CoQ Register'!$B:$B,MATCH("P060142|R",'CoQ Register'!$S:$S,0)),"—")</f>
        <v/>
      </c>
      <c r="O211" s="6" t="inlineStr">
        <is>
          <t>—</t>
        </is>
      </c>
      <c r="P211" s="2" t="inlineStr">
        <is>
          <t>23.02.2027</t>
        </is>
      </c>
      <c r="Q211" s="2" t="inlineStr">
        <is>
          <t>09.01.2026</t>
        </is>
      </c>
      <c r="R211" s="2" t="inlineStr">
        <is>
          <t>23.02.2026</t>
        </is>
      </c>
      <c r="S211" s="5">
        <f>IFERROR(INDEX('CoQ Register'!$D:$D,MATCH("P060142|R",'CoQ Register'!$S:$S,0)),"")</f>
        <v/>
      </c>
      <c r="T211" s="2" t="inlineStr">
        <is>
          <t>Conforms</t>
        </is>
      </c>
      <c r="U211" s="2" t="inlineStr">
        <is>
          <t>Conforms</t>
        </is>
      </c>
      <c r="V211" s="2" t="inlineStr">
        <is>
          <t>Conforms</t>
        </is>
      </c>
      <c r="W211" s="2" t="inlineStr">
        <is>
          <t>227-16-K-26, (11.09.2026) [FHM-K]</t>
        </is>
      </c>
      <c r="X211" s="2" t="inlineStr">
        <is>
          <t>227-16-K-26, (11.09.2026) [FHM-K]</t>
        </is>
      </c>
      <c r="Y211" s="2" t="inlineStr">
        <is>
          <t>— pending —</t>
        </is>
      </c>
      <c r="Z211" s="2" t="inlineStr">
        <is>
          <t>#8, #9, #11, #12 from the initial testing</t>
        </is>
      </c>
      <c r="AA211" s="2" t="inlineStr">
        <is>
          <t>P060142|R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MB0824_04</t>
        </is>
      </c>
      <c r="J212" s="2" t="inlineStr">
        <is>
          <t>P050032</t>
        </is>
      </c>
      <c r="K212" s="2" t="inlineStr">
        <is>
          <t>Motor Breath</t>
        </is>
      </c>
      <c r="L212" s="2" t="inlineStr">
        <is>
          <t>Ident A + Ident B + Foreign matter</t>
        </is>
      </c>
      <c r="M212" s="6" t="inlineStr">
        <is>
          <t>—</t>
        </is>
      </c>
      <c r="N212" s="2">
        <f>IFERROR(INDEX('CoQ Register'!$B:$B,MATCH("P050032|R",'CoQ Register'!$S:$S,0)),"—")</f>
        <v/>
      </c>
      <c r="O212" s="6" t="inlineStr">
        <is>
          <t>—</t>
        </is>
      </c>
      <c r="P212" s="2" t="inlineStr">
        <is>
          <t>07.05.2026</t>
        </is>
      </c>
      <c r="Q212" s="2" t="inlineStr">
        <is>
          <t>02.04.2025 – 03.04.2025</t>
        </is>
      </c>
      <c r="R212" s="2" t="inlineStr">
        <is>
          <t>16.06.2025 – 19.06.2025 (the issuance plan's basis: 07.05.2025)</t>
        </is>
      </c>
      <c r="S212" s="5">
        <f>IFERROR(INDEX('CoQ Register'!$D:$D,MATCH("P050032|R",'CoQ Register'!$S:$S,0)),"")</f>
        <v/>
      </c>
      <c r="T212" s="2" t="inlineStr">
        <is>
          <t>Conforms</t>
        </is>
      </c>
      <c r="U212" s="2" t="inlineStr">
        <is>
          <t>Conforms</t>
        </is>
      </c>
      <c r="V212" s="2" t="inlineStr">
        <is>
          <t>Conforms</t>
        </is>
      </c>
      <c r="W212" s="2" t="inlineStr">
        <is>
          <t>227-12-K-26, (11.09.2026) [FHM-K]</t>
        </is>
      </c>
      <c r="X212" s="2" t="inlineStr">
        <is>
          <t>227-12-K-26, (11.09.2026) [FHM-K]</t>
        </is>
      </c>
      <c r="Y212" s="2" t="inlineStr">
        <is>
          <t>— pending —</t>
        </is>
      </c>
      <c r="Z212" s="2" t="inlineStr">
        <is>
          <t>#8, #9, #11, #12 from the initial testing</t>
        </is>
      </c>
      <c r="AA212" s="2" t="inlineStr">
        <is>
          <t>P050032|R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OPM052501</t>
        </is>
      </c>
      <c r="J213" s="2" t="inlineStr">
        <is>
          <t>P050132</t>
        </is>
      </c>
      <c r="K213" s="2" t="inlineStr">
        <is>
          <t>Orange Punch Mimosa</t>
        </is>
      </c>
      <c r="L213" s="2" t="inlineStr">
        <is>
          <t>Ident A + Ident B + Foreign matter</t>
        </is>
      </c>
      <c r="M213" s="6" t="inlineStr">
        <is>
          <t>—</t>
        </is>
      </c>
      <c r="N213" s="2">
        <f>IFERROR(INDEX('CoQ Register'!$B:$B,MATCH("P050132|R",'CoQ Register'!$S:$S,0)),"—")</f>
        <v/>
      </c>
      <c r="O213" s="6" t="inlineStr">
        <is>
          <t>—</t>
        </is>
      </c>
      <c r="P213" s="2" t="inlineStr">
        <is>
          <t>05.09.2026</t>
        </is>
      </c>
      <c r="Q213" s="2" t="inlineStr">
        <is>
          <t>11.08.2025 – 13.08.2025</t>
        </is>
      </c>
      <c r="R213" s="2" t="inlineStr">
        <is>
          <t>09.09.2025 – 15.09.2025 (the issuance plan's basis: 05.09.2025)</t>
        </is>
      </c>
      <c r="S213" s="5">
        <f>IFERROR(INDEX('CoQ Register'!$D:$D,MATCH("P050132|R",'CoQ Register'!$S:$S,0)),"")</f>
        <v/>
      </c>
      <c r="T213" s="2" t="inlineStr">
        <is>
          <t>Conforms</t>
        </is>
      </c>
      <c r="U213" s="2" t="inlineStr">
        <is>
          <t>Conforms</t>
        </is>
      </c>
      <c r="V213" s="2" t="inlineStr">
        <is>
          <t>Conforms</t>
        </is>
      </c>
      <c r="W213" s="2" t="inlineStr">
        <is>
          <t>227-11-K-26, (11.09.2026) [FHM-K]</t>
        </is>
      </c>
      <c r="X213" s="2" t="inlineStr">
        <is>
          <t>227-11-K-26, (11.09.2026) [FHM-K]</t>
        </is>
      </c>
      <c r="Y213" s="2" t="inlineStr">
        <is>
          <t>— pending —</t>
        </is>
      </c>
      <c r="Z213" s="2" t="inlineStr">
        <is>
          <t>#8, #9, #11, #12 from the initial testing</t>
        </is>
      </c>
      <c r="AA213" s="2" t="inlineStr">
        <is>
          <t>P050132|R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PM072501</t>
        </is>
      </c>
      <c r="J214" s="2" t="inlineStr">
        <is>
          <t>P050272</t>
        </is>
      </c>
      <c r="K214" s="2" t="inlineStr">
        <is>
          <t>Permanent Marker</t>
        </is>
      </c>
      <c r="L214" s="2" t="inlineStr">
        <is>
          <t>Ident A + Ident B + Foreign matter</t>
        </is>
      </c>
      <c r="M214" s="6" t="inlineStr">
        <is>
          <t>—</t>
        </is>
      </c>
      <c r="N214" s="2">
        <f>IFERROR(INDEX('CoQ Register'!$B:$B,MATCH("P050272|R",'CoQ Register'!$S:$S,0)),"—")</f>
        <v/>
      </c>
      <c r="O214" s="6" t="inlineStr">
        <is>
          <t>—</t>
        </is>
      </c>
      <c r="P214" s="2" t="inlineStr">
        <is>
          <t>21.01.2027</t>
        </is>
      </c>
      <c r="Q214" s="2" t="inlineStr">
        <is>
          <t>27.10.2025</t>
        </is>
      </c>
      <c r="R214" s="2" t="inlineStr">
        <is>
          <t>02.12.2025 – 03.12.2025 (the issuance plan's basis: 21.01.2026)</t>
        </is>
      </c>
      <c r="S214" s="5">
        <f>IFERROR(INDEX('CoQ Register'!$D:$D,MATCH("P050272|R",'CoQ Register'!$S:$S,0)),"")</f>
        <v/>
      </c>
      <c r="T214" s="2" t="inlineStr">
        <is>
          <t>Conforms</t>
        </is>
      </c>
      <c r="U214" s="2" t="inlineStr">
        <is>
          <t>Conforms</t>
        </is>
      </c>
      <c r="V214" s="2" t="inlineStr">
        <is>
          <t>Conforms</t>
        </is>
      </c>
      <c r="W214" s="2" t="inlineStr">
        <is>
          <t>227-9-K-26, (11.09.2026) [FHM-K]</t>
        </is>
      </c>
      <c r="X214" s="2" t="inlineStr">
        <is>
          <t>227-9-K-26, (11.09.2026) [FHM-K]</t>
        </is>
      </c>
      <c r="Y214" s="2" t="inlineStr">
        <is>
          <t>— pending —</t>
        </is>
      </c>
      <c r="Z214" s="2" t="inlineStr">
        <is>
          <t>#8, #9, #11, #12 from the initial testing</t>
        </is>
      </c>
      <c r="AA214" s="2" t="inlineStr">
        <is>
          <t>P050272|R</t>
        </is>
      </c>
      <c r="AB214" s="7" t="inlineStr">
        <is>
          <t>registered — retest 1, issued 01.09.2026</t>
        </is>
      </c>
    </row>
    <row r="215">
      <c r="A215" s="2" t="n">
        <v>214</v>
      </c>
      <c r="B215" s="3" t="inlineStr">
        <is>
          <t>iCoA-PP_26-214</t>
        </is>
      </c>
      <c r="C215" s="4" t="inlineStr">
        <is>
          <t>yes</t>
        </is>
      </c>
      <c r="D215" s="5" t="n">
        <v>46266</v>
      </c>
      <c r="E215" s="5" t="n">
        <v>46266</v>
      </c>
      <c r="F215" s="5">
        <f>IFERROR(INDEX('Batch Dates'!$G:$G,MATCH(J215,'Batch Dates'!$C:$C,0)),IFERROR(INDEX('Batch Dates'!$G:$G,MATCH(I215,'Batch Dates'!$B:$B,0)),""))</f>
        <v/>
      </c>
      <c r="G215" s="2" t="inlineStr">
        <is>
          <t>legacy</t>
        </is>
      </c>
      <c r="H215" s="2" t="inlineStr">
        <is>
          <t>retest 1</t>
        </is>
      </c>
      <c r="I215" s="3" t="inlineStr">
        <is>
          <t>WC072501</t>
        </is>
      </c>
      <c r="J215" s="2" t="inlineStr">
        <is>
          <t>P050262</t>
        </is>
      </c>
      <c r="K215" s="2" t="inlineStr">
        <is>
          <t>Wedding Crusher</t>
        </is>
      </c>
      <c r="L215" s="2" t="inlineStr">
        <is>
          <t>Ident A + Ident B + Foreign matter</t>
        </is>
      </c>
      <c r="M215" s="6" t="inlineStr">
        <is>
          <t>—</t>
        </is>
      </c>
      <c r="N215" s="2">
        <f>IFERROR(INDEX('CoQ Register'!$B:$B,MATCH("P050262|R",'CoQ Register'!$S:$S,0)),"—")</f>
        <v/>
      </c>
      <c r="O215" s="6" t="inlineStr">
        <is>
          <t>—</t>
        </is>
      </c>
      <c r="P215" s="2" t="inlineStr">
        <is>
          <t>02.12.2026</t>
        </is>
      </c>
      <c r="Q215" s="2" t="inlineStr">
        <is>
          <t>27.10.2025 – 28.10.2025</t>
        </is>
      </c>
      <c r="R215" s="2" t="inlineStr">
        <is>
          <t>01.12.2025 (the issuance plan's basis: 02.12.2025)</t>
        </is>
      </c>
      <c r="S215" s="5">
        <f>IFERROR(INDEX('CoQ Register'!$D:$D,MATCH("P050262|R",'CoQ Register'!$S:$S,0)),"")</f>
        <v/>
      </c>
      <c r="T215" s="2" t="inlineStr">
        <is>
          <t>Conforms</t>
        </is>
      </c>
      <c r="U215" s="2" t="inlineStr">
        <is>
          <t>Conforms</t>
        </is>
      </c>
      <c r="V215" s="2" t="inlineStr">
        <is>
          <t>Conforms</t>
        </is>
      </c>
      <c r="W215" s="2" t="inlineStr">
        <is>
          <t>227-3-K-26, (11.09.2026) [FHM-K]</t>
        </is>
      </c>
      <c r="X215" s="2" t="inlineStr">
        <is>
          <t>227-3-K-26, (11.09.2026) [FHM-K]</t>
        </is>
      </c>
      <c r="Y215" s="2" t="inlineStr">
        <is>
          <t>— pending —</t>
        </is>
      </c>
      <c r="Z215" s="2" t="inlineStr">
        <is>
          <t>#8, #9, #11, #12 from the initial testing</t>
        </is>
      </c>
      <c r="AA215" s="2" t="inlineStr">
        <is>
          <t>P050262|R</t>
        </is>
      </c>
      <c r="AB215" s="7" t="inlineStr">
        <is>
          <t>registered — retest 1, issued 01.09.2026</t>
        </is>
      </c>
    </row>
    <row r="216">
      <c r="A216" s="2" t="n">
        <v>215</v>
      </c>
      <c r="B216" s="3" t="inlineStr">
        <is>
          <t>iCoA-PP_26-215</t>
        </is>
      </c>
      <c r="C216" s="4" t="inlineStr">
        <is>
          <t>yes</t>
        </is>
      </c>
      <c r="D216" s="5" t="n">
        <v>46266</v>
      </c>
      <c r="E216" s="5" t="n">
        <v>46266</v>
      </c>
      <c r="F216" s="5">
        <f>IFERROR(INDEX('Batch Dates'!$G:$G,MATCH(J216,'Batch Dates'!$C:$C,0)),IFERROR(INDEX('Batch Dates'!$G:$G,MATCH(I216,'Batch Dates'!$B:$B,0)),""))</f>
        <v/>
      </c>
      <c r="G216" s="2" t="inlineStr">
        <is>
          <t>legacy</t>
        </is>
      </c>
      <c r="H216" s="2" t="inlineStr">
        <is>
          <t>retest 1</t>
        </is>
      </c>
      <c r="I216" s="3" t="inlineStr">
        <is>
          <t>WED102501</t>
        </is>
      </c>
      <c r="J216" s="2" t="inlineStr">
        <is>
          <t>P060102</t>
        </is>
      </c>
      <c r="K216" s="2" t="inlineStr">
        <is>
          <t>Wedding Cake</t>
        </is>
      </c>
      <c r="L216" s="2" t="inlineStr">
        <is>
          <t>Ident A + Ident B + Foreign matter</t>
        </is>
      </c>
      <c r="M216" s="6" t="inlineStr">
        <is>
          <t>—</t>
        </is>
      </c>
      <c r="N216" s="2">
        <f>IFERROR(INDEX('CoQ Register'!$B:$B,MATCH("P060102|R",'CoQ Register'!$S:$S,0)),"—")</f>
        <v/>
      </c>
      <c r="O216" s="6" t="inlineStr">
        <is>
          <t>—</t>
        </is>
      </c>
      <c r="P216" s="2" t="inlineStr">
        <is>
          <t>16.02.2027</t>
        </is>
      </c>
      <c r="Q216" s="2" t="inlineStr">
        <is>
          <t>08.01.2026</t>
        </is>
      </c>
      <c r="R216" s="2" t="inlineStr">
        <is>
          <t>16.02.2026</t>
        </is>
      </c>
      <c r="S216" s="5">
        <f>IFERROR(INDEX('CoQ Register'!$D:$D,MATCH("P060102|R",'CoQ Register'!$S:$S,0)),"")</f>
        <v/>
      </c>
      <c r="T216" s="2" t="inlineStr">
        <is>
          <t>Conforms</t>
        </is>
      </c>
      <c r="U216" s="2" t="inlineStr">
        <is>
          <t>Conforms</t>
        </is>
      </c>
      <c r="V216" s="2" t="inlineStr">
        <is>
          <t>Conforms</t>
        </is>
      </c>
      <c r="W216" s="2" t="inlineStr">
        <is>
          <t>227-4-K-26, (11.09.2026) [FHM-K]</t>
        </is>
      </c>
      <c r="X216" s="2" t="inlineStr">
        <is>
          <t>227-4-K-26, (11.09.2026) [FHM-K]</t>
        </is>
      </c>
      <c r="Y216" s="2" t="inlineStr">
        <is>
          <t>— pending —</t>
        </is>
      </c>
      <c r="Z216" s="2" t="inlineStr">
        <is>
          <t>#8, #9, #11, #12 from the initial testing</t>
        </is>
      </c>
      <c r="AA216" s="2" t="inlineStr">
        <is>
          <t>P060102|R</t>
        </is>
      </c>
      <c r="AB216" s="7" t="inlineStr">
        <is>
          <t>registered — retest 1, issued 01.09.2026</t>
        </is>
      </c>
    </row>
    <row r="217"/>
    <row r="218" ht="110" customHeight="1">
      <c r="A218"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8:AB218"/>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iCoA-PP_26-024</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iCoA-PP_26-025</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no Total THC result on this certificate</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9" t="n">
        <v>12.91</v>
      </c>
      <c r="W49" s="2" t="inlineStr">
        <is>
          <t>031-5-К/26</t>
        </is>
      </c>
      <c r="X49" s="2" t="inlineStr">
        <is>
          <t>12.00 ± 1.20 (I)</t>
        </is>
      </c>
      <c r="Y49" s="2" t="inlineStr">
        <is>
          <t>10.80 – 13.19 %</t>
        </is>
      </c>
      <c r="Z49" s="2" t="inlineStr">
        <is>
          <t>ACC_THC12 : CBD1</t>
        </is>
      </c>
      <c r="AA49" s="2" t="inlineStr">
        <is>
          <t>QCSP_001_ACC-I_v.01</t>
        </is>
      </c>
      <c r="AB49" s="10" t="inlineStr">
        <is>
          <t>for review — replaces the issued QCSP_001_ACC-I_v.01 (was ACC_THC12 : CBD1, 10.80 – 13.20 %); now ACC_THC12 : CBD1 10.80 – 13.19 %</t>
        </is>
      </c>
      <c r="AC49" s="11" t="inlineStr"/>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9" t="n">
        <v>9.83</v>
      </c>
      <c r="W50" s="2" t="inlineStr">
        <is>
          <t>031-4-К/26</t>
        </is>
      </c>
      <c r="X50" s="2" t="inlineStr">
        <is>
          <t>10.00 ± 1.00 (I)</t>
        </is>
      </c>
      <c r="Y50" s="2" t="inlineStr">
        <is>
          <t>9.00 – 10.99 %</t>
        </is>
      </c>
      <c r="Z50" s="2" t="inlineStr">
        <is>
          <t>CF_THC10 : CBD1</t>
        </is>
      </c>
      <c r="AA50" s="2" t="inlineStr">
        <is>
          <t>QCSP_001_CF-I_v.01</t>
        </is>
      </c>
      <c r="AB50" s="10" t="inlineStr">
        <is>
          <t>for review — replaces the issued QCSP_001_CF-I_v.01 (was CF_THC10 : CBD1, 9.00 – 11.00 %); now CF_THC10 : CBD1 9.00 – 10.99 %</t>
        </is>
      </c>
      <c r="AC50" s="11" t="inlineStr"/>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iCoA-PP_26-104 of 27.07.2026</t>
        </is>
      </c>
      <c r="U90" s="2">
        <f>IFERROR(INDEX('CoQ Register'!$B:$B,MATCH("P060032|I",'CoQ Register'!$S:$S,0)),"— initial certificate not on the register —")</f>
        <v/>
      </c>
      <c r="V90" s="9" t="n">
        <v>18.29</v>
      </c>
      <c r="W90" s="2" t="inlineStr">
        <is>
          <t>197-5-К/26</t>
        </is>
      </c>
      <c r="X90" s="2" t="inlineStr">
        <is>
          <t>17.00 ± 1.40 (IV)</t>
        </is>
      </c>
      <c r="Y90" s="2" t="inlineStr">
        <is>
          <t>15.60 – 18.39 %</t>
        </is>
      </c>
      <c r="Z90" s="2" t="inlineStr">
        <is>
          <t>CJ_THC17 : CBD1</t>
        </is>
      </c>
      <c r="AA90" s="2" t="inlineStr">
        <is>
          <t>QCSP_001_CJ-IV_v.01</t>
        </is>
      </c>
      <c r="AB90" s="10" t="inlineStr">
        <is>
          <t>for review — replaces the issued QCSP_001_CJ-IV_v.01 (was CJ_THC20 : CBD1, 18.00 – 22.00 %); now CJ_THC17 : CBD1 15.60 – 18.39 %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iCoA-PP_26-109 of 27.07.2026</t>
        </is>
      </c>
      <c r="U91" s="2">
        <f>IFERROR(INDEX('CoQ Register'!$B:$B,MATCH("P060352|I",'CoQ Register'!$S:$S,0)),"— initial certificate not on the register —")</f>
        <v/>
      </c>
      <c r="V91" s="9" t="n">
        <v>18.86</v>
      </c>
      <c r="W91" s="2" t="inlineStr">
        <is>
          <t>197-7-К/26</t>
        </is>
      </c>
      <c r="X91" s="2" t="inlineStr">
        <is>
          <t>18.00 ± 1.80 (II)</t>
        </is>
      </c>
      <c r="Y91" s="2" t="inlineStr">
        <is>
          <t>16.20 – 19.79 %</t>
        </is>
      </c>
      <c r="Z91" s="2" t="inlineStr">
        <is>
          <t>FB_THC18 : CBD1</t>
        </is>
      </c>
      <c r="AA91" s="2" t="inlineStr">
        <is>
          <t>QCSP_001_FB-II_v.01</t>
        </is>
      </c>
      <c r="AB91" s="10" t="inlineStr">
        <is>
          <t>for review — replaces the issued QCSP_001_FB-II_v.01 (was FB_THC18 : CBD1, 17.15 – 18.85 %); now FB_THC18 : CBD1 16.20 – 19.79 %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iCoA-PP_26-110 of 27.07.2026</t>
        </is>
      </c>
      <c r="U92" s="2">
        <f>IFERROR(INDEX('CoQ Register'!$B:$B,MATCH("P060402|I",'CoQ Register'!$S:$S,0)),"— initial certificate not on the register —")</f>
        <v/>
      </c>
      <c r="V92" s="9" t="n">
        <v>16.7</v>
      </c>
      <c r="W92" s="2" t="inlineStr">
        <is>
          <t>197-8-К/26</t>
        </is>
      </c>
      <c r="X92" s="2" t="inlineStr">
        <is>
          <t>18.00 ± 1.77 (I)</t>
        </is>
      </c>
      <c r="Y92" s="2" t="inlineStr">
        <is>
          <t>16.23 – 19.76 %</t>
        </is>
      </c>
      <c r="Z92" s="2" t="inlineStr">
        <is>
          <t>GG_THC18 : CBD1</t>
        </is>
      </c>
      <c r="AA92" s="2" t="inlineStr">
        <is>
          <t>QCSP_001_GG-I_v.01</t>
        </is>
      </c>
      <c r="AB92" s="10"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iCoA-PP_26-106 of 27.07.2026</t>
        </is>
      </c>
      <c r="U93" s="2">
        <f>IFERROR(INDEX('CoQ Register'!$B:$B,MATCH("P050092|I",'CoQ Register'!$S:$S,0)),"— initial certificate not on the register —")</f>
        <v/>
      </c>
      <c r="V93" s="9" t="n">
        <v>18.67</v>
      </c>
      <c r="W93" s="2" t="inlineStr">
        <is>
          <t>197-9-К/26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iCoA-PP_26-107 of 27.07.2026</t>
        </is>
      </c>
      <c r="U94" s="2">
        <f>IFERROR(INDEX('CoQ Register'!$B:$B,MATCH("P050152|I",'CoQ Register'!$S:$S,0)),"— initial certificate not on the register —")</f>
        <v/>
      </c>
      <c r="V94" s="9" t="n">
        <v>18.52</v>
      </c>
      <c r="W94" s="2" t="inlineStr">
        <is>
          <t>197-10-К/26</t>
        </is>
      </c>
      <c r="X94" s="2" t="inlineStr">
        <is>
          <t>20.00 ± 2.00 (III)</t>
        </is>
      </c>
      <c r="Y94" s="2" t="inlineStr">
        <is>
          <t>18.00 – 21.99 %</t>
        </is>
      </c>
      <c r="Z94" s="2" t="inlineStr">
        <is>
          <t>GP_THC20 : CBD1</t>
        </is>
      </c>
      <c r="AA94" s="2" t="inlineStr">
        <is>
          <t>QCSP_001_GP-III_v.01</t>
        </is>
      </c>
      <c r="AB94" s="10" t="inlineStr">
        <is>
          <t>for review — replaces the issued QCSP_001_GP-III_v.01 (was GP_THC24 : CBD1, 22.61 – 25.39 %); now GP_THC20 : CBD1 18.00 – 21.99 %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9" t="n">
        <v>22.61</v>
      </c>
      <c r="W95" s="2" t="inlineStr">
        <is>
          <t>197-11-К/26</t>
        </is>
      </c>
      <c r="X95" s="2" t="inlineStr">
        <is>
          <t>24.00 ± 2.00 (II)</t>
        </is>
      </c>
      <c r="Y95" s="2" t="inlineStr">
        <is>
          <t>22.00 – 25.99 %</t>
        </is>
      </c>
      <c r="Z95" s="2" t="inlineStr">
        <is>
          <t>GP_THC24 : CBD1</t>
        </is>
      </c>
      <c r="AA95" s="2" t="inlineStr">
        <is>
          <t>QCSP_001_GP-II_v.01</t>
        </is>
      </c>
      <c r="AB95" s="10" t="inlineStr">
        <is>
          <t>for review — replaces the issued QCSP_001_GP-II_v.01 (was GP_THC26 : CBD1, 25.40 – 26.60 %); now GP_THC24 : CBD1 22.00 – 25.99 %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iCoA-PP_26-111 of 27.07.2026</t>
        </is>
      </c>
      <c r="U96" s="2">
        <f>IFERROR(INDEX('CoQ Register'!$B:$B,MATCH("P050322|I",'CoQ Register'!$S:$S,0)),"— initial certificate not on the register —")</f>
        <v/>
      </c>
      <c r="V96" s="9" t="n">
        <v>15.7</v>
      </c>
      <c r="W96" s="2" t="inlineStr">
        <is>
          <t>197-12-К/26</t>
        </is>
      </c>
      <c r="X96" s="2" t="inlineStr">
        <is>
          <t>16.00 ± 1.60 (IV)</t>
        </is>
      </c>
      <c r="Y96" s="2" t="inlineStr">
        <is>
          <t>14.40 – 17.59 %</t>
        </is>
      </c>
      <c r="Z96" s="2" t="inlineStr">
        <is>
          <t>GP_THC16 : CBD1</t>
        </is>
      </c>
      <c r="AA96" s="2" t="inlineStr">
        <is>
          <t>QCSP_001_GP-IV_v.01</t>
        </is>
      </c>
      <c r="AB96" s="10" t="inlineStr">
        <is>
          <t>for review — replaces the issued QCSP_001_GP-IV_v.01 (was GP_THC20 : CBD1, 18.00 – 22.00 %); now GP_THC16 : CBD1 14.40 – 17.59 %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iCoA-PP_26-112 of 27.07.2026</t>
        </is>
      </c>
      <c r="U97" s="2">
        <f>IFERROR(INDEX('CoQ Register'!$B:$B,MATCH("HPA1024|I",'CoQ Register'!$S:$S,0)),"— initial certificate not on the register —")</f>
        <v/>
      </c>
      <c r="V97" s="9" t="n">
        <v>17.31</v>
      </c>
      <c r="W97" s="2" t="inlineStr">
        <is>
          <t>197-13-К/26</t>
        </is>
      </c>
      <c r="X97" s="2" t="inlineStr">
        <is>
          <t>18.00 ± 1.80 (II)</t>
        </is>
      </c>
      <c r="Y97" s="2" t="inlineStr">
        <is>
          <t>16.20 – 19.79 %</t>
        </is>
      </c>
      <c r="Z97" s="2" t="inlineStr">
        <is>
          <t>HPA_THC18 : CBD1</t>
        </is>
      </c>
      <c r="AA97" s="2" t="inlineStr">
        <is>
          <t>QCSP_001_HPA-II_v.01</t>
        </is>
      </c>
      <c r="AB97" s="10" t="inlineStr">
        <is>
          <t>for review — replaces the issued QCSP_001_HPA-II_v.01 (was HPA_THC20 : CBD1, 19.01 – 20.99 %); now HPA_THC18 : CBD1 16.20 – 19.79 %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iCoA-PP_26-113 of 27.07.2026</t>
        </is>
      </c>
      <c r="U98" s="2">
        <f>IFERROR(INDEX('CoQ Register'!$B:$B,MATCH("P050052|I",'CoQ Register'!$S:$S,0)),"— initial certificate not on the register —")</f>
        <v/>
      </c>
      <c r="V98" s="9" t="n">
        <v>21.61</v>
      </c>
      <c r="W98" s="2" t="inlineStr">
        <is>
          <t>197-14-К/26</t>
        </is>
      </c>
      <c r="X98" s="2" t="inlineStr">
        <is>
          <t>22.00 ± 2.20 (I)</t>
        </is>
      </c>
      <c r="Y98" s="2" t="inlineStr">
        <is>
          <t>19.80 – 24.19 %</t>
        </is>
      </c>
      <c r="Z98" s="2" t="inlineStr">
        <is>
          <t>HPA_THC22 : CBD1</t>
        </is>
      </c>
      <c r="AA98" s="2" t="inlineStr">
        <is>
          <t>QCSP_001_HPA-I_v.01</t>
        </is>
      </c>
      <c r="AB98" s="10" t="inlineStr">
        <is>
          <t>for review — replaces the issued QCSP_001_HPA-I_v.01 (was HPA_THC22 : CBD1, 21.00 – 23.00 %); now HPA_THC22 : CBD1 19.80 – 24.19 %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iCoA-PP_26-114 of 27.07.2026</t>
        </is>
      </c>
      <c r="U99" s="2">
        <f>IFERROR(INDEX('CoQ Register'!$B:$B,MATCH("P060152|I",'CoQ Register'!$S:$S,0)),"— initial certificate not on the register —")</f>
        <v/>
      </c>
      <c r="V99" s="9"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iCoA-PP_26-115 of 27.07.2026</t>
        </is>
      </c>
      <c r="U100" s="2">
        <f>IFERROR(INDEX('CoQ Register'!$B:$B,MATCH("P060212|I",'CoQ Register'!$S:$S,0)),"— initial certificate not on the register —")</f>
        <v/>
      </c>
      <c r="V100" s="9" t="n">
        <v>20.32</v>
      </c>
      <c r="W100" s="2" t="inlineStr">
        <is>
          <t>197-15-К/26</t>
        </is>
      </c>
      <c r="X100" s="2" t="inlineStr">
        <is>
          <t>22.00 ± 2.20 (I)</t>
        </is>
      </c>
      <c r="Y100" s="2" t="inlineStr">
        <is>
          <t>19.80 – 24.19 %</t>
        </is>
      </c>
      <c r="Z100" s="2" t="inlineStr">
        <is>
          <t>JD_THC22 : CBD1</t>
        </is>
      </c>
      <c r="AA100" s="2" t="inlineStr">
        <is>
          <t>QCSP_001_JD-I_v.01</t>
        </is>
      </c>
      <c r="AB100" s="10" t="inlineStr">
        <is>
          <t>for review — replaces the issued QCSP_001_JD-I_v.01 (was JD_THC20 : CBD1, 18.00 – 22.00 %); now JD_THC22 : CBD1 19.80 – 24.19 %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iCoA-PP_26-116 of 27.07.2026</t>
        </is>
      </c>
      <c r="U101" s="2">
        <f>IFERROR(INDEX('CoQ Register'!$B:$B,MATCH("OPM1024|I",'CoQ Register'!$S:$S,0)),"— initial certificate not on the register —")</f>
        <v/>
      </c>
      <c r="V101" s="9" t="n">
        <v>20.03</v>
      </c>
      <c r="W101" s="2" t="inlineStr">
        <is>
          <t>197-17-К/26</t>
        </is>
      </c>
      <c r="X101" s="2" t="inlineStr">
        <is>
          <t>20.00 ± 1.40 (I)</t>
        </is>
      </c>
      <c r="Y101" s="2" t="inlineStr">
        <is>
          <t>18.60 – 21.39 %</t>
        </is>
      </c>
      <c r="Z101" s="2" t="inlineStr">
        <is>
          <t>OPM_THC20 : CBD1</t>
        </is>
      </c>
      <c r="AA101" s="2" t="inlineStr">
        <is>
          <t>QCSP_001_OPM-I_v.01</t>
        </is>
      </c>
      <c r="AB101" s="10" t="inlineStr">
        <is>
          <t>for review — replaces the issued QCSP_001_OPM-I_v.01 (was OPM_THC22 : CBD1, 19.81 – 24.19 %); now OPM_THC20 : CBD1 18.60 – 21.39 %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iCoA-PP_26-117 of 27.07.2026</t>
        </is>
      </c>
      <c r="U102" s="2">
        <f>IFERROR(INDEX('CoQ Register'!$B:$B,MATCH("P050062|I",'CoQ Register'!$S:$S,0)),"— initial certificate not on the register —")</f>
        <v/>
      </c>
      <c r="V102" s="9" t="n">
        <v>18.04</v>
      </c>
      <c r="W102" s="2" t="inlineStr">
        <is>
          <t>197-18-К/26</t>
        </is>
      </c>
      <c r="X102" s="2" t="inlineStr">
        <is>
          <t>17.00 ± 1.60 (II)</t>
        </is>
      </c>
      <c r="Y102" s="2" t="inlineStr">
        <is>
          <t>15.40 – 18.59 %</t>
        </is>
      </c>
      <c r="Z102" s="2" t="inlineStr">
        <is>
          <t>OPM_THC17 : CBD1</t>
        </is>
      </c>
      <c r="AA102" s="2" t="inlineStr">
        <is>
          <t>QCSP_001_OPM-II_v.01</t>
        </is>
      </c>
      <c r="AB102" s="10" t="inlineStr">
        <is>
          <t>for review — replaces the issued QCSP_001_OPM-II_v.01 (was OPM_THC18 : CBD1, 16.20 – 19.80 %); now OPM_THC17 : CBD1 15.40 – 18.59 %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iCoA-PP_26-118 of 27.07.2026</t>
        </is>
      </c>
      <c r="U103" s="2">
        <f>IFERROR(INDEX('CoQ Register'!$B:$B,MATCH("P060242|I",'CoQ Register'!$S:$S,0)),"— initial certificate not on the register —")</f>
        <v/>
      </c>
      <c r="V103" s="9" t="n">
        <v>7.91</v>
      </c>
      <c r="W103" s="2" t="inlineStr">
        <is>
          <t>197-19-К/26</t>
        </is>
      </c>
      <c r="X103" s="2" t="inlineStr">
        <is>
          <t>8.00 ± 0.80 (V)</t>
        </is>
      </c>
      <c r="Y103" s="2" t="inlineStr">
        <is>
          <t>7.20 – 8.79 %</t>
        </is>
      </c>
      <c r="Z103" s="2" t="inlineStr">
        <is>
          <t>OPM_THC8 : CBD1</t>
        </is>
      </c>
      <c r="AA103" s="2" t="inlineStr">
        <is>
          <t>QCSP_001_OPM-V_v.01</t>
        </is>
      </c>
      <c r="AB103" s="10" t="inlineStr">
        <is>
          <t>for review — replaces the issued QCSP_001_OPM-V_v.01 (was OPM_THC8 : CBD1, 7.20 – 8.80 %); now OPM_THC8 : CBD1 7.20 – 8.79 %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iCoA-PP_26-120 of 27.07.2026</t>
        </is>
      </c>
      <c r="U104" s="2">
        <f>IFERROR(INDEX('CoQ Register'!$B:$B,MATCH("P060062|I",'CoQ Register'!$S:$S,0)),"— initial certificate not on the register —")</f>
        <v/>
      </c>
      <c r="V104" s="9" t="n">
        <v>12.25</v>
      </c>
      <c r="W104" s="2" t="inlineStr">
        <is>
          <t>197-20-К/26</t>
        </is>
      </c>
      <c r="X104" s="2" t="inlineStr">
        <is>
          <t>12.00 ± 1.00 (II)</t>
        </is>
      </c>
      <c r="Y104" s="2" t="inlineStr">
        <is>
          <t>11.00 – 12.99 %</t>
        </is>
      </c>
      <c r="Z104" s="2" t="inlineStr">
        <is>
          <t>PM_THC12 : CBD1</t>
        </is>
      </c>
      <c r="AA104" s="2" t="inlineStr">
        <is>
          <t>QCSP_001_PM-II_v.01</t>
        </is>
      </c>
      <c r="AB104" s="10" t="inlineStr">
        <is>
          <t>for review — replaces the issued QCSP_001_PM-II_v.01 (was PM_THC10 : CBD1, 9.00 – 11.00 %); now PM_THC12 : CBD1 11.00 – 12.99 %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iCoA-PP_26-119 of 27.07.2026</t>
        </is>
      </c>
      <c r="U105" s="2">
        <f>IFERROR(INDEX('CoQ Register'!$B:$B,MATCH("P060382|I",'CoQ Register'!$S:$S,0)),"— initial certificate not on the register —")</f>
        <v/>
      </c>
      <c r="V105" s="9" t="n">
        <v>17.84</v>
      </c>
      <c r="W105" s="2" t="inlineStr">
        <is>
          <t>197-21-К/26</t>
        </is>
      </c>
      <c r="X105" s="2" t="inlineStr">
        <is>
          <t>18.00 ± 1.80 (II)</t>
        </is>
      </c>
      <c r="Y105" s="2" t="inlineStr">
        <is>
          <t>16.20 – 19.79 %</t>
        </is>
      </c>
      <c r="Z105" s="2" t="inlineStr">
        <is>
          <t>SCR_THC18 : CBD1</t>
        </is>
      </c>
      <c r="AA105" s="2" t="inlineStr">
        <is>
          <t>QCSP_001_SCR-II_v.01</t>
        </is>
      </c>
      <c r="AB105" s="10" t="inlineStr">
        <is>
          <t>for review — replaces the issued QCSP_001_SCR-II_v.01 (was SCR_THC18 : CBD1, 16.20 – 19.80 %); now SCR_THC18 : CBD1 16.20 – 19.79 %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9" t="n">
        <v>18.91</v>
      </c>
      <c r="W106" s="2" t="inlineStr">
        <is>
          <t>197-4-К/26</t>
        </is>
      </c>
      <c r="X106" s="2" t="inlineStr">
        <is>
          <t>20.00 ± 1.60 (III)</t>
        </is>
      </c>
      <c r="Y106" s="2" t="inlineStr">
        <is>
          <t>18.40 – 21.59 %</t>
        </is>
      </c>
      <c r="Z106" s="2" t="inlineStr">
        <is>
          <t>CJ_THC20 : CBD1</t>
        </is>
      </c>
      <c r="AA106" s="2" t="inlineStr">
        <is>
          <t>QCSP_001_CJ-III_v.01</t>
        </is>
      </c>
      <c r="AB106" s="10" t="inlineStr">
        <is>
          <t>for review — replaces the issued QCSP_001_CJ-III_v.01 (was CJ_THC24 : CBD1, 23.00 – 25.00 %); now CJ_THC20 : CBD1 18.40 – 21.59 %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1.20 (I)</t>
        </is>
      </c>
      <c r="Y107" s="2" t="inlineStr">
        <is>
          <t>10.80 – 13.19 %</t>
        </is>
      </c>
      <c r="Z107" s="2" t="inlineStr">
        <is>
          <t>ACC_THC12 : CBD1</t>
        </is>
      </c>
      <c r="AA107" s="2" t="inlineStr">
        <is>
          <t>QCSP_001_ACC-I_v.01</t>
        </is>
      </c>
      <c r="AB107" s="10" t="inlineStr">
        <is>
          <t>for review — replaces the issued QCSP_001_ACC-I_v.01 (was ACC_THC12 : CBD1, 10.80 – 13.20 %); now ACC_THC12 : CBD1 10.80 – 13.19 %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IF(ISNUMBER(F168),MAX(DATE(2026,6,6),F168+7),DATE(2026,6,6))</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v46 on 18.09.2026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CoQ_Analysis_Master_v46.xlsx,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2026-09-18T19:23:02Z</dcterms:created>
  <dcterms:modified xmlns:dcterms="http://purl.org/dc/terms/" xmlns:xsi="http://www.w3.org/2001/XMLSchema-instance" xsi:type="dcterms:W3CDTF">2026-09-18T19:23:02Z</dcterms:modified>
</cp:coreProperties>
</file>